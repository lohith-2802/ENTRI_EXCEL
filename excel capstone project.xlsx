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filterPrivacy="1"/>
  <xr:revisionPtr revIDLastSave="0" documentId="8_{0C4E88D4-AAFC-4A5A-81D1-54B43B854E45}" xr6:coauthVersionLast="47" xr6:coauthVersionMax="47" xr10:uidLastSave="{00000000-0000-0000-0000-000000000000}"/>
  <bookViews>
    <workbookView xWindow="-120" yWindow="-120" windowWidth="20730" windowHeight="11040" firstSheet="5" activeTab="5" xr2:uid="{00000000-000D-0000-FFFF-FFFF00000000}"/>
  </bookViews>
  <sheets>
    <sheet name="Customer Names" sheetId="3" r:id="rId1"/>
    <sheet name="Medical Examinations" sheetId="2" r:id="rId2"/>
    <sheet name="Hospitalisation Details" sheetId="1" r:id="rId3"/>
    <sheet name="Pivot table" sheetId="5" r:id="rId4"/>
    <sheet name="Healthcare" sheetId="4" r:id="rId5"/>
    <sheet name="Dashboard" sheetId="7" r:id="rId6"/>
  </sheets>
  <definedNames>
    <definedName name="_xlnm._FilterDatabase" localSheetId="1" hidden="1">'Medical Examinations'!$A$1:$H$2336</definedName>
  </definedNames>
  <calcPr calcId="191028" calcCompleted="0"/>
  <pivotCaches>
    <pivotCache cacheId="19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4" l="1"/>
  <c r="P1048576" i="4" s="1"/>
  <c r="C1048576" i="4"/>
  <c r="D1048576" i="4"/>
  <c r="V1048576" i="4" s="1"/>
  <c r="H1048576" i="4"/>
  <c r="V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1002" i="4"/>
  <c r="V1003" i="4"/>
  <c r="V1004" i="4"/>
  <c r="V1005" i="4"/>
  <c r="V1006" i="4"/>
  <c r="V1007" i="4"/>
  <c r="V1008" i="4"/>
  <c r="V1009" i="4"/>
  <c r="V1010" i="4"/>
  <c r="V1011" i="4"/>
  <c r="V1012" i="4"/>
  <c r="V1013" i="4"/>
  <c r="V1014" i="4"/>
  <c r="V1015" i="4"/>
  <c r="V1016" i="4"/>
  <c r="V1017" i="4"/>
  <c r="V1018" i="4"/>
  <c r="V1019" i="4"/>
  <c r="V1020" i="4"/>
  <c r="V1021" i="4"/>
  <c r="V1022" i="4"/>
  <c r="V1023" i="4"/>
  <c r="V1024" i="4"/>
  <c r="V1025" i="4"/>
  <c r="V1026" i="4"/>
  <c r="V1027" i="4"/>
  <c r="V1028" i="4"/>
  <c r="V1029" i="4"/>
  <c r="V1030" i="4"/>
  <c r="V1031" i="4"/>
  <c r="V1032" i="4"/>
  <c r="V1033" i="4"/>
  <c r="V1034" i="4"/>
  <c r="V1035" i="4"/>
  <c r="V1036" i="4"/>
  <c r="V1037" i="4"/>
  <c r="V1038" i="4"/>
  <c r="V1039" i="4"/>
  <c r="V1040" i="4"/>
  <c r="V1041" i="4"/>
  <c r="V1042" i="4"/>
  <c r="V1043" i="4"/>
  <c r="V1044" i="4"/>
  <c r="V1045" i="4"/>
  <c r="V1046" i="4"/>
  <c r="V1047" i="4"/>
  <c r="V1048" i="4"/>
  <c r="V1049" i="4"/>
  <c r="V1050" i="4"/>
  <c r="V1051" i="4"/>
  <c r="V1052" i="4"/>
  <c r="V1053" i="4"/>
  <c r="V1054" i="4"/>
  <c r="V1055" i="4"/>
  <c r="V1056" i="4"/>
  <c r="V1057" i="4"/>
  <c r="V1058" i="4"/>
  <c r="V1059" i="4"/>
  <c r="V1060" i="4"/>
  <c r="V1061" i="4"/>
  <c r="V1062" i="4"/>
  <c r="V1063" i="4"/>
  <c r="V1064" i="4"/>
  <c r="V1065" i="4"/>
  <c r="V1066" i="4"/>
  <c r="V1067" i="4"/>
  <c r="V1068" i="4"/>
  <c r="V1069" i="4"/>
  <c r="V1070" i="4"/>
  <c r="V1071" i="4"/>
  <c r="V1072" i="4"/>
  <c r="V1073" i="4"/>
  <c r="V1074" i="4"/>
  <c r="V1075" i="4"/>
  <c r="V1076" i="4"/>
  <c r="V1077" i="4"/>
  <c r="V1078" i="4"/>
  <c r="V1079" i="4"/>
  <c r="V1080" i="4"/>
  <c r="V1081" i="4"/>
  <c r="V1082" i="4"/>
  <c r="V1083" i="4"/>
  <c r="V1084" i="4"/>
  <c r="V1085" i="4"/>
  <c r="V1086" i="4"/>
  <c r="V1087" i="4"/>
  <c r="V1088" i="4"/>
  <c r="V1089" i="4"/>
  <c r="V1090" i="4"/>
  <c r="V1091" i="4"/>
  <c r="V1092" i="4"/>
  <c r="V1093" i="4"/>
  <c r="V1094" i="4"/>
  <c r="V1095" i="4"/>
  <c r="V1096" i="4"/>
  <c r="V1097" i="4"/>
  <c r="V1098" i="4"/>
  <c r="V1099" i="4"/>
  <c r="V1100" i="4"/>
  <c r="V1101" i="4"/>
  <c r="V1102" i="4"/>
  <c r="V1103" i="4"/>
  <c r="V1104" i="4"/>
  <c r="V1105" i="4"/>
  <c r="V1106" i="4"/>
  <c r="V1107" i="4"/>
  <c r="V1108" i="4"/>
  <c r="V1109" i="4"/>
  <c r="V1110" i="4"/>
  <c r="V1111" i="4"/>
  <c r="V1112" i="4"/>
  <c r="V1113" i="4"/>
  <c r="V1114" i="4"/>
  <c r="V1115" i="4"/>
  <c r="V1116" i="4"/>
  <c r="V1117" i="4"/>
  <c r="V1118" i="4"/>
  <c r="V1119" i="4"/>
  <c r="V1120" i="4"/>
  <c r="V1121" i="4"/>
  <c r="V1122" i="4"/>
  <c r="V1123" i="4"/>
  <c r="V1124" i="4"/>
  <c r="V1125" i="4"/>
  <c r="V1126" i="4"/>
  <c r="V1127" i="4"/>
  <c r="V1128" i="4"/>
  <c r="V1129" i="4"/>
  <c r="V1130" i="4"/>
  <c r="V1131" i="4"/>
  <c r="V1132" i="4"/>
  <c r="V1133" i="4"/>
  <c r="V1134" i="4"/>
  <c r="V1135" i="4"/>
  <c r="V1136" i="4"/>
  <c r="V1137" i="4"/>
  <c r="V1138" i="4"/>
  <c r="V1139" i="4"/>
  <c r="V1140" i="4"/>
  <c r="V1141" i="4"/>
  <c r="V1142" i="4"/>
  <c r="V1143" i="4"/>
  <c r="V1144" i="4"/>
  <c r="V1145" i="4"/>
  <c r="V1146" i="4"/>
  <c r="V1147" i="4"/>
  <c r="V1148" i="4"/>
  <c r="V1149" i="4"/>
  <c r="V1150" i="4"/>
  <c r="V1151" i="4"/>
  <c r="V1152" i="4"/>
  <c r="V1153" i="4"/>
  <c r="V1154" i="4"/>
  <c r="V1155" i="4"/>
  <c r="V1156" i="4"/>
  <c r="V1157" i="4"/>
  <c r="V1158" i="4"/>
  <c r="V1159" i="4"/>
  <c r="V1160" i="4"/>
  <c r="V1161" i="4"/>
  <c r="V1162" i="4"/>
  <c r="V1163" i="4"/>
  <c r="V1164" i="4"/>
  <c r="V1165" i="4"/>
  <c r="V1166" i="4"/>
  <c r="V1167" i="4"/>
  <c r="V1168" i="4"/>
  <c r="V1169" i="4"/>
  <c r="V1170" i="4"/>
  <c r="V1171" i="4"/>
  <c r="V1172" i="4"/>
  <c r="V1173" i="4"/>
  <c r="V1174" i="4"/>
  <c r="V1175" i="4"/>
  <c r="V1176" i="4"/>
  <c r="V1177" i="4"/>
  <c r="V1178" i="4"/>
  <c r="V1179" i="4"/>
  <c r="V1180" i="4"/>
  <c r="V1181" i="4"/>
  <c r="V1182" i="4"/>
  <c r="V1183" i="4"/>
  <c r="V1184" i="4"/>
  <c r="V1185" i="4"/>
  <c r="V1186" i="4"/>
  <c r="V1187" i="4"/>
  <c r="V1188" i="4"/>
  <c r="V1189" i="4"/>
  <c r="V1190" i="4"/>
  <c r="V1191" i="4"/>
  <c r="V1192" i="4"/>
  <c r="V1193" i="4"/>
  <c r="V1194" i="4"/>
  <c r="V1195" i="4"/>
  <c r="V1196" i="4"/>
  <c r="V1197" i="4"/>
  <c r="V1198" i="4"/>
  <c r="V1199" i="4"/>
  <c r="V1200" i="4"/>
  <c r="V1201" i="4"/>
  <c r="V1202" i="4"/>
  <c r="V1203" i="4"/>
  <c r="V1204" i="4"/>
  <c r="V1205" i="4"/>
  <c r="V1206" i="4"/>
  <c r="V1207" i="4"/>
  <c r="V1208" i="4"/>
  <c r="V1209" i="4"/>
  <c r="V1210" i="4"/>
  <c r="V1211" i="4"/>
  <c r="V1212" i="4"/>
  <c r="V1213" i="4"/>
  <c r="V1214" i="4"/>
  <c r="V1215" i="4"/>
  <c r="V1216" i="4"/>
  <c r="V1217" i="4"/>
  <c r="V1218" i="4"/>
  <c r="V1219" i="4"/>
  <c r="V1220" i="4"/>
  <c r="V1221" i="4"/>
  <c r="V1222" i="4"/>
  <c r="V1223" i="4"/>
  <c r="V1224" i="4"/>
  <c r="V1225" i="4"/>
  <c r="V1226" i="4"/>
  <c r="V1227" i="4"/>
  <c r="V1228" i="4"/>
  <c r="V1229" i="4"/>
  <c r="V1230" i="4"/>
  <c r="V1231" i="4"/>
  <c r="V1232" i="4"/>
  <c r="V1233" i="4"/>
  <c r="V1234" i="4"/>
  <c r="V1235" i="4"/>
  <c r="V1236" i="4"/>
  <c r="V1237" i="4"/>
  <c r="V1238" i="4"/>
  <c r="V1239" i="4"/>
  <c r="V1240" i="4"/>
  <c r="V1241" i="4"/>
  <c r="V1242" i="4"/>
  <c r="V1243" i="4"/>
  <c r="V1244" i="4"/>
  <c r="V1245" i="4"/>
  <c r="V1246" i="4"/>
  <c r="V1247" i="4"/>
  <c r="V1248" i="4"/>
  <c r="V1249" i="4"/>
  <c r="V1250" i="4"/>
  <c r="V1251" i="4"/>
  <c r="V1252" i="4"/>
  <c r="V1253" i="4"/>
  <c r="V1254" i="4"/>
  <c r="V1255" i="4"/>
  <c r="V1256" i="4"/>
  <c r="V1257" i="4"/>
  <c r="V1258" i="4"/>
  <c r="V1259" i="4"/>
  <c r="V1260" i="4"/>
  <c r="V1261" i="4"/>
  <c r="V1262" i="4"/>
  <c r="V1263" i="4"/>
  <c r="V1264" i="4"/>
  <c r="V1265" i="4"/>
  <c r="V1266" i="4"/>
  <c r="V1267" i="4"/>
  <c r="V1268" i="4"/>
  <c r="V1269" i="4"/>
  <c r="V1270" i="4"/>
  <c r="V1271" i="4"/>
  <c r="V1272" i="4"/>
  <c r="V1273" i="4"/>
  <c r="V1274" i="4"/>
  <c r="V1275" i="4"/>
  <c r="V1276" i="4"/>
  <c r="V1277" i="4"/>
  <c r="V1278" i="4"/>
  <c r="V1279" i="4"/>
  <c r="V1280" i="4"/>
  <c r="V1281" i="4"/>
  <c r="V1282" i="4"/>
  <c r="V1283" i="4"/>
  <c r="V1284" i="4"/>
  <c r="V1285" i="4"/>
  <c r="V1286" i="4"/>
  <c r="V1287" i="4"/>
  <c r="V1288" i="4"/>
  <c r="V1289" i="4"/>
  <c r="V1290" i="4"/>
  <c r="V1291" i="4"/>
  <c r="V1292" i="4"/>
  <c r="V1293" i="4"/>
  <c r="V1294" i="4"/>
  <c r="V1295" i="4"/>
  <c r="V1296" i="4"/>
  <c r="V1297" i="4"/>
  <c r="V1298" i="4"/>
  <c r="V1299" i="4"/>
  <c r="V1300" i="4"/>
  <c r="V1301" i="4"/>
  <c r="V1302" i="4"/>
  <c r="V1303" i="4"/>
  <c r="V1304" i="4"/>
  <c r="V1305" i="4"/>
  <c r="V1306" i="4"/>
  <c r="V1307" i="4"/>
  <c r="V1308" i="4"/>
  <c r="V1309" i="4"/>
  <c r="V1310" i="4"/>
  <c r="V1311" i="4"/>
  <c r="V1312" i="4"/>
  <c r="V1313" i="4"/>
  <c r="V1314" i="4"/>
  <c r="V1315" i="4"/>
  <c r="V1316" i="4"/>
  <c r="V1317" i="4"/>
  <c r="V1318" i="4"/>
  <c r="V1319" i="4"/>
  <c r="V1320" i="4"/>
  <c r="V1321" i="4"/>
  <c r="V1322" i="4"/>
  <c r="V1323" i="4"/>
  <c r="V1324" i="4"/>
  <c r="V1325" i="4"/>
  <c r="V1326" i="4"/>
  <c r="V1327" i="4"/>
  <c r="V1328" i="4"/>
  <c r="V1329" i="4"/>
  <c r="V1330" i="4"/>
  <c r="V1331" i="4"/>
  <c r="V1332" i="4"/>
  <c r="V1333" i="4"/>
  <c r="V1334" i="4"/>
  <c r="V1335" i="4"/>
  <c r="V1336" i="4"/>
  <c r="V1337" i="4"/>
  <c r="V1338" i="4"/>
  <c r="V1339" i="4"/>
  <c r="V1340" i="4"/>
  <c r="V1341" i="4"/>
  <c r="V1342" i="4"/>
  <c r="V1343" i="4"/>
  <c r="V1344" i="4"/>
  <c r="V1345" i="4"/>
  <c r="V1346" i="4"/>
  <c r="V1347" i="4"/>
  <c r="V1348" i="4"/>
  <c r="V1349" i="4"/>
  <c r="V1350" i="4"/>
  <c r="V1351" i="4"/>
  <c r="V1352" i="4"/>
  <c r="V1353" i="4"/>
  <c r="V1354" i="4"/>
  <c r="V1355" i="4"/>
  <c r="V1356" i="4"/>
  <c r="V1357" i="4"/>
  <c r="V1358" i="4"/>
  <c r="V1359" i="4"/>
  <c r="V1360" i="4"/>
  <c r="V1361" i="4"/>
  <c r="V1362" i="4"/>
  <c r="V1363" i="4"/>
  <c r="V1364" i="4"/>
  <c r="V1365" i="4"/>
  <c r="V1366" i="4"/>
  <c r="V1367" i="4"/>
  <c r="V1368" i="4"/>
  <c r="V1369" i="4"/>
  <c r="V1370" i="4"/>
  <c r="V1371" i="4"/>
  <c r="V1372" i="4"/>
  <c r="V1373" i="4"/>
  <c r="V1374" i="4"/>
  <c r="V1375" i="4"/>
  <c r="V1376" i="4"/>
  <c r="V1377" i="4"/>
  <c r="V1378" i="4"/>
  <c r="V1379" i="4"/>
  <c r="V1380" i="4"/>
  <c r="V1381" i="4"/>
  <c r="V1382" i="4"/>
  <c r="V1383" i="4"/>
  <c r="V1384" i="4"/>
  <c r="V1385" i="4"/>
  <c r="V1386" i="4"/>
  <c r="V1387" i="4"/>
  <c r="V1388" i="4"/>
  <c r="V1389" i="4"/>
  <c r="V1390" i="4"/>
  <c r="V1391" i="4"/>
  <c r="V1392" i="4"/>
  <c r="V1393" i="4"/>
  <c r="V1394" i="4"/>
  <c r="V1395" i="4"/>
  <c r="V1396" i="4"/>
  <c r="V1397" i="4"/>
  <c r="V1398" i="4"/>
  <c r="V1399" i="4"/>
  <c r="V1400" i="4"/>
  <c r="V1401" i="4"/>
  <c r="V1402" i="4"/>
  <c r="V1403" i="4"/>
  <c r="V1404" i="4"/>
  <c r="V1405" i="4"/>
  <c r="V1406" i="4"/>
  <c r="V1407" i="4"/>
  <c r="V1408" i="4"/>
  <c r="V1409" i="4"/>
  <c r="V1410" i="4"/>
  <c r="V1411" i="4"/>
  <c r="V1412" i="4"/>
  <c r="V1413" i="4"/>
  <c r="V1414" i="4"/>
  <c r="V1415" i="4"/>
  <c r="V1416" i="4"/>
  <c r="V1417" i="4"/>
  <c r="V1418" i="4"/>
  <c r="V1419" i="4"/>
  <c r="V1420" i="4"/>
  <c r="V1421" i="4"/>
  <c r="V1422" i="4"/>
  <c r="V1423" i="4"/>
  <c r="V1424" i="4"/>
  <c r="V1425" i="4"/>
  <c r="V1426" i="4"/>
  <c r="V1427" i="4"/>
  <c r="V1428" i="4"/>
  <c r="V1429" i="4"/>
  <c r="V1430" i="4"/>
  <c r="V1431" i="4"/>
  <c r="V1432" i="4"/>
  <c r="V1433" i="4"/>
  <c r="V1434" i="4"/>
  <c r="V1435" i="4"/>
  <c r="V1436" i="4"/>
  <c r="V1437" i="4"/>
  <c r="V1438" i="4"/>
  <c r="V1439" i="4"/>
  <c r="V1440" i="4"/>
  <c r="V1441" i="4"/>
  <c r="V1442" i="4"/>
  <c r="V1443" i="4"/>
  <c r="V1444" i="4"/>
  <c r="V1445" i="4"/>
  <c r="V1446" i="4"/>
  <c r="V1447" i="4"/>
  <c r="V1448" i="4"/>
  <c r="V1449" i="4"/>
  <c r="V1450" i="4"/>
  <c r="V1451" i="4"/>
  <c r="V1452" i="4"/>
  <c r="V1453" i="4"/>
  <c r="V1454" i="4"/>
  <c r="V1455" i="4"/>
  <c r="V1456" i="4"/>
  <c r="V1457" i="4"/>
  <c r="V1458" i="4"/>
  <c r="V1459" i="4"/>
  <c r="V1460" i="4"/>
  <c r="V1461" i="4"/>
  <c r="V1462" i="4"/>
  <c r="V1463" i="4"/>
  <c r="V1464" i="4"/>
  <c r="V1465" i="4"/>
  <c r="V1466" i="4"/>
  <c r="V1467" i="4"/>
  <c r="V1468" i="4"/>
  <c r="V1469" i="4"/>
  <c r="V1470" i="4"/>
  <c r="V1471" i="4"/>
  <c r="V1472" i="4"/>
  <c r="V1473" i="4"/>
  <c r="V1474" i="4"/>
  <c r="V1475" i="4"/>
  <c r="V1476" i="4"/>
  <c r="V1477" i="4"/>
  <c r="V1478" i="4"/>
  <c r="V1479" i="4"/>
  <c r="V1480" i="4"/>
  <c r="V1481" i="4"/>
  <c r="V1482" i="4"/>
  <c r="V1483" i="4"/>
  <c r="V1484" i="4"/>
  <c r="V1485" i="4"/>
  <c r="V1486" i="4"/>
  <c r="V1487" i="4"/>
  <c r="V1488" i="4"/>
  <c r="V1489" i="4"/>
  <c r="V1490" i="4"/>
  <c r="V1491" i="4"/>
  <c r="V1492" i="4"/>
  <c r="V1493" i="4"/>
  <c r="V1494" i="4"/>
  <c r="V1495" i="4"/>
  <c r="V1496" i="4"/>
  <c r="V1497" i="4"/>
  <c r="V1498" i="4"/>
  <c r="V1499" i="4"/>
  <c r="V1500" i="4"/>
  <c r="V1501" i="4"/>
  <c r="V1502" i="4"/>
  <c r="V1503" i="4"/>
  <c r="V1504" i="4"/>
  <c r="V1505" i="4"/>
  <c r="V1506" i="4"/>
  <c r="V1507" i="4"/>
  <c r="V1508" i="4"/>
  <c r="V1509" i="4"/>
  <c r="V1510" i="4"/>
  <c r="V1511" i="4"/>
  <c r="V1512" i="4"/>
  <c r="V1513" i="4"/>
  <c r="V1514" i="4"/>
  <c r="V1515" i="4"/>
  <c r="V1516" i="4"/>
  <c r="V1517" i="4"/>
  <c r="V1518" i="4"/>
  <c r="V1519" i="4"/>
  <c r="V1520" i="4"/>
  <c r="V1521" i="4"/>
  <c r="V1522" i="4"/>
  <c r="V1523" i="4"/>
  <c r="V1524" i="4"/>
  <c r="V1525" i="4"/>
  <c r="V1526" i="4"/>
  <c r="V1527" i="4"/>
  <c r="V1528" i="4"/>
  <c r="V1529" i="4"/>
  <c r="V1530" i="4"/>
  <c r="V1531" i="4"/>
  <c r="V1532" i="4"/>
  <c r="V1533" i="4"/>
  <c r="V1534" i="4"/>
  <c r="V1535" i="4"/>
  <c r="V1536" i="4"/>
  <c r="V1537" i="4"/>
  <c r="V1538" i="4"/>
  <c r="V1539" i="4"/>
  <c r="V1540" i="4"/>
  <c r="V1541" i="4"/>
  <c r="V1542" i="4"/>
  <c r="V1543" i="4"/>
  <c r="V1544" i="4"/>
  <c r="V1545" i="4"/>
  <c r="V1546" i="4"/>
  <c r="V1547" i="4"/>
  <c r="V1548" i="4"/>
  <c r="V1549" i="4"/>
  <c r="V1550" i="4"/>
  <c r="V1551" i="4"/>
  <c r="V1552" i="4"/>
  <c r="V1553" i="4"/>
  <c r="V1554" i="4"/>
  <c r="V1555" i="4"/>
  <c r="V1556" i="4"/>
  <c r="V1557" i="4"/>
  <c r="V1558" i="4"/>
  <c r="V1559" i="4"/>
  <c r="V1560" i="4"/>
  <c r="V1561" i="4"/>
  <c r="V1562" i="4"/>
  <c r="V1563" i="4"/>
  <c r="V1564" i="4"/>
  <c r="V1565" i="4"/>
  <c r="V1566" i="4"/>
  <c r="V1567" i="4"/>
  <c r="V1568" i="4"/>
  <c r="V1569" i="4"/>
  <c r="V1570" i="4"/>
  <c r="V1571" i="4"/>
  <c r="V1572" i="4"/>
  <c r="V1573" i="4"/>
  <c r="V1574" i="4"/>
  <c r="V1575" i="4"/>
  <c r="V1576" i="4"/>
  <c r="V1577" i="4"/>
  <c r="V1578" i="4"/>
  <c r="V1579" i="4"/>
  <c r="V1580" i="4"/>
  <c r="V1581" i="4"/>
  <c r="V1582" i="4"/>
  <c r="V1583" i="4"/>
  <c r="V1584" i="4"/>
  <c r="V1585" i="4"/>
  <c r="V1586" i="4"/>
  <c r="V1587" i="4"/>
  <c r="V1588" i="4"/>
  <c r="V1589" i="4"/>
  <c r="V1590" i="4"/>
  <c r="V1591" i="4"/>
  <c r="V1592" i="4"/>
  <c r="V1593" i="4"/>
  <c r="V1594" i="4"/>
  <c r="V1595" i="4"/>
  <c r="V1596" i="4"/>
  <c r="V1597" i="4"/>
  <c r="V1598" i="4"/>
  <c r="V1599" i="4"/>
  <c r="V1600" i="4"/>
  <c r="V1601" i="4"/>
  <c r="V1602" i="4"/>
  <c r="V1603" i="4"/>
  <c r="V1604" i="4"/>
  <c r="V1605" i="4"/>
  <c r="V1606" i="4"/>
  <c r="V1607" i="4"/>
  <c r="V1608" i="4"/>
  <c r="V1609" i="4"/>
  <c r="V1610" i="4"/>
  <c r="V1611" i="4"/>
  <c r="V1612" i="4"/>
  <c r="V1613" i="4"/>
  <c r="V1614" i="4"/>
  <c r="V1615" i="4"/>
  <c r="V1616" i="4"/>
  <c r="V1617" i="4"/>
  <c r="V1618" i="4"/>
  <c r="V1619" i="4"/>
  <c r="V1620" i="4"/>
  <c r="V1621" i="4"/>
  <c r="V1622" i="4"/>
  <c r="V1623" i="4"/>
  <c r="V1624" i="4"/>
  <c r="V1625" i="4"/>
  <c r="V1626" i="4"/>
  <c r="V1627" i="4"/>
  <c r="V1628" i="4"/>
  <c r="V1629" i="4"/>
  <c r="V1630" i="4"/>
  <c r="V1631" i="4"/>
  <c r="V1632" i="4"/>
  <c r="V1633" i="4"/>
  <c r="V1634" i="4"/>
  <c r="V1635" i="4"/>
  <c r="V1636" i="4"/>
  <c r="V1637" i="4"/>
  <c r="V1638" i="4"/>
  <c r="V1639" i="4"/>
  <c r="V1640" i="4"/>
  <c r="V1641" i="4"/>
  <c r="V1642" i="4"/>
  <c r="V1643" i="4"/>
  <c r="V1644" i="4"/>
  <c r="V1645" i="4"/>
  <c r="V1646" i="4"/>
  <c r="V1647" i="4"/>
  <c r="V1648" i="4"/>
  <c r="V1649" i="4"/>
  <c r="V1650" i="4"/>
  <c r="V1651" i="4"/>
  <c r="V1652" i="4"/>
  <c r="V1653" i="4"/>
  <c r="V1654" i="4"/>
  <c r="V1655" i="4"/>
  <c r="V1656" i="4"/>
  <c r="V1657" i="4"/>
  <c r="V1658" i="4"/>
  <c r="V1659" i="4"/>
  <c r="V1660" i="4"/>
  <c r="V1661" i="4"/>
  <c r="V1662" i="4"/>
  <c r="V1663" i="4"/>
  <c r="V1664" i="4"/>
  <c r="V1665" i="4"/>
  <c r="V1666" i="4"/>
  <c r="V1667" i="4"/>
  <c r="V1668" i="4"/>
  <c r="V1669" i="4"/>
  <c r="V1670" i="4"/>
  <c r="V1671" i="4"/>
  <c r="V1672" i="4"/>
  <c r="V1673" i="4"/>
  <c r="V1674" i="4"/>
  <c r="V1675" i="4"/>
  <c r="V1676" i="4"/>
  <c r="V1677" i="4"/>
  <c r="V1678" i="4"/>
  <c r="V1679" i="4"/>
  <c r="V1680" i="4"/>
  <c r="V1681" i="4"/>
  <c r="V1682" i="4"/>
  <c r="V1683" i="4"/>
  <c r="V1684" i="4"/>
  <c r="V1685" i="4"/>
  <c r="V1686" i="4"/>
  <c r="V1687" i="4"/>
  <c r="V1688" i="4"/>
  <c r="V1689" i="4"/>
  <c r="V1690" i="4"/>
  <c r="V1691" i="4"/>
  <c r="V1692" i="4"/>
  <c r="V1693" i="4"/>
  <c r="V1694" i="4"/>
  <c r="V1695" i="4"/>
  <c r="V1696" i="4"/>
  <c r="V1697" i="4"/>
  <c r="V1698" i="4"/>
  <c r="V1699" i="4"/>
  <c r="V1700" i="4"/>
  <c r="V1701" i="4"/>
  <c r="V1702" i="4"/>
  <c r="V1703" i="4"/>
  <c r="V1704" i="4"/>
  <c r="V1705" i="4"/>
  <c r="V1706" i="4"/>
  <c r="V1707" i="4"/>
  <c r="V1708" i="4"/>
  <c r="V1709" i="4"/>
  <c r="V1710" i="4"/>
  <c r="V1711" i="4"/>
  <c r="V1712" i="4"/>
  <c r="V1713" i="4"/>
  <c r="V1714" i="4"/>
  <c r="V1715" i="4"/>
  <c r="V1716" i="4"/>
  <c r="V1717" i="4"/>
  <c r="V1718" i="4"/>
  <c r="V1719" i="4"/>
  <c r="V1720" i="4"/>
  <c r="V1721" i="4"/>
  <c r="V1722" i="4"/>
  <c r="V1723" i="4"/>
  <c r="V1724" i="4"/>
  <c r="V1725" i="4"/>
  <c r="V1726" i="4"/>
  <c r="V1727" i="4"/>
  <c r="V1728" i="4"/>
  <c r="V1729" i="4"/>
  <c r="V1730" i="4"/>
  <c r="V1731" i="4"/>
  <c r="V1732" i="4"/>
  <c r="V1733" i="4"/>
  <c r="V1734" i="4"/>
  <c r="V1735" i="4"/>
  <c r="V1736" i="4"/>
  <c r="V1737" i="4"/>
  <c r="V1738" i="4"/>
  <c r="V1739" i="4"/>
  <c r="V1740" i="4"/>
  <c r="V1741" i="4"/>
  <c r="V1742" i="4"/>
  <c r="V1743" i="4"/>
  <c r="V1744" i="4"/>
  <c r="V1745" i="4"/>
  <c r="V1746" i="4"/>
  <c r="V1747" i="4"/>
  <c r="V1748" i="4"/>
  <c r="V1749" i="4"/>
  <c r="V1750" i="4"/>
  <c r="V1751" i="4"/>
  <c r="V1752" i="4"/>
  <c r="V1753" i="4"/>
  <c r="V1754" i="4"/>
  <c r="V1755" i="4"/>
  <c r="V1756" i="4"/>
  <c r="V1757" i="4"/>
  <c r="V1758" i="4"/>
  <c r="V1759" i="4"/>
  <c r="V1760" i="4"/>
  <c r="V1761" i="4"/>
  <c r="V1762" i="4"/>
  <c r="V1763" i="4"/>
  <c r="V1764" i="4"/>
  <c r="V1765" i="4"/>
  <c r="V1766" i="4"/>
  <c r="V1767" i="4"/>
  <c r="V1768" i="4"/>
  <c r="V1769" i="4"/>
  <c r="V1770" i="4"/>
  <c r="V1771" i="4"/>
  <c r="V1772" i="4"/>
  <c r="V1773" i="4"/>
  <c r="V1774" i="4"/>
  <c r="V1775" i="4"/>
  <c r="V1776" i="4"/>
  <c r="V1777" i="4"/>
  <c r="V1778" i="4"/>
  <c r="V1779" i="4"/>
  <c r="V1780" i="4"/>
  <c r="V1781" i="4"/>
  <c r="V1782" i="4"/>
  <c r="V1783" i="4"/>
  <c r="V1784" i="4"/>
  <c r="V1785" i="4"/>
  <c r="V1786" i="4"/>
  <c r="V1787" i="4"/>
  <c r="V1788" i="4"/>
  <c r="V1789" i="4"/>
  <c r="V1790" i="4"/>
  <c r="V1791" i="4"/>
  <c r="V1792" i="4"/>
  <c r="V1793" i="4"/>
  <c r="V1794" i="4"/>
  <c r="V1795" i="4"/>
  <c r="V1796" i="4"/>
  <c r="V1797" i="4"/>
  <c r="V1798" i="4"/>
  <c r="V1799" i="4"/>
  <c r="V1800" i="4"/>
  <c r="V1801" i="4"/>
  <c r="V1802" i="4"/>
  <c r="V1803" i="4"/>
  <c r="V1804" i="4"/>
  <c r="V1805" i="4"/>
  <c r="V1806" i="4"/>
  <c r="V1807" i="4"/>
  <c r="V1808" i="4"/>
  <c r="V1809" i="4"/>
  <c r="V1810" i="4"/>
  <c r="V1811" i="4"/>
  <c r="V1812" i="4"/>
  <c r="V1813" i="4"/>
  <c r="V1814" i="4"/>
  <c r="V1815" i="4"/>
  <c r="V1816" i="4"/>
  <c r="V1817" i="4"/>
  <c r="V1818" i="4"/>
  <c r="V1819" i="4"/>
  <c r="V1820" i="4"/>
  <c r="V1821" i="4"/>
  <c r="V1822" i="4"/>
  <c r="V1823" i="4"/>
  <c r="V1824" i="4"/>
  <c r="V1825" i="4"/>
  <c r="V1826" i="4"/>
  <c r="V1827" i="4"/>
  <c r="V1828" i="4"/>
  <c r="V1829" i="4"/>
  <c r="V1830" i="4"/>
  <c r="V1831" i="4"/>
  <c r="V1832" i="4"/>
  <c r="V1833" i="4"/>
  <c r="V1834" i="4"/>
  <c r="V1835" i="4"/>
  <c r="V1836" i="4"/>
  <c r="V1837" i="4"/>
  <c r="V1838" i="4"/>
  <c r="V1839" i="4"/>
  <c r="V1840" i="4"/>
  <c r="V1841" i="4"/>
  <c r="V1842" i="4"/>
  <c r="V1843" i="4"/>
  <c r="V1844" i="4"/>
  <c r="V1845" i="4"/>
  <c r="V1846" i="4"/>
  <c r="V1847" i="4"/>
  <c r="V1848" i="4"/>
  <c r="V1849" i="4"/>
  <c r="V1850" i="4"/>
  <c r="V1851" i="4"/>
  <c r="V1852" i="4"/>
  <c r="V1853" i="4"/>
  <c r="V1854" i="4"/>
  <c r="V1855" i="4"/>
  <c r="V1856" i="4"/>
  <c r="V1857" i="4"/>
  <c r="V1858" i="4"/>
  <c r="V1859" i="4"/>
  <c r="V1860" i="4"/>
  <c r="V1861" i="4"/>
  <c r="V1862" i="4"/>
  <c r="V1863" i="4"/>
  <c r="V1864" i="4"/>
  <c r="V1865" i="4"/>
  <c r="V1866" i="4"/>
  <c r="V1867" i="4"/>
  <c r="V1868" i="4"/>
  <c r="V1869" i="4"/>
  <c r="V1870" i="4"/>
  <c r="V1871" i="4"/>
  <c r="V1872" i="4"/>
  <c r="V1873" i="4"/>
  <c r="V1874" i="4"/>
  <c r="V1875" i="4"/>
  <c r="V1876" i="4"/>
  <c r="V1877" i="4"/>
  <c r="V1878" i="4"/>
  <c r="V1879" i="4"/>
  <c r="V1880" i="4"/>
  <c r="V1881" i="4"/>
  <c r="V1882" i="4"/>
  <c r="V1883" i="4"/>
  <c r="V1884" i="4"/>
  <c r="V1885" i="4"/>
  <c r="V1886" i="4"/>
  <c r="V1887" i="4"/>
  <c r="V1888" i="4"/>
  <c r="V1889" i="4"/>
  <c r="V1890" i="4"/>
  <c r="V1891" i="4"/>
  <c r="V1892" i="4"/>
  <c r="V1893" i="4"/>
  <c r="V1894" i="4"/>
  <c r="V1895" i="4"/>
  <c r="V1896" i="4"/>
  <c r="V1897" i="4"/>
  <c r="V1898" i="4"/>
  <c r="V1899" i="4"/>
  <c r="V1900" i="4"/>
  <c r="V1901" i="4"/>
  <c r="V1902" i="4"/>
  <c r="V1903" i="4"/>
  <c r="V1904" i="4"/>
  <c r="V1905" i="4"/>
  <c r="V1906" i="4"/>
  <c r="V1907" i="4"/>
  <c r="V1908" i="4"/>
  <c r="V1909" i="4"/>
  <c r="V1910" i="4"/>
  <c r="V1911" i="4"/>
  <c r="V1912" i="4"/>
  <c r="V1913" i="4"/>
  <c r="V1914" i="4"/>
  <c r="V1915" i="4"/>
  <c r="V1916" i="4"/>
  <c r="V1917" i="4"/>
  <c r="V1918" i="4"/>
  <c r="V1919" i="4"/>
  <c r="V1920" i="4"/>
  <c r="V1921" i="4"/>
  <c r="V1922" i="4"/>
  <c r="V1923" i="4"/>
  <c r="V1924" i="4"/>
  <c r="V1925" i="4"/>
  <c r="V1926" i="4"/>
  <c r="V1927" i="4"/>
  <c r="V1928" i="4"/>
  <c r="V1929" i="4"/>
  <c r="V1930" i="4"/>
  <c r="V1931" i="4"/>
  <c r="V1932" i="4"/>
  <c r="V1933" i="4"/>
  <c r="V1934" i="4"/>
  <c r="V1935" i="4"/>
  <c r="V1936" i="4"/>
  <c r="V1937" i="4"/>
  <c r="V1938" i="4"/>
  <c r="V1939" i="4"/>
  <c r="V1940" i="4"/>
  <c r="V1941" i="4"/>
  <c r="V1942" i="4"/>
  <c r="V1943" i="4"/>
  <c r="V1944" i="4"/>
  <c r="V1945" i="4"/>
  <c r="V1946" i="4"/>
  <c r="V1947" i="4"/>
  <c r="V1948" i="4"/>
  <c r="V1949" i="4"/>
  <c r="V1950" i="4"/>
  <c r="V1951" i="4"/>
  <c r="V1952" i="4"/>
  <c r="V1953" i="4"/>
  <c r="V1954" i="4"/>
  <c r="V1955" i="4"/>
  <c r="V1956" i="4"/>
  <c r="V1957" i="4"/>
  <c r="V1958" i="4"/>
  <c r="V1959" i="4"/>
  <c r="V1960" i="4"/>
  <c r="V1961" i="4"/>
  <c r="V1962" i="4"/>
  <c r="V1963" i="4"/>
  <c r="V1964" i="4"/>
  <c r="V1965" i="4"/>
  <c r="V1966" i="4"/>
  <c r="V1967" i="4"/>
  <c r="V1968" i="4"/>
  <c r="V1969" i="4"/>
  <c r="V1970" i="4"/>
  <c r="V1971" i="4"/>
  <c r="V1972" i="4"/>
  <c r="V1973" i="4"/>
  <c r="V1974" i="4"/>
  <c r="V1975" i="4"/>
  <c r="V1976" i="4"/>
  <c r="V1977" i="4"/>
  <c r="V1978" i="4"/>
  <c r="V1979" i="4"/>
  <c r="V1980" i="4"/>
  <c r="V1981" i="4"/>
  <c r="V1982" i="4"/>
  <c r="V1983" i="4"/>
  <c r="V1984" i="4"/>
  <c r="V1985" i="4"/>
  <c r="V1986" i="4"/>
  <c r="V1987" i="4"/>
  <c r="V1988" i="4"/>
  <c r="V1989" i="4"/>
  <c r="V1990" i="4"/>
  <c r="V1991" i="4"/>
  <c r="V1992" i="4"/>
  <c r="V1993" i="4"/>
  <c r="V1994" i="4"/>
  <c r="V1995" i="4"/>
  <c r="V1996" i="4"/>
  <c r="V1997" i="4"/>
  <c r="V1998" i="4"/>
  <c r="V1999" i="4"/>
  <c r="V2000" i="4"/>
  <c r="V2001" i="4"/>
  <c r="V2002" i="4"/>
  <c r="V2003" i="4"/>
  <c r="V2004" i="4"/>
  <c r="V2005" i="4"/>
  <c r="V2006" i="4"/>
  <c r="V2007" i="4"/>
  <c r="V2008" i="4"/>
  <c r="V2009" i="4"/>
  <c r="V2010" i="4"/>
  <c r="V2011" i="4"/>
  <c r="V2012" i="4"/>
  <c r="V2013" i="4"/>
  <c r="V2014" i="4"/>
  <c r="V2015" i="4"/>
  <c r="V2016" i="4"/>
  <c r="V2017" i="4"/>
  <c r="V2018" i="4"/>
  <c r="V2019" i="4"/>
  <c r="V2020" i="4"/>
  <c r="V2021" i="4"/>
  <c r="V2022" i="4"/>
  <c r="V2023" i="4"/>
  <c r="V2024" i="4"/>
  <c r="V2025" i="4"/>
  <c r="V2026" i="4"/>
  <c r="V2027" i="4"/>
  <c r="V2028" i="4"/>
  <c r="V2029" i="4"/>
  <c r="V2030" i="4"/>
  <c r="V2031" i="4"/>
  <c r="V2032" i="4"/>
  <c r="V2033" i="4"/>
  <c r="V2034" i="4"/>
  <c r="V2035" i="4"/>
  <c r="V2036" i="4"/>
  <c r="V2037" i="4"/>
  <c r="V2038" i="4"/>
  <c r="V2039" i="4"/>
  <c r="V2040" i="4"/>
  <c r="V2041" i="4"/>
  <c r="V2042" i="4"/>
  <c r="V2043" i="4"/>
  <c r="V2044" i="4"/>
  <c r="V2045" i="4"/>
  <c r="V2046" i="4"/>
  <c r="V2047" i="4"/>
  <c r="V2048" i="4"/>
  <c r="V2049" i="4"/>
  <c r="V2050" i="4"/>
  <c r="V2051" i="4"/>
  <c r="V2052" i="4"/>
  <c r="V2053" i="4"/>
  <c r="V2054" i="4"/>
  <c r="V2055" i="4"/>
  <c r="V2056" i="4"/>
  <c r="V2057" i="4"/>
  <c r="V2058" i="4"/>
  <c r="V2059" i="4"/>
  <c r="V2060" i="4"/>
  <c r="V2061" i="4"/>
  <c r="V2062" i="4"/>
  <c r="V2063" i="4"/>
  <c r="V2064" i="4"/>
  <c r="V2065" i="4"/>
  <c r="V2066" i="4"/>
  <c r="V2067" i="4"/>
  <c r="V2068" i="4"/>
  <c r="V2069" i="4"/>
  <c r="V2070" i="4"/>
  <c r="V2071" i="4"/>
  <c r="V2072" i="4"/>
  <c r="V2073" i="4"/>
  <c r="V2074" i="4"/>
  <c r="V2075" i="4"/>
  <c r="V2076" i="4"/>
  <c r="V2077" i="4"/>
  <c r="V2078" i="4"/>
  <c r="V2079" i="4"/>
  <c r="V2080" i="4"/>
  <c r="V2081" i="4"/>
  <c r="V2082" i="4"/>
  <c r="V2083" i="4"/>
  <c r="V2084" i="4"/>
  <c r="V2085" i="4"/>
  <c r="V2086" i="4"/>
  <c r="V2087" i="4"/>
  <c r="V2088" i="4"/>
  <c r="V2089" i="4"/>
  <c r="V2090" i="4"/>
  <c r="V2091" i="4"/>
  <c r="V2092" i="4"/>
  <c r="V2093" i="4"/>
  <c r="V2094" i="4"/>
  <c r="V2095" i="4"/>
  <c r="V2096" i="4"/>
  <c r="V2097" i="4"/>
  <c r="V2098" i="4"/>
  <c r="V2099" i="4"/>
  <c r="V2100" i="4"/>
  <c r="V2101" i="4"/>
  <c r="V2102" i="4"/>
  <c r="V2103" i="4"/>
  <c r="V2104" i="4"/>
  <c r="V2105" i="4"/>
  <c r="V2106" i="4"/>
  <c r="V2107" i="4"/>
  <c r="V2108" i="4"/>
  <c r="V2109" i="4"/>
  <c r="V2110" i="4"/>
  <c r="V2111" i="4"/>
  <c r="V2112" i="4"/>
  <c r="V2113" i="4"/>
  <c r="V2114" i="4"/>
  <c r="V2115" i="4"/>
  <c r="V2116" i="4"/>
  <c r="V2117" i="4"/>
  <c r="V2118" i="4"/>
  <c r="V2119" i="4"/>
  <c r="V2120" i="4"/>
  <c r="V2121" i="4"/>
  <c r="V2122" i="4"/>
  <c r="V2123" i="4"/>
  <c r="V2124" i="4"/>
  <c r="V2125" i="4"/>
  <c r="V2126" i="4"/>
  <c r="V2127" i="4"/>
  <c r="V2128" i="4"/>
  <c r="V2129" i="4"/>
  <c r="V2130" i="4"/>
  <c r="V2131" i="4"/>
  <c r="V2132" i="4"/>
  <c r="V2133" i="4"/>
  <c r="V2134" i="4"/>
  <c r="V2135" i="4"/>
  <c r="V2136" i="4"/>
  <c r="V2137" i="4"/>
  <c r="V2138" i="4"/>
  <c r="V2139" i="4"/>
  <c r="V2140" i="4"/>
  <c r="V2141" i="4"/>
  <c r="V2142" i="4"/>
  <c r="V2143" i="4"/>
  <c r="V2144" i="4"/>
  <c r="V2145" i="4"/>
  <c r="V2146" i="4"/>
  <c r="V2147" i="4"/>
  <c r="V2148" i="4"/>
  <c r="V2149" i="4"/>
  <c r="V2150" i="4"/>
  <c r="V2151" i="4"/>
  <c r="V2152" i="4"/>
  <c r="V2153" i="4"/>
  <c r="V2154" i="4"/>
  <c r="V2155" i="4"/>
  <c r="V2156" i="4"/>
  <c r="V2157" i="4"/>
  <c r="V2158" i="4"/>
  <c r="V2159" i="4"/>
  <c r="V2160" i="4"/>
  <c r="V2161" i="4"/>
  <c r="V2162" i="4"/>
  <c r="V2163" i="4"/>
  <c r="V2164" i="4"/>
  <c r="V2165" i="4"/>
  <c r="V2166" i="4"/>
  <c r="V2167" i="4"/>
  <c r="V2168" i="4"/>
  <c r="V2169" i="4"/>
  <c r="V2170" i="4"/>
  <c r="V2171" i="4"/>
  <c r="V2172" i="4"/>
  <c r="V2173" i="4"/>
  <c r="V2174" i="4"/>
  <c r="V2175" i="4"/>
  <c r="V2176" i="4"/>
  <c r="V2177" i="4"/>
  <c r="V2178" i="4"/>
  <c r="V2179" i="4"/>
  <c r="V2180" i="4"/>
  <c r="V2181" i="4"/>
  <c r="V2182" i="4"/>
  <c r="V2183" i="4"/>
  <c r="V2184" i="4"/>
  <c r="V2185" i="4"/>
  <c r="V2186" i="4"/>
  <c r="V2187" i="4"/>
  <c r="V2188" i="4"/>
  <c r="V2189" i="4"/>
  <c r="V2190" i="4"/>
  <c r="V2191" i="4"/>
  <c r="V2192" i="4"/>
  <c r="V2193" i="4"/>
  <c r="V2194" i="4"/>
  <c r="V2195" i="4"/>
  <c r="V2196" i="4"/>
  <c r="V2197" i="4"/>
  <c r="V2198" i="4"/>
  <c r="V2199" i="4"/>
  <c r="V2200" i="4"/>
  <c r="V2201" i="4"/>
  <c r="V2202" i="4"/>
  <c r="V2203" i="4"/>
  <c r="V2204" i="4"/>
  <c r="V2205" i="4"/>
  <c r="V2206" i="4"/>
  <c r="V2207" i="4"/>
  <c r="V2208" i="4"/>
  <c r="V2209" i="4"/>
  <c r="V2210" i="4"/>
  <c r="V2211" i="4"/>
  <c r="V2212" i="4"/>
  <c r="V2213" i="4"/>
  <c r="V2214" i="4"/>
  <c r="V2215" i="4"/>
  <c r="V2216" i="4"/>
  <c r="V2217" i="4"/>
  <c r="V2218" i="4"/>
  <c r="V2219" i="4"/>
  <c r="V2220" i="4"/>
  <c r="V2221" i="4"/>
  <c r="V2222" i="4"/>
  <c r="V2223" i="4"/>
  <c r="V2224" i="4"/>
  <c r="V2225" i="4"/>
  <c r="V2226" i="4"/>
  <c r="V2227" i="4"/>
  <c r="V2228" i="4"/>
  <c r="V2229" i="4"/>
  <c r="V2230" i="4"/>
  <c r="V2231" i="4"/>
  <c r="V2232" i="4"/>
  <c r="V2233" i="4"/>
  <c r="V2234" i="4"/>
  <c r="V2235" i="4"/>
  <c r="V2236" i="4"/>
  <c r="V2237" i="4"/>
  <c r="V2238" i="4"/>
  <c r="V2239" i="4"/>
  <c r="V2240" i="4"/>
  <c r="V2241" i="4"/>
  <c r="V2242" i="4"/>
  <c r="V2243" i="4"/>
  <c r="V2244" i="4"/>
  <c r="V2245" i="4"/>
  <c r="V2246" i="4"/>
  <c r="V2247" i="4"/>
  <c r="V2248" i="4"/>
  <c r="V2249" i="4"/>
  <c r="V2250" i="4"/>
  <c r="V2251" i="4"/>
  <c r="V2252" i="4"/>
  <c r="V2253" i="4"/>
  <c r="V2254" i="4"/>
  <c r="V2255" i="4"/>
  <c r="V2256" i="4"/>
  <c r="V2257" i="4"/>
  <c r="V2258" i="4"/>
  <c r="V2259" i="4"/>
  <c r="V2260" i="4"/>
  <c r="V2261" i="4"/>
  <c r="V2262" i="4"/>
  <c r="V2263" i="4"/>
  <c r="V2264" i="4"/>
  <c r="V2265" i="4"/>
  <c r="V2266" i="4"/>
  <c r="V2267" i="4"/>
  <c r="V2268" i="4"/>
  <c r="V2269" i="4"/>
  <c r="V2270" i="4"/>
  <c r="V2271" i="4"/>
  <c r="V2272" i="4"/>
  <c r="V2273" i="4"/>
  <c r="V2274" i="4"/>
  <c r="V2275" i="4"/>
  <c r="V2276" i="4"/>
  <c r="V2277" i="4"/>
  <c r="V2278" i="4"/>
  <c r="V2279" i="4"/>
  <c r="V2280" i="4"/>
  <c r="V2281" i="4"/>
  <c r="V2282" i="4"/>
  <c r="V2283" i="4"/>
  <c r="V2284" i="4"/>
  <c r="V2285" i="4"/>
  <c r="V2286" i="4"/>
  <c r="V2287" i="4"/>
  <c r="V2288" i="4"/>
  <c r="V2289" i="4"/>
  <c r="V2290" i="4"/>
  <c r="V2291" i="4"/>
  <c r="V2292" i="4"/>
  <c r="V2293" i="4"/>
  <c r="V2294" i="4"/>
  <c r="V2295" i="4"/>
  <c r="V2296" i="4"/>
  <c r="V2297" i="4"/>
  <c r="V2298" i="4"/>
  <c r="V2299" i="4"/>
  <c r="V2300" i="4"/>
  <c r="V2301" i="4"/>
  <c r="V2302" i="4"/>
  <c r="V2303" i="4"/>
  <c r="V2304" i="4"/>
  <c r="V2305" i="4"/>
  <c r="V2306" i="4"/>
  <c r="V2307" i="4"/>
  <c r="V2308" i="4"/>
  <c r="V2309" i="4"/>
  <c r="V2310" i="4"/>
  <c r="V2311" i="4"/>
  <c r="V2312" i="4"/>
  <c r="V2313" i="4"/>
  <c r="V2314" i="4"/>
  <c r="V2315" i="4"/>
  <c r="V2316" i="4"/>
  <c r="V2317" i="4"/>
  <c r="V2318" i="4"/>
  <c r="V2319" i="4"/>
  <c r="V2320" i="4"/>
  <c r="V2321" i="4"/>
  <c r="V2322" i="4"/>
  <c r="V2323" i="4"/>
  <c r="V2324" i="4"/>
  <c r="V2325" i="4"/>
  <c r="V2326" i="4"/>
  <c r="V2327" i="4"/>
  <c r="V2328" i="4"/>
  <c r="V2329" i="4"/>
  <c r="V2330" i="4"/>
  <c r="V2331" i="4"/>
  <c r="V2332" i="4"/>
  <c r="V2333" i="4"/>
  <c r="V2334" i="4"/>
  <c r="V2335" i="4"/>
  <c r="V2336" i="4"/>
  <c r="V2337" i="4"/>
  <c r="V2338" i="4"/>
  <c r="V2339" i="4"/>
  <c r="V2340" i="4"/>
  <c r="V2341" i="4"/>
  <c r="V2342" i="4"/>
  <c r="V2343" i="4"/>
  <c r="V2344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U1001" i="4" s="1"/>
  <c r="P1002" i="4"/>
  <c r="P1003" i="4"/>
  <c r="P1004" i="4"/>
  <c r="P1005" i="4"/>
  <c r="P1006" i="4"/>
  <c r="P1007" i="4"/>
  <c r="P1008" i="4"/>
  <c r="P1009" i="4"/>
  <c r="U1009" i="4" s="1"/>
  <c r="P1010" i="4"/>
  <c r="P1011" i="4"/>
  <c r="P1012" i="4"/>
  <c r="P1013" i="4"/>
  <c r="P1014" i="4"/>
  <c r="P1015" i="4"/>
  <c r="P1016" i="4"/>
  <c r="P1017" i="4"/>
  <c r="U1017" i="4" s="1"/>
  <c r="P1018" i="4"/>
  <c r="P1019" i="4"/>
  <c r="P1020" i="4"/>
  <c r="P1021" i="4"/>
  <c r="P1022" i="4"/>
  <c r="P1023" i="4"/>
  <c r="P1024" i="4"/>
  <c r="P1025" i="4"/>
  <c r="U1025" i="4" s="1"/>
  <c r="P1026" i="4"/>
  <c r="P1027" i="4"/>
  <c r="P1028" i="4"/>
  <c r="P1029" i="4"/>
  <c r="P1030" i="4"/>
  <c r="P1031" i="4"/>
  <c r="P1032" i="4"/>
  <c r="P1033" i="4"/>
  <c r="U1033" i="4" s="1"/>
  <c r="P1034" i="4"/>
  <c r="P1035" i="4"/>
  <c r="P1036" i="4"/>
  <c r="P1037" i="4"/>
  <c r="P1038" i="4"/>
  <c r="P1039" i="4"/>
  <c r="P1040" i="4"/>
  <c r="P1041" i="4"/>
  <c r="U1041" i="4" s="1"/>
  <c r="P1042" i="4"/>
  <c r="P1043" i="4"/>
  <c r="P1044" i="4"/>
  <c r="U1044" i="4" s="1"/>
  <c r="P1045" i="4"/>
  <c r="P1046" i="4"/>
  <c r="P1047" i="4"/>
  <c r="P1048" i="4"/>
  <c r="U1048" i="4" s="1"/>
  <c r="P1049" i="4"/>
  <c r="U1049" i="4" s="1"/>
  <c r="P1050" i="4"/>
  <c r="P1051" i="4"/>
  <c r="P1052" i="4"/>
  <c r="U1052" i="4" s="1"/>
  <c r="P1053" i="4"/>
  <c r="P1054" i="4"/>
  <c r="P1055" i="4"/>
  <c r="P1056" i="4"/>
  <c r="U1056" i="4" s="1"/>
  <c r="P1057" i="4"/>
  <c r="U1057" i="4" s="1"/>
  <c r="P1058" i="4"/>
  <c r="P1059" i="4"/>
  <c r="U1059" i="4" s="1"/>
  <c r="P1060" i="4"/>
  <c r="U1060" i="4" s="1"/>
  <c r="P1061" i="4"/>
  <c r="P1062" i="4"/>
  <c r="P1063" i="4"/>
  <c r="P1064" i="4"/>
  <c r="U1064" i="4" s="1"/>
  <c r="P1065" i="4"/>
  <c r="U1065" i="4" s="1"/>
  <c r="P1066" i="4"/>
  <c r="P1067" i="4"/>
  <c r="P1068" i="4"/>
  <c r="U1068" i="4" s="1"/>
  <c r="P1069" i="4"/>
  <c r="P1070" i="4"/>
  <c r="P1071" i="4"/>
  <c r="P1072" i="4"/>
  <c r="P1073" i="4"/>
  <c r="U1073" i="4" s="1"/>
  <c r="P1074" i="4"/>
  <c r="P1075" i="4"/>
  <c r="P1076" i="4"/>
  <c r="U1076" i="4" s="1"/>
  <c r="P1077" i="4"/>
  <c r="P1078" i="4"/>
  <c r="P1079" i="4"/>
  <c r="P1080" i="4"/>
  <c r="P1081" i="4"/>
  <c r="U1081" i="4" s="1"/>
  <c r="P1082" i="4"/>
  <c r="P1083" i="4"/>
  <c r="U1083" i="4" s="1"/>
  <c r="P1084" i="4"/>
  <c r="U1084" i="4" s="1"/>
  <c r="P1085" i="4"/>
  <c r="P1086" i="4"/>
  <c r="P1087" i="4"/>
  <c r="P1088" i="4"/>
  <c r="U1088" i="4" s="1"/>
  <c r="P1089" i="4"/>
  <c r="U1089" i="4" s="1"/>
  <c r="P1090" i="4"/>
  <c r="P1091" i="4"/>
  <c r="P1092" i="4"/>
  <c r="U1092" i="4" s="1"/>
  <c r="P1093" i="4"/>
  <c r="P1094" i="4"/>
  <c r="P1095" i="4"/>
  <c r="P1096" i="4"/>
  <c r="U1096" i="4" s="1"/>
  <c r="P1097" i="4"/>
  <c r="U1097" i="4" s="1"/>
  <c r="P1098" i="4"/>
  <c r="P1099" i="4"/>
  <c r="U1099" i="4" s="1"/>
  <c r="P1100" i="4"/>
  <c r="U1100" i="4" s="1"/>
  <c r="P1101" i="4"/>
  <c r="P1102" i="4"/>
  <c r="P1103" i="4"/>
  <c r="P1104" i="4"/>
  <c r="U1104" i="4" s="1"/>
  <c r="P1105" i="4"/>
  <c r="P1106" i="4"/>
  <c r="P1107" i="4"/>
  <c r="P1108" i="4"/>
  <c r="U1108" i="4" s="1"/>
  <c r="P1109" i="4"/>
  <c r="P1110" i="4"/>
  <c r="P1111" i="4"/>
  <c r="P1112" i="4"/>
  <c r="U1112" i="4" s="1"/>
  <c r="P1113" i="4"/>
  <c r="U1113" i="4" s="1"/>
  <c r="P1114" i="4"/>
  <c r="P1115" i="4"/>
  <c r="P1116" i="4"/>
  <c r="U1116" i="4" s="1"/>
  <c r="P1117" i="4"/>
  <c r="P1118" i="4"/>
  <c r="P1119" i="4"/>
  <c r="P1120" i="4"/>
  <c r="P1121" i="4"/>
  <c r="U1121" i="4" s="1"/>
  <c r="P1122" i="4"/>
  <c r="P1123" i="4"/>
  <c r="P1124" i="4"/>
  <c r="U1124" i="4" s="1"/>
  <c r="P1125" i="4"/>
  <c r="P1126" i="4"/>
  <c r="P1127" i="4"/>
  <c r="P1128" i="4"/>
  <c r="P1129" i="4"/>
  <c r="U1129" i="4" s="1"/>
  <c r="P1130" i="4"/>
  <c r="P1131" i="4"/>
  <c r="P1132" i="4"/>
  <c r="U1132" i="4" s="1"/>
  <c r="P1133" i="4"/>
  <c r="P1134" i="4"/>
  <c r="P1135" i="4"/>
  <c r="P1136" i="4"/>
  <c r="U1136" i="4" s="1"/>
  <c r="P1137" i="4"/>
  <c r="P1138" i="4"/>
  <c r="P1139" i="4"/>
  <c r="U1139" i="4" s="1"/>
  <c r="P1140" i="4"/>
  <c r="U1140" i="4" s="1"/>
  <c r="P1141" i="4"/>
  <c r="P1142" i="4"/>
  <c r="P1143" i="4"/>
  <c r="P1144" i="4"/>
  <c r="U1144" i="4" s="1"/>
  <c r="P1145" i="4"/>
  <c r="P1146" i="4"/>
  <c r="P1147" i="4"/>
  <c r="P1148" i="4"/>
  <c r="U1148" i="4" s="1"/>
  <c r="P1149" i="4"/>
  <c r="P1150" i="4"/>
  <c r="P1151" i="4"/>
  <c r="P1152" i="4"/>
  <c r="U1152" i="4" s="1"/>
  <c r="P1153" i="4"/>
  <c r="U1153" i="4" s="1"/>
  <c r="P1154" i="4"/>
  <c r="P1155" i="4"/>
  <c r="P1156" i="4"/>
  <c r="U1156" i="4" s="1"/>
  <c r="P1157" i="4"/>
  <c r="P1158" i="4"/>
  <c r="P1159" i="4"/>
  <c r="P1160" i="4"/>
  <c r="P1161" i="4"/>
  <c r="U1161" i="4" s="1"/>
  <c r="P1162" i="4"/>
  <c r="P1163" i="4"/>
  <c r="P1164" i="4"/>
  <c r="U1164" i="4" s="1"/>
  <c r="P1165" i="4"/>
  <c r="P1166" i="4"/>
  <c r="P1167" i="4"/>
  <c r="P1168" i="4"/>
  <c r="P1169" i="4"/>
  <c r="U1169" i="4" s="1"/>
  <c r="P1170" i="4"/>
  <c r="P1171" i="4"/>
  <c r="P1172" i="4"/>
  <c r="U1172" i="4" s="1"/>
  <c r="P1173" i="4"/>
  <c r="P1174" i="4"/>
  <c r="P1175" i="4"/>
  <c r="P1176" i="4"/>
  <c r="U1176" i="4" s="1"/>
  <c r="P1177" i="4"/>
  <c r="U1177" i="4" s="1"/>
  <c r="P1178" i="4"/>
  <c r="P1179" i="4"/>
  <c r="U1179" i="4" s="1"/>
  <c r="P1180" i="4"/>
  <c r="U1180" i="4" s="1"/>
  <c r="P1181" i="4"/>
  <c r="P1182" i="4"/>
  <c r="P1183" i="4"/>
  <c r="P1184" i="4"/>
  <c r="U1184" i="4" s="1"/>
  <c r="P1185" i="4"/>
  <c r="U1185" i="4" s="1"/>
  <c r="P1186" i="4"/>
  <c r="P1187" i="4"/>
  <c r="P1188" i="4"/>
  <c r="U1188" i="4" s="1"/>
  <c r="P1189" i="4"/>
  <c r="P1190" i="4"/>
  <c r="P1191" i="4"/>
  <c r="P1192" i="4"/>
  <c r="P1193" i="4"/>
  <c r="U1193" i="4" s="1"/>
  <c r="P1194" i="4"/>
  <c r="P1195" i="4"/>
  <c r="U1195" i="4" s="1"/>
  <c r="P1196" i="4"/>
  <c r="U1196" i="4" s="1"/>
  <c r="P1197" i="4"/>
  <c r="P1198" i="4"/>
  <c r="P1199" i="4"/>
  <c r="P1200" i="4"/>
  <c r="U1200" i="4" s="1"/>
  <c r="P1201" i="4"/>
  <c r="U1201" i="4" s="1"/>
  <c r="P1202" i="4"/>
  <c r="P1203" i="4"/>
  <c r="P1204" i="4"/>
  <c r="U1204" i="4" s="1"/>
  <c r="P1205" i="4"/>
  <c r="P1206" i="4"/>
  <c r="P1207" i="4"/>
  <c r="P1208" i="4"/>
  <c r="P1209" i="4"/>
  <c r="U1209" i="4" s="1"/>
  <c r="P1210" i="4"/>
  <c r="P1211" i="4"/>
  <c r="P1212" i="4"/>
  <c r="U1212" i="4" s="1"/>
  <c r="P1213" i="4"/>
  <c r="P1214" i="4"/>
  <c r="P1215" i="4"/>
  <c r="P1216" i="4"/>
  <c r="U1216" i="4" s="1"/>
  <c r="P1217" i="4"/>
  <c r="U1217" i="4" s="1"/>
  <c r="P1218" i="4"/>
  <c r="P1219" i="4"/>
  <c r="U1219" i="4" s="1"/>
  <c r="P1220" i="4"/>
  <c r="U1220" i="4" s="1"/>
  <c r="P1221" i="4"/>
  <c r="P1222" i="4"/>
  <c r="P1223" i="4"/>
  <c r="P1224" i="4"/>
  <c r="U1224" i="4" s="1"/>
  <c r="P1225" i="4"/>
  <c r="U1225" i="4" s="1"/>
  <c r="P1226" i="4"/>
  <c r="P1227" i="4"/>
  <c r="P1228" i="4"/>
  <c r="U1228" i="4" s="1"/>
  <c r="P1229" i="4"/>
  <c r="P1230" i="4"/>
  <c r="P1231" i="4"/>
  <c r="P1232" i="4"/>
  <c r="P1233" i="4"/>
  <c r="P1234" i="4"/>
  <c r="P1235" i="4"/>
  <c r="P1236" i="4"/>
  <c r="U1236" i="4" s="1"/>
  <c r="P1237" i="4"/>
  <c r="P1238" i="4"/>
  <c r="P1239" i="4"/>
  <c r="P1240" i="4"/>
  <c r="P1241" i="4"/>
  <c r="U1241" i="4" s="1"/>
  <c r="P1242" i="4"/>
  <c r="P1243" i="4"/>
  <c r="P1244" i="4"/>
  <c r="U1244" i="4" s="1"/>
  <c r="P1245" i="4"/>
  <c r="P1246" i="4"/>
  <c r="P1247" i="4"/>
  <c r="P1248" i="4"/>
  <c r="P1249" i="4"/>
  <c r="U1249" i="4" s="1"/>
  <c r="P1250" i="4"/>
  <c r="P1251" i="4"/>
  <c r="P1252" i="4"/>
  <c r="U1252" i="4" s="1"/>
  <c r="P1253" i="4"/>
  <c r="P1254" i="4"/>
  <c r="P1255" i="4"/>
  <c r="P1256" i="4"/>
  <c r="U1256" i="4" s="1"/>
  <c r="P1257" i="4"/>
  <c r="U1257" i="4" s="1"/>
  <c r="P1258" i="4"/>
  <c r="P1259" i="4"/>
  <c r="P1260" i="4"/>
  <c r="U1260" i="4" s="1"/>
  <c r="P1261" i="4"/>
  <c r="P1262" i="4"/>
  <c r="P1263" i="4"/>
  <c r="P1264" i="4"/>
  <c r="U1264" i="4" s="1"/>
  <c r="P1265" i="4"/>
  <c r="U1265" i="4" s="1"/>
  <c r="P1266" i="4"/>
  <c r="P1267" i="4"/>
  <c r="P1268" i="4"/>
  <c r="U1268" i="4" s="1"/>
  <c r="P1269" i="4"/>
  <c r="P1270" i="4"/>
  <c r="P1271" i="4"/>
  <c r="P1272" i="4"/>
  <c r="P1273" i="4"/>
  <c r="U1273" i="4" s="1"/>
  <c r="P1274" i="4"/>
  <c r="P1275" i="4"/>
  <c r="P1276" i="4"/>
  <c r="U1276" i="4" s="1"/>
  <c r="P1277" i="4"/>
  <c r="P1278" i="4"/>
  <c r="P1279" i="4"/>
  <c r="P1280" i="4"/>
  <c r="P1281" i="4"/>
  <c r="U1281" i="4" s="1"/>
  <c r="P1282" i="4"/>
  <c r="P1283" i="4"/>
  <c r="P1284" i="4"/>
  <c r="U1284" i="4" s="1"/>
  <c r="P1285" i="4"/>
  <c r="P1286" i="4"/>
  <c r="P1287" i="4"/>
  <c r="P1288" i="4"/>
  <c r="P1289" i="4"/>
  <c r="U1289" i="4" s="1"/>
  <c r="P1290" i="4"/>
  <c r="P1291" i="4"/>
  <c r="P1292" i="4"/>
  <c r="U1292" i="4" s="1"/>
  <c r="P1293" i="4"/>
  <c r="P1294" i="4"/>
  <c r="P1295" i="4"/>
  <c r="P1296" i="4"/>
  <c r="U1296" i="4" s="1"/>
  <c r="P1297" i="4"/>
  <c r="U1297" i="4" s="1"/>
  <c r="P1298" i="4"/>
  <c r="P1299" i="4"/>
  <c r="U1299" i="4" s="1"/>
  <c r="P1300" i="4"/>
  <c r="U1300" i="4" s="1"/>
  <c r="P1301" i="4"/>
  <c r="P1302" i="4"/>
  <c r="P1303" i="4"/>
  <c r="P1304" i="4"/>
  <c r="U1304" i="4" s="1"/>
  <c r="P1305" i="4"/>
  <c r="U1305" i="4" s="1"/>
  <c r="P1306" i="4"/>
  <c r="P1307" i="4"/>
  <c r="P1308" i="4"/>
  <c r="U1308" i="4" s="1"/>
  <c r="P1309" i="4"/>
  <c r="P1310" i="4"/>
  <c r="P1311" i="4"/>
  <c r="P1312" i="4"/>
  <c r="P1313" i="4"/>
  <c r="U1313" i="4" s="1"/>
  <c r="P1314" i="4"/>
  <c r="P1315" i="4"/>
  <c r="U1315" i="4" s="1"/>
  <c r="P1316" i="4"/>
  <c r="U1316" i="4" s="1"/>
  <c r="P1317" i="4"/>
  <c r="P1318" i="4"/>
  <c r="P1319" i="4"/>
  <c r="P1320" i="4"/>
  <c r="U1320" i="4" s="1"/>
  <c r="P1321" i="4"/>
  <c r="U1321" i="4" s="1"/>
  <c r="P1322" i="4"/>
  <c r="P1323" i="4"/>
  <c r="P1324" i="4"/>
  <c r="U1324" i="4" s="1"/>
  <c r="P1325" i="4"/>
  <c r="P1326" i="4"/>
  <c r="P1327" i="4"/>
  <c r="P1328" i="4"/>
  <c r="U1328" i="4" s="1"/>
  <c r="P1329" i="4"/>
  <c r="U1329" i="4" s="1"/>
  <c r="P1330" i="4"/>
  <c r="P1331" i="4"/>
  <c r="P1332" i="4"/>
  <c r="U1332" i="4" s="1"/>
  <c r="P1333" i="4"/>
  <c r="P1334" i="4"/>
  <c r="P1335" i="4"/>
  <c r="P1336" i="4"/>
  <c r="U1336" i="4" s="1"/>
  <c r="P1337" i="4"/>
  <c r="U1337" i="4" s="1"/>
  <c r="P1338" i="4"/>
  <c r="P1339" i="4"/>
  <c r="U1339" i="4" s="1"/>
  <c r="P1340" i="4"/>
  <c r="U1340" i="4" s="1"/>
  <c r="P1341" i="4"/>
  <c r="P1342" i="4"/>
  <c r="P1343" i="4"/>
  <c r="P1344" i="4"/>
  <c r="U1344" i="4" s="1"/>
  <c r="P1345" i="4"/>
  <c r="U1345" i="4" s="1"/>
  <c r="P1346" i="4"/>
  <c r="P1347" i="4"/>
  <c r="P1348" i="4"/>
  <c r="U1348" i="4" s="1"/>
  <c r="P1349" i="4"/>
  <c r="P1350" i="4"/>
  <c r="P1351" i="4"/>
  <c r="P1352" i="4"/>
  <c r="P1353" i="4"/>
  <c r="U1353" i="4" s="1"/>
  <c r="P1354" i="4"/>
  <c r="P1355" i="4"/>
  <c r="U1355" i="4" s="1"/>
  <c r="P1356" i="4"/>
  <c r="U1356" i="4" s="1"/>
  <c r="P1357" i="4"/>
  <c r="P1358" i="4"/>
  <c r="P1359" i="4"/>
  <c r="P1360" i="4"/>
  <c r="U1360" i="4" s="1"/>
  <c r="P1361" i="4"/>
  <c r="P1362" i="4"/>
  <c r="P1363" i="4"/>
  <c r="P1364" i="4"/>
  <c r="U1364" i="4" s="1"/>
  <c r="P1365" i="4"/>
  <c r="P1366" i="4"/>
  <c r="P1367" i="4"/>
  <c r="P1368" i="4"/>
  <c r="P1369" i="4"/>
  <c r="U1369" i="4" s="1"/>
  <c r="P1370" i="4"/>
  <c r="P1371" i="4"/>
  <c r="P1372" i="4"/>
  <c r="U1372" i="4" s="1"/>
  <c r="P1373" i="4"/>
  <c r="P1374" i="4"/>
  <c r="P1375" i="4"/>
  <c r="P1376" i="4"/>
  <c r="U1376" i="4" s="1"/>
  <c r="P1377" i="4"/>
  <c r="U1377" i="4" s="1"/>
  <c r="P1378" i="4"/>
  <c r="P1379" i="4"/>
  <c r="P1380" i="4"/>
  <c r="U1380" i="4" s="1"/>
  <c r="P1381" i="4"/>
  <c r="P1382" i="4"/>
  <c r="P1383" i="4"/>
  <c r="P1384" i="4"/>
  <c r="U1384" i="4" s="1"/>
  <c r="P1385" i="4"/>
  <c r="U1385" i="4" s="1"/>
  <c r="P1386" i="4"/>
  <c r="P1387" i="4"/>
  <c r="U1387" i="4" s="1"/>
  <c r="P1388" i="4"/>
  <c r="U1388" i="4" s="1"/>
  <c r="P1389" i="4"/>
  <c r="P1390" i="4"/>
  <c r="P1391" i="4"/>
  <c r="P1392" i="4"/>
  <c r="P1393" i="4"/>
  <c r="U1393" i="4" s="1"/>
  <c r="P1394" i="4"/>
  <c r="P1395" i="4"/>
  <c r="U1395" i="4" s="1"/>
  <c r="P1396" i="4"/>
  <c r="U1396" i="4" s="1"/>
  <c r="P1397" i="4"/>
  <c r="P1398" i="4"/>
  <c r="P1399" i="4"/>
  <c r="P1400" i="4"/>
  <c r="U1400" i="4" s="1"/>
  <c r="P1401" i="4"/>
  <c r="U1401" i="4" s="1"/>
  <c r="P1402" i="4"/>
  <c r="P1403" i="4"/>
  <c r="P1404" i="4"/>
  <c r="U1404" i="4" s="1"/>
  <c r="P1405" i="4"/>
  <c r="P1406" i="4"/>
  <c r="P1407" i="4"/>
  <c r="P1408" i="4"/>
  <c r="P1409" i="4"/>
  <c r="U1409" i="4" s="1"/>
  <c r="P1410" i="4"/>
  <c r="P1411" i="4"/>
  <c r="P1412" i="4"/>
  <c r="U1412" i="4" s="1"/>
  <c r="P1413" i="4"/>
  <c r="P1414" i="4"/>
  <c r="P1415" i="4"/>
  <c r="P1416" i="4"/>
  <c r="U1416" i="4" s="1"/>
  <c r="P1417" i="4"/>
  <c r="U1417" i="4" s="1"/>
  <c r="P1418" i="4"/>
  <c r="P1419" i="4"/>
  <c r="P1420" i="4"/>
  <c r="U1420" i="4" s="1"/>
  <c r="P1421" i="4"/>
  <c r="P1422" i="4"/>
  <c r="P1423" i="4"/>
  <c r="P1424" i="4"/>
  <c r="U1424" i="4" s="1"/>
  <c r="P1425" i="4"/>
  <c r="U1425" i="4" s="1"/>
  <c r="P1426" i="4"/>
  <c r="P1427" i="4"/>
  <c r="P1428" i="4"/>
  <c r="U1428" i="4" s="1"/>
  <c r="P1429" i="4"/>
  <c r="P1430" i="4"/>
  <c r="P1431" i="4"/>
  <c r="P1432" i="4"/>
  <c r="P1433" i="4"/>
  <c r="U1433" i="4" s="1"/>
  <c r="P1434" i="4"/>
  <c r="P1435" i="4"/>
  <c r="U1435" i="4" s="1"/>
  <c r="P1436" i="4"/>
  <c r="U1436" i="4" s="1"/>
  <c r="P1437" i="4"/>
  <c r="P1438" i="4"/>
  <c r="P1439" i="4"/>
  <c r="P1440" i="4"/>
  <c r="U1440" i="4" s="1"/>
  <c r="P1441" i="4"/>
  <c r="U1441" i="4" s="1"/>
  <c r="P1442" i="4"/>
  <c r="P1443" i="4"/>
  <c r="P1444" i="4"/>
  <c r="U1444" i="4" s="1"/>
  <c r="P1445" i="4"/>
  <c r="P1446" i="4"/>
  <c r="P1447" i="4"/>
  <c r="P1448" i="4"/>
  <c r="U1448" i="4" s="1"/>
  <c r="P1449" i="4"/>
  <c r="U1449" i="4" s="1"/>
  <c r="P1450" i="4"/>
  <c r="P1451" i="4"/>
  <c r="U1451" i="4" s="1"/>
  <c r="P1452" i="4"/>
  <c r="U1452" i="4" s="1"/>
  <c r="P1453" i="4"/>
  <c r="P1454" i="4"/>
  <c r="P1455" i="4"/>
  <c r="P1456" i="4"/>
  <c r="U1456" i="4" s="1"/>
  <c r="P1457" i="4"/>
  <c r="U1457" i="4" s="1"/>
  <c r="P1458" i="4"/>
  <c r="P1459" i="4"/>
  <c r="P1460" i="4"/>
  <c r="U1460" i="4" s="1"/>
  <c r="P1461" i="4"/>
  <c r="P1462" i="4"/>
  <c r="P1463" i="4"/>
  <c r="P1464" i="4"/>
  <c r="U1464" i="4" s="1"/>
  <c r="P1465" i="4"/>
  <c r="U1465" i="4" s="1"/>
  <c r="P1466" i="4"/>
  <c r="P1467" i="4"/>
  <c r="P1468" i="4"/>
  <c r="U1468" i="4" s="1"/>
  <c r="P1469" i="4"/>
  <c r="P1470" i="4"/>
  <c r="P1471" i="4"/>
  <c r="P1472" i="4"/>
  <c r="P1473" i="4"/>
  <c r="U1473" i="4" s="1"/>
  <c r="P1474" i="4"/>
  <c r="P1475" i="4"/>
  <c r="U1475" i="4" s="1"/>
  <c r="P1476" i="4"/>
  <c r="U1476" i="4" s="1"/>
  <c r="P1477" i="4"/>
  <c r="P1478" i="4"/>
  <c r="P1479" i="4"/>
  <c r="P1480" i="4"/>
  <c r="U1480" i="4" s="1"/>
  <c r="P1481" i="4"/>
  <c r="U1481" i="4" s="1"/>
  <c r="P1482" i="4"/>
  <c r="P1483" i="4"/>
  <c r="P1484" i="4"/>
  <c r="U1484" i="4" s="1"/>
  <c r="P1485" i="4"/>
  <c r="P1486" i="4"/>
  <c r="P1487" i="4"/>
  <c r="P1488" i="4"/>
  <c r="U1488" i="4" s="1"/>
  <c r="P1489" i="4"/>
  <c r="U1489" i="4" s="1"/>
  <c r="P1490" i="4"/>
  <c r="P1491" i="4"/>
  <c r="P1492" i="4"/>
  <c r="U1492" i="4" s="1"/>
  <c r="P1493" i="4"/>
  <c r="P1494" i="4"/>
  <c r="P1495" i="4"/>
  <c r="P1496" i="4"/>
  <c r="U1496" i="4" s="1"/>
  <c r="P1497" i="4"/>
  <c r="U1497" i="4" s="1"/>
  <c r="P1498" i="4"/>
  <c r="P1499" i="4"/>
  <c r="P1500" i="4"/>
  <c r="U1500" i="4" s="1"/>
  <c r="P1501" i="4"/>
  <c r="P1502" i="4"/>
  <c r="P1503" i="4"/>
  <c r="P1504" i="4"/>
  <c r="U1504" i="4" s="1"/>
  <c r="P1505" i="4"/>
  <c r="U1505" i="4" s="1"/>
  <c r="P1506" i="4"/>
  <c r="P1507" i="4"/>
  <c r="U1507" i="4" s="1"/>
  <c r="P1508" i="4"/>
  <c r="U1508" i="4" s="1"/>
  <c r="P1509" i="4"/>
  <c r="P1510" i="4"/>
  <c r="P1511" i="4"/>
  <c r="P1512" i="4"/>
  <c r="P1513" i="4"/>
  <c r="U1513" i="4" s="1"/>
  <c r="P1514" i="4"/>
  <c r="P1515" i="4"/>
  <c r="U1515" i="4" s="1"/>
  <c r="P1516" i="4"/>
  <c r="U1516" i="4" s="1"/>
  <c r="P1517" i="4"/>
  <c r="P1518" i="4"/>
  <c r="P1519" i="4"/>
  <c r="P1520" i="4"/>
  <c r="P1521" i="4"/>
  <c r="U1521" i="4" s="1"/>
  <c r="P1522" i="4"/>
  <c r="P1523" i="4"/>
  <c r="P1524" i="4"/>
  <c r="U1524" i="4" s="1"/>
  <c r="P1525" i="4"/>
  <c r="P1526" i="4"/>
  <c r="P1527" i="4"/>
  <c r="P1528" i="4"/>
  <c r="U1528" i="4" s="1"/>
  <c r="P1529" i="4"/>
  <c r="U1529" i="4" s="1"/>
  <c r="P1530" i="4"/>
  <c r="P1531" i="4"/>
  <c r="P1532" i="4"/>
  <c r="U1532" i="4" s="1"/>
  <c r="P1533" i="4"/>
  <c r="P1534" i="4"/>
  <c r="P1535" i="4"/>
  <c r="P1536" i="4"/>
  <c r="U1536" i="4" s="1"/>
  <c r="P1537" i="4"/>
  <c r="U1537" i="4" s="1"/>
  <c r="P1538" i="4"/>
  <c r="P1539" i="4"/>
  <c r="P1540" i="4"/>
  <c r="U1540" i="4" s="1"/>
  <c r="P1541" i="4"/>
  <c r="P1542" i="4"/>
  <c r="P1543" i="4"/>
  <c r="P1544" i="4"/>
  <c r="U1544" i="4" s="1"/>
  <c r="P1545" i="4"/>
  <c r="U1545" i="4" s="1"/>
  <c r="P1546" i="4"/>
  <c r="P1547" i="4"/>
  <c r="U1547" i="4" s="1"/>
  <c r="P1548" i="4"/>
  <c r="U1548" i="4" s="1"/>
  <c r="P1549" i="4"/>
  <c r="P1550" i="4"/>
  <c r="P1551" i="4"/>
  <c r="P1552" i="4"/>
  <c r="P1553" i="4"/>
  <c r="U1553" i="4" s="1"/>
  <c r="P1554" i="4"/>
  <c r="P1555" i="4"/>
  <c r="U1555" i="4" s="1"/>
  <c r="P1556" i="4"/>
  <c r="U1556" i="4" s="1"/>
  <c r="P1557" i="4"/>
  <c r="P1558" i="4"/>
  <c r="P1559" i="4"/>
  <c r="P1560" i="4"/>
  <c r="U1560" i="4" s="1"/>
  <c r="P1561" i="4"/>
  <c r="U1561" i="4" s="1"/>
  <c r="P1562" i="4"/>
  <c r="P1563" i="4"/>
  <c r="P1564" i="4"/>
  <c r="U1564" i="4" s="1"/>
  <c r="P1565" i="4"/>
  <c r="P1566" i="4"/>
  <c r="P1567" i="4"/>
  <c r="P1568" i="4"/>
  <c r="U1568" i="4" s="1"/>
  <c r="P1569" i="4"/>
  <c r="U1569" i="4" s="1"/>
  <c r="P1570" i="4"/>
  <c r="P1571" i="4"/>
  <c r="U1571" i="4" s="1"/>
  <c r="P1572" i="4"/>
  <c r="U1572" i="4" s="1"/>
  <c r="P1573" i="4"/>
  <c r="P1574" i="4"/>
  <c r="P1575" i="4"/>
  <c r="P1576" i="4"/>
  <c r="U1576" i="4" s="1"/>
  <c r="P1577" i="4"/>
  <c r="U1577" i="4" s="1"/>
  <c r="P1578" i="4"/>
  <c r="P1579" i="4"/>
  <c r="U1579" i="4" s="1"/>
  <c r="P1580" i="4"/>
  <c r="U1580" i="4" s="1"/>
  <c r="P1581" i="4"/>
  <c r="P1582" i="4"/>
  <c r="P1583" i="4"/>
  <c r="P1584" i="4"/>
  <c r="P1585" i="4"/>
  <c r="U1585" i="4" s="1"/>
  <c r="P1586" i="4"/>
  <c r="P1587" i="4"/>
  <c r="U1587" i="4" s="1"/>
  <c r="P1588" i="4"/>
  <c r="U1588" i="4" s="1"/>
  <c r="P1589" i="4"/>
  <c r="P1590" i="4"/>
  <c r="P1591" i="4"/>
  <c r="P1592" i="4"/>
  <c r="U1592" i="4" s="1"/>
  <c r="P1593" i="4"/>
  <c r="U1593" i="4" s="1"/>
  <c r="P1594" i="4"/>
  <c r="P1595" i="4"/>
  <c r="U1595" i="4" s="1"/>
  <c r="P1596" i="4"/>
  <c r="U1596" i="4" s="1"/>
  <c r="P1597" i="4"/>
  <c r="P1598" i="4"/>
  <c r="P1599" i="4"/>
  <c r="P1600" i="4"/>
  <c r="U1600" i="4" s="1"/>
  <c r="P1601" i="4"/>
  <c r="U1601" i="4" s="1"/>
  <c r="P1602" i="4"/>
  <c r="P1603" i="4"/>
  <c r="P1604" i="4"/>
  <c r="U1604" i="4" s="1"/>
  <c r="P1605" i="4"/>
  <c r="P1606" i="4"/>
  <c r="P1607" i="4"/>
  <c r="P1608" i="4"/>
  <c r="U1608" i="4" s="1"/>
  <c r="P1609" i="4"/>
  <c r="U1609" i="4" s="1"/>
  <c r="P1610" i="4"/>
  <c r="P1611" i="4"/>
  <c r="P1612" i="4"/>
  <c r="U1612" i="4" s="1"/>
  <c r="P1613" i="4"/>
  <c r="P1614" i="4"/>
  <c r="P1615" i="4"/>
  <c r="P1616" i="4"/>
  <c r="U1616" i="4" s="1"/>
  <c r="P1617" i="4"/>
  <c r="U1617" i="4" s="1"/>
  <c r="P1618" i="4"/>
  <c r="P1619" i="4"/>
  <c r="U1619" i="4" s="1"/>
  <c r="P1620" i="4"/>
  <c r="U1620" i="4" s="1"/>
  <c r="P1621" i="4"/>
  <c r="P1622" i="4"/>
  <c r="P1623" i="4"/>
  <c r="P1624" i="4"/>
  <c r="P1625" i="4"/>
  <c r="U1625" i="4" s="1"/>
  <c r="P1626" i="4"/>
  <c r="P1627" i="4"/>
  <c r="U1627" i="4" s="1"/>
  <c r="P1628" i="4"/>
  <c r="U1628" i="4" s="1"/>
  <c r="P1629" i="4"/>
  <c r="P1630" i="4"/>
  <c r="P1631" i="4"/>
  <c r="P1632" i="4"/>
  <c r="U1632" i="4" s="1"/>
  <c r="P1633" i="4"/>
  <c r="U1633" i="4" s="1"/>
  <c r="P1634" i="4"/>
  <c r="P1635" i="4"/>
  <c r="P1636" i="4"/>
  <c r="U1636" i="4" s="1"/>
  <c r="P1637" i="4"/>
  <c r="P1638" i="4"/>
  <c r="P1639" i="4"/>
  <c r="P1640" i="4"/>
  <c r="U1640" i="4" s="1"/>
  <c r="P1641" i="4"/>
  <c r="U1641" i="4" s="1"/>
  <c r="P1642" i="4"/>
  <c r="P1643" i="4"/>
  <c r="U1643" i="4" s="1"/>
  <c r="P1644" i="4"/>
  <c r="U1644" i="4" s="1"/>
  <c r="P1645" i="4"/>
  <c r="P1646" i="4"/>
  <c r="P1647" i="4"/>
  <c r="P1648" i="4"/>
  <c r="U1648" i="4" s="1"/>
  <c r="P1649" i="4"/>
  <c r="U1649" i="4" s="1"/>
  <c r="P1650" i="4"/>
  <c r="P1651" i="4"/>
  <c r="U1651" i="4" s="1"/>
  <c r="P1652" i="4"/>
  <c r="U1652" i="4" s="1"/>
  <c r="P1653" i="4"/>
  <c r="P1654" i="4"/>
  <c r="P1655" i="4"/>
  <c r="P1656" i="4"/>
  <c r="P1657" i="4"/>
  <c r="U1657" i="4" s="1"/>
  <c r="P1658" i="4"/>
  <c r="P1659" i="4"/>
  <c r="U1659" i="4" s="1"/>
  <c r="P1660" i="4"/>
  <c r="U1660" i="4" s="1"/>
  <c r="P1661" i="4"/>
  <c r="P1662" i="4"/>
  <c r="P1663" i="4"/>
  <c r="P1664" i="4"/>
  <c r="U1664" i="4" s="1"/>
  <c r="P1665" i="4"/>
  <c r="U1665" i="4" s="1"/>
  <c r="P1666" i="4"/>
  <c r="P1667" i="4"/>
  <c r="U1667" i="4" s="1"/>
  <c r="P1668" i="4"/>
  <c r="U1668" i="4" s="1"/>
  <c r="P1669" i="4"/>
  <c r="P1670" i="4"/>
  <c r="P1671" i="4"/>
  <c r="P1672" i="4"/>
  <c r="U1672" i="4" s="1"/>
  <c r="P1673" i="4"/>
  <c r="U1673" i="4" s="1"/>
  <c r="P1674" i="4"/>
  <c r="P1675" i="4"/>
  <c r="P1676" i="4"/>
  <c r="U1676" i="4" s="1"/>
  <c r="P1677" i="4"/>
  <c r="P1678" i="4"/>
  <c r="P1679" i="4"/>
  <c r="P1680" i="4"/>
  <c r="U1680" i="4" s="1"/>
  <c r="P1681" i="4"/>
  <c r="U1681" i="4" s="1"/>
  <c r="P1682" i="4"/>
  <c r="P1683" i="4"/>
  <c r="U1683" i="4" s="1"/>
  <c r="P1684" i="4"/>
  <c r="U1684" i="4" s="1"/>
  <c r="P1685" i="4"/>
  <c r="P1686" i="4"/>
  <c r="P1687" i="4"/>
  <c r="P1688" i="4"/>
  <c r="U1688" i="4" s="1"/>
  <c r="P1689" i="4"/>
  <c r="U1689" i="4" s="1"/>
  <c r="P1690" i="4"/>
  <c r="P1691" i="4"/>
  <c r="U1691" i="4" s="1"/>
  <c r="P1692" i="4"/>
  <c r="U1692" i="4" s="1"/>
  <c r="P1693" i="4"/>
  <c r="P1694" i="4"/>
  <c r="P1695" i="4"/>
  <c r="P1696" i="4"/>
  <c r="P1697" i="4"/>
  <c r="U1697" i="4" s="1"/>
  <c r="P1698" i="4"/>
  <c r="P1699" i="4"/>
  <c r="U1699" i="4" s="1"/>
  <c r="P1700" i="4"/>
  <c r="U1700" i="4" s="1"/>
  <c r="P1701" i="4"/>
  <c r="P1702" i="4"/>
  <c r="P1703" i="4"/>
  <c r="P1704" i="4"/>
  <c r="U1704" i="4" s="1"/>
  <c r="P1705" i="4"/>
  <c r="U1705" i="4" s="1"/>
  <c r="P1706" i="4"/>
  <c r="P1707" i="4"/>
  <c r="P1708" i="4"/>
  <c r="U1708" i="4" s="1"/>
  <c r="P1709" i="4"/>
  <c r="P1710" i="4"/>
  <c r="P1711" i="4"/>
  <c r="P1712" i="4"/>
  <c r="U1712" i="4" s="1"/>
  <c r="P1713" i="4"/>
  <c r="U1713" i="4" s="1"/>
  <c r="P1714" i="4"/>
  <c r="P1715" i="4"/>
  <c r="U1715" i="4" s="1"/>
  <c r="P1716" i="4"/>
  <c r="U1716" i="4" s="1"/>
  <c r="P1717" i="4"/>
  <c r="P1718" i="4"/>
  <c r="P1719" i="4"/>
  <c r="P1720" i="4"/>
  <c r="U1720" i="4" s="1"/>
  <c r="P1721" i="4"/>
  <c r="U1721" i="4" s="1"/>
  <c r="P1722" i="4"/>
  <c r="P1723" i="4"/>
  <c r="U1723" i="4" s="1"/>
  <c r="P1724" i="4"/>
  <c r="U1724" i="4" s="1"/>
  <c r="P1725" i="4"/>
  <c r="P1726" i="4"/>
  <c r="P1727" i="4"/>
  <c r="P1728" i="4"/>
  <c r="P1729" i="4"/>
  <c r="U1729" i="4" s="1"/>
  <c r="P1730" i="4"/>
  <c r="P1731" i="4"/>
  <c r="U1731" i="4" s="1"/>
  <c r="P1732" i="4"/>
  <c r="U1732" i="4" s="1"/>
  <c r="P1733" i="4"/>
  <c r="P1734" i="4"/>
  <c r="P1735" i="4"/>
  <c r="P1736" i="4"/>
  <c r="U1736" i="4" s="1"/>
  <c r="P1737" i="4"/>
  <c r="U1737" i="4" s="1"/>
  <c r="P1738" i="4"/>
  <c r="P1739" i="4"/>
  <c r="P1740" i="4"/>
  <c r="U1740" i="4" s="1"/>
  <c r="P1741" i="4"/>
  <c r="P1742" i="4"/>
  <c r="P1743" i="4"/>
  <c r="P1744" i="4"/>
  <c r="U1744" i="4" s="1"/>
  <c r="P1745" i="4"/>
  <c r="U1745" i="4" s="1"/>
  <c r="P1746" i="4"/>
  <c r="P1747" i="4"/>
  <c r="P1748" i="4"/>
  <c r="U1748" i="4" s="1"/>
  <c r="P1749" i="4"/>
  <c r="P1750" i="4"/>
  <c r="P1751" i="4"/>
  <c r="P1752" i="4"/>
  <c r="U1752" i="4" s="1"/>
  <c r="P1753" i="4"/>
  <c r="U1753" i="4" s="1"/>
  <c r="P1754" i="4"/>
  <c r="P1755" i="4"/>
  <c r="P1756" i="4"/>
  <c r="U1756" i="4" s="1"/>
  <c r="P1757" i="4"/>
  <c r="P1758" i="4"/>
  <c r="P1759" i="4"/>
  <c r="P1760" i="4"/>
  <c r="U1760" i="4" s="1"/>
  <c r="P1761" i="4"/>
  <c r="U1761" i="4" s="1"/>
  <c r="P1762" i="4"/>
  <c r="P1763" i="4"/>
  <c r="U1763" i="4" s="1"/>
  <c r="P1764" i="4"/>
  <c r="U1764" i="4" s="1"/>
  <c r="P1765" i="4"/>
  <c r="P1766" i="4"/>
  <c r="P1767" i="4"/>
  <c r="P1768" i="4"/>
  <c r="U1768" i="4" s="1"/>
  <c r="P1769" i="4"/>
  <c r="U1769" i="4" s="1"/>
  <c r="P1770" i="4"/>
  <c r="P1771" i="4"/>
  <c r="U1771" i="4" s="1"/>
  <c r="P1772" i="4"/>
  <c r="U1772" i="4" s="1"/>
  <c r="P1773" i="4"/>
  <c r="P1774" i="4"/>
  <c r="P1775" i="4"/>
  <c r="P1776" i="4"/>
  <c r="U1776" i="4" s="1"/>
  <c r="P1777" i="4"/>
  <c r="U1777" i="4" s="1"/>
  <c r="P1778" i="4"/>
  <c r="P1779" i="4"/>
  <c r="P1780" i="4"/>
  <c r="U1780" i="4" s="1"/>
  <c r="P1781" i="4"/>
  <c r="P1782" i="4"/>
  <c r="P1783" i="4"/>
  <c r="P1784" i="4"/>
  <c r="U1784" i="4" s="1"/>
  <c r="P1785" i="4"/>
  <c r="U1785" i="4" s="1"/>
  <c r="P1786" i="4"/>
  <c r="P1787" i="4"/>
  <c r="P1788" i="4"/>
  <c r="U1788" i="4" s="1"/>
  <c r="P1789" i="4"/>
  <c r="P1790" i="4"/>
  <c r="P1791" i="4"/>
  <c r="P1792" i="4"/>
  <c r="U1792" i="4" s="1"/>
  <c r="P1793" i="4"/>
  <c r="U1793" i="4" s="1"/>
  <c r="P1794" i="4"/>
  <c r="P1795" i="4"/>
  <c r="U1795" i="4" s="1"/>
  <c r="P1796" i="4"/>
  <c r="U1796" i="4" s="1"/>
  <c r="P1797" i="4"/>
  <c r="P1798" i="4"/>
  <c r="P1799" i="4"/>
  <c r="P1800" i="4"/>
  <c r="U1800" i="4" s="1"/>
  <c r="P1801" i="4"/>
  <c r="U1801" i="4" s="1"/>
  <c r="P1802" i="4"/>
  <c r="P1803" i="4"/>
  <c r="U1803" i="4" s="1"/>
  <c r="P1804" i="4"/>
  <c r="U1804" i="4" s="1"/>
  <c r="P1805" i="4"/>
  <c r="P1806" i="4"/>
  <c r="P1807" i="4"/>
  <c r="P1808" i="4"/>
  <c r="U1808" i="4" s="1"/>
  <c r="P1809" i="4"/>
  <c r="U1809" i="4" s="1"/>
  <c r="P1810" i="4"/>
  <c r="P1811" i="4"/>
  <c r="P1812" i="4"/>
  <c r="U1812" i="4" s="1"/>
  <c r="P1813" i="4"/>
  <c r="P1814" i="4"/>
  <c r="P1815" i="4"/>
  <c r="P1816" i="4"/>
  <c r="U1816" i="4" s="1"/>
  <c r="P1817" i="4"/>
  <c r="U1817" i="4" s="1"/>
  <c r="P1818" i="4"/>
  <c r="P1819" i="4"/>
  <c r="P1820" i="4"/>
  <c r="U1820" i="4" s="1"/>
  <c r="P1821" i="4"/>
  <c r="P1822" i="4"/>
  <c r="P1823" i="4"/>
  <c r="P1824" i="4"/>
  <c r="U1824" i="4" s="1"/>
  <c r="P1825" i="4"/>
  <c r="U1825" i="4" s="1"/>
  <c r="P1826" i="4"/>
  <c r="P1827" i="4"/>
  <c r="U1827" i="4" s="1"/>
  <c r="P1828" i="4"/>
  <c r="U1828" i="4" s="1"/>
  <c r="P1829" i="4"/>
  <c r="P1830" i="4"/>
  <c r="P1831" i="4"/>
  <c r="P1832" i="4"/>
  <c r="U1832" i="4" s="1"/>
  <c r="P1833" i="4"/>
  <c r="U1833" i="4" s="1"/>
  <c r="P1834" i="4"/>
  <c r="P1835" i="4"/>
  <c r="U1835" i="4" s="1"/>
  <c r="P1836" i="4"/>
  <c r="U1836" i="4" s="1"/>
  <c r="P1837" i="4"/>
  <c r="P1838" i="4"/>
  <c r="P1839" i="4"/>
  <c r="P1840" i="4"/>
  <c r="U1840" i="4" s="1"/>
  <c r="P1841" i="4"/>
  <c r="U1841" i="4" s="1"/>
  <c r="P1842" i="4"/>
  <c r="P1843" i="4"/>
  <c r="P1844" i="4"/>
  <c r="U1844" i="4" s="1"/>
  <c r="P1845" i="4"/>
  <c r="P1846" i="4"/>
  <c r="P1847" i="4"/>
  <c r="P1848" i="4"/>
  <c r="U1848" i="4" s="1"/>
  <c r="P1849" i="4"/>
  <c r="U1849" i="4" s="1"/>
  <c r="P1850" i="4"/>
  <c r="P1851" i="4"/>
  <c r="P1852" i="4"/>
  <c r="U1852" i="4" s="1"/>
  <c r="P1853" i="4"/>
  <c r="P1854" i="4"/>
  <c r="P1855" i="4"/>
  <c r="P1856" i="4"/>
  <c r="U1856" i="4" s="1"/>
  <c r="P1857" i="4"/>
  <c r="U1857" i="4" s="1"/>
  <c r="P1858" i="4"/>
  <c r="P1859" i="4"/>
  <c r="U1859" i="4" s="1"/>
  <c r="P1860" i="4"/>
  <c r="U1860" i="4" s="1"/>
  <c r="P1861" i="4"/>
  <c r="P1862" i="4"/>
  <c r="P1863" i="4"/>
  <c r="P1864" i="4"/>
  <c r="U1864" i="4" s="1"/>
  <c r="P1865" i="4"/>
  <c r="U1865" i="4" s="1"/>
  <c r="P1866" i="4"/>
  <c r="P1867" i="4"/>
  <c r="U1867" i="4" s="1"/>
  <c r="P1868" i="4"/>
  <c r="U1868" i="4" s="1"/>
  <c r="P1869" i="4"/>
  <c r="P1870" i="4"/>
  <c r="P1871" i="4"/>
  <c r="P1872" i="4"/>
  <c r="U1872" i="4" s="1"/>
  <c r="P1873" i="4"/>
  <c r="U1873" i="4" s="1"/>
  <c r="P1874" i="4"/>
  <c r="P1875" i="4"/>
  <c r="U1875" i="4" s="1"/>
  <c r="P1876" i="4"/>
  <c r="U1876" i="4" s="1"/>
  <c r="P1877" i="4"/>
  <c r="P1878" i="4"/>
  <c r="P1879" i="4"/>
  <c r="P1880" i="4"/>
  <c r="U1880" i="4" s="1"/>
  <c r="P1881" i="4"/>
  <c r="U1881" i="4" s="1"/>
  <c r="P1882" i="4"/>
  <c r="P1883" i="4"/>
  <c r="U1883" i="4" s="1"/>
  <c r="P1884" i="4"/>
  <c r="U1884" i="4" s="1"/>
  <c r="P1885" i="4"/>
  <c r="P1886" i="4"/>
  <c r="P1887" i="4"/>
  <c r="P1888" i="4"/>
  <c r="U1888" i="4" s="1"/>
  <c r="P1889" i="4"/>
  <c r="U1889" i="4" s="1"/>
  <c r="P1890" i="4"/>
  <c r="P1891" i="4"/>
  <c r="U1891" i="4" s="1"/>
  <c r="P1892" i="4"/>
  <c r="U1892" i="4" s="1"/>
  <c r="P1893" i="4"/>
  <c r="P1894" i="4"/>
  <c r="P1895" i="4"/>
  <c r="P1896" i="4"/>
  <c r="U1896" i="4" s="1"/>
  <c r="P1897" i="4"/>
  <c r="U1897" i="4" s="1"/>
  <c r="P1898" i="4"/>
  <c r="P1899" i="4"/>
  <c r="U1899" i="4" s="1"/>
  <c r="P1900" i="4"/>
  <c r="U1900" i="4" s="1"/>
  <c r="P1901" i="4"/>
  <c r="P1902" i="4"/>
  <c r="P1903" i="4"/>
  <c r="P1904" i="4"/>
  <c r="U1904" i="4" s="1"/>
  <c r="P1905" i="4"/>
  <c r="U1905" i="4" s="1"/>
  <c r="P1906" i="4"/>
  <c r="P1907" i="4"/>
  <c r="U1907" i="4" s="1"/>
  <c r="P1908" i="4"/>
  <c r="U1908" i="4" s="1"/>
  <c r="P1909" i="4"/>
  <c r="P1910" i="4"/>
  <c r="P1911" i="4"/>
  <c r="P1912" i="4"/>
  <c r="U1912" i="4" s="1"/>
  <c r="P1913" i="4"/>
  <c r="U1913" i="4" s="1"/>
  <c r="P1914" i="4"/>
  <c r="P1915" i="4"/>
  <c r="U1915" i="4" s="1"/>
  <c r="P1916" i="4"/>
  <c r="U1916" i="4" s="1"/>
  <c r="P1917" i="4"/>
  <c r="P1918" i="4"/>
  <c r="P1919" i="4"/>
  <c r="P1920" i="4"/>
  <c r="U1920" i="4" s="1"/>
  <c r="P1921" i="4"/>
  <c r="U1921" i="4" s="1"/>
  <c r="P1922" i="4"/>
  <c r="P1923" i="4"/>
  <c r="U1923" i="4" s="1"/>
  <c r="P1924" i="4"/>
  <c r="U1924" i="4" s="1"/>
  <c r="P1925" i="4"/>
  <c r="P1926" i="4"/>
  <c r="P1927" i="4"/>
  <c r="P1928" i="4"/>
  <c r="P1929" i="4"/>
  <c r="U1929" i="4" s="1"/>
  <c r="P1930" i="4"/>
  <c r="P1931" i="4"/>
  <c r="U1931" i="4" s="1"/>
  <c r="P1932" i="4"/>
  <c r="U1932" i="4" s="1"/>
  <c r="P1933" i="4"/>
  <c r="P1934" i="4"/>
  <c r="P1935" i="4"/>
  <c r="P1936" i="4"/>
  <c r="U1936" i="4" s="1"/>
  <c r="P1937" i="4"/>
  <c r="U1937" i="4" s="1"/>
  <c r="P1938" i="4"/>
  <c r="P1939" i="4"/>
  <c r="U1939" i="4" s="1"/>
  <c r="P1940" i="4"/>
  <c r="U1940" i="4" s="1"/>
  <c r="P1941" i="4"/>
  <c r="P1942" i="4"/>
  <c r="P1943" i="4"/>
  <c r="P1944" i="4"/>
  <c r="U1944" i="4" s="1"/>
  <c r="P1945" i="4"/>
  <c r="U1945" i="4" s="1"/>
  <c r="P1946" i="4"/>
  <c r="P1947" i="4"/>
  <c r="U1947" i="4" s="1"/>
  <c r="P1948" i="4"/>
  <c r="U1948" i="4" s="1"/>
  <c r="P1949" i="4"/>
  <c r="P1950" i="4"/>
  <c r="P1951" i="4"/>
  <c r="P1952" i="4"/>
  <c r="P1953" i="4"/>
  <c r="U1953" i="4" s="1"/>
  <c r="P1954" i="4"/>
  <c r="P1955" i="4"/>
  <c r="U1955" i="4" s="1"/>
  <c r="P1956" i="4"/>
  <c r="U1956" i="4" s="1"/>
  <c r="P1957" i="4"/>
  <c r="P1958" i="4"/>
  <c r="P1959" i="4"/>
  <c r="P1960" i="4"/>
  <c r="U1960" i="4" s="1"/>
  <c r="P1961" i="4"/>
  <c r="U1961" i="4" s="1"/>
  <c r="P1962" i="4"/>
  <c r="P1963" i="4"/>
  <c r="U1963" i="4" s="1"/>
  <c r="P1964" i="4"/>
  <c r="U1964" i="4" s="1"/>
  <c r="P1965" i="4"/>
  <c r="P1966" i="4"/>
  <c r="P1967" i="4"/>
  <c r="P1968" i="4"/>
  <c r="U1968" i="4" s="1"/>
  <c r="P1969" i="4"/>
  <c r="U1969" i="4" s="1"/>
  <c r="P1970" i="4"/>
  <c r="P1971" i="4"/>
  <c r="U1971" i="4" s="1"/>
  <c r="P1972" i="4"/>
  <c r="U1972" i="4" s="1"/>
  <c r="P1973" i="4"/>
  <c r="P1974" i="4"/>
  <c r="P1975" i="4"/>
  <c r="U1975" i="4" s="1"/>
  <c r="P1976" i="4"/>
  <c r="U1976" i="4" s="1"/>
  <c r="P1977" i="4"/>
  <c r="U1977" i="4" s="1"/>
  <c r="P1978" i="4"/>
  <c r="P1979" i="4"/>
  <c r="U1979" i="4" s="1"/>
  <c r="P1980" i="4"/>
  <c r="U1980" i="4" s="1"/>
  <c r="P1981" i="4"/>
  <c r="P1982" i="4"/>
  <c r="P1983" i="4"/>
  <c r="P1984" i="4"/>
  <c r="U1984" i="4" s="1"/>
  <c r="P1985" i="4"/>
  <c r="U1985" i="4" s="1"/>
  <c r="P1986" i="4"/>
  <c r="P1987" i="4"/>
  <c r="U1987" i="4" s="1"/>
  <c r="P1988" i="4"/>
  <c r="U1988" i="4" s="1"/>
  <c r="P1989" i="4"/>
  <c r="P1990" i="4"/>
  <c r="P1991" i="4"/>
  <c r="P1992" i="4"/>
  <c r="U1992" i="4" s="1"/>
  <c r="P1993" i="4"/>
  <c r="U1993" i="4" s="1"/>
  <c r="P1994" i="4"/>
  <c r="P1995" i="4"/>
  <c r="U1995" i="4" s="1"/>
  <c r="P1996" i="4"/>
  <c r="U1996" i="4" s="1"/>
  <c r="P1997" i="4"/>
  <c r="P1998" i="4"/>
  <c r="P1999" i="4"/>
  <c r="P2000" i="4"/>
  <c r="U2000" i="4" s="1"/>
  <c r="P2001" i="4"/>
  <c r="U2001" i="4" s="1"/>
  <c r="P2002" i="4"/>
  <c r="P2003" i="4"/>
  <c r="U2003" i="4" s="1"/>
  <c r="P2004" i="4"/>
  <c r="U2004" i="4" s="1"/>
  <c r="P2005" i="4"/>
  <c r="P2006" i="4"/>
  <c r="P2007" i="4"/>
  <c r="U2007" i="4" s="1"/>
  <c r="P2008" i="4"/>
  <c r="U2008" i="4" s="1"/>
  <c r="P2009" i="4"/>
  <c r="U2009" i="4" s="1"/>
  <c r="P2010" i="4"/>
  <c r="P2011" i="4"/>
  <c r="U2011" i="4" s="1"/>
  <c r="P2012" i="4"/>
  <c r="U2012" i="4" s="1"/>
  <c r="P2013" i="4"/>
  <c r="P2014" i="4"/>
  <c r="P2015" i="4"/>
  <c r="P2016" i="4"/>
  <c r="U2016" i="4" s="1"/>
  <c r="P2017" i="4"/>
  <c r="U2017" i="4" s="1"/>
  <c r="P2018" i="4"/>
  <c r="P2019" i="4"/>
  <c r="U2019" i="4" s="1"/>
  <c r="P2020" i="4"/>
  <c r="U2020" i="4" s="1"/>
  <c r="P2021" i="4"/>
  <c r="P2022" i="4"/>
  <c r="P2023" i="4"/>
  <c r="P2024" i="4"/>
  <c r="U2024" i="4" s="1"/>
  <c r="P2025" i="4"/>
  <c r="U2025" i="4" s="1"/>
  <c r="P2026" i="4"/>
  <c r="P2027" i="4"/>
  <c r="U2027" i="4" s="1"/>
  <c r="P2028" i="4"/>
  <c r="U2028" i="4" s="1"/>
  <c r="P2029" i="4"/>
  <c r="P2030" i="4"/>
  <c r="P2031" i="4"/>
  <c r="P2032" i="4"/>
  <c r="U2032" i="4" s="1"/>
  <c r="P2033" i="4"/>
  <c r="U2033" i="4" s="1"/>
  <c r="P2034" i="4"/>
  <c r="P2035" i="4"/>
  <c r="U2035" i="4" s="1"/>
  <c r="P2036" i="4"/>
  <c r="U2036" i="4" s="1"/>
  <c r="P2037" i="4"/>
  <c r="P2038" i="4"/>
  <c r="P2039" i="4"/>
  <c r="U2039" i="4" s="1"/>
  <c r="P2040" i="4"/>
  <c r="U2040" i="4" s="1"/>
  <c r="P2041" i="4"/>
  <c r="U2041" i="4" s="1"/>
  <c r="P2042" i="4"/>
  <c r="P2043" i="4"/>
  <c r="U2043" i="4" s="1"/>
  <c r="P2044" i="4"/>
  <c r="U2044" i="4" s="1"/>
  <c r="P2045" i="4"/>
  <c r="P2046" i="4"/>
  <c r="P2047" i="4"/>
  <c r="P2048" i="4"/>
  <c r="U2048" i="4" s="1"/>
  <c r="P2049" i="4"/>
  <c r="U2049" i="4" s="1"/>
  <c r="P2050" i="4"/>
  <c r="P2051" i="4"/>
  <c r="U2051" i="4" s="1"/>
  <c r="P2052" i="4"/>
  <c r="U2052" i="4" s="1"/>
  <c r="P2053" i="4"/>
  <c r="U2053" i="4" s="1"/>
  <c r="P2054" i="4"/>
  <c r="P2055" i="4"/>
  <c r="P2056" i="4"/>
  <c r="U2056" i="4" s="1"/>
  <c r="P2057" i="4"/>
  <c r="U2057" i="4" s="1"/>
  <c r="P2058" i="4"/>
  <c r="P2059" i="4"/>
  <c r="U2059" i="4" s="1"/>
  <c r="P2060" i="4"/>
  <c r="U2060" i="4" s="1"/>
  <c r="P2061" i="4"/>
  <c r="P2062" i="4"/>
  <c r="P2063" i="4"/>
  <c r="P2064" i="4"/>
  <c r="U2064" i="4" s="1"/>
  <c r="P2065" i="4"/>
  <c r="U2065" i="4" s="1"/>
  <c r="P2066" i="4"/>
  <c r="P2067" i="4"/>
  <c r="U2067" i="4" s="1"/>
  <c r="P2068" i="4"/>
  <c r="U2068" i="4" s="1"/>
  <c r="P2069" i="4"/>
  <c r="P2070" i="4"/>
  <c r="P2071" i="4"/>
  <c r="U2071" i="4" s="1"/>
  <c r="P2072" i="4"/>
  <c r="U2072" i="4" s="1"/>
  <c r="P2073" i="4"/>
  <c r="U2073" i="4" s="1"/>
  <c r="P2074" i="4"/>
  <c r="P2075" i="4"/>
  <c r="U2075" i="4" s="1"/>
  <c r="P2076" i="4"/>
  <c r="U2076" i="4" s="1"/>
  <c r="P2077" i="4"/>
  <c r="P2078" i="4"/>
  <c r="P2079" i="4"/>
  <c r="P2080" i="4"/>
  <c r="U2080" i="4" s="1"/>
  <c r="P2081" i="4"/>
  <c r="U2081" i="4" s="1"/>
  <c r="P2082" i="4"/>
  <c r="P2083" i="4"/>
  <c r="U2083" i="4" s="1"/>
  <c r="P2084" i="4"/>
  <c r="U2084" i="4" s="1"/>
  <c r="P2085" i="4"/>
  <c r="P2086" i="4"/>
  <c r="P2087" i="4"/>
  <c r="P2088" i="4"/>
  <c r="U2088" i="4" s="1"/>
  <c r="P2089" i="4"/>
  <c r="U2089" i="4" s="1"/>
  <c r="P2090" i="4"/>
  <c r="P2091" i="4"/>
  <c r="U2091" i="4" s="1"/>
  <c r="P2092" i="4"/>
  <c r="U2092" i="4" s="1"/>
  <c r="P2093" i="4"/>
  <c r="P2094" i="4"/>
  <c r="P2095" i="4"/>
  <c r="P2096" i="4"/>
  <c r="U2096" i="4" s="1"/>
  <c r="P2097" i="4"/>
  <c r="U2097" i="4" s="1"/>
  <c r="P2098" i="4"/>
  <c r="U2098" i="4" s="1"/>
  <c r="P2099" i="4"/>
  <c r="U2099" i="4" s="1"/>
  <c r="P2100" i="4"/>
  <c r="U2100" i="4" s="1"/>
  <c r="P2101" i="4"/>
  <c r="P2102" i="4"/>
  <c r="P2103" i="4"/>
  <c r="P2104" i="4"/>
  <c r="U2104" i="4" s="1"/>
  <c r="P2105" i="4"/>
  <c r="U2105" i="4" s="1"/>
  <c r="P2106" i="4"/>
  <c r="U2106" i="4" s="1"/>
  <c r="P2107" i="4"/>
  <c r="U2107" i="4" s="1"/>
  <c r="P2108" i="4"/>
  <c r="U2108" i="4" s="1"/>
  <c r="P2109" i="4"/>
  <c r="P2110" i="4"/>
  <c r="P2111" i="4"/>
  <c r="P2112" i="4"/>
  <c r="U2112" i="4" s="1"/>
  <c r="P2113" i="4"/>
  <c r="U2113" i="4" s="1"/>
  <c r="P2114" i="4"/>
  <c r="U2114" i="4" s="1"/>
  <c r="P2115" i="4"/>
  <c r="U2115" i="4" s="1"/>
  <c r="P2116" i="4"/>
  <c r="U2116" i="4" s="1"/>
  <c r="P2117" i="4"/>
  <c r="P2118" i="4"/>
  <c r="P2119" i="4"/>
  <c r="P2120" i="4"/>
  <c r="U2120" i="4" s="1"/>
  <c r="P2121" i="4"/>
  <c r="U2121" i="4" s="1"/>
  <c r="P2122" i="4"/>
  <c r="U2122" i="4" s="1"/>
  <c r="P2123" i="4"/>
  <c r="U2123" i="4" s="1"/>
  <c r="P2124" i="4"/>
  <c r="U2124" i="4" s="1"/>
  <c r="P2125" i="4"/>
  <c r="P2126" i="4"/>
  <c r="P2127" i="4"/>
  <c r="P2128" i="4"/>
  <c r="U2128" i="4" s="1"/>
  <c r="P2129" i="4"/>
  <c r="U2129" i="4" s="1"/>
  <c r="P2130" i="4"/>
  <c r="U2130" i="4" s="1"/>
  <c r="P2131" i="4"/>
  <c r="U2131" i="4" s="1"/>
  <c r="P2132" i="4"/>
  <c r="U2132" i="4" s="1"/>
  <c r="P2133" i="4"/>
  <c r="P2134" i="4"/>
  <c r="P2135" i="4"/>
  <c r="P2136" i="4"/>
  <c r="U2136" i="4" s="1"/>
  <c r="P2137" i="4"/>
  <c r="U2137" i="4" s="1"/>
  <c r="P2138" i="4"/>
  <c r="U2138" i="4" s="1"/>
  <c r="P2139" i="4"/>
  <c r="U2139" i="4" s="1"/>
  <c r="P2140" i="4"/>
  <c r="U2140" i="4" s="1"/>
  <c r="P2141" i="4"/>
  <c r="P2142" i="4"/>
  <c r="P2143" i="4"/>
  <c r="P2144" i="4"/>
  <c r="U2144" i="4" s="1"/>
  <c r="P2145" i="4"/>
  <c r="U2145" i="4" s="1"/>
  <c r="P2146" i="4"/>
  <c r="U2146" i="4" s="1"/>
  <c r="P2147" i="4"/>
  <c r="U2147" i="4" s="1"/>
  <c r="P2148" i="4"/>
  <c r="U2148" i="4" s="1"/>
  <c r="P2149" i="4"/>
  <c r="P2150" i="4"/>
  <c r="P2151" i="4"/>
  <c r="P2152" i="4"/>
  <c r="U2152" i="4" s="1"/>
  <c r="P2153" i="4"/>
  <c r="U2153" i="4" s="1"/>
  <c r="P2154" i="4"/>
  <c r="U2154" i="4" s="1"/>
  <c r="P2155" i="4"/>
  <c r="U2155" i="4" s="1"/>
  <c r="P2156" i="4"/>
  <c r="U2156" i="4" s="1"/>
  <c r="P2157" i="4"/>
  <c r="P2158" i="4"/>
  <c r="P2159" i="4"/>
  <c r="P2160" i="4"/>
  <c r="U2160" i="4" s="1"/>
  <c r="P2161" i="4"/>
  <c r="U2161" i="4" s="1"/>
  <c r="P2162" i="4"/>
  <c r="U2162" i="4" s="1"/>
  <c r="P2163" i="4"/>
  <c r="U2163" i="4" s="1"/>
  <c r="P2164" i="4"/>
  <c r="U2164" i="4" s="1"/>
  <c r="P2165" i="4"/>
  <c r="P2166" i="4"/>
  <c r="P2167" i="4"/>
  <c r="P2168" i="4"/>
  <c r="U2168" i="4" s="1"/>
  <c r="P2169" i="4"/>
  <c r="U2169" i="4" s="1"/>
  <c r="P2170" i="4"/>
  <c r="U2170" i="4" s="1"/>
  <c r="P2171" i="4"/>
  <c r="U2171" i="4" s="1"/>
  <c r="P2172" i="4"/>
  <c r="U2172" i="4" s="1"/>
  <c r="P2173" i="4"/>
  <c r="P2174" i="4"/>
  <c r="P2175" i="4"/>
  <c r="P2176" i="4"/>
  <c r="U2176" i="4" s="1"/>
  <c r="P2177" i="4"/>
  <c r="U2177" i="4" s="1"/>
  <c r="P2178" i="4"/>
  <c r="U2178" i="4" s="1"/>
  <c r="P2179" i="4"/>
  <c r="U2179" i="4" s="1"/>
  <c r="P2180" i="4"/>
  <c r="U2180" i="4" s="1"/>
  <c r="P2181" i="4"/>
  <c r="P2182" i="4"/>
  <c r="P2183" i="4"/>
  <c r="P2184" i="4"/>
  <c r="U2184" i="4" s="1"/>
  <c r="P2185" i="4"/>
  <c r="U2185" i="4" s="1"/>
  <c r="P2186" i="4"/>
  <c r="U2186" i="4" s="1"/>
  <c r="P2187" i="4"/>
  <c r="U2187" i="4" s="1"/>
  <c r="P2188" i="4"/>
  <c r="U2188" i="4" s="1"/>
  <c r="P2189" i="4"/>
  <c r="P2190" i="4"/>
  <c r="P2191" i="4"/>
  <c r="P2192" i="4"/>
  <c r="U2192" i="4" s="1"/>
  <c r="P2193" i="4"/>
  <c r="U2193" i="4" s="1"/>
  <c r="P2194" i="4"/>
  <c r="U2194" i="4" s="1"/>
  <c r="P2195" i="4"/>
  <c r="U2195" i="4" s="1"/>
  <c r="P2196" i="4"/>
  <c r="U2196" i="4" s="1"/>
  <c r="P2197" i="4"/>
  <c r="P2198" i="4"/>
  <c r="P2199" i="4"/>
  <c r="P2200" i="4"/>
  <c r="U2200" i="4" s="1"/>
  <c r="P2201" i="4"/>
  <c r="U2201" i="4" s="1"/>
  <c r="P2202" i="4"/>
  <c r="U2202" i="4" s="1"/>
  <c r="P2203" i="4"/>
  <c r="U2203" i="4" s="1"/>
  <c r="P2204" i="4"/>
  <c r="U2204" i="4" s="1"/>
  <c r="P2205" i="4"/>
  <c r="P2206" i="4"/>
  <c r="P2207" i="4"/>
  <c r="P2208" i="4"/>
  <c r="U2208" i="4" s="1"/>
  <c r="P2209" i="4"/>
  <c r="U2209" i="4" s="1"/>
  <c r="P2210" i="4"/>
  <c r="U2210" i="4" s="1"/>
  <c r="P2211" i="4"/>
  <c r="U2211" i="4" s="1"/>
  <c r="P2212" i="4"/>
  <c r="U2212" i="4" s="1"/>
  <c r="P2213" i="4"/>
  <c r="P2214" i="4"/>
  <c r="P2215" i="4"/>
  <c r="P2216" i="4"/>
  <c r="U2216" i="4" s="1"/>
  <c r="P2217" i="4"/>
  <c r="U2217" i="4" s="1"/>
  <c r="P2218" i="4"/>
  <c r="U2218" i="4" s="1"/>
  <c r="P2219" i="4"/>
  <c r="U2219" i="4" s="1"/>
  <c r="P2220" i="4"/>
  <c r="U2220" i="4" s="1"/>
  <c r="P2221" i="4"/>
  <c r="P2222" i="4"/>
  <c r="P2223" i="4"/>
  <c r="P2224" i="4"/>
  <c r="U2224" i="4" s="1"/>
  <c r="P2225" i="4"/>
  <c r="U2225" i="4" s="1"/>
  <c r="P2226" i="4"/>
  <c r="U2226" i="4" s="1"/>
  <c r="P2227" i="4"/>
  <c r="U2227" i="4" s="1"/>
  <c r="P2228" i="4"/>
  <c r="U2228" i="4" s="1"/>
  <c r="P2229" i="4"/>
  <c r="P2230" i="4"/>
  <c r="P2231" i="4"/>
  <c r="P2232" i="4"/>
  <c r="U2232" i="4" s="1"/>
  <c r="P2233" i="4"/>
  <c r="U2233" i="4" s="1"/>
  <c r="P2234" i="4"/>
  <c r="U2234" i="4" s="1"/>
  <c r="P2235" i="4"/>
  <c r="U2235" i="4" s="1"/>
  <c r="P2236" i="4"/>
  <c r="U2236" i="4" s="1"/>
  <c r="P2237" i="4"/>
  <c r="P2238" i="4"/>
  <c r="P2239" i="4"/>
  <c r="P2240" i="4"/>
  <c r="U2240" i="4" s="1"/>
  <c r="P2241" i="4"/>
  <c r="U2241" i="4" s="1"/>
  <c r="P2242" i="4"/>
  <c r="U2242" i="4" s="1"/>
  <c r="P2243" i="4"/>
  <c r="U2243" i="4" s="1"/>
  <c r="P2244" i="4"/>
  <c r="U2244" i="4" s="1"/>
  <c r="P2245" i="4"/>
  <c r="P2246" i="4"/>
  <c r="P2247" i="4"/>
  <c r="U2247" i="4" s="1"/>
  <c r="P2248" i="4"/>
  <c r="U2248" i="4" s="1"/>
  <c r="P2249" i="4"/>
  <c r="U2249" i="4" s="1"/>
  <c r="P2250" i="4"/>
  <c r="U2250" i="4" s="1"/>
  <c r="P2251" i="4"/>
  <c r="U2251" i="4" s="1"/>
  <c r="P2252" i="4"/>
  <c r="U2252" i="4" s="1"/>
  <c r="P2253" i="4"/>
  <c r="P2254" i="4"/>
  <c r="P2255" i="4"/>
  <c r="P2256" i="4"/>
  <c r="U2256" i="4" s="1"/>
  <c r="P2257" i="4"/>
  <c r="U2257" i="4" s="1"/>
  <c r="P2258" i="4"/>
  <c r="U2258" i="4" s="1"/>
  <c r="P2259" i="4"/>
  <c r="U2259" i="4" s="1"/>
  <c r="P2260" i="4"/>
  <c r="U2260" i="4" s="1"/>
  <c r="P2261" i="4"/>
  <c r="P2262" i="4"/>
  <c r="P2263" i="4"/>
  <c r="P2264" i="4"/>
  <c r="U2264" i="4" s="1"/>
  <c r="P2265" i="4"/>
  <c r="U2265" i="4" s="1"/>
  <c r="P2266" i="4"/>
  <c r="U2266" i="4" s="1"/>
  <c r="P2267" i="4"/>
  <c r="U2267" i="4" s="1"/>
  <c r="P2268" i="4"/>
  <c r="U2268" i="4" s="1"/>
  <c r="P2269" i="4"/>
  <c r="P2270" i="4"/>
  <c r="P2271" i="4"/>
  <c r="U2271" i="4" s="1"/>
  <c r="P2272" i="4"/>
  <c r="U2272" i="4" s="1"/>
  <c r="P2273" i="4"/>
  <c r="U2273" i="4" s="1"/>
  <c r="P2274" i="4"/>
  <c r="U2274" i="4" s="1"/>
  <c r="P2275" i="4"/>
  <c r="U2275" i="4" s="1"/>
  <c r="P2276" i="4"/>
  <c r="U2276" i="4" s="1"/>
  <c r="P2277" i="4"/>
  <c r="P2278" i="4"/>
  <c r="P2279" i="4"/>
  <c r="P2280" i="4"/>
  <c r="U2280" i="4" s="1"/>
  <c r="P2281" i="4"/>
  <c r="U2281" i="4" s="1"/>
  <c r="P2282" i="4"/>
  <c r="U2282" i="4" s="1"/>
  <c r="P2283" i="4"/>
  <c r="U2283" i="4" s="1"/>
  <c r="P2284" i="4"/>
  <c r="U2284" i="4" s="1"/>
  <c r="P2285" i="4"/>
  <c r="P2286" i="4"/>
  <c r="P2287" i="4"/>
  <c r="P2288" i="4"/>
  <c r="U2288" i="4" s="1"/>
  <c r="P2289" i="4"/>
  <c r="U2289" i="4" s="1"/>
  <c r="P2290" i="4"/>
  <c r="U2290" i="4" s="1"/>
  <c r="P2291" i="4"/>
  <c r="U2291" i="4" s="1"/>
  <c r="P2292" i="4"/>
  <c r="U2292" i="4" s="1"/>
  <c r="P2293" i="4"/>
  <c r="P2294" i="4"/>
  <c r="P2295" i="4"/>
  <c r="P2296" i="4"/>
  <c r="U2296" i="4" s="1"/>
  <c r="P2297" i="4"/>
  <c r="U2297" i="4" s="1"/>
  <c r="P2298" i="4"/>
  <c r="U2298" i="4" s="1"/>
  <c r="P2299" i="4"/>
  <c r="U2299" i="4" s="1"/>
  <c r="P2300" i="4"/>
  <c r="U2300" i="4" s="1"/>
  <c r="P2301" i="4"/>
  <c r="P2302" i="4"/>
  <c r="P2303" i="4"/>
  <c r="P2304" i="4"/>
  <c r="U2304" i="4" s="1"/>
  <c r="P2305" i="4"/>
  <c r="U2305" i="4" s="1"/>
  <c r="P2306" i="4"/>
  <c r="U2306" i="4" s="1"/>
  <c r="P2307" i="4"/>
  <c r="U2307" i="4" s="1"/>
  <c r="P2308" i="4"/>
  <c r="U2308" i="4" s="1"/>
  <c r="P2309" i="4"/>
  <c r="P2310" i="4"/>
  <c r="P2311" i="4"/>
  <c r="U2311" i="4" s="1"/>
  <c r="P2312" i="4"/>
  <c r="U2312" i="4" s="1"/>
  <c r="P2313" i="4"/>
  <c r="U2313" i="4" s="1"/>
  <c r="P2314" i="4"/>
  <c r="U2314" i="4" s="1"/>
  <c r="P2315" i="4"/>
  <c r="U2315" i="4" s="1"/>
  <c r="P2316" i="4"/>
  <c r="U2316" i="4" s="1"/>
  <c r="P2317" i="4"/>
  <c r="P2318" i="4"/>
  <c r="P2319" i="4"/>
  <c r="P2320" i="4"/>
  <c r="U2320" i="4" s="1"/>
  <c r="P2321" i="4"/>
  <c r="U2321" i="4" s="1"/>
  <c r="P2322" i="4"/>
  <c r="U2322" i="4" s="1"/>
  <c r="P2323" i="4"/>
  <c r="U2323" i="4" s="1"/>
  <c r="P2324" i="4"/>
  <c r="U2324" i="4" s="1"/>
  <c r="P2325" i="4"/>
  <c r="P2326" i="4"/>
  <c r="P2327" i="4"/>
  <c r="P2328" i="4"/>
  <c r="U2328" i="4" s="1"/>
  <c r="P2329" i="4"/>
  <c r="U2329" i="4" s="1"/>
  <c r="P2330" i="4"/>
  <c r="U2330" i="4" s="1"/>
  <c r="P2331" i="4"/>
  <c r="U2331" i="4" s="1"/>
  <c r="P2332" i="4"/>
  <c r="U2332" i="4" s="1"/>
  <c r="P2333" i="4"/>
  <c r="P2334" i="4"/>
  <c r="P2335" i="4"/>
  <c r="U2335" i="4" s="1"/>
  <c r="P2336" i="4"/>
  <c r="U2336" i="4" s="1"/>
  <c r="P2337" i="4"/>
  <c r="U2337" i="4" s="1"/>
  <c r="P2338" i="4"/>
  <c r="U2338" i="4" s="1"/>
  <c r="P2339" i="4"/>
  <c r="U2339" i="4" s="1"/>
  <c r="P2340" i="4"/>
  <c r="U2340" i="4" s="1"/>
  <c r="P2341" i="4"/>
  <c r="P2342" i="4"/>
  <c r="P2343" i="4"/>
  <c r="P2344" i="4"/>
  <c r="U2344" i="4" s="1"/>
  <c r="U2343" i="4"/>
  <c r="U2342" i="4"/>
  <c r="U2341" i="4"/>
  <c r="U2334" i="4"/>
  <c r="U2333" i="4"/>
  <c r="U2327" i="4"/>
  <c r="U2326" i="4"/>
  <c r="U2325" i="4"/>
  <c r="U2319" i="4"/>
  <c r="U2318" i="4"/>
  <c r="U2317" i="4"/>
  <c r="U2310" i="4"/>
  <c r="U2309" i="4"/>
  <c r="U2303" i="4"/>
  <c r="U2302" i="4"/>
  <c r="U2301" i="4"/>
  <c r="U2295" i="4"/>
  <c r="U2294" i="4"/>
  <c r="U2293" i="4"/>
  <c r="U2287" i="4"/>
  <c r="U2286" i="4"/>
  <c r="U2285" i="4"/>
  <c r="U2279" i="4"/>
  <c r="U2278" i="4"/>
  <c r="U2277" i="4"/>
  <c r="U2270" i="4"/>
  <c r="U2269" i="4"/>
  <c r="U2263" i="4"/>
  <c r="U2262" i="4"/>
  <c r="U2261" i="4"/>
  <c r="U2255" i="4"/>
  <c r="U2254" i="4"/>
  <c r="U2253" i="4"/>
  <c r="U2246" i="4"/>
  <c r="U2245" i="4"/>
  <c r="U2239" i="4"/>
  <c r="U2238" i="4"/>
  <c r="U2237" i="4"/>
  <c r="U2231" i="4"/>
  <c r="U2230" i="4"/>
  <c r="U2229" i="4"/>
  <c r="U2223" i="4"/>
  <c r="U2222" i="4"/>
  <c r="U2221" i="4"/>
  <c r="U2215" i="4"/>
  <c r="U2214" i="4"/>
  <c r="U2213" i="4"/>
  <c r="U2207" i="4"/>
  <c r="U2206" i="4"/>
  <c r="U2205" i="4"/>
  <c r="U2199" i="4"/>
  <c r="U2198" i="4"/>
  <c r="U2197" i="4"/>
  <c r="U2191" i="4"/>
  <c r="U2190" i="4"/>
  <c r="U2189" i="4"/>
  <c r="U2183" i="4"/>
  <c r="U2182" i="4"/>
  <c r="U2181" i="4"/>
  <c r="U2175" i="4"/>
  <c r="U2174" i="4"/>
  <c r="U2173" i="4"/>
  <c r="U2167" i="4"/>
  <c r="U2166" i="4"/>
  <c r="U2165" i="4"/>
  <c r="U2159" i="4"/>
  <c r="U2158" i="4"/>
  <c r="U2157" i="4"/>
  <c r="U2151" i="4"/>
  <c r="U2150" i="4"/>
  <c r="U2149" i="4"/>
  <c r="U2143" i="4"/>
  <c r="U2142" i="4"/>
  <c r="U2141" i="4"/>
  <c r="U2135" i="4"/>
  <c r="U2134" i="4"/>
  <c r="U2133" i="4"/>
  <c r="U2127" i="4"/>
  <c r="U2126" i="4"/>
  <c r="U2125" i="4"/>
  <c r="U2119" i="4"/>
  <c r="U2118" i="4"/>
  <c r="U2117" i="4"/>
  <c r="U2111" i="4"/>
  <c r="U2110" i="4"/>
  <c r="U2109" i="4"/>
  <c r="U2103" i="4"/>
  <c r="U2102" i="4"/>
  <c r="U2101" i="4"/>
  <c r="U2095" i="4"/>
  <c r="U2094" i="4"/>
  <c r="U2093" i="4"/>
  <c r="U2090" i="4"/>
  <c r="U2087" i="4"/>
  <c r="U2086" i="4"/>
  <c r="U2085" i="4"/>
  <c r="U2082" i="4"/>
  <c r="U2079" i="4"/>
  <c r="U2078" i="4"/>
  <c r="U2077" i="4"/>
  <c r="U2074" i="4"/>
  <c r="U2070" i="4"/>
  <c r="U2069" i="4"/>
  <c r="U2066" i="4"/>
  <c r="U2063" i="4"/>
  <c r="U2062" i="4"/>
  <c r="U2061" i="4"/>
  <c r="U2058" i="4"/>
  <c r="U2055" i="4"/>
  <c r="U2054" i="4"/>
  <c r="U2050" i="4"/>
  <c r="U2047" i="4"/>
  <c r="U2046" i="4"/>
  <c r="U2045" i="4"/>
  <c r="U2042" i="4"/>
  <c r="U2038" i="4"/>
  <c r="U2037" i="4"/>
  <c r="U2034" i="4"/>
  <c r="U2031" i="4"/>
  <c r="U2030" i="4"/>
  <c r="U2029" i="4"/>
  <c r="U2026" i="4"/>
  <c r="U2023" i="4"/>
  <c r="U2022" i="4"/>
  <c r="U2021" i="4"/>
  <c r="U2018" i="4"/>
  <c r="U2015" i="4"/>
  <c r="U2014" i="4"/>
  <c r="U2013" i="4"/>
  <c r="U2010" i="4"/>
  <c r="U2006" i="4"/>
  <c r="U2005" i="4"/>
  <c r="U2002" i="4"/>
  <c r="U1999" i="4"/>
  <c r="U1998" i="4"/>
  <c r="U1997" i="4"/>
  <c r="U1994" i="4"/>
  <c r="U1991" i="4"/>
  <c r="U1990" i="4"/>
  <c r="U1989" i="4"/>
  <c r="U1986" i="4"/>
  <c r="U1983" i="4"/>
  <c r="U1982" i="4"/>
  <c r="U1981" i="4"/>
  <c r="U1978" i="4"/>
  <c r="U1974" i="4"/>
  <c r="U1973" i="4"/>
  <c r="U1970" i="4"/>
  <c r="U1967" i="4"/>
  <c r="U1966" i="4"/>
  <c r="U1965" i="4"/>
  <c r="U1962" i="4"/>
  <c r="U1959" i="4"/>
  <c r="U1958" i="4"/>
  <c r="U1957" i="4"/>
  <c r="U1954" i="4"/>
  <c r="U1952" i="4"/>
  <c r="U1951" i="4"/>
  <c r="U1950" i="4"/>
  <c r="U1949" i="4"/>
  <c r="U1946" i="4"/>
  <c r="U1943" i="4"/>
  <c r="U1942" i="4"/>
  <c r="U1941" i="4"/>
  <c r="U1938" i="4"/>
  <c r="U1935" i="4"/>
  <c r="U1934" i="4"/>
  <c r="U1933" i="4"/>
  <c r="U1930" i="4"/>
  <c r="U1928" i="4"/>
  <c r="U1927" i="4"/>
  <c r="U1926" i="4"/>
  <c r="U1925" i="4"/>
  <c r="U1922" i="4"/>
  <c r="U1919" i="4"/>
  <c r="U1918" i="4"/>
  <c r="U1917" i="4"/>
  <c r="U1914" i="4"/>
  <c r="U1911" i="4"/>
  <c r="U1910" i="4"/>
  <c r="U1909" i="4"/>
  <c r="U1906" i="4"/>
  <c r="U1903" i="4"/>
  <c r="U1902" i="4"/>
  <c r="U1901" i="4"/>
  <c r="U1898" i="4"/>
  <c r="U1895" i="4"/>
  <c r="U1894" i="4"/>
  <c r="U1893" i="4"/>
  <c r="U1890" i="4"/>
  <c r="U1887" i="4"/>
  <c r="U1886" i="4"/>
  <c r="U1885" i="4"/>
  <c r="U1882" i="4"/>
  <c r="U1879" i="4"/>
  <c r="U1878" i="4"/>
  <c r="U1877" i="4"/>
  <c r="U1874" i="4"/>
  <c r="U1871" i="4"/>
  <c r="U1870" i="4"/>
  <c r="U1869" i="4"/>
  <c r="U1866" i="4"/>
  <c r="U1863" i="4"/>
  <c r="U1862" i="4"/>
  <c r="U1861" i="4"/>
  <c r="U1858" i="4"/>
  <c r="U1855" i="4"/>
  <c r="U1854" i="4"/>
  <c r="U1853" i="4"/>
  <c r="U1851" i="4"/>
  <c r="U1850" i="4"/>
  <c r="U1847" i="4"/>
  <c r="U1846" i="4"/>
  <c r="U1845" i="4"/>
  <c r="U1843" i="4"/>
  <c r="U1842" i="4"/>
  <c r="U1839" i="4"/>
  <c r="U1838" i="4"/>
  <c r="U1837" i="4"/>
  <c r="U1834" i="4"/>
  <c r="U1831" i="4"/>
  <c r="U1830" i="4"/>
  <c r="U1829" i="4"/>
  <c r="U1826" i="4"/>
  <c r="U1823" i="4"/>
  <c r="U1822" i="4"/>
  <c r="U1821" i="4"/>
  <c r="U1819" i="4"/>
  <c r="U1818" i="4"/>
  <c r="U1815" i="4"/>
  <c r="U1814" i="4"/>
  <c r="U1813" i="4"/>
  <c r="U1811" i="4"/>
  <c r="U1810" i="4"/>
  <c r="U1807" i="4"/>
  <c r="U1806" i="4"/>
  <c r="U1805" i="4"/>
  <c r="U1802" i="4"/>
  <c r="U1799" i="4"/>
  <c r="U1798" i="4"/>
  <c r="U1797" i="4"/>
  <c r="U1794" i="4"/>
  <c r="U1791" i="4"/>
  <c r="U1790" i="4"/>
  <c r="U1789" i="4"/>
  <c r="U1787" i="4"/>
  <c r="U1786" i="4"/>
  <c r="U1783" i="4"/>
  <c r="U1782" i="4"/>
  <c r="U1781" i="4"/>
  <c r="U1779" i="4"/>
  <c r="U1778" i="4"/>
  <c r="U1775" i="4"/>
  <c r="U1774" i="4"/>
  <c r="U1773" i="4"/>
  <c r="U1770" i="4"/>
  <c r="U1767" i="4"/>
  <c r="U1766" i="4"/>
  <c r="U1765" i="4"/>
  <c r="U1762" i="4"/>
  <c r="U1759" i="4"/>
  <c r="U1758" i="4"/>
  <c r="U1757" i="4"/>
  <c r="U1755" i="4"/>
  <c r="U1754" i="4"/>
  <c r="U1751" i="4"/>
  <c r="U1750" i="4"/>
  <c r="U1749" i="4"/>
  <c r="U1747" i="4"/>
  <c r="U1746" i="4"/>
  <c r="U1743" i="4"/>
  <c r="U1742" i="4"/>
  <c r="U1741" i="4"/>
  <c r="U1739" i="4"/>
  <c r="U1738" i="4"/>
  <c r="U1735" i="4"/>
  <c r="U1734" i="4"/>
  <c r="U1733" i="4"/>
  <c r="U1730" i="4"/>
  <c r="U1728" i="4"/>
  <c r="U1727" i="4"/>
  <c r="U1726" i="4"/>
  <c r="U1725" i="4"/>
  <c r="U1722" i="4"/>
  <c r="U1719" i="4"/>
  <c r="U1718" i="4"/>
  <c r="U1717" i="4"/>
  <c r="U1714" i="4"/>
  <c r="U1711" i="4"/>
  <c r="U1710" i="4"/>
  <c r="U1709" i="4"/>
  <c r="U1707" i="4"/>
  <c r="U1706" i="4"/>
  <c r="U1703" i="4"/>
  <c r="U1702" i="4"/>
  <c r="U1701" i="4"/>
  <c r="U1698" i="4"/>
  <c r="U1696" i="4"/>
  <c r="U1695" i="4"/>
  <c r="U1694" i="4"/>
  <c r="U1693" i="4"/>
  <c r="U1690" i="4"/>
  <c r="U1687" i="4"/>
  <c r="U1686" i="4"/>
  <c r="U1685" i="4"/>
  <c r="U1682" i="4"/>
  <c r="U1679" i="4"/>
  <c r="U1678" i="4"/>
  <c r="U1677" i="4"/>
  <c r="U1675" i="4"/>
  <c r="U1674" i="4"/>
  <c r="U1671" i="4"/>
  <c r="U1670" i="4"/>
  <c r="U1669" i="4"/>
  <c r="U1666" i="4"/>
  <c r="U1663" i="4"/>
  <c r="U1662" i="4"/>
  <c r="U1661" i="4"/>
  <c r="U1658" i="4"/>
  <c r="U1656" i="4"/>
  <c r="U1655" i="4"/>
  <c r="U1654" i="4"/>
  <c r="U1653" i="4"/>
  <c r="U1650" i="4"/>
  <c r="U1647" i="4"/>
  <c r="U1646" i="4"/>
  <c r="U1645" i="4"/>
  <c r="U1642" i="4"/>
  <c r="U1639" i="4"/>
  <c r="U1638" i="4"/>
  <c r="U1637" i="4"/>
  <c r="U1635" i="4"/>
  <c r="U1634" i="4"/>
  <c r="U1631" i="4"/>
  <c r="U1630" i="4"/>
  <c r="U1629" i="4"/>
  <c r="U1626" i="4"/>
  <c r="U1624" i="4"/>
  <c r="U1623" i="4"/>
  <c r="U1622" i="4"/>
  <c r="U1621" i="4"/>
  <c r="U1618" i="4"/>
  <c r="U1615" i="4"/>
  <c r="U1614" i="4"/>
  <c r="U1613" i="4"/>
  <c r="U1611" i="4"/>
  <c r="U1610" i="4"/>
  <c r="U1607" i="4"/>
  <c r="U1606" i="4"/>
  <c r="U1605" i="4"/>
  <c r="U1603" i="4"/>
  <c r="U1602" i="4"/>
  <c r="U1599" i="4"/>
  <c r="U1598" i="4"/>
  <c r="U1597" i="4"/>
  <c r="U1594" i="4"/>
  <c r="U1591" i="4"/>
  <c r="U1590" i="4"/>
  <c r="U1589" i="4"/>
  <c r="U1586" i="4"/>
  <c r="U1584" i="4"/>
  <c r="U1583" i="4"/>
  <c r="U1582" i="4"/>
  <c r="U1581" i="4"/>
  <c r="U1578" i="4"/>
  <c r="U1575" i="4"/>
  <c r="U1574" i="4"/>
  <c r="U1573" i="4"/>
  <c r="U1570" i="4"/>
  <c r="U1567" i="4"/>
  <c r="U1566" i="4"/>
  <c r="U1565" i="4"/>
  <c r="U1563" i="4"/>
  <c r="U1562" i="4"/>
  <c r="U1559" i="4"/>
  <c r="U1558" i="4"/>
  <c r="U1557" i="4"/>
  <c r="U1554" i="4"/>
  <c r="U1552" i="4"/>
  <c r="U1551" i="4"/>
  <c r="U1550" i="4"/>
  <c r="U1549" i="4"/>
  <c r="U1546" i="4"/>
  <c r="U1543" i="4"/>
  <c r="U1542" i="4"/>
  <c r="U1541" i="4"/>
  <c r="U1539" i="4"/>
  <c r="U1538" i="4"/>
  <c r="U1535" i="4"/>
  <c r="U1534" i="4"/>
  <c r="U1533" i="4"/>
  <c r="U1531" i="4"/>
  <c r="U1530" i="4"/>
  <c r="U1527" i="4"/>
  <c r="U1526" i="4"/>
  <c r="U1525" i="4"/>
  <c r="U1523" i="4"/>
  <c r="U1522" i="4"/>
  <c r="U1520" i="4"/>
  <c r="U1519" i="4"/>
  <c r="U1518" i="4"/>
  <c r="U1517" i="4"/>
  <c r="U1514" i="4"/>
  <c r="U1512" i="4"/>
  <c r="U1511" i="4"/>
  <c r="U1510" i="4"/>
  <c r="U1509" i="4"/>
  <c r="U1506" i="4"/>
  <c r="U1503" i="4"/>
  <c r="U1502" i="4"/>
  <c r="U1501" i="4"/>
  <c r="U1499" i="4"/>
  <c r="U1498" i="4"/>
  <c r="U1495" i="4"/>
  <c r="U1494" i="4"/>
  <c r="U1493" i="4"/>
  <c r="U1491" i="4"/>
  <c r="U1490" i="4"/>
  <c r="U1487" i="4"/>
  <c r="U1486" i="4"/>
  <c r="U1485" i="4"/>
  <c r="U1483" i="4"/>
  <c r="U1482" i="4"/>
  <c r="U1479" i="4"/>
  <c r="U1478" i="4"/>
  <c r="U1477" i="4"/>
  <c r="U1474" i="4"/>
  <c r="U1472" i="4"/>
  <c r="U1471" i="4"/>
  <c r="U1470" i="4"/>
  <c r="U1469" i="4"/>
  <c r="U1467" i="4"/>
  <c r="U1466" i="4"/>
  <c r="U1463" i="4"/>
  <c r="U1462" i="4"/>
  <c r="U1461" i="4"/>
  <c r="U1459" i="4"/>
  <c r="U1458" i="4"/>
  <c r="U1455" i="4"/>
  <c r="U1454" i="4"/>
  <c r="U1453" i="4"/>
  <c r="U1450" i="4"/>
  <c r="U1447" i="4"/>
  <c r="U1446" i="4"/>
  <c r="U1445" i="4"/>
  <c r="U1443" i="4"/>
  <c r="U1442" i="4"/>
  <c r="U1439" i="4"/>
  <c r="U1438" i="4"/>
  <c r="U1437" i="4"/>
  <c r="U1434" i="4"/>
  <c r="U1432" i="4"/>
  <c r="U1431" i="4"/>
  <c r="U1430" i="4"/>
  <c r="U1429" i="4"/>
  <c r="U1427" i="4"/>
  <c r="U1426" i="4"/>
  <c r="U1423" i="4"/>
  <c r="U1422" i="4"/>
  <c r="U1421" i="4"/>
  <c r="U1419" i="4"/>
  <c r="U1418" i="4"/>
  <c r="U1415" i="4"/>
  <c r="U1414" i="4"/>
  <c r="U1413" i="4"/>
  <c r="U1411" i="4"/>
  <c r="U1410" i="4"/>
  <c r="U1408" i="4"/>
  <c r="U1407" i="4"/>
  <c r="U1406" i="4"/>
  <c r="U1405" i="4"/>
  <c r="U1403" i="4"/>
  <c r="U1402" i="4"/>
  <c r="U1399" i="4"/>
  <c r="U1398" i="4"/>
  <c r="U1397" i="4"/>
  <c r="U1394" i="4"/>
  <c r="U1392" i="4"/>
  <c r="U1391" i="4"/>
  <c r="U1390" i="4"/>
  <c r="U1389" i="4"/>
  <c r="U1386" i="4"/>
  <c r="U1383" i="4"/>
  <c r="U1382" i="4"/>
  <c r="U1381" i="4"/>
  <c r="U1379" i="4"/>
  <c r="U1378" i="4"/>
  <c r="U1375" i="4"/>
  <c r="U1374" i="4"/>
  <c r="U1373" i="4"/>
  <c r="U1371" i="4"/>
  <c r="U1370" i="4"/>
  <c r="U1368" i="4"/>
  <c r="U1367" i="4"/>
  <c r="U1366" i="4"/>
  <c r="U1365" i="4"/>
  <c r="U1363" i="4"/>
  <c r="U1362" i="4"/>
  <c r="U1361" i="4"/>
  <c r="U1359" i="4"/>
  <c r="U1358" i="4"/>
  <c r="U1357" i="4"/>
  <c r="U1354" i="4"/>
  <c r="U1352" i="4"/>
  <c r="U1351" i="4"/>
  <c r="U1350" i="4"/>
  <c r="U1349" i="4"/>
  <c r="U1347" i="4"/>
  <c r="U1346" i="4"/>
  <c r="U1343" i="4"/>
  <c r="U1342" i="4"/>
  <c r="U1341" i="4"/>
  <c r="U1338" i="4"/>
  <c r="U1335" i="4"/>
  <c r="U1334" i="4"/>
  <c r="U1333" i="4"/>
  <c r="U1331" i="4"/>
  <c r="U1330" i="4"/>
  <c r="U1327" i="4"/>
  <c r="U1326" i="4"/>
  <c r="U1325" i="4"/>
  <c r="U1323" i="4"/>
  <c r="U1322" i="4"/>
  <c r="U1319" i="4"/>
  <c r="U1318" i="4"/>
  <c r="U1317" i="4"/>
  <c r="U1314" i="4"/>
  <c r="U1312" i="4"/>
  <c r="U1311" i="4"/>
  <c r="U1310" i="4"/>
  <c r="U1309" i="4"/>
  <c r="U1307" i="4"/>
  <c r="U1306" i="4"/>
  <c r="U1303" i="4"/>
  <c r="U1302" i="4"/>
  <c r="U1301" i="4"/>
  <c r="U1298" i="4"/>
  <c r="U1295" i="4"/>
  <c r="U1294" i="4"/>
  <c r="U1293" i="4"/>
  <c r="U1291" i="4"/>
  <c r="U1290" i="4"/>
  <c r="U1288" i="4"/>
  <c r="U1287" i="4"/>
  <c r="U1286" i="4"/>
  <c r="U1285" i="4"/>
  <c r="U1283" i="4"/>
  <c r="U1282" i="4"/>
  <c r="U1280" i="4"/>
  <c r="U1279" i="4"/>
  <c r="U1278" i="4"/>
  <c r="U1277" i="4"/>
  <c r="U1275" i="4"/>
  <c r="U1274" i="4"/>
  <c r="U1272" i="4"/>
  <c r="U1271" i="4"/>
  <c r="U1270" i="4"/>
  <c r="U1269" i="4"/>
  <c r="U1267" i="4"/>
  <c r="U1266" i="4"/>
  <c r="U1263" i="4"/>
  <c r="U1262" i="4"/>
  <c r="U1261" i="4"/>
  <c r="U1259" i="4"/>
  <c r="U1258" i="4"/>
  <c r="U1255" i="4"/>
  <c r="U1254" i="4"/>
  <c r="U1253" i="4"/>
  <c r="U1251" i="4"/>
  <c r="U1250" i="4"/>
  <c r="U1248" i="4"/>
  <c r="U1247" i="4"/>
  <c r="U1246" i="4"/>
  <c r="U1245" i="4"/>
  <c r="U1243" i="4"/>
  <c r="U1242" i="4"/>
  <c r="U1240" i="4"/>
  <c r="U1239" i="4"/>
  <c r="U1238" i="4"/>
  <c r="U1237" i="4"/>
  <c r="U1235" i="4"/>
  <c r="U1234" i="4"/>
  <c r="U1233" i="4"/>
  <c r="U1232" i="4"/>
  <c r="U1231" i="4"/>
  <c r="U1230" i="4"/>
  <c r="U1229" i="4"/>
  <c r="U1227" i="4"/>
  <c r="U1226" i="4"/>
  <c r="U1223" i="4"/>
  <c r="U1222" i="4"/>
  <c r="U1221" i="4"/>
  <c r="U1218" i="4"/>
  <c r="U1215" i="4"/>
  <c r="U1214" i="4"/>
  <c r="U1213" i="4"/>
  <c r="U1211" i="4"/>
  <c r="U1210" i="4"/>
  <c r="U1208" i="4"/>
  <c r="U1207" i="4"/>
  <c r="U1206" i="4"/>
  <c r="U1205" i="4"/>
  <c r="U1203" i="4"/>
  <c r="U1202" i="4"/>
  <c r="U1199" i="4"/>
  <c r="U1198" i="4"/>
  <c r="U1197" i="4"/>
  <c r="U1194" i="4"/>
  <c r="U1192" i="4"/>
  <c r="U1191" i="4"/>
  <c r="U1190" i="4"/>
  <c r="U1189" i="4"/>
  <c r="U1187" i="4"/>
  <c r="U1186" i="4"/>
  <c r="U1183" i="4"/>
  <c r="U1182" i="4"/>
  <c r="U1181" i="4"/>
  <c r="U1178" i="4"/>
  <c r="U1175" i="4"/>
  <c r="U1174" i="4"/>
  <c r="U1173" i="4"/>
  <c r="U1171" i="4"/>
  <c r="U1170" i="4"/>
  <c r="U1168" i="4"/>
  <c r="U1167" i="4"/>
  <c r="U1166" i="4"/>
  <c r="U1165" i="4"/>
  <c r="U1163" i="4"/>
  <c r="U1162" i="4"/>
  <c r="U1160" i="4"/>
  <c r="U1159" i="4"/>
  <c r="U1158" i="4"/>
  <c r="U1157" i="4"/>
  <c r="U1155" i="4"/>
  <c r="U1154" i="4"/>
  <c r="U1151" i="4"/>
  <c r="U1150" i="4"/>
  <c r="U1149" i="4"/>
  <c r="U1147" i="4"/>
  <c r="U1146" i="4"/>
  <c r="U1145" i="4"/>
  <c r="U1143" i="4"/>
  <c r="U1142" i="4"/>
  <c r="U1141" i="4"/>
  <c r="U1138" i="4"/>
  <c r="U1137" i="4"/>
  <c r="U1135" i="4"/>
  <c r="U1134" i="4"/>
  <c r="U1133" i="4"/>
  <c r="U1131" i="4"/>
  <c r="U1130" i="4"/>
  <c r="U1128" i="4"/>
  <c r="U1127" i="4"/>
  <c r="U1126" i="4"/>
  <c r="U1125" i="4"/>
  <c r="U1123" i="4"/>
  <c r="U1122" i="4"/>
  <c r="U1120" i="4"/>
  <c r="U1119" i="4"/>
  <c r="U1118" i="4"/>
  <c r="U1117" i="4"/>
  <c r="U1115" i="4"/>
  <c r="U1114" i="4"/>
  <c r="U1111" i="4"/>
  <c r="U1110" i="4"/>
  <c r="U1109" i="4"/>
  <c r="U1107" i="4"/>
  <c r="U1106" i="4"/>
  <c r="U1105" i="4"/>
  <c r="U1103" i="4"/>
  <c r="U1102" i="4"/>
  <c r="U1101" i="4"/>
  <c r="U1098" i="4"/>
  <c r="U1095" i="4"/>
  <c r="U1094" i="4"/>
  <c r="U1093" i="4"/>
  <c r="U1091" i="4"/>
  <c r="U1090" i="4"/>
  <c r="U1087" i="4"/>
  <c r="U1086" i="4"/>
  <c r="U1085" i="4"/>
  <c r="U1082" i="4"/>
  <c r="U1080" i="4"/>
  <c r="U1079" i="4"/>
  <c r="U1078" i="4"/>
  <c r="U1077" i="4"/>
  <c r="U1075" i="4"/>
  <c r="U1074" i="4"/>
  <c r="U1072" i="4"/>
  <c r="U1071" i="4"/>
  <c r="U1070" i="4"/>
  <c r="U1069" i="4"/>
  <c r="U1067" i="4"/>
  <c r="U1066" i="4"/>
  <c r="U1063" i="4"/>
  <c r="U1062" i="4"/>
  <c r="U1061" i="4"/>
  <c r="U1058" i="4"/>
  <c r="U1055" i="4"/>
  <c r="U1054" i="4"/>
  <c r="U1053" i="4"/>
  <c r="U1051" i="4"/>
  <c r="U1050" i="4"/>
  <c r="U1047" i="4"/>
  <c r="U1046" i="4"/>
  <c r="U1045" i="4"/>
  <c r="U1043" i="4"/>
  <c r="U1042" i="4"/>
  <c r="U1040" i="4"/>
  <c r="U1039" i="4"/>
  <c r="U1038" i="4"/>
  <c r="U1037" i="4"/>
  <c r="U1036" i="4"/>
  <c r="U1035" i="4"/>
  <c r="U1034" i="4"/>
  <c r="U1032" i="4"/>
  <c r="U1031" i="4"/>
  <c r="U1030" i="4"/>
  <c r="U1029" i="4"/>
  <c r="U1028" i="4"/>
  <c r="U1027" i="4"/>
  <c r="U1026" i="4"/>
  <c r="U1024" i="4"/>
  <c r="U1023" i="4"/>
  <c r="U1022" i="4"/>
  <c r="U1021" i="4"/>
  <c r="U1020" i="4"/>
  <c r="U1019" i="4"/>
  <c r="U1018" i="4"/>
  <c r="U1016" i="4"/>
  <c r="U1015" i="4"/>
  <c r="U1014" i="4"/>
  <c r="U1013" i="4"/>
  <c r="U1012" i="4"/>
  <c r="U1011" i="4"/>
  <c r="U1010" i="4"/>
  <c r="U1008" i="4"/>
  <c r="U1007" i="4"/>
  <c r="U1006" i="4"/>
  <c r="U1005" i="4"/>
  <c r="U1004" i="4"/>
  <c r="U1003" i="4"/>
  <c r="U1002" i="4"/>
  <c r="U1000" i="4"/>
  <c r="U999" i="4"/>
  <c r="U998" i="4"/>
  <c r="U997" i="4"/>
  <c r="U996" i="4"/>
  <c r="U995" i="4"/>
  <c r="U994" i="4"/>
  <c r="U993" i="4"/>
  <c r="U992" i="4"/>
  <c r="U991" i="4"/>
  <c r="U990" i="4"/>
  <c r="U989" i="4"/>
  <c r="U988" i="4"/>
  <c r="U987" i="4"/>
  <c r="U986" i="4"/>
  <c r="U985" i="4"/>
  <c r="U984" i="4"/>
  <c r="U983" i="4"/>
  <c r="U982" i="4"/>
  <c r="U981" i="4"/>
  <c r="U980" i="4"/>
  <c r="U979" i="4"/>
  <c r="U978" i="4"/>
  <c r="U977" i="4"/>
  <c r="U976" i="4"/>
  <c r="U975" i="4"/>
  <c r="U974" i="4"/>
  <c r="U973" i="4"/>
  <c r="U972" i="4"/>
  <c r="U971" i="4"/>
  <c r="U970" i="4"/>
  <c r="U969" i="4"/>
  <c r="U968" i="4"/>
  <c r="U967" i="4"/>
  <c r="U966" i="4"/>
  <c r="U965" i="4"/>
  <c r="U964" i="4"/>
  <c r="U963" i="4"/>
  <c r="U962" i="4"/>
  <c r="U961" i="4"/>
  <c r="U960" i="4"/>
  <c r="U959" i="4"/>
  <c r="U958" i="4"/>
  <c r="U957" i="4"/>
  <c r="U956" i="4"/>
  <c r="U955" i="4"/>
  <c r="U954" i="4"/>
  <c r="U953" i="4"/>
  <c r="U952" i="4"/>
  <c r="U951" i="4"/>
  <c r="U950" i="4"/>
  <c r="U949" i="4"/>
  <c r="U948" i="4"/>
  <c r="U947" i="4"/>
  <c r="U946" i="4"/>
  <c r="U945" i="4"/>
  <c r="U944" i="4"/>
  <c r="U943" i="4"/>
  <c r="U942" i="4"/>
  <c r="U941" i="4"/>
  <c r="U940" i="4"/>
  <c r="U939" i="4"/>
  <c r="U938" i="4"/>
  <c r="U937" i="4"/>
  <c r="U936" i="4"/>
  <c r="U935" i="4"/>
  <c r="U934" i="4"/>
  <c r="U933" i="4"/>
  <c r="U932" i="4"/>
  <c r="U931" i="4"/>
  <c r="U930" i="4"/>
  <c r="U929" i="4"/>
  <c r="U928" i="4"/>
  <c r="U927" i="4"/>
  <c r="U926" i="4"/>
  <c r="U925" i="4"/>
  <c r="U924" i="4"/>
  <c r="U923" i="4"/>
  <c r="U922" i="4"/>
  <c r="U921" i="4"/>
  <c r="U920" i="4"/>
  <c r="U919" i="4"/>
  <c r="U918" i="4"/>
  <c r="U917" i="4"/>
  <c r="U916" i="4"/>
  <c r="U915" i="4"/>
  <c r="U914" i="4"/>
  <c r="U913" i="4"/>
  <c r="U912" i="4"/>
  <c r="U911" i="4"/>
  <c r="U910" i="4"/>
  <c r="U909" i="4"/>
  <c r="U908" i="4"/>
  <c r="U907" i="4"/>
  <c r="U906" i="4"/>
  <c r="U905" i="4"/>
  <c r="U904" i="4"/>
  <c r="U903" i="4"/>
  <c r="U902" i="4"/>
  <c r="U901" i="4"/>
  <c r="U900" i="4"/>
  <c r="U899" i="4"/>
  <c r="U898" i="4"/>
  <c r="U897" i="4"/>
  <c r="U896" i="4"/>
  <c r="U895" i="4"/>
  <c r="U894" i="4"/>
  <c r="U893" i="4"/>
  <c r="U892" i="4"/>
  <c r="U891" i="4"/>
  <c r="U890" i="4"/>
  <c r="U889" i="4"/>
  <c r="U888" i="4"/>
  <c r="U887" i="4"/>
  <c r="U886" i="4"/>
  <c r="U885" i="4"/>
  <c r="U884" i="4"/>
  <c r="U883" i="4"/>
  <c r="U882" i="4"/>
  <c r="U881" i="4"/>
  <c r="U880" i="4"/>
  <c r="U879" i="4"/>
  <c r="U878" i="4"/>
  <c r="U877" i="4"/>
  <c r="U876" i="4"/>
  <c r="U875" i="4"/>
  <c r="U874" i="4"/>
  <c r="U873" i="4"/>
  <c r="U872" i="4"/>
  <c r="U871" i="4"/>
  <c r="U870" i="4"/>
  <c r="U869" i="4"/>
  <c r="U868" i="4"/>
  <c r="U867" i="4"/>
  <c r="U866" i="4"/>
  <c r="U865" i="4"/>
  <c r="U864" i="4"/>
  <c r="U863" i="4"/>
  <c r="U862" i="4"/>
  <c r="U861" i="4"/>
  <c r="U860" i="4"/>
  <c r="U859" i="4"/>
  <c r="U858" i="4"/>
  <c r="U857" i="4"/>
  <c r="U856" i="4"/>
  <c r="U855" i="4"/>
  <c r="U854" i="4"/>
  <c r="U853" i="4"/>
  <c r="U852" i="4"/>
  <c r="U851" i="4"/>
  <c r="U850" i="4"/>
  <c r="U849" i="4"/>
  <c r="U848" i="4"/>
  <c r="U847" i="4"/>
  <c r="U846" i="4"/>
  <c r="U845" i="4"/>
  <c r="U844" i="4"/>
  <c r="U843" i="4"/>
  <c r="U842" i="4"/>
  <c r="U841" i="4"/>
  <c r="U840" i="4"/>
  <c r="U839" i="4"/>
  <c r="U838" i="4"/>
  <c r="U837" i="4"/>
  <c r="U836" i="4"/>
  <c r="U835" i="4"/>
  <c r="U834" i="4"/>
  <c r="U833" i="4"/>
  <c r="U832" i="4"/>
  <c r="U831" i="4"/>
  <c r="U830" i="4"/>
  <c r="U829" i="4"/>
  <c r="U828" i="4"/>
  <c r="U827" i="4"/>
  <c r="U826" i="4"/>
  <c r="U825" i="4"/>
  <c r="U824" i="4"/>
  <c r="U823" i="4"/>
  <c r="U822" i="4"/>
  <c r="U821" i="4"/>
  <c r="U820" i="4"/>
  <c r="U819" i="4"/>
  <c r="U818" i="4"/>
  <c r="U817" i="4"/>
  <c r="U816" i="4"/>
  <c r="U815" i="4"/>
  <c r="U814" i="4"/>
  <c r="U813" i="4"/>
  <c r="U812" i="4"/>
  <c r="U811" i="4"/>
  <c r="U810" i="4"/>
  <c r="U809" i="4"/>
  <c r="U808" i="4"/>
  <c r="U807" i="4"/>
  <c r="U806" i="4"/>
  <c r="U805" i="4"/>
  <c r="U804" i="4"/>
  <c r="U803" i="4"/>
  <c r="U802" i="4"/>
  <c r="U801" i="4"/>
  <c r="U800" i="4"/>
  <c r="U799" i="4"/>
  <c r="U798" i="4"/>
  <c r="U797" i="4"/>
  <c r="U796" i="4"/>
  <c r="U795" i="4"/>
  <c r="U794" i="4"/>
  <c r="U793" i="4"/>
  <c r="U792" i="4"/>
  <c r="U791" i="4"/>
  <c r="U790" i="4"/>
  <c r="U789" i="4"/>
  <c r="U788" i="4"/>
  <c r="U787" i="4"/>
  <c r="U786" i="4"/>
  <c r="U785" i="4"/>
  <c r="U784" i="4"/>
  <c r="U783" i="4"/>
  <c r="U782" i="4"/>
  <c r="U781" i="4"/>
  <c r="U780" i="4"/>
  <c r="U779" i="4"/>
  <c r="U778" i="4"/>
  <c r="U777" i="4"/>
  <c r="U776" i="4"/>
  <c r="U775" i="4"/>
  <c r="U774" i="4"/>
  <c r="U773" i="4"/>
  <c r="U772" i="4"/>
  <c r="U771" i="4"/>
  <c r="U770" i="4"/>
  <c r="U769" i="4"/>
  <c r="U768" i="4"/>
  <c r="U767" i="4"/>
  <c r="U766" i="4"/>
  <c r="U765" i="4"/>
  <c r="U764" i="4"/>
  <c r="U763" i="4"/>
  <c r="U762" i="4"/>
  <c r="U761" i="4"/>
  <c r="U760" i="4"/>
  <c r="U759" i="4"/>
  <c r="U758" i="4"/>
  <c r="U757" i="4"/>
  <c r="U756" i="4"/>
  <c r="U755" i="4"/>
  <c r="U754" i="4"/>
  <c r="U753" i="4"/>
  <c r="U752" i="4"/>
  <c r="U751" i="4"/>
  <c r="U750" i="4"/>
  <c r="U749" i="4"/>
  <c r="U748" i="4"/>
  <c r="U747" i="4"/>
  <c r="U746" i="4"/>
  <c r="U745" i="4"/>
  <c r="U744" i="4"/>
  <c r="U743" i="4"/>
  <c r="U742" i="4"/>
  <c r="U741" i="4"/>
  <c r="U740" i="4"/>
  <c r="U739" i="4"/>
  <c r="U738" i="4"/>
  <c r="U737" i="4"/>
  <c r="U736" i="4"/>
  <c r="U735" i="4"/>
  <c r="U734" i="4"/>
  <c r="U733" i="4"/>
  <c r="U732" i="4"/>
  <c r="U731" i="4"/>
  <c r="U730" i="4"/>
  <c r="U729" i="4"/>
  <c r="U728" i="4"/>
  <c r="U727" i="4"/>
  <c r="U726" i="4"/>
  <c r="U725" i="4"/>
  <c r="U724" i="4"/>
  <c r="U723" i="4"/>
  <c r="U722" i="4"/>
  <c r="U721" i="4"/>
  <c r="U720" i="4"/>
  <c r="U719" i="4"/>
  <c r="U718" i="4"/>
  <c r="U717" i="4"/>
  <c r="U716" i="4"/>
  <c r="U715" i="4"/>
  <c r="U714" i="4"/>
  <c r="U713" i="4"/>
  <c r="U712" i="4"/>
  <c r="U711" i="4"/>
  <c r="U710" i="4"/>
  <c r="U709" i="4"/>
  <c r="U708" i="4"/>
  <c r="U707" i="4"/>
  <c r="U706" i="4"/>
  <c r="U705" i="4"/>
  <c r="U704" i="4"/>
  <c r="U703" i="4"/>
  <c r="U702" i="4"/>
  <c r="U701" i="4"/>
  <c r="U700" i="4"/>
  <c r="U699" i="4"/>
  <c r="U698" i="4"/>
  <c r="U697" i="4"/>
  <c r="U696" i="4"/>
  <c r="U695" i="4"/>
  <c r="U694" i="4"/>
  <c r="U693" i="4"/>
  <c r="U692" i="4"/>
  <c r="U691" i="4"/>
  <c r="U690" i="4"/>
  <c r="U689" i="4"/>
  <c r="U688" i="4"/>
  <c r="U687" i="4"/>
  <c r="U686" i="4"/>
  <c r="U685" i="4"/>
  <c r="U684" i="4"/>
  <c r="U683" i="4"/>
  <c r="U682" i="4"/>
  <c r="U681" i="4"/>
  <c r="U680" i="4"/>
  <c r="U679" i="4"/>
  <c r="U678" i="4"/>
  <c r="U677" i="4"/>
  <c r="U676" i="4"/>
  <c r="U675" i="4"/>
  <c r="U674" i="4"/>
  <c r="U673" i="4"/>
  <c r="U672" i="4"/>
  <c r="U671" i="4"/>
  <c r="U670" i="4"/>
  <c r="U669" i="4"/>
  <c r="U668" i="4"/>
  <c r="U667" i="4"/>
  <c r="U666" i="4"/>
  <c r="U665" i="4"/>
  <c r="U664" i="4"/>
  <c r="U663" i="4"/>
  <c r="U662" i="4"/>
  <c r="U661" i="4"/>
  <c r="U660" i="4"/>
  <c r="U659" i="4"/>
  <c r="U658" i="4"/>
  <c r="U657" i="4"/>
  <c r="U656" i="4"/>
  <c r="U655" i="4"/>
  <c r="U654" i="4"/>
  <c r="U653" i="4"/>
  <c r="U652" i="4"/>
  <c r="U651" i="4"/>
  <c r="U650" i="4"/>
  <c r="U649" i="4"/>
  <c r="U648" i="4"/>
  <c r="U647" i="4"/>
  <c r="U646" i="4"/>
  <c r="U645" i="4"/>
  <c r="U644" i="4"/>
  <c r="U643" i="4"/>
  <c r="U642" i="4"/>
  <c r="U641" i="4"/>
  <c r="U640" i="4"/>
  <c r="U639" i="4"/>
  <c r="U638" i="4"/>
  <c r="U637" i="4"/>
  <c r="U636" i="4"/>
  <c r="U635" i="4"/>
  <c r="U634" i="4"/>
  <c r="U633" i="4"/>
  <c r="U632" i="4"/>
  <c r="U631" i="4"/>
  <c r="U630" i="4"/>
  <c r="U629" i="4"/>
  <c r="U628" i="4"/>
  <c r="U627" i="4"/>
  <c r="U626" i="4"/>
  <c r="U625" i="4"/>
  <c r="U624" i="4"/>
  <c r="U623" i="4"/>
  <c r="U622" i="4"/>
  <c r="U621" i="4"/>
  <c r="U620" i="4"/>
  <c r="U619" i="4"/>
  <c r="U618" i="4"/>
  <c r="U617" i="4"/>
  <c r="U616" i="4"/>
  <c r="U615" i="4"/>
  <c r="U614" i="4"/>
  <c r="U613" i="4"/>
  <c r="U612" i="4"/>
  <c r="U611" i="4"/>
  <c r="U610" i="4"/>
  <c r="U609" i="4"/>
  <c r="U608" i="4"/>
  <c r="U607" i="4"/>
  <c r="U606" i="4"/>
  <c r="U605" i="4"/>
  <c r="U604" i="4"/>
  <c r="U603" i="4"/>
  <c r="U602" i="4"/>
  <c r="U601" i="4"/>
  <c r="U600" i="4"/>
  <c r="U599" i="4"/>
  <c r="U598" i="4"/>
  <c r="U597" i="4"/>
  <c r="U596" i="4"/>
  <c r="U595" i="4"/>
  <c r="U594" i="4"/>
  <c r="U593" i="4"/>
  <c r="U592" i="4"/>
  <c r="U591" i="4"/>
  <c r="U590" i="4"/>
  <c r="U589" i="4"/>
  <c r="U588" i="4"/>
  <c r="U587" i="4"/>
  <c r="U586" i="4"/>
  <c r="U585" i="4"/>
  <c r="U584" i="4"/>
  <c r="U583" i="4"/>
  <c r="U582" i="4"/>
  <c r="U581" i="4"/>
  <c r="U580" i="4"/>
  <c r="U579" i="4"/>
  <c r="U578" i="4"/>
  <c r="U577" i="4"/>
  <c r="U576" i="4"/>
  <c r="U575" i="4"/>
  <c r="U574" i="4"/>
  <c r="U573" i="4"/>
  <c r="U572" i="4"/>
  <c r="U571" i="4"/>
  <c r="U570" i="4"/>
  <c r="U569" i="4"/>
  <c r="U568" i="4"/>
  <c r="U567" i="4"/>
  <c r="U566" i="4"/>
  <c r="U565" i="4"/>
  <c r="U564" i="4"/>
  <c r="U563" i="4"/>
  <c r="U562" i="4"/>
  <c r="U561" i="4"/>
  <c r="U560" i="4"/>
  <c r="U559" i="4"/>
  <c r="U558" i="4"/>
  <c r="U557" i="4"/>
  <c r="U556" i="4"/>
  <c r="U555" i="4"/>
  <c r="U554" i="4"/>
  <c r="U553" i="4"/>
  <c r="U552" i="4"/>
  <c r="U551" i="4"/>
  <c r="U550" i="4"/>
  <c r="U549" i="4"/>
  <c r="U548" i="4"/>
  <c r="U547" i="4"/>
  <c r="U546" i="4"/>
  <c r="U545" i="4"/>
  <c r="U544" i="4"/>
  <c r="U543" i="4"/>
  <c r="U542" i="4"/>
  <c r="U541" i="4"/>
  <c r="U540" i="4"/>
  <c r="U539" i="4"/>
  <c r="U538" i="4"/>
  <c r="U537" i="4"/>
  <c r="U536" i="4"/>
  <c r="U535" i="4"/>
  <c r="U534" i="4"/>
  <c r="U533" i="4"/>
  <c r="U532" i="4"/>
  <c r="U531" i="4"/>
  <c r="U530" i="4"/>
  <c r="U529" i="4"/>
  <c r="U528" i="4"/>
  <c r="U527" i="4"/>
  <c r="U526" i="4"/>
  <c r="U525" i="4"/>
  <c r="U524" i="4"/>
  <c r="U523" i="4"/>
  <c r="U522" i="4"/>
  <c r="U521" i="4"/>
  <c r="U520" i="4"/>
  <c r="U519" i="4"/>
  <c r="U518" i="4"/>
  <c r="U517" i="4"/>
  <c r="U516" i="4"/>
  <c r="U515" i="4"/>
  <c r="U514" i="4"/>
  <c r="U513" i="4"/>
  <c r="U512" i="4"/>
  <c r="U511" i="4"/>
  <c r="U510" i="4"/>
  <c r="U509" i="4"/>
  <c r="U508" i="4"/>
  <c r="U507" i="4"/>
  <c r="U506" i="4"/>
  <c r="U505" i="4"/>
  <c r="U504" i="4"/>
  <c r="U503" i="4"/>
  <c r="U502" i="4"/>
  <c r="U501" i="4"/>
  <c r="U500" i="4"/>
  <c r="U499" i="4"/>
  <c r="U498" i="4"/>
  <c r="U497" i="4"/>
  <c r="U496" i="4"/>
  <c r="U495" i="4"/>
  <c r="U494" i="4"/>
  <c r="U493" i="4"/>
  <c r="U492" i="4"/>
  <c r="U491" i="4"/>
  <c r="U490" i="4"/>
  <c r="U489" i="4"/>
  <c r="U488" i="4"/>
  <c r="U487" i="4"/>
  <c r="U486" i="4"/>
  <c r="U485" i="4"/>
  <c r="U484" i="4"/>
  <c r="U483" i="4"/>
  <c r="U482" i="4"/>
  <c r="U481" i="4"/>
  <c r="U480" i="4"/>
  <c r="U479" i="4"/>
  <c r="U478" i="4"/>
  <c r="U477" i="4"/>
  <c r="U476" i="4"/>
  <c r="U475" i="4"/>
  <c r="U474" i="4"/>
  <c r="U473" i="4"/>
  <c r="U472" i="4"/>
  <c r="U471" i="4"/>
  <c r="U470" i="4"/>
  <c r="U469" i="4"/>
  <c r="U468" i="4"/>
  <c r="U467" i="4"/>
  <c r="U466" i="4"/>
  <c r="U465" i="4"/>
  <c r="U464" i="4"/>
  <c r="U463" i="4"/>
  <c r="U462" i="4"/>
  <c r="U461" i="4"/>
  <c r="U460" i="4"/>
  <c r="U459" i="4"/>
  <c r="U458" i="4"/>
  <c r="U457" i="4"/>
  <c r="U456" i="4"/>
  <c r="U455" i="4"/>
  <c r="U454" i="4"/>
  <c r="U453" i="4"/>
  <c r="U452" i="4"/>
  <c r="U451" i="4"/>
  <c r="U450" i="4"/>
  <c r="U449" i="4"/>
  <c r="U448" i="4"/>
  <c r="U447" i="4"/>
  <c r="U446" i="4"/>
  <c r="U445" i="4"/>
  <c r="U444" i="4"/>
  <c r="U443" i="4"/>
  <c r="U442" i="4"/>
  <c r="U441" i="4"/>
  <c r="U440" i="4"/>
  <c r="U439" i="4"/>
  <c r="U438" i="4"/>
  <c r="U437" i="4"/>
  <c r="U436" i="4"/>
  <c r="U435" i="4"/>
  <c r="U434" i="4"/>
  <c r="U433" i="4"/>
  <c r="U432" i="4"/>
  <c r="U431" i="4"/>
  <c r="U430" i="4"/>
  <c r="U429" i="4"/>
  <c r="U428" i="4"/>
  <c r="U427" i="4"/>
  <c r="U426" i="4"/>
  <c r="U425" i="4"/>
  <c r="U424" i="4"/>
  <c r="U423" i="4"/>
  <c r="U422" i="4"/>
  <c r="U421" i="4"/>
  <c r="U420" i="4"/>
  <c r="U419" i="4"/>
  <c r="U418" i="4"/>
  <c r="U417" i="4"/>
  <c r="U416" i="4"/>
  <c r="U415" i="4"/>
  <c r="U414" i="4"/>
  <c r="U413" i="4"/>
  <c r="U412" i="4"/>
  <c r="U411" i="4"/>
  <c r="U410" i="4"/>
  <c r="U409" i="4"/>
  <c r="U408" i="4"/>
  <c r="U407" i="4"/>
  <c r="U406" i="4"/>
  <c r="U405" i="4"/>
  <c r="U404" i="4"/>
  <c r="U403" i="4"/>
  <c r="U402" i="4"/>
  <c r="U401" i="4"/>
  <c r="U400" i="4"/>
  <c r="U399" i="4"/>
  <c r="U398" i="4"/>
  <c r="U397" i="4"/>
  <c r="U396" i="4"/>
  <c r="U395" i="4"/>
  <c r="U394" i="4"/>
  <c r="U393" i="4"/>
  <c r="U392" i="4"/>
  <c r="U391" i="4"/>
  <c r="U390" i="4"/>
  <c r="U389" i="4"/>
  <c r="U388" i="4"/>
  <c r="U387" i="4"/>
  <c r="U386" i="4"/>
  <c r="U385" i="4"/>
  <c r="U384" i="4"/>
  <c r="U383" i="4"/>
  <c r="U382" i="4"/>
  <c r="U381" i="4"/>
  <c r="U380" i="4"/>
  <c r="U379" i="4"/>
  <c r="U378" i="4"/>
  <c r="U377" i="4"/>
  <c r="U376" i="4"/>
  <c r="U375" i="4"/>
  <c r="U374" i="4"/>
  <c r="U373" i="4"/>
  <c r="U372" i="4"/>
  <c r="U371" i="4"/>
  <c r="U370" i="4"/>
  <c r="U369" i="4"/>
  <c r="U368" i="4"/>
  <c r="U367" i="4"/>
  <c r="U366" i="4"/>
  <c r="U365" i="4"/>
  <c r="U364" i="4"/>
  <c r="U363" i="4"/>
  <c r="U362" i="4"/>
  <c r="U361" i="4"/>
  <c r="U360" i="4"/>
  <c r="U359" i="4"/>
  <c r="U358" i="4"/>
  <c r="U357" i="4"/>
  <c r="U356" i="4"/>
  <c r="U355" i="4"/>
  <c r="U354" i="4"/>
  <c r="U353" i="4"/>
  <c r="U352" i="4"/>
  <c r="U351" i="4"/>
  <c r="U350" i="4"/>
  <c r="U349" i="4"/>
  <c r="U348" i="4"/>
  <c r="U347" i="4"/>
  <c r="U346" i="4"/>
  <c r="U345" i="4"/>
  <c r="U344" i="4"/>
  <c r="U343" i="4"/>
  <c r="U342" i="4"/>
  <c r="U341" i="4"/>
  <c r="U340" i="4"/>
  <c r="U339" i="4"/>
  <c r="U338" i="4"/>
  <c r="U337" i="4"/>
  <c r="U336" i="4"/>
  <c r="U335" i="4"/>
  <c r="U334" i="4"/>
  <c r="U333" i="4"/>
  <c r="U332" i="4"/>
  <c r="U331" i="4"/>
  <c r="U330" i="4"/>
  <c r="U329" i="4"/>
  <c r="U328" i="4"/>
  <c r="U327" i="4"/>
  <c r="U326" i="4"/>
  <c r="U325" i="4"/>
  <c r="U324" i="4"/>
  <c r="U323" i="4"/>
  <c r="U322" i="4"/>
  <c r="U321" i="4"/>
  <c r="U320" i="4"/>
  <c r="U319" i="4"/>
  <c r="U318" i="4"/>
  <c r="U317" i="4"/>
  <c r="U316" i="4"/>
  <c r="U315" i="4"/>
  <c r="U314" i="4"/>
  <c r="U313" i="4"/>
  <c r="U312" i="4"/>
  <c r="U311" i="4"/>
  <c r="U310" i="4"/>
  <c r="U309" i="4"/>
  <c r="U308" i="4"/>
  <c r="U307" i="4"/>
  <c r="U306" i="4"/>
  <c r="U305" i="4"/>
  <c r="U304" i="4"/>
  <c r="U303" i="4"/>
  <c r="U302" i="4"/>
  <c r="U301" i="4"/>
  <c r="U300" i="4"/>
  <c r="U299" i="4"/>
  <c r="U298" i="4"/>
  <c r="U297" i="4"/>
  <c r="U296" i="4"/>
  <c r="U295" i="4"/>
  <c r="U294" i="4"/>
  <c r="U293" i="4"/>
  <c r="U292" i="4"/>
  <c r="U291" i="4"/>
  <c r="U290" i="4"/>
  <c r="U289" i="4"/>
  <c r="U288" i="4"/>
  <c r="U287" i="4"/>
  <c r="U286" i="4"/>
  <c r="U285" i="4"/>
  <c r="U284" i="4"/>
  <c r="U283" i="4"/>
  <c r="U282" i="4"/>
  <c r="U281" i="4"/>
  <c r="U280" i="4"/>
  <c r="U279" i="4"/>
  <c r="U278" i="4"/>
  <c r="U277" i="4"/>
  <c r="U276" i="4"/>
  <c r="U275" i="4"/>
  <c r="U274" i="4"/>
  <c r="U273" i="4"/>
  <c r="U272" i="4"/>
  <c r="U271" i="4"/>
  <c r="U270" i="4"/>
  <c r="U269" i="4"/>
  <c r="U268" i="4"/>
  <c r="U267" i="4"/>
  <c r="U266" i="4"/>
  <c r="U265" i="4"/>
  <c r="U264" i="4"/>
  <c r="U263" i="4"/>
  <c r="U262" i="4"/>
  <c r="U261" i="4"/>
  <c r="U260" i="4"/>
  <c r="U259" i="4"/>
  <c r="U258" i="4"/>
  <c r="U257" i="4"/>
  <c r="U256" i="4"/>
  <c r="U255" i="4"/>
  <c r="U254" i="4"/>
  <c r="U253" i="4"/>
  <c r="U252" i="4"/>
  <c r="U251" i="4"/>
  <c r="U250" i="4"/>
  <c r="U249" i="4"/>
  <c r="U248" i="4"/>
  <c r="U247" i="4"/>
  <c r="U246" i="4"/>
  <c r="U245" i="4"/>
  <c r="U244" i="4"/>
  <c r="U243" i="4"/>
  <c r="U242" i="4"/>
  <c r="U241" i="4"/>
  <c r="U240" i="4"/>
  <c r="U239" i="4"/>
  <c r="U238" i="4"/>
  <c r="U237" i="4"/>
  <c r="U236" i="4"/>
  <c r="U235" i="4"/>
  <c r="U234" i="4"/>
  <c r="U233" i="4"/>
  <c r="U232" i="4"/>
  <c r="U231" i="4"/>
  <c r="U230" i="4"/>
  <c r="U229" i="4"/>
  <c r="U228" i="4"/>
  <c r="U227" i="4"/>
  <c r="U226" i="4"/>
  <c r="U225" i="4"/>
  <c r="U224" i="4"/>
  <c r="U223" i="4"/>
  <c r="U222" i="4"/>
  <c r="U221" i="4"/>
  <c r="U220" i="4"/>
  <c r="U219" i="4"/>
  <c r="U218" i="4"/>
  <c r="U217" i="4"/>
  <c r="U216" i="4"/>
  <c r="U215" i="4"/>
  <c r="U214" i="4"/>
  <c r="U213" i="4"/>
  <c r="U212" i="4"/>
  <c r="U211" i="4"/>
  <c r="U210" i="4"/>
  <c r="U209" i="4"/>
  <c r="U208" i="4"/>
  <c r="U207" i="4"/>
  <c r="U206" i="4"/>
  <c r="U205" i="4"/>
  <c r="U204" i="4"/>
  <c r="U203" i="4"/>
  <c r="U202" i="4"/>
  <c r="U201" i="4"/>
  <c r="U200" i="4"/>
  <c r="U199" i="4"/>
  <c r="U198" i="4"/>
  <c r="U197" i="4"/>
  <c r="U196" i="4"/>
  <c r="U195" i="4"/>
  <c r="U194" i="4"/>
  <c r="U193" i="4"/>
  <c r="U192" i="4"/>
  <c r="U191" i="4"/>
  <c r="U190" i="4"/>
  <c r="U189" i="4"/>
  <c r="U188" i="4"/>
  <c r="U187" i="4"/>
  <c r="U186" i="4"/>
  <c r="U185" i="4"/>
  <c r="U184" i="4"/>
  <c r="U183" i="4"/>
  <c r="U182" i="4"/>
  <c r="U181" i="4"/>
  <c r="U180" i="4"/>
  <c r="U179" i="4"/>
  <c r="U178" i="4"/>
  <c r="U177" i="4"/>
  <c r="U176" i="4"/>
  <c r="U175" i="4"/>
  <c r="U174" i="4"/>
  <c r="U173" i="4"/>
  <c r="U172" i="4"/>
  <c r="U171" i="4"/>
  <c r="U170" i="4"/>
  <c r="U169" i="4"/>
  <c r="U168" i="4"/>
  <c r="U167" i="4"/>
  <c r="U166" i="4"/>
  <c r="U165" i="4"/>
  <c r="U164" i="4"/>
  <c r="U163" i="4"/>
  <c r="U162" i="4"/>
  <c r="U161" i="4"/>
  <c r="U160" i="4"/>
  <c r="U159" i="4"/>
  <c r="U158" i="4"/>
  <c r="U157" i="4"/>
  <c r="U156" i="4"/>
  <c r="U155" i="4"/>
  <c r="U154" i="4"/>
  <c r="U153" i="4"/>
  <c r="U152" i="4"/>
  <c r="U151" i="4"/>
  <c r="U150" i="4"/>
  <c r="U149" i="4"/>
  <c r="U148" i="4"/>
  <c r="U147" i="4"/>
  <c r="U146" i="4"/>
  <c r="U145" i="4"/>
  <c r="U144" i="4"/>
  <c r="U143" i="4"/>
  <c r="U142" i="4"/>
  <c r="U141" i="4"/>
  <c r="U140" i="4"/>
  <c r="U139" i="4"/>
  <c r="U138" i="4"/>
  <c r="U137" i="4"/>
  <c r="U136" i="4"/>
  <c r="U135" i="4"/>
  <c r="U134" i="4"/>
  <c r="U133" i="4"/>
  <c r="U132" i="4"/>
  <c r="U131" i="4"/>
  <c r="U130" i="4"/>
  <c r="U129" i="4"/>
  <c r="U128" i="4"/>
  <c r="U127" i="4"/>
  <c r="U126" i="4"/>
  <c r="U125" i="4"/>
  <c r="U124" i="4"/>
  <c r="U123" i="4"/>
  <c r="U122" i="4"/>
  <c r="U121" i="4"/>
  <c r="U120" i="4"/>
  <c r="U119" i="4"/>
  <c r="U118" i="4"/>
  <c r="U117" i="4"/>
  <c r="U116" i="4"/>
  <c r="U115" i="4"/>
  <c r="U114" i="4"/>
  <c r="U113" i="4"/>
  <c r="U112" i="4"/>
  <c r="U111" i="4"/>
  <c r="U110" i="4"/>
  <c r="U109" i="4"/>
  <c r="U108" i="4"/>
  <c r="U107" i="4"/>
  <c r="U106" i="4"/>
  <c r="U105" i="4"/>
  <c r="U104" i="4"/>
  <c r="U103" i="4"/>
  <c r="U102" i="4"/>
  <c r="U101" i="4"/>
  <c r="U100" i="4"/>
  <c r="U99" i="4"/>
  <c r="U98" i="4"/>
  <c r="U97" i="4"/>
  <c r="U96" i="4"/>
  <c r="U95" i="4"/>
  <c r="U94" i="4"/>
  <c r="U93" i="4"/>
  <c r="U92" i="4"/>
  <c r="U91" i="4"/>
  <c r="U90" i="4"/>
  <c r="U89" i="4"/>
  <c r="U88" i="4"/>
  <c r="U87" i="4"/>
  <c r="U86" i="4"/>
  <c r="U85" i="4"/>
  <c r="U84" i="4"/>
  <c r="U83" i="4"/>
  <c r="U82" i="4"/>
  <c r="U81" i="4"/>
  <c r="U80" i="4"/>
  <c r="U79" i="4"/>
  <c r="U78" i="4"/>
  <c r="U77" i="4"/>
  <c r="U76" i="4"/>
  <c r="U75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U4" i="4"/>
  <c r="U3" i="4"/>
  <c r="I7" i="2" a="1"/>
  <c r="I7" i="2" s="1"/>
  <c r="J7" i="2" a="1"/>
  <c r="J7" i="2" s="1"/>
  <c r="I8" i="2" a="1"/>
  <c r="I8" i="2" s="1"/>
  <c r="J8" i="2" a="1"/>
  <c r="J8" i="2" s="1"/>
  <c r="I9" i="2" a="1"/>
  <c r="I9" i="2" s="1"/>
  <c r="J9" i="2" a="1"/>
  <c r="J9" i="2" s="1"/>
  <c r="I10" i="2" a="1"/>
  <c r="I10" i="2" s="1"/>
  <c r="J10" i="2" a="1"/>
  <c r="J10" i="2" s="1"/>
  <c r="I11" i="2" a="1"/>
  <c r="I11" i="2" s="1"/>
  <c r="J11" i="2" a="1"/>
  <c r="J11" i="2" s="1"/>
  <c r="I12" i="2" a="1"/>
  <c r="I12" i="2" s="1"/>
  <c r="J12" i="2" a="1"/>
  <c r="J12" i="2" s="1"/>
  <c r="I13" i="2" a="1"/>
  <c r="I13" i="2" s="1"/>
  <c r="J13" i="2" a="1"/>
  <c r="J13" i="2" s="1"/>
  <c r="I14" i="2" a="1"/>
  <c r="I14" i="2" s="1"/>
  <c r="J14" i="2" a="1"/>
  <c r="J14" i="2" s="1"/>
  <c r="I15" i="2" a="1"/>
  <c r="I15" i="2" s="1"/>
  <c r="J15" i="2" a="1"/>
  <c r="J15" i="2" s="1"/>
  <c r="I16" i="2" a="1"/>
  <c r="I16" i="2" s="1"/>
  <c r="J16" i="2" a="1"/>
  <c r="J16" i="2" s="1"/>
  <c r="I17" i="2" a="1"/>
  <c r="I17" i="2" s="1"/>
  <c r="J17" i="2" a="1"/>
  <c r="J17" i="2" s="1"/>
  <c r="I18" i="2" a="1"/>
  <c r="I18" i="2" s="1"/>
  <c r="J18" i="2" a="1"/>
  <c r="J18" i="2" s="1"/>
  <c r="I19" i="2" a="1"/>
  <c r="I19" i="2" s="1"/>
  <c r="J19" i="2" a="1"/>
  <c r="J19" i="2" s="1"/>
  <c r="I20" i="2" a="1"/>
  <c r="I20" i="2" s="1"/>
  <c r="J20" i="2" a="1"/>
  <c r="J20" i="2" s="1"/>
  <c r="I21" i="2" a="1"/>
  <c r="I21" i="2" s="1"/>
  <c r="J21" i="2" a="1"/>
  <c r="J21" i="2" s="1"/>
  <c r="I22" i="2" a="1"/>
  <c r="I22" i="2" s="1"/>
  <c r="J22" i="2" a="1"/>
  <c r="J22" i="2" s="1"/>
  <c r="I23" i="2" a="1"/>
  <c r="I23" i="2" s="1"/>
  <c r="J23" i="2" a="1"/>
  <c r="J23" i="2" s="1"/>
  <c r="I24" i="2" a="1"/>
  <c r="I24" i="2" s="1"/>
  <c r="J24" i="2" a="1"/>
  <c r="J24" i="2" s="1"/>
  <c r="I25" i="2" a="1"/>
  <c r="I25" i="2" s="1"/>
  <c r="J25" i="2" a="1"/>
  <c r="J25" i="2" s="1"/>
  <c r="I26" i="2" a="1"/>
  <c r="I26" i="2" s="1"/>
  <c r="J26" i="2" a="1"/>
  <c r="J26" i="2" s="1"/>
  <c r="I27" i="2" a="1"/>
  <c r="I27" i="2" s="1"/>
  <c r="J27" i="2" a="1"/>
  <c r="J27" i="2" s="1"/>
  <c r="I28" i="2" a="1"/>
  <c r="I28" i="2" s="1"/>
  <c r="J28" i="2" a="1"/>
  <c r="J28" i="2" s="1"/>
  <c r="I29" i="2" a="1"/>
  <c r="I29" i="2" s="1"/>
  <c r="J29" i="2" a="1"/>
  <c r="J29" i="2" s="1"/>
  <c r="I30" i="2" a="1"/>
  <c r="I30" i="2" s="1"/>
  <c r="J30" i="2" a="1"/>
  <c r="J30" i="2" s="1"/>
  <c r="I31" i="2" a="1"/>
  <c r="I31" i="2" s="1"/>
  <c r="J31" i="2" a="1"/>
  <c r="J31" i="2" s="1"/>
  <c r="I32" i="2" a="1"/>
  <c r="I32" i="2" s="1"/>
  <c r="J32" i="2" a="1"/>
  <c r="J32" i="2" s="1"/>
  <c r="I33" i="2" a="1"/>
  <c r="I33" i="2" s="1"/>
  <c r="J33" i="2" a="1"/>
  <c r="J33" i="2" s="1"/>
  <c r="I34" i="2" a="1"/>
  <c r="I34" i="2" s="1"/>
  <c r="J34" i="2" a="1"/>
  <c r="J34" i="2" s="1"/>
  <c r="I35" i="2" a="1"/>
  <c r="I35" i="2" s="1"/>
  <c r="J35" i="2" a="1"/>
  <c r="J35" i="2" s="1"/>
  <c r="I36" i="2" a="1"/>
  <c r="I36" i="2" s="1"/>
  <c r="J36" i="2" a="1"/>
  <c r="J36" i="2" s="1"/>
  <c r="I37" i="2" a="1"/>
  <c r="I37" i="2" s="1"/>
  <c r="J37" i="2" a="1"/>
  <c r="J37" i="2" s="1"/>
  <c r="I38" i="2" a="1"/>
  <c r="I38" i="2" s="1"/>
  <c r="J38" i="2" a="1"/>
  <c r="J38" i="2" s="1"/>
  <c r="I39" i="2" a="1"/>
  <c r="I39" i="2" s="1"/>
  <c r="J39" i="2" a="1"/>
  <c r="J39" i="2" s="1"/>
  <c r="I40" i="2" a="1"/>
  <c r="I40" i="2" s="1"/>
  <c r="J40" i="2" a="1"/>
  <c r="J40" i="2" s="1"/>
  <c r="I41" i="2" a="1"/>
  <c r="I41" i="2" s="1"/>
  <c r="J41" i="2" a="1"/>
  <c r="J41" i="2" s="1"/>
  <c r="I42" i="2" a="1"/>
  <c r="I42" i="2" s="1"/>
  <c r="J42" i="2" a="1"/>
  <c r="J42" i="2" s="1"/>
  <c r="I43" i="2" a="1"/>
  <c r="I43" i="2" s="1"/>
  <c r="J43" i="2" a="1"/>
  <c r="J43" i="2" s="1"/>
  <c r="I44" i="2" a="1"/>
  <c r="I44" i="2" s="1"/>
  <c r="J44" i="2" a="1"/>
  <c r="J44" i="2" s="1"/>
  <c r="I45" i="2" a="1"/>
  <c r="I45" i="2" s="1"/>
  <c r="J45" i="2" a="1"/>
  <c r="J45" i="2" s="1"/>
  <c r="I46" i="2" a="1"/>
  <c r="I46" i="2" s="1"/>
  <c r="J46" i="2" a="1"/>
  <c r="J46" i="2" s="1"/>
  <c r="I47" i="2" a="1"/>
  <c r="I47" i="2" s="1"/>
  <c r="J47" i="2" a="1"/>
  <c r="J47" i="2" s="1"/>
  <c r="I48" i="2" a="1"/>
  <c r="I48" i="2" s="1"/>
  <c r="J48" i="2" a="1"/>
  <c r="J48" i="2" s="1"/>
  <c r="I49" i="2" a="1"/>
  <c r="I49" i="2" s="1"/>
  <c r="J49" i="2" a="1"/>
  <c r="J49" i="2" s="1"/>
  <c r="I50" i="2" a="1"/>
  <c r="I50" i="2" s="1"/>
  <c r="J50" i="2" a="1"/>
  <c r="J50" i="2" s="1"/>
  <c r="I51" i="2" a="1"/>
  <c r="I51" i="2" s="1"/>
  <c r="J51" i="2" a="1"/>
  <c r="J51" i="2" s="1"/>
  <c r="I52" i="2" a="1"/>
  <c r="I52" i="2" s="1"/>
  <c r="J52" i="2" a="1"/>
  <c r="J52" i="2" s="1"/>
  <c r="I53" i="2" a="1"/>
  <c r="I53" i="2" s="1"/>
  <c r="J53" i="2" a="1"/>
  <c r="J53" i="2" s="1"/>
  <c r="I54" i="2" a="1"/>
  <c r="I54" i="2" s="1"/>
  <c r="J54" i="2" a="1"/>
  <c r="J54" i="2" s="1"/>
  <c r="I55" i="2" a="1"/>
  <c r="I55" i="2" s="1"/>
  <c r="J55" i="2" a="1"/>
  <c r="J55" i="2" s="1"/>
  <c r="I56" i="2" a="1"/>
  <c r="I56" i="2" s="1"/>
  <c r="J56" i="2" a="1"/>
  <c r="J56" i="2" s="1"/>
  <c r="I57" i="2" a="1"/>
  <c r="I57" i="2" s="1"/>
  <c r="J57" i="2" a="1"/>
  <c r="J57" i="2" s="1"/>
  <c r="I58" i="2" a="1"/>
  <c r="I58" i="2" s="1"/>
  <c r="J58" i="2" a="1"/>
  <c r="J58" i="2" s="1"/>
  <c r="I59" i="2" a="1"/>
  <c r="I59" i="2" s="1"/>
  <c r="J59" i="2" a="1"/>
  <c r="J59" i="2" s="1"/>
  <c r="I60" i="2" a="1"/>
  <c r="I60" i="2" s="1"/>
  <c r="J60" i="2" a="1"/>
  <c r="J60" i="2" s="1"/>
  <c r="I61" i="2" a="1"/>
  <c r="I61" i="2" s="1"/>
  <c r="J61" i="2" a="1"/>
  <c r="J61" i="2" s="1"/>
  <c r="I62" i="2" a="1"/>
  <c r="I62" i="2" s="1"/>
  <c r="J62" i="2" a="1"/>
  <c r="J62" i="2" s="1"/>
  <c r="I63" i="2" a="1"/>
  <c r="I63" i="2" s="1"/>
  <c r="J63" i="2" a="1"/>
  <c r="J63" i="2" s="1"/>
  <c r="I64" i="2" a="1"/>
  <c r="I64" i="2" s="1"/>
  <c r="J64" i="2" a="1"/>
  <c r="J64" i="2" s="1"/>
  <c r="I65" i="2" a="1"/>
  <c r="I65" i="2" s="1"/>
  <c r="J65" i="2" a="1"/>
  <c r="J65" i="2" s="1"/>
  <c r="I66" i="2" a="1"/>
  <c r="I66" i="2" s="1"/>
  <c r="J66" i="2" a="1"/>
  <c r="J66" i="2" s="1"/>
  <c r="I67" i="2" a="1"/>
  <c r="I67" i="2" s="1"/>
  <c r="J67" i="2" a="1"/>
  <c r="J67" i="2" s="1"/>
  <c r="I68" i="2" a="1"/>
  <c r="I68" i="2" s="1"/>
  <c r="J68" i="2" a="1"/>
  <c r="J68" i="2" s="1"/>
  <c r="I69" i="2" a="1"/>
  <c r="I69" i="2" s="1"/>
  <c r="J69" i="2" a="1"/>
  <c r="J69" i="2" s="1"/>
  <c r="I70" i="2" a="1"/>
  <c r="I70" i="2" s="1"/>
  <c r="J70" i="2" a="1"/>
  <c r="J70" i="2" s="1"/>
  <c r="I71" i="2" a="1"/>
  <c r="I71" i="2" s="1"/>
  <c r="J71" i="2" a="1"/>
  <c r="J71" i="2" s="1"/>
  <c r="I72" i="2" a="1"/>
  <c r="I72" i="2" s="1"/>
  <c r="J72" i="2" a="1"/>
  <c r="J72" i="2" s="1"/>
  <c r="I73" i="2" a="1"/>
  <c r="I73" i="2" s="1"/>
  <c r="J73" i="2" a="1"/>
  <c r="J73" i="2" s="1"/>
  <c r="I74" i="2" a="1"/>
  <c r="I74" i="2" s="1"/>
  <c r="J74" i="2" a="1"/>
  <c r="J74" i="2" s="1"/>
  <c r="I75" i="2" a="1"/>
  <c r="I75" i="2" s="1"/>
  <c r="J75" i="2" a="1"/>
  <c r="J75" i="2" s="1"/>
  <c r="I76" i="2" a="1"/>
  <c r="I76" i="2" s="1"/>
  <c r="J76" i="2" a="1"/>
  <c r="J76" i="2" s="1"/>
  <c r="I77" i="2" a="1"/>
  <c r="I77" i="2" s="1"/>
  <c r="J77" i="2" a="1"/>
  <c r="J77" i="2" s="1"/>
  <c r="I78" i="2" a="1"/>
  <c r="I78" i="2" s="1"/>
  <c r="J78" i="2" a="1"/>
  <c r="J78" i="2" s="1"/>
  <c r="I79" i="2" a="1"/>
  <c r="I79" i="2" s="1"/>
  <c r="J79" i="2" a="1"/>
  <c r="J79" i="2" s="1"/>
  <c r="I80" i="2" a="1"/>
  <c r="I80" i="2" s="1"/>
  <c r="J80" i="2" a="1"/>
  <c r="J80" i="2" s="1"/>
  <c r="I81" i="2" a="1"/>
  <c r="I81" i="2" s="1"/>
  <c r="J81" i="2" a="1"/>
  <c r="J81" i="2" s="1"/>
  <c r="I82" i="2" a="1"/>
  <c r="I82" i="2" s="1"/>
  <c r="J82" i="2" a="1"/>
  <c r="J82" i="2" s="1"/>
  <c r="I83" i="2" a="1"/>
  <c r="I83" i="2" s="1"/>
  <c r="J83" i="2" a="1"/>
  <c r="J83" i="2" s="1"/>
  <c r="I84" i="2" a="1"/>
  <c r="I84" i="2" s="1"/>
  <c r="J84" i="2" a="1"/>
  <c r="J84" i="2" s="1"/>
  <c r="I85" i="2" a="1"/>
  <c r="I85" i="2" s="1"/>
  <c r="J85" i="2" a="1"/>
  <c r="J85" i="2" s="1"/>
  <c r="I86" i="2" a="1"/>
  <c r="I86" i="2" s="1"/>
  <c r="J86" i="2" a="1"/>
  <c r="J86" i="2" s="1"/>
  <c r="I87" i="2" a="1"/>
  <c r="I87" i="2" s="1"/>
  <c r="J87" i="2" a="1"/>
  <c r="J87" i="2" s="1"/>
  <c r="I88" i="2" a="1"/>
  <c r="I88" i="2" s="1"/>
  <c r="J88" i="2" a="1"/>
  <c r="J88" i="2" s="1"/>
  <c r="I89" i="2" a="1"/>
  <c r="I89" i="2" s="1"/>
  <c r="J89" i="2" a="1"/>
  <c r="J89" i="2" s="1"/>
  <c r="I90" i="2" a="1"/>
  <c r="I90" i="2" s="1"/>
  <c r="J90" i="2" a="1"/>
  <c r="J90" i="2" s="1"/>
  <c r="I91" i="2" a="1"/>
  <c r="I91" i="2" s="1"/>
  <c r="J91" i="2" a="1"/>
  <c r="J91" i="2" s="1"/>
  <c r="I92" i="2" a="1"/>
  <c r="I92" i="2" s="1"/>
  <c r="J92" i="2" a="1"/>
  <c r="J92" i="2" s="1"/>
  <c r="I93" i="2" a="1"/>
  <c r="I93" i="2" s="1"/>
  <c r="J93" i="2" a="1"/>
  <c r="J93" i="2" s="1"/>
  <c r="I94" i="2" a="1"/>
  <c r="I94" i="2" s="1"/>
  <c r="J94" i="2" a="1"/>
  <c r="J94" i="2" s="1"/>
  <c r="I95" i="2" a="1"/>
  <c r="I95" i="2" s="1"/>
  <c r="J95" i="2" a="1"/>
  <c r="J95" i="2" s="1"/>
  <c r="I96" i="2" a="1"/>
  <c r="I96" i="2" s="1"/>
  <c r="J96" i="2" a="1"/>
  <c r="J96" i="2" s="1"/>
  <c r="I97" i="2" a="1"/>
  <c r="I97" i="2" s="1"/>
  <c r="J97" i="2" a="1"/>
  <c r="J97" i="2" s="1"/>
  <c r="I98" i="2" a="1"/>
  <c r="I98" i="2" s="1"/>
  <c r="J98" i="2" a="1"/>
  <c r="J98" i="2" s="1"/>
  <c r="I99" i="2" a="1"/>
  <c r="I99" i="2" s="1"/>
  <c r="J99" i="2" a="1"/>
  <c r="J99" i="2" s="1"/>
  <c r="I100" i="2" a="1"/>
  <c r="I100" i="2" s="1"/>
  <c r="J100" i="2" a="1"/>
  <c r="J100" i="2" s="1"/>
  <c r="I101" i="2" a="1"/>
  <c r="I101" i="2" s="1"/>
  <c r="J101" i="2" a="1"/>
  <c r="J101" i="2" s="1"/>
  <c r="I102" i="2" a="1"/>
  <c r="I102" i="2" s="1"/>
  <c r="J102" i="2" a="1"/>
  <c r="J102" i="2" s="1"/>
  <c r="I103" i="2" a="1"/>
  <c r="I103" i="2" s="1"/>
  <c r="J103" i="2" a="1"/>
  <c r="J103" i="2" s="1"/>
  <c r="I104" i="2" a="1"/>
  <c r="I104" i="2" s="1"/>
  <c r="J104" i="2" a="1"/>
  <c r="J104" i="2" s="1"/>
  <c r="I105" i="2" a="1"/>
  <c r="I105" i="2" s="1"/>
  <c r="J105" i="2" a="1"/>
  <c r="J105" i="2" s="1"/>
  <c r="I106" i="2" a="1"/>
  <c r="I106" i="2" s="1"/>
  <c r="J106" i="2" a="1"/>
  <c r="J106" i="2" s="1"/>
  <c r="I107" i="2" a="1"/>
  <c r="I107" i="2" s="1"/>
  <c r="J107" i="2" a="1"/>
  <c r="J107" i="2" s="1"/>
  <c r="I108" i="2" a="1"/>
  <c r="I108" i="2" s="1"/>
  <c r="J108" i="2" a="1"/>
  <c r="J108" i="2" s="1"/>
  <c r="I109" i="2" a="1"/>
  <c r="I109" i="2" s="1"/>
  <c r="J109" i="2" a="1"/>
  <c r="J109" i="2" s="1"/>
  <c r="I110" i="2" a="1"/>
  <c r="I110" i="2" s="1"/>
  <c r="J110" i="2" a="1"/>
  <c r="J110" i="2" s="1"/>
  <c r="I111" i="2" a="1"/>
  <c r="I111" i="2" s="1"/>
  <c r="J111" i="2" a="1"/>
  <c r="J111" i="2" s="1"/>
  <c r="I112" i="2" a="1"/>
  <c r="I112" i="2" s="1"/>
  <c r="J112" i="2" a="1"/>
  <c r="J112" i="2" s="1"/>
  <c r="I113" i="2" a="1"/>
  <c r="I113" i="2" s="1"/>
  <c r="J113" i="2" a="1"/>
  <c r="J113" i="2" s="1"/>
  <c r="I114" i="2" a="1"/>
  <c r="I114" i="2" s="1"/>
  <c r="J114" i="2" a="1"/>
  <c r="J114" i="2" s="1"/>
  <c r="I115" i="2" a="1"/>
  <c r="I115" i="2" s="1"/>
  <c r="J115" i="2" a="1"/>
  <c r="J115" i="2" s="1"/>
  <c r="I116" i="2" a="1"/>
  <c r="I116" i="2" s="1"/>
  <c r="J116" i="2" a="1"/>
  <c r="J116" i="2" s="1"/>
  <c r="I117" i="2" a="1"/>
  <c r="I117" i="2" s="1"/>
  <c r="J117" i="2" a="1"/>
  <c r="J117" i="2" s="1"/>
  <c r="I118" i="2" a="1"/>
  <c r="I118" i="2" s="1"/>
  <c r="J118" i="2" a="1"/>
  <c r="J118" i="2" s="1"/>
  <c r="I119" i="2" a="1"/>
  <c r="I119" i="2" s="1"/>
  <c r="J119" i="2" a="1"/>
  <c r="J119" i="2" s="1"/>
  <c r="I120" i="2" a="1"/>
  <c r="I120" i="2" s="1"/>
  <c r="J120" i="2" a="1"/>
  <c r="J120" i="2" s="1"/>
  <c r="I121" i="2" a="1"/>
  <c r="I121" i="2" s="1"/>
  <c r="J121" i="2" a="1"/>
  <c r="J121" i="2" s="1"/>
  <c r="I122" i="2" a="1"/>
  <c r="I122" i="2" s="1"/>
  <c r="J122" i="2" a="1"/>
  <c r="J122" i="2" s="1"/>
  <c r="I123" i="2" a="1"/>
  <c r="I123" i="2" s="1"/>
  <c r="J123" i="2" a="1"/>
  <c r="J123" i="2" s="1"/>
  <c r="I124" i="2" a="1"/>
  <c r="I124" i="2" s="1"/>
  <c r="J124" i="2" a="1"/>
  <c r="J124" i="2" s="1"/>
  <c r="I125" i="2" a="1"/>
  <c r="I125" i="2" s="1"/>
  <c r="J125" i="2" a="1"/>
  <c r="J125" i="2" s="1"/>
  <c r="I126" i="2" a="1"/>
  <c r="I126" i="2" s="1"/>
  <c r="J126" i="2" a="1"/>
  <c r="J126" i="2" s="1"/>
  <c r="I127" i="2" a="1"/>
  <c r="I127" i="2" s="1"/>
  <c r="J127" i="2" a="1"/>
  <c r="J127" i="2" s="1"/>
  <c r="I128" i="2" a="1"/>
  <c r="I128" i="2" s="1"/>
  <c r="J128" i="2" a="1"/>
  <c r="J128" i="2" s="1"/>
  <c r="I129" i="2" a="1"/>
  <c r="I129" i="2" s="1"/>
  <c r="J129" i="2" a="1"/>
  <c r="J129" i="2" s="1"/>
  <c r="I130" i="2" a="1"/>
  <c r="I130" i="2" s="1"/>
  <c r="J130" i="2" a="1"/>
  <c r="J130" i="2" s="1"/>
  <c r="I131" i="2" a="1"/>
  <c r="I131" i="2" s="1"/>
  <c r="J131" i="2" a="1"/>
  <c r="J131" i="2" s="1"/>
  <c r="I132" i="2" a="1"/>
  <c r="I132" i="2" s="1"/>
  <c r="J132" i="2" a="1"/>
  <c r="J132" i="2" s="1"/>
  <c r="I133" i="2" a="1"/>
  <c r="I133" i="2" s="1"/>
  <c r="J133" i="2" a="1"/>
  <c r="J133" i="2" s="1"/>
  <c r="I134" i="2" a="1"/>
  <c r="I134" i="2" s="1"/>
  <c r="J134" i="2" a="1"/>
  <c r="J134" i="2" s="1"/>
  <c r="I135" i="2" a="1"/>
  <c r="I135" i="2" s="1"/>
  <c r="J135" i="2" a="1"/>
  <c r="J135" i="2" s="1"/>
  <c r="I136" i="2" a="1"/>
  <c r="I136" i="2" s="1"/>
  <c r="J136" i="2" a="1"/>
  <c r="J136" i="2" s="1"/>
  <c r="I137" i="2" a="1"/>
  <c r="I137" i="2" s="1"/>
  <c r="J137" i="2" a="1"/>
  <c r="J137" i="2" s="1"/>
  <c r="I138" i="2" a="1"/>
  <c r="I138" i="2" s="1"/>
  <c r="J138" i="2" a="1"/>
  <c r="J138" i="2" s="1"/>
  <c r="I139" i="2" a="1"/>
  <c r="I139" i="2" s="1"/>
  <c r="J139" i="2" a="1"/>
  <c r="J139" i="2" s="1"/>
  <c r="I140" i="2" a="1"/>
  <c r="I140" i="2" s="1"/>
  <c r="J140" i="2" a="1"/>
  <c r="J140" i="2" s="1"/>
  <c r="I141" i="2" a="1"/>
  <c r="I141" i="2" s="1"/>
  <c r="J141" i="2" a="1"/>
  <c r="J141" i="2" s="1"/>
  <c r="I142" i="2" a="1"/>
  <c r="I142" i="2" s="1"/>
  <c r="J142" i="2" a="1"/>
  <c r="J142" i="2" s="1"/>
  <c r="I143" i="2" a="1"/>
  <c r="I143" i="2" s="1"/>
  <c r="J143" i="2" a="1"/>
  <c r="J143" i="2" s="1"/>
  <c r="I144" i="2" a="1"/>
  <c r="I144" i="2" s="1"/>
  <c r="J144" i="2" a="1"/>
  <c r="J144" i="2" s="1"/>
  <c r="I145" i="2" a="1"/>
  <c r="I145" i="2" s="1"/>
  <c r="J145" i="2" a="1"/>
  <c r="J145" i="2" s="1"/>
  <c r="I146" i="2" a="1"/>
  <c r="I146" i="2" s="1"/>
  <c r="J146" i="2" a="1"/>
  <c r="J146" i="2" s="1"/>
  <c r="I147" i="2" a="1"/>
  <c r="I147" i="2" s="1"/>
  <c r="J147" i="2" a="1"/>
  <c r="J147" i="2" s="1"/>
  <c r="I148" i="2" a="1"/>
  <c r="I148" i="2" s="1"/>
  <c r="J148" i="2" a="1"/>
  <c r="J148" i="2" s="1"/>
  <c r="I149" i="2" a="1"/>
  <c r="I149" i="2" s="1"/>
  <c r="J149" i="2" a="1"/>
  <c r="J149" i="2" s="1"/>
  <c r="I150" i="2" a="1"/>
  <c r="I150" i="2" s="1"/>
  <c r="J150" i="2" a="1"/>
  <c r="J150" i="2" s="1"/>
  <c r="I151" i="2" a="1"/>
  <c r="I151" i="2" s="1"/>
  <c r="J151" i="2" a="1"/>
  <c r="J151" i="2" s="1"/>
  <c r="I152" i="2" a="1"/>
  <c r="I152" i="2" s="1"/>
  <c r="J152" i="2" a="1"/>
  <c r="J152" i="2" s="1"/>
  <c r="I153" i="2" a="1"/>
  <c r="I153" i="2" s="1"/>
  <c r="J153" i="2" a="1"/>
  <c r="J153" i="2" s="1"/>
  <c r="I154" i="2" a="1"/>
  <c r="I154" i="2" s="1"/>
  <c r="J154" i="2" a="1"/>
  <c r="J154" i="2" s="1"/>
  <c r="I155" i="2" a="1"/>
  <c r="I155" i="2" s="1"/>
  <c r="J155" i="2" a="1"/>
  <c r="J155" i="2" s="1"/>
  <c r="I156" i="2" a="1"/>
  <c r="I156" i="2" s="1"/>
  <c r="J156" i="2" a="1"/>
  <c r="J156" i="2" s="1"/>
  <c r="I157" i="2" a="1"/>
  <c r="I157" i="2" s="1"/>
  <c r="J157" i="2" a="1"/>
  <c r="J157" i="2" s="1"/>
  <c r="I158" i="2" a="1"/>
  <c r="I158" i="2" s="1"/>
  <c r="J158" i="2" a="1"/>
  <c r="J158" i="2" s="1"/>
  <c r="I159" i="2" a="1"/>
  <c r="I159" i="2" s="1"/>
  <c r="J159" i="2" a="1"/>
  <c r="J159" i="2" s="1"/>
  <c r="I160" i="2" a="1"/>
  <c r="I160" i="2" s="1"/>
  <c r="J160" i="2" a="1"/>
  <c r="J160" i="2" s="1"/>
  <c r="I161" i="2" a="1"/>
  <c r="I161" i="2" s="1"/>
  <c r="J161" i="2" a="1"/>
  <c r="J161" i="2" s="1"/>
  <c r="I162" i="2" a="1"/>
  <c r="I162" i="2" s="1"/>
  <c r="J162" i="2" a="1"/>
  <c r="J162" i="2" s="1"/>
  <c r="I163" i="2" a="1"/>
  <c r="I163" i="2" s="1"/>
  <c r="J163" i="2" a="1"/>
  <c r="J163" i="2" s="1"/>
  <c r="I164" i="2" a="1"/>
  <c r="I164" i="2" s="1"/>
  <c r="J164" i="2" a="1"/>
  <c r="J164" i="2" s="1"/>
  <c r="I165" i="2" a="1"/>
  <c r="I165" i="2" s="1"/>
  <c r="J165" i="2" a="1"/>
  <c r="J165" i="2" s="1"/>
  <c r="I166" i="2" a="1"/>
  <c r="I166" i="2" s="1"/>
  <c r="J166" i="2" a="1"/>
  <c r="J166" i="2" s="1"/>
  <c r="I167" i="2" a="1"/>
  <c r="I167" i="2" s="1"/>
  <c r="J167" i="2" a="1"/>
  <c r="J167" i="2" s="1"/>
  <c r="I168" i="2" a="1"/>
  <c r="I168" i="2" s="1"/>
  <c r="J168" i="2" a="1"/>
  <c r="J168" i="2" s="1"/>
  <c r="I169" i="2" a="1"/>
  <c r="I169" i="2" s="1"/>
  <c r="J169" i="2" a="1"/>
  <c r="J169" i="2" s="1"/>
  <c r="I170" i="2" a="1"/>
  <c r="I170" i="2" s="1"/>
  <c r="J170" i="2" a="1"/>
  <c r="J170" i="2" s="1"/>
  <c r="I171" i="2" a="1"/>
  <c r="I171" i="2" s="1"/>
  <c r="J171" i="2" a="1"/>
  <c r="J171" i="2" s="1"/>
  <c r="I172" i="2" a="1"/>
  <c r="I172" i="2" s="1"/>
  <c r="J172" i="2" a="1"/>
  <c r="J172" i="2" s="1"/>
  <c r="I173" i="2" a="1"/>
  <c r="I173" i="2" s="1"/>
  <c r="J173" i="2" a="1"/>
  <c r="J173" i="2" s="1"/>
  <c r="I174" i="2" a="1"/>
  <c r="I174" i="2" s="1"/>
  <c r="J174" i="2" a="1"/>
  <c r="J174" i="2" s="1"/>
  <c r="I175" i="2" a="1"/>
  <c r="I175" i="2" s="1"/>
  <c r="J175" i="2" a="1"/>
  <c r="J175" i="2" s="1"/>
  <c r="I176" i="2" a="1"/>
  <c r="I176" i="2" s="1"/>
  <c r="J176" i="2" a="1"/>
  <c r="J176" i="2" s="1"/>
  <c r="I177" i="2" a="1"/>
  <c r="I177" i="2"/>
  <c r="J177" i="2" a="1"/>
  <c r="J177" i="2" s="1"/>
  <c r="I178" i="2" a="1"/>
  <c r="I178" i="2" s="1"/>
  <c r="J178" i="2" a="1"/>
  <c r="J178" i="2"/>
  <c r="I179" i="2" a="1"/>
  <c r="I179" i="2"/>
  <c r="J179" i="2" a="1"/>
  <c r="J179" i="2" s="1"/>
  <c r="I180" i="2" a="1"/>
  <c r="I180" i="2" s="1"/>
  <c r="J180" i="2" a="1"/>
  <c r="J180" i="2"/>
  <c r="I181" i="2" a="1"/>
  <c r="I181" i="2"/>
  <c r="J181" i="2" a="1"/>
  <c r="J181" i="2" s="1"/>
  <c r="I182" i="2" a="1"/>
  <c r="I182" i="2" s="1"/>
  <c r="J182" i="2" a="1"/>
  <c r="J182" i="2"/>
  <c r="I183" i="2" a="1"/>
  <c r="I183" i="2"/>
  <c r="J183" i="2" a="1"/>
  <c r="J183" i="2" s="1"/>
  <c r="I184" i="2" a="1"/>
  <c r="I184" i="2" s="1"/>
  <c r="J184" i="2" a="1"/>
  <c r="J184" i="2"/>
  <c r="I185" i="2" a="1"/>
  <c r="I185" i="2"/>
  <c r="J185" i="2" a="1"/>
  <c r="J185" i="2" s="1"/>
  <c r="I186" i="2" a="1"/>
  <c r="I186" i="2" s="1"/>
  <c r="J186" i="2" a="1"/>
  <c r="J186" i="2"/>
  <c r="I187" i="2" a="1"/>
  <c r="I187" i="2"/>
  <c r="J187" i="2" a="1"/>
  <c r="J187" i="2" s="1"/>
  <c r="I188" i="2" a="1"/>
  <c r="I188" i="2" s="1"/>
  <c r="J188" i="2" a="1"/>
  <c r="J188" i="2"/>
  <c r="I189" i="2" a="1"/>
  <c r="I189" i="2"/>
  <c r="J189" i="2" a="1"/>
  <c r="J189" i="2" s="1"/>
  <c r="I190" i="2" a="1"/>
  <c r="I190" i="2" s="1"/>
  <c r="J190" i="2" a="1"/>
  <c r="J190" i="2"/>
  <c r="I191" i="2" a="1"/>
  <c r="I191" i="2"/>
  <c r="J191" i="2" a="1"/>
  <c r="J191" i="2" s="1"/>
  <c r="I192" i="2" a="1"/>
  <c r="I192" i="2" s="1"/>
  <c r="J192" i="2" a="1"/>
  <c r="J192" i="2"/>
  <c r="I193" i="2" a="1"/>
  <c r="I193" i="2"/>
  <c r="J193" i="2" a="1"/>
  <c r="J193" i="2" s="1"/>
  <c r="I194" i="2" a="1"/>
  <c r="I194" i="2" s="1"/>
  <c r="J194" i="2" a="1"/>
  <c r="J194" i="2"/>
  <c r="I195" i="2" a="1"/>
  <c r="I195" i="2"/>
  <c r="J195" i="2" a="1"/>
  <c r="J195" i="2" s="1"/>
  <c r="I196" i="2" a="1"/>
  <c r="I196" i="2" s="1"/>
  <c r="J196" i="2" a="1"/>
  <c r="J196" i="2"/>
  <c r="I197" i="2" a="1"/>
  <c r="I197" i="2"/>
  <c r="J197" i="2" a="1"/>
  <c r="J197" i="2" s="1"/>
  <c r="I198" i="2" a="1"/>
  <c r="I198" i="2" s="1"/>
  <c r="J198" i="2" a="1"/>
  <c r="J198" i="2"/>
  <c r="I199" i="2" a="1"/>
  <c r="I199" i="2"/>
  <c r="J199" i="2" a="1"/>
  <c r="J199" i="2" s="1"/>
  <c r="I200" i="2" a="1"/>
  <c r="I200" i="2" s="1"/>
  <c r="J200" i="2" a="1"/>
  <c r="J200" i="2"/>
  <c r="I201" i="2" a="1"/>
  <c r="I201" i="2"/>
  <c r="J201" i="2" a="1"/>
  <c r="J201" i="2" s="1"/>
  <c r="I202" i="2" a="1"/>
  <c r="I202" i="2" s="1"/>
  <c r="J202" i="2" a="1"/>
  <c r="J202" i="2"/>
  <c r="I203" i="2" a="1"/>
  <c r="I203" i="2"/>
  <c r="J203" i="2" a="1"/>
  <c r="J203" i="2" s="1"/>
  <c r="I204" i="2" a="1"/>
  <c r="I204" i="2" s="1"/>
  <c r="J204" i="2" a="1"/>
  <c r="J204" i="2"/>
  <c r="I205" i="2" a="1"/>
  <c r="I205" i="2"/>
  <c r="J205" i="2" a="1"/>
  <c r="J205" i="2" s="1"/>
  <c r="I206" i="2" a="1"/>
  <c r="I206" i="2" s="1"/>
  <c r="J206" i="2" a="1"/>
  <c r="J206" i="2"/>
  <c r="I207" i="2" a="1"/>
  <c r="I207" i="2"/>
  <c r="J207" i="2" a="1"/>
  <c r="J207" i="2" s="1"/>
  <c r="I208" i="2" a="1"/>
  <c r="I208" i="2" s="1"/>
  <c r="J208" i="2" a="1"/>
  <c r="J208" i="2"/>
  <c r="I209" i="2" a="1"/>
  <c r="I209" i="2"/>
  <c r="J209" i="2" a="1"/>
  <c r="J209" i="2" s="1"/>
  <c r="I210" i="2" a="1"/>
  <c r="I210" i="2" s="1"/>
  <c r="J210" i="2" a="1"/>
  <c r="J210" i="2" s="1"/>
  <c r="I211" i="2" a="1"/>
  <c r="I211" i="2" s="1"/>
  <c r="J211" i="2" a="1"/>
  <c r="J211" i="2" s="1"/>
  <c r="I212" i="2" a="1"/>
  <c r="I212" i="2" s="1"/>
  <c r="J212" i="2" a="1"/>
  <c r="J212" i="2" s="1"/>
  <c r="I213" i="2" a="1"/>
  <c r="I213" i="2"/>
  <c r="J213" i="2" a="1"/>
  <c r="J213" i="2" s="1"/>
  <c r="I214" i="2" a="1"/>
  <c r="I214" i="2" s="1"/>
  <c r="J214" i="2" a="1"/>
  <c r="J214" i="2" s="1"/>
  <c r="I215" i="2" a="1"/>
  <c r="I215" i="2" s="1"/>
  <c r="J215" i="2" a="1"/>
  <c r="J215" i="2" s="1"/>
  <c r="I216" i="2" a="1"/>
  <c r="I216" i="2" s="1"/>
  <c r="J216" i="2" a="1"/>
  <c r="J216" i="2" s="1"/>
  <c r="I217" i="2" a="1"/>
  <c r="I217" i="2"/>
  <c r="J217" i="2" a="1"/>
  <c r="J217" i="2" s="1"/>
  <c r="I218" i="2" a="1"/>
  <c r="I218" i="2" s="1"/>
  <c r="J218" i="2" a="1"/>
  <c r="J218" i="2" s="1"/>
  <c r="I219" i="2" a="1"/>
  <c r="I219" i="2"/>
  <c r="J219" i="2" a="1"/>
  <c r="J219" i="2" s="1"/>
  <c r="I220" i="2" a="1"/>
  <c r="I220" i="2" s="1"/>
  <c r="J220" i="2" a="1"/>
  <c r="J220" i="2" s="1"/>
  <c r="I221" i="2" a="1"/>
  <c r="I221" i="2"/>
  <c r="J221" i="2" a="1"/>
  <c r="J221" i="2" s="1"/>
  <c r="I222" i="2" a="1"/>
  <c r="I222" i="2" s="1"/>
  <c r="J222" i="2" a="1"/>
  <c r="J222" i="2" s="1"/>
  <c r="I223" i="2" a="1"/>
  <c r="I223" i="2" s="1"/>
  <c r="J223" i="2" a="1"/>
  <c r="J223" i="2" s="1"/>
  <c r="I224" i="2" a="1"/>
  <c r="I224" i="2" s="1"/>
  <c r="J224" i="2" a="1"/>
  <c r="J224" i="2" s="1"/>
  <c r="I225" i="2" a="1"/>
  <c r="I225" i="2"/>
  <c r="J225" i="2" a="1"/>
  <c r="J225" i="2" s="1"/>
  <c r="I226" i="2" a="1"/>
  <c r="I226" i="2" s="1"/>
  <c r="J226" i="2" a="1"/>
  <c r="J226" i="2" s="1"/>
  <c r="I227" i="2" a="1"/>
  <c r="I227" i="2" s="1"/>
  <c r="J227" i="2" a="1"/>
  <c r="J227" i="2" s="1"/>
  <c r="I228" i="2" a="1"/>
  <c r="I228" i="2" s="1"/>
  <c r="J228" i="2" a="1"/>
  <c r="J228" i="2" s="1"/>
  <c r="I229" i="2" a="1"/>
  <c r="I229" i="2"/>
  <c r="J229" i="2" a="1"/>
  <c r="J229" i="2" s="1"/>
  <c r="I230" i="2" a="1"/>
  <c r="I230" i="2" s="1"/>
  <c r="J230" i="2" a="1"/>
  <c r="J230" i="2" s="1"/>
  <c r="I231" i="2" a="1"/>
  <c r="I231" i="2" s="1"/>
  <c r="J231" i="2" a="1"/>
  <c r="J231" i="2" s="1"/>
  <c r="I232" i="2" a="1"/>
  <c r="I232" i="2" s="1"/>
  <c r="J232" i="2" a="1"/>
  <c r="J232" i="2" s="1"/>
  <c r="I233" i="2" a="1"/>
  <c r="I233" i="2"/>
  <c r="J233" i="2" a="1"/>
  <c r="J233" i="2" s="1"/>
  <c r="I234" i="2" a="1"/>
  <c r="I234" i="2" s="1"/>
  <c r="J234" i="2" a="1"/>
  <c r="J234" i="2" s="1"/>
  <c r="I235" i="2" a="1"/>
  <c r="I235" i="2"/>
  <c r="J235" i="2" a="1"/>
  <c r="J235" i="2" s="1"/>
  <c r="I236" i="2" a="1"/>
  <c r="I236" i="2" s="1"/>
  <c r="J236" i="2" a="1"/>
  <c r="J236" i="2" s="1"/>
  <c r="I237" i="2" a="1"/>
  <c r="I237" i="2"/>
  <c r="J237" i="2" a="1"/>
  <c r="J237" i="2" s="1"/>
  <c r="I238" i="2" a="1"/>
  <c r="I238" i="2" s="1"/>
  <c r="J238" i="2" a="1"/>
  <c r="J238" i="2" s="1"/>
  <c r="I239" i="2" a="1"/>
  <c r="I239" i="2" s="1"/>
  <c r="J239" i="2" a="1"/>
  <c r="J239" i="2" s="1"/>
  <c r="I240" i="2" a="1"/>
  <c r="I240" i="2" s="1"/>
  <c r="J240" i="2" a="1"/>
  <c r="J240" i="2" s="1"/>
  <c r="I241" i="2" a="1"/>
  <c r="I241" i="2"/>
  <c r="J241" i="2" a="1"/>
  <c r="J241" i="2" s="1"/>
  <c r="I242" i="2" a="1"/>
  <c r="I242" i="2" s="1"/>
  <c r="J242" i="2" a="1"/>
  <c r="J242" i="2" s="1"/>
  <c r="I243" i="2" a="1"/>
  <c r="I243" i="2" s="1"/>
  <c r="J243" i="2" a="1"/>
  <c r="J243" i="2" s="1"/>
  <c r="I244" i="2" a="1"/>
  <c r="I244" i="2" s="1"/>
  <c r="J244" i="2" a="1"/>
  <c r="J244" i="2" s="1"/>
  <c r="I245" i="2" a="1"/>
  <c r="I245" i="2"/>
  <c r="J245" i="2" a="1"/>
  <c r="J245" i="2" s="1"/>
  <c r="I246" i="2" a="1"/>
  <c r="I246" i="2" s="1"/>
  <c r="J246" i="2" a="1"/>
  <c r="J246" i="2" s="1"/>
  <c r="I247" i="2" a="1"/>
  <c r="I247" i="2" s="1"/>
  <c r="J247" i="2" a="1"/>
  <c r="J247" i="2" s="1"/>
  <c r="I248" i="2" a="1"/>
  <c r="I248" i="2" s="1"/>
  <c r="J248" i="2" a="1"/>
  <c r="J248" i="2" s="1"/>
  <c r="I249" i="2" a="1"/>
  <c r="I249" i="2"/>
  <c r="J249" i="2" a="1"/>
  <c r="J249" i="2" s="1"/>
  <c r="I250" i="2" a="1"/>
  <c r="I250" i="2" s="1"/>
  <c r="J250" i="2" a="1"/>
  <c r="J250" i="2" s="1"/>
  <c r="I251" i="2" a="1"/>
  <c r="I251" i="2"/>
  <c r="J251" i="2" a="1"/>
  <c r="J251" i="2" s="1"/>
  <c r="I252" i="2" a="1"/>
  <c r="I252" i="2" s="1"/>
  <c r="J252" i="2" a="1"/>
  <c r="J252" i="2" s="1"/>
  <c r="I253" i="2" a="1"/>
  <c r="I253" i="2"/>
  <c r="J253" i="2" a="1"/>
  <c r="J253" i="2" s="1"/>
  <c r="I254" i="2" a="1"/>
  <c r="I254" i="2" s="1"/>
  <c r="J254" i="2" a="1"/>
  <c r="J254" i="2" s="1"/>
  <c r="I255" i="2" a="1"/>
  <c r="I255" i="2" s="1"/>
  <c r="J255" i="2" a="1"/>
  <c r="J255" i="2" s="1"/>
  <c r="I256" i="2" a="1"/>
  <c r="I256" i="2" s="1"/>
  <c r="J256" i="2" a="1"/>
  <c r="J256" i="2" s="1"/>
  <c r="I257" i="2" a="1"/>
  <c r="I257" i="2"/>
  <c r="J257" i="2" a="1"/>
  <c r="J257" i="2" s="1"/>
  <c r="I258" i="2" a="1"/>
  <c r="I258" i="2" s="1"/>
  <c r="J258" i="2" a="1"/>
  <c r="J258" i="2" s="1"/>
  <c r="I259" i="2" a="1"/>
  <c r="I259" i="2" s="1"/>
  <c r="J259" i="2" a="1"/>
  <c r="J259" i="2" s="1"/>
  <c r="I260" i="2" a="1"/>
  <c r="I260" i="2" s="1"/>
  <c r="J260" i="2" a="1"/>
  <c r="J260" i="2" s="1"/>
  <c r="I261" i="2" a="1"/>
  <c r="I261" i="2"/>
  <c r="J261" i="2" a="1"/>
  <c r="J261" i="2" s="1"/>
  <c r="I262" i="2" a="1"/>
  <c r="I262" i="2" s="1"/>
  <c r="J262" i="2" a="1"/>
  <c r="J262" i="2" s="1"/>
  <c r="I263" i="2" a="1"/>
  <c r="I263" i="2" s="1"/>
  <c r="J263" i="2" a="1"/>
  <c r="J263" i="2" s="1"/>
  <c r="I264" i="2" a="1"/>
  <c r="I264" i="2" s="1"/>
  <c r="J264" i="2" a="1"/>
  <c r="J264" i="2" s="1"/>
  <c r="I265" i="2" a="1"/>
  <c r="I265" i="2"/>
  <c r="J265" i="2" a="1"/>
  <c r="J265" i="2" s="1"/>
  <c r="I266" i="2" a="1"/>
  <c r="I266" i="2" s="1"/>
  <c r="J266" i="2" a="1"/>
  <c r="J266" i="2" s="1"/>
  <c r="I267" i="2" a="1"/>
  <c r="I267" i="2"/>
  <c r="J267" i="2" a="1"/>
  <c r="J267" i="2" s="1"/>
  <c r="I268" i="2" a="1"/>
  <c r="I268" i="2" s="1"/>
  <c r="J268" i="2" a="1"/>
  <c r="J268" i="2" s="1"/>
  <c r="I269" i="2" a="1"/>
  <c r="I269" i="2"/>
  <c r="J269" i="2" a="1"/>
  <c r="J269" i="2" s="1"/>
  <c r="I270" i="2" a="1"/>
  <c r="I270" i="2" s="1"/>
  <c r="J270" i="2" a="1"/>
  <c r="J270" i="2" s="1"/>
  <c r="I271" i="2" a="1"/>
  <c r="I271" i="2" s="1"/>
  <c r="J271" i="2" a="1"/>
  <c r="J271" i="2" s="1"/>
  <c r="I272" i="2" a="1"/>
  <c r="I272" i="2" s="1"/>
  <c r="J272" i="2" a="1"/>
  <c r="J272" i="2" s="1"/>
  <c r="I273" i="2" a="1"/>
  <c r="I273" i="2"/>
  <c r="J273" i="2" a="1"/>
  <c r="J273" i="2" s="1"/>
  <c r="I274" i="2" a="1"/>
  <c r="I274" i="2" s="1"/>
  <c r="J274" i="2" a="1"/>
  <c r="J274" i="2" s="1"/>
  <c r="I275" i="2" a="1"/>
  <c r="I275" i="2" s="1"/>
  <c r="J275" i="2" a="1"/>
  <c r="J275" i="2" s="1"/>
  <c r="I276" i="2" a="1"/>
  <c r="I276" i="2" s="1"/>
  <c r="J276" i="2" a="1"/>
  <c r="J276" i="2" s="1"/>
  <c r="I277" i="2" a="1"/>
  <c r="I277" i="2"/>
  <c r="J277" i="2" a="1"/>
  <c r="J277" i="2" s="1"/>
  <c r="I278" i="2" a="1"/>
  <c r="I278" i="2" s="1"/>
  <c r="J278" i="2" a="1"/>
  <c r="J278" i="2" s="1"/>
  <c r="I279" i="2" a="1"/>
  <c r="I279" i="2" s="1"/>
  <c r="J279" i="2" a="1"/>
  <c r="J279" i="2" s="1"/>
  <c r="I280" i="2" a="1"/>
  <c r="I280" i="2" s="1"/>
  <c r="J280" i="2" a="1"/>
  <c r="J280" i="2" s="1"/>
  <c r="I281" i="2" a="1"/>
  <c r="I281" i="2"/>
  <c r="J281" i="2" a="1"/>
  <c r="J281" i="2" s="1"/>
  <c r="I282" i="2" a="1"/>
  <c r="I282" i="2" s="1"/>
  <c r="J282" i="2" a="1"/>
  <c r="J282" i="2" s="1"/>
  <c r="I283" i="2" a="1"/>
  <c r="I283" i="2"/>
  <c r="J283" i="2" a="1"/>
  <c r="J283" i="2" s="1"/>
  <c r="I284" i="2" a="1"/>
  <c r="I284" i="2" s="1"/>
  <c r="J284" i="2" a="1"/>
  <c r="J284" i="2" s="1"/>
  <c r="I285" i="2" a="1"/>
  <c r="I285" i="2" s="1"/>
  <c r="J285" i="2" a="1"/>
  <c r="J285" i="2" s="1"/>
  <c r="I286" i="2" a="1"/>
  <c r="I286" i="2" s="1"/>
  <c r="J286" i="2" a="1"/>
  <c r="J286" i="2" s="1"/>
  <c r="I287" i="2" a="1"/>
  <c r="I287" i="2" s="1"/>
  <c r="J287" i="2" a="1"/>
  <c r="J287" i="2" s="1"/>
  <c r="I288" i="2" a="1"/>
  <c r="I288" i="2" s="1"/>
  <c r="J288" i="2" a="1"/>
  <c r="J288" i="2" s="1"/>
  <c r="I289" i="2" a="1"/>
  <c r="I289" i="2"/>
  <c r="J289" i="2" a="1"/>
  <c r="J289" i="2" s="1"/>
  <c r="I290" i="2" a="1"/>
  <c r="I290" i="2" s="1"/>
  <c r="J290" i="2" a="1"/>
  <c r="J290" i="2" s="1"/>
  <c r="I291" i="2" a="1"/>
  <c r="I291" i="2"/>
  <c r="J291" i="2" a="1"/>
  <c r="J291" i="2" s="1"/>
  <c r="I292" i="2" a="1"/>
  <c r="I292" i="2" s="1"/>
  <c r="J292" i="2" a="1"/>
  <c r="J292" i="2" s="1"/>
  <c r="I293" i="2" a="1"/>
  <c r="I293" i="2"/>
  <c r="J293" i="2" a="1"/>
  <c r="J293" i="2" s="1"/>
  <c r="I294" i="2" a="1"/>
  <c r="I294" i="2" s="1"/>
  <c r="J294" i="2" a="1"/>
  <c r="J294" i="2" s="1"/>
  <c r="I295" i="2" a="1"/>
  <c r="I295" i="2" s="1"/>
  <c r="J295" i="2" a="1"/>
  <c r="J295" i="2" s="1"/>
  <c r="I296" i="2" a="1"/>
  <c r="I296" i="2" s="1"/>
  <c r="J296" i="2" a="1"/>
  <c r="J296" i="2" s="1"/>
  <c r="I297" i="2" a="1"/>
  <c r="I297" i="2"/>
  <c r="J297" i="2" a="1"/>
  <c r="J297" i="2" s="1"/>
  <c r="I298" i="2" a="1"/>
  <c r="I298" i="2" s="1"/>
  <c r="J298" i="2" a="1"/>
  <c r="J298" i="2" s="1"/>
  <c r="I299" i="2" a="1"/>
  <c r="I299" i="2"/>
  <c r="J299" i="2" a="1"/>
  <c r="J299" i="2" s="1"/>
  <c r="I300" i="2" a="1"/>
  <c r="I300" i="2" s="1"/>
  <c r="J300" i="2" a="1"/>
  <c r="J300" i="2" s="1"/>
  <c r="I301" i="2" a="1"/>
  <c r="I301" i="2" s="1"/>
  <c r="J301" i="2" a="1"/>
  <c r="J301" i="2" s="1"/>
  <c r="I302" i="2" a="1"/>
  <c r="I302" i="2" s="1"/>
  <c r="J302" i="2" a="1"/>
  <c r="J302" i="2" s="1"/>
  <c r="I303" i="2" a="1"/>
  <c r="I303" i="2" s="1"/>
  <c r="J303" i="2" a="1"/>
  <c r="J303" i="2" s="1"/>
  <c r="I304" i="2" a="1"/>
  <c r="I304" i="2" s="1"/>
  <c r="J304" i="2" a="1"/>
  <c r="J304" i="2" s="1"/>
  <c r="I305" i="2" a="1"/>
  <c r="I305" i="2"/>
  <c r="J305" i="2" a="1"/>
  <c r="J305" i="2" s="1"/>
  <c r="I306" i="2" a="1"/>
  <c r="I306" i="2" s="1"/>
  <c r="J306" i="2" a="1"/>
  <c r="J306" i="2" s="1"/>
  <c r="I307" i="2" a="1"/>
  <c r="I307" i="2"/>
  <c r="J307" i="2" a="1"/>
  <c r="J307" i="2" s="1"/>
  <c r="I308" i="2" a="1"/>
  <c r="I308" i="2" s="1"/>
  <c r="J308" i="2" a="1"/>
  <c r="J308" i="2" s="1"/>
  <c r="I309" i="2" a="1"/>
  <c r="I309" i="2"/>
  <c r="J309" i="2" a="1"/>
  <c r="J309" i="2" s="1"/>
  <c r="I310" i="2" a="1"/>
  <c r="I310" i="2" s="1"/>
  <c r="J310" i="2" a="1"/>
  <c r="J310" i="2" s="1"/>
  <c r="I311" i="2" a="1"/>
  <c r="I311" i="2" s="1"/>
  <c r="J311" i="2" a="1"/>
  <c r="J311" i="2" s="1"/>
  <c r="I312" i="2" a="1"/>
  <c r="I312" i="2" s="1"/>
  <c r="J312" i="2" a="1"/>
  <c r="J312" i="2" s="1"/>
  <c r="I313" i="2" a="1"/>
  <c r="I313" i="2"/>
  <c r="J313" i="2" a="1"/>
  <c r="J313" i="2" s="1"/>
  <c r="I314" i="2" a="1"/>
  <c r="I314" i="2" s="1"/>
  <c r="J314" i="2" a="1"/>
  <c r="J314" i="2" s="1"/>
  <c r="I315" i="2" a="1"/>
  <c r="I315" i="2"/>
  <c r="J315" i="2" a="1"/>
  <c r="J315" i="2" s="1"/>
  <c r="I316" i="2" a="1"/>
  <c r="I316" i="2" s="1"/>
  <c r="J316" i="2" a="1"/>
  <c r="J316" i="2" s="1"/>
  <c r="I317" i="2" a="1"/>
  <c r="I317" i="2" s="1"/>
  <c r="J317" i="2" a="1"/>
  <c r="J317" i="2" s="1"/>
  <c r="I318" i="2" a="1"/>
  <c r="I318" i="2" s="1"/>
  <c r="J318" i="2" a="1"/>
  <c r="J318" i="2" s="1"/>
  <c r="I319" i="2" a="1"/>
  <c r="I319" i="2" s="1"/>
  <c r="J319" i="2" a="1"/>
  <c r="J319" i="2" s="1"/>
  <c r="I320" i="2" a="1"/>
  <c r="I320" i="2" s="1"/>
  <c r="J320" i="2" a="1"/>
  <c r="J320" i="2" s="1"/>
  <c r="I321" i="2" a="1"/>
  <c r="I321" i="2"/>
  <c r="J321" i="2" a="1"/>
  <c r="J321" i="2" s="1"/>
  <c r="I322" i="2" a="1"/>
  <c r="I322" i="2" s="1"/>
  <c r="J322" i="2" a="1"/>
  <c r="J322" i="2" s="1"/>
  <c r="I323" i="2" a="1"/>
  <c r="I323" i="2"/>
  <c r="J323" i="2" a="1"/>
  <c r="J323" i="2" s="1"/>
  <c r="I324" i="2" a="1"/>
  <c r="I324" i="2" s="1"/>
  <c r="J324" i="2" a="1"/>
  <c r="J324" i="2" s="1"/>
  <c r="I325" i="2" a="1"/>
  <c r="I325" i="2"/>
  <c r="J325" i="2" a="1"/>
  <c r="J325" i="2" s="1"/>
  <c r="I326" i="2" a="1"/>
  <c r="I326" i="2" s="1"/>
  <c r="J326" i="2" a="1"/>
  <c r="J326" i="2" s="1"/>
  <c r="I327" i="2" a="1"/>
  <c r="I327" i="2" s="1"/>
  <c r="J327" i="2" a="1"/>
  <c r="J327" i="2" s="1"/>
  <c r="I328" i="2" a="1"/>
  <c r="I328" i="2" s="1"/>
  <c r="J328" i="2" a="1"/>
  <c r="J328" i="2" s="1"/>
  <c r="I329" i="2" a="1"/>
  <c r="I329" i="2"/>
  <c r="J329" i="2" a="1"/>
  <c r="J329" i="2" s="1"/>
  <c r="I330" i="2" a="1"/>
  <c r="I330" i="2" s="1"/>
  <c r="J330" i="2" a="1"/>
  <c r="J330" i="2" s="1"/>
  <c r="I331" i="2" a="1"/>
  <c r="I331" i="2"/>
  <c r="J331" i="2" a="1"/>
  <c r="J331" i="2" s="1"/>
  <c r="I332" i="2" a="1"/>
  <c r="I332" i="2" s="1"/>
  <c r="J332" i="2" a="1"/>
  <c r="J332" i="2" s="1"/>
  <c r="I333" i="2" a="1"/>
  <c r="I333" i="2" s="1"/>
  <c r="J333" i="2" a="1"/>
  <c r="J333" i="2" s="1"/>
  <c r="I334" i="2" a="1"/>
  <c r="I334" i="2" s="1"/>
  <c r="J334" i="2" a="1"/>
  <c r="J334" i="2" s="1"/>
  <c r="I335" i="2" a="1"/>
  <c r="I335" i="2" s="1"/>
  <c r="J335" i="2" a="1"/>
  <c r="J335" i="2" s="1"/>
  <c r="I336" i="2" a="1"/>
  <c r="I336" i="2" s="1"/>
  <c r="J336" i="2" a="1"/>
  <c r="J336" i="2" s="1"/>
  <c r="I337" i="2" a="1"/>
  <c r="I337" i="2"/>
  <c r="J337" i="2" a="1"/>
  <c r="J337" i="2" s="1"/>
  <c r="I338" i="2" a="1"/>
  <c r="I338" i="2" s="1"/>
  <c r="J338" i="2" a="1"/>
  <c r="J338" i="2" s="1"/>
  <c r="I339" i="2" a="1"/>
  <c r="I339" i="2"/>
  <c r="J339" i="2" a="1"/>
  <c r="J339" i="2" s="1"/>
  <c r="I340" i="2" a="1"/>
  <c r="I340" i="2" s="1"/>
  <c r="J340" i="2" a="1"/>
  <c r="J340" i="2" s="1"/>
  <c r="I341" i="2" a="1"/>
  <c r="I341" i="2"/>
  <c r="J341" i="2" a="1"/>
  <c r="J341" i="2" s="1"/>
  <c r="I342" i="2" a="1"/>
  <c r="I342" i="2" s="1"/>
  <c r="J342" i="2" a="1"/>
  <c r="J342" i="2" s="1"/>
  <c r="I343" i="2" a="1"/>
  <c r="I343" i="2" s="1"/>
  <c r="J343" i="2" a="1"/>
  <c r="J343" i="2" s="1"/>
  <c r="I344" i="2" a="1"/>
  <c r="I344" i="2" s="1"/>
  <c r="J344" i="2" a="1"/>
  <c r="J344" i="2" s="1"/>
  <c r="I345" i="2" a="1"/>
  <c r="I345" i="2"/>
  <c r="J345" i="2" a="1"/>
  <c r="J345" i="2" s="1"/>
  <c r="I346" i="2" a="1"/>
  <c r="I346" i="2" s="1"/>
  <c r="J346" i="2" a="1"/>
  <c r="J346" i="2" s="1"/>
  <c r="I347" i="2" a="1"/>
  <c r="I347" i="2"/>
  <c r="J347" i="2" a="1"/>
  <c r="J347" i="2" s="1"/>
  <c r="I348" i="2" a="1"/>
  <c r="I348" i="2" s="1"/>
  <c r="J348" i="2" a="1"/>
  <c r="J348" i="2" s="1"/>
  <c r="I349" i="2" a="1"/>
  <c r="I349" i="2" s="1"/>
  <c r="J349" i="2" a="1"/>
  <c r="J349" i="2" s="1"/>
  <c r="I350" i="2" a="1"/>
  <c r="I350" i="2" s="1"/>
  <c r="J350" i="2" a="1"/>
  <c r="J350" i="2" s="1"/>
  <c r="I351" i="2" a="1"/>
  <c r="I351" i="2" s="1"/>
  <c r="J351" i="2" a="1"/>
  <c r="J351" i="2" s="1"/>
  <c r="I352" i="2" a="1"/>
  <c r="I352" i="2" s="1"/>
  <c r="J352" i="2" a="1"/>
  <c r="J352" i="2" s="1"/>
  <c r="I353" i="2" a="1"/>
  <c r="I353" i="2"/>
  <c r="J353" i="2" a="1"/>
  <c r="J353" i="2" s="1"/>
  <c r="I354" i="2" a="1"/>
  <c r="I354" i="2" s="1"/>
  <c r="J354" i="2" a="1"/>
  <c r="J354" i="2" s="1"/>
  <c r="I355" i="2" a="1"/>
  <c r="I355" i="2"/>
  <c r="J355" i="2" a="1"/>
  <c r="J355" i="2" s="1"/>
  <c r="I356" i="2" a="1"/>
  <c r="I356" i="2" s="1"/>
  <c r="J356" i="2" a="1"/>
  <c r="J356" i="2" s="1"/>
  <c r="I357" i="2" a="1"/>
  <c r="I357" i="2"/>
  <c r="J357" i="2" a="1"/>
  <c r="J357" i="2" s="1"/>
  <c r="I358" i="2" a="1"/>
  <c r="I358" i="2" s="1"/>
  <c r="J358" i="2" a="1"/>
  <c r="J358" i="2" s="1"/>
  <c r="I359" i="2" a="1"/>
  <c r="I359" i="2" s="1"/>
  <c r="J359" i="2" a="1"/>
  <c r="J359" i="2" s="1"/>
  <c r="I360" i="2" a="1"/>
  <c r="I360" i="2" s="1"/>
  <c r="J360" i="2" a="1"/>
  <c r="J360" i="2" s="1"/>
  <c r="I361" i="2" a="1"/>
  <c r="I361" i="2"/>
  <c r="J361" i="2" a="1"/>
  <c r="J361" i="2" s="1"/>
  <c r="I362" i="2" a="1"/>
  <c r="I362" i="2" s="1"/>
  <c r="J362" i="2" a="1"/>
  <c r="J362" i="2" s="1"/>
  <c r="I363" i="2" a="1"/>
  <c r="I363" i="2"/>
  <c r="J363" i="2" a="1"/>
  <c r="J363" i="2" s="1"/>
  <c r="I364" i="2" a="1"/>
  <c r="I364" i="2" s="1"/>
  <c r="J364" i="2" a="1"/>
  <c r="J364" i="2" s="1"/>
  <c r="I365" i="2" a="1"/>
  <c r="I365" i="2" s="1"/>
  <c r="J365" i="2" a="1"/>
  <c r="J365" i="2" s="1"/>
  <c r="I366" i="2" a="1"/>
  <c r="I366" i="2" s="1"/>
  <c r="J366" i="2" a="1"/>
  <c r="J366" i="2" s="1"/>
  <c r="I367" i="2" a="1"/>
  <c r="I367" i="2" s="1"/>
  <c r="J367" i="2" a="1"/>
  <c r="J367" i="2" s="1"/>
  <c r="I368" i="2" a="1"/>
  <c r="I368" i="2" s="1"/>
  <c r="J368" i="2" a="1"/>
  <c r="J368" i="2" s="1"/>
  <c r="I369" i="2" a="1"/>
  <c r="I369" i="2"/>
  <c r="J369" i="2" a="1"/>
  <c r="J369" i="2" s="1"/>
  <c r="I370" i="2" a="1"/>
  <c r="I370" i="2" s="1"/>
  <c r="J370" i="2" a="1"/>
  <c r="J370" i="2" s="1"/>
  <c r="I371" i="2" a="1"/>
  <c r="I371" i="2"/>
  <c r="J371" i="2" a="1"/>
  <c r="J371" i="2" s="1"/>
  <c r="I372" i="2" a="1"/>
  <c r="I372" i="2" s="1"/>
  <c r="J372" i="2" a="1"/>
  <c r="J372" i="2" s="1"/>
  <c r="I373" i="2" a="1"/>
  <c r="I373" i="2"/>
  <c r="J373" i="2" a="1"/>
  <c r="J373" i="2" s="1"/>
  <c r="I374" i="2" a="1"/>
  <c r="I374" i="2" s="1"/>
  <c r="J374" i="2" a="1"/>
  <c r="J374" i="2" s="1"/>
  <c r="I375" i="2" a="1"/>
  <c r="I375" i="2" s="1"/>
  <c r="J375" i="2" a="1"/>
  <c r="J375" i="2" s="1"/>
  <c r="I376" i="2" a="1"/>
  <c r="I376" i="2"/>
  <c r="J376" i="2" a="1"/>
  <c r="J376" i="2"/>
  <c r="I377" i="2" a="1"/>
  <c r="I377" i="2" s="1"/>
  <c r="J377" i="2" a="1"/>
  <c r="J377" i="2" s="1"/>
  <c r="I378" i="2" a="1"/>
  <c r="I378" i="2"/>
  <c r="J378" i="2" a="1"/>
  <c r="J378" i="2" s="1"/>
  <c r="I379" i="2" a="1"/>
  <c r="I379" i="2"/>
  <c r="J379" i="2" a="1"/>
  <c r="J379" i="2" s="1"/>
  <c r="I380" i="2" a="1"/>
  <c r="I380" i="2"/>
  <c r="J380" i="2" a="1"/>
  <c r="J380" i="2"/>
  <c r="I381" i="2" a="1"/>
  <c r="I381" i="2"/>
  <c r="J381" i="2" a="1"/>
  <c r="J381" i="2" s="1"/>
  <c r="I382" i="2" a="1"/>
  <c r="I382" i="2" s="1"/>
  <c r="J382" i="2" a="1"/>
  <c r="J382" i="2"/>
  <c r="I383" i="2" a="1"/>
  <c r="I383" i="2" s="1"/>
  <c r="J383" i="2" a="1"/>
  <c r="J383" i="2" s="1"/>
  <c r="I384" i="2" a="1"/>
  <c r="I384" i="2" s="1"/>
  <c r="J384" i="2" a="1"/>
  <c r="J384" i="2"/>
  <c r="I385" i="2" a="1"/>
  <c r="I385" i="2"/>
  <c r="J385" i="2" a="1"/>
  <c r="J385" i="2" s="1"/>
  <c r="I386" i="2" a="1"/>
  <c r="I386" i="2"/>
  <c r="J386" i="2" a="1"/>
  <c r="J386" i="2" s="1"/>
  <c r="I387" i="2" a="1"/>
  <c r="I387" i="2"/>
  <c r="J387" i="2" a="1"/>
  <c r="J387" i="2" s="1"/>
  <c r="I388" i="2" a="1"/>
  <c r="I388" i="2"/>
  <c r="J388" i="2" a="1"/>
  <c r="J388" i="2" s="1"/>
  <c r="I389" i="2" a="1"/>
  <c r="I389" i="2"/>
  <c r="J389" i="2" a="1"/>
  <c r="J389" i="2" s="1"/>
  <c r="I390" i="2" a="1"/>
  <c r="I390" i="2" s="1"/>
  <c r="J390" i="2" a="1"/>
  <c r="J390" i="2"/>
  <c r="I391" i="2" a="1"/>
  <c r="I391" i="2" s="1"/>
  <c r="J391" i="2" a="1"/>
  <c r="J391" i="2" s="1"/>
  <c r="I392" i="2" a="1"/>
  <c r="I392" i="2"/>
  <c r="J392" i="2" a="1"/>
  <c r="J392" i="2"/>
  <c r="I393" i="2" a="1"/>
  <c r="I393" i="2" s="1"/>
  <c r="J393" i="2" a="1"/>
  <c r="J393" i="2" s="1"/>
  <c r="I394" i="2" a="1"/>
  <c r="I394" i="2"/>
  <c r="J394" i="2" a="1"/>
  <c r="J394" i="2" s="1"/>
  <c r="I395" i="2" a="1"/>
  <c r="I395" i="2"/>
  <c r="J395" i="2" a="1"/>
  <c r="J395" i="2" s="1"/>
  <c r="I396" i="2" a="1"/>
  <c r="I396" i="2"/>
  <c r="J396" i="2" a="1"/>
  <c r="J396" i="2"/>
  <c r="I397" i="2" a="1"/>
  <c r="I397" i="2"/>
  <c r="J397" i="2" a="1"/>
  <c r="J397" i="2" s="1"/>
  <c r="I398" i="2" a="1"/>
  <c r="I398" i="2" s="1"/>
  <c r="J398" i="2" a="1"/>
  <c r="J398" i="2"/>
  <c r="I399" i="2" a="1"/>
  <c r="I399" i="2" s="1"/>
  <c r="J399" i="2" a="1"/>
  <c r="J399" i="2" s="1"/>
  <c r="I400" i="2" a="1"/>
  <c r="I400" i="2" s="1"/>
  <c r="J400" i="2" a="1"/>
  <c r="J400" i="2"/>
  <c r="I401" i="2" a="1"/>
  <c r="I401" i="2"/>
  <c r="J401" i="2" a="1"/>
  <c r="J401" i="2" s="1"/>
  <c r="I402" i="2" a="1"/>
  <c r="I402" i="2"/>
  <c r="J402" i="2" a="1"/>
  <c r="J402" i="2" s="1"/>
  <c r="I403" i="2" a="1"/>
  <c r="I403" i="2"/>
  <c r="J403" i="2" a="1"/>
  <c r="J403" i="2" s="1"/>
  <c r="I404" i="2" a="1"/>
  <c r="I404" i="2"/>
  <c r="J404" i="2" a="1"/>
  <c r="J404" i="2" s="1"/>
  <c r="I405" i="2" a="1"/>
  <c r="I405" i="2"/>
  <c r="J405" i="2" a="1"/>
  <c r="J405" i="2" s="1"/>
  <c r="I406" i="2" a="1"/>
  <c r="I406" i="2" s="1"/>
  <c r="J406" i="2" a="1"/>
  <c r="J406" i="2"/>
  <c r="I407" i="2" a="1"/>
  <c r="I407" i="2" s="1"/>
  <c r="J407" i="2" a="1"/>
  <c r="J407" i="2" s="1"/>
  <c r="I408" i="2" a="1"/>
  <c r="I408" i="2"/>
  <c r="J408" i="2" a="1"/>
  <c r="J408" i="2"/>
  <c r="I409" i="2" a="1"/>
  <c r="I409" i="2" s="1"/>
  <c r="J409" i="2" a="1"/>
  <c r="J409" i="2" s="1"/>
  <c r="I410" i="2" a="1"/>
  <c r="I410" i="2"/>
  <c r="J410" i="2" a="1"/>
  <c r="J410" i="2" s="1"/>
  <c r="I411" i="2" a="1"/>
  <c r="I411" i="2"/>
  <c r="J411" i="2" a="1"/>
  <c r="J411" i="2" s="1"/>
  <c r="I412" i="2" a="1"/>
  <c r="I412" i="2"/>
  <c r="J412" i="2" a="1"/>
  <c r="J412" i="2"/>
  <c r="I413" i="2" a="1"/>
  <c r="I413" i="2"/>
  <c r="J413" i="2" a="1"/>
  <c r="J413" i="2" s="1"/>
  <c r="I414" i="2" a="1"/>
  <c r="I414" i="2" s="1"/>
  <c r="J414" i="2" a="1"/>
  <c r="J414" i="2"/>
  <c r="I415" i="2" a="1"/>
  <c r="I415" i="2" s="1"/>
  <c r="J415" i="2" a="1"/>
  <c r="J415" i="2" s="1"/>
  <c r="I416" i="2" a="1"/>
  <c r="I416" i="2" s="1"/>
  <c r="J416" i="2" a="1"/>
  <c r="J416" i="2"/>
  <c r="I417" i="2" a="1"/>
  <c r="I417" i="2"/>
  <c r="J417" i="2" a="1"/>
  <c r="J417" i="2" s="1"/>
  <c r="I418" i="2" a="1"/>
  <c r="I418" i="2"/>
  <c r="J418" i="2" a="1"/>
  <c r="J418" i="2" s="1"/>
  <c r="I419" i="2" a="1"/>
  <c r="I419" i="2"/>
  <c r="J419" i="2" a="1"/>
  <c r="J419" i="2" s="1"/>
  <c r="I420" i="2" a="1"/>
  <c r="I420" i="2"/>
  <c r="J420" i="2" a="1"/>
  <c r="J420" i="2" s="1"/>
  <c r="I421" i="2" a="1"/>
  <c r="I421" i="2"/>
  <c r="J421" i="2" a="1"/>
  <c r="J421" i="2" s="1"/>
  <c r="I422" i="2" a="1"/>
  <c r="I422" i="2" s="1"/>
  <c r="J422" i="2" a="1"/>
  <c r="J422" i="2"/>
  <c r="I423" i="2" a="1"/>
  <c r="I423" i="2" s="1"/>
  <c r="J423" i="2" a="1"/>
  <c r="J423" i="2" s="1"/>
  <c r="I424" i="2" a="1"/>
  <c r="I424" i="2"/>
  <c r="J424" i="2" a="1"/>
  <c r="J424" i="2"/>
  <c r="I425" i="2" a="1"/>
  <c r="I425" i="2" s="1"/>
  <c r="J425" i="2" a="1"/>
  <c r="J425" i="2" s="1"/>
  <c r="I426" i="2" a="1"/>
  <c r="I426" i="2"/>
  <c r="J426" i="2" a="1"/>
  <c r="J426" i="2" s="1"/>
  <c r="I427" i="2" a="1"/>
  <c r="I427" i="2"/>
  <c r="J427" i="2" a="1"/>
  <c r="J427" i="2" s="1"/>
  <c r="I428" i="2" a="1"/>
  <c r="I428" i="2"/>
  <c r="J428" i="2" a="1"/>
  <c r="J428" i="2"/>
  <c r="I429" i="2" a="1"/>
  <c r="I429" i="2"/>
  <c r="J429" i="2" a="1"/>
  <c r="J429" i="2" s="1"/>
  <c r="I430" i="2" a="1"/>
  <c r="I430" i="2" s="1"/>
  <c r="J430" i="2" a="1"/>
  <c r="J430" i="2"/>
  <c r="I431" i="2" a="1"/>
  <c r="I431" i="2" s="1"/>
  <c r="J431" i="2" a="1"/>
  <c r="J431" i="2" s="1"/>
  <c r="I432" i="2" a="1"/>
  <c r="I432" i="2" s="1"/>
  <c r="J432" i="2" a="1"/>
  <c r="J432" i="2"/>
  <c r="I433" i="2" a="1"/>
  <c r="I433" i="2"/>
  <c r="J433" i="2" a="1"/>
  <c r="J433" i="2" s="1"/>
  <c r="I434" i="2" a="1"/>
  <c r="I434" i="2"/>
  <c r="J434" i="2" a="1"/>
  <c r="J434" i="2" s="1"/>
  <c r="I435" i="2" a="1"/>
  <c r="I435" i="2"/>
  <c r="J435" i="2" a="1"/>
  <c r="J435" i="2" s="1"/>
  <c r="I436" i="2" a="1"/>
  <c r="I436" i="2"/>
  <c r="J436" i="2" a="1"/>
  <c r="J436" i="2" s="1"/>
  <c r="I437" i="2" a="1"/>
  <c r="I437" i="2"/>
  <c r="J437" i="2" a="1"/>
  <c r="J437" i="2" s="1"/>
  <c r="I438" i="2" a="1"/>
  <c r="I438" i="2" s="1"/>
  <c r="J438" i="2" a="1"/>
  <c r="J438" i="2"/>
  <c r="I439" i="2" a="1"/>
  <c r="I439" i="2" s="1"/>
  <c r="J439" i="2" a="1"/>
  <c r="J439" i="2" s="1"/>
  <c r="I440" i="2" a="1"/>
  <c r="I440" i="2"/>
  <c r="J440" i="2" a="1"/>
  <c r="J440" i="2"/>
  <c r="I441" i="2" a="1"/>
  <c r="I441" i="2" s="1"/>
  <c r="J441" i="2" a="1"/>
  <c r="J441" i="2" s="1"/>
  <c r="I442" i="2" a="1"/>
  <c r="I442" i="2"/>
  <c r="J442" i="2" a="1"/>
  <c r="J442" i="2" s="1"/>
  <c r="I443" i="2" a="1"/>
  <c r="I443" i="2"/>
  <c r="J443" i="2" a="1"/>
  <c r="J443" i="2" s="1"/>
  <c r="I444" i="2" a="1"/>
  <c r="I444" i="2"/>
  <c r="J444" i="2" a="1"/>
  <c r="J444" i="2"/>
  <c r="I445" i="2" a="1"/>
  <c r="I445" i="2"/>
  <c r="J445" i="2" a="1"/>
  <c r="J445" i="2" s="1"/>
  <c r="I446" i="2" a="1"/>
  <c r="I446" i="2" s="1"/>
  <c r="J446" i="2" a="1"/>
  <c r="J446" i="2"/>
  <c r="I447" i="2" a="1"/>
  <c r="I447" i="2" s="1"/>
  <c r="J447" i="2" a="1"/>
  <c r="J447" i="2" s="1"/>
  <c r="I448" i="2" a="1"/>
  <c r="I448" i="2" s="1"/>
  <c r="J448" i="2" a="1"/>
  <c r="J448" i="2"/>
  <c r="I449" i="2" a="1"/>
  <c r="I449" i="2"/>
  <c r="J449" i="2" a="1"/>
  <c r="J449" i="2" s="1"/>
  <c r="I450" i="2" a="1"/>
  <c r="I450" i="2"/>
  <c r="J450" i="2" a="1"/>
  <c r="J450" i="2" s="1"/>
  <c r="I451" i="2" a="1"/>
  <c r="I451" i="2"/>
  <c r="J451" i="2" a="1"/>
  <c r="J451" i="2" s="1"/>
  <c r="I452" i="2" a="1"/>
  <c r="I452" i="2"/>
  <c r="J452" i="2" a="1"/>
  <c r="J452" i="2" s="1"/>
  <c r="I453" i="2" a="1"/>
  <c r="I453" i="2"/>
  <c r="J453" i="2" a="1"/>
  <c r="J453" i="2" s="1"/>
  <c r="I454" i="2" a="1"/>
  <c r="I454" i="2" s="1"/>
  <c r="J454" i="2" a="1"/>
  <c r="J454" i="2"/>
  <c r="I455" i="2" a="1"/>
  <c r="I455" i="2" s="1"/>
  <c r="J455" i="2" a="1"/>
  <c r="J455" i="2" s="1"/>
  <c r="I456" i="2" a="1"/>
  <c r="I456" i="2" s="1"/>
  <c r="J456" i="2" a="1"/>
  <c r="J456" i="2"/>
  <c r="I457" i="2" a="1"/>
  <c r="I457" i="2" s="1"/>
  <c r="J457" i="2" a="1"/>
  <c r="J457" i="2" s="1"/>
  <c r="I458" i="2" a="1"/>
  <c r="I458" i="2"/>
  <c r="J458" i="2" a="1"/>
  <c r="J458" i="2" s="1"/>
  <c r="I459" i="2" a="1"/>
  <c r="I459" i="2"/>
  <c r="J459" i="2" a="1"/>
  <c r="J459" i="2" s="1"/>
  <c r="I460" i="2" a="1"/>
  <c r="I460" i="2"/>
  <c r="J460" i="2" a="1"/>
  <c r="J460" i="2"/>
  <c r="I461" i="2" a="1"/>
  <c r="I461" i="2"/>
  <c r="J461" i="2" a="1"/>
  <c r="J461" i="2" s="1"/>
  <c r="I462" i="2" a="1"/>
  <c r="I462" i="2" s="1"/>
  <c r="J462" i="2" a="1"/>
  <c r="J462" i="2"/>
  <c r="I463" i="2" a="1"/>
  <c r="I463" i="2" s="1"/>
  <c r="J463" i="2" a="1"/>
  <c r="J463" i="2" s="1"/>
  <c r="I464" i="2" a="1"/>
  <c r="I464" i="2" s="1"/>
  <c r="J464" i="2" a="1"/>
  <c r="J464" i="2"/>
  <c r="I465" i="2" a="1"/>
  <c r="I465" i="2"/>
  <c r="J465" i="2" a="1"/>
  <c r="J465" i="2" s="1"/>
  <c r="I466" i="2" a="1"/>
  <c r="I466" i="2"/>
  <c r="J466" i="2" a="1"/>
  <c r="J466" i="2" s="1"/>
  <c r="I467" i="2" a="1"/>
  <c r="I467" i="2"/>
  <c r="J467" i="2" a="1"/>
  <c r="J467" i="2" s="1"/>
  <c r="I468" i="2" a="1"/>
  <c r="I468" i="2"/>
  <c r="J468" i="2" a="1"/>
  <c r="J468" i="2" s="1"/>
  <c r="I469" i="2" a="1"/>
  <c r="I469" i="2"/>
  <c r="J469" i="2" a="1"/>
  <c r="J469" i="2" s="1"/>
  <c r="I470" i="2" a="1"/>
  <c r="I470" i="2" s="1"/>
  <c r="J470" i="2" a="1"/>
  <c r="J470" i="2"/>
  <c r="I471" i="2" a="1"/>
  <c r="I471" i="2" s="1"/>
  <c r="J471" i="2" a="1"/>
  <c r="J471" i="2" s="1"/>
  <c r="I472" i="2" a="1"/>
  <c r="I472" i="2"/>
  <c r="J472" i="2" a="1"/>
  <c r="J472" i="2"/>
  <c r="I473" i="2" a="1"/>
  <c r="I473" i="2" s="1"/>
  <c r="J473" i="2" a="1"/>
  <c r="J473" i="2" s="1"/>
  <c r="I474" i="2" a="1"/>
  <c r="I474" i="2"/>
  <c r="J474" i="2" a="1"/>
  <c r="J474" i="2" s="1"/>
  <c r="I475" i="2" a="1"/>
  <c r="I475" i="2"/>
  <c r="J475" i="2" a="1"/>
  <c r="J475" i="2" s="1"/>
  <c r="I476" i="2" a="1"/>
  <c r="I476" i="2"/>
  <c r="J476" i="2" a="1"/>
  <c r="J476" i="2" s="1"/>
  <c r="I477" i="2" a="1"/>
  <c r="I477" i="2"/>
  <c r="J477" i="2" a="1"/>
  <c r="J477" i="2" s="1"/>
  <c r="I478" i="2" a="1"/>
  <c r="I478" i="2" s="1"/>
  <c r="J478" i="2" a="1"/>
  <c r="J478" i="2"/>
  <c r="I479" i="2" a="1"/>
  <c r="I479" i="2" s="1"/>
  <c r="J479" i="2" a="1"/>
  <c r="J479" i="2" s="1"/>
  <c r="I480" i="2" a="1"/>
  <c r="I480" i="2" s="1"/>
  <c r="J480" i="2" a="1"/>
  <c r="J480" i="2"/>
  <c r="I481" i="2" a="1"/>
  <c r="I481" i="2" s="1"/>
  <c r="J481" i="2" a="1"/>
  <c r="J481" i="2" s="1"/>
  <c r="I482" i="2" a="1"/>
  <c r="I482" i="2"/>
  <c r="J482" i="2" a="1"/>
  <c r="J482" i="2" s="1"/>
  <c r="I483" i="2" a="1"/>
  <c r="I483" i="2"/>
  <c r="J483" i="2" a="1"/>
  <c r="J483" i="2" s="1"/>
  <c r="I484" i="2" a="1"/>
  <c r="I484" i="2"/>
  <c r="J484" i="2" a="1"/>
  <c r="J484" i="2" s="1"/>
  <c r="I485" i="2" a="1"/>
  <c r="I485" i="2"/>
  <c r="J485" i="2" a="1"/>
  <c r="J485" i="2" s="1"/>
  <c r="I486" i="2" a="1"/>
  <c r="I486" i="2" s="1"/>
  <c r="J486" i="2" a="1"/>
  <c r="J486" i="2"/>
  <c r="I487" i="2" a="1"/>
  <c r="I487" i="2" s="1"/>
  <c r="J487" i="2" a="1"/>
  <c r="J487" i="2" s="1"/>
  <c r="I488" i="2" a="1"/>
  <c r="I488" i="2"/>
  <c r="J488" i="2" a="1"/>
  <c r="J488" i="2"/>
  <c r="I489" i="2" a="1"/>
  <c r="I489" i="2" s="1"/>
  <c r="J489" i="2" a="1"/>
  <c r="J489" i="2" s="1"/>
  <c r="I490" i="2" a="1"/>
  <c r="I490" i="2"/>
  <c r="J490" i="2" a="1"/>
  <c r="J490" i="2" s="1"/>
  <c r="I491" i="2" a="1"/>
  <c r="I491" i="2"/>
  <c r="J491" i="2" a="1"/>
  <c r="J491" i="2" s="1"/>
  <c r="I492" i="2" a="1"/>
  <c r="I492" i="2"/>
  <c r="J492" i="2" a="1"/>
  <c r="J492" i="2"/>
  <c r="I493" i="2" a="1"/>
  <c r="I493" i="2"/>
  <c r="J493" i="2" a="1"/>
  <c r="J493" i="2" s="1"/>
  <c r="I494" i="2" a="1"/>
  <c r="I494" i="2" s="1"/>
  <c r="J494" i="2" a="1"/>
  <c r="J494" i="2"/>
  <c r="I495" i="2" a="1"/>
  <c r="I495" i="2" s="1"/>
  <c r="J495" i="2" a="1"/>
  <c r="J495" i="2" s="1"/>
  <c r="I496" i="2" a="1"/>
  <c r="I496" i="2" s="1"/>
  <c r="J496" i="2" a="1"/>
  <c r="J496" i="2"/>
  <c r="I497" i="2" a="1"/>
  <c r="I497" i="2"/>
  <c r="J497" i="2" a="1"/>
  <c r="J497" i="2" s="1"/>
  <c r="I498" i="2" a="1"/>
  <c r="I498" i="2"/>
  <c r="J498" i="2" a="1"/>
  <c r="J498" i="2" s="1"/>
  <c r="I499" i="2" a="1"/>
  <c r="I499" i="2"/>
  <c r="J499" i="2" a="1"/>
  <c r="J499" i="2" s="1"/>
  <c r="I500" i="2" a="1"/>
  <c r="I500" i="2"/>
  <c r="J500" i="2" a="1"/>
  <c r="J500" i="2" s="1"/>
  <c r="I501" i="2" a="1"/>
  <c r="I501" i="2"/>
  <c r="J501" i="2" a="1"/>
  <c r="J501" i="2" s="1"/>
  <c r="I502" i="2" a="1"/>
  <c r="I502" i="2" s="1"/>
  <c r="J502" i="2" a="1"/>
  <c r="J502" i="2"/>
  <c r="I503" i="2" a="1"/>
  <c r="I503" i="2" s="1"/>
  <c r="J503" i="2" a="1"/>
  <c r="J503" i="2" s="1"/>
  <c r="I504" i="2" a="1"/>
  <c r="I504" i="2" s="1"/>
  <c r="J504" i="2" a="1"/>
  <c r="J504" i="2"/>
  <c r="I505" i="2" a="1"/>
  <c r="I505" i="2" s="1"/>
  <c r="J505" i="2" a="1"/>
  <c r="J505" i="2" s="1"/>
  <c r="I506" i="2" a="1"/>
  <c r="I506" i="2"/>
  <c r="J506" i="2" a="1"/>
  <c r="J506" i="2" s="1"/>
  <c r="I507" i="2" a="1"/>
  <c r="I507" i="2"/>
  <c r="J507" i="2" a="1"/>
  <c r="J507" i="2" s="1"/>
  <c r="I508" i="2" a="1"/>
  <c r="I508" i="2"/>
  <c r="J508" i="2" a="1"/>
  <c r="J508" i="2"/>
  <c r="I509" i="2" a="1"/>
  <c r="I509" i="2"/>
  <c r="J509" i="2" a="1"/>
  <c r="J509" i="2" s="1"/>
  <c r="I510" i="2" a="1"/>
  <c r="I510" i="2" s="1"/>
  <c r="J510" i="2" a="1"/>
  <c r="J510" i="2"/>
  <c r="I511" i="2" a="1"/>
  <c r="I511" i="2" s="1"/>
  <c r="J511" i="2" a="1"/>
  <c r="J511" i="2" s="1"/>
  <c r="I512" i="2" a="1"/>
  <c r="I512" i="2" s="1"/>
  <c r="J512" i="2" a="1"/>
  <c r="J512" i="2"/>
  <c r="I513" i="2" a="1"/>
  <c r="I513" i="2" s="1"/>
  <c r="J513" i="2" a="1"/>
  <c r="J513" i="2" s="1"/>
  <c r="I514" i="2" a="1"/>
  <c r="I514" i="2"/>
  <c r="J514" i="2" a="1"/>
  <c r="J514" i="2" s="1"/>
  <c r="I515" i="2" a="1"/>
  <c r="I515" i="2"/>
  <c r="J515" i="2" a="1"/>
  <c r="J515" i="2" s="1"/>
  <c r="I516" i="2" a="1"/>
  <c r="I516" i="2"/>
  <c r="J516" i="2" a="1"/>
  <c r="J516" i="2" s="1"/>
  <c r="I517" i="2" a="1"/>
  <c r="I517" i="2"/>
  <c r="J517" i="2" a="1"/>
  <c r="J517" i="2"/>
  <c r="I518" i="2" a="1"/>
  <c r="I518" i="2"/>
  <c r="J518" i="2" a="1"/>
  <c r="J518" i="2" s="1"/>
  <c r="I519" i="2" a="1"/>
  <c r="I519" i="2"/>
  <c r="J519" i="2" a="1"/>
  <c r="J519" i="2" s="1"/>
  <c r="I520" i="2" a="1"/>
  <c r="I520" i="2"/>
  <c r="J520" i="2" a="1"/>
  <c r="J520" i="2" s="1"/>
  <c r="I521" i="2" a="1"/>
  <c r="I521" i="2"/>
  <c r="J521" i="2" a="1"/>
  <c r="J521" i="2"/>
  <c r="I522" i="2" a="1"/>
  <c r="I522" i="2"/>
  <c r="J522" i="2" a="1"/>
  <c r="J522" i="2" s="1"/>
  <c r="I523" i="2" a="1"/>
  <c r="I523" i="2"/>
  <c r="J523" i="2" a="1"/>
  <c r="J523" i="2"/>
  <c r="I524" i="2" a="1"/>
  <c r="I524" i="2"/>
  <c r="J524" i="2" a="1"/>
  <c r="J524" i="2" s="1"/>
  <c r="I525" i="2" a="1"/>
  <c r="I525" i="2"/>
  <c r="J525" i="2" a="1"/>
  <c r="J525" i="2" s="1"/>
  <c r="I526" i="2" a="1"/>
  <c r="I526" i="2"/>
  <c r="J526" i="2" a="1"/>
  <c r="J526" i="2" s="1"/>
  <c r="I527" i="2" a="1"/>
  <c r="I527" i="2"/>
  <c r="J527" i="2" a="1"/>
  <c r="J527" i="2"/>
  <c r="I528" i="2" a="1"/>
  <c r="I528" i="2"/>
  <c r="J528" i="2" a="1"/>
  <c r="J528" i="2" s="1"/>
  <c r="I529" i="2" a="1"/>
  <c r="I529" i="2"/>
  <c r="J529" i="2" a="1"/>
  <c r="J529" i="2" s="1"/>
  <c r="I530" i="2" a="1"/>
  <c r="I530" i="2"/>
  <c r="J530" i="2" a="1"/>
  <c r="J530" i="2" s="1"/>
  <c r="I531" i="2" a="1"/>
  <c r="I531" i="2"/>
  <c r="J531" i="2" a="1"/>
  <c r="J531" i="2"/>
  <c r="I532" i="2" a="1"/>
  <c r="I532" i="2"/>
  <c r="J532" i="2" a="1"/>
  <c r="J532" i="2" s="1"/>
  <c r="I533" i="2" a="1"/>
  <c r="I533" i="2"/>
  <c r="J533" i="2" a="1"/>
  <c r="J533" i="2"/>
  <c r="I534" i="2" a="1"/>
  <c r="I534" i="2"/>
  <c r="J534" i="2" a="1"/>
  <c r="J534" i="2" s="1"/>
  <c r="I535" i="2" a="1"/>
  <c r="I535" i="2"/>
  <c r="J535" i="2" a="1"/>
  <c r="J535" i="2" s="1"/>
  <c r="I536" i="2" a="1"/>
  <c r="I536" i="2"/>
  <c r="J536" i="2" a="1"/>
  <c r="J536" i="2" s="1"/>
  <c r="I537" i="2" a="1"/>
  <c r="I537" i="2"/>
  <c r="J537" i="2" a="1"/>
  <c r="J537" i="2"/>
  <c r="I538" i="2" a="1"/>
  <c r="I538" i="2"/>
  <c r="J538" i="2" a="1"/>
  <c r="J538" i="2" s="1"/>
  <c r="I539" i="2" a="1"/>
  <c r="I539" i="2"/>
  <c r="J539" i="2" a="1"/>
  <c r="J539" i="2"/>
  <c r="I540" i="2" a="1"/>
  <c r="I540" i="2"/>
  <c r="J540" i="2" a="1"/>
  <c r="J540" i="2" s="1"/>
  <c r="I541" i="2" a="1"/>
  <c r="I541" i="2"/>
  <c r="J541" i="2" a="1"/>
  <c r="J541" i="2" s="1"/>
  <c r="I542" i="2" a="1"/>
  <c r="I542" i="2" s="1"/>
  <c r="J542" i="2" a="1"/>
  <c r="J542" i="2" s="1"/>
  <c r="I543" i="2" a="1"/>
  <c r="I543" i="2"/>
  <c r="J543" i="2" a="1"/>
  <c r="J543" i="2" s="1"/>
  <c r="I544" i="2" a="1"/>
  <c r="I544" i="2" s="1"/>
  <c r="J544" i="2" a="1"/>
  <c r="J544" i="2" s="1"/>
  <c r="I545" i="2" a="1"/>
  <c r="I545" i="2" s="1"/>
  <c r="J545" i="2" a="1"/>
  <c r="J545" i="2" s="1"/>
  <c r="I546" i="2" a="1"/>
  <c r="I546" i="2" s="1"/>
  <c r="J546" i="2" a="1"/>
  <c r="J546" i="2" s="1"/>
  <c r="I547" i="2" a="1"/>
  <c r="I547" i="2" s="1"/>
  <c r="J547" i="2" a="1"/>
  <c r="J547" i="2" s="1"/>
  <c r="I548" i="2" a="1"/>
  <c r="I548" i="2" s="1"/>
  <c r="J548" i="2" a="1"/>
  <c r="J548" i="2" s="1"/>
  <c r="I549" i="2" a="1"/>
  <c r="I549" i="2" s="1"/>
  <c r="J549" i="2" a="1"/>
  <c r="J549" i="2"/>
  <c r="I550" i="2" a="1"/>
  <c r="I550" i="2" s="1"/>
  <c r="J550" i="2" a="1"/>
  <c r="J550" i="2" s="1"/>
  <c r="I551" i="2" a="1"/>
  <c r="I551" i="2" s="1"/>
  <c r="J551" i="2" a="1"/>
  <c r="J551" i="2"/>
  <c r="I552" i="2" a="1"/>
  <c r="I552" i="2" s="1"/>
  <c r="J552" i="2" a="1"/>
  <c r="J552" i="2" s="1"/>
  <c r="I553" i="2" a="1"/>
  <c r="I553" i="2" s="1"/>
  <c r="J553" i="2" a="1"/>
  <c r="J553" i="2"/>
  <c r="I554" i="2" a="1"/>
  <c r="I554" i="2" s="1"/>
  <c r="J554" i="2" a="1"/>
  <c r="J554" i="2" s="1"/>
  <c r="I555" i="2" a="1"/>
  <c r="I555" i="2" s="1"/>
  <c r="J555" i="2" a="1"/>
  <c r="J555" i="2"/>
  <c r="I556" i="2" a="1"/>
  <c r="I556" i="2" s="1"/>
  <c r="J556" i="2" a="1"/>
  <c r="J556" i="2" s="1"/>
  <c r="I557" i="2" a="1"/>
  <c r="I557" i="2" s="1"/>
  <c r="J557" i="2" a="1"/>
  <c r="J557" i="2"/>
  <c r="I558" i="2" a="1"/>
  <c r="I558" i="2" s="1"/>
  <c r="J558" i="2" a="1"/>
  <c r="J558" i="2" s="1"/>
  <c r="I559" i="2" a="1"/>
  <c r="I559" i="2" s="1"/>
  <c r="J559" i="2" a="1"/>
  <c r="J559" i="2" s="1"/>
  <c r="I560" i="2" a="1"/>
  <c r="I560" i="2" s="1"/>
  <c r="J560" i="2" a="1"/>
  <c r="J560" i="2" s="1"/>
  <c r="I561" i="2" a="1"/>
  <c r="I561" i="2" s="1"/>
  <c r="J561" i="2" a="1"/>
  <c r="J561" i="2" s="1"/>
  <c r="I562" i="2" a="1"/>
  <c r="I562" i="2" s="1"/>
  <c r="J562" i="2" a="1"/>
  <c r="J562" i="2" s="1"/>
  <c r="I563" i="2" a="1"/>
  <c r="I563" i="2" s="1"/>
  <c r="J563" i="2" a="1"/>
  <c r="J563" i="2" s="1"/>
  <c r="I564" i="2" a="1"/>
  <c r="I564" i="2" s="1"/>
  <c r="J564" i="2" a="1"/>
  <c r="J564" i="2" s="1"/>
  <c r="I565" i="2" a="1"/>
  <c r="I565" i="2" s="1"/>
  <c r="J565" i="2" a="1"/>
  <c r="J565" i="2"/>
  <c r="I566" i="2" a="1"/>
  <c r="I566" i="2" s="1"/>
  <c r="J566" i="2" a="1"/>
  <c r="J566" i="2" s="1"/>
  <c r="I567" i="2" a="1"/>
  <c r="I567" i="2" s="1"/>
  <c r="J567" i="2" a="1"/>
  <c r="J567" i="2"/>
  <c r="I568" i="2" a="1"/>
  <c r="I568" i="2" s="1"/>
  <c r="J568" i="2" a="1"/>
  <c r="J568" i="2" s="1"/>
  <c r="I569" i="2" a="1"/>
  <c r="I569" i="2" s="1"/>
  <c r="J569" i="2" a="1"/>
  <c r="J569" i="2"/>
  <c r="I570" i="2" a="1"/>
  <c r="I570" i="2" s="1"/>
  <c r="J570" i="2" a="1"/>
  <c r="J570" i="2" s="1"/>
  <c r="I571" i="2" a="1"/>
  <c r="I571" i="2" s="1"/>
  <c r="J571" i="2" a="1"/>
  <c r="J571" i="2"/>
  <c r="I572" i="2" a="1"/>
  <c r="I572" i="2" s="1"/>
  <c r="J572" i="2" a="1"/>
  <c r="J572" i="2" s="1"/>
  <c r="I573" i="2" a="1"/>
  <c r="I573" i="2" s="1"/>
  <c r="J573" i="2" a="1"/>
  <c r="J573" i="2"/>
  <c r="I574" i="2" a="1"/>
  <c r="I574" i="2" s="1"/>
  <c r="J574" i="2" a="1"/>
  <c r="J574" i="2" s="1"/>
  <c r="I575" i="2" a="1"/>
  <c r="I575" i="2" s="1"/>
  <c r="J575" i="2" a="1"/>
  <c r="J575" i="2" s="1"/>
  <c r="I576" i="2" a="1"/>
  <c r="I576" i="2" s="1"/>
  <c r="J576" i="2" a="1"/>
  <c r="J576" i="2" s="1"/>
  <c r="I577" i="2" a="1"/>
  <c r="I577" i="2" s="1"/>
  <c r="J577" i="2" a="1"/>
  <c r="J577" i="2" s="1"/>
  <c r="I578" i="2" a="1"/>
  <c r="I578" i="2" s="1"/>
  <c r="J578" i="2" a="1"/>
  <c r="J578" i="2" s="1"/>
  <c r="I579" i="2" a="1"/>
  <c r="I579" i="2" s="1"/>
  <c r="J579" i="2" a="1"/>
  <c r="J579" i="2" s="1"/>
  <c r="I580" i="2" a="1"/>
  <c r="I580" i="2" s="1"/>
  <c r="J580" i="2" a="1"/>
  <c r="J580" i="2" s="1"/>
  <c r="I581" i="2" a="1"/>
  <c r="I581" i="2" s="1"/>
  <c r="J581" i="2" a="1"/>
  <c r="J581" i="2"/>
  <c r="I582" i="2" a="1"/>
  <c r="I582" i="2" s="1"/>
  <c r="J582" i="2" a="1"/>
  <c r="J582" i="2" s="1"/>
  <c r="I583" i="2" a="1"/>
  <c r="I583" i="2" s="1"/>
  <c r="J583" i="2" a="1"/>
  <c r="J583" i="2"/>
  <c r="I584" i="2" a="1"/>
  <c r="I584" i="2" s="1"/>
  <c r="J584" i="2" a="1"/>
  <c r="J584" i="2" s="1"/>
  <c r="I585" i="2" a="1"/>
  <c r="I585" i="2" s="1"/>
  <c r="J585" i="2" a="1"/>
  <c r="J585" i="2"/>
  <c r="I586" i="2" a="1"/>
  <c r="I586" i="2" s="1"/>
  <c r="J586" i="2" a="1"/>
  <c r="J586" i="2" s="1"/>
  <c r="I587" i="2" a="1"/>
  <c r="I587" i="2" s="1"/>
  <c r="J587" i="2" a="1"/>
  <c r="J587" i="2"/>
  <c r="I588" i="2" a="1"/>
  <c r="I588" i="2" s="1"/>
  <c r="J588" i="2" a="1"/>
  <c r="J588" i="2" s="1"/>
  <c r="I589" i="2" a="1"/>
  <c r="I589" i="2" s="1"/>
  <c r="J589" i="2" a="1"/>
  <c r="J589" i="2"/>
  <c r="I590" i="2" a="1"/>
  <c r="I590" i="2" s="1"/>
  <c r="J590" i="2" a="1"/>
  <c r="J590" i="2" s="1"/>
  <c r="I591" i="2" a="1"/>
  <c r="I591" i="2" s="1"/>
  <c r="J591" i="2" a="1"/>
  <c r="J591" i="2" s="1"/>
  <c r="I592" i="2" a="1"/>
  <c r="I592" i="2" s="1"/>
  <c r="J592" i="2" a="1"/>
  <c r="J592" i="2" s="1"/>
  <c r="I593" i="2" a="1"/>
  <c r="I593" i="2" s="1"/>
  <c r="J593" i="2" a="1"/>
  <c r="J593" i="2" s="1"/>
  <c r="I594" i="2" a="1"/>
  <c r="I594" i="2" s="1"/>
  <c r="J594" i="2" a="1"/>
  <c r="J594" i="2" s="1"/>
  <c r="I595" i="2" a="1"/>
  <c r="I595" i="2" s="1"/>
  <c r="J595" i="2" a="1"/>
  <c r="J595" i="2" s="1"/>
  <c r="I596" i="2" a="1"/>
  <c r="I596" i="2" s="1"/>
  <c r="J596" i="2" a="1"/>
  <c r="J596" i="2" s="1"/>
  <c r="I597" i="2" a="1"/>
  <c r="I597" i="2" s="1"/>
  <c r="J597" i="2" a="1"/>
  <c r="J597" i="2"/>
  <c r="I598" i="2" a="1"/>
  <c r="I598" i="2" s="1"/>
  <c r="J598" i="2" a="1"/>
  <c r="J598" i="2" s="1"/>
  <c r="I599" i="2" a="1"/>
  <c r="I599" i="2" s="1"/>
  <c r="J599" i="2" a="1"/>
  <c r="J599" i="2"/>
  <c r="I600" i="2" a="1"/>
  <c r="I600" i="2" s="1"/>
  <c r="J600" i="2" a="1"/>
  <c r="J600" i="2" s="1"/>
  <c r="I601" i="2" a="1"/>
  <c r="I601" i="2" s="1"/>
  <c r="J601" i="2" a="1"/>
  <c r="J601" i="2"/>
  <c r="I602" i="2" a="1"/>
  <c r="I602" i="2" s="1"/>
  <c r="J602" i="2" a="1"/>
  <c r="J602" i="2" s="1"/>
  <c r="I603" i="2" a="1"/>
  <c r="I603" i="2" s="1"/>
  <c r="J603" i="2" a="1"/>
  <c r="J603" i="2"/>
  <c r="I604" i="2" a="1"/>
  <c r="I604" i="2" s="1"/>
  <c r="J604" i="2" a="1"/>
  <c r="J604" i="2" s="1"/>
  <c r="I605" i="2" a="1"/>
  <c r="I605" i="2" s="1"/>
  <c r="J605" i="2" a="1"/>
  <c r="J605" i="2"/>
  <c r="I606" i="2" a="1"/>
  <c r="I606" i="2" s="1"/>
  <c r="J606" i="2" a="1"/>
  <c r="J606" i="2" s="1"/>
  <c r="I607" i="2" a="1"/>
  <c r="I607" i="2" s="1"/>
  <c r="J607" i="2" a="1"/>
  <c r="J607" i="2" s="1"/>
  <c r="I608" i="2" a="1"/>
  <c r="I608" i="2" s="1"/>
  <c r="J608" i="2" a="1"/>
  <c r="J608" i="2" s="1"/>
  <c r="I609" i="2" a="1"/>
  <c r="I609" i="2" s="1"/>
  <c r="J609" i="2" a="1"/>
  <c r="J609" i="2" s="1"/>
  <c r="I610" i="2" a="1"/>
  <c r="I610" i="2" s="1"/>
  <c r="J610" i="2" a="1"/>
  <c r="J610" i="2" s="1"/>
  <c r="I611" i="2" a="1"/>
  <c r="I611" i="2" s="1"/>
  <c r="J611" i="2" a="1"/>
  <c r="J611" i="2" s="1"/>
  <c r="I612" i="2" a="1"/>
  <c r="I612" i="2" s="1"/>
  <c r="J612" i="2" a="1"/>
  <c r="J612" i="2" s="1"/>
  <c r="I613" i="2" a="1"/>
  <c r="I613" i="2" s="1"/>
  <c r="J613" i="2" a="1"/>
  <c r="J613" i="2"/>
  <c r="I614" i="2" a="1"/>
  <c r="I614" i="2" s="1"/>
  <c r="J614" i="2" a="1"/>
  <c r="J614" i="2" s="1"/>
  <c r="I615" i="2" a="1"/>
  <c r="I615" i="2" s="1"/>
  <c r="J615" i="2" a="1"/>
  <c r="J615" i="2"/>
  <c r="I616" i="2" a="1"/>
  <c r="I616" i="2" s="1"/>
  <c r="J616" i="2" a="1"/>
  <c r="J616" i="2" s="1"/>
  <c r="I617" i="2" a="1"/>
  <c r="I617" i="2" s="1"/>
  <c r="J617" i="2" a="1"/>
  <c r="J617" i="2"/>
  <c r="I618" i="2" a="1"/>
  <c r="I618" i="2" s="1"/>
  <c r="J618" i="2" a="1"/>
  <c r="J618" i="2" s="1"/>
  <c r="I619" i="2" a="1"/>
  <c r="I619" i="2" s="1"/>
  <c r="J619" i="2" a="1"/>
  <c r="J619" i="2"/>
  <c r="I620" i="2" a="1"/>
  <c r="I620" i="2" s="1"/>
  <c r="J620" i="2" a="1"/>
  <c r="J620" i="2" s="1"/>
  <c r="I621" i="2" a="1"/>
  <c r="I621" i="2" s="1"/>
  <c r="J621" i="2" a="1"/>
  <c r="J621" i="2"/>
  <c r="I622" i="2" a="1"/>
  <c r="I622" i="2" s="1"/>
  <c r="J622" i="2" a="1"/>
  <c r="J622" i="2" s="1"/>
  <c r="I623" i="2" a="1"/>
  <c r="I623" i="2" s="1"/>
  <c r="J623" i="2" a="1"/>
  <c r="J623" i="2" s="1"/>
  <c r="I624" i="2" a="1"/>
  <c r="I624" i="2" s="1"/>
  <c r="J624" i="2" a="1"/>
  <c r="J624" i="2" s="1"/>
  <c r="I625" i="2" a="1"/>
  <c r="I625" i="2" s="1"/>
  <c r="J625" i="2" a="1"/>
  <c r="J625" i="2" s="1"/>
  <c r="I626" i="2" a="1"/>
  <c r="I626" i="2" s="1"/>
  <c r="J626" i="2" a="1"/>
  <c r="J626" i="2" s="1"/>
  <c r="I627" i="2" a="1"/>
  <c r="I627" i="2" s="1"/>
  <c r="J627" i="2" a="1"/>
  <c r="J627" i="2" s="1"/>
  <c r="I628" i="2" a="1"/>
  <c r="I628" i="2" s="1"/>
  <c r="J628" i="2" a="1"/>
  <c r="J628" i="2" s="1"/>
  <c r="I629" i="2" a="1"/>
  <c r="I629" i="2" s="1"/>
  <c r="J629" i="2" a="1"/>
  <c r="J629" i="2"/>
  <c r="I630" i="2" a="1"/>
  <c r="I630" i="2" s="1"/>
  <c r="J630" i="2" a="1"/>
  <c r="J630" i="2" s="1"/>
  <c r="I631" i="2" a="1"/>
  <c r="I631" i="2" s="1"/>
  <c r="J631" i="2" a="1"/>
  <c r="J631" i="2"/>
  <c r="I632" i="2" a="1"/>
  <c r="I632" i="2" s="1"/>
  <c r="J632" i="2" a="1"/>
  <c r="J632" i="2" s="1"/>
  <c r="I633" i="2" a="1"/>
  <c r="I633" i="2" s="1"/>
  <c r="J633" i="2" a="1"/>
  <c r="J633" i="2"/>
  <c r="I634" i="2" a="1"/>
  <c r="I634" i="2" s="1"/>
  <c r="J634" i="2" a="1"/>
  <c r="J634" i="2" s="1"/>
  <c r="I635" i="2" a="1"/>
  <c r="I635" i="2" s="1"/>
  <c r="J635" i="2" a="1"/>
  <c r="J635" i="2"/>
  <c r="I636" i="2" a="1"/>
  <c r="I636" i="2" s="1"/>
  <c r="J636" i="2" a="1"/>
  <c r="J636" i="2" s="1"/>
  <c r="I637" i="2" a="1"/>
  <c r="I637" i="2" s="1"/>
  <c r="J637" i="2" a="1"/>
  <c r="J637" i="2"/>
  <c r="I638" i="2" a="1"/>
  <c r="I638" i="2" s="1"/>
  <c r="J638" i="2" a="1"/>
  <c r="J638" i="2" s="1"/>
  <c r="I639" i="2" a="1"/>
  <c r="I639" i="2" s="1"/>
  <c r="J639" i="2" a="1"/>
  <c r="J639" i="2" s="1"/>
  <c r="I640" i="2" a="1"/>
  <c r="I640" i="2" s="1"/>
  <c r="J640" i="2" a="1"/>
  <c r="J640" i="2" s="1"/>
  <c r="I641" i="2" a="1"/>
  <c r="I641" i="2" s="1"/>
  <c r="J641" i="2" a="1"/>
  <c r="J641" i="2" s="1"/>
  <c r="I642" i="2" a="1"/>
  <c r="I642" i="2" s="1"/>
  <c r="J642" i="2" a="1"/>
  <c r="J642" i="2" s="1"/>
  <c r="I643" i="2" a="1"/>
  <c r="I643" i="2" s="1"/>
  <c r="J643" i="2" a="1"/>
  <c r="J643" i="2" s="1"/>
  <c r="I644" i="2" a="1"/>
  <c r="I644" i="2" s="1"/>
  <c r="J644" i="2" a="1"/>
  <c r="J644" i="2" s="1"/>
  <c r="I645" i="2" a="1"/>
  <c r="I645" i="2" s="1"/>
  <c r="J645" i="2" a="1"/>
  <c r="J645" i="2"/>
  <c r="I646" i="2" a="1"/>
  <c r="I646" i="2" s="1"/>
  <c r="J646" i="2" a="1"/>
  <c r="J646" i="2" s="1"/>
  <c r="I647" i="2" a="1"/>
  <c r="I647" i="2" s="1"/>
  <c r="J647" i="2" a="1"/>
  <c r="J647" i="2"/>
  <c r="I648" i="2" a="1"/>
  <c r="I648" i="2" s="1"/>
  <c r="J648" i="2" a="1"/>
  <c r="J648" i="2" s="1"/>
  <c r="I649" i="2" a="1"/>
  <c r="I649" i="2" s="1"/>
  <c r="J649" i="2" a="1"/>
  <c r="J649" i="2" s="1"/>
  <c r="I650" i="2" a="1"/>
  <c r="I650" i="2" s="1"/>
  <c r="J650" i="2" a="1"/>
  <c r="J650" i="2" s="1"/>
  <c r="I651" i="2" a="1"/>
  <c r="I651" i="2" s="1"/>
  <c r="J651" i="2" a="1"/>
  <c r="J651" i="2"/>
  <c r="I652" i="2" a="1"/>
  <c r="I652" i="2" s="1"/>
  <c r="J652" i="2" a="1"/>
  <c r="J652" i="2" s="1"/>
  <c r="I653" i="2" a="1"/>
  <c r="I653" i="2" s="1"/>
  <c r="J653" i="2" a="1"/>
  <c r="J653" i="2"/>
  <c r="I654" i="2" a="1"/>
  <c r="I654" i="2" s="1"/>
  <c r="J654" i="2" a="1"/>
  <c r="J654" i="2" s="1"/>
  <c r="I655" i="2" a="1"/>
  <c r="I655" i="2" s="1"/>
  <c r="J655" i="2" a="1"/>
  <c r="J655" i="2" s="1"/>
  <c r="I656" i="2" a="1"/>
  <c r="I656" i="2" s="1"/>
  <c r="J656" i="2" a="1"/>
  <c r="J656" i="2" s="1"/>
  <c r="I657" i="2" a="1"/>
  <c r="I657" i="2" s="1"/>
  <c r="J657" i="2" a="1"/>
  <c r="J657" i="2" s="1"/>
  <c r="I658" i="2" a="1"/>
  <c r="I658" i="2" s="1"/>
  <c r="J658" i="2" a="1"/>
  <c r="J658" i="2" s="1"/>
  <c r="I659" i="2" a="1"/>
  <c r="I659" i="2" s="1"/>
  <c r="J659" i="2" a="1"/>
  <c r="J659" i="2" s="1"/>
  <c r="I660" i="2" a="1"/>
  <c r="I660" i="2" s="1"/>
  <c r="J660" i="2" a="1"/>
  <c r="J660" i="2" s="1"/>
  <c r="I661" i="2" a="1"/>
  <c r="I661" i="2" s="1"/>
  <c r="J661" i="2" a="1"/>
  <c r="J661" i="2"/>
  <c r="I662" i="2" a="1"/>
  <c r="I662" i="2" s="1"/>
  <c r="J662" i="2" a="1"/>
  <c r="J662" i="2" s="1"/>
  <c r="I663" i="2" a="1"/>
  <c r="I663" i="2" s="1"/>
  <c r="J663" i="2" a="1"/>
  <c r="J663" i="2"/>
  <c r="I664" i="2" a="1"/>
  <c r="I664" i="2" s="1"/>
  <c r="J664" i="2" a="1"/>
  <c r="J664" i="2" s="1"/>
  <c r="I665" i="2" a="1"/>
  <c r="I665" i="2" s="1"/>
  <c r="J665" i="2" a="1"/>
  <c r="J665" i="2" s="1"/>
  <c r="I666" i="2" a="1"/>
  <c r="I666" i="2" s="1"/>
  <c r="J666" i="2" a="1"/>
  <c r="J666" i="2" s="1"/>
  <c r="I667" i="2" a="1"/>
  <c r="I667" i="2" s="1"/>
  <c r="J667" i="2" a="1"/>
  <c r="J667" i="2"/>
  <c r="I668" i="2" a="1"/>
  <c r="I668" i="2" s="1"/>
  <c r="J668" i="2" a="1"/>
  <c r="J668" i="2" s="1"/>
  <c r="I669" i="2" a="1"/>
  <c r="I669" i="2" s="1"/>
  <c r="J669" i="2" a="1"/>
  <c r="J669" i="2"/>
  <c r="I670" i="2" a="1"/>
  <c r="I670" i="2" s="1"/>
  <c r="J670" i="2" a="1"/>
  <c r="J670" i="2" s="1"/>
  <c r="I671" i="2" a="1"/>
  <c r="I671" i="2" s="1"/>
  <c r="J671" i="2" a="1"/>
  <c r="J671" i="2"/>
  <c r="I672" i="2" a="1"/>
  <c r="I672" i="2" s="1"/>
  <c r="J672" i="2" a="1"/>
  <c r="J672" i="2" s="1"/>
  <c r="I673" i="2" a="1"/>
  <c r="I673" i="2" s="1"/>
  <c r="J673" i="2" a="1"/>
  <c r="J673" i="2" s="1"/>
  <c r="I674" i="2" a="1"/>
  <c r="I674" i="2" s="1"/>
  <c r="J674" i="2" a="1"/>
  <c r="J674" i="2" s="1"/>
  <c r="I675" i="2" a="1"/>
  <c r="I675" i="2" s="1"/>
  <c r="J675" i="2" a="1"/>
  <c r="J675" i="2" s="1"/>
  <c r="I676" i="2" a="1"/>
  <c r="I676" i="2" s="1"/>
  <c r="J676" i="2" a="1"/>
  <c r="J676" i="2" s="1"/>
  <c r="I677" i="2" a="1"/>
  <c r="I677" i="2" s="1"/>
  <c r="J677" i="2" a="1"/>
  <c r="J677" i="2"/>
  <c r="I678" i="2" a="1"/>
  <c r="I678" i="2" s="1"/>
  <c r="J678" i="2" a="1"/>
  <c r="J678" i="2" s="1"/>
  <c r="I679" i="2" a="1"/>
  <c r="I679" i="2" s="1"/>
  <c r="J679" i="2" a="1"/>
  <c r="J679" i="2"/>
  <c r="I680" i="2" a="1"/>
  <c r="I680" i="2" s="1"/>
  <c r="J680" i="2" a="1"/>
  <c r="J680" i="2" s="1"/>
  <c r="I681" i="2" a="1"/>
  <c r="I681" i="2" s="1"/>
  <c r="J681" i="2" a="1"/>
  <c r="J681" i="2" s="1"/>
  <c r="I682" i="2" a="1"/>
  <c r="I682" i="2" s="1"/>
  <c r="J682" i="2" a="1"/>
  <c r="J682" i="2" s="1"/>
  <c r="I683" i="2" a="1"/>
  <c r="I683" i="2" s="1"/>
  <c r="J683" i="2" a="1"/>
  <c r="J683" i="2"/>
  <c r="I684" i="2" a="1"/>
  <c r="I684" i="2" s="1"/>
  <c r="J684" i="2" a="1"/>
  <c r="J684" i="2" s="1"/>
  <c r="I685" i="2" a="1"/>
  <c r="I685" i="2" s="1"/>
  <c r="J685" i="2" a="1"/>
  <c r="J685" i="2"/>
  <c r="I686" i="2" a="1"/>
  <c r="I686" i="2" s="1"/>
  <c r="J686" i="2" a="1"/>
  <c r="J686" i="2" s="1"/>
  <c r="I687" i="2" a="1"/>
  <c r="I687" i="2" s="1"/>
  <c r="J687" i="2" a="1"/>
  <c r="J687" i="2"/>
  <c r="I688" i="2" a="1"/>
  <c r="I688" i="2" s="1"/>
  <c r="J688" i="2" a="1"/>
  <c r="J688" i="2" s="1"/>
  <c r="I689" i="2" a="1"/>
  <c r="I689" i="2" s="1"/>
  <c r="J689" i="2" a="1"/>
  <c r="J689" i="2" s="1"/>
  <c r="I690" i="2" a="1"/>
  <c r="I690" i="2" s="1"/>
  <c r="J690" i="2" a="1"/>
  <c r="J690" i="2" s="1"/>
  <c r="I691" i="2" a="1"/>
  <c r="I691" i="2" s="1"/>
  <c r="J691" i="2" a="1"/>
  <c r="J691" i="2" s="1"/>
  <c r="I692" i="2" a="1"/>
  <c r="I692" i="2" s="1"/>
  <c r="J692" i="2" a="1"/>
  <c r="J692" i="2" s="1"/>
  <c r="I693" i="2" a="1"/>
  <c r="I693" i="2" s="1"/>
  <c r="J693" i="2" a="1"/>
  <c r="J693" i="2"/>
  <c r="I694" i="2" a="1"/>
  <c r="I694" i="2" s="1"/>
  <c r="J694" i="2" a="1"/>
  <c r="J694" i="2" s="1"/>
  <c r="I695" i="2" a="1"/>
  <c r="I695" i="2" s="1"/>
  <c r="J695" i="2" a="1"/>
  <c r="J695" i="2"/>
  <c r="I696" i="2" a="1"/>
  <c r="I696" i="2" s="1"/>
  <c r="J696" i="2" a="1"/>
  <c r="J696" i="2" s="1"/>
  <c r="I697" i="2" a="1"/>
  <c r="I697" i="2" s="1"/>
  <c r="J697" i="2" a="1"/>
  <c r="J697" i="2" s="1"/>
  <c r="I698" i="2" a="1"/>
  <c r="I698" i="2" s="1"/>
  <c r="J698" i="2" a="1"/>
  <c r="J698" i="2" s="1"/>
  <c r="I699" i="2" a="1"/>
  <c r="I699" i="2" s="1"/>
  <c r="J699" i="2" a="1"/>
  <c r="J699" i="2"/>
  <c r="I700" i="2" a="1"/>
  <c r="I700" i="2" s="1"/>
  <c r="J700" i="2" a="1"/>
  <c r="J700" i="2" s="1"/>
  <c r="I701" i="2" a="1"/>
  <c r="I701" i="2" s="1"/>
  <c r="J701" i="2" a="1"/>
  <c r="J701" i="2"/>
  <c r="I702" i="2" a="1"/>
  <c r="I702" i="2" s="1"/>
  <c r="J702" i="2" a="1"/>
  <c r="J702" i="2" s="1"/>
  <c r="I703" i="2" a="1"/>
  <c r="I703" i="2" s="1"/>
  <c r="J703" i="2" a="1"/>
  <c r="J703" i="2"/>
  <c r="I704" i="2" a="1"/>
  <c r="I704" i="2" s="1"/>
  <c r="J704" i="2" a="1"/>
  <c r="J704" i="2" s="1"/>
  <c r="I705" i="2" a="1"/>
  <c r="I705" i="2" s="1"/>
  <c r="J705" i="2" a="1"/>
  <c r="J705" i="2" s="1"/>
  <c r="I706" i="2" a="1"/>
  <c r="I706" i="2" s="1"/>
  <c r="J706" i="2" a="1"/>
  <c r="J706" i="2" s="1"/>
  <c r="I707" i="2" a="1"/>
  <c r="I707" i="2" s="1"/>
  <c r="J707" i="2" a="1"/>
  <c r="J707" i="2" s="1"/>
  <c r="I708" i="2" a="1"/>
  <c r="I708" i="2" s="1"/>
  <c r="J708" i="2" a="1"/>
  <c r="J708" i="2" s="1"/>
  <c r="I709" i="2" a="1"/>
  <c r="I709" i="2" s="1"/>
  <c r="J709" i="2" a="1"/>
  <c r="J709" i="2"/>
  <c r="I710" i="2" a="1"/>
  <c r="I710" i="2" s="1"/>
  <c r="J710" i="2" a="1"/>
  <c r="J710" i="2" s="1"/>
  <c r="I711" i="2" a="1"/>
  <c r="I711" i="2" s="1"/>
  <c r="J711" i="2" a="1"/>
  <c r="J711" i="2"/>
  <c r="I712" i="2" a="1"/>
  <c r="I712" i="2" s="1"/>
  <c r="J712" i="2" a="1"/>
  <c r="J712" i="2" s="1"/>
  <c r="I713" i="2" a="1"/>
  <c r="I713" i="2" s="1"/>
  <c r="J713" i="2" a="1"/>
  <c r="J713" i="2" s="1"/>
  <c r="I714" i="2" a="1"/>
  <c r="I714" i="2" s="1"/>
  <c r="J714" i="2" a="1"/>
  <c r="J714" i="2" s="1"/>
  <c r="I715" i="2" a="1"/>
  <c r="I715" i="2" s="1"/>
  <c r="J715" i="2" a="1"/>
  <c r="J715" i="2"/>
  <c r="I716" i="2" a="1"/>
  <c r="I716" i="2" s="1"/>
  <c r="J716" i="2" a="1"/>
  <c r="J716" i="2" s="1"/>
  <c r="I717" i="2" a="1"/>
  <c r="I717" i="2" s="1"/>
  <c r="J717" i="2" a="1"/>
  <c r="J717" i="2"/>
  <c r="I718" i="2" a="1"/>
  <c r="I718" i="2" s="1"/>
  <c r="J718" i="2" a="1"/>
  <c r="J718" i="2" s="1"/>
  <c r="I719" i="2" a="1"/>
  <c r="I719" i="2" s="1"/>
  <c r="J719" i="2" a="1"/>
  <c r="J719" i="2"/>
  <c r="I720" i="2" a="1"/>
  <c r="I720" i="2" s="1"/>
  <c r="J720" i="2" a="1"/>
  <c r="J720" i="2" s="1"/>
  <c r="I721" i="2" a="1"/>
  <c r="I721" i="2" s="1"/>
  <c r="J721" i="2" a="1"/>
  <c r="J721" i="2" s="1"/>
  <c r="I722" i="2" a="1"/>
  <c r="I722" i="2" s="1"/>
  <c r="J722" i="2" a="1"/>
  <c r="J722" i="2" s="1"/>
  <c r="I723" i="2" a="1"/>
  <c r="I723" i="2" s="1"/>
  <c r="J723" i="2" a="1"/>
  <c r="J723" i="2" s="1"/>
  <c r="I724" i="2" a="1"/>
  <c r="I724" i="2" s="1"/>
  <c r="J724" i="2" a="1"/>
  <c r="J724" i="2" s="1"/>
  <c r="I725" i="2" a="1"/>
  <c r="I725" i="2" s="1"/>
  <c r="J725" i="2" a="1"/>
  <c r="J725" i="2"/>
  <c r="I726" i="2" a="1"/>
  <c r="I726" i="2" s="1"/>
  <c r="J726" i="2" a="1"/>
  <c r="J726" i="2" s="1"/>
  <c r="I727" i="2" a="1"/>
  <c r="I727" i="2" s="1"/>
  <c r="J727" i="2" a="1"/>
  <c r="J727" i="2"/>
  <c r="I728" i="2" a="1"/>
  <c r="I728" i="2" s="1"/>
  <c r="J728" i="2" a="1"/>
  <c r="J728" i="2" s="1"/>
  <c r="I729" i="2" a="1"/>
  <c r="I729" i="2" s="1"/>
  <c r="J729" i="2" a="1"/>
  <c r="J729" i="2" s="1"/>
  <c r="I730" i="2" a="1"/>
  <c r="I730" i="2" s="1"/>
  <c r="J730" i="2" a="1"/>
  <c r="J730" i="2" s="1"/>
  <c r="I731" i="2" a="1"/>
  <c r="I731" i="2" s="1"/>
  <c r="J731" i="2" a="1"/>
  <c r="J731" i="2"/>
  <c r="I732" i="2" a="1"/>
  <c r="I732" i="2" s="1"/>
  <c r="J732" i="2" a="1"/>
  <c r="J732" i="2" s="1"/>
  <c r="I733" i="2" a="1"/>
  <c r="I733" i="2" s="1"/>
  <c r="J733" i="2" a="1"/>
  <c r="J733" i="2"/>
  <c r="I734" i="2" a="1"/>
  <c r="I734" i="2" s="1"/>
  <c r="J734" i="2" a="1"/>
  <c r="J734" i="2" s="1"/>
  <c r="I735" i="2" a="1"/>
  <c r="I735" i="2" s="1"/>
  <c r="J735" i="2" a="1"/>
  <c r="J735" i="2"/>
  <c r="I736" i="2" a="1"/>
  <c r="I736" i="2" s="1"/>
  <c r="J736" i="2" a="1"/>
  <c r="J736" i="2" s="1"/>
  <c r="I737" i="2" a="1"/>
  <c r="I737" i="2" s="1"/>
  <c r="J737" i="2" a="1"/>
  <c r="J737" i="2" s="1"/>
  <c r="I738" i="2" a="1"/>
  <c r="I738" i="2" s="1"/>
  <c r="J738" i="2" a="1"/>
  <c r="J738" i="2" s="1"/>
  <c r="I739" i="2" a="1"/>
  <c r="I739" i="2" s="1"/>
  <c r="J739" i="2" a="1"/>
  <c r="J739" i="2" s="1"/>
  <c r="I740" i="2" a="1"/>
  <c r="I740" i="2" s="1"/>
  <c r="J740" i="2" a="1"/>
  <c r="J740" i="2" s="1"/>
  <c r="I741" i="2" a="1"/>
  <c r="I741" i="2" s="1"/>
  <c r="J741" i="2" a="1"/>
  <c r="J741" i="2"/>
  <c r="I742" i="2" a="1"/>
  <c r="I742" i="2" s="1"/>
  <c r="J742" i="2" a="1"/>
  <c r="J742" i="2" s="1"/>
  <c r="I743" i="2" a="1"/>
  <c r="I743" i="2" s="1"/>
  <c r="J743" i="2" a="1"/>
  <c r="J743" i="2"/>
  <c r="I744" i="2" a="1"/>
  <c r="I744" i="2" s="1"/>
  <c r="J744" i="2" a="1"/>
  <c r="J744" i="2" s="1"/>
  <c r="I745" i="2" a="1"/>
  <c r="I745" i="2" s="1"/>
  <c r="J745" i="2" a="1"/>
  <c r="J745" i="2" s="1"/>
  <c r="I746" i="2" a="1"/>
  <c r="I746" i="2" s="1"/>
  <c r="J746" i="2" a="1"/>
  <c r="J746" i="2" s="1"/>
  <c r="I747" i="2" a="1"/>
  <c r="I747" i="2" s="1"/>
  <c r="J747" i="2" a="1"/>
  <c r="J747" i="2"/>
  <c r="I748" i="2" a="1"/>
  <c r="I748" i="2" s="1"/>
  <c r="J748" i="2" a="1"/>
  <c r="J748" i="2" s="1"/>
  <c r="I749" i="2" a="1"/>
  <c r="I749" i="2" s="1"/>
  <c r="J749" i="2" a="1"/>
  <c r="J749" i="2"/>
  <c r="I750" i="2" a="1"/>
  <c r="I750" i="2" s="1"/>
  <c r="J750" i="2" a="1"/>
  <c r="J750" i="2" s="1"/>
  <c r="I751" i="2" a="1"/>
  <c r="I751" i="2" s="1"/>
  <c r="J751" i="2" a="1"/>
  <c r="J751" i="2"/>
  <c r="I752" i="2" a="1"/>
  <c r="I752" i="2" s="1"/>
  <c r="J752" i="2" a="1"/>
  <c r="J752" i="2" s="1"/>
  <c r="I753" i="2" a="1"/>
  <c r="I753" i="2" s="1"/>
  <c r="J753" i="2" a="1"/>
  <c r="J753" i="2" s="1"/>
  <c r="I754" i="2" a="1"/>
  <c r="I754" i="2" s="1"/>
  <c r="J754" i="2" a="1"/>
  <c r="J754" i="2" s="1"/>
  <c r="I755" i="2" a="1"/>
  <c r="I755" i="2" s="1"/>
  <c r="J755" i="2" a="1"/>
  <c r="J755" i="2" s="1"/>
  <c r="I756" i="2" a="1"/>
  <c r="I756" i="2" s="1"/>
  <c r="J756" i="2" a="1"/>
  <c r="J756" i="2" s="1"/>
  <c r="I757" i="2" a="1"/>
  <c r="I757" i="2" s="1"/>
  <c r="J757" i="2" a="1"/>
  <c r="J757" i="2"/>
  <c r="I758" i="2" a="1"/>
  <c r="I758" i="2" s="1"/>
  <c r="J758" i="2" a="1"/>
  <c r="J758" i="2" s="1"/>
  <c r="I759" i="2" a="1"/>
  <c r="I759" i="2" s="1"/>
  <c r="J759" i="2" a="1"/>
  <c r="J759" i="2"/>
  <c r="I760" i="2" a="1"/>
  <c r="I760" i="2" s="1"/>
  <c r="J760" i="2" a="1"/>
  <c r="J760" i="2" s="1"/>
  <c r="I761" i="2" a="1"/>
  <c r="I761" i="2" s="1"/>
  <c r="J761" i="2" a="1"/>
  <c r="J761" i="2" s="1"/>
  <c r="I762" i="2" a="1"/>
  <c r="I762" i="2" s="1"/>
  <c r="J762" i="2" a="1"/>
  <c r="J762" i="2" s="1"/>
  <c r="I763" i="2" a="1"/>
  <c r="I763" i="2" s="1"/>
  <c r="J763" i="2" a="1"/>
  <c r="J763" i="2"/>
  <c r="I764" i="2" a="1"/>
  <c r="I764" i="2" s="1"/>
  <c r="J764" i="2" a="1"/>
  <c r="J764" i="2" s="1"/>
  <c r="I765" i="2" a="1"/>
  <c r="I765" i="2" s="1"/>
  <c r="J765" i="2" a="1"/>
  <c r="J765" i="2"/>
  <c r="I766" i="2" a="1"/>
  <c r="I766" i="2" s="1"/>
  <c r="J766" i="2" a="1"/>
  <c r="J766" i="2" s="1"/>
  <c r="I767" i="2" a="1"/>
  <c r="I767" i="2" s="1"/>
  <c r="J767" i="2" a="1"/>
  <c r="J767" i="2"/>
  <c r="I768" i="2" a="1"/>
  <c r="I768" i="2" s="1"/>
  <c r="J768" i="2" a="1"/>
  <c r="J768" i="2" s="1"/>
  <c r="I769" i="2" a="1"/>
  <c r="I769" i="2" s="1"/>
  <c r="J769" i="2" a="1"/>
  <c r="J769" i="2" s="1"/>
  <c r="I770" i="2" a="1"/>
  <c r="I770" i="2" s="1"/>
  <c r="J770" i="2" a="1"/>
  <c r="J770" i="2" s="1"/>
  <c r="I771" i="2" a="1"/>
  <c r="I771" i="2" s="1"/>
  <c r="J771" i="2" a="1"/>
  <c r="J771" i="2" s="1"/>
  <c r="I772" i="2" a="1"/>
  <c r="I772" i="2" s="1"/>
  <c r="J772" i="2" a="1"/>
  <c r="J772" i="2" s="1"/>
  <c r="I773" i="2" a="1"/>
  <c r="I773" i="2" s="1"/>
  <c r="J773" i="2" a="1"/>
  <c r="J773" i="2"/>
  <c r="I774" i="2" a="1"/>
  <c r="I774" i="2" s="1"/>
  <c r="J774" i="2" a="1"/>
  <c r="J774" i="2" s="1"/>
  <c r="I775" i="2" a="1"/>
  <c r="I775" i="2" s="1"/>
  <c r="J775" i="2" a="1"/>
  <c r="J775" i="2"/>
  <c r="I776" i="2" a="1"/>
  <c r="I776" i="2" s="1"/>
  <c r="J776" i="2" a="1"/>
  <c r="J776" i="2" s="1"/>
  <c r="I777" i="2" a="1"/>
  <c r="I777" i="2" s="1"/>
  <c r="J777" i="2" a="1"/>
  <c r="J777" i="2" s="1"/>
  <c r="I778" i="2" a="1"/>
  <c r="I778" i="2" s="1"/>
  <c r="J778" i="2" a="1"/>
  <c r="J778" i="2" s="1"/>
  <c r="I779" i="2" a="1"/>
  <c r="I779" i="2" s="1"/>
  <c r="J779" i="2" a="1"/>
  <c r="J779" i="2"/>
  <c r="I780" i="2" a="1"/>
  <c r="I780" i="2" s="1"/>
  <c r="J780" i="2" a="1"/>
  <c r="J780" i="2" s="1"/>
  <c r="I781" i="2" a="1"/>
  <c r="I781" i="2" s="1"/>
  <c r="J781" i="2" a="1"/>
  <c r="J781" i="2"/>
  <c r="I782" i="2" a="1"/>
  <c r="I782" i="2" s="1"/>
  <c r="J782" i="2" a="1"/>
  <c r="J782" i="2" s="1"/>
  <c r="I783" i="2" a="1"/>
  <c r="I783" i="2" s="1"/>
  <c r="J783" i="2" a="1"/>
  <c r="J783" i="2"/>
  <c r="I784" i="2" a="1"/>
  <c r="I784" i="2" s="1"/>
  <c r="J784" i="2" a="1"/>
  <c r="J784" i="2" s="1"/>
  <c r="I785" i="2" a="1"/>
  <c r="I785" i="2" s="1"/>
  <c r="J785" i="2" a="1"/>
  <c r="J785" i="2" s="1"/>
  <c r="I786" i="2" a="1"/>
  <c r="I786" i="2" s="1"/>
  <c r="J786" i="2" a="1"/>
  <c r="J786" i="2" s="1"/>
  <c r="I787" i="2" a="1"/>
  <c r="I787" i="2" s="1"/>
  <c r="J787" i="2" a="1"/>
  <c r="J787" i="2" s="1"/>
  <c r="I788" i="2" a="1"/>
  <c r="I788" i="2" s="1"/>
  <c r="J788" i="2" a="1"/>
  <c r="J788" i="2" s="1"/>
  <c r="I789" i="2" a="1"/>
  <c r="I789" i="2" s="1"/>
  <c r="J789" i="2" a="1"/>
  <c r="J789" i="2"/>
  <c r="I790" i="2" a="1"/>
  <c r="I790" i="2" s="1"/>
  <c r="J790" i="2" a="1"/>
  <c r="J790" i="2" s="1"/>
  <c r="I791" i="2" a="1"/>
  <c r="I791" i="2"/>
  <c r="J791" i="2" a="1"/>
  <c r="J791" i="2" s="1"/>
  <c r="I792" i="2" a="1"/>
  <c r="I792" i="2" s="1"/>
  <c r="J792" i="2" a="1"/>
  <c r="J792" i="2" s="1"/>
  <c r="I793" i="2" a="1"/>
  <c r="I793" i="2" s="1"/>
  <c r="J793" i="2" a="1"/>
  <c r="J793" i="2"/>
  <c r="I794" i="2" a="1"/>
  <c r="I794" i="2"/>
  <c r="J794" i="2" a="1"/>
  <c r="J794" i="2"/>
  <c r="I795" i="2" a="1"/>
  <c r="I795" i="2" s="1"/>
  <c r="J795" i="2" a="1"/>
  <c r="J795" i="2"/>
  <c r="I796" i="2" a="1"/>
  <c r="I796" i="2"/>
  <c r="J796" i="2" a="1"/>
  <c r="J796" i="2" s="1"/>
  <c r="I797" i="2" a="1"/>
  <c r="I797" i="2" s="1"/>
  <c r="J797" i="2" a="1"/>
  <c r="J797" i="2"/>
  <c r="I798" i="2" a="1"/>
  <c r="I798" i="2"/>
  <c r="J798" i="2" a="1"/>
  <c r="J798" i="2"/>
  <c r="I799" i="2" a="1"/>
  <c r="I799" i="2" s="1"/>
  <c r="J799" i="2" a="1"/>
  <c r="J799" i="2"/>
  <c r="I800" i="2" a="1"/>
  <c r="I800" i="2"/>
  <c r="J800" i="2" a="1"/>
  <c r="J800" i="2" s="1"/>
  <c r="I801" i="2" a="1"/>
  <c r="I801" i="2" s="1"/>
  <c r="J801" i="2" a="1"/>
  <c r="J801" i="2"/>
  <c r="I802" i="2" a="1"/>
  <c r="I802" i="2"/>
  <c r="J802" i="2" a="1"/>
  <c r="J802" i="2"/>
  <c r="I803" i="2" a="1"/>
  <c r="I803" i="2" s="1"/>
  <c r="J803" i="2" a="1"/>
  <c r="J803" i="2"/>
  <c r="I804" i="2" a="1"/>
  <c r="I804" i="2"/>
  <c r="J804" i="2" a="1"/>
  <c r="J804" i="2" s="1"/>
  <c r="I805" i="2" a="1"/>
  <c r="I805" i="2" s="1"/>
  <c r="J805" i="2" a="1"/>
  <c r="J805" i="2"/>
  <c r="I806" i="2" a="1"/>
  <c r="I806" i="2"/>
  <c r="J806" i="2" a="1"/>
  <c r="J806" i="2"/>
  <c r="I807" i="2" a="1"/>
  <c r="I807" i="2" s="1"/>
  <c r="J807" i="2" a="1"/>
  <c r="J807" i="2" s="1"/>
  <c r="I808" i="2" a="1"/>
  <c r="I808" i="2" s="1"/>
  <c r="J808" i="2" a="1"/>
  <c r="J808" i="2"/>
  <c r="I809" i="2" a="1"/>
  <c r="I809" i="2" s="1"/>
  <c r="J809" i="2" a="1"/>
  <c r="J809" i="2" s="1"/>
  <c r="I810" i="2" a="1"/>
  <c r="I810" i="2" s="1"/>
  <c r="J810" i="2" a="1"/>
  <c r="J810" i="2"/>
  <c r="I811" i="2" a="1"/>
  <c r="I811" i="2" s="1"/>
  <c r="J811" i="2" a="1"/>
  <c r="J811" i="2" s="1"/>
  <c r="I812" i="2" a="1"/>
  <c r="I812" i="2" s="1"/>
  <c r="J812" i="2" a="1"/>
  <c r="J812" i="2"/>
  <c r="I813" i="2" a="1"/>
  <c r="I813" i="2" s="1"/>
  <c r="J813" i="2" a="1"/>
  <c r="J813" i="2" s="1"/>
  <c r="I814" i="2" a="1"/>
  <c r="I814" i="2" s="1"/>
  <c r="J814" i="2" a="1"/>
  <c r="J814" i="2"/>
  <c r="I815" i="2" a="1"/>
  <c r="I815" i="2" s="1"/>
  <c r="J815" i="2" a="1"/>
  <c r="J815" i="2" s="1"/>
  <c r="I816" i="2" a="1"/>
  <c r="I816" i="2" s="1"/>
  <c r="J816" i="2" a="1"/>
  <c r="J816" i="2"/>
  <c r="I817" i="2" a="1"/>
  <c r="I817" i="2" s="1"/>
  <c r="J817" i="2" a="1"/>
  <c r="J817" i="2" s="1"/>
  <c r="I818" i="2" a="1"/>
  <c r="I818" i="2" s="1"/>
  <c r="J818" i="2" a="1"/>
  <c r="J818" i="2"/>
  <c r="I819" i="2" a="1"/>
  <c r="I819" i="2" s="1"/>
  <c r="J819" i="2" a="1"/>
  <c r="J819" i="2" s="1"/>
  <c r="I820" i="2" a="1"/>
  <c r="I820" i="2" s="1"/>
  <c r="J820" i="2" a="1"/>
  <c r="J820" i="2"/>
  <c r="I821" i="2" a="1"/>
  <c r="I821" i="2" s="1"/>
  <c r="J821" i="2" a="1"/>
  <c r="J821" i="2" s="1"/>
  <c r="I822" i="2" a="1"/>
  <c r="I822" i="2" s="1"/>
  <c r="J822" i="2" a="1"/>
  <c r="J822" i="2"/>
  <c r="I823" i="2" a="1"/>
  <c r="I823" i="2" s="1"/>
  <c r="J823" i="2" a="1"/>
  <c r="J823" i="2" s="1"/>
  <c r="I824" i="2" a="1"/>
  <c r="I824" i="2" s="1"/>
  <c r="J824" i="2" a="1"/>
  <c r="J824" i="2"/>
  <c r="I825" i="2" a="1"/>
  <c r="I825" i="2" s="1"/>
  <c r="J825" i="2" a="1"/>
  <c r="J825" i="2" s="1"/>
  <c r="I826" i="2" a="1"/>
  <c r="I826" i="2" s="1"/>
  <c r="J826" i="2" a="1"/>
  <c r="J826" i="2"/>
  <c r="I827" i="2" a="1"/>
  <c r="I827" i="2" s="1"/>
  <c r="J827" i="2" a="1"/>
  <c r="J827" i="2" s="1"/>
  <c r="I828" i="2" a="1"/>
  <c r="I828" i="2" s="1"/>
  <c r="J828" i="2" a="1"/>
  <c r="J828" i="2"/>
  <c r="I829" i="2" a="1"/>
  <c r="I829" i="2" s="1"/>
  <c r="J829" i="2" a="1"/>
  <c r="J829" i="2" s="1"/>
  <c r="I830" i="2" a="1"/>
  <c r="I830" i="2" s="1"/>
  <c r="J830" i="2" a="1"/>
  <c r="J830" i="2"/>
  <c r="I831" i="2" a="1"/>
  <c r="I831" i="2" s="1"/>
  <c r="J831" i="2" a="1"/>
  <c r="J831" i="2" s="1"/>
  <c r="I832" i="2" a="1"/>
  <c r="I832" i="2" s="1"/>
  <c r="J832" i="2" a="1"/>
  <c r="J832" i="2"/>
  <c r="I833" i="2" a="1"/>
  <c r="I833" i="2" s="1"/>
  <c r="J833" i="2" a="1"/>
  <c r="J833" i="2" s="1"/>
  <c r="I834" i="2" a="1"/>
  <c r="I834" i="2" s="1"/>
  <c r="J834" i="2" a="1"/>
  <c r="J834" i="2"/>
  <c r="I835" i="2" a="1"/>
  <c r="I835" i="2" s="1"/>
  <c r="J835" i="2" a="1"/>
  <c r="J835" i="2" s="1"/>
  <c r="I836" i="2" a="1"/>
  <c r="I836" i="2" s="1"/>
  <c r="J836" i="2" a="1"/>
  <c r="J836" i="2" s="1"/>
  <c r="I837" i="2" a="1"/>
  <c r="I837" i="2" s="1"/>
  <c r="J837" i="2" a="1"/>
  <c r="J837" i="2"/>
  <c r="I838" i="2" a="1"/>
  <c r="I838" i="2"/>
  <c r="J838" i="2" a="1"/>
  <c r="J838" i="2"/>
  <c r="I839" i="2" a="1"/>
  <c r="I839" i="2" s="1"/>
  <c r="J839" i="2" a="1"/>
  <c r="J839" i="2" s="1"/>
  <c r="I840" i="2" a="1"/>
  <c r="I840" i="2" s="1"/>
  <c r="J840" i="2" a="1"/>
  <c r="J840" i="2" s="1"/>
  <c r="I841" i="2" a="1"/>
  <c r="I841" i="2" s="1"/>
  <c r="J841" i="2" a="1"/>
  <c r="J841" i="2"/>
  <c r="I842" i="2" a="1"/>
  <c r="I842" i="2"/>
  <c r="J842" i="2" a="1"/>
  <c r="J842" i="2"/>
  <c r="I843" i="2" a="1"/>
  <c r="I843" i="2" s="1"/>
  <c r="J843" i="2" a="1"/>
  <c r="J843" i="2" s="1"/>
  <c r="I844" i="2" a="1"/>
  <c r="I844" i="2" s="1"/>
  <c r="J844" i="2" a="1"/>
  <c r="J844" i="2" s="1"/>
  <c r="I845" i="2" a="1"/>
  <c r="I845" i="2" s="1"/>
  <c r="J845" i="2" a="1"/>
  <c r="J845" i="2"/>
  <c r="I846" i="2" a="1"/>
  <c r="I846" i="2"/>
  <c r="J846" i="2" a="1"/>
  <c r="J846" i="2"/>
  <c r="I847" i="2" a="1"/>
  <c r="I847" i="2" s="1"/>
  <c r="J847" i="2" a="1"/>
  <c r="J847" i="2" s="1"/>
  <c r="I848" i="2" a="1"/>
  <c r="I848" i="2" s="1"/>
  <c r="J848" i="2" a="1"/>
  <c r="J848" i="2" s="1"/>
  <c r="I849" i="2" a="1"/>
  <c r="I849" i="2" s="1"/>
  <c r="J849" i="2" a="1"/>
  <c r="J849" i="2"/>
  <c r="I850" i="2" a="1"/>
  <c r="I850" i="2"/>
  <c r="J850" i="2" a="1"/>
  <c r="J850" i="2"/>
  <c r="I851" i="2" a="1"/>
  <c r="I851" i="2" s="1"/>
  <c r="J851" i="2" a="1"/>
  <c r="J851" i="2" s="1"/>
  <c r="I852" i="2" a="1"/>
  <c r="I852" i="2" s="1"/>
  <c r="J852" i="2" a="1"/>
  <c r="J852" i="2" s="1"/>
  <c r="I853" i="2" a="1"/>
  <c r="I853" i="2" s="1"/>
  <c r="J853" i="2" a="1"/>
  <c r="J853" i="2"/>
  <c r="I854" i="2" a="1"/>
  <c r="I854" i="2"/>
  <c r="J854" i="2" a="1"/>
  <c r="J854" i="2"/>
  <c r="I855" i="2" a="1"/>
  <c r="I855" i="2" s="1"/>
  <c r="J855" i="2" a="1"/>
  <c r="J855" i="2" s="1"/>
  <c r="I856" i="2" a="1"/>
  <c r="I856" i="2" s="1"/>
  <c r="J856" i="2" a="1"/>
  <c r="J856" i="2" s="1"/>
  <c r="I857" i="2" a="1"/>
  <c r="I857" i="2" s="1"/>
  <c r="J857" i="2" a="1"/>
  <c r="J857" i="2"/>
  <c r="I858" i="2" a="1"/>
  <c r="I858" i="2"/>
  <c r="J858" i="2" a="1"/>
  <c r="J858" i="2"/>
  <c r="I859" i="2" a="1"/>
  <c r="I859" i="2" s="1"/>
  <c r="J859" i="2" a="1"/>
  <c r="J859" i="2" s="1"/>
  <c r="I860" i="2" a="1"/>
  <c r="I860" i="2" s="1"/>
  <c r="J860" i="2" a="1"/>
  <c r="J860" i="2" s="1"/>
  <c r="I861" i="2" a="1"/>
  <c r="I861" i="2" s="1"/>
  <c r="J861" i="2" a="1"/>
  <c r="J861" i="2"/>
  <c r="I862" i="2" a="1"/>
  <c r="I862" i="2"/>
  <c r="J862" i="2" a="1"/>
  <c r="J862" i="2"/>
  <c r="I863" i="2" a="1"/>
  <c r="I863" i="2" s="1"/>
  <c r="J863" i="2" a="1"/>
  <c r="J863" i="2" s="1"/>
  <c r="I864" i="2" a="1"/>
  <c r="I864" i="2" s="1"/>
  <c r="J864" i="2" a="1"/>
  <c r="J864" i="2" s="1"/>
  <c r="I865" i="2" a="1"/>
  <c r="I865" i="2" s="1"/>
  <c r="J865" i="2" a="1"/>
  <c r="J865" i="2"/>
  <c r="I866" i="2" a="1"/>
  <c r="I866" i="2"/>
  <c r="J866" i="2" a="1"/>
  <c r="J866" i="2"/>
  <c r="I867" i="2" a="1"/>
  <c r="I867" i="2" s="1"/>
  <c r="J867" i="2" a="1"/>
  <c r="J867" i="2" s="1"/>
  <c r="I868" i="2" a="1"/>
  <c r="I868" i="2" s="1"/>
  <c r="J868" i="2" a="1"/>
  <c r="J868" i="2" s="1"/>
  <c r="I869" i="2" a="1"/>
  <c r="I869" i="2" s="1"/>
  <c r="J869" i="2" a="1"/>
  <c r="J869" i="2"/>
  <c r="I870" i="2" a="1"/>
  <c r="I870" i="2"/>
  <c r="J870" i="2" a="1"/>
  <c r="J870" i="2"/>
  <c r="I871" i="2" a="1"/>
  <c r="I871" i="2" s="1"/>
  <c r="J871" i="2" a="1"/>
  <c r="J871" i="2" s="1"/>
  <c r="I872" i="2" a="1"/>
  <c r="I872" i="2" s="1"/>
  <c r="J872" i="2" a="1"/>
  <c r="J872" i="2" s="1"/>
  <c r="I873" i="2" a="1"/>
  <c r="I873" i="2" s="1"/>
  <c r="J873" i="2" a="1"/>
  <c r="J873" i="2"/>
  <c r="I874" i="2" a="1"/>
  <c r="I874" i="2"/>
  <c r="J874" i="2" a="1"/>
  <c r="J874" i="2"/>
  <c r="I875" i="2" a="1"/>
  <c r="I875" i="2" s="1"/>
  <c r="J875" i="2" a="1"/>
  <c r="J875" i="2" s="1"/>
  <c r="I876" i="2" a="1"/>
  <c r="I876" i="2" s="1"/>
  <c r="J876" i="2" a="1"/>
  <c r="J876" i="2" s="1"/>
  <c r="I877" i="2" a="1"/>
  <c r="I877" i="2" s="1"/>
  <c r="J877" i="2" a="1"/>
  <c r="J877" i="2"/>
  <c r="I878" i="2" a="1"/>
  <c r="I878" i="2"/>
  <c r="J878" i="2" a="1"/>
  <c r="J878" i="2"/>
  <c r="I879" i="2" a="1"/>
  <c r="I879" i="2" s="1"/>
  <c r="J879" i="2" a="1"/>
  <c r="J879" i="2" s="1"/>
  <c r="I880" i="2" a="1"/>
  <c r="I880" i="2" s="1"/>
  <c r="J880" i="2" a="1"/>
  <c r="J880" i="2" s="1"/>
  <c r="I881" i="2" a="1"/>
  <c r="I881" i="2" s="1"/>
  <c r="J881" i="2" a="1"/>
  <c r="J881" i="2"/>
  <c r="I882" i="2" a="1"/>
  <c r="I882" i="2"/>
  <c r="J882" i="2" a="1"/>
  <c r="J882" i="2"/>
  <c r="I883" i="2" a="1"/>
  <c r="I883" i="2" s="1"/>
  <c r="J883" i="2" a="1"/>
  <c r="J883" i="2" s="1"/>
  <c r="I884" i="2" a="1"/>
  <c r="I884" i="2" s="1"/>
  <c r="J884" i="2" a="1"/>
  <c r="J884" i="2" s="1"/>
  <c r="I885" i="2" a="1"/>
  <c r="I885" i="2" s="1"/>
  <c r="J885" i="2" a="1"/>
  <c r="J885" i="2"/>
  <c r="I886" i="2" a="1"/>
  <c r="I886" i="2"/>
  <c r="J886" i="2" a="1"/>
  <c r="J886" i="2"/>
  <c r="I887" i="2" a="1"/>
  <c r="I887" i="2" s="1"/>
  <c r="J887" i="2" a="1"/>
  <c r="J887" i="2" s="1"/>
  <c r="I888" i="2" a="1"/>
  <c r="I888" i="2" s="1"/>
  <c r="J888" i="2" a="1"/>
  <c r="J888" i="2" s="1"/>
  <c r="I889" i="2" a="1"/>
  <c r="I889" i="2" s="1"/>
  <c r="J889" i="2" a="1"/>
  <c r="J889" i="2"/>
  <c r="I890" i="2" a="1"/>
  <c r="I890" i="2"/>
  <c r="J890" i="2" a="1"/>
  <c r="J890" i="2"/>
  <c r="I891" i="2" a="1"/>
  <c r="I891" i="2" s="1"/>
  <c r="J891" i="2" a="1"/>
  <c r="J891" i="2" s="1"/>
  <c r="I892" i="2" a="1"/>
  <c r="I892" i="2" s="1"/>
  <c r="J892" i="2" a="1"/>
  <c r="J892" i="2" s="1"/>
  <c r="I893" i="2" a="1"/>
  <c r="I893" i="2" s="1"/>
  <c r="J893" i="2" a="1"/>
  <c r="J893" i="2"/>
  <c r="I894" i="2" a="1"/>
  <c r="I894" i="2"/>
  <c r="J894" i="2" a="1"/>
  <c r="J894" i="2"/>
  <c r="I895" i="2" a="1"/>
  <c r="I895" i="2" s="1"/>
  <c r="J895" i="2" a="1"/>
  <c r="J895" i="2" s="1"/>
  <c r="I896" i="2" a="1"/>
  <c r="I896" i="2" s="1"/>
  <c r="J896" i="2" a="1"/>
  <c r="J896" i="2" s="1"/>
  <c r="I897" i="2" a="1"/>
  <c r="I897" i="2" s="1"/>
  <c r="J897" i="2" a="1"/>
  <c r="J897" i="2"/>
  <c r="I898" i="2" a="1"/>
  <c r="I898" i="2"/>
  <c r="J898" i="2" a="1"/>
  <c r="J898" i="2"/>
  <c r="I899" i="2" a="1"/>
  <c r="I899" i="2" s="1"/>
  <c r="J899" i="2" a="1"/>
  <c r="J899" i="2" s="1"/>
  <c r="I900" i="2" a="1"/>
  <c r="I900" i="2" s="1"/>
  <c r="J900" i="2" a="1"/>
  <c r="J900" i="2" s="1"/>
  <c r="I901" i="2" a="1"/>
  <c r="I901" i="2" s="1"/>
  <c r="J901" i="2" a="1"/>
  <c r="J901" i="2"/>
  <c r="I902" i="2" a="1"/>
  <c r="I902" i="2"/>
  <c r="J902" i="2" a="1"/>
  <c r="J902" i="2"/>
  <c r="I903" i="2" a="1"/>
  <c r="I903" i="2" s="1"/>
  <c r="J903" i="2" a="1"/>
  <c r="J903" i="2" s="1"/>
  <c r="I904" i="2" a="1"/>
  <c r="I904" i="2" s="1"/>
  <c r="J904" i="2" a="1"/>
  <c r="J904" i="2" s="1"/>
  <c r="I905" i="2" a="1"/>
  <c r="I905" i="2" s="1"/>
  <c r="J905" i="2" a="1"/>
  <c r="J905" i="2"/>
  <c r="I906" i="2" a="1"/>
  <c r="I906" i="2"/>
  <c r="J906" i="2" a="1"/>
  <c r="J906" i="2"/>
  <c r="I907" i="2" a="1"/>
  <c r="I907" i="2" s="1"/>
  <c r="J907" i="2" a="1"/>
  <c r="J907" i="2" s="1"/>
  <c r="I908" i="2" a="1"/>
  <c r="I908" i="2" s="1"/>
  <c r="J908" i="2" a="1"/>
  <c r="J908" i="2" s="1"/>
  <c r="I909" i="2" a="1"/>
  <c r="I909" i="2" s="1"/>
  <c r="J909" i="2" a="1"/>
  <c r="J909" i="2"/>
  <c r="I910" i="2" a="1"/>
  <c r="I910" i="2"/>
  <c r="J910" i="2" a="1"/>
  <c r="J910" i="2"/>
  <c r="I911" i="2" a="1"/>
  <c r="I911" i="2" s="1"/>
  <c r="J911" i="2" a="1"/>
  <c r="J911" i="2" s="1"/>
  <c r="I912" i="2" a="1"/>
  <c r="I912" i="2" s="1"/>
  <c r="J912" i="2" a="1"/>
  <c r="J912" i="2" s="1"/>
  <c r="I913" i="2" a="1"/>
  <c r="I913" i="2" s="1"/>
  <c r="J913" i="2" a="1"/>
  <c r="J913" i="2"/>
  <c r="I914" i="2" a="1"/>
  <c r="I914" i="2"/>
  <c r="J914" i="2" a="1"/>
  <c r="J914" i="2"/>
  <c r="I915" i="2" a="1"/>
  <c r="I915" i="2" s="1"/>
  <c r="J915" i="2" a="1"/>
  <c r="J915" i="2" s="1"/>
  <c r="I916" i="2" a="1"/>
  <c r="I916" i="2" s="1"/>
  <c r="J916" i="2" a="1"/>
  <c r="J916" i="2" s="1"/>
  <c r="I917" i="2" a="1"/>
  <c r="I917" i="2" s="1"/>
  <c r="J917" i="2" a="1"/>
  <c r="J917" i="2"/>
  <c r="I918" i="2" a="1"/>
  <c r="I918" i="2"/>
  <c r="J918" i="2" a="1"/>
  <c r="J918" i="2"/>
  <c r="I919" i="2" a="1"/>
  <c r="I919" i="2" s="1"/>
  <c r="J919" i="2" a="1"/>
  <c r="J919" i="2" s="1"/>
  <c r="I920" i="2" a="1"/>
  <c r="I920" i="2" s="1"/>
  <c r="J920" i="2" a="1"/>
  <c r="J920" i="2" s="1"/>
  <c r="I921" i="2" a="1"/>
  <c r="I921" i="2" s="1"/>
  <c r="J921" i="2" a="1"/>
  <c r="J921" i="2"/>
  <c r="I922" i="2" a="1"/>
  <c r="I922" i="2"/>
  <c r="J922" i="2" a="1"/>
  <c r="J922" i="2"/>
  <c r="I923" i="2" a="1"/>
  <c r="I923" i="2" s="1"/>
  <c r="J923" i="2" a="1"/>
  <c r="J923" i="2" s="1"/>
  <c r="I924" i="2" a="1"/>
  <c r="I924" i="2" s="1"/>
  <c r="J924" i="2" a="1"/>
  <c r="J924" i="2"/>
  <c r="I925" i="2" a="1"/>
  <c r="I925" i="2" s="1"/>
  <c r="J925" i="2" a="1"/>
  <c r="J925" i="2" s="1"/>
  <c r="I926" i="2" a="1"/>
  <c r="I926" i="2" s="1"/>
  <c r="J926" i="2" a="1"/>
  <c r="J926" i="2"/>
  <c r="I927" i="2" a="1"/>
  <c r="I927" i="2" s="1"/>
  <c r="J927" i="2" a="1"/>
  <c r="J927" i="2" s="1"/>
  <c r="I928" i="2" a="1"/>
  <c r="I928" i="2" s="1"/>
  <c r="J928" i="2" a="1"/>
  <c r="J928" i="2"/>
  <c r="I929" i="2" a="1"/>
  <c r="I929" i="2" s="1"/>
  <c r="J929" i="2" a="1"/>
  <c r="J929" i="2" s="1"/>
  <c r="I930" i="2" a="1"/>
  <c r="I930" i="2" s="1"/>
  <c r="J930" i="2" a="1"/>
  <c r="J930" i="2"/>
  <c r="I931" i="2" a="1"/>
  <c r="I931" i="2" s="1"/>
  <c r="J931" i="2" a="1"/>
  <c r="J931" i="2" s="1"/>
  <c r="I932" i="2" a="1"/>
  <c r="I932" i="2" s="1"/>
  <c r="J932" i="2" a="1"/>
  <c r="J932" i="2"/>
  <c r="I933" i="2" a="1"/>
  <c r="I933" i="2" s="1"/>
  <c r="J933" i="2" a="1"/>
  <c r="J933" i="2" s="1"/>
  <c r="I934" i="2" a="1"/>
  <c r="I934" i="2" s="1"/>
  <c r="J934" i="2" a="1"/>
  <c r="J934" i="2"/>
  <c r="I935" i="2" a="1"/>
  <c r="I935" i="2" s="1"/>
  <c r="J935" i="2" a="1"/>
  <c r="J935" i="2" s="1"/>
  <c r="I936" i="2" a="1"/>
  <c r="I936" i="2" s="1"/>
  <c r="J936" i="2" a="1"/>
  <c r="J936" i="2"/>
  <c r="I937" i="2" a="1"/>
  <c r="I937" i="2" s="1"/>
  <c r="J937" i="2" a="1"/>
  <c r="J937" i="2" s="1"/>
  <c r="I938" i="2" a="1"/>
  <c r="I938" i="2" s="1"/>
  <c r="J938" i="2" a="1"/>
  <c r="J938" i="2"/>
  <c r="I939" i="2" a="1"/>
  <c r="I939" i="2" s="1"/>
  <c r="J939" i="2" a="1"/>
  <c r="J939" i="2" s="1"/>
  <c r="I940" i="2" a="1"/>
  <c r="I940" i="2" s="1"/>
  <c r="J940" i="2" a="1"/>
  <c r="J940" i="2"/>
  <c r="I941" i="2" a="1"/>
  <c r="I941" i="2" s="1"/>
  <c r="J941" i="2" a="1"/>
  <c r="J941" i="2" s="1"/>
  <c r="I942" i="2" a="1"/>
  <c r="I942" i="2" s="1"/>
  <c r="J942" i="2" a="1"/>
  <c r="J942" i="2"/>
  <c r="I943" i="2" a="1"/>
  <c r="I943" i="2" s="1"/>
  <c r="J943" i="2" a="1"/>
  <c r="J943" i="2" s="1"/>
  <c r="I944" i="2" a="1"/>
  <c r="I944" i="2" s="1"/>
  <c r="J944" i="2" a="1"/>
  <c r="J944" i="2"/>
  <c r="I945" i="2" a="1"/>
  <c r="I945" i="2" s="1"/>
  <c r="J945" i="2" a="1"/>
  <c r="J945" i="2" s="1"/>
  <c r="I946" i="2" a="1"/>
  <c r="I946" i="2" s="1"/>
  <c r="J946" i="2" a="1"/>
  <c r="J946" i="2"/>
  <c r="I947" i="2" a="1"/>
  <c r="I947" i="2" s="1"/>
  <c r="J947" i="2" a="1"/>
  <c r="J947" i="2" s="1"/>
  <c r="I948" i="2" a="1"/>
  <c r="I948" i="2" s="1"/>
  <c r="J948" i="2" a="1"/>
  <c r="J948" i="2"/>
  <c r="I949" i="2" a="1"/>
  <c r="I949" i="2" s="1"/>
  <c r="J949" i="2" a="1"/>
  <c r="J949" i="2" s="1"/>
  <c r="I950" i="2" a="1"/>
  <c r="I950" i="2" s="1"/>
  <c r="J950" i="2" a="1"/>
  <c r="J950" i="2"/>
  <c r="I951" i="2" a="1"/>
  <c r="I951" i="2" s="1"/>
  <c r="J951" i="2" a="1"/>
  <c r="J951" i="2" s="1"/>
  <c r="I952" i="2" a="1"/>
  <c r="I952" i="2" s="1"/>
  <c r="J952" i="2" a="1"/>
  <c r="J952" i="2"/>
  <c r="I953" i="2" a="1"/>
  <c r="I953" i="2" s="1"/>
  <c r="J953" i="2" a="1"/>
  <c r="J953" i="2" s="1"/>
  <c r="I954" i="2" a="1"/>
  <c r="I954" i="2" s="1"/>
  <c r="J954" i="2" a="1"/>
  <c r="J954" i="2"/>
  <c r="I955" i="2" a="1"/>
  <c r="I955" i="2" s="1"/>
  <c r="J955" i="2" a="1"/>
  <c r="J955" i="2" s="1"/>
  <c r="I956" i="2" a="1"/>
  <c r="I956" i="2" s="1"/>
  <c r="J956" i="2" a="1"/>
  <c r="J956" i="2"/>
  <c r="I957" i="2" a="1"/>
  <c r="I957" i="2" s="1"/>
  <c r="J957" i="2" a="1"/>
  <c r="J957" i="2" s="1"/>
  <c r="I958" i="2" a="1"/>
  <c r="I958" i="2" s="1"/>
  <c r="J958" i="2" a="1"/>
  <c r="J958" i="2"/>
  <c r="I959" i="2" a="1"/>
  <c r="I959" i="2" s="1"/>
  <c r="J959" i="2" a="1"/>
  <c r="J959" i="2" s="1"/>
  <c r="I960" i="2" a="1"/>
  <c r="I960" i="2" s="1"/>
  <c r="J960" i="2" a="1"/>
  <c r="J960" i="2"/>
  <c r="I961" i="2" a="1"/>
  <c r="I961" i="2" s="1"/>
  <c r="J961" i="2" a="1"/>
  <c r="J961" i="2" s="1"/>
  <c r="I962" i="2" a="1"/>
  <c r="I962" i="2" s="1"/>
  <c r="J962" i="2" a="1"/>
  <c r="J962" i="2"/>
  <c r="I963" i="2" a="1"/>
  <c r="I963" i="2" s="1"/>
  <c r="J963" i="2" a="1"/>
  <c r="J963" i="2" s="1"/>
  <c r="I964" i="2" a="1"/>
  <c r="I964" i="2" s="1"/>
  <c r="J964" i="2" a="1"/>
  <c r="J964" i="2"/>
  <c r="I965" i="2" a="1"/>
  <c r="I965" i="2" s="1"/>
  <c r="J965" i="2" a="1"/>
  <c r="J965" i="2" s="1"/>
  <c r="I966" i="2" a="1"/>
  <c r="I966" i="2" s="1"/>
  <c r="J966" i="2" a="1"/>
  <c r="J966" i="2"/>
  <c r="I967" i="2" a="1"/>
  <c r="I967" i="2" s="1"/>
  <c r="J967" i="2" a="1"/>
  <c r="J967" i="2" s="1"/>
  <c r="I968" i="2" a="1"/>
  <c r="I968" i="2" s="1"/>
  <c r="J968" i="2" a="1"/>
  <c r="J968" i="2"/>
  <c r="I969" i="2" a="1"/>
  <c r="I969" i="2" s="1"/>
  <c r="J969" i="2" a="1"/>
  <c r="J969" i="2" s="1"/>
  <c r="I970" i="2" a="1"/>
  <c r="I970" i="2" s="1"/>
  <c r="J970" i="2" a="1"/>
  <c r="J970" i="2"/>
  <c r="I971" i="2" a="1"/>
  <c r="I971" i="2" s="1"/>
  <c r="J971" i="2" a="1"/>
  <c r="J971" i="2" s="1"/>
  <c r="I972" i="2" a="1"/>
  <c r="I972" i="2" s="1"/>
  <c r="J972" i="2" a="1"/>
  <c r="J972" i="2"/>
  <c r="I973" i="2" a="1"/>
  <c r="I973" i="2" s="1"/>
  <c r="J973" i="2" a="1"/>
  <c r="J973" i="2" s="1"/>
  <c r="I974" i="2" a="1"/>
  <c r="I974" i="2" s="1"/>
  <c r="J974" i="2" a="1"/>
  <c r="J974" i="2"/>
  <c r="I975" i="2" a="1"/>
  <c r="I975" i="2" s="1"/>
  <c r="J975" i="2" a="1"/>
  <c r="J975" i="2" s="1"/>
  <c r="I976" i="2" a="1"/>
  <c r="I976" i="2" s="1"/>
  <c r="J976" i="2" a="1"/>
  <c r="J976" i="2"/>
  <c r="I977" i="2" a="1"/>
  <c r="I977" i="2" s="1"/>
  <c r="J977" i="2" a="1"/>
  <c r="J977" i="2" s="1"/>
  <c r="I978" i="2" a="1"/>
  <c r="I978" i="2" s="1"/>
  <c r="J978" i="2" a="1"/>
  <c r="J978" i="2"/>
  <c r="I979" i="2" a="1"/>
  <c r="I979" i="2" s="1"/>
  <c r="J979" i="2" a="1"/>
  <c r="J979" i="2" s="1"/>
  <c r="I980" i="2" a="1"/>
  <c r="I980" i="2" s="1"/>
  <c r="J980" i="2" a="1"/>
  <c r="J980" i="2"/>
  <c r="I981" i="2" a="1"/>
  <c r="I981" i="2" s="1"/>
  <c r="J981" i="2" a="1"/>
  <c r="J981" i="2" s="1"/>
  <c r="I982" i="2" a="1"/>
  <c r="I982" i="2" s="1"/>
  <c r="J982" i="2" a="1"/>
  <c r="J982" i="2"/>
  <c r="I983" i="2" a="1"/>
  <c r="I983" i="2" s="1"/>
  <c r="J983" i="2" a="1"/>
  <c r="J983" i="2" s="1"/>
  <c r="I984" i="2" a="1"/>
  <c r="I984" i="2" s="1"/>
  <c r="J984" i="2" a="1"/>
  <c r="J984" i="2"/>
  <c r="I985" i="2" a="1"/>
  <c r="I985" i="2" s="1"/>
  <c r="J985" i="2" a="1"/>
  <c r="J985" i="2" s="1"/>
  <c r="I986" i="2" a="1"/>
  <c r="I986" i="2" s="1"/>
  <c r="J986" i="2" a="1"/>
  <c r="J986" i="2"/>
  <c r="I987" i="2" a="1"/>
  <c r="I987" i="2" s="1"/>
  <c r="J987" i="2" a="1"/>
  <c r="J987" i="2" s="1"/>
  <c r="I988" i="2" a="1"/>
  <c r="I988" i="2" s="1"/>
  <c r="J988" i="2" a="1"/>
  <c r="J988" i="2"/>
  <c r="I989" i="2" a="1"/>
  <c r="I989" i="2" s="1"/>
  <c r="J989" i="2" a="1"/>
  <c r="J989" i="2" s="1"/>
  <c r="I990" i="2" a="1"/>
  <c r="I990" i="2" s="1"/>
  <c r="J990" i="2" a="1"/>
  <c r="J990" i="2"/>
  <c r="I991" i="2" a="1"/>
  <c r="I991" i="2" s="1"/>
  <c r="J991" i="2" a="1"/>
  <c r="J991" i="2" s="1"/>
  <c r="I992" i="2" a="1"/>
  <c r="I992" i="2" s="1"/>
  <c r="J992" i="2" a="1"/>
  <c r="J992" i="2"/>
  <c r="I993" i="2" a="1"/>
  <c r="I993" i="2" s="1"/>
  <c r="J993" i="2" a="1"/>
  <c r="J993" i="2" s="1"/>
  <c r="I994" i="2" a="1"/>
  <c r="I994" i="2" s="1"/>
  <c r="J994" i="2" a="1"/>
  <c r="J994" i="2"/>
  <c r="I995" i="2" a="1"/>
  <c r="I995" i="2" s="1"/>
  <c r="J995" i="2" a="1"/>
  <c r="J995" i="2" s="1"/>
  <c r="I996" i="2" a="1"/>
  <c r="I996" i="2" s="1"/>
  <c r="J996" i="2" a="1"/>
  <c r="J996" i="2"/>
  <c r="I997" i="2" a="1"/>
  <c r="I997" i="2" s="1"/>
  <c r="J997" i="2" a="1"/>
  <c r="J997" i="2" s="1"/>
  <c r="I998" i="2" a="1"/>
  <c r="I998" i="2" s="1"/>
  <c r="J998" i="2" a="1"/>
  <c r="J998" i="2"/>
  <c r="I999" i="2" a="1"/>
  <c r="I999" i="2" s="1"/>
  <c r="J999" i="2" a="1"/>
  <c r="J999" i="2" s="1"/>
  <c r="I1000" i="2" a="1"/>
  <c r="I1000" i="2" s="1"/>
  <c r="J1000" i="2" a="1"/>
  <c r="J1000" i="2"/>
  <c r="I1001" i="2" a="1"/>
  <c r="I1001" i="2" s="1"/>
  <c r="J1001" i="2" a="1"/>
  <c r="J1001" i="2" s="1"/>
  <c r="I1002" i="2" a="1"/>
  <c r="I1002" i="2" s="1"/>
  <c r="J1002" i="2" a="1"/>
  <c r="J1002" i="2"/>
  <c r="I1003" i="2" a="1"/>
  <c r="I1003" i="2" s="1"/>
  <c r="J1003" i="2" a="1"/>
  <c r="J1003" i="2" s="1"/>
  <c r="I1004" i="2" a="1"/>
  <c r="I1004" i="2" s="1"/>
  <c r="J1004" i="2" a="1"/>
  <c r="J1004" i="2"/>
  <c r="I1005" i="2" a="1"/>
  <c r="I1005" i="2" s="1"/>
  <c r="J1005" i="2" a="1"/>
  <c r="J1005" i="2" s="1"/>
  <c r="I1006" i="2" a="1"/>
  <c r="I1006" i="2" s="1"/>
  <c r="J1006" i="2" a="1"/>
  <c r="J1006" i="2"/>
  <c r="I1007" i="2" a="1"/>
  <c r="I1007" i="2" s="1"/>
  <c r="J1007" i="2" a="1"/>
  <c r="J1007" i="2" s="1"/>
  <c r="I1008" i="2" a="1"/>
  <c r="I1008" i="2" s="1"/>
  <c r="J1008" i="2" a="1"/>
  <c r="J1008" i="2"/>
  <c r="I1009" i="2" a="1"/>
  <c r="I1009" i="2" s="1"/>
  <c r="J1009" i="2" a="1"/>
  <c r="J1009" i="2" s="1"/>
  <c r="I1010" i="2" a="1"/>
  <c r="I1010" i="2" s="1"/>
  <c r="J1010" i="2" a="1"/>
  <c r="J1010" i="2"/>
  <c r="I1011" i="2" a="1"/>
  <c r="I1011" i="2" s="1"/>
  <c r="J1011" i="2" a="1"/>
  <c r="J1011" i="2" s="1"/>
  <c r="I1012" i="2" a="1"/>
  <c r="I1012" i="2" s="1"/>
  <c r="J1012" i="2" a="1"/>
  <c r="J1012" i="2"/>
  <c r="I1013" i="2" a="1"/>
  <c r="I1013" i="2" s="1"/>
  <c r="J1013" i="2" a="1"/>
  <c r="J1013" i="2" s="1"/>
  <c r="I1014" i="2" a="1"/>
  <c r="I1014" i="2" s="1"/>
  <c r="J1014" i="2" a="1"/>
  <c r="J1014" i="2"/>
  <c r="I1015" i="2" a="1"/>
  <c r="I1015" i="2" s="1"/>
  <c r="J1015" i="2" a="1"/>
  <c r="J1015" i="2" s="1"/>
  <c r="I1016" i="2" a="1"/>
  <c r="I1016" i="2" s="1"/>
  <c r="J1016" i="2" a="1"/>
  <c r="J1016" i="2"/>
  <c r="I1017" i="2" a="1"/>
  <c r="I1017" i="2" s="1"/>
  <c r="J1017" i="2" a="1"/>
  <c r="J1017" i="2" s="1"/>
  <c r="I1018" i="2" a="1"/>
  <c r="I1018" i="2" s="1"/>
  <c r="J1018" i="2" a="1"/>
  <c r="J1018" i="2"/>
  <c r="I1019" i="2" a="1"/>
  <c r="I1019" i="2" s="1"/>
  <c r="J1019" i="2" a="1"/>
  <c r="J1019" i="2" s="1"/>
  <c r="I1020" i="2" a="1"/>
  <c r="I1020" i="2" s="1"/>
  <c r="J1020" i="2" a="1"/>
  <c r="J1020" i="2"/>
  <c r="I1021" i="2" a="1"/>
  <c r="I1021" i="2" s="1"/>
  <c r="J1021" i="2" a="1"/>
  <c r="J1021" i="2" s="1"/>
  <c r="I1022" i="2" a="1"/>
  <c r="I1022" i="2" s="1"/>
  <c r="J1022" i="2" a="1"/>
  <c r="J1022" i="2"/>
  <c r="I1023" i="2" a="1"/>
  <c r="I1023" i="2" s="1"/>
  <c r="J1023" i="2" a="1"/>
  <c r="J1023" i="2" s="1"/>
  <c r="I1024" i="2" a="1"/>
  <c r="I1024" i="2" s="1"/>
  <c r="J1024" i="2" a="1"/>
  <c r="J1024" i="2"/>
  <c r="I1025" i="2" a="1"/>
  <c r="I1025" i="2" s="1"/>
  <c r="J1025" i="2" a="1"/>
  <c r="J1025" i="2" s="1"/>
  <c r="I1026" i="2" a="1"/>
  <c r="I1026" i="2" s="1"/>
  <c r="J1026" i="2" a="1"/>
  <c r="J1026" i="2"/>
  <c r="I1027" i="2" a="1"/>
  <c r="I1027" i="2" s="1"/>
  <c r="J1027" i="2" a="1"/>
  <c r="J1027" i="2" s="1"/>
  <c r="I1028" i="2" a="1"/>
  <c r="I1028" i="2" s="1"/>
  <c r="J1028" i="2" a="1"/>
  <c r="J1028" i="2"/>
  <c r="I1029" i="2" a="1"/>
  <c r="I1029" i="2" s="1"/>
  <c r="J1029" i="2" a="1"/>
  <c r="J1029" i="2" s="1"/>
  <c r="I1030" i="2" a="1"/>
  <c r="I1030" i="2" s="1"/>
  <c r="J1030" i="2" a="1"/>
  <c r="J1030" i="2"/>
  <c r="I1031" i="2" a="1"/>
  <c r="I1031" i="2" s="1"/>
  <c r="J1031" i="2" a="1"/>
  <c r="J1031" i="2" s="1"/>
  <c r="I1032" i="2" a="1"/>
  <c r="I1032" i="2" s="1"/>
  <c r="J1032" i="2" a="1"/>
  <c r="J1032" i="2"/>
  <c r="I1033" i="2" a="1"/>
  <c r="I1033" i="2" s="1"/>
  <c r="J1033" i="2" a="1"/>
  <c r="J1033" i="2" s="1"/>
  <c r="I1034" i="2" a="1"/>
  <c r="I1034" i="2" s="1"/>
  <c r="J1034" i="2" a="1"/>
  <c r="J1034" i="2"/>
  <c r="I1035" i="2" a="1"/>
  <c r="I1035" i="2" s="1"/>
  <c r="J1035" i="2" a="1"/>
  <c r="J1035" i="2" s="1"/>
  <c r="I1036" i="2" a="1"/>
  <c r="I1036" i="2" s="1"/>
  <c r="J1036" i="2" a="1"/>
  <c r="J1036" i="2"/>
  <c r="I1037" i="2" a="1"/>
  <c r="I1037" i="2" s="1"/>
  <c r="J1037" i="2" a="1"/>
  <c r="J1037" i="2" s="1"/>
  <c r="I1038" i="2" a="1"/>
  <c r="I1038" i="2" s="1"/>
  <c r="J1038" i="2" a="1"/>
  <c r="J1038" i="2"/>
  <c r="I1039" i="2" a="1"/>
  <c r="I1039" i="2" s="1"/>
  <c r="J1039" i="2" a="1"/>
  <c r="J1039" i="2" s="1"/>
  <c r="I1040" i="2" a="1"/>
  <c r="I1040" i="2" s="1"/>
  <c r="J1040" i="2" a="1"/>
  <c r="J1040" i="2"/>
  <c r="I1041" i="2" a="1"/>
  <c r="I1041" i="2" s="1"/>
  <c r="J1041" i="2" a="1"/>
  <c r="J1041" i="2" s="1"/>
  <c r="I1042" i="2" a="1"/>
  <c r="I1042" i="2" s="1"/>
  <c r="J1042" i="2" a="1"/>
  <c r="J1042" i="2"/>
  <c r="I1043" i="2" a="1"/>
  <c r="I1043" i="2" s="1"/>
  <c r="J1043" i="2" a="1"/>
  <c r="J1043" i="2" s="1"/>
  <c r="I1044" i="2" a="1"/>
  <c r="I1044" i="2" s="1"/>
  <c r="J1044" i="2" a="1"/>
  <c r="J1044" i="2"/>
  <c r="I1045" i="2" a="1"/>
  <c r="I1045" i="2" s="1"/>
  <c r="J1045" i="2" a="1"/>
  <c r="J1045" i="2" s="1"/>
  <c r="I1046" i="2" a="1"/>
  <c r="I1046" i="2" s="1"/>
  <c r="J1046" i="2" a="1"/>
  <c r="J1046" i="2"/>
  <c r="I1047" i="2" a="1"/>
  <c r="I1047" i="2" s="1"/>
  <c r="J1047" i="2" a="1"/>
  <c r="J1047" i="2" s="1"/>
  <c r="I1048" i="2" a="1"/>
  <c r="I1048" i="2" s="1"/>
  <c r="J1048" i="2" a="1"/>
  <c r="J1048" i="2"/>
  <c r="I1049" i="2" a="1"/>
  <c r="I1049" i="2" s="1"/>
  <c r="J1049" i="2" a="1"/>
  <c r="J1049" i="2" s="1"/>
  <c r="I1050" i="2" a="1"/>
  <c r="I1050" i="2" s="1"/>
  <c r="J1050" i="2" a="1"/>
  <c r="J1050" i="2"/>
  <c r="I1051" i="2" a="1"/>
  <c r="I1051" i="2"/>
  <c r="J1051" i="2" a="1"/>
  <c r="J1051" i="2"/>
  <c r="I1052" i="2" a="1"/>
  <c r="I1052" i="2" s="1"/>
  <c r="J1052" i="2" a="1"/>
  <c r="J1052" i="2" s="1"/>
  <c r="I1053" i="2" a="1"/>
  <c r="I1053" i="2" s="1"/>
  <c r="J1053" i="2" a="1"/>
  <c r="J1053" i="2" s="1"/>
  <c r="I1054" i="2" a="1"/>
  <c r="I1054" i="2" s="1"/>
  <c r="J1054" i="2" a="1"/>
  <c r="J1054" i="2" s="1"/>
  <c r="I1055" i="2" a="1"/>
  <c r="I1055" i="2" s="1"/>
  <c r="J1055" i="2" a="1"/>
  <c r="J1055" i="2" s="1"/>
  <c r="I1056" i="2" a="1"/>
  <c r="I1056" i="2" s="1"/>
  <c r="J1056" i="2" a="1"/>
  <c r="J1056" i="2" s="1"/>
  <c r="I1057" i="2" a="1"/>
  <c r="I1057" i="2" s="1"/>
  <c r="J1057" i="2" a="1"/>
  <c r="J1057" i="2" s="1"/>
  <c r="I1058" i="2" a="1"/>
  <c r="I1058" i="2" s="1"/>
  <c r="J1058" i="2" a="1"/>
  <c r="J1058" i="2" s="1"/>
  <c r="I1059" i="2" a="1"/>
  <c r="I1059" i="2" s="1"/>
  <c r="J1059" i="2" a="1"/>
  <c r="J1059" i="2" s="1"/>
  <c r="I1060" i="2" a="1"/>
  <c r="I1060" i="2" s="1"/>
  <c r="J1060" i="2" a="1"/>
  <c r="J1060" i="2" s="1"/>
  <c r="I1061" i="2" a="1"/>
  <c r="I1061" i="2" s="1"/>
  <c r="J1061" i="2" a="1"/>
  <c r="J1061" i="2" s="1"/>
  <c r="I1062" i="2" a="1"/>
  <c r="I1062" i="2" s="1"/>
  <c r="J1062" i="2" a="1"/>
  <c r="J1062" i="2" s="1"/>
  <c r="I1063" i="2" a="1"/>
  <c r="I1063" i="2" s="1"/>
  <c r="J1063" i="2" a="1"/>
  <c r="J1063" i="2" s="1"/>
  <c r="I1064" i="2" a="1"/>
  <c r="I1064" i="2" s="1"/>
  <c r="J1064" i="2" a="1"/>
  <c r="J1064" i="2" s="1"/>
  <c r="I1065" i="2" a="1"/>
  <c r="I1065" i="2" s="1"/>
  <c r="J1065" i="2" a="1"/>
  <c r="J1065" i="2" s="1"/>
  <c r="I1066" i="2" a="1"/>
  <c r="I1066" i="2" s="1"/>
  <c r="J1066" i="2" a="1"/>
  <c r="J1066" i="2" s="1"/>
  <c r="I1067" i="2" a="1"/>
  <c r="I1067" i="2" s="1"/>
  <c r="J1067" i="2" a="1"/>
  <c r="J1067" i="2" s="1"/>
  <c r="I1068" i="2" a="1"/>
  <c r="I1068" i="2" s="1"/>
  <c r="J1068" i="2" a="1"/>
  <c r="J1068" i="2" s="1"/>
  <c r="I1069" i="2" a="1"/>
  <c r="I1069" i="2" s="1"/>
  <c r="J1069" i="2" a="1"/>
  <c r="J1069" i="2" s="1"/>
  <c r="I1070" i="2" a="1"/>
  <c r="I1070" i="2" s="1"/>
  <c r="J1070" i="2" a="1"/>
  <c r="J1070" i="2" s="1"/>
  <c r="I1071" i="2" a="1"/>
  <c r="I1071" i="2" s="1"/>
  <c r="J1071" i="2" a="1"/>
  <c r="J1071" i="2" s="1"/>
  <c r="I1072" i="2" a="1"/>
  <c r="I1072" i="2" s="1"/>
  <c r="J1072" i="2" a="1"/>
  <c r="J1072" i="2" s="1"/>
  <c r="I1073" i="2" a="1"/>
  <c r="I1073" i="2" s="1"/>
  <c r="J1073" i="2" a="1"/>
  <c r="J1073" i="2" s="1"/>
  <c r="I1074" i="2" a="1"/>
  <c r="I1074" i="2" s="1"/>
  <c r="J1074" i="2" a="1"/>
  <c r="J1074" i="2" s="1"/>
  <c r="I1075" i="2" a="1"/>
  <c r="I1075" i="2" s="1"/>
  <c r="J1075" i="2" a="1"/>
  <c r="J1075" i="2" s="1"/>
  <c r="I1076" i="2" a="1"/>
  <c r="I1076" i="2" s="1"/>
  <c r="J1076" i="2" a="1"/>
  <c r="J1076" i="2" s="1"/>
  <c r="I1077" i="2" a="1"/>
  <c r="I1077" i="2" s="1"/>
  <c r="J1077" i="2" a="1"/>
  <c r="J1077" i="2" s="1"/>
  <c r="I1078" i="2" a="1"/>
  <c r="I1078" i="2" s="1"/>
  <c r="J1078" i="2" a="1"/>
  <c r="J1078" i="2" s="1"/>
  <c r="I1079" i="2" a="1"/>
  <c r="I1079" i="2" s="1"/>
  <c r="J1079" i="2" a="1"/>
  <c r="J1079" i="2" s="1"/>
  <c r="I1080" i="2" a="1"/>
  <c r="I1080" i="2" s="1"/>
  <c r="J1080" i="2" a="1"/>
  <c r="J1080" i="2" s="1"/>
  <c r="I1081" i="2" a="1"/>
  <c r="I1081" i="2" s="1"/>
  <c r="J1081" i="2" a="1"/>
  <c r="J1081" i="2" s="1"/>
  <c r="I1082" i="2" a="1"/>
  <c r="I1082" i="2" s="1"/>
  <c r="J1082" i="2" a="1"/>
  <c r="J1082" i="2" s="1"/>
  <c r="I1083" i="2" a="1"/>
  <c r="I1083" i="2" s="1"/>
  <c r="J1083" i="2" a="1"/>
  <c r="J1083" i="2" s="1"/>
  <c r="I1084" i="2" a="1"/>
  <c r="I1084" i="2" s="1"/>
  <c r="J1084" i="2" a="1"/>
  <c r="J1084" i="2" s="1"/>
  <c r="I1085" i="2" a="1"/>
  <c r="I1085" i="2" s="1"/>
  <c r="J1085" i="2" a="1"/>
  <c r="J1085" i="2" s="1"/>
  <c r="I1086" i="2" a="1"/>
  <c r="I1086" i="2" s="1"/>
  <c r="J1086" i="2" a="1"/>
  <c r="J1086" i="2" s="1"/>
  <c r="I1087" i="2" a="1"/>
  <c r="I1087" i="2" s="1"/>
  <c r="J1087" i="2" a="1"/>
  <c r="J1087" i="2" s="1"/>
  <c r="I1088" i="2" a="1"/>
  <c r="I1088" i="2" s="1"/>
  <c r="J1088" i="2" a="1"/>
  <c r="J1088" i="2" s="1"/>
  <c r="I1089" i="2" a="1"/>
  <c r="I1089" i="2" s="1"/>
  <c r="J1089" i="2" a="1"/>
  <c r="J1089" i="2" s="1"/>
  <c r="I1090" i="2" a="1"/>
  <c r="I1090" i="2" s="1"/>
  <c r="J1090" i="2" a="1"/>
  <c r="J1090" i="2" s="1"/>
  <c r="I1091" i="2" a="1"/>
  <c r="I1091" i="2" s="1"/>
  <c r="J1091" i="2" a="1"/>
  <c r="J1091" i="2" s="1"/>
  <c r="I1092" i="2" a="1"/>
  <c r="I1092" i="2" s="1"/>
  <c r="J1092" i="2" a="1"/>
  <c r="J1092" i="2" s="1"/>
  <c r="I1093" i="2" a="1"/>
  <c r="I1093" i="2" s="1"/>
  <c r="J1093" i="2" a="1"/>
  <c r="J1093" i="2" s="1"/>
  <c r="I1094" i="2" a="1"/>
  <c r="I1094" i="2" s="1"/>
  <c r="J1094" i="2" a="1"/>
  <c r="J1094" i="2" s="1"/>
  <c r="I1095" i="2" a="1"/>
  <c r="I1095" i="2" s="1"/>
  <c r="J1095" i="2" a="1"/>
  <c r="J1095" i="2" s="1"/>
  <c r="I1096" i="2" a="1"/>
  <c r="I1096" i="2" s="1"/>
  <c r="J1096" i="2" a="1"/>
  <c r="J1096" i="2" s="1"/>
  <c r="I1097" i="2" a="1"/>
  <c r="I1097" i="2" s="1"/>
  <c r="J1097" i="2" a="1"/>
  <c r="J1097" i="2" s="1"/>
  <c r="I1098" i="2" a="1"/>
  <c r="I1098" i="2" s="1"/>
  <c r="J1098" i="2" a="1"/>
  <c r="J1098" i="2" s="1"/>
  <c r="I1099" i="2" a="1"/>
  <c r="I1099" i="2" s="1"/>
  <c r="J1099" i="2" a="1"/>
  <c r="J1099" i="2" s="1"/>
  <c r="I1100" i="2" a="1"/>
  <c r="I1100" i="2" s="1"/>
  <c r="J1100" i="2" a="1"/>
  <c r="J1100" i="2" s="1"/>
  <c r="I1101" i="2" a="1"/>
  <c r="I1101" i="2" s="1"/>
  <c r="J1101" i="2" a="1"/>
  <c r="J1101" i="2" s="1"/>
  <c r="I1102" i="2" a="1"/>
  <c r="I1102" i="2" s="1"/>
  <c r="J1102" i="2" a="1"/>
  <c r="J1102" i="2" s="1"/>
  <c r="I1103" i="2" a="1"/>
  <c r="I1103" i="2" s="1"/>
  <c r="J1103" i="2" a="1"/>
  <c r="J1103" i="2" s="1"/>
  <c r="I1104" i="2" a="1"/>
  <c r="I1104" i="2" s="1"/>
  <c r="J1104" i="2" a="1"/>
  <c r="J1104" i="2" s="1"/>
  <c r="I1105" i="2" a="1"/>
  <c r="I1105" i="2"/>
  <c r="J1105" i="2" a="1"/>
  <c r="J1105" i="2" s="1"/>
  <c r="I1106" i="2" a="1"/>
  <c r="I1106" i="2" s="1"/>
  <c r="J1106" i="2" a="1"/>
  <c r="J1106" i="2" s="1"/>
  <c r="I1107" i="2" a="1"/>
  <c r="I1107" i="2" s="1"/>
  <c r="J1107" i="2" a="1"/>
  <c r="J1107" i="2" s="1"/>
  <c r="I1108" i="2" a="1"/>
  <c r="I1108" i="2"/>
  <c r="J1108" i="2" a="1"/>
  <c r="J1108" i="2" s="1"/>
  <c r="I1109" i="2" a="1"/>
  <c r="I1109" i="2"/>
  <c r="J1109" i="2" a="1"/>
  <c r="J1109" i="2" s="1"/>
  <c r="I1110" i="2" a="1"/>
  <c r="I1110" i="2" s="1"/>
  <c r="J1110" i="2" a="1"/>
  <c r="J1110" i="2" s="1"/>
  <c r="I1111" i="2" a="1"/>
  <c r="I1111" i="2" s="1"/>
  <c r="J1111" i="2" a="1"/>
  <c r="J1111" i="2" s="1"/>
  <c r="I1112" i="2" a="1"/>
  <c r="I1112" i="2" s="1"/>
  <c r="J1112" i="2" a="1"/>
  <c r="J1112" i="2" s="1"/>
  <c r="I1113" i="2" a="1"/>
  <c r="I1113" i="2"/>
  <c r="J1113" i="2" a="1"/>
  <c r="J1113" i="2" s="1"/>
  <c r="I1114" i="2" a="1"/>
  <c r="I1114" i="2" s="1"/>
  <c r="J1114" i="2" a="1"/>
  <c r="J1114" i="2" s="1"/>
  <c r="I1115" i="2" a="1"/>
  <c r="I1115" i="2" s="1"/>
  <c r="J1115" i="2" a="1"/>
  <c r="J1115" i="2" s="1"/>
  <c r="I1116" i="2" a="1"/>
  <c r="I1116" i="2"/>
  <c r="J1116" i="2" a="1"/>
  <c r="J1116" i="2" s="1"/>
  <c r="I1117" i="2" a="1"/>
  <c r="I1117" i="2"/>
  <c r="J1117" i="2" a="1"/>
  <c r="J1117" i="2" s="1"/>
  <c r="I1118" i="2" a="1"/>
  <c r="I1118" i="2" s="1"/>
  <c r="J1118" i="2" a="1"/>
  <c r="J1118" i="2" s="1"/>
  <c r="I1119" i="2" a="1"/>
  <c r="I1119" i="2" s="1"/>
  <c r="J1119" i="2" a="1"/>
  <c r="J1119" i="2" s="1"/>
  <c r="I1120" i="2" a="1"/>
  <c r="I1120" i="2" s="1"/>
  <c r="J1120" i="2" a="1"/>
  <c r="J1120" i="2" s="1"/>
  <c r="I1121" i="2" a="1"/>
  <c r="I1121" i="2"/>
  <c r="J1121" i="2" a="1"/>
  <c r="J1121" i="2" s="1"/>
  <c r="I1122" i="2" a="1"/>
  <c r="I1122" i="2" s="1"/>
  <c r="J1122" i="2" a="1"/>
  <c r="J1122" i="2" s="1"/>
  <c r="I1123" i="2" a="1"/>
  <c r="I1123" i="2" s="1"/>
  <c r="J1123" i="2" a="1"/>
  <c r="J1123" i="2" s="1"/>
  <c r="I1124" i="2" a="1"/>
  <c r="I1124" i="2"/>
  <c r="J1124" i="2" a="1"/>
  <c r="J1124" i="2" s="1"/>
  <c r="I1125" i="2" a="1"/>
  <c r="I1125" i="2"/>
  <c r="J1125" i="2" a="1"/>
  <c r="J1125" i="2" s="1"/>
  <c r="I1126" i="2" a="1"/>
  <c r="I1126" i="2" s="1"/>
  <c r="J1126" i="2" a="1"/>
  <c r="J1126" i="2" s="1"/>
  <c r="I1127" i="2" a="1"/>
  <c r="I1127" i="2" s="1"/>
  <c r="J1127" i="2" a="1"/>
  <c r="J1127" i="2" s="1"/>
  <c r="I1128" i="2" a="1"/>
  <c r="I1128" i="2" s="1"/>
  <c r="J1128" i="2" a="1"/>
  <c r="J1128" i="2" s="1"/>
  <c r="I1129" i="2" a="1"/>
  <c r="I1129" i="2"/>
  <c r="J1129" i="2" a="1"/>
  <c r="J1129" i="2" s="1"/>
  <c r="I1130" i="2" a="1"/>
  <c r="I1130" i="2" s="1"/>
  <c r="J1130" i="2" a="1"/>
  <c r="J1130" i="2" s="1"/>
  <c r="I1131" i="2" a="1"/>
  <c r="I1131" i="2" s="1"/>
  <c r="J1131" i="2" a="1"/>
  <c r="J1131" i="2" s="1"/>
  <c r="I1132" i="2" a="1"/>
  <c r="I1132" i="2"/>
  <c r="J1132" i="2" a="1"/>
  <c r="J1132" i="2" s="1"/>
  <c r="I1133" i="2" a="1"/>
  <c r="I1133" i="2"/>
  <c r="J1133" i="2" a="1"/>
  <c r="J1133" i="2" s="1"/>
  <c r="I1134" i="2" a="1"/>
  <c r="I1134" i="2" s="1"/>
  <c r="J1134" i="2" a="1"/>
  <c r="J1134" i="2" s="1"/>
  <c r="I1135" i="2" a="1"/>
  <c r="I1135" i="2" s="1"/>
  <c r="J1135" i="2" a="1"/>
  <c r="J1135" i="2" s="1"/>
  <c r="I1136" i="2" a="1"/>
  <c r="I1136" i="2" s="1"/>
  <c r="J1136" i="2" a="1"/>
  <c r="J1136" i="2" s="1"/>
  <c r="I1137" i="2" a="1"/>
  <c r="I1137" i="2"/>
  <c r="J1137" i="2" a="1"/>
  <c r="J1137" i="2" s="1"/>
  <c r="I1138" i="2" a="1"/>
  <c r="I1138" i="2" s="1"/>
  <c r="J1138" i="2" a="1"/>
  <c r="J1138" i="2" s="1"/>
  <c r="I1139" i="2" a="1"/>
  <c r="I1139" i="2" s="1"/>
  <c r="J1139" i="2" a="1"/>
  <c r="J1139" i="2" s="1"/>
  <c r="I1140" i="2" a="1"/>
  <c r="I1140" i="2"/>
  <c r="J1140" i="2" a="1"/>
  <c r="J1140" i="2" s="1"/>
  <c r="I1141" i="2" a="1"/>
  <c r="I1141" i="2"/>
  <c r="J1141" i="2" a="1"/>
  <c r="J1141" i="2" s="1"/>
  <c r="I1142" i="2" a="1"/>
  <c r="I1142" i="2" s="1"/>
  <c r="J1142" i="2" a="1"/>
  <c r="J1142" i="2" s="1"/>
  <c r="I1143" i="2" a="1"/>
  <c r="I1143" i="2"/>
  <c r="J1143" i="2" a="1"/>
  <c r="J1143" i="2" s="1"/>
  <c r="I1144" i="2" a="1"/>
  <c r="I1144" i="2" s="1"/>
  <c r="J1144" i="2" a="1"/>
  <c r="J1144" i="2" s="1"/>
  <c r="I1145" i="2" a="1"/>
  <c r="I1145" i="2"/>
  <c r="J1145" i="2" a="1"/>
  <c r="J1145" i="2" s="1"/>
  <c r="I1146" i="2" a="1"/>
  <c r="I1146" i="2" s="1"/>
  <c r="J1146" i="2" a="1"/>
  <c r="J1146" i="2" s="1"/>
  <c r="I1147" i="2" a="1"/>
  <c r="I1147" i="2" s="1"/>
  <c r="J1147" i="2" a="1"/>
  <c r="J1147" i="2" s="1"/>
  <c r="I1148" i="2" a="1"/>
  <c r="I1148" i="2"/>
  <c r="J1148" i="2" a="1"/>
  <c r="J1148" i="2" s="1"/>
  <c r="I1149" i="2" a="1"/>
  <c r="I1149" i="2"/>
  <c r="J1149" i="2" a="1"/>
  <c r="J1149" i="2" s="1"/>
  <c r="I1150" i="2" a="1"/>
  <c r="I1150" i="2" s="1"/>
  <c r="J1150" i="2" a="1"/>
  <c r="J1150" i="2" s="1"/>
  <c r="I1151" i="2" a="1"/>
  <c r="I1151" i="2" s="1"/>
  <c r="J1151" i="2" a="1"/>
  <c r="J1151" i="2" s="1"/>
  <c r="I1152" i="2" a="1"/>
  <c r="I1152" i="2" s="1"/>
  <c r="J1152" i="2" a="1"/>
  <c r="J1152" i="2" s="1"/>
  <c r="I1153" i="2" a="1"/>
  <c r="I1153" i="2"/>
  <c r="J1153" i="2" a="1"/>
  <c r="J1153" i="2" s="1"/>
  <c r="I1154" i="2" a="1"/>
  <c r="I1154" i="2" s="1"/>
  <c r="J1154" i="2" a="1"/>
  <c r="J1154" i="2" s="1"/>
  <c r="I1155" i="2" a="1"/>
  <c r="I1155" i="2" s="1"/>
  <c r="J1155" i="2" a="1"/>
  <c r="J1155" i="2" s="1"/>
  <c r="I1156" i="2" a="1"/>
  <c r="I1156" i="2"/>
  <c r="J1156" i="2" a="1"/>
  <c r="J1156" i="2" s="1"/>
  <c r="I1157" i="2" a="1"/>
  <c r="I1157" i="2"/>
  <c r="J1157" i="2" a="1"/>
  <c r="J1157" i="2" s="1"/>
  <c r="I1158" i="2" a="1"/>
  <c r="I1158" i="2" s="1"/>
  <c r="J1158" i="2" a="1"/>
  <c r="J1158" i="2" s="1"/>
  <c r="I1159" i="2" a="1"/>
  <c r="I1159" i="2"/>
  <c r="J1159" i="2" a="1"/>
  <c r="J1159" i="2" s="1"/>
  <c r="I1160" i="2" a="1"/>
  <c r="I1160" i="2" s="1"/>
  <c r="J1160" i="2" a="1"/>
  <c r="J1160" i="2" s="1"/>
  <c r="I1161" i="2" a="1"/>
  <c r="I1161" i="2"/>
  <c r="J1161" i="2" a="1"/>
  <c r="J1161" i="2" s="1"/>
  <c r="I1162" i="2" a="1"/>
  <c r="I1162" i="2" s="1"/>
  <c r="J1162" i="2" a="1"/>
  <c r="J1162" i="2" s="1"/>
  <c r="I1163" i="2" a="1"/>
  <c r="I1163" i="2" s="1"/>
  <c r="J1163" i="2" a="1"/>
  <c r="J1163" i="2" s="1"/>
  <c r="I1164" i="2" a="1"/>
  <c r="I1164" i="2"/>
  <c r="J1164" i="2" a="1"/>
  <c r="J1164" i="2" s="1"/>
  <c r="I1165" i="2" a="1"/>
  <c r="I1165" i="2"/>
  <c r="J1165" i="2" a="1"/>
  <c r="J1165" i="2" s="1"/>
  <c r="I1166" i="2" a="1"/>
  <c r="I1166" i="2" s="1"/>
  <c r="J1166" i="2" a="1"/>
  <c r="J1166" i="2" s="1"/>
  <c r="I1167" i="2" a="1"/>
  <c r="I1167" i="2" s="1"/>
  <c r="J1167" i="2" a="1"/>
  <c r="J1167" i="2" s="1"/>
  <c r="I1168" i="2" a="1"/>
  <c r="I1168" i="2" s="1"/>
  <c r="J1168" i="2" a="1"/>
  <c r="J1168" i="2" s="1"/>
  <c r="I1169" i="2" a="1"/>
  <c r="I1169" i="2"/>
  <c r="J1169" i="2" a="1"/>
  <c r="J1169" i="2" s="1"/>
  <c r="I1170" i="2" a="1"/>
  <c r="I1170" i="2" s="1"/>
  <c r="J1170" i="2" a="1"/>
  <c r="J1170" i="2" s="1"/>
  <c r="I1171" i="2" a="1"/>
  <c r="I1171" i="2" s="1"/>
  <c r="J1171" i="2" a="1"/>
  <c r="J1171" i="2" s="1"/>
  <c r="I1172" i="2" a="1"/>
  <c r="I1172" i="2"/>
  <c r="J1172" i="2" a="1"/>
  <c r="J1172" i="2" s="1"/>
  <c r="I1173" i="2" a="1"/>
  <c r="I1173" i="2"/>
  <c r="J1173" i="2" a="1"/>
  <c r="J1173" i="2" s="1"/>
  <c r="I1174" i="2" a="1"/>
  <c r="I1174" i="2" s="1"/>
  <c r="J1174" i="2" a="1"/>
  <c r="J1174" i="2" s="1"/>
  <c r="I1175" i="2" a="1"/>
  <c r="I1175" i="2"/>
  <c r="J1175" i="2" a="1"/>
  <c r="J1175" i="2" s="1"/>
  <c r="I1176" i="2" a="1"/>
  <c r="I1176" i="2" s="1"/>
  <c r="J1176" i="2" a="1"/>
  <c r="J1176" i="2" s="1"/>
  <c r="I1177" i="2" a="1"/>
  <c r="I1177" i="2"/>
  <c r="J1177" i="2" a="1"/>
  <c r="J1177" i="2" s="1"/>
  <c r="I1178" i="2" a="1"/>
  <c r="I1178" i="2" s="1"/>
  <c r="J1178" i="2" a="1"/>
  <c r="J1178" i="2" s="1"/>
  <c r="I1179" i="2" a="1"/>
  <c r="I1179" i="2" s="1"/>
  <c r="J1179" i="2" a="1"/>
  <c r="J1179" i="2" s="1"/>
  <c r="I1180" i="2" a="1"/>
  <c r="I1180" i="2"/>
  <c r="J1180" i="2" a="1"/>
  <c r="J1180" i="2" s="1"/>
  <c r="I1181" i="2" a="1"/>
  <c r="I1181" i="2"/>
  <c r="J1181" i="2" a="1"/>
  <c r="J1181" i="2" s="1"/>
  <c r="I1182" i="2" a="1"/>
  <c r="I1182" i="2" s="1"/>
  <c r="J1182" i="2" a="1"/>
  <c r="J1182" i="2" s="1"/>
  <c r="I1183" i="2" a="1"/>
  <c r="I1183" i="2" s="1"/>
  <c r="J1183" i="2" a="1"/>
  <c r="J1183" i="2" s="1"/>
  <c r="I1184" i="2" a="1"/>
  <c r="I1184" i="2" s="1"/>
  <c r="J1184" i="2" a="1"/>
  <c r="J1184" i="2" s="1"/>
  <c r="I1185" i="2" a="1"/>
  <c r="I1185" i="2"/>
  <c r="J1185" i="2" a="1"/>
  <c r="J1185" i="2" s="1"/>
  <c r="I1186" i="2" a="1"/>
  <c r="I1186" i="2" s="1"/>
  <c r="J1186" i="2" a="1"/>
  <c r="J1186" i="2" s="1"/>
  <c r="I1187" i="2" a="1"/>
  <c r="I1187" i="2" s="1"/>
  <c r="J1187" i="2" a="1"/>
  <c r="J1187" i="2" s="1"/>
  <c r="I1188" i="2" a="1"/>
  <c r="I1188" i="2"/>
  <c r="J1188" i="2" a="1"/>
  <c r="J1188" i="2" s="1"/>
  <c r="I1189" i="2" a="1"/>
  <c r="I1189" i="2"/>
  <c r="J1189" i="2" a="1"/>
  <c r="J1189" i="2" s="1"/>
  <c r="I1190" i="2" a="1"/>
  <c r="I1190" i="2" s="1"/>
  <c r="J1190" i="2" a="1"/>
  <c r="J1190" i="2"/>
  <c r="I1191" i="2" a="1"/>
  <c r="I1191" i="2" s="1"/>
  <c r="J1191" i="2" a="1"/>
  <c r="J1191" i="2" s="1"/>
  <c r="I1192" i="2" a="1"/>
  <c r="I1192" i="2" s="1"/>
  <c r="J1192" i="2" a="1"/>
  <c r="J1192" i="2"/>
  <c r="I1193" i="2" a="1"/>
  <c r="I1193" i="2" s="1"/>
  <c r="J1193" i="2" a="1"/>
  <c r="J1193" i="2" s="1"/>
  <c r="I1194" i="2" a="1"/>
  <c r="I1194" i="2" s="1"/>
  <c r="J1194" i="2" a="1"/>
  <c r="J1194" i="2"/>
  <c r="I1195" i="2" a="1"/>
  <c r="I1195" i="2" s="1"/>
  <c r="J1195" i="2" a="1"/>
  <c r="J1195" i="2" s="1"/>
  <c r="I1196" i="2" a="1"/>
  <c r="I1196" i="2" s="1"/>
  <c r="J1196" i="2" a="1"/>
  <c r="J1196" i="2"/>
  <c r="I1197" i="2" a="1"/>
  <c r="I1197" i="2" s="1"/>
  <c r="J1197" i="2" a="1"/>
  <c r="J1197" i="2" s="1"/>
  <c r="I1198" i="2" a="1"/>
  <c r="I1198" i="2" s="1"/>
  <c r="J1198" i="2" a="1"/>
  <c r="J1198" i="2"/>
  <c r="I1199" i="2" a="1"/>
  <c r="I1199" i="2" s="1"/>
  <c r="J1199" i="2" a="1"/>
  <c r="J1199" i="2" s="1"/>
  <c r="I1200" i="2" a="1"/>
  <c r="I1200" i="2" s="1"/>
  <c r="J1200" i="2" a="1"/>
  <c r="J1200" i="2"/>
  <c r="I1201" i="2" a="1"/>
  <c r="I1201" i="2" s="1"/>
  <c r="J1201" i="2" a="1"/>
  <c r="J1201" i="2" s="1"/>
  <c r="I1202" i="2" a="1"/>
  <c r="I1202" i="2" s="1"/>
  <c r="J1202" i="2" a="1"/>
  <c r="J1202" i="2"/>
  <c r="I1203" i="2" a="1"/>
  <c r="I1203" i="2" s="1"/>
  <c r="J1203" i="2" a="1"/>
  <c r="J1203" i="2" s="1"/>
  <c r="I1204" i="2" a="1"/>
  <c r="I1204" i="2" s="1"/>
  <c r="J1204" i="2" a="1"/>
  <c r="J1204" i="2"/>
  <c r="I1205" i="2" a="1"/>
  <c r="I1205" i="2" s="1"/>
  <c r="J1205" i="2" a="1"/>
  <c r="J1205" i="2" s="1"/>
  <c r="I1206" i="2" a="1"/>
  <c r="I1206" i="2" s="1"/>
  <c r="J1206" i="2" a="1"/>
  <c r="J1206" i="2"/>
  <c r="I1207" i="2" a="1"/>
  <c r="I1207" i="2" s="1"/>
  <c r="J1207" i="2" a="1"/>
  <c r="J1207" i="2" s="1"/>
  <c r="I1208" i="2" a="1"/>
  <c r="I1208" i="2" s="1"/>
  <c r="J1208" i="2" a="1"/>
  <c r="J1208" i="2" s="1"/>
  <c r="I1209" i="2" a="1"/>
  <c r="I1209" i="2" s="1"/>
  <c r="J1209" i="2" a="1"/>
  <c r="J1209" i="2" s="1"/>
  <c r="I1210" i="2" a="1"/>
  <c r="I1210" i="2" s="1"/>
  <c r="J1210" i="2" a="1"/>
  <c r="J1210" i="2"/>
  <c r="I1211" i="2" a="1"/>
  <c r="I1211" i="2" s="1"/>
  <c r="J1211" i="2" a="1"/>
  <c r="J1211" i="2" s="1"/>
  <c r="I1212" i="2" a="1"/>
  <c r="I1212" i="2" s="1"/>
  <c r="J1212" i="2" a="1"/>
  <c r="J1212" i="2" s="1"/>
  <c r="I1213" i="2" a="1"/>
  <c r="I1213" i="2" s="1"/>
  <c r="J1213" i="2" a="1"/>
  <c r="J1213" i="2" s="1"/>
  <c r="I1214" i="2" a="1"/>
  <c r="I1214" i="2" s="1"/>
  <c r="J1214" i="2" a="1"/>
  <c r="J1214" i="2"/>
  <c r="I1215" i="2" a="1"/>
  <c r="I1215" i="2" s="1"/>
  <c r="J1215" i="2" a="1"/>
  <c r="J1215" i="2" s="1"/>
  <c r="I1216" i="2" a="1"/>
  <c r="I1216" i="2" s="1"/>
  <c r="J1216" i="2" a="1"/>
  <c r="J1216" i="2"/>
  <c r="I1217" i="2" a="1"/>
  <c r="I1217" i="2" s="1"/>
  <c r="J1217" i="2" a="1"/>
  <c r="J1217" i="2" s="1"/>
  <c r="I1218" i="2" a="1"/>
  <c r="I1218" i="2" s="1"/>
  <c r="J1218" i="2" a="1"/>
  <c r="J1218" i="2"/>
  <c r="I1219" i="2" a="1"/>
  <c r="I1219" i="2" s="1"/>
  <c r="J1219" i="2" a="1"/>
  <c r="J1219" i="2" s="1"/>
  <c r="I1220" i="2" a="1"/>
  <c r="I1220" i="2" s="1"/>
  <c r="J1220" i="2" a="1"/>
  <c r="J1220" i="2" s="1"/>
  <c r="I1221" i="2" a="1"/>
  <c r="I1221" i="2" s="1"/>
  <c r="J1221" i="2" a="1"/>
  <c r="J1221" i="2" s="1"/>
  <c r="I1222" i="2" a="1"/>
  <c r="I1222" i="2" s="1"/>
  <c r="J1222" i="2" a="1"/>
  <c r="J1222" i="2"/>
  <c r="I1223" i="2" a="1"/>
  <c r="I1223" i="2" s="1"/>
  <c r="J1223" i="2" a="1"/>
  <c r="J1223" i="2" s="1"/>
  <c r="I1224" i="2" a="1"/>
  <c r="I1224" i="2" s="1"/>
  <c r="J1224" i="2" a="1"/>
  <c r="J1224" i="2" s="1"/>
  <c r="I1225" i="2" a="1"/>
  <c r="I1225" i="2" s="1"/>
  <c r="J1225" i="2" a="1"/>
  <c r="J1225" i="2" s="1"/>
  <c r="I1226" i="2" a="1"/>
  <c r="I1226" i="2" s="1"/>
  <c r="J1226" i="2" a="1"/>
  <c r="J1226" i="2"/>
  <c r="I1227" i="2" a="1"/>
  <c r="I1227" i="2" s="1"/>
  <c r="J1227" i="2" a="1"/>
  <c r="J1227" i="2" s="1"/>
  <c r="I1228" i="2" a="1"/>
  <c r="I1228" i="2" s="1"/>
  <c r="J1228" i="2" a="1"/>
  <c r="J1228" i="2" s="1"/>
  <c r="I1229" i="2" a="1"/>
  <c r="I1229" i="2" s="1"/>
  <c r="J1229" i="2" a="1"/>
  <c r="J1229" i="2" s="1"/>
  <c r="I1230" i="2" a="1"/>
  <c r="I1230" i="2" s="1"/>
  <c r="J1230" i="2" a="1"/>
  <c r="J1230" i="2"/>
  <c r="I1231" i="2" a="1"/>
  <c r="I1231" i="2" s="1"/>
  <c r="J1231" i="2" a="1"/>
  <c r="J1231" i="2" s="1"/>
  <c r="I1232" i="2" a="1"/>
  <c r="I1232" i="2" s="1"/>
  <c r="J1232" i="2" a="1"/>
  <c r="J1232" i="2"/>
  <c r="I1233" i="2" a="1"/>
  <c r="I1233" i="2" s="1"/>
  <c r="J1233" i="2" a="1"/>
  <c r="J1233" i="2" s="1"/>
  <c r="I1234" i="2" a="1"/>
  <c r="I1234" i="2" s="1"/>
  <c r="J1234" i="2" a="1"/>
  <c r="J1234" i="2"/>
  <c r="I1235" i="2" a="1"/>
  <c r="I1235" i="2" s="1"/>
  <c r="J1235" i="2" a="1"/>
  <c r="J1235" i="2"/>
  <c r="I1236" i="2" a="1"/>
  <c r="I1236" i="2" s="1"/>
  <c r="J1236" i="2" a="1"/>
  <c r="J1236" i="2"/>
  <c r="I1237" i="2" a="1"/>
  <c r="I1237" i="2" s="1"/>
  <c r="J1237" i="2" a="1"/>
  <c r="J1237" i="2" s="1"/>
  <c r="I1238" i="2" a="1"/>
  <c r="I1238" i="2" s="1"/>
  <c r="J1238" i="2" a="1"/>
  <c r="J1238" i="2"/>
  <c r="I1239" i="2" a="1"/>
  <c r="I1239" i="2" s="1"/>
  <c r="J1239" i="2" a="1"/>
  <c r="J1239" i="2" s="1"/>
  <c r="I1240" i="2" a="1"/>
  <c r="I1240" i="2" s="1"/>
  <c r="J1240" i="2" a="1"/>
  <c r="J1240" i="2"/>
  <c r="I1241" i="2" a="1"/>
  <c r="I1241" i="2" s="1"/>
  <c r="J1241" i="2" a="1"/>
  <c r="J1241" i="2" s="1"/>
  <c r="I1242" i="2" a="1"/>
  <c r="I1242" i="2" s="1"/>
  <c r="J1242" i="2" a="1"/>
  <c r="J1242" i="2"/>
  <c r="I1243" i="2" a="1"/>
  <c r="I1243" i="2" s="1"/>
  <c r="J1243" i="2" a="1"/>
  <c r="J1243" i="2"/>
  <c r="I1244" i="2" a="1"/>
  <c r="I1244" i="2" s="1"/>
  <c r="J1244" i="2" a="1"/>
  <c r="J1244" i="2"/>
  <c r="I1245" i="2" a="1"/>
  <c r="I1245" i="2" s="1"/>
  <c r="J1245" i="2" a="1"/>
  <c r="J1245" i="2" s="1"/>
  <c r="I1246" i="2" a="1"/>
  <c r="I1246" i="2" s="1"/>
  <c r="J1246" i="2" a="1"/>
  <c r="J1246" i="2"/>
  <c r="I1247" i="2" a="1"/>
  <c r="I1247" i="2" s="1"/>
  <c r="J1247" i="2" a="1"/>
  <c r="J1247" i="2" s="1"/>
  <c r="I1248" i="2" a="1"/>
  <c r="I1248" i="2" s="1"/>
  <c r="J1248" i="2" a="1"/>
  <c r="J1248" i="2"/>
  <c r="I1249" i="2" a="1"/>
  <c r="I1249" i="2" s="1"/>
  <c r="J1249" i="2" a="1"/>
  <c r="J1249" i="2" s="1"/>
  <c r="I1250" i="2" a="1"/>
  <c r="I1250" i="2" s="1"/>
  <c r="J1250" i="2" a="1"/>
  <c r="J1250" i="2"/>
  <c r="I1251" i="2" a="1"/>
  <c r="I1251" i="2" s="1"/>
  <c r="J1251" i="2" a="1"/>
  <c r="J1251" i="2"/>
  <c r="I1252" i="2" a="1"/>
  <c r="I1252" i="2" s="1"/>
  <c r="J1252" i="2" a="1"/>
  <c r="J1252" i="2"/>
  <c r="I1253" i="2" a="1"/>
  <c r="I1253" i="2" s="1"/>
  <c r="J1253" i="2" a="1"/>
  <c r="J1253" i="2" s="1"/>
  <c r="I1254" i="2" a="1"/>
  <c r="I1254" i="2" s="1"/>
  <c r="J1254" i="2" a="1"/>
  <c r="J1254" i="2"/>
  <c r="I1255" i="2" a="1"/>
  <c r="I1255" i="2" s="1"/>
  <c r="J1255" i="2" a="1"/>
  <c r="J1255" i="2" s="1"/>
  <c r="I1256" i="2" a="1"/>
  <c r="I1256" i="2" s="1"/>
  <c r="J1256" i="2" a="1"/>
  <c r="J1256" i="2"/>
  <c r="I1257" i="2" a="1"/>
  <c r="I1257" i="2" s="1"/>
  <c r="J1257" i="2" a="1"/>
  <c r="J1257" i="2" s="1"/>
  <c r="I1258" i="2" a="1"/>
  <c r="I1258" i="2" s="1"/>
  <c r="J1258" i="2" a="1"/>
  <c r="J1258" i="2"/>
  <c r="I1259" i="2" a="1"/>
  <c r="I1259" i="2" s="1"/>
  <c r="J1259" i="2" a="1"/>
  <c r="J1259" i="2"/>
  <c r="I1260" i="2" a="1"/>
  <c r="I1260" i="2" s="1"/>
  <c r="J1260" i="2" a="1"/>
  <c r="J1260" i="2"/>
  <c r="I1261" i="2" a="1"/>
  <c r="I1261" i="2" s="1"/>
  <c r="J1261" i="2" a="1"/>
  <c r="J1261" i="2" s="1"/>
  <c r="I1262" i="2" a="1"/>
  <c r="I1262" i="2" s="1"/>
  <c r="J1262" i="2" a="1"/>
  <c r="J1262" i="2"/>
  <c r="I1263" i="2" a="1"/>
  <c r="I1263" i="2" s="1"/>
  <c r="J1263" i="2" a="1"/>
  <c r="J1263" i="2" s="1"/>
  <c r="I1264" i="2" a="1"/>
  <c r="I1264" i="2" s="1"/>
  <c r="J1264" i="2" a="1"/>
  <c r="J1264" i="2"/>
  <c r="I1265" i="2" a="1"/>
  <c r="I1265" i="2" s="1"/>
  <c r="J1265" i="2" a="1"/>
  <c r="J1265" i="2" s="1"/>
  <c r="I1266" i="2" a="1"/>
  <c r="I1266" i="2" s="1"/>
  <c r="J1266" i="2" a="1"/>
  <c r="J1266" i="2"/>
  <c r="I1267" i="2" a="1"/>
  <c r="I1267" i="2" s="1"/>
  <c r="J1267" i="2" a="1"/>
  <c r="J1267" i="2"/>
  <c r="I1268" i="2" a="1"/>
  <c r="I1268" i="2" s="1"/>
  <c r="J1268" i="2" a="1"/>
  <c r="J1268" i="2"/>
  <c r="I1269" i="2" a="1"/>
  <c r="I1269" i="2" s="1"/>
  <c r="J1269" i="2" a="1"/>
  <c r="J1269" i="2" s="1"/>
  <c r="I1270" i="2" a="1"/>
  <c r="I1270" i="2" s="1"/>
  <c r="J1270" i="2" a="1"/>
  <c r="J1270" i="2"/>
  <c r="I1271" i="2" a="1"/>
  <c r="I1271" i="2" s="1"/>
  <c r="J1271" i="2" a="1"/>
  <c r="J1271" i="2" s="1"/>
  <c r="I1272" i="2" a="1"/>
  <c r="I1272" i="2" s="1"/>
  <c r="J1272" i="2" a="1"/>
  <c r="J1272" i="2"/>
  <c r="I1273" i="2" a="1"/>
  <c r="I1273" i="2" s="1"/>
  <c r="J1273" i="2" a="1"/>
  <c r="J1273" i="2" s="1"/>
  <c r="I1274" i="2" a="1"/>
  <c r="I1274" i="2" s="1"/>
  <c r="J1274" i="2" a="1"/>
  <c r="J1274" i="2"/>
  <c r="I1275" i="2" a="1"/>
  <c r="I1275" i="2" s="1"/>
  <c r="J1275" i="2" a="1"/>
  <c r="J1275" i="2"/>
  <c r="I1276" i="2" a="1"/>
  <c r="I1276" i="2" s="1"/>
  <c r="J1276" i="2" a="1"/>
  <c r="J1276" i="2"/>
  <c r="I1277" i="2" a="1"/>
  <c r="I1277" i="2" s="1"/>
  <c r="J1277" i="2" a="1"/>
  <c r="J1277" i="2" s="1"/>
  <c r="I1278" i="2" a="1"/>
  <c r="I1278" i="2" s="1"/>
  <c r="J1278" i="2" a="1"/>
  <c r="J1278" i="2"/>
  <c r="I1279" i="2" a="1"/>
  <c r="I1279" i="2" s="1"/>
  <c r="J1279" i="2" a="1"/>
  <c r="J1279" i="2" s="1"/>
  <c r="I1280" i="2" a="1"/>
  <c r="I1280" i="2" s="1"/>
  <c r="J1280" i="2" a="1"/>
  <c r="J1280" i="2"/>
  <c r="I1281" i="2" a="1"/>
  <c r="I1281" i="2" s="1"/>
  <c r="J1281" i="2" a="1"/>
  <c r="J1281" i="2" s="1"/>
  <c r="I1282" i="2" a="1"/>
  <c r="I1282" i="2" s="1"/>
  <c r="J1282" i="2" a="1"/>
  <c r="J1282" i="2"/>
  <c r="I1283" i="2" a="1"/>
  <c r="I1283" i="2" s="1"/>
  <c r="J1283" i="2" a="1"/>
  <c r="J1283" i="2"/>
  <c r="I1284" i="2" a="1"/>
  <c r="I1284" i="2" s="1"/>
  <c r="J1284" i="2" a="1"/>
  <c r="J1284" i="2"/>
  <c r="I1285" i="2" a="1"/>
  <c r="I1285" i="2" s="1"/>
  <c r="J1285" i="2" a="1"/>
  <c r="J1285" i="2" s="1"/>
  <c r="I1286" i="2" a="1"/>
  <c r="I1286" i="2" s="1"/>
  <c r="J1286" i="2" a="1"/>
  <c r="J1286" i="2"/>
  <c r="I1287" i="2" a="1"/>
  <c r="I1287" i="2" s="1"/>
  <c r="J1287" i="2" a="1"/>
  <c r="J1287" i="2" s="1"/>
  <c r="I1288" i="2" a="1"/>
  <c r="I1288" i="2" s="1"/>
  <c r="J1288" i="2" a="1"/>
  <c r="J1288" i="2"/>
  <c r="I1289" i="2" a="1"/>
  <c r="I1289" i="2" s="1"/>
  <c r="J1289" i="2" a="1"/>
  <c r="J1289" i="2" s="1"/>
  <c r="I1290" i="2" a="1"/>
  <c r="I1290" i="2" s="1"/>
  <c r="J1290" i="2" a="1"/>
  <c r="J1290" i="2"/>
  <c r="I1291" i="2" a="1"/>
  <c r="I1291" i="2" s="1"/>
  <c r="J1291" i="2" a="1"/>
  <c r="J1291" i="2"/>
  <c r="I1292" i="2" a="1"/>
  <c r="I1292" i="2" s="1"/>
  <c r="J1292" i="2" a="1"/>
  <c r="J1292" i="2"/>
  <c r="I1293" i="2" a="1"/>
  <c r="I1293" i="2" s="1"/>
  <c r="J1293" i="2" a="1"/>
  <c r="J1293" i="2" s="1"/>
  <c r="I1294" i="2" a="1"/>
  <c r="I1294" i="2" s="1"/>
  <c r="J1294" i="2" a="1"/>
  <c r="J1294" i="2"/>
  <c r="I1295" i="2" a="1"/>
  <c r="I1295" i="2" s="1"/>
  <c r="J1295" i="2" a="1"/>
  <c r="J1295" i="2" s="1"/>
  <c r="I1296" i="2" a="1"/>
  <c r="I1296" i="2" s="1"/>
  <c r="J1296" i="2" a="1"/>
  <c r="J1296" i="2"/>
  <c r="I1297" i="2" a="1"/>
  <c r="I1297" i="2" s="1"/>
  <c r="J1297" i="2" a="1"/>
  <c r="J1297" i="2" s="1"/>
  <c r="I1298" i="2" a="1"/>
  <c r="I1298" i="2" s="1"/>
  <c r="J1298" i="2" a="1"/>
  <c r="J1298" i="2"/>
  <c r="I1299" i="2" a="1"/>
  <c r="I1299" i="2" s="1"/>
  <c r="J1299" i="2" a="1"/>
  <c r="J1299" i="2"/>
  <c r="I1300" i="2" a="1"/>
  <c r="I1300" i="2" s="1"/>
  <c r="J1300" i="2" a="1"/>
  <c r="J1300" i="2"/>
  <c r="I1301" i="2" a="1"/>
  <c r="I1301" i="2" s="1"/>
  <c r="J1301" i="2" a="1"/>
  <c r="J1301" i="2" s="1"/>
  <c r="I1302" i="2" a="1"/>
  <c r="I1302" i="2" s="1"/>
  <c r="J1302" i="2" a="1"/>
  <c r="J1302" i="2"/>
  <c r="I1303" i="2" a="1"/>
  <c r="I1303" i="2" s="1"/>
  <c r="J1303" i="2" a="1"/>
  <c r="J1303" i="2" s="1"/>
  <c r="I1304" i="2" a="1"/>
  <c r="I1304" i="2" s="1"/>
  <c r="J1304" i="2" a="1"/>
  <c r="J1304" i="2"/>
  <c r="I1305" i="2" a="1"/>
  <c r="I1305" i="2" s="1"/>
  <c r="J1305" i="2" a="1"/>
  <c r="J1305" i="2" s="1"/>
  <c r="I1306" i="2" a="1"/>
  <c r="I1306" i="2" s="1"/>
  <c r="J1306" i="2" a="1"/>
  <c r="J1306" i="2"/>
  <c r="I1307" i="2" a="1"/>
  <c r="I1307" i="2" s="1"/>
  <c r="J1307" i="2" a="1"/>
  <c r="J1307" i="2"/>
  <c r="I1308" i="2" a="1"/>
  <c r="I1308" i="2" s="1"/>
  <c r="J1308" i="2" a="1"/>
  <c r="J1308" i="2"/>
  <c r="I1309" i="2" a="1"/>
  <c r="I1309" i="2" s="1"/>
  <c r="J1309" i="2" a="1"/>
  <c r="J1309" i="2" s="1"/>
  <c r="I1310" i="2" a="1"/>
  <c r="I1310" i="2" s="1"/>
  <c r="J1310" i="2" a="1"/>
  <c r="J1310" i="2"/>
  <c r="I1311" i="2" a="1"/>
  <c r="I1311" i="2" s="1"/>
  <c r="J1311" i="2" a="1"/>
  <c r="J1311" i="2" s="1"/>
  <c r="I1312" i="2" a="1"/>
  <c r="I1312" i="2" s="1"/>
  <c r="J1312" i="2" a="1"/>
  <c r="J1312" i="2"/>
  <c r="I1313" i="2" a="1"/>
  <c r="I1313" i="2" s="1"/>
  <c r="J1313" i="2" a="1"/>
  <c r="J1313" i="2" s="1"/>
  <c r="I1314" i="2" a="1"/>
  <c r="I1314" i="2" s="1"/>
  <c r="J1314" i="2" a="1"/>
  <c r="J1314" i="2"/>
  <c r="I1315" i="2" a="1"/>
  <c r="I1315" i="2" s="1"/>
  <c r="J1315" i="2" a="1"/>
  <c r="J1315" i="2"/>
  <c r="I1316" i="2" a="1"/>
  <c r="I1316" i="2" s="1"/>
  <c r="J1316" i="2" a="1"/>
  <c r="J1316" i="2"/>
  <c r="I1317" i="2" a="1"/>
  <c r="I1317" i="2" s="1"/>
  <c r="J1317" i="2" a="1"/>
  <c r="J1317" i="2" s="1"/>
  <c r="I1318" i="2" a="1"/>
  <c r="I1318" i="2" s="1"/>
  <c r="J1318" i="2" a="1"/>
  <c r="J1318" i="2"/>
  <c r="I1319" i="2" a="1"/>
  <c r="I1319" i="2" s="1"/>
  <c r="J1319" i="2" a="1"/>
  <c r="J1319" i="2" s="1"/>
  <c r="I1320" i="2" a="1"/>
  <c r="I1320" i="2" s="1"/>
  <c r="J1320" i="2" a="1"/>
  <c r="J1320" i="2"/>
  <c r="I1321" i="2" a="1"/>
  <c r="I1321" i="2" s="1"/>
  <c r="J1321" i="2" a="1"/>
  <c r="J1321" i="2" s="1"/>
  <c r="I1322" i="2" a="1"/>
  <c r="I1322" i="2" s="1"/>
  <c r="J1322" i="2" a="1"/>
  <c r="J1322" i="2"/>
  <c r="I1323" i="2" a="1"/>
  <c r="I1323" i="2" s="1"/>
  <c r="J1323" i="2" a="1"/>
  <c r="J1323" i="2"/>
  <c r="I1324" i="2" a="1"/>
  <c r="I1324" i="2" s="1"/>
  <c r="J1324" i="2" a="1"/>
  <c r="J1324" i="2"/>
  <c r="I1325" i="2" a="1"/>
  <c r="I1325" i="2" s="1"/>
  <c r="J1325" i="2" a="1"/>
  <c r="J1325" i="2" s="1"/>
  <c r="I1326" i="2" a="1"/>
  <c r="I1326" i="2" s="1"/>
  <c r="J1326" i="2" a="1"/>
  <c r="J1326" i="2"/>
  <c r="I1327" i="2" a="1"/>
  <c r="I1327" i="2" s="1"/>
  <c r="J1327" i="2" a="1"/>
  <c r="J1327" i="2" s="1"/>
  <c r="I1328" i="2" a="1"/>
  <c r="I1328" i="2" s="1"/>
  <c r="J1328" i="2" a="1"/>
  <c r="J1328" i="2"/>
  <c r="I1329" i="2" a="1"/>
  <c r="I1329" i="2" s="1"/>
  <c r="J1329" i="2" a="1"/>
  <c r="J1329" i="2" s="1"/>
  <c r="I1330" i="2" a="1"/>
  <c r="I1330" i="2" s="1"/>
  <c r="J1330" i="2" a="1"/>
  <c r="J1330" i="2"/>
  <c r="I1331" i="2" a="1"/>
  <c r="I1331" i="2" s="1"/>
  <c r="J1331" i="2" a="1"/>
  <c r="J1331" i="2"/>
  <c r="I1332" i="2" a="1"/>
  <c r="I1332" i="2" s="1"/>
  <c r="J1332" i="2" a="1"/>
  <c r="J1332" i="2"/>
  <c r="I1333" i="2" a="1"/>
  <c r="I1333" i="2" s="1"/>
  <c r="J1333" i="2" a="1"/>
  <c r="J1333" i="2" s="1"/>
  <c r="I1334" i="2" a="1"/>
  <c r="I1334" i="2" s="1"/>
  <c r="J1334" i="2" a="1"/>
  <c r="J1334" i="2"/>
  <c r="I1335" i="2" a="1"/>
  <c r="I1335" i="2" s="1"/>
  <c r="J1335" i="2" a="1"/>
  <c r="J1335" i="2" s="1"/>
  <c r="I1336" i="2" a="1"/>
  <c r="I1336" i="2" s="1"/>
  <c r="J1336" i="2" a="1"/>
  <c r="J1336" i="2"/>
  <c r="I1337" i="2" a="1"/>
  <c r="I1337" i="2" s="1"/>
  <c r="J1337" i="2" a="1"/>
  <c r="J1337" i="2" s="1"/>
  <c r="I1338" i="2" a="1"/>
  <c r="I1338" i="2" s="1"/>
  <c r="J1338" i="2" a="1"/>
  <c r="J1338" i="2"/>
  <c r="I1339" i="2" a="1"/>
  <c r="I1339" i="2" s="1"/>
  <c r="J1339" i="2" a="1"/>
  <c r="J1339" i="2"/>
  <c r="I1340" i="2" a="1"/>
  <c r="I1340" i="2" s="1"/>
  <c r="J1340" i="2" a="1"/>
  <c r="J1340" i="2"/>
  <c r="I1341" i="2" a="1"/>
  <c r="I1341" i="2" s="1"/>
  <c r="J1341" i="2" a="1"/>
  <c r="J1341" i="2" s="1"/>
  <c r="I1342" i="2" a="1"/>
  <c r="I1342" i="2" s="1"/>
  <c r="J1342" i="2" a="1"/>
  <c r="J1342" i="2"/>
  <c r="I1343" i="2" a="1"/>
  <c r="I1343" i="2" s="1"/>
  <c r="J1343" i="2" a="1"/>
  <c r="J1343" i="2" s="1"/>
  <c r="I1344" i="2" a="1"/>
  <c r="I1344" i="2" s="1"/>
  <c r="J1344" i="2" a="1"/>
  <c r="J1344" i="2"/>
  <c r="I1345" i="2" a="1"/>
  <c r="I1345" i="2" s="1"/>
  <c r="J1345" i="2" a="1"/>
  <c r="J1345" i="2" s="1"/>
  <c r="I1346" i="2" a="1"/>
  <c r="I1346" i="2" s="1"/>
  <c r="J1346" i="2" a="1"/>
  <c r="J1346" i="2"/>
  <c r="I1347" i="2" a="1"/>
  <c r="I1347" i="2" s="1"/>
  <c r="J1347" i="2" a="1"/>
  <c r="J1347" i="2"/>
  <c r="I1348" i="2" a="1"/>
  <c r="I1348" i="2" s="1"/>
  <c r="J1348" i="2" a="1"/>
  <c r="J1348" i="2"/>
  <c r="I1349" i="2" a="1"/>
  <c r="I1349" i="2" s="1"/>
  <c r="J1349" i="2" a="1"/>
  <c r="J1349" i="2" s="1"/>
  <c r="I1350" i="2" a="1"/>
  <c r="I1350" i="2" s="1"/>
  <c r="J1350" i="2" a="1"/>
  <c r="J1350" i="2"/>
  <c r="I1351" i="2" a="1"/>
  <c r="I1351" i="2" s="1"/>
  <c r="J1351" i="2" a="1"/>
  <c r="J1351" i="2" s="1"/>
  <c r="I1352" i="2" a="1"/>
  <c r="I1352" i="2" s="1"/>
  <c r="J1352" i="2" a="1"/>
  <c r="J1352" i="2"/>
  <c r="I1353" i="2" a="1"/>
  <c r="I1353" i="2" s="1"/>
  <c r="J1353" i="2" a="1"/>
  <c r="J1353" i="2" s="1"/>
  <c r="I1354" i="2" a="1"/>
  <c r="I1354" i="2" s="1"/>
  <c r="J1354" i="2" a="1"/>
  <c r="J1354" i="2"/>
  <c r="I1355" i="2" a="1"/>
  <c r="I1355" i="2" s="1"/>
  <c r="J1355" i="2" a="1"/>
  <c r="J1355" i="2"/>
  <c r="I1356" i="2" a="1"/>
  <c r="I1356" i="2" s="1"/>
  <c r="J1356" i="2" a="1"/>
  <c r="J1356" i="2"/>
  <c r="I1357" i="2" a="1"/>
  <c r="I1357" i="2" s="1"/>
  <c r="J1357" i="2" a="1"/>
  <c r="J1357" i="2" s="1"/>
  <c r="I1358" i="2" a="1"/>
  <c r="I1358" i="2" s="1"/>
  <c r="J1358" i="2" a="1"/>
  <c r="J1358" i="2"/>
  <c r="I1359" i="2" a="1"/>
  <c r="I1359" i="2" s="1"/>
  <c r="J1359" i="2" a="1"/>
  <c r="J1359" i="2" s="1"/>
  <c r="I1360" i="2" a="1"/>
  <c r="I1360" i="2" s="1"/>
  <c r="J1360" i="2" a="1"/>
  <c r="J1360" i="2"/>
  <c r="I1361" i="2" a="1"/>
  <c r="I1361" i="2" s="1"/>
  <c r="J1361" i="2" a="1"/>
  <c r="J1361" i="2" s="1"/>
  <c r="I1362" i="2" a="1"/>
  <c r="I1362" i="2" s="1"/>
  <c r="J1362" i="2" a="1"/>
  <c r="J1362" i="2"/>
  <c r="I1363" i="2" a="1"/>
  <c r="I1363" i="2" s="1"/>
  <c r="J1363" i="2" a="1"/>
  <c r="J1363" i="2"/>
  <c r="I1364" i="2" a="1"/>
  <c r="I1364" i="2" s="1"/>
  <c r="J1364" i="2" a="1"/>
  <c r="J1364" i="2"/>
  <c r="I1365" i="2" a="1"/>
  <c r="I1365" i="2" s="1"/>
  <c r="J1365" i="2" a="1"/>
  <c r="J1365" i="2" s="1"/>
  <c r="I1366" i="2" a="1"/>
  <c r="I1366" i="2" s="1"/>
  <c r="J1366" i="2" a="1"/>
  <c r="J1366" i="2"/>
  <c r="I1367" i="2" a="1"/>
  <c r="I1367" i="2" s="1"/>
  <c r="J1367" i="2" a="1"/>
  <c r="J1367" i="2" s="1"/>
  <c r="I1368" i="2" a="1"/>
  <c r="I1368" i="2" s="1"/>
  <c r="J1368" i="2" a="1"/>
  <c r="J1368" i="2"/>
  <c r="I1369" i="2" a="1"/>
  <c r="I1369" i="2" s="1"/>
  <c r="J1369" i="2" a="1"/>
  <c r="J1369" i="2" s="1"/>
  <c r="I1370" i="2" a="1"/>
  <c r="I1370" i="2" s="1"/>
  <c r="J1370" i="2" a="1"/>
  <c r="J1370" i="2"/>
  <c r="I1371" i="2" a="1"/>
  <c r="I1371" i="2" s="1"/>
  <c r="J1371" i="2" a="1"/>
  <c r="J1371" i="2"/>
  <c r="I1372" i="2" a="1"/>
  <c r="I1372" i="2" s="1"/>
  <c r="J1372" i="2" a="1"/>
  <c r="J1372" i="2"/>
  <c r="I1373" i="2" a="1"/>
  <c r="I1373" i="2" s="1"/>
  <c r="J1373" i="2" a="1"/>
  <c r="J1373" i="2" s="1"/>
  <c r="I1374" i="2" a="1"/>
  <c r="I1374" i="2" s="1"/>
  <c r="J1374" i="2" a="1"/>
  <c r="J1374" i="2"/>
  <c r="I1375" i="2" a="1"/>
  <c r="I1375" i="2" s="1"/>
  <c r="J1375" i="2" a="1"/>
  <c r="J1375" i="2" s="1"/>
  <c r="I1376" i="2" a="1"/>
  <c r="I1376" i="2" s="1"/>
  <c r="J1376" i="2" a="1"/>
  <c r="J1376" i="2"/>
  <c r="I1377" i="2" a="1"/>
  <c r="I1377" i="2" s="1"/>
  <c r="J1377" i="2" a="1"/>
  <c r="J1377" i="2" s="1"/>
  <c r="I1378" i="2" a="1"/>
  <c r="I1378" i="2" s="1"/>
  <c r="J1378" i="2" a="1"/>
  <c r="J1378" i="2"/>
  <c r="I1379" i="2" a="1"/>
  <c r="I1379" i="2" s="1"/>
  <c r="J1379" i="2" a="1"/>
  <c r="J1379" i="2"/>
  <c r="I1380" i="2" a="1"/>
  <c r="I1380" i="2" s="1"/>
  <c r="J1380" i="2" a="1"/>
  <c r="J1380" i="2"/>
  <c r="I1381" i="2" a="1"/>
  <c r="I1381" i="2" s="1"/>
  <c r="J1381" i="2" a="1"/>
  <c r="J1381" i="2" s="1"/>
  <c r="I1382" i="2" a="1"/>
  <c r="I1382" i="2" s="1"/>
  <c r="J1382" i="2" a="1"/>
  <c r="J1382" i="2"/>
  <c r="I1383" i="2" a="1"/>
  <c r="I1383" i="2" s="1"/>
  <c r="J1383" i="2" a="1"/>
  <c r="J1383" i="2" s="1"/>
  <c r="I1384" i="2" a="1"/>
  <c r="I1384" i="2" s="1"/>
  <c r="J1384" i="2" a="1"/>
  <c r="J1384" i="2"/>
  <c r="I1385" i="2" a="1"/>
  <c r="I1385" i="2" s="1"/>
  <c r="J1385" i="2" a="1"/>
  <c r="J1385" i="2" s="1"/>
  <c r="I1386" i="2" a="1"/>
  <c r="I1386" i="2" s="1"/>
  <c r="J1386" i="2" a="1"/>
  <c r="J1386" i="2"/>
  <c r="I1387" i="2" a="1"/>
  <c r="I1387" i="2" s="1"/>
  <c r="J1387" i="2" a="1"/>
  <c r="J1387" i="2"/>
  <c r="I1388" i="2" a="1"/>
  <c r="I1388" i="2" s="1"/>
  <c r="J1388" i="2" a="1"/>
  <c r="J1388" i="2"/>
  <c r="I1389" i="2" a="1"/>
  <c r="I1389" i="2" s="1"/>
  <c r="J1389" i="2" a="1"/>
  <c r="J1389" i="2" s="1"/>
  <c r="I1390" i="2" a="1"/>
  <c r="I1390" i="2" s="1"/>
  <c r="J1390" i="2" a="1"/>
  <c r="J1390" i="2"/>
  <c r="I1391" i="2" a="1"/>
  <c r="I1391" i="2" s="1"/>
  <c r="J1391" i="2" a="1"/>
  <c r="J1391" i="2" s="1"/>
  <c r="I1392" i="2" a="1"/>
  <c r="I1392" i="2" s="1"/>
  <c r="J1392" i="2" a="1"/>
  <c r="J1392" i="2"/>
  <c r="I1393" i="2" a="1"/>
  <c r="I1393" i="2" s="1"/>
  <c r="J1393" i="2" a="1"/>
  <c r="J1393" i="2" s="1"/>
  <c r="I1394" i="2" a="1"/>
  <c r="I1394" i="2" s="1"/>
  <c r="J1394" i="2" a="1"/>
  <c r="J1394" i="2"/>
  <c r="I1395" i="2" a="1"/>
  <c r="I1395" i="2" s="1"/>
  <c r="J1395" i="2" a="1"/>
  <c r="J1395" i="2"/>
  <c r="I1396" i="2" a="1"/>
  <c r="I1396" i="2" s="1"/>
  <c r="J1396" i="2" a="1"/>
  <c r="J1396" i="2"/>
  <c r="I1397" i="2" a="1"/>
  <c r="I1397" i="2" s="1"/>
  <c r="J1397" i="2" a="1"/>
  <c r="J1397" i="2" s="1"/>
  <c r="I1398" i="2" a="1"/>
  <c r="I1398" i="2" s="1"/>
  <c r="J1398" i="2" a="1"/>
  <c r="J1398" i="2"/>
  <c r="I1399" i="2" a="1"/>
  <c r="I1399" i="2" s="1"/>
  <c r="J1399" i="2" a="1"/>
  <c r="J1399" i="2" s="1"/>
  <c r="I1400" i="2" a="1"/>
  <c r="I1400" i="2" s="1"/>
  <c r="J1400" i="2" a="1"/>
  <c r="J1400" i="2"/>
  <c r="I1401" i="2" a="1"/>
  <c r="I1401" i="2" s="1"/>
  <c r="J1401" i="2" a="1"/>
  <c r="J1401" i="2" s="1"/>
  <c r="I1402" i="2" a="1"/>
  <c r="I1402" i="2" s="1"/>
  <c r="J1402" i="2" a="1"/>
  <c r="J1402" i="2"/>
  <c r="I1403" i="2" a="1"/>
  <c r="I1403" i="2" s="1"/>
  <c r="J1403" i="2" a="1"/>
  <c r="J1403" i="2"/>
  <c r="I1404" i="2" a="1"/>
  <c r="I1404" i="2" s="1"/>
  <c r="J1404" i="2" a="1"/>
  <c r="J1404" i="2"/>
  <c r="I1405" i="2" a="1"/>
  <c r="I1405" i="2" s="1"/>
  <c r="J1405" i="2" a="1"/>
  <c r="J1405" i="2" s="1"/>
  <c r="I1406" i="2" a="1"/>
  <c r="I1406" i="2" s="1"/>
  <c r="J1406" i="2" a="1"/>
  <c r="J1406" i="2"/>
  <c r="I1407" i="2" a="1"/>
  <c r="I1407" i="2" s="1"/>
  <c r="J1407" i="2" a="1"/>
  <c r="J1407" i="2" s="1"/>
  <c r="I1408" i="2" a="1"/>
  <c r="I1408" i="2" s="1"/>
  <c r="J1408" i="2" a="1"/>
  <c r="J1408" i="2"/>
  <c r="I1409" i="2" a="1"/>
  <c r="I1409" i="2" s="1"/>
  <c r="J1409" i="2" a="1"/>
  <c r="J1409" i="2" s="1"/>
  <c r="I1410" i="2" a="1"/>
  <c r="I1410" i="2" s="1"/>
  <c r="J1410" i="2" a="1"/>
  <c r="J1410" i="2"/>
  <c r="I1411" i="2" a="1"/>
  <c r="I1411" i="2" s="1"/>
  <c r="J1411" i="2" a="1"/>
  <c r="J1411" i="2"/>
  <c r="I1412" i="2" a="1"/>
  <c r="I1412" i="2" s="1"/>
  <c r="J1412" i="2" a="1"/>
  <c r="J1412" i="2"/>
  <c r="I1413" i="2" a="1"/>
  <c r="I1413" i="2" s="1"/>
  <c r="J1413" i="2" a="1"/>
  <c r="J1413" i="2" s="1"/>
  <c r="I1414" i="2" a="1"/>
  <c r="I1414" i="2" s="1"/>
  <c r="J1414" i="2" a="1"/>
  <c r="J1414" i="2"/>
  <c r="I1415" i="2" a="1"/>
  <c r="I1415" i="2" s="1"/>
  <c r="J1415" i="2" a="1"/>
  <c r="J1415" i="2" s="1"/>
  <c r="I1416" i="2" a="1"/>
  <c r="I1416" i="2" s="1"/>
  <c r="J1416" i="2" a="1"/>
  <c r="J1416" i="2"/>
  <c r="I1417" i="2" a="1"/>
  <c r="I1417" i="2" s="1"/>
  <c r="J1417" i="2" a="1"/>
  <c r="J1417" i="2" s="1"/>
  <c r="I1418" i="2" a="1"/>
  <c r="I1418" i="2" s="1"/>
  <c r="J1418" i="2" a="1"/>
  <c r="J1418" i="2"/>
  <c r="I1419" i="2" a="1"/>
  <c r="I1419" i="2" s="1"/>
  <c r="J1419" i="2" a="1"/>
  <c r="J1419" i="2"/>
  <c r="I1420" i="2" a="1"/>
  <c r="I1420" i="2" s="1"/>
  <c r="J1420" i="2" a="1"/>
  <c r="J1420" i="2"/>
  <c r="I1421" i="2" a="1"/>
  <c r="I1421" i="2" s="1"/>
  <c r="J1421" i="2" a="1"/>
  <c r="J1421" i="2" s="1"/>
  <c r="I1422" i="2" a="1"/>
  <c r="I1422" i="2" s="1"/>
  <c r="J1422" i="2" a="1"/>
  <c r="J1422" i="2"/>
  <c r="I1423" i="2" a="1"/>
  <c r="I1423" i="2" s="1"/>
  <c r="J1423" i="2" a="1"/>
  <c r="J1423" i="2" s="1"/>
  <c r="I1424" i="2" a="1"/>
  <c r="I1424" i="2" s="1"/>
  <c r="J1424" i="2" a="1"/>
  <c r="J1424" i="2"/>
  <c r="I1425" i="2" a="1"/>
  <c r="I1425" i="2" s="1"/>
  <c r="J1425" i="2" a="1"/>
  <c r="J1425" i="2" s="1"/>
  <c r="I1426" i="2" a="1"/>
  <c r="I1426" i="2" s="1"/>
  <c r="J1426" i="2" a="1"/>
  <c r="J1426" i="2"/>
  <c r="I1427" i="2" a="1"/>
  <c r="I1427" i="2" s="1"/>
  <c r="J1427" i="2" a="1"/>
  <c r="J1427" i="2"/>
  <c r="I1428" i="2" a="1"/>
  <c r="I1428" i="2" s="1"/>
  <c r="J1428" i="2" a="1"/>
  <c r="J1428" i="2"/>
  <c r="I1429" i="2" a="1"/>
  <c r="I1429" i="2" s="1"/>
  <c r="J1429" i="2" a="1"/>
  <c r="J1429" i="2" s="1"/>
  <c r="I1430" i="2" a="1"/>
  <c r="I1430" i="2" s="1"/>
  <c r="J1430" i="2" a="1"/>
  <c r="J1430" i="2"/>
  <c r="I1431" i="2" a="1"/>
  <c r="I1431" i="2" s="1"/>
  <c r="J1431" i="2" a="1"/>
  <c r="J1431" i="2" s="1"/>
  <c r="I1432" i="2" a="1"/>
  <c r="I1432" i="2" s="1"/>
  <c r="J1432" i="2" a="1"/>
  <c r="J1432" i="2"/>
  <c r="I1433" i="2" a="1"/>
  <c r="I1433" i="2" s="1"/>
  <c r="J1433" i="2" a="1"/>
  <c r="J1433" i="2" s="1"/>
  <c r="I1434" i="2" a="1"/>
  <c r="I1434" i="2" s="1"/>
  <c r="J1434" i="2" a="1"/>
  <c r="J1434" i="2"/>
  <c r="I1435" i="2" a="1"/>
  <c r="I1435" i="2" s="1"/>
  <c r="J1435" i="2" a="1"/>
  <c r="J1435" i="2"/>
  <c r="I1436" i="2" a="1"/>
  <c r="I1436" i="2" s="1"/>
  <c r="J1436" i="2" a="1"/>
  <c r="J1436" i="2"/>
  <c r="I1437" i="2" a="1"/>
  <c r="I1437" i="2" s="1"/>
  <c r="J1437" i="2" a="1"/>
  <c r="J1437" i="2" s="1"/>
  <c r="I1438" i="2" a="1"/>
  <c r="I1438" i="2" s="1"/>
  <c r="J1438" i="2" a="1"/>
  <c r="J1438" i="2"/>
  <c r="I1439" i="2" a="1"/>
  <c r="I1439" i="2" s="1"/>
  <c r="J1439" i="2" a="1"/>
  <c r="J1439" i="2" s="1"/>
  <c r="I1440" i="2" a="1"/>
  <c r="I1440" i="2" s="1"/>
  <c r="J1440" i="2" a="1"/>
  <c r="J1440" i="2"/>
  <c r="I1441" i="2" a="1"/>
  <c r="I1441" i="2" s="1"/>
  <c r="J1441" i="2" a="1"/>
  <c r="J1441" i="2" s="1"/>
  <c r="I1442" i="2" a="1"/>
  <c r="I1442" i="2" s="1"/>
  <c r="J1442" i="2" a="1"/>
  <c r="J1442" i="2"/>
  <c r="I1443" i="2" a="1"/>
  <c r="I1443" i="2" s="1"/>
  <c r="J1443" i="2" a="1"/>
  <c r="J1443" i="2"/>
  <c r="I1444" i="2" a="1"/>
  <c r="I1444" i="2" s="1"/>
  <c r="J1444" i="2" a="1"/>
  <c r="J1444" i="2"/>
  <c r="I1445" i="2" a="1"/>
  <c r="I1445" i="2" s="1"/>
  <c r="J1445" i="2" a="1"/>
  <c r="J1445" i="2" s="1"/>
  <c r="I1446" i="2" a="1"/>
  <c r="I1446" i="2" s="1"/>
  <c r="J1446" i="2" a="1"/>
  <c r="J1446" i="2"/>
  <c r="I1447" i="2" a="1"/>
  <c r="I1447" i="2" s="1"/>
  <c r="J1447" i="2" a="1"/>
  <c r="J1447" i="2" s="1"/>
  <c r="I1448" i="2" a="1"/>
  <c r="I1448" i="2" s="1"/>
  <c r="J1448" i="2" a="1"/>
  <c r="J1448" i="2"/>
  <c r="I1449" i="2" a="1"/>
  <c r="I1449" i="2" s="1"/>
  <c r="J1449" i="2" a="1"/>
  <c r="J1449" i="2" s="1"/>
  <c r="I1450" i="2" a="1"/>
  <c r="I1450" i="2" s="1"/>
  <c r="J1450" i="2" a="1"/>
  <c r="J1450" i="2"/>
  <c r="I1451" i="2" a="1"/>
  <c r="I1451" i="2" s="1"/>
  <c r="J1451" i="2" a="1"/>
  <c r="J1451" i="2"/>
  <c r="I1452" i="2" a="1"/>
  <c r="I1452" i="2" s="1"/>
  <c r="J1452" i="2" a="1"/>
  <c r="J1452" i="2"/>
  <c r="I1453" i="2" a="1"/>
  <c r="I1453" i="2" s="1"/>
  <c r="J1453" i="2" a="1"/>
  <c r="J1453" i="2" s="1"/>
  <c r="I1454" i="2" a="1"/>
  <c r="I1454" i="2" s="1"/>
  <c r="J1454" i="2" a="1"/>
  <c r="J1454" i="2"/>
  <c r="I1455" i="2" a="1"/>
  <c r="I1455" i="2" s="1"/>
  <c r="J1455" i="2" a="1"/>
  <c r="J1455" i="2" s="1"/>
  <c r="I1456" i="2" a="1"/>
  <c r="I1456" i="2" s="1"/>
  <c r="J1456" i="2" a="1"/>
  <c r="J1456" i="2"/>
  <c r="I1457" i="2" a="1"/>
  <c r="I1457" i="2" s="1"/>
  <c r="J1457" i="2" a="1"/>
  <c r="J1457" i="2" s="1"/>
  <c r="I1458" i="2" a="1"/>
  <c r="I1458" i="2" s="1"/>
  <c r="J1458" i="2" a="1"/>
  <c r="J1458" i="2"/>
  <c r="I1459" i="2" a="1"/>
  <c r="I1459" i="2" s="1"/>
  <c r="J1459" i="2" a="1"/>
  <c r="J1459" i="2"/>
  <c r="I1460" i="2" a="1"/>
  <c r="I1460" i="2" s="1"/>
  <c r="J1460" i="2" a="1"/>
  <c r="J1460" i="2"/>
  <c r="I1461" i="2" a="1"/>
  <c r="I1461" i="2" s="1"/>
  <c r="J1461" i="2" a="1"/>
  <c r="J1461" i="2" s="1"/>
  <c r="I1462" i="2" a="1"/>
  <c r="I1462" i="2" s="1"/>
  <c r="J1462" i="2" a="1"/>
  <c r="J1462" i="2"/>
  <c r="I1463" i="2" a="1"/>
  <c r="I1463" i="2" s="1"/>
  <c r="J1463" i="2" a="1"/>
  <c r="J1463" i="2" s="1"/>
  <c r="I1464" i="2" a="1"/>
  <c r="I1464" i="2" s="1"/>
  <c r="J1464" i="2" a="1"/>
  <c r="J1464" i="2"/>
  <c r="I1465" i="2" a="1"/>
  <c r="I1465" i="2" s="1"/>
  <c r="J1465" i="2" a="1"/>
  <c r="J1465" i="2" s="1"/>
  <c r="I1466" i="2" a="1"/>
  <c r="I1466" i="2" s="1"/>
  <c r="J1466" i="2" a="1"/>
  <c r="J1466" i="2"/>
  <c r="I1467" i="2" a="1"/>
  <c r="I1467" i="2" s="1"/>
  <c r="J1467" i="2" a="1"/>
  <c r="J1467" i="2"/>
  <c r="I1468" i="2" a="1"/>
  <c r="I1468" i="2" s="1"/>
  <c r="J1468" i="2" a="1"/>
  <c r="J1468" i="2"/>
  <c r="I1469" i="2" a="1"/>
  <c r="I1469" i="2" s="1"/>
  <c r="J1469" i="2" a="1"/>
  <c r="J1469" i="2" s="1"/>
  <c r="I1470" i="2" a="1"/>
  <c r="I1470" i="2" s="1"/>
  <c r="J1470" i="2" a="1"/>
  <c r="J1470" i="2"/>
  <c r="I1471" i="2" a="1"/>
  <c r="I1471" i="2" s="1"/>
  <c r="J1471" i="2" a="1"/>
  <c r="J1471" i="2" s="1"/>
  <c r="I1472" i="2" a="1"/>
  <c r="I1472" i="2" s="1"/>
  <c r="J1472" i="2" a="1"/>
  <c r="J1472" i="2"/>
  <c r="I1473" i="2" a="1"/>
  <c r="I1473" i="2" s="1"/>
  <c r="J1473" i="2" a="1"/>
  <c r="J1473" i="2" s="1"/>
  <c r="I1474" i="2" a="1"/>
  <c r="I1474" i="2" s="1"/>
  <c r="J1474" i="2" a="1"/>
  <c r="J1474" i="2"/>
  <c r="I1475" i="2" a="1"/>
  <c r="I1475" i="2" s="1"/>
  <c r="J1475" i="2" a="1"/>
  <c r="J1475" i="2"/>
  <c r="I1476" i="2" a="1"/>
  <c r="I1476" i="2" s="1"/>
  <c r="J1476" i="2" a="1"/>
  <c r="J1476" i="2"/>
  <c r="I1477" i="2" a="1"/>
  <c r="I1477" i="2" s="1"/>
  <c r="J1477" i="2" a="1"/>
  <c r="J1477" i="2" s="1"/>
  <c r="I1478" i="2" a="1"/>
  <c r="I1478" i="2" s="1"/>
  <c r="J1478" i="2" a="1"/>
  <c r="J1478" i="2"/>
  <c r="I1479" i="2" a="1"/>
  <c r="I1479" i="2" s="1"/>
  <c r="J1479" i="2" a="1"/>
  <c r="J1479" i="2" s="1"/>
  <c r="I1480" i="2" a="1"/>
  <c r="I1480" i="2" s="1"/>
  <c r="J1480" i="2" a="1"/>
  <c r="J1480" i="2"/>
  <c r="I1481" i="2" a="1"/>
  <c r="I1481" i="2" s="1"/>
  <c r="J1481" i="2" a="1"/>
  <c r="J1481" i="2" s="1"/>
  <c r="I1482" i="2" a="1"/>
  <c r="I1482" i="2" s="1"/>
  <c r="J1482" i="2" a="1"/>
  <c r="J1482" i="2"/>
  <c r="I1483" i="2" a="1"/>
  <c r="I1483" i="2" s="1"/>
  <c r="J1483" i="2" a="1"/>
  <c r="J1483" i="2"/>
  <c r="I1484" i="2" a="1"/>
  <c r="I1484" i="2" s="1"/>
  <c r="J1484" i="2" a="1"/>
  <c r="J1484" i="2"/>
  <c r="I1485" i="2" a="1"/>
  <c r="I1485" i="2" s="1"/>
  <c r="J1485" i="2" a="1"/>
  <c r="J1485" i="2" s="1"/>
  <c r="I1486" i="2" a="1"/>
  <c r="I1486" i="2" s="1"/>
  <c r="J1486" i="2" a="1"/>
  <c r="J1486" i="2"/>
  <c r="I1487" i="2" a="1"/>
  <c r="I1487" i="2" s="1"/>
  <c r="J1487" i="2" a="1"/>
  <c r="J1487" i="2" s="1"/>
  <c r="I1488" i="2" a="1"/>
  <c r="I1488" i="2" s="1"/>
  <c r="J1488" i="2" a="1"/>
  <c r="J1488" i="2"/>
  <c r="I1489" i="2" a="1"/>
  <c r="I1489" i="2" s="1"/>
  <c r="J1489" i="2" a="1"/>
  <c r="J1489" i="2" s="1"/>
  <c r="I1490" i="2" a="1"/>
  <c r="I1490" i="2" s="1"/>
  <c r="J1490" i="2" a="1"/>
  <c r="J1490" i="2"/>
  <c r="I1491" i="2" a="1"/>
  <c r="I1491" i="2" s="1"/>
  <c r="J1491" i="2" a="1"/>
  <c r="J1491" i="2"/>
  <c r="I1492" i="2" a="1"/>
  <c r="I1492" i="2" s="1"/>
  <c r="J1492" i="2" a="1"/>
  <c r="J1492" i="2"/>
  <c r="I1493" i="2" a="1"/>
  <c r="I1493" i="2" s="1"/>
  <c r="J1493" i="2" a="1"/>
  <c r="J1493" i="2" s="1"/>
  <c r="I1494" i="2" a="1"/>
  <c r="I1494" i="2" s="1"/>
  <c r="J1494" i="2" a="1"/>
  <c r="J1494" i="2"/>
  <c r="I1495" i="2" a="1"/>
  <c r="I1495" i="2" s="1"/>
  <c r="J1495" i="2" a="1"/>
  <c r="J1495" i="2" s="1"/>
  <c r="I1496" i="2" a="1"/>
  <c r="I1496" i="2" s="1"/>
  <c r="J1496" i="2" a="1"/>
  <c r="J1496" i="2"/>
  <c r="I1497" i="2" a="1"/>
  <c r="I1497" i="2" s="1"/>
  <c r="J1497" i="2" a="1"/>
  <c r="J1497" i="2" s="1"/>
  <c r="I1498" i="2" a="1"/>
  <c r="I1498" i="2" s="1"/>
  <c r="J1498" i="2" a="1"/>
  <c r="J1498" i="2"/>
  <c r="I1499" i="2" a="1"/>
  <c r="I1499" i="2" s="1"/>
  <c r="J1499" i="2" a="1"/>
  <c r="J1499" i="2"/>
  <c r="I1500" i="2" a="1"/>
  <c r="I1500" i="2" s="1"/>
  <c r="J1500" i="2" a="1"/>
  <c r="J1500" i="2"/>
  <c r="I1501" i="2" a="1"/>
  <c r="I1501" i="2" s="1"/>
  <c r="J1501" i="2" a="1"/>
  <c r="J1501" i="2" s="1"/>
  <c r="I1502" i="2" a="1"/>
  <c r="I1502" i="2" s="1"/>
  <c r="J1502" i="2" a="1"/>
  <c r="J1502" i="2"/>
  <c r="I1503" i="2" a="1"/>
  <c r="I1503" i="2" s="1"/>
  <c r="J1503" i="2" a="1"/>
  <c r="J1503" i="2" s="1"/>
  <c r="I1504" i="2" a="1"/>
  <c r="I1504" i="2" s="1"/>
  <c r="J1504" i="2" a="1"/>
  <c r="J1504" i="2"/>
  <c r="I1505" i="2" a="1"/>
  <c r="I1505" i="2" s="1"/>
  <c r="J1505" i="2" a="1"/>
  <c r="J1505" i="2" s="1"/>
  <c r="I1506" i="2" a="1"/>
  <c r="I1506" i="2" s="1"/>
  <c r="J1506" i="2" a="1"/>
  <c r="J1506" i="2"/>
  <c r="I1507" i="2" a="1"/>
  <c r="I1507" i="2" s="1"/>
  <c r="J1507" i="2" a="1"/>
  <c r="J1507" i="2"/>
  <c r="I1508" i="2" a="1"/>
  <c r="I1508" i="2" s="1"/>
  <c r="J1508" i="2" a="1"/>
  <c r="J1508" i="2"/>
  <c r="I1509" i="2" a="1"/>
  <c r="I1509" i="2"/>
  <c r="J1509" i="2" a="1"/>
  <c r="J1509" i="2"/>
  <c r="I1510" i="2" a="1"/>
  <c r="I1510" i="2"/>
  <c r="J1510" i="2" a="1"/>
  <c r="J1510" i="2"/>
  <c r="I1511" i="2" a="1"/>
  <c r="I1511" i="2"/>
  <c r="J1511" i="2" a="1"/>
  <c r="J1511" i="2"/>
  <c r="I1512" i="2" a="1"/>
  <c r="I1512" i="2"/>
  <c r="J1512" i="2" a="1"/>
  <c r="J1512" i="2"/>
  <c r="I1513" i="2" a="1"/>
  <c r="I1513" i="2"/>
  <c r="J1513" i="2" a="1"/>
  <c r="J1513" i="2"/>
  <c r="I1514" i="2" a="1"/>
  <c r="I1514" i="2"/>
  <c r="J1514" i="2" a="1"/>
  <c r="J1514" i="2"/>
  <c r="I1515" i="2" a="1"/>
  <c r="I1515" i="2"/>
  <c r="J1515" i="2" a="1"/>
  <c r="J1515" i="2"/>
  <c r="I1516" i="2" a="1"/>
  <c r="I1516" i="2"/>
  <c r="J1516" i="2" a="1"/>
  <c r="J1516" i="2"/>
  <c r="I1517" i="2" a="1"/>
  <c r="I1517" i="2" s="1"/>
  <c r="J1517" i="2" a="1"/>
  <c r="J1517" i="2"/>
  <c r="I1518" i="2" a="1"/>
  <c r="I1518" i="2"/>
  <c r="J1518" i="2" a="1"/>
  <c r="J1518" i="2"/>
  <c r="I1519" i="2" a="1"/>
  <c r="I1519" i="2" s="1"/>
  <c r="J1519" i="2" a="1"/>
  <c r="J1519" i="2"/>
  <c r="I1520" i="2" a="1"/>
  <c r="I1520" i="2"/>
  <c r="J1520" i="2" a="1"/>
  <c r="J1520" i="2"/>
  <c r="I1521" i="2" a="1"/>
  <c r="I1521" i="2" s="1"/>
  <c r="J1521" i="2" a="1"/>
  <c r="J1521" i="2"/>
  <c r="I1522" i="2" a="1"/>
  <c r="I1522" i="2"/>
  <c r="J1522" i="2" a="1"/>
  <c r="J1522" i="2"/>
  <c r="I1523" i="2" a="1"/>
  <c r="I1523" i="2" s="1"/>
  <c r="J1523" i="2" a="1"/>
  <c r="J1523" i="2"/>
  <c r="I1524" i="2" a="1"/>
  <c r="I1524" i="2"/>
  <c r="J1524" i="2" a="1"/>
  <c r="J1524" i="2"/>
  <c r="I1525" i="2" a="1"/>
  <c r="I1525" i="2" s="1"/>
  <c r="J1525" i="2" a="1"/>
  <c r="J1525" i="2"/>
  <c r="I1526" i="2" a="1"/>
  <c r="I1526" i="2"/>
  <c r="J1526" i="2" a="1"/>
  <c r="J1526" i="2"/>
  <c r="I1527" i="2" a="1"/>
  <c r="I1527" i="2" s="1"/>
  <c r="J1527" i="2" a="1"/>
  <c r="J1527" i="2"/>
  <c r="I1528" i="2" a="1"/>
  <c r="I1528" i="2"/>
  <c r="J1528" i="2" a="1"/>
  <c r="J1528" i="2"/>
  <c r="I1529" i="2" a="1"/>
  <c r="I1529" i="2" s="1"/>
  <c r="J1529" i="2" a="1"/>
  <c r="J1529" i="2"/>
  <c r="I1530" i="2" a="1"/>
  <c r="I1530" i="2"/>
  <c r="J1530" i="2" a="1"/>
  <c r="J1530" i="2"/>
  <c r="I1531" i="2" a="1"/>
  <c r="I1531" i="2" s="1"/>
  <c r="J1531" i="2" a="1"/>
  <c r="J1531" i="2"/>
  <c r="I1532" i="2" a="1"/>
  <c r="I1532" i="2"/>
  <c r="J1532" i="2" a="1"/>
  <c r="J1532" i="2"/>
  <c r="I1533" i="2" a="1"/>
  <c r="I1533" i="2" s="1"/>
  <c r="J1533" i="2" a="1"/>
  <c r="J1533" i="2"/>
  <c r="I1534" i="2" a="1"/>
  <c r="I1534" i="2"/>
  <c r="J1534" i="2" a="1"/>
  <c r="J1534" i="2"/>
  <c r="I1535" i="2" a="1"/>
  <c r="I1535" i="2" s="1"/>
  <c r="J1535" i="2" a="1"/>
  <c r="J1535" i="2"/>
  <c r="I1536" i="2" a="1"/>
  <c r="I1536" i="2"/>
  <c r="J1536" i="2" a="1"/>
  <c r="J1536" i="2" s="1"/>
  <c r="I1537" i="2" a="1"/>
  <c r="I1537" i="2" s="1"/>
  <c r="J1537" i="2" a="1"/>
  <c r="J1537" i="2" s="1"/>
  <c r="I1538" i="2" a="1"/>
  <c r="I1538" i="2"/>
  <c r="J1538" i="2" a="1"/>
  <c r="J1538" i="2" s="1"/>
  <c r="I1539" i="2" a="1"/>
  <c r="I1539" i="2" s="1"/>
  <c r="J1539" i="2" a="1"/>
  <c r="J1539" i="2" s="1"/>
  <c r="I1540" i="2" a="1"/>
  <c r="I1540" i="2"/>
  <c r="J1540" i="2" a="1"/>
  <c r="J1540" i="2" s="1"/>
  <c r="I1541" i="2" a="1"/>
  <c r="I1541" i="2" s="1"/>
  <c r="J1541" i="2" a="1"/>
  <c r="J1541" i="2" s="1"/>
  <c r="I1542" i="2" a="1"/>
  <c r="I1542" i="2"/>
  <c r="J1542" i="2" a="1"/>
  <c r="J1542" i="2" s="1"/>
  <c r="I1543" i="2" a="1"/>
  <c r="I1543" i="2" s="1"/>
  <c r="J1543" i="2" a="1"/>
  <c r="J1543" i="2" s="1"/>
  <c r="I1544" i="2" a="1"/>
  <c r="I1544" i="2"/>
  <c r="J1544" i="2" a="1"/>
  <c r="J1544" i="2" s="1"/>
  <c r="I1545" i="2" a="1"/>
  <c r="I1545" i="2" s="1"/>
  <c r="J1545" i="2" a="1"/>
  <c r="J1545" i="2" s="1"/>
  <c r="I1546" i="2" a="1"/>
  <c r="I1546" i="2"/>
  <c r="J1546" i="2" a="1"/>
  <c r="J1546" i="2" s="1"/>
  <c r="I1547" i="2" a="1"/>
  <c r="I1547" i="2" s="1"/>
  <c r="J1547" i="2" a="1"/>
  <c r="J1547" i="2" s="1"/>
  <c r="I1548" i="2" a="1"/>
  <c r="I1548" i="2"/>
  <c r="J1548" i="2" a="1"/>
  <c r="J1548" i="2" s="1"/>
  <c r="I1549" i="2" a="1"/>
  <c r="I1549" i="2" s="1"/>
  <c r="J1549" i="2" a="1"/>
  <c r="J1549" i="2" s="1"/>
  <c r="I1550" i="2" a="1"/>
  <c r="I1550" i="2"/>
  <c r="J1550" i="2" a="1"/>
  <c r="J1550" i="2" s="1"/>
  <c r="I1551" i="2" a="1"/>
  <c r="I1551" i="2" s="1"/>
  <c r="J1551" i="2" a="1"/>
  <c r="J1551" i="2" s="1"/>
  <c r="I1552" i="2" a="1"/>
  <c r="I1552" i="2"/>
  <c r="J1552" i="2" a="1"/>
  <c r="J1552" i="2" s="1"/>
  <c r="I1553" i="2" a="1"/>
  <c r="I1553" i="2" s="1"/>
  <c r="J1553" i="2" a="1"/>
  <c r="J1553" i="2" s="1"/>
  <c r="I1554" i="2" a="1"/>
  <c r="I1554" i="2"/>
  <c r="J1554" i="2" a="1"/>
  <c r="J1554" i="2" s="1"/>
  <c r="I1555" i="2" a="1"/>
  <c r="I1555" i="2" s="1"/>
  <c r="J1555" i="2" a="1"/>
  <c r="J1555" i="2" s="1"/>
  <c r="I1556" i="2" a="1"/>
  <c r="I1556" i="2"/>
  <c r="J1556" i="2" a="1"/>
  <c r="J1556" i="2" s="1"/>
  <c r="I1557" i="2" a="1"/>
  <c r="I1557" i="2" s="1"/>
  <c r="J1557" i="2" a="1"/>
  <c r="J1557" i="2" s="1"/>
  <c r="I1558" i="2" a="1"/>
  <c r="I1558" i="2"/>
  <c r="J1558" i="2" a="1"/>
  <c r="J1558" i="2" s="1"/>
  <c r="I1559" i="2" a="1"/>
  <c r="I1559" i="2" s="1"/>
  <c r="J1559" i="2" a="1"/>
  <c r="J1559" i="2" s="1"/>
  <c r="I1560" i="2" a="1"/>
  <c r="I1560" i="2"/>
  <c r="J1560" i="2" a="1"/>
  <c r="J1560" i="2" s="1"/>
  <c r="I1561" i="2" a="1"/>
  <c r="I1561" i="2" s="1"/>
  <c r="J1561" i="2" a="1"/>
  <c r="J1561" i="2" s="1"/>
  <c r="I1562" i="2" a="1"/>
  <c r="I1562" i="2"/>
  <c r="J1562" i="2" a="1"/>
  <c r="J1562" i="2" s="1"/>
  <c r="I1563" i="2" a="1"/>
  <c r="I1563" i="2" s="1"/>
  <c r="J1563" i="2" a="1"/>
  <c r="J1563" i="2" s="1"/>
  <c r="I1564" i="2" a="1"/>
  <c r="I1564" i="2"/>
  <c r="J1564" i="2" a="1"/>
  <c r="J1564" i="2" s="1"/>
  <c r="I1565" i="2" a="1"/>
  <c r="I1565" i="2" s="1"/>
  <c r="J1565" i="2" a="1"/>
  <c r="J1565" i="2" s="1"/>
  <c r="I1566" i="2" a="1"/>
  <c r="I1566" i="2"/>
  <c r="J1566" i="2" a="1"/>
  <c r="J1566" i="2" s="1"/>
  <c r="I1567" i="2" a="1"/>
  <c r="I1567" i="2" s="1"/>
  <c r="J1567" i="2" a="1"/>
  <c r="J1567" i="2" s="1"/>
  <c r="I1568" i="2" a="1"/>
  <c r="I1568" i="2"/>
  <c r="J1568" i="2" a="1"/>
  <c r="J1568" i="2" s="1"/>
  <c r="I1569" i="2" a="1"/>
  <c r="I1569" i="2" s="1"/>
  <c r="J1569" i="2" a="1"/>
  <c r="J1569" i="2" s="1"/>
  <c r="I1570" i="2" a="1"/>
  <c r="I1570" i="2"/>
  <c r="J1570" i="2" a="1"/>
  <c r="J1570" i="2" s="1"/>
  <c r="I1571" i="2" a="1"/>
  <c r="I1571" i="2" s="1"/>
  <c r="J1571" i="2" a="1"/>
  <c r="J1571" i="2" s="1"/>
  <c r="I1572" i="2" a="1"/>
  <c r="I1572" i="2"/>
  <c r="J1572" i="2" a="1"/>
  <c r="J1572" i="2" s="1"/>
  <c r="I1573" i="2" a="1"/>
  <c r="I1573" i="2" s="1"/>
  <c r="J1573" i="2" a="1"/>
  <c r="J1573" i="2" s="1"/>
  <c r="I1574" i="2" a="1"/>
  <c r="I1574" i="2"/>
  <c r="J1574" i="2" a="1"/>
  <c r="J1574" i="2" s="1"/>
  <c r="I1575" i="2" a="1"/>
  <c r="I1575" i="2" s="1"/>
  <c r="J1575" i="2" a="1"/>
  <c r="J1575" i="2" s="1"/>
  <c r="I1576" i="2" a="1"/>
  <c r="I1576" i="2"/>
  <c r="J1576" i="2" a="1"/>
  <c r="J1576" i="2" s="1"/>
  <c r="I1577" i="2" a="1"/>
  <c r="I1577" i="2" s="1"/>
  <c r="J1577" i="2" a="1"/>
  <c r="J1577" i="2" s="1"/>
  <c r="I1578" i="2" a="1"/>
  <c r="I1578" i="2" s="1"/>
  <c r="J1578" i="2" a="1"/>
  <c r="J1578" i="2" s="1"/>
  <c r="I1579" i="2" a="1"/>
  <c r="I1579" i="2" s="1"/>
  <c r="J1579" i="2" a="1"/>
  <c r="J1579" i="2" s="1"/>
  <c r="I1580" i="2" a="1"/>
  <c r="I1580" i="2"/>
  <c r="J1580" i="2" a="1"/>
  <c r="J1580" i="2" s="1"/>
  <c r="I1581" i="2" a="1"/>
  <c r="I1581" i="2" s="1"/>
  <c r="J1581" i="2" a="1"/>
  <c r="J1581" i="2" s="1"/>
  <c r="I1582" i="2" a="1"/>
  <c r="I1582" i="2" s="1"/>
  <c r="J1582" i="2" a="1"/>
  <c r="J1582" i="2" s="1"/>
  <c r="I1583" i="2" a="1"/>
  <c r="I1583" i="2" s="1"/>
  <c r="J1583" i="2" a="1"/>
  <c r="J1583" i="2" s="1"/>
  <c r="I1584" i="2" a="1"/>
  <c r="I1584" i="2"/>
  <c r="J1584" i="2" a="1"/>
  <c r="J1584" i="2" s="1"/>
  <c r="I1585" i="2" a="1"/>
  <c r="I1585" i="2" s="1"/>
  <c r="J1585" i="2" a="1"/>
  <c r="J1585" i="2" s="1"/>
  <c r="I1586" i="2" a="1"/>
  <c r="I1586" i="2" s="1"/>
  <c r="J1586" i="2" a="1"/>
  <c r="J1586" i="2" s="1"/>
  <c r="I1587" i="2" a="1"/>
  <c r="I1587" i="2" s="1"/>
  <c r="J1587" i="2" a="1"/>
  <c r="J1587" i="2" s="1"/>
  <c r="I1588" i="2" a="1"/>
  <c r="I1588" i="2"/>
  <c r="J1588" i="2" a="1"/>
  <c r="J1588" i="2" s="1"/>
  <c r="I1589" i="2" a="1"/>
  <c r="I1589" i="2" s="1"/>
  <c r="J1589" i="2" a="1"/>
  <c r="J1589" i="2" s="1"/>
  <c r="I1590" i="2" a="1"/>
  <c r="I1590" i="2"/>
  <c r="J1590" i="2" a="1"/>
  <c r="J1590" i="2" s="1"/>
  <c r="I1591" i="2" a="1"/>
  <c r="I1591" i="2" s="1"/>
  <c r="J1591" i="2" a="1"/>
  <c r="J1591" i="2" s="1"/>
  <c r="I1592" i="2" a="1"/>
  <c r="I1592" i="2" s="1"/>
  <c r="J1592" i="2" a="1"/>
  <c r="J1592" i="2" s="1"/>
  <c r="I1593" i="2" a="1"/>
  <c r="I1593" i="2" s="1"/>
  <c r="J1593" i="2" a="1"/>
  <c r="J1593" i="2" s="1"/>
  <c r="I1594" i="2" a="1"/>
  <c r="I1594" i="2" s="1"/>
  <c r="J1594" i="2" a="1"/>
  <c r="J1594" i="2" s="1"/>
  <c r="I1595" i="2" a="1"/>
  <c r="I1595" i="2" s="1"/>
  <c r="J1595" i="2" a="1"/>
  <c r="J1595" i="2" s="1"/>
  <c r="I1596" i="2" a="1"/>
  <c r="I1596" i="2"/>
  <c r="J1596" i="2" a="1"/>
  <c r="J1596" i="2" s="1"/>
  <c r="I1597" i="2" a="1"/>
  <c r="I1597" i="2" s="1"/>
  <c r="J1597" i="2" a="1"/>
  <c r="J1597" i="2" s="1"/>
  <c r="I1598" i="2" a="1"/>
  <c r="I1598" i="2" s="1"/>
  <c r="J1598" i="2" a="1"/>
  <c r="J1598" i="2" s="1"/>
  <c r="I1599" i="2" a="1"/>
  <c r="I1599" i="2" s="1"/>
  <c r="J1599" i="2" a="1"/>
  <c r="J1599" i="2" s="1"/>
  <c r="I1600" i="2" a="1"/>
  <c r="I1600" i="2" s="1"/>
  <c r="J1600" i="2" a="1"/>
  <c r="J1600" i="2" s="1"/>
  <c r="I1601" i="2" a="1"/>
  <c r="I1601" i="2" s="1"/>
  <c r="J1601" i="2" a="1"/>
  <c r="J1601" i="2" s="1"/>
  <c r="I1602" i="2" a="1"/>
  <c r="I1602" i="2" s="1"/>
  <c r="J1602" i="2" a="1"/>
  <c r="J1602" i="2" s="1"/>
  <c r="I1603" i="2" a="1"/>
  <c r="I1603" i="2" s="1"/>
  <c r="J1603" i="2" a="1"/>
  <c r="J1603" i="2" s="1"/>
  <c r="I1604" i="2" a="1"/>
  <c r="I1604" i="2"/>
  <c r="J1604" i="2" a="1"/>
  <c r="J1604" i="2" s="1"/>
  <c r="I1605" i="2" a="1"/>
  <c r="I1605" i="2" s="1"/>
  <c r="J1605" i="2" a="1"/>
  <c r="J1605" i="2" s="1"/>
  <c r="I1606" i="2" a="1"/>
  <c r="I1606" i="2"/>
  <c r="J1606" i="2" a="1"/>
  <c r="J1606" i="2" s="1"/>
  <c r="I1607" i="2" a="1"/>
  <c r="I1607" i="2" s="1"/>
  <c r="J1607" i="2" a="1"/>
  <c r="J1607" i="2" s="1"/>
  <c r="I1608" i="2" a="1"/>
  <c r="I1608" i="2" s="1"/>
  <c r="J1608" i="2" a="1"/>
  <c r="J1608" i="2" s="1"/>
  <c r="I1609" i="2" a="1"/>
  <c r="I1609" i="2" s="1"/>
  <c r="J1609" i="2" a="1"/>
  <c r="J1609" i="2" s="1"/>
  <c r="I1610" i="2" a="1"/>
  <c r="I1610" i="2" s="1"/>
  <c r="J1610" i="2" a="1"/>
  <c r="J1610" i="2" s="1"/>
  <c r="I1611" i="2" a="1"/>
  <c r="I1611" i="2" s="1"/>
  <c r="J1611" i="2" a="1"/>
  <c r="J1611" i="2" s="1"/>
  <c r="I1612" i="2" a="1"/>
  <c r="I1612" i="2"/>
  <c r="J1612" i="2" a="1"/>
  <c r="J1612" i="2" s="1"/>
  <c r="I1613" i="2" a="1"/>
  <c r="I1613" i="2" s="1"/>
  <c r="J1613" i="2" a="1"/>
  <c r="J1613" i="2" s="1"/>
  <c r="I1614" i="2" a="1"/>
  <c r="I1614" i="2" s="1"/>
  <c r="J1614" i="2" a="1"/>
  <c r="J1614" i="2" s="1"/>
  <c r="I1615" i="2" a="1"/>
  <c r="I1615" i="2" s="1"/>
  <c r="J1615" i="2" a="1"/>
  <c r="J1615" i="2" s="1"/>
  <c r="I1616" i="2" a="1"/>
  <c r="I1616" i="2"/>
  <c r="J1616" i="2" a="1"/>
  <c r="J1616" i="2" s="1"/>
  <c r="I1617" i="2" a="1"/>
  <c r="I1617" i="2" s="1"/>
  <c r="J1617" i="2" a="1"/>
  <c r="J1617" i="2" s="1"/>
  <c r="I1618" i="2" a="1"/>
  <c r="I1618" i="2" s="1"/>
  <c r="J1618" i="2" a="1"/>
  <c r="J1618" i="2" s="1"/>
  <c r="I1619" i="2" a="1"/>
  <c r="I1619" i="2" s="1"/>
  <c r="J1619" i="2" a="1"/>
  <c r="J1619" i="2" s="1"/>
  <c r="I1620" i="2" a="1"/>
  <c r="I1620" i="2"/>
  <c r="J1620" i="2" a="1"/>
  <c r="J1620" i="2" s="1"/>
  <c r="I1621" i="2" a="1"/>
  <c r="I1621" i="2" s="1"/>
  <c r="J1621" i="2" a="1"/>
  <c r="J1621" i="2" s="1"/>
  <c r="I1622" i="2" a="1"/>
  <c r="I1622" i="2"/>
  <c r="J1622" i="2" a="1"/>
  <c r="J1622" i="2" s="1"/>
  <c r="I1623" i="2" a="1"/>
  <c r="I1623" i="2" s="1"/>
  <c r="J1623" i="2" a="1"/>
  <c r="J1623" i="2" s="1"/>
  <c r="I1624" i="2" a="1"/>
  <c r="I1624" i="2" s="1"/>
  <c r="J1624" i="2" a="1"/>
  <c r="J1624" i="2" s="1"/>
  <c r="I1625" i="2" a="1"/>
  <c r="I1625" i="2" s="1"/>
  <c r="J1625" i="2" a="1"/>
  <c r="J1625" i="2" s="1"/>
  <c r="I1626" i="2" a="1"/>
  <c r="I1626" i="2" s="1"/>
  <c r="J1626" i="2" a="1"/>
  <c r="J1626" i="2" s="1"/>
  <c r="I1627" i="2" a="1"/>
  <c r="I1627" i="2" s="1"/>
  <c r="J1627" i="2" a="1"/>
  <c r="J1627" i="2" s="1"/>
  <c r="I1628" i="2" a="1"/>
  <c r="I1628" i="2"/>
  <c r="J1628" i="2" a="1"/>
  <c r="J1628" i="2" s="1"/>
  <c r="I1629" i="2" a="1"/>
  <c r="I1629" i="2" s="1"/>
  <c r="J1629" i="2" a="1"/>
  <c r="J1629" i="2" s="1"/>
  <c r="I1630" i="2" a="1"/>
  <c r="I1630" i="2" s="1"/>
  <c r="J1630" i="2" a="1"/>
  <c r="J1630" i="2" s="1"/>
  <c r="I1631" i="2" a="1"/>
  <c r="I1631" i="2" s="1"/>
  <c r="J1631" i="2" a="1"/>
  <c r="J1631" i="2" s="1"/>
  <c r="I1632" i="2" a="1"/>
  <c r="I1632" i="2" s="1"/>
  <c r="J1632" i="2" a="1"/>
  <c r="J1632" i="2" s="1"/>
  <c r="I1633" i="2" a="1"/>
  <c r="I1633" i="2" s="1"/>
  <c r="J1633" i="2" a="1"/>
  <c r="J1633" i="2" s="1"/>
  <c r="I1634" i="2" a="1"/>
  <c r="I1634" i="2" s="1"/>
  <c r="J1634" i="2" a="1"/>
  <c r="J1634" i="2" s="1"/>
  <c r="I1635" i="2" a="1"/>
  <c r="I1635" i="2" s="1"/>
  <c r="J1635" i="2" a="1"/>
  <c r="J1635" i="2" s="1"/>
  <c r="I1636" i="2" a="1"/>
  <c r="I1636" i="2"/>
  <c r="J1636" i="2" a="1"/>
  <c r="J1636" i="2" s="1"/>
  <c r="I1637" i="2" a="1"/>
  <c r="I1637" i="2" s="1"/>
  <c r="J1637" i="2" a="1"/>
  <c r="J1637" i="2" s="1"/>
  <c r="I1638" i="2" a="1"/>
  <c r="I1638" i="2"/>
  <c r="J1638" i="2" a="1"/>
  <c r="J1638" i="2" s="1"/>
  <c r="I1639" i="2" a="1"/>
  <c r="I1639" i="2" s="1"/>
  <c r="J1639" i="2" a="1"/>
  <c r="J1639" i="2" s="1"/>
  <c r="I1640" i="2" a="1"/>
  <c r="I1640" i="2" s="1"/>
  <c r="J1640" i="2" a="1"/>
  <c r="J1640" i="2" s="1"/>
  <c r="I1641" i="2" a="1"/>
  <c r="I1641" i="2" s="1"/>
  <c r="J1641" i="2" a="1"/>
  <c r="J1641" i="2" s="1"/>
  <c r="I1642" i="2" a="1"/>
  <c r="I1642" i="2" s="1"/>
  <c r="J1642" i="2" a="1"/>
  <c r="J1642" i="2" s="1"/>
  <c r="I1643" i="2" a="1"/>
  <c r="I1643" i="2" s="1"/>
  <c r="J1643" i="2" a="1"/>
  <c r="J1643" i="2" s="1"/>
  <c r="I1644" i="2" a="1"/>
  <c r="I1644" i="2"/>
  <c r="J1644" i="2" a="1"/>
  <c r="J1644" i="2" s="1"/>
  <c r="I1645" i="2" a="1"/>
  <c r="I1645" i="2" s="1"/>
  <c r="J1645" i="2" a="1"/>
  <c r="J1645" i="2" s="1"/>
  <c r="I1646" i="2" a="1"/>
  <c r="I1646" i="2" s="1"/>
  <c r="J1646" i="2" a="1"/>
  <c r="J1646" i="2" s="1"/>
  <c r="I1647" i="2" a="1"/>
  <c r="I1647" i="2" s="1"/>
  <c r="J1647" i="2" a="1"/>
  <c r="J1647" i="2" s="1"/>
  <c r="I1648" i="2" a="1"/>
  <c r="I1648" i="2"/>
  <c r="J1648" i="2" a="1"/>
  <c r="J1648" i="2" s="1"/>
  <c r="I1649" i="2" a="1"/>
  <c r="I1649" i="2" s="1"/>
  <c r="J1649" i="2" a="1"/>
  <c r="J1649" i="2" s="1"/>
  <c r="I1650" i="2" a="1"/>
  <c r="I1650" i="2" s="1"/>
  <c r="J1650" i="2" a="1"/>
  <c r="J1650" i="2" s="1"/>
  <c r="I1651" i="2" a="1"/>
  <c r="I1651" i="2" s="1"/>
  <c r="J1651" i="2" a="1"/>
  <c r="J1651" i="2" s="1"/>
  <c r="I1652" i="2" a="1"/>
  <c r="I1652" i="2"/>
  <c r="J1652" i="2" a="1"/>
  <c r="J1652" i="2" s="1"/>
  <c r="I1653" i="2" a="1"/>
  <c r="I1653" i="2" s="1"/>
  <c r="J1653" i="2" a="1"/>
  <c r="J1653" i="2" s="1"/>
  <c r="I1654" i="2" a="1"/>
  <c r="I1654" i="2"/>
  <c r="J1654" i="2" a="1"/>
  <c r="J1654" i="2" s="1"/>
  <c r="I1655" i="2" a="1"/>
  <c r="I1655" i="2" s="1"/>
  <c r="J1655" i="2" a="1"/>
  <c r="J1655" i="2" s="1"/>
  <c r="I1656" i="2" a="1"/>
  <c r="I1656" i="2" s="1"/>
  <c r="J1656" i="2" a="1"/>
  <c r="J1656" i="2" s="1"/>
  <c r="I1657" i="2" a="1"/>
  <c r="I1657" i="2" s="1"/>
  <c r="J1657" i="2" a="1"/>
  <c r="J1657" i="2" s="1"/>
  <c r="I1658" i="2" a="1"/>
  <c r="I1658" i="2" s="1"/>
  <c r="J1658" i="2" a="1"/>
  <c r="J1658" i="2" s="1"/>
  <c r="I1659" i="2" a="1"/>
  <c r="I1659" i="2" s="1"/>
  <c r="J1659" i="2" a="1"/>
  <c r="J1659" i="2" s="1"/>
  <c r="I1660" i="2" a="1"/>
  <c r="I1660" i="2"/>
  <c r="J1660" i="2" a="1"/>
  <c r="J1660" i="2" s="1"/>
  <c r="I1661" i="2" a="1"/>
  <c r="I1661" i="2" s="1"/>
  <c r="J1661" i="2" a="1"/>
  <c r="J1661" i="2" s="1"/>
  <c r="I1662" i="2" a="1"/>
  <c r="I1662" i="2" s="1"/>
  <c r="J1662" i="2" a="1"/>
  <c r="J1662" i="2" s="1"/>
  <c r="I1663" i="2" a="1"/>
  <c r="I1663" i="2" s="1"/>
  <c r="J1663" i="2" a="1"/>
  <c r="J1663" i="2" s="1"/>
  <c r="I1664" i="2" a="1"/>
  <c r="I1664" i="2" s="1"/>
  <c r="J1664" i="2" a="1"/>
  <c r="J1664" i="2" s="1"/>
  <c r="I1665" i="2" a="1"/>
  <c r="I1665" i="2" s="1"/>
  <c r="J1665" i="2" a="1"/>
  <c r="J1665" i="2" s="1"/>
  <c r="I1666" i="2" a="1"/>
  <c r="I1666" i="2" s="1"/>
  <c r="J1666" i="2" a="1"/>
  <c r="J1666" i="2" s="1"/>
  <c r="I1667" i="2" a="1"/>
  <c r="I1667" i="2" s="1"/>
  <c r="J1667" i="2" a="1"/>
  <c r="J1667" i="2" s="1"/>
  <c r="I1668" i="2" a="1"/>
  <c r="I1668" i="2"/>
  <c r="J1668" i="2" a="1"/>
  <c r="J1668" i="2" s="1"/>
  <c r="I1669" i="2" a="1"/>
  <c r="I1669" i="2" s="1"/>
  <c r="J1669" i="2" a="1"/>
  <c r="J1669" i="2" s="1"/>
  <c r="I1670" i="2" a="1"/>
  <c r="I1670" i="2"/>
  <c r="J1670" i="2" a="1"/>
  <c r="J1670" i="2" s="1"/>
  <c r="I1671" i="2" a="1"/>
  <c r="I1671" i="2" s="1"/>
  <c r="J1671" i="2" a="1"/>
  <c r="J1671" i="2" s="1"/>
  <c r="I1672" i="2" a="1"/>
  <c r="I1672" i="2" s="1"/>
  <c r="J1672" i="2" a="1"/>
  <c r="J1672" i="2" s="1"/>
  <c r="I1673" i="2" a="1"/>
  <c r="I1673" i="2" s="1"/>
  <c r="J1673" i="2" a="1"/>
  <c r="J1673" i="2" s="1"/>
  <c r="I1674" i="2" a="1"/>
  <c r="I1674" i="2" s="1"/>
  <c r="J1674" i="2" a="1"/>
  <c r="J1674" i="2" s="1"/>
  <c r="I1675" i="2" a="1"/>
  <c r="I1675" i="2" s="1"/>
  <c r="J1675" i="2" a="1"/>
  <c r="J1675" i="2" s="1"/>
  <c r="I1676" i="2" a="1"/>
  <c r="I1676" i="2"/>
  <c r="J1676" i="2" a="1"/>
  <c r="J1676" i="2" s="1"/>
  <c r="I1677" i="2" a="1"/>
  <c r="I1677" i="2" s="1"/>
  <c r="J1677" i="2" a="1"/>
  <c r="J1677" i="2" s="1"/>
  <c r="I1678" i="2" a="1"/>
  <c r="I1678" i="2" s="1"/>
  <c r="J1678" i="2" a="1"/>
  <c r="J1678" i="2" s="1"/>
  <c r="I1679" i="2" a="1"/>
  <c r="I1679" i="2" s="1"/>
  <c r="J1679" i="2" a="1"/>
  <c r="J1679" i="2" s="1"/>
  <c r="I1680" i="2" a="1"/>
  <c r="I1680" i="2"/>
  <c r="J1680" i="2" a="1"/>
  <c r="J1680" i="2" s="1"/>
  <c r="I1681" i="2" a="1"/>
  <c r="I1681" i="2" s="1"/>
  <c r="J1681" i="2" a="1"/>
  <c r="J1681" i="2" s="1"/>
  <c r="I1682" i="2" a="1"/>
  <c r="I1682" i="2" s="1"/>
  <c r="J1682" i="2" a="1"/>
  <c r="J1682" i="2" s="1"/>
  <c r="I1683" i="2" a="1"/>
  <c r="I1683" i="2" s="1"/>
  <c r="J1683" i="2" a="1"/>
  <c r="J1683" i="2" s="1"/>
  <c r="I1684" i="2" a="1"/>
  <c r="I1684" i="2"/>
  <c r="J1684" i="2" a="1"/>
  <c r="J1684" i="2" s="1"/>
  <c r="I1685" i="2" a="1"/>
  <c r="I1685" i="2" s="1"/>
  <c r="J1685" i="2" a="1"/>
  <c r="J1685" i="2" s="1"/>
  <c r="I1686" i="2" a="1"/>
  <c r="I1686" i="2"/>
  <c r="J1686" i="2" a="1"/>
  <c r="J1686" i="2" s="1"/>
  <c r="I1687" i="2" a="1"/>
  <c r="I1687" i="2" s="1"/>
  <c r="J1687" i="2" a="1"/>
  <c r="J1687" i="2" s="1"/>
  <c r="I1688" i="2" a="1"/>
  <c r="I1688" i="2"/>
  <c r="J1688" i="2" a="1"/>
  <c r="J1688" i="2" s="1"/>
  <c r="I1689" i="2" a="1"/>
  <c r="I1689" i="2" s="1"/>
  <c r="J1689" i="2" a="1"/>
  <c r="J1689" i="2" s="1"/>
  <c r="I1690" i="2" a="1"/>
  <c r="I1690" i="2" s="1"/>
  <c r="J1690" i="2" a="1"/>
  <c r="J1690" i="2" s="1"/>
  <c r="I1691" i="2" a="1"/>
  <c r="I1691" i="2" s="1"/>
  <c r="J1691" i="2" a="1"/>
  <c r="J1691" i="2" s="1"/>
  <c r="I1692" i="2" a="1"/>
  <c r="I1692" i="2"/>
  <c r="J1692" i="2" a="1"/>
  <c r="J1692" i="2" s="1"/>
  <c r="I1693" i="2" a="1"/>
  <c r="I1693" i="2" s="1"/>
  <c r="J1693" i="2" a="1"/>
  <c r="J1693" i="2" s="1"/>
  <c r="I1694" i="2" a="1"/>
  <c r="I1694" i="2" s="1"/>
  <c r="J1694" i="2" a="1"/>
  <c r="J1694" i="2" s="1"/>
  <c r="I1695" i="2" a="1"/>
  <c r="I1695" i="2" s="1"/>
  <c r="J1695" i="2" a="1"/>
  <c r="J1695" i="2" s="1"/>
  <c r="I1696" i="2" a="1"/>
  <c r="I1696" i="2"/>
  <c r="J1696" i="2" a="1"/>
  <c r="J1696" i="2" s="1"/>
  <c r="I1697" i="2" a="1"/>
  <c r="I1697" i="2" s="1"/>
  <c r="J1697" i="2" a="1"/>
  <c r="J1697" i="2" s="1"/>
  <c r="I1698" i="2" a="1"/>
  <c r="I1698" i="2" s="1"/>
  <c r="J1698" i="2" a="1"/>
  <c r="J1698" i="2" s="1"/>
  <c r="I1699" i="2" a="1"/>
  <c r="I1699" i="2" s="1"/>
  <c r="J1699" i="2" a="1"/>
  <c r="J1699" i="2" s="1"/>
  <c r="I1700" i="2" a="1"/>
  <c r="I1700" i="2"/>
  <c r="J1700" i="2" a="1"/>
  <c r="J1700" i="2" s="1"/>
  <c r="I1701" i="2" a="1"/>
  <c r="I1701" i="2" s="1"/>
  <c r="J1701" i="2" a="1"/>
  <c r="J1701" i="2" s="1"/>
  <c r="I1702" i="2" a="1"/>
  <c r="I1702" i="2"/>
  <c r="J1702" i="2" a="1"/>
  <c r="J1702" i="2" s="1"/>
  <c r="I1703" i="2" a="1"/>
  <c r="I1703" i="2" s="1"/>
  <c r="J1703" i="2" a="1"/>
  <c r="J1703" i="2" s="1"/>
  <c r="I1704" i="2" a="1"/>
  <c r="I1704" i="2"/>
  <c r="J1704" i="2" a="1"/>
  <c r="J1704" i="2" s="1"/>
  <c r="I1705" i="2" a="1"/>
  <c r="I1705" i="2" s="1"/>
  <c r="J1705" i="2" a="1"/>
  <c r="J1705" i="2" s="1"/>
  <c r="I1706" i="2" a="1"/>
  <c r="I1706" i="2" s="1"/>
  <c r="J1706" i="2" a="1"/>
  <c r="J1706" i="2" s="1"/>
  <c r="I1707" i="2" a="1"/>
  <c r="I1707" i="2" s="1"/>
  <c r="J1707" i="2" a="1"/>
  <c r="J1707" i="2" s="1"/>
  <c r="I1708" i="2" a="1"/>
  <c r="I1708" i="2"/>
  <c r="J1708" i="2" a="1"/>
  <c r="J1708" i="2" s="1"/>
  <c r="I1709" i="2" a="1"/>
  <c r="I1709" i="2" s="1"/>
  <c r="J1709" i="2" a="1"/>
  <c r="J1709" i="2" s="1"/>
  <c r="I1710" i="2" a="1"/>
  <c r="I1710" i="2" s="1"/>
  <c r="J1710" i="2" a="1"/>
  <c r="J1710" i="2" s="1"/>
  <c r="I1711" i="2" a="1"/>
  <c r="I1711" i="2" s="1"/>
  <c r="J1711" i="2" a="1"/>
  <c r="J1711" i="2" s="1"/>
  <c r="I1712" i="2" a="1"/>
  <c r="I1712" i="2" s="1"/>
  <c r="J1712" i="2" a="1"/>
  <c r="J1712" i="2" s="1"/>
  <c r="I1713" i="2" a="1"/>
  <c r="I1713" i="2" s="1"/>
  <c r="J1713" i="2" a="1"/>
  <c r="J1713" i="2" s="1"/>
  <c r="I1714" i="2" a="1"/>
  <c r="I1714" i="2" s="1"/>
  <c r="J1714" i="2" a="1"/>
  <c r="J1714" i="2" s="1"/>
  <c r="I1715" i="2" a="1"/>
  <c r="I1715" i="2" s="1"/>
  <c r="J1715" i="2" a="1"/>
  <c r="J1715" i="2" s="1"/>
  <c r="I1716" i="2" a="1"/>
  <c r="I1716" i="2"/>
  <c r="J1716" i="2" a="1"/>
  <c r="J1716" i="2" s="1"/>
  <c r="I1717" i="2" a="1"/>
  <c r="I1717" i="2" s="1"/>
  <c r="J1717" i="2" a="1"/>
  <c r="J1717" i="2" s="1"/>
  <c r="I1718" i="2" a="1"/>
  <c r="I1718" i="2"/>
  <c r="J1718" i="2" a="1"/>
  <c r="J1718" i="2" s="1"/>
  <c r="I1719" i="2" a="1"/>
  <c r="I1719" i="2" s="1"/>
  <c r="J1719" i="2" a="1"/>
  <c r="J1719" i="2" s="1"/>
  <c r="I1720" i="2" a="1"/>
  <c r="I1720" i="2"/>
  <c r="J1720" i="2" a="1"/>
  <c r="J1720" i="2" s="1"/>
  <c r="I1721" i="2" a="1"/>
  <c r="I1721" i="2" s="1"/>
  <c r="J1721" i="2" a="1"/>
  <c r="J1721" i="2" s="1"/>
  <c r="I1722" i="2" a="1"/>
  <c r="I1722" i="2" s="1"/>
  <c r="J1722" i="2" a="1"/>
  <c r="J1722" i="2" s="1"/>
  <c r="I1723" i="2" a="1"/>
  <c r="I1723" i="2" s="1"/>
  <c r="J1723" i="2" a="1"/>
  <c r="J1723" i="2" s="1"/>
  <c r="I1724" i="2" a="1"/>
  <c r="I1724" i="2"/>
  <c r="J1724" i="2" a="1"/>
  <c r="J1724" i="2" s="1"/>
  <c r="I1725" i="2" a="1"/>
  <c r="I1725" i="2" s="1"/>
  <c r="J1725" i="2" a="1"/>
  <c r="J1725" i="2" s="1"/>
  <c r="I1726" i="2" a="1"/>
  <c r="I1726" i="2" s="1"/>
  <c r="J1726" i="2" a="1"/>
  <c r="J1726" i="2" s="1"/>
  <c r="I1727" i="2" a="1"/>
  <c r="I1727" i="2" s="1"/>
  <c r="J1727" i="2" a="1"/>
  <c r="J1727" i="2" s="1"/>
  <c r="I1728" i="2" a="1"/>
  <c r="I1728" i="2"/>
  <c r="J1728" i="2" a="1"/>
  <c r="J1728" i="2" s="1"/>
  <c r="I1729" i="2" a="1"/>
  <c r="I1729" i="2" s="1"/>
  <c r="J1729" i="2" a="1"/>
  <c r="J1729" i="2" s="1"/>
  <c r="I1730" i="2" a="1"/>
  <c r="I1730" i="2" s="1"/>
  <c r="J1730" i="2" a="1"/>
  <c r="J1730" i="2" s="1"/>
  <c r="I1731" i="2" a="1"/>
  <c r="I1731" i="2" s="1"/>
  <c r="J1731" i="2" a="1"/>
  <c r="J1731" i="2" s="1"/>
  <c r="I1732" i="2" a="1"/>
  <c r="I1732" i="2"/>
  <c r="J1732" i="2" a="1"/>
  <c r="J1732" i="2" s="1"/>
  <c r="I1733" i="2" a="1"/>
  <c r="I1733" i="2" s="1"/>
  <c r="J1733" i="2" a="1"/>
  <c r="J1733" i="2" s="1"/>
  <c r="I1734" i="2" a="1"/>
  <c r="I1734" i="2"/>
  <c r="J1734" i="2" a="1"/>
  <c r="J1734" i="2" s="1"/>
  <c r="I1735" i="2" a="1"/>
  <c r="I1735" i="2" s="1"/>
  <c r="J1735" i="2" a="1"/>
  <c r="J1735" i="2" s="1"/>
  <c r="I1736" i="2" a="1"/>
  <c r="I1736" i="2"/>
  <c r="J1736" i="2" a="1"/>
  <c r="J1736" i="2" s="1"/>
  <c r="I1737" i="2" a="1"/>
  <c r="I1737" i="2" s="1"/>
  <c r="J1737" i="2" a="1"/>
  <c r="J1737" i="2" s="1"/>
  <c r="I1738" i="2" a="1"/>
  <c r="I1738" i="2" s="1"/>
  <c r="J1738" i="2" a="1"/>
  <c r="J1738" i="2" s="1"/>
  <c r="I1739" i="2" a="1"/>
  <c r="I1739" i="2" s="1"/>
  <c r="J1739" i="2" a="1"/>
  <c r="J1739" i="2" s="1"/>
  <c r="I1740" i="2" a="1"/>
  <c r="I1740" i="2"/>
  <c r="J1740" i="2" a="1"/>
  <c r="J1740" i="2" s="1"/>
  <c r="I1741" i="2" a="1"/>
  <c r="I1741" i="2" s="1"/>
  <c r="J1741" i="2" a="1"/>
  <c r="J1741" i="2" s="1"/>
  <c r="I1742" i="2" a="1"/>
  <c r="I1742" i="2" s="1"/>
  <c r="J1742" i="2" a="1"/>
  <c r="J1742" i="2" s="1"/>
  <c r="I1743" i="2" a="1"/>
  <c r="I1743" i="2" s="1"/>
  <c r="J1743" i="2" a="1"/>
  <c r="J1743" i="2" s="1"/>
  <c r="I1744" i="2" a="1"/>
  <c r="I1744" i="2" s="1"/>
  <c r="J1744" i="2" a="1"/>
  <c r="J1744" i="2" s="1"/>
  <c r="I1745" i="2" a="1"/>
  <c r="I1745" i="2" s="1"/>
  <c r="J1745" i="2" a="1"/>
  <c r="J1745" i="2" s="1"/>
  <c r="I1746" i="2" a="1"/>
  <c r="I1746" i="2" s="1"/>
  <c r="J1746" i="2" a="1"/>
  <c r="J1746" i="2" s="1"/>
  <c r="I1747" i="2" a="1"/>
  <c r="I1747" i="2" s="1"/>
  <c r="J1747" i="2" a="1"/>
  <c r="J1747" i="2" s="1"/>
  <c r="I1748" i="2" a="1"/>
  <c r="I1748" i="2"/>
  <c r="J1748" i="2" a="1"/>
  <c r="J1748" i="2" s="1"/>
  <c r="I1749" i="2" a="1"/>
  <c r="I1749" i="2" s="1"/>
  <c r="J1749" i="2" a="1"/>
  <c r="J1749" i="2" s="1"/>
  <c r="I1750" i="2" a="1"/>
  <c r="I1750" i="2"/>
  <c r="J1750" i="2" a="1"/>
  <c r="J1750" i="2" s="1"/>
  <c r="I1751" i="2" a="1"/>
  <c r="I1751" i="2" s="1"/>
  <c r="J1751" i="2" a="1"/>
  <c r="J1751" i="2" s="1"/>
  <c r="I1752" i="2" a="1"/>
  <c r="I1752" i="2"/>
  <c r="J1752" i="2" a="1"/>
  <c r="J1752" i="2" s="1"/>
  <c r="I1753" i="2" a="1"/>
  <c r="I1753" i="2" s="1"/>
  <c r="J1753" i="2" a="1"/>
  <c r="J1753" i="2" s="1"/>
  <c r="I1754" i="2" a="1"/>
  <c r="I1754" i="2" s="1"/>
  <c r="J1754" i="2" a="1"/>
  <c r="J1754" i="2" s="1"/>
  <c r="I1755" i="2" a="1"/>
  <c r="I1755" i="2" s="1"/>
  <c r="J1755" i="2" a="1"/>
  <c r="J1755" i="2" s="1"/>
  <c r="I1756" i="2" a="1"/>
  <c r="I1756" i="2"/>
  <c r="J1756" i="2" a="1"/>
  <c r="J1756" i="2" s="1"/>
  <c r="I1757" i="2" a="1"/>
  <c r="I1757" i="2" s="1"/>
  <c r="J1757" i="2" a="1"/>
  <c r="J1757" i="2" s="1"/>
  <c r="I1758" i="2" a="1"/>
  <c r="I1758" i="2" s="1"/>
  <c r="J1758" i="2" a="1"/>
  <c r="J1758" i="2" s="1"/>
  <c r="I1759" i="2" a="1"/>
  <c r="I1759" i="2" s="1"/>
  <c r="J1759" i="2" a="1"/>
  <c r="J1759" i="2" s="1"/>
  <c r="I1760" i="2" a="1"/>
  <c r="I1760" i="2"/>
  <c r="J1760" i="2" a="1"/>
  <c r="J1760" i="2" s="1"/>
  <c r="I1761" i="2" a="1"/>
  <c r="I1761" i="2" s="1"/>
  <c r="J1761" i="2" a="1"/>
  <c r="J1761" i="2" s="1"/>
  <c r="I1762" i="2" a="1"/>
  <c r="I1762" i="2" s="1"/>
  <c r="J1762" i="2" a="1"/>
  <c r="J1762" i="2" s="1"/>
  <c r="I1763" i="2" a="1"/>
  <c r="I1763" i="2" s="1"/>
  <c r="J1763" i="2" a="1"/>
  <c r="J1763" i="2" s="1"/>
  <c r="I1764" i="2" a="1"/>
  <c r="I1764" i="2"/>
  <c r="J1764" i="2" a="1"/>
  <c r="J1764" i="2" s="1"/>
  <c r="I1765" i="2" a="1"/>
  <c r="I1765" i="2" s="1"/>
  <c r="J1765" i="2" a="1"/>
  <c r="J1765" i="2" s="1"/>
  <c r="I1766" i="2" a="1"/>
  <c r="I1766" i="2"/>
  <c r="J1766" i="2" a="1"/>
  <c r="J1766" i="2" s="1"/>
  <c r="I1767" i="2" a="1"/>
  <c r="I1767" i="2" s="1"/>
  <c r="J1767" i="2" a="1"/>
  <c r="J1767" i="2" s="1"/>
  <c r="I1768" i="2" a="1"/>
  <c r="I1768" i="2"/>
  <c r="J1768" i="2" a="1"/>
  <c r="J1768" i="2" s="1"/>
  <c r="I1769" i="2" a="1"/>
  <c r="I1769" i="2" s="1"/>
  <c r="J1769" i="2" a="1"/>
  <c r="J1769" i="2" s="1"/>
  <c r="I1770" i="2" a="1"/>
  <c r="I1770" i="2" s="1"/>
  <c r="J1770" i="2" a="1"/>
  <c r="J1770" i="2" s="1"/>
  <c r="I1771" i="2" a="1"/>
  <c r="I1771" i="2" s="1"/>
  <c r="J1771" i="2" a="1"/>
  <c r="J1771" i="2" s="1"/>
  <c r="I1772" i="2" a="1"/>
  <c r="I1772" i="2"/>
  <c r="J1772" i="2" a="1"/>
  <c r="J1772" i="2" s="1"/>
  <c r="I1773" i="2" a="1"/>
  <c r="I1773" i="2" s="1"/>
  <c r="J1773" i="2" a="1"/>
  <c r="J1773" i="2" s="1"/>
  <c r="I1774" i="2" a="1"/>
  <c r="I1774" i="2" s="1"/>
  <c r="J1774" i="2" a="1"/>
  <c r="J1774" i="2" s="1"/>
  <c r="I1775" i="2" a="1"/>
  <c r="I1775" i="2" s="1"/>
  <c r="J1775" i="2" a="1"/>
  <c r="J1775" i="2" s="1"/>
  <c r="I1776" i="2" a="1"/>
  <c r="I1776" i="2" s="1"/>
  <c r="J1776" i="2" a="1"/>
  <c r="J1776" i="2" s="1"/>
  <c r="I1777" i="2" a="1"/>
  <c r="I1777" i="2" s="1"/>
  <c r="J1777" i="2" a="1"/>
  <c r="J1777" i="2" s="1"/>
  <c r="I1778" i="2" a="1"/>
  <c r="I1778" i="2" s="1"/>
  <c r="J1778" i="2" a="1"/>
  <c r="J1778" i="2" s="1"/>
  <c r="I1779" i="2" a="1"/>
  <c r="I1779" i="2" s="1"/>
  <c r="J1779" i="2" a="1"/>
  <c r="J1779" i="2" s="1"/>
  <c r="I1780" i="2" a="1"/>
  <c r="I1780" i="2"/>
  <c r="J1780" i="2" a="1"/>
  <c r="J1780" i="2" s="1"/>
  <c r="I1781" i="2" a="1"/>
  <c r="I1781" i="2" s="1"/>
  <c r="J1781" i="2" a="1"/>
  <c r="J1781" i="2" s="1"/>
  <c r="I1782" i="2" a="1"/>
  <c r="I1782" i="2"/>
  <c r="J1782" i="2" a="1"/>
  <c r="J1782" i="2" s="1"/>
  <c r="I1783" i="2" a="1"/>
  <c r="I1783" i="2" s="1"/>
  <c r="J1783" i="2" a="1"/>
  <c r="J1783" i="2" s="1"/>
  <c r="I1784" i="2" a="1"/>
  <c r="I1784" i="2"/>
  <c r="J1784" i="2" a="1"/>
  <c r="J1784" i="2" s="1"/>
  <c r="I1785" i="2" a="1"/>
  <c r="I1785" i="2" s="1"/>
  <c r="J1785" i="2" a="1"/>
  <c r="J1785" i="2" s="1"/>
  <c r="I1786" i="2" a="1"/>
  <c r="I1786" i="2" s="1"/>
  <c r="J1786" i="2" a="1"/>
  <c r="J1786" i="2" s="1"/>
  <c r="I1787" i="2" a="1"/>
  <c r="I1787" i="2" s="1"/>
  <c r="J1787" i="2" a="1"/>
  <c r="J1787" i="2" s="1"/>
  <c r="I1788" i="2" a="1"/>
  <c r="I1788" i="2"/>
  <c r="J1788" i="2" a="1"/>
  <c r="J1788" i="2" s="1"/>
  <c r="I1789" i="2" a="1"/>
  <c r="I1789" i="2" s="1"/>
  <c r="J1789" i="2" a="1"/>
  <c r="J1789" i="2" s="1"/>
  <c r="I1790" i="2" a="1"/>
  <c r="I1790" i="2" s="1"/>
  <c r="J1790" i="2" a="1"/>
  <c r="J1790" i="2" s="1"/>
  <c r="I1791" i="2" a="1"/>
  <c r="I1791" i="2" s="1"/>
  <c r="J1791" i="2" a="1"/>
  <c r="J1791" i="2" s="1"/>
  <c r="I1792" i="2" a="1"/>
  <c r="I1792" i="2"/>
  <c r="J1792" i="2" a="1"/>
  <c r="J1792" i="2" s="1"/>
  <c r="I1793" i="2" a="1"/>
  <c r="I1793" i="2" s="1"/>
  <c r="J1793" i="2" a="1"/>
  <c r="J1793" i="2" s="1"/>
  <c r="I1794" i="2" a="1"/>
  <c r="I1794" i="2" s="1"/>
  <c r="J1794" i="2" a="1"/>
  <c r="J1794" i="2" s="1"/>
  <c r="I1795" i="2" a="1"/>
  <c r="I1795" i="2" s="1"/>
  <c r="J1795" i="2" a="1"/>
  <c r="J1795" i="2" s="1"/>
  <c r="I1796" i="2" a="1"/>
  <c r="I1796" i="2"/>
  <c r="J1796" i="2" a="1"/>
  <c r="J1796" i="2" s="1"/>
  <c r="I1797" i="2" a="1"/>
  <c r="I1797" i="2" s="1"/>
  <c r="J1797" i="2" a="1"/>
  <c r="J1797" i="2" s="1"/>
  <c r="I1798" i="2" a="1"/>
  <c r="I1798" i="2"/>
  <c r="J1798" i="2" a="1"/>
  <c r="J1798" i="2" s="1"/>
  <c r="I1799" i="2" a="1"/>
  <c r="I1799" i="2" s="1"/>
  <c r="J1799" i="2" a="1"/>
  <c r="J1799" i="2" s="1"/>
  <c r="I1800" i="2" a="1"/>
  <c r="I1800" i="2"/>
  <c r="J1800" i="2" a="1"/>
  <c r="J1800" i="2" s="1"/>
  <c r="I1801" i="2" a="1"/>
  <c r="I1801" i="2" s="1"/>
  <c r="J1801" i="2" a="1"/>
  <c r="J1801" i="2" s="1"/>
  <c r="I1802" i="2" a="1"/>
  <c r="I1802" i="2" s="1"/>
  <c r="J1802" i="2" a="1"/>
  <c r="J1802" i="2" s="1"/>
  <c r="I1803" i="2" a="1"/>
  <c r="I1803" i="2" s="1"/>
  <c r="J1803" i="2" a="1"/>
  <c r="J1803" i="2" s="1"/>
  <c r="I1804" i="2" a="1"/>
  <c r="I1804" i="2"/>
  <c r="J1804" i="2" a="1"/>
  <c r="J1804" i="2" s="1"/>
  <c r="I1805" i="2" a="1"/>
  <c r="I1805" i="2" s="1"/>
  <c r="J1805" i="2" a="1"/>
  <c r="J1805" i="2" s="1"/>
  <c r="I1806" i="2" a="1"/>
  <c r="I1806" i="2" s="1"/>
  <c r="J1806" i="2" a="1"/>
  <c r="J1806" i="2" s="1"/>
  <c r="I1807" i="2" a="1"/>
  <c r="I1807" i="2" s="1"/>
  <c r="J1807" i="2" a="1"/>
  <c r="J1807" i="2" s="1"/>
  <c r="I1808" i="2" a="1"/>
  <c r="I1808" i="2"/>
  <c r="J1808" i="2" a="1"/>
  <c r="J1808" i="2" s="1"/>
  <c r="I1809" i="2" a="1"/>
  <c r="I1809" i="2" s="1"/>
  <c r="J1809" i="2" a="1"/>
  <c r="J1809" i="2" s="1"/>
  <c r="I1810" i="2" a="1"/>
  <c r="I1810" i="2" s="1"/>
  <c r="J1810" i="2" a="1"/>
  <c r="J1810" i="2" s="1"/>
  <c r="I1811" i="2" a="1"/>
  <c r="I1811" i="2" s="1"/>
  <c r="J1811" i="2" a="1"/>
  <c r="J1811" i="2" s="1"/>
  <c r="I1812" i="2" a="1"/>
  <c r="I1812" i="2"/>
  <c r="J1812" i="2" a="1"/>
  <c r="J1812" i="2" s="1"/>
  <c r="I1813" i="2" a="1"/>
  <c r="I1813" i="2" s="1"/>
  <c r="J1813" i="2" a="1"/>
  <c r="J1813" i="2" s="1"/>
  <c r="I1814" i="2" a="1"/>
  <c r="I1814" i="2"/>
  <c r="J1814" i="2" a="1"/>
  <c r="J1814" i="2" s="1"/>
  <c r="I1815" i="2" a="1"/>
  <c r="I1815" i="2" s="1"/>
  <c r="J1815" i="2" a="1"/>
  <c r="J1815" i="2" s="1"/>
  <c r="I1816" i="2" a="1"/>
  <c r="I1816" i="2"/>
  <c r="J1816" i="2" a="1"/>
  <c r="J1816" i="2" s="1"/>
  <c r="I1817" i="2" a="1"/>
  <c r="I1817" i="2" s="1"/>
  <c r="J1817" i="2" a="1"/>
  <c r="J1817" i="2" s="1"/>
  <c r="I1818" i="2" a="1"/>
  <c r="I1818" i="2" s="1"/>
  <c r="J1818" i="2" a="1"/>
  <c r="J1818" i="2" s="1"/>
  <c r="I1819" i="2" a="1"/>
  <c r="I1819" i="2" s="1"/>
  <c r="J1819" i="2" a="1"/>
  <c r="J1819" i="2" s="1"/>
  <c r="I1820" i="2" a="1"/>
  <c r="I1820" i="2"/>
  <c r="J1820" i="2" a="1"/>
  <c r="J1820" i="2" s="1"/>
  <c r="I1821" i="2" a="1"/>
  <c r="I1821" i="2" s="1"/>
  <c r="J1821" i="2" a="1"/>
  <c r="J1821" i="2" s="1"/>
  <c r="I1822" i="2" a="1"/>
  <c r="I1822" i="2" s="1"/>
  <c r="J1822" i="2" a="1"/>
  <c r="J1822" i="2" s="1"/>
  <c r="I1823" i="2" a="1"/>
  <c r="I1823" i="2" s="1"/>
  <c r="J1823" i="2" a="1"/>
  <c r="J1823" i="2" s="1"/>
  <c r="I1824" i="2" a="1"/>
  <c r="I1824" i="2"/>
  <c r="J1824" i="2" a="1"/>
  <c r="J1824" i="2" s="1"/>
  <c r="I1825" i="2" a="1"/>
  <c r="I1825" i="2" s="1"/>
  <c r="J1825" i="2" a="1"/>
  <c r="J1825" i="2" s="1"/>
  <c r="I1826" i="2" a="1"/>
  <c r="I1826" i="2" s="1"/>
  <c r="J1826" i="2" a="1"/>
  <c r="J1826" i="2" s="1"/>
  <c r="I1827" i="2" a="1"/>
  <c r="I1827" i="2" s="1"/>
  <c r="J1827" i="2" a="1"/>
  <c r="J1827" i="2" s="1"/>
  <c r="I1828" i="2" a="1"/>
  <c r="I1828" i="2"/>
  <c r="J1828" i="2" a="1"/>
  <c r="J1828" i="2" s="1"/>
  <c r="I1829" i="2" a="1"/>
  <c r="I1829" i="2" s="1"/>
  <c r="J1829" i="2" a="1"/>
  <c r="J1829" i="2" s="1"/>
  <c r="I1830" i="2" a="1"/>
  <c r="I1830" i="2"/>
  <c r="J1830" i="2" a="1"/>
  <c r="J1830" i="2" s="1"/>
  <c r="I1831" i="2" a="1"/>
  <c r="I1831" i="2" s="1"/>
  <c r="J1831" i="2" a="1"/>
  <c r="J1831" i="2" s="1"/>
  <c r="I1832" i="2" a="1"/>
  <c r="I1832" i="2"/>
  <c r="J1832" i="2" a="1"/>
  <c r="J1832" i="2" s="1"/>
  <c r="I1833" i="2" a="1"/>
  <c r="I1833" i="2" s="1"/>
  <c r="J1833" i="2" a="1"/>
  <c r="J1833" i="2" s="1"/>
  <c r="I1834" i="2" a="1"/>
  <c r="I1834" i="2" s="1"/>
  <c r="J1834" i="2" a="1"/>
  <c r="J1834" i="2" s="1"/>
  <c r="I1835" i="2" a="1"/>
  <c r="I1835" i="2" s="1"/>
  <c r="J1835" i="2" a="1"/>
  <c r="J1835" i="2" s="1"/>
  <c r="I1836" i="2" a="1"/>
  <c r="I1836" i="2"/>
  <c r="J1836" i="2" a="1"/>
  <c r="J1836" i="2" s="1"/>
  <c r="I1837" i="2" a="1"/>
  <c r="I1837" i="2" s="1"/>
  <c r="J1837" i="2" a="1"/>
  <c r="J1837" i="2" s="1"/>
  <c r="I1838" i="2" a="1"/>
  <c r="I1838" i="2" s="1"/>
  <c r="J1838" i="2" a="1"/>
  <c r="J1838" i="2" s="1"/>
  <c r="I1839" i="2" a="1"/>
  <c r="I1839" i="2" s="1"/>
  <c r="J1839" i="2" a="1"/>
  <c r="J1839" i="2" s="1"/>
  <c r="I1840" i="2" a="1"/>
  <c r="I1840" i="2" s="1"/>
  <c r="J1840" i="2" a="1"/>
  <c r="J1840" i="2" s="1"/>
  <c r="I1841" i="2" a="1"/>
  <c r="I1841" i="2" s="1"/>
  <c r="J1841" i="2" a="1"/>
  <c r="J1841" i="2" s="1"/>
  <c r="I1842" i="2" a="1"/>
  <c r="I1842" i="2" s="1"/>
  <c r="J1842" i="2" a="1"/>
  <c r="J1842" i="2" s="1"/>
  <c r="I1843" i="2" a="1"/>
  <c r="I1843" i="2" s="1"/>
  <c r="J1843" i="2" a="1"/>
  <c r="J1843" i="2" s="1"/>
  <c r="I1844" i="2" a="1"/>
  <c r="I1844" i="2"/>
  <c r="J1844" i="2" a="1"/>
  <c r="J1844" i="2" s="1"/>
  <c r="I1845" i="2" a="1"/>
  <c r="I1845" i="2" s="1"/>
  <c r="J1845" i="2" a="1"/>
  <c r="J1845" i="2" s="1"/>
  <c r="I1846" i="2" a="1"/>
  <c r="I1846" i="2"/>
  <c r="J1846" i="2" a="1"/>
  <c r="J1846" i="2" s="1"/>
  <c r="I1847" i="2" a="1"/>
  <c r="I1847" i="2" s="1"/>
  <c r="J1847" i="2" a="1"/>
  <c r="J1847" i="2" s="1"/>
  <c r="I1848" i="2" a="1"/>
  <c r="I1848" i="2"/>
  <c r="J1848" i="2" a="1"/>
  <c r="J1848" i="2"/>
  <c r="I1849" i="2" a="1"/>
  <c r="I1849" i="2" s="1"/>
  <c r="J1849" i="2" a="1"/>
  <c r="J1849" i="2" s="1"/>
  <c r="I1850" i="2" a="1"/>
  <c r="I1850" i="2"/>
  <c r="J1850" i="2" a="1"/>
  <c r="J1850" i="2"/>
  <c r="I1851" i="2" a="1"/>
  <c r="I1851" i="2" s="1"/>
  <c r="J1851" i="2" a="1"/>
  <c r="J1851" i="2" s="1"/>
  <c r="I1852" i="2" a="1"/>
  <c r="I1852" i="2"/>
  <c r="J1852" i="2" a="1"/>
  <c r="J1852" i="2"/>
  <c r="I1853" i="2" a="1"/>
  <c r="I1853" i="2" s="1"/>
  <c r="J1853" i="2" a="1"/>
  <c r="J1853" i="2" s="1"/>
  <c r="I1854" i="2" a="1"/>
  <c r="I1854" i="2"/>
  <c r="J1854" i="2" a="1"/>
  <c r="J1854" i="2"/>
  <c r="I1855" i="2" a="1"/>
  <c r="I1855" i="2" s="1"/>
  <c r="J1855" i="2" a="1"/>
  <c r="J1855" i="2" s="1"/>
  <c r="I1856" i="2" a="1"/>
  <c r="I1856" i="2"/>
  <c r="J1856" i="2" a="1"/>
  <c r="J1856" i="2"/>
  <c r="I1857" i="2" a="1"/>
  <c r="I1857" i="2" s="1"/>
  <c r="J1857" i="2" a="1"/>
  <c r="J1857" i="2" s="1"/>
  <c r="I1858" i="2" a="1"/>
  <c r="I1858" i="2"/>
  <c r="J1858" i="2" a="1"/>
  <c r="J1858" i="2"/>
  <c r="I1859" i="2" a="1"/>
  <c r="I1859" i="2" s="1"/>
  <c r="J1859" i="2" a="1"/>
  <c r="J1859" i="2" s="1"/>
  <c r="I1860" i="2" a="1"/>
  <c r="I1860" i="2"/>
  <c r="J1860" i="2" a="1"/>
  <c r="J1860" i="2"/>
  <c r="I1861" i="2" a="1"/>
  <c r="I1861" i="2" s="1"/>
  <c r="J1861" i="2" a="1"/>
  <c r="J1861" i="2" s="1"/>
  <c r="I1862" i="2" a="1"/>
  <c r="I1862" i="2"/>
  <c r="J1862" i="2" a="1"/>
  <c r="J1862" i="2"/>
  <c r="I1863" i="2" a="1"/>
  <c r="I1863" i="2" s="1"/>
  <c r="J1863" i="2" a="1"/>
  <c r="J1863" i="2" s="1"/>
  <c r="I1864" i="2" a="1"/>
  <c r="I1864" i="2"/>
  <c r="J1864" i="2" a="1"/>
  <c r="J1864" i="2"/>
  <c r="I1865" i="2" a="1"/>
  <c r="I1865" i="2" s="1"/>
  <c r="J1865" i="2" a="1"/>
  <c r="J1865" i="2" s="1"/>
  <c r="I1866" i="2" a="1"/>
  <c r="I1866" i="2"/>
  <c r="J1866" i="2" a="1"/>
  <c r="J1866" i="2"/>
  <c r="I1867" i="2" a="1"/>
  <c r="I1867" i="2" s="1"/>
  <c r="J1867" i="2" a="1"/>
  <c r="J1867" i="2" s="1"/>
  <c r="I1868" i="2" a="1"/>
  <c r="I1868" i="2"/>
  <c r="J1868" i="2" a="1"/>
  <c r="J1868" i="2"/>
  <c r="I1869" i="2" a="1"/>
  <c r="I1869" i="2" s="1"/>
  <c r="J1869" i="2" a="1"/>
  <c r="J1869" i="2" s="1"/>
  <c r="I1870" i="2" a="1"/>
  <c r="I1870" i="2"/>
  <c r="J1870" i="2" a="1"/>
  <c r="J1870" i="2"/>
  <c r="I1871" i="2" a="1"/>
  <c r="I1871" i="2" s="1"/>
  <c r="J1871" i="2" a="1"/>
  <c r="J1871" i="2" s="1"/>
  <c r="I1872" i="2" a="1"/>
  <c r="I1872" i="2"/>
  <c r="J1872" i="2" a="1"/>
  <c r="J1872" i="2"/>
  <c r="I1873" i="2" a="1"/>
  <c r="I1873" i="2" s="1"/>
  <c r="J1873" i="2" a="1"/>
  <c r="J1873" i="2" s="1"/>
  <c r="I1874" i="2" a="1"/>
  <c r="I1874" i="2"/>
  <c r="J1874" i="2" a="1"/>
  <c r="J1874" i="2"/>
  <c r="I1875" i="2" a="1"/>
  <c r="I1875" i="2" s="1"/>
  <c r="J1875" i="2" a="1"/>
  <c r="J1875" i="2" s="1"/>
  <c r="I1876" i="2" a="1"/>
  <c r="I1876" i="2"/>
  <c r="J1876" i="2" a="1"/>
  <c r="J1876" i="2"/>
  <c r="I1877" i="2" a="1"/>
  <c r="I1877" i="2" s="1"/>
  <c r="J1877" i="2" a="1"/>
  <c r="J1877" i="2" s="1"/>
  <c r="I1878" i="2" a="1"/>
  <c r="I1878" i="2"/>
  <c r="J1878" i="2" a="1"/>
  <c r="J1878" i="2" s="1"/>
  <c r="I1879" i="2" a="1"/>
  <c r="I1879" i="2" s="1"/>
  <c r="J1879" i="2" a="1"/>
  <c r="J1879" i="2" s="1"/>
  <c r="I1880" i="2" a="1"/>
  <c r="I1880" i="2"/>
  <c r="J1880" i="2" a="1"/>
  <c r="J1880" i="2" s="1"/>
  <c r="I1881" i="2" a="1"/>
  <c r="I1881" i="2"/>
  <c r="J1881" i="2" a="1"/>
  <c r="J1881" i="2" s="1"/>
  <c r="I1882" i="2" a="1"/>
  <c r="I1882" i="2"/>
  <c r="J1882" i="2" a="1"/>
  <c r="J1882" i="2" s="1"/>
  <c r="I1883" i="2" a="1"/>
  <c r="I1883" i="2" s="1"/>
  <c r="J1883" i="2" a="1"/>
  <c r="J1883" i="2" s="1"/>
  <c r="I1884" i="2" a="1"/>
  <c r="I1884" i="2"/>
  <c r="J1884" i="2" a="1"/>
  <c r="J1884" i="2" s="1"/>
  <c r="I1885" i="2" a="1"/>
  <c r="I1885" i="2" s="1"/>
  <c r="J1885" i="2" a="1"/>
  <c r="J1885" i="2" s="1"/>
  <c r="I1886" i="2" a="1"/>
  <c r="I1886" i="2"/>
  <c r="J1886" i="2" a="1"/>
  <c r="J1886" i="2" s="1"/>
  <c r="I1887" i="2" a="1"/>
  <c r="I1887" i="2" s="1"/>
  <c r="J1887" i="2" a="1"/>
  <c r="J1887" i="2" s="1"/>
  <c r="I1888" i="2" a="1"/>
  <c r="I1888" i="2"/>
  <c r="J1888" i="2" a="1"/>
  <c r="J1888" i="2" s="1"/>
  <c r="I1889" i="2" a="1"/>
  <c r="I1889" i="2"/>
  <c r="J1889" i="2" a="1"/>
  <c r="J1889" i="2" s="1"/>
  <c r="I1890" i="2" a="1"/>
  <c r="I1890" i="2"/>
  <c r="J1890" i="2" a="1"/>
  <c r="J1890" i="2" s="1"/>
  <c r="I1891" i="2" a="1"/>
  <c r="I1891" i="2" s="1"/>
  <c r="J1891" i="2" a="1"/>
  <c r="J1891" i="2" s="1"/>
  <c r="I1892" i="2" a="1"/>
  <c r="I1892" i="2"/>
  <c r="J1892" i="2" a="1"/>
  <c r="J1892" i="2" s="1"/>
  <c r="I1893" i="2" a="1"/>
  <c r="I1893" i="2" s="1"/>
  <c r="J1893" i="2" a="1"/>
  <c r="J1893" i="2" s="1"/>
  <c r="I1894" i="2" a="1"/>
  <c r="I1894" i="2"/>
  <c r="J1894" i="2" a="1"/>
  <c r="J1894" i="2" s="1"/>
  <c r="I1895" i="2" a="1"/>
  <c r="I1895" i="2" s="1"/>
  <c r="J1895" i="2" a="1"/>
  <c r="J1895" i="2" s="1"/>
  <c r="I1896" i="2" a="1"/>
  <c r="I1896" i="2"/>
  <c r="J1896" i="2" a="1"/>
  <c r="J1896" i="2" s="1"/>
  <c r="I1897" i="2" a="1"/>
  <c r="I1897" i="2"/>
  <c r="J1897" i="2" a="1"/>
  <c r="J1897" i="2" s="1"/>
  <c r="I1898" i="2" a="1"/>
  <c r="I1898" i="2"/>
  <c r="J1898" i="2" a="1"/>
  <c r="J1898" i="2" s="1"/>
  <c r="I1899" i="2" a="1"/>
  <c r="I1899" i="2" s="1"/>
  <c r="J1899" i="2" a="1"/>
  <c r="J1899" i="2" s="1"/>
  <c r="I1900" i="2" a="1"/>
  <c r="I1900" i="2"/>
  <c r="J1900" i="2" a="1"/>
  <c r="J1900" i="2" s="1"/>
  <c r="I1901" i="2" a="1"/>
  <c r="I1901" i="2" s="1"/>
  <c r="J1901" i="2" a="1"/>
  <c r="J1901" i="2" s="1"/>
  <c r="I1902" i="2" a="1"/>
  <c r="I1902" i="2"/>
  <c r="J1902" i="2" a="1"/>
  <c r="J1902" i="2" s="1"/>
  <c r="I1903" i="2" a="1"/>
  <c r="I1903" i="2" s="1"/>
  <c r="J1903" i="2" a="1"/>
  <c r="J1903" i="2" s="1"/>
  <c r="I1904" i="2" a="1"/>
  <c r="I1904" i="2"/>
  <c r="J1904" i="2" a="1"/>
  <c r="J1904" i="2" s="1"/>
  <c r="I1905" i="2" a="1"/>
  <c r="I1905" i="2"/>
  <c r="J1905" i="2" a="1"/>
  <c r="J1905" i="2" s="1"/>
  <c r="I1906" i="2" a="1"/>
  <c r="I1906" i="2"/>
  <c r="J1906" i="2" a="1"/>
  <c r="J1906" i="2" s="1"/>
  <c r="I1907" i="2" a="1"/>
  <c r="I1907" i="2" s="1"/>
  <c r="J1907" i="2" a="1"/>
  <c r="J1907" i="2" s="1"/>
  <c r="I1908" i="2" a="1"/>
  <c r="I1908" i="2"/>
  <c r="J1908" i="2" a="1"/>
  <c r="J1908" i="2" s="1"/>
  <c r="I1909" i="2" a="1"/>
  <c r="I1909" i="2" s="1"/>
  <c r="J1909" i="2" a="1"/>
  <c r="J1909" i="2" s="1"/>
  <c r="I1910" i="2" a="1"/>
  <c r="I1910" i="2"/>
  <c r="J1910" i="2" a="1"/>
  <c r="J1910" i="2" s="1"/>
  <c r="I1911" i="2" a="1"/>
  <c r="I1911" i="2" s="1"/>
  <c r="J1911" i="2" a="1"/>
  <c r="J1911" i="2" s="1"/>
  <c r="I1912" i="2" a="1"/>
  <c r="I1912" i="2"/>
  <c r="J1912" i="2" a="1"/>
  <c r="J1912" i="2" s="1"/>
  <c r="I1913" i="2" a="1"/>
  <c r="I1913" i="2"/>
  <c r="J1913" i="2" a="1"/>
  <c r="J1913" i="2" s="1"/>
  <c r="I1914" i="2" a="1"/>
  <c r="I1914" i="2"/>
  <c r="J1914" i="2" a="1"/>
  <c r="J1914" i="2" s="1"/>
  <c r="I1915" i="2" a="1"/>
  <c r="I1915" i="2" s="1"/>
  <c r="J1915" i="2" a="1"/>
  <c r="J1915" i="2" s="1"/>
  <c r="I1916" i="2" a="1"/>
  <c r="I1916" i="2"/>
  <c r="J1916" i="2" a="1"/>
  <c r="J1916" i="2" s="1"/>
  <c r="I1917" i="2" a="1"/>
  <c r="I1917" i="2" s="1"/>
  <c r="J1917" i="2" a="1"/>
  <c r="J1917" i="2" s="1"/>
  <c r="I1918" i="2" a="1"/>
  <c r="I1918" i="2"/>
  <c r="J1918" i="2" a="1"/>
  <c r="J1918" i="2" s="1"/>
  <c r="I1919" i="2" a="1"/>
  <c r="I1919" i="2" s="1"/>
  <c r="J1919" i="2" a="1"/>
  <c r="J1919" i="2" s="1"/>
  <c r="I1920" i="2" a="1"/>
  <c r="I1920" i="2"/>
  <c r="J1920" i="2" a="1"/>
  <c r="J1920" i="2" s="1"/>
  <c r="I1921" i="2" a="1"/>
  <c r="I1921" i="2"/>
  <c r="J1921" i="2" a="1"/>
  <c r="J1921" i="2" s="1"/>
  <c r="I1922" i="2" a="1"/>
  <c r="I1922" i="2"/>
  <c r="J1922" i="2" a="1"/>
  <c r="J1922" i="2" s="1"/>
  <c r="I1923" i="2" a="1"/>
  <c r="I1923" i="2" s="1"/>
  <c r="J1923" i="2" a="1"/>
  <c r="J1923" i="2" s="1"/>
  <c r="I1924" i="2" a="1"/>
  <c r="I1924" i="2"/>
  <c r="J1924" i="2" a="1"/>
  <c r="J1924" i="2" s="1"/>
  <c r="I1925" i="2" a="1"/>
  <c r="I1925" i="2" s="1"/>
  <c r="J1925" i="2" a="1"/>
  <c r="J1925" i="2" s="1"/>
  <c r="I1926" i="2" a="1"/>
  <c r="I1926" i="2"/>
  <c r="J1926" i="2" a="1"/>
  <c r="J1926" i="2" s="1"/>
  <c r="I1927" i="2" a="1"/>
  <c r="I1927" i="2" s="1"/>
  <c r="J1927" i="2" a="1"/>
  <c r="J1927" i="2" s="1"/>
  <c r="I1928" i="2" a="1"/>
  <c r="I1928" i="2"/>
  <c r="J1928" i="2" a="1"/>
  <c r="J1928" i="2" s="1"/>
  <c r="I1929" i="2" a="1"/>
  <c r="I1929" i="2"/>
  <c r="J1929" i="2" a="1"/>
  <c r="J1929" i="2" s="1"/>
  <c r="I1930" i="2" a="1"/>
  <c r="I1930" i="2"/>
  <c r="J1930" i="2" a="1"/>
  <c r="J1930" i="2" s="1"/>
  <c r="I1931" i="2" a="1"/>
  <c r="I1931" i="2" s="1"/>
  <c r="J1931" i="2" a="1"/>
  <c r="J1931" i="2" s="1"/>
  <c r="I1932" i="2" a="1"/>
  <c r="I1932" i="2"/>
  <c r="J1932" i="2" a="1"/>
  <c r="J1932" i="2" s="1"/>
  <c r="I1933" i="2" a="1"/>
  <c r="I1933" i="2" s="1"/>
  <c r="J1933" i="2" a="1"/>
  <c r="J1933" i="2" s="1"/>
  <c r="I1934" i="2" a="1"/>
  <c r="I1934" i="2"/>
  <c r="J1934" i="2" a="1"/>
  <c r="J1934" i="2" s="1"/>
  <c r="I1935" i="2" a="1"/>
  <c r="I1935" i="2" s="1"/>
  <c r="J1935" i="2" a="1"/>
  <c r="J1935" i="2" s="1"/>
  <c r="I1936" i="2" a="1"/>
  <c r="I1936" i="2"/>
  <c r="J1936" i="2" a="1"/>
  <c r="J1936" i="2" s="1"/>
  <c r="I1937" i="2" a="1"/>
  <c r="I1937" i="2"/>
  <c r="J1937" i="2" a="1"/>
  <c r="J1937" i="2" s="1"/>
  <c r="I1938" i="2" a="1"/>
  <c r="I1938" i="2"/>
  <c r="J1938" i="2" a="1"/>
  <c r="J1938" i="2" s="1"/>
  <c r="I1939" i="2" a="1"/>
  <c r="I1939" i="2" s="1"/>
  <c r="J1939" i="2" a="1"/>
  <c r="J1939" i="2" s="1"/>
  <c r="I1940" i="2" a="1"/>
  <c r="I1940" i="2"/>
  <c r="J1940" i="2" a="1"/>
  <c r="J1940" i="2" s="1"/>
  <c r="I1941" i="2" a="1"/>
  <c r="I1941" i="2" s="1"/>
  <c r="J1941" i="2" a="1"/>
  <c r="J1941" i="2" s="1"/>
  <c r="I1942" i="2" a="1"/>
  <c r="I1942" i="2"/>
  <c r="J1942" i="2" a="1"/>
  <c r="J1942" i="2" s="1"/>
  <c r="I1943" i="2" a="1"/>
  <c r="I1943" i="2" s="1"/>
  <c r="J1943" i="2" a="1"/>
  <c r="J1943" i="2" s="1"/>
  <c r="I1944" i="2" a="1"/>
  <c r="I1944" i="2"/>
  <c r="J1944" i="2" a="1"/>
  <c r="J1944" i="2" s="1"/>
  <c r="I1945" i="2" a="1"/>
  <c r="I1945" i="2"/>
  <c r="J1945" i="2" a="1"/>
  <c r="J1945" i="2" s="1"/>
  <c r="I1946" i="2" a="1"/>
  <c r="I1946" i="2"/>
  <c r="J1946" i="2" a="1"/>
  <c r="J1946" i="2" s="1"/>
  <c r="I1947" i="2" a="1"/>
  <c r="I1947" i="2" s="1"/>
  <c r="J1947" i="2" a="1"/>
  <c r="J1947" i="2" s="1"/>
  <c r="I1948" i="2" a="1"/>
  <c r="I1948" i="2"/>
  <c r="J1948" i="2" a="1"/>
  <c r="J1948" i="2" s="1"/>
  <c r="I1949" i="2" a="1"/>
  <c r="I1949" i="2" s="1"/>
  <c r="J1949" i="2" a="1"/>
  <c r="J1949" i="2" s="1"/>
  <c r="I1950" i="2" a="1"/>
  <c r="I1950" i="2"/>
  <c r="J1950" i="2" a="1"/>
  <c r="J1950" i="2" s="1"/>
  <c r="I1951" i="2" a="1"/>
  <c r="I1951" i="2" s="1"/>
  <c r="J1951" i="2" a="1"/>
  <c r="J1951" i="2" s="1"/>
  <c r="I1952" i="2" a="1"/>
  <c r="I1952" i="2"/>
  <c r="J1952" i="2" a="1"/>
  <c r="J1952" i="2" s="1"/>
  <c r="I1953" i="2" a="1"/>
  <c r="I1953" i="2"/>
  <c r="J1953" i="2" a="1"/>
  <c r="J1953" i="2" s="1"/>
  <c r="I1954" i="2" a="1"/>
  <c r="I1954" i="2"/>
  <c r="J1954" i="2" a="1"/>
  <c r="J1954" i="2" s="1"/>
  <c r="I1955" i="2" a="1"/>
  <c r="I1955" i="2" s="1"/>
  <c r="J1955" i="2" a="1"/>
  <c r="J1955" i="2" s="1"/>
  <c r="I1956" i="2" a="1"/>
  <c r="I1956" i="2"/>
  <c r="J1956" i="2" a="1"/>
  <c r="J1956" i="2" s="1"/>
  <c r="I1957" i="2" a="1"/>
  <c r="I1957" i="2" s="1"/>
  <c r="J1957" i="2" a="1"/>
  <c r="J1957" i="2" s="1"/>
  <c r="I1958" i="2" a="1"/>
  <c r="I1958" i="2"/>
  <c r="J1958" i="2" a="1"/>
  <c r="J1958" i="2" s="1"/>
  <c r="I1959" i="2" a="1"/>
  <c r="I1959" i="2" s="1"/>
  <c r="J1959" i="2" a="1"/>
  <c r="J1959" i="2" s="1"/>
  <c r="I1960" i="2" a="1"/>
  <c r="I1960" i="2"/>
  <c r="J1960" i="2" a="1"/>
  <c r="J1960" i="2" s="1"/>
  <c r="I1961" i="2" a="1"/>
  <c r="I1961" i="2"/>
  <c r="J1961" i="2" a="1"/>
  <c r="J1961" i="2" s="1"/>
  <c r="I1962" i="2" a="1"/>
  <c r="I1962" i="2"/>
  <c r="J1962" i="2" a="1"/>
  <c r="J1962" i="2" s="1"/>
  <c r="I1963" i="2" a="1"/>
  <c r="I1963" i="2" s="1"/>
  <c r="J1963" i="2" a="1"/>
  <c r="J1963" i="2" s="1"/>
  <c r="I1964" i="2" a="1"/>
  <c r="I1964" i="2"/>
  <c r="J1964" i="2" a="1"/>
  <c r="J1964" i="2" s="1"/>
  <c r="I1965" i="2" a="1"/>
  <c r="I1965" i="2" s="1"/>
  <c r="J1965" i="2" a="1"/>
  <c r="J1965" i="2" s="1"/>
  <c r="I1966" i="2" a="1"/>
  <c r="I1966" i="2"/>
  <c r="J1966" i="2" a="1"/>
  <c r="J1966" i="2" s="1"/>
  <c r="I1967" i="2" a="1"/>
  <c r="I1967" i="2" s="1"/>
  <c r="J1967" i="2" a="1"/>
  <c r="J1967" i="2" s="1"/>
  <c r="I1968" i="2" a="1"/>
  <c r="I1968" i="2"/>
  <c r="J1968" i="2" a="1"/>
  <c r="J1968" i="2" s="1"/>
  <c r="I1969" i="2" a="1"/>
  <c r="I1969" i="2"/>
  <c r="J1969" i="2" a="1"/>
  <c r="J1969" i="2" s="1"/>
  <c r="I1970" i="2" a="1"/>
  <c r="I1970" i="2"/>
  <c r="J1970" i="2" a="1"/>
  <c r="J1970" i="2" s="1"/>
  <c r="I1971" i="2" a="1"/>
  <c r="I1971" i="2" s="1"/>
  <c r="J1971" i="2" a="1"/>
  <c r="J1971" i="2" s="1"/>
  <c r="I1972" i="2" a="1"/>
  <c r="I1972" i="2"/>
  <c r="J1972" i="2" a="1"/>
  <c r="J1972" i="2" s="1"/>
  <c r="I1973" i="2" a="1"/>
  <c r="I1973" i="2" s="1"/>
  <c r="J1973" i="2" a="1"/>
  <c r="J1973" i="2" s="1"/>
  <c r="I1974" i="2" a="1"/>
  <c r="I1974" i="2"/>
  <c r="J1974" i="2" a="1"/>
  <c r="J1974" i="2" s="1"/>
  <c r="I1975" i="2" a="1"/>
  <c r="I1975" i="2" s="1"/>
  <c r="J1975" i="2" a="1"/>
  <c r="J1975" i="2" s="1"/>
  <c r="I1976" i="2" a="1"/>
  <c r="I1976" i="2"/>
  <c r="J1976" i="2" a="1"/>
  <c r="J1976" i="2" s="1"/>
  <c r="I1977" i="2" a="1"/>
  <c r="I1977" i="2"/>
  <c r="J1977" i="2" a="1"/>
  <c r="J1977" i="2" s="1"/>
  <c r="I1978" i="2" a="1"/>
  <c r="I1978" i="2"/>
  <c r="J1978" i="2" a="1"/>
  <c r="J1978" i="2" s="1"/>
  <c r="I1979" i="2" a="1"/>
  <c r="I1979" i="2" s="1"/>
  <c r="J1979" i="2" a="1"/>
  <c r="J1979" i="2" s="1"/>
  <c r="I1980" i="2" a="1"/>
  <c r="I1980" i="2"/>
  <c r="J1980" i="2" a="1"/>
  <c r="J1980" i="2" s="1"/>
  <c r="I1981" i="2" a="1"/>
  <c r="I1981" i="2" s="1"/>
  <c r="J1981" i="2" a="1"/>
  <c r="J1981" i="2" s="1"/>
  <c r="I1982" i="2" a="1"/>
  <c r="I1982" i="2"/>
  <c r="J1982" i="2" a="1"/>
  <c r="J1982" i="2" s="1"/>
  <c r="I1983" i="2" a="1"/>
  <c r="I1983" i="2" s="1"/>
  <c r="J1983" i="2" a="1"/>
  <c r="J1983" i="2" s="1"/>
  <c r="I1984" i="2" a="1"/>
  <c r="I1984" i="2"/>
  <c r="J1984" i="2" a="1"/>
  <c r="J1984" i="2" s="1"/>
  <c r="I1985" i="2" a="1"/>
  <c r="I1985" i="2"/>
  <c r="J1985" i="2" a="1"/>
  <c r="J1985" i="2" s="1"/>
  <c r="I1986" i="2" a="1"/>
  <c r="I1986" i="2"/>
  <c r="J1986" i="2" a="1"/>
  <c r="J1986" i="2" s="1"/>
  <c r="I1987" i="2" a="1"/>
  <c r="I1987" i="2" s="1"/>
  <c r="J1987" i="2" a="1"/>
  <c r="J1987" i="2" s="1"/>
  <c r="I1988" i="2" a="1"/>
  <c r="I1988" i="2"/>
  <c r="J1988" i="2" a="1"/>
  <c r="J1988" i="2" s="1"/>
  <c r="I1989" i="2" a="1"/>
  <c r="I1989" i="2" s="1"/>
  <c r="J1989" i="2" a="1"/>
  <c r="J1989" i="2" s="1"/>
  <c r="I1990" i="2" a="1"/>
  <c r="I1990" i="2"/>
  <c r="J1990" i="2" a="1"/>
  <c r="J1990" i="2" s="1"/>
  <c r="I1991" i="2" a="1"/>
  <c r="I1991" i="2" s="1"/>
  <c r="J1991" i="2" a="1"/>
  <c r="J1991" i="2" s="1"/>
  <c r="I1992" i="2" a="1"/>
  <c r="I1992" i="2"/>
  <c r="J1992" i="2" a="1"/>
  <c r="J1992" i="2" s="1"/>
  <c r="I1993" i="2" a="1"/>
  <c r="I1993" i="2"/>
  <c r="J1993" i="2" a="1"/>
  <c r="J1993" i="2" s="1"/>
  <c r="I1994" i="2" a="1"/>
  <c r="I1994" i="2"/>
  <c r="J1994" i="2" a="1"/>
  <c r="J1994" i="2" s="1"/>
  <c r="I1995" i="2" a="1"/>
  <c r="I1995" i="2" s="1"/>
  <c r="J1995" i="2" a="1"/>
  <c r="J1995" i="2" s="1"/>
  <c r="I1996" i="2" a="1"/>
  <c r="I1996" i="2"/>
  <c r="J1996" i="2" a="1"/>
  <c r="J1996" i="2" s="1"/>
  <c r="I1997" i="2" a="1"/>
  <c r="I1997" i="2" s="1"/>
  <c r="J1997" i="2" a="1"/>
  <c r="J1997" i="2" s="1"/>
  <c r="I1998" i="2" a="1"/>
  <c r="I1998" i="2"/>
  <c r="J1998" i="2" a="1"/>
  <c r="J1998" i="2" s="1"/>
  <c r="I1999" i="2" a="1"/>
  <c r="I1999" i="2" s="1"/>
  <c r="J1999" i="2" a="1"/>
  <c r="J1999" i="2" s="1"/>
  <c r="I2000" i="2" a="1"/>
  <c r="I2000" i="2"/>
  <c r="J2000" i="2" a="1"/>
  <c r="J2000" i="2" s="1"/>
  <c r="I2001" i="2" a="1"/>
  <c r="I2001" i="2"/>
  <c r="J2001" i="2" a="1"/>
  <c r="J2001" i="2" s="1"/>
  <c r="I2002" i="2" a="1"/>
  <c r="I2002" i="2"/>
  <c r="J2002" i="2" a="1"/>
  <c r="J2002" i="2" s="1"/>
  <c r="I2003" i="2" a="1"/>
  <c r="I2003" i="2" s="1"/>
  <c r="J2003" i="2" a="1"/>
  <c r="J2003" i="2" s="1"/>
  <c r="I2004" i="2" a="1"/>
  <c r="I2004" i="2"/>
  <c r="J2004" i="2" a="1"/>
  <c r="J2004" i="2" s="1"/>
  <c r="I2005" i="2" a="1"/>
  <c r="I2005" i="2" s="1"/>
  <c r="J2005" i="2" a="1"/>
  <c r="J2005" i="2" s="1"/>
  <c r="I2006" i="2" a="1"/>
  <c r="I2006" i="2"/>
  <c r="J2006" i="2" a="1"/>
  <c r="J2006" i="2" s="1"/>
  <c r="I2007" i="2" a="1"/>
  <c r="I2007" i="2" s="1"/>
  <c r="J2007" i="2" a="1"/>
  <c r="J2007" i="2" s="1"/>
  <c r="I2008" i="2" a="1"/>
  <c r="I2008" i="2"/>
  <c r="J2008" i="2" a="1"/>
  <c r="J2008" i="2" s="1"/>
  <c r="I2009" i="2" a="1"/>
  <c r="I2009" i="2"/>
  <c r="J2009" i="2" a="1"/>
  <c r="J2009" i="2" s="1"/>
  <c r="I2010" i="2" a="1"/>
  <c r="I2010" i="2"/>
  <c r="J2010" i="2" a="1"/>
  <c r="J2010" i="2" s="1"/>
  <c r="I2011" i="2" a="1"/>
  <c r="I2011" i="2" s="1"/>
  <c r="J2011" i="2" a="1"/>
  <c r="J2011" i="2" s="1"/>
  <c r="I2012" i="2" a="1"/>
  <c r="I2012" i="2"/>
  <c r="J2012" i="2" a="1"/>
  <c r="J2012" i="2" s="1"/>
  <c r="I2013" i="2" a="1"/>
  <c r="I2013" i="2" s="1"/>
  <c r="J2013" i="2" a="1"/>
  <c r="J2013" i="2" s="1"/>
  <c r="I2014" i="2" a="1"/>
  <c r="I2014" i="2"/>
  <c r="J2014" i="2" a="1"/>
  <c r="J2014" i="2" s="1"/>
  <c r="I2015" i="2" a="1"/>
  <c r="I2015" i="2" s="1"/>
  <c r="J2015" i="2" a="1"/>
  <c r="J2015" i="2" s="1"/>
  <c r="I2016" i="2" a="1"/>
  <c r="I2016" i="2"/>
  <c r="J2016" i="2" a="1"/>
  <c r="J2016" i="2" s="1"/>
  <c r="I2017" i="2" a="1"/>
  <c r="I2017" i="2"/>
  <c r="J2017" i="2" a="1"/>
  <c r="J2017" i="2" s="1"/>
  <c r="I2018" i="2" a="1"/>
  <c r="I2018" i="2"/>
  <c r="J2018" i="2" a="1"/>
  <c r="J2018" i="2" s="1"/>
  <c r="I2019" i="2" a="1"/>
  <c r="I2019" i="2" s="1"/>
  <c r="J2019" i="2" a="1"/>
  <c r="J2019" i="2" s="1"/>
  <c r="I2020" i="2" a="1"/>
  <c r="I2020" i="2"/>
  <c r="J2020" i="2" a="1"/>
  <c r="J2020" i="2" s="1"/>
  <c r="I2021" i="2" a="1"/>
  <c r="I2021" i="2" s="1"/>
  <c r="J2021" i="2" a="1"/>
  <c r="J2021" i="2" s="1"/>
  <c r="I2022" i="2" a="1"/>
  <c r="I2022" i="2"/>
  <c r="J2022" i="2" a="1"/>
  <c r="J2022" i="2" s="1"/>
  <c r="I2023" i="2" a="1"/>
  <c r="I2023" i="2" s="1"/>
  <c r="J2023" i="2" a="1"/>
  <c r="J2023" i="2" s="1"/>
  <c r="I2024" i="2" a="1"/>
  <c r="I2024" i="2"/>
  <c r="J2024" i="2" a="1"/>
  <c r="J2024" i="2" s="1"/>
  <c r="I2025" i="2" a="1"/>
  <c r="I2025" i="2"/>
  <c r="J2025" i="2" a="1"/>
  <c r="J2025" i="2" s="1"/>
  <c r="I2026" i="2" a="1"/>
  <c r="I2026" i="2"/>
  <c r="J2026" i="2" a="1"/>
  <c r="J2026" i="2" s="1"/>
  <c r="I2027" i="2" a="1"/>
  <c r="I2027" i="2" s="1"/>
  <c r="J2027" i="2" a="1"/>
  <c r="J2027" i="2" s="1"/>
  <c r="I2028" i="2" a="1"/>
  <c r="I2028" i="2"/>
  <c r="J2028" i="2" a="1"/>
  <c r="J2028" i="2" s="1"/>
  <c r="I2029" i="2" a="1"/>
  <c r="I2029" i="2" s="1"/>
  <c r="J2029" i="2" a="1"/>
  <c r="J2029" i="2" s="1"/>
  <c r="I2030" i="2" a="1"/>
  <c r="I2030" i="2"/>
  <c r="J2030" i="2" a="1"/>
  <c r="J2030" i="2" s="1"/>
  <c r="I2031" i="2" a="1"/>
  <c r="I2031" i="2" s="1"/>
  <c r="J2031" i="2" a="1"/>
  <c r="J2031" i="2" s="1"/>
  <c r="I2032" i="2" a="1"/>
  <c r="I2032" i="2"/>
  <c r="J2032" i="2" a="1"/>
  <c r="J2032" i="2" s="1"/>
  <c r="I2033" i="2" a="1"/>
  <c r="I2033" i="2"/>
  <c r="J2033" i="2" a="1"/>
  <c r="J2033" i="2" s="1"/>
  <c r="I2034" i="2" a="1"/>
  <c r="I2034" i="2"/>
  <c r="J2034" i="2" a="1"/>
  <c r="J2034" i="2" s="1"/>
  <c r="I2035" i="2" a="1"/>
  <c r="I2035" i="2" s="1"/>
  <c r="J2035" i="2" a="1"/>
  <c r="J2035" i="2" s="1"/>
  <c r="I2036" i="2" a="1"/>
  <c r="I2036" i="2"/>
  <c r="J2036" i="2" a="1"/>
  <c r="J2036" i="2" s="1"/>
  <c r="I2037" i="2" a="1"/>
  <c r="I2037" i="2" s="1"/>
  <c r="J2037" i="2" a="1"/>
  <c r="J2037" i="2" s="1"/>
  <c r="I2038" i="2" a="1"/>
  <c r="I2038" i="2"/>
  <c r="J2038" i="2" a="1"/>
  <c r="J2038" i="2" s="1"/>
  <c r="I2039" i="2" a="1"/>
  <c r="I2039" i="2" s="1"/>
  <c r="J2039" i="2" a="1"/>
  <c r="J2039" i="2" s="1"/>
  <c r="I2040" i="2" a="1"/>
  <c r="I2040" i="2"/>
  <c r="J2040" i="2" a="1"/>
  <c r="J2040" i="2" s="1"/>
  <c r="I2041" i="2" a="1"/>
  <c r="I2041" i="2"/>
  <c r="J2041" i="2" a="1"/>
  <c r="J2041" i="2" s="1"/>
  <c r="I2042" i="2" a="1"/>
  <c r="I2042" i="2"/>
  <c r="J2042" i="2" a="1"/>
  <c r="J2042" i="2" s="1"/>
  <c r="I2043" i="2" a="1"/>
  <c r="I2043" i="2" s="1"/>
  <c r="J2043" i="2" a="1"/>
  <c r="J2043" i="2" s="1"/>
  <c r="I2044" i="2" a="1"/>
  <c r="I2044" i="2"/>
  <c r="J2044" i="2" a="1"/>
  <c r="J2044" i="2" s="1"/>
  <c r="I2045" i="2" a="1"/>
  <c r="I2045" i="2" s="1"/>
  <c r="J2045" i="2" a="1"/>
  <c r="J2045" i="2" s="1"/>
  <c r="I2046" i="2" a="1"/>
  <c r="I2046" i="2"/>
  <c r="J2046" i="2" a="1"/>
  <c r="J2046" i="2" s="1"/>
  <c r="I2047" i="2" a="1"/>
  <c r="I2047" i="2" s="1"/>
  <c r="J2047" i="2" a="1"/>
  <c r="J2047" i="2" s="1"/>
  <c r="I2048" i="2" a="1"/>
  <c r="I2048" i="2"/>
  <c r="J2048" i="2" a="1"/>
  <c r="J2048" i="2" s="1"/>
  <c r="I2049" i="2" a="1"/>
  <c r="I2049" i="2"/>
  <c r="J2049" i="2" a="1"/>
  <c r="J2049" i="2" s="1"/>
  <c r="I2050" i="2" a="1"/>
  <c r="I2050" i="2"/>
  <c r="J2050" i="2" a="1"/>
  <c r="J2050" i="2" s="1"/>
  <c r="I2051" i="2" a="1"/>
  <c r="I2051" i="2" s="1"/>
  <c r="J2051" i="2" a="1"/>
  <c r="J2051" i="2" s="1"/>
  <c r="I2052" i="2" a="1"/>
  <c r="I2052" i="2"/>
  <c r="J2052" i="2" a="1"/>
  <c r="J2052" i="2" s="1"/>
  <c r="I2053" i="2" a="1"/>
  <c r="I2053" i="2" s="1"/>
  <c r="J2053" i="2" a="1"/>
  <c r="J2053" i="2" s="1"/>
  <c r="I2054" i="2" a="1"/>
  <c r="I2054" i="2"/>
  <c r="J2054" i="2" a="1"/>
  <c r="J2054" i="2" s="1"/>
  <c r="I2055" i="2" a="1"/>
  <c r="I2055" i="2" s="1"/>
  <c r="J2055" i="2" a="1"/>
  <c r="J2055" i="2" s="1"/>
  <c r="I2056" i="2" a="1"/>
  <c r="I2056" i="2"/>
  <c r="J2056" i="2" a="1"/>
  <c r="J2056" i="2" s="1"/>
  <c r="I2057" i="2" a="1"/>
  <c r="I2057" i="2"/>
  <c r="J2057" i="2" a="1"/>
  <c r="J2057" i="2" s="1"/>
  <c r="I2058" i="2" a="1"/>
  <c r="I2058" i="2"/>
  <c r="J2058" i="2" a="1"/>
  <c r="J2058" i="2" s="1"/>
  <c r="I2059" i="2" a="1"/>
  <c r="I2059" i="2" s="1"/>
  <c r="J2059" i="2" a="1"/>
  <c r="J2059" i="2" s="1"/>
  <c r="I2060" i="2" a="1"/>
  <c r="I2060" i="2"/>
  <c r="J2060" i="2" a="1"/>
  <c r="J2060" i="2" s="1"/>
  <c r="I2061" i="2" a="1"/>
  <c r="I2061" i="2" s="1"/>
  <c r="J2061" i="2" a="1"/>
  <c r="J2061" i="2" s="1"/>
  <c r="I2062" i="2" a="1"/>
  <c r="I2062" i="2"/>
  <c r="J2062" i="2" a="1"/>
  <c r="J2062" i="2" s="1"/>
  <c r="I2063" i="2" a="1"/>
  <c r="I2063" i="2" s="1"/>
  <c r="J2063" i="2" a="1"/>
  <c r="J2063" i="2" s="1"/>
  <c r="I2064" i="2" a="1"/>
  <c r="I2064" i="2"/>
  <c r="J2064" i="2" a="1"/>
  <c r="J2064" i="2" s="1"/>
  <c r="I2065" i="2" a="1"/>
  <c r="I2065" i="2"/>
  <c r="J2065" i="2" a="1"/>
  <c r="J2065" i="2" s="1"/>
  <c r="I2066" i="2" a="1"/>
  <c r="I2066" i="2"/>
  <c r="J2066" i="2" a="1"/>
  <c r="J2066" i="2" s="1"/>
  <c r="I2067" i="2" a="1"/>
  <c r="I2067" i="2" s="1"/>
  <c r="J2067" i="2" a="1"/>
  <c r="J2067" i="2" s="1"/>
  <c r="I2068" i="2" a="1"/>
  <c r="I2068" i="2"/>
  <c r="J2068" i="2" a="1"/>
  <c r="J2068" i="2" s="1"/>
  <c r="I2069" i="2" a="1"/>
  <c r="I2069" i="2" s="1"/>
  <c r="J2069" i="2" a="1"/>
  <c r="J2069" i="2" s="1"/>
  <c r="I2070" i="2" a="1"/>
  <c r="I2070" i="2"/>
  <c r="J2070" i="2" a="1"/>
  <c r="J2070" i="2" s="1"/>
  <c r="I2071" i="2" a="1"/>
  <c r="I2071" i="2" s="1"/>
  <c r="J2071" i="2" a="1"/>
  <c r="J2071" i="2" s="1"/>
  <c r="I2072" i="2" a="1"/>
  <c r="I2072" i="2"/>
  <c r="J2072" i="2" a="1"/>
  <c r="J2072" i="2" s="1"/>
  <c r="I2073" i="2" a="1"/>
  <c r="I2073" i="2"/>
  <c r="J2073" i="2" a="1"/>
  <c r="J2073" i="2" s="1"/>
  <c r="I2074" i="2" a="1"/>
  <c r="I2074" i="2"/>
  <c r="J2074" i="2" a="1"/>
  <c r="J2074" i="2" s="1"/>
  <c r="I2075" i="2" a="1"/>
  <c r="I2075" i="2" s="1"/>
  <c r="J2075" i="2" a="1"/>
  <c r="J2075" i="2" s="1"/>
  <c r="I2076" i="2" a="1"/>
  <c r="I2076" i="2"/>
  <c r="J2076" i="2" a="1"/>
  <c r="J2076" i="2" s="1"/>
  <c r="I2077" i="2" a="1"/>
  <c r="I2077" i="2" s="1"/>
  <c r="J2077" i="2" a="1"/>
  <c r="J2077" i="2" s="1"/>
  <c r="I2078" i="2" a="1"/>
  <c r="I2078" i="2"/>
  <c r="J2078" i="2" a="1"/>
  <c r="J2078" i="2" s="1"/>
  <c r="I2079" i="2" a="1"/>
  <c r="I2079" i="2" s="1"/>
  <c r="J2079" i="2" a="1"/>
  <c r="J2079" i="2" s="1"/>
  <c r="I2080" i="2" a="1"/>
  <c r="I2080" i="2"/>
  <c r="J2080" i="2" a="1"/>
  <c r="J2080" i="2" s="1"/>
  <c r="I2081" i="2" a="1"/>
  <c r="I2081" i="2"/>
  <c r="J2081" i="2" a="1"/>
  <c r="J2081" i="2" s="1"/>
  <c r="I2082" i="2" a="1"/>
  <c r="I2082" i="2"/>
  <c r="J2082" i="2" a="1"/>
  <c r="J2082" i="2" s="1"/>
  <c r="I2083" i="2" a="1"/>
  <c r="I2083" i="2" s="1"/>
  <c r="J2083" i="2" a="1"/>
  <c r="J2083" i="2" s="1"/>
  <c r="I2084" i="2" a="1"/>
  <c r="I2084" i="2"/>
  <c r="J2084" i="2" a="1"/>
  <c r="J2084" i="2" s="1"/>
  <c r="I2085" i="2" a="1"/>
  <c r="I2085" i="2" s="1"/>
  <c r="J2085" i="2" a="1"/>
  <c r="J2085" i="2" s="1"/>
  <c r="I2086" i="2" a="1"/>
  <c r="I2086" i="2"/>
  <c r="J2086" i="2" a="1"/>
  <c r="J2086" i="2" s="1"/>
  <c r="I2087" i="2" a="1"/>
  <c r="I2087" i="2" s="1"/>
  <c r="J2087" i="2" a="1"/>
  <c r="J2087" i="2" s="1"/>
  <c r="I2088" i="2" a="1"/>
  <c r="I2088" i="2"/>
  <c r="J2088" i="2" a="1"/>
  <c r="J2088" i="2" s="1"/>
  <c r="I2089" i="2" a="1"/>
  <c r="I2089" i="2"/>
  <c r="J2089" i="2" a="1"/>
  <c r="J2089" i="2" s="1"/>
  <c r="I2090" i="2" a="1"/>
  <c r="I2090" i="2"/>
  <c r="J2090" i="2" a="1"/>
  <c r="J2090" i="2" s="1"/>
  <c r="I2091" i="2" a="1"/>
  <c r="I2091" i="2" s="1"/>
  <c r="J2091" i="2" a="1"/>
  <c r="J2091" i="2" s="1"/>
  <c r="I2092" i="2" a="1"/>
  <c r="I2092" i="2"/>
  <c r="J2092" i="2" a="1"/>
  <c r="J2092" i="2" s="1"/>
  <c r="I2093" i="2" a="1"/>
  <c r="I2093" i="2" s="1"/>
  <c r="J2093" i="2" a="1"/>
  <c r="J2093" i="2" s="1"/>
  <c r="I2094" i="2" a="1"/>
  <c r="I2094" i="2"/>
  <c r="J2094" i="2" a="1"/>
  <c r="J2094" i="2" s="1"/>
  <c r="I2095" i="2" a="1"/>
  <c r="I2095" i="2" s="1"/>
  <c r="J2095" i="2" a="1"/>
  <c r="J2095" i="2" s="1"/>
  <c r="I2096" i="2" a="1"/>
  <c r="I2096" i="2"/>
  <c r="J2096" i="2" a="1"/>
  <c r="J2096" i="2" s="1"/>
  <c r="I2097" i="2" a="1"/>
  <c r="I2097" i="2"/>
  <c r="J2097" i="2" a="1"/>
  <c r="J2097" i="2" s="1"/>
  <c r="I2098" i="2" a="1"/>
  <c r="I2098" i="2"/>
  <c r="J2098" i="2" a="1"/>
  <c r="J2098" i="2" s="1"/>
  <c r="I2099" i="2" a="1"/>
  <c r="I2099" i="2" s="1"/>
  <c r="J2099" i="2" a="1"/>
  <c r="J2099" i="2" s="1"/>
  <c r="I2100" i="2" a="1"/>
  <c r="I2100" i="2"/>
  <c r="J2100" i="2" a="1"/>
  <c r="J2100" i="2" s="1"/>
  <c r="I2101" i="2" a="1"/>
  <c r="I2101" i="2" s="1"/>
  <c r="J2101" i="2" a="1"/>
  <c r="J2101" i="2" s="1"/>
  <c r="I2102" i="2" a="1"/>
  <c r="I2102" i="2"/>
  <c r="J2102" i="2" a="1"/>
  <c r="J2102" i="2" s="1"/>
  <c r="I2103" i="2" a="1"/>
  <c r="I2103" i="2" s="1"/>
  <c r="J2103" i="2" a="1"/>
  <c r="J2103" i="2" s="1"/>
  <c r="I2104" i="2" a="1"/>
  <c r="I2104" i="2"/>
  <c r="J2104" i="2" a="1"/>
  <c r="J2104" i="2" s="1"/>
  <c r="I2105" i="2" a="1"/>
  <c r="I2105" i="2"/>
  <c r="J2105" i="2" a="1"/>
  <c r="J2105" i="2" s="1"/>
  <c r="I2106" i="2" a="1"/>
  <c r="I2106" i="2"/>
  <c r="J2106" i="2" a="1"/>
  <c r="J2106" i="2" s="1"/>
  <c r="I2107" i="2" a="1"/>
  <c r="I2107" i="2" s="1"/>
  <c r="J2107" i="2" a="1"/>
  <c r="J2107" i="2" s="1"/>
  <c r="I2108" i="2" a="1"/>
  <c r="I2108" i="2"/>
  <c r="J2108" i="2" a="1"/>
  <c r="J2108" i="2" s="1"/>
  <c r="I2109" i="2" a="1"/>
  <c r="I2109" i="2" s="1"/>
  <c r="J2109" i="2" a="1"/>
  <c r="J2109" i="2" s="1"/>
  <c r="I2110" i="2" a="1"/>
  <c r="I2110" i="2"/>
  <c r="J2110" i="2" a="1"/>
  <c r="J2110" i="2" s="1"/>
  <c r="I2111" i="2" a="1"/>
  <c r="I2111" i="2" s="1"/>
  <c r="J2111" i="2" a="1"/>
  <c r="J2111" i="2" s="1"/>
  <c r="I2112" i="2" a="1"/>
  <c r="I2112" i="2"/>
  <c r="J2112" i="2" a="1"/>
  <c r="J2112" i="2" s="1"/>
  <c r="I2113" i="2" a="1"/>
  <c r="I2113" i="2"/>
  <c r="J2113" i="2" a="1"/>
  <c r="J2113" i="2" s="1"/>
  <c r="I2114" i="2" a="1"/>
  <c r="I2114" i="2"/>
  <c r="J2114" i="2" a="1"/>
  <c r="J2114" i="2" s="1"/>
  <c r="I2115" i="2" a="1"/>
  <c r="I2115" i="2" s="1"/>
  <c r="J2115" i="2" a="1"/>
  <c r="J2115" i="2" s="1"/>
  <c r="I2116" i="2" a="1"/>
  <c r="I2116" i="2"/>
  <c r="J2116" i="2" a="1"/>
  <c r="J2116" i="2" s="1"/>
  <c r="I2117" i="2" a="1"/>
  <c r="I2117" i="2" s="1"/>
  <c r="J2117" i="2" a="1"/>
  <c r="J2117" i="2" s="1"/>
  <c r="I2118" i="2" a="1"/>
  <c r="I2118" i="2"/>
  <c r="J2118" i="2" a="1"/>
  <c r="J2118" i="2" s="1"/>
  <c r="I2119" i="2" a="1"/>
  <c r="I2119" i="2" s="1"/>
  <c r="J2119" i="2" a="1"/>
  <c r="J2119" i="2" s="1"/>
  <c r="I2120" i="2" a="1"/>
  <c r="I2120" i="2"/>
  <c r="J2120" i="2" a="1"/>
  <c r="J2120" i="2" s="1"/>
  <c r="I2121" i="2" a="1"/>
  <c r="I2121" i="2"/>
  <c r="J2121" i="2" a="1"/>
  <c r="J2121" i="2" s="1"/>
  <c r="I2122" i="2" a="1"/>
  <c r="I2122" i="2"/>
  <c r="J2122" i="2" a="1"/>
  <c r="J2122" i="2" s="1"/>
  <c r="I2123" i="2" a="1"/>
  <c r="I2123" i="2" s="1"/>
  <c r="J2123" i="2" a="1"/>
  <c r="J2123" i="2" s="1"/>
  <c r="I2124" i="2" a="1"/>
  <c r="I2124" i="2"/>
  <c r="J2124" i="2" a="1"/>
  <c r="J2124" i="2" s="1"/>
  <c r="I2125" i="2" a="1"/>
  <c r="I2125" i="2" s="1"/>
  <c r="J2125" i="2" a="1"/>
  <c r="J2125" i="2" s="1"/>
  <c r="I2126" i="2" a="1"/>
  <c r="I2126" i="2"/>
  <c r="J2126" i="2" a="1"/>
  <c r="J2126" i="2" s="1"/>
  <c r="I2127" i="2" a="1"/>
  <c r="I2127" i="2" s="1"/>
  <c r="J2127" i="2" a="1"/>
  <c r="J2127" i="2" s="1"/>
  <c r="I2128" i="2" a="1"/>
  <c r="I2128" i="2"/>
  <c r="J2128" i="2" a="1"/>
  <c r="J2128" i="2" s="1"/>
  <c r="I2129" i="2" a="1"/>
  <c r="I2129" i="2"/>
  <c r="J2129" i="2" a="1"/>
  <c r="J2129" i="2" s="1"/>
  <c r="I2130" i="2" a="1"/>
  <c r="I2130" i="2"/>
  <c r="J2130" i="2" a="1"/>
  <c r="J2130" i="2" s="1"/>
  <c r="I2131" i="2" a="1"/>
  <c r="I2131" i="2" s="1"/>
  <c r="J2131" i="2" a="1"/>
  <c r="J2131" i="2" s="1"/>
  <c r="I2132" i="2" a="1"/>
  <c r="I2132" i="2"/>
  <c r="J2132" i="2" a="1"/>
  <c r="J2132" i="2" s="1"/>
  <c r="I2133" i="2" a="1"/>
  <c r="I2133" i="2" s="1"/>
  <c r="J2133" i="2" a="1"/>
  <c r="J2133" i="2" s="1"/>
  <c r="I2134" i="2" a="1"/>
  <c r="I2134" i="2"/>
  <c r="J2134" i="2" a="1"/>
  <c r="J2134" i="2" s="1"/>
  <c r="I2135" i="2" a="1"/>
  <c r="I2135" i="2" s="1"/>
  <c r="J2135" i="2" a="1"/>
  <c r="J2135" i="2" s="1"/>
  <c r="I2136" i="2" a="1"/>
  <c r="I2136" i="2"/>
  <c r="J2136" i="2" a="1"/>
  <c r="J2136" i="2" s="1"/>
  <c r="I2137" i="2" a="1"/>
  <c r="I2137" i="2"/>
  <c r="J2137" i="2" a="1"/>
  <c r="J2137" i="2" s="1"/>
  <c r="I2138" i="2" a="1"/>
  <c r="I2138" i="2"/>
  <c r="J2138" i="2" a="1"/>
  <c r="J2138" i="2" s="1"/>
  <c r="I2139" i="2" a="1"/>
  <c r="I2139" i="2" s="1"/>
  <c r="J2139" i="2" a="1"/>
  <c r="J2139" i="2" s="1"/>
  <c r="I2140" i="2" a="1"/>
  <c r="I2140" i="2"/>
  <c r="J2140" i="2" a="1"/>
  <c r="J2140" i="2" s="1"/>
  <c r="I2141" i="2" a="1"/>
  <c r="I2141" i="2" s="1"/>
  <c r="J2141" i="2" a="1"/>
  <c r="J2141" i="2" s="1"/>
  <c r="I2142" i="2" a="1"/>
  <c r="I2142" i="2"/>
  <c r="J2142" i="2" a="1"/>
  <c r="J2142" i="2" s="1"/>
  <c r="I2143" i="2" a="1"/>
  <c r="I2143" i="2" s="1"/>
  <c r="J2143" i="2" a="1"/>
  <c r="J2143" i="2" s="1"/>
  <c r="I2144" i="2" a="1"/>
  <c r="I2144" i="2"/>
  <c r="J2144" i="2" a="1"/>
  <c r="J2144" i="2" s="1"/>
  <c r="I2145" i="2" a="1"/>
  <c r="I2145" i="2"/>
  <c r="J2145" i="2" a="1"/>
  <c r="J2145" i="2" s="1"/>
  <c r="I2146" i="2" a="1"/>
  <c r="I2146" i="2"/>
  <c r="J2146" i="2" a="1"/>
  <c r="J2146" i="2" s="1"/>
  <c r="I2147" i="2" a="1"/>
  <c r="I2147" i="2" s="1"/>
  <c r="J2147" i="2" a="1"/>
  <c r="J2147" i="2" s="1"/>
  <c r="I2148" i="2" a="1"/>
  <c r="I2148" i="2"/>
  <c r="J2148" i="2" a="1"/>
  <c r="J2148" i="2" s="1"/>
  <c r="I2149" i="2" a="1"/>
  <c r="I2149" i="2" s="1"/>
  <c r="J2149" i="2" a="1"/>
  <c r="J2149" i="2" s="1"/>
  <c r="I2150" i="2" a="1"/>
  <c r="I2150" i="2"/>
  <c r="J2150" i="2" a="1"/>
  <c r="J2150" i="2" s="1"/>
  <c r="I2151" i="2" a="1"/>
  <c r="I2151" i="2" s="1"/>
  <c r="J2151" i="2" a="1"/>
  <c r="J2151" i="2" s="1"/>
  <c r="I2152" i="2" a="1"/>
  <c r="I2152" i="2"/>
  <c r="J2152" i="2" a="1"/>
  <c r="J2152" i="2" s="1"/>
  <c r="I2153" i="2" a="1"/>
  <c r="I2153" i="2"/>
  <c r="J2153" i="2" a="1"/>
  <c r="J2153" i="2" s="1"/>
  <c r="I2154" i="2" a="1"/>
  <c r="I2154" i="2"/>
  <c r="J2154" i="2" a="1"/>
  <c r="J2154" i="2" s="1"/>
  <c r="I2155" i="2" a="1"/>
  <c r="I2155" i="2" s="1"/>
  <c r="J2155" i="2" a="1"/>
  <c r="J2155" i="2" s="1"/>
  <c r="I2156" i="2" a="1"/>
  <c r="I2156" i="2"/>
  <c r="J2156" i="2" a="1"/>
  <c r="J2156" i="2" s="1"/>
  <c r="I2157" i="2" a="1"/>
  <c r="I2157" i="2" s="1"/>
  <c r="J2157" i="2" a="1"/>
  <c r="J2157" i="2" s="1"/>
  <c r="I2158" i="2" a="1"/>
  <c r="I2158" i="2"/>
  <c r="J2158" i="2" a="1"/>
  <c r="J2158" i="2" s="1"/>
  <c r="I2159" i="2" a="1"/>
  <c r="I2159" i="2" s="1"/>
  <c r="J2159" i="2" a="1"/>
  <c r="J2159" i="2" s="1"/>
  <c r="I2160" i="2" a="1"/>
  <c r="I2160" i="2"/>
  <c r="J2160" i="2" a="1"/>
  <c r="J2160" i="2" s="1"/>
  <c r="I2161" i="2" a="1"/>
  <c r="I2161" i="2"/>
  <c r="J2161" i="2" a="1"/>
  <c r="J2161" i="2" s="1"/>
  <c r="I2162" i="2" a="1"/>
  <c r="I2162" i="2"/>
  <c r="J2162" i="2" a="1"/>
  <c r="J2162" i="2" s="1"/>
  <c r="I2163" i="2" a="1"/>
  <c r="I2163" i="2" s="1"/>
  <c r="J2163" i="2" a="1"/>
  <c r="J2163" i="2" s="1"/>
  <c r="I2164" i="2" a="1"/>
  <c r="I2164" i="2"/>
  <c r="J2164" i="2" a="1"/>
  <c r="J2164" i="2" s="1"/>
  <c r="I2165" i="2" a="1"/>
  <c r="I2165" i="2" s="1"/>
  <c r="J2165" i="2" a="1"/>
  <c r="J2165" i="2" s="1"/>
  <c r="I2166" i="2" a="1"/>
  <c r="I2166" i="2"/>
  <c r="J2166" i="2" a="1"/>
  <c r="J2166" i="2" s="1"/>
  <c r="I2167" i="2" a="1"/>
  <c r="I2167" i="2" s="1"/>
  <c r="J2167" i="2" a="1"/>
  <c r="J2167" i="2" s="1"/>
  <c r="I2168" i="2" a="1"/>
  <c r="I2168" i="2"/>
  <c r="J2168" i="2" a="1"/>
  <c r="J2168" i="2" s="1"/>
  <c r="I2169" i="2" a="1"/>
  <c r="I2169" i="2"/>
  <c r="J2169" i="2" a="1"/>
  <c r="J2169" i="2" s="1"/>
  <c r="I2170" i="2" a="1"/>
  <c r="I2170" i="2"/>
  <c r="J2170" i="2" a="1"/>
  <c r="J2170" i="2" s="1"/>
  <c r="I2171" i="2" a="1"/>
  <c r="I2171" i="2" s="1"/>
  <c r="J2171" i="2" a="1"/>
  <c r="J2171" i="2" s="1"/>
  <c r="I2172" i="2" a="1"/>
  <c r="I2172" i="2"/>
  <c r="J2172" i="2" a="1"/>
  <c r="J2172" i="2" s="1"/>
  <c r="I2173" i="2" a="1"/>
  <c r="I2173" i="2" s="1"/>
  <c r="J2173" i="2" a="1"/>
  <c r="J2173" i="2" s="1"/>
  <c r="I2174" i="2" a="1"/>
  <c r="I2174" i="2"/>
  <c r="J2174" i="2" a="1"/>
  <c r="J2174" i="2" s="1"/>
  <c r="I2175" i="2" a="1"/>
  <c r="I2175" i="2" s="1"/>
  <c r="J2175" i="2" a="1"/>
  <c r="J2175" i="2" s="1"/>
  <c r="I2176" i="2" a="1"/>
  <c r="I2176" i="2"/>
  <c r="J2176" i="2" a="1"/>
  <c r="J2176" i="2" s="1"/>
  <c r="I2177" i="2" a="1"/>
  <c r="I2177" i="2"/>
  <c r="J2177" i="2" a="1"/>
  <c r="J2177" i="2" s="1"/>
  <c r="I2178" i="2" a="1"/>
  <c r="I2178" i="2"/>
  <c r="J2178" i="2" a="1"/>
  <c r="J2178" i="2" s="1"/>
  <c r="I2179" i="2" a="1"/>
  <c r="I2179" i="2" s="1"/>
  <c r="J2179" i="2" a="1"/>
  <c r="J2179" i="2" s="1"/>
  <c r="I2180" i="2" a="1"/>
  <c r="I2180" i="2"/>
  <c r="J2180" i="2" a="1"/>
  <c r="J2180" i="2" s="1"/>
  <c r="I2181" i="2" a="1"/>
  <c r="I2181" i="2" s="1"/>
  <c r="J2181" i="2" a="1"/>
  <c r="J2181" i="2" s="1"/>
  <c r="I2182" i="2" a="1"/>
  <c r="I2182" i="2"/>
  <c r="J2182" i="2" a="1"/>
  <c r="J2182" i="2" s="1"/>
  <c r="I2183" i="2" a="1"/>
  <c r="I2183" i="2" s="1"/>
  <c r="J2183" i="2" a="1"/>
  <c r="J2183" i="2" s="1"/>
  <c r="I2184" i="2" a="1"/>
  <c r="I2184" i="2" s="1"/>
  <c r="J2184" i="2" a="1"/>
  <c r="J2184" i="2" s="1"/>
  <c r="I2185" i="2" a="1"/>
  <c r="I2185" i="2"/>
  <c r="J2185" i="2" a="1"/>
  <c r="J2185" i="2"/>
  <c r="I2186" i="2" a="1"/>
  <c r="I2186" i="2"/>
  <c r="J2186" i="2" a="1"/>
  <c r="J2186" i="2"/>
  <c r="I2187" i="2" a="1"/>
  <c r="I2187" i="2"/>
  <c r="J2187" i="2" a="1"/>
  <c r="J2187" i="2"/>
  <c r="I2188" i="2" a="1"/>
  <c r="I2188" i="2"/>
  <c r="J2188" i="2" a="1"/>
  <c r="J2188" i="2"/>
  <c r="I2189" i="2" a="1"/>
  <c r="I2189" i="2"/>
  <c r="J2189" i="2" a="1"/>
  <c r="J2189" i="2"/>
  <c r="I2190" i="2" a="1"/>
  <c r="I2190" i="2"/>
  <c r="J2190" i="2" a="1"/>
  <c r="J2190" i="2"/>
  <c r="I2191" i="2" a="1"/>
  <c r="I2191" i="2"/>
  <c r="J2191" i="2" a="1"/>
  <c r="J2191" i="2"/>
  <c r="I2192" i="2" a="1"/>
  <c r="I2192" i="2"/>
  <c r="J2192" i="2" a="1"/>
  <c r="J2192" i="2"/>
  <c r="I2193" i="2" a="1"/>
  <c r="I2193" i="2"/>
  <c r="J2193" i="2" a="1"/>
  <c r="J2193" i="2"/>
  <c r="I2194" i="2" a="1"/>
  <c r="I2194" i="2"/>
  <c r="J2194" i="2" a="1"/>
  <c r="J2194" i="2"/>
  <c r="I2195" i="2" a="1"/>
  <c r="I2195" i="2"/>
  <c r="J2195" i="2" a="1"/>
  <c r="J2195" i="2"/>
  <c r="I2196" i="2" a="1"/>
  <c r="I2196" i="2"/>
  <c r="J2196" i="2" a="1"/>
  <c r="J2196" i="2"/>
  <c r="I2197" i="2" a="1"/>
  <c r="I2197" i="2"/>
  <c r="J2197" i="2" a="1"/>
  <c r="J2197" i="2"/>
  <c r="I2198" i="2" a="1"/>
  <c r="I2198" i="2"/>
  <c r="J2198" i="2" a="1"/>
  <c r="J2198" i="2"/>
  <c r="I2199" i="2" a="1"/>
  <c r="I2199" i="2"/>
  <c r="J2199" i="2" a="1"/>
  <c r="J2199" i="2"/>
  <c r="I2200" i="2" a="1"/>
  <c r="I2200" i="2"/>
  <c r="J2200" i="2" a="1"/>
  <c r="J2200" i="2"/>
  <c r="I2201" i="2" a="1"/>
  <c r="I2201" i="2"/>
  <c r="J2201" i="2" a="1"/>
  <c r="J2201" i="2"/>
  <c r="I2202" i="2" a="1"/>
  <c r="I2202" i="2"/>
  <c r="J2202" i="2" a="1"/>
  <c r="J2202" i="2"/>
  <c r="I2203" i="2" a="1"/>
  <c r="I2203" i="2"/>
  <c r="J2203" i="2" a="1"/>
  <c r="J2203" i="2"/>
  <c r="I2204" i="2" a="1"/>
  <c r="I2204" i="2"/>
  <c r="J2204" i="2" a="1"/>
  <c r="J2204" i="2"/>
  <c r="I2205" i="2" a="1"/>
  <c r="I2205" i="2"/>
  <c r="J2205" i="2" a="1"/>
  <c r="J2205" i="2"/>
  <c r="I2206" i="2" a="1"/>
  <c r="I2206" i="2"/>
  <c r="J2206" i="2" a="1"/>
  <c r="J2206" i="2"/>
  <c r="I2207" i="2" a="1"/>
  <c r="I2207" i="2"/>
  <c r="J2207" i="2" a="1"/>
  <c r="J2207" i="2"/>
  <c r="I2208" i="2" a="1"/>
  <c r="I2208" i="2"/>
  <c r="J2208" i="2" a="1"/>
  <c r="J2208" i="2"/>
  <c r="I2209" i="2" a="1"/>
  <c r="I2209" i="2"/>
  <c r="J2209" i="2" a="1"/>
  <c r="J2209" i="2"/>
  <c r="I2210" i="2" a="1"/>
  <c r="I2210" i="2"/>
  <c r="J2210" i="2" a="1"/>
  <c r="J2210" i="2"/>
  <c r="I2211" i="2" a="1"/>
  <c r="I2211" i="2"/>
  <c r="J2211" i="2" a="1"/>
  <c r="J2211" i="2"/>
  <c r="I2212" i="2" a="1"/>
  <c r="I2212" i="2"/>
  <c r="J2212" i="2" a="1"/>
  <c r="J2212" i="2"/>
  <c r="I2213" i="2" a="1"/>
  <c r="I2213" i="2"/>
  <c r="J2213" i="2" a="1"/>
  <c r="J2213" i="2"/>
  <c r="I2214" i="2" a="1"/>
  <c r="I2214" i="2"/>
  <c r="J2214" i="2" a="1"/>
  <c r="J2214" i="2"/>
  <c r="I2215" i="2" a="1"/>
  <c r="I2215" i="2"/>
  <c r="J2215" i="2" a="1"/>
  <c r="J2215" i="2"/>
  <c r="I2216" i="2" a="1"/>
  <c r="I2216" i="2"/>
  <c r="J2216" i="2" a="1"/>
  <c r="J2216" i="2"/>
  <c r="I2217" i="2" a="1"/>
  <c r="I2217" i="2"/>
  <c r="J2217" i="2" a="1"/>
  <c r="J2217" i="2"/>
  <c r="I2218" i="2" a="1"/>
  <c r="I2218" i="2"/>
  <c r="J2218" i="2" a="1"/>
  <c r="J2218" i="2"/>
  <c r="I2219" i="2" a="1"/>
  <c r="I2219" i="2"/>
  <c r="J2219" i="2" a="1"/>
  <c r="J2219" i="2"/>
  <c r="I2220" i="2" a="1"/>
  <c r="I2220" i="2"/>
  <c r="J2220" i="2" a="1"/>
  <c r="J2220" i="2"/>
  <c r="I2221" i="2" a="1"/>
  <c r="I2221" i="2"/>
  <c r="J2221" i="2" a="1"/>
  <c r="J2221" i="2"/>
  <c r="I2222" i="2" a="1"/>
  <c r="I2222" i="2"/>
  <c r="J2222" i="2" a="1"/>
  <c r="J2222" i="2"/>
  <c r="I2223" i="2" a="1"/>
  <c r="I2223" i="2"/>
  <c r="J2223" i="2" a="1"/>
  <c r="J2223" i="2"/>
  <c r="I2224" i="2" a="1"/>
  <c r="I2224" i="2"/>
  <c r="J2224" i="2" a="1"/>
  <c r="J2224" i="2"/>
  <c r="I2225" i="2" a="1"/>
  <c r="I2225" i="2"/>
  <c r="J2225" i="2" a="1"/>
  <c r="J2225" i="2"/>
  <c r="I2226" i="2" a="1"/>
  <c r="I2226" i="2"/>
  <c r="J2226" i="2" a="1"/>
  <c r="J2226" i="2"/>
  <c r="I2227" i="2" a="1"/>
  <c r="I2227" i="2"/>
  <c r="J2227" i="2" a="1"/>
  <c r="J2227" i="2"/>
  <c r="I2228" i="2" a="1"/>
  <c r="I2228" i="2"/>
  <c r="J2228" i="2" a="1"/>
  <c r="J2228" i="2"/>
  <c r="I2229" i="2" a="1"/>
  <c r="I2229" i="2"/>
  <c r="J2229" i="2" a="1"/>
  <c r="J2229" i="2"/>
  <c r="I2230" i="2" a="1"/>
  <c r="I2230" i="2"/>
  <c r="J2230" i="2" a="1"/>
  <c r="J2230" i="2"/>
  <c r="I2231" i="2" a="1"/>
  <c r="I2231" i="2"/>
  <c r="J2231" i="2" a="1"/>
  <c r="J2231" i="2"/>
  <c r="I2232" i="2" a="1"/>
  <c r="I2232" i="2"/>
  <c r="J2232" i="2" a="1"/>
  <c r="J2232" i="2"/>
  <c r="I2233" i="2" a="1"/>
  <c r="I2233" i="2"/>
  <c r="J2233" i="2" a="1"/>
  <c r="J2233" i="2"/>
  <c r="I2234" i="2" a="1"/>
  <c r="I2234" i="2"/>
  <c r="J2234" i="2" a="1"/>
  <c r="J2234" i="2"/>
  <c r="I2235" i="2" a="1"/>
  <c r="I2235" i="2"/>
  <c r="J2235" i="2" a="1"/>
  <c r="J2235" i="2"/>
  <c r="I2236" i="2" a="1"/>
  <c r="I2236" i="2"/>
  <c r="J2236" i="2" a="1"/>
  <c r="J2236" i="2"/>
  <c r="I2237" i="2" a="1"/>
  <c r="I2237" i="2"/>
  <c r="J2237" i="2" a="1"/>
  <c r="J2237" i="2"/>
  <c r="I2238" i="2" a="1"/>
  <c r="I2238" i="2"/>
  <c r="J2238" i="2" a="1"/>
  <c r="J2238" i="2"/>
  <c r="I2239" i="2" a="1"/>
  <c r="I2239" i="2"/>
  <c r="J2239" i="2" a="1"/>
  <c r="J2239" i="2"/>
  <c r="I2240" i="2" a="1"/>
  <c r="I2240" i="2"/>
  <c r="J2240" i="2" a="1"/>
  <c r="J2240" i="2"/>
  <c r="I2241" i="2" a="1"/>
  <c r="I2241" i="2"/>
  <c r="J2241" i="2" a="1"/>
  <c r="J2241" i="2"/>
  <c r="I2242" i="2" a="1"/>
  <c r="I2242" i="2"/>
  <c r="J2242" i="2" a="1"/>
  <c r="J2242" i="2"/>
  <c r="I2243" i="2" a="1"/>
  <c r="I2243" i="2"/>
  <c r="J2243" i="2" a="1"/>
  <c r="J2243" i="2"/>
  <c r="I2244" i="2" a="1"/>
  <c r="I2244" i="2"/>
  <c r="J2244" i="2" a="1"/>
  <c r="J2244" i="2"/>
  <c r="I2245" i="2" a="1"/>
  <c r="I2245" i="2"/>
  <c r="J2245" i="2" a="1"/>
  <c r="J2245" i="2"/>
  <c r="I2246" i="2" a="1"/>
  <c r="I2246" i="2"/>
  <c r="J2246" i="2" a="1"/>
  <c r="J2246" i="2"/>
  <c r="I2247" i="2" a="1"/>
  <c r="I2247" i="2"/>
  <c r="J2247" i="2" a="1"/>
  <c r="J2247" i="2"/>
  <c r="I2248" i="2" a="1"/>
  <c r="I2248" i="2"/>
  <c r="J2248" i="2" a="1"/>
  <c r="J2248" i="2"/>
  <c r="I2249" i="2" a="1"/>
  <c r="I2249" i="2"/>
  <c r="J2249" i="2" a="1"/>
  <c r="J2249" i="2"/>
  <c r="I2250" i="2" a="1"/>
  <c r="I2250" i="2"/>
  <c r="J2250" i="2" a="1"/>
  <c r="J2250" i="2"/>
  <c r="I2251" i="2" a="1"/>
  <c r="I2251" i="2"/>
  <c r="J2251" i="2" a="1"/>
  <c r="J2251" i="2"/>
  <c r="I2252" i="2" a="1"/>
  <c r="I2252" i="2"/>
  <c r="J2252" i="2" a="1"/>
  <c r="J2252" i="2"/>
  <c r="I2253" i="2" a="1"/>
  <c r="I2253" i="2"/>
  <c r="J2253" i="2" a="1"/>
  <c r="J2253" i="2"/>
  <c r="I2254" i="2" a="1"/>
  <c r="I2254" i="2"/>
  <c r="J2254" i="2" a="1"/>
  <c r="J2254" i="2"/>
  <c r="I2255" i="2" a="1"/>
  <c r="I2255" i="2"/>
  <c r="J2255" i="2" a="1"/>
  <c r="J2255" i="2"/>
  <c r="I2256" i="2" a="1"/>
  <c r="I2256" i="2"/>
  <c r="J2256" i="2" a="1"/>
  <c r="J2256" i="2"/>
  <c r="I2257" i="2" a="1"/>
  <c r="I2257" i="2"/>
  <c r="J2257" i="2" a="1"/>
  <c r="J2257" i="2"/>
  <c r="I2258" i="2" a="1"/>
  <c r="I2258" i="2"/>
  <c r="J2258" i="2" a="1"/>
  <c r="J2258" i="2"/>
  <c r="I2259" i="2" a="1"/>
  <c r="I2259" i="2"/>
  <c r="J2259" i="2" a="1"/>
  <c r="J2259" i="2"/>
  <c r="I2260" i="2" a="1"/>
  <c r="I2260" i="2"/>
  <c r="J2260" i="2" a="1"/>
  <c r="J2260" i="2"/>
  <c r="I2261" i="2" a="1"/>
  <c r="I2261" i="2"/>
  <c r="J2261" i="2" a="1"/>
  <c r="J2261" i="2"/>
  <c r="I2262" i="2" a="1"/>
  <c r="I2262" i="2"/>
  <c r="J2262" i="2" a="1"/>
  <c r="J2262" i="2"/>
  <c r="I2263" i="2" a="1"/>
  <c r="I2263" i="2"/>
  <c r="J2263" i="2" a="1"/>
  <c r="J2263" i="2"/>
  <c r="I2264" i="2" a="1"/>
  <c r="I2264" i="2"/>
  <c r="J2264" i="2" a="1"/>
  <c r="J2264" i="2"/>
  <c r="I2265" i="2" a="1"/>
  <c r="I2265" i="2"/>
  <c r="J2265" i="2" a="1"/>
  <c r="J2265" i="2"/>
  <c r="I2266" i="2" a="1"/>
  <c r="I2266" i="2"/>
  <c r="J2266" i="2" a="1"/>
  <c r="J2266" i="2"/>
  <c r="I2267" i="2" a="1"/>
  <c r="I2267" i="2"/>
  <c r="J2267" i="2" a="1"/>
  <c r="J2267" i="2"/>
  <c r="I2268" i="2" a="1"/>
  <c r="I2268" i="2"/>
  <c r="J2268" i="2" a="1"/>
  <c r="J2268" i="2"/>
  <c r="I2269" i="2" a="1"/>
  <c r="I2269" i="2"/>
  <c r="J2269" i="2" a="1"/>
  <c r="J2269" i="2"/>
  <c r="I2270" i="2" a="1"/>
  <c r="I2270" i="2"/>
  <c r="J2270" i="2" a="1"/>
  <c r="J2270" i="2"/>
  <c r="I2271" i="2" a="1"/>
  <c r="I2271" i="2"/>
  <c r="J2271" i="2" a="1"/>
  <c r="J2271" i="2"/>
  <c r="I2272" i="2" a="1"/>
  <c r="I2272" i="2"/>
  <c r="J2272" i="2" a="1"/>
  <c r="J2272" i="2"/>
  <c r="I2273" i="2" a="1"/>
  <c r="I2273" i="2"/>
  <c r="J2273" i="2" a="1"/>
  <c r="J2273" i="2"/>
  <c r="I2274" i="2" a="1"/>
  <c r="I2274" i="2"/>
  <c r="J2274" i="2" a="1"/>
  <c r="J2274" i="2"/>
  <c r="I2275" i="2" a="1"/>
  <c r="I2275" i="2"/>
  <c r="J2275" i="2" a="1"/>
  <c r="J2275" i="2"/>
  <c r="I2276" i="2" a="1"/>
  <c r="I2276" i="2"/>
  <c r="J2276" i="2" a="1"/>
  <c r="J2276" i="2"/>
  <c r="I2277" i="2" a="1"/>
  <c r="I2277" i="2"/>
  <c r="J2277" i="2" a="1"/>
  <c r="J2277" i="2"/>
  <c r="I2278" i="2" a="1"/>
  <c r="I2278" i="2"/>
  <c r="J2278" i="2" a="1"/>
  <c r="J2278" i="2"/>
  <c r="I2279" i="2" a="1"/>
  <c r="I2279" i="2"/>
  <c r="J2279" i="2" a="1"/>
  <c r="J2279" i="2"/>
  <c r="I2280" i="2" a="1"/>
  <c r="I2280" i="2"/>
  <c r="J2280" i="2" a="1"/>
  <c r="J2280" i="2"/>
  <c r="I2281" i="2" a="1"/>
  <c r="I2281" i="2"/>
  <c r="J2281" i="2" a="1"/>
  <c r="J2281" i="2"/>
  <c r="I2282" i="2" a="1"/>
  <c r="I2282" i="2"/>
  <c r="J2282" i="2" a="1"/>
  <c r="J2282" i="2"/>
  <c r="I2283" i="2" a="1"/>
  <c r="I2283" i="2"/>
  <c r="J2283" i="2" a="1"/>
  <c r="J2283" i="2"/>
  <c r="I2284" i="2" a="1"/>
  <c r="I2284" i="2"/>
  <c r="J2284" i="2" a="1"/>
  <c r="J2284" i="2"/>
  <c r="I2285" i="2" a="1"/>
  <c r="I2285" i="2"/>
  <c r="J2285" i="2" a="1"/>
  <c r="J2285" i="2"/>
  <c r="I2286" i="2" a="1"/>
  <c r="I2286" i="2"/>
  <c r="J2286" i="2" a="1"/>
  <c r="J2286" i="2"/>
  <c r="I2287" i="2" a="1"/>
  <c r="I2287" i="2"/>
  <c r="J2287" i="2" a="1"/>
  <c r="J2287" i="2"/>
  <c r="I2288" i="2" a="1"/>
  <c r="I2288" i="2"/>
  <c r="J2288" i="2" a="1"/>
  <c r="J2288" i="2"/>
  <c r="I2289" i="2" a="1"/>
  <c r="I2289" i="2"/>
  <c r="J2289" i="2" a="1"/>
  <c r="J2289" i="2"/>
  <c r="I2290" i="2" a="1"/>
  <c r="I2290" i="2"/>
  <c r="J2290" i="2" a="1"/>
  <c r="J2290" i="2"/>
  <c r="I2291" i="2" a="1"/>
  <c r="I2291" i="2"/>
  <c r="J2291" i="2" a="1"/>
  <c r="J2291" i="2"/>
  <c r="I2292" i="2" a="1"/>
  <c r="I2292" i="2" s="1"/>
  <c r="J2292" i="2" a="1"/>
  <c r="J2292" i="2"/>
  <c r="I2293" i="2" a="1"/>
  <c r="I2293" i="2"/>
  <c r="J2293" i="2" a="1"/>
  <c r="J2293" i="2"/>
  <c r="I2294" i="2" a="1"/>
  <c r="I2294" i="2" s="1"/>
  <c r="J2294" i="2" a="1"/>
  <c r="J2294" i="2"/>
  <c r="I2295" i="2" a="1"/>
  <c r="I2295" i="2"/>
  <c r="J2295" i="2" a="1"/>
  <c r="J2295" i="2"/>
  <c r="I2296" i="2" a="1"/>
  <c r="I2296" i="2" s="1"/>
  <c r="J2296" i="2" a="1"/>
  <c r="J2296" i="2"/>
  <c r="I2297" i="2" a="1"/>
  <c r="I2297" i="2"/>
  <c r="J2297" i="2" a="1"/>
  <c r="J2297" i="2"/>
  <c r="I2298" i="2" a="1"/>
  <c r="I2298" i="2" s="1"/>
  <c r="J2298" i="2" a="1"/>
  <c r="J2298" i="2"/>
  <c r="I2299" i="2" a="1"/>
  <c r="I2299" i="2"/>
  <c r="J2299" i="2" a="1"/>
  <c r="J2299" i="2"/>
  <c r="I2300" i="2" a="1"/>
  <c r="I2300" i="2" s="1"/>
  <c r="J2300" i="2" a="1"/>
  <c r="J2300" i="2"/>
  <c r="I2301" i="2" a="1"/>
  <c r="I2301" i="2"/>
  <c r="J2301" i="2" a="1"/>
  <c r="J2301" i="2"/>
  <c r="I2302" i="2" a="1"/>
  <c r="I2302" i="2" s="1"/>
  <c r="J2302" i="2" a="1"/>
  <c r="J2302" i="2"/>
  <c r="I2303" i="2" a="1"/>
  <c r="I2303" i="2"/>
  <c r="J2303" i="2" a="1"/>
  <c r="J2303" i="2"/>
  <c r="I2304" i="2" a="1"/>
  <c r="I2304" i="2" s="1"/>
  <c r="J2304" i="2" a="1"/>
  <c r="J2304" i="2"/>
  <c r="I2305" i="2" a="1"/>
  <c r="I2305" i="2"/>
  <c r="J2305" i="2" a="1"/>
  <c r="J2305" i="2"/>
  <c r="I2306" i="2" a="1"/>
  <c r="I2306" i="2" s="1"/>
  <c r="J2306" i="2" a="1"/>
  <c r="J2306" i="2"/>
  <c r="I2307" i="2" a="1"/>
  <c r="I2307" i="2"/>
  <c r="J2307" i="2" a="1"/>
  <c r="J2307" i="2"/>
  <c r="I2308" i="2" a="1"/>
  <c r="I2308" i="2" s="1"/>
  <c r="J2308" i="2" a="1"/>
  <c r="J2308" i="2"/>
  <c r="I2309" i="2" a="1"/>
  <c r="I2309" i="2"/>
  <c r="J2309" i="2" a="1"/>
  <c r="J2309" i="2"/>
  <c r="I2310" i="2" a="1"/>
  <c r="I2310" i="2" s="1"/>
  <c r="J2310" i="2" a="1"/>
  <c r="J2310" i="2"/>
  <c r="I2311" i="2" a="1"/>
  <c r="I2311" i="2"/>
  <c r="J2311" i="2" a="1"/>
  <c r="J2311" i="2"/>
  <c r="I2312" i="2" a="1"/>
  <c r="I2312" i="2" s="1"/>
  <c r="J2312" i="2" a="1"/>
  <c r="J2312" i="2"/>
  <c r="I2313" i="2" a="1"/>
  <c r="I2313" i="2"/>
  <c r="J2313" i="2" a="1"/>
  <c r="J2313" i="2"/>
  <c r="I2314" i="2" a="1"/>
  <c r="I2314" i="2" s="1"/>
  <c r="J2314" i="2" a="1"/>
  <c r="J2314" i="2"/>
  <c r="I2315" i="2" a="1"/>
  <c r="I2315" i="2"/>
  <c r="J2315" i="2" a="1"/>
  <c r="J2315" i="2"/>
  <c r="I2316" i="2" a="1"/>
  <c r="I2316" i="2" s="1"/>
  <c r="J2316" i="2" a="1"/>
  <c r="J2316" i="2"/>
  <c r="I2317" i="2" a="1"/>
  <c r="I2317" i="2"/>
  <c r="J2317" i="2" a="1"/>
  <c r="J2317" i="2"/>
  <c r="I2318" i="2" a="1"/>
  <c r="I2318" i="2" s="1"/>
  <c r="J2318" i="2" a="1"/>
  <c r="J2318" i="2"/>
  <c r="I2319" i="2" a="1"/>
  <c r="I2319" i="2"/>
  <c r="J2319" i="2" a="1"/>
  <c r="J2319" i="2"/>
  <c r="I2320" i="2" a="1"/>
  <c r="I2320" i="2" s="1"/>
  <c r="J2320" i="2" a="1"/>
  <c r="J2320" i="2"/>
  <c r="I2321" i="2" a="1"/>
  <c r="I2321" i="2"/>
  <c r="J2321" i="2" a="1"/>
  <c r="J2321" i="2"/>
  <c r="I2322" i="2" a="1"/>
  <c r="I2322" i="2" s="1"/>
  <c r="J2322" i="2" a="1"/>
  <c r="J2322" i="2"/>
  <c r="I2323" i="2" a="1"/>
  <c r="I2323" i="2"/>
  <c r="J2323" i="2" a="1"/>
  <c r="J2323" i="2"/>
  <c r="I2324" i="2" a="1"/>
  <c r="I2324" i="2" s="1"/>
  <c r="J2324" i="2" a="1"/>
  <c r="J2324" i="2"/>
  <c r="I2325" i="2" a="1"/>
  <c r="I2325" i="2"/>
  <c r="J2325" i="2" a="1"/>
  <c r="J2325" i="2"/>
  <c r="I2326" i="2" a="1"/>
  <c r="I2326" i="2" s="1"/>
  <c r="J2326" i="2" a="1"/>
  <c r="J2326" i="2"/>
  <c r="I2327" i="2" a="1"/>
  <c r="I2327" i="2"/>
  <c r="J2327" i="2" a="1"/>
  <c r="J2327" i="2"/>
  <c r="I2328" i="2" a="1"/>
  <c r="I2328" i="2" s="1"/>
  <c r="J2328" i="2" a="1"/>
  <c r="J2328" i="2"/>
  <c r="I2329" i="2" a="1"/>
  <c r="I2329" i="2"/>
  <c r="J2329" i="2" a="1"/>
  <c r="J2329" i="2"/>
  <c r="I2330" i="2" a="1"/>
  <c r="I2330" i="2" s="1"/>
  <c r="J2330" i="2" a="1"/>
  <c r="J2330" i="2"/>
  <c r="I2331" i="2" a="1"/>
  <c r="I2331" i="2"/>
  <c r="J2331" i="2" a="1"/>
  <c r="J2331" i="2"/>
  <c r="I2332" i="2" a="1"/>
  <c r="I2332" i="2" s="1"/>
  <c r="J2332" i="2" a="1"/>
  <c r="J2332" i="2"/>
  <c r="I2333" i="2" a="1"/>
  <c r="I2333" i="2"/>
  <c r="J2333" i="2" a="1"/>
  <c r="J2333" i="2"/>
  <c r="I2334" i="2" a="1"/>
  <c r="I2334" i="2" s="1"/>
  <c r="J2334" i="2" a="1"/>
  <c r="J2334" i="2"/>
  <c r="I2335" i="2" a="1"/>
  <c r="I2335" i="2"/>
  <c r="J2335" i="2" a="1"/>
  <c r="J2335" i="2"/>
  <c r="I2336" i="2" a="1"/>
  <c r="I2336" i="2" s="1"/>
  <c r="J2336" i="2" a="1"/>
  <c r="J2336" i="2"/>
  <c r="I3" i="2" a="1"/>
  <c r="I3" i="2"/>
  <c r="J3" i="2" a="1"/>
  <c r="J3" i="2"/>
  <c r="I4" i="2" a="1"/>
  <c r="I4" i="2"/>
  <c r="J4" i="2" a="1"/>
  <c r="J4" i="2" s="1"/>
  <c r="I5" i="2" a="1"/>
  <c r="I5" i="2" s="1"/>
  <c r="J5" i="2" a="1"/>
  <c r="J5" i="2"/>
  <c r="I6" i="2" a="1"/>
  <c r="I6" i="2" s="1"/>
  <c r="J6" i="2" a="1"/>
  <c r="J6" i="2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" i="1"/>
  <c r="K2" i="1" s="1"/>
  <c r="J2" i="2" a="1"/>
  <c r="J2" i="2" s="1"/>
  <c r="I2" i="2" a="1"/>
  <c r="I2" i="2" s="1"/>
  <c r="U2" i="4" l="1"/>
  <c r="U1048576" i="4" s="1"/>
  <c r="Q6" i="4"/>
  <c r="Q104857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<sst xmlns="http://schemas.openxmlformats.org/spreadsheetml/2006/main" count="56202" uniqueCount="4739">
  <si>
    <t>Customer ID</t>
  </si>
  <si>
    <t>name</t>
  </si>
  <si>
    <t>Id1</t>
  </si>
  <si>
    <t>Hawks, Ms.  Kelly</t>
  </si>
  <si>
    <t>Id2</t>
  </si>
  <si>
    <t>Lehner, Mr.  Matthew D</t>
  </si>
  <si>
    <t>Id3</t>
  </si>
  <si>
    <t>Lu, Mr.  Phil</t>
  </si>
  <si>
    <t>Id4</t>
  </si>
  <si>
    <t>Osborne, Ms.  Kelsey</t>
  </si>
  <si>
    <t>Id5</t>
  </si>
  <si>
    <t>Kadala, Ms.  Kristyn</t>
  </si>
  <si>
    <t>Id6</t>
  </si>
  <si>
    <t>Baker, Mr.  Russell B.</t>
  </si>
  <si>
    <t>Id7</t>
  </si>
  <si>
    <t>Macpherson, Mr.  Scott</t>
  </si>
  <si>
    <t>Id8</t>
  </si>
  <si>
    <t>Hallman, Mr.  Stephen</t>
  </si>
  <si>
    <t>Id9</t>
  </si>
  <si>
    <t>Moran, Mr.  Patrick R.</t>
  </si>
  <si>
    <t>Id10</t>
  </si>
  <si>
    <t>Benner, Ms.  Brooke N.</t>
  </si>
  <si>
    <t>Id11</t>
  </si>
  <si>
    <t>Fierro Vargas, Ms.  Paola Andrea</t>
  </si>
  <si>
    <t>Id12</t>
  </si>
  <si>
    <t>Franz, Mr.  David</t>
  </si>
  <si>
    <t>Id13</t>
  </si>
  <si>
    <t>Foster, Mr.  Wade</t>
  </si>
  <si>
    <t>Id14</t>
  </si>
  <si>
    <t>Tenorio, Mr.  Franklin</t>
  </si>
  <si>
    <t>Id15</t>
  </si>
  <si>
    <t>Rios, Ms.  Leilani M.</t>
  </si>
  <si>
    <t>Id16</t>
  </si>
  <si>
    <t>Viau-Dupuis, Mr.  Philippe</t>
  </si>
  <si>
    <t>Id17</t>
  </si>
  <si>
    <t>Cronin, Ms.  Jennifer A.</t>
  </si>
  <si>
    <t>Id18</t>
  </si>
  <si>
    <t>Noordstar, Ms.  Christina M.</t>
  </si>
  <si>
    <t>Id19</t>
  </si>
  <si>
    <t>Boudalia, Mr.  Said Sr.</t>
  </si>
  <si>
    <t>Id20</t>
  </si>
  <si>
    <t>Flor, Mr.  John</t>
  </si>
  <si>
    <t>Id21</t>
  </si>
  <si>
    <t>Fennon, Mr.  Myles</t>
  </si>
  <si>
    <t>Id22</t>
  </si>
  <si>
    <t>Hribar, Ms.  Madelyn C</t>
  </si>
  <si>
    <t>Id23</t>
  </si>
  <si>
    <t>Tassello, Ms.  Nicole</t>
  </si>
  <si>
    <t>Id24</t>
  </si>
  <si>
    <t>Mauricette, Mr.  Eric A.</t>
  </si>
  <si>
    <t>Id25</t>
  </si>
  <si>
    <t>Garcia, Mr.  Emiliano I.</t>
  </si>
  <si>
    <t>Id26</t>
  </si>
  <si>
    <t>Airoldi, Mr.  Adam</t>
  </si>
  <si>
    <t>Id27</t>
  </si>
  <si>
    <t>Cater-Cyker, Mr.  Zach</t>
  </si>
  <si>
    <t>Id28</t>
  </si>
  <si>
    <t>Hamm, Ms.  Stephanie W.</t>
  </si>
  <si>
    <t>Id29</t>
  </si>
  <si>
    <t>Cox, Mr.  Stephen</t>
  </si>
  <si>
    <t>Id30</t>
  </si>
  <si>
    <t>Sachrajda, Ms.  Natalie</t>
  </si>
  <si>
    <t>Id31</t>
  </si>
  <si>
    <t>Gareri, Ms.  Nicole J.</t>
  </si>
  <si>
    <t>Id32</t>
  </si>
  <si>
    <t>Welch, Mr.  Jefferson D</t>
  </si>
  <si>
    <t>Id33</t>
  </si>
  <si>
    <t>Prindiville, Mr.  Brendan D.</t>
  </si>
  <si>
    <t>Id34</t>
  </si>
  <si>
    <t>Kincaid, Ms.  Courtney</t>
  </si>
  <si>
    <t>Id35</t>
  </si>
  <si>
    <t>Bruestle, Ms.  Sydney L.</t>
  </si>
  <si>
    <t>Id36</t>
  </si>
  <si>
    <t>Lachance, Mr.  Julien</t>
  </si>
  <si>
    <t>Id37</t>
  </si>
  <si>
    <t>Eason, Mr.  Ryan M</t>
  </si>
  <si>
    <t>Id38</t>
  </si>
  <si>
    <t>Grummon, Ms.  Anna H.</t>
  </si>
  <si>
    <t>Id39</t>
  </si>
  <si>
    <t>Vanwechel, Ms.  Samantha</t>
  </si>
  <si>
    <t>Id40</t>
  </si>
  <si>
    <t>Fisher, Mr.  Robert</t>
  </si>
  <si>
    <t>Id41</t>
  </si>
  <si>
    <t>Jenkins, Mr.  James R.</t>
  </si>
  <si>
    <t>Id42</t>
  </si>
  <si>
    <t>Peters, Ms.  Roseann</t>
  </si>
  <si>
    <t>Id43</t>
  </si>
  <si>
    <t>Aha, Ms.  Nicole</t>
  </si>
  <si>
    <t>Id44</t>
  </si>
  <si>
    <t>McElwain, Mr.  Spencer</t>
  </si>
  <si>
    <t>Id45</t>
  </si>
  <si>
    <t>Januszewski, Mr.  Eric W</t>
  </si>
  <si>
    <t>Id46</t>
  </si>
  <si>
    <t>Rohne, Ms.  Brianna L</t>
  </si>
  <si>
    <t>Id47</t>
  </si>
  <si>
    <t>O'Grady, Mr.  Thomas J.</t>
  </si>
  <si>
    <t>Id48</t>
  </si>
  <si>
    <t>Peters, Ms.  Melissa L</t>
  </si>
  <si>
    <t>Id49</t>
  </si>
  <si>
    <t>De Simone, Mr.  Flavio</t>
  </si>
  <si>
    <t>Id50</t>
  </si>
  <si>
    <t>Beckett, Mr.  Ryan</t>
  </si>
  <si>
    <t>Id51</t>
  </si>
  <si>
    <t>Sobrilsky, Mr.  Anthony J.</t>
  </si>
  <si>
    <t>Id52</t>
  </si>
  <si>
    <t>Wang, Ms.  Alex</t>
  </si>
  <si>
    <t>Id53</t>
  </si>
  <si>
    <t>Campa, Mr.  David</t>
  </si>
  <si>
    <t>Id54</t>
  </si>
  <si>
    <t>Clifford, Mr.  Andrew B</t>
  </si>
  <si>
    <t>Id55</t>
  </si>
  <si>
    <t>Dalmata, Ms.  Dara E</t>
  </si>
  <si>
    <t>Id56</t>
  </si>
  <si>
    <t>Vishik, Ms.  Inna</t>
  </si>
  <si>
    <t>Id57</t>
  </si>
  <si>
    <t>Schorr, Mr.  Ari</t>
  </si>
  <si>
    <t>Id58</t>
  </si>
  <si>
    <t>Lusardi, Ms.  Lindsey</t>
  </si>
  <si>
    <t>Id59</t>
  </si>
  <si>
    <t>Rayner, Mr.  Kenny</t>
  </si>
  <si>
    <t>Id60</t>
  </si>
  <si>
    <t>Voghel, Ms.  Louise</t>
  </si>
  <si>
    <t>Id61</t>
  </si>
  <si>
    <t>Rieth, Mr.  Cameron</t>
  </si>
  <si>
    <t>Id62</t>
  </si>
  <si>
    <t>Gollotto, Ms.  Katie T.</t>
  </si>
  <si>
    <t>Id63</t>
  </si>
  <si>
    <t>Dunn, Ms.  Casey</t>
  </si>
  <si>
    <t>Id64</t>
  </si>
  <si>
    <t>Blitzer, Mr.  David</t>
  </si>
  <si>
    <t>Id65</t>
  </si>
  <si>
    <t>Smith, Mr.  Bryson C.</t>
  </si>
  <si>
    <t>Id66</t>
  </si>
  <si>
    <t>Hyland, Ms.  Megan</t>
  </si>
  <si>
    <t>Id67</t>
  </si>
  <si>
    <t>Ducharme, Mr.  Daniel</t>
  </si>
  <si>
    <t>Id68</t>
  </si>
  <si>
    <t>Johnson, Mr.  Steven M.</t>
  </si>
  <si>
    <t>Id69</t>
  </si>
  <si>
    <t>Mutz, Ms.  Jenna L.</t>
  </si>
  <si>
    <t>Id70</t>
  </si>
  <si>
    <t>Lee, Mr.  Freeman</t>
  </si>
  <si>
    <t>Id71</t>
  </si>
  <si>
    <t>Turner, Mr.  Jeff</t>
  </si>
  <si>
    <t>Id72</t>
  </si>
  <si>
    <t>Rangel, Mr.  Elenilton V. Sr.</t>
  </si>
  <si>
    <t>Id73</t>
  </si>
  <si>
    <t>Lacey, Ms.  Maurya</t>
  </si>
  <si>
    <t>Id74</t>
  </si>
  <si>
    <t>Stiger, Ms.  Samantha C</t>
  </si>
  <si>
    <t>Id75</t>
  </si>
  <si>
    <t>Caldwell, Ms.  Bethany A</t>
  </si>
  <si>
    <t>Id76</t>
  </si>
  <si>
    <t>Marmillod, Mr.  Yves</t>
  </si>
  <si>
    <t>Id77</t>
  </si>
  <si>
    <t>Cloutier-Simons, Ms.  Danielle</t>
  </si>
  <si>
    <t>Id78</t>
  </si>
  <si>
    <t>Vegas, Ms.  Julia</t>
  </si>
  <si>
    <t>Id79</t>
  </si>
  <si>
    <t>Cochran, Mr.  Joshua</t>
  </si>
  <si>
    <t>Id80</t>
  </si>
  <si>
    <t>Holtzapple, Ms.  Jennifer</t>
  </si>
  <si>
    <t>Id81</t>
  </si>
  <si>
    <t>Meyer, Ms.  Gwen M.</t>
  </si>
  <si>
    <t>Id82</t>
  </si>
  <si>
    <t>Brickley, Mr.  Patrick</t>
  </si>
  <si>
    <t>Id83</t>
  </si>
  <si>
    <t>Magee, Ms.  Kate</t>
  </si>
  <si>
    <t>Id84</t>
  </si>
  <si>
    <t>Thoma, Mr.  Kevin</t>
  </si>
  <si>
    <t>Id85</t>
  </si>
  <si>
    <t>Heagy, Mr.  Stephen II</t>
  </si>
  <si>
    <t>Id86</t>
  </si>
  <si>
    <t>Regnier, Mr.  Philip</t>
  </si>
  <si>
    <t>Id87</t>
  </si>
  <si>
    <t>Parendo, Mr.  Brett A</t>
  </si>
  <si>
    <t>Id88</t>
  </si>
  <si>
    <t>Schell, Ms.  Rebecca</t>
  </si>
  <si>
    <t>Id89</t>
  </si>
  <si>
    <t>Driscoll, Ms.  Kelley</t>
  </si>
  <si>
    <t>Id90</t>
  </si>
  <si>
    <t>Mitchell, Ms.  Abigail K</t>
  </si>
  <si>
    <t>Id91</t>
  </si>
  <si>
    <t>Cutler, Ms.  Hope</t>
  </si>
  <si>
    <t>Id92</t>
  </si>
  <si>
    <t>Derian, Ms.  Elyse M.</t>
  </si>
  <si>
    <t>Id93</t>
  </si>
  <si>
    <t>Farina, Mr.  Nicholas</t>
  </si>
  <si>
    <t>Id94</t>
  </si>
  <si>
    <t>Saunders, Mr.  David</t>
  </si>
  <si>
    <t>Id95</t>
  </si>
  <si>
    <t>Kratz, Ms.  Natalie</t>
  </si>
  <si>
    <t>Id96</t>
  </si>
  <si>
    <t>Boland, Mr.  Thomas</t>
  </si>
  <si>
    <t>Id97</t>
  </si>
  <si>
    <t>Van Hout, Ms.  Pamela J.</t>
  </si>
  <si>
    <t>Id98</t>
  </si>
  <si>
    <t>Ramsey, Ms.  Jessica</t>
  </si>
  <si>
    <t>Id99</t>
  </si>
  <si>
    <t>Gage, Mr.  Ron N</t>
  </si>
  <si>
    <t>Id100</t>
  </si>
  <si>
    <t>Gollins, Mr.  Daniel</t>
  </si>
  <si>
    <t>Id101</t>
  </si>
  <si>
    <t>Benestad, Mr.  Brian</t>
  </si>
  <si>
    <t>Id102</t>
  </si>
  <si>
    <t>Aviv, Ms.  Sari</t>
  </si>
  <si>
    <t>Id103</t>
  </si>
  <si>
    <t>Burns, Mr.  Robert M.</t>
  </si>
  <si>
    <t>Id104</t>
  </si>
  <si>
    <t>Maldonado, Mr.  Ricardo</t>
  </si>
  <si>
    <t>Id105</t>
  </si>
  <si>
    <t>Yitref, Mr.  Gedion</t>
  </si>
  <si>
    <t>Id106</t>
  </si>
  <si>
    <t>Loudon-Brown, Mr.  Mark</t>
  </si>
  <si>
    <t>Id107</t>
  </si>
  <si>
    <t>Sugathadasa, Mr.  Gamini P.</t>
  </si>
  <si>
    <t>Id108</t>
  </si>
  <si>
    <t>Ganley, Ms.  Emily J</t>
  </si>
  <si>
    <t>Id109</t>
  </si>
  <si>
    <t>Potter, Ms.  Amanda</t>
  </si>
  <si>
    <t>Id110</t>
  </si>
  <si>
    <t>Rasmussen, Mr.  Nicholas</t>
  </si>
  <si>
    <t>Id111</t>
  </si>
  <si>
    <t>Robinson, Mr.  Knox</t>
  </si>
  <si>
    <t>Id112</t>
  </si>
  <si>
    <t>Antonopoulos, Ms.  Yianna</t>
  </si>
  <si>
    <t>Id113</t>
  </si>
  <si>
    <t>Groner, Ms.  Roberta</t>
  </si>
  <si>
    <t>Id114</t>
  </si>
  <si>
    <t>Zywicki, Mr.  Benjamin P.</t>
  </si>
  <si>
    <t>Id115</t>
  </si>
  <si>
    <t>Cardinal, Mr.  Craig</t>
  </si>
  <si>
    <t>Id116</t>
  </si>
  <si>
    <t>Alleman, Ms.  Ann</t>
  </si>
  <si>
    <t>Id117</t>
  </si>
  <si>
    <t>Stroffolino, Mr.  Jamie P</t>
  </si>
  <si>
    <t>Id118</t>
  </si>
  <si>
    <t>Clubb, Mr.  John</t>
  </si>
  <si>
    <t>Id119</t>
  </si>
  <si>
    <t>McGoogan, Mr.  Charlie</t>
  </si>
  <si>
    <t>Id120</t>
  </si>
  <si>
    <t>Keflezighi, Mr.  Meb</t>
  </si>
  <si>
    <t>Id121</t>
  </si>
  <si>
    <t>Syed, Mr.  Aaqib L.</t>
  </si>
  <si>
    <t>Id122</t>
  </si>
  <si>
    <t>Segal, Mr.  Craig A.</t>
  </si>
  <si>
    <t>Id123</t>
  </si>
  <si>
    <t>Defranco, Ms.  Meredith</t>
  </si>
  <si>
    <t>Id124</t>
  </si>
  <si>
    <t>Kells, Mr.  Doug</t>
  </si>
  <si>
    <t>Id125</t>
  </si>
  <si>
    <t>Lawton, Ms.  Elizabeth J.</t>
  </si>
  <si>
    <t>Id126</t>
  </si>
  <si>
    <t>Bejar, Mr.  Matthew P</t>
  </si>
  <si>
    <t>Id127</t>
  </si>
  <si>
    <t>Navarro Castro, Mr.  Guillermo Sr.</t>
  </si>
  <si>
    <t>Id128</t>
  </si>
  <si>
    <t>Tice, Mr.  Ryan C</t>
  </si>
  <si>
    <t>Id129</t>
  </si>
  <si>
    <t>Wolf, Mr.  Dane</t>
  </si>
  <si>
    <t>Id130</t>
  </si>
  <si>
    <t>Oppedal, Mr.  Jonas</t>
  </si>
  <si>
    <t>Id131</t>
  </si>
  <si>
    <t>Wright, Mr.  George E</t>
  </si>
  <si>
    <t>Id132</t>
  </si>
  <si>
    <t>Ellis, Ms.  Sara S</t>
  </si>
  <si>
    <t>Id133</t>
  </si>
  <si>
    <t>Taormina, Mr.  Nick</t>
  </si>
  <si>
    <t>Id134</t>
  </si>
  <si>
    <t>Lynch, Mr.  Timothy</t>
  </si>
  <si>
    <t>Id135</t>
  </si>
  <si>
    <t>Tavella, Ms.  Becky L</t>
  </si>
  <si>
    <t>Id136</t>
  </si>
  <si>
    <t>Neufeld, Ms.  Steph K.</t>
  </si>
  <si>
    <t>Id137</t>
  </si>
  <si>
    <t>Walhovd, Ms.  Kristine B.</t>
  </si>
  <si>
    <t>Id138</t>
  </si>
  <si>
    <t>Washburn, Mr.  Taylor B</t>
  </si>
  <si>
    <t>Id139</t>
  </si>
  <si>
    <t>Mroz, Mr.  William</t>
  </si>
  <si>
    <t>Id140</t>
  </si>
  <si>
    <t>Canaday, Mr.  Sage</t>
  </si>
  <si>
    <t>Id141</t>
  </si>
  <si>
    <t>Atkins, Mr.  Cole</t>
  </si>
  <si>
    <t>Id142</t>
  </si>
  <si>
    <t>Kropelnicki, Mr.  Jesse</t>
  </si>
  <si>
    <t>Id143</t>
  </si>
  <si>
    <t>Braund, Ms.  Tammi J.</t>
  </si>
  <si>
    <t>Id144</t>
  </si>
  <si>
    <t>Anderson, Mr.  Matthew S.</t>
  </si>
  <si>
    <t>Id145</t>
  </si>
  <si>
    <t>Bilbrey, Mr.  Eric</t>
  </si>
  <si>
    <t>Id146</t>
  </si>
  <si>
    <t>Curtis, Ms.  Valeria R</t>
  </si>
  <si>
    <t>Id147</t>
  </si>
  <si>
    <t>Meyer, Mr.  Michael P</t>
  </si>
  <si>
    <t>Id148</t>
  </si>
  <si>
    <t>Bardeesy, Mr.  Rami</t>
  </si>
  <si>
    <t>Id149</t>
  </si>
  <si>
    <t>Shanahan, Mr.  Denis</t>
  </si>
  <si>
    <t>Id150</t>
  </si>
  <si>
    <t>Sutter, Mr.  Brian E</t>
  </si>
  <si>
    <t>Id151</t>
  </si>
  <si>
    <t>Yesian, Ms.  Bonnie</t>
  </si>
  <si>
    <t>Id152</t>
  </si>
  <si>
    <t>Meers, Mr.  Michael P</t>
  </si>
  <si>
    <t>Id153</t>
  </si>
  <si>
    <t>Conlon, Mr.  Paul</t>
  </si>
  <si>
    <t>Id154</t>
  </si>
  <si>
    <t>Arnstein, Mr.  Michael</t>
  </si>
  <si>
    <t>Id155</t>
  </si>
  <si>
    <t>Jurek, Mr.  Samuel</t>
  </si>
  <si>
    <t>Id156</t>
  </si>
  <si>
    <t>Thill, Mr.  Matthew</t>
  </si>
  <si>
    <t>Id157</t>
  </si>
  <si>
    <t>Glaz, Mr.  Daniel</t>
  </si>
  <si>
    <t>Id158</t>
  </si>
  <si>
    <t>Sampson, Ms.  Syndy</t>
  </si>
  <si>
    <t>Id159</t>
  </si>
  <si>
    <t>Duliba, Ms.  Aleksandra</t>
  </si>
  <si>
    <t>Id160</t>
  </si>
  <si>
    <t>Tanguay, Mr.  Steeve T Sr.</t>
  </si>
  <si>
    <t>Id161</t>
  </si>
  <si>
    <t>McClelland, Mr.  Richard</t>
  </si>
  <si>
    <t>Id162</t>
  </si>
  <si>
    <t>Gorman, Mr.  Aaron T</t>
  </si>
  <si>
    <t>Id163</t>
  </si>
  <si>
    <t>Nishimura, Mr.  Akira</t>
  </si>
  <si>
    <t>Id164</t>
  </si>
  <si>
    <t>Brimble, Mr.  Ben</t>
  </si>
  <si>
    <t>Id165</t>
  </si>
  <si>
    <t>Trenk, Ms.  Jana</t>
  </si>
  <si>
    <t>Id166</t>
  </si>
  <si>
    <t>Wittmann, Mr.  Jay T.</t>
  </si>
  <si>
    <t>Id167</t>
  </si>
  <si>
    <t>Tremblay, Ms.  Marie-Helene</t>
  </si>
  <si>
    <t>Id168</t>
  </si>
  <si>
    <t>Scofield, Ms.  Bret R</t>
  </si>
  <si>
    <t>Id169</t>
  </si>
  <si>
    <t>Yost, Mr.  Gardner L</t>
  </si>
  <si>
    <t>Id170</t>
  </si>
  <si>
    <t>Torphy, Mr.  Bobby</t>
  </si>
  <si>
    <t>Id171</t>
  </si>
  <si>
    <t>Busby, Ms.  Natalie</t>
  </si>
  <si>
    <t>Id172</t>
  </si>
  <si>
    <t>Nguyen, Ms.  Lina</t>
  </si>
  <si>
    <t>Id173</t>
  </si>
  <si>
    <t>Hanley, Mr.  Zebulon</t>
  </si>
  <si>
    <t>Id174</t>
  </si>
  <si>
    <t>Scheer, Ms.  Amanda</t>
  </si>
  <si>
    <t>Id175</t>
  </si>
  <si>
    <t>Rankin, Mr.  Greg</t>
  </si>
  <si>
    <t>Id176</t>
  </si>
  <si>
    <t>Ricardi, Mr.  John</t>
  </si>
  <si>
    <t>Id177</t>
  </si>
  <si>
    <t>Karkos, Ms.  Kelsey A.</t>
  </si>
  <si>
    <t>Id178</t>
  </si>
  <si>
    <t>Price-Dierksen, Ms.  Bronwen L</t>
  </si>
  <si>
    <t>Id179</t>
  </si>
  <si>
    <t>Knispel, Ms.  Manuela</t>
  </si>
  <si>
    <t>Id180</t>
  </si>
  <si>
    <t>King, Ms.  Jennifer L</t>
  </si>
  <si>
    <t>Id181</t>
  </si>
  <si>
    <t>Samuelson, Ms.  Abby W.</t>
  </si>
  <si>
    <t>Id182</t>
  </si>
  <si>
    <t>Fredsall, Mr.  Tyler</t>
  </si>
  <si>
    <t>Id183</t>
  </si>
  <si>
    <t>Eggleston, Mr.  Jeffrey</t>
  </si>
  <si>
    <t>Id184</t>
  </si>
  <si>
    <t>Palombaro, Mr.  Matthew F</t>
  </si>
  <si>
    <t>Id185</t>
  </si>
  <si>
    <t>Silva, Mr.  Ryan J.</t>
  </si>
  <si>
    <t>Id186</t>
  </si>
  <si>
    <t>Bugala, Ms.  Amy</t>
  </si>
  <si>
    <t>Id187</t>
  </si>
  <si>
    <t>Dublin, Mr.  Andrew P</t>
  </si>
  <si>
    <t>Id188</t>
  </si>
  <si>
    <t>Cleland, Mr.  George M. V</t>
  </si>
  <si>
    <t>Id189</t>
  </si>
  <si>
    <t>Evans, Ms.  Sarah</t>
  </si>
  <si>
    <t>Id190</t>
  </si>
  <si>
    <t>Boyd, Ms.  Lara</t>
  </si>
  <si>
    <t>Id191</t>
  </si>
  <si>
    <t>Roulier, Mr.  Sebastien</t>
  </si>
  <si>
    <t>Id192</t>
  </si>
  <si>
    <t>Mullins, Mr.  Padraig</t>
  </si>
  <si>
    <t>Id193</t>
  </si>
  <si>
    <t>Hofmann, Ms.  Heather</t>
  </si>
  <si>
    <t>Id194</t>
  </si>
  <si>
    <t>Garcia Garcia, Mr.  Jorge</t>
  </si>
  <si>
    <t>Id195</t>
  </si>
  <si>
    <t>Klecker, Mr.  Jack R</t>
  </si>
  <si>
    <t>Id196</t>
  </si>
  <si>
    <t>Cancre, Mr.  Felix</t>
  </si>
  <si>
    <t>Id197</t>
  </si>
  <si>
    <t>Denucci, Mr.  Christopher C</t>
  </si>
  <si>
    <t>Id198</t>
  </si>
  <si>
    <t>Saldana, Mr.  Jesse</t>
  </si>
  <si>
    <t>Id199</t>
  </si>
  <si>
    <t>Weinberg, Ms.  Jill</t>
  </si>
  <si>
    <t>Id200</t>
  </si>
  <si>
    <t>Walsh, Mr.  William</t>
  </si>
  <si>
    <t>Id201</t>
  </si>
  <si>
    <t>Pasten, Mr.  Alejandro</t>
  </si>
  <si>
    <t>Id202</t>
  </si>
  <si>
    <t>LaBelle, Mr.  Ian E.</t>
  </si>
  <si>
    <t>Id203</t>
  </si>
  <si>
    <t>Guzman, Mr.  Hector Sr.</t>
  </si>
  <si>
    <t>Id204</t>
  </si>
  <si>
    <t>Turnbull, Ms.  Rebecca</t>
  </si>
  <si>
    <t>Id205</t>
  </si>
  <si>
    <t>Aguero, Mr.  Matt</t>
  </si>
  <si>
    <t>Id206</t>
  </si>
  <si>
    <t>Woodward, Ms.  Elizabeth H</t>
  </si>
  <si>
    <t>Id207</t>
  </si>
  <si>
    <t>McElroy, Ms.  Grace</t>
  </si>
  <si>
    <t>Id208</t>
  </si>
  <si>
    <t>Lopez, Mr.  Jaime</t>
  </si>
  <si>
    <t>Id209</t>
  </si>
  <si>
    <t>Cardosi, Ms.  Calesse</t>
  </si>
  <si>
    <t>Id210</t>
  </si>
  <si>
    <t>Looney, Ms.  Kate L</t>
  </si>
  <si>
    <t>Id211</t>
  </si>
  <si>
    <t>Zyryanov, Mr.  Sergey</t>
  </si>
  <si>
    <t>Id212</t>
  </si>
  <si>
    <t>Gavin, Mr.  Timothy V</t>
  </si>
  <si>
    <t>Id213</t>
  </si>
  <si>
    <t>Littlefield, Mr.  Andrew S</t>
  </si>
  <si>
    <t>Id214</t>
  </si>
  <si>
    <t>Shearer, Mr.  Matthew D</t>
  </si>
  <si>
    <t>Id215</t>
  </si>
  <si>
    <t>Armstrong, Ms.  Jessica</t>
  </si>
  <si>
    <t>Id216</t>
  </si>
  <si>
    <t>Warriner, Mr.  Lawrence</t>
  </si>
  <si>
    <t>Id217</t>
  </si>
  <si>
    <t>White, Mr.  Alex</t>
  </si>
  <si>
    <t>Id218</t>
  </si>
  <si>
    <t>Cordaro, Mr.  Kevin</t>
  </si>
  <si>
    <t>Id219</t>
  </si>
  <si>
    <t>Hamilton, Mr.  Gavin M.</t>
  </si>
  <si>
    <t>Id220</t>
  </si>
  <si>
    <t>Meyer, Mr.  Rick E</t>
  </si>
  <si>
    <t>Id221</t>
  </si>
  <si>
    <t>Duke, Ms.  Andrea H.</t>
  </si>
  <si>
    <t>Id222</t>
  </si>
  <si>
    <t>Malatesta, Mr.  Anthony S</t>
  </si>
  <si>
    <t>Id223</t>
  </si>
  <si>
    <t>Hinrichsen, Mr.  Erik</t>
  </si>
  <si>
    <t>Id224</t>
  </si>
  <si>
    <t>Lucan, Ms.  Kiley D</t>
  </si>
  <si>
    <t>Id225</t>
  </si>
  <si>
    <t>Koch, Ms.  Jennifer</t>
  </si>
  <si>
    <t>Id226</t>
  </si>
  <si>
    <t>Smith, Mr.  Chris</t>
  </si>
  <si>
    <t>Id227</t>
  </si>
  <si>
    <t>O'Connor, Ms.  Marian M.</t>
  </si>
  <si>
    <t>Id228</t>
  </si>
  <si>
    <t>Kampwerth, Mr.  Jeremy</t>
  </si>
  <si>
    <t>Id229</t>
  </si>
  <si>
    <t>Federoff, Ms.  Allison H</t>
  </si>
  <si>
    <t>Id230</t>
  </si>
  <si>
    <t>Goya, Ms.  Elizabeth</t>
  </si>
  <si>
    <t>Id231</t>
  </si>
  <si>
    <t>Hodges, Mr.  Andrew</t>
  </si>
  <si>
    <t>Id232</t>
  </si>
  <si>
    <t>Erickson, Mr.  Anders J</t>
  </si>
  <si>
    <t>Id233</t>
  </si>
  <si>
    <t>Welleck, Mr.  Sean</t>
  </si>
  <si>
    <t>Id234</t>
  </si>
  <si>
    <t>Polen, Mr.  Brian M.</t>
  </si>
  <si>
    <t>Id235</t>
  </si>
  <si>
    <t>Lynch, Mr.  Jeremy</t>
  </si>
  <si>
    <t>Id236</t>
  </si>
  <si>
    <t>Hufstader, Ms.  Susannah</t>
  </si>
  <si>
    <t>Id237</t>
  </si>
  <si>
    <t>Doak, Mr.  Randy</t>
  </si>
  <si>
    <t>Id238</t>
  </si>
  <si>
    <t>Noya, Mr.  Leslie</t>
  </si>
  <si>
    <t>Id239</t>
  </si>
  <si>
    <t>Heninger, Ms.  Brittany L.</t>
  </si>
  <si>
    <t>Id240</t>
  </si>
  <si>
    <t>Richardson, Ms.  Cassie J.</t>
  </si>
  <si>
    <t>Id241</t>
  </si>
  <si>
    <t>Deucher, Mr.  Peter W</t>
  </si>
  <si>
    <t>Id242</t>
  </si>
  <si>
    <t>Wilson, Mr.  Douglas</t>
  </si>
  <si>
    <t>Id243</t>
  </si>
  <si>
    <t>Hall, Mr.  Dan</t>
  </si>
  <si>
    <t>Id244</t>
  </si>
  <si>
    <t>Reed, Mr.  Dan M.</t>
  </si>
  <si>
    <t>Id245</t>
  </si>
  <si>
    <t>Frome, Mr.  Eric L.</t>
  </si>
  <si>
    <t>Id246</t>
  </si>
  <si>
    <t>Creasy, Mr.  Les J</t>
  </si>
  <si>
    <t>Id247</t>
  </si>
  <si>
    <t>Latimer, Ms.  Stephanie</t>
  </si>
  <si>
    <t>Id248</t>
  </si>
  <si>
    <t>Wei, Ms.  Melissa Y</t>
  </si>
  <si>
    <t>Id249</t>
  </si>
  <si>
    <t>Hayes, Ms.  Ashley</t>
  </si>
  <si>
    <t>Id250</t>
  </si>
  <si>
    <t>Velardo, Ms.  Stephanie M.</t>
  </si>
  <si>
    <t>Id251</t>
  </si>
  <si>
    <t>Kastes, Ms.  Kylie</t>
  </si>
  <si>
    <t>Id252</t>
  </si>
  <si>
    <t>Escorcia, Ms.  Kelly</t>
  </si>
  <si>
    <t>Id253</t>
  </si>
  <si>
    <t>Larscheid, Ms.  Carrie</t>
  </si>
  <si>
    <t>Id254</t>
  </si>
  <si>
    <t>O'Bannon, Mr.  Alex</t>
  </si>
  <si>
    <t>Id255</t>
  </si>
  <si>
    <t>Ridgway, Mr.  Zach S</t>
  </si>
  <si>
    <t>Id256</t>
  </si>
  <si>
    <t>Black, Mr.  Alan</t>
  </si>
  <si>
    <t>Id257</t>
  </si>
  <si>
    <t>Canton, Mr.  Nate</t>
  </si>
  <si>
    <t>Id258</t>
  </si>
  <si>
    <t>Fine, Mr.  Jesse G.</t>
  </si>
  <si>
    <t>Id259</t>
  </si>
  <si>
    <t>Bui, Mr.  Jason</t>
  </si>
  <si>
    <t>Id260</t>
  </si>
  <si>
    <t>Riepma, Ms.  Megan A.</t>
  </si>
  <si>
    <t>Id261</t>
  </si>
  <si>
    <t>Inman, Mr.  Luke M</t>
  </si>
  <si>
    <t>Id262</t>
  </si>
  <si>
    <t>Kruzel, Ms.  Jacy D</t>
  </si>
  <si>
    <t>Id263</t>
  </si>
  <si>
    <t>Lindsay, Mr.  Simon G.</t>
  </si>
  <si>
    <t>Id264</t>
  </si>
  <si>
    <t>Land, Ms.  Ainsley E.</t>
  </si>
  <si>
    <t>Id265</t>
  </si>
  <si>
    <t>Brecher, Ms.  Erica A.</t>
  </si>
  <si>
    <t>Id266</t>
  </si>
  <si>
    <t>Debolt, Mr.  Erik</t>
  </si>
  <si>
    <t>Id267</t>
  </si>
  <si>
    <t>Oswalt, Ms.  Erin C.</t>
  </si>
  <si>
    <t>Id268</t>
  </si>
  <si>
    <t>Boyd, Ms.  Adrienne</t>
  </si>
  <si>
    <t>Id269</t>
  </si>
  <si>
    <t>Bulewich, Mr.  Adam</t>
  </si>
  <si>
    <t>Id270</t>
  </si>
  <si>
    <t>Fukuda, Mr.  Yutaka</t>
  </si>
  <si>
    <t>Id271</t>
  </si>
  <si>
    <t>Phillips, Mr.  Tyler M</t>
  </si>
  <si>
    <t>Id272</t>
  </si>
  <si>
    <t>Maddison, Mr.  Stephen</t>
  </si>
  <si>
    <t>Id273</t>
  </si>
  <si>
    <t>Lockwood, Mr.  Andrew B.</t>
  </si>
  <si>
    <t>Id274</t>
  </si>
  <si>
    <t>Defilippi, Mr.  James</t>
  </si>
  <si>
    <t>Id275</t>
  </si>
  <si>
    <t>Jackson, Mr.  Shawn P.</t>
  </si>
  <si>
    <t>Id276</t>
  </si>
  <si>
    <t>Ozahowski, Mr.  Matt</t>
  </si>
  <si>
    <t>Id277</t>
  </si>
  <si>
    <t>Guthals, Mr.  Nathaniel</t>
  </si>
  <si>
    <t>Id278</t>
  </si>
  <si>
    <t>Yates, Mr.  Kevin D.</t>
  </si>
  <si>
    <t>Id279</t>
  </si>
  <si>
    <t>Samuelson, Ms.  Joan</t>
  </si>
  <si>
    <t>Id280</t>
  </si>
  <si>
    <t>Lemos, Mr.  Christopher A</t>
  </si>
  <si>
    <t>Id281</t>
  </si>
  <si>
    <t>Seynders, Ms.  Kacy L.</t>
  </si>
  <si>
    <t>Id282</t>
  </si>
  <si>
    <t>Saunders, Mr.  Benjamin H.</t>
  </si>
  <si>
    <t>Id283</t>
  </si>
  <si>
    <t>Walker, Mr.  Xaviour J.</t>
  </si>
  <si>
    <t>Id284</t>
  </si>
  <si>
    <t>Lam, Mr.  Michael T.</t>
  </si>
  <si>
    <t>Id285</t>
  </si>
  <si>
    <t>Sweigart, Mr.  Bradley</t>
  </si>
  <si>
    <t>Id286</t>
  </si>
  <si>
    <t>Sieczkowski, Ms.  Andrea</t>
  </si>
  <si>
    <t>Id287</t>
  </si>
  <si>
    <t>Jurgens, Ms.  Nancy M</t>
  </si>
  <si>
    <t>Id288</t>
  </si>
  <si>
    <t>Hackman, Mr.  Matt</t>
  </si>
  <si>
    <t>Id289</t>
  </si>
  <si>
    <t>Klarich, Mr.  Lee</t>
  </si>
  <si>
    <t>Id290</t>
  </si>
  <si>
    <t>Schulten, Mr.  Chris</t>
  </si>
  <si>
    <t>Id291</t>
  </si>
  <si>
    <t>Fagerstrom, Mr.  Erik T.</t>
  </si>
  <si>
    <t>Id292</t>
  </si>
  <si>
    <t>Bien, Mr.  Rod W</t>
  </si>
  <si>
    <t>Id293</t>
  </si>
  <si>
    <t>Hess, Mr.  Joey</t>
  </si>
  <si>
    <t>Id294</t>
  </si>
  <si>
    <t>Shaw, Ms.  Hillary L.</t>
  </si>
  <si>
    <t>Id295</t>
  </si>
  <si>
    <t>Williams, Mr.  Eric J</t>
  </si>
  <si>
    <t>Id296</t>
  </si>
  <si>
    <t>Menzies, Mr.  Nicolas</t>
  </si>
  <si>
    <t>Id297</t>
  </si>
  <si>
    <t>Buehler, Mr.  Marcel</t>
  </si>
  <si>
    <t>Id298</t>
  </si>
  <si>
    <t>Degen, Ms.  Ashley N</t>
  </si>
  <si>
    <t>Id299</t>
  </si>
  <si>
    <t>Arsenault, Mr.  Evan D</t>
  </si>
  <si>
    <t>Id300</t>
  </si>
  <si>
    <t>Hoff, Ms.  Krisana</t>
  </si>
  <si>
    <t>Id301</t>
  </si>
  <si>
    <t>Hall, Mr.  Kyle</t>
  </si>
  <si>
    <t>Id302</t>
  </si>
  <si>
    <t>Ashley, Ms.  Kate</t>
  </si>
  <si>
    <t>Id303</t>
  </si>
  <si>
    <t>Rindahl, Mr.  Martin A.</t>
  </si>
  <si>
    <t>Id304</t>
  </si>
  <si>
    <t>Clark, Ms.  Stacey</t>
  </si>
  <si>
    <t>Id305</t>
  </si>
  <si>
    <t>Irish, Ms.  Christine</t>
  </si>
  <si>
    <t>Id306</t>
  </si>
  <si>
    <t>Richardson, Ms.  Sarah C.</t>
  </si>
  <si>
    <t>Id307</t>
  </si>
  <si>
    <t>Dewitt, Ms.  Megan</t>
  </si>
  <si>
    <t>Id308</t>
  </si>
  <si>
    <t>Hickman, Mr.  Jason W</t>
  </si>
  <si>
    <t>Id309</t>
  </si>
  <si>
    <t>Gonzalez, Ms.  Michele</t>
  </si>
  <si>
    <t>Id310</t>
  </si>
  <si>
    <t>Difani, Ms.  Nikki</t>
  </si>
  <si>
    <t>Id311</t>
  </si>
  <si>
    <t>Turner, Mr.  Philip J.</t>
  </si>
  <si>
    <t>Id312</t>
  </si>
  <si>
    <t>Widmann, Mr.  Bryan L</t>
  </si>
  <si>
    <t>Id313</t>
  </si>
  <si>
    <t>Tunney, Mr.  Timothy F</t>
  </si>
  <si>
    <t>Id314</t>
  </si>
  <si>
    <t>San Juan, Ms.  Angielyn M</t>
  </si>
  <si>
    <t>Id315</t>
  </si>
  <si>
    <t>Croll, Ms.  Jeanie M.</t>
  </si>
  <si>
    <t>Id316</t>
  </si>
  <si>
    <t>Rolfes, Mr.  Greg</t>
  </si>
  <si>
    <t>Id317</t>
  </si>
  <si>
    <t>Hinkle, Mr.  John</t>
  </si>
  <si>
    <t>Id318</t>
  </si>
  <si>
    <t>Leuchanka, Mr.  Aliaksandr</t>
  </si>
  <si>
    <t>Id319</t>
  </si>
  <si>
    <t>Ayr, Mr.  Jason M.</t>
  </si>
  <si>
    <t>Id320</t>
  </si>
  <si>
    <t>Siegel, Ms.  Sheera K</t>
  </si>
  <si>
    <t>Id321</t>
  </si>
  <si>
    <t>Penrose, Ms.  Janice</t>
  </si>
  <si>
    <t>Id322</t>
  </si>
  <si>
    <t>Schuler, Mr.  Timothy G.</t>
  </si>
  <si>
    <t>Id323</t>
  </si>
  <si>
    <t>Walker, Mr.  Alan R</t>
  </si>
  <si>
    <t>Id324</t>
  </si>
  <si>
    <t>Stange, Mr.  Michael</t>
  </si>
  <si>
    <t>Id325</t>
  </si>
  <si>
    <t>Roy, Ms.  Marie-France</t>
  </si>
  <si>
    <t>Id326</t>
  </si>
  <si>
    <t>Potere, Mr.  Erik F.</t>
  </si>
  <si>
    <t>Id327</t>
  </si>
  <si>
    <t>Podgurski, Mr.  Andrew</t>
  </si>
  <si>
    <t>Id328</t>
  </si>
  <si>
    <t>Diamond, Mr.  Anthony</t>
  </si>
  <si>
    <t>Id329</t>
  </si>
  <si>
    <t>Sallade, Mr.  Chris</t>
  </si>
  <si>
    <t>Id330</t>
  </si>
  <si>
    <t>Zhang, Mr.  Yu</t>
  </si>
  <si>
    <t>Id331</t>
  </si>
  <si>
    <t>Chatfield, Mr.  Caleb N</t>
  </si>
  <si>
    <t>Id332</t>
  </si>
  <si>
    <t>Bruns, Mr.  Jason M.</t>
  </si>
  <si>
    <t>Id333</t>
  </si>
  <si>
    <t>Yochum, Ms.  Angela R</t>
  </si>
  <si>
    <t>Id334</t>
  </si>
  <si>
    <t>Freeburn, Mr.  Keith J</t>
  </si>
  <si>
    <t>Id335</t>
  </si>
  <si>
    <t>Spencer, Ms.  Emma</t>
  </si>
  <si>
    <t>Id336</t>
  </si>
  <si>
    <t>Jarosik, Mr.  Nathan A</t>
  </si>
  <si>
    <t>Id337</t>
  </si>
  <si>
    <t>Heinzen, Ms.  Kathryn</t>
  </si>
  <si>
    <t>Id338</t>
  </si>
  <si>
    <t>Kelley, Ms.  Elizabeth H.</t>
  </si>
  <si>
    <t>Id339</t>
  </si>
  <si>
    <t>Thacker, Mr.  Ben</t>
  </si>
  <si>
    <t>Id340</t>
  </si>
  <si>
    <t>Jeseritz, Ms.  Cheryl A</t>
  </si>
  <si>
    <t>Id341</t>
  </si>
  <si>
    <t>Hohman, Ms.  Kimberly A</t>
  </si>
  <si>
    <t>Id342</t>
  </si>
  <si>
    <t>Hill, Ms.  Cynthia</t>
  </si>
  <si>
    <t>Id343</t>
  </si>
  <si>
    <t>Kuepfer, Ms.  Jessica</t>
  </si>
  <si>
    <t>Id344</t>
  </si>
  <si>
    <t>Kaczmarek, Mr.  Bruce</t>
  </si>
  <si>
    <t>Id345</t>
  </si>
  <si>
    <t>Pitt, Ms.  Allison</t>
  </si>
  <si>
    <t>Id346</t>
  </si>
  <si>
    <t>Lorton, Mr.  Alex</t>
  </si>
  <si>
    <t>Id347</t>
  </si>
  <si>
    <t>Castaneda, Ms.  Gabriela</t>
  </si>
  <si>
    <t>Id348</t>
  </si>
  <si>
    <t>Cherop, Ms.  Sharon</t>
  </si>
  <si>
    <t>Id349</t>
  </si>
  <si>
    <t>Howell, Mr.  Jason A</t>
  </si>
  <si>
    <t>Id350</t>
  </si>
  <si>
    <t>Palmer, Ms.  Chelsey C.</t>
  </si>
  <si>
    <t>Id351</t>
  </si>
  <si>
    <t>Olson, Mr.  Devon A.</t>
  </si>
  <si>
    <t>Id352</t>
  </si>
  <si>
    <t>Waldron, Ms.  Joni L</t>
  </si>
  <si>
    <t>Id353</t>
  </si>
  <si>
    <t>Meyer, Mr.  Colin</t>
  </si>
  <si>
    <t>Id354</t>
  </si>
  <si>
    <t>Stack, Ms.  Rachael</t>
  </si>
  <si>
    <t>Id355</t>
  </si>
  <si>
    <t>Sanchez Y Torres, Ms.  Maricela</t>
  </si>
  <si>
    <t>Id356</t>
  </si>
  <si>
    <t>Daniels, Ms.  Marie</t>
  </si>
  <si>
    <t>Id357</t>
  </si>
  <si>
    <t>Pepp, Mr.  Frank</t>
  </si>
  <si>
    <t>Id358</t>
  </si>
  <si>
    <t>Buechler, Mr.  Jeffry</t>
  </si>
  <si>
    <t>Id359</t>
  </si>
  <si>
    <t>Buenting, Mr.  Mike</t>
  </si>
  <si>
    <t>Id360</t>
  </si>
  <si>
    <t>Evans, Mr.  Rick</t>
  </si>
  <si>
    <t>Id361</t>
  </si>
  <si>
    <t>Arcand, Mr.  Pierre-Michel</t>
  </si>
  <si>
    <t>Id362</t>
  </si>
  <si>
    <t>Kesack, Mr.  Daniel</t>
  </si>
  <si>
    <t>Id363</t>
  </si>
  <si>
    <t>Post, Mr.  Brian L.</t>
  </si>
  <si>
    <t>Id364</t>
  </si>
  <si>
    <t>Dunne, Ms.  Morgan M.</t>
  </si>
  <si>
    <t>Id365</t>
  </si>
  <si>
    <t>Kilel, Ms.  Caroline</t>
  </si>
  <si>
    <t>Id366</t>
  </si>
  <si>
    <t>Nicholson, Mr.  Drew T.</t>
  </si>
  <si>
    <t>Id367</t>
  </si>
  <si>
    <t>Susmann, Mr.  Austin W</t>
  </si>
  <si>
    <t>Id368</t>
  </si>
  <si>
    <t>Harsh, Ms.  Berenice</t>
  </si>
  <si>
    <t>Id369</t>
  </si>
  <si>
    <t>Pocasangre, Mr.  Kenneth A</t>
  </si>
  <si>
    <t>Id370</t>
  </si>
  <si>
    <t>Martinez Lopez, Mr.  Miguel</t>
  </si>
  <si>
    <t>Id371</t>
  </si>
  <si>
    <t>Riegel, Ms.  Hadley T.</t>
  </si>
  <si>
    <t>Id372</t>
  </si>
  <si>
    <t>Monson, Mr.  Taylor</t>
  </si>
  <si>
    <t>Id373</t>
  </si>
  <si>
    <t>Klubben, Ms.  Tenielle M</t>
  </si>
  <si>
    <t>Id374</t>
  </si>
  <si>
    <t>Mascaro, Ms.  Andrea</t>
  </si>
  <si>
    <t>Id375</t>
  </si>
  <si>
    <t>Norvell, Ms.  Nora P</t>
  </si>
  <si>
    <t>Id376</t>
  </si>
  <si>
    <t>Ornelas, Mr.  Zachary</t>
  </si>
  <si>
    <t>Id377</t>
  </si>
  <si>
    <t>Fitzpatrick, Mr.  Michael</t>
  </si>
  <si>
    <t>Id378</t>
  </si>
  <si>
    <t>Bloomquist, Ms.  Alyssa K.</t>
  </si>
  <si>
    <t>Id379</t>
  </si>
  <si>
    <t>Wick, Ms.  Heather</t>
  </si>
  <si>
    <t>Id380</t>
  </si>
  <si>
    <t>Zappala, Mr.  Dante</t>
  </si>
  <si>
    <t>Id381</t>
  </si>
  <si>
    <t>Earle, Ms.  Sara E.</t>
  </si>
  <si>
    <t>Id382</t>
  </si>
  <si>
    <t>Majewski, Mr.  Scott</t>
  </si>
  <si>
    <t>Id383</t>
  </si>
  <si>
    <t>Apfelbaum, Mr.  Sean</t>
  </si>
  <si>
    <t>Id384</t>
  </si>
  <si>
    <t>Graham, Ms.  Danielle</t>
  </si>
  <si>
    <t>Id385</t>
  </si>
  <si>
    <t>Whitacre, Mr.  Andrew D.</t>
  </si>
  <si>
    <t>Id386</t>
  </si>
  <si>
    <t>Wegener, Mr.  Joel D</t>
  </si>
  <si>
    <t>Id387</t>
  </si>
  <si>
    <t>Collie, Ms.  Michelle</t>
  </si>
  <si>
    <t>Id388</t>
  </si>
  <si>
    <t>Murphy, Mr.  Michael J.</t>
  </si>
  <si>
    <t>Id389</t>
  </si>
  <si>
    <t>Butters, Ms.  Nikki</t>
  </si>
  <si>
    <t>Id390</t>
  </si>
  <si>
    <t>Cook, Ms.  Summer B.</t>
  </si>
  <si>
    <t>Id391</t>
  </si>
  <si>
    <t>Breen, Mr.  Edward</t>
  </si>
  <si>
    <t>Id392</t>
  </si>
  <si>
    <t>Fitzsimons, Mr.  Ryan</t>
  </si>
  <si>
    <t>Id393</t>
  </si>
  <si>
    <t>Houle, Ms.  Kacee</t>
  </si>
  <si>
    <t>Id394</t>
  </si>
  <si>
    <t>Woodward, Mr.  Dave</t>
  </si>
  <si>
    <t>Id395</t>
  </si>
  <si>
    <t>Ray, Ms.  Maryanna</t>
  </si>
  <si>
    <t>Id396</t>
  </si>
  <si>
    <t>Jennings, Ms.  Jessica H.</t>
  </si>
  <si>
    <t>Id397</t>
  </si>
  <si>
    <t>Fuller, Ms.  Deanna</t>
  </si>
  <si>
    <t>Id398</t>
  </si>
  <si>
    <t>Lovisek, Mr.  Peter</t>
  </si>
  <si>
    <t>Id399</t>
  </si>
  <si>
    <t>Painter, Ms.  Rebecca</t>
  </si>
  <si>
    <t>Id400</t>
  </si>
  <si>
    <t>Edwards, Ms.  Elizabeth M.</t>
  </si>
  <si>
    <t>Id401</t>
  </si>
  <si>
    <t>Liebl, Mr.  Gregory</t>
  </si>
  <si>
    <t>Id402</t>
  </si>
  <si>
    <t>Kasabian-Larson, Ms.  Sarah E.</t>
  </si>
  <si>
    <t>Id403</t>
  </si>
  <si>
    <t>Creamer, Ms.  Anne Elise</t>
  </si>
  <si>
    <t>Id404</t>
  </si>
  <si>
    <t>Kimbel, Mr.  Christopher R</t>
  </si>
  <si>
    <t>Id405</t>
  </si>
  <si>
    <t>Livensparger, Mr.  Elliot</t>
  </si>
  <si>
    <t>Id406</t>
  </si>
  <si>
    <t>Grange, Mr.  Christopher D.</t>
  </si>
  <si>
    <t>Id407</t>
  </si>
  <si>
    <t>Nunlist, Mr.  Corey</t>
  </si>
  <si>
    <t>Id408</t>
  </si>
  <si>
    <t>Cutter, Mr.  Patrick D.</t>
  </si>
  <si>
    <t>Id409</t>
  </si>
  <si>
    <t>Martin, Mr.  Anthony D.</t>
  </si>
  <si>
    <t>Id410</t>
  </si>
  <si>
    <t>Cooney, Ms.  Melissa</t>
  </si>
  <si>
    <t>Id411</t>
  </si>
  <si>
    <t>Bier, Ms.  Raven</t>
  </si>
  <si>
    <t>Id412</t>
  </si>
  <si>
    <t>Muskopf, Mr.  Christopher</t>
  </si>
  <si>
    <t>Id413</t>
  </si>
  <si>
    <t>Sirak, Ms.  Kendra A</t>
  </si>
  <si>
    <t>Id414</t>
  </si>
  <si>
    <t>Nelsen, Ms.  Jordan</t>
  </si>
  <si>
    <t>Id415</t>
  </si>
  <si>
    <t>Schallner, Mr.  Nils</t>
  </si>
  <si>
    <t>Id416</t>
  </si>
  <si>
    <t>Dunlap, Mr.  Scott</t>
  </si>
  <si>
    <t>Id417</t>
  </si>
  <si>
    <t>Messing, Ms.  Angela</t>
  </si>
  <si>
    <t>Id418</t>
  </si>
  <si>
    <t>Bondell, Ms.  Allison</t>
  </si>
  <si>
    <t>Id419</t>
  </si>
  <si>
    <t>Gaughan, Ms.  Caitlin O.</t>
  </si>
  <si>
    <t>Id420</t>
  </si>
  <si>
    <t>Gruman, Ms.  Tracy M</t>
  </si>
  <si>
    <t>Id421</t>
  </si>
  <si>
    <t>Whitlow, Mr.  Dustin M.</t>
  </si>
  <si>
    <t>Id422</t>
  </si>
  <si>
    <t>Robinson, Ms.  Jenny</t>
  </si>
  <si>
    <t>Id423</t>
  </si>
  <si>
    <t>Sabo, Ms.  Emily</t>
  </si>
  <si>
    <t>Id424</t>
  </si>
  <si>
    <t>Nazarian, Ms.  Fabienne</t>
  </si>
  <si>
    <t>Id425</t>
  </si>
  <si>
    <t>Lerma, Mr.  Jordan</t>
  </si>
  <si>
    <t>Id426</t>
  </si>
  <si>
    <t>Dahl, Mr.  Matt</t>
  </si>
  <si>
    <t>Id427</t>
  </si>
  <si>
    <t>Surtees, Ms.  Taryn L</t>
  </si>
  <si>
    <t>Id428</t>
  </si>
  <si>
    <t>Spetner, Ms.  Temima</t>
  </si>
  <si>
    <t>Id429</t>
  </si>
  <si>
    <t>Brandon, Ms.  Jennifer</t>
  </si>
  <si>
    <t>Id430</t>
  </si>
  <si>
    <t>Eley, Ms.  Serena M.</t>
  </si>
  <si>
    <t>Id431</t>
  </si>
  <si>
    <t>Sedicum, Ms.  Victoria M.</t>
  </si>
  <si>
    <t>Id432</t>
  </si>
  <si>
    <t>Markle, Ms.  Phoebe</t>
  </si>
  <si>
    <t>Id433</t>
  </si>
  <si>
    <t>Kunz, Mr.  Corey</t>
  </si>
  <si>
    <t>Id434</t>
  </si>
  <si>
    <t>Wimert, Ms.  Rebecca</t>
  </si>
  <si>
    <t>Id435</t>
  </si>
  <si>
    <t>Peterson, Mr.  Nicholas D</t>
  </si>
  <si>
    <t>Id436</t>
  </si>
  <si>
    <t>Mercier, Mr.  Christian</t>
  </si>
  <si>
    <t>Id437</t>
  </si>
  <si>
    <t>Laurie, Mr.  Jonathon S.</t>
  </si>
  <si>
    <t>Id438</t>
  </si>
  <si>
    <t>Sekaquaptewa, Ms.  Caroline</t>
  </si>
  <si>
    <t>Id439</t>
  </si>
  <si>
    <t>Frash, Mr.  Joshua D.</t>
  </si>
  <si>
    <t>Id440</t>
  </si>
  <si>
    <t>Bukowski, Ms.  Nichole</t>
  </si>
  <si>
    <t>Id441</t>
  </si>
  <si>
    <t>Sandahl, Ms.  Denise M</t>
  </si>
  <si>
    <t>Id442</t>
  </si>
  <si>
    <t>Speight, Mr.  Peter R.</t>
  </si>
  <si>
    <t>Id443</t>
  </si>
  <si>
    <t>Lee, Mr.  Johnson K</t>
  </si>
  <si>
    <t>Id444</t>
  </si>
  <si>
    <t>Nielsen, Ms.  Katherine</t>
  </si>
  <si>
    <t>Id445</t>
  </si>
  <si>
    <t>Zirdok, Ms.  Lynda</t>
  </si>
  <si>
    <t>Id446</t>
  </si>
  <si>
    <t>Crudale, Mr.  Anthony</t>
  </si>
  <si>
    <t>Id447</t>
  </si>
  <si>
    <t>Koopmans, Ms.  Linnea C.</t>
  </si>
  <si>
    <t>Id448</t>
  </si>
  <si>
    <t>Milani, Mr.  Massimiliano A.</t>
  </si>
  <si>
    <t>Id449</t>
  </si>
  <si>
    <t>Kelly, Mr.  James M.</t>
  </si>
  <si>
    <t>Id450</t>
  </si>
  <si>
    <t>Finelli, Ms.  Lauren</t>
  </si>
  <si>
    <t>Id451</t>
  </si>
  <si>
    <t>Palmer, Ms.  Michele V.</t>
  </si>
  <si>
    <t>Id452</t>
  </si>
  <si>
    <t>Wang, Mr.  Xiao</t>
  </si>
  <si>
    <t>Id453</t>
  </si>
  <si>
    <t>Beasley, Ms.  Harper L</t>
  </si>
  <si>
    <t>Id454</t>
  </si>
  <si>
    <t>Bedbury, Mr.  Nick</t>
  </si>
  <si>
    <t>Id455</t>
  </si>
  <si>
    <t>Stemberger, Mr.  Scott</t>
  </si>
  <si>
    <t>Id456</t>
  </si>
  <si>
    <t>Chebet, Mr.  Wilson</t>
  </si>
  <si>
    <t>Id457</t>
  </si>
  <si>
    <t>Muir, Mr.  Lee</t>
  </si>
  <si>
    <t>Id458</t>
  </si>
  <si>
    <t>Yang, Mr.  Shizhong</t>
  </si>
  <si>
    <t>Id459</t>
  </si>
  <si>
    <t>Gravel, Ms.  Marie-Claire</t>
  </si>
  <si>
    <t>Id460</t>
  </si>
  <si>
    <t>Smith, Mr.  Todd J.</t>
  </si>
  <si>
    <t>Id461</t>
  </si>
  <si>
    <t>Williams, Ms.  Carolyn</t>
  </si>
  <si>
    <t>Id462</t>
  </si>
  <si>
    <t>Meyer, Ms.  Lindsey</t>
  </si>
  <si>
    <t>Id463</t>
  </si>
  <si>
    <t>Jamieson, Ms.  Marissa D</t>
  </si>
  <si>
    <t>Id464</t>
  </si>
  <si>
    <t>Dufeal, Mr.  Jean Luc</t>
  </si>
  <si>
    <t>Id465</t>
  </si>
  <si>
    <t>Sansonetti, Ms.  Danielle</t>
  </si>
  <si>
    <t>Id466</t>
  </si>
  <si>
    <t>Koneazny, Mr.  Jim</t>
  </si>
  <si>
    <t>Id467</t>
  </si>
  <si>
    <t>Johnson, Mr.  Matthew T</t>
  </si>
  <si>
    <t>Id468</t>
  </si>
  <si>
    <t>Glasson, Ms.  Rachel L.</t>
  </si>
  <si>
    <t>Id469</t>
  </si>
  <si>
    <t>Canitz, Ms.  Corina</t>
  </si>
  <si>
    <t>Id470</t>
  </si>
  <si>
    <t>Li, Mr.  Guannan</t>
  </si>
  <si>
    <t>Id471</t>
  </si>
  <si>
    <t>Parsons, Mr.  Don</t>
  </si>
  <si>
    <t>Id472</t>
  </si>
  <si>
    <t>Raulli, Mr.  Chris</t>
  </si>
  <si>
    <t>Id473</t>
  </si>
  <si>
    <t>Frome, Mr.  Gavin V.</t>
  </si>
  <si>
    <t>Id474</t>
  </si>
  <si>
    <t>Sevcik, Mr.  David</t>
  </si>
  <si>
    <t>Id475</t>
  </si>
  <si>
    <t>Narang, Mr.  Jatin</t>
  </si>
  <si>
    <t>Id476</t>
  </si>
  <si>
    <t>Royston, Mr.  J P. II</t>
  </si>
  <si>
    <t>Id477</t>
  </si>
  <si>
    <t>Tieri, Ms.  Angela M.</t>
  </si>
  <si>
    <t>Id478</t>
  </si>
  <si>
    <t>Whitney, Mr.  Blake K.</t>
  </si>
  <si>
    <t>Id479</t>
  </si>
  <si>
    <t>Wandzilak, Mr.  Brian T.</t>
  </si>
  <si>
    <t>Id480</t>
  </si>
  <si>
    <t>Valenzona, Mr.  Damon</t>
  </si>
  <si>
    <t>Id481</t>
  </si>
  <si>
    <t>Young, Mr.  Jeffrey</t>
  </si>
  <si>
    <t>Id482</t>
  </si>
  <si>
    <t>Richards, Mr.  Malcolm J.</t>
  </si>
  <si>
    <t>Id483</t>
  </si>
  <si>
    <t>Alexson, Ms.  Margaret B.</t>
  </si>
  <si>
    <t>Id484</t>
  </si>
  <si>
    <t>Wright, Ms.  Helen</t>
  </si>
  <si>
    <t>Id485</t>
  </si>
  <si>
    <t>McKenna, Mr.  Matthew</t>
  </si>
  <si>
    <t>Id486</t>
  </si>
  <si>
    <t>Sallade, Mr.  Jeff</t>
  </si>
  <si>
    <t>Id487</t>
  </si>
  <si>
    <t>Argall, Mrs.  Tara R</t>
  </si>
  <si>
    <t>Id488</t>
  </si>
  <si>
    <t>Patchell, Ms.  Kristin</t>
  </si>
  <si>
    <t>Id489</t>
  </si>
  <si>
    <t>Catoggio, Mr.  Timothy</t>
  </si>
  <si>
    <t>Id490</t>
  </si>
  <si>
    <t>Adams, Mr.  Scott</t>
  </si>
  <si>
    <t>Id491</t>
  </si>
  <si>
    <t>Windt, Ms.  Carly E</t>
  </si>
  <si>
    <t>Id492</t>
  </si>
  <si>
    <t>Ryan, Ms.  Lisa</t>
  </si>
  <si>
    <t>Id493</t>
  </si>
  <si>
    <t>Marion, Ms.  Stacey</t>
  </si>
  <si>
    <t>Id494</t>
  </si>
  <si>
    <t>Raffetto, Mr.  Louis</t>
  </si>
  <si>
    <t>Id495</t>
  </si>
  <si>
    <t>Young, Mr.  Brian R.</t>
  </si>
  <si>
    <t>Id496</t>
  </si>
  <si>
    <t>Oehlke, Mrs.  Jessica</t>
  </si>
  <si>
    <t>Id497</t>
  </si>
  <si>
    <t>Sudol, Ms.  Dawn M.</t>
  </si>
  <si>
    <t>Id498</t>
  </si>
  <si>
    <t>Van Es, Mr.  Chris</t>
  </si>
  <si>
    <t>Id499</t>
  </si>
  <si>
    <t>Dolge, Ms.  Karen</t>
  </si>
  <si>
    <t>Id500</t>
  </si>
  <si>
    <t>Marlier, Ms.  Jessica</t>
  </si>
  <si>
    <t>Id501</t>
  </si>
  <si>
    <t>Girard, Mr.  Mathieu</t>
  </si>
  <si>
    <t>Id502</t>
  </si>
  <si>
    <t>Lee, Mr.  Kam S.</t>
  </si>
  <si>
    <t>Id503</t>
  </si>
  <si>
    <t>Hubbard, Ms.  Valerie A</t>
  </si>
  <si>
    <t>Id504</t>
  </si>
  <si>
    <t>Koester, Ms.  Freya R</t>
  </si>
  <si>
    <t>Id505</t>
  </si>
  <si>
    <t>Matthews, Ms.  Jennifer</t>
  </si>
  <si>
    <t>Id506</t>
  </si>
  <si>
    <t>Rubinich, Ms.  Kara</t>
  </si>
  <si>
    <t>Id507</t>
  </si>
  <si>
    <t>Alban, Mr.  Bradley A.</t>
  </si>
  <si>
    <t>Id508</t>
  </si>
  <si>
    <t>Corcoran, Mr.  Brendan</t>
  </si>
  <si>
    <t>Id509</t>
  </si>
  <si>
    <t>Sargent, Ms.  Amber R</t>
  </si>
  <si>
    <t>Id510</t>
  </si>
  <si>
    <t>Watson, Mr.  Sean K</t>
  </si>
  <si>
    <t>Id511</t>
  </si>
  <si>
    <t>Esponda, Mr.  Rick</t>
  </si>
  <si>
    <t>Id512</t>
  </si>
  <si>
    <t>Krall, Mr.  Matthew</t>
  </si>
  <si>
    <t>Id513</t>
  </si>
  <si>
    <t>Poskin, Mr.  Brady</t>
  </si>
  <si>
    <t>Id514</t>
  </si>
  <si>
    <t>Halfmann, Ms.  Kameko</t>
  </si>
  <si>
    <t>Id515</t>
  </si>
  <si>
    <t>Klapper, Mr.  Jeremy A</t>
  </si>
  <si>
    <t>Id516</t>
  </si>
  <si>
    <t>George, Mr.  Daniel</t>
  </si>
  <si>
    <t>Id517</t>
  </si>
  <si>
    <t>Hicks, Ms.  Amanda</t>
  </si>
  <si>
    <t>Id518</t>
  </si>
  <si>
    <t>Lockyer, Ms.  Karen</t>
  </si>
  <si>
    <t>Id519</t>
  </si>
  <si>
    <t>Byrnes, Mr.  Gregory</t>
  </si>
  <si>
    <t>Id520</t>
  </si>
  <si>
    <t>Norris, Ms.  Sabine</t>
  </si>
  <si>
    <t>Id521</t>
  </si>
  <si>
    <t>Darda, Mr.  Joseph</t>
  </si>
  <si>
    <t>Id522</t>
  </si>
  <si>
    <t>Otstot, Mr.  Adam</t>
  </si>
  <si>
    <t>Id523</t>
  </si>
  <si>
    <t>Bowley, Ms.  Karolyn A</t>
  </si>
  <si>
    <t>Id524</t>
  </si>
  <si>
    <t>Rogers, Mrs.  Anita L.</t>
  </si>
  <si>
    <t>Id525</t>
  </si>
  <si>
    <t>Mclaughlin, Ms.  Laura E.</t>
  </si>
  <si>
    <t>Id526</t>
  </si>
  <si>
    <t>Ziegler, Ms.  Sarah</t>
  </si>
  <si>
    <t>Id527</t>
  </si>
  <si>
    <t>Hughey, Mrs.  Ashley E</t>
  </si>
  <si>
    <t>Id528</t>
  </si>
  <si>
    <t>Knast, Ms.  Lindsey</t>
  </si>
  <si>
    <t>Id529</t>
  </si>
  <si>
    <t>Stob, Mr.  Alan</t>
  </si>
  <si>
    <t>Id530</t>
  </si>
  <si>
    <t>Jensen, Mr.  Dan R.</t>
  </si>
  <si>
    <t>Id531</t>
  </si>
  <si>
    <t>Mutter, Ms.  Katie</t>
  </si>
  <si>
    <t>Id532</t>
  </si>
  <si>
    <t>Ahern, Mr.  Eric</t>
  </si>
  <si>
    <t>Id533</t>
  </si>
  <si>
    <t>Chviruk, Ms.  Cathryn</t>
  </si>
  <si>
    <t>Id534</t>
  </si>
  <si>
    <t>Meehan, Mr.  Brendan</t>
  </si>
  <si>
    <t>Id535</t>
  </si>
  <si>
    <t>Gammon, Ms.  Shauna</t>
  </si>
  <si>
    <t>Id536</t>
  </si>
  <si>
    <t>Lee, Mr.  Terence</t>
  </si>
  <si>
    <t>Id537</t>
  </si>
  <si>
    <t>Franco, Ms.  Marisol</t>
  </si>
  <si>
    <t>Id538</t>
  </si>
  <si>
    <t>Patterson, Ms.  Lindsay</t>
  </si>
  <si>
    <t>Id539</t>
  </si>
  <si>
    <t>Valdes, Ms.  Katie</t>
  </si>
  <si>
    <t>Id540</t>
  </si>
  <si>
    <t>Craig, Mr.  Daniel</t>
  </si>
  <si>
    <t>Id541</t>
  </si>
  <si>
    <t>Whipple, Mr.  Brett W</t>
  </si>
  <si>
    <t>Id542</t>
  </si>
  <si>
    <t>Marton, Mr.  Dylan J</t>
  </si>
  <si>
    <t>Id543</t>
  </si>
  <si>
    <t>Hildebrandt, Ms.  Elizabeth</t>
  </si>
  <si>
    <t>Id544</t>
  </si>
  <si>
    <t>Biggs, Ms.  Brooke M.</t>
  </si>
  <si>
    <t>Id545</t>
  </si>
  <si>
    <t>Shigezumi, Mrs.  Teiko</t>
  </si>
  <si>
    <t>Id546</t>
  </si>
  <si>
    <t>Meineke, Mr.  Zachary</t>
  </si>
  <si>
    <t>Id547</t>
  </si>
  <si>
    <t>Ludington, Ms.  Johannah</t>
  </si>
  <si>
    <t>Id548</t>
  </si>
  <si>
    <t>Perrich, Mr.  Ryan A</t>
  </si>
  <si>
    <t>Id549</t>
  </si>
  <si>
    <t>Cervantes, Mr.  Andres Sr.</t>
  </si>
  <si>
    <t>Id550</t>
  </si>
  <si>
    <t>Andrews, Mr.  Bryan</t>
  </si>
  <si>
    <t>Id551</t>
  </si>
  <si>
    <t>Ruvalcaba, Ms.  Lizette</t>
  </si>
  <si>
    <t>Id552</t>
  </si>
  <si>
    <t>King, Mr.  Don</t>
  </si>
  <si>
    <t>Id553</t>
  </si>
  <si>
    <t>Stone, Mr.  Jeb</t>
  </si>
  <si>
    <t>Id554</t>
  </si>
  <si>
    <t>Campbell, Ms.  Amy R.</t>
  </si>
  <si>
    <t>Id555</t>
  </si>
  <si>
    <t>Asher, Mr.  Brian</t>
  </si>
  <si>
    <t>Id556</t>
  </si>
  <si>
    <t>Mazzotta, Mr.  Mike G</t>
  </si>
  <si>
    <t>Id557</t>
  </si>
  <si>
    <t>Huttl, Ms.  Simonezitrone Sr.</t>
  </si>
  <si>
    <t>Id558</t>
  </si>
  <si>
    <t>Ferron, Mr.  Nicholas</t>
  </si>
  <si>
    <t>Id559</t>
  </si>
  <si>
    <t>Colarusso, Ms.  Angela M</t>
  </si>
  <si>
    <t>Id560</t>
  </si>
  <si>
    <t>Pearlman, Mr.  Oz</t>
  </si>
  <si>
    <t>Id561</t>
  </si>
  <si>
    <t>O'Mara, Ms.  Erin M.</t>
  </si>
  <si>
    <t>Id562</t>
  </si>
  <si>
    <t>Niska, Mr.  Bobby E.</t>
  </si>
  <si>
    <t>Id563</t>
  </si>
  <si>
    <t>Schlich, Mr.  Daniel P.</t>
  </si>
  <si>
    <t>Id564</t>
  </si>
  <si>
    <t>Zidek, Ms.  Marie E.</t>
  </si>
  <si>
    <t>Id565</t>
  </si>
  <si>
    <t>Ellgass, Mrs.  Katie</t>
  </si>
  <si>
    <t>Id566</t>
  </si>
  <si>
    <t>Lowe, Mr.  Eric D</t>
  </si>
  <si>
    <t>Id567</t>
  </si>
  <si>
    <t>Malone, Ms.  Tara</t>
  </si>
  <si>
    <t>Id568</t>
  </si>
  <si>
    <t>Dumke, Ms.  Haley L</t>
  </si>
  <si>
    <t>Id569</t>
  </si>
  <si>
    <t>Strong, Ms.  Kayla B.</t>
  </si>
  <si>
    <t>Id570</t>
  </si>
  <si>
    <t>Ferguson, Mr.  Mark D.</t>
  </si>
  <si>
    <t>Id571</t>
  </si>
  <si>
    <t>Klein, Mr.  Patrick J.</t>
  </si>
  <si>
    <t>Id572</t>
  </si>
  <si>
    <t>Eusebio, Mr.  Alejandro</t>
  </si>
  <si>
    <t>Id573</t>
  </si>
  <si>
    <t>Szolosi, Mrs.  Beth A</t>
  </si>
  <si>
    <t>Id574</t>
  </si>
  <si>
    <t>Butler, Mr.  Jason R</t>
  </si>
  <si>
    <t>Id575</t>
  </si>
  <si>
    <t>Fukuchi, Mr.  Yoshinori</t>
  </si>
  <si>
    <t>Id576</t>
  </si>
  <si>
    <t>Drucker, Ms.  Adrienne G.</t>
  </si>
  <si>
    <t>Id577</t>
  </si>
  <si>
    <t>Aziz, Mrs.  Meredith</t>
  </si>
  <si>
    <t>Id578</t>
  </si>
  <si>
    <t>Pak, Mr.  Junyong</t>
  </si>
  <si>
    <t>Id579</t>
  </si>
  <si>
    <t>Kieta, Ms.  Kristen A.</t>
  </si>
  <si>
    <t>Id580</t>
  </si>
  <si>
    <t>Velez, Ms.  Maria I.</t>
  </si>
  <si>
    <t>Id581</t>
  </si>
  <si>
    <t>Bussiere, Mr.  Jonathan</t>
  </si>
  <si>
    <t>Id582</t>
  </si>
  <si>
    <t>McCartney, Mr.  Phil</t>
  </si>
  <si>
    <t>Id583</t>
  </si>
  <si>
    <t>Bambauer, Ms.  Benjamina C</t>
  </si>
  <si>
    <t>Id584</t>
  </si>
  <si>
    <t>Mertz, Mr.  Christopher</t>
  </si>
  <si>
    <t>Id585</t>
  </si>
  <si>
    <t>Mason, Ms.  Alison B</t>
  </si>
  <si>
    <t>Id586</t>
  </si>
  <si>
    <t>Rotich, Ms.  Caroline</t>
  </si>
  <si>
    <t>Id587</t>
  </si>
  <si>
    <t>Fetzer, Ms.  Alexis N</t>
  </si>
  <si>
    <t>Id588</t>
  </si>
  <si>
    <t>Mattis, Ms.  Shanda L</t>
  </si>
  <si>
    <t>Id589</t>
  </si>
  <si>
    <t>Cochran, Mrs.  Lacey</t>
  </si>
  <si>
    <t>Id590</t>
  </si>
  <si>
    <t>Balinsky, Ms.  Laurette</t>
  </si>
  <si>
    <t>Id591</t>
  </si>
  <si>
    <t>Reilly, Mr.  Jason</t>
  </si>
  <si>
    <t>Id592</t>
  </si>
  <si>
    <t>Johnson, Ms.  Mary</t>
  </si>
  <si>
    <t>Id593</t>
  </si>
  <si>
    <t>Petry, Ms.  Kati A</t>
  </si>
  <si>
    <t>Id594</t>
  </si>
  <si>
    <t>Laleman, Mrs.  Kelly J</t>
  </si>
  <si>
    <t>Id595</t>
  </si>
  <si>
    <t>Colby, Ms.  Greer D</t>
  </si>
  <si>
    <t>Id596</t>
  </si>
  <si>
    <t>Wathke, Mr.  Brent</t>
  </si>
  <si>
    <t>Id597</t>
  </si>
  <si>
    <t>Daly, Mr.  Eugene M</t>
  </si>
  <si>
    <t>Id598</t>
  </si>
  <si>
    <t>Dillon, Ms.  Erin D</t>
  </si>
  <si>
    <t>Id599</t>
  </si>
  <si>
    <t>Pontes, Ms.  Kamilla</t>
  </si>
  <si>
    <t>Id600</t>
  </si>
  <si>
    <t>Spies, Mr.  Wayne I.</t>
  </si>
  <si>
    <t>Id601</t>
  </si>
  <si>
    <t>Greig, Ms.  Tracy L</t>
  </si>
  <si>
    <t>Id602</t>
  </si>
  <si>
    <t>Scott, Mrs.  Heather</t>
  </si>
  <si>
    <t>Id603</t>
  </si>
  <si>
    <t>Erlandson, Mrs.  Megan C</t>
  </si>
  <si>
    <t>Id604</t>
  </si>
  <si>
    <t>Autrey, Mr.  Jonathan</t>
  </si>
  <si>
    <t>Id605</t>
  </si>
  <si>
    <t>Alleman, Mr.  Greg D.</t>
  </si>
  <si>
    <t>Id606</t>
  </si>
  <si>
    <t>Michalski, Mr.  Steven L.</t>
  </si>
  <si>
    <t>Id607</t>
  </si>
  <si>
    <t>Grillo, Mr.  Gianfilippo</t>
  </si>
  <si>
    <t>Id608</t>
  </si>
  <si>
    <t>Coronado, Mr.  Hector</t>
  </si>
  <si>
    <t>Id609</t>
  </si>
  <si>
    <t>Dewine, Mr.  Mark W.</t>
  </si>
  <si>
    <t>Id610</t>
  </si>
  <si>
    <t>Carman, Mrs.  Aubri</t>
  </si>
  <si>
    <t>Id611</t>
  </si>
  <si>
    <t>Neems, Mr.  Justin</t>
  </si>
  <si>
    <t>Id612</t>
  </si>
  <si>
    <t>Pesyna, Ms.  Megan A.</t>
  </si>
  <si>
    <t>Id613</t>
  </si>
  <si>
    <t>Meling, Ms.  Erika M.</t>
  </si>
  <si>
    <t>Id614</t>
  </si>
  <si>
    <t>Widlowski, Mr.  Daniel G.</t>
  </si>
  <si>
    <t>Id615</t>
  </si>
  <si>
    <t>Nadar, Ms.  Devin C.</t>
  </si>
  <si>
    <t>Id616</t>
  </si>
  <si>
    <t>Turner, Ms.  Louise A</t>
  </si>
  <si>
    <t>Id617</t>
  </si>
  <si>
    <t>Walker, Mrs.  Sarah</t>
  </si>
  <si>
    <t>Id618</t>
  </si>
  <si>
    <t>Leedham, Ms.  Amy</t>
  </si>
  <si>
    <t>Id619</t>
  </si>
  <si>
    <t>Haglund, Ms.  Brittany L.</t>
  </si>
  <si>
    <t>Id620</t>
  </si>
  <si>
    <t>Mills, Ms.  Jessica L</t>
  </si>
  <si>
    <t>Id621</t>
  </si>
  <si>
    <t>Drnjevich, Mrs.  Kristina K</t>
  </si>
  <si>
    <t>Id622</t>
  </si>
  <si>
    <t>Clay, Mr.  Brad</t>
  </si>
  <si>
    <t>Id623</t>
  </si>
  <si>
    <t>Marbury, Ms.  Margaret O</t>
  </si>
  <si>
    <t>Id624</t>
  </si>
  <si>
    <t>Coon, Mr.  Craig R.</t>
  </si>
  <si>
    <t>Id625</t>
  </si>
  <si>
    <t>Vanttinen, Mr.  Simo</t>
  </si>
  <si>
    <t>Id626</t>
  </si>
  <si>
    <t>Garges, Mr.  Christopher J</t>
  </si>
  <si>
    <t>Id627</t>
  </si>
  <si>
    <t>Rivel, Mr.  Mario Sr.</t>
  </si>
  <si>
    <t>Id628</t>
  </si>
  <si>
    <t>Lawson, Mrs.  Meghann R.</t>
  </si>
  <si>
    <t>Id629</t>
  </si>
  <si>
    <t>Cale, Mr.  Scott M</t>
  </si>
  <si>
    <t>Id630</t>
  </si>
  <si>
    <t>Phillips, Ms.  Caitlin E.</t>
  </si>
  <si>
    <t>Id631</t>
  </si>
  <si>
    <t>Stewart, Mrs.  Samantha A.</t>
  </si>
  <si>
    <t>Id632</t>
  </si>
  <si>
    <t>Drotz, Mr.  Erik</t>
  </si>
  <si>
    <t>Id633</t>
  </si>
  <si>
    <t>Mutai, Mr.  Christopher</t>
  </si>
  <si>
    <t>Id634</t>
  </si>
  <si>
    <t>Lovlien, Mrs.  Maya</t>
  </si>
  <si>
    <t>Id635</t>
  </si>
  <si>
    <t>Bruns, Mr.  Zachary T</t>
  </si>
  <si>
    <t>Id636</t>
  </si>
  <si>
    <t>Stoney, Mrs.  Hilda</t>
  </si>
  <si>
    <t>Id637</t>
  </si>
  <si>
    <t>Markert, Ms.  Stephanie</t>
  </si>
  <si>
    <t>Id638</t>
  </si>
  <si>
    <t>McLucas, Mr.  Doug</t>
  </si>
  <si>
    <t>Id639</t>
  </si>
  <si>
    <t>Erwin, Ms.  Bethany N.</t>
  </si>
  <si>
    <t>Id640</t>
  </si>
  <si>
    <t>Osborne, Mrs.  Sandra H</t>
  </si>
  <si>
    <t>Id641</t>
  </si>
  <si>
    <t>Otsuka, Mr.  Takuo</t>
  </si>
  <si>
    <t>Id642</t>
  </si>
  <si>
    <t>Smith, Ms.  Kelly A.</t>
  </si>
  <si>
    <t>Id643</t>
  </si>
  <si>
    <t>Myers, Mr.  Scott</t>
  </si>
  <si>
    <t>Id644</t>
  </si>
  <si>
    <t>Cote, Mr.  Benoit</t>
  </si>
  <si>
    <t>Id645</t>
  </si>
  <si>
    <t>Ehrhardt, Ms.  Elizabeth M.</t>
  </si>
  <si>
    <t>Id646</t>
  </si>
  <si>
    <t>Petersen, Ms.  Jessica A.</t>
  </si>
  <si>
    <t>Id647</t>
  </si>
  <si>
    <t>Ertel, Ms.  Monica K</t>
  </si>
  <si>
    <t>Id648</t>
  </si>
  <si>
    <t>Lanza, Mr.  Kevin L</t>
  </si>
  <si>
    <t>Id649</t>
  </si>
  <si>
    <t>Picklesimer, Mr.  Gregory</t>
  </si>
  <si>
    <t>Id650</t>
  </si>
  <si>
    <t>Giles, Ms.  Della</t>
  </si>
  <si>
    <t>Id651</t>
  </si>
  <si>
    <t>Harmon, Mr.  David</t>
  </si>
  <si>
    <t>Id652</t>
  </si>
  <si>
    <t>Pennings, Ms.  Victoria</t>
  </si>
  <si>
    <t>Id653</t>
  </si>
  <si>
    <t>Tseronis, Mr.  Tasos</t>
  </si>
  <si>
    <t>Id654</t>
  </si>
  <si>
    <t>Aliff, Mr.  Thomas</t>
  </si>
  <si>
    <t>Id655</t>
  </si>
  <si>
    <t>Willenberg, Mr.  Lukasz</t>
  </si>
  <si>
    <t>Id656</t>
  </si>
  <si>
    <t>Millett, Mr.  Matthew A.</t>
  </si>
  <si>
    <t>Id657</t>
  </si>
  <si>
    <t>Haley, Ms.  Meta</t>
  </si>
  <si>
    <t>Id658</t>
  </si>
  <si>
    <t>Ackerman, Ms.  Rachel E</t>
  </si>
  <si>
    <t>Id659</t>
  </si>
  <si>
    <t>Valdez, Ms.  Angelica</t>
  </si>
  <si>
    <t>Id660</t>
  </si>
  <si>
    <t>Michaud, Ms.  Kathleen</t>
  </si>
  <si>
    <t>Id661</t>
  </si>
  <si>
    <t>Gunnink, Mr.  Gabriel D.</t>
  </si>
  <si>
    <t>Id662</t>
  </si>
  <si>
    <t>Knight, Mr.  Jeff T</t>
  </si>
  <si>
    <t>Id663</t>
  </si>
  <si>
    <t>Grosscup, Mr.  Neil D</t>
  </si>
  <si>
    <t>Id664</t>
  </si>
  <si>
    <t>Koniuch, Ms.  Katherine L.</t>
  </si>
  <si>
    <t>Id665</t>
  </si>
  <si>
    <t>Heitzman, Ms.  Ariel E</t>
  </si>
  <si>
    <t>Id666</t>
  </si>
  <si>
    <t>Tatton, Mr.  Christopher P</t>
  </si>
  <si>
    <t>Id667</t>
  </si>
  <si>
    <t>Flanagan, Mrs.  Erin M.</t>
  </si>
  <si>
    <t>Id668</t>
  </si>
  <si>
    <t>Funk, Mrs.  Molly K.</t>
  </si>
  <si>
    <t>Id669</t>
  </si>
  <si>
    <t>Davenport, Mr.  Ryan J.</t>
  </si>
  <si>
    <t>Id670</t>
  </si>
  <si>
    <t>Nicholson, Mrs.  Jennifer</t>
  </si>
  <si>
    <t>Id671</t>
  </si>
  <si>
    <t>Lindbloom, Mr.  Daniel M</t>
  </si>
  <si>
    <t>Id672</t>
  </si>
  <si>
    <t>Wijayaratne, Ms.  Hiruni</t>
  </si>
  <si>
    <t>Id673</t>
  </si>
  <si>
    <t>Ainsworth, Ms.  Reina H.</t>
  </si>
  <si>
    <t>Id674</t>
  </si>
  <si>
    <t>Gayagoy, Ms.  Kristi</t>
  </si>
  <si>
    <t>Id675</t>
  </si>
  <si>
    <t>Fitzmaurice, Ms.  Meredith L.</t>
  </si>
  <si>
    <t>Id676</t>
  </si>
  <si>
    <t>Rodriguez, Ms.  Jocelyn</t>
  </si>
  <si>
    <t>Id677</t>
  </si>
  <si>
    <t>Tsoucas, Mrs.  Daphne</t>
  </si>
  <si>
    <t>Id678</t>
  </si>
  <si>
    <t>Muhly, Ms.  Margaret E</t>
  </si>
  <si>
    <t>Id679</t>
  </si>
  <si>
    <t>Lund, Mr.  Mario J.</t>
  </si>
  <si>
    <t>Id680</t>
  </si>
  <si>
    <t>Battaglino, Mr.  Peter</t>
  </si>
  <si>
    <t>Id681</t>
  </si>
  <si>
    <t>Pena, Ms.  Carolina</t>
  </si>
  <si>
    <t>Id682</t>
  </si>
  <si>
    <t>Thomason, Mrs.  Jenny K.</t>
  </si>
  <si>
    <t>Id683</t>
  </si>
  <si>
    <t>Hancox, Ms.  Jessica</t>
  </si>
  <si>
    <t>Id684</t>
  </si>
  <si>
    <t>Canarecci, Ms.  Kimberly D</t>
  </si>
  <si>
    <t>Id685</t>
  </si>
  <si>
    <t>Toupin, Mr.  Marc-Olivier</t>
  </si>
  <si>
    <t>Id686</t>
  </si>
  <si>
    <t>Mulley, Mr.  Russell J</t>
  </si>
  <si>
    <t>Id687</t>
  </si>
  <si>
    <t>Parry, Ms.  Karine</t>
  </si>
  <si>
    <t>Id688</t>
  </si>
  <si>
    <t>Mason Cox, Ms.  Cheryl</t>
  </si>
  <si>
    <t>Id689</t>
  </si>
  <si>
    <t>Thompson, Ms.  Allison M.</t>
  </si>
  <si>
    <t>Id690</t>
  </si>
  <si>
    <t>Nelson, Ms.  Adriana</t>
  </si>
  <si>
    <t>Id691</t>
  </si>
  <si>
    <t>Forte, Ms.  Miranda J</t>
  </si>
  <si>
    <t>Id692</t>
  </si>
  <si>
    <t>Corona Iturriaga, Mr.  Roberto</t>
  </si>
  <si>
    <t>Id693</t>
  </si>
  <si>
    <t>McCollum, Mrs.  Rebecca B.</t>
  </si>
  <si>
    <t>Id694</t>
  </si>
  <si>
    <t>Hevner, Ms.  Tiffany</t>
  </si>
  <si>
    <t>Id695</t>
  </si>
  <si>
    <t>Looi, Mr.  Alexander</t>
  </si>
  <si>
    <t>Id696</t>
  </si>
  <si>
    <t>Power, Mr.  Rich M</t>
  </si>
  <si>
    <t>Id697</t>
  </si>
  <si>
    <t>Routon, Mr.  Aaron C</t>
  </si>
  <si>
    <t>Id698</t>
  </si>
  <si>
    <t>Dochelli, Ms.  Kate</t>
  </si>
  <si>
    <t>Id699</t>
  </si>
  <si>
    <t>Gillespie, Ms.  Maria M</t>
  </si>
  <si>
    <t>Id700</t>
  </si>
  <si>
    <t>Oskvig, Mr.  Daven W</t>
  </si>
  <si>
    <t>Id701</t>
  </si>
  <si>
    <t>Holland-Stergar, Mrs.  Brianne</t>
  </si>
  <si>
    <t>Id702</t>
  </si>
  <si>
    <t>Arai, Mr.  Hiroki</t>
  </si>
  <si>
    <t>Id703</t>
  </si>
  <si>
    <t>Olausson, Mr.  Anders</t>
  </si>
  <si>
    <t>Id704</t>
  </si>
  <si>
    <t>Wagner, Ms.  Danielle</t>
  </si>
  <si>
    <t>Id705</t>
  </si>
  <si>
    <t>Delong, Ms.  Candace N</t>
  </si>
  <si>
    <t>Id706</t>
  </si>
  <si>
    <t>Mehech, Mr.  Bruno F.</t>
  </si>
  <si>
    <t>Id707</t>
  </si>
  <si>
    <t>Machiela, Ms.  Emily</t>
  </si>
  <si>
    <t>Id708</t>
  </si>
  <si>
    <t>Young, Mrs.  Katie</t>
  </si>
  <si>
    <t>Id709</t>
  </si>
  <si>
    <t>Dupere, Mrs.  Sally</t>
  </si>
  <si>
    <t>Id710</t>
  </si>
  <si>
    <t>Iandolo, Ms.  Meaghan J</t>
  </si>
  <si>
    <t>Id711</t>
  </si>
  <si>
    <t>Ito, Ms.  Rina</t>
  </si>
  <si>
    <t>Id712</t>
  </si>
  <si>
    <t>Barry, Ms.  Kristin P.</t>
  </si>
  <si>
    <t>Id713</t>
  </si>
  <si>
    <t>Boyce, Mr.  Albert</t>
  </si>
  <si>
    <t>Id714</t>
  </si>
  <si>
    <t>Lin, Mrs.  Ashley</t>
  </si>
  <si>
    <t>Id715</t>
  </si>
  <si>
    <t>Smith, Mrs.  Shannon L</t>
  </si>
  <si>
    <t>Id716</t>
  </si>
  <si>
    <t>Nalven, Ms.  Amy B</t>
  </si>
  <si>
    <t>Id717</t>
  </si>
  <si>
    <t>Bourgeois, Ms.  A Danielle</t>
  </si>
  <si>
    <t>Id718</t>
  </si>
  <si>
    <t>Orloff, Mr.  Conrad F</t>
  </si>
  <si>
    <t>Id719</t>
  </si>
  <si>
    <t>Ramirez, Mr.  Josh</t>
  </si>
  <si>
    <t>Id720</t>
  </si>
  <si>
    <t>Fouquet, Mr.  Maxime</t>
  </si>
  <si>
    <t>Id721</t>
  </si>
  <si>
    <t>McPhillips, Ms.  Natalie</t>
  </si>
  <si>
    <t>Id722</t>
  </si>
  <si>
    <t>Burgin, Ms.  Melissa</t>
  </si>
  <si>
    <t>Id723</t>
  </si>
  <si>
    <t>Roberts, Ms.  Laura P.</t>
  </si>
  <si>
    <t>Id724</t>
  </si>
  <si>
    <t>Nemec, Mrs.  Lisa</t>
  </si>
  <si>
    <t>Id725</t>
  </si>
  <si>
    <t>Appman, Mr.  William D. Jr.</t>
  </si>
  <si>
    <t>Id726</t>
  </si>
  <si>
    <t>Driscoll, Mr.  James</t>
  </si>
  <si>
    <t>Id727</t>
  </si>
  <si>
    <t>Glotzbach, Mr.  John</t>
  </si>
  <si>
    <t>Id728</t>
  </si>
  <si>
    <t>Tenforde, Mr.  Adam S</t>
  </si>
  <si>
    <t>Id729</t>
  </si>
  <si>
    <t>Ramirez, Mr.  Armando</t>
  </si>
  <si>
    <t>Id730</t>
  </si>
  <si>
    <t>Stanley Torres, Ms.  Dana</t>
  </si>
  <si>
    <t>Id731</t>
  </si>
  <si>
    <t>Vandongen, Ms.  Jennifer L</t>
  </si>
  <si>
    <t>Id732</t>
  </si>
  <si>
    <t>Liebald, Mr.  Benjamin</t>
  </si>
  <si>
    <t>Id733</t>
  </si>
  <si>
    <t>Holte, Ms.  Tanya</t>
  </si>
  <si>
    <t>Id734</t>
  </si>
  <si>
    <t>Johnson, Ms.  Tracy</t>
  </si>
  <si>
    <t>Id735</t>
  </si>
  <si>
    <t>Bartlett, Ms.  Emily S</t>
  </si>
  <si>
    <t>Id736</t>
  </si>
  <si>
    <t>Bergman, Ms.  Kelly R</t>
  </si>
  <si>
    <t>Id737</t>
  </si>
  <si>
    <t>Aitken, Mr.  Kyle</t>
  </si>
  <si>
    <t>Id738</t>
  </si>
  <si>
    <t>Berger, Mr.  Bruce A Jr.</t>
  </si>
  <si>
    <t>Id739</t>
  </si>
  <si>
    <t>Richey, Mr.  Cary J</t>
  </si>
  <si>
    <t>Id740</t>
  </si>
  <si>
    <t>Trotter, Mrs.  Jill M</t>
  </si>
  <si>
    <t>Id741</t>
  </si>
  <si>
    <t>Chavez, Mr.  Chris</t>
  </si>
  <si>
    <t>Id742</t>
  </si>
  <si>
    <t>Orifice, Mr.  Michael E.</t>
  </si>
  <si>
    <t>Id743</t>
  </si>
  <si>
    <t>Farkash, Mrs.  Lauren</t>
  </si>
  <si>
    <t>Id744</t>
  </si>
  <si>
    <t>Hribar, Mrs.  Kathryn E</t>
  </si>
  <si>
    <t>Id745</t>
  </si>
  <si>
    <t>Crawford, Ms.  Polly</t>
  </si>
  <si>
    <t>Id746</t>
  </si>
  <si>
    <t>Sittlington, Mr.  Mark H.</t>
  </si>
  <si>
    <t>Id747</t>
  </si>
  <si>
    <t>Silbert, Mrs.  Jessie M.</t>
  </si>
  <si>
    <t>Id748</t>
  </si>
  <si>
    <t>Carrique, Mr.  Chris</t>
  </si>
  <si>
    <t>Id749</t>
  </si>
  <si>
    <t>Kosla, Mr.  Daniel</t>
  </si>
  <si>
    <t>Id750</t>
  </si>
  <si>
    <t>Parker, Ms.  Megan</t>
  </si>
  <si>
    <t>Id751</t>
  </si>
  <si>
    <t>Horton, Mr.  Kevin</t>
  </si>
  <si>
    <t>Id752</t>
  </si>
  <si>
    <t>Boller, Ms.  Caroline S.</t>
  </si>
  <si>
    <t>Id753</t>
  </si>
  <si>
    <t>Olaru, Ms.  Nuta</t>
  </si>
  <si>
    <t>Id754</t>
  </si>
  <si>
    <t>Prescott, Ms.  Margie</t>
  </si>
  <si>
    <t>Id755</t>
  </si>
  <si>
    <t>Hines, Mrs.  Heidi</t>
  </si>
  <si>
    <t>Id756</t>
  </si>
  <si>
    <t>Blanton, Mr.  Diego J</t>
  </si>
  <si>
    <t>Id757</t>
  </si>
  <si>
    <t>Bustamante, Mr.  Enrique M Sr.</t>
  </si>
  <si>
    <t>Id758</t>
  </si>
  <si>
    <t>McCann, Mr.  Greg</t>
  </si>
  <si>
    <t>Id759</t>
  </si>
  <si>
    <t>Schmole, Mr.  Filip</t>
  </si>
  <si>
    <t>Id760</t>
  </si>
  <si>
    <t>Barber, Ms.  Rosemary E.</t>
  </si>
  <si>
    <t>Id761</t>
  </si>
  <si>
    <t>Reichmann, Ms.  Lisa</t>
  </si>
  <si>
    <t>Id762</t>
  </si>
  <si>
    <t>Cavatorta, Mr.  Jason</t>
  </si>
  <si>
    <t>Id763</t>
  </si>
  <si>
    <t>Yaeger, Ms.  Courtney</t>
  </si>
  <si>
    <t>Id764</t>
  </si>
  <si>
    <t>Hughes, Ms.  Jennifer R.</t>
  </si>
  <si>
    <t>Id765</t>
  </si>
  <si>
    <t>Donahue, Ms.  Lauren E</t>
  </si>
  <si>
    <t>Id766</t>
  </si>
  <si>
    <t>Greenwell, Ms.  Ashley M.</t>
  </si>
  <si>
    <t>Id767</t>
  </si>
  <si>
    <t>Steele, Ms.  Alison R.</t>
  </si>
  <si>
    <t>Id768</t>
  </si>
  <si>
    <t>Gunter, Ms.  Madeleine</t>
  </si>
  <si>
    <t>Id769</t>
  </si>
  <si>
    <t>McDonough, Ms.  Stacey</t>
  </si>
  <si>
    <t>Id770</t>
  </si>
  <si>
    <t>Sweetland, Ms.  Kimberly</t>
  </si>
  <si>
    <t>Id771</t>
  </si>
  <si>
    <t>Hammersmith, Mr.  Matthew D</t>
  </si>
  <si>
    <t>Id772</t>
  </si>
  <si>
    <t>French, Mr.  Michael</t>
  </si>
  <si>
    <t>Id773</t>
  </si>
  <si>
    <t>Garbe, Mr.  Ben</t>
  </si>
  <si>
    <t>Id774</t>
  </si>
  <si>
    <t>Duncan, Mr.  Chris</t>
  </si>
  <si>
    <t>Id775</t>
  </si>
  <si>
    <t>Wallace, Mr.  Jeremy J</t>
  </si>
  <si>
    <t>Id776</t>
  </si>
  <si>
    <t>Tillman, Mrs.  Amy L.</t>
  </si>
  <si>
    <t>Id777</t>
  </si>
  <si>
    <t>Lee, Mrs.  Karen L.</t>
  </si>
  <si>
    <t>Id778</t>
  </si>
  <si>
    <t>Taylor, Ms.  Tennille</t>
  </si>
  <si>
    <t>Id779</t>
  </si>
  <si>
    <t>McSween, Mr.  Matt</t>
  </si>
  <si>
    <t>Id780</t>
  </si>
  <si>
    <t>Schubert, Ms.  Emily</t>
  </si>
  <si>
    <t>Id781</t>
  </si>
  <si>
    <t>Lalanne, Mr.  Justin E</t>
  </si>
  <si>
    <t>Id782</t>
  </si>
  <si>
    <t>Flanagan, Ms.  Shalane</t>
  </si>
  <si>
    <t>Id783</t>
  </si>
  <si>
    <t>Arellano, Ms.  Jessica N.</t>
  </si>
  <si>
    <t>Id784</t>
  </si>
  <si>
    <t>Charette, Ms.  Melanie</t>
  </si>
  <si>
    <t>Id785</t>
  </si>
  <si>
    <t>Pena Reyes, Ms.  Ruth Angelica</t>
  </si>
  <si>
    <t>Id786</t>
  </si>
  <si>
    <t>Broderick, Ms.  Una M</t>
  </si>
  <si>
    <t>Id787</t>
  </si>
  <si>
    <t>Summers, Ms.  Taralyn</t>
  </si>
  <si>
    <t>Id788</t>
  </si>
  <si>
    <t>Fisher, Mr.  James A</t>
  </si>
  <si>
    <t>Id789</t>
  </si>
  <si>
    <t>Zhou, Mr.  Ning</t>
  </si>
  <si>
    <t>Id790</t>
  </si>
  <si>
    <t>Clarke-Ames, Mr.  Joel</t>
  </si>
  <si>
    <t>Id791</t>
  </si>
  <si>
    <t>Staton, Ms.  Pamela J.</t>
  </si>
  <si>
    <t>Id792</t>
  </si>
  <si>
    <t>Forster, Ms.  Brittney</t>
  </si>
  <si>
    <t>Id793</t>
  </si>
  <si>
    <t>Monaghan, Mrs.  Sheila</t>
  </si>
  <si>
    <t>Id794</t>
  </si>
  <si>
    <t>Kawamoto, Mr.  Koji</t>
  </si>
  <si>
    <t>Id795</t>
  </si>
  <si>
    <t>Dicharry, Ms.  Sarah</t>
  </si>
  <si>
    <t>Id796</t>
  </si>
  <si>
    <t>Berry, Mrs.  Colleen M</t>
  </si>
  <si>
    <t>Id797</t>
  </si>
  <si>
    <t>Porfirio, Ms.  Deedra G.</t>
  </si>
  <si>
    <t>Id798</t>
  </si>
  <si>
    <t>Thind, Mrs.  Kulwinder</t>
  </si>
  <si>
    <t>Id799</t>
  </si>
  <si>
    <t>Ryan, Ms.  Ann M.</t>
  </si>
  <si>
    <t>Id800</t>
  </si>
  <si>
    <t>Horn, Ms.  Sarah E</t>
  </si>
  <si>
    <t>Id801</t>
  </si>
  <si>
    <t>Sabadosa, Ms.  Apryl J.</t>
  </si>
  <si>
    <t>Id802</t>
  </si>
  <si>
    <t>Casady, Mrs.  Ilana</t>
  </si>
  <si>
    <t>Id803</t>
  </si>
  <si>
    <t>Phillips, Ms.  Katherine</t>
  </si>
  <si>
    <t>Id804</t>
  </si>
  <si>
    <t>Ahokas, Ms.  Katherine</t>
  </si>
  <si>
    <t>Id805</t>
  </si>
  <si>
    <t>Hebert, Mr.  Karl</t>
  </si>
  <si>
    <t>Id806</t>
  </si>
  <si>
    <t>Fair, Mr.  Stephen</t>
  </si>
  <si>
    <t>Id807</t>
  </si>
  <si>
    <t>Swenson, Mr.  Will</t>
  </si>
  <si>
    <t>Id808</t>
  </si>
  <si>
    <t>Revenis, Mr.  Bradley D</t>
  </si>
  <si>
    <t>Id809</t>
  </si>
  <si>
    <t>Engnes, Mrs.  Amy M</t>
  </si>
  <si>
    <t>Id810</t>
  </si>
  <si>
    <t>Wiltse, Mr.  Matthew W.</t>
  </si>
  <si>
    <t>Id811</t>
  </si>
  <si>
    <t>Fernandez, Mr.  Doug</t>
  </si>
  <si>
    <t>Id812</t>
  </si>
  <si>
    <t>Edwards, Mr.  Tom</t>
  </si>
  <si>
    <t>Id813</t>
  </si>
  <si>
    <t>Pinney, Mr.  Jonathan</t>
  </si>
  <si>
    <t>Id814</t>
  </si>
  <si>
    <t>Levy, Mr.  Wayne A.</t>
  </si>
  <si>
    <t>Id815</t>
  </si>
  <si>
    <t>Takeda, Mr.  Nobuyori</t>
  </si>
  <si>
    <t>Id816</t>
  </si>
  <si>
    <t>Burke, Mr.  Rich</t>
  </si>
  <si>
    <t>Id817</t>
  </si>
  <si>
    <t>Duarte, Mr.  Marcos S</t>
  </si>
  <si>
    <t>Id818</t>
  </si>
  <si>
    <t>Clark, Mr.  Dave</t>
  </si>
  <si>
    <t>Id819</t>
  </si>
  <si>
    <t>Nice, Mr.  Andy</t>
  </si>
  <si>
    <t>Id820</t>
  </si>
  <si>
    <t>Windler, Ms.  Mary</t>
  </si>
  <si>
    <t>Id821</t>
  </si>
  <si>
    <t>Jones, Mr.  Marcus B</t>
  </si>
  <si>
    <t>Id822</t>
  </si>
  <si>
    <t>Stevenson, Mr.  Thomas K.</t>
  </si>
  <si>
    <t>Id823</t>
  </si>
  <si>
    <t>Humphrey, Mr.  Robert</t>
  </si>
  <si>
    <t>Id824</t>
  </si>
  <si>
    <t>Nelson, Mr.  Geoff</t>
  </si>
  <si>
    <t>Id825</t>
  </si>
  <si>
    <t>Payne, Mr.  Chris J.</t>
  </si>
  <si>
    <t>Id826</t>
  </si>
  <si>
    <t>Hails, Ms.  Kate A.</t>
  </si>
  <si>
    <t>Id827</t>
  </si>
  <si>
    <t>Proctor, Ms.  Kelli</t>
  </si>
  <si>
    <t>Id828</t>
  </si>
  <si>
    <t>Ryan, Mrs.  Maggie M</t>
  </si>
  <si>
    <t>Id829</t>
  </si>
  <si>
    <t>Watson, Mrs.  Michelle L.</t>
  </si>
  <si>
    <t>Id830</t>
  </si>
  <si>
    <t>Gresh, Mrs.  Ashley K</t>
  </si>
  <si>
    <t>Id831</t>
  </si>
  <si>
    <t>Anis, Mr.  Michael</t>
  </si>
  <si>
    <t>Id832</t>
  </si>
  <si>
    <t>Swartz, Mr.  Ryan K.</t>
  </si>
  <si>
    <t>Id833</t>
  </si>
  <si>
    <t>Schluneker, Mr.  Matthew J</t>
  </si>
  <si>
    <t>Id834</t>
  </si>
  <si>
    <t>Bellemare, Mrs.  Karine</t>
  </si>
  <si>
    <t>Id835</t>
  </si>
  <si>
    <t>Vitalo, Ms.  Antonia G</t>
  </si>
  <si>
    <t>Id836</t>
  </si>
  <si>
    <t>Hamilton, Ms.  Casondra L</t>
  </si>
  <si>
    <t>Id837</t>
  </si>
  <si>
    <t>Marshall, Ms.  Wendy</t>
  </si>
  <si>
    <t>Id838</t>
  </si>
  <si>
    <t>Cale, Mr.  Eric D</t>
  </si>
  <si>
    <t>Id839</t>
  </si>
  <si>
    <t>Pittaway, Ms.  Elizabeth</t>
  </si>
  <si>
    <t>Id840</t>
  </si>
  <si>
    <t>Bill, Ms.  Laura F</t>
  </si>
  <si>
    <t>Id841</t>
  </si>
  <si>
    <t>Antrim, Ms.  Amelia F.</t>
  </si>
  <si>
    <t>Id842</t>
  </si>
  <si>
    <t>Doolittle-Crider, Ms.  Amy L.</t>
  </si>
  <si>
    <t>Id843</t>
  </si>
  <si>
    <t>Ruhlman, Ms.  Katie J</t>
  </si>
  <si>
    <t>Id844</t>
  </si>
  <si>
    <t>Anderson, Ms.  Laura E.</t>
  </si>
  <si>
    <t>Id845</t>
  </si>
  <si>
    <t>Uchiyama, Mrs.  Mayumi</t>
  </si>
  <si>
    <t>Id846</t>
  </si>
  <si>
    <t>Desota, Ms.  Vanessa</t>
  </si>
  <si>
    <t>Id847</t>
  </si>
  <si>
    <t>Edmonds, Ms.  Natali N</t>
  </si>
  <si>
    <t>Id848</t>
  </si>
  <si>
    <t>Otto, Ms.  Beth</t>
  </si>
  <si>
    <t>Id849</t>
  </si>
  <si>
    <t>Kurt, Mr.  Alex</t>
  </si>
  <si>
    <t>Id850</t>
  </si>
  <si>
    <t>Duhaime, Mr.  Spencer</t>
  </si>
  <si>
    <t>Id851</t>
  </si>
  <si>
    <t>Swann, Ms.  Andee W.</t>
  </si>
  <si>
    <t>Id852</t>
  </si>
  <si>
    <t>Burton, Mrs.  Amy</t>
  </si>
  <si>
    <t>Id853</t>
  </si>
  <si>
    <t>Ricardi, Mr.  Joshua</t>
  </si>
  <si>
    <t>Id854</t>
  </si>
  <si>
    <t>Joslyn, Mr.  C Fred</t>
  </si>
  <si>
    <t>Id855</t>
  </si>
  <si>
    <t>Bennie, Mr.  Jeremy</t>
  </si>
  <si>
    <t>Id856</t>
  </si>
  <si>
    <t>Kanyane, Mr.  Patrick Sr.</t>
  </si>
  <si>
    <t>Id857</t>
  </si>
  <si>
    <t>McFadden, Ms.  Kelly M.</t>
  </si>
  <si>
    <t>Id858</t>
  </si>
  <si>
    <t>Connolly, Ms.  Katherine</t>
  </si>
  <si>
    <t>Id859</t>
  </si>
  <si>
    <t>Merino, Ms.  Keila L</t>
  </si>
  <si>
    <t>Id860</t>
  </si>
  <si>
    <t>Baird, Ms.  Zanae E</t>
  </si>
  <si>
    <t>Id861</t>
  </si>
  <si>
    <t>Locatelli, Mr.  Alex</t>
  </si>
  <si>
    <t>Id862</t>
  </si>
  <si>
    <t>Brake, Ms.  Kathryn</t>
  </si>
  <si>
    <t>Id863</t>
  </si>
  <si>
    <t>Jacobs, Mr.  Jason L.</t>
  </si>
  <si>
    <t>Id864</t>
  </si>
  <si>
    <t>Vaught, Mr.  Benjamin J.</t>
  </si>
  <si>
    <t>Id865</t>
  </si>
  <si>
    <t>Monteleone, Mr.  Steven M.</t>
  </si>
  <si>
    <t>Id866</t>
  </si>
  <si>
    <t>Verdugo, Mrs.  Erika</t>
  </si>
  <si>
    <t>Id867</t>
  </si>
  <si>
    <t>Sellers, Mr.  Chad</t>
  </si>
  <si>
    <t>Id868</t>
  </si>
  <si>
    <t>Bowman, Mr.  Mark</t>
  </si>
  <si>
    <t>Id869</t>
  </si>
  <si>
    <t>Marley, Mr.  David</t>
  </si>
  <si>
    <t>Id870</t>
  </si>
  <si>
    <t>Grey, Mr.  Matthew R</t>
  </si>
  <si>
    <t>Id871</t>
  </si>
  <si>
    <t>O'Rourke, Mrs.  Orla</t>
  </si>
  <si>
    <t>Id872</t>
  </si>
  <si>
    <t>Fatehali, Ms.  Shaista S</t>
  </si>
  <si>
    <t>Id873</t>
  </si>
  <si>
    <t>Piza-Taylor, Mrs.  Emily</t>
  </si>
  <si>
    <t>Id874</t>
  </si>
  <si>
    <t>Cavanaugh, Ms.  Julie A.</t>
  </si>
  <si>
    <t>Id875</t>
  </si>
  <si>
    <t>Amako, Ms.  Megumi</t>
  </si>
  <si>
    <t>Id876</t>
  </si>
  <si>
    <t>Musa, Ms.  Skylar</t>
  </si>
  <si>
    <t>Id877</t>
  </si>
  <si>
    <t>Phillippi, Mrs.  Victoria</t>
  </si>
  <si>
    <t>Id878</t>
  </si>
  <si>
    <t>Hoskins, Mrs.  Amanda L</t>
  </si>
  <si>
    <t>Id879</t>
  </si>
  <si>
    <t>Imbalzano Zegar, Ms.  Renee</t>
  </si>
  <si>
    <t>Id880</t>
  </si>
  <si>
    <t>Triedman, Ms.  Nellie A.</t>
  </si>
  <si>
    <t>Id881</t>
  </si>
  <si>
    <t>Lovuolo, Ms.  Tamara</t>
  </si>
  <si>
    <t>Id882</t>
  </si>
  <si>
    <t>Chung, Ms.  Joan</t>
  </si>
  <si>
    <t>Id883</t>
  </si>
  <si>
    <t>Newsom, Ms.  Aimee J.</t>
  </si>
  <si>
    <t>Id884</t>
  </si>
  <si>
    <t>Harrington, Ms.  Suzanne</t>
  </si>
  <si>
    <t>Id885</t>
  </si>
  <si>
    <t>Hoffman, Ms.  Kristin A.</t>
  </si>
  <si>
    <t>Id886</t>
  </si>
  <si>
    <t>Van Vugt, Ms.  Bronwyn</t>
  </si>
  <si>
    <t>Id887</t>
  </si>
  <si>
    <t>Feehley, Ms.  Taylor J</t>
  </si>
  <si>
    <t>Id888</t>
  </si>
  <si>
    <t>Ashworth, Mrs.  Kimberly M.</t>
  </si>
  <si>
    <t>Id889</t>
  </si>
  <si>
    <t>Hansen, Mr.  Joshua E.</t>
  </si>
  <si>
    <t>Id890</t>
  </si>
  <si>
    <t>Czyz, Mr.  Jeffrey</t>
  </si>
  <si>
    <t>Id891</t>
  </si>
  <si>
    <t>Bauder, Mr.  Andrew R</t>
  </si>
  <si>
    <t>Id892</t>
  </si>
  <si>
    <t>Mendoza, Mr.  Francisco J. Sr.</t>
  </si>
  <si>
    <t>Id893</t>
  </si>
  <si>
    <t>Glass, Mrs.  Rhonda</t>
  </si>
  <si>
    <t>Id894</t>
  </si>
  <si>
    <t>Butcher, Mr.  John</t>
  </si>
  <si>
    <t>Id895</t>
  </si>
  <si>
    <t>Traiser, Mr.  Miles J.</t>
  </si>
  <si>
    <t>Id896</t>
  </si>
  <si>
    <t>Mudy-Mader, Ms.  Justyna I.</t>
  </si>
  <si>
    <t>Id897</t>
  </si>
  <si>
    <t>Rogers, Ms.  Lucille</t>
  </si>
  <si>
    <t>Id898</t>
  </si>
  <si>
    <t>Woo, Ms.  April</t>
  </si>
  <si>
    <t>Id899</t>
  </si>
  <si>
    <t>Walsh, Mr.  Robert</t>
  </si>
  <si>
    <t>Id900</t>
  </si>
  <si>
    <t>White, Mrs.  Alyssa</t>
  </si>
  <si>
    <t>Id901</t>
  </si>
  <si>
    <t>Sheppard, Ms.  Jessica E.</t>
  </si>
  <si>
    <t>Id902</t>
  </si>
  <si>
    <t>Doran, Mr.  Patrick J.</t>
  </si>
  <si>
    <t>Id903</t>
  </si>
  <si>
    <t>Labrosse, Ms.  Emilie</t>
  </si>
  <si>
    <t>Id904</t>
  </si>
  <si>
    <t>Thomas, Ms.  Caitlin B.</t>
  </si>
  <si>
    <t>Id905</t>
  </si>
  <si>
    <t>Lesniak, Mr.  Joseph W</t>
  </si>
  <si>
    <t>Id906</t>
  </si>
  <si>
    <t>Prowse, Ms.  Wendy</t>
  </si>
  <si>
    <t>Id907</t>
  </si>
  <si>
    <t>Seigel, Mrs.  Leah L.</t>
  </si>
  <si>
    <t>Id908</t>
  </si>
  <si>
    <t>Blas, Mr.  Wayne L.</t>
  </si>
  <si>
    <t>Id909</t>
  </si>
  <si>
    <t>Simpson, Mr.  Jason M.</t>
  </si>
  <si>
    <t>Id910</t>
  </si>
  <si>
    <t>Gierman, Mr.  Floris</t>
  </si>
  <si>
    <t>Id911</t>
  </si>
  <si>
    <t>Jeuland, Mr.  Marc</t>
  </si>
  <si>
    <t>Id912</t>
  </si>
  <si>
    <t>Chorney, Mr.  Christopher</t>
  </si>
  <si>
    <t>Id913</t>
  </si>
  <si>
    <t>Rook, Mr.  Kevin</t>
  </si>
  <si>
    <t>Id914</t>
  </si>
  <si>
    <t>Wright, Mr.  Aharon N</t>
  </si>
  <si>
    <t>Id915</t>
  </si>
  <si>
    <t>Chin, Mr.  Lawrence D.</t>
  </si>
  <si>
    <t>Id916</t>
  </si>
  <si>
    <t>White, Mr.  Malcolm</t>
  </si>
  <si>
    <t>Id917</t>
  </si>
  <si>
    <t>Savage, Ms.  Anna E.</t>
  </si>
  <si>
    <t>Id918</t>
  </si>
  <si>
    <t>Hitchings, Ms.  Jenny</t>
  </si>
  <si>
    <t>Id919</t>
  </si>
  <si>
    <t>Truitt, Ms.  Melissa L</t>
  </si>
  <si>
    <t>Id920</t>
  </si>
  <si>
    <t>Chang, Ms.  Chia J.</t>
  </si>
  <si>
    <t>Id921</t>
  </si>
  <si>
    <t>Frey, Ms.  Laura A</t>
  </si>
  <si>
    <t>Id922</t>
  </si>
  <si>
    <t>Krishna, Ms.  Aditi</t>
  </si>
  <si>
    <t>Id923</t>
  </si>
  <si>
    <t>Maher, Ms.  Leah A.</t>
  </si>
  <si>
    <t>Id924</t>
  </si>
  <si>
    <t>Boivin, Ms.  Marianne</t>
  </si>
  <si>
    <t>Id925</t>
  </si>
  <si>
    <t>McAlister, Ms.  Carla</t>
  </si>
  <si>
    <t>Id926</t>
  </si>
  <si>
    <t>Akhmedova, Ms.  Oksana</t>
  </si>
  <si>
    <t>Id927</t>
  </si>
  <si>
    <t>Tucker, Ms.  Rebecca B.</t>
  </si>
  <si>
    <t>Id928</t>
  </si>
  <si>
    <t>Gramelspacher, Ms.  Maria A.</t>
  </si>
  <si>
    <t>Id929</t>
  </si>
  <si>
    <t>Goldsmith, Mrs.  Lisa M</t>
  </si>
  <si>
    <t>Id930</t>
  </si>
  <si>
    <t>Tranter, Mr.  Steve Jr.</t>
  </si>
  <si>
    <t>Id931</t>
  </si>
  <si>
    <t>Tu, Mrs.  Tiffany</t>
  </si>
  <si>
    <t>Id932</t>
  </si>
  <si>
    <t>Kaczka, Mr.  Greg</t>
  </si>
  <si>
    <t>Id933</t>
  </si>
  <si>
    <t>Hunter, Mr.  Dale</t>
  </si>
  <si>
    <t>Id934</t>
  </si>
  <si>
    <t>Moran, Ms.  Brittany A.</t>
  </si>
  <si>
    <t>Id935</t>
  </si>
  <si>
    <t>Ashby, Mr.  Robert S</t>
  </si>
  <si>
    <t>Id936</t>
  </si>
  <si>
    <t>Ausen, Mr.  Cameron</t>
  </si>
  <si>
    <t>Id937</t>
  </si>
  <si>
    <t>Savage, Mrs.  Ulrike</t>
  </si>
  <si>
    <t>Id938</t>
  </si>
  <si>
    <t>O'Leary, Ms.  Katlyn A.</t>
  </si>
  <si>
    <t>Id939</t>
  </si>
  <si>
    <t>Scoville, Mr.  Morgan B.</t>
  </si>
  <si>
    <t>Id940</t>
  </si>
  <si>
    <t>Kaus, Mr.  Peter</t>
  </si>
  <si>
    <t>Id941</t>
  </si>
  <si>
    <t>Rainey, Ms.  Chandler</t>
  </si>
  <si>
    <t>Id942</t>
  </si>
  <si>
    <t>Rasch, Ms.  Silvana M.</t>
  </si>
  <si>
    <t>Id943</t>
  </si>
  <si>
    <t>Plunkett, Ms.  Natty</t>
  </si>
  <si>
    <t>Id944</t>
  </si>
  <si>
    <t>Murphy, Mr.  Nicholas T</t>
  </si>
  <si>
    <t>Id945</t>
  </si>
  <si>
    <t>Gusmer, Ms.  Rebecca</t>
  </si>
  <si>
    <t>Id946</t>
  </si>
  <si>
    <t>Loftus, Mr.  John</t>
  </si>
  <si>
    <t>Id947</t>
  </si>
  <si>
    <t>Scott, Mr.  Antony G</t>
  </si>
  <si>
    <t>Id948</t>
  </si>
  <si>
    <t>Alvarez, Mr.  Eric</t>
  </si>
  <si>
    <t>Id949</t>
  </si>
  <si>
    <t>Petersson, Mr.  Erik</t>
  </si>
  <si>
    <t>Id950</t>
  </si>
  <si>
    <t>Liaw, Mr.  Matthew T</t>
  </si>
  <si>
    <t>Id951</t>
  </si>
  <si>
    <t>Tripaldi, Ms.  Cassandra</t>
  </si>
  <si>
    <t>Id952</t>
  </si>
  <si>
    <t>Kelley, Ms.  Rosemary C</t>
  </si>
  <si>
    <t>Id953</t>
  </si>
  <si>
    <t>Endara, Ms.  Carrie A.</t>
  </si>
  <si>
    <t>Id954</t>
  </si>
  <si>
    <t>Valle, Mr.  Gerardo Sr.</t>
  </si>
  <si>
    <t>Id955</t>
  </si>
  <si>
    <t>Germain, Mr.  Matthew R.</t>
  </si>
  <si>
    <t>Id956</t>
  </si>
  <si>
    <t>Finecey, Mrs.  Meghan E</t>
  </si>
  <si>
    <t>Id957</t>
  </si>
  <si>
    <t>Mendoza, Mr.  Eric</t>
  </si>
  <si>
    <t>Id958</t>
  </si>
  <si>
    <t>Roe, Ms.  Lisa B</t>
  </si>
  <si>
    <t>Id959</t>
  </si>
  <si>
    <t>Webb, Mrs.  Jane R.</t>
  </si>
  <si>
    <t>Id960</t>
  </si>
  <si>
    <t>Stocker, Ms.  Allison M</t>
  </si>
  <si>
    <t>Id961</t>
  </si>
  <si>
    <t>Jacobson, Mrs.  Sarah E.</t>
  </si>
  <si>
    <t>Id962</t>
  </si>
  <si>
    <t>Shaw, Mr.  Philip J</t>
  </si>
  <si>
    <t>Id963</t>
  </si>
  <si>
    <t>Goodwin, Ms.  Jillian A.</t>
  </si>
  <si>
    <t>Id964</t>
  </si>
  <si>
    <t>Brock, Mrs.  Laura D</t>
  </si>
  <si>
    <t>Id965</t>
  </si>
  <si>
    <t>Papp, Ms.  Megan E.</t>
  </si>
  <si>
    <t>Id966</t>
  </si>
  <si>
    <t>Siragusa, Ms.  Shannon J.</t>
  </si>
  <si>
    <t>Id967</t>
  </si>
  <si>
    <t>Pizarro, Ms.  Rachelle M</t>
  </si>
  <si>
    <t>Id968</t>
  </si>
  <si>
    <t>Strange, Mr.  Casey</t>
  </si>
  <si>
    <t>Id969</t>
  </si>
  <si>
    <t>Eidinger, Ms.  Jessica L</t>
  </si>
  <si>
    <t>Id970</t>
  </si>
  <si>
    <t>Ginsburg, Mr.  Brandon F</t>
  </si>
  <si>
    <t>Id971</t>
  </si>
  <si>
    <t>Truex, Ms.  Melissa</t>
  </si>
  <si>
    <t>Id972</t>
  </si>
  <si>
    <t>Higgins, Ms.  Danielle N</t>
  </si>
  <si>
    <t>Id973</t>
  </si>
  <si>
    <t>McCurdy, Mr.  Matthew</t>
  </si>
  <si>
    <t>Id974</t>
  </si>
  <si>
    <t>Hughes, Mrs.  Bettina</t>
  </si>
  <si>
    <t>Id975</t>
  </si>
  <si>
    <t>Varner, Mr.  Alexander</t>
  </si>
  <si>
    <t>Id976</t>
  </si>
  <si>
    <t>Dahmen, Mrs.  Holli</t>
  </si>
  <si>
    <t>Id977</t>
  </si>
  <si>
    <t>Young, Mrs.  Heather C</t>
  </si>
  <si>
    <t>Id978</t>
  </si>
  <si>
    <t>Fraser, Mr.  Kyle</t>
  </si>
  <si>
    <t>Id979</t>
  </si>
  <si>
    <t>Deeg, Mr.  Thomas J</t>
  </si>
  <si>
    <t>Id980</t>
  </si>
  <si>
    <t>Robertson, Mr.  Chris</t>
  </si>
  <si>
    <t>Id981</t>
  </si>
  <si>
    <t>Peck, Mr.  Graham</t>
  </si>
  <si>
    <t>Id982</t>
  </si>
  <si>
    <t>Burger, Mr.  Garrett</t>
  </si>
  <si>
    <t>Id983</t>
  </si>
  <si>
    <t>Blain, Mr.  Andrew</t>
  </si>
  <si>
    <t>Id984</t>
  </si>
  <si>
    <t>Winters, Mrs.  Annabelle M</t>
  </si>
  <si>
    <t>Id985</t>
  </si>
  <si>
    <t>McCue, Mr.  Daniel T.</t>
  </si>
  <si>
    <t>Id986</t>
  </si>
  <si>
    <t>Webster, Ms.  Deanne</t>
  </si>
  <si>
    <t>Id987</t>
  </si>
  <si>
    <t>Anderson, Ms.  Carrie</t>
  </si>
  <si>
    <t>Id988</t>
  </si>
  <si>
    <t>Chiappone, Mrs.  Suzanne</t>
  </si>
  <si>
    <t>Id989</t>
  </si>
  <si>
    <t>Opie, Ms.  Jasmine P.</t>
  </si>
  <si>
    <t>Id990</t>
  </si>
  <si>
    <t>Donnelly, Ms.  Jennifer</t>
  </si>
  <si>
    <t>Id991</t>
  </si>
  <si>
    <t>Rall, Ms.  Tracie</t>
  </si>
  <si>
    <t>Id992</t>
  </si>
  <si>
    <t>Mitchell, Mr.  Tristan D.</t>
  </si>
  <si>
    <t>Id993</t>
  </si>
  <si>
    <t>Chen, Mr.  Peiweng</t>
  </si>
  <si>
    <t>Id994</t>
  </si>
  <si>
    <t>Tufaro, Ms.  Theresa M.</t>
  </si>
  <si>
    <t>Id995</t>
  </si>
  <si>
    <t>Peters, Mr.  Daniel J</t>
  </si>
  <si>
    <t>Id996</t>
  </si>
  <si>
    <t>Susedik, Mrs.  Courtney M.</t>
  </si>
  <si>
    <t>Id997</t>
  </si>
  <si>
    <t>Garcia, Mr.  Jose A.</t>
  </si>
  <si>
    <t>Id998</t>
  </si>
  <si>
    <t>Deady, Mrs.  Lauren</t>
  </si>
  <si>
    <t>Id999</t>
  </si>
  <si>
    <t>Campbell, Mr.  Jonathon M.</t>
  </si>
  <si>
    <t>Id1000</t>
  </si>
  <si>
    <t>Schaefer, Mrs.  Stephanie A</t>
  </si>
  <si>
    <t>Id1001</t>
  </si>
  <si>
    <t>D'Alessandro, Mr.  Patrick</t>
  </si>
  <si>
    <t>Id1002</t>
  </si>
  <si>
    <t>Wyss, Mrs.  Krista</t>
  </si>
  <si>
    <t>Id1003</t>
  </si>
  <si>
    <t>Rose, Ms.  Jenessa</t>
  </si>
  <si>
    <t>Id1004</t>
  </si>
  <si>
    <t>Hopper, Mr.  Ryan M.</t>
  </si>
  <si>
    <t>Id1005</t>
  </si>
  <si>
    <t>Finneran, Mr.  Thomas</t>
  </si>
  <si>
    <t>Id1006</t>
  </si>
  <si>
    <t>Basham, Ms.  Amanda N.</t>
  </si>
  <si>
    <t>Id1007</t>
  </si>
  <si>
    <t>Inman, Ms.  Teresa P.</t>
  </si>
  <si>
    <t>Id1008</t>
  </si>
  <si>
    <t>Oscal, Mr.  Dorian</t>
  </si>
  <si>
    <t>Id1009</t>
  </si>
  <si>
    <t>Craft, Ms.  Amy</t>
  </si>
  <si>
    <t>Id1010</t>
  </si>
  <si>
    <t>Kebede, Ms.  Aberu</t>
  </si>
  <si>
    <t>Id1011</t>
  </si>
  <si>
    <t>Strobel, Ms.  Ashley</t>
  </si>
  <si>
    <t>Id1012</t>
  </si>
  <si>
    <t>Dalton, Ms.  Anna E</t>
  </si>
  <si>
    <t>Id1013</t>
  </si>
  <si>
    <t>Morimoto, Ms.  Tania K.</t>
  </si>
  <si>
    <t>Id1014</t>
  </si>
  <si>
    <t>Manlove, Ms.  Ashley E</t>
  </si>
  <si>
    <t>Id1015</t>
  </si>
  <si>
    <t>Madzik, Ms.  Aleksandra</t>
  </si>
  <si>
    <t>Id1016</t>
  </si>
  <si>
    <t>Hobson, Ms.  Valery L</t>
  </si>
  <si>
    <t>Id1017</t>
  </si>
  <si>
    <t>Reyes, Mrs.  Joanna G.</t>
  </si>
  <si>
    <t>Id1018</t>
  </si>
  <si>
    <t>Tierney, Mrs.  Stefanie F.</t>
  </si>
  <si>
    <t>Id1019</t>
  </si>
  <si>
    <t>Gabris, Mr.  Stephen</t>
  </si>
  <si>
    <t>Id1020</t>
  </si>
  <si>
    <t>Howard, Ms.  Liza J.</t>
  </si>
  <si>
    <t>Id1021</t>
  </si>
  <si>
    <t>Kallay, Mr.  Ian M.</t>
  </si>
  <si>
    <t>Id1022</t>
  </si>
  <si>
    <t>Leguizamo, Ms.  Claudia L.</t>
  </si>
  <si>
    <t>Id1023</t>
  </si>
  <si>
    <t>Escartin, Ms.  Jessica M</t>
  </si>
  <si>
    <t>Id1024</t>
  </si>
  <si>
    <t>Chorey, Mr.  Billy Jr.</t>
  </si>
  <si>
    <t>Id1025</t>
  </si>
  <si>
    <t>McVay, Mr.  David</t>
  </si>
  <si>
    <t>Id1026</t>
  </si>
  <si>
    <t>Vinson, Mr.  Tim</t>
  </si>
  <si>
    <t>Id1027</t>
  </si>
  <si>
    <t>Astrike-Davis, Ms.  Emma M</t>
  </si>
  <si>
    <t>Id1028</t>
  </si>
  <si>
    <t>Harder, Mr.  Tim</t>
  </si>
  <si>
    <t>Id1029</t>
  </si>
  <si>
    <t>Bell, Mr.  Patrick</t>
  </si>
  <si>
    <t>Id1030</t>
  </si>
  <si>
    <t>Dawes, Ms.  Bridget K.</t>
  </si>
  <si>
    <t>Id1031</t>
  </si>
  <si>
    <t>Larios, Mr.  Gabriel</t>
  </si>
  <si>
    <t>Id1032</t>
  </si>
  <si>
    <t>Yaremczuk, Ms.  Natasha</t>
  </si>
  <si>
    <t>Id1033</t>
  </si>
  <si>
    <t>Knight, Ms.  Abby A.</t>
  </si>
  <si>
    <t>Id1034</t>
  </si>
  <si>
    <t>Eversman, Ms.  Michelle</t>
  </si>
  <si>
    <t>Id1035</t>
  </si>
  <si>
    <t>Hickory, Ms.  Mckendree</t>
  </si>
  <si>
    <t>Id1036</t>
  </si>
  <si>
    <t>Mooney, Ms.  Tara</t>
  </si>
  <si>
    <t>Id1037</t>
  </si>
  <si>
    <t>Craighead, Mr.  Daniel</t>
  </si>
  <si>
    <t>Id1038</t>
  </si>
  <si>
    <t>Gardner, Mr.  Joshua P</t>
  </si>
  <si>
    <t>Id1039</t>
  </si>
  <si>
    <t>Lohrenz, Ms.  Erin C</t>
  </si>
  <si>
    <t>Id1040</t>
  </si>
  <si>
    <t>Demise, Ms.  Shure</t>
  </si>
  <si>
    <t>Id1041</t>
  </si>
  <si>
    <t>Nelson, Mr.  Richard</t>
  </si>
  <si>
    <t>Id1042</t>
  </si>
  <si>
    <t>Guitard, Ms.  Brenda</t>
  </si>
  <si>
    <t>Id1043</t>
  </si>
  <si>
    <t>Navas, Mr.  Joseph M</t>
  </si>
  <si>
    <t>Id1044</t>
  </si>
  <si>
    <t>Ptucha, Mr.  Stephen J.</t>
  </si>
  <si>
    <t>Id1045</t>
  </si>
  <si>
    <t>Kirouac, Mrs.  Kathya</t>
  </si>
  <si>
    <t>Id1046</t>
  </si>
  <si>
    <t>Toews, Mr.  Wesley</t>
  </si>
  <si>
    <t>Id1047</t>
  </si>
  <si>
    <t>Perry, Mr.  Tim</t>
  </si>
  <si>
    <t>Id1048</t>
  </si>
  <si>
    <t>Kretz, Ms.  Jamie L.</t>
  </si>
  <si>
    <t>Id1049</t>
  </si>
  <si>
    <t>Hempel, Ms.  Alexandra</t>
  </si>
  <si>
    <t>Id1050</t>
  </si>
  <si>
    <t>McBroom, Ms.  Tiffany</t>
  </si>
  <si>
    <t>Id1051</t>
  </si>
  <si>
    <t>Yoo, Mrs.  Rebecca J</t>
  </si>
  <si>
    <t>Id1052</t>
  </si>
  <si>
    <t>Rand, Mr.  Austin T.</t>
  </si>
  <si>
    <t>Id1053</t>
  </si>
  <si>
    <t>Wolfe, Ms.  Jamie T</t>
  </si>
  <si>
    <t>Id1054</t>
  </si>
  <si>
    <t>Vance, Mr.  Matthew T.</t>
  </si>
  <si>
    <t>Id1055</t>
  </si>
  <si>
    <t>Burnett, Mrs.  Emily</t>
  </si>
  <si>
    <t>Id1056</t>
  </si>
  <si>
    <t>Clason, Ms.  Gillian</t>
  </si>
  <si>
    <t>Id1057</t>
  </si>
  <si>
    <t>Donnelly, Mrs.  Brenn E.</t>
  </si>
  <si>
    <t>Id1058</t>
  </si>
  <si>
    <t>Pietz, Ms.  Lisa M</t>
  </si>
  <si>
    <t>Id1059</t>
  </si>
  <si>
    <t>Tegenkamp, Mr.  Matt</t>
  </si>
  <si>
    <t>Id1060</t>
  </si>
  <si>
    <t>Dover, Mr.  Thomas A.</t>
  </si>
  <si>
    <t>Id1061</t>
  </si>
  <si>
    <t>Dockemeyer, Mr.  Kevin J</t>
  </si>
  <si>
    <t>Id1062</t>
  </si>
  <si>
    <t>Steele, Mr.  William H. III</t>
  </si>
  <si>
    <t>Id1063</t>
  </si>
  <si>
    <t>Harel, Mr.  Gal</t>
  </si>
  <si>
    <t>Id1064</t>
  </si>
  <si>
    <t>Aguila, Mr.  Anton</t>
  </si>
  <si>
    <t>Id1065</t>
  </si>
  <si>
    <t>Vallejo Sarmiento, Ms.  Yazmin</t>
  </si>
  <si>
    <t>Id1066</t>
  </si>
  <si>
    <t>Beisheim, Mr.  Florian</t>
  </si>
  <si>
    <t>Id1067</t>
  </si>
  <si>
    <t>Lenhoff, Ms.  Karen L</t>
  </si>
  <si>
    <t>Id1068</t>
  </si>
  <si>
    <t>Wehrwein, Mr.  Scott</t>
  </si>
  <si>
    <t>Id1069</t>
  </si>
  <si>
    <t>Wallace, Ms.  Claire</t>
  </si>
  <si>
    <t>Id1070</t>
  </si>
  <si>
    <t>Markowitz, Ms.  Lynn M.</t>
  </si>
  <si>
    <t>Id1071</t>
  </si>
  <si>
    <t>Vos, Ms.  Sharon</t>
  </si>
  <si>
    <t>Id1072</t>
  </si>
  <si>
    <t>McLeod, Mrs.  Candice</t>
  </si>
  <si>
    <t>Id1073</t>
  </si>
  <si>
    <t>Balcom, Ms.  Jennifer D</t>
  </si>
  <si>
    <t>Id1074</t>
  </si>
  <si>
    <t>Dirth, Mr.  Eric</t>
  </si>
  <si>
    <t>Id1075</t>
  </si>
  <si>
    <t>Inglish, Mr.  Bryan</t>
  </si>
  <si>
    <t>Id1076</t>
  </si>
  <si>
    <t>Matthews, Mr.  Devon R.</t>
  </si>
  <si>
    <t>Id1077</t>
  </si>
  <si>
    <t>Massa-Musiak, Ms.  Elena</t>
  </si>
  <si>
    <t>Id1078</t>
  </si>
  <si>
    <t>Bailey, Mr.  Chris</t>
  </si>
  <si>
    <t>Id1079</t>
  </si>
  <si>
    <t>Jacoby, Mr.  Bert</t>
  </si>
  <si>
    <t>Id1080</t>
  </si>
  <si>
    <t>Crimmings, Mr.  John P.</t>
  </si>
  <si>
    <t>Id1081</t>
  </si>
  <si>
    <t>Crane, Mr.  Daniel P</t>
  </si>
  <si>
    <t>Id1082</t>
  </si>
  <si>
    <t>Swartzfager, Mrs.  Lisa K.</t>
  </si>
  <si>
    <t>Id1083</t>
  </si>
  <si>
    <t>Clevenger, Mrs.  Kristine</t>
  </si>
  <si>
    <t>Id1084</t>
  </si>
  <si>
    <t>Reichardt, Mr.  Paul A</t>
  </si>
  <si>
    <t>Id1085</t>
  </si>
  <si>
    <t>Morton, Mr.  Bryan</t>
  </si>
  <si>
    <t>Id1086</t>
  </si>
  <si>
    <t>Sunstrum, Mr.  Chris</t>
  </si>
  <si>
    <t>Id1087</t>
  </si>
  <si>
    <t>Frownfelter, Ms.  Milah B</t>
  </si>
  <si>
    <t>Id1088</t>
  </si>
  <si>
    <t>Richter, Ms.  Annette M.</t>
  </si>
  <si>
    <t>Id1089</t>
  </si>
  <si>
    <t>England, Mrs.  Yoko</t>
  </si>
  <si>
    <t>Id1090</t>
  </si>
  <si>
    <t>McLean, Ms.  Laura</t>
  </si>
  <si>
    <t>Id1091</t>
  </si>
  <si>
    <t>Gardner, Ms.  Tess A.</t>
  </si>
  <si>
    <t>Id1092</t>
  </si>
  <si>
    <t>Lane, Mr.  William G.</t>
  </si>
  <si>
    <t>Id1093</t>
  </si>
  <si>
    <t>Vonachen, Ms.  Paige</t>
  </si>
  <si>
    <t>Id1094</t>
  </si>
  <si>
    <t>Smith, Mr.  Matthew J</t>
  </si>
  <si>
    <t>Id1095</t>
  </si>
  <si>
    <t>Kidwell, Mr.  Matthew</t>
  </si>
  <si>
    <t>Id1096</t>
  </si>
  <si>
    <t>Betancourth, Mrs.  Maria</t>
  </si>
  <si>
    <t>Id1097</t>
  </si>
  <si>
    <t>Henstrom, Ms.  Stephanie D</t>
  </si>
  <si>
    <t>Id1098</t>
  </si>
  <si>
    <t>Pereira, Ms.  Tiffany</t>
  </si>
  <si>
    <t>Id1099</t>
  </si>
  <si>
    <t>Black, Ms.  Sara M.</t>
  </si>
  <si>
    <t>Id1100</t>
  </si>
  <si>
    <t>Brown, Mr.  Scott A.</t>
  </si>
  <si>
    <t>Id1101</t>
  </si>
  <si>
    <t>Reasoner, Mrs.  Lauren</t>
  </si>
  <si>
    <t>Id1102</t>
  </si>
  <si>
    <t>Wandzilak, Mr.  Scott</t>
  </si>
  <si>
    <t>Id1103</t>
  </si>
  <si>
    <t>Carver, Mr.  Brian A.</t>
  </si>
  <si>
    <t>Id1104</t>
  </si>
  <si>
    <t>Borror, Ms.  Kaitlin R.</t>
  </si>
  <si>
    <t>Id1105</t>
  </si>
  <si>
    <t>Saad, Mr.  Mohammad</t>
  </si>
  <si>
    <t>Id1106</t>
  </si>
  <si>
    <t>Paul, Mr.  Charlie</t>
  </si>
  <si>
    <t>Id1107</t>
  </si>
  <si>
    <t>Trail, Mr.  Brent</t>
  </si>
  <si>
    <t>Id1108</t>
  </si>
  <si>
    <t>Benton, Ms.  Kelli M</t>
  </si>
  <si>
    <t>Id1109</t>
  </si>
  <si>
    <t>Bauman, Mrs.  Sheridan H</t>
  </si>
  <si>
    <t>Id1110</t>
  </si>
  <si>
    <t>Bakula, Mrs.  Sarah M.</t>
  </si>
  <si>
    <t>Id1111</t>
  </si>
  <si>
    <t>Edwards, Ms.  Jennifer</t>
  </si>
  <si>
    <t>Id1112</t>
  </si>
  <si>
    <t>Davis, Mrs.  Laura J</t>
  </si>
  <si>
    <t>Id1113</t>
  </si>
  <si>
    <t>Weiler, Mr.  Thomas</t>
  </si>
  <si>
    <t>Id1114</t>
  </si>
  <si>
    <t>Schaaf, Ms.  Gisele</t>
  </si>
  <si>
    <t>Id1115</t>
  </si>
  <si>
    <t>Sack, Ms.  Myra L</t>
  </si>
  <si>
    <t>Id1116</t>
  </si>
  <si>
    <t>Chenard, Ms.  Melissa M.</t>
  </si>
  <si>
    <t>Id1117</t>
  </si>
  <si>
    <t>Williamson, Ms.  Eleanor F.</t>
  </si>
  <si>
    <t>Id1118</t>
  </si>
  <si>
    <t>Dollas, Ms.  Elizabeth</t>
  </si>
  <si>
    <t>Id1119</t>
  </si>
  <si>
    <t>Sprague, Mr.  Kenneth</t>
  </si>
  <si>
    <t>Id1120</t>
  </si>
  <si>
    <t>Michell, Mr.  Robert G.</t>
  </si>
  <si>
    <t>Id1121</t>
  </si>
  <si>
    <t>Datwyler, Mr.  Thomas C.</t>
  </si>
  <si>
    <t>Id1122</t>
  </si>
  <si>
    <t>Mead, Mr.  Matthew J.</t>
  </si>
  <si>
    <t>Id1123</t>
  </si>
  <si>
    <t>Kennedy, Ms.  Mallory D.</t>
  </si>
  <si>
    <t>Id1124</t>
  </si>
  <si>
    <t>Czech, Mr.  Christopher D.</t>
  </si>
  <si>
    <t>Id1125</t>
  </si>
  <si>
    <t>O'Brien, Mrs.  Jamie</t>
  </si>
  <si>
    <t>Id1126</t>
  </si>
  <si>
    <t>Bachman, Ms.  Ariell</t>
  </si>
  <si>
    <t>Id1127</t>
  </si>
  <si>
    <t>Bednar, Mr.  Christopher</t>
  </si>
  <si>
    <t>Id1128</t>
  </si>
  <si>
    <t>Daye, Mr.  Ryan</t>
  </si>
  <si>
    <t>Id1129</t>
  </si>
  <si>
    <t>Clarke, Mr.  Thomas B.</t>
  </si>
  <si>
    <t>Id1130</t>
  </si>
  <si>
    <t>Koren, Ms.  Katie</t>
  </si>
  <si>
    <t>Id1131</t>
  </si>
  <si>
    <t>Kuramoto, Mrs.  Rachelle L</t>
  </si>
  <si>
    <t>Id1132</t>
  </si>
  <si>
    <t>Lynn, Ms.  Colleen</t>
  </si>
  <si>
    <t>Id1133</t>
  </si>
  <si>
    <t>Dierksen, Mr.  Gregory A</t>
  </si>
  <si>
    <t>Id1134</t>
  </si>
  <si>
    <t>Zoeller, Ms.  Lara</t>
  </si>
  <si>
    <t>Id1135</t>
  </si>
  <si>
    <t>Flesch, Ms.  Megan</t>
  </si>
  <si>
    <t>Id1136</t>
  </si>
  <si>
    <t>Maltby, Ms.  Sara</t>
  </si>
  <si>
    <t>Id1137</t>
  </si>
  <si>
    <t>Custance, Ms.  Lucie J.</t>
  </si>
  <si>
    <t>Id1138</t>
  </si>
  <si>
    <t>Choi, Ms.  Elizabeth S.</t>
  </si>
  <si>
    <t>Id1139</t>
  </si>
  <si>
    <t>Barnett, Ms.  Carma S</t>
  </si>
  <si>
    <t>Id1140</t>
  </si>
  <si>
    <t>Proulx, Mr.  Ryan</t>
  </si>
  <si>
    <t>Id1141</t>
  </si>
  <si>
    <t>Hamilton, Mr.  Daniel</t>
  </si>
  <si>
    <t>Id1142</t>
  </si>
  <si>
    <t>Lundine, Ms.  Sarah</t>
  </si>
  <si>
    <t>Id1143</t>
  </si>
  <si>
    <t>Paullin, Mr.  Matthew J</t>
  </si>
  <si>
    <t>Id1144</t>
  </si>
  <si>
    <t>Delucia, Ms.  Francesca</t>
  </si>
  <si>
    <t>Id1145</t>
  </si>
  <si>
    <t>Valentine, Ms.  Nicole</t>
  </si>
  <si>
    <t>Id1146</t>
  </si>
  <si>
    <t>Mohara, Mr.  Toshiyuki</t>
  </si>
  <si>
    <t>Id1147</t>
  </si>
  <si>
    <t>Fairbrother, Mr.  Tom L.</t>
  </si>
  <si>
    <t>Id1148</t>
  </si>
  <si>
    <t>Fagan, Mr.  Brian</t>
  </si>
  <si>
    <t>Id1149</t>
  </si>
  <si>
    <t>Toth, Mr.  Matthew</t>
  </si>
  <si>
    <t>Id1150</t>
  </si>
  <si>
    <t>Guinn, Ms.  Julee</t>
  </si>
  <si>
    <t>Id1151</t>
  </si>
  <si>
    <t>Rogers, Mr.  Christopher M.</t>
  </si>
  <si>
    <t>Id1152</t>
  </si>
  <si>
    <t>Diviney, Mr.  Ciaran</t>
  </si>
  <si>
    <t>Id1153</t>
  </si>
  <si>
    <t>Marlatt, Ms.  Kara</t>
  </si>
  <si>
    <t>Id1154</t>
  </si>
  <si>
    <t>Ohler, Ms.  Makie</t>
  </si>
  <si>
    <t>Id1155</t>
  </si>
  <si>
    <t>Mossler, Ms.  Emily E</t>
  </si>
  <si>
    <t>Id1156</t>
  </si>
  <si>
    <t>Segall, Mr.  Cary</t>
  </si>
  <si>
    <t>Id1157</t>
  </si>
  <si>
    <t>Sprieser, Mr.  Steven</t>
  </si>
  <si>
    <t>Id1158</t>
  </si>
  <si>
    <t>Blanco, Mr.  Jose Antonio Sr.</t>
  </si>
  <si>
    <t>Id1159</t>
  </si>
  <si>
    <t>Sheptock, Ms.  Tatiana</t>
  </si>
  <si>
    <t>Id1160</t>
  </si>
  <si>
    <t>Chruniak, Mr.  Dan T.</t>
  </si>
  <si>
    <t>Id1161</t>
  </si>
  <si>
    <t>Miller, Ms.  Liisa A.</t>
  </si>
  <si>
    <t>Id1162</t>
  </si>
  <si>
    <t>Theis, Ms.  Kathryn E.</t>
  </si>
  <si>
    <t>Id1163</t>
  </si>
  <si>
    <t>Sadler, Mr.  Maxwell</t>
  </si>
  <si>
    <t>Id1164</t>
  </si>
  <si>
    <t>Auger, Ms.  Pascale</t>
  </si>
  <si>
    <t>Id1165</t>
  </si>
  <si>
    <t>Steadman, Ms.  Becca</t>
  </si>
  <si>
    <t>Id1166</t>
  </si>
  <si>
    <t>McCarron, Ms.  Grace</t>
  </si>
  <si>
    <t>Id1167</t>
  </si>
  <si>
    <t>Roecker, Ms.  Samantha</t>
  </si>
  <si>
    <t>Id1168</t>
  </si>
  <si>
    <t>Giumarra, Mrs.  Nicole R.</t>
  </si>
  <si>
    <t>Id1169</t>
  </si>
  <si>
    <t>Peters, Mr.  David W</t>
  </si>
  <si>
    <t>Id1170</t>
  </si>
  <si>
    <t>Bower, Mr.  Grant</t>
  </si>
  <si>
    <t>Id1171</t>
  </si>
  <si>
    <t>Chen, Mrs.  Sophia</t>
  </si>
  <si>
    <t>Id1172</t>
  </si>
  <si>
    <t>Capriccioso, Ms.  Christina</t>
  </si>
  <si>
    <t>Id1173</t>
  </si>
  <si>
    <t>Starbuck, Mr.  Sam L.</t>
  </si>
  <si>
    <t>Id1174</t>
  </si>
  <si>
    <t>McMahon, Mrs.  Haley R.</t>
  </si>
  <si>
    <t>Id1175</t>
  </si>
  <si>
    <t>Rissell, Mr.  Ethan</t>
  </si>
  <si>
    <t>Id1176</t>
  </si>
  <si>
    <t>Kromroy, Mr.  Andrew W</t>
  </si>
  <si>
    <t>Id1177</t>
  </si>
  <si>
    <t>Manfredi, Mr.  Mark G</t>
  </si>
  <si>
    <t>Id1178</t>
  </si>
  <si>
    <t>Manwaring, Ms.  Kasey E.</t>
  </si>
  <si>
    <t>Id1179</t>
  </si>
  <si>
    <t>Tomaszewski, Mr.  Jeff</t>
  </si>
  <si>
    <t>Id1180</t>
  </si>
  <si>
    <t>Gannon, Ms.  Amy</t>
  </si>
  <si>
    <t>Id1181</t>
  </si>
  <si>
    <t>Frye, Mr.  Adam</t>
  </si>
  <si>
    <t>Id1182</t>
  </si>
  <si>
    <t>Jenkins, Ms.  Kristin M</t>
  </si>
  <si>
    <t>Id1183</t>
  </si>
  <si>
    <t>Currier, Ms.  Mary-Lynn B.</t>
  </si>
  <si>
    <t>Id1184</t>
  </si>
  <si>
    <t>Whittendale, Mrs.  Jamie A</t>
  </si>
  <si>
    <t>Id1185</t>
  </si>
  <si>
    <t>Rixe, Mr.  Jeffrey A.</t>
  </si>
  <si>
    <t>Id1186</t>
  </si>
  <si>
    <t>Ballon-Landa, Ms.  Nicole</t>
  </si>
  <si>
    <t>Id1187</t>
  </si>
  <si>
    <t>Zaferos, Ms.  Audrey</t>
  </si>
  <si>
    <t>Id1188</t>
  </si>
  <si>
    <t>Jackson, Mr.  Jacob</t>
  </si>
  <si>
    <t>Id1189</t>
  </si>
  <si>
    <t>Evans Marke, Mr.  Daniel S</t>
  </si>
  <si>
    <t>Id1190</t>
  </si>
  <si>
    <t>Samland, Mr.  Marc C.</t>
  </si>
  <si>
    <t>Id1191</t>
  </si>
  <si>
    <t>Shapiro, Mr.  Mark S</t>
  </si>
  <si>
    <t>Id1192</t>
  </si>
  <si>
    <t>Snitzer, Mr.  Dan</t>
  </si>
  <si>
    <t>Id1193</t>
  </si>
  <si>
    <t>Herra Arroyo, Ms.  Gabriela</t>
  </si>
  <si>
    <t>Id1194</t>
  </si>
  <si>
    <t>Watters, Ms.  Amanda</t>
  </si>
  <si>
    <t>Id1195</t>
  </si>
  <si>
    <t>Steele-Belkin, Ms.  Dara</t>
  </si>
  <si>
    <t>Id1196</t>
  </si>
  <si>
    <t>Christensen, Ms.  Rachelle R</t>
  </si>
  <si>
    <t>Id1197</t>
  </si>
  <si>
    <t>Hodge, Ms.  Brenda J</t>
  </si>
  <si>
    <t>Id1198</t>
  </si>
  <si>
    <t>Rusterholz, Mr.  Tim</t>
  </si>
  <si>
    <t>Id1199</t>
  </si>
  <si>
    <t>Lafrance, Mr.  Sylvain</t>
  </si>
  <si>
    <t>Id1200</t>
  </si>
  <si>
    <t>Hallis, Mrs.  Lisa M</t>
  </si>
  <si>
    <t>Id1201</t>
  </si>
  <si>
    <t>Marshall, Mr.  Ryan</t>
  </si>
  <si>
    <t>Id1202</t>
  </si>
  <si>
    <t>Salowitz, Mrs.  Kaitlin M</t>
  </si>
  <si>
    <t>Id1203</t>
  </si>
  <si>
    <t>Blake, Mr.  William R.</t>
  </si>
  <si>
    <t>Id1204</t>
  </si>
  <si>
    <t>Langerak, Mr.  Bruce</t>
  </si>
  <si>
    <t>Id1205</t>
  </si>
  <si>
    <t>Bonilla, Mrs.  Veronica</t>
  </si>
  <si>
    <t>Id1206</t>
  </si>
  <si>
    <t>Ciabattoni, Mr.  Warren</t>
  </si>
  <si>
    <t>Id1207</t>
  </si>
  <si>
    <t>Escanero Palmer, Mrs.  Daniela</t>
  </si>
  <si>
    <t>Id1208</t>
  </si>
  <si>
    <t>Lowe, Ms.  Deirdre A</t>
  </si>
  <si>
    <t>Id1209</t>
  </si>
  <si>
    <t>Osmark, Mr.  Mathias</t>
  </si>
  <si>
    <t>Id1210</t>
  </si>
  <si>
    <t>Lawson, Mr.  Matthew</t>
  </si>
  <si>
    <t>Id1211</t>
  </si>
  <si>
    <t>Warwick, Mr.  Kurt</t>
  </si>
  <si>
    <t>Id1212</t>
  </si>
  <si>
    <t>Magnuson, Mr.  Samuel</t>
  </si>
  <si>
    <t>Id1213</t>
  </si>
  <si>
    <t>Marsh, Mrs.  Emily</t>
  </si>
  <si>
    <t>Id1214</t>
  </si>
  <si>
    <t>Kari, Ms.  Tiffany</t>
  </si>
  <si>
    <t>Id1215</t>
  </si>
  <si>
    <t>Standiford, Mr.  Alex F</t>
  </si>
  <si>
    <t>Id1216</t>
  </si>
  <si>
    <t>Sherwin, Ms.  Alice</t>
  </si>
  <si>
    <t>Id1217</t>
  </si>
  <si>
    <t>Parker, Ms.  Allison M.</t>
  </si>
  <si>
    <t>Id1218</t>
  </si>
  <si>
    <t>Blekeli, Mr.  Johannes Fiskerstand</t>
  </si>
  <si>
    <t>Id1219</t>
  </si>
  <si>
    <t>Vangampleare, Mr.  Stephen</t>
  </si>
  <si>
    <t>Id1220</t>
  </si>
  <si>
    <t>Hiatt, Mr.  Jon M</t>
  </si>
  <si>
    <t>Id1221</t>
  </si>
  <si>
    <t>Tadesse, Mr.  Fasil</t>
  </si>
  <si>
    <t>Id1222</t>
  </si>
  <si>
    <t>Jaswell, Ms.  Megan C.</t>
  </si>
  <si>
    <t>Id1223</t>
  </si>
  <si>
    <t>Phillips-Cook, Ms.  Lisa J.</t>
  </si>
  <si>
    <t>Id1224</t>
  </si>
  <si>
    <t>Clark, Mr.  Doron P</t>
  </si>
  <si>
    <t>Id1225</t>
  </si>
  <si>
    <t>Wang, Ms.  Katharina</t>
  </si>
  <si>
    <t>Id1226</t>
  </si>
  <si>
    <t>Desruisseaux, Mr.  Carl</t>
  </si>
  <si>
    <t>Id1227</t>
  </si>
  <si>
    <t>Ripp, Ms.  Kelsey J.</t>
  </si>
  <si>
    <t>Id1228</t>
  </si>
  <si>
    <t>Harris, Mr.  Stephen A.</t>
  </si>
  <si>
    <t>Id1229</t>
  </si>
  <si>
    <t>Shafer, Mr.  Dan</t>
  </si>
  <si>
    <t>Id1230</t>
  </si>
  <si>
    <t>Hemesath, Ms.  Katie C</t>
  </si>
  <si>
    <t>Id1231</t>
  </si>
  <si>
    <t>Vinci, Ms.  Melissa K</t>
  </si>
  <si>
    <t>Id1232</t>
  </si>
  <si>
    <t>Diamond-Husmann, Ms.  Kara H</t>
  </si>
  <si>
    <t>Id1233</t>
  </si>
  <si>
    <t>Soto, Mr.  Juan Carlos</t>
  </si>
  <si>
    <t>Id1234</t>
  </si>
  <si>
    <t>Howard, Mr.  John III</t>
  </si>
  <si>
    <t>Id1235</t>
  </si>
  <si>
    <t>Patrick, Mrs.  Sarah M</t>
  </si>
  <si>
    <t>Id1236</t>
  </si>
  <si>
    <t>Dacko, Mrs.  Kristin C</t>
  </si>
  <si>
    <t>Id1237</t>
  </si>
  <si>
    <t>Glassey, Ms.  Casey M.</t>
  </si>
  <si>
    <t>Id1238</t>
  </si>
  <si>
    <t>Frechette, Mr.  Samuel</t>
  </si>
  <si>
    <t>Id1239</t>
  </si>
  <si>
    <t>Benitez, Mr.  Braulio</t>
  </si>
  <si>
    <t>Id1240</t>
  </si>
  <si>
    <t>Gauthier, Ms.  Anne-Marie</t>
  </si>
  <si>
    <t>Id1241</t>
  </si>
  <si>
    <t>Fazioli, Mr.  Samuel K.</t>
  </si>
  <si>
    <t>Id1242</t>
  </si>
  <si>
    <t>Chorney, Mrs.  Yuki</t>
  </si>
  <si>
    <t>Id1243</t>
  </si>
  <si>
    <t>Dannenhauer, Mr.  Rafer</t>
  </si>
  <si>
    <t>Id1244</t>
  </si>
  <si>
    <t>McComb, Ms.  Claire</t>
  </si>
  <si>
    <t>Id1245</t>
  </si>
  <si>
    <t>Blake, Ms.  Erynn J.</t>
  </si>
  <si>
    <t>Id1246</t>
  </si>
  <si>
    <t>Sambasivam, Mr.  Mahesh</t>
  </si>
  <si>
    <t>Id1247</t>
  </si>
  <si>
    <t>Maina, Mr.  Stanley</t>
  </si>
  <si>
    <t>Id1248</t>
  </si>
  <si>
    <t>Keshian, Mr.  Gregory</t>
  </si>
  <si>
    <t>Id1249</t>
  </si>
  <si>
    <t>Maas, Mr.  Eric</t>
  </si>
  <si>
    <t>Id1250</t>
  </si>
  <si>
    <t>Sinasac, Ms.  Rachel M</t>
  </si>
  <si>
    <t>Id1251</t>
  </si>
  <si>
    <t>Van De Kamp, Mr.  Fritz</t>
  </si>
  <si>
    <t>Id1252</t>
  </si>
  <si>
    <t>Ruffo, Mr.  Brad</t>
  </si>
  <si>
    <t>Id1253</t>
  </si>
  <si>
    <t>Long, Ms.  Claire M</t>
  </si>
  <si>
    <t>Id1254</t>
  </si>
  <si>
    <t>Rohde, Mrs.  Jennifer</t>
  </si>
  <si>
    <t>Id1255</t>
  </si>
  <si>
    <t>Bonzi, Ms.  Maria S.</t>
  </si>
  <si>
    <t>Id1256</t>
  </si>
  <si>
    <t>Moore, Ms.  Katherine E</t>
  </si>
  <si>
    <t>Id1257</t>
  </si>
  <si>
    <t>McGrane, Mr.  Michael</t>
  </si>
  <si>
    <t>Id1258</t>
  </si>
  <si>
    <t>Stepnowski, Ms.  Roxanne</t>
  </si>
  <si>
    <t>Id1259</t>
  </si>
  <si>
    <t>Merkle, Mr.  Israel</t>
  </si>
  <si>
    <t>Id1260</t>
  </si>
  <si>
    <t>Schaefer, Mr.  Samalya</t>
  </si>
  <si>
    <t>Id1261</t>
  </si>
  <si>
    <t>Vigneron, Mr.  Peter</t>
  </si>
  <si>
    <t>Id1262</t>
  </si>
  <si>
    <t>Mucci, Ms.  Alicia</t>
  </si>
  <si>
    <t>Id1263</t>
  </si>
  <si>
    <t>MacDonald, Ms.  Sarah K.</t>
  </si>
  <si>
    <t>Id1264</t>
  </si>
  <si>
    <t>Deng, Mr.  Guomin</t>
  </si>
  <si>
    <t>Id1265</t>
  </si>
  <si>
    <t>De Mata, Mr.  Javier</t>
  </si>
  <si>
    <t>Id1266</t>
  </si>
  <si>
    <t>Strickland, Mr.  Matt</t>
  </si>
  <si>
    <t>Id1267</t>
  </si>
  <si>
    <t>Cheney, Mr.  Thomas S</t>
  </si>
  <si>
    <t>Id1268</t>
  </si>
  <si>
    <t>Godoy, Ms.  Martha Patricia</t>
  </si>
  <si>
    <t>Id1269</t>
  </si>
  <si>
    <t>Rider, Ms.  Alicia</t>
  </si>
  <si>
    <t>Id1270</t>
  </si>
  <si>
    <t>Evans, Ms.  Jennifer V.</t>
  </si>
  <si>
    <t>Id1271</t>
  </si>
  <si>
    <t>Anderson, Mr.  Michael W.</t>
  </si>
  <si>
    <t>Id1272</t>
  </si>
  <si>
    <t>Walters, Mr.  Eddie C</t>
  </si>
  <si>
    <t>Id1273</t>
  </si>
  <si>
    <t>Leboeuf, Mr.  Maxime M</t>
  </si>
  <si>
    <t>Id1274</t>
  </si>
  <si>
    <t>Scheibel, Mr.  Mark D</t>
  </si>
  <si>
    <t>Id1275</t>
  </si>
  <si>
    <t>Ritter, Mr.  Adam</t>
  </si>
  <si>
    <t>Id1276</t>
  </si>
  <si>
    <t>Deeg, Mr.  Justin M</t>
  </si>
  <si>
    <t>Id1277</t>
  </si>
  <si>
    <t>Pretot, Ms.  Svetlana V.</t>
  </si>
  <si>
    <t>Id1278</t>
  </si>
  <si>
    <t>Willsey, Ms.  Jana L</t>
  </si>
  <si>
    <t>Id1279</t>
  </si>
  <si>
    <t>Roach, Ms.  Laura</t>
  </si>
  <si>
    <t>Id1280</t>
  </si>
  <si>
    <t>Jacobsen, Mr.  Torrey C III</t>
  </si>
  <si>
    <t>Id1281</t>
  </si>
  <si>
    <t>O'Hora, Mr.  Paul</t>
  </si>
  <si>
    <t>Id1282</t>
  </si>
  <si>
    <t>Amato, Ms.  Jennifer D.</t>
  </si>
  <si>
    <t>Id1283</t>
  </si>
  <si>
    <t>Reed, Mr.  Erik</t>
  </si>
  <si>
    <t>Id1284</t>
  </si>
  <si>
    <t>Wegner, Ms.  Lana J</t>
  </si>
  <si>
    <t>Id1285</t>
  </si>
  <si>
    <t>Bokun, Ms.  Rebecca E</t>
  </si>
  <si>
    <t>Id1286</t>
  </si>
  <si>
    <t>Ainsley, Ms.  Katie M.</t>
  </si>
  <si>
    <t>Id1287</t>
  </si>
  <si>
    <t>Foster, Ms.  Elizabeth A.</t>
  </si>
  <si>
    <t>Id1288</t>
  </si>
  <si>
    <t>Overpeck, Ms.  Sarah</t>
  </si>
  <si>
    <t>Id1289</t>
  </si>
  <si>
    <t>Levine, Ms.  Annie J.</t>
  </si>
  <si>
    <t>Id1290</t>
  </si>
  <si>
    <t>Jean, Ms.  Annie</t>
  </si>
  <si>
    <t>Id1291</t>
  </si>
  <si>
    <t>Wild, Ms.  Lindsey</t>
  </si>
  <si>
    <t>Id1292</t>
  </si>
  <si>
    <t>Tabor, Ms.  Laura</t>
  </si>
  <si>
    <t>Id1293</t>
  </si>
  <si>
    <t>Steffen, Ms.  Amy T</t>
  </si>
  <si>
    <t>Id1294</t>
  </si>
  <si>
    <t>Tadich, Ms.  Katarina D</t>
  </si>
  <si>
    <t>Id1295</t>
  </si>
  <si>
    <t>Christenson, Mr.  B.j.</t>
  </si>
  <si>
    <t>Id1296</t>
  </si>
  <si>
    <t>Shell, Ms.  Alison</t>
  </si>
  <si>
    <t>Id1297</t>
  </si>
  <si>
    <t>Rao, Mr.  Neil K.</t>
  </si>
  <si>
    <t>Id1298</t>
  </si>
  <si>
    <t>Myers, Mrs.  Anne Hunter</t>
  </si>
  <si>
    <t>Id1299</t>
  </si>
  <si>
    <t>McLean, Ms.  Sandra</t>
  </si>
  <si>
    <t>Id1300</t>
  </si>
  <si>
    <t>Gomez, Mr.  Robert</t>
  </si>
  <si>
    <t>Id1301</t>
  </si>
  <si>
    <t>Hemingway, Mr.  Rodney</t>
  </si>
  <si>
    <t>Id1302</t>
  </si>
  <si>
    <t>Pett, Mr.  Carl R</t>
  </si>
  <si>
    <t>Id1303</t>
  </si>
  <si>
    <t>Meingast, Mr.  Maximilian</t>
  </si>
  <si>
    <t>Id1304</t>
  </si>
  <si>
    <t>McCarthy, Mr.  Erik</t>
  </si>
  <si>
    <t>Id1305</t>
  </si>
  <si>
    <t>Boyle, Mr.  Christopher</t>
  </si>
  <si>
    <t>Id1306</t>
  </si>
  <si>
    <t>Gundersen, Mr.  Eirik</t>
  </si>
  <si>
    <t>Id1307</t>
  </si>
  <si>
    <t>Wolswinkel, Mr.  Rik</t>
  </si>
  <si>
    <t>Id1308</t>
  </si>
  <si>
    <t>Bomberger, Mr.  Matthew R</t>
  </si>
  <si>
    <t>Id1309</t>
  </si>
  <si>
    <t>Roy, Mr.  Daniel G</t>
  </si>
  <si>
    <t>Id1310</t>
  </si>
  <si>
    <t>Lapierre, Mr.  Yannick</t>
  </si>
  <si>
    <t>Id1311</t>
  </si>
  <si>
    <t>Beaty, Mr.  Sean R</t>
  </si>
  <si>
    <t>Id1312</t>
  </si>
  <si>
    <t>Hammer, Mr.  Peter</t>
  </si>
  <si>
    <t>Id1313</t>
  </si>
  <si>
    <t>Randolph, Ms.  Sara A.</t>
  </si>
  <si>
    <t>Id1314</t>
  </si>
  <si>
    <t>Masterson, Ms.  Erin C.</t>
  </si>
  <si>
    <t>Id1315</t>
  </si>
  <si>
    <t>Friess, Mr.  Thibaud</t>
  </si>
  <si>
    <t>Id1316</t>
  </si>
  <si>
    <t>Mantoni, Ms.  Lisa</t>
  </si>
  <si>
    <t>Id1317</t>
  </si>
  <si>
    <t>Bodeen, Ms.  Gretchen K.</t>
  </si>
  <si>
    <t>Id1318</t>
  </si>
  <si>
    <t>McPherson, Ms.  Martina</t>
  </si>
  <si>
    <t>Id1319</t>
  </si>
  <si>
    <t>Palko, Mr.  Dustin J</t>
  </si>
  <si>
    <t>Id1320</t>
  </si>
  <si>
    <t>Breathitt, Ms.  Kelsey</t>
  </si>
  <si>
    <t>Id1321</t>
  </si>
  <si>
    <t>Evora, Mr.  Daniel V.</t>
  </si>
  <si>
    <t>Id1322</t>
  </si>
  <si>
    <t>Fischer, Ms.  Saeger</t>
  </si>
  <si>
    <t>Id1323</t>
  </si>
  <si>
    <t>Deba, Ms.  Buzunesh</t>
  </si>
  <si>
    <t>Id1324</t>
  </si>
  <si>
    <t>Leloup, Ms.  Mirte</t>
  </si>
  <si>
    <t>Id1325</t>
  </si>
  <si>
    <t>Labare, Ms.  Megan</t>
  </si>
  <si>
    <t>Id1326</t>
  </si>
  <si>
    <t>Arouca, Ms.  Kerry A.</t>
  </si>
  <si>
    <t>Id1327</t>
  </si>
  <si>
    <t>Reese, Ms.  Kristin</t>
  </si>
  <si>
    <t>Id1328</t>
  </si>
  <si>
    <t>McCloskey, Mr.  Christopher R.</t>
  </si>
  <si>
    <t>Id1329</t>
  </si>
  <si>
    <t>Tedsen, Mrs.  Elizabeth A</t>
  </si>
  <si>
    <t>Id1330</t>
  </si>
  <si>
    <t>Koehlinger, Mr.  Andrew</t>
  </si>
  <si>
    <t>Id1331</t>
  </si>
  <si>
    <t>Pielechaty, Ms.  Dawn M.</t>
  </si>
  <si>
    <t>Id1332</t>
  </si>
  <si>
    <t>Korhonen, Mr.  Jonathan P</t>
  </si>
  <si>
    <t>Id1333</t>
  </si>
  <si>
    <t>Kehr, Mrs.  Gina</t>
  </si>
  <si>
    <t>Id1334</t>
  </si>
  <si>
    <t>Montagna, Mr.  Dino</t>
  </si>
  <si>
    <t>Id1335</t>
  </si>
  <si>
    <t>M√ºller, Mr.  Jan</t>
  </si>
  <si>
    <t>Id1336</t>
  </si>
  <si>
    <t>Baker, Mr.  Jonathan E.</t>
  </si>
  <si>
    <t>Id1337</t>
  </si>
  <si>
    <t>Sidebottom, Mr.  Mark A</t>
  </si>
  <si>
    <t>Id1338</t>
  </si>
  <si>
    <t>Johnson, Mrs.  Mary</t>
  </si>
  <si>
    <t>Id1339</t>
  </si>
  <si>
    <t>Morris, Mr.  Samuel</t>
  </si>
  <si>
    <t>Id1340</t>
  </si>
  <si>
    <t>Chaisson, Mr.  Stan J</t>
  </si>
  <si>
    <t>Id1341</t>
  </si>
  <si>
    <t>Pigott, Mrs.  Jessica L.</t>
  </si>
  <si>
    <t>Id1342</t>
  </si>
  <si>
    <t>Cochrane, Ms.  Krysta</t>
  </si>
  <si>
    <t>Id1343</t>
  </si>
  <si>
    <t>Armitage, Mrs.  Natascia</t>
  </si>
  <si>
    <t>Id1344</t>
  </si>
  <si>
    <t>Shen, Ms.  Jenny</t>
  </si>
  <si>
    <t>Id1345</t>
  </si>
  <si>
    <t>O'Kelly, Mr.  Brian</t>
  </si>
  <si>
    <t>Id1346</t>
  </si>
  <si>
    <t>Huff, Ms.  Monica</t>
  </si>
  <si>
    <t>Id1347</t>
  </si>
  <si>
    <t>Dye, Mr.  Tyler</t>
  </si>
  <si>
    <t>Id1348</t>
  </si>
  <si>
    <t>Willard, Ms.  Kelly C</t>
  </si>
  <si>
    <t>Id1349</t>
  </si>
  <si>
    <t>D'Addario, Mrs.  Emily</t>
  </si>
  <si>
    <t>Id1350</t>
  </si>
  <si>
    <t>Buchanan, Mr.  James V</t>
  </si>
  <si>
    <t>Id1351</t>
  </si>
  <si>
    <t>Clark, Ms.  Angie</t>
  </si>
  <si>
    <t>Id1352</t>
  </si>
  <si>
    <t>Waterson, Mr.  Michael J.</t>
  </si>
  <si>
    <t>Id1353</t>
  </si>
  <si>
    <t>Piras, Ms.  Sabina</t>
  </si>
  <si>
    <t>Id1354</t>
  </si>
  <si>
    <t>Olson, Ms.  Amy C</t>
  </si>
  <si>
    <t>Id1355</t>
  </si>
  <si>
    <t>Manfredi, Ms.  Victoria U</t>
  </si>
  <si>
    <t>Id1356</t>
  </si>
  <si>
    <t>Landberg, Ms.  Amelia B</t>
  </si>
  <si>
    <t>Id1357</t>
  </si>
  <si>
    <t>Flynn, Ms.  Jackie J</t>
  </si>
  <si>
    <t>Id1358</t>
  </si>
  <si>
    <t>Bishop, Mr.  Justin</t>
  </si>
  <si>
    <t>Id1359</t>
  </si>
  <si>
    <t>Devitt, Ms.  Kerry</t>
  </si>
  <si>
    <t>Id1360</t>
  </si>
  <si>
    <t>Lynch, Ms.  Cindy G.</t>
  </si>
  <si>
    <t>Id1361</t>
  </si>
  <si>
    <t>Tramontano, Mr.  Gennaro</t>
  </si>
  <si>
    <t>Id1362</t>
  </si>
  <si>
    <t>Davidson, Mr.  Terry</t>
  </si>
  <si>
    <t>Id1363</t>
  </si>
  <si>
    <t>Burke, Mr.  Patrick J</t>
  </si>
  <si>
    <t>Id1364</t>
  </si>
  <si>
    <t>McGraw, Ms.  Keara</t>
  </si>
  <si>
    <t>Id1365</t>
  </si>
  <si>
    <t>Fellure, Ms.  Nicole</t>
  </si>
  <si>
    <t>Id1366</t>
  </si>
  <si>
    <t>Sanford, Mrs.  Katena</t>
  </si>
  <si>
    <t>Id1367</t>
  </si>
  <si>
    <t>Wrenn, Ms.  Bean K.</t>
  </si>
  <si>
    <t>Id1368</t>
  </si>
  <si>
    <t>Lindsey, Mr.  Brian</t>
  </si>
  <si>
    <t>Id1369</t>
  </si>
  <si>
    <t>Krueger, Mr.  Jan-Patrick</t>
  </si>
  <si>
    <t>Id1370</t>
  </si>
  <si>
    <t>Babler, Mr.  Jesse J</t>
  </si>
  <si>
    <t>Id1371</t>
  </si>
  <si>
    <t>Brezenski, Ms.  Lindsey M</t>
  </si>
  <si>
    <t>Id1372</t>
  </si>
  <si>
    <t>Marschner, Ms.  Marguerite K.</t>
  </si>
  <si>
    <t>Id1373</t>
  </si>
  <si>
    <t>King, Mr.  Travis</t>
  </si>
  <si>
    <t>Id1374</t>
  </si>
  <si>
    <t>Montez, Mr.  Ricky</t>
  </si>
  <si>
    <t>Id1375</t>
  </si>
  <si>
    <t>Campbell, Mrs.  Colleen L.</t>
  </si>
  <si>
    <t>Id1376</t>
  </si>
  <si>
    <t>Hurt, Mr.  Charlie A</t>
  </si>
  <si>
    <t>Id1377</t>
  </si>
  <si>
    <t>Garey, Mr.  Rick</t>
  </si>
  <si>
    <t>Id1378</t>
  </si>
  <si>
    <t>Reddy, Ms.  Lauren C</t>
  </si>
  <si>
    <t>Id1379</t>
  </si>
  <si>
    <t>Mueller, Mr.  Daniel</t>
  </si>
  <si>
    <t>Id1380</t>
  </si>
  <si>
    <t>Julia, Mr.  Jaime</t>
  </si>
  <si>
    <t>Id1381</t>
  </si>
  <si>
    <t>Uribe, Mr.  Erik R</t>
  </si>
  <si>
    <t>Id1382</t>
  </si>
  <si>
    <t>Hand, Ms.  Katie</t>
  </si>
  <si>
    <t>Id1383</t>
  </si>
  <si>
    <t>Petersen, Mr.  Thomas A</t>
  </si>
  <si>
    <t>Id1384</t>
  </si>
  <si>
    <t>Mac-Thiong, Mr.  Jean-Marc</t>
  </si>
  <si>
    <t>Id1385</t>
  </si>
  <si>
    <t>Walker, Ms.  Kerry L</t>
  </si>
  <si>
    <t>Id1386</t>
  </si>
  <si>
    <t>Steidl, Mr.  Ulrich</t>
  </si>
  <si>
    <t>Id1387</t>
  </si>
  <si>
    <t>Rose, Mr.  Justin P</t>
  </si>
  <si>
    <t>Id1388</t>
  </si>
  <si>
    <t>Alderfer, Ms.  Hannah E.</t>
  </si>
  <si>
    <t>Id1389</t>
  </si>
  <si>
    <t>Ryland, Mr.  David</t>
  </si>
  <si>
    <t>Id1390</t>
  </si>
  <si>
    <t>Bethea, Mr.  Jim</t>
  </si>
  <si>
    <t>Id1391</t>
  </si>
  <si>
    <t>Kelly, Mr.  Joseph P</t>
  </si>
  <si>
    <t>Id1392</t>
  </si>
  <si>
    <t>Blois, Mr.  Michael</t>
  </si>
  <si>
    <t>Id1393</t>
  </si>
  <si>
    <t>Dayton, Ms.  Gina M</t>
  </si>
  <si>
    <t>Id1394</t>
  </si>
  <si>
    <t>Cloud, Ms.  Shantel C.</t>
  </si>
  <si>
    <t>Id1395</t>
  </si>
  <si>
    <t>Betournay, Mr.  Brian</t>
  </si>
  <si>
    <t>Id1396</t>
  </si>
  <si>
    <t>Temple, Mr.  Brian</t>
  </si>
  <si>
    <t>Id1397</t>
  </si>
  <si>
    <t>Rollie, Ms.  Jessica R</t>
  </si>
  <si>
    <t>Id1398</t>
  </si>
  <si>
    <t>Roybal, Mrs.  Robyn</t>
  </si>
  <si>
    <t>Id1399</t>
  </si>
  <si>
    <t>Turgeon, Ms.  Ashley</t>
  </si>
  <si>
    <t>Id1400</t>
  </si>
  <si>
    <t>Deingenis, Ms.  Dana</t>
  </si>
  <si>
    <t>Id1401</t>
  </si>
  <si>
    <t>Hodge, Ms.  Jessica F.</t>
  </si>
  <si>
    <t>Id1402</t>
  </si>
  <si>
    <t>Gibbs, Ms.  Lindsey</t>
  </si>
  <si>
    <t>Id1403</t>
  </si>
  <si>
    <t>Trom, Ms.  Kelly A</t>
  </si>
  <si>
    <t>Id1404</t>
  </si>
  <si>
    <t>Sizer, Ms.  Brooke E</t>
  </si>
  <si>
    <t>Id1405</t>
  </si>
  <si>
    <t>Ellison, Ms.  Katelyn E.</t>
  </si>
  <si>
    <t>Id1406</t>
  </si>
  <si>
    <t>Sulkowski, Mr.  Adam</t>
  </si>
  <si>
    <t>Id1407</t>
  </si>
  <si>
    <t>Maringo, Ms.  Dana</t>
  </si>
  <si>
    <t>Id1408</t>
  </si>
  <si>
    <t>Lattin, Mr.  Eric W</t>
  </si>
  <si>
    <t>Id1409</t>
  </si>
  <si>
    <t>Deblander, Mr.  Matthew D</t>
  </si>
  <si>
    <t>Id1410</t>
  </si>
  <si>
    <t>O'Neill, Mr.  Eoghan</t>
  </si>
  <si>
    <t>Id1411</t>
  </si>
  <si>
    <t>Davis, Ms.  Pamela W</t>
  </si>
  <si>
    <t>Id1412</t>
  </si>
  <si>
    <t>Stanek, Ms.  Lindsey M.</t>
  </si>
  <si>
    <t>Id1413</t>
  </si>
  <si>
    <t>Harris, Ms.  Kassie</t>
  </si>
  <si>
    <t>Id1414</t>
  </si>
  <si>
    <t>Manning, Mr.  Matthew</t>
  </si>
  <si>
    <t>Id1415</t>
  </si>
  <si>
    <t>Barrera Munoz, Mr.  Ruben Dario</t>
  </si>
  <si>
    <t>Id1416</t>
  </si>
  <si>
    <t>Schauwaers, Mr.  Kevin</t>
  </si>
  <si>
    <t>Id1417</t>
  </si>
  <si>
    <t>Hartman, Ms.  Lindsay M</t>
  </si>
  <si>
    <t>Id1418</t>
  </si>
  <si>
    <t>Fire, Mrs.  Amanda</t>
  </si>
  <si>
    <t>Id1419</t>
  </si>
  <si>
    <t>Waliaula, Mr.  James</t>
  </si>
  <si>
    <t>Id1420</t>
  </si>
  <si>
    <t>Blackshear, Mr.  Samuel H.</t>
  </si>
  <si>
    <t>Id1421</t>
  </si>
  <si>
    <t>Nettik, Ms.  Jenni</t>
  </si>
  <si>
    <t>Id1422</t>
  </si>
  <si>
    <t>Novales, Mr.  Estuardo F</t>
  </si>
  <si>
    <t>Id1423</t>
  </si>
  <si>
    <t>Rosauer, Mr.  Brett</t>
  </si>
  <si>
    <t>Id1424</t>
  </si>
  <si>
    <t>Ryder, Ms.  Sharon E.</t>
  </si>
  <si>
    <t>Id1425</t>
  </si>
  <si>
    <t>Larsen, Mr.  Jacob W√¶ver</t>
  </si>
  <si>
    <t>Id1426</t>
  </si>
  <si>
    <t>Keate, Mr.  Scott</t>
  </si>
  <si>
    <t>Id1427</t>
  </si>
  <si>
    <t>Williams, Ms.  Brooke S.</t>
  </si>
  <si>
    <t>Id1428</t>
  </si>
  <si>
    <t>Starosciak, Ms.  Kaye A.</t>
  </si>
  <si>
    <t>Id1429</t>
  </si>
  <si>
    <t>Smith, Ms.  Carolyn</t>
  </si>
  <si>
    <t>Id1430</t>
  </si>
  <si>
    <t>Henderson, Mr.  Daniel C.</t>
  </si>
  <si>
    <t>Id1431</t>
  </si>
  <si>
    <t>Winkelman, Mrs.  Laurie A</t>
  </si>
  <si>
    <t>Id1432</t>
  </si>
  <si>
    <t>Monette, Ms.  Nicole</t>
  </si>
  <si>
    <t>Id1433</t>
  </si>
  <si>
    <t>Kramer, Ms.  Shelby</t>
  </si>
  <si>
    <t>Id1434</t>
  </si>
  <si>
    <t>Goldstein, Ms.  Allison</t>
  </si>
  <si>
    <t>Id1435</t>
  </si>
  <si>
    <t>Gonzalez, Ms.  Leticia</t>
  </si>
  <si>
    <t>Id1436</t>
  </si>
  <si>
    <t>Barrett, Mr.  John S.</t>
  </si>
  <si>
    <t>Id1437</t>
  </si>
  <si>
    <t>Irwin, Ms.  April</t>
  </si>
  <si>
    <t>Id1438</t>
  </si>
  <si>
    <t>Glenn, Ms.  Ashley N.</t>
  </si>
  <si>
    <t>Id1439</t>
  </si>
  <si>
    <t>O'Meara, Ms.  Madeleine</t>
  </si>
  <si>
    <t>Id1440</t>
  </si>
  <si>
    <t>Budrow, Ms.  Nelly S</t>
  </si>
  <si>
    <t>Id1441</t>
  </si>
  <si>
    <t>Anderson, Ms.  Meredith S</t>
  </si>
  <si>
    <t>Id1442</t>
  </si>
  <si>
    <t>Douglas, Mr.  Kevin</t>
  </si>
  <si>
    <t>Id1443</t>
  </si>
  <si>
    <t>Tecklenburg, Ms.  Lisa</t>
  </si>
  <si>
    <t>Id1444</t>
  </si>
  <si>
    <t>Baker, Ms.  Katherine A</t>
  </si>
  <si>
    <t>Id1445</t>
  </si>
  <si>
    <t>Schenck, Mr.  Steve</t>
  </si>
  <si>
    <t>Id1446</t>
  </si>
  <si>
    <t>Johnson, Ms.  Kate L.</t>
  </si>
  <si>
    <t>Id1447</t>
  </si>
  <si>
    <t>Blendell, Ms.  Beth</t>
  </si>
  <si>
    <t>Id1448</t>
  </si>
  <si>
    <t>Parodi, Ms.  Katharine</t>
  </si>
  <si>
    <t>Id1449</t>
  </si>
  <si>
    <t>Morgan, Ms.  Heather L</t>
  </si>
  <si>
    <t>Id1450</t>
  </si>
  <si>
    <t>Linden, Ms.  Desiree</t>
  </si>
  <si>
    <t>Id1451</t>
  </si>
  <si>
    <t>Horning, Mr.  Peter B.</t>
  </si>
  <si>
    <t>Id1452</t>
  </si>
  <si>
    <t>Goode, Mr.  Adam</t>
  </si>
  <si>
    <t>Id1453</t>
  </si>
  <si>
    <t>Doden, Mr.  Jeremy J</t>
  </si>
  <si>
    <t>Id1454</t>
  </si>
  <si>
    <t>Groff, Mr.  Adam C</t>
  </si>
  <si>
    <t>Id1455</t>
  </si>
  <si>
    <t>Kuehler, Mr.  Jon</t>
  </si>
  <si>
    <t>Id1456</t>
  </si>
  <si>
    <t>Daniels, Mr.  Steven J</t>
  </si>
  <si>
    <t>Id1457</t>
  </si>
  <si>
    <t>Gibby, Ms.  Jessica P.</t>
  </si>
  <si>
    <t>Id1458</t>
  </si>
  <si>
    <t>Busa, Ms.  Ashley</t>
  </si>
  <si>
    <t>Id1459</t>
  </si>
  <si>
    <t>Moyo, Mr.  Arturo H.</t>
  </si>
  <si>
    <t>Id1460</t>
  </si>
  <si>
    <t>Horn, Mr.  Ketil</t>
  </si>
  <si>
    <t>Id1461</t>
  </si>
  <si>
    <t>Bien, Ms.  Katie</t>
  </si>
  <si>
    <t>Id1462</t>
  </si>
  <si>
    <t>O'Connor, Ms.  Christi</t>
  </si>
  <si>
    <t>Id1463</t>
  </si>
  <si>
    <t>Ash, Mr.  Alan</t>
  </si>
  <si>
    <t>Id1464</t>
  </si>
  <si>
    <t>Do Prado, Mr.  Edivaldo B. Sr.</t>
  </si>
  <si>
    <t>Id1465</t>
  </si>
  <si>
    <t>Phillips, Ms.  Eve</t>
  </si>
  <si>
    <t>Id1466</t>
  </si>
  <si>
    <t>Kelly, Mr.  Devin</t>
  </si>
  <si>
    <t>Id1467</t>
  </si>
  <si>
    <t>Dever, Mr.  Shaun R</t>
  </si>
  <si>
    <t>Id1468</t>
  </si>
  <si>
    <t>Horvath, Mr.  Adrian</t>
  </si>
  <si>
    <t>Id1469</t>
  </si>
  <si>
    <t>Danner, Mr.  Andrew</t>
  </si>
  <si>
    <t>Id1470</t>
  </si>
  <si>
    <t>Weiss, Ms.  Mallory</t>
  </si>
  <si>
    <t>Id1471</t>
  </si>
  <si>
    <t>D'Andrea, Mr.  Shawn E</t>
  </si>
  <si>
    <t>Id1472</t>
  </si>
  <si>
    <t>Olesky, Ms.  Sarah E</t>
  </si>
  <si>
    <t>Id1473</t>
  </si>
  <si>
    <t>Whitcraft, Mr.  Josh</t>
  </si>
  <si>
    <t>Id1474</t>
  </si>
  <si>
    <t>Salazar, Mr.  Johann A</t>
  </si>
  <si>
    <t>Id1475</t>
  </si>
  <si>
    <t>Todd, Ms.  Robin M.</t>
  </si>
  <si>
    <t>Id1476</t>
  </si>
  <si>
    <t>Pond, Mr.  Kyle K</t>
  </si>
  <si>
    <t>Id1477</t>
  </si>
  <si>
    <t>Egan, Ms.  Alison</t>
  </si>
  <si>
    <t>Id1478</t>
  </si>
  <si>
    <t>Bersani, Mr.  Michael A.</t>
  </si>
  <si>
    <t>Id1479</t>
  </si>
  <si>
    <t>Creech, Mr.  Byron A</t>
  </si>
  <si>
    <t>Id1480</t>
  </si>
  <si>
    <t>Sudres, Ms.  Carine A</t>
  </si>
  <si>
    <t>Id1481</t>
  </si>
  <si>
    <t>Couture, Mr.  Nathaniel</t>
  </si>
  <si>
    <t>Id1482</t>
  </si>
  <si>
    <t>Willard, Ms.  Lindsay A.</t>
  </si>
  <si>
    <t>Id1483</t>
  </si>
  <si>
    <t>Patronick, Mr.  Justin R</t>
  </si>
  <si>
    <t>Id1484</t>
  </si>
  <si>
    <t>Depasquale, Ms.  Casey</t>
  </si>
  <si>
    <t>Id1485</t>
  </si>
  <si>
    <t>Lavergne, Ms.  Amanda L</t>
  </si>
  <si>
    <t>Id1486</t>
  </si>
  <si>
    <t>Kawakami, Ms.  Ayako N.</t>
  </si>
  <si>
    <t>Id1487</t>
  </si>
  <si>
    <t>Gonsalves, Ms.  Emilee</t>
  </si>
  <si>
    <t>Id1488</t>
  </si>
  <si>
    <t>Peck, Mr.  Stephen M</t>
  </si>
  <si>
    <t>Id1489</t>
  </si>
  <si>
    <t>Aure, Ms.  Annemarie A</t>
  </si>
  <si>
    <t>Id1490</t>
  </si>
  <si>
    <t>Mattingly, Ms.  Ashley R</t>
  </si>
  <si>
    <t>Id1491</t>
  </si>
  <si>
    <t>Stelpflug, Ms.  Leslie A</t>
  </si>
  <si>
    <t>Id1492</t>
  </si>
  <si>
    <t>Sanchez Antognini, Mr.  Mauricio J. Sr.</t>
  </si>
  <si>
    <t>Id1493</t>
  </si>
  <si>
    <t>Condon, Mr.  Kieran</t>
  </si>
  <si>
    <t>Id1494</t>
  </si>
  <si>
    <t>Magato, Ms.  Elizabeth A</t>
  </si>
  <si>
    <t>Id1495</t>
  </si>
  <si>
    <t>Dombrowski, Mr.  Zeke M.</t>
  </si>
  <si>
    <t>Id1496</t>
  </si>
  <si>
    <t>Ohara, Mr.  Chip</t>
  </si>
  <si>
    <t>Id1497</t>
  </si>
  <si>
    <t>Cifuentes Fetiva, Mr.  Miguel Angel Sr.</t>
  </si>
  <si>
    <t>Id1498</t>
  </si>
  <si>
    <t>Keno, Mr.  Brian</t>
  </si>
  <si>
    <t>Id1499</t>
  </si>
  <si>
    <t>Bruce, Ms.  Meghan</t>
  </si>
  <si>
    <t>Id1500</t>
  </si>
  <si>
    <t>Lorch, Ms.  Meredith L.</t>
  </si>
  <si>
    <t>Id1501</t>
  </si>
  <si>
    <t>Sullivan, Mrs.  Millicent M</t>
  </si>
  <si>
    <t>Id1502</t>
  </si>
  <si>
    <t>Cave, Ms.  Kathleen</t>
  </si>
  <si>
    <t>Id1503</t>
  </si>
  <si>
    <t>Gudenkauf, Ms.  Kimberly K</t>
  </si>
  <si>
    <t>Id1504</t>
  </si>
  <si>
    <t>Thomas, Mr.  Justin C</t>
  </si>
  <si>
    <t>Id1505</t>
  </si>
  <si>
    <t>Holley, Mr.  Tristan P.</t>
  </si>
  <si>
    <t>Id1506</t>
  </si>
  <si>
    <t>Kemble, Ms.  Traci A</t>
  </si>
  <si>
    <t>Id1507</t>
  </si>
  <si>
    <t>Bentley, Mr.  Justin P</t>
  </si>
  <si>
    <t>Id1508</t>
  </si>
  <si>
    <t>Jones, Mr.  Logan M</t>
  </si>
  <si>
    <t>Id1509</t>
  </si>
  <si>
    <t>Tremblay, Mr.  Sebastien</t>
  </si>
  <si>
    <t>Id1510</t>
  </si>
  <si>
    <t>Bellucci, Ms.  Tiffany A</t>
  </si>
  <si>
    <t>Id1511</t>
  </si>
  <si>
    <t>Collins, Mr.  Matthew</t>
  </si>
  <si>
    <t>Id1512</t>
  </si>
  <si>
    <t>Gillman, Mr.  Luke</t>
  </si>
  <si>
    <t>Id1513</t>
  </si>
  <si>
    <t>West, Ms.  Leigh</t>
  </si>
  <si>
    <t>Id1514</t>
  </si>
  <si>
    <t>Chida, Mr.  Yosuke</t>
  </si>
  <si>
    <t>Id1515</t>
  </si>
  <si>
    <t>Reisenauer, Mr.  Matthew</t>
  </si>
  <si>
    <t>Id1516</t>
  </si>
  <si>
    <t>Rosenberg-Wohl, Mr.  Jacob</t>
  </si>
  <si>
    <t>Id1517</t>
  </si>
  <si>
    <t>Theriault, Ms.  Jodi</t>
  </si>
  <si>
    <t>Id1518</t>
  </si>
  <si>
    <t>Manuel, Ms.  Lauren</t>
  </si>
  <si>
    <t>Id1519</t>
  </si>
  <si>
    <t>Demko, Ms.  Misti C</t>
  </si>
  <si>
    <t>Id1520</t>
  </si>
  <si>
    <t>Battaglia, Ms.  Angela J</t>
  </si>
  <si>
    <t>Id1521</t>
  </si>
  <si>
    <t>Follo, Mr.  Jonathan D.</t>
  </si>
  <si>
    <t>Id1522</t>
  </si>
  <si>
    <t>Barana, Ms.  Victoria</t>
  </si>
  <si>
    <t>Id1523</t>
  </si>
  <si>
    <t>Lysaght, Mr.  Adrian R.</t>
  </si>
  <si>
    <t>Id1524</t>
  </si>
  <si>
    <t>Chalmers, Mr.  Andrew</t>
  </si>
  <si>
    <t>Id1525</t>
  </si>
  <si>
    <t>Phillippi, Mr.  Jason A.</t>
  </si>
  <si>
    <t>Id1526</t>
  </si>
  <si>
    <t>MacPherson, Ms.  Rachel</t>
  </si>
  <si>
    <t>Id1527</t>
  </si>
  <si>
    <t>Delfidio, Ms.  Susan</t>
  </si>
  <si>
    <t>Id1528</t>
  </si>
  <si>
    <t>Cummings, Mr.  Cameron M.</t>
  </si>
  <si>
    <t>Id1529</t>
  </si>
  <si>
    <t>Schroegel, Ms.  Claudia A.</t>
  </si>
  <si>
    <t>Id1530</t>
  </si>
  <si>
    <t>Williams, Ms.  Kate</t>
  </si>
  <si>
    <t>Id1531</t>
  </si>
  <si>
    <t>Casey, Ms.  Nicole M.</t>
  </si>
  <si>
    <t>Id1532</t>
  </si>
  <si>
    <t>Randall, Mr.  Jack</t>
  </si>
  <si>
    <t>Id1533</t>
  </si>
  <si>
    <t>Doyon, Mr.  Gregory</t>
  </si>
  <si>
    <t>Id1534</t>
  </si>
  <si>
    <t>Sankey, Ms.  Rebecca</t>
  </si>
  <si>
    <t>Id1535</t>
  </si>
  <si>
    <t>Stilgenbauer, Mr.  Adam</t>
  </si>
  <si>
    <t>Id1536</t>
  </si>
  <si>
    <t>Jaskiewicz, Mr.  Ryan</t>
  </si>
  <si>
    <t>Id1537</t>
  </si>
  <si>
    <t>Deppen, Ms.  Jackie K.</t>
  </si>
  <si>
    <t>Id1538</t>
  </si>
  <si>
    <t>Hine, Mr.  Chris</t>
  </si>
  <si>
    <t>Id1539</t>
  </si>
  <si>
    <t>Mathews, Mr.  Tyler C</t>
  </si>
  <si>
    <t>Id1540</t>
  </si>
  <si>
    <t>Yabu, Ms.  Yoshie</t>
  </si>
  <si>
    <t>Id1541</t>
  </si>
  <si>
    <t>Strang, Ms.  Lauren A</t>
  </si>
  <si>
    <t>Id1542</t>
  </si>
  <si>
    <t>Frank, Mr.  Mason D.</t>
  </si>
  <si>
    <t>Id1543</t>
  </si>
  <si>
    <t>Shanley, Mr.  Ryan</t>
  </si>
  <si>
    <t>Id1544</t>
  </si>
  <si>
    <t>Mancebo Garcia, Mr.  Arturo</t>
  </si>
  <si>
    <t>Id1545</t>
  </si>
  <si>
    <t>Keehan, Mr.  Jake</t>
  </si>
  <si>
    <t>Id1546</t>
  </si>
  <si>
    <t>Mahaney, Ms.  Sarah E</t>
  </si>
  <si>
    <t>Id1547</t>
  </si>
  <si>
    <t>Nolan, Ms.  Alison L.</t>
  </si>
  <si>
    <t>Id1548</t>
  </si>
  <si>
    <t>Sobrino, Ms.  Karen A.</t>
  </si>
  <si>
    <t>Id1549</t>
  </si>
  <si>
    <t>Gennaro, Mr.  Thomas R. Jr.</t>
  </si>
  <si>
    <t>Id1550</t>
  </si>
  <si>
    <t>Mayer, Ms.  Stephanie W.</t>
  </si>
  <si>
    <t>Id1551</t>
  </si>
  <si>
    <t>Becker, Mr.  Ezra</t>
  </si>
  <si>
    <t>Id1552</t>
  </si>
  <si>
    <t>Moore, Mr.  Jim</t>
  </si>
  <si>
    <t>Id1553</t>
  </si>
  <si>
    <t>Platt, Mr.  Ari L.</t>
  </si>
  <si>
    <t>Id1554</t>
  </si>
  <si>
    <t>Brodeur, Ms.  Fanny</t>
  </si>
  <si>
    <t>Id1555</t>
  </si>
  <si>
    <t>Knight Pech, Ms.  Heather</t>
  </si>
  <si>
    <t>Id1556</t>
  </si>
  <si>
    <t>Richter, Mr.  Peter W. Sr.</t>
  </si>
  <si>
    <t>Id1557</t>
  </si>
  <si>
    <t>Jubinski, Ms.  Catherine A</t>
  </si>
  <si>
    <t>Id1558</t>
  </si>
  <si>
    <t>Wall, Ms.  Kelly A</t>
  </si>
  <si>
    <t>Id1559</t>
  </si>
  <si>
    <t>McKay, Ms.  Janel N.</t>
  </si>
  <si>
    <t>Id1560</t>
  </si>
  <si>
    <t>Oh, Ms.  Yann Kai</t>
  </si>
  <si>
    <t>Id1561</t>
  </si>
  <si>
    <t>Kessell, Mr.  Zachary R.</t>
  </si>
  <si>
    <t>Id1562</t>
  </si>
  <si>
    <t>Hidalgo Zambrano, Mr.  Alejandro Sr.</t>
  </si>
  <si>
    <t>Id1563</t>
  </si>
  <si>
    <t>Caprario, Mr.  Nicholas R.</t>
  </si>
  <si>
    <t>Id1564</t>
  </si>
  <si>
    <t>Ryan, Mr.  Paul</t>
  </si>
  <si>
    <t>Id1565</t>
  </si>
  <si>
    <t>Hoffman, Mr.  Michael D</t>
  </si>
  <si>
    <t>Id1566</t>
  </si>
  <si>
    <t>Wong, Ms.  Marina</t>
  </si>
  <si>
    <t>Id1567</t>
  </si>
  <si>
    <t>Lea, Ms.  Caroline</t>
  </si>
  <si>
    <t>Id1568</t>
  </si>
  <si>
    <t>Patterson, Mr.  Ross P</t>
  </si>
  <si>
    <t>Id1569</t>
  </si>
  <si>
    <t>Quigley, Ms.  Aoife</t>
  </si>
  <si>
    <t>Id1570</t>
  </si>
  <si>
    <t>Korir, Mr.  Wesley</t>
  </si>
  <si>
    <t>Id1571</t>
  </si>
  <si>
    <t>Downs, Ms.  Rebecca J</t>
  </si>
  <si>
    <t>Id1572</t>
  </si>
  <si>
    <t>Young, Mr.  Barry P.</t>
  </si>
  <si>
    <t>Id1573</t>
  </si>
  <si>
    <t>Zywek, Mr.  Maciej</t>
  </si>
  <si>
    <t>Id1574</t>
  </si>
  <si>
    <t>Faulkner, Mr.  Jerry D.</t>
  </si>
  <si>
    <t>Id1575</t>
  </si>
  <si>
    <t>Erspamer, Mr.  Eric A.</t>
  </si>
  <si>
    <t>Id1576</t>
  </si>
  <si>
    <t>Campbell, Ms.  Cathi</t>
  </si>
  <si>
    <t>Id1577</t>
  </si>
  <si>
    <t>Addison, Mr.  Alex M</t>
  </si>
  <si>
    <t>Id1578</t>
  </si>
  <si>
    <t>Wu, Mr.  Liang</t>
  </si>
  <si>
    <t>Id1579</t>
  </si>
  <si>
    <t>Millett, Ms.  Lexy</t>
  </si>
  <si>
    <t>Id1580</t>
  </si>
  <si>
    <t>Bosl, Mr.  Michael</t>
  </si>
  <si>
    <t>Id1581</t>
  </si>
  <si>
    <t>Goldberg, Mr.  Samuel L</t>
  </si>
  <si>
    <t>Id1582</t>
  </si>
  <si>
    <t>Kelley, Mr.  Spencer A.</t>
  </si>
  <si>
    <t>Id1583</t>
  </si>
  <si>
    <t>Johnston, Mrs.  Rochelle</t>
  </si>
  <si>
    <t>Id1584</t>
  </si>
  <si>
    <t>Keating, Ms.  Paula</t>
  </si>
  <si>
    <t>Id1585</t>
  </si>
  <si>
    <t>Duhon, Mrs.  Madeline E.</t>
  </si>
  <si>
    <t>Id1586</t>
  </si>
  <si>
    <t>Briseno, Ms.  Maria Isabel</t>
  </si>
  <si>
    <t>Id1587</t>
  </si>
  <si>
    <t>Besse, Mr.  Arthur M.</t>
  </si>
  <si>
    <t>Id1588</t>
  </si>
  <si>
    <t>Shillings, Mr.  Joseph R.</t>
  </si>
  <si>
    <t>Id1589</t>
  </si>
  <si>
    <t>Tate, Ms.  Sachiko</t>
  </si>
  <si>
    <t>Id1590</t>
  </si>
  <si>
    <t>Arsenault, Mr.  Christopher</t>
  </si>
  <si>
    <t>Id1591</t>
  </si>
  <si>
    <t>Hengoed, Mr.  Joseph</t>
  </si>
  <si>
    <t>Id1592</t>
  </si>
  <si>
    <t>Aller, Mr.  Lawrence</t>
  </si>
  <si>
    <t>Id1593</t>
  </si>
  <si>
    <t>Pisano, Mrs.  Katie</t>
  </si>
  <si>
    <t>Id1594</t>
  </si>
  <si>
    <t>Sanca, Mr.  Ruben</t>
  </si>
  <si>
    <t>Id1595</t>
  </si>
  <si>
    <t>Bond, Ms.  Sarah</t>
  </si>
  <si>
    <t>Id1596</t>
  </si>
  <si>
    <t>Carron, Mrs.  Angela R.</t>
  </si>
  <si>
    <t>Id1597</t>
  </si>
  <si>
    <t>Ellwanger, Mr.  Chatham</t>
  </si>
  <si>
    <t>Id1598</t>
  </si>
  <si>
    <t>Hanson, Mr.  Derek</t>
  </si>
  <si>
    <t>Id1599</t>
  </si>
  <si>
    <t>Tucker, Mr.  Kalvin J.</t>
  </si>
  <si>
    <t>Id1600</t>
  </si>
  <si>
    <t>Counts, Mr.  Dave</t>
  </si>
  <si>
    <t>Id1601</t>
  </si>
  <si>
    <t>Carson, Ms.  Barbara G.</t>
  </si>
  <si>
    <t>Id1602</t>
  </si>
  <si>
    <t>Haines, Mr.  Skylar</t>
  </si>
  <si>
    <t>Id1603</t>
  </si>
  <si>
    <t>Schnabel, Mr.  Nick</t>
  </si>
  <si>
    <t>Id1604</t>
  </si>
  <si>
    <t>Thind, Mr.  Sunny S</t>
  </si>
  <si>
    <t>Id1605</t>
  </si>
  <si>
    <t>Simon, Mrs.  Anne-Marie</t>
  </si>
  <si>
    <t>Id1606</t>
  </si>
  <si>
    <t>Arciniaga, Mr.  Nicholas</t>
  </si>
  <si>
    <t>Id1607</t>
  </si>
  <si>
    <t>Ryan, Mr.  Scott M.</t>
  </si>
  <si>
    <t>Id1608</t>
  </si>
  <si>
    <t>Lizak, Ms.  Marisa A</t>
  </si>
  <si>
    <t>Id1609</t>
  </si>
  <si>
    <t>Howery, Ms.  Katie</t>
  </si>
  <si>
    <t>Id1610</t>
  </si>
  <si>
    <t>Crain, Ms.  Amy L</t>
  </si>
  <si>
    <t>Id1611</t>
  </si>
  <si>
    <t>Hotze, Ms.  Jenna M</t>
  </si>
  <si>
    <t>Id1612</t>
  </si>
  <si>
    <t>Chauhan, Ms.  Elizabeth M.</t>
  </si>
  <si>
    <t>Id1613</t>
  </si>
  <si>
    <t>Raab, Mr.  Lyazid</t>
  </si>
  <si>
    <t>Id1614</t>
  </si>
  <si>
    <t>McKown, Ms.  Lindsey A.</t>
  </si>
  <si>
    <t>Id1615</t>
  </si>
  <si>
    <t>Schiemann, Mr.  Chris</t>
  </si>
  <si>
    <t>Id1616</t>
  </si>
  <si>
    <t>Cress, Ms.  Jennifer A</t>
  </si>
  <si>
    <t>Id1617</t>
  </si>
  <si>
    <t>Mawson, Mr.  Leif S.</t>
  </si>
  <si>
    <t>Id1618</t>
  </si>
  <si>
    <t>Wigginton, Ms.  Stephanie A</t>
  </si>
  <si>
    <t>Id1619</t>
  </si>
  <si>
    <t>Wang, Mr.  Bo</t>
  </si>
  <si>
    <t>Id1620</t>
  </si>
  <si>
    <t>Schroeder, Ms.  Leah</t>
  </si>
  <si>
    <t>Id1621</t>
  </si>
  <si>
    <t>Leonard, Ms.  Kara Lynne</t>
  </si>
  <si>
    <t>Id1622</t>
  </si>
  <si>
    <t>Tissue, Mr.  Jeffrey</t>
  </si>
  <si>
    <t>Id1623</t>
  </si>
  <si>
    <t>Wood, Mr.  Justin</t>
  </si>
  <si>
    <t>Id1624</t>
  </si>
  <si>
    <t>Denny, Ms.  Emily</t>
  </si>
  <si>
    <t>Id1625</t>
  </si>
  <si>
    <t>Testa, Ms.  Rebecca</t>
  </si>
  <si>
    <t>Id1626</t>
  </si>
  <si>
    <t>Mooney, Mrs.  Allie</t>
  </si>
  <si>
    <t>Id1627</t>
  </si>
  <si>
    <t>Buchholtz, Ms.  Trasi</t>
  </si>
  <si>
    <t>Id1628</t>
  </si>
  <si>
    <t>Hoyt, Mr.  Kevin</t>
  </si>
  <si>
    <t>Id1629</t>
  </si>
  <si>
    <t>Cabada, Mr.  Fernando</t>
  </si>
  <si>
    <t>Id1630</t>
  </si>
  <si>
    <t>Lobaciute, Ms.  Ieva</t>
  </si>
  <si>
    <t>Id1631</t>
  </si>
  <si>
    <t>Dawes, Mr.  Chris</t>
  </si>
  <si>
    <t>Id1632</t>
  </si>
  <si>
    <t>Deppen, Mr.  Drew L.</t>
  </si>
  <si>
    <t>Id1633</t>
  </si>
  <si>
    <t>Oberndorfer, Ms.  Christina</t>
  </si>
  <si>
    <t>Id1634</t>
  </si>
  <si>
    <t>Hetherington, Mr.  Alexander G</t>
  </si>
  <si>
    <t>Id1635</t>
  </si>
  <si>
    <t>Murray, Ms.  Meaghan</t>
  </si>
  <si>
    <t>Id1636</t>
  </si>
  <si>
    <t>Higden, Ms.  Kristin</t>
  </si>
  <si>
    <t>Id1637</t>
  </si>
  <si>
    <t>Rediger, Ms.  Andrea K.</t>
  </si>
  <si>
    <t>Id1638</t>
  </si>
  <si>
    <t>Huff, Ms.  Kris</t>
  </si>
  <si>
    <t>Id1639</t>
  </si>
  <si>
    <t>Hall, Mr.  Alden W</t>
  </si>
  <si>
    <t>Id1640</t>
  </si>
  <si>
    <t>Grise, Ms.  Suzanne M</t>
  </si>
  <si>
    <t>Id1641</t>
  </si>
  <si>
    <t>Skildum, Ms.  Heidi Z.</t>
  </si>
  <si>
    <t>Id1642</t>
  </si>
  <si>
    <t>Yang, Ms.  Carolyn</t>
  </si>
  <si>
    <t>Id1643</t>
  </si>
  <si>
    <t>Fischer-Daly, Ms.  Sabine</t>
  </si>
  <si>
    <t>Id1644</t>
  </si>
  <si>
    <t>Asher, Mr.  Bobby</t>
  </si>
  <si>
    <t>Id1645</t>
  </si>
  <si>
    <t>Zhou, Mr.  Fan</t>
  </si>
  <si>
    <t>Id1646</t>
  </si>
  <si>
    <t>Rudder, Mrs.  Rachel M</t>
  </si>
  <si>
    <t>Id1647</t>
  </si>
  <si>
    <t>Cartmell, Mr.  Greg</t>
  </si>
  <si>
    <t>Id1648</t>
  </si>
  <si>
    <t>Troland, Mr.  Dan</t>
  </si>
  <si>
    <t>Id1649</t>
  </si>
  <si>
    <t>Hall, Ms.  Jennifer A</t>
  </si>
  <si>
    <t>Id1650</t>
  </si>
  <si>
    <t>Berg, Mrs.  Jessica</t>
  </si>
  <si>
    <t>Id1651</t>
  </si>
  <si>
    <t>Engtrakul, Mr.  Chaiwat</t>
  </si>
  <si>
    <t>Id1652</t>
  </si>
  <si>
    <t>Leonhardt, Ms.  Kerri</t>
  </si>
  <si>
    <t>Id1653</t>
  </si>
  <si>
    <t>Goetz, Ms.  Lisa</t>
  </si>
  <si>
    <t>Id1654</t>
  </si>
  <si>
    <t>Cacharelis, Mr.  Nicholas G</t>
  </si>
  <si>
    <t>Id1655</t>
  </si>
  <si>
    <t>Kariolis, Mr.  Vasilis S</t>
  </si>
  <si>
    <t>Id1656</t>
  </si>
  <si>
    <t>Zelwin, Mr.  Michael P</t>
  </si>
  <si>
    <t>Id1657</t>
  </si>
  <si>
    <t>Barry, Ms.  Colleen C.</t>
  </si>
  <si>
    <t>Id1658</t>
  </si>
  <si>
    <t>Bannon, Mrs.  Annika</t>
  </si>
  <si>
    <t>Id1659</t>
  </si>
  <si>
    <t>Chang, Ms.  Kelly</t>
  </si>
  <si>
    <t>Id1660</t>
  </si>
  <si>
    <t>Vetter, Mr.  Nicholas C.</t>
  </si>
  <si>
    <t>Id1661</t>
  </si>
  <si>
    <t>Jablonski, Mrs.  Kelly K</t>
  </si>
  <si>
    <t>Id1662</t>
  </si>
  <si>
    <t>Jakubowitch, Mr.  Andrew</t>
  </si>
  <si>
    <t>Id1663</t>
  </si>
  <si>
    <t>Altshuler, Ms.  Hannah</t>
  </si>
  <si>
    <t>Id1664</t>
  </si>
  <si>
    <t>Ugarte, Mr.  Patricio Sr.</t>
  </si>
  <si>
    <t>Id1665</t>
  </si>
  <si>
    <t>Tusso, Mr.  Robert B</t>
  </si>
  <si>
    <t>Id1666</t>
  </si>
  <si>
    <t>Johnson, Mr.  Benjamin M</t>
  </si>
  <si>
    <t>Id1667</t>
  </si>
  <si>
    <t>Landry, Mr.  Robert</t>
  </si>
  <si>
    <t>Id1668</t>
  </si>
  <si>
    <t>McDonald, Mr.  Eric R.</t>
  </si>
  <si>
    <t>Id1669</t>
  </si>
  <si>
    <t>Dunlap, Mr.  Matthew</t>
  </si>
  <si>
    <t>Id1670</t>
  </si>
  <si>
    <t>Larue, Mr.  Bob R</t>
  </si>
  <si>
    <t>Id1671</t>
  </si>
  <si>
    <t>Hodge, Ms.  Stephanie J.</t>
  </si>
  <si>
    <t>Id1672</t>
  </si>
  <si>
    <t>Marcus, Mr.  Jake</t>
  </si>
  <si>
    <t>Id1673</t>
  </si>
  <si>
    <t>Daubert, Ms.  Alison L.</t>
  </si>
  <si>
    <t>Id1674</t>
  </si>
  <si>
    <t>Close, Ms.  Lindsay M</t>
  </si>
  <si>
    <t>Id1675</t>
  </si>
  <si>
    <t>Roels, Mr.  Guillaume</t>
  </si>
  <si>
    <t>Id1676</t>
  </si>
  <si>
    <t>Venosky, Ms.  Kaylee</t>
  </si>
  <si>
    <t>Id1677</t>
  </si>
  <si>
    <t>Gosnell, Ms.  Theresa</t>
  </si>
  <si>
    <t>Id1678</t>
  </si>
  <si>
    <t>Chewning-Kulick, Mr.  Travis G.</t>
  </si>
  <si>
    <t>Id1679</t>
  </si>
  <si>
    <t>McCarron, Ms.  Emma L.</t>
  </si>
  <si>
    <t>Id1680</t>
  </si>
  <si>
    <t>Manion, Ms.  Linda</t>
  </si>
  <si>
    <t>Id1681</t>
  </si>
  <si>
    <t>Strong, Mr.  Owen R</t>
  </si>
  <si>
    <t>Id1682</t>
  </si>
  <si>
    <t>Leblanc, Mr.  Jacob</t>
  </si>
  <si>
    <t>Id1683</t>
  </si>
  <si>
    <t>Palmer, Ms.  Jacqueline</t>
  </si>
  <si>
    <t>Id1684</t>
  </si>
  <si>
    <t>Shen, Mr.  Yefeng</t>
  </si>
  <si>
    <t>Id1685</t>
  </si>
  <si>
    <t>Goldsby, Mr.  Thomas J</t>
  </si>
  <si>
    <t>Id1686</t>
  </si>
  <si>
    <t>Whitney, Mr.  Ken</t>
  </si>
  <si>
    <t>Id1687</t>
  </si>
  <si>
    <t>Mahoney, Ms.  Annie E</t>
  </si>
  <si>
    <t>Id1688</t>
  </si>
  <si>
    <t>McCracken, Mrs.  Noel K.</t>
  </si>
  <si>
    <t>Id1689</t>
  </si>
  <si>
    <t>Spewak, Mr.  Mark S</t>
  </si>
  <si>
    <t>Id1690</t>
  </si>
  <si>
    <t>Cottini, Ms.  Federica</t>
  </si>
  <si>
    <t>Id1691</t>
  </si>
  <si>
    <t>Findlay, Ms.  Pamela L</t>
  </si>
  <si>
    <t>Id1692</t>
  </si>
  <si>
    <t>Strasburg, Mr.  Andrew W.</t>
  </si>
  <si>
    <t>Id1693</t>
  </si>
  <si>
    <t>Adams, Mr.  Randall</t>
  </si>
  <si>
    <t>Id1694</t>
  </si>
  <si>
    <t>Deeter, Ms.  Tracy L</t>
  </si>
  <si>
    <t>Id1695</t>
  </si>
  <si>
    <t>Arpin, Ms.  Azelie</t>
  </si>
  <si>
    <t>Id1696</t>
  </si>
  <si>
    <t>Schoeneck, Ms.  Monica M.</t>
  </si>
  <si>
    <t>Id1697</t>
  </si>
  <si>
    <t>Mueller, Ms.  Katarina K.</t>
  </si>
  <si>
    <t>Id1698</t>
  </si>
  <si>
    <t>Willits, Ms.  Jamie L.</t>
  </si>
  <si>
    <t>Id1699</t>
  </si>
  <si>
    <t>Syring, Mr.  Brian</t>
  </si>
  <si>
    <t>Id1700</t>
  </si>
  <si>
    <t>Strike, Ms.  Stacey L.</t>
  </si>
  <si>
    <t>Id1701</t>
  </si>
  <si>
    <t>Hennigar, Mr.  Stephen</t>
  </si>
  <si>
    <t>Id1702</t>
  </si>
  <si>
    <t>May, Mr.  Joshua</t>
  </si>
  <si>
    <t>Id1703</t>
  </si>
  <si>
    <t>Metcalf, Mr.  Josh</t>
  </si>
  <si>
    <t>Id1704</t>
  </si>
  <si>
    <t>Tiska, Ms.  Heather</t>
  </si>
  <si>
    <t>Id1705</t>
  </si>
  <si>
    <t>McDonough, Mr.  James C.</t>
  </si>
  <si>
    <t>Id1706</t>
  </si>
  <si>
    <t>Fairley, Ms.  Kim</t>
  </si>
  <si>
    <t>Id1707</t>
  </si>
  <si>
    <t>Barnett, Ms.  Marie E.</t>
  </si>
  <si>
    <t>Id1708</t>
  </si>
  <si>
    <t>Piasta, Mr.  Dariusz</t>
  </si>
  <si>
    <t>Id1709</t>
  </si>
  <si>
    <t>Mueller, Ms.  Jessica E.</t>
  </si>
  <si>
    <t>Id1710</t>
  </si>
  <si>
    <t>Olsen, Ms.  Kristen</t>
  </si>
  <si>
    <t>Id1711</t>
  </si>
  <si>
    <t>De Jesus, Mr.  Jose Guadalupe P. Sr.</t>
  </si>
  <si>
    <t>Id1712</t>
  </si>
  <si>
    <t>Bartus, Ms.  Cynthia</t>
  </si>
  <si>
    <t>Id1713</t>
  </si>
  <si>
    <t>Stevens, Mr.  Tyler</t>
  </si>
  <si>
    <t>Id1714</t>
  </si>
  <si>
    <t>Rich, Ms.  Holly J</t>
  </si>
  <si>
    <t>Id1715</t>
  </si>
  <si>
    <t>Fayter, Ms.  Kristen</t>
  </si>
  <si>
    <t>Id1716</t>
  </si>
  <si>
    <t>Parise, Mr.  Thomas</t>
  </si>
  <si>
    <t>Id1717</t>
  </si>
  <si>
    <t>Andrew, Ms.  Tricity M</t>
  </si>
  <si>
    <t>Id1718</t>
  </si>
  <si>
    <t>Gryniewicz, Ms.  Sarah A</t>
  </si>
  <si>
    <t>Id1719</t>
  </si>
  <si>
    <t>Panora, Ms.  Lisa M.</t>
  </si>
  <si>
    <t>Id1720</t>
  </si>
  <si>
    <t>Woodward, Ms.  Tracy A.</t>
  </si>
  <si>
    <t>Id1721</t>
  </si>
  <si>
    <t>Lambe, Mr.  Patrick</t>
  </si>
  <si>
    <t>Id1722</t>
  </si>
  <si>
    <t>Casto, Mr.  Trent</t>
  </si>
  <si>
    <t>Id1723</t>
  </si>
  <si>
    <t>Martelli, Ms.  Julie</t>
  </si>
  <si>
    <t>Id1724</t>
  </si>
  <si>
    <t>Naskret, Mr.  Sawomir</t>
  </si>
  <si>
    <t>Id1725</t>
  </si>
  <si>
    <t>Morgan, Ms.  Micah</t>
  </si>
  <si>
    <t>Id1726</t>
  </si>
  <si>
    <t>Maloney, Ms.  Kelly H.</t>
  </si>
  <si>
    <t>Id1727</t>
  </si>
  <si>
    <t>Amherst, Ms.  Lindsay M.</t>
  </si>
  <si>
    <t>Id1728</t>
  </si>
  <si>
    <t>Davenport, Mr.  Austen G</t>
  </si>
  <si>
    <t>Id1729</t>
  </si>
  <si>
    <t>Johansen, Mr.  Tory J.</t>
  </si>
  <si>
    <t>Id1730</t>
  </si>
  <si>
    <t>Bond, Mr.  Robert J.</t>
  </si>
  <si>
    <t>Id1731</t>
  </si>
  <si>
    <t>Reilly, Ms.  Steph</t>
  </si>
  <si>
    <t>Id1732</t>
  </si>
  <si>
    <t>Chandler, Ms.  Kate</t>
  </si>
  <si>
    <t>Id1733</t>
  </si>
  <si>
    <t>Kaufmann, Ms.  Kristina</t>
  </si>
  <si>
    <t>Id1734</t>
  </si>
  <si>
    <t>Barnes-Zurkinden, Ms.  Flo</t>
  </si>
  <si>
    <t>Id1735</t>
  </si>
  <si>
    <t>Wolter, Mrs.  Sarah P.</t>
  </si>
  <si>
    <t>Id1736</t>
  </si>
  <si>
    <t>Pearson, Ms.  Anabel</t>
  </si>
  <si>
    <t>Id1737</t>
  </si>
  <si>
    <t>Thomas, Mr.  Ian</t>
  </si>
  <si>
    <t>Id1738</t>
  </si>
  <si>
    <t>Leon, Mr.  Alex</t>
  </si>
  <si>
    <t>Id1739</t>
  </si>
  <si>
    <t>Marriott, Mr.  Richard J</t>
  </si>
  <si>
    <t>Id1740</t>
  </si>
  <si>
    <t>Wilkins, Ms.  Jacqueline N.</t>
  </si>
  <si>
    <t>Id1741</t>
  </si>
  <si>
    <t>Saiter, Ms.  Cindy</t>
  </si>
  <si>
    <t>Id1742</t>
  </si>
  <si>
    <t>Winrow, Ms.  Marcia</t>
  </si>
  <si>
    <t>Id1743</t>
  </si>
  <si>
    <t>Gries, Ms.  Samantha R.</t>
  </si>
  <si>
    <t>Id1744</t>
  </si>
  <si>
    <t>Strohschein, Ms.  Katie</t>
  </si>
  <si>
    <t>Id1745</t>
  </si>
  <si>
    <t>Berger, Mr.  John P</t>
  </si>
  <si>
    <t>Id1746</t>
  </si>
  <si>
    <t>Coogan, Ms.  Rachel</t>
  </si>
  <si>
    <t>Id1747</t>
  </si>
  <si>
    <t>Gagnon, Ms.  Isabelle</t>
  </si>
  <si>
    <t>Id1748</t>
  </si>
  <si>
    <t>Pearson, Mr.  Neil</t>
  </si>
  <si>
    <t>Id1749</t>
  </si>
  <si>
    <t>Brian, Mr.  Tom</t>
  </si>
  <si>
    <t>Id1750</t>
  </si>
  <si>
    <t>Brown, Mr.  Nathan</t>
  </si>
  <si>
    <t>Id1751</t>
  </si>
  <si>
    <t>Fox, Mrs.  Kelli N</t>
  </si>
  <si>
    <t>Id1752</t>
  </si>
  <si>
    <t>Traver, Mr.  Scott M.</t>
  </si>
  <si>
    <t>Id1753</t>
  </si>
  <si>
    <t>Quick, Mr.  Grant A</t>
  </si>
  <si>
    <t>Id1754</t>
  </si>
  <si>
    <t>Scott, Mr.  Jonathan C</t>
  </si>
  <si>
    <t>Id1755</t>
  </si>
  <si>
    <t>Theriot, Ms.  Rachael M.</t>
  </si>
  <si>
    <t>Id1756</t>
  </si>
  <si>
    <t>Michalis, Ms.  Pilar</t>
  </si>
  <si>
    <t>Id1757</t>
  </si>
  <si>
    <t>Hall, Mr.  Kyle M</t>
  </si>
  <si>
    <t>Id1758</t>
  </si>
  <si>
    <t>Tjong Clemons, Mrs.  Christie</t>
  </si>
  <si>
    <t>Id1759</t>
  </si>
  <si>
    <t>Palma, Mr.  David A.</t>
  </si>
  <si>
    <t>Id1760</t>
  </si>
  <si>
    <t>Takaoka, Mr.  Masahiro</t>
  </si>
  <si>
    <t>Id1761</t>
  </si>
  <si>
    <t>Sherman, Mr.  Logan B.</t>
  </si>
  <si>
    <t>Id1762</t>
  </si>
  <si>
    <t>Andre, Ms.  Stephanie L.</t>
  </si>
  <si>
    <t>Id1763</t>
  </si>
  <si>
    <t>Switt, Ms.  Angela H</t>
  </si>
  <si>
    <t>Id1764</t>
  </si>
  <si>
    <t>Erickson, Ms.  Britt K</t>
  </si>
  <si>
    <t>Id1765</t>
  </si>
  <si>
    <t>Miller, Ms.  Joyce R.</t>
  </si>
  <si>
    <t>Id1766</t>
  </si>
  <si>
    <t>Whitbeck, Mr.  Ben</t>
  </si>
  <si>
    <t>Id1767</t>
  </si>
  <si>
    <t>Auer, Ms.  Sarah M.</t>
  </si>
  <si>
    <t>Id1768</t>
  </si>
  <si>
    <t>Attar, Ms.  Sarah</t>
  </si>
  <si>
    <t>Id1769</t>
  </si>
  <si>
    <t>Misuraca, Ms.  Katie</t>
  </si>
  <si>
    <t>Id1770</t>
  </si>
  <si>
    <t>Spannaus, Ms.  Michaela L</t>
  </si>
  <si>
    <t>Id1771</t>
  </si>
  <si>
    <t>Tarbiat, Ms.  Shalaleh</t>
  </si>
  <si>
    <t>Id1772</t>
  </si>
  <si>
    <t>Pulkkinen, Ms.  Karen</t>
  </si>
  <si>
    <t>Id1773</t>
  </si>
  <si>
    <t>Trnovcova, Ms.  Zuzana</t>
  </si>
  <si>
    <t>Id1774</t>
  </si>
  <si>
    <t>Anthony, Mr.  Daniel J.</t>
  </si>
  <si>
    <t>Id1775</t>
  </si>
  <si>
    <t>Hetrick, Ms.  Alexandra</t>
  </si>
  <si>
    <t>Id1776</t>
  </si>
  <si>
    <t>Stern, Ms.  Jessica</t>
  </si>
  <si>
    <t>Id1777</t>
  </si>
  <si>
    <t>Newman, Mr.  Matthew M</t>
  </si>
  <si>
    <t>Id1778</t>
  </si>
  <si>
    <t>Reasoner, Ms.  Nadine A.</t>
  </si>
  <si>
    <t>Id1779</t>
  </si>
  <si>
    <t>Mone, Mr.  Peter J. Jr.</t>
  </si>
  <si>
    <t>Id1780</t>
  </si>
  <si>
    <t>Powers, Ms.  Colleen M</t>
  </si>
  <si>
    <t>Id1781</t>
  </si>
  <si>
    <t>Ulery, Ms.  Julie A.</t>
  </si>
  <si>
    <t>Id1782</t>
  </si>
  <si>
    <t>Haines, Mr.  Douglas W</t>
  </si>
  <si>
    <t>Id1783</t>
  </si>
  <si>
    <t>Airoldi, Ms.  Catherine</t>
  </si>
  <si>
    <t>Id1784</t>
  </si>
  <si>
    <t>Mattis, Mr.  James A</t>
  </si>
  <si>
    <t>Id1785</t>
  </si>
  <si>
    <t>Cho, Mr.  Youngseong</t>
  </si>
  <si>
    <t>Id1786</t>
  </si>
  <si>
    <t>Reumann, Mr.  John</t>
  </si>
  <si>
    <t>Id1787</t>
  </si>
  <si>
    <t>Cooper, Mr.  Brandon S.</t>
  </si>
  <si>
    <t>Id1788</t>
  </si>
  <si>
    <t>Kennedy, Mr.  Sean P</t>
  </si>
  <si>
    <t>Id1789</t>
  </si>
  <si>
    <t>Cichon, Mr.  Scott</t>
  </si>
  <si>
    <t>Id1790</t>
  </si>
  <si>
    <t>Maroevic, Mr.  Janez</t>
  </si>
  <si>
    <t>Id1791</t>
  </si>
  <si>
    <t>Martin, Mr.  John I. Jr.</t>
  </si>
  <si>
    <t>Id1792</t>
  </si>
  <si>
    <t>Schulz, Ms.  Heather</t>
  </si>
  <si>
    <t>Id1793</t>
  </si>
  <si>
    <t>Capriolo, Mr.  Michael</t>
  </si>
  <si>
    <t>Id1794</t>
  </si>
  <si>
    <t>Borleis, Ms.  Kathleen</t>
  </si>
  <si>
    <t>Id1795</t>
  </si>
  <si>
    <t>Kramer, Mr.  Ryan M</t>
  </si>
  <si>
    <t>Id1796</t>
  </si>
  <si>
    <t>Conrad, Ms.  Sara</t>
  </si>
  <si>
    <t>Id1797</t>
  </si>
  <si>
    <t>Karakoyunlu, Mr.  Deniz</t>
  </si>
  <si>
    <t>Id1798</t>
  </si>
  <si>
    <t>Desrosiers, Ms.  Shannon L.</t>
  </si>
  <si>
    <t>Id1799</t>
  </si>
  <si>
    <t>O'Mara, Ms.  Kaitlin M.</t>
  </si>
  <si>
    <t>Id1800</t>
  </si>
  <si>
    <t>Shabot Marcos, Mr.  Alfredo</t>
  </si>
  <si>
    <t>Id1801</t>
  </si>
  <si>
    <t>Comment, Ms.  Kristen</t>
  </si>
  <si>
    <t>Id1802</t>
  </si>
  <si>
    <t>Moss, Mr.  Daniel</t>
  </si>
  <si>
    <t>Id1803</t>
  </si>
  <si>
    <t>Guzman, Mr.  Jonathan</t>
  </si>
  <si>
    <t>Id1804</t>
  </si>
  <si>
    <t>Cox, Mr.  Troy</t>
  </si>
  <si>
    <t>Id1805</t>
  </si>
  <si>
    <t>Clash, Mr.  Daniel C</t>
  </si>
  <si>
    <t>Id1806</t>
  </si>
  <si>
    <t>Blankenship, Ms.  Lauren</t>
  </si>
  <si>
    <t>Id1807</t>
  </si>
  <si>
    <t>Lloyd, Ms.  Jennefer</t>
  </si>
  <si>
    <t>Id1808</t>
  </si>
  <si>
    <t>Kong, Ms.  Tracey L.</t>
  </si>
  <si>
    <t>Id1809</t>
  </si>
  <si>
    <t>Benson, Ms.  Ashley</t>
  </si>
  <si>
    <t>Id1810</t>
  </si>
  <si>
    <t>Huntington, Ms.  Cindy</t>
  </si>
  <si>
    <t>Id1811</t>
  </si>
  <si>
    <t>Kendall, Ms.  Esther</t>
  </si>
  <si>
    <t>Id1812</t>
  </si>
  <si>
    <t>Gast, Ms.  Jackie</t>
  </si>
  <si>
    <t>Id1813</t>
  </si>
  <si>
    <t>Scanlin, Mr.  Timothy P.</t>
  </si>
  <si>
    <t>Id1814</t>
  </si>
  <si>
    <t>Philbrook, Ms.  Lauren</t>
  </si>
  <si>
    <t>Id1815</t>
  </si>
  <si>
    <t>Cowan, Mr.  Benjamin</t>
  </si>
  <si>
    <t>Id1816</t>
  </si>
  <si>
    <t>Sousa, Mr.  Hugo M</t>
  </si>
  <si>
    <t>Id1817</t>
  </si>
  <si>
    <t>Stanton, Mr.  Daniel J. Jr.</t>
  </si>
  <si>
    <t>Id1818</t>
  </si>
  <si>
    <t>Mollak, Mr.  Justin R</t>
  </si>
  <si>
    <t>Id1819</t>
  </si>
  <si>
    <t>Bell, Mr.  Colin</t>
  </si>
  <si>
    <t>Id1820</t>
  </si>
  <si>
    <t>Weston, Mr.  Rob</t>
  </si>
  <si>
    <t>Id1821</t>
  </si>
  <si>
    <t>Rabuzzi, Mr.  Patrick</t>
  </si>
  <si>
    <t>Id1822</t>
  </si>
  <si>
    <t>Hendrix, Mr.  Austin D</t>
  </si>
  <si>
    <t>Id1823</t>
  </si>
  <si>
    <t>Van Nielen, Ms.  Brittany</t>
  </si>
  <si>
    <t>Id1824</t>
  </si>
  <si>
    <t>Blanton, Mr.  Matthew T</t>
  </si>
  <si>
    <t>Id1825</t>
  </si>
  <si>
    <t>Schout, Ms.  Becky G.</t>
  </si>
  <si>
    <t>Id1826</t>
  </si>
  <si>
    <t>Schmaltz, Ms.  Virginie</t>
  </si>
  <si>
    <t>Id1827</t>
  </si>
  <si>
    <t>Eagen, Ms.  Allison A</t>
  </si>
  <si>
    <t>Id1828</t>
  </si>
  <si>
    <t>Rotramel, Ms.  Julie</t>
  </si>
  <si>
    <t>Id1829</t>
  </si>
  <si>
    <t>Prevost, Ms.  Katherine</t>
  </si>
  <si>
    <t>Id1830</t>
  </si>
  <si>
    <t>Boyd, Mr.  Caleb</t>
  </si>
  <si>
    <t>Id1831</t>
  </si>
  <si>
    <t>Dawes, Ms.  Jaime</t>
  </si>
  <si>
    <t>Id1832</t>
  </si>
  <si>
    <t>Jennings, Ms.  Hannah</t>
  </si>
  <si>
    <t>Id1833</t>
  </si>
  <si>
    <t>Nyambaso, Mr.  Zachariah</t>
  </si>
  <si>
    <t>Id1834</t>
  </si>
  <si>
    <t>Shaffer, Ms.  Patricia A</t>
  </si>
  <si>
    <t>Id1835</t>
  </si>
  <si>
    <t>Corkum, Mrs.  Elizabeth A.</t>
  </si>
  <si>
    <t>Id1836</t>
  </si>
  <si>
    <t>Pedersen, Mr.  Benjamin</t>
  </si>
  <si>
    <t>Id1837</t>
  </si>
  <si>
    <t>Melo, Mr.  Breno</t>
  </si>
  <si>
    <t>Id1838</t>
  </si>
  <si>
    <t>Sakamoto, Mr.  Takaya</t>
  </si>
  <si>
    <t>Id1839</t>
  </si>
  <si>
    <t>McMahon, Mr.  Thomas IV</t>
  </si>
  <si>
    <t>Id1840</t>
  </si>
  <si>
    <t>Harris, Mr.  Bradley E</t>
  </si>
  <si>
    <t>Id1841</t>
  </si>
  <si>
    <t>Lombardo, Ms.  Megan</t>
  </si>
  <si>
    <t>Id1842</t>
  </si>
  <si>
    <t>Bode, Ms.  Ruby J</t>
  </si>
  <si>
    <t>Id1843</t>
  </si>
  <si>
    <t>Johnson, Mr.  Bart</t>
  </si>
  <si>
    <t>Id1844</t>
  </si>
  <si>
    <t>Norcross, Mr.  Robert A.</t>
  </si>
  <si>
    <t>Id1845</t>
  </si>
  <si>
    <t>Lazrus, Mr.  Adam</t>
  </si>
  <si>
    <t>Id1846</t>
  </si>
  <si>
    <t>Tsegay, Mr.  Yemane Adhane</t>
  </si>
  <si>
    <t>Id1847</t>
  </si>
  <si>
    <t>Schneider, Mr.  Jesse A.</t>
  </si>
  <si>
    <t>Id1848</t>
  </si>
  <si>
    <t>Loreto, Mr.  Bird</t>
  </si>
  <si>
    <t>Id1849</t>
  </si>
  <si>
    <t>Callahan, Mr.  Patrick M.</t>
  </si>
  <si>
    <t>Id1850</t>
  </si>
  <si>
    <t>Timko, Mr.  Kyle</t>
  </si>
  <si>
    <t>Id1851</t>
  </si>
  <si>
    <t>Achatz, Mr.  Ryan</t>
  </si>
  <si>
    <t>Id1852</t>
  </si>
  <si>
    <t>Horwitz, Mr.  Yuri</t>
  </si>
  <si>
    <t>Id1853</t>
  </si>
  <si>
    <t>Gordyan, Mr.  Ryan</t>
  </si>
  <si>
    <t>Id1854</t>
  </si>
  <si>
    <t>Hetherington, Ms.  Debbie</t>
  </si>
  <si>
    <t>Id1855</t>
  </si>
  <si>
    <t>Thompson, Mr.  Mark D</t>
  </si>
  <si>
    <t>Id1856</t>
  </si>
  <si>
    <t>Battoo, Mr.  Christopher</t>
  </si>
  <si>
    <t>Id1857</t>
  </si>
  <si>
    <t>Barker, Ms.  Daniell L</t>
  </si>
  <si>
    <t>Id1858</t>
  </si>
  <si>
    <t>Saarnilehto, Mr.  Janne</t>
  </si>
  <si>
    <t>Id1859</t>
  </si>
  <si>
    <t>Morton, Ms.  Martina</t>
  </si>
  <si>
    <t>Id1860</t>
  </si>
  <si>
    <t>Thomas, Ms.  Elizabeth L</t>
  </si>
  <si>
    <t>Id1861</t>
  </si>
  <si>
    <t>Hillman, Ms.  Stephanie C.</t>
  </si>
  <si>
    <t>Id1862</t>
  </si>
  <si>
    <t>Edwards, Ms.  Katie</t>
  </si>
  <si>
    <t>Id1863</t>
  </si>
  <si>
    <t>Bartel, Ms.  Callie</t>
  </si>
  <si>
    <t>Id1864</t>
  </si>
  <si>
    <t>Potekhina, Ms.  Inna</t>
  </si>
  <si>
    <t>Id1865</t>
  </si>
  <si>
    <t>Kelly, Ms.  Mary K.</t>
  </si>
  <si>
    <t>Id1866</t>
  </si>
  <si>
    <t>Lapp, Mr.  Samuel M.</t>
  </si>
  <si>
    <t>Id1867</t>
  </si>
  <si>
    <t>Burke, Ms.  Kimberly</t>
  </si>
  <si>
    <t>Id1868</t>
  </si>
  <si>
    <t>Barry, Mr.  Tom J.</t>
  </si>
  <si>
    <t>Id1869</t>
  </si>
  <si>
    <t>McCormick, Mr.  Zachary</t>
  </si>
  <si>
    <t>Id1870</t>
  </si>
  <si>
    <t>McElroy, Mr.  Dane</t>
  </si>
  <si>
    <t>Id1871</t>
  </si>
  <si>
    <t>Coffed, Mr.  Dougie J</t>
  </si>
  <si>
    <t>Id1872</t>
  </si>
  <si>
    <t>Estes, Mr.  Jeremiah H</t>
  </si>
  <si>
    <t>Id1873</t>
  </si>
  <si>
    <t>Miles, Mr.  Ashley J.</t>
  </si>
  <si>
    <t>Id1874</t>
  </si>
  <si>
    <t>Zamore, Mr.  Turner J.</t>
  </si>
  <si>
    <t>Id1875</t>
  </si>
  <si>
    <t>Donaghy, Mr.  Roger</t>
  </si>
  <si>
    <t>Id1876</t>
  </si>
  <si>
    <t>Kennedy, Ms.  Pamela</t>
  </si>
  <si>
    <t>Id1877</t>
  </si>
  <si>
    <t>Fiorini, Ms.  Allison M.</t>
  </si>
  <si>
    <t>Id1878</t>
  </si>
  <si>
    <t>Alexander, Mrs.  Katherine H.</t>
  </si>
  <si>
    <t>Id1879</t>
  </si>
  <si>
    <t>Watkins, Ms.  Robin</t>
  </si>
  <si>
    <t>Id1880</t>
  </si>
  <si>
    <t>Cassel, Ms.  Terri</t>
  </si>
  <si>
    <t>Id1881</t>
  </si>
  <si>
    <t>Ferguson, Mr.  Eddie</t>
  </si>
  <si>
    <t>Id1882</t>
  </si>
  <si>
    <t>O'Sullivan, Ms.  Pamela</t>
  </si>
  <si>
    <t>Id1883</t>
  </si>
  <si>
    <t>Chepkirui, Ms.  Joyce</t>
  </si>
  <si>
    <t>Id1884</t>
  </si>
  <si>
    <t>Gurney, Ms.  Alison W.</t>
  </si>
  <si>
    <t>Id1885</t>
  </si>
  <si>
    <t>Francis, Ms.  Tammara C</t>
  </si>
  <si>
    <t>Id1886</t>
  </si>
  <si>
    <t>Gruca, Ms.  Dorota</t>
  </si>
  <si>
    <t>Id1887</t>
  </si>
  <si>
    <t>Rojas Alvarez, Mr.  Jose Norberto Sr.</t>
  </si>
  <si>
    <t>Id1888</t>
  </si>
  <si>
    <t>Denton, Mr.  Peter</t>
  </si>
  <si>
    <t>Id1889</t>
  </si>
  <si>
    <t>Mason, Mr.  Bryant</t>
  </si>
  <si>
    <t>Id1890</t>
  </si>
  <si>
    <t>Trout, Ms.  Christina</t>
  </si>
  <si>
    <t>Id1891</t>
  </si>
  <si>
    <t>Gilbert, Mr.  John</t>
  </si>
  <si>
    <t>Id1892</t>
  </si>
  <si>
    <t>Chong, Mr.  Eduardo</t>
  </si>
  <si>
    <t>Id1893</t>
  </si>
  <si>
    <t>Henry, Ms.  Laura M.</t>
  </si>
  <si>
    <t>Id1894</t>
  </si>
  <si>
    <t>Brenneman, Mr.  Charlie</t>
  </si>
  <si>
    <t>Id1895</t>
  </si>
  <si>
    <t>Kemp, Ms.  Melissa D.</t>
  </si>
  <si>
    <t>Id1896</t>
  </si>
  <si>
    <t>Wilson, Mr.  Dan C. Jr.</t>
  </si>
  <si>
    <t>Id1897</t>
  </si>
  <si>
    <t>Hillyard, Mr.  Matthew</t>
  </si>
  <si>
    <t>Id1898</t>
  </si>
  <si>
    <t>Turner, Mr.  Wesley C.</t>
  </si>
  <si>
    <t>Id1899</t>
  </si>
  <si>
    <t>Benestad, Mr.  Christopher</t>
  </si>
  <si>
    <t>Id1900</t>
  </si>
  <si>
    <t>Gonzales, Ms.  Jessica</t>
  </si>
  <si>
    <t>Id1901</t>
  </si>
  <si>
    <t>Newman, Ms.  Christin</t>
  </si>
  <si>
    <t>Id1902</t>
  </si>
  <si>
    <t>Sayre, Ms.  Sara</t>
  </si>
  <si>
    <t>Id1903</t>
  </si>
  <si>
    <t>Panke, Ms.  Elizabeth</t>
  </si>
  <si>
    <t>Id1904</t>
  </si>
  <si>
    <t>Brennan, Ms.  Margaret P.</t>
  </si>
  <si>
    <t>Id1905</t>
  </si>
  <si>
    <t>Ngo, Ms.  Tiffany K</t>
  </si>
  <si>
    <t>Id1906</t>
  </si>
  <si>
    <t>Guerdan, Mr.  David M.</t>
  </si>
  <si>
    <t>Id1907</t>
  </si>
  <si>
    <t>Shaw, Ms.  Christine E</t>
  </si>
  <si>
    <t>Id1908</t>
  </si>
  <si>
    <t>Mills-Honarvar, Ms.  Donna</t>
  </si>
  <si>
    <t>Id1909</t>
  </si>
  <si>
    <t>Farvard, Mr.  Rod</t>
  </si>
  <si>
    <t>Id1910</t>
  </si>
  <si>
    <t>Kelly, Mr.  Joe</t>
  </si>
  <si>
    <t>Id1911</t>
  </si>
  <si>
    <t>Skinner, Ms.  Kayleigh</t>
  </si>
  <si>
    <t>Id1912</t>
  </si>
  <si>
    <t>Murphy, Mr.  Lorcan A.</t>
  </si>
  <si>
    <t>Id1913</t>
  </si>
  <si>
    <t>Shue, Mr.  Billy</t>
  </si>
  <si>
    <t>Id1914</t>
  </si>
  <si>
    <t>Reilly, Mr.  Paul M.</t>
  </si>
  <si>
    <t>Id1915</t>
  </si>
  <si>
    <t>Blinn, Ms.  Brenda M.</t>
  </si>
  <si>
    <t>Id1916</t>
  </si>
  <si>
    <t>Duyn, Mr.  Jeff H</t>
  </si>
  <si>
    <t>Id1917</t>
  </si>
  <si>
    <t>Wardian, Mr.  Michael</t>
  </si>
  <si>
    <t>Id1918</t>
  </si>
  <si>
    <t>Heuninck, Mr.  Jan</t>
  </si>
  <si>
    <t>Id1919</t>
  </si>
  <si>
    <t>Kipyego, Mr.  Bernard</t>
  </si>
  <si>
    <t>Id1920</t>
  </si>
  <si>
    <t>Kuehl, Mr.  Craig</t>
  </si>
  <si>
    <t>Id1921</t>
  </si>
  <si>
    <t>Burkholder, Mrs.  Bryn</t>
  </si>
  <si>
    <t>Id1922</t>
  </si>
  <si>
    <t>Stadolnik, Mr.  Michael</t>
  </si>
  <si>
    <t>Id1923</t>
  </si>
  <si>
    <t>Shields, Mr.  Benjamin</t>
  </si>
  <si>
    <t>Id1924</t>
  </si>
  <si>
    <t>Margolis, Mr.  Jay</t>
  </si>
  <si>
    <t>Id1925</t>
  </si>
  <si>
    <t>Uffenbeck, Mr.  William</t>
  </si>
  <si>
    <t>Id1926</t>
  </si>
  <si>
    <t>Brake, Ms.  Shelley</t>
  </si>
  <si>
    <t>Id1927</t>
  </si>
  <si>
    <t>Stepanova, Ms.  Jekaterina</t>
  </si>
  <si>
    <t>Id1928</t>
  </si>
  <si>
    <t>Verdi, Mr.  Daniel</t>
  </si>
  <si>
    <t>Id1929</t>
  </si>
  <si>
    <t>McLean, Ms.  Pauline</t>
  </si>
  <si>
    <t>Id1930</t>
  </si>
  <si>
    <t>Ryan, Ms.  Colleen</t>
  </si>
  <si>
    <t>Id1931</t>
  </si>
  <si>
    <t>Mickelson, Ms.  Aleah K</t>
  </si>
  <si>
    <t>Id1932</t>
  </si>
  <si>
    <t>Dibaba, Ms.  Mare</t>
  </si>
  <si>
    <t>Id1933</t>
  </si>
  <si>
    <t>Shilling, Mr.  Kevin</t>
  </si>
  <si>
    <t>Id1934</t>
  </si>
  <si>
    <t>Bashaw, Ms.  Jessica</t>
  </si>
  <si>
    <t>Id1935</t>
  </si>
  <si>
    <t>Jacob, Ms.  Amanda R</t>
  </si>
  <si>
    <t>Id1936</t>
  </si>
  <si>
    <t>McCutcheon, Mr.  Murray W.</t>
  </si>
  <si>
    <t>Id1937</t>
  </si>
  <si>
    <t>Connor, Mrs.  Meghan P.</t>
  </si>
  <si>
    <t>Id1938</t>
  </si>
  <si>
    <t>May, Mr.  David</t>
  </si>
  <si>
    <t>Id1939</t>
  </si>
  <si>
    <t>Geoghegan, Mr.  Seth</t>
  </si>
  <si>
    <t>Id1940</t>
  </si>
  <si>
    <t>McGinn, Mr.  Michael P.</t>
  </si>
  <si>
    <t>Id1941</t>
  </si>
  <si>
    <t>Jones, Mr.  Russell M</t>
  </si>
  <si>
    <t>Id1942</t>
  </si>
  <si>
    <t>Quinteros, Mr.  Martin</t>
  </si>
  <si>
    <t>Id1943</t>
  </si>
  <si>
    <t>Loenser, Mr.  Michael</t>
  </si>
  <si>
    <t>Id1944</t>
  </si>
  <si>
    <t>Aitken, Mr.  Miles</t>
  </si>
  <si>
    <t>Id1945</t>
  </si>
  <si>
    <t>Furrer, Ms.  Amanda</t>
  </si>
  <si>
    <t>Id1946</t>
  </si>
  <si>
    <t>Konigs, Mr.  Roger</t>
  </si>
  <si>
    <t>Id1947</t>
  </si>
  <si>
    <t>Tesdahl, Mr.  Brock J</t>
  </si>
  <si>
    <t>Id1948</t>
  </si>
  <si>
    <t>Engel, Mr.  Stephen F.</t>
  </si>
  <si>
    <t>Id1949</t>
  </si>
  <si>
    <t>Kuck, Ms.  Missy</t>
  </si>
  <si>
    <t>Id1950</t>
  </si>
  <si>
    <t>Dillon, Mr.  William</t>
  </si>
  <si>
    <t>Id1951</t>
  </si>
  <si>
    <t>Neuschel, Ms.  Lauren M</t>
  </si>
  <si>
    <t>Id1952</t>
  </si>
  <si>
    <t>Rosales Ramirez, Mr.  Apolo U.</t>
  </si>
  <si>
    <t>Id1953</t>
  </si>
  <si>
    <t>Marquez, Mr.  Alfons</t>
  </si>
  <si>
    <t>Id1954</t>
  </si>
  <si>
    <t>Green, Ms.  Amber</t>
  </si>
  <si>
    <t>Id1955</t>
  </si>
  <si>
    <t>Schubel, Ms.  Leah C.</t>
  </si>
  <si>
    <t>Id1956</t>
  </si>
  <si>
    <t>Jimenez, Ms.  Lilia</t>
  </si>
  <si>
    <t>Id1957</t>
  </si>
  <si>
    <t>Zimny-Schmitt, Mr.  Danny</t>
  </si>
  <si>
    <t>Id1958</t>
  </si>
  <si>
    <t>Hill, Ms.  Lauren</t>
  </si>
  <si>
    <t>Id1959</t>
  </si>
  <si>
    <t>Brohart, Ms.  Courtney</t>
  </si>
  <si>
    <t>Id1960</t>
  </si>
  <si>
    <t>Ryan, Ms.  Elizabeth</t>
  </si>
  <si>
    <t>Id1961</t>
  </si>
  <si>
    <t>Oka, Ms.  Satomi</t>
  </si>
  <si>
    <t>Id1962</t>
  </si>
  <si>
    <t>Newman, Mr.  Matthew D</t>
  </si>
  <si>
    <t>Id1963</t>
  </si>
  <si>
    <t>Metzger, Mr.  Peter T II</t>
  </si>
  <si>
    <t>Id1964</t>
  </si>
  <si>
    <t>Gonzalez, Mr.  Manuel</t>
  </si>
  <si>
    <t>Id1965</t>
  </si>
  <si>
    <t>Vaughn, Ms.  Kindsey P.</t>
  </si>
  <si>
    <t>Id1966</t>
  </si>
  <si>
    <t>Clifford, Mr.  Thomas G.</t>
  </si>
  <si>
    <t>Id1967</t>
  </si>
  <si>
    <t>Petty, Mr.  Kyle S</t>
  </si>
  <si>
    <t>Id1968</t>
  </si>
  <si>
    <t>Sanford, Mr.  Alexander J.</t>
  </si>
  <si>
    <t>Id1969</t>
  </si>
  <si>
    <t>Sprague, Mr.  Dustin L</t>
  </si>
  <si>
    <t>Id1970</t>
  </si>
  <si>
    <t>Lasseron, Mrs.  Chloe</t>
  </si>
  <si>
    <t>Id1971</t>
  </si>
  <si>
    <t>Bushong, Ms.  Cailtlin</t>
  </si>
  <si>
    <t>Id1972</t>
  </si>
  <si>
    <t>Dennison, Mr.  Joshua</t>
  </si>
  <si>
    <t>Id1973</t>
  </si>
  <si>
    <t>Lira, Mr.  Chuy</t>
  </si>
  <si>
    <t>Id1974</t>
  </si>
  <si>
    <t>Nahigian, Ms.  Laurie B</t>
  </si>
  <si>
    <t>Id1975</t>
  </si>
  <si>
    <t>Cackett, Ms.  Rachel B.</t>
  </si>
  <si>
    <t>Id1976</t>
  </si>
  <si>
    <t>Hunter-Galvan, Ms.  Liza</t>
  </si>
  <si>
    <t>Id1977</t>
  </si>
  <si>
    <t>Pierret, Ms.  Lindsey</t>
  </si>
  <si>
    <t>Id1978</t>
  </si>
  <si>
    <t>White, Ms.  Lindsay E.</t>
  </si>
  <si>
    <t>Id1979</t>
  </si>
  <si>
    <t>O'Neil, Ms.  Kathleen M.</t>
  </si>
  <si>
    <t>Id1980</t>
  </si>
  <si>
    <t>Leitz, Ms.  Aya</t>
  </si>
  <si>
    <t>Id1981</t>
  </si>
  <si>
    <t>Durfee, Ms.  Carolyn R</t>
  </si>
  <si>
    <t>Id1982</t>
  </si>
  <si>
    <t>Maylone, Ms.  Bethany</t>
  </si>
  <si>
    <t>Id1983</t>
  </si>
  <si>
    <t>Reiland, Ms.  Holly A</t>
  </si>
  <si>
    <t>Id1984</t>
  </si>
  <si>
    <t>Hu, Mr.  Ping</t>
  </si>
  <si>
    <t>Id1985</t>
  </si>
  <si>
    <t>Lessek, Mr.  Tim</t>
  </si>
  <si>
    <t>Id1986</t>
  </si>
  <si>
    <t>Colavincenzo, Mr.  John</t>
  </si>
  <si>
    <t>Id1987</t>
  </si>
  <si>
    <t>Mendez-Karr, Mrs.  Cynthia</t>
  </si>
  <si>
    <t>Id1988</t>
  </si>
  <si>
    <t>Saulnier, Mr.  Emmett</t>
  </si>
  <si>
    <t>Id1989</t>
  </si>
  <si>
    <t>Schoonover, Ms.  Kate</t>
  </si>
  <si>
    <t>Id1990</t>
  </si>
  <si>
    <t>Hass, Mr.  Christopher L.</t>
  </si>
  <si>
    <t>Id1991</t>
  </si>
  <si>
    <t>Cadotte, Mr.  Christopher P.</t>
  </si>
  <si>
    <t>Id1992</t>
  </si>
  <si>
    <t>Cacciapaglia, Mr.  Christopher W</t>
  </si>
  <si>
    <t>Id1993</t>
  </si>
  <si>
    <t>Mininger, Mr.  Norman H.</t>
  </si>
  <si>
    <t>Id1994</t>
  </si>
  <si>
    <t>Mayo, Ms.  Susan</t>
  </si>
  <si>
    <t>Id1995</t>
  </si>
  <si>
    <t>Zicko, Ms.  Tatyana K</t>
  </si>
  <si>
    <t>Id1996</t>
  </si>
  <si>
    <t>Graham, Ms.  Chrissy</t>
  </si>
  <si>
    <t>Id1997</t>
  </si>
  <si>
    <t>Boland, Ms.  Carrie</t>
  </si>
  <si>
    <t>Id1998</t>
  </si>
  <si>
    <t>Cupp, Ms.  Halle</t>
  </si>
  <si>
    <t>Id1999</t>
  </si>
  <si>
    <t>Shaw, Ms.  Carolyn</t>
  </si>
  <si>
    <t>Id2000</t>
  </si>
  <si>
    <t>Klassen, Ms.  Tara D.</t>
  </si>
  <si>
    <t>Id2001</t>
  </si>
  <si>
    <t>Musal, Mr.  Rasim M</t>
  </si>
  <si>
    <t>Id2002</t>
  </si>
  <si>
    <t>Kitayama, Ms.  Dina</t>
  </si>
  <si>
    <t>Id2003</t>
  </si>
  <si>
    <t>Altman, Ms.  Lisa</t>
  </si>
  <si>
    <t>Id2004</t>
  </si>
  <si>
    <t>Demchko, Ms.  Caitrin</t>
  </si>
  <si>
    <t>Id2005</t>
  </si>
  <si>
    <t>Wild, Ms.  Adriana S</t>
  </si>
  <si>
    <t>Id2006</t>
  </si>
  <si>
    <t>Betts, Ms.  Megan</t>
  </si>
  <si>
    <t>Id2007</t>
  </si>
  <si>
    <t>Martin, Mrs.  Kristen M</t>
  </si>
  <si>
    <t>Id2008</t>
  </si>
  <si>
    <t>Vandeventer, Ms.  Alix</t>
  </si>
  <si>
    <t>Id2009</t>
  </si>
  <si>
    <t>Hirano, Mr.  Kakushin</t>
  </si>
  <si>
    <t>Id2010</t>
  </si>
  <si>
    <t>Davi, Mr.  Michael J</t>
  </si>
  <si>
    <t>Id2011</t>
  </si>
  <si>
    <t>Sloan, Mr.  Bradley</t>
  </si>
  <si>
    <t>Id2012</t>
  </si>
  <si>
    <t>Homich, Mr.  Matt</t>
  </si>
  <si>
    <t>Id2013</t>
  </si>
  <si>
    <t>Bell, Ms.  Amanda C.</t>
  </si>
  <si>
    <t>Id2014</t>
  </si>
  <si>
    <t>Kristjansson, Mr.  Valur</t>
  </si>
  <si>
    <t>Id2015</t>
  </si>
  <si>
    <t>Pitman, Ms.  Erica J</t>
  </si>
  <si>
    <t>Id2016</t>
  </si>
  <si>
    <t>Curley, Mr.  Stephen F.</t>
  </si>
  <si>
    <t>Id2017</t>
  </si>
  <si>
    <t>Zimmer, Ms.  Lissa</t>
  </si>
  <si>
    <t>Id2018</t>
  </si>
  <si>
    <t>Granski, Ms.  Megan</t>
  </si>
  <si>
    <t>Id2019</t>
  </si>
  <si>
    <t>Dunn, Ms.  Alyson</t>
  </si>
  <si>
    <t>Id2020</t>
  </si>
  <si>
    <t>Regina, Mr.  Chance B</t>
  </si>
  <si>
    <t>Id2021</t>
  </si>
  <si>
    <t>O'Connor, Mr.  Sean P</t>
  </si>
  <si>
    <t>Id2022</t>
  </si>
  <si>
    <t>Howe, Ms.  Therese</t>
  </si>
  <si>
    <t>Id2023</t>
  </si>
  <si>
    <t>Atwater, Mr.  Beau</t>
  </si>
  <si>
    <t>Id2024</t>
  </si>
  <si>
    <t>Gurganus, Ms.  Kelsey M</t>
  </si>
  <si>
    <t>Id2025</t>
  </si>
  <si>
    <t>Holden, Ms.  Gretchen</t>
  </si>
  <si>
    <t>Id2026</t>
  </si>
  <si>
    <t>Parton, Mr.  Nicholas E.</t>
  </si>
  <si>
    <t>Id2027</t>
  </si>
  <si>
    <t>Downs, Ms.  Deborah</t>
  </si>
  <si>
    <t>Id2028</t>
  </si>
  <si>
    <t>Dent, Mr.  Chuck W. Jr.</t>
  </si>
  <si>
    <t>Id2029</t>
  </si>
  <si>
    <t>Ranti, Mr.  Daniel</t>
  </si>
  <si>
    <t>Id2030</t>
  </si>
  <si>
    <t>Ishaq, Ms.  Amany</t>
  </si>
  <si>
    <t>Id2031</t>
  </si>
  <si>
    <t>Wiles, Ms.  Kipling</t>
  </si>
  <si>
    <t>Id2032</t>
  </si>
  <si>
    <t>Roberts, Mr.  Duncan</t>
  </si>
  <si>
    <t>Id2033</t>
  </si>
  <si>
    <t>Serafini, Mr.  Louis C.</t>
  </si>
  <si>
    <t>Id2034</t>
  </si>
  <si>
    <t>Button, Mr.  Daniel J</t>
  </si>
  <si>
    <t>Id2035</t>
  </si>
  <si>
    <t>Gaal, Ms.  Ildiko M.</t>
  </si>
  <si>
    <t>Id2036</t>
  </si>
  <si>
    <t>Liptak, Ms.  Melinda E.</t>
  </si>
  <si>
    <t>Id2037</t>
  </si>
  <si>
    <t>Kellam, Ms.  Ashley M</t>
  </si>
  <si>
    <t>Id2038</t>
  </si>
  <si>
    <t>Gordon, Ms.  Stephanie</t>
  </si>
  <si>
    <t>Id2039</t>
  </si>
  <si>
    <t>Hyland, Mr.  Sean P.</t>
  </si>
  <si>
    <t>Id2040</t>
  </si>
  <si>
    <t>Wagoner, Ms.  Emily G</t>
  </si>
  <si>
    <t>Id2041</t>
  </si>
  <si>
    <t>Thomas, Mr.  Malcolm</t>
  </si>
  <si>
    <t>Id2042</t>
  </si>
  <si>
    <t>Goffi, Mr.  Danilo</t>
  </si>
  <si>
    <t>Id2043</t>
  </si>
  <si>
    <t>Salovaara, Mr.  Mikko</t>
  </si>
  <si>
    <t>Id2044</t>
  </si>
  <si>
    <t>Reid, Ms.  Paula C.</t>
  </si>
  <si>
    <t>Id2045</t>
  </si>
  <si>
    <t>Allan, Ms.  Kirsten N.</t>
  </si>
  <si>
    <t>Id2046</t>
  </si>
  <si>
    <t>McLaughlin, Ms.  Christy</t>
  </si>
  <si>
    <t>Id2047</t>
  </si>
  <si>
    <t>Lee, Ms.  Jennifer</t>
  </si>
  <si>
    <t>Id2048</t>
  </si>
  <si>
    <t>Tang, Ms.  Jingjing</t>
  </si>
  <si>
    <t>Id2049</t>
  </si>
  <si>
    <t>Kennedy, Mr.  Morgan</t>
  </si>
  <si>
    <t>Id2050</t>
  </si>
  <si>
    <t>Condon, Mr.  Patrick J.</t>
  </si>
  <si>
    <t>Id2051</t>
  </si>
  <si>
    <t>Chepkwony, Mr.  Frankline</t>
  </si>
  <si>
    <t>Id2052</t>
  </si>
  <si>
    <t>Rodriguez, Ms.  Laura T.</t>
  </si>
  <si>
    <t>Id2053</t>
  </si>
  <si>
    <t>Szynkarczuk, Ms.  Natalia</t>
  </si>
  <si>
    <t>Id2054</t>
  </si>
  <si>
    <t>Brill, Ms.  Jennifer L.</t>
  </si>
  <si>
    <t>Id2055</t>
  </si>
  <si>
    <t>Adams, Ms.  Brooke</t>
  </si>
  <si>
    <t>Id2056</t>
  </si>
  <si>
    <t>Nunn, Mr.  Jeremy M</t>
  </si>
  <si>
    <t>Id2057</t>
  </si>
  <si>
    <t>Blair, Ms.  Megan L.</t>
  </si>
  <si>
    <t>Id2058</t>
  </si>
  <si>
    <t>Sharkey, Mr.  Bryan</t>
  </si>
  <si>
    <t>Id2059</t>
  </si>
  <si>
    <t>Scalard, Ms.  Marny</t>
  </si>
  <si>
    <t>Id2060</t>
  </si>
  <si>
    <t>Burget, Mr.  Marc</t>
  </si>
  <si>
    <t>Id2061</t>
  </si>
  <si>
    <t>English, Mr.  Benjamin L</t>
  </si>
  <si>
    <t>Id2062</t>
  </si>
  <si>
    <t>Hampton, Mr.  Rob G</t>
  </si>
  <si>
    <t>Id2063</t>
  </si>
  <si>
    <t>Flynn, Ms.  Stefanie A</t>
  </si>
  <si>
    <t>Id2064</t>
  </si>
  <si>
    <t>Knast, Ms.  Stephanie</t>
  </si>
  <si>
    <t>Id2065</t>
  </si>
  <si>
    <t>Lucas, Ms.  Caroline F.</t>
  </si>
  <si>
    <t>Id2066</t>
  </si>
  <si>
    <t>Thomas, Ms.  Julia J.</t>
  </si>
  <si>
    <t>Id2067</t>
  </si>
  <si>
    <t>Cherewatti, Mr.  Jack</t>
  </si>
  <si>
    <t>Id2068</t>
  </si>
  <si>
    <t>Olle, Mr.  Bernat</t>
  </si>
  <si>
    <t>Id2069</t>
  </si>
  <si>
    <t>Hamsi, Mr.  Hicham</t>
  </si>
  <si>
    <t>Id2070</t>
  </si>
  <si>
    <t>Finnegan, Ms.  Sarah</t>
  </si>
  <si>
    <t>Id2071</t>
  </si>
  <si>
    <t>Walsh, Mr.  Anthony S</t>
  </si>
  <si>
    <t>Id2072</t>
  </si>
  <si>
    <t>Villa, Ms.  Elisabetta</t>
  </si>
  <si>
    <t>Id2073</t>
  </si>
  <si>
    <t>Cable, Mr.  Trevor N.</t>
  </si>
  <si>
    <t>Id2074</t>
  </si>
  <si>
    <t>Eiring, Ms.  Nancy</t>
  </si>
  <si>
    <t>Id2075</t>
  </si>
  <si>
    <t>Connor, Ms.  Allison R.</t>
  </si>
  <si>
    <t>Id2076</t>
  </si>
  <si>
    <t>Friedman, Mr.  Robert J.</t>
  </si>
  <si>
    <t>Id2077</t>
  </si>
  <si>
    <t>Croker, Mr.  Nicholas</t>
  </si>
  <si>
    <t>Id2078</t>
  </si>
  <si>
    <t>Beganics, Mr.  Kevin L</t>
  </si>
  <si>
    <t>Id2079</t>
  </si>
  <si>
    <t>Huberty, Mr.  Bryan</t>
  </si>
  <si>
    <t>Id2080</t>
  </si>
  <si>
    <t>Jacobs, Ms.  Janae N.</t>
  </si>
  <si>
    <t>Id2081</t>
  </si>
  <si>
    <t>Hazlehurst, Ms.  Audrey</t>
  </si>
  <si>
    <t>Id2082</t>
  </si>
  <si>
    <t>Marin, Ms.  Laura</t>
  </si>
  <si>
    <t>Id2083</t>
  </si>
  <si>
    <t>Dear, Ms.  Nicole F</t>
  </si>
  <si>
    <t>Id2084</t>
  </si>
  <si>
    <t>Lederer, Ms.  Krista L</t>
  </si>
  <si>
    <t>Id2085</t>
  </si>
  <si>
    <t>Robson, Ms.  Denise</t>
  </si>
  <si>
    <t>Id2086</t>
  </si>
  <si>
    <t>Galvan, Mr.  Ariel</t>
  </si>
  <si>
    <t>Id2087</t>
  </si>
  <si>
    <t>Walsh, Mr.  Jeremy</t>
  </si>
  <si>
    <t>Id2088</t>
  </si>
  <si>
    <t>Teeuwen, Ms.  Rosalie</t>
  </si>
  <si>
    <t>Id2089</t>
  </si>
  <si>
    <t>List, Mr.  Jay</t>
  </si>
  <si>
    <t>Id2090</t>
  </si>
  <si>
    <t>Shafar, Mr.  Vitaliy</t>
  </si>
  <si>
    <t>Id2091</t>
  </si>
  <si>
    <t>Copenhaver, Mr.  Benjamin W.</t>
  </si>
  <si>
    <t>Id2092</t>
  </si>
  <si>
    <t>Stump, Mr.  Jesse</t>
  </si>
  <si>
    <t>Id2093</t>
  </si>
  <si>
    <t>Wehrman, Mr.  Mark</t>
  </si>
  <si>
    <t>Id2094</t>
  </si>
  <si>
    <t>Sischo, Ms.  Lauren</t>
  </si>
  <si>
    <t>Id2095</t>
  </si>
  <si>
    <t>Fonti, Mr.  Massimiliano</t>
  </si>
  <si>
    <t>Id2096</t>
  </si>
  <si>
    <t>Merlis, Mr.  Josh</t>
  </si>
  <si>
    <t>Id2097</t>
  </si>
  <si>
    <t>Hasegawa, Mr.  Kiyokatsu</t>
  </si>
  <si>
    <t>Id2098</t>
  </si>
  <si>
    <t>Haselden, Ms.  Amanda L</t>
  </si>
  <si>
    <t>Id2099</t>
  </si>
  <si>
    <t>Simonson, Mr.  Matthew</t>
  </si>
  <si>
    <t>Id2100</t>
  </si>
  <si>
    <t>Montag, Ms.  Julia M</t>
  </si>
  <si>
    <t>Id2101</t>
  </si>
  <si>
    <t>Deroian, Ms.  Rhea</t>
  </si>
  <si>
    <t>Id2102</t>
  </si>
  <si>
    <t>Goetz, Mr.  Justin</t>
  </si>
  <si>
    <t>Id2103</t>
  </si>
  <si>
    <t>Brady, Mr.  Shamus M.</t>
  </si>
  <si>
    <t>Id2104</t>
  </si>
  <si>
    <t>Moran, Mr.  Mike</t>
  </si>
  <si>
    <t>Id2105</t>
  </si>
  <si>
    <t>Strickler, Ms.  Mary Beth</t>
  </si>
  <si>
    <t>Id2106</t>
  </si>
  <si>
    <t>Simone, Ms.  Erin</t>
  </si>
  <si>
    <t>Id2107</t>
  </si>
  <si>
    <t>Von Rock, Ms.  Hallie</t>
  </si>
  <si>
    <t>Id2108</t>
  </si>
  <si>
    <t>Woodard, Ms.  Paige P</t>
  </si>
  <si>
    <t>Id2109</t>
  </si>
  <si>
    <t>Li, Ms.  Ji</t>
  </si>
  <si>
    <t>Id2110</t>
  </si>
  <si>
    <t>Sinda, Ms.  Carissa A</t>
  </si>
  <si>
    <t>Id2111</t>
  </si>
  <si>
    <t>Rydland, Ms.  Mona</t>
  </si>
  <si>
    <t>Id2112</t>
  </si>
  <si>
    <t>Vespa, Ms.  Kristin R.</t>
  </si>
  <si>
    <t>Id2113</t>
  </si>
  <si>
    <t>Meadows, Ms.  Beth</t>
  </si>
  <si>
    <t>Id2114</t>
  </si>
  <si>
    <t>Toppen, Ms.  Allison</t>
  </si>
  <si>
    <t>Id2115</t>
  </si>
  <si>
    <t>Ermer, Ms.  Ashley E</t>
  </si>
  <si>
    <t>Id2116</t>
  </si>
  <si>
    <t>Dionne, Ms.  Hilary K.</t>
  </si>
  <si>
    <t>Id2117</t>
  </si>
  <si>
    <t>Stasulli, Ms.  Dominique</t>
  </si>
  <si>
    <t>Id2118</t>
  </si>
  <si>
    <t>Duran, Mr.  Carlos I</t>
  </si>
  <si>
    <t>Id2119</t>
  </si>
  <si>
    <t>Klundt, Mr.  Matthew</t>
  </si>
  <si>
    <t>Id2120</t>
  </si>
  <si>
    <t>Waters, Ms.  Kara</t>
  </si>
  <si>
    <t>Id2121</t>
  </si>
  <si>
    <t>Rusk, Ms.  Sarah S</t>
  </si>
  <si>
    <t>Id2122</t>
  </si>
  <si>
    <t>Gersbach, Ms.  Shauna R.</t>
  </si>
  <si>
    <t>Id2123</t>
  </si>
  <si>
    <t>Taylor-Watson, Ms.  Lindsay J.</t>
  </si>
  <si>
    <t>Id2124</t>
  </si>
  <si>
    <t>Crawford, Ms.  Danya A.</t>
  </si>
  <si>
    <t>Id2125</t>
  </si>
  <si>
    <t>Levitsky, Ms.  Lorraine</t>
  </si>
  <si>
    <t>Id2126</t>
  </si>
  <si>
    <t>Carroll, Ms.  Jennifer L.</t>
  </si>
  <si>
    <t>Id2127</t>
  </si>
  <si>
    <t>Campos, Mr.  Jesus Sr.</t>
  </si>
  <si>
    <t>Id2128</t>
  </si>
  <si>
    <t>Flajslik, Ms.  Kristen</t>
  </si>
  <si>
    <t>Id2129</t>
  </si>
  <si>
    <t>Chua, Ms.  Catherine C.</t>
  </si>
  <si>
    <t>Id2130</t>
  </si>
  <si>
    <t>Wiltse, Ms.  Paula</t>
  </si>
  <si>
    <t>Id2131</t>
  </si>
  <si>
    <t>Fisher, Ms.  Evan</t>
  </si>
  <si>
    <t>Id2132</t>
  </si>
  <si>
    <t>Wilzbacher, Mr.  Nathan J</t>
  </si>
  <si>
    <t>Id2133</t>
  </si>
  <si>
    <t>Thayer, Ms.  Ashley M</t>
  </si>
  <si>
    <t>Id2134</t>
  </si>
  <si>
    <t>Brosseau, Mr.  Jason</t>
  </si>
  <si>
    <t>Id2135</t>
  </si>
  <si>
    <t>Phares, Mr.  Marshall</t>
  </si>
  <si>
    <t>Id2136</t>
  </si>
  <si>
    <t>Curley, Mr.  Lavar</t>
  </si>
  <si>
    <t>Id2137</t>
  </si>
  <si>
    <t>Johnston, Mr.  Charlie T.</t>
  </si>
  <si>
    <t>Id2138</t>
  </si>
  <si>
    <t>Padula, Mrs.  Lauren</t>
  </si>
  <si>
    <t>Id2139</t>
  </si>
  <si>
    <t>Gamirov, Mr.  Arthur</t>
  </si>
  <si>
    <t>Id2140</t>
  </si>
  <si>
    <t>Briot, Mr.  Thomas</t>
  </si>
  <si>
    <t>Id2141</t>
  </si>
  <si>
    <t>De Hueck, Ms.  Jennifer</t>
  </si>
  <si>
    <t>Id2142</t>
  </si>
  <si>
    <t>Putt, Ms.  Tammy</t>
  </si>
  <si>
    <t>Id2143</t>
  </si>
  <si>
    <t>Deiman, Ms.  Lena</t>
  </si>
  <si>
    <t>Id2144</t>
  </si>
  <si>
    <t>Bonanni, Ms.  Valentina</t>
  </si>
  <si>
    <t>Id2145</t>
  </si>
  <si>
    <t>Stein, Mr.  Russell N.</t>
  </si>
  <si>
    <t>Id2146</t>
  </si>
  <si>
    <t>Laumann, Mr.  Scott R.</t>
  </si>
  <si>
    <t>Id2147</t>
  </si>
  <si>
    <t>Galaviz, Mr.  Jose Francisco Sr.</t>
  </si>
  <si>
    <t>Id2148</t>
  </si>
  <si>
    <t>Piper, Mr.  Paul J</t>
  </si>
  <si>
    <t>Id2149</t>
  </si>
  <si>
    <t>Cantini, Mr.  Adam</t>
  </si>
  <si>
    <t>Id2150</t>
  </si>
  <si>
    <t>Hartman, Mr.  Edward J.</t>
  </si>
  <si>
    <t>Id2151</t>
  </si>
  <si>
    <t>Werhane, Mr.  Patrick A.</t>
  </si>
  <si>
    <t>Id2152</t>
  </si>
  <si>
    <t>Davies, Mr.  Geraint H</t>
  </si>
  <si>
    <t>Id2153</t>
  </si>
  <si>
    <t>Hummel, Mr.  Dj</t>
  </si>
  <si>
    <t>Id2154</t>
  </si>
  <si>
    <t>Lutz, Mr.  Zachary A</t>
  </si>
  <si>
    <t>Id2155</t>
  </si>
  <si>
    <t>Waters, Mr.  Brian W.</t>
  </si>
  <si>
    <t>Id2156</t>
  </si>
  <si>
    <t>Viglienzoni, Mr.  Joe</t>
  </si>
  <si>
    <t>Id2157</t>
  </si>
  <si>
    <t>Rathbun, Mr.  Stephen</t>
  </si>
  <si>
    <t>Id2158</t>
  </si>
  <si>
    <t>crane, Ms.  Ellen L.</t>
  </si>
  <si>
    <t>Id2159</t>
  </si>
  <si>
    <t>Conant, Ms.  Cindy</t>
  </si>
  <si>
    <t>Id2160</t>
  </si>
  <si>
    <t>Huyser-Wierenga, Ms.  Abigail R.</t>
  </si>
  <si>
    <t>Id2161</t>
  </si>
  <si>
    <t>Natalini, Ms.  Amy L.</t>
  </si>
  <si>
    <t>Id2162</t>
  </si>
  <si>
    <t>Robbins, Ms.  Amy</t>
  </si>
  <si>
    <t>Id2163</t>
  </si>
  <si>
    <t>Stanislav, Mrs.  Grace H</t>
  </si>
  <si>
    <t>Id2164</t>
  </si>
  <si>
    <t>Meyer, Ms.  Caitie J.</t>
  </si>
  <si>
    <t>Id2165</t>
  </si>
  <si>
    <t>Mears, Mr.  Benjamin</t>
  </si>
  <si>
    <t>Id2166</t>
  </si>
  <si>
    <t>Neill, Mr.  Ian T</t>
  </si>
  <si>
    <t>Id2167</t>
  </si>
  <si>
    <t>Tola, Mr.  Tadese</t>
  </si>
  <si>
    <t>Id2168</t>
  </si>
  <si>
    <t>Briskman, Mr.  Jonathan</t>
  </si>
  <si>
    <t>Id2169</t>
  </si>
  <si>
    <t>Ritzenhein, Mr.  Dathan</t>
  </si>
  <si>
    <t>Id2170</t>
  </si>
  <si>
    <t>Malkowski, Mr.  Eric</t>
  </si>
  <si>
    <t>Id2171</t>
  </si>
  <si>
    <t>Andreyko, Ms.  Allison M</t>
  </si>
  <si>
    <t>Id2172</t>
  </si>
  <si>
    <t>Landry, Mr.  Paul</t>
  </si>
  <si>
    <t>Id2173</t>
  </si>
  <si>
    <t>Lozier, Mr.  Aaron R</t>
  </si>
  <si>
    <t>Id2174</t>
  </si>
  <si>
    <t>O'Brien, Ms.  Caitlin H.</t>
  </si>
  <si>
    <t>Id2175</t>
  </si>
  <si>
    <t>Rodas, Mr.  Harald E.</t>
  </si>
  <si>
    <t>Id2176</t>
  </si>
  <si>
    <t>O'Connor, Ms.  Siobhan A.</t>
  </si>
  <si>
    <t>Id2177</t>
  </si>
  <si>
    <t>White, Ms.  Andrea J.</t>
  </si>
  <si>
    <t>Id2178</t>
  </si>
  <si>
    <t>Davenport, Ms.  Marie</t>
  </si>
  <si>
    <t>Id2179</t>
  </si>
  <si>
    <t>Karmen, Ms.  Rachel A.</t>
  </si>
  <si>
    <t>Id2180</t>
  </si>
  <si>
    <t>Miller, Ms.  Emma</t>
  </si>
  <si>
    <t>Id2181</t>
  </si>
  <si>
    <t>Lippmann, Ms.  Kiersten</t>
  </si>
  <si>
    <t>Id2182</t>
  </si>
  <si>
    <t>Klehm, Ms.  Rachael</t>
  </si>
  <si>
    <t>Id2183</t>
  </si>
  <si>
    <t>Murphy, Mr.  Timothy P.</t>
  </si>
  <si>
    <t>Id2184</t>
  </si>
  <si>
    <t>Desisa, Mr.  Lelisa</t>
  </si>
  <si>
    <t>Id2185</t>
  </si>
  <si>
    <t>Brooks, Mr.  Nate</t>
  </si>
  <si>
    <t>Id2186</t>
  </si>
  <si>
    <t>Stone, Mr.  Chris C.</t>
  </si>
  <si>
    <t>Id2187</t>
  </si>
  <si>
    <t>Weispfennig, Mr.  Scott</t>
  </si>
  <si>
    <t>Id2188</t>
  </si>
  <si>
    <t>Sorrell, Mr.  Kevin</t>
  </si>
  <si>
    <t>Id2189</t>
  </si>
  <si>
    <t>Morris, Mr.  Erik C.</t>
  </si>
  <si>
    <t>Id2190</t>
  </si>
  <si>
    <t>Marek, Mr.  Shawn C</t>
  </si>
  <si>
    <t>Id2191</t>
  </si>
  <si>
    <t>Armstrong, Mr.  Vajin L.</t>
  </si>
  <si>
    <t>Id2192</t>
  </si>
  <si>
    <t>Werner, Mr.  John K. Jr.</t>
  </si>
  <si>
    <t>Id2193</t>
  </si>
  <si>
    <t>Gries, Mr.  Kevin J.</t>
  </si>
  <si>
    <t>Id2194</t>
  </si>
  <si>
    <t>Mills, Mr.  Kirby W.</t>
  </si>
  <si>
    <t>Id2195</t>
  </si>
  <si>
    <t>Penny, Mr.  J A</t>
  </si>
  <si>
    <t>Id2196</t>
  </si>
  <si>
    <t>Hicks, Mr.  Dustin G.</t>
  </si>
  <si>
    <t>Id2197</t>
  </si>
  <si>
    <t>Masayesva, Mr.  Anthony G</t>
  </si>
  <si>
    <t>Id2198</t>
  </si>
  <si>
    <t>Paavola, Mr.  Ryan</t>
  </si>
  <si>
    <t>Id2199</t>
  </si>
  <si>
    <t>Gehlsen, Mr.  Eric N</t>
  </si>
  <si>
    <t>Id2200</t>
  </si>
  <si>
    <t>Roche, Mr.  Connor</t>
  </si>
  <si>
    <t>Id2201</t>
  </si>
  <si>
    <t>Hearn, Mr.  Patrick H.</t>
  </si>
  <si>
    <t>Id2202</t>
  </si>
  <si>
    <t>Dimson, Mr.  Tyler</t>
  </si>
  <si>
    <t>Id2203</t>
  </si>
  <si>
    <t>Slason, Ms.  Deborah L.</t>
  </si>
  <si>
    <t>Id2204</t>
  </si>
  <si>
    <t>Gibson, Ms.  Andrea K</t>
  </si>
  <si>
    <t>Id2205</t>
  </si>
  <si>
    <t>Erdos, Ms.  Elleree</t>
  </si>
  <si>
    <t>Id2206</t>
  </si>
  <si>
    <t>Cushman, Mr.  Brandon J</t>
  </si>
  <si>
    <t>Id2207</t>
  </si>
  <si>
    <t>Hammel, Mr.  Steve</t>
  </si>
  <si>
    <t>Id2208</t>
  </si>
  <si>
    <t>Ytterstad, Ms.  Nina Wavik Sr.</t>
  </si>
  <si>
    <t>Id2209</t>
  </si>
  <si>
    <t>Prince, Ms.  Dani</t>
  </si>
  <si>
    <t>Id2210</t>
  </si>
  <si>
    <t>Freeman, Ms.  Jennifer A.</t>
  </si>
  <si>
    <t>Id2211</t>
  </si>
  <si>
    <t>Petrulak, Mr.  Martin</t>
  </si>
  <si>
    <t>Id2212</t>
  </si>
  <si>
    <t>Lloyd, Mr.  Steve</t>
  </si>
  <si>
    <t>Id2213</t>
  </si>
  <si>
    <t>Zablocki, Mr.  Christopher</t>
  </si>
  <si>
    <t>Id2214</t>
  </si>
  <si>
    <t>Van Meter, Ms.  Kathryn M.</t>
  </si>
  <si>
    <t>Id2215</t>
  </si>
  <si>
    <t>Babay, Ms.  Emily</t>
  </si>
  <si>
    <t>Id2216</t>
  </si>
  <si>
    <t>Taylor, Mr.  Trent A</t>
  </si>
  <si>
    <t>Id2217</t>
  </si>
  <si>
    <t>Smith, Ms.  Jennifer E</t>
  </si>
  <si>
    <t>Id2218</t>
  </si>
  <si>
    <t>Moody, Ms.  Polly</t>
  </si>
  <si>
    <t>Id2219</t>
  </si>
  <si>
    <t>Swierzbinski, Ms.  Elizabeth</t>
  </si>
  <si>
    <t>Id2220</t>
  </si>
  <si>
    <t>Schwartz, Ms.  Tiffany A.</t>
  </si>
  <si>
    <t>Id2221</t>
  </si>
  <si>
    <t>Sanseverino, Mr.  Cole</t>
  </si>
  <si>
    <t>Id2222</t>
  </si>
  <si>
    <t>Lawder, Mr.  Matthew T.</t>
  </si>
  <si>
    <t>Id2223</t>
  </si>
  <si>
    <t>Young, Mr.  Zachary</t>
  </si>
  <si>
    <t>Id2224</t>
  </si>
  <si>
    <t>Hoerner, Mr.  Matthew T.</t>
  </si>
  <si>
    <t>Id2225</t>
  </si>
  <si>
    <t>Benson, Mr.  Pat</t>
  </si>
  <si>
    <t>Id2226</t>
  </si>
  <si>
    <t>Horton, Ms.  Ashley</t>
  </si>
  <si>
    <t>Id2227</t>
  </si>
  <si>
    <t>McGraw, Ms.  Elizabeth A.</t>
  </si>
  <si>
    <t>Id2228</t>
  </si>
  <si>
    <t>Beaulne, Ms.  Rebecca M.</t>
  </si>
  <si>
    <t>Id2229</t>
  </si>
  <si>
    <t>Lunz, Ms.  Ruth</t>
  </si>
  <si>
    <t>Id2230</t>
  </si>
  <si>
    <t>Kyle, Mr.  Gregory S</t>
  </si>
  <si>
    <t>Id2231</t>
  </si>
  <si>
    <t>Brackenwagen, Ms.  Alexandra S</t>
  </si>
  <si>
    <t>Id2232</t>
  </si>
  <si>
    <t>Schmitt, Ms.  Hillary</t>
  </si>
  <si>
    <t>Id2233</t>
  </si>
  <si>
    <t>Borden, Ms.  Amy K.</t>
  </si>
  <si>
    <t>Id2234</t>
  </si>
  <si>
    <t>McLean, Mr.  Scott</t>
  </si>
  <si>
    <t>Id2235</t>
  </si>
  <si>
    <t>Regan, Mr.  John</t>
  </si>
  <si>
    <t>Id2236</t>
  </si>
  <si>
    <t>Koenis, Mr.  Maaikel</t>
  </si>
  <si>
    <t>Id2237</t>
  </si>
  <si>
    <t>Kittaka, Mr.  Daniel C</t>
  </si>
  <si>
    <t>Id2238</t>
  </si>
  <si>
    <t>Concannon, Mr.  Christopher S.</t>
  </si>
  <si>
    <t>Id2239</t>
  </si>
  <si>
    <t>Johnson, Mr.  William R</t>
  </si>
  <si>
    <t>Id2240</t>
  </si>
  <si>
    <t>Schultz, Ms.  Lyndsy</t>
  </si>
  <si>
    <t>Id2241</t>
  </si>
  <si>
    <t>Brannigan, Ms.  Jessica</t>
  </si>
  <si>
    <t>Id2242</t>
  </si>
  <si>
    <t>Cavallo, Ms.  Anna</t>
  </si>
  <si>
    <t>Id2243</t>
  </si>
  <si>
    <t>Chang, Mr.  Jordan</t>
  </si>
  <si>
    <t>Id2244</t>
  </si>
  <si>
    <t>Axelrod, Mr.  Brian</t>
  </si>
  <si>
    <t>Id2245</t>
  </si>
  <si>
    <t>Davenport, Ms.  Katherine A</t>
  </si>
  <si>
    <t>Id2246</t>
  </si>
  <si>
    <t>Roberge, Ms.  Melanie</t>
  </si>
  <si>
    <t>Id2247</t>
  </si>
  <si>
    <t>Schmidt, Ms.  Jessica</t>
  </si>
  <si>
    <t>Id2248</t>
  </si>
  <si>
    <t>Kosters, Mr.  Eric S</t>
  </si>
  <si>
    <t>Id2249</t>
  </si>
  <si>
    <t>Dykes, Mr.  Joseph</t>
  </si>
  <si>
    <t>Id2250</t>
  </si>
  <si>
    <t>Velan, Ms.  Mary</t>
  </si>
  <si>
    <t>Id2251</t>
  </si>
  <si>
    <t>Goolik, Ms.  Natalie</t>
  </si>
  <si>
    <t>Id2252</t>
  </si>
  <si>
    <t>Bain, Mr.  Christopher</t>
  </si>
  <si>
    <t>Id2253</t>
  </si>
  <si>
    <t>Wieck, Ms.  Sonja</t>
  </si>
  <si>
    <t>Id2254</t>
  </si>
  <si>
    <t>Friel, Ms.  Alexandra</t>
  </si>
  <si>
    <t>Id2255</t>
  </si>
  <si>
    <t>Santandreu, Ms.  Martha L.</t>
  </si>
  <si>
    <t>Id2256</t>
  </si>
  <si>
    <t>Johnson, Mr.  Ryan C.</t>
  </si>
  <si>
    <t>Id2257</t>
  </si>
  <si>
    <t>Gerber, Mr.  Cliff</t>
  </si>
  <si>
    <t>Id2258</t>
  </si>
  <si>
    <t>Benadum, Mr.  Blue</t>
  </si>
  <si>
    <t>Id2259</t>
  </si>
  <si>
    <t>Ragazzini, Mr.  Jeffrey M</t>
  </si>
  <si>
    <t>Id2260</t>
  </si>
  <si>
    <t>Kessinger, Mr.  Andrew</t>
  </si>
  <si>
    <t>Id2261</t>
  </si>
  <si>
    <t>Bezgin, Ms.  Julia</t>
  </si>
  <si>
    <t>Id2262</t>
  </si>
  <si>
    <t>Woldesilassie, Mr.  Daniel</t>
  </si>
  <si>
    <t>Id2263</t>
  </si>
  <si>
    <t>Ruiz Herrero, Mr.  Jaime</t>
  </si>
  <si>
    <t>Id2264</t>
  </si>
  <si>
    <t>Bin Alias, Mr.  Mohd Syahidan</t>
  </si>
  <si>
    <t>Id2265</t>
  </si>
  <si>
    <t>Fischer-Daly, Mr.  Matthew</t>
  </si>
  <si>
    <t>Id2266</t>
  </si>
  <si>
    <t>Pulliam, Ms.  Elizabeth S.</t>
  </si>
  <si>
    <t>Id2267</t>
  </si>
  <si>
    <t>Guisinger, Ms.  Katie</t>
  </si>
  <si>
    <t>Id2268</t>
  </si>
  <si>
    <t>Arnerich, Ms.  Christi A.</t>
  </si>
  <si>
    <t>Id2269</t>
  </si>
  <si>
    <t>Lynch, Ms.  Sandra K.</t>
  </si>
  <si>
    <t>Id2270</t>
  </si>
  <si>
    <t>Reilly, Ms.  Katharine</t>
  </si>
  <si>
    <t>Id2271</t>
  </si>
  <si>
    <t>Nolette, Mr.  Jerome</t>
  </si>
  <si>
    <t>Id2272</t>
  </si>
  <si>
    <t>Chabrier, Ms.  Julia R</t>
  </si>
  <si>
    <t>Id2273</t>
  </si>
  <si>
    <t>Lee, Mr.  Sean Henry</t>
  </si>
  <si>
    <t>Id2274</t>
  </si>
  <si>
    <t>Knotts, Ms.  Rachel A.</t>
  </si>
  <si>
    <t>Id2275</t>
  </si>
  <si>
    <t>Pultorak, Mr.  Jim</t>
  </si>
  <si>
    <t>Id2276</t>
  </si>
  <si>
    <t>Maxon, Mr.  Tim</t>
  </si>
  <si>
    <t>Id2277</t>
  </si>
  <si>
    <t>Kraai, Ms.  Abby L.</t>
  </si>
  <si>
    <t>Id2278</t>
  </si>
  <si>
    <t>Larosa, Mr.  Mark</t>
  </si>
  <si>
    <t>Id2279</t>
  </si>
  <si>
    <t>King, Mr.  Ali</t>
  </si>
  <si>
    <t>Id2280</t>
  </si>
  <si>
    <t>Haney, Mr.  Joshua</t>
  </si>
  <si>
    <t>Id2281</t>
  </si>
  <si>
    <t>Boulay, Mr.  Pierre</t>
  </si>
  <si>
    <t>Id2282</t>
  </si>
  <si>
    <t>Peters, Ms.  Kate</t>
  </si>
  <si>
    <t>Id2283</t>
  </si>
  <si>
    <t>Luy, Mr.  David</t>
  </si>
  <si>
    <t>Id2284</t>
  </si>
  <si>
    <t>Fava, Ms.  Carla</t>
  </si>
  <si>
    <t>Id2285</t>
  </si>
  <si>
    <t>Montoya, Mr.  Alvaro Sr.</t>
  </si>
  <si>
    <t>Id2286</t>
  </si>
  <si>
    <t>Bain, Ms.  Hope</t>
  </si>
  <si>
    <t>Id2287</t>
  </si>
  <si>
    <t>Albertson, Mr.  Mark P.</t>
  </si>
  <si>
    <t>Id2288</t>
  </si>
  <si>
    <t>Barger, Ms.  Desiree</t>
  </si>
  <si>
    <t>Id2289</t>
  </si>
  <si>
    <t>Fraioli, Mr.  Mario Jr.</t>
  </si>
  <si>
    <t>Id2290</t>
  </si>
  <si>
    <t>April, Mr.  Lusapho</t>
  </si>
  <si>
    <t>Id2291</t>
  </si>
  <si>
    <t>King, Ms.  Erin C.</t>
  </si>
  <si>
    <t>Id2292</t>
  </si>
  <si>
    <t>Talhelm, Mr.  Alan F</t>
  </si>
  <si>
    <t>Id2293</t>
  </si>
  <si>
    <t>Regnier, Mr.  Ryan</t>
  </si>
  <si>
    <t>Id2294</t>
  </si>
  <si>
    <t>Treece, Ms.  Hope</t>
  </si>
  <si>
    <t>Id2295</t>
  </si>
  <si>
    <t>Beisel, Mr.  Josh</t>
  </si>
  <si>
    <t>Id2296</t>
  </si>
  <si>
    <t>Enke, Mr.  Jacob J</t>
  </si>
  <si>
    <t>Id2297</t>
  </si>
  <si>
    <t>Ruiz-Tagle Barros, Mr.  Jose Tomas</t>
  </si>
  <si>
    <t>Id2298</t>
  </si>
  <si>
    <t>Ferrell, Ms.  Mary Evan</t>
  </si>
  <si>
    <t>Id2299</t>
  </si>
  <si>
    <t>Gates, Mr.  Justin K.</t>
  </si>
  <si>
    <t>Id2300</t>
  </si>
  <si>
    <t>Jeffers, Mr.  Patrick</t>
  </si>
  <si>
    <t>Id2301</t>
  </si>
  <si>
    <t>Sulhanek, Mr.  Roman</t>
  </si>
  <si>
    <t>Id2302</t>
  </si>
  <si>
    <t>Ozahowski, Mr.  David</t>
  </si>
  <si>
    <t>Id2303</t>
  </si>
  <si>
    <t>Caron, Ms.  Evelyn L</t>
  </si>
  <si>
    <t>Id2304</t>
  </si>
  <si>
    <t>Fullarton, Mr.  Jim</t>
  </si>
  <si>
    <t>Id2305</t>
  </si>
  <si>
    <t>Lindgren, Mr.  Matthew S</t>
  </si>
  <si>
    <t>Id2306</t>
  </si>
  <si>
    <t>Akiha, Mr.  Kenneth</t>
  </si>
  <si>
    <t>Id2307</t>
  </si>
  <si>
    <t>Sweny, Ms.  Andrea</t>
  </si>
  <si>
    <t>Id2308</t>
  </si>
  <si>
    <t>Tobin, Ms.  Kristina</t>
  </si>
  <si>
    <t>Id2309</t>
  </si>
  <si>
    <t>Pedersen, Ms.  Kristen</t>
  </si>
  <si>
    <t>Id2310</t>
  </si>
  <si>
    <t>Lynch, Mr.  Matthew</t>
  </si>
  <si>
    <t>Id2311</t>
  </si>
  <si>
    <t>Keys, Mrs.  Kathleen</t>
  </si>
  <si>
    <t>Id2312</t>
  </si>
  <si>
    <t>Wilbur, Ms.  Lindsey</t>
  </si>
  <si>
    <t>Id2313</t>
  </si>
  <si>
    <t>Ditota, Mr.  Robert</t>
  </si>
  <si>
    <t>Id2314</t>
  </si>
  <si>
    <t>Horbol, Ms.  Sarah E.</t>
  </si>
  <si>
    <t>Id2315</t>
  </si>
  <si>
    <t>O'Rourke, Ms.  Flannery</t>
  </si>
  <si>
    <t>Id2316</t>
  </si>
  <si>
    <t>Williams, Mr.  John T</t>
  </si>
  <si>
    <t>Id2317</t>
  </si>
  <si>
    <t>Murakami, Mr.  Koji</t>
  </si>
  <si>
    <t>Id2318</t>
  </si>
  <si>
    <t>Gagnon, Ms.  Candice M</t>
  </si>
  <si>
    <t>Id2319</t>
  </si>
  <si>
    <t>Petermann, Mr.  Theodore A.</t>
  </si>
  <si>
    <t>Id2320</t>
  </si>
  <si>
    <t>Graves - Rostro, Ms.  Lindy</t>
  </si>
  <si>
    <t>Id2321</t>
  </si>
  <si>
    <t>Danielson, Mr.  Thomas</t>
  </si>
  <si>
    <t>Id2322</t>
  </si>
  <si>
    <t>Street, Ms.  Holly</t>
  </si>
  <si>
    <t>Id2323</t>
  </si>
  <si>
    <t>Buss, Mr.  Matthew</t>
  </si>
  <si>
    <t>Id2324</t>
  </si>
  <si>
    <t>Duffy, Ms.  Meghan K</t>
  </si>
  <si>
    <t>Id2325</t>
  </si>
  <si>
    <t>Hines, Mr.  Fred</t>
  </si>
  <si>
    <t>Id2326</t>
  </si>
  <si>
    <t>Castro, Mr.  Sebastian</t>
  </si>
  <si>
    <t>Id2327</t>
  </si>
  <si>
    <t>Howell, Ms.  Laura</t>
  </si>
  <si>
    <t>Id2328</t>
  </si>
  <si>
    <t>Avery, Ms.  Nicole</t>
  </si>
  <si>
    <t>Id2329</t>
  </si>
  <si>
    <t>Bohinski, Ms.  Susan E</t>
  </si>
  <si>
    <t>Id2330</t>
  </si>
  <si>
    <t>Kohls, Ms.  Katy</t>
  </si>
  <si>
    <t>Id2331</t>
  </si>
  <si>
    <t>Brietzke, Mr.  Jordan</t>
  </si>
  <si>
    <t>Id2332</t>
  </si>
  <si>
    <t>Riveros Gonzalez, Mr.  Juan D. Sr.</t>
  </si>
  <si>
    <t>Id2333</t>
  </si>
  <si>
    <t>Albano, Ms.  Julie</t>
  </si>
  <si>
    <t>Id2334</t>
  </si>
  <si>
    <t>Rosendahl, Mr.  Evan P</t>
  </si>
  <si>
    <t>Id2335</t>
  </si>
  <si>
    <t>German, Mr.  Aaron K</t>
  </si>
  <si>
    <t>Customer Id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</si>
  <si>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</si>
  <si>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</si>
  <si>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</si>
  <si>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</si>
  <si>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</si>
  <si>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</si>
  <si>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</si>
  <si>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Weight Status</t>
  </si>
  <si>
    <t>Diabetes Status</t>
  </si>
  <si>
    <t>No</t>
  </si>
  <si>
    <t>yes</t>
  </si>
  <si>
    <t>Yes</t>
  </si>
  <si>
    <t>?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</si>
  <si>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</si>
  <si>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</si>
  <si>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</si>
  <si>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</si>
  <si>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</si>
  <si>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</si>
  <si>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</si>
  <si>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</si>
  <si>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Date of Birth</t>
  </si>
  <si>
    <t>Age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</si>
  <si>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</si>
  <si>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</si>
  <si>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</si>
  <si>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</si>
  <si>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</si>
  <si>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</si>
  <si>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</si>
  <si>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</si>
  <si>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</si>
  <si>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</si>
  <si>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</si>
  <si>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</si>
  <si>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</si>
  <si>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</si>
  <si>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</si>
  <si>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</si>
  <si>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</si>
  <si>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</si>
  <si>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</si>
  <si>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</si>
  <si>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</si>
  <si>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</si>
  <si>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</si>
  <si>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</si>
  <si>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</si>
  <si>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</si>
  <si>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id2444</t>
  </si>
  <si>
    <t>id3444</t>
  </si>
  <si>
    <t>Count of Customer ID</t>
  </si>
  <si>
    <t>(blank)</t>
  </si>
  <si>
    <t>Grand Total</t>
  </si>
  <si>
    <t>Sum of charges</t>
  </si>
  <si>
    <t>Normal Weight</t>
  </si>
  <si>
    <t>Obesity</t>
  </si>
  <si>
    <t>Overweight</t>
  </si>
  <si>
    <t>Underweight</t>
  </si>
  <si>
    <t>Obesity accounts for the highest total healthcare charges</t>
  </si>
  <si>
    <t>Name</t>
  </si>
  <si>
    <t>Number Of Major Surgeries</t>
  </si>
  <si>
    <t>Diabetes</t>
  </si>
  <si>
    <t>Prediabetes</t>
  </si>
  <si>
    <t>Normal</t>
  </si>
  <si>
    <t>Healthcare Dashboard - AI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</si>
</sst>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,\ yyyy"/>
    <numFmt numFmtId="165" formatCode="_([$$-409]* #,##0.00_);_([$$-409]* \(#,##0.00\);_([$$-409]* &quot;-&quot;??_);_(@_)"/>
    <numFmt numFmtId="166" formatCode="[$-409]d\-mmm\-yyyy;@"/>
  </numFmts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5" fontId="0" fillId="0" borderId="0" xfId="0" applyNumberFormat="1"/>
    <xf numFmtId="1" fontId="2" fillId="3" borderId="0" xfId="0" applyNumberFormat="1" applyFont="1" applyFill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2" fillId="3" borderId="2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Alignment="1">
      <alignment wrapText="1"/>
    </xf>
    <xf numFmtId="0" fontId="2" fillId="6" borderId="2" xfId="0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" fontId="2" fillId="6" borderId="0" xfId="0" applyNumberFormat="1" applyFont="1" applyFill="1" applyAlignment="1">
      <alignment horizontal="center" vertical="center"/>
    </xf>
    <xf numFmtId="15" fontId="0" fillId="6" borderId="0" xfId="0" applyNumberFormat="1" applyFill="1"/>
    <xf numFmtId="2" fontId="0" fillId="6" borderId="0" xfId="0" applyNumberFormat="1" applyFill="1"/>
    <xf numFmtId="0" fontId="0" fillId="6" borderId="0" xfId="0" applyFill="1"/>
    <xf numFmtId="166" fontId="0" fillId="6" borderId="0" xfId="0" applyNumberFormat="1" applyFill="1"/>
    <xf numFmtId="0" fontId="3" fillId="6" borderId="1" xfId="0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vertical="top"/>
    </xf>
    <xf numFmtId="0" fontId="3" fillId="6" borderId="0" xfId="0" applyFont="1" applyFill="1" applyAlignment="1">
      <alignment horizontal="center" vertical="center"/>
    </xf>
    <xf numFmtId="0" fontId="1" fillId="6" borderId="0" xfId="1" applyFill="1"/>
    <xf numFmtId="0" fontId="5" fillId="6" borderId="2" xfId="0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project.xlsx]Pivot table!PivotTable1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E8-4298-B4C5-F0E2C624D74A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E8-4298-B4C5-F0E2C624D74A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E8-4298-B4C5-F0E2C624D74A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FE8-4298-B4C5-F0E2C624D74A}"/>
              </c:ext>
            </c:extLst>
          </c:dPt>
          <c:cat>
            <c:strRef>
              <c:f>'Pivot table'!$A$5:$A$9</c:f>
              <c:strCache>
                <c:ptCount val="4"/>
                <c:pt idx="0">
                  <c:v>?</c:v>
                </c:pt>
                <c:pt idx="1">
                  <c:v>No</c:v>
                </c:pt>
                <c:pt idx="2">
                  <c:v>yes</c:v>
                </c:pt>
                <c:pt idx="3">
                  <c:v>(blank)</c:v>
                </c:pt>
              </c:strCache>
            </c:strRef>
          </c:cat>
          <c:val>
            <c:numRef>
              <c:f>'Pivot table'!$B$5:$B$9</c:f>
              <c:numCache>
                <c:formatCode>General</c:formatCode>
                <c:ptCount val="4"/>
                <c:pt idx="0">
                  <c:v>2</c:v>
                </c:pt>
                <c:pt idx="1">
                  <c:v>1538</c:v>
                </c:pt>
                <c:pt idx="2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FE8-4298-B4C5-F0E2C624D74A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FE8-4298-B4C5-F0E2C624D74A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FE8-4298-B4C5-F0E2C624D74A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BFE8-4298-B4C5-F0E2C624D74A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BFE8-4298-B4C5-F0E2C624D74A}"/>
              </c:ext>
            </c:extLst>
          </c:dPt>
          <c:cat>
            <c:strRef>
              <c:f>'Pivot table'!$A$5:$A$9</c:f>
              <c:strCache>
                <c:ptCount val="4"/>
                <c:pt idx="0">
                  <c:v>?</c:v>
                </c:pt>
                <c:pt idx="1">
                  <c:v>No</c:v>
                </c:pt>
                <c:pt idx="2">
                  <c:v>yes</c:v>
                </c:pt>
                <c:pt idx="3">
                  <c:v>(blank)</c:v>
                </c:pt>
              </c:strCache>
            </c:strRef>
          </c:cat>
          <c:val>
            <c:numRef>
              <c:f>'Pivot table'!$C$5:$C$9</c:f>
              <c:numCache>
                <c:formatCode>General</c:formatCode>
                <c:ptCount val="4"/>
                <c:pt idx="1">
                  <c:v>307</c:v>
                </c:pt>
                <c:pt idx="2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FE8-4298-B4C5-F0E2C624D74A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(blank)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FE8-4298-B4C5-F0E2C624D74A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FE8-4298-B4C5-F0E2C624D74A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FE8-4298-B4C5-F0E2C624D74A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FE8-4298-B4C5-F0E2C624D74A}"/>
              </c:ext>
            </c:extLst>
          </c:dPt>
          <c:cat>
            <c:strRef>
              <c:f>'Pivot table'!$A$5:$A$9</c:f>
              <c:strCache>
                <c:ptCount val="4"/>
                <c:pt idx="0">
                  <c:v>?</c:v>
                </c:pt>
                <c:pt idx="1">
                  <c:v>No</c:v>
                </c:pt>
                <c:pt idx="2">
                  <c:v>yes</c:v>
                </c:pt>
                <c:pt idx="3">
                  <c:v>(blank)</c:v>
                </c:pt>
              </c:strCache>
            </c:strRef>
          </c:cat>
          <c:val>
            <c:numRef>
              <c:f>'Pivot table'!$D$5:$D$9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A-BFE8-4298-B4C5-F0E2C624D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project.xlsx]Pivot table!PivotTable4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 table'!$A$22:$A$27</c:f>
              <c:strCache>
                <c:ptCount val="5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  <c:pt idx="4">
                  <c:v>(blank)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7476262.1799999978</c:v>
                </c:pt>
                <c:pt idx="1">
                  <c:v>12991788.989999993</c:v>
                </c:pt>
                <c:pt idx="2">
                  <c:v>6731374.6200000038</c:v>
                </c:pt>
                <c:pt idx="3">
                  <c:v>4116016.0100000016</c:v>
                </c:pt>
                <c:pt idx="4">
                  <c:v>453454.22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7-4E32-A305-C91D703AC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3115527"/>
        <c:axId val="803118599"/>
      </c:barChart>
      <c:catAx>
        <c:axId val="803115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118599"/>
        <c:crosses val="autoZero"/>
        <c:auto val="1"/>
        <c:lblAlgn val="ctr"/>
        <c:lblOffset val="100"/>
        <c:noMultiLvlLbl val="0"/>
      </c:catAx>
      <c:valAx>
        <c:axId val="803118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115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11</xdr:col>
      <xdr:colOff>304800</xdr:colOff>
      <xdr:row>16</xdr:row>
      <xdr:rowOff>76200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019CC693-02B9-4D6C-83C9-8571CF0583C5}"/>
            </a:ext>
            <a:ext uri="{147F2762-F138-4A5C-976F-8EAC2B608ADB}">
              <a16:predDERef xmlns:a16="http://schemas.microsoft.com/office/drawing/2014/main" pred="{B46A8FCF-C71C-08F9-82ED-57ACA4CD4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22</xdr:row>
      <xdr:rowOff>152400</xdr:rowOff>
    </xdr:from>
    <xdr:to>
      <xdr:col>15</xdr:col>
      <xdr:colOff>0</xdr:colOff>
      <xdr:row>37</xdr:row>
      <xdr:rowOff>38100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A745487C-4A2A-4266-9BDC-8F5B52405023}"/>
            </a:ext>
            <a:ext uri="{147F2762-F138-4A5C-976F-8EAC2B608ADB}">
              <a16:predDERef xmlns:a16="http://schemas.microsoft.com/office/drawing/2014/main" pred="{019CC693-02B9-4D6C-83C9-8571CF0583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65.875374537034" createdVersion="8" refreshedVersion="8" minRefreshableVersion="3" recordCount="2344" xr:uid="{8FFEAA43-33D5-48A9-9E7D-8C17015CE04D}">
  <cacheSource type="worksheet">
    <worksheetSource ref="A1:U1048576" sheet="Healthcare"/>
  </cacheSource>
  <cacheFields count="21">
    <cacheField name="Customer ID" numFmtId="0">
      <sharedItems containsBlank="1"/>
    </cacheField>
    <cacheField name="name" numFmtId="0">
      <sharedItems containsBlank="1"/>
    </cacheField>
    <cacheField name="BMI" numFmtId="0">
      <sharedItems containsString="0" containsBlank="1" containsNumber="1" minValue="15.01" maxValue="55.05"/>
    </cacheField>
    <cacheField name="HBA1C" numFmtId="0">
      <sharedItems containsString="0" containsBlank="1" containsNumber="1" minValue="4" maxValue="12"/>
    </cacheField>
    <cacheField name="Heart Issues" numFmtId="0">
      <sharedItems containsBlank="1"/>
    </cacheField>
    <cacheField name="Any Transplants" numFmtId="0">
      <sharedItems containsBlank="1"/>
    </cacheField>
    <cacheField name="Cancer history" numFmtId="0">
      <sharedItems containsBlank="1" count="3">
        <s v="No"/>
        <s v="Yes"/>
        <m/>
      </sharedItems>
    </cacheField>
    <cacheField name="Number Of Major Surgeries" numFmtId="0">
      <sharedItems containsString="0" containsBlank="1" containsNumber="1" containsInteger="1" minValue="0" maxValue="3"/>
    </cacheField>
    <cacheField name="smoker" numFmtId="0">
      <sharedItems containsBlank="1" count="4">
        <s v="yes"/>
        <s v="No"/>
        <s v="?"/>
        <m/>
      </sharedItems>
    </cacheField>
    <cacheField name="Weight Status" numFmtId="0">
      <sharedItems containsBlank="1" count="5">
        <s v="Obesity"/>
        <s v="Overweight"/>
        <s v="Normal Weight"/>
        <s v="Underweight"/>
        <m/>
      </sharedItems>
    </cacheField>
    <cacheField name="Diabetes Status" numFmtId="0">
      <sharedItems containsBlank="1"/>
    </cacheField>
    <cacheField name="year" numFmtId="0">
      <sharedItems containsBlank="1" containsMixedTypes="1" containsNumber="1" containsInteger="1" minValue="1958" maxValue="2004"/>
    </cacheField>
    <cacheField name="month" numFmtId="0">
      <sharedItems containsBlank="1"/>
    </cacheField>
    <cacheField name="date" numFmtId="0">
      <sharedItems containsString="0" containsBlank="1" containsNumber="1" containsInteger="1" minValue="1" maxValue="30"/>
    </cacheField>
    <cacheField name="children" numFmtId="0">
      <sharedItems containsString="0" containsBlank="1" containsNumber="1" containsInteger="1" minValue="0" maxValue="5"/>
    </cacheField>
    <cacheField name="Date of Birth" numFmtId="0">
      <sharedItems containsDate="1" containsBlank="1" containsMixedTypes="1" minDate="1958-06-05T00:00:00" maxDate="2004-12-28T00:00:00"/>
    </cacheField>
    <cacheField name="charges" numFmtId="2">
      <sharedItems containsString="0" containsBlank="1" containsNumber="1" minValue="563.84" maxValue="63770.43"/>
    </cacheField>
    <cacheField name="Hospital tier" numFmtId="0">
      <sharedItems containsBlank="1"/>
    </cacheField>
    <cacheField name="City tier" numFmtId="0">
      <sharedItems containsBlank="1"/>
    </cacheField>
    <cacheField name="State ID" numFmtId="0">
      <sharedItems containsBlank="1"/>
    </cacheField>
    <cacheField name="Age" numFmtId="0">
      <sharedItems containsBlank="1" containsMixedTypes="1" containsNumber="1" containsInteger="1" minValue="18" maxValue="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4">
  <r>
    <s v="Id1"/>
    <s v="Hawks, Ms.  Kelly"/>
    <n v="47.41"/>
    <n v="7.47"/>
    <s v="No"/>
    <s v="No"/>
    <x v="0"/>
    <n v="0"/>
    <x v="0"/>
    <x v="0"/>
    <s v="Diabetes"/>
    <n v="1992"/>
    <s v="Jul"/>
    <n v="9"/>
    <n v="0"/>
    <d v="1992-07-09T00:00:00"/>
    <n v="563.84"/>
    <s v="tier - 2"/>
    <s v="tier - 3"/>
    <s v="R1013"/>
    <n v="30"/>
  </r>
  <r>
    <s v="Id2"/>
    <s v="Lehner, Mr.  Matthew D"/>
    <n v="30.36"/>
    <n v="5.77"/>
    <s v="No"/>
    <s v="No"/>
    <x v="0"/>
    <n v="0"/>
    <x v="0"/>
    <x v="0"/>
    <s v="Prediabetes"/>
    <n v="1992"/>
    <s v="Nov"/>
    <n v="30"/>
    <n v="0"/>
    <d v="1992-11-30T00:00:00"/>
    <n v="570.62"/>
    <s v="tier - 2"/>
    <s v="tier - 1"/>
    <s v="R1013"/>
    <n v="30"/>
  </r>
  <r>
    <s v="Id3"/>
    <s v="Lu, Mr.  Phil"/>
    <n v="34.484999999999999"/>
    <n v="11.87"/>
    <s v="yes"/>
    <s v="No"/>
    <x v="0"/>
    <n v="2"/>
    <x v="0"/>
    <x v="0"/>
    <s v="Diabetes"/>
    <n v="1993"/>
    <s v="Jun"/>
    <n v="30"/>
    <n v="0"/>
    <d v="1993-06-30T00:00:00"/>
    <n v="600"/>
    <s v="tier - 2"/>
    <s v="tier - 1"/>
    <s v="R1013"/>
    <n v="29"/>
  </r>
  <r>
    <s v="Id4"/>
    <s v="Osborne, Ms.  Kelsey"/>
    <n v="38.094999999999999"/>
    <n v="6.05"/>
    <s v="No"/>
    <s v="No"/>
    <x v="0"/>
    <n v="0"/>
    <x v="0"/>
    <x v="0"/>
    <s v="Prediabetes"/>
    <n v="1992"/>
    <s v="Sep"/>
    <n v="13"/>
    <n v="0"/>
    <d v="1992-09-13T00:00:00"/>
    <n v="604.54"/>
    <s v="tier - 3"/>
    <s v="tier - 3"/>
    <s v="R1013"/>
    <n v="30"/>
  </r>
  <r>
    <s v="Id5"/>
    <s v="Kadala, Ms.  Kristyn"/>
    <n v="35.53"/>
    <n v="5.45"/>
    <s v="No"/>
    <s v="No"/>
    <x v="0"/>
    <n v="0"/>
    <x v="0"/>
    <x v="0"/>
    <s v="Normal"/>
    <n v="1998"/>
    <s v="Jul"/>
    <n v="27"/>
    <n v="0"/>
    <d v="1998-07-27T00:00:00"/>
    <n v="637.26"/>
    <s v="tier - 3"/>
    <s v="tier - 3"/>
    <s v="R1013"/>
    <n v="24"/>
  </r>
  <r>
    <s v="Id6"/>
    <s v="Baker, Mr.  Russell B."/>
    <n v="32.799999999999997"/>
    <n v="6.59"/>
    <s v="No"/>
    <s v="No"/>
    <x v="0"/>
    <n v="0"/>
    <x v="0"/>
    <x v="0"/>
    <s v="Diabetes"/>
    <n v="2001"/>
    <s v="Nov"/>
    <n v="20"/>
    <n v="0"/>
    <d v="2001-11-20T00:00:00"/>
    <n v="646.14"/>
    <s v="tier - 3"/>
    <s v="tier - 3"/>
    <s v="R1012"/>
    <n v="21"/>
  </r>
  <r>
    <s v="Id7"/>
    <s v="Macpherson, Mr.  Scott"/>
    <n v="36.4"/>
    <n v="6.07"/>
    <s v="No"/>
    <s v="No"/>
    <x v="0"/>
    <n v="0"/>
    <x v="0"/>
    <x v="0"/>
    <s v="Prediabetes"/>
    <n v="1993"/>
    <s v="Jun"/>
    <n v="1"/>
    <n v="0"/>
    <d v="1993-06-01T00:00:00"/>
    <n v="650"/>
    <s v="tier - 3"/>
    <s v="tier - 3"/>
    <s v="R1013"/>
    <n v="30"/>
  </r>
  <r>
    <s v="Id8"/>
    <s v="Hallman, Mr.  Stephen"/>
    <n v="36.96"/>
    <n v="7.93"/>
    <s v="No"/>
    <s v="No"/>
    <x v="0"/>
    <n v="3"/>
    <x v="0"/>
    <x v="0"/>
    <s v="Diabetes"/>
    <n v="1995"/>
    <s v="Jul"/>
    <n v="4"/>
    <n v="0"/>
    <d v="1995-07-04T00:00:00"/>
    <n v="650"/>
    <s v="tier - 3"/>
    <s v="tier - 3"/>
    <s v="R1013"/>
    <n v="27"/>
  </r>
  <r>
    <s v="Id9"/>
    <s v="Moran, Mr.  Patrick R."/>
    <n v="41.14"/>
    <n v="9.58"/>
    <s v="yes"/>
    <s v="No"/>
    <x v="1"/>
    <n v="1"/>
    <x v="0"/>
    <x v="0"/>
    <s v="Diabetes"/>
    <n v="2002"/>
    <s v="Nov"/>
    <n v="29"/>
    <n v="0"/>
    <d v="2002-11-29T00:00:00"/>
    <n v="668"/>
    <s v="tier - 3"/>
    <s v="tier - 2"/>
    <s v="R1012"/>
    <n v="20"/>
  </r>
  <r>
    <s v="Id10"/>
    <s v="Benner, Ms.  Brooke N."/>
    <n v="38.06"/>
    <n v="10.79"/>
    <s v="No"/>
    <s v="No"/>
    <x v="0"/>
    <n v="0"/>
    <x v="0"/>
    <x v="0"/>
    <s v="Diabetes"/>
    <n v="1997"/>
    <s v="Nov"/>
    <n v="9"/>
    <n v="0"/>
    <d v="1997-11-09T00:00:00"/>
    <n v="670"/>
    <s v="tier - 3"/>
    <s v="tier - 3"/>
    <s v="R1013"/>
    <n v="25"/>
  </r>
  <r>
    <s v="Id11"/>
    <s v="Fierro Vargas, Ms.  Paola Andrea"/>
    <n v="37.700000000000003"/>
    <n v="5.96"/>
    <s v="yes"/>
    <s v="No"/>
    <x v="0"/>
    <n v="2"/>
    <x v="0"/>
    <x v="0"/>
    <s v="Prediabetes"/>
    <n v="2001"/>
    <s v="Sep"/>
    <n v="12"/>
    <n v="0"/>
    <d v="2001-09-12T00:00:00"/>
    <n v="687.54"/>
    <s v="tier - 3"/>
    <s v="tier - 2"/>
    <s v="R1013"/>
    <n v="21"/>
  </r>
  <r>
    <s v="Id12"/>
    <s v="Franz, Mr.  David"/>
    <n v="42.13"/>
    <n v="11.9"/>
    <s v="No"/>
    <s v="No"/>
    <x v="0"/>
    <n v="0"/>
    <x v="0"/>
    <x v="0"/>
    <s v="Diabetes"/>
    <n v="1999"/>
    <s v="Dec"/>
    <n v="26"/>
    <n v="0"/>
    <d v="1999-12-26T00:00:00"/>
    <n v="700"/>
    <s v="?"/>
    <s v="tier - 3"/>
    <s v="R1013"/>
    <n v="23"/>
  </r>
  <r>
    <s v="Id13"/>
    <s v="Foster, Mr.  Wade"/>
    <n v="40.92"/>
    <n v="8.41"/>
    <s v="No"/>
    <s v="No"/>
    <x v="0"/>
    <n v="0"/>
    <x v="0"/>
    <x v="0"/>
    <s v="Diabetes"/>
    <n v="1999"/>
    <s v="Dec"/>
    <n v="14"/>
    <n v="0"/>
    <d v="1999-12-14T00:00:00"/>
    <n v="722.99"/>
    <s v="tier - 3"/>
    <s v="tier - 1"/>
    <s v="R1013"/>
    <n v="23"/>
  </r>
  <r>
    <s v="Id14"/>
    <s v="Tenorio, Mr.  Franklin"/>
    <n v="40.564999999999998"/>
    <n v="7.02"/>
    <s v="No"/>
    <s v="No"/>
    <x v="0"/>
    <n v="0"/>
    <x v="0"/>
    <x v="0"/>
    <s v="Diabetes"/>
    <n v="2002"/>
    <s v="?"/>
    <n v="19"/>
    <n v="0"/>
    <e v="#VALUE!"/>
    <n v="750"/>
    <s v="tier - 3"/>
    <s v="tier - 1"/>
    <s v="R1012"/>
    <e v="#VALUE!"/>
  </r>
  <r>
    <s v="Id15"/>
    <s v="Rios, Ms.  Leilani M."/>
    <n v="36.384999999999998"/>
    <n v="7.59"/>
    <s v="yes"/>
    <s v="No"/>
    <x v="0"/>
    <n v="2"/>
    <x v="0"/>
    <x v="0"/>
    <s v="Diabetes"/>
    <n v="1993"/>
    <s v="Aug"/>
    <n v="9"/>
    <n v="0"/>
    <d v="1993-08-09T00:00:00"/>
    <n v="760"/>
    <s v="tier - 3"/>
    <s v="tier - 1"/>
    <s v="R1013"/>
    <n v="29"/>
  </r>
  <r>
    <s v="Id16"/>
    <s v="Viau-Dupuis, Mr.  Philippe"/>
    <n v="39.9"/>
    <n v="11.32"/>
    <s v="No"/>
    <s v="No"/>
    <x v="0"/>
    <n v="0"/>
    <x v="0"/>
    <x v="0"/>
    <s v="Diabetes"/>
    <n v="1996"/>
    <s v="Oct"/>
    <n v="22"/>
    <n v="0"/>
    <d v="1996-10-22T00:00:00"/>
    <n v="760"/>
    <s v="tier - 3"/>
    <s v="tier - 3"/>
    <s v="R1013"/>
    <n v="26"/>
  </r>
  <r>
    <s v="Id17"/>
    <s v="Cronin, Ms.  Jennifer A."/>
    <n v="33.799999999999997"/>
    <n v="7.67"/>
    <s v="No"/>
    <s v="No"/>
    <x v="0"/>
    <n v="3"/>
    <x v="0"/>
    <x v="0"/>
    <s v="Diabetes"/>
    <n v="1993"/>
    <s v="Jun"/>
    <n v="28"/>
    <n v="0"/>
    <d v="1993-06-28T00:00:00"/>
    <n v="770"/>
    <s v="tier - 3"/>
    <s v="tier - 3"/>
    <s v="R1013"/>
    <n v="29"/>
  </r>
  <r>
    <s v="Id18"/>
    <s v="Noordstar, Ms.  Christina M."/>
    <n v="36.765000000000001"/>
    <n v="7.29"/>
    <s v="yes"/>
    <s v="No"/>
    <x v="1"/>
    <n v="1"/>
    <x v="0"/>
    <x v="0"/>
    <s v="Diabetes"/>
    <n v="1996"/>
    <s v="?"/>
    <n v="18"/>
    <n v="0"/>
    <e v="#VALUE!"/>
    <n v="770.38"/>
    <s v="tier - 3"/>
    <s v="?"/>
    <s v="R1012"/>
    <e v="#VALUE!"/>
  </r>
  <r>
    <s v="Id19"/>
    <s v="Boudalia, Mr.  Said Sr."/>
    <n v="36.954999999999998"/>
    <n v="4.72"/>
    <s v="yes"/>
    <s v="No"/>
    <x v="0"/>
    <n v="1"/>
    <x v="0"/>
    <x v="0"/>
    <s v="Normal"/>
    <n v="1995"/>
    <s v="Dec"/>
    <n v="7"/>
    <n v="0"/>
    <d v="1995-12-07T00:00:00"/>
    <n v="773.54"/>
    <s v="tier - 3"/>
    <s v="tier - 2"/>
    <s v="R1013"/>
    <n v="27"/>
  </r>
  <r>
    <s v="Id20"/>
    <s v="Flor, Mr.  John"/>
    <n v="42.9"/>
    <n v="11.41"/>
    <s v="No"/>
    <s v="No"/>
    <x v="0"/>
    <n v="0"/>
    <x v="0"/>
    <x v="0"/>
    <s v="Diabetes"/>
    <n v="2004"/>
    <s v="Oct"/>
    <n v="7"/>
    <n v="0"/>
    <d v="2004-10-07T00:00:00"/>
    <n v="830.52"/>
    <s v="tier - 3"/>
    <s v="tier - 2"/>
    <s v="R1011"/>
    <n v="18"/>
  </r>
  <r>
    <s v="Id21"/>
    <s v="Fennon, Mr.  Myles"/>
    <n v="36.299999999999997"/>
    <n v="11.5"/>
    <s v="yes"/>
    <s v="No"/>
    <x v="0"/>
    <n v="2"/>
    <x v="0"/>
    <x v="0"/>
    <s v="Diabetes"/>
    <n v="2000"/>
    <s v="Nov"/>
    <n v="18"/>
    <n v="0"/>
    <d v="2000-11-18T00:00:00"/>
    <n v="865.41"/>
    <s v="tier - 3"/>
    <s v="tier - 1"/>
    <s v="R1013"/>
    <n v="22"/>
  </r>
  <r>
    <s v="Id22"/>
    <s v="Hribar, Ms.  Madelyn C"/>
    <n v="32.200000000000003"/>
    <n v="6.22"/>
    <s v="yes"/>
    <s v="No"/>
    <x v="0"/>
    <n v="2"/>
    <x v="0"/>
    <x v="0"/>
    <s v="Prediabetes"/>
    <n v="1993"/>
    <s v="Nov"/>
    <n v="27"/>
    <n v="0"/>
    <d v="1993-11-27T00:00:00"/>
    <n v="896.21"/>
    <s v="tier - 3"/>
    <s v="tier - 1"/>
    <s v="R1013"/>
    <n v="29"/>
  </r>
  <r>
    <s v="Id23"/>
    <s v="Tassello, Ms.  Nicole"/>
    <n v="31.3"/>
    <n v="11.38"/>
    <s v="No"/>
    <s v="No"/>
    <x v="0"/>
    <n v="3"/>
    <x v="0"/>
    <x v="0"/>
    <s v="Diabetes"/>
    <n v="1994"/>
    <s v="Oct"/>
    <n v="30"/>
    <n v="0"/>
    <d v="1994-10-30T00:00:00"/>
    <n v="915.07"/>
    <s v="tier - 3"/>
    <s v="tier - 1"/>
    <s v="R1013"/>
    <n v="28"/>
  </r>
  <r>
    <s v="Id24"/>
    <s v="Mauricette, Mr.  Eric A."/>
    <n v="41.8"/>
    <n v="7.89"/>
    <s v="yes"/>
    <s v="No"/>
    <x v="0"/>
    <n v="2"/>
    <x v="0"/>
    <x v="0"/>
    <s v="Diabetes"/>
    <n v="1995"/>
    <s v="Oct"/>
    <n v="28"/>
    <n v="0"/>
    <d v="1995-10-28T00:00:00"/>
    <n v="928.59"/>
    <s v="tier - 3"/>
    <s v="tier - 1"/>
    <s v="R1013"/>
    <n v="27"/>
  </r>
  <r>
    <s v="Id25"/>
    <s v="Garcia, Mr.  Emiliano I."/>
    <n v="35.090000000000003"/>
    <n v="4.38"/>
    <s v="yes"/>
    <s v="No"/>
    <x v="0"/>
    <n v="2"/>
    <x v="0"/>
    <x v="0"/>
    <s v="Normal"/>
    <n v="2001"/>
    <s v="Aug"/>
    <n v="19"/>
    <n v="0"/>
    <d v="2001-08-19T00:00:00"/>
    <n v="964.71"/>
    <s v="tier - 3"/>
    <s v="tier - 2"/>
    <s v="R1013"/>
    <n v="21"/>
  </r>
  <r>
    <s v="Id26"/>
    <s v="Airoldi, Mr.  Adam"/>
    <n v="33.880000000000003"/>
    <n v="7.01"/>
    <s v="No"/>
    <s v="No"/>
    <x v="0"/>
    <n v="3"/>
    <x v="0"/>
    <x v="0"/>
    <s v="Diabetes"/>
    <n v="1994"/>
    <s v="Nov"/>
    <n v="22"/>
    <n v="0"/>
    <d v="1994-11-22T00:00:00"/>
    <n v="1006.65"/>
    <s v="tier - 3"/>
    <s v="tier - 2"/>
    <s v="R1013"/>
    <n v="28"/>
  </r>
  <r>
    <s v="Id27"/>
    <s v="Cater-Cyker, Mr.  Zach"/>
    <n v="30.875"/>
    <n v="11.88"/>
    <s v="No"/>
    <s v="No"/>
    <x v="0"/>
    <n v="0"/>
    <x v="0"/>
    <x v="0"/>
    <s v="Diabetes"/>
    <n v="2000"/>
    <s v="Oct"/>
    <n v="9"/>
    <n v="0"/>
    <d v="2000-10-09T00:00:00"/>
    <n v="1012"/>
    <s v="tier - 3"/>
    <s v="tier - 2"/>
    <s v="R1013"/>
    <n v="22"/>
  </r>
  <r>
    <s v="Id28"/>
    <s v="Hamm, Ms.  Stephanie W."/>
    <n v="36.86"/>
    <n v="5.19"/>
    <s v="yes"/>
    <s v="No"/>
    <x v="1"/>
    <n v="1"/>
    <x v="0"/>
    <x v="0"/>
    <s v="Normal"/>
    <n v="1999"/>
    <s v="Aug"/>
    <n v="5"/>
    <n v="0"/>
    <d v="1999-08-05T00:00:00"/>
    <n v="1019"/>
    <s v="tier - 3"/>
    <s v="tier - 2"/>
    <s v="R1013"/>
    <n v="23"/>
  </r>
  <r>
    <s v="Id29"/>
    <s v="Cox, Mr.  Stephen"/>
    <n v="35.86"/>
    <n v="6.74"/>
    <s v="yes"/>
    <s v="No"/>
    <x v="0"/>
    <n v="2"/>
    <x v="0"/>
    <x v="0"/>
    <s v="Diabetes"/>
    <n v="1995"/>
    <s v="Oct"/>
    <n v="5"/>
    <n v="0"/>
    <d v="1995-10-05T00:00:00"/>
    <n v="1033.74"/>
    <s v="tier - 3"/>
    <s v="tier - 1"/>
    <s v="R1013"/>
    <n v="27"/>
  </r>
  <r>
    <s v="Id30"/>
    <s v="Sachrajda, Ms.  Natalie"/>
    <n v="37.049999999999997"/>
    <n v="8.44"/>
    <s v="No"/>
    <s v="No"/>
    <x v="0"/>
    <n v="0"/>
    <x v="0"/>
    <x v="0"/>
    <s v="Diabetes"/>
    <n v="1994"/>
    <s v="Nov"/>
    <n v="17"/>
    <n v="0"/>
    <d v="1994-11-17T00:00:00"/>
    <n v="1044"/>
    <s v="tier - 3"/>
    <s v="tier - 2"/>
    <s v="R1013"/>
    <n v="28"/>
  </r>
  <r>
    <s v="Id31"/>
    <s v="Gareri, Ms.  Nicole J."/>
    <n v="43.89"/>
    <n v="8.7100000000000009"/>
    <s v="No"/>
    <s v="No"/>
    <x v="0"/>
    <n v="0"/>
    <x v="0"/>
    <x v="0"/>
    <s v="Diabetes"/>
    <n v="2002"/>
    <s v="Jul"/>
    <n v="20"/>
    <n v="0"/>
    <d v="2002-07-20T00:00:00"/>
    <n v="1047"/>
    <s v="tier - 3"/>
    <s v="tier - 1"/>
    <s v="R1013"/>
    <n v="20"/>
  </r>
  <r>
    <s v="Id32"/>
    <s v="Welch, Mr.  Jefferson D"/>
    <n v="42.35"/>
    <n v="5.08"/>
    <s v="yes"/>
    <s v="No"/>
    <x v="0"/>
    <n v="0"/>
    <x v="0"/>
    <x v="0"/>
    <s v="Normal"/>
    <n v="2002"/>
    <s v="Jul"/>
    <n v="1"/>
    <n v="0"/>
    <d v="2002-07-01T00:00:00"/>
    <n v="1049"/>
    <s v="tier - 3"/>
    <s v="tier - 2"/>
    <s v="R1012"/>
    <n v="20"/>
  </r>
  <r>
    <s v="Id33"/>
    <s v="Prindiville, Mr.  Brendan D."/>
    <n v="31.35"/>
    <n v="6.86"/>
    <s v="No"/>
    <s v="No"/>
    <x v="0"/>
    <n v="0"/>
    <x v="0"/>
    <x v="0"/>
    <s v="Diabetes"/>
    <n v="1995"/>
    <s v="Jun"/>
    <n v="1"/>
    <n v="0"/>
    <d v="1995-06-01T00:00:00"/>
    <n v="1056"/>
    <s v="tier - 3"/>
    <s v="tier - 2"/>
    <s v="R1013"/>
    <n v="28"/>
  </r>
  <r>
    <s v="Id34"/>
    <s v="Kincaid, Ms.  Courtney"/>
    <n v="47.6"/>
    <n v="5.95"/>
    <s v="yes"/>
    <s v="No"/>
    <x v="0"/>
    <n v="0"/>
    <x v="0"/>
    <x v="0"/>
    <s v="Prediabetes"/>
    <n v="1993"/>
    <s v="Sep"/>
    <n v="28"/>
    <n v="0"/>
    <d v="1993-09-28T00:00:00"/>
    <n v="1068"/>
    <s v="tier - 3"/>
    <s v="tier - 1"/>
    <s v="R1013"/>
    <n v="29"/>
  </r>
  <r>
    <s v="Id35"/>
    <s v="Bruestle, Ms.  Sydney L."/>
    <n v="46.2"/>
    <n v="6.09"/>
    <s v="No"/>
    <s v="No"/>
    <x v="1"/>
    <n v="1"/>
    <x v="0"/>
    <x v="0"/>
    <s v="Prediabetes"/>
    <n v="2004"/>
    <s v="Aug"/>
    <n v="24"/>
    <n v="0"/>
    <d v="2004-08-24T00:00:00"/>
    <n v="1070"/>
    <s v="tier - 3"/>
    <s v="tier - 3"/>
    <s v="R1013"/>
    <n v="18"/>
  </r>
  <r>
    <s v="Id36"/>
    <s v="Lachance, Mr.  Julien"/>
    <n v="32.015000000000001"/>
    <n v="11.75"/>
    <s v="No"/>
    <s v="No"/>
    <x v="0"/>
    <n v="0"/>
    <x v="0"/>
    <x v="0"/>
    <s v="Diabetes"/>
    <n v="1997"/>
    <s v="Aug"/>
    <n v="13"/>
    <n v="0"/>
    <d v="1997-08-13T00:00:00"/>
    <n v="1071"/>
    <s v="tier - 3"/>
    <s v="tier - 3"/>
    <s v="R1013"/>
    <n v="25"/>
  </r>
  <r>
    <s v="Id37"/>
    <s v="Eason, Mr.  Ryan M"/>
    <n v="40.564999999999998"/>
    <n v="7.37"/>
    <s v="No"/>
    <s v="No"/>
    <x v="0"/>
    <n v="0"/>
    <x v="0"/>
    <x v="0"/>
    <s v="Diabetes"/>
    <n v="1998"/>
    <s v="Dec"/>
    <n v="26"/>
    <n v="0"/>
    <d v="1998-12-26T00:00:00"/>
    <n v="1082"/>
    <s v="tier - 3"/>
    <s v="tier - 2"/>
    <s v="R1013"/>
    <n v="24"/>
  </r>
  <r>
    <s v="Id38"/>
    <s v="Grummon, Ms.  Anna H."/>
    <n v="32.450000000000003"/>
    <n v="11.91"/>
    <s v="No"/>
    <s v="No"/>
    <x v="0"/>
    <n v="0"/>
    <x v="0"/>
    <x v="0"/>
    <s v="Diabetes"/>
    <n v="2002"/>
    <s v="Aug"/>
    <n v="13"/>
    <n v="0"/>
    <d v="2002-08-13T00:00:00"/>
    <n v="1086"/>
    <s v="tier - 3"/>
    <s v="tier - 3"/>
    <s v="R1013"/>
    <n v="20"/>
  </r>
  <r>
    <s v="Id39"/>
    <s v="Vanwechel, Ms.  Samantha"/>
    <n v="34.96"/>
    <n v="6.52"/>
    <s v="No"/>
    <s v="No"/>
    <x v="0"/>
    <n v="0"/>
    <x v="0"/>
    <x v="0"/>
    <s v="Diabetes"/>
    <n v="2004"/>
    <s v="Nov"/>
    <n v="12"/>
    <n v="0"/>
    <d v="2004-11-12T00:00:00"/>
    <n v="1121.8699999999999"/>
    <s v="tier - 3"/>
    <s v="tier - 1"/>
    <s v="R1013"/>
    <n v="18"/>
  </r>
  <r>
    <s v="Id40"/>
    <s v="Fisher, Mr.  Robert"/>
    <n v="35.5"/>
    <n v="5.14"/>
    <s v="No"/>
    <s v="No"/>
    <x v="1"/>
    <n v="1"/>
    <x v="0"/>
    <x v="0"/>
    <s v="Normal"/>
    <n v="2004"/>
    <s v="Jun"/>
    <n v="14"/>
    <n v="0"/>
    <d v="2004-06-14T00:00:00"/>
    <n v="1131.51"/>
    <s v="tier - 3"/>
    <s v="tier - 1"/>
    <s v="R1013"/>
    <n v="18"/>
  </r>
  <r>
    <s v="Id41"/>
    <s v="Jenkins, Mr.  James R."/>
    <n v="52.58"/>
    <n v="4.1900000000000004"/>
    <s v="No"/>
    <s v="yes"/>
    <x v="0"/>
    <n v="1"/>
    <x v="0"/>
    <x v="0"/>
    <s v="Normal"/>
    <n v="2002"/>
    <s v="Jul"/>
    <n v="19"/>
    <n v="0"/>
    <d v="2002-07-19T00:00:00"/>
    <n v="1132"/>
    <s v="tier - 3"/>
    <s v="tier - 1"/>
    <s v="R1013"/>
    <n v="20"/>
  </r>
  <r>
    <s v="Id42"/>
    <s v="Peters, Ms.  Roseann"/>
    <n v="35.200000000000003"/>
    <n v="11.68"/>
    <s v="yes"/>
    <s v="No"/>
    <x v="0"/>
    <n v="0"/>
    <x v="0"/>
    <x v="0"/>
    <s v="Diabetes"/>
    <n v="2004"/>
    <s v="Oct"/>
    <n v="6"/>
    <n v="0"/>
    <d v="2004-10-06T00:00:00"/>
    <n v="1135"/>
    <s v="tier - 3"/>
    <s v="tier - 3"/>
    <s v="R1013"/>
    <n v="18"/>
  </r>
  <r>
    <s v="Id43"/>
    <s v="Aha, Ms.  Nicole"/>
    <n v="38.06"/>
    <n v="6.98"/>
    <s v="No"/>
    <s v="No"/>
    <x v="0"/>
    <n v="0"/>
    <x v="0"/>
    <x v="0"/>
    <s v="Diabetes"/>
    <n v="2004"/>
    <s v="Jun"/>
    <n v="11"/>
    <n v="0"/>
    <d v="2004-06-11T00:00:00"/>
    <n v="1135.94"/>
    <s v="tier - 3"/>
    <s v="tier - 3"/>
    <s v="R1013"/>
    <n v="18"/>
  </r>
  <r>
    <s v="Id44"/>
    <s v="McElwain, Mr.  Spencer"/>
    <n v="34.21"/>
    <n v="8.34"/>
    <s v="No"/>
    <s v="No"/>
    <x v="0"/>
    <n v="0"/>
    <x v="0"/>
    <x v="0"/>
    <s v="Diabetes"/>
    <n v="2004"/>
    <s v="Nov"/>
    <n v="28"/>
    <n v="0"/>
    <d v="2004-11-28T00:00:00"/>
    <n v="1136.4000000000001"/>
    <s v="tier - 3"/>
    <s v="tier - 3"/>
    <s v="R1013"/>
    <n v="18"/>
  </r>
  <r>
    <s v="Id45"/>
    <s v="Januszewski, Mr.  Eric W"/>
    <n v="38.94"/>
    <n v="8.49"/>
    <s v="yes"/>
    <s v="No"/>
    <x v="0"/>
    <n v="1"/>
    <x v="0"/>
    <x v="0"/>
    <s v="Diabetes"/>
    <n v="2002"/>
    <s v="Aug"/>
    <n v="11"/>
    <n v="0"/>
    <d v="2002-08-11T00:00:00"/>
    <n v="1137"/>
    <s v="tier - 3"/>
    <s v="tier - 1"/>
    <s v="R1013"/>
    <n v="20"/>
  </r>
  <r>
    <s v="Id46"/>
    <s v="Rohne, Ms.  Brianna L"/>
    <n v="30.21"/>
    <n v="5.34"/>
    <s v="yes"/>
    <s v="No"/>
    <x v="0"/>
    <n v="1"/>
    <x v="0"/>
    <x v="0"/>
    <s v="Normal"/>
    <n v="2004"/>
    <s v="Nov"/>
    <n v="6"/>
    <n v="0"/>
    <d v="2004-11-06T00:00:00"/>
    <n v="1137.01"/>
    <s v="tier - 3"/>
    <s v="tier - 1"/>
    <s v="R1013"/>
    <n v="18"/>
  </r>
  <r>
    <s v="Id47"/>
    <s v="O'Grady, Mr.  Thomas J."/>
    <n v="33.630000000000003"/>
    <n v="4.43"/>
    <s v="yes"/>
    <s v="No"/>
    <x v="0"/>
    <n v="2"/>
    <x v="0"/>
    <x v="0"/>
    <s v="Normal"/>
    <n v="2004"/>
    <s v="Oct"/>
    <n v="15"/>
    <n v="0"/>
    <d v="2004-10-15T00:00:00"/>
    <n v="1137.01"/>
    <s v="tier - 3"/>
    <s v="tier - 1"/>
    <s v="R1013"/>
    <n v="18"/>
  </r>
  <r>
    <s v="Id48"/>
    <s v="Peters, Ms.  Melissa L"/>
    <n v="40.369999999999997"/>
    <n v="4.47"/>
    <s v="No"/>
    <s v="No"/>
    <x v="0"/>
    <n v="0"/>
    <x v="0"/>
    <x v="0"/>
    <s v="Normal"/>
    <n v="2004"/>
    <s v="Nov"/>
    <n v="27"/>
    <n v="0"/>
    <d v="2004-11-27T00:00:00"/>
    <n v="1137.47"/>
    <s v="tier - 3"/>
    <s v="tier - 2"/>
    <s v="R1013"/>
    <n v="18"/>
  </r>
  <r>
    <s v="Id49"/>
    <s v="De Simone, Mr.  Flavio"/>
    <n v="53.09"/>
    <n v="4.82"/>
    <s v="yes"/>
    <s v="No"/>
    <x v="0"/>
    <n v="2"/>
    <x v="0"/>
    <x v="0"/>
    <s v="Normal"/>
    <n v="2001"/>
    <s v="Oct"/>
    <n v="25"/>
    <n v="0"/>
    <d v="2001-10-25T00:00:00"/>
    <n v="1141"/>
    <s v="tier - 3"/>
    <s v="tier - 1"/>
    <s v="R1013"/>
    <n v="21"/>
  </r>
  <r>
    <s v="Id50"/>
    <s v="Beckett, Mr.  Ryan"/>
    <n v="31.79"/>
    <n v="5.51"/>
    <s v="yes"/>
    <s v="No"/>
    <x v="0"/>
    <n v="2"/>
    <x v="0"/>
    <x v="0"/>
    <s v="Normal"/>
    <n v="2004"/>
    <s v="Sep"/>
    <n v="12"/>
    <n v="0"/>
    <d v="2004-09-12T00:00:00"/>
    <n v="1141.45"/>
    <s v="tier - 3"/>
    <s v="tier - 3"/>
    <s v="R1013"/>
    <n v="18"/>
  </r>
  <r>
    <s v="Id51"/>
    <s v="Sobrilsky, Mr.  Anthony J."/>
    <n v="41.895000000000003"/>
    <n v="10.87"/>
    <s v="yes"/>
    <s v="No"/>
    <x v="0"/>
    <n v="1"/>
    <x v="0"/>
    <x v="0"/>
    <s v="Diabetes"/>
    <n v="2002"/>
    <s v="Oct"/>
    <n v="1"/>
    <n v="0"/>
    <d v="2002-10-01T00:00:00"/>
    <n v="1142"/>
    <s v="tier - 3"/>
    <s v="tier - 2"/>
    <s v="R1011"/>
    <n v="20"/>
  </r>
  <r>
    <s v="Id52"/>
    <s v="Wang, Ms.  Alex"/>
    <n v="31.16"/>
    <n v="9.34"/>
    <s v="No"/>
    <s v="No"/>
    <x v="0"/>
    <n v="0"/>
    <x v="0"/>
    <x v="0"/>
    <s v="Diabetes"/>
    <n v="2004"/>
    <s v="Jun"/>
    <n v="10"/>
    <n v="0"/>
    <d v="2004-06-10T00:00:00"/>
    <n v="1146.8"/>
    <s v="tier - 2"/>
    <s v="tier - 2"/>
    <s v="R1013"/>
    <n v="18"/>
  </r>
  <r>
    <s v="Id53"/>
    <s v="Campa, Mr.  David"/>
    <n v="34.104999999999997"/>
    <n v="5.03"/>
    <s v="yes"/>
    <s v="No"/>
    <x v="1"/>
    <n v="1"/>
    <x v="0"/>
    <x v="0"/>
    <s v="Normal"/>
    <n v="2003"/>
    <s v="Jun"/>
    <n v="12"/>
    <n v="0"/>
    <d v="2003-06-12T00:00:00"/>
    <n v="1149"/>
    <s v="tier - 2"/>
    <s v="tier - 1"/>
    <s v="R1012"/>
    <n v="19"/>
  </r>
  <r>
    <s v="Id54"/>
    <s v="Clifford, Mr.  Andrew B"/>
    <n v="51.93"/>
    <n v="11.05"/>
    <s v="No"/>
    <s v="No"/>
    <x v="0"/>
    <n v="0"/>
    <x v="0"/>
    <x v="0"/>
    <s v="Diabetes"/>
    <n v="2004"/>
    <s v="Jul"/>
    <n v="18"/>
    <n v="0"/>
    <d v="2004-07-18T00:00:00"/>
    <n v="1149.4000000000001"/>
    <s v="tier - 2"/>
    <s v="tier - 2"/>
    <s v="R1013"/>
    <n v="18"/>
  </r>
  <r>
    <s v="Id55"/>
    <s v="Dalmata, Ms.  Dara E"/>
    <n v="38.950000000000003"/>
    <n v="11.95"/>
    <s v="No"/>
    <s v="No"/>
    <x v="0"/>
    <n v="0"/>
    <x v="0"/>
    <x v="0"/>
    <s v="Diabetes"/>
    <n v="1994"/>
    <s v="Jul"/>
    <n v="26"/>
    <n v="0"/>
    <d v="1994-07-26T00:00:00"/>
    <n v="1158.32"/>
    <s v="tier - 2"/>
    <s v="tier - 1"/>
    <s v="R1013"/>
    <n v="28"/>
  </r>
  <r>
    <s v="Id56"/>
    <s v="Vishik, Ms.  Inna"/>
    <n v="36.630000000000003"/>
    <n v="7.72"/>
    <s v="yes"/>
    <s v="No"/>
    <x v="0"/>
    <n v="1"/>
    <x v="0"/>
    <x v="0"/>
    <s v="Diabetes"/>
    <n v="2004"/>
    <s v="Nov"/>
    <n v="11"/>
    <n v="0"/>
    <d v="2004-11-11T00:00:00"/>
    <n v="1163.46"/>
    <s v="tier - 2"/>
    <s v="tier - 3"/>
    <s v="R1013"/>
    <n v="18"/>
  </r>
  <r>
    <s v="Id57"/>
    <s v="Schorr, Mr.  Ari"/>
    <n v="34.200000000000003"/>
    <n v="5.75"/>
    <s v="No"/>
    <s v="No"/>
    <x v="0"/>
    <n v="2"/>
    <x v="0"/>
    <x v="0"/>
    <s v="Prediabetes"/>
    <n v="2002"/>
    <s v="Jun"/>
    <n v="11"/>
    <n v="0"/>
    <d v="2002-06-11T00:00:00"/>
    <n v="1165"/>
    <s v="tier - 2"/>
    <s v="tier - 3"/>
    <s v="R1012"/>
    <n v="20"/>
  </r>
  <r>
    <s v="Id58"/>
    <s v="Lusardi, Ms.  Lindsey"/>
    <n v="50.63"/>
    <n v="11.89"/>
    <s v="No"/>
    <s v="No"/>
    <x v="0"/>
    <n v="0"/>
    <x v="0"/>
    <x v="0"/>
    <s v="Diabetes"/>
    <n v="2001"/>
    <s v="Nov"/>
    <n v="12"/>
    <n v="0"/>
    <d v="2001-11-12T00:00:00"/>
    <n v="1167"/>
    <s v="tier - 2"/>
    <s v="tier - 1"/>
    <s v="R1013"/>
    <n v="21"/>
  </r>
  <r>
    <s v="Id59"/>
    <s v="Rayner, Mr.  Kenny"/>
    <n v="36.479999999999997"/>
    <n v="6.2"/>
    <s v="No"/>
    <s v="No"/>
    <x v="0"/>
    <n v="0"/>
    <x v="0"/>
    <x v="0"/>
    <s v="Prediabetes"/>
    <n v="1996"/>
    <s v="Aug"/>
    <n v="11"/>
    <n v="0"/>
    <d v="1996-08-11T00:00:00"/>
    <n v="1178"/>
    <s v="tier - 2"/>
    <s v="tier - 3"/>
    <s v="R1013"/>
    <n v="26"/>
  </r>
  <r>
    <s v="Id60"/>
    <s v="Voghel, Ms.  Louise"/>
    <n v="54.82"/>
    <n v="10.61"/>
    <s v="No"/>
    <s v="No"/>
    <x v="0"/>
    <n v="0"/>
    <x v="0"/>
    <x v="0"/>
    <s v="Diabetes"/>
    <n v="1997"/>
    <s v="Jun"/>
    <n v="28"/>
    <n v="0"/>
    <d v="1997-06-28T00:00:00"/>
    <n v="1178.07"/>
    <s v="tier - 2"/>
    <s v="tier - 2"/>
    <s v="R1013"/>
    <n v="25"/>
  </r>
  <r>
    <s v="Id61"/>
    <s v="Rieth, Mr.  Cameron"/>
    <n v="38.06"/>
    <n v="6.04"/>
    <s v="No"/>
    <s v="No"/>
    <x v="1"/>
    <n v="1"/>
    <x v="0"/>
    <x v="0"/>
    <s v="Prediabetes"/>
    <n v="2002"/>
    <s v="Aug"/>
    <n v="26"/>
    <n v="0"/>
    <d v="2002-08-26T00:00:00"/>
    <n v="1191"/>
    <s v="tier - 2"/>
    <s v="tier - 1"/>
    <s v="R1013"/>
    <n v="20"/>
  </r>
  <r>
    <s v="Id62"/>
    <s v="Gollotto, Ms.  Katie T."/>
    <n v="51.48"/>
    <n v="9.33"/>
    <s v="yes"/>
    <s v="No"/>
    <x v="0"/>
    <n v="0"/>
    <x v="0"/>
    <x v="0"/>
    <s v="Diabetes"/>
    <n v="1999"/>
    <s v="Jun"/>
    <n v="28"/>
    <n v="0"/>
    <d v="1999-06-28T00:00:00"/>
    <n v="1200"/>
    <s v="tier - 2"/>
    <s v="tier - 3"/>
    <s v="R1012"/>
    <n v="23"/>
  </r>
  <r>
    <s v="Id63"/>
    <s v="Dunn, Ms.  Casey"/>
    <n v="52.06"/>
    <n v="11.47"/>
    <s v="No"/>
    <s v="No"/>
    <x v="0"/>
    <n v="0"/>
    <x v="0"/>
    <x v="0"/>
    <s v="Diabetes"/>
    <n v="1992"/>
    <s v="Oct"/>
    <n v="6"/>
    <n v="0"/>
    <d v="1992-10-06T00:00:00"/>
    <n v="1200.55"/>
    <s v="tier - 2"/>
    <s v="tier - 3"/>
    <s v="R1013"/>
    <n v="30"/>
  </r>
  <r>
    <s v="Id64"/>
    <s v="Blitzer, Mr.  David"/>
    <n v="30.684999999999999"/>
    <n v="7.02"/>
    <s v="yes"/>
    <s v="No"/>
    <x v="0"/>
    <n v="0"/>
    <x v="0"/>
    <x v="0"/>
    <s v="Diabetes"/>
    <n v="2004"/>
    <s v="Jun"/>
    <n v="2"/>
    <n v="0"/>
    <d v="2004-06-02T00:00:00"/>
    <n v="1210"/>
    <s v="tier - 2"/>
    <s v="tier - 1"/>
    <s v="R1013"/>
    <n v="19"/>
  </r>
  <r>
    <s v="Id65"/>
    <s v="Smith, Mr.  Bryson C."/>
    <n v="36.08"/>
    <n v="8.8000000000000007"/>
    <s v="yes"/>
    <s v="No"/>
    <x v="0"/>
    <n v="1"/>
    <x v="0"/>
    <x v="0"/>
    <s v="Diabetes"/>
    <n v="1996"/>
    <s v="Nov"/>
    <n v="4"/>
    <n v="0"/>
    <d v="1996-11-04T00:00:00"/>
    <n v="1220"/>
    <s v="tier - 2"/>
    <s v="tier - 3"/>
    <s v="R1012"/>
    <n v="26"/>
  </r>
  <r>
    <s v="Id66"/>
    <s v="Hyland, Ms.  Megan"/>
    <n v="54.99"/>
    <n v="8.68"/>
    <s v="No"/>
    <s v="No"/>
    <x v="0"/>
    <n v="2"/>
    <x v="0"/>
    <x v="0"/>
    <s v="Diabetes"/>
    <n v="2004"/>
    <s v="Jul"/>
    <n v="9"/>
    <n v="0"/>
    <d v="2004-07-09T00:00:00"/>
    <n v="1224"/>
    <s v="tier - 2"/>
    <s v="tier - 1"/>
    <s v="R1013"/>
    <n v="18"/>
  </r>
  <r>
    <s v="Id67"/>
    <s v="Ducharme, Mr.  Daniel"/>
    <n v="35.97"/>
    <n v="6.12"/>
    <s v="No"/>
    <s v="No"/>
    <x v="1"/>
    <n v="1"/>
    <x v="0"/>
    <x v="0"/>
    <s v="Prediabetes"/>
    <n v="2004"/>
    <s v="Oct"/>
    <n v="16"/>
    <n v="0"/>
    <d v="2004-10-16T00:00:00"/>
    <n v="1228"/>
    <s v="tier - 2"/>
    <s v="tier - 1"/>
    <s v="R1012"/>
    <n v="18"/>
  </r>
  <r>
    <s v="Id68"/>
    <s v="Johnson, Mr.  Steven M."/>
    <n v="45.54"/>
    <n v="5.4"/>
    <s v="yes"/>
    <s v="No"/>
    <x v="1"/>
    <n v="1"/>
    <x v="0"/>
    <x v="0"/>
    <s v="Normal"/>
    <n v="1998"/>
    <s v="Jul"/>
    <n v="13"/>
    <n v="0"/>
    <d v="1998-07-13T00:00:00"/>
    <n v="1234"/>
    <s v="tier - 2"/>
    <s v="tier - 1"/>
    <s v="R1013"/>
    <n v="24"/>
  </r>
  <r>
    <s v="Id69"/>
    <s v="Mutz, Ms.  Jenna L."/>
    <n v="35.53"/>
    <n v="4.3600000000000003"/>
    <s v="yes"/>
    <s v="No"/>
    <x v="0"/>
    <n v="0"/>
    <x v="0"/>
    <x v="0"/>
    <s v="Normal"/>
    <n v="2002"/>
    <s v="Dec"/>
    <n v="12"/>
    <n v="0"/>
    <d v="2002-12-12T00:00:00"/>
    <n v="1237"/>
    <s v="tier - 2"/>
    <s v="tier - 2"/>
    <s v="R1013"/>
    <n v="20"/>
  </r>
  <r>
    <s v="Id70"/>
    <s v="Lee, Mr.  Freeman"/>
    <n v="30.8"/>
    <n v="9.77"/>
    <s v="No"/>
    <s v="No"/>
    <x v="0"/>
    <n v="0"/>
    <x v="0"/>
    <x v="0"/>
    <s v="Diabetes"/>
    <n v="1998"/>
    <s v="Oct"/>
    <n v="11"/>
    <n v="0"/>
    <d v="1998-10-11T00:00:00"/>
    <n v="1240"/>
    <s v="tier - 2"/>
    <s v="tier - 1"/>
    <s v="R1012"/>
    <n v="24"/>
  </r>
  <r>
    <s v="Id71"/>
    <s v="Turner, Mr.  Jeff"/>
    <n v="38.39"/>
    <n v="4.25"/>
    <s v="No"/>
    <s v="No"/>
    <x v="0"/>
    <n v="1"/>
    <x v="0"/>
    <x v="0"/>
    <s v="Normal"/>
    <n v="2002"/>
    <s v="Jul"/>
    <n v="1"/>
    <n v="0"/>
    <d v="2002-07-01T00:00:00"/>
    <n v="1241"/>
    <s v="tier - 2"/>
    <s v="tier - 2"/>
    <s v="R1013"/>
    <n v="20"/>
  </r>
  <r>
    <s v="Id72"/>
    <s v="Rangel, Mr.  Elenilton V. Sr."/>
    <n v="32.299999999999997"/>
    <n v="4.76"/>
    <s v="No"/>
    <s v="No"/>
    <x v="0"/>
    <n v="2"/>
    <x v="0"/>
    <x v="0"/>
    <s v="Normal"/>
    <n v="2003"/>
    <s v="Aug"/>
    <n v="2"/>
    <n v="0"/>
    <d v="2003-08-02T00:00:00"/>
    <n v="1241.57"/>
    <s v="tier - 2"/>
    <s v="tier - 2"/>
    <s v="R1011"/>
    <n v="19"/>
  </r>
  <r>
    <s v="Id73"/>
    <s v="Lacey, Ms.  Maurya"/>
    <n v="48.8"/>
    <n v="6.22"/>
    <s v="yes"/>
    <s v="No"/>
    <x v="0"/>
    <n v="2"/>
    <x v="0"/>
    <x v="0"/>
    <s v="Prediabetes"/>
    <n v="2003"/>
    <s v="Sep"/>
    <n v="15"/>
    <n v="0"/>
    <d v="2003-09-15T00:00:00"/>
    <n v="1242.26"/>
    <s v="tier - 2"/>
    <s v="tier - 1"/>
    <s v="R1011"/>
    <n v="19"/>
  </r>
  <r>
    <s v="Id74"/>
    <s v="Stiger, Ms.  Samantha C"/>
    <n v="45.5"/>
    <n v="7.96"/>
    <s v="No"/>
    <s v="No"/>
    <x v="0"/>
    <n v="0"/>
    <x v="0"/>
    <x v="0"/>
    <s v="Diabetes"/>
    <n v="2003"/>
    <s v="Sep"/>
    <n v="8"/>
    <n v="0"/>
    <d v="2003-09-08T00:00:00"/>
    <n v="1242.82"/>
    <s v="tier - 2"/>
    <s v="tier - 1"/>
    <s v="R1011"/>
    <n v="19"/>
  </r>
  <r>
    <s v="Id75"/>
    <s v="Caldwell, Ms.  Bethany A"/>
    <n v="53.61"/>
    <n v="10.92"/>
    <s v="yes"/>
    <s v="No"/>
    <x v="0"/>
    <n v="1"/>
    <x v="0"/>
    <x v="0"/>
    <s v="Diabetes"/>
    <n v="2003"/>
    <s v="Sep"/>
    <n v="15"/>
    <n v="0"/>
    <d v="2003-09-15T00:00:00"/>
    <n v="1252.4100000000001"/>
    <s v="tier - 2"/>
    <s v="tier - 3"/>
    <s v="R1011"/>
    <n v="19"/>
  </r>
  <r>
    <s v="Id76"/>
    <s v="Marmillod, Mr.  Yves"/>
    <n v="36.19"/>
    <n v="11.51"/>
    <s v="yes"/>
    <s v="No"/>
    <x v="0"/>
    <n v="1"/>
    <x v="0"/>
    <x v="0"/>
    <s v="Diabetes"/>
    <n v="1997"/>
    <s v="Nov"/>
    <n v="4"/>
    <n v="0"/>
    <d v="1997-11-04T00:00:00"/>
    <n v="1253"/>
    <s v="tier - 2"/>
    <s v="tier - 2"/>
    <s v="R1013"/>
    <n v="25"/>
  </r>
  <r>
    <s v="Id77"/>
    <s v="Cloutier-Simons, Ms.  Danielle"/>
    <n v="34.6"/>
    <n v="5.99"/>
    <s v="yes"/>
    <s v="No"/>
    <x v="0"/>
    <n v="0"/>
    <x v="0"/>
    <x v="0"/>
    <s v="Prediabetes"/>
    <n v="2003"/>
    <s v="Dec"/>
    <n v="10"/>
    <n v="0"/>
    <d v="2003-12-10T00:00:00"/>
    <n v="1253.94"/>
    <s v="tier - 2"/>
    <s v="tier - 2"/>
    <s v="R1011"/>
    <n v="19"/>
  </r>
  <r>
    <s v="Id78"/>
    <s v="Vegas, Ms.  Julia"/>
    <n v="54.12"/>
    <n v="11.57"/>
    <s v="No"/>
    <s v="No"/>
    <x v="0"/>
    <n v="0"/>
    <x v="0"/>
    <x v="0"/>
    <s v="Diabetes"/>
    <n v="2003"/>
    <s v="Oct"/>
    <n v="13"/>
    <n v="0"/>
    <d v="2003-10-13T00:00:00"/>
    <n v="1256.3"/>
    <s v="tier - 2"/>
    <s v="tier - 3"/>
    <s v="R1011"/>
    <n v="19"/>
  </r>
  <r>
    <s v="Id79"/>
    <s v="Cochran, Mr.  Joshua"/>
    <n v="48.82"/>
    <n v="6.67"/>
    <s v="yes"/>
    <s v="No"/>
    <x v="0"/>
    <n v="0"/>
    <x v="0"/>
    <x v="0"/>
    <s v="Diabetes"/>
    <n v="2003"/>
    <s v="Oct"/>
    <n v="30"/>
    <n v="0"/>
    <d v="2003-10-30T00:00:00"/>
    <n v="1261.44"/>
    <s v="tier - 2"/>
    <s v="tier - 3"/>
    <s v="R1011"/>
    <n v="19"/>
  </r>
  <r>
    <s v="Id80"/>
    <s v="Holtzapple, Ms.  Jennifer"/>
    <n v="51.01"/>
    <n v="9.1999999999999993"/>
    <s v="No"/>
    <s v="No"/>
    <x v="0"/>
    <n v="0"/>
    <x v="0"/>
    <x v="0"/>
    <s v="Diabetes"/>
    <n v="2003"/>
    <s v="Aug"/>
    <n v="15"/>
    <n v="0"/>
    <d v="2003-08-15T00:00:00"/>
    <n v="1261.8599999999999"/>
    <s v="tier - 2"/>
    <s v="tier - 3"/>
    <s v="R1011"/>
    <n v="19"/>
  </r>
  <r>
    <s v="Id81"/>
    <s v="Meyer, Ms.  Gwen M."/>
    <n v="45.65"/>
    <n v="5.1100000000000003"/>
    <s v="yes"/>
    <s v="No"/>
    <x v="0"/>
    <n v="1"/>
    <x v="0"/>
    <x v="0"/>
    <s v="Normal"/>
    <n v="2003"/>
    <s v="Nov"/>
    <n v="21"/>
    <n v="0"/>
    <d v="2003-11-21T00:00:00"/>
    <n v="1263.25"/>
    <s v="tier - 2"/>
    <s v="tier - 3"/>
    <s v="R1011"/>
    <n v="19"/>
  </r>
  <r>
    <s v="Id82"/>
    <s v="Brickley, Mr.  Patrick"/>
    <n v="52.9"/>
    <n v="5.34"/>
    <s v="No"/>
    <s v="No"/>
    <x v="0"/>
    <n v="0"/>
    <x v="0"/>
    <x v="0"/>
    <s v="Normal"/>
    <n v="2002"/>
    <s v="Dec"/>
    <n v="4"/>
    <n v="0"/>
    <d v="2002-12-04T00:00:00"/>
    <n v="1267"/>
    <s v="tier - 2"/>
    <s v="tier - 1"/>
    <s v="R1013"/>
    <n v="20"/>
  </r>
  <r>
    <s v="Id83"/>
    <s v="Magee, Ms.  Kate"/>
    <n v="45.41"/>
    <n v="4.03"/>
    <s v="yes"/>
    <s v="No"/>
    <x v="0"/>
    <n v="1"/>
    <x v="0"/>
    <x v="0"/>
    <s v="Normal"/>
    <n v="1997"/>
    <s v="Oct"/>
    <n v="26"/>
    <n v="0"/>
    <d v="1997-10-26T00:00:00"/>
    <n v="1276"/>
    <s v="tier - 2"/>
    <s v="tier - 2"/>
    <s v="R1012"/>
    <n v="25"/>
  </r>
  <r>
    <s v="Id84"/>
    <s v="Thoma, Mr.  Kevin"/>
    <n v="49.41"/>
    <n v="4.2300000000000004"/>
    <s v="yes"/>
    <s v="No"/>
    <x v="1"/>
    <n v="1"/>
    <x v="0"/>
    <x v="0"/>
    <s v="Normal"/>
    <n v="2004"/>
    <s v="Sep"/>
    <n v="30"/>
    <n v="0"/>
    <d v="2004-09-30T00:00:00"/>
    <n v="1283"/>
    <s v="tier - 2"/>
    <s v="tier - 1"/>
    <s v="R1013"/>
    <n v="18"/>
  </r>
  <r>
    <s v="Id85"/>
    <s v="Heagy, Mr.  Stephen II"/>
    <n v="31.824999999999999"/>
    <n v="4.0599999999999996"/>
    <s v="No"/>
    <s v="No"/>
    <x v="0"/>
    <n v="2"/>
    <x v="0"/>
    <x v="0"/>
    <s v="Normal"/>
    <n v="2004"/>
    <s v="Jul"/>
    <n v="28"/>
    <n v="0"/>
    <d v="2004-07-28T00:00:00"/>
    <n v="1285"/>
    <s v="tier - 2"/>
    <s v="tier - 3"/>
    <s v="R1013"/>
    <n v="18"/>
  </r>
  <r>
    <s v="Id86"/>
    <s v="Regnier, Mr.  Philip"/>
    <n v="51.28"/>
    <n v="4.68"/>
    <s v="No"/>
    <s v="No"/>
    <x v="0"/>
    <n v="2"/>
    <x v="0"/>
    <x v="0"/>
    <s v="Normal"/>
    <n v="2000"/>
    <s v="Jun"/>
    <n v="26"/>
    <n v="0"/>
    <d v="2000-06-26T00:00:00"/>
    <n v="1286"/>
    <s v="tier - 2"/>
    <s v="tier - 2"/>
    <s v="R1013"/>
    <n v="22"/>
  </r>
  <r>
    <s v="Id87"/>
    <s v="Parendo, Mr.  Brett A"/>
    <n v="34.96"/>
    <n v="4.34"/>
    <s v="No"/>
    <s v="No"/>
    <x v="1"/>
    <n v="1"/>
    <x v="0"/>
    <x v="0"/>
    <s v="Normal"/>
    <n v="1998"/>
    <s v="Jun"/>
    <n v="4"/>
    <n v="0"/>
    <d v="1998-06-04T00:00:00"/>
    <n v="1290.93"/>
    <s v="tier - 2"/>
    <s v="tier - 2"/>
    <s v="R1013"/>
    <n v="25"/>
  </r>
  <r>
    <s v="Id88"/>
    <s v="Schell, Ms.  Rebecca"/>
    <n v="33.11"/>
    <n v="10.51"/>
    <s v="No"/>
    <s v="No"/>
    <x v="0"/>
    <n v="0"/>
    <x v="0"/>
    <x v="0"/>
    <s v="Diabetes"/>
    <n v="2001"/>
    <s v="Nov"/>
    <n v="29"/>
    <n v="0"/>
    <d v="2001-11-29T00:00:00"/>
    <n v="1293"/>
    <s v="tier - 2"/>
    <s v="tier - 3"/>
    <s v="R1012"/>
    <n v="21"/>
  </r>
  <r>
    <s v="Id89"/>
    <s v="Driscoll, Ms.  Kelley"/>
    <n v="54.74"/>
    <n v="5.84"/>
    <s v="yes"/>
    <s v="No"/>
    <x v="1"/>
    <n v="1"/>
    <x v="0"/>
    <x v="0"/>
    <s v="Prediabetes"/>
    <n v="2002"/>
    <s v="Dec"/>
    <n v="10"/>
    <n v="0"/>
    <d v="2002-12-10T00:00:00"/>
    <n v="1304"/>
    <s v="tier - 2"/>
    <s v="tier - 2"/>
    <s v="R1012"/>
    <n v="20"/>
  </r>
  <r>
    <s v="Id90"/>
    <s v="Mitchell, Ms.  Abigail K"/>
    <n v="32.56"/>
    <n v="5.41"/>
    <s v="No"/>
    <s v="No"/>
    <x v="1"/>
    <n v="1"/>
    <x v="0"/>
    <x v="0"/>
    <s v="Normal"/>
    <n v="1999"/>
    <s v="Dec"/>
    <n v="2"/>
    <n v="0"/>
    <d v="1999-12-02T00:00:00"/>
    <n v="1304"/>
    <s v="tier - 2"/>
    <s v="tier - 2"/>
    <s v="R1013"/>
    <n v="23"/>
  </r>
  <r>
    <s v="Id91"/>
    <s v="Cutler, Ms.  Hope"/>
    <n v="39.049999999999997"/>
    <n v="6.06"/>
    <s v="No"/>
    <s v="No"/>
    <x v="0"/>
    <n v="1"/>
    <x v="0"/>
    <x v="0"/>
    <s v="Prediabetes"/>
    <n v="2002"/>
    <s v="Oct"/>
    <n v="13"/>
    <n v="0"/>
    <d v="2002-10-13T00:00:00"/>
    <n v="1315"/>
    <s v="tier - 2"/>
    <s v="tier - 2"/>
    <s v="R1013"/>
    <n v="20"/>
  </r>
  <r>
    <s v="Id92"/>
    <s v="Derian, Ms.  Elyse M."/>
    <n v="42.75"/>
    <n v="4.22"/>
    <s v="No"/>
    <s v="No"/>
    <x v="0"/>
    <n v="0"/>
    <x v="0"/>
    <x v="0"/>
    <s v="Normal"/>
    <n v="1999"/>
    <s v="Oct"/>
    <n v="14"/>
    <n v="0"/>
    <d v="1999-10-14T00:00:00"/>
    <n v="1329.17"/>
    <s v="tier - 2"/>
    <s v="tier - 3"/>
    <s v="R1013"/>
    <n v="23"/>
  </r>
  <r>
    <s v="Id93"/>
    <s v="Farina, Mr.  Nicholas"/>
    <n v="50.58"/>
    <n v="5.12"/>
    <s v="No"/>
    <s v="No"/>
    <x v="0"/>
    <n v="2"/>
    <x v="0"/>
    <x v="0"/>
    <s v="Normal"/>
    <n v="1998"/>
    <s v="Jul"/>
    <n v="12"/>
    <n v="0"/>
    <d v="1998-07-12T00:00:00"/>
    <n v="1332.61"/>
    <s v="tier - 2"/>
    <s v="tier - 3"/>
    <s v="R1013"/>
    <n v="24"/>
  </r>
  <r>
    <s v="Id94"/>
    <s v="Saunders, Mr.  David"/>
    <n v="30.495000000000001"/>
    <n v="4.57"/>
    <s v="yes"/>
    <s v="No"/>
    <x v="0"/>
    <n v="0"/>
    <x v="0"/>
    <x v="0"/>
    <s v="Normal"/>
    <n v="1995"/>
    <s v="Jul"/>
    <n v="30"/>
    <n v="0"/>
    <d v="1995-07-30T00:00:00"/>
    <n v="1338"/>
    <s v="tier - 2"/>
    <s v="tier - 3"/>
    <s v="R1012"/>
    <n v="27"/>
  </r>
  <r>
    <s v="Id95"/>
    <s v="Kratz, Ms.  Natalie"/>
    <n v="48.31"/>
    <n v="9.58"/>
    <s v="yes"/>
    <s v="No"/>
    <x v="0"/>
    <n v="2"/>
    <x v="0"/>
    <x v="0"/>
    <s v="Diabetes"/>
    <n v="1997"/>
    <s v="Nov"/>
    <n v="7"/>
    <n v="0"/>
    <d v="1997-11-07T00:00:00"/>
    <n v="1341.16"/>
    <s v="tier - 2"/>
    <s v="tier - 2"/>
    <s v="R1012"/>
    <n v="25"/>
  </r>
  <r>
    <s v="Id96"/>
    <s v="Boland, Mr.  Thomas"/>
    <n v="48.99"/>
    <n v="9.7799999999999994"/>
    <s v="yes"/>
    <s v="No"/>
    <x v="0"/>
    <n v="1"/>
    <x v="0"/>
    <x v="0"/>
    <s v="Diabetes"/>
    <n v="1998"/>
    <s v="Dec"/>
    <n v="3"/>
    <n v="0"/>
    <d v="1998-12-03T00:00:00"/>
    <n v="1359"/>
    <s v="tier - 2"/>
    <s v="tier - 1"/>
    <s v="R1013"/>
    <n v="24"/>
  </r>
  <r>
    <s v="Id97"/>
    <s v="Van Hout, Ms.  Pamela J."/>
    <n v="38.39"/>
    <n v="4.1100000000000003"/>
    <s v="yes"/>
    <s v="No"/>
    <x v="0"/>
    <n v="0"/>
    <x v="0"/>
    <x v="0"/>
    <s v="Normal"/>
    <n v="2002"/>
    <s v="Aug"/>
    <n v="15"/>
    <n v="0"/>
    <d v="2002-08-15T00:00:00"/>
    <n v="1382"/>
    <s v="tier - 2"/>
    <s v="tier - 1"/>
    <s v="R1013"/>
    <n v="20"/>
  </r>
  <r>
    <s v="Id98"/>
    <s v="Ramsey, Ms.  Jessica"/>
    <n v="44.34"/>
    <n v="4.0199999999999996"/>
    <s v="yes"/>
    <s v="No"/>
    <x v="0"/>
    <n v="2"/>
    <x v="0"/>
    <x v="0"/>
    <s v="Normal"/>
    <n v="1999"/>
    <s v="Jul"/>
    <n v="6"/>
    <n v="0"/>
    <d v="1999-07-06T00:00:00"/>
    <n v="1389"/>
    <s v="tier - 2"/>
    <s v="tier - 2"/>
    <s v="R1013"/>
    <n v="23"/>
  </r>
  <r>
    <s v="Id99"/>
    <s v="Gage, Mr.  Ron N"/>
    <n v="41.51"/>
    <n v="6.92"/>
    <s v="No"/>
    <s v="No"/>
    <x v="0"/>
    <n v="0"/>
    <x v="0"/>
    <x v="0"/>
    <s v="Diabetes"/>
    <n v="2002"/>
    <s v="Nov"/>
    <n v="14"/>
    <n v="0"/>
    <d v="2002-11-14T00:00:00"/>
    <n v="1390"/>
    <s v="tier - 2"/>
    <s v="tier - 2"/>
    <s v="R1013"/>
    <n v="20"/>
  </r>
  <r>
    <s v="Id100"/>
    <s v="Gollins, Mr.  Daniel"/>
    <n v="48.2"/>
    <n v="4.84"/>
    <s v="No"/>
    <s v="No"/>
    <x v="0"/>
    <n v="0"/>
    <x v="0"/>
    <x v="0"/>
    <s v="Normal"/>
    <n v="2002"/>
    <s v="Dec"/>
    <n v="22"/>
    <n v="0"/>
    <d v="2002-12-22T00:00:00"/>
    <n v="1391.53"/>
    <s v="tier - 2"/>
    <s v="tier - 1"/>
    <s v="R1013"/>
    <n v="20"/>
  </r>
  <r>
    <s v="Id101"/>
    <s v="Benestad, Mr.  Brian"/>
    <n v="35.75"/>
    <n v="8"/>
    <s v="yes"/>
    <s v="No"/>
    <x v="0"/>
    <n v="0"/>
    <x v="0"/>
    <x v="0"/>
    <s v="Diabetes"/>
    <n v="1998"/>
    <s v="Sep"/>
    <n v="5"/>
    <n v="0"/>
    <d v="1998-09-05T00:00:00"/>
    <n v="1400.44"/>
    <s v="tier - 2"/>
    <s v="tier - 2"/>
    <s v="R1013"/>
    <n v="24"/>
  </r>
  <r>
    <s v="Id102"/>
    <s v="Aviv, Ms.  Sari"/>
    <n v="53.81"/>
    <n v="8.77"/>
    <s v="yes"/>
    <s v="No"/>
    <x v="0"/>
    <n v="0"/>
    <x v="0"/>
    <x v="0"/>
    <s v="Diabetes"/>
    <n v="1997"/>
    <s v="Oct"/>
    <n v="27"/>
    <n v="0"/>
    <d v="1997-10-27T00:00:00"/>
    <n v="1402"/>
    <s v="tier - 2"/>
    <s v="tier - 3"/>
    <s v="R1011"/>
    <n v="25"/>
  </r>
  <r>
    <s v="Id103"/>
    <s v="Burns, Mr.  Robert M."/>
    <n v="49.48"/>
    <n v="4.96"/>
    <s v="No"/>
    <s v="No"/>
    <x v="1"/>
    <n v="1"/>
    <x v="0"/>
    <x v="0"/>
    <s v="Normal"/>
    <n v="1996"/>
    <s v="Jun"/>
    <n v="23"/>
    <n v="0"/>
    <d v="1996-06-23T00:00:00"/>
    <n v="1417"/>
    <s v="tier - 2"/>
    <s v="tier - 3"/>
    <s v="R1013"/>
    <n v="26"/>
  </r>
  <r>
    <s v="Id104"/>
    <s v="Maldonado, Mr.  Ricardo"/>
    <n v="34.1"/>
    <n v="4.43"/>
    <s v="yes"/>
    <s v="No"/>
    <x v="0"/>
    <n v="0"/>
    <x v="0"/>
    <x v="0"/>
    <s v="Normal"/>
    <n v="2001"/>
    <s v="Aug"/>
    <n v="23"/>
    <n v="0"/>
    <d v="2001-08-23T00:00:00"/>
    <n v="1421"/>
    <s v="tier - 2"/>
    <s v="tier - 2"/>
    <s v="R1013"/>
    <n v="21"/>
  </r>
  <r>
    <s v="Id105"/>
    <s v="Yitref, Mr.  Gedion"/>
    <n v="35.299999999999997"/>
    <n v="5.82"/>
    <s v="yes"/>
    <s v="No"/>
    <x v="1"/>
    <n v="1"/>
    <x v="0"/>
    <x v="0"/>
    <s v="Prediabetes"/>
    <n v="1997"/>
    <s v="Dec"/>
    <n v="5"/>
    <n v="0"/>
    <d v="1997-12-05T00:00:00"/>
    <n v="1422"/>
    <s v="tier - 2"/>
    <s v="tier - 2"/>
    <s v="R1013"/>
    <n v="25"/>
  </r>
  <r>
    <s v="Id106"/>
    <s v="Loudon-Brown, Mr.  Mark"/>
    <n v="43.83"/>
    <n v="6.03"/>
    <s v="yes"/>
    <s v="No"/>
    <x v="0"/>
    <n v="2"/>
    <x v="0"/>
    <x v="0"/>
    <s v="Prediabetes"/>
    <n v="2000"/>
    <s v="Sep"/>
    <n v="1"/>
    <n v="0"/>
    <d v="2000-09-01T00:00:00"/>
    <n v="1438"/>
    <s v="tier - 2"/>
    <s v="tier - 2"/>
    <s v="R1013"/>
    <n v="22"/>
  </r>
  <r>
    <s v="Id107"/>
    <s v="Sugathadasa, Mr.  Gamini P."/>
    <n v="50.07"/>
    <n v="9.27"/>
    <s v="No"/>
    <s v="No"/>
    <x v="0"/>
    <n v="0"/>
    <x v="0"/>
    <x v="0"/>
    <s v="Diabetes"/>
    <n v="1997"/>
    <s v="Jun"/>
    <n v="19"/>
    <n v="0"/>
    <d v="1997-06-19T00:00:00"/>
    <n v="1445"/>
    <s v="tier - 2"/>
    <s v="tier - 1"/>
    <s v="R1013"/>
    <n v="25"/>
  </r>
  <r>
    <s v="Id108"/>
    <s v="Ganley, Ms.  Emily J"/>
    <n v="32.774999999999999"/>
    <n v="5.53"/>
    <s v="No"/>
    <s v="No"/>
    <x v="0"/>
    <n v="0"/>
    <x v="0"/>
    <x v="0"/>
    <s v="Normal"/>
    <n v="2003"/>
    <s v="Jun"/>
    <n v="20"/>
    <n v="0"/>
    <d v="2003-06-20T00:00:00"/>
    <n v="1467"/>
    <s v="tier - 2"/>
    <s v="tier - 2"/>
    <s v="R1013"/>
    <n v="19"/>
  </r>
  <r>
    <s v="Id109"/>
    <s v="Potter, Ms.  Amanda"/>
    <n v="34.104999999999997"/>
    <n v="5.07"/>
    <s v="No"/>
    <s v="No"/>
    <x v="0"/>
    <n v="1"/>
    <x v="0"/>
    <x v="0"/>
    <s v="Normal"/>
    <n v="1998"/>
    <s v="Dec"/>
    <n v="7"/>
    <n v="0"/>
    <d v="1998-12-07T00:00:00"/>
    <n v="1477"/>
    <s v="tier - 2"/>
    <s v="tier - 1"/>
    <s v="R1013"/>
    <n v="24"/>
  </r>
  <r>
    <s v="Id110"/>
    <s v="Rasmussen, Mr.  Nicholas"/>
    <n v="48.93"/>
    <n v="11.17"/>
    <s v="yes"/>
    <s v="No"/>
    <x v="0"/>
    <n v="1"/>
    <x v="0"/>
    <x v="0"/>
    <s v="Diabetes"/>
    <n v="1997"/>
    <s v="Jun"/>
    <n v="9"/>
    <n v="0"/>
    <d v="1997-06-09T00:00:00"/>
    <n v="1481"/>
    <s v="tier - 2"/>
    <s v="tier - 1"/>
    <s v="R1012"/>
    <n v="25"/>
  </r>
  <r>
    <s v="Id111"/>
    <s v="Robinson, Mr.  Knox"/>
    <n v="37.07"/>
    <n v="6.14"/>
    <s v="yes"/>
    <s v="No"/>
    <x v="0"/>
    <n v="0"/>
    <x v="0"/>
    <x v="0"/>
    <s v="Prediabetes"/>
    <n v="1995"/>
    <s v="Oct"/>
    <n v="7"/>
    <n v="0"/>
    <d v="1995-10-07T00:00:00"/>
    <n v="1493"/>
    <s v="tier - 2"/>
    <s v="tier - 3"/>
    <s v="R1013"/>
    <n v="27"/>
  </r>
  <r>
    <s v="Id112"/>
    <s v="Antonopoulos, Ms.  Yianna"/>
    <n v="51.51"/>
    <n v="6.26"/>
    <s v="yes"/>
    <s v="No"/>
    <x v="1"/>
    <n v="1"/>
    <x v="0"/>
    <x v="0"/>
    <s v="Prediabetes"/>
    <n v="1998"/>
    <s v="Jun"/>
    <n v="19"/>
    <n v="0"/>
    <d v="1998-06-19T00:00:00"/>
    <n v="1497"/>
    <s v="tier - 2"/>
    <s v="tier - 2"/>
    <s v="R1013"/>
    <n v="24"/>
  </r>
  <r>
    <s v="Id113"/>
    <s v="Groner, Ms.  Roberta"/>
    <n v="34.799999999999997"/>
    <n v="4.72"/>
    <s v="yes"/>
    <s v="No"/>
    <x v="0"/>
    <n v="0"/>
    <x v="0"/>
    <x v="0"/>
    <s v="Normal"/>
    <n v="2001"/>
    <s v="Aug"/>
    <n v="25"/>
    <n v="0"/>
    <d v="2001-08-25T00:00:00"/>
    <n v="1515.34"/>
    <s v="tier - 2"/>
    <s v="tier - 3"/>
    <s v="R1013"/>
    <n v="21"/>
  </r>
  <r>
    <s v="Id114"/>
    <s v="Zywicki, Mr.  Benjamin P."/>
    <n v="36.67"/>
    <n v="5.18"/>
    <s v="No"/>
    <s v="No"/>
    <x v="0"/>
    <n v="1"/>
    <x v="0"/>
    <x v="0"/>
    <s v="Normal"/>
    <n v="2001"/>
    <s v="Jul"/>
    <n v="7"/>
    <n v="0"/>
    <d v="2001-07-07T00:00:00"/>
    <n v="1526.31"/>
    <s v="tier - 2"/>
    <s v="tier - 3"/>
    <s v="R1011"/>
    <n v="21"/>
  </r>
  <r>
    <s v="Id115"/>
    <s v="Cardinal, Mr.  Craig"/>
    <n v="30.9"/>
    <n v="9.4"/>
    <s v="No"/>
    <s v="No"/>
    <x v="0"/>
    <n v="2"/>
    <x v="0"/>
    <x v="0"/>
    <s v="Diabetes"/>
    <n v="2001"/>
    <s v="Jun"/>
    <n v="2"/>
    <n v="0"/>
    <d v="2001-06-02T00:00:00"/>
    <n v="1532.47"/>
    <s v="tier - 2"/>
    <s v="tier - 2"/>
    <s v="R1013"/>
    <n v="22"/>
  </r>
  <r>
    <s v="Id116"/>
    <s v="Alleman, Ms.  Ann"/>
    <n v="30.495000000000001"/>
    <n v="6.29"/>
    <s v="No"/>
    <s v="No"/>
    <x v="0"/>
    <n v="0"/>
    <x v="0"/>
    <x v="0"/>
    <s v="Prediabetes"/>
    <n v="2001"/>
    <s v="Dec"/>
    <n v="5"/>
    <n v="0"/>
    <d v="2001-12-05T00:00:00"/>
    <n v="1534.3"/>
    <s v="tier - 2"/>
    <s v="tier - 2"/>
    <s v="R1013"/>
    <n v="21"/>
  </r>
  <r>
    <s v="Id117"/>
    <s v="Stroffolino, Mr.  Jamie P"/>
    <n v="44.88"/>
    <n v="6.04"/>
    <s v="No"/>
    <s v="No"/>
    <x v="1"/>
    <n v="1"/>
    <x v="0"/>
    <x v="0"/>
    <s v="Prediabetes"/>
    <n v="1992"/>
    <s v="Sep"/>
    <n v="22"/>
    <n v="0"/>
    <d v="1992-09-22T00:00:00"/>
    <n v="1566.88"/>
    <s v="tier - 2"/>
    <s v="tier - 1"/>
    <s v="R1013"/>
    <n v="30"/>
  </r>
  <r>
    <s v="Id118"/>
    <s v="Clubb, Mr.  John"/>
    <n v="44.32"/>
    <n v="10.55"/>
    <s v="No"/>
    <s v="No"/>
    <x v="0"/>
    <n v="0"/>
    <x v="0"/>
    <x v="0"/>
    <s v="Diabetes"/>
    <n v="2004"/>
    <s v="Nov"/>
    <n v="19"/>
    <n v="0"/>
    <d v="2004-11-19T00:00:00"/>
    <n v="1607.51"/>
    <s v="tier - 2"/>
    <s v="tier - 3"/>
    <s v="R1013"/>
    <n v="18"/>
  </r>
  <r>
    <s v="Id119"/>
    <s v="McGoogan, Mr.  Charlie"/>
    <n v="46.39"/>
    <n v="5.09"/>
    <s v="No"/>
    <s v="No"/>
    <x v="0"/>
    <n v="0"/>
    <x v="0"/>
    <x v="0"/>
    <s v="Normal"/>
    <n v="2004"/>
    <s v="Jul"/>
    <n v="22"/>
    <n v="0"/>
    <d v="2004-07-22T00:00:00"/>
    <n v="1615.77"/>
    <s v="tier - 2"/>
    <s v="tier - 1"/>
    <s v="R1013"/>
    <n v="18"/>
  </r>
  <r>
    <s v="Id120"/>
    <s v="Keflezighi, Mr.  Meb"/>
    <n v="42.13"/>
    <n v="5.2"/>
    <s v="yes"/>
    <s v="No"/>
    <x v="0"/>
    <n v="1"/>
    <x v="0"/>
    <x v="0"/>
    <s v="Normal"/>
    <n v="1995"/>
    <s v="Aug"/>
    <n v="5"/>
    <n v="0"/>
    <d v="1995-08-05T00:00:00"/>
    <n v="1617.16"/>
    <s v="tier - 2"/>
    <s v="tier - 1"/>
    <s v="R1013"/>
    <n v="27"/>
  </r>
  <r>
    <s v="Id121"/>
    <s v="Syed, Mr.  Aaqib L."/>
    <n v="30.78"/>
    <n v="8.4499999999999993"/>
    <s v="yes"/>
    <s v="No"/>
    <x v="0"/>
    <n v="0"/>
    <x v="0"/>
    <x v="0"/>
    <s v="Diabetes"/>
    <n v="2003"/>
    <s v="Sep"/>
    <n v="14"/>
    <n v="0"/>
    <d v="2003-09-14T00:00:00"/>
    <n v="1621.34"/>
    <s v="tier - 2"/>
    <s v="tier - 2"/>
    <s v="R1012"/>
    <n v="19"/>
  </r>
  <r>
    <s v="Id122"/>
    <s v="Segal, Mr.  Craig A."/>
    <n v="31.35"/>
    <n v="9.5399999999999991"/>
    <s v="No"/>
    <s v="No"/>
    <x v="0"/>
    <n v="0"/>
    <x v="0"/>
    <x v="0"/>
    <s v="Diabetes"/>
    <n v="2004"/>
    <s v="Aug"/>
    <n v="21"/>
    <n v="0"/>
    <d v="2004-08-21T00:00:00"/>
    <n v="1621.88"/>
    <s v="tier - 2"/>
    <s v="tier - 2"/>
    <s v="R1013"/>
    <n v="18"/>
  </r>
  <r>
    <s v="Id123"/>
    <s v="Defranco, Ms.  Meredith"/>
    <n v="41.46"/>
    <n v="4.99"/>
    <s v="yes"/>
    <s v="No"/>
    <x v="0"/>
    <n v="2"/>
    <x v="0"/>
    <x v="0"/>
    <s v="Normal"/>
    <n v="2004"/>
    <s v="Jul"/>
    <n v="25"/>
    <n v="0"/>
    <d v="2004-07-25T00:00:00"/>
    <n v="1622.19"/>
    <s v="tier - 2"/>
    <s v="tier - 1"/>
    <s v="R1013"/>
    <n v="18"/>
  </r>
  <r>
    <s v="Id124"/>
    <s v="Kells, Mr.  Doug"/>
    <n v="48"/>
    <n v="10.54"/>
    <s v="No"/>
    <s v="No"/>
    <x v="0"/>
    <n v="0"/>
    <x v="0"/>
    <x v="0"/>
    <s v="Diabetes"/>
    <n v="2003"/>
    <s v="Sep"/>
    <n v="9"/>
    <n v="0"/>
    <d v="2003-09-09T00:00:00"/>
    <n v="1625.43"/>
    <s v="tier - 2"/>
    <s v="tier - 3"/>
    <s v="R1012"/>
    <n v="19"/>
  </r>
  <r>
    <s v="Id125"/>
    <s v="Lawton, Ms.  Elizabeth J."/>
    <n v="49.13"/>
    <n v="4.54"/>
    <s v="No"/>
    <s v="No"/>
    <x v="0"/>
    <n v="0"/>
    <x v="0"/>
    <x v="0"/>
    <s v="Normal"/>
    <n v="2003"/>
    <s v="Dec"/>
    <n v="4"/>
    <n v="0"/>
    <d v="2003-12-04T00:00:00"/>
    <n v="1627.28"/>
    <s v="tier - 2"/>
    <s v="tier - 2"/>
    <s v="R1012"/>
    <n v="19"/>
  </r>
  <r>
    <s v="Id126"/>
    <s v="Bejar, Mr.  Matthew P"/>
    <n v="37.799999999999997"/>
    <n v="6.29"/>
    <s v="No"/>
    <s v="No"/>
    <x v="0"/>
    <n v="1"/>
    <x v="0"/>
    <x v="0"/>
    <s v="Prediabetes"/>
    <n v="2003"/>
    <s v="Jul"/>
    <n v="17"/>
    <n v="0"/>
    <d v="2003-07-17T00:00:00"/>
    <n v="1628.47"/>
    <s v="tier - 2"/>
    <s v="tier - 1"/>
    <s v="R1012"/>
    <n v="19"/>
  </r>
  <r>
    <s v="Id127"/>
    <s v="Navarro Castro, Mr.  Guillermo Sr."/>
    <n v="38.299999999999997"/>
    <n v="9.51"/>
    <s v="No"/>
    <s v="No"/>
    <x v="0"/>
    <n v="0"/>
    <x v="0"/>
    <x v="0"/>
    <s v="Diabetes"/>
    <n v="2004"/>
    <s v="Oct"/>
    <n v="4"/>
    <n v="0"/>
    <d v="2004-10-04T00:00:00"/>
    <n v="1629.83"/>
    <s v="tier - 2"/>
    <s v="tier - 2"/>
    <s v="R1013"/>
    <n v="18"/>
  </r>
  <r>
    <s v="Id128"/>
    <s v="Tice, Mr.  Ryan C"/>
    <n v="32.774999999999999"/>
    <n v="4.72"/>
    <s v="No"/>
    <s v="No"/>
    <x v="0"/>
    <n v="0"/>
    <x v="0"/>
    <x v="0"/>
    <s v="Normal"/>
    <n v="2004"/>
    <s v="Dec"/>
    <n v="5"/>
    <n v="0"/>
    <d v="2004-12-05T00:00:00"/>
    <n v="1631.67"/>
    <s v="tier - 2"/>
    <s v="tier - 3"/>
    <s v="R1013"/>
    <n v="18"/>
  </r>
  <r>
    <s v="Id129"/>
    <s v="Wolf, Mr.  Dane"/>
    <n v="34.200000000000003"/>
    <n v="5.91"/>
    <s v="yes"/>
    <s v="No"/>
    <x v="0"/>
    <n v="0"/>
    <x v="0"/>
    <x v="0"/>
    <s v="Prediabetes"/>
    <n v="2004"/>
    <s v="Jul"/>
    <n v="9"/>
    <n v="0"/>
    <d v="2004-07-09T00:00:00"/>
    <n v="1631.82"/>
    <s v="tier - 2"/>
    <s v="tier - 1"/>
    <s v="R1013"/>
    <n v="18"/>
  </r>
  <r>
    <s v="Id130"/>
    <s v="Oppedal, Mr.  Jonas"/>
    <n v="30.2"/>
    <n v="9.58"/>
    <s v="No"/>
    <s v="No"/>
    <x v="0"/>
    <n v="0"/>
    <x v="0"/>
    <x v="0"/>
    <s v="Diabetes"/>
    <n v="2003"/>
    <s v="Oct"/>
    <n v="3"/>
    <n v="0"/>
    <d v="2003-10-03T00:00:00"/>
    <n v="1632.04"/>
    <s v="tier - 2"/>
    <s v="tier - 2"/>
    <s v="R1012"/>
    <n v="19"/>
  </r>
  <r>
    <s v="Id131"/>
    <s v="Wright, Mr.  George E"/>
    <n v="48.32"/>
    <n v="5.77"/>
    <s v="No"/>
    <s v="No"/>
    <x v="0"/>
    <n v="0"/>
    <x v="0"/>
    <x v="0"/>
    <s v="Prediabetes"/>
    <n v="2003"/>
    <s v="Sep"/>
    <n v="16"/>
    <n v="0"/>
    <d v="2003-09-16T00:00:00"/>
    <n v="1632.56"/>
    <s v="tier - 2"/>
    <s v="tier - 2"/>
    <s v="R1012"/>
    <n v="19"/>
  </r>
  <r>
    <s v="Id132"/>
    <s v="Ellis, Ms.  Sara S"/>
    <n v="44.86"/>
    <n v="4.38"/>
    <s v="yes"/>
    <s v="No"/>
    <x v="0"/>
    <n v="0"/>
    <x v="0"/>
    <x v="0"/>
    <s v="Normal"/>
    <n v="2004"/>
    <s v="Dec"/>
    <n v="13"/>
    <n v="0"/>
    <d v="2004-12-13T00:00:00"/>
    <n v="1633.04"/>
    <s v="tier - 2"/>
    <s v="tier - 2"/>
    <s v="R1013"/>
    <n v="18"/>
  </r>
  <r>
    <s v="Id133"/>
    <s v="Taormina, Mr.  Nick"/>
    <n v="52.15"/>
    <n v="5.65"/>
    <s v="No"/>
    <s v="No"/>
    <x v="0"/>
    <n v="1"/>
    <x v="0"/>
    <x v="0"/>
    <s v="Normal"/>
    <n v="2004"/>
    <s v="Aug"/>
    <n v="8"/>
    <n v="0"/>
    <d v="2004-08-08T00:00:00"/>
    <n v="1633.96"/>
    <s v="tier - 2"/>
    <s v="tier - 1"/>
    <s v="R1013"/>
    <n v="18"/>
  </r>
  <r>
    <s v="Id134"/>
    <s v="Lynch, Mr.  Timothy"/>
    <n v="41.12"/>
    <n v="7.54"/>
    <s v="yes"/>
    <s v="No"/>
    <x v="0"/>
    <n v="0"/>
    <x v="0"/>
    <x v="0"/>
    <s v="Diabetes"/>
    <n v="2004"/>
    <s v="Jun"/>
    <n v="13"/>
    <n v="0"/>
    <d v="2004-06-13T00:00:00"/>
    <n v="1634.57"/>
    <s v="tier - 2"/>
    <s v="tier - 2"/>
    <s v="R1013"/>
    <n v="18"/>
  </r>
  <r>
    <s v="Id135"/>
    <s v="Tavella, Ms.  Becky L"/>
    <n v="38.39"/>
    <n v="5.1100000000000003"/>
    <s v="yes"/>
    <s v="No"/>
    <x v="0"/>
    <n v="1"/>
    <x v="0"/>
    <x v="0"/>
    <s v="Normal"/>
    <n v="2003"/>
    <s v="Dec"/>
    <n v="30"/>
    <n v="0"/>
    <d v="2003-12-30T00:00:00"/>
    <n v="1635.73"/>
    <s v="tier - 2"/>
    <s v="tier - 3"/>
    <s v="R1012"/>
    <n v="19"/>
  </r>
  <r>
    <s v="Id136"/>
    <s v="Neufeld, Ms.  Steph K."/>
    <n v="46.85"/>
    <n v="4.25"/>
    <s v="No"/>
    <s v="No"/>
    <x v="1"/>
    <n v="1"/>
    <x v="0"/>
    <x v="0"/>
    <s v="Normal"/>
    <n v="2003"/>
    <s v="Sep"/>
    <n v="16"/>
    <n v="0"/>
    <d v="2003-09-16T00:00:00"/>
    <n v="1639.56"/>
    <s v="tier - 2"/>
    <s v="tier - 2"/>
    <s v="R1012"/>
    <n v="19"/>
  </r>
  <r>
    <s v="Id137"/>
    <s v="Walhovd, Ms.  Kristine B."/>
    <n v="42.24"/>
    <n v="5.55"/>
    <s v="No"/>
    <s v="yes"/>
    <x v="0"/>
    <n v="1"/>
    <x v="0"/>
    <x v="0"/>
    <s v="Normal"/>
    <n v="2003"/>
    <s v="Aug"/>
    <n v="21"/>
    <n v="0"/>
    <d v="2003-08-21T00:00:00"/>
    <n v="1639.56"/>
    <s v="tier - 2"/>
    <s v="tier - 2"/>
    <s v="R1012"/>
    <n v="19"/>
  </r>
  <r>
    <s v="Id138"/>
    <s v="Washburn, Mr.  Taylor B"/>
    <n v="34.39"/>
    <n v="5.78"/>
    <s v="No"/>
    <s v="No"/>
    <x v="0"/>
    <n v="0"/>
    <x v="0"/>
    <x v="0"/>
    <s v="Prediabetes"/>
    <n v="2003"/>
    <s v="Dec"/>
    <n v="30"/>
    <n v="0"/>
    <d v="2003-12-30T00:00:00"/>
    <n v="1646.43"/>
    <s v="tier - 2"/>
    <s v="tier - 1"/>
    <s v="R1012"/>
    <n v="19"/>
  </r>
  <r>
    <s v="Id139"/>
    <s v="Mroz, Mr.  William"/>
    <n v="42.89"/>
    <n v="5.28"/>
    <s v="yes"/>
    <s v="No"/>
    <x v="0"/>
    <n v="0"/>
    <x v="0"/>
    <x v="0"/>
    <s v="Normal"/>
    <n v="2000"/>
    <s v="Oct"/>
    <n v="23"/>
    <n v="0"/>
    <d v="2000-10-23T00:00:00"/>
    <n v="1665"/>
    <s v="tier - 2"/>
    <s v="tier - 2"/>
    <s v="R1013"/>
    <n v="22"/>
  </r>
  <r>
    <s v="Id140"/>
    <s v="Canaday, Mr.  Sage"/>
    <n v="36.299999999999997"/>
    <n v="5.39"/>
    <s v="No"/>
    <s v="No"/>
    <x v="0"/>
    <n v="0"/>
    <x v="0"/>
    <x v="0"/>
    <s v="Normal"/>
    <n v="2000"/>
    <s v="Jun"/>
    <n v="10"/>
    <n v="0"/>
    <d v="2000-06-10T00:00:00"/>
    <n v="1674.63"/>
    <s v="tier - 2"/>
    <s v="tier - 2"/>
    <s v="R1013"/>
    <n v="22"/>
  </r>
  <r>
    <s v="Id141"/>
    <s v="Atkins, Mr.  Cole"/>
    <n v="35.200000000000003"/>
    <n v="8.01"/>
    <s v="yes"/>
    <s v="No"/>
    <x v="0"/>
    <n v="1"/>
    <x v="0"/>
    <x v="0"/>
    <s v="Diabetes"/>
    <n v="2000"/>
    <s v="Oct"/>
    <n v="21"/>
    <n v="0"/>
    <d v="2000-10-21T00:00:00"/>
    <n v="1682.6"/>
    <s v="tier - 2"/>
    <s v="tier - 2"/>
    <s v="R1011"/>
    <n v="22"/>
  </r>
  <r>
    <s v="Id142"/>
    <s v="Kropelnicki, Mr.  Jesse"/>
    <n v="53.62"/>
    <n v="5.21"/>
    <s v="No"/>
    <s v="No"/>
    <x v="0"/>
    <n v="0"/>
    <x v="0"/>
    <x v="0"/>
    <s v="Normal"/>
    <n v="2004"/>
    <s v="Nov"/>
    <n v="17"/>
    <n v="0"/>
    <d v="2004-11-17T00:00:00"/>
    <n v="1694.8"/>
    <s v="tier - 2"/>
    <s v="tier - 2"/>
    <s v="R1015"/>
    <n v="18"/>
  </r>
  <r>
    <s v="Id143"/>
    <s v="Braund, Ms.  Tammi J."/>
    <n v="36.67"/>
    <n v="6.27"/>
    <s v="No"/>
    <s v="No"/>
    <x v="0"/>
    <n v="0"/>
    <x v="0"/>
    <x v="0"/>
    <s v="Prediabetes"/>
    <n v="2004"/>
    <s v="Dec"/>
    <n v="10"/>
    <n v="0"/>
    <d v="2004-12-10T00:00:00"/>
    <n v="1702.46"/>
    <s v="tier - 2"/>
    <s v="tier - 3"/>
    <s v="R1019"/>
    <n v="18"/>
  </r>
  <r>
    <s v="Id144"/>
    <s v="Anderson, Mr.  Matthew S."/>
    <n v="33.4"/>
    <n v="10.73"/>
    <s v="yes"/>
    <s v="No"/>
    <x v="0"/>
    <n v="1"/>
    <x v="0"/>
    <x v="0"/>
    <s v="Diabetes"/>
    <n v="2004"/>
    <s v="Nov"/>
    <n v="7"/>
    <n v="0"/>
    <d v="2004-11-07T00:00:00"/>
    <n v="1704.57"/>
    <s v="tier - 2"/>
    <s v="tier - 1"/>
    <s v="R1016"/>
    <n v="18"/>
  </r>
  <r>
    <s v="Id145"/>
    <s v="Bilbrey, Mr.  Eric"/>
    <n v="42.71"/>
    <n v="10.52"/>
    <s v="No"/>
    <s v="No"/>
    <x v="0"/>
    <n v="0"/>
    <x v="0"/>
    <x v="0"/>
    <s v="Diabetes"/>
    <n v="2004"/>
    <s v="Dec"/>
    <n v="14"/>
    <n v="0"/>
    <d v="2004-12-14T00:00:00"/>
    <n v="1704.7"/>
    <s v="tier - 2"/>
    <s v="tier - 3"/>
    <s v="R1018"/>
    <n v="18"/>
  </r>
  <r>
    <s v="Id146"/>
    <s v="Curtis, Ms.  Valeria R"/>
    <n v="41.52"/>
    <n v="11.82"/>
    <s v="yes"/>
    <s v="No"/>
    <x v="0"/>
    <n v="2"/>
    <x v="0"/>
    <x v="0"/>
    <s v="Diabetes"/>
    <n v="2004"/>
    <s v="Dec"/>
    <n v="6"/>
    <n v="0"/>
    <d v="2004-12-06T00:00:00"/>
    <n v="1705.62"/>
    <s v="tier - 2"/>
    <s v="tier - 2"/>
    <s v="R1015"/>
    <n v="18"/>
  </r>
  <r>
    <s v="Id147"/>
    <s v="Meyer, Mr.  Michael P"/>
    <n v="39.4"/>
    <n v="6.76"/>
    <s v="No"/>
    <s v="No"/>
    <x v="0"/>
    <n v="0"/>
    <x v="0"/>
    <x v="0"/>
    <s v="Diabetes"/>
    <n v="2004"/>
    <s v="Oct"/>
    <n v="17"/>
    <n v="0"/>
    <d v="2004-10-17T00:00:00"/>
    <n v="1708"/>
    <s v="tier - 3"/>
    <s v="tier - 2"/>
    <s v="R1016"/>
    <n v="18"/>
  </r>
  <r>
    <s v="Id148"/>
    <s v="Bardeesy, Mr.  Rami"/>
    <n v="46.45"/>
    <n v="5.62"/>
    <s v="No"/>
    <s v="No"/>
    <x v="0"/>
    <n v="0"/>
    <x v="0"/>
    <x v="0"/>
    <s v="Normal"/>
    <n v="2004"/>
    <s v="Dec"/>
    <n v="12"/>
    <n v="0"/>
    <d v="2004-12-12T00:00:00"/>
    <n v="1708.93"/>
    <s v="tier - 3"/>
    <s v="tier - 1"/>
    <s v="R1019"/>
    <n v="18"/>
  </r>
  <r>
    <s v="Id149"/>
    <s v="Shanahan, Mr.  Denis"/>
    <n v="35.75"/>
    <n v="4.1900000000000004"/>
    <s v="No"/>
    <s v="No"/>
    <x v="0"/>
    <n v="0"/>
    <x v="0"/>
    <x v="0"/>
    <s v="Normal"/>
    <n v="2004"/>
    <s v="Sep"/>
    <n v="19"/>
    <n v="1"/>
    <d v="2004-09-19T00:00:00"/>
    <n v="1711.03"/>
    <s v="tier - 3"/>
    <s v="tier - 3"/>
    <s v="R1013"/>
    <n v="18"/>
  </r>
  <r>
    <s v="Id150"/>
    <s v="Sutter, Mr.  Brian E"/>
    <n v="26.07"/>
    <n v="5.32"/>
    <s v="No"/>
    <s v="No"/>
    <x v="0"/>
    <n v="0"/>
    <x v="0"/>
    <x v="1"/>
    <s v="Normal"/>
    <n v="2004"/>
    <s v="Sep"/>
    <n v="21"/>
    <n v="0"/>
    <d v="2004-09-21T00:00:00"/>
    <n v="1712.23"/>
    <s v="tier - 3"/>
    <s v="tier - 1"/>
    <s v="R1016"/>
    <n v="18"/>
  </r>
  <r>
    <s v="Id151"/>
    <s v="Yesian, Ms.  Bonnie"/>
    <n v="36.54"/>
    <n v="4.46"/>
    <s v="yes"/>
    <s v="No"/>
    <x v="0"/>
    <n v="1"/>
    <x v="0"/>
    <x v="0"/>
    <s v="Normal"/>
    <n v="2004"/>
    <s v="Jun"/>
    <n v="10"/>
    <n v="1"/>
    <d v="2004-06-10T00:00:00"/>
    <n v="1719.44"/>
    <s v="tier - 3"/>
    <s v="tier - 3"/>
    <s v="R1013"/>
    <n v="18"/>
  </r>
  <r>
    <s v="Id152"/>
    <s v="Meers, Mr.  Michael P"/>
    <n v="51.64"/>
    <n v="5.65"/>
    <s v="No"/>
    <s v="No"/>
    <x v="0"/>
    <n v="0"/>
    <x v="0"/>
    <x v="0"/>
    <s v="Normal"/>
    <n v="2004"/>
    <s v="Sep"/>
    <n v="11"/>
    <n v="1"/>
    <d v="2004-09-11T00:00:00"/>
    <n v="1720.35"/>
    <s v="tier - 3"/>
    <s v="tier - 3"/>
    <s v="R1013"/>
    <n v="18"/>
  </r>
  <r>
    <s v="Id153"/>
    <s v="Conlon, Mr.  Paul"/>
    <n v="42.83"/>
    <n v="6.04"/>
    <s v="No"/>
    <s v="No"/>
    <x v="0"/>
    <n v="2"/>
    <x v="0"/>
    <x v="0"/>
    <s v="Prediabetes"/>
    <n v="2004"/>
    <s v="Oct"/>
    <n v="21"/>
    <n v="1"/>
    <d v="2004-10-21T00:00:00"/>
    <n v="1725.55"/>
    <s v="tier - 3"/>
    <s v="tier - 2"/>
    <s v="R1013"/>
    <n v="18"/>
  </r>
  <r>
    <s v="Id154"/>
    <s v="Arnstein, Mr.  Michael"/>
    <n v="40.15"/>
    <n v="5.76"/>
    <s v="No"/>
    <s v="No"/>
    <x v="0"/>
    <n v="1"/>
    <x v="0"/>
    <x v="0"/>
    <s v="Prediabetes"/>
    <n v="2004"/>
    <s v="Sep"/>
    <n v="9"/>
    <n v="1"/>
    <d v="2004-09-09T00:00:00"/>
    <n v="1727.54"/>
    <s v="tier - 3"/>
    <s v="tier - 1"/>
    <s v="R1013"/>
    <n v="18"/>
  </r>
  <r>
    <s v="Id155"/>
    <s v="Jurek, Mr.  Samuel"/>
    <n v="27.8"/>
    <n v="4.3600000000000003"/>
    <s v="No"/>
    <s v="No"/>
    <x v="1"/>
    <n v="1"/>
    <x v="0"/>
    <x v="1"/>
    <s v="Normal"/>
    <n v="2003"/>
    <s v="Nov"/>
    <n v="21"/>
    <n v="0"/>
    <d v="2003-11-21T00:00:00"/>
    <n v="1727.79"/>
    <s v="tier - 3"/>
    <s v="tier - 3"/>
    <s v="R1011"/>
    <n v="19"/>
  </r>
  <r>
    <s v="Id156"/>
    <s v="Thill, Mr.  Matthew"/>
    <n v="45.81"/>
    <n v="4.76"/>
    <s v="yes"/>
    <s v="No"/>
    <x v="1"/>
    <n v="1"/>
    <x v="0"/>
    <x v="0"/>
    <s v="Normal"/>
    <n v="2003"/>
    <s v="Sep"/>
    <n v="1"/>
    <n v="0"/>
    <d v="2003-09-01T00:00:00"/>
    <n v="1728.9"/>
    <s v="tier - 3"/>
    <s v="tier - 2"/>
    <s v="R1011"/>
    <n v="19"/>
  </r>
  <r>
    <s v="Id157"/>
    <s v="Glaz, Mr.  Daniel"/>
    <n v="34.43"/>
    <n v="10.82"/>
    <s v="yes"/>
    <s v="No"/>
    <x v="0"/>
    <n v="1"/>
    <x v="0"/>
    <x v="0"/>
    <s v="Diabetes"/>
    <n v="2003"/>
    <s v="Nov"/>
    <n v="9"/>
    <n v="0"/>
    <d v="2003-11-09T00:00:00"/>
    <n v="1731.68"/>
    <s v="tier - 3"/>
    <s v="tier - 2"/>
    <s v="R1011"/>
    <n v="19"/>
  </r>
  <r>
    <s v="Id158"/>
    <s v="Sampson, Ms.  Syndy"/>
    <n v="41.33"/>
    <n v="4.01"/>
    <s v="yes"/>
    <s v="No"/>
    <x v="0"/>
    <n v="0"/>
    <x v="0"/>
    <x v="0"/>
    <s v="Normal"/>
    <n v="2003"/>
    <s v="Nov"/>
    <n v="14"/>
    <n v="0"/>
    <d v="2003-11-14T00:00:00"/>
    <n v="1737.38"/>
    <s v="tier - 3"/>
    <s v="tier - 2"/>
    <s v="R1011"/>
    <n v="19"/>
  </r>
  <r>
    <s v="Id159"/>
    <s v="Duliba, Ms.  Aleksandra"/>
    <n v="31.92"/>
    <n v="5.12"/>
    <s v="yes"/>
    <s v="No"/>
    <x v="0"/>
    <n v="1"/>
    <x v="0"/>
    <x v="0"/>
    <s v="Normal"/>
    <n v="2003"/>
    <s v="Jul"/>
    <n v="25"/>
    <n v="0"/>
    <d v="2003-07-25T00:00:00"/>
    <n v="1743.21"/>
    <s v="tier - 3"/>
    <s v="tier - 1"/>
    <s v="R1011"/>
    <n v="19"/>
  </r>
  <r>
    <s v="Id160"/>
    <s v="Tanguay, Mr.  Steeve T Sr."/>
    <n v="39.799999999999997"/>
    <n v="10.54"/>
    <s v="yes"/>
    <s v="No"/>
    <x v="0"/>
    <n v="2"/>
    <x v="0"/>
    <x v="0"/>
    <s v="Diabetes"/>
    <n v="2003"/>
    <s v="Jul"/>
    <n v="28"/>
    <n v="0"/>
    <d v="2003-07-28T00:00:00"/>
    <n v="1744.47"/>
    <s v="tier - 3"/>
    <s v="tier - 1"/>
    <s v="R1011"/>
    <n v="19"/>
  </r>
  <r>
    <s v="Id161"/>
    <s v="McClelland, Mr.  Richard"/>
    <n v="42.82"/>
    <n v="4.21"/>
    <s v="No"/>
    <s v="No"/>
    <x v="0"/>
    <n v="0"/>
    <x v="0"/>
    <x v="0"/>
    <s v="Normal"/>
    <n v="2003"/>
    <s v="Sep"/>
    <n v="26"/>
    <n v="0"/>
    <d v="2003-09-26T00:00:00"/>
    <n v="1748.77"/>
    <s v="tier - 3"/>
    <s v="tier - 1"/>
    <s v="R1011"/>
    <n v="19"/>
  </r>
  <r>
    <s v="Id162"/>
    <s v="Gorman, Mr.  Aaron T"/>
    <n v="33.630000000000003"/>
    <n v="5.42"/>
    <s v="No"/>
    <s v="No"/>
    <x v="0"/>
    <n v="0"/>
    <x v="0"/>
    <x v="0"/>
    <s v="Normal"/>
    <n v="1998"/>
    <s v="Oct"/>
    <n v="7"/>
    <n v="0"/>
    <d v="1998-10-07T00:00:00"/>
    <n v="1756.6"/>
    <s v="tier - 3"/>
    <s v="tier - 3"/>
    <s v="R1013"/>
    <n v="24"/>
  </r>
  <r>
    <s v="Id163"/>
    <s v="Nishimura, Mr.  Akira"/>
    <n v="37.07"/>
    <n v="4.28"/>
    <s v="No"/>
    <s v="yes"/>
    <x v="0"/>
    <n v="1"/>
    <x v="0"/>
    <x v="0"/>
    <s v="Normal"/>
    <n v="2003"/>
    <s v="Nov"/>
    <n v="19"/>
    <n v="0"/>
    <d v="2003-11-19T00:00:00"/>
    <n v="1759.34"/>
    <s v="tier - 3"/>
    <s v="tier - 1"/>
    <s v="R1011"/>
    <n v="19"/>
  </r>
  <r>
    <s v="Id164"/>
    <s v="Brimble, Mr.  Ben"/>
    <n v="35.625"/>
    <n v="8.9"/>
    <s v="No"/>
    <s v="No"/>
    <x v="0"/>
    <n v="0"/>
    <x v="0"/>
    <x v="0"/>
    <s v="Diabetes"/>
    <n v="2002"/>
    <s v="Dec"/>
    <n v="13"/>
    <n v="0"/>
    <d v="2002-12-13T00:00:00"/>
    <n v="1769.53"/>
    <s v="tier - 3"/>
    <s v="tier - 3"/>
    <s v="R1012"/>
    <n v="20"/>
  </r>
  <r>
    <s v="Id165"/>
    <s v="Trenk, Ms.  Jana"/>
    <n v="42.69"/>
    <n v="4.8899999999999997"/>
    <s v="No"/>
    <s v="No"/>
    <x v="1"/>
    <n v="1"/>
    <x v="0"/>
    <x v="0"/>
    <s v="Normal"/>
    <n v="1999"/>
    <s v="Sep"/>
    <n v="25"/>
    <n v="0"/>
    <d v="1999-09-25T00:00:00"/>
    <n v="1815.88"/>
    <s v="tier - 3"/>
    <s v="tier - 3"/>
    <s v="R1013"/>
    <n v="23"/>
  </r>
  <r>
    <s v="Id166"/>
    <s v="Wittmann, Mr.  Jay T."/>
    <n v="37.869999999999997"/>
    <n v="4.29"/>
    <s v="yes"/>
    <s v="No"/>
    <x v="1"/>
    <n v="1"/>
    <x v="0"/>
    <x v="0"/>
    <s v="Normal"/>
    <n v="2004"/>
    <s v="Aug"/>
    <n v="19"/>
    <n v="0"/>
    <d v="2004-08-19T00:00:00"/>
    <n v="1822.54"/>
    <s v="tier - 3"/>
    <s v="tier - 1"/>
    <s v="R1012"/>
    <n v="18"/>
  </r>
  <r>
    <s v="Id167"/>
    <s v="Tremblay, Ms.  Marie-Helene"/>
    <n v="40.61"/>
    <n v="8"/>
    <s v="yes"/>
    <s v="No"/>
    <x v="0"/>
    <n v="1"/>
    <x v="0"/>
    <x v="0"/>
    <s v="Diabetes"/>
    <n v="1999"/>
    <s v="Nov"/>
    <n v="17"/>
    <n v="0"/>
    <d v="1999-11-17T00:00:00"/>
    <n v="1824.29"/>
    <s v="tier - 3"/>
    <s v="tier - 3"/>
    <s v="R1013"/>
    <n v="23"/>
  </r>
  <r>
    <s v="Id168"/>
    <s v="Scofield, Ms.  Bret R"/>
    <n v="30.78"/>
    <n v="4.67"/>
    <s v="yes"/>
    <s v="No"/>
    <x v="0"/>
    <n v="0"/>
    <x v="0"/>
    <x v="0"/>
    <s v="Normal"/>
    <n v="1999"/>
    <s v="Oct"/>
    <n v="1"/>
    <n v="0"/>
    <d v="1999-10-01T00:00:00"/>
    <n v="1826.84"/>
    <s v="tier - 3"/>
    <s v="tier - 2"/>
    <s v="R1011"/>
    <n v="23"/>
  </r>
  <r>
    <s v="Id169"/>
    <s v="Yost, Mr.  Gardner L"/>
    <n v="49.49"/>
    <n v="4.5"/>
    <s v="No"/>
    <s v="No"/>
    <x v="0"/>
    <n v="0"/>
    <x v="0"/>
    <x v="0"/>
    <s v="Normal"/>
    <n v="2003"/>
    <s v="Aug"/>
    <n v="11"/>
    <n v="1"/>
    <d v="2003-08-11T00:00:00"/>
    <n v="1832.09"/>
    <s v="tier - 3"/>
    <s v="tier - 3"/>
    <s v="R1011"/>
    <n v="19"/>
  </r>
  <r>
    <s v="Id170"/>
    <s v="Torphy, Mr.  Bobby"/>
    <n v="37.619999999999997"/>
    <n v="6.32"/>
    <s v="yes"/>
    <s v="yes"/>
    <x v="0"/>
    <n v="2"/>
    <x v="0"/>
    <x v="0"/>
    <s v="Prediabetes"/>
    <n v="2003"/>
    <s v="Aug"/>
    <n v="4"/>
    <n v="1"/>
    <d v="2003-08-04T00:00:00"/>
    <n v="1837.24"/>
    <s v="tier - 3"/>
    <s v="tier - 2"/>
    <s v="R1011"/>
    <n v="19"/>
  </r>
  <r>
    <s v="Id171"/>
    <s v="Busby, Ms.  Natalie"/>
    <n v="36.08"/>
    <n v="6.1"/>
    <s v="yes"/>
    <s v="No"/>
    <x v="0"/>
    <n v="1"/>
    <x v="0"/>
    <x v="0"/>
    <s v="Prediabetes"/>
    <n v="1999"/>
    <s v="Dec"/>
    <n v="12"/>
    <n v="0"/>
    <d v="1999-12-12T00:00:00"/>
    <n v="1837.28"/>
    <s v="tier - 3"/>
    <s v="tier - 2"/>
    <s v="R1013"/>
    <n v="23"/>
  </r>
  <r>
    <s v="Id172"/>
    <s v="Nguyen, Ms.  Lina"/>
    <n v="33.5"/>
    <n v="5.4"/>
    <s v="No"/>
    <s v="No"/>
    <x v="0"/>
    <n v="0"/>
    <x v="0"/>
    <x v="0"/>
    <s v="Normal"/>
    <n v="2003"/>
    <s v="Jul"/>
    <n v="20"/>
    <n v="1"/>
    <d v="2003-07-20T00:00:00"/>
    <n v="1842.52"/>
    <s v="tier - 3"/>
    <s v="tier - 2"/>
    <s v="R1011"/>
    <n v="19"/>
  </r>
  <r>
    <s v="Id173"/>
    <s v="Hanley, Mr.  Zebulon"/>
    <n v="47.46"/>
    <n v="6.24"/>
    <s v="yes"/>
    <s v="No"/>
    <x v="0"/>
    <n v="1"/>
    <x v="0"/>
    <x v="0"/>
    <s v="Prediabetes"/>
    <n v="1994"/>
    <s v="Dec"/>
    <n v="6"/>
    <n v="0"/>
    <d v="1994-12-06T00:00:00"/>
    <n v="1850.55"/>
    <s v="tier - 3"/>
    <s v="tier - 2"/>
    <s v="R1012"/>
    <n v="28"/>
  </r>
  <r>
    <s v="Id174"/>
    <s v="Scheer, Ms.  Amanda"/>
    <n v="49.24"/>
    <n v="4.45"/>
    <s v="No"/>
    <s v="No"/>
    <x v="0"/>
    <n v="0"/>
    <x v="0"/>
    <x v="0"/>
    <s v="Normal"/>
    <n v="2004"/>
    <s v="Dec"/>
    <n v="27"/>
    <n v="0"/>
    <d v="2004-12-27T00:00:00"/>
    <n v="1863.45"/>
    <s v="tier - 3"/>
    <s v="tier - 1"/>
    <s v="R1025"/>
    <n v="18"/>
  </r>
  <r>
    <s v="Id175"/>
    <s v="Rankin, Mr.  Greg"/>
    <n v="54.4"/>
    <n v="5.22"/>
    <s v="No"/>
    <s v="No"/>
    <x v="0"/>
    <n v="1"/>
    <x v="0"/>
    <x v="0"/>
    <s v="Normal"/>
    <n v="1996"/>
    <s v="Jul"/>
    <n v="2"/>
    <n v="0"/>
    <d v="1996-07-02T00:00:00"/>
    <n v="1865.98"/>
    <s v="tier - 3"/>
    <s v="tier - 3"/>
    <s v="R1012"/>
    <n v="26"/>
  </r>
  <r>
    <s v="Id176"/>
    <s v="Ricardi, Mr.  John"/>
    <n v="35.53"/>
    <n v="4.6100000000000003"/>
    <s v="No"/>
    <s v="No"/>
    <x v="0"/>
    <n v="1"/>
    <x v="0"/>
    <x v="0"/>
    <s v="Normal"/>
    <n v="2002"/>
    <s v="Sep"/>
    <n v="22"/>
    <n v="0"/>
    <d v="2002-09-22T00:00:00"/>
    <n v="1875.34"/>
    <s v="tier - 3"/>
    <s v="tier - 2"/>
    <s v="R1011"/>
    <n v="20"/>
  </r>
  <r>
    <s v="Id177"/>
    <s v="Karkos, Ms.  Kelsey A."/>
    <n v="39.729999999999997"/>
    <n v="6.24"/>
    <s v="No"/>
    <s v="No"/>
    <x v="0"/>
    <n v="0"/>
    <x v="0"/>
    <x v="0"/>
    <s v="Prediabetes"/>
    <n v="2002"/>
    <s v="Oct"/>
    <n v="29"/>
    <n v="0"/>
    <d v="2002-10-29T00:00:00"/>
    <n v="1877.93"/>
    <s v="tier - 3"/>
    <s v="tier - 1"/>
    <s v="R1013"/>
    <n v="20"/>
  </r>
  <r>
    <s v="Id178"/>
    <s v="Price-Dierksen, Ms.  Bronwen L"/>
    <n v="35.68"/>
    <n v="10.039999999999999"/>
    <s v="No"/>
    <s v="No"/>
    <x v="0"/>
    <n v="0"/>
    <x v="0"/>
    <x v="0"/>
    <s v="Diabetes"/>
    <n v="2002"/>
    <s v="Aug"/>
    <n v="29"/>
    <n v="0"/>
    <d v="2002-08-29T00:00:00"/>
    <n v="1880.07"/>
    <s v="tier - 3"/>
    <s v="tier - 2"/>
    <s v="R1013"/>
    <n v="20"/>
  </r>
  <r>
    <s v="Id179"/>
    <s v="Knispel, Ms.  Manuela"/>
    <n v="48.86"/>
    <n v="6.09"/>
    <s v="No"/>
    <s v="No"/>
    <x v="0"/>
    <n v="0"/>
    <x v="0"/>
    <x v="0"/>
    <s v="Prediabetes"/>
    <n v="2002"/>
    <s v="Aug"/>
    <n v="21"/>
    <n v="0"/>
    <d v="2002-08-21T00:00:00"/>
    <n v="1880.49"/>
    <s v="tier - 3"/>
    <s v="tier - 1"/>
    <s v="R1011"/>
    <n v="20"/>
  </r>
  <r>
    <s v="Id180"/>
    <s v="King, Ms.  Jennifer L"/>
    <n v="34.799999999999997"/>
    <n v="11.4"/>
    <s v="yes"/>
    <s v="No"/>
    <x v="1"/>
    <n v="1"/>
    <x v="1"/>
    <x v="0"/>
    <s v="Diabetes"/>
    <n v="2001"/>
    <s v="Aug"/>
    <n v="10"/>
    <n v="0"/>
    <d v="2001-08-10T00:00:00"/>
    <n v="1906.36"/>
    <s v="tier - 3"/>
    <s v="tier - 1"/>
    <s v="R1012"/>
    <n v="21"/>
  </r>
  <r>
    <s v="Id181"/>
    <s v="Samuelson, Ms.  Abby W."/>
    <n v="32.49"/>
    <n v="4.29"/>
    <s v="No"/>
    <s v="No"/>
    <x v="1"/>
    <n v="1"/>
    <x v="0"/>
    <x v="0"/>
    <s v="Normal"/>
    <n v="1994"/>
    <s v="Oct"/>
    <n v="6"/>
    <n v="0"/>
    <d v="1994-10-06T00:00:00"/>
    <n v="1908.9"/>
    <s v="tier - 3"/>
    <s v="tier - 3"/>
    <s v="R1013"/>
    <n v="28"/>
  </r>
  <r>
    <s v="Id182"/>
    <s v="Fredsall, Mr.  Tyler"/>
    <n v="39"/>
    <n v="5.7"/>
    <s v="No"/>
    <s v="No"/>
    <x v="0"/>
    <n v="2"/>
    <x v="0"/>
    <x v="0"/>
    <s v="Prediabetes"/>
    <n v="2001"/>
    <s v="Aug"/>
    <n v="3"/>
    <n v="0"/>
    <d v="2001-08-03T00:00:00"/>
    <n v="1909.53"/>
    <s v="tier - 3"/>
    <s v="tier - 3"/>
    <s v="R1012"/>
    <n v="21"/>
  </r>
  <r>
    <s v="Id183"/>
    <s v="Eggleston, Mr.  Jeffrey"/>
    <n v="35.299999999999997"/>
    <n v="6.09"/>
    <s v="No"/>
    <s v="No"/>
    <x v="0"/>
    <n v="1"/>
    <x v="0"/>
    <x v="0"/>
    <s v="Prediabetes"/>
    <n v="2001"/>
    <s v="Dec"/>
    <n v="9"/>
    <n v="0"/>
    <d v="2001-12-09T00:00:00"/>
    <n v="1917.32"/>
    <s v="tier - 3"/>
    <s v="tier - 2"/>
    <s v="R1012"/>
    <n v="21"/>
  </r>
  <r>
    <s v="Id184"/>
    <s v="Palombaro, Mr.  Matthew F"/>
    <n v="33.42"/>
    <n v="10.67"/>
    <s v="No"/>
    <s v="No"/>
    <x v="0"/>
    <n v="0"/>
    <x v="0"/>
    <x v="0"/>
    <s v="Diabetes"/>
    <n v="2002"/>
    <s v="Sep"/>
    <n v="7"/>
    <n v="1"/>
    <d v="2002-09-07T00:00:00"/>
    <n v="1964.78"/>
    <s v="tier - 3"/>
    <s v="tier - 1"/>
    <s v="R1011"/>
    <n v="20"/>
  </r>
  <r>
    <s v="Id185"/>
    <s v="Silva, Mr.  Ryan J."/>
    <n v="37.18"/>
    <n v="6.75"/>
    <s v="yes"/>
    <s v="No"/>
    <x v="0"/>
    <n v="2"/>
    <x v="0"/>
    <x v="0"/>
    <s v="Diabetes"/>
    <n v="2002"/>
    <s v="Jul"/>
    <n v="29"/>
    <n v="0"/>
    <d v="2002-07-29T00:00:00"/>
    <n v="1967.02"/>
    <s v="tier - 3"/>
    <s v="tier - 2"/>
    <s v="R1016"/>
    <n v="20"/>
  </r>
  <r>
    <s v="Id186"/>
    <s v="Bugala, Ms.  Amy"/>
    <n v="33.33"/>
    <n v="9.26"/>
    <s v="yes"/>
    <s v="No"/>
    <x v="0"/>
    <n v="2"/>
    <x v="1"/>
    <x v="0"/>
    <s v="Diabetes"/>
    <n v="1998"/>
    <s v="Sep"/>
    <n v="28"/>
    <n v="0"/>
    <d v="1998-09-28T00:00:00"/>
    <n v="1969.61"/>
    <s v="tier - 3"/>
    <s v="tier - 3"/>
    <s v="R1011"/>
    <n v="24"/>
  </r>
  <r>
    <s v="Id187"/>
    <s v="Dublin, Mr.  Andrew P"/>
    <n v="53.21"/>
    <n v="4.2699999999999996"/>
    <s v="No"/>
    <s v="No"/>
    <x v="0"/>
    <n v="1"/>
    <x v="0"/>
    <x v="0"/>
    <s v="Normal"/>
    <n v="1998"/>
    <s v="Oct"/>
    <n v="5"/>
    <n v="0"/>
    <d v="1998-10-05T00:00:00"/>
    <n v="1972.95"/>
    <s v="tier - 3"/>
    <s v="tier - 1"/>
    <s v="R1011"/>
    <n v="24"/>
  </r>
  <r>
    <s v="Id188"/>
    <s v="Cleland, Mr.  George M. V"/>
    <n v="38.729999999999997"/>
    <n v="11.51"/>
    <s v="No"/>
    <s v="No"/>
    <x v="0"/>
    <n v="2"/>
    <x v="0"/>
    <x v="0"/>
    <s v="Diabetes"/>
    <n v="1998"/>
    <s v="Sep"/>
    <n v="29"/>
    <n v="0"/>
    <d v="1998-09-29T00:00:00"/>
    <n v="1977.82"/>
    <s v="tier - 3"/>
    <s v="tier - 1"/>
    <s v="R1011"/>
    <n v="24"/>
  </r>
  <r>
    <s v="Id189"/>
    <s v="Evans, Ms.  Sarah"/>
    <n v="29.73"/>
    <n v="7.22"/>
    <s v="No"/>
    <s v="No"/>
    <x v="0"/>
    <n v="0"/>
    <x v="0"/>
    <x v="1"/>
    <s v="Diabetes"/>
    <n v="2002"/>
    <s v="Jul"/>
    <n v="16"/>
    <n v="1"/>
    <d v="2002-07-16T00:00:00"/>
    <n v="1980.07"/>
    <s v="tier - 3"/>
    <s v="tier - 3"/>
    <s v="R1011"/>
    <n v="20"/>
  </r>
  <r>
    <s v="Id190"/>
    <s v="Boyd, Ms.  Lara"/>
    <n v="34.700000000000003"/>
    <n v="4.37"/>
    <s v="No"/>
    <s v="No"/>
    <x v="1"/>
    <n v="1"/>
    <x v="0"/>
    <x v="0"/>
    <s v="Normal"/>
    <n v="1998"/>
    <s v="Dec"/>
    <n v="29"/>
    <n v="0"/>
    <d v="1998-12-29T00:00:00"/>
    <n v="1981.58"/>
    <s v="tier - 3"/>
    <s v="tier - 1"/>
    <s v="R1013"/>
    <n v="24"/>
  </r>
  <r>
    <s v="Id191"/>
    <s v="Roulier, Mr.  Sebastien"/>
    <n v="38.28"/>
    <n v="11.56"/>
    <s v="yes"/>
    <s v="No"/>
    <x v="0"/>
    <n v="1"/>
    <x v="0"/>
    <x v="0"/>
    <s v="Diabetes"/>
    <n v="2002"/>
    <s v="Sep"/>
    <n v="29"/>
    <n v="0"/>
    <d v="2002-09-29T00:00:00"/>
    <n v="1984.45"/>
    <s v="tier - 3"/>
    <s v="tier - 3"/>
    <s v="R1016"/>
    <n v="20"/>
  </r>
  <r>
    <s v="Id192"/>
    <s v="Mullins, Mr.  Padraig"/>
    <n v="33.57"/>
    <n v="8.82"/>
    <s v="yes"/>
    <s v="No"/>
    <x v="0"/>
    <n v="0"/>
    <x v="0"/>
    <x v="0"/>
    <s v="Diabetes"/>
    <n v="1998"/>
    <s v="Sep"/>
    <n v="14"/>
    <n v="0"/>
    <d v="1998-09-14T00:00:00"/>
    <n v="1986.93"/>
    <s v="tier - 3"/>
    <s v="tier - 2"/>
    <s v="R1013"/>
    <n v="24"/>
  </r>
  <r>
    <s v="Id193"/>
    <s v="Hofmann, Ms.  Heather"/>
    <n v="52.06"/>
    <n v="4.6900000000000004"/>
    <s v="No"/>
    <s v="No"/>
    <x v="0"/>
    <n v="1"/>
    <x v="0"/>
    <x v="0"/>
    <s v="Normal"/>
    <n v="2001"/>
    <s v="Aug"/>
    <n v="14"/>
    <n v="0"/>
    <d v="2001-08-14T00:00:00"/>
    <n v="2007.95"/>
    <s v="tier - 3"/>
    <s v="tier - 2"/>
    <s v="R1011"/>
    <n v="21"/>
  </r>
  <r>
    <s v="Id194"/>
    <s v="Garcia Garcia, Mr.  Jorge"/>
    <n v="38.17"/>
    <n v="4.53"/>
    <s v="No"/>
    <s v="yes"/>
    <x v="0"/>
    <n v="1"/>
    <x v="0"/>
    <x v="0"/>
    <s v="Normal"/>
    <n v="2001"/>
    <s v="Jul"/>
    <n v="1"/>
    <n v="0"/>
    <d v="2001-07-01T00:00:00"/>
    <n v="2020.18"/>
    <s v="tier - 3"/>
    <s v="tier - 1"/>
    <s v="R1011"/>
    <n v="21"/>
  </r>
  <r>
    <s v="Id195"/>
    <s v="Klecker, Mr.  Jack R"/>
    <n v="36.954999999999998"/>
    <n v="5.84"/>
    <s v="No"/>
    <s v="No"/>
    <x v="1"/>
    <n v="1"/>
    <x v="0"/>
    <x v="0"/>
    <s v="Prediabetes"/>
    <n v="2001"/>
    <s v="Sep"/>
    <n v="6"/>
    <n v="0"/>
    <d v="2001-09-06T00:00:00"/>
    <n v="2020.55"/>
    <s v="tier - 3"/>
    <s v="tier - 2"/>
    <s v="R1013"/>
    <n v="21"/>
  </r>
  <r>
    <s v="Id196"/>
    <s v="Cancre, Mr.  Felix"/>
    <n v="34.4"/>
    <n v="4.9000000000000004"/>
    <s v="No"/>
    <s v="No"/>
    <x v="1"/>
    <n v="1"/>
    <x v="0"/>
    <x v="0"/>
    <s v="Normal"/>
    <n v="2001"/>
    <s v="Aug"/>
    <n v="4"/>
    <n v="0"/>
    <d v="2001-08-04T00:00:00"/>
    <n v="2026.97"/>
    <s v="tier - 3"/>
    <s v="tier - 2"/>
    <s v="R1013"/>
    <n v="21"/>
  </r>
  <r>
    <s v="Id197"/>
    <s v="Denucci, Mr.  Christopher C"/>
    <n v="31.73"/>
    <n v="4.3"/>
    <s v="No"/>
    <s v="No"/>
    <x v="0"/>
    <n v="0"/>
    <x v="0"/>
    <x v="0"/>
    <s v="Normal"/>
    <n v="2000"/>
    <s v="Sep"/>
    <n v="2"/>
    <n v="0"/>
    <d v="2000-09-02T00:00:00"/>
    <n v="2045.69"/>
    <s v="tier - 3"/>
    <s v="tier - 3"/>
    <s v="R1012"/>
    <n v="22"/>
  </r>
  <r>
    <s v="Id198"/>
    <s v="Saldana, Mr.  Jesse"/>
    <n v="36.64"/>
    <n v="11.34"/>
    <s v="No"/>
    <s v="No"/>
    <x v="0"/>
    <n v="0"/>
    <x v="0"/>
    <x v="0"/>
    <s v="Diabetes"/>
    <n v="2000"/>
    <s v="Jul"/>
    <n v="26"/>
    <n v="0"/>
    <d v="2000-07-26T00:00:00"/>
    <n v="2055.3200000000002"/>
    <s v="tier - 3"/>
    <s v="tier - 3"/>
    <s v="R1012"/>
    <n v="22"/>
  </r>
  <r>
    <s v="Id199"/>
    <s v="Weinberg, Ms.  Jill"/>
    <n v="36.85"/>
    <n v="5.88"/>
    <s v="No"/>
    <s v="yes"/>
    <x v="0"/>
    <n v="1"/>
    <x v="0"/>
    <x v="0"/>
    <s v="Prediabetes"/>
    <n v="2004"/>
    <s v="Jun"/>
    <n v="12"/>
    <n v="0"/>
    <d v="2004-06-12T00:00:00"/>
    <n v="2094.1"/>
    <s v="tier - 3"/>
    <s v="tier - 2"/>
    <s v="R1025"/>
    <n v="18"/>
  </r>
  <r>
    <s v="Id200"/>
    <s v="Walsh, Mr.  William"/>
    <n v="33.33"/>
    <n v="5.01"/>
    <s v="yes"/>
    <s v="No"/>
    <x v="1"/>
    <n v="1"/>
    <x v="0"/>
    <x v="0"/>
    <s v="Normal"/>
    <n v="2001"/>
    <s v="Aug"/>
    <n v="14"/>
    <n v="0"/>
    <d v="2001-08-14T00:00:00"/>
    <n v="2102.2600000000002"/>
    <s v="tier - 3"/>
    <s v="tier - 2"/>
    <s v="R1019"/>
    <n v="21"/>
  </r>
  <r>
    <s v="Id201"/>
    <s v="Pasten, Mr.  Alejandro"/>
    <n v="39.14"/>
    <n v="4.4000000000000004"/>
    <s v="No"/>
    <s v="No"/>
    <x v="1"/>
    <n v="1"/>
    <x v="0"/>
    <x v="0"/>
    <s v="Normal"/>
    <n v="2001"/>
    <s v="Jun"/>
    <n v="22"/>
    <n v="1"/>
    <d v="2001-06-22T00:00:00"/>
    <n v="2103.08"/>
    <s v="tier - 3"/>
    <s v="tier - 2"/>
    <s v="R1011"/>
    <n v="21"/>
  </r>
  <r>
    <s v="Id202"/>
    <s v="LaBelle, Mr.  Ian E."/>
    <n v="32.9"/>
    <n v="6.26"/>
    <s v="yes"/>
    <s v="No"/>
    <x v="0"/>
    <n v="0"/>
    <x v="0"/>
    <x v="0"/>
    <s v="Prediabetes"/>
    <n v="2001"/>
    <s v="Nov"/>
    <n v="28"/>
    <n v="0"/>
    <d v="2001-11-28T00:00:00"/>
    <n v="2104.11"/>
    <s v="tier - 2"/>
    <s v="tier - 1"/>
    <s v="R1016"/>
    <n v="21"/>
  </r>
  <r>
    <s v="Id203"/>
    <s v="Guzman, Mr.  Hector Sr."/>
    <n v="29.78"/>
    <n v="10.27"/>
    <s v="yes"/>
    <s v="No"/>
    <x v="1"/>
    <n v="1"/>
    <x v="0"/>
    <x v="1"/>
    <s v="Diabetes"/>
    <n v="1989"/>
    <s v="Jul"/>
    <n v="21"/>
    <n v="3"/>
    <d v="1989-07-21T00:00:00"/>
    <n v="2106.2600000000002"/>
    <s v="tier - 2"/>
    <s v="tier - 2"/>
    <s v="R1013"/>
    <n v="33"/>
  </r>
  <r>
    <s v="Id204"/>
    <s v="Turnbull, Ms.  Rebecca"/>
    <n v="32.78"/>
    <n v="5.27"/>
    <s v="No"/>
    <s v="No"/>
    <x v="0"/>
    <n v="0"/>
    <x v="0"/>
    <x v="0"/>
    <s v="Normal"/>
    <n v="2003"/>
    <s v="Sep"/>
    <n v="30"/>
    <n v="0"/>
    <d v="2003-09-30T00:00:00"/>
    <n v="2117.34"/>
    <s v="tier - 2"/>
    <s v="tier - 3"/>
    <s v="R1012"/>
    <n v="19"/>
  </r>
  <r>
    <s v="Id205"/>
    <s v="Aguero, Mr.  Matt"/>
    <n v="41.65"/>
    <n v="10.73"/>
    <s v="yes"/>
    <s v="No"/>
    <x v="0"/>
    <n v="0"/>
    <x v="0"/>
    <x v="0"/>
    <s v="Diabetes"/>
    <n v="2004"/>
    <s v="Nov"/>
    <n v="4"/>
    <n v="0"/>
    <d v="2004-11-04T00:00:00"/>
    <n v="2118.61"/>
    <s v="tier - 2"/>
    <s v="tier - 1"/>
    <s v="R1012"/>
    <n v="18"/>
  </r>
  <r>
    <s v="Id206"/>
    <s v="Woodward, Ms.  Elizabeth H"/>
    <n v="50.79"/>
    <n v="4.45"/>
    <s v="No"/>
    <s v="No"/>
    <x v="0"/>
    <n v="1"/>
    <x v="0"/>
    <x v="0"/>
    <s v="Normal"/>
    <n v="2003"/>
    <s v="Aug"/>
    <n v="30"/>
    <n v="0"/>
    <d v="2003-08-30T00:00:00"/>
    <n v="2128.4299999999998"/>
    <s v="tier - 2"/>
    <s v="tier - 1"/>
    <s v="R1012"/>
    <n v="19"/>
  </r>
  <r>
    <s v="Id207"/>
    <s v="McElroy, Ms.  Grace"/>
    <n v="35.43"/>
    <n v="5.25"/>
    <s v="yes"/>
    <s v="No"/>
    <x v="0"/>
    <n v="0"/>
    <x v="0"/>
    <x v="0"/>
    <s v="Normal"/>
    <n v="2003"/>
    <s v="Dec"/>
    <n v="22"/>
    <n v="0"/>
    <d v="2003-12-22T00:00:00"/>
    <n v="2130.6799999999998"/>
    <s v="tier - 2"/>
    <s v="tier - 3"/>
    <s v="R1012"/>
    <n v="19"/>
  </r>
  <r>
    <s v="Id208"/>
    <s v="Lopez, Mr.  Jaime"/>
    <n v="35.25"/>
    <n v="9.51"/>
    <s v="No"/>
    <s v="No"/>
    <x v="0"/>
    <n v="0"/>
    <x v="0"/>
    <x v="0"/>
    <s v="Diabetes"/>
    <n v="2003"/>
    <s v="Sep"/>
    <n v="1"/>
    <n v="0"/>
    <d v="2003-09-01T00:00:00"/>
    <n v="2134.9"/>
    <s v="tier - 2"/>
    <s v="tier - 3"/>
    <s v="R1012"/>
    <n v="19"/>
  </r>
  <r>
    <s v="Id209"/>
    <s v="Cardosi, Ms.  Calesse"/>
    <n v="36.85"/>
    <n v="11.12"/>
    <s v="No"/>
    <s v="No"/>
    <x v="0"/>
    <n v="0"/>
    <x v="0"/>
    <x v="0"/>
    <s v="Diabetes"/>
    <n v="2003"/>
    <s v="Sep"/>
    <n v="26"/>
    <n v="0"/>
    <d v="2003-09-26T00:00:00"/>
    <n v="2136.88"/>
    <s v="tier - 2"/>
    <s v="tier - 2"/>
    <s v="R1012"/>
    <n v="19"/>
  </r>
  <r>
    <s v="Id210"/>
    <s v="Looney, Ms.  Kate L"/>
    <n v="31.02"/>
    <n v="4.5599999999999996"/>
    <s v="No"/>
    <s v="yes"/>
    <x v="0"/>
    <n v="1"/>
    <x v="0"/>
    <x v="0"/>
    <s v="Normal"/>
    <n v="1997"/>
    <s v="Sep"/>
    <n v="3"/>
    <n v="0"/>
    <d v="1997-09-03T00:00:00"/>
    <n v="2137.65"/>
    <s v="tier - 3"/>
    <s v="tier - 1"/>
    <s v="R1013"/>
    <n v="25"/>
  </r>
  <r>
    <s v="Id211"/>
    <s v="Zyryanov, Mr.  Sergey"/>
    <n v="35.6"/>
    <n v="4.0199999999999996"/>
    <s v="yes"/>
    <s v="yes"/>
    <x v="0"/>
    <n v="2"/>
    <x v="0"/>
    <x v="0"/>
    <s v="Normal"/>
    <n v="2003"/>
    <s v="Aug"/>
    <n v="19"/>
    <n v="0"/>
    <d v="2003-08-19T00:00:00"/>
    <n v="2138.0700000000002"/>
    <s v="tier - 2"/>
    <s v="tier - 1"/>
    <s v="R1012"/>
    <n v="19"/>
  </r>
  <r>
    <s v="Id212"/>
    <s v="Gavin, Mr.  Timothy V"/>
    <n v="34.39"/>
    <n v="8.7200000000000006"/>
    <s v="No"/>
    <s v="No"/>
    <x v="0"/>
    <n v="0"/>
    <x v="0"/>
    <x v="0"/>
    <s v="Diabetes"/>
    <n v="2004"/>
    <s v="Oct"/>
    <n v="4"/>
    <n v="0"/>
    <d v="2004-10-04T00:00:00"/>
    <n v="2144.85"/>
    <s v="tier - 2"/>
    <s v="tier - 1"/>
    <s v="R1011"/>
    <n v="18"/>
  </r>
  <r>
    <s v="Id213"/>
    <s v="Littlefield, Mr.  Andrew S"/>
    <n v="29.06"/>
    <n v="6.25"/>
    <s v="yes"/>
    <s v="No"/>
    <x v="0"/>
    <n v="1"/>
    <x v="0"/>
    <x v="1"/>
    <s v="Prediabetes"/>
    <n v="2000"/>
    <s v="Dec"/>
    <n v="27"/>
    <n v="0"/>
    <d v="2000-12-27T00:00:00"/>
    <n v="2150.4699999999998"/>
    <s v="tier - 2"/>
    <s v="tier - 3"/>
    <s v="R1011"/>
    <n v="22"/>
  </r>
  <r>
    <s v="Id214"/>
    <s v="Shearer, Mr.  Matthew D"/>
    <n v="35.799999999999997"/>
    <n v="7.32"/>
    <s v="No"/>
    <s v="No"/>
    <x v="0"/>
    <n v="2"/>
    <x v="0"/>
    <x v="0"/>
    <s v="Diabetes"/>
    <n v="2000"/>
    <s v="Oct"/>
    <n v="22"/>
    <n v="0"/>
    <d v="2000-10-22T00:00:00"/>
    <n v="2154.36"/>
    <s v="tier - 2"/>
    <s v="tier - 2"/>
    <s v="R1011"/>
    <n v="22"/>
  </r>
  <r>
    <s v="Id215"/>
    <s v="Armstrong, Ms.  Jessica"/>
    <n v="49.8"/>
    <n v="4.24"/>
    <s v="No"/>
    <s v="No"/>
    <x v="0"/>
    <n v="1"/>
    <x v="0"/>
    <x v="0"/>
    <s v="Normal"/>
    <n v="2000"/>
    <s v="Nov"/>
    <n v="29"/>
    <n v="0"/>
    <d v="2000-11-29T00:00:00"/>
    <n v="2155.6799999999998"/>
    <s v="tier - 2"/>
    <s v="tier - 3"/>
    <s v="R1013"/>
    <n v="22"/>
  </r>
  <r>
    <s v="Id216"/>
    <s v="Warriner, Mr.  Lawrence"/>
    <n v="35.71"/>
    <n v="6.84"/>
    <s v="No"/>
    <s v="No"/>
    <x v="0"/>
    <n v="2"/>
    <x v="0"/>
    <x v="0"/>
    <s v="Diabetes"/>
    <n v="2000"/>
    <s v="Dec"/>
    <n v="10"/>
    <n v="0"/>
    <d v="2000-12-10T00:00:00"/>
    <n v="2156.75"/>
    <s v="tier - 2"/>
    <s v="tier - 2"/>
    <s v="R1013"/>
    <n v="22"/>
  </r>
  <r>
    <s v="Id217"/>
    <s v="White, Mr.  Alex"/>
    <n v="30.8"/>
    <n v="5.23"/>
    <s v="yes"/>
    <s v="No"/>
    <x v="0"/>
    <n v="1"/>
    <x v="0"/>
    <x v="0"/>
    <s v="Normal"/>
    <n v="2000"/>
    <s v="Aug"/>
    <n v="23"/>
    <n v="0"/>
    <d v="2000-08-23T00:00:00"/>
    <n v="2166.73"/>
    <s v="tier - 2"/>
    <s v="tier - 2"/>
    <s v="R1011"/>
    <n v="22"/>
  </r>
  <r>
    <s v="Id218"/>
    <s v="Cordaro, Mr.  Kevin"/>
    <n v="33.69"/>
    <n v="9.68"/>
    <s v="No"/>
    <s v="No"/>
    <x v="0"/>
    <n v="0"/>
    <x v="0"/>
    <x v="0"/>
    <s v="Diabetes"/>
    <n v="1994"/>
    <s v="Sep"/>
    <n v="27"/>
    <n v="0"/>
    <d v="1994-09-27T00:00:00"/>
    <n v="2170.08"/>
    <s v="tier - 2"/>
    <s v="tier - 2"/>
    <s v="R1013"/>
    <n v="28"/>
  </r>
  <r>
    <s v="Id219"/>
    <s v="Hamilton, Mr.  Gavin M."/>
    <n v="42.27"/>
    <n v="6.05"/>
    <s v="yes"/>
    <s v="No"/>
    <x v="0"/>
    <n v="1"/>
    <x v="0"/>
    <x v="0"/>
    <s v="Prediabetes"/>
    <n v="1991"/>
    <s v="Dec"/>
    <n v="16"/>
    <n v="3"/>
    <d v="1991-12-16T00:00:00"/>
    <n v="2193.1999999999998"/>
    <s v="tier - 2"/>
    <s v="tier - 2"/>
    <s v="R1012"/>
    <n v="31"/>
  </r>
  <r>
    <s v="Id220"/>
    <s v="Meyer, Mr.  Rick E"/>
    <n v="53.25"/>
    <n v="6.11"/>
    <s v="yes"/>
    <s v="No"/>
    <x v="1"/>
    <n v="1"/>
    <x v="0"/>
    <x v="0"/>
    <s v="Prediabetes"/>
    <n v="2004"/>
    <s v="Dec"/>
    <n v="7"/>
    <n v="0"/>
    <d v="2004-12-07T00:00:00"/>
    <n v="2196.4699999999998"/>
    <s v="tier - 2"/>
    <s v="tier - 3"/>
    <s v="R1024"/>
    <n v="18"/>
  </r>
  <r>
    <s v="Id221"/>
    <s v="Duke, Ms.  Andrea H."/>
    <n v="26.8"/>
    <n v="10.93"/>
    <s v="yes"/>
    <s v="No"/>
    <x v="0"/>
    <n v="0"/>
    <x v="1"/>
    <x v="1"/>
    <s v="Diabetes"/>
    <n v="2004"/>
    <s v="Sep"/>
    <n v="3"/>
    <n v="0"/>
    <d v="2004-09-03T00:00:00"/>
    <n v="2198.19"/>
    <s v="tier - 2"/>
    <s v="tier - 1"/>
    <s v="R1023"/>
    <n v="18"/>
  </r>
  <r>
    <s v="Id222"/>
    <s v="Malatesta, Mr.  Anthony S"/>
    <n v="28.5"/>
    <n v="5.12"/>
    <s v="No"/>
    <s v="No"/>
    <x v="0"/>
    <n v="1"/>
    <x v="0"/>
    <x v="1"/>
    <s v="Normal"/>
    <n v="2004"/>
    <s v="Sep"/>
    <n v="12"/>
    <n v="0"/>
    <d v="2004-09-12T00:00:00"/>
    <n v="2200.83"/>
    <s v="tier - 2"/>
    <s v="tier - 2"/>
    <s v="R1024"/>
    <n v="18"/>
  </r>
  <r>
    <s v="Id223"/>
    <s v="Hinrichsen, Mr.  Erik"/>
    <n v="22.895"/>
    <n v="5.72"/>
    <s v="No"/>
    <s v="No"/>
    <x v="0"/>
    <n v="0"/>
    <x v="0"/>
    <x v="2"/>
    <s v="Prediabetes"/>
    <n v="2004"/>
    <s v="Jul"/>
    <n v="27"/>
    <n v="1"/>
    <d v="2004-07-27T00:00:00"/>
    <n v="2201.1"/>
    <s v="tier - 2"/>
    <s v="tier - 3"/>
    <s v="R1013"/>
    <n v="18"/>
  </r>
  <r>
    <s v="Id224"/>
    <s v="Lucan, Ms.  Kiley D"/>
    <n v="34.06"/>
    <n v="11.83"/>
    <s v="yes"/>
    <s v="No"/>
    <x v="0"/>
    <n v="1"/>
    <x v="0"/>
    <x v="0"/>
    <s v="Diabetes"/>
    <n v="2004"/>
    <s v="Aug"/>
    <n v="6"/>
    <n v="0"/>
    <d v="2004-08-06T00:00:00"/>
    <n v="2203.4699999999998"/>
    <s v="tier - 2"/>
    <s v="tier - 2"/>
    <s v="R1024"/>
    <n v="18"/>
  </r>
  <r>
    <s v="Id225"/>
    <s v="Koch, Ms.  Jennifer"/>
    <n v="36.409999999999997"/>
    <n v="4.55"/>
    <s v="No"/>
    <s v="No"/>
    <x v="0"/>
    <n v="0"/>
    <x v="0"/>
    <x v="0"/>
    <s v="Normal"/>
    <n v="2004"/>
    <s v="Oct"/>
    <n v="28"/>
    <n v="0"/>
    <d v="2004-10-28T00:00:00"/>
    <n v="2203.7399999999998"/>
    <s v="tier - 2"/>
    <s v="tier - 2"/>
    <s v="R1024"/>
    <n v="18"/>
  </r>
  <r>
    <s v="Id226"/>
    <s v="Smith, Mr.  Chris"/>
    <n v="52.3"/>
    <n v="4.87"/>
    <s v="yes"/>
    <s v="No"/>
    <x v="1"/>
    <n v="1"/>
    <x v="0"/>
    <x v="0"/>
    <s v="Normal"/>
    <n v="2004"/>
    <s v="Nov"/>
    <n v="13"/>
    <n v="0"/>
    <d v="2004-11-13T00:00:00"/>
    <n v="2205.98"/>
    <s v="tier - 2"/>
    <s v="tier - 3"/>
    <s v="R1024"/>
    <n v="18"/>
  </r>
  <r>
    <s v="Id227"/>
    <s v="O'Connor, Ms.  Marian M."/>
    <n v="52.66"/>
    <n v="4.45"/>
    <s v="No"/>
    <s v="No"/>
    <x v="0"/>
    <n v="1"/>
    <x v="0"/>
    <x v="0"/>
    <s v="Normal"/>
    <n v="2004"/>
    <s v="Aug"/>
    <n v="6"/>
    <n v="0"/>
    <d v="2004-08-06T00:00:00"/>
    <n v="2207.6999999999998"/>
    <s v="tier - 2"/>
    <s v="tier - 2"/>
    <s v="R1024"/>
    <n v="18"/>
  </r>
  <r>
    <s v="Id228"/>
    <s v="Kampwerth, Mr.  Jeremy"/>
    <n v="29.57"/>
    <n v="9.42"/>
    <s v="yes"/>
    <s v="No"/>
    <x v="0"/>
    <n v="0"/>
    <x v="0"/>
    <x v="1"/>
    <s v="Diabetes"/>
    <n v="2004"/>
    <s v="Jul"/>
    <n v="27"/>
    <n v="0"/>
    <d v="2004-07-27T00:00:00"/>
    <n v="2211.13"/>
    <s v="tier - 2"/>
    <s v="tier - 2"/>
    <s v="R1024"/>
    <n v="18"/>
  </r>
  <r>
    <s v="Id229"/>
    <s v="Federoff, Ms.  Allison H"/>
    <n v="36.99"/>
    <n v="5.37"/>
    <s v="yes"/>
    <s v="No"/>
    <x v="1"/>
    <n v="1"/>
    <x v="0"/>
    <x v="0"/>
    <s v="Normal"/>
    <n v="1994"/>
    <s v="Nov"/>
    <n v="17"/>
    <n v="0"/>
    <d v="1994-11-17T00:00:00"/>
    <n v="2213.21"/>
    <s v="tier - 2"/>
    <s v="tier - 2"/>
    <s v="R1013"/>
    <n v="28"/>
  </r>
  <r>
    <s v="Id230"/>
    <s v="Goya, Ms.  Elizabeth"/>
    <n v="31.4"/>
    <n v="4.5999999999999996"/>
    <s v="yes"/>
    <s v="No"/>
    <x v="0"/>
    <n v="1"/>
    <x v="0"/>
    <x v="0"/>
    <s v="Normal"/>
    <n v="2004"/>
    <s v="Jun"/>
    <n v="13"/>
    <n v="0"/>
    <d v="2004-06-13T00:00:00"/>
    <n v="2217.4699999999998"/>
    <s v="tier - 2"/>
    <s v="tier - 1"/>
    <s v="R1024"/>
    <n v="18"/>
  </r>
  <r>
    <s v="Id231"/>
    <s v="Hodges, Mr.  Andrew"/>
    <n v="34.9"/>
    <n v="6.22"/>
    <s v="No"/>
    <s v="No"/>
    <x v="1"/>
    <n v="1"/>
    <x v="0"/>
    <x v="0"/>
    <s v="Prediabetes"/>
    <n v="2004"/>
    <s v="Sep"/>
    <n v="25"/>
    <n v="0"/>
    <d v="2004-09-25T00:00:00"/>
    <n v="2217.6"/>
    <s v="tier - 2"/>
    <s v="tier - 1"/>
    <s v="R1024"/>
    <n v="18"/>
  </r>
  <r>
    <s v="Id232"/>
    <s v="Erickson, Mr.  Anders J"/>
    <n v="31.13"/>
    <n v="4.5199999999999996"/>
    <s v="yes"/>
    <s v="No"/>
    <x v="0"/>
    <n v="1"/>
    <x v="0"/>
    <x v="0"/>
    <s v="Normal"/>
    <n v="2004"/>
    <s v="Dec"/>
    <n v="12"/>
    <n v="1"/>
    <d v="2004-12-12T00:00:00"/>
    <n v="2219.4499999999998"/>
    <s v="tier - 2"/>
    <s v="tier - 1"/>
    <s v="R1013"/>
    <n v="18"/>
  </r>
  <r>
    <s v="Id233"/>
    <s v="Welleck, Mr.  Sean"/>
    <n v="34.799999999999997"/>
    <n v="6.18"/>
    <s v="No"/>
    <s v="No"/>
    <x v="1"/>
    <n v="1"/>
    <x v="0"/>
    <x v="0"/>
    <s v="Prediabetes"/>
    <n v="2003"/>
    <s v="Dec"/>
    <n v="10"/>
    <n v="1"/>
    <d v="2003-12-10T00:00:00"/>
    <n v="2221.56"/>
    <s v="tier - 2"/>
    <s v="tier - 3"/>
    <s v="R1012"/>
    <n v="19"/>
  </r>
  <r>
    <s v="Id234"/>
    <s v="Polen, Mr.  Brian M."/>
    <n v="31.68"/>
    <n v="4.4000000000000004"/>
    <s v="No"/>
    <s v="No"/>
    <x v="0"/>
    <n v="0"/>
    <x v="0"/>
    <x v="0"/>
    <s v="Normal"/>
    <n v="2000"/>
    <s v="Jun"/>
    <n v="30"/>
    <n v="0"/>
    <d v="2000-06-30T00:00:00"/>
    <n v="2250.84"/>
    <s v="tier - 2"/>
    <s v="tier - 2"/>
    <s v="R1018"/>
    <n v="22"/>
  </r>
  <r>
    <s v="Id235"/>
    <s v="Lynch, Mr.  Jeremy"/>
    <n v="33.534999999999997"/>
    <n v="6.23"/>
    <s v="No"/>
    <s v="yes"/>
    <x v="0"/>
    <n v="1"/>
    <x v="0"/>
    <x v="0"/>
    <s v="Prediabetes"/>
    <n v="2000"/>
    <s v="Dec"/>
    <n v="11"/>
    <n v="0"/>
    <d v="2000-12-11T00:00:00"/>
    <n v="2254.8000000000002"/>
    <s v="tier - 2"/>
    <s v="tier - 3"/>
    <s v="R1016"/>
    <n v="22"/>
  </r>
  <r>
    <s v="Id236"/>
    <s v="Hufstader, Ms.  Susannah"/>
    <n v="31.92"/>
    <n v="5.33"/>
    <s v="yes"/>
    <s v="No"/>
    <x v="0"/>
    <n v="0"/>
    <x v="0"/>
    <x v="0"/>
    <s v="Normal"/>
    <n v="2002"/>
    <s v="Jul"/>
    <n v="15"/>
    <n v="0"/>
    <d v="2002-07-15T00:00:00"/>
    <n v="2257.48"/>
    <s v="tier - 2"/>
    <s v="tier - 1"/>
    <s v="R1012"/>
    <n v="20"/>
  </r>
  <r>
    <s v="Id237"/>
    <s v="Doak, Mr.  Randy"/>
    <n v="32.700000000000003"/>
    <n v="4.09"/>
    <s v="No"/>
    <s v="No"/>
    <x v="0"/>
    <n v="1"/>
    <x v="0"/>
    <x v="0"/>
    <s v="Normal"/>
    <n v="2002"/>
    <s v="Nov"/>
    <n v="12"/>
    <n v="0"/>
    <d v="2002-11-12T00:00:00"/>
    <n v="2261.5700000000002"/>
    <s v="tier - 2"/>
    <s v="tier - 1"/>
    <s v="R1012"/>
    <n v="20"/>
  </r>
  <r>
    <s v="Id238"/>
    <s v="Noya, Mr.  Leslie"/>
    <n v="41.25"/>
    <n v="5.19"/>
    <s v="No"/>
    <s v="No"/>
    <x v="0"/>
    <n v="0"/>
    <x v="0"/>
    <x v="0"/>
    <s v="Normal"/>
    <n v="1991"/>
    <s v="Jun"/>
    <n v="16"/>
    <n v="3"/>
    <d v="1991-06-16T00:00:00"/>
    <n v="2277.7199999999998"/>
    <s v="tier - 2"/>
    <s v="tier - 1"/>
    <s v="R1013"/>
    <n v="31"/>
  </r>
  <r>
    <s v="Id239"/>
    <s v="Heninger, Ms.  Brittany L."/>
    <n v="33.11"/>
    <n v="4.12"/>
    <s v="No"/>
    <s v="No"/>
    <x v="1"/>
    <n v="1"/>
    <x v="0"/>
    <x v="0"/>
    <s v="Normal"/>
    <n v="1989"/>
    <s v="Oct"/>
    <n v="5"/>
    <n v="3"/>
    <d v="1989-10-05T00:00:00"/>
    <n v="2295.2399999999998"/>
    <s v="tier - 2"/>
    <s v="tier - 1"/>
    <s v="R1013"/>
    <n v="33"/>
  </r>
  <r>
    <s v="Id240"/>
    <s v="Richardson, Ms.  Cassie J."/>
    <n v="36.159999999999997"/>
    <n v="5.0999999999999996"/>
    <s v="No"/>
    <s v="No"/>
    <x v="0"/>
    <n v="1"/>
    <x v="0"/>
    <x v="0"/>
    <s v="Normal"/>
    <n v="1996"/>
    <s v="Nov"/>
    <n v="28"/>
    <n v="0"/>
    <d v="1996-11-28T00:00:00"/>
    <n v="2302.3000000000002"/>
    <s v="tier - 1"/>
    <s v="tier - 2"/>
    <s v="R1011"/>
    <n v="26"/>
  </r>
  <r>
    <s v="Id241"/>
    <s v="Deucher, Mr.  Peter W"/>
    <n v="33.72"/>
    <n v="6.21"/>
    <s v="yes"/>
    <s v="No"/>
    <x v="1"/>
    <n v="1"/>
    <x v="0"/>
    <x v="0"/>
    <s v="Prediabetes"/>
    <n v="2004"/>
    <s v="Sep"/>
    <n v="6"/>
    <n v="2"/>
    <d v="2004-09-06T00:00:00"/>
    <n v="2304"/>
    <s v="tier - 2"/>
    <s v="tier - 3"/>
    <s v="R1013"/>
    <n v="18"/>
  </r>
  <r>
    <s v="Id242"/>
    <s v="Wilson, Mr.  Douglas"/>
    <n v="37.74"/>
    <n v="9.5299999999999994"/>
    <s v="yes"/>
    <s v="No"/>
    <x v="0"/>
    <n v="1"/>
    <x v="0"/>
    <x v="0"/>
    <s v="Diabetes"/>
    <n v="1996"/>
    <s v="Dec"/>
    <n v="17"/>
    <n v="0"/>
    <d v="1996-12-17T00:00:00"/>
    <n v="2322.62"/>
    <s v="tier - 2"/>
    <s v="tier - 1"/>
    <s v="R1013"/>
    <n v="26"/>
  </r>
  <r>
    <s v="Id243"/>
    <s v="Hall, Mr.  Dan"/>
    <n v="48.75"/>
    <n v="4.6399999999999997"/>
    <s v="yes"/>
    <s v="No"/>
    <x v="0"/>
    <n v="1"/>
    <x v="0"/>
    <x v="0"/>
    <s v="Normal"/>
    <n v="2003"/>
    <s v="Nov"/>
    <n v="18"/>
    <n v="1"/>
    <d v="2003-11-18T00:00:00"/>
    <n v="2331.52"/>
    <s v="tier - 2"/>
    <s v="tier - 3"/>
    <s v="R1011"/>
    <n v="19"/>
  </r>
  <r>
    <s v="Id244"/>
    <s v="Reed, Mr.  Dan M."/>
    <n v="31.065000000000001"/>
    <n v="5.05"/>
    <s v="No"/>
    <s v="No"/>
    <x v="0"/>
    <n v="1"/>
    <x v="0"/>
    <x v="0"/>
    <s v="Normal"/>
    <n v="1998"/>
    <s v="Oct"/>
    <n v="21"/>
    <n v="0"/>
    <d v="1998-10-21T00:00:00"/>
    <n v="2352.9699999999998"/>
    <s v="tier - 3"/>
    <s v="tier - 3"/>
    <s v="R1012"/>
    <n v="24"/>
  </r>
  <r>
    <s v="Id245"/>
    <s v="Frome, Mr.  Eric L."/>
    <n v="23.55"/>
    <n v="10.38"/>
    <s v="No"/>
    <s v="No"/>
    <x v="0"/>
    <n v="0"/>
    <x v="0"/>
    <x v="2"/>
    <s v="Diabetes"/>
    <n v="2002"/>
    <s v="Nov"/>
    <n v="5"/>
    <n v="1"/>
    <d v="2002-11-05T00:00:00"/>
    <n v="2362.23"/>
    <s v="tier - 2"/>
    <s v="tier - 1"/>
    <s v="R1012"/>
    <n v="20"/>
  </r>
  <r>
    <s v="Id246"/>
    <s v="Creasy, Mr.  Les J"/>
    <n v="30.18"/>
    <n v="8.31"/>
    <s v="yes"/>
    <s v="No"/>
    <x v="0"/>
    <n v="1"/>
    <x v="0"/>
    <x v="0"/>
    <s v="Diabetes"/>
    <n v="1988"/>
    <s v="Dec"/>
    <n v="12"/>
    <n v="3"/>
    <d v="1988-12-12T00:00:00"/>
    <n v="2373.3000000000002"/>
    <s v="tier - 2"/>
    <s v="tier - 2"/>
    <s v="R1013"/>
    <n v="34"/>
  </r>
  <r>
    <s v="Id247"/>
    <s v="Latimer, Ms.  Stephanie"/>
    <n v="29.94"/>
    <n v="7.59"/>
    <s v="No"/>
    <s v="No"/>
    <x v="0"/>
    <n v="0"/>
    <x v="0"/>
    <x v="0"/>
    <s v="Diabetes"/>
    <n v="1999"/>
    <s v="Dec"/>
    <n v="17"/>
    <n v="0"/>
    <d v="1999-12-17T00:00:00"/>
    <n v="2395.17"/>
    <s v="tier - 2"/>
    <s v="tier - 1"/>
    <s v="R1014"/>
    <n v="23"/>
  </r>
  <r>
    <s v="Id248"/>
    <s v="Wei, Ms.  Melissa Y"/>
    <n v="31.4"/>
    <n v="5.49"/>
    <s v="No"/>
    <s v="No"/>
    <x v="0"/>
    <n v="0"/>
    <x v="0"/>
    <x v="0"/>
    <s v="Normal"/>
    <n v="1999"/>
    <s v="Aug"/>
    <n v="10"/>
    <n v="0"/>
    <d v="1999-08-10T00:00:00"/>
    <n v="2396.1"/>
    <s v="tier - 2"/>
    <s v="tier - 1"/>
    <s v="R1019"/>
    <n v="23"/>
  </r>
  <r>
    <s v="Id249"/>
    <s v="Hayes, Ms.  Ashley"/>
    <n v="53.06"/>
    <n v="11.68"/>
    <s v="No"/>
    <s v="No"/>
    <x v="0"/>
    <n v="0"/>
    <x v="0"/>
    <x v="0"/>
    <s v="Diabetes"/>
    <n v="2001"/>
    <s v="Jun"/>
    <n v="3"/>
    <n v="0"/>
    <d v="2001-06-03T00:00:00"/>
    <n v="2404.73"/>
    <s v="tier - 2"/>
    <s v="tier - 3"/>
    <s v="R1012"/>
    <n v="22"/>
  </r>
  <r>
    <s v="Id250"/>
    <s v="Velardo, Ms.  Stephanie M."/>
    <n v="30.25"/>
    <n v="4.1900000000000004"/>
    <s v="No"/>
    <s v="No"/>
    <x v="0"/>
    <n v="2"/>
    <x v="0"/>
    <x v="0"/>
    <s v="Normal"/>
    <n v="1999"/>
    <s v="Nov"/>
    <n v="12"/>
    <n v="1"/>
    <d v="1999-11-12T00:00:00"/>
    <n v="2416.96"/>
    <s v="tier - 2"/>
    <s v="tier - 2"/>
    <s v="R1011"/>
    <n v="23"/>
  </r>
  <r>
    <s v="Id251"/>
    <s v="Kastes, Ms.  Kylie"/>
    <n v="46.68"/>
    <n v="4.01"/>
    <s v="No"/>
    <s v="No"/>
    <x v="0"/>
    <n v="0"/>
    <x v="0"/>
    <x v="0"/>
    <s v="Normal"/>
    <n v="1999"/>
    <s v="Nov"/>
    <n v="21"/>
    <n v="1"/>
    <d v="1999-11-21T00:00:00"/>
    <n v="2438.06"/>
    <s v="tier - 2"/>
    <s v="tier - 2"/>
    <s v="R1013"/>
    <n v="23"/>
  </r>
  <r>
    <s v="Id252"/>
    <s v="Escorcia, Ms.  Kelly"/>
    <n v="30.4"/>
    <n v="5.91"/>
    <s v="No"/>
    <s v="yes"/>
    <x v="0"/>
    <n v="2"/>
    <x v="0"/>
    <x v="0"/>
    <s v="Prediabetes"/>
    <n v="2002"/>
    <s v="Jul"/>
    <n v="29"/>
    <n v="0"/>
    <d v="2002-07-29T00:00:00"/>
    <n v="2457.21"/>
    <s v="tier - 2"/>
    <s v="tier - 1"/>
    <s v="R1024"/>
    <n v="20"/>
  </r>
  <r>
    <s v="Id253"/>
    <s v="Larscheid, Ms.  Carrie"/>
    <n v="30.2"/>
    <n v="4.47"/>
    <s v="yes"/>
    <s v="No"/>
    <x v="1"/>
    <n v="1"/>
    <x v="0"/>
    <x v="0"/>
    <s v="Normal"/>
    <n v="1998"/>
    <s v="Nov"/>
    <n v="19"/>
    <n v="0"/>
    <d v="1998-11-19T00:00:00"/>
    <n v="2457.5"/>
    <s v="tier - 2"/>
    <s v="tier - 1"/>
    <s v="R1011"/>
    <n v="24"/>
  </r>
  <r>
    <s v="Id254"/>
    <s v="O'Bannon, Mr.  Alex"/>
    <n v="51.18"/>
    <n v="4.5599999999999996"/>
    <s v="yes"/>
    <s v="yes"/>
    <x v="0"/>
    <n v="2"/>
    <x v="0"/>
    <x v="0"/>
    <s v="Normal"/>
    <n v="2002"/>
    <s v="Jul"/>
    <n v="11"/>
    <n v="0"/>
    <d v="2002-07-11T00:00:00"/>
    <n v="2459.7199999999998"/>
    <s v="tier - 2"/>
    <s v="tier - 2"/>
    <s v="R1024"/>
    <n v="20"/>
  </r>
  <r>
    <s v="Id255"/>
    <s v="Ridgway, Mr.  Zach S"/>
    <n v="22.18"/>
    <n v="9.9"/>
    <s v="No"/>
    <s v="No"/>
    <x v="0"/>
    <n v="0"/>
    <x v="0"/>
    <x v="2"/>
    <s v="Diabetes"/>
    <n v="1998"/>
    <s v="Aug"/>
    <n v="17"/>
    <n v="0"/>
    <d v="1998-08-17T00:00:00"/>
    <n v="2464.62"/>
    <s v="tier - 2"/>
    <s v="tier - 3"/>
    <s v="R1013"/>
    <n v="24"/>
  </r>
  <r>
    <s v="Id256"/>
    <s v="Black, Mr.  Alan"/>
    <n v="31.92"/>
    <n v="5.1100000000000003"/>
    <s v="No"/>
    <s v="No"/>
    <x v="1"/>
    <n v="1"/>
    <x v="0"/>
    <x v="0"/>
    <s v="Normal"/>
    <n v="1998"/>
    <s v="Jul"/>
    <n v="2"/>
    <n v="0"/>
    <d v="1998-07-02T00:00:00"/>
    <n v="2473.33"/>
    <s v="tier - 2"/>
    <s v="tier - 3"/>
    <s v="R1013"/>
    <n v="24"/>
  </r>
  <r>
    <s v="Id257"/>
    <s v="Canton, Mr.  Nate"/>
    <n v="31.73"/>
    <n v="5.73"/>
    <s v="No"/>
    <s v="yes"/>
    <x v="0"/>
    <n v="1"/>
    <x v="0"/>
    <x v="0"/>
    <s v="Prediabetes"/>
    <n v="1998"/>
    <s v="Jun"/>
    <n v="20"/>
    <n v="0"/>
    <d v="1998-06-20T00:00:00"/>
    <n v="2480.98"/>
    <s v="tier - 2"/>
    <s v="tier - 2"/>
    <s v="R1013"/>
    <n v="24"/>
  </r>
  <r>
    <s v="Id258"/>
    <s v="Fine, Mr.  Jesse G."/>
    <n v="45.52"/>
    <n v="6.04"/>
    <s v="No"/>
    <s v="No"/>
    <x v="1"/>
    <n v="1"/>
    <x v="0"/>
    <x v="0"/>
    <s v="Prediabetes"/>
    <n v="1995"/>
    <s v="Nov"/>
    <n v="6"/>
    <n v="0"/>
    <d v="1995-11-06T00:00:00"/>
    <n v="2483.7399999999998"/>
    <s v="tier - 3"/>
    <s v="tier - 2"/>
    <s v="R1013"/>
    <n v="27"/>
  </r>
  <r>
    <s v="Id259"/>
    <s v="Bui, Mr.  Jason"/>
    <n v="52.81"/>
    <n v="5.19"/>
    <s v="No"/>
    <s v="No"/>
    <x v="1"/>
    <n v="1"/>
    <x v="0"/>
    <x v="0"/>
    <s v="Normal"/>
    <n v="1995"/>
    <s v="Oct"/>
    <n v="14"/>
    <n v="0"/>
    <d v="1995-10-14T00:00:00"/>
    <n v="2494.02"/>
    <s v="tier - 3"/>
    <s v="tier - 1"/>
    <s v="R1011"/>
    <n v="27"/>
  </r>
  <r>
    <s v="Id260"/>
    <s v="Riepma, Ms.  Megan A."/>
    <n v="33.58"/>
    <n v="5.56"/>
    <s v="No"/>
    <s v="No"/>
    <x v="0"/>
    <n v="1"/>
    <x v="0"/>
    <x v="0"/>
    <s v="Normal"/>
    <n v="1995"/>
    <s v="Jul"/>
    <n v="9"/>
    <n v="0"/>
    <d v="1995-07-09T00:00:00"/>
    <n v="2497.04"/>
    <s v="tier - 3"/>
    <s v="tier - 3"/>
    <s v="R1013"/>
    <n v="27"/>
  </r>
  <r>
    <s v="Id261"/>
    <s v="Inman, Mr.  Luke M"/>
    <n v="30.684999999999999"/>
    <n v="8.23"/>
    <s v="No"/>
    <s v="No"/>
    <x v="0"/>
    <n v="0"/>
    <x v="0"/>
    <x v="0"/>
    <s v="Diabetes"/>
    <n v="1995"/>
    <s v="Oct"/>
    <n v="15"/>
    <n v="0"/>
    <d v="1995-10-15T00:00:00"/>
    <n v="2498.41"/>
    <s v="tier - 3"/>
    <s v="tier - 3"/>
    <s v="R1013"/>
    <n v="27"/>
  </r>
  <r>
    <s v="Id262"/>
    <s v="Kruzel, Ms.  Jacy D"/>
    <n v="37.524999999999999"/>
    <n v="9.0299999999999994"/>
    <s v="yes"/>
    <s v="No"/>
    <x v="0"/>
    <n v="2"/>
    <x v="1"/>
    <x v="0"/>
    <s v="Diabetes"/>
    <n v="2004"/>
    <s v="Sep"/>
    <n v="6"/>
    <n v="0"/>
    <d v="2004-09-06T00:00:00"/>
    <n v="2500.9299999999998"/>
    <s v="tier - 2"/>
    <s v="tier - 2"/>
    <s v="R1012"/>
    <n v="18"/>
  </r>
  <r>
    <s v="Id263"/>
    <s v="Lindsay, Mr.  Simon G."/>
    <n v="34.5"/>
    <n v="4.07"/>
    <s v="yes"/>
    <s v="No"/>
    <x v="0"/>
    <n v="0"/>
    <x v="0"/>
    <x v="0"/>
    <s v="Normal"/>
    <n v="1991"/>
    <s v="Aug"/>
    <n v="5"/>
    <n v="3"/>
    <d v="1991-08-05T00:00:00"/>
    <n v="2510.79"/>
    <s v="tier - 2"/>
    <s v="tier - 1"/>
    <s v="R1013"/>
    <n v="31"/>
  </r>
  <r>
    <s v="Id264"/>
    <s v="Land, Ms.  Ainsley E."/>
    <n v="28.16"/>
    <n v="5.77"/>
    <s v="No"/>
    <s v="No"/>
    <x v="0"/>
    <n v="2"/>
    <x v="0"/>
    <x v="1"/>
    <s v="Prediabetes"/>
    <n v="1997"/>
    <s v="Nov"/>
    <n v="2"/>
    <n v="0"/>
    <d v="1997-11-02T00:00:00"/>
    <n v="2523.17"/>
    <s v="tier - 3"/>
    <s v="tier - 1"/>
    <s v="R1012"/>
    <n v="25"/>
  </r>
  <r>
    <s v="Id265"/>
    <s v="Brecher, Ms.  Erica A."/>
    <n v="30.02"/>
    <n v="5.98"/>
    <s v="No"/>
    <s v="No"/>
    <x v="1"/>
    <n v="1"/>
    <x v="0"/>
    <x v="0"/>
    <s v="Prediabetes"/>
    <n v="2000"/>
    <s v="Aug"/>
    <n v="25"/>
    <n v="0"/>
    <d v="2000-08-25T00:00:00"/>
    <n v="2527.8200000000002"/>
    <s v="tier - 2"/>
    <s v="tier - 3"/>
    <s v="R1012"/>
    <n v="22"/>
  </r>
  <r>
    <s v="Id266"/>
    <s v="Debolt, Mr.  Erik"/>
    <n v="37.82"/>
    <n v="6.01"/>
    <s v="No"/>
    <s v="No"/>
    <x v="0"/>
    <n v="0"/>
    <x v="0"/>
    <x v="0"/>
    <s v="Prediabetes"/>
    <n v="1997"/>
    <s v="Jul"/>
    <n v="28"/>
    <n v="0"/>
    <d v="1997-07-28T00:00:00"/>
    <n v="2534.39"/>
    <s v="tier - 3"/>
    <s v="tier - 3"/>
    <s v="R1012"/>
    <n v="25"/>
  </r>
  <r>
    <s v="Id267"/>
    <s v="Oswalt, Ms.  Erin C."/>
    <n v="33.14"/>
    <n v="5.67"/>
    <s v="yes"/>
    <s v="No"/>
    <x v="0"/>
    <n v="0"/>
    <x v="0"/>
    <x v="0"/>
    <s v="Normal"/>
    <n v="1990"/>
    <s v="Oct"/>
    <n v="1"/>
    <n v="3"/>
    <d v="1990-10-01T00:00:00"/>
    <n v="2540.39"/>
    <s v="tier - 2"/>
    <s v="tier - 2"/>
    <s v="R1013"/>
    <n v="32"/>
  </r>
  <r>
    <s v="Id268"/>
    <s v="Boyd, Ms.  Adrienne"/>
    <n v="25.14"/>
    <n v="6.02"/>
    <s v="yes"/>
    <s v="No"/>
    <x v="1"/>
    <n v="1"/>
    <x v="0"/>
    <x v="1"/>
    <s v="Prediabetes"/>
    <n v="1991"/>
    <s v="Nov"/>
    <n v="17"/>
    <n v="3"/>
    <d v="1991-11-17T00:00:00"/>
    <n v="2545.6799999999998"/>
    <s v="tier - 2"/>
    <s v="tier - 1"/>
    <s v="R1013"/>
    <n v="31"/>
  </r>
  <r>
    <s v="Id269"/>
    <s v="Bulewich, Mr.  Adam"/>
    <n v="20.18"/>
    <n v="11.19"/>
    <s v="No"/>
    <s v="No"/>
    <x v="0"/>
    <n v="0"/>
    <x v="0"/>
    <x v="2"/>
    <s v="Diabetes"/>
    <n v="2002"/>
    <s v="Oct"/>
    <n v="11"/>
    <n v="2"/>
    <d v="2002-10-11T00:00:00"/>
    <n v="2566.4699999999998"/>
    <s v="tier - 2"/>
    <s v="tier - 3"/>
    <s v="R1013"/>
    <n v="20"/>
  </r>
  <r>
    <s v="Id270"/>
    <s v="Fukuda, Mr.  Yutaka"/>
    <n v="44.36"/>
    <n v="5.1100000000000003"/>
    <s v="No"/>
    <s v="No"/>
    <x v="0"/>
    <n v="0"/>
    <x v="0"/>
    <x v="0"/>
    <s v="Normal"/>
    <n v="2002"/>
    <s v="Jul"/>
    <n v="20"/>
    <n v="0"/>
    <d v="2002-07-20T00:00:00"/>
    <n v="2585.04"/>
    <s v="tier - 2"/>
    <s v="tier - 2"/>
    <s v="R1021"/>
    <n v="20"/>
  </r>
  <r>
    <s v="Id271"/>
    <s v="Phillips, Mr.  Tyler M"/>
    <n v="23.82"/>
    <n v="10.85"/>
    <s v="yes"/>
    <s v="No"/>
    <x v="0"/>
    <n v="0"/>
    <x v="0"/>
    <x v="2"/>
    <s v="Diabetes"/>
    <n v="2001"/>
    <s v="Oct"/>
    <n v="15"/>
    <n v="1"/>
    <d v="2001-10-15T00:00:00"/>
    <n v="2585.27"/>
    <s v="tier - 2"/>
    <s v="tier - 3"/>
    <s v="R1011"/>
    <n v="21"/>
  </r>
  <r>
    <s v="Id272"/>
    <s v="Maddison, Mr.  Stephen"/>
    <n v="45"/>
    <n v="5.24"/>
    <s v="yes"/>
    <s v="No"/>
    <x v="0"/>
    <n v="1"/>
    <x v="0"/>
    <x v="0"/>
    <s v="Normal"/>
    <n v="2001"/>
    <s v="Jul"/>
    <n v="28"/>
    <n v="0"/>
    <d v="2001-07-28T00:00:00"/>
    <n v="2585.85"/>
    <s v="tier - 2"/>
    <s v="tier - 2"/>
    <s v="R1024"/>
    <n v="21"/>
  </r>
  <r>
    <s v="Id273"/>
    <s v="Lockwood, Mr.  Andrew B."/>
    <n v="26.62"/>
    <n v="10.08"/>
    <s v="No"/>
    <s v="No"/>
    <x v="0"/>
    <n v="0"/>
    <x v="0"/>
    <x v="1"/>
    <s v="Diabetes"/>
    <n v="2001"/>
    <s v="Aug"/>
    <n v="26"/>
    <n v="1"/>
    <d v="2001-08-26T00:00:00"/>
    <n v="2597.7800000000002"/>
    <s v="tier - 2"/>
    <s v="tier - 1"/>
    <s v="R1011"/>
    <n v="21"/>
  </r>
  <r>
    <s v="Id274"/>
    <s v="Defilippi, Mr.  James"/>
    <n v="32.67"/>
    <n v="10.97"/>
    <s v="yes"/>
    <s v="No"/>
    <x v="0"/>
    <n v="0"/>
    <x v="0"/>
    <x v="0"/>
    <s v="Diabetes"/>
    <n v="1997"/>
    <s v="Aug"/>
    <n v="26"/>
    <n v="0"/>
    <d v="1997-08-26T00:00:00"/>
    <n v="2632.99"/>
    <s v="tier - 2"/>
    <s v="tier - 1"/>
    <s v="R1011"/>
    <n v="25"/>
  </r>
  <r>
    <s v="Id275"/>
    <s v="Jackson, Mr.  Shawn P."/>
    <n v="44.44"/>
    <n v="4.9000000000000004"/>
    <s v="yes"/>
    <s v="No"/>
    <x v="0"/>
    <n v="1"/>
    <x v="0"/>
    <x v="0"/>
    <s v="Normal"/>
    <n v="2000"/>
    <s v="Jun"/>
    <n v="24"/>
    <n v="1"/>
    <d v="2000-06-24T00:00:00"/>
    <n v="2639.04"/>
    <s v="tier - 2"/>
    <s v="tier - 2"/>
    <s v="R1012"/>
    <n v="22"/>
  </r>
  <r>
    <s v="Id276"/>
    <s v="Ozahowski, Mr.  Matt"/>
    <n v="28.31"/>
    <n v="5.33"/>
    <s v="No"/>
    <s v="No"/>
    <x v="0"/>
    <n v="0"/>
    <x v="0"/>
    <x v="1"/>
    <s v="Normal"/>
    <n v="2000"/>
    <s v="Dec"/>
    <n v="9"/>
    <n v="1"/>
    <d v="2000-12-09T00:00:00"/>
    <n v="2643.27"/>
    <s v="tier - 2"/>
    <s v="tier - 1"/>
    <s v="R1012"/>
    <n v="22"/>
  </r>
  <r>
    <s v="Id277"/>
    <s v="Guthals, Mr.  Nathaniel"/>
    <n v="25.05"/>
    <n v="4.6100000000000003"/>
    <s v="No"/>
    <s v="No"/>
    <x v="0"/>
    <n v="2"/>
    <x v="0"/>
    <x v="1"/>
    <s v="Normal"/>
    <n v="1996"/>
    <s v="Aug"/>
    <n v="5"/>
    <n v="0"/>
    <d v="1996-08-05T00:00:00"/>
    <n v="2680.95"/>
    <s v="tier - 3"/>
    <s v="tier - 2"/>
    <s v="R1012"/>
    <n v="26"/>
  </r>
  <r>
    <s v="Id278"/>
    <s v="Yates, Mr.  Kevin D."/>
    <n v="28.34"/>
    <n v="8.18"/>
    <s v="No"/>
    <s v="No"/>
    <x v="0"/>
    <n v="0"/>
    <x v="0"/>
    <x v="1"/>
    <s v="Diabetes"/>
    <n v="1994"/>
    <s v="Sep"/>
    <n v="17"/>
    <n v="0"/>
    <d v="1994-09-17T00:00:00"/>
    <n v="2684.69"/>
    <s v="tier - 2"/>
    <s v="tier - 2"/>
    <s v="R1013"/>
    <n v="28"/>
  </r>
  <r>
    <s v="Id279"/>
    <s v="Samuelson, Ms.  Joan"/>
    <n v="17.765000000000001"/>
    <n v="5.62"/>
    <s v="No"/>
    <s v="No"/>
    <x v="0"/>
    <n v="0"/>
    <x v="0"/>
    <x v="3"/>
    <s v="Normal"/>
    <n v="1994"/>
    <s v="Oct"/>
    <n v="2"/>
    <n v="0"/>
    <d v="1994-10-02T00:00:00"/>
    <n v="2689.5"/>
    <s v="tier - 3"/>
    <s v="tier - 2"/>
    <s v="R1013"/>
    <n v="28"/>
  </r>
  <r>
    <s v="Id280"/>
    <s v="Lemos, Mr.  Christopher A"/>
    <n v="36.119999999999997"/>
    <n v="5.82"/>
    <s v="No"/>
    <s v="No"/>
    <x v="0"/>
    <n v="0"/>
    <x v="0"/>
    <x v="0"/>
    <s v="Prediabetes"/>
    <n v="1999"/>
    <s v="Jun"/>
    <n v="11"/>
    <n v="0"/>
    <d v="1999-06-11T00:00:00"/>
    <n v="2690.11"/>
    <s v="tier - 2"/>
    <s v="tier - 2"/>
    <s v="R1012"/>
    <n v="23"/>
  </r>
  <r>
    <s v="Id281"/>
    <s v="Seynders, Ms.  Kacy L."/>
    <n v="23.19"/>
    <n v="7.66"/>
    <s v="No"/>
    <s v="No"/>
    <x v="0"/>
    <n v="0"/>
    <x v="0"/>
    <x v="2"/>
    <s v="Diabetes"/>
    <n v="1996"/>
    <s v="Jun"/>
    <n v="13"/>
    <n v="0"/>
    <d v="1996-06-13T00:00:00"/>
    <n v="2699.57"/>
    <s v="tier - 2"/>
    <s v="tier - 1"/>
    <s v="R1012"/>
    <n v="26"/>
  </r>
  <r>
    <s v="Id282"/>
    <s v="Saunders, Mr.  Benjamin H."/>
    <n v="35.99"/>
    <n v="4.2300000000000004"/>
    <s v="No"/>
    <s v="No"/>
    <x v="0"/>
    <n v="0"/>
    <x v="0"/>
    <x v="0"/>
    <s v="Normal"/>
    <n v="2003"/>
    <s v="Jul"/>
    <n v="17"/>
    <n v="1"/>
    <d v="2003-07-17T00:00:00"/>
    <n v="2709.11"/>
    <s v="tier - 2"/>
    <s v="tier - 2"/>
    <s v="R1012"/>
    <n v="19"/>
  </r>
  <r>
    <s v="Id283"/>
    <s v="Walker, Mr.  Xaviour J."/>
    <n v="30.25"/>
    <n v="5.58"/>
    <s v="No"/>
    <s v="No"/>
    <x v="1"/>
    <n v="1"/>
    <x v="0"/>
    <x v="0"/>
    <s v="Normal"/>
    <n v="2003"/>
    <s v="Nov"/>
    <n v="21"/>
    <n v="1"/>
    <d v="2003-11-21T00:00:00"/>
    <n v="2709.24"/>
    <s v="tier - 2"/>
    <s v="tier - 2"/>
    <s v="R1012"/>
    <n v="19"/>
  </r>
  <r>
    <s v="Id284"/>
    <s v="Lam, Mr.  Michael T."/>
    <n v="26.24"/>
    <n v="6.26"/>
    <s v="yes"/>
    <s v="No"/>
    <x v="0"/>
    <n v="0"/>
    <x v="0"/>
    <x v="1"/>
    <s v="Prediabetes"/>
    <n v="2003"/>
    <s v="Dec"/>
    <n v="1"/>
    <n v="1"/>
    <d v="2003-12-01T00:00:00"/>
    <n v="2710.83"/>
    <s v="tier - 2"/>
    <s v="tier - 3"/>
    <s v="R1012"/>
    <n v="19"/>
  </r>
  <r>
    <s v="Id285"/>
    <s v="Sweigart, Mr.  Bradley"/>
    <n v="31.36"/>
    <n v="10.6"/>
    <s v="yes"/>
    <s v="No"/>
    <x v="0"/>
    <n v="0"/>
    <x v="0"/>
    <x v="0"/>
    <s v="Diabetes"/>
    <n v="2003"/>
    <s v="Aug"/>
    <n v="6"/>
    <n v="1"/>
    <d v="2003-08-06T00:00:00"/>
    <n v="2719.28"/>
    <s v="tier - 2"/>
    <s v="tier - 2"/>
    <s v="R1012"/>
    <n v="19"/>
  </r>
  <r>
    <s v="Id286"/>
    <s v="Sieczkowski, Ms.  Andrea"/>
    <n v="25.69"/>
    <n v="4.78"/>
    <s v="yes"/>
    <s v="No"/>
    <x v="0"/>
    <n v="0"/>
    <x v="0"/>
    <x v="1"/>
    <s v="Normal"/>
    <n v="1997"/>
    <s v="Oct"/>
    <n v="30"/>
    <n v="0"/>
    <d v="1997-10-30T00:00:00"/>
    <n v="2721.32"/>
    <s v="tier - 1"/>
    <s v="tier - 3"/>
    <s v="R1014"/>
    <n v="25"/>
  </r>
  <r>
    <s v="Id287"/>
    <s v="Jurgens, Ms.  Nancy M"/>
    <n v="25.46"/>
    <n v="6.03"/>
    <s v="No"/>
    <s v="No"/>
    <x v="0"/>
    <n v="2"/>
    <x v="0"/>
    <x v="1"/>
    <s v="Prediabetes"/>
    <n v="1988"/>
    <s v="Aug"/>
    <n v="20"/>
    <n v="3"/>
    <d v="1988-08-20T00:00:00"/>
    <n v="2726.06"/>
    <s v="tier - 2"/>
    <s v="tier - 2"/>
    <s v="R1013"/>
    <n v="34"/>
  </r>
  <r>
    <s v="Id288"/>
    <s v="Hackman, Mr.  Matt"/>
    <n v="31.83"/>
    <n v="11.55"/>
    <s v="yes"/>
    <s v="No"/>
    <x v="0"/>
    <n v="1"/>
    <x v="0"/>
    <x v="0"/>
    <s v="Diabetes"/>
    <n v="1997"/>
    <s v="Oct"/>
    <n v="6"/>
    <n v="0"/>
    <d v="1997-10-06T00:00:00"/>
    <n v="2727.4"/>
    <s v="tier - 3"/>
    <s v="tier - 3"/>
    <s v="R1016"/>
    <n v="25"/>
  </r>
  <r>
    <s v="Id289"/>
    <s v="Klarich, Mr.  Lee"/>
    <n v="24.43"/>
    <n v="7.59"/>
    <s v="yes"/>
    <s v="No"/>
    <x v="0"/>
    <n v="1"/>
    <x v="0"/>
    <x v="2"/>
    <s v="Diabetes"/>
    <n v="2003"/>
    <s v="Dec"/>
    <n v="3"/>
    <n v="1"/>
    <d v="2003-12-03T00:00:00"/>
    <n v="2730.11"/>
    <s v="tier - 2"/>
    <s v="tier - 3"/>
    <s v="R1012"/>
    <n v="19"/>
  </r>
  <r>
    <s v="Id290"/>
    <s v="Schulten, Mr.  Chris"/>
    <n v="41.9"/>
    <n v="4.26"/>
    <s v="No"/>
    <s v="No"/>
    <x v="0"/>
    <n v="0"/>
    <x v="0"/>
    <x v="0"/>
    <s v="Normal"/>
    <n v="2000"/>
    <s v="Dec"/>
    <n v="17"/>
    <n v="0"/>
    <d v="2000-12-17T00:00:00"/>
    <n v="2731.91"/>
    <s v="tier - 2"/>
    <s v="tier - 3"/>
    <s v="R1024"/>
    <n v="22"/>
  </r>
  <r>
    <s v="Id291"/>
    <s v="Fagerstrom, Mr.  Erik T."/>
    <n v="22.88"/>
    <n v="5.9"/>
    <s v="yes"/>
    <s v="No"/>
    <x v="1"/>
    <n v="1"/>
    <x v="0"/>
    <x v="2"/>
    <s v="Prediabetes"/>
    <n v="2000"/>
    <s v="Oct"/>
    <n v="3"/>
    <n v="0"/>
    <d v="2000-10-03T00:00:00"/>
    <n v="2741.95"/>
    <s v="tier - 2"/>
    <s v="tier - 3"/>
    <s v="R1024"/>
    <n v="22"/>
  </r>
  <r>
    <s v="Id292"/>
    <s v="Bien, Mr.  Rod W"/>
    <n v="29.734999999999999"/>
    <n v="7.79"/>
    <s v="No"/>
    <s v="No"/>
    <x v="0"/>
    <n v="0"/>
    <x v="1"/>
    <x v="1"/>
    <s v="Diabetes"/>
    <n v="2000"/>
    <s v="Oct"/>
    <n v="11"/>
    <n v="0"/>
    <d v="2000-10-11T00:00:00"/>
    <n v="2755.02"/>
    <s v="tier - 2"/>
    <s v="tier - 1"/>
    <s v="R1024"/>
    <n v="22"/>
  </r>
  <r>
    <s v="Id293"/>
    <s v="Hess, Mr.  Joey"/>
    <n v="40.74"/>
    <n v="5.28"/>
    <s v="No"/>
    <s v="No"/>
    <x v="1"/>
    <n v="1"/>
    <x v="0"/>
    <x v="0"/>
    <s v="Normal"/>
    <n v="1997"/>
    <s v="Aug"/>
    <n v="10"/>
    <n v="0"/>
    <d v="1997-08-10T00:00:00"/>
    <n v="2758.99"/>
    <s v="tier - 2"/>
    <s v="tier - 1"/>
    <s v="R1012"/>
    <n v="25"/>
  </r>
  <r>
    <s v="Id294"/>
    <s v="Shaw, Ms.  Hillary L."/>
    <n v="24.14"/>
    <n v="5.87"/>
    <s v="No"/>
    <s v="No"/>
    <x v="0"/>
    <n v="2"/>
    <x v="0"/>
    <x v="2"/>
    <s v="Prediabetes"/>
    <n v="2004"/>
    <s v="Nov"/>
    <n v="14"/>
    <n v="0"/>
    <d v="2004-11-14T00:00:00"/>
    <n v="2773.46"/>
    <s v="tier - 2"/>
    <s v="tier - 1"/>
    <s v="R1021"/>
    <n v="18"/>
  </r>
  <r>
    <s v="Id295"/>
    <s v="Williams, Mr.  Eric J"/>
    <n v="25.15"/>
    <n v="9.08"/>
    <s v="yes"/>
    <s v="No"/>
    <x v="0"/>
    <n v="1"/>
    <x v="0"/>
    <x v="1"/>
    <s v="Diabetes"/>
    <n v="1999"/>
    <s v="Jun"/>
    <n v="9"/>
    <n v="1"/>
    <d v="1999-06-09T00:00:00"/>
    <n v="2775.19"/>
    <s v="tier - 2"/>
    <s v="tier - 1"/>
    <s v="R1012"/>
    <n v="23"/>
  </r>
  <r>
    <s v="Id296"/>
    <s v="Menzies, Mr.  Nicolas"/>
    <n v="28.71"/>
    <n v="5.2"/>
    <s v="No"/>
    <s v="No"/>
    <x v="0"/>
    <n v="1"/>
    <x v="0"/>
    <x v="1"/>
    <s v="Normal"/>
    <n v="1999"/>
    <s v="Aug"/>
    <n v="29"/>
    <n v="1"/>
    <d v="1999-08-29T00:00:00"/>
    <n v="2775.19"/>
    <s v="tier - 2"/>
    <s v="tier - 1"/>
    <s v="R1012"/>
    <n v="23"/>
  </r>
  <r>
    <s v="Id297"/>
    <s v="Buehler, Mr.  Marcel"/>
    <n v="23"/>
    <n v="5.48"/>
    <s v="No"/>
    <s v="No"/>
    <x v="0"/>
    <n v="0"/>
    <x v="0"/>
    <x v="2"/>
    <s v="Normal"/>
    <n v="1999"/>
    <s v="Dec"/>
    <n v="24"/>
    <n v="1"/>
    <d v="1999-12-24T00:00:00"/>
    <n v="2789.06"/>
    <s v="tier - 2"/>
    <s v="tier - 3"/>
    <s v="R1012"/>
    <n v="23"/>
  </r>
  <r>
    <s v="Id298"/>
    <s v="Degen, Ms.  Ashley N"/>
    <n v="36.86"/>
    <n v="11.95"/>
    <s v="No"/>
    <s v="No"/>
    <x v="0"/>
    <n v="0"/>
    <x v="1"/>
    <x v="0"/>
    <s v="Diabetes"/>
    <n v="2004"/>
    <s v="Aug"/>
    <n v="4"/>
    <n v="2"/>
    <d v="2004-08-04T00:00:00"/>
    <n v="2801.26"/>
    <s v="tier - 2"/>
    <s v="tier - 3"/>
    <s v="R1013"/>
    <n v="18"/>
  </r>
  <r>
    <s v="Id299"/>
    <s v="Arsenault, Mr.  Evan D"/>
    <n v="24.25"/>
    <n v="8.6999999999999993"/>
    <s v="yes"/>
    <s v="No"/>
    <x v="0"/>
    <n v="1"/>
    <x v="0"/>
    <x v="2"/>
    <s v="Diabetes"/>
    <n v="2003"/>
    <s v="Sep"/>
    <n v="23"/>
    <n v="2"/>
    <d v="2003-09-23T00:00:00"/>
    <n v="2803.7"/>
    <s v="tier - 2"/>
    <s v="tier - 1"/>
    <s v="R1012"/>
    <n v="19"/>
  </r>
  <r>
    <s v="Id300"/>
    <s v="Hoff, Ms.  Krisana"/>
    <n v="23.85"/>
    <n v="7.84"/>
    <s v="No"/>
    <s v="No"/>
    <x v="0"/>
    <n v="0"/>
    <x v="0"/>
    <x v="2"/>
    <s v="Diabetes"/>
    <n v="2000"/>
    <s v="Oct"/>
    <n v="1"/>
    <n v="0"/>
    <d v="2000-10-01T00:00:00"/>
    <n v="2819.51"/>
    <s v="tier - 2"/>
    <s v="tier - 3"/>
    <s v="R1011"/>
    <n v="22"/>
  </r>
  <r>
    <s v="Id301"/>
    <s v="Hall, Mr.  Kyle"/>
    <n v="40.020000000000003"/>
    <n v="5.19"/>
    <s v="yes"/>
    <s v="No"/>
    <x v="0"/>
    <n v="1"/>
    <x v="0"/>
    <x v="0"/>
    <s v="Normal"/>
    <n v="1998"/>
    <s v="Nov"/>
    <n v="15"/>
    <n v="0"/>
    <d v="1998-11-15T00:00:00"/>
    <n v="2842.76"/>
    <s v="tier - 2"/>
    <s v="tier - 3"/>
    <s v="R1012"/>
    <n v="24"/>
  </r>
  <r>
    <s v="Id302"/>
    <s v="Ashley, Ms.  Kate"/>
    <n v="19.170000000000002"/>
    <n v="8.41"/>
    <s v="No"/>
    <s v="No"/>
    <x v="0"/>
    <n v="0"/>
    <x v="0"/>
    <x v="2"/>
    <s v="Diabetes"/>
    <n v="1998"/>
    <s v="Jun"/>
    <n v="17"/>
    <n v="0"/>
    <d v="1998-06-17T00:00:00"/>
    <n v="2850.68"/>
    <s v="tier - 2"/>
    <s v="tier - 3"/>
    <s v="R1012"/>
    <n v="24"/>
  </r>
  <r>
    <s v="Id303"/>
    <s v="Rindahl, Mr.  Martin A."/>
    <n v="43.53"/>
    <n v="5.86"/>
    <s v="yes"/>
    <s v="yes"/>
    <x v="0"/>
    <n v="2"/>
    <x v="0"/>
    <x v="0"/>
    <s v="Prediabetes"/>
    <n v="1998"/>
    <s v="Sep"/>
    <n v="4"/>
    <n v="0"/>
    <d v="1998-09-04T00:00:00"/>
    <n v="2855.44"/>
    <s v="tier - 2"/>
    <s v="tier - 3"/>
    <s v="R1012"/>
    <n v="24"/>
  </r>
  <r>
    <s v="Id304"/>
    <s v="Clark, Ms.  Stacey"/>
    <n v="46.06"/>
    <n v="4.18"/>
    <s v="No"/>
    <s v="yes"/>
    <x v="0"/>
    <n v="1"/>
    <x v="0"/>
    <x v="0"/>
    <s v="Normal"/>
    <n v="1993"/>
    <s v="Nov"/>
    <n v="1"/>
    <n v="0"/>
    <d v="1993-11-01T00:00:00"/>
    <n v="2866.09"/>
    <s v="tier - 3"/>
    <s v="tier - 3"/>
    <s v="R1011"/>
    <n v="29"/>
  </r>
  <r>
    <s v="Id305"/>
    <s v="Irish, Ms.  Christine"/>
    <n v="29.92"/>
    <n v="11.99"/>
    <s v="yes"/>
    <s v="No"/>
    <x v="0"/>
    <n v="2"/>
    <x v="0"/>
    <x v="0"/>
    <s v="Diabetes"/>
    <n v="1993"/>
    <s v="Aug"/>
    <n v="12"/>
    <n v="0"/>
    <d v="1993-08-12T00:00:00"/>
    <n v="2867.12"/>
    <s v="tier - 1"/>
    <s v="tier - 3"/>
    <s v="R1013"/>
    <n v="29"/>
  </r>
  <r>
    <s v="Id306"/>
    <s v="Richardson, Ms.  Sarah C."/>
    <n v="28.46"/>
    <n v="4.8499999999999996"/>
    <s v="yes"/>
    <s v="No"/>
    <x v="0"/>
    <n v="1"/>
    <x v="0"/>
    <x v="1"/>
    <s v="Normal"/>
    <n v="1996"/>
    <s v="Jun"/>
    <n v="21"/>
    <n v="0"/>
    <d v="1996-06-21T00:00:00"/>
    <n v="2897.32"/>
    <s v="tier - 3"/>
    <s v="tier - 3"/>
    <s v="R1016"/>
    <n v="26"/>
  </r>
  <r>
    <s v="Id307"/>
    <s v="Dewitt, Ms.  Megan"/>
    <n v="24.56"/>
    <n v="6.18"/>
    <s v="yes"/>
    <s v="No"/>
    <x v="1"/>
    <n v="1"/>
    <x v="0"/>
    <x v="2"/>
    <s v="Prediabetes"/>
    <n v="2000"/>
    <s v="Jul"/>
    <n v="14"/>
    <n v="0"/>
    <d v="2000-07-14T00:00:00"/>
    <n v="2897.46"/>
    <s v="tier - 2"/>
    <s v="tier - 1"/>
    <s v="R1012"/>
    <n v="22"/>
  </r>
  <r>
    <s v="Id308"/>
    <s v="Hickman, Mr.  Jason W"/>
    <n v="41.19"/>
    <n v="6.37"/>
    <s v="No"/>
    <s v="No"/>
    <x v="0"/>
    <n v="0"/>
    <x v="0"/>
    <x v="0"/>
    <s v="Prediabetes"/>
    <n v="1999"/>
    <s v="Nov"/>
    <n v="1"/>
    <n v="0"/>
    <d v="1999-11-01T00:00:00"/>
    <n v="2899.49"/>
    <s v="tier - 2"/>
    <s v="tier - 2"/>
    <s v="R1024"/>
    <n v="23"/>
  </r>
  <r>
    <s v="Id309"/>
    <s v="Gonzalez, Ms.  Michele"/>
    <n v="18.63"/>
    <n v="9.81"/>
    <s v="yes"/>
    <s v="No"/>
    <x v="0"/>
    <n v="2"/>
    <x v="0"/>
    <x v="2"/>
    <s v="Diabetes"/>
    <n v="1996"/>
    <s v="Oct"/>
    <n v="24"/>
    <n v="1"/>
    <d v="1996-10-24T00:00:00"/>
    <n v="2902.91"/>
    <s v="tier - 2"/>
    <s v="tier - 2"/>
    <s v="R1013"/>
    <n v="26"/>
  </r>
  <r>
    <s v="Id310"/>
    <s v="Difani, Ms.  Nikki"/>
    <n v="26.26"/>
    <n v="11.8"/>
    <s v="yes"/>
    <s v="No"/>
    <x v="0"/>
    <n v="1"/>
    <x v="0"/>
    <x v="1"/>
    <s v="Diabetes"/>
    <n v="1996"/>
    <s v="Jun"/>
    <n v="13"/>
    <n v="1"/>
    <d v="1996-06-13T00:00:00"/>
    <n v="2904.09"/>
    <s v="tier - 2"/>
    <s v="tier - 2"/>
    <s v="R1011"/>
    <n v="26"/>
  </r>
  <r>
    <s v="Id311"/>
    <s v="Turner, Mr.  Philip J."/>
    <n v="22.37"/>
    <n v="5.86"/>
    <s v="yes"/>
    <s v="No"/>
    <x v="1"/>
    <n v="1"/>
    <x v="0"/>
    <x v="2"/>
    <s v="Prediabetes"/>
    <n v="2003"/>
    <s v="Jun"/>
    <n v="5"/>
    <n v="2"/>
    <d v="2003-06-05T00:00:00"/>
    <n v="2913.57"/>
    <s v="tier - 2"/>
    <s v="tier - 2"/>
    <s v="R1011"/>
    <n v="20"/>
  </r>
  <r>
    <s v="Id312"/>
    <s v="Widmann, Mr.  Bryan L"/>
    <n v="39.619999999999997"/>
    <n v="4.28"/>
    <s v="No"/>
    <s v="No"/>
    <x v="0"/>
    <n v="1"/>
    <x v="0"/>
    <x v="0"/>
    <s v="Normal"/>
    <n v="1996"/>
    <s v="Jun"/>
    <n v="30"/>
    <n v="1"/>
    <d v="1996-06-30T00:00:00"/>
    <n v="2927.06"/>
    <s v="tier - 2"/>
    <s v="tier - 2"/>
    <s v="R1013"/>
    <n v="26"/>
  </r>
  <r>
    <s v="Id313"/>
    <s v="Tunney, Mr.  Timothy F"/>
    <n v="18.329999999999998"/>
    <n v="4.16"/>
    <s v="yes"/>
    <s v="No"/>
    <x v="0"/>
    <n v="0"/>
    <x v="0"/>
    <x v="3"/>
    <s v="Normal"/>
    <n v="2002"/>
    <s v="Sep"/>
    <n v="30"/>
    <n v="0"/>
    <d v="2002-09-30T00:00:00"/>
    <n v="2943.41"/>
    <s v="tier - 2"/>
    <s v="tier - 3"/>
    <s v="R1012"/>
    <n v="20"/>
  </r>
  <r>
    <s v="Id314"/>
    <s v="San Juan, Ms.  Angielyn M"/>
    <n v="17.11"/>
    <n v="4.9800000000000004"/>
    <s v="yes"/>
    <s v="No"/>
    <x v="1"/>
    <n v="1"/>
    <x v="0"/>
    <x v="3"/>
    <s v="Normal"/>
    <n v="1995"/>
    <s v="Sep"/>
    <n v="24"/>
    <n v="0"/>
    <d v="1995-09-24T00:00:00"/>
    <n v="2974.13"/>
    <s v="tier - 2"/>
    <s v="tier - 1"/>
    <s v="R1011"/>
    <n v="27"/>
  </r>
  <r>
    <s v="Id315"/>
    <s v="Croll, Ms.  Jeanie M."/>
    <n v="43.5"/>
    <n v="6.38"/>
    <s v="No"/>
    <s v="yes"/>
    <x v="0"/>
    <n v="1"/>
    <x v="0"/>
    <x v="0"/>
    <s v="Prediabetes"/>
    <n v="1987"/>
    <s v="Jun"/>
    <n v="18"/>
    <n v="3"/>
    <d v="1987-06-18T00:00:00"/>
    <n v="2979.52"/>
    <s v="tier - 2"/>
    <s v="tier - 3"/>
    <s v="R1013"/>
    <n v="35"/>
  </r>
  <r>
    <s v="Id316"/>
    <s v="Rolfes, Mr.  Greg"/>
    <n v="25.364999999999998"/>
    <n v="5.19"/>
    <s v="No"/>
    <s v="No"/>
    <x v="0"/>
    <n v="2"/>
    <x v="1"/>
    <x v="1"/>
    <s v="Normal"/>
    <n v="1991"/>
    <s v="Nov"/>
    <n v="20"/>
    <n v="3"/>
    <d v="1991-11-20T00:00:00"/>
    <n v="2985.67"/>
    <s v="tier - 2"/>
    <s v="tier - 2"/>
    <s v="R1013"/>
    <n v="31"/>
  </r>
  <r>
    <s v="Id317"/>
    <s v="Hinkle, Mr.  John"/>
    <n v="28.594999999999999"/>
    <n v="10.210000000000001"/>
    <s v="No"/>
    <s v="No"/>
    <x v="0"/>
    <n v="0"/>
    <x v="1"/>
    <x v="1"/>
    <s v="Diabetes"/>
    <n v="2002"/>
    <s v="Dec"/>
    <n v="15"/>
    <n v="0"/>
    <d v="2002-12-15T00:00:00"/>
    <n v="3012.22"/>
    <s v="tier - 2"/>
    <s v="tier - 3"/>
    <s v="R1012"/>
    <n v="20"/>
  </r>
  <r>
    <s v="Id318"/>
    <s v="Leuchanka, Mr.  Aliaksandr"/>
    <n v="29.83"/>
    <n v="9.6999999999999993"/>
    <s v="yes"/>
    <s v="No"/>
    <x v="1"/>
    <n v="1"/>
    <x v="0"/>
    <x v="1"/>
    <s v="Diabetes"/>
    <n v="1988"/>
    <s v="Sep"/>
    <n v="28"/>
    <n v="3"/>
    <d v="1988-09-28T00:00:00"/>
    <n v="3018.04"/>
    <s v="tier - 2"/>
    <s v="tier - 2"/>
    <s v="R1012"/>
    <n v="34"/>
  </r>
  <r>
    <s v="Id319"/>
    <s v="Ayr, Mr.  Jason M."/>
    <n v="24.7"/>
    <n v="10.25"/>
    <s v="No"/>
    <s v="No"/>
    <x v="0"/>
    <n v="3"/>
    <x v="1"/>
    <x v="2"/>
    <s v="Diabetes"/>
    <n v="1997"/>
    <s v="Dec"/>
    <n v="19"/>
    <n v="0"/>
    <d v="1997-12-19T00:00:00"/>
    <n v="3021.81"/>
    <s v="tier - 2"/>
    <s v="tier - 3"/>
    <s v="R1012"/>
    <n v="25"/>
  </r>
  <r>
    <s v="Id320"/>
    <s v="Siegel, Ms.  Sheera K"/>
    <n v="17.940000000000001"/>
    <n v="9.77"/>
    <s v="No"/>
    <s v="No"/>
    <x v="0"/>
    <n v="0"/>
    <x v="0"/>
    <x v="3"/>
    <s v="Diabetes"/>
    <n v="1998"/>
    <s v="Sep"/>
    <n v="15"/>
    <n v="0"/>
    <d v="1998-09-15T00:00:00"/>
    <n v="3044.21"/>
    <s v="tier - 2"/>
    <s v="tier - 3"/>
    <s v="R1024"/>
    <n v="24"/>
  </r>
  <r>
    <s v="Id321"/>
    <s v="Penrose, Ms.  Janice"/>
    <n v="21.08"/>
    <n v="4.83"/>
    <s v="No"/>
    <s v="No"/>
    <x v="1"/>
    <n v="1"/>
    <x v="0"/>
    <x v="2"/>
    <s v="Normal"/>
    <n v="1998"/>
    <s v="Aug"/>
    <n v="9"/>
    <n v="0"/>
    <d v="1998-08-09T00:00:00"/>
    <n v="3046.06"/>
    <s v="tier - 2"/>
    <s v="tier - 1"/>
    <s v="R1023"/>
    <n v="24"/>
  </r>
  <r>
    <s v="Id322"/>
    <s v="Schuler, Mr.  Timothy G."/>
    <n v="37.715000000000003"/>
    <n v="10.86"/>
    <s v="yes"/>
    <s v="No"/>
    <x v="0"/>
    <n v="0"/>
    <x v="1"/>
    <x v="0"/>
    <s v="Diabetes"/>
    <n v="1997"/>
    <s v="Dec"/>
    <n v="22"/>
    <n v="0"/>
    <d v="1997-12-22T00:00:00"/>
    <n v="3051.73"/>
    <s v="tier - 2"/>
    <s v="tier - 2"/>
    <s v="R1011"/>
    <n v="25"/>
  </r>
  <r>
    <s v="Id323"/>
    <s v="Walker, Mr.  Alan R"/>
    <n v="22.39"/>
    <n v="9.5299999999999994"/>
    <s v="yes"/>
    <s v="No"/>
    <x v="0"/>
    <n v="0"/>
    <x v="0"/>
    <x v="2"/>
    <s v="Diabetes"/>
    <n v="2002"/>
    <s v="Jun"/>
    <n v="21"/>
    <n v="2"/>
    <d v="2002-06-21T00:00:00"/>
    <n v="3056.39"/>
    <s v="tier - 2"/>
    <s v="tier - 3"/>
    <s v="R1013"/>
    <n v="20"/>
  </r>
  <r>
    <s v="Id324"/>
    <s v="Stange, Mr.  Michael"/>
    <n v="28.78"/>
    <n v="5.68"/>
    <s v="No"/>
    <s v="No"/>
    <x v="0"/>
    <n v="0"/>
    <x v="0"/>
    <x v="1"/>
    <s v="Normal"/>
    <n v="1994"/>
    <s v="Sep"/>
    <n v="26"/>
    <n v="0"/>
    <d v="1994-09-26T00:00:00"/>
    <n v="3062.51"/>
    <s v="tier - 3"/>
    <s v="tier - 1"/>
    <s v="R1012"/>
    <n v="28"/>
  </r>
  <r>
    <s v="Id325"/>
    <s v="Roy, Ms.  Marie-France"/>
    <n v="18.329999999999998"/>
    <n v="5.57"/>
    <s v="yes"/>
    <s v="No"/>
    <x v="0"/>
    <n v="0"/>
    <x v="0"/>
    <x v="3"/>
    <s v="Normal"/>
    <n v="1989"/>
    <s v="Oct"/>
    <n v="1"/>
    <n v="3"/>
    <d v="1989-10-01T00:00:00"/>
    <n v="3065.49"/>
    <s v="tier - 2"/>
    <s v="tier - 1"/>
    <s v="R1012"/>
    <n v="33"/>
  </r>
  <r>
    <s v="Id326"/>
    <s v="Potere, Mr.  Erik F."/>
    <n v="26.39"/>
    <n v="4.58"/>
    <s v="yes"/>
    <s v="No"/>
    <x v="0"/>
    <n v="1"/>
    <x v="0"/>
    <x v="1"/>
    <s v="Normal"/>
    <n v="1995"/>
    <s v="Sep"/>
    <n v="10"/>
    <n v="0"/>
    <d v="1995-09-10T00:00:00"/>
    <n v="3070.81"/>
    <s v="tier - 3"/>
    <s v="tier - 1"/>
    <s v="R1017"/>
    <n v="27"/>
  </r>
  <r>
    <s v="Id327"/>
    <s v="Podgurski, Mr.  Andrew"/>
    <n v="19.260000000000002"/>
    <n v="8.9600000000000009"/>
    <s v="yes"/>
    <s v="No"/>
    <x v="0"/>
    <n v="1"/>
    <x v="0"/>
    <x v="2"/>
    <s v="Diabetes"/>
    <n v="2001"/>
    <s v="Oct"/>
    <n v="13"/>
    <n v="2"/>
    <d v="2001-10-13T00:00:00"/>
    <n v="3077.1"/>
    <s v="tier - 2"/>
    <s v="tier - 1"/>
    <s v="R1012"/>
    <n v="21"/>
  </r>
  <r>
    <s v="Id328"/>
    <s v="Diamond, Mr.  Anthony"/>
    <n v="26.92"/>
    <n v="6.09"/>
    <s v="No"/>
    <s v="No"/>
    <x v="0"/>
    <n v="0"/>
    <x v="0"/>
    <x v="1"/>
    <s v="Prediabetes"/>
    <n v="1987"/>
    <s v="Aug"/>
    <n v="1"/>
    <n v="3"/>
    <d v="1987-08-01T00:00:00"/>
    <n v="3088.06"/>
    <s v="tier - 2"/>
    <s v="tier - 2"/>
    <s v="R1013"/>
    <n v="35"/>
  </r>
  <r>
    <s v="Id329"/>
    <s v="Sallade, Mr.  Chris"/>
    <n v="19.73"/>
    <n v="4.3600000000000003"/>
    <s v="No"/>
    <s v="No"/>
    <x v="0"/>
    <n v="0"/>
    <x v="0"/>
    <x v="2"/>
    <s v="Normal"/>
    <n v="1999"/>
    <s v="Jun"/>
    <n v="25"/>
    <n v="0"/>
    <d v="1999-06-25T00:00:00"/>
    <n v="3128.35"/>
    <s v="tier - 2"/>
    <s v="tier - 3"/>
    <s v="R1021"/>
    <n v="23"/>
  </r>
  <r>
    <s v="Id330"/>
    <s v="Zhang, Mr.  Yu"/>
    <n v="23.56"/>
    <n v="11.74"/>
    <s v="yes"/>
    <s v="No"/>
    <x v="0"/>
    <n v="0"/>
    <x v="0"/>
    <x v="2"/>
    <s v="Diabetes"/>
    <n v="1994"/>
    <s v="Jul"/>
    <n v="10"/>
    <n v="0"/>
    <d v="1994-07-10T00:00:00"/>
    <n v="3161.45"/>
    <s v="tier - 2"/>
    <s v="tier - 1"/>
    <s v="R1011"/>
    <n v="28"/>
  </r>
  <r>
    <s v="Id331"/>
    <s v="Chatfield, Mr.  Caleb N"/>
    <n v="37.67"/>
    <n v="5.89"/>
    <s v="No"/>
    <s v="No"/>
    <x v="0"/>
    <n v="1"/>
    <x v="0"/>
    <x v="0"/>
    <s v="Prediabetes"/>
    <n v="1993"/>
    <s v="Sep"/>
    <n v="25"/>
    <n v="0"/>
    <d v="1993-09-25T00:00:00"/>
    <n v="3162.02"/>
    <s v="tier - 2"/>
    <s v="tier - 3"/>
    <s v="R1013"/>
    <n v="29"/>
  </r>
  <r>
    <s v="Id332"/>
    <s v="Bruns, Mr.  Jason M."/>
    <n v="18.73"/>
    <n v="10.64"/>
    <s v="No"/>
    <s v="No"/>
    <x v="0"/>
    <n v="2"/>
    <x v="0"/>
    <x v="2"/>
    <s v="Diabetes"/>
    <n v="2001"/>
    <s v="Aug"/>
    <n v="29"/>
    <n v="1"/>
    <d v="2001-08-29T00:00:00"/>
    <n v="3167.46"/>
    <s v="tier - 2"/>
    <s v="tier - 3"/>
    <s v="R1024"/>
    <n v="21"/>
  </r>
  <r>
    <s v="Id333"/>
    <s v="Yochum, Ms.  Angela R"/>
    <n v="33.090000000000003"/>
    <n v="6.06"/>
    <s v="No"/>
    <s v="No"/>
    <x v="1"/>
    <n v="1"/>
    <x v="0"/>
    <x v="0"/>
    <s v="Prediabetes"/>
    <n v="1994"/>
    <s v="Oct"/>
    <n v="25"/>
    <n v="0"/>
    <d v="1994-10-25T00:00:00"/>
    <n v="3171.61"/>
    <s v="tier - 2"/>
    <s v="tier - 3"/>
    <s v="R1013"/>
    <n v="28"/>
  </r>
  <r>
    <s v="Id334"/>
    <s v="Freeburn, Mr.  Keith J"/>
    <n v="18.329999999999998"/>
    <n v="7.46"/>
    <s v="yes"/>
    <s v="No"/>
    <x v="0"/>
    <n v="1"/>
    <x v="0"/>
    <x v="3"/>
    <s v="Diabetes"/>
    <n v="1994"/>
    <s v="Jul"/>
    <n v="6"/>
    <n v="0"/>
    <d v="1994-07-06T00:00:00"/>
    <n v="3172.02"/>
    <s v="tier - 2"/>
    <s v="tier - 1"/>
    <s v="R1011"/>
    <n v="28"/>
  </r>
  <r>
    <s v="Id335"/>
    <s v="Spencer, Ms.  Emma"/>
    <n v="27.74"/>
    <n v="4.68"/>
    <s v="yes"/>
    <s v="No"/>
    <x v="0"/>
    <n v="2"/>
    <x v="0"/>
    <x v="1"/>
    <s v="Normal"/>
    <n v="1996"/>
    <s v="Aug"/>
    <n v="14"/>
    <n v="0"/>
    <d v="1996-08-14T00:00:00"/>
    <n v="3176.29"/>
    <s v="tier - 2"/>
    <s v="tier - 2"/>
    <s v="R1012"/>
    <n v="26"/>
  </r>
  <r>
    <s v="Id336"/>
    <s v="Jarosik, Mr.  Nathan A"/>
    <n v="24.2"/>
    <n v="6.15"/>
    <s v="No"/>
    <s v="No"/>
    <x v="0"/>
    <n v="1"/>
    <x v="0"/>
    <x v="2"/>
    <s v="Prediabetes"/>
    <n v="1996"/>
    <s v="Jul"/>
    <n v="3"/>
    <n v="0"/>
    <d v="1996-07-03T00:00:00"/>
    <n v="3176.82"/>
    <s v="tier - 2"/>
    <s v="tier - 1"/>
    <s v="R1012"/>
    <n v="26"/>
  </r>
  <r>
    <s v="Id337"/>
    <s v="Heinzen, Ms.  Kathryn"/>
    <n v="22.03"/>
    <n v="4.28"/>
    <s v="yes"/>
    <s v="No"/>
    <x v="0"/>
    <n v="0"/>
    <x v="0"/>
    <x v="2"/>
    <s v="Normal"/>
    <n v="2000"/>
    <s v="Sep"/>
    <n v="23"/>
    <n v="0"/>
    <d v="2000-09-23T00:00:00"/>
    <n v="3179.96"/>
    <s v="tier - 2"/>
    <s v="tier - 2"/>
    <s v="R1012"/>
    <n v="22"/>
  </r>
  <r>
    <s v="Id338"/>
    <s v="Kelley, Ms.  Elizabeth H."/>
    <n v="26.885000000000002"/>
    <n v="9.86"/>
    <s v="No"/>
    <s v="No"/>
    <x v="0"/>
    <n v="3"/>
    <x v="0"/>
    <x v="1"/>
    <s v="Diabetes"/>
    <n v="2001"/>
    <s v="Sep"/>
    <n v="2"/>
    <n v="2"/>
    <d v="2001-09-02T00:00:00"/>
    <n v="3180.51"/>
    <s v="tier - 2"/>
    <s v="tier - 2"/>
    <s v="R1013"/>
    <n v="21"/>
  </r>
  <r>
    <s v="Id339"/>
    <s v="Thacker, Mr.  Ben"/>
    <n v="16.36"/>
    <n v="11.19"/>
    <s v="No"/>
    <s v="No"/>
    <x v="0"/>
    <n v="0"/>
    <x v="0"/>
    <x v="3"/>
    <s v="Diabetes"/>
    <n v="1996"/>
    <s v="Oct"/>
    <n v="11"/>
    <n v="0"/>
    <d v="1996-10-11T00:00:00"/>
    <n v="3201.25"/>
    <s v="tier - 2"/>
    <s v="tier - 3"/>
    <s v="R1012"/>
    <n v="26"/>
  </r>
  <r>
    <s v="Id340"/>
    <s v="Jeseritz, Ms.  Cheryl A"/>
    <n v="32.299999999999997"/>
    <n v="4.8899999999999997"/>
    <s v="yes"/>
    <s v="No"/>
    <x v="1"/>
    <n v="1"/>
    <x v="1"/>
    <x v="0"/>
    <s v="Normal"/>
    <n v="1997"/>
    <s v="Jul"/>
    <n v="5"/>
    <n v="0"/>
    <d v="1997-07-05T00:00:00"/>
    <n v="3206.49"/>
    <s v="tier - 2"/>
    <s v="tier - 3"/>
    <s v="R1024"/>
    <n v="25"/>
  </r>
  <r>
    <s v="Id341"/>
    <s v="Hohman, Ms.  Kimberly A"/>
    <n v="16.05"/>
    <n v="4.3499999999999996"/>
    <s v="yes"/>
    <s v="No"/>
    <x v="0"/>
    <n v="0"/>
    <x v="0"/>
    <x v="3"/>
    <s v="Normal"/>
    <n v="1997"/>
    <s v="Dec"/>
    <n v="22"/>
    <n v="1"/>
    <d v="1997-12-22T00:00:00"/>
    <n v="3208.79"/>
    <s v="tier - 2"/>
    <s v="tier - 3"/>
    <s v="R1011"/>
    <n v="25"/>
  </r>
  <r>
    <s v="Id342"/>
    <s v="Hill, Ms.  Cynthia"/>
    <n v="29.07"/>
    <n v="8.66"/>
    <s v="yes"/>
    <s v="No"/>
    <x v="0"/>
    <n v="2"/>
    <x v="0"/>
    <x v="1"/>
    <s v="Diabetes"/>
    <n v="1997"/>
    <s v="Jul"/>
    <n v="6"/>
    <n v="0"/>
    <d v="1997-07-06T00:00:00"/>
    <n v="3213.62"/>
    <s v="tier - 2"/>
    <s v="tier - 2"/>
    <s v="R1024"/>
    <n v="25"/>
  </r>
  <r>
    <s v="Id343"/>
    <s v="Kuepfer, Ms.  Jessica"/>
    <n v="17.43"/>
    <n v="8.64"/>
    <s v="No"/>
    <s v="No"/>
    <x v="0"/>
    <n v="0"/>
    <x v="0"/>
    <x v="3"/>
    <s v="Diabetes"/>
    <n v="1997"/>
    <s v="Aug"/>
    <n v="2"/>
    <n v="1"/>
    <d v="1997-08-02T00:00:00"/>
    <n v="3227.12"/>
    <s v="tier - 2"/>
    <s v="tier - 3"/>
    <s v="R1013"/>
    <n v="25"/>
  </r>
  <r>
    <s v="Id344"/>
    <s v="Kaczmarek, Mr.  Bruce"/>
    <n v="19.329999999999998"/>
    <n v="4.2699999999999996"/>
    <s v="No"/>
    <s v="No"/>
    <x v="0"/>
    <n v="0"/>
    <x v="0"/>
    <x v="2"/>
    <s v="Normal"/>
    <n v="1997"/>
    <s v="Sep"/>
    <n v="2"/>
    <n v="1"/>
    <d v="1997-09-02T00:00:00"/>
    <n v="3238.44"/>
    <s v="tier - 2"/>
    <s v="tier - 3"/>
    <s v="R1013"/>
    <n v="25"/>
  </r>
  <r>
    <s v="Id345"/>
    <s v="Pitt, Ms.  Allison"/>
    <n v="30.52"/>
    <n v="4.21"/>
    <s v="No"/>
    <s v="No"/>
    <x v="0"/>
    <n v="1"/>
    <x v="0"/>
    <x v="0"/>
    <s v="Normal"/>
    <n v="1991"/>
    <s v="Nov"/>
    <n v="13"/>
    <n v="0"/>
    <d v="1991-11-13T00:00:00"/>
    <n v="3260.2"/>
    <s v="tier - 3"/>
    <s v="tier - 2"/>
    <s v="R1011"/>
    <n v="31"/>
  </r>
  <r>
    <s v="Id346"/>
    <s v="Lorton, Mr.  Alex"/>
    <n v="39.21"/>
    <n v="5.04"/>
    <s v="No"/>
    <s v="No"/>
    <x v="1"/>
    <n v="1"/>
    <x v="0"/>
    <x v="0"/>
    <s v="Normal"/>
    <n v="1994"/>
    <s v="Dec"/>
    <n v="2"/>
    <n v="0"/>
    <d v="1994-12-02T00:00:00"/>
    <n v="3268.85"/>
    <s v="tier - 3"/>
    <s v="tier - 1"/>
    <s v="R1016"/>
    <n v="28"/>
  </r>
  <r>
    <s v="Id347"/>
    <s v="Castaneda, Ms.  Gabriela"/>
    <n v="26.98"/>
    <n v="5.21"/>
    <s v="yes"/>
    <s v="No"/>
    <x v="0"/>
    <n v="2"/>
    <x v="0"/>
    <x v="1"/>
    <s v="Normal"/>
    <n v="1994"/>
    <s v="Jul"/>
    <n v="1"/>
    <n v="1"/>
    <d v="1994-07-01T00:00:00"/>
    <n v="3277.16"/>
    <s v="tier - 2"/>
    <s v="tier - 3"/>
    <s v="R1011"/>
    <n v="28"/>
  </r>
  <r>
    <s v="Id348"/>
    <s v="Cherop, Ms.  Sharon"/>
    <n v="25.84"/>
    <n v="8.83"/>
    <s v="No"/>
    <s v="No"/>
    <x v="0"/>
    <n v="0"/>
    <x v="1"/>
    <x v="1"/>
    <s v="Diabetes"/>
    <n v="2001"/>
    <s v="Oct"/>
    <n v="6"/>
    <n v="2"/>
    <d v="2001-10-06T00:00:00"/>
    <n v="3279.87"/>
    <s v="tier - 2"/>
    <s v="tier - 1"/>
    <s v="R1017"/>
    <n v="21"/>
  </r>
  <r>
    <s v="Id349"/>
    <s v="Howell, Mr.  Jason A"/>
    <n v="28.31"/>
    <n v="8.4700000000000006"/>
    <s v="yes"/>
    <s v="No"/>
    <x v="0"/>
    <n v="2"/>
    <x v="0"/>
    <x v="1"/>
    <s v="Diabetes"/>
    <n v="2003"/>
    <s v="Jul"/>
    <n v="3"/>
    <n v="0"/>
    <d v="2003-07-03T00:00:00"/>
    <n v="3280.22"/>
    <s v="tier - 2"/>
    <s v="tier - 3"/>
    <s v="R1011"/>
    <n v="19"/>
  </r>
  <r>
    <s v="Id350"/>
    <s v="Palmer, Ms.  Chelsey C."/>
    <n v="23.94"/>
    <n v="4.2"/>
    <s v="No"/>
    <s v="No"/>
    <x v="0"/>
    <n v="0"/>
    <x v="0"/>
    <x v="2"/>
    <s v="Normal"/>
    <n v="1996"/>
    <s v="Nov"/>
    <n v="17"/>
    <n v="1"/>
    <d v="1996-11-17T00:00:00"/>
    <n v="3292.53"/>
    <s v="tier - 2"/>
    <s v="tier - 2"/>
    <s v="R1012"/>
    <n v="26"/>
  </r>
  <r>
    <s v="Id351"/>
    <s v="Olson, Mr.  Devon A."/>
    <n v="20.03"/>
    <n v="6.14"/>
    <s v="yes"/>
    <s v="No"/>
    <x v="0"/>
    <n v="0"/>
    <x v="0"/>
    <x v="2"/>
    <s v="Prediabetes"/>
    <n v="2003"/>
    <s v="Dec"/>
    <n v="5"/>
    <n v="0"/>
    <d v="2003-12-05T00:00:00"/>
    <n v="3300.7"/>
    <s v="tier - 2"/>
    <s v="tier - 2"/>
    <s v="R1025"/>
    <n v="19"/>
  </r>
  <r>
    <s v="Id352"/>
    <s v="Waldron, Ms.  Joni L"/>
    <n v="41.42"/>
    <n v="6.07"/>
    <s v="No"/>
    <s v="No"/>
    <x v="0"/>
    <n v="0"/>
    <x v="1"/>
    <x v="0"/>
    <s v="Prediabetes"/>
    <n v="2003"/>
    <s v="Nov"/>
    <n v="18"/>
    <n v="0"/>
    <d v="2003-11-18T00:00:00"/>
    <n v="3308.46"/>
    <s v="tier - 2"/>
    <s v="tier - 1"/>
    <s v="R1021"/>
    <n v="19"/>
  </r>
  <r>
    <s v="Id353"/>
    <s v="Meyer, Mr.  Colin"/>
    <n v="36.67"/>
    <n v="10.210000000000001"/>
    <s v="No"/>
    <s v="No"/>
    <x v="0"/>
    <n v="0"/>
    <x v="1"/>
    <x v="0"/>
    <s v="Diabetes"/>
    <n v="1997"/>
    <s v="Jun"/>
    <n v="20"/>
    <n v="1"/>
    <d v="1997-06-20T00:00:00"/>
    <n v="3309.79"/>
    <s v="tier - 3"/>
    <s v="tier - 3"/>
    <s v="R1017"/>
    <n v="25"/>
  </r>
  <r>
    <s v="Id354"/>
    <s v="Stack, Ms.  Rachael"/>
    <n v="27.645"/>
    <n v="4.6900000000000004"/>
    <s v="No"/>
    <s v="No"/>
    <x v="0"/>
    <n v="0"/>
    <x v="1"/>
    <x v="1"/>
    <s v="Normal"/>
    <n v="1991"/>
    <s v="Sep"/>
    <n v="1"/>
    <n v="3"/>
    <d v="1991-09-01T00:00:00"/>
    <n v="3342.79"/>
    <s v="tier - 2"/>
    <s v="tier - 1"/>
    <s v="R1013"/>
    <n v="31"/>
  </r>
  <r>
    <s v="Id355"/>
    <s v="Sanchez Y Torres, Ms.  Maricela"/>
    <n v="22.72"/>
    <n v="5.71"/>
    <s v="No"/>
    <s v="No"/>
    <x v="0"/>
    <n v="0"/>
    <x v="0"/>
    <x v="2"/>
    <s v="Prediabetes"/>
    <n v="1993"/>
    <s v="Oct"/>
    <n v="28"/>
    <n v="0"/>
    <d v="1993-10-28T00:00:00"/>
    <n v="3353.28"/>
    <s v="tier - 2"/>
    <s v="tier - 1"/>
    <s v="R1011"/>
    <n v="29"/>
  </r>
  <r>
    <s v="Id356"/>
    <s v="Daniels, Ms.  Marie"/>
    <n v="36.520000000000003"/>
    <n v="9.07"/>
    <s v="yes"/>
    <s v="No"/>
    <x v="1"/>
    <n v="1"/>
    <x v="1"/>
    <x v="0"/>
    <s v="Diabetes"/>
    <n v="1995"/>
    <s v="Jun"/>
    <n v="23"/>
    <n v="0"/>
    <d v="1995-06-23T00:00:00"/>
    <n v="3353.47"/>
    <s v="tier - 2"/>
    <s v="tier - 3"/>
    <s v="R1012"/>
    <n v="27"/>
  </r>
  <r>
    <s v="Id357"/>
    <s v="Pepp, Mr.  Frank"/>
    <n v="33.96"/>
    <n v="4.99"/>
    <s v="No"/>
    <s v="No"/>
    <x v="0"/>
    <n v="0"/>
    <x v="0"/>
    <x v="0"/>
    <s v="Normal"/>
    <n v="1993"/>
    <s v="Oct"/>
    <n v="7"/>
    <n v="0"/>
    <d v="1993-10-07T00:00:00"/>
    <n v="3366.67"/>
    <s v="tier - 2"/>
    <s v="tier - 2"/>
    <s v="R1013"/>
    <n v="29"/>
  </r>
  <r>
    <s v="Id358"/>
    <s v="Buechler, Mr.  Jeffry"/>
    <n v="26.695"/>
    <n v="8.31"/>
    <s v="No"/>
    <s v="No"/>
    <x v="0"/>
    <n v="0"/>
    <x v="0"/>
    <x v="1"/>
    <s v="Diabetes"/>
    <n v="1996"/>
    <s v="Dec"/>
    <n v="14"/>
    <n v="1"/>
    <d v="1996-12-14T00:00:00"/>
    <n v="3378.91"/>
    <s v="tier - 2"/>
    <s v="tier - 1"/>
    <s v="R1011"/>
    <n v="26"/>
  </r>
  <r>
    <s v="Id359"/>
    <s v="Buenting, Mr.  Mike"/>
    <n v="18.45"/>
    <n v="5.07"/>
    <s v="yes"/>
    <s v="No"/>
    <x v="0"/>
    <n v="0"/>
    <x v="0"/>
    <x v="3"/>
    <s v="Normal"/>
    <n v="1996"/>
    <s v="Nov"/>
    <n v="13"/>
    <n v="0"/>
    <d v="1996-11-13T00:00:00"/>
    <n v="3385.4"/>
    <s v="tier - 2"/>
    <s v="tier - 2"/>
    <s v="R1024"/>
    <n v="26"/>
  </r>
  <r>
    <s v="Id360"/>
    <s v="Evans, Mr.  Rick"/>
    <n v="33.18"/>
    <n v="4.79"/>
    <s v="No"/>
    <s v="No"/>
    <x v="0"/>
    <n v="0"/>
    <x v="0"/>
    <x v="0"/>
    <s v="Normal"/>
    <n v="1996"/>
    <s v="Aug"/>
    <n v="10"/>
    <n v="1"/>
    <d v="1996-08-10T00:00:00"/>
    <n v="3392.37"/>
    <s v="tier - 2"/>
    <s v="tier - 3"/>
    <s v="R1013"/>
    <n v="26"/>
  </r>
  <r>
    <s v="Id361"/>
    <s v="Arcand, Mr.  Pierre-Michel"/>
    <n v="36.1"/>
    <n v="11.39"/>
    <s v="yes"/>
    <s v="No"/>
    <x v="0"/>
    <n v="2"/>
    <x v="1"/>
    <x v="0"/>
    <s v="Diabetes"/>
    <n v="1996"/>
    <s v="Oct"/>
    <n v="27"/>
    <n v="1"/>
    <d v="1996-10-27T00:00:00"/>
    <n v="3392.98"/>
    <s v="tier - 2"/>
    <s v="tier - 3"/>
    <s v="R1013"/>
    <n v="26"/>
  </r>
  <r>
    <s v="Id362"/>
    <s v="Kesack, Mr.  Daniel"/>
    <n v="22.77"/>
    <n v="6"/>
    <s v="No"/>
    <s v="No"/>
    <x v="0"/>
    <n v="0"/>
    <x v="0"/>
    <x v="2"/>
    <s v="Prediabetes"/>
    <n v="2004"/>
    <s v="Jul"/>
    <n v="16"/>
    <n v="2"/>
    <d v="2004-07-16T00:00:00"/>
    <n v="3393.36"/>
    <s v="tier - 2"/>
    <s v="tier - 2"/>
    <s v="R1023"/>
    <n v="18"/>
  </r>
  <r>
    <s v="Id363"/>
    <s v="Post, Mr.  Brian L."/>
    <n v="21.24"/>
    <n v="5.13"/>
    <s v="No"/>
    <s v="No"/>
    <x v="0"/>
    <n v="0"/>
    <x v="0"/>
    <x v="2"/>
    <s v="Normal"/>
    <n v="1996"/>
    <s v="Dec"/>
    <n v="19"/>
    <n v="1"/>
    <d v="1996-12-19T00:00:00"/>
    <n v="3410.32"/>
    <s v="tier - 2"/>
    <s v="tier - 2"/>
    <s v="R1011"/>
    <n v="26"/>
  </r>
  <r>
    <s v="Id364"/>
    <s v="Dunne, Ms.  Morgan M."/>
    <n v="17.600000000000001"/>
    <n v="5.26"/>
    <s v="yes"/>
    <s v="No"/>
    <x v="0"/>
    <n v="0"/>
    <x v="0"/>
    <x v="3"/>
    <s v="Normal"/>
    <n v="2001"/>
    <s v="Dec"/>
    <n v="26"/>
    <n v="0"/>
    <d v="2001-12-26T00:00:00"/>
    <n v="3434.38"/>
    <s v="tier - 2"/>
    <s v="tier - 2"/>
    <s v="R1011"/>
    <n v="21"/>
  </r>
  <r>
    <s v="Id365"/>
    <s v="Kilel, Ms.  Caroline"/>
    <n v="26.29"/>
    <n v="6.84"/>
    <s v="No"/>
    <s v="No"/>
    <x v="0"/>
    <n v="0"/>
    <x v="0"/>
    <x v="1"/>
    <s v="Diabetes"/>
    <n v="1986"/>
    <s v="Aug"/>
    <n v="27"/>
    <n v="3"/>
    <d v="1986-08-27T00:00:00"/>
    <n v="3436.5"/>
    <s v="tier - 2"/>
    <s v="tier - 1"/>
    <s v="R1013"/>
    <n v="36"/>
  </r>
  <r>
    <s v="Id366"/>
    <s v="Nicholson, Mr.  Drew T."/>
    <n v="35.31"/>
    <n v="9.0399999999999991"/>
    <s v="No"/>
    <s v="No"/>
    <x v="0"/>
    <n v="0"/>
    <x v="1"/>
    <x v="0"/>
    <s v="Diabetes"/>
    <n v="2000"/>
    <s v="Jun"/>
    <n v="20"/>
    <n v="3"/>
    <d v="2000-06-20T00:00:00"/>
    <n v="3443.06"/>
    <s v="tier - 2"/>
    <s v="tier - 1"/>
    <s v="R1011"/>
    <n v="22"/>
  </r>
  <r>
    <s v="Id367"/>
    <s v="Susmann, Mr.  Austin W"/>
    <n v="27.04"/>
    <n v="4.0999999999999996"/>
    <s v="No"/>
    <s v="No"/>
    <x v="0"/>
    <n v="1"/>
    <x v="0"/>
    <x v="1"/>
    <s v="Normal"/>
    <n v="1987"/>
    <s v="Sep"/>
    <n v="14"/>
    <n v="3"/>
    <d v="1987-09-14T00:00:00"/>
    <n v="3453.77"/>
    <s v="tier - 2"/>
    <s v="tier - 1"/>
    <s v="R1011"/>
    <n v="35"/>
  </r>
  <r>
    <s v="Id368"/>
    <s v="Harsh, Ms.  Berenice"/>
    <n v="30.23"/>
    <n v="4.2300000000000004"/>
    <s v="yes"/>
    <s v="No"/>
    <x v="1"/>
    <n v="1"/>
    <x v="0"/>
    <x v="0"/>
    <s v="Normal"/>
    <n v="2003"/>
    <s v="Jul"/>
    <n v="29"/>
    <n v="0"/>
    <d v="2003-07-29T00:00:00"/>
    <n v="3463.51"/>
    <s v="tier - 2"/>
    <s v="tier - 1"/>
    <s v="R1025"/>
    <n v="19"/>
  </r>
  <r>
    <s v="Id369"/>
    <s v="Pocasangre, Mr.  Kenneth A"/>
    <n v="30.6"/>
    <n v="6.48"/>
    <s v="yes"/>
    <s v="No"/>
    <x v="1"/>
    <n v="1"/>
    <x v="0"/>
    <x v="0"/>
    <s v="Diabetes"/>
    <n v="1993"/>
    <s v="Oct"/>
    <n v="12"/>
    <n v="1"/>
    <d v="1993-10-12T00:00:00"/>
    <n v="3471.41"/>
    <s v="tier - 2"/>
    <s v="tier - 2"/>
    <s v="R1013"/>
    <n v="29"/>
  </r>
  <r>
    <s v="Id370"/>
    <s v="Martinez Lopez, Mr.  Miguel"/>
    <n v="26.8"/>
    <n v="5.53"/>
    <s v="No"/>
    <s v="No"/>
    <x v="0"/>
    <n v="1"/>
    <x v="0"/>
    <x v="1"/>
    <s v="Normal"/>
    <n v="2004"/>
    <s v="Jun"/>
    <n v="26"/>
    <n v="3"/>
    <d v="2004-06-26T00:00:00"/>
    <n v="3481.87"/>
    <s v="tier - 2"/>
    <s v="tier - 3"/>
    <s v="R1016"/>
    <n v="18"/>
  </r>
  <r>
    <s v="Id371"/>
    <s v="Riegel, Ms.  Hadley T."/>
    <n v="16.86"/>
    <n v="4.07"/>
    <s v="yes"/>
    <s v="No"/>
    <x v="0"/>
    <n v="0"/>
    <x v="0"/>
    <x v="3"/>
    <s v="Normal"/>
    <n v="1996"/>
    <s v="Sep"/>
    <n v="19"/>
    <n v="2"/>
    <d v="1996-09-19T00:00:00"/>
    <n v="3484.33"/>
    <s v="tier - 3"/>
    <s v="tier - 3"/>
    <s v="R1011"/>
    <n v="26"/>
  </r>
  <r>
    <s v="Id372"/>
    <s v="Monson, Mr.  Taylor"/>
    <n v="16.3"/>
    <n v="5.51"/>
    <s v="No"/>
    <s v="No"/>
    <x v="0"/>
    <n v="1"/>
    <x v="0"/>
    <x v="3"/>
    <s v="Normal"/>
    <n v="1996"/>
    <s v="Sep"/>
    <n v="18"/>
    <n v="1"/>
    <d v="1996-09-18T00:00:00"/>
    <n v="3490.55"/>
    <s v="tier - 1"/>
    <s v="tier - 2"/>
    <s v="R1015"/>
    <n v="26"/>
  </r>
  <r>
    <s v="Id373"/>
    <s v="Klubben, Ms.  Tenielle M"/>
    <n v="29.81"/>
    <n v="11.66"/>
    <s v="No"/>
    <s v="No"/>
    <x v="0"/>
    <n v="0"/>
    <x v="0"/>
    <x v="1"/>
    <s v="Diabetes"/>
    <n v="1999"/>
    <s v="Sep"/>
    <n v="22"/>
    <n v="2"/>
    <d v="1999-09-22T00:00:00"/>
    <n v="3500.61"/>
    <s v="tier - 2"/>
    <s v="tier - 2"/>
    <s v="R1013"/>
    <n v="23"/>
  </r>
  <r>
    <s v="Id374"/>
    <s v="Mascaro, Ms.  Andrea"/>
    <n v="16.329999999999998"/>
    <n v="7.26"/>
    <s v="yes"/>
    <s v="No"/>
    <x v="0"/>
    <n v="0"/>
    <x v="0"/>
    <x v="3"/>
    <s v="Diabetes"/>
    <n v="1998"/>
    <s v="Sep"/>
    <n v="16"/>
    <n v="2"/>
    <d v="1998-09-16T00:00:00"/>
    <n v="3537.7"/>
    <s v="tier - 3"/>
    <s v="tier - 3"/>
    <s v="R1012"/>
    <n v="24"/>
  </r>
  <r>
    <s v="Id375"/>
    <s v="Norvell, Ms.  Nora P"/>
    <n v="16.37"/>
    <n v="4.79"/>
    <s v="yes"/>
    <s v="No"/>
    <x v="0"/>
    <n v="0"/>
    <x v="0"/>
    <x v="3"/>
    <s v="Normal"/>
    <n v="2003"/>
    <s v="Aug"/>
    <n v="24"/>
    <n v="0"/>
    <d v="2003-08-24T00:00:00"/>
    <n v="3538.9"/>
    <s v="tier - 2"/>
    <s v="tier - 2"/>
    <s v="R1012"/>
    <n v="19"/>
  </r>
  <r>
    <s v="Id376"/>
    <s v="Ornelas, Mr.  Zachary"/>
    <n v="22.42"/>
    <n v="4.68"/>
    <s v="yes"/>
    <s v="No"/>
    <x v="0"/>
    <n v="1"/>
    <x v="1"/>
    <x v="2"/>
    <s v="Normal"/>
    <n v="1988"/>
    <s v="Oct"/>
    <n v="15"/>
    <n v="3"/>
    <d v="1988-10-15T00:00:00"/>
    <n v="3540.12"/>
    <s v="tier - 2"/>
    <s v="tier - 1"/>
    <s v="R1013"/>
    <n v="34"/>
  </r>
  <r>
    <s v="Id377"/>
    <s v="Fitzpatrick, Mr.  Michael"/>
    <n v="31.35"/>
    <n v="4.33"/>
    <s v="yes"/>
    <s v="No"/>
    <x v="1"/>
    <n v="1"/>
    <x v="1"/>
    <x v="0"/>
    <s v="Normal"/>
    <n v="1992"/>
    <s v="Dec"/>
    <n v="22"/>
    <n v="0"/>
    <d v="1992-12-22T00:00:00"/>
    <n v="3554.2"/>
    <s v="tier - 2"/>
    <s v="tier - 3"/>
    <s v="R1011"/>
    <n v="30"/>
  </r>
  <r>
    <s v="Id378"/>
    <s v="Bloomquist, Ms.  Alyssa K."/>
    <n v="31.9"/>
    <n v="11.89"/>
    <s v="No"/>
    <s v="No"/>
    <x v="0"/>
    <n v="0"/>
    <x v="1"/>
    <x v="0"/>
    <s v="Diabetes"/>
    <n v="1994"/>
    <s v="Sep"/>
    <n v="24"/>
    <n v="0"/>
    <d v="1994-09-24T00:00:00"/>
    <n v="3556.92"/>
    <s v="tier - 2"/>
    <s v="tier - 3"/>
    <s v="R1012"/>
    <n v="28"/>
  </r>
  <r>
    <s v="Id379"/>
    <s v="Wick, Ms.  Heather"/>
    <n v="30.6"/>
    <n v="5.24"/>
    <s v="No"/>
    <s v="No"/>
    <x v="0"/>
    <n v="0"/>
    <x v="0"/>
    <x v="0"/>
    <s v="Normal"/>
    <n v="1995"/>
    <s v="Oct"/>
    <n v="9"/>
    <n v="0"/>
    <d v="1995-10-09T00:00:00"/>
    <n v="3558.62"/>
    <s v="tier - 2"/>
    <s v="tier - 3"/>
    <s v="R1024"/>
    <n v="27"/>
  </r>
  <r>
    <s v="Id380"/>
    <s v="Zappala, Mr.  Dante"/>
    <n v="28.975000000000001"/>
    <n v="7.63"/>
    <s v="No"/>
    <s v="No"/>
    <x v="0"/>
    <n v="0"/>
    <x v="0"/>
    <x v="1"/>
    <s v="Diabetes"/>
    <n v="1995"/>
    <s v="Jun"/>
    <n v="16"/>
    <n v="1"/>
    <d v="1995-06-16T00:00:00"/>
    <n v="3561.89"/>
    <s v="tier - 2"/>
    <s v="tier - 1"/>
    <s v="R1013"/>
    <n v="27"/>
  </r>
  <r>
    <s v="Id381"/>
    <s v="Earle, Ms.  Sara E."/>
    <n v="24.86"/>
    <n v="8.92"/>
    <s v="yes"/>
    <s v="No"/>
    <x v="0"/>
    <n v="2"/>
    <x v="1"/>
    <x v="2"/>
    <s v="Diabetes"/>
    <n v="1981"/>
    <s v="Oct"/>
    <n v="10"/>
    <n v="1"/>
    <d v="1981-10-10T00:00:00"/>
    <n v="3562.87"/>
    <s v="tier - 2"/>
    <s v="tier - 1"/>
    <s v="R1013"/>
    <n v="41"/>
  </r>
  <r>
    <s v="Id382"/>
    <s v="Majewski, Mr.  Scott"/>
    <n v="19.54"/>
    <n v="5.37"/>
    <s v="No"/>
    <s v="No"/>
    <x v="0"/>
    <n v="0"/>
    <x v="0"/>
    <x v="2"/>
    <s v="Normal"/>
    <n v="1988"/>
    <s v="Aug"/>
    <n v="18"/>
    <n v="3"/>
    <d v="1988-08-18T00:00:00"/>
    <n v="3569.96"/>
    <s v="tier - 2"/>
    <s v="tier - 1"/>
    <s v="R1012"/>
    <n v="34"/>
  </r>
  <r>
    <s v="Id383"/>
    <s v="Apfelbaum, Mr.  Sean"/>
    <n v="26.74"/>
    <n v="4.3099999999999996"/>
    <s v="No"/>
    <s v="No"/>
    <x v="0"/>
    <n v="0"/>
    <x v="0"/>
    <x v="1"/>
    <s v="Normal"/>
    <n v="1995"/>
    <s v="Aug"/>
    <n v="23"/>
    <n v="1"/>
    <d v="1995-08-23T00:00:00"/>
    <n v="3578"/>
    <s v="tier - 2"/>
    <s v="tier - 3"/>
    <s v="R1011"/>
    <n v="27"/>
  </r>
  <r>
    <s v="Id384"/>
    <s v="Graham, Ms.  Danielle"/>
    <n v="22.99"/>
    <n v="10.46"/>
    <s v="No"/>
    <s v="No"/>
    <x v="0"/>
    <n v="3"/>
    <x v="0"/>
    <x v="2"/>
    <s v="Diabetes"/>
    <n v="2001"/>
    <s v="Nov"/>
    <n v="11"/>
    <n v="2"/>
    <d v="2001-11-11T00:00:00"/>
    <n v="3579.83"/>
    <s v="tier - 2"/>
    <s v="tier - 2"/>
    <s v="R1012"/>
    <n v="21"/>
  </r>
  <r>
    <s v="Id385"/>
    <s v="Whitacre, Mr.  Andrew D."/>
    <n v="31.46"/>
    <n v="7.39"/>
    <s v="No"/>
    <s v="No"/>
    <x v="0"/>
    <n v="0"/>
    <x v="1"/>
    <x v="0"/>
    <s v="Diabetes"/>
    <n v="1986"/>
    <s v="Dec"/>
    <n v="27"/>
    <n v="3"/>
    <d v="1986-12-27T00:00:00"/>
    <n v="3589.14"/>
    <s v="tier - 2"/>
    <s v="tier - 2"/>
    <s v="R1013"/>
    <n v="36"/>
  </r>
  <r>
    <s v="Id386"/>
    <s v="Wegener, Mr.  Joel D"/>
    <n v="30.86"/>
    <n v="6.18"/>
    <s v="No"/>
    <s v="yes"/>
    <x v="0"/>
    <n v="2"/>
    <x v="0"/>
    <x v="0"/>
    <s v="Prediabetes"/>
    <n v="1999"/>
    <s v="Jun"/>
    <n v="6"/>
    <n v="3"/>
    <d v="1999-06-06T00:00:00"/>
    <n v="3591.48"/>
    <s v="tier - 2"/>
    <s v="tier - 3"/>
    <s v="R1011"/>
    <n v="24"/>
  </r>
  <r>
    <s v="Id387"/>
    <s v="Collie, Ms.  Michelle"/>
    <n v="31.96"/>
    <n v="8.86"/>
    <s v="No"/>
    <s v="No"/>
    <x v="0"/>
    <n v="0"/>
    <x v="0"/>
    <x v="0"/>
    <s v="Diabetes"/>
    <n v="1997"/>
    <s v="Nov"/>
    <n v="4"/>
    <n v="1"/>
    <d v="1997-11-04T00:00:00"/>
    <n v="3594.17"/>
    <s v="tier - 2"/>
    <s v="tier - 2"/>
    <s v="R1012"/>
    <n v="25"/>
  </r>
  <r>
    <s v="Id388"/>
    <s v="Murphy, Mr.  Michael J."/>
    <n v="23.76"/>
    <n v="10.96"/>
    <s v="No"/>
    <s v="No"/>
    <x v="0"/>
    <n v="3"/>
    <x v="0"/>
    <x v="2"/>
    <s v="Diabetes"/>
    <n v="1999"/>
    <s v="Aug"/>
    <n v="12"/>
    <n v="3"/>
    <d v="1999-08-12T00:00:00"/>
    <n v="3597.6"/>
    <s v="tier - 2"/>
    <s v="tier - 2"/>
    <s v="R1011"/>
    <n v="23"/>
  </r>
  <r>
    <s v="Id389"/>
    <s v="Butters, Ms.  Nikki"/>
    <n v="19.38"/>
    <n v="6.28"/>
    <s v="No"/>
    <s v="No"/>
    <x v="0"/>
    <n v="0"/>
    <x v="0"/>
    <x v="2"/>
    <s v="Prediabetes"/>
    <n v="1988"/>
    <s v="Nov"/>
    <n v="4"/>
    <n v="3"/>
    <d v="1988-11-04T00:00:00"/>
    <n v="3603.6"/>
    <s v="tier - 2"/>
    <s v="tier - 1"/>
    <s v="R1013"/>
    <n v="34"/>
  </r>
  <r>
    <s v="Id390"/>
    <s v="Cook, Ms.  Summer B."/>
    <n v="16.21"/>
    <n v="6.29"/>
    <s v="yes"/>
    <s v="No"/>
    <x v="0"/>
    <n v="1"/>
    <x v="0"/>
    <x v="3"/>
    <s v="Prediabetes"/>
    <n v="1990"/>
    <s v="Oct"/>
    <n v="11"/>
    <n v="3"/>
    <d v="1990-10-11T00:00:00"/>
    <n v="3606.43"/>
    <s v="tier - 2"/>
    <s v="tier - 1"/>
    <s v="R1013"/>
    <n v="32"/>
  </r>
  <r>
    <s v="Id391"/>
    <s v="Breen, Mr.  Edward"/>
    <n v="32.54"/>
    <n v="4.0199999999999996"/>
    <s v="No"/>
    <s v="yes"/>
    <x v="0"/>
    <n v="1"/>
    <x v="0"/>
    <x v="0"/>
    <s v="Normal"/>
    <n v="1985"/>
    <s v="Jun"/>
    <n v="14"/>
    <n v="3"/>
    <d v="1985-06-14T00:00:00"/>
    <n v="3622.13"/>
    <s v="tier - 2"/>
    <s v="tier - 1"/>
    <s v="R1013"/>
    <n v="37"/>
  </r>
  <r>
    <s v="Id392"/>
    <s v="Fitzsimons, Mr.  Ryan"/>
    <n v="36.765000000000001"/>
    <n v="11.95"/>
    <s v="yes"/>
    <s v="No"/>
    <x v="0"/>
    <n v="2"/>
    <x v="1"/>
    <x v="0"/>
    <s v="Diabetes"/>
    <n v="1992"/>
    <s v="Nov"/>
    <n v="17"/>
    <n v="0"/>
    <d v="1992-11-17T00:00:00"/>
    <n v="3645.09"/>
    <s v="tier - 1"/>
    <s v="tier - 2"/>
    <s v="R1014"/>
    <n v="30"/>
  </r>
  <r>
    <s v="Id393"/>
    <s v="Houle, Ms.  Kacee"/>
    <n v="35.909999999999997"/>
    <n v="8.7100000000000009"/>
    <s v="No"/>
    <s v="No"/>
    <x v="0"/>
    <n v="0"/>
    <x v="1"/>
    <x v="0"/>
    <s v="Diabetes"/>
    <n v="1990"/>
    <s v="Nov"/>
    <n v="8"/>
    <n v="3"/>
    <d v="1990-11-08T00:00:00"/>
    <n v="3653.29"/>
    <s v="tier - 2"/>
    <s v="tier - 3"/>
    <s v="R1011"/>
    <n v="32"/>
  </r>
  <r>
    <s v="Id394"/>
    <s v="Woodward, Mr.  Dave"/>
    <n v="32.06"/>
    <n v="4.67"/>
    <s v="No"/>
    <s v="yes"/>
    <x v="0"/>
    <n v="1"/>
    <x v="0"/>
    <x v="0"/>
    <s v="Normal"/>
    <n v="1992"/>
    <s v="Sep"/>
    <n v="14"/>
    <n v="1"/>
    <d v="1992-09-14T00:00:00"/>
    <n v="3659.35"/>
    <s v="tier - 3"/>
    <s v="tier - 1"/>
    <s v="R1011"/>
    <n v="30"/>
  </r>
  <r>
    <s v="Id395"/>
    <s v="Ray, Ms.  Maryanna"/>
    <n v="24.1"/>
    <n v="11.14"/>
    <s v="yes"/>
    <s v="No"/>
    <x v="0"/>
    <n v="1"/>
    <x v="1"/>
    <x v="2"/>
    <s v="Diabetes"/>
    <n v="1984"/>
    <s v="Jul"/>
    <n v="6"/>
    <n v="3"/>
    <d v="1984-07-06T00:00:00"/>
    <n v="3678.86"/>
    <s v="tier - 2"/>
    <s v="tier - 3"/>
    <s v="R1013"/>
    <n v="38"/>
  </r>
  <r>
    <s v="Id396"/>
    <s v="Jennings, Ms.  Jessica H."/>
    <n v="27.1"/>
    <n v="9.0500000000000007"/>
    <s v="No"/>
    <s v="No"/>
    <x v="0"/>
    <n v="2"/>
    <x v="1"/>
    <x v="1"/>
    <s v="Diabetes"/>
    <n v="2003"/>
    <s v="Jul"/>
    <n v="10"/>
    <n v="0"/>
    <d v="2003-07-10T00:00:00"/>
    <n v="3688.35"/>
    <s v="tier - 2"/>
    <s v="tier - 2"/>
    <s v="R1021"/>
    <n v="19"/>
  </r>
  <r>
    <s v="Id397"/>
    <s v="Fuller, Ms.  Deanna"/>
    <n v="24.42"/>
    <n v="11.31"/>
    <s v="No"/>
    <s v="No"/>
    <x v="0"/>
    <n v="0"/>
    <x v="0"/>
    <x v="2"/>
    <s v="Diabetes"/>
    <n v="1981"/>
    <s v="Dec"/>
    <n v="14"/>
    <n v="1"/>
    <d v="1981-12-14T00:00:00"/>
    <n v="3688.38"/>
    <s v="tier - 2"/>
    <s v="tier - 2"/>
    <s v="R1013"/>
    <n v="41"/>
  </r>
  <r>
    <s v="Id398"/>
    <s v="Lovisek, Mr.  Peter"/>
    <n v="26.695"/>
    <n v="4.68"/>
    <s v="yes"/>
    <s v="No"/>
    <x v="0"/>
    <n v="2"/>
    <x v="0"/>
    <x v="1"/>
    <s v="Normal"/>
    <n v="1995"/>
    <s v="Oct"/>
    <n v="21"/>
    <n v="2"/>
    <d v="1995-10-21T00:00:00"/>
    <n v="3693.43"/>
    <s v="tier - 2"/>
    <s v="tier - 3"/>
    <s v="R1011"/>
    <n v="27"/>
  </r>
  <r>
    <s v="Id399"/>
    <s v="Painter, Ms.  Rebecca"/>
    <n v="27.79"/>
    <n v="6.05"/>
    <s v="yes"/>
    <s v="yes"/>
    <x v="0"/>
    <n v="1"/>
    <x v="0"/>
    <x v="1"/>
    <s v="Prediabetes"/>
    <n v="1988"/>
    <s v="Aug"/>
    <n v="18"/>
    <n v="3"/>
    <d v="1988-08-18T00:00:00"/>
    <n v="3699.54"/>
    <s v="tier - 2"/>
    <s v="tier - 3"/>
    <s v="R1013"/>
    <n v="34"/>
  </r>
  <r>
    <s v="Id400"/>
    <s v="Edwards, Ms.  Elizabeth M."/>
    <n v="32.68"/>
    <n v="4.68"/>
    <s v="yes"/>
    <s v="No"/>
    <x v="0"/>
    <n v="0"/>
    <x v="1"/>
    <x v="0"/>
    <s v="Normal"/>
    <n v="1989"/>
    <s v="Dec"/>
    <n v="2"/>
    <n v="0"/>
    <d v="1989-12-02T00:00:00"/>
    <n v="3704.35"/>
    <s v="tier - 2"/>
    <s v="tier - 2"/>
    <s v="R1013"/>
    <n v="33"/>
  </r>
  <r>
    <s v="Id401"/>
    <s v="Liebl, Mr.  Gregory"/>
    <n v="26.4"/>
    <n v="9.5"/>
    <s v="yes"/>
    <s v="No"/>
    <x v="0"/>
    <n v="2"/>
    <x v="1"/>
    <x v="1"/>
    <s v="Diabetes"/>
    <n v="2004"/>
    <s v="Nov"/>
    <n v="5"/>
    <n v="0"/>
    <d v="2004-11-05T00:00:00"/>
    <n v="3722.23"/>
    <s v="tier - 2"/>
    <s v="tier - 2"/>
    <s v="R1025"/>
    <n v="18"/>
  </r>
  <r>
    <s v="Id402"/>
    <s v="Kasabian-Larson, Ms.  Sarah E."/>
    <n v="23.655000000000001"/>
    <n v="10.84"/>
    <s v="yes"/>
    <s v="No"/>
    <x v="1"/>
    <n v="1"/>
    <x v="0"/>
    <x v="2"/>
    <s v="Diabetes"/>
    <n v="1986"/>
    <s v="Dec"/>
    <n v="1"/>
    <n v="3"/>
    <d v="1986-12-01T00:00:00"/>
    <n v="3731.6"/>
    <s v="tier - 2"/>
    <s v="tier - 2"/>
    <s v="R1013"/>
    <n v="36"/>
  </r>
  <r>
    <s v="Id403"/>
    <s v="Creamer, Ms.  Anne Elise"/>
    <n v="27.36"/>
    <n v="5.88"/>
    <s v="No"/>
    <s v="No"/>
    <x v="0"/>
    <n v="2"/>
    <x v="1"/>
    <x v="1"/>
    <s v="Prediabetes"/>
    <n v="1994"/>
    <s v="Aug"/>
    <n v="22"/>
    <n v="0"/>
    <d v="1994-08-22T00:00:00"/>
    <n v="3732.63"/>
    <s v="tier - 2"/>
    <s v="tier - 3"/>
    <s v="R1024"/>
    <n v="28"/>
  </r>
  <r>
    <s v="Id404"/>
    <s v="Kimbel, Mr.  Christopher R"/>
    <n v="27.82"/>
    <n v="5.24"/>
    <s v="yes"/>
    <s v="No"/>
    <x v="0"/>
    <n v="0"/>
    <x v="0"/>
    <x v="1"/>
    <s v="Normal"/>
    <n v="1993"/>
    <s v="Jun"/>
    <n v="22"/>
    <n v="0"/>
    <d v="1993-06-22T00:00:00"/>
    <n v="3736.46"/>
    <s v="tier - 2"/>
    <s v="tier - 2"/>
    <s v="R1012"/>
    <n v="29"/>
  </r>
  <r>
    <s v="Id405"/>
    <s v="Livensparger, Mr.  Elliot"/>
    <n v="25.46"/>
    <n v="11.75"/>
    <s v="No"/>
    <s v="No"/>
    <x v="0"/>
    <n v="0"/>
    <x v="1"/>
    <x v="1"/>
    <s v="Diabetes"/>
    <n v="1986"/>
    <s v="Sep"/>
    <n v="9"/>
    <n v="3"/>
    <d v="1986-09-09T00:00:00"/>
    <n v="3748.56"/>
    <s v="tier - 2"/>
    <s v="tier - 2"/>
    <s v="R1013"/>
    <n v="36"/>
  </r>
  <r>
    <s v="Id406"/>
    <s v="Grange, Mr.  Christopher D."/>
    <n v="25.1"/>
    <n v="6.97"/>
    <s v="No"/>
    <s v="No"/>
    <x v="0"/>
    <n v="0"/>
    <x v="0"/>
    <x v="1"/>
    <s v="Diabetes"/>
    <n v="1991"/>
    <s v="Oct"/>
    <n v="28"/>
    <n v="0"/>
    <d v="1991-10-28T00:00:00"/>
    <n v="3756.62"/>
    <s v="tier - 2"/>
    <s v="tier - 2"/>
    <s v="R1013"/>
    <n v="31"/>
  </r>
  <r>
    <s v="Id407"/>
    <s v="Nunlist, Mr.  Corey"/>
    <n v="32.11"/>
    <n v="4.76"/>
    <s v="No"/>
    <s v="No"/>
    <x v="0"/>
    <n v="2"/>
    <x v="1"/>
    <x v="0"/>
    <s v="Normal"/>
    <n v="1991"/>
    <s v="Aug"/>
    <n v="25"/>
    <n v="0"/>
    <d v="1991-08-25T00:00:00"/>
    <n v="3757.84"/>
    <s v="tier - 2"/>
    <s v="tier - 1"/>
    <s v="R1013"/>
    <n v="31"/>
  </r>
  <r>
    <s v="Id408"/>
    <s v="Cutter, Mr.  Patrick D."/>
    <n v="29.8"/>
    <n v="8.24"/>
    <s v="yes"/>
    <s v="No"/>
    <x v="0"/>
    <n v="1"/>
    <x v="0"/>
    <x v="1"/>
    <s v="Diabetes"/>
    <n v="1991"/>
    <s v="Oct"/>
    <n v="24"/>
    <n v="0"/>
    <d v="1991-10-24T00:00:00"/>
    <n v="3761.29"/>
    <s v="tier - 2"/>
    <s v="tier - 3"/>
    <s v="R1011"/>
    <n v="31"/>
  </r>
  <r>
    <s v="Id409"/>
    <s v="Martin, Mr.  Anthony D."/>
    <n v="24.01"/>
    <n v="4.76"/>
    <s v="No"/>
    <s v="No"/>
    <x v="0"/>
    <n v="1"/>
    <x v="0"/>
    <x v="2"/>
    <s v="Normal"/>
    <n v="1994"/>
    <s v="Nov"/>
    <n v="21"/>
    <n v="1"/>
    <d v="1994-11-21T00:00:00"/>
    <n v="3766.88"/>
    <s v="tier - 2"/>
    <s v="tier - 1"/>
    <s v="R1013"/>
    <n v="28"/>
  </r>
  <r>
    <s v="Id410"/>
    <s v="Cooney, Ms.  Melissa"/>
    <n v="23.21"/>
    <n v="6.03"/>
    <s v="No"/>
    <s v="No"/>
    <x v="0"/>
    <n v="1"/>
    <x v="1"/>
    <x v="2"/>
    <s v="Prediabetes"/>
    <n v="1987"/>
    <s v="Oct"/>
    <n v="24"/>
    <n v="3"/>
    <d v="1987-10-24T00:00:00"/>
    <n v="3773.23"/>
    <s v="tier - 2"/>
    <s v="tier - 3"/>
    <s v="R1013"/>
    <n v="35"/>
  </r>
  <r>
    <s v="Id411"/>
    <s v="Bier, Ms.  Raven"/>
    <n v="21.2"/>
    <n v="4.07"/>
    <s v="yes"/>
    <s v="No"/>
    <x v="0"/>
    <n v="1"/>
    <x v="0"/>
    <x v="2"/>
    <s v="Normal"/>
    <n v="1981"/>
    <s v="Dec"/>
    <n v="13"/>
    <n v="1"/>
    <d v="1981-12-13T00:00:00"/>
    <n v="3785.77"/>
    <s v="tier - 2"/>
    <s v="tier - 1"/>
    <s v="R1013"/>
    <n v="41"/>
  </r>
  <r>
    <s v="Id412"/>
    <s v="Muskopf, Mr.  Christopher"/>
    <n v="28.215"/>
    <n v="8.26"/>
    <s v="yes"/>
    <s v="No"/>
    <x v="0"/>
    <n v="1"/>
    <x v="0"/>
    <x v="1"/>
    <s v="Diabetes"/>
    <n v="1988"/>
    <s v="Aug"/>
    <n v="28"/>
    <n v="3"/>
    <d v="1988-08-28T00:00:00"/>
    <n v="3793.55"/>
    <s v="tier - 2"/>
    <s v="tier - 3"/>
    <s v="R1013"/>
    <n v="34"/>
  </r>
  <r>
    <s v="Id413"/>
    <s v="Sirak, Ms.  Kendra A"/>
    <n v="38.094999999999999"/>
    <n v="4.76"/>
    <s v="No"/>
    <s v="No"/>
    <x v="0"/>
    <n v="1"/>
    <x v="1"/>
    <x v="0"/>
    <s v="Normal"/>
    <n v="1999"/>
    <s v="Jun"/>
    <n v="24"/>
    <n v="0"/>
    <d v="1999-06-24T00:00:00"/>
    <n v="3796.36"/>
    <s v="tier - 2"/>
    <s v="tier - 3"/>
    <s v="R1012"/>
    <n v="23"/>
  </r>
  <r>
    <s v="Id414"/>
    <s v="Nelsen, Ms.  Jordan"/>
    <n v="22.61"/>
    <n v="6.13"/>
    <s v="yes"/>
    <s v="No"/>
    <x v="1"/>
    <n v="1"/>
    <x v="0"/>
    <x v="2"/>
    <s v="Prediabetes"/>
    <n v="1981"/>
    <s v="Sep"/>
    <n v="29"/>
    <n v="1"/>
    <d v="1981-09-29T00:00:00"/>
    <n v="3797.2"/>
    <s v="tier - 2"/>
    <s v="tier - 3"/>
    <s v="R1012"/>
    <n v="41"/>
  </r>
  <r>
    <s v="Id415"/>
    <s v="Schallner, Mr.  Nils"/>
    <n v="24.32"/>
    <n v="10.47"/>
    <s v="yes"/>
    <s v="No"/>
    <x v="0"/>
    <n v="2"/>
    <x v="0"/>
    <x v="2"/>
    <s v="Diabetes"/>
    <n v="1994"/>
    <s v="Aug"/>
    <n v="12"/>
    <n v="2"/>
    <d v="1994-08-12T00:00:00"/>
    <n v="3847.67"/>
    <s v="tier - 3"/>
    <s v="tier - 2"/>
    <s v="R1011"/>
    <n v="28"/>
  </r>
  <r>
    <s v="Id416"/>
    <s v="Dunlap, Mr.  Scott"/>
    <n v="20.96"/>
    <n v="4.04"/>
    <s v="yes"/>
    <s v="No"/>
    <x v="0"/>
    <n v="1"/>
    <x v="0"/>
    <x v="2"/>
    <s v="Normal"/>
    <n v="1991"/>
    <s v="Aug"/>
    <n v="19"/>
    <n v="0"/>
    <d v="1991-08-19T00:00:00"/>
    <n v="3857.76"/>
    <s v="tier - 3"/>
    <s v="tier - 1"/>
    <s v="R1016"/>
    <n v="31"/>
  </r>
  <r>
    <s v="Id417"/>
    <s v="Messing, Ms.  Angela"/>
    <n v="19.68"/>
    <n v="5.74"/>
    <s v="No"/>
    <s v="No"/>
    <x v="0"/>
    <n v="0"/>
    <x v="0"/>
    <x v="2"/>
    <s v="Prediabetes"/>
    <n v="2001"/>
    <s v="Jun"/>
    <n v="6"/>
    <n v="0"/>
    <d v="2001-06-06T00:00:00"/>
    <n v="3858.51"/>
    <s v="tier - 2"/>
    <s v="tier - 3"/>
    <s v="R1025"/>
    <n v="22"/>
  </r>
  <r>
    <s v="Id418"/>
    <s v="Bondell, Ms.  Allison"/>
    <n v="18.100000000000001"/>
    <n v="6.33"/>
    <s v="No"/>
    <s v="No"/>
    <x v="0"/>
    <n v="1"/>
    <x v="0"/>
    <x v="3"/>
    <s v="Prediabetes"/>
    <n v="2001"/>
    <s v="Oct"/>
    <n v="18"/>
    <n v="3"/>
    <d v="2001-10-18T00:00:00"/>
    <n v="3861.21"/>
    <s v="tier - 2"/>
    <s v="tier - 2"/>
    <s v="R1016"/>
    <n v="21"/>
  </r>
  <r>
    <s v="Id419"/>
    <s v="Gaughan, Ms.  Caitlin O."/>
    <n v="29.64"/>
    <n v="4.28"/>
    <s v="yes"/>
    <s v="No"/>
    <x v="0"/>
    <n v="0"/>
    <x v="1"/>
    <x v="1"/>
    <s v="Normal"/>
    <n v="1990"/>
    <s v="Jun"/>
    <n v="24"/>
    <n v="0"/>
    <d v="1990-06-24T00:00:00"/>
    <n v="3866.86"/>
    <s v="tier - 1"/>
    <s v="tier - 1"/>
    <s v="R1012"/>
    <n v="32"/>
  </r>
  <r>
    <s v="Id420"/>
    <s v="Gruman, Ms.  Tracy M"/>
    <n v="25.3"/>
    <n v="9.4700000000000006"/>
    <s v="yes"/>
    <s v="No"/>
    <x v="0"/>
    <n v="2"/>
    <x v="0"/>
    <x v="1"/>
    <s v="Diabetes"/>
    <n v="1991"/>
    <s v="Jul"/>
    <n v="25"/>
    <n v="1"/>
    <d v="1991-07-25T00:00:00"/>
    <n v="3875.73"/>
    <s v="tier - 2"/>
    <s v="tier - 3"/>
    <s v="R1013"/>
    <n v="31"/>
  </r>
  <r>
    <s v="Id421"/>
    <s v="Whitlow, Mr.  Dustin M."/>
    <n v="27.6"/>
    <n v="4.8499999999999996"/>
    <s v="yes"/>
    <s v="No"/>
    <x v="0"/>
    <n v="0"/>
    <x v="1"/>
    <x v="1"/>
    <s v="Normal"/>
    <n v="1996"/>
    <s v="Oct"/>
    <n v="23"/>
    <n v="2"/>
    <d v="1996-10-23T00:00:00"/>
    <n v="3877.3"/>
    <s v="tier - 1"/>
    <s v="tier - 3"/>
    <s v="R1012"/>
    <n v="26"/>
  </r>
  <r>
    <s v="Id422"/>
    <s v="Robinson, Ms.  Jenny"/>
    <n v="27.645"/>
    <n v="11.03"/>
    <s v="yes"/>
    <s v="No"/>
    <x v="0"/>
    <n v="1"/>
    <x v="0"/>
    <x v="1"/>
    <s v="Diabetes"/>
    <n v="2004"/>
    <s v="Jul"/>
    <n v="13"/>
    <n v="0"/>
    <d v="2004-07-13T00:00:00"/>
    <n v="3889.2"/>
    <s v="tier - 2"/>
    <s v="tier - 2"/>
    <s v="R1012"/>
    <n v="18"/>
  </r>
  <r>
    <s v="Id423"/>
    <s v="Sabo, Ms.  Emily"/>
    <n v="27.6"/>
    <n v="5.22"/>
    <s v="No"/>
    <s v="No"/>
    <x v="0"/>
    <n v="2"/>
    <x v="0"/>
    <x v="1"/>
    <s v="Normal"/>
    <n v="1993"/>
    <s v="Sep"/>
    <n v="14"/>
    <n v="0"/>
    <d v="1993-09-14T00:00:00"/>
    <n v="3898.35"/>
    <s v="tier - 2"/>
    <s v="tier - 2"/>
    <s v="R1012"/>
    <n v="29"/>
  </r>
  <r>
    <s v="Id424"/>
    <s v="Nazarian, Ms.  Fabienne"/>
    <n v="25.08"/>
    <n v="9.52"/>
    <s v="yes"/>
    <s v="No"/>
    <x v="0"/>
    <n v="2"/>
    <x v="1"/>
    <x v="1"/>
    <s v="Diabetes"/>
    <n v="1981"/>
    <s v="Aug"/>
    <n v="27"/>
    <n v="1"/>
    <d v="1981-08-27T00:00:00"/>
    <n v="3902.07"/>
    <s v="tier - 2"/>
    <s v="tier - 2"/>
    <s v="R1013"/>
    <n v="41"/>
  </r>
  <r>
    <s v="Id425"/>
    <s v="Lerma, Mr.  Jordan"/>
    <n v="30.02"/>
    <n v="11.09"/>
    <s v="No"/>
    <s v="No"/>
    <x v="0"/>
    <n v="0"/>
    <x v="1"/>
    <x v="0"/>
    <s v="Diabetes"/>
    <n v="1997"/>
    <s v="Nov"/>
    <n v="24"/>
    <n v="3"/>
    <d v="1997-11-24T00:00:00"/>
    <n v="3906.13"/>
    <s v="tier - 3"/>
    <s v="tier - 3"/>
    <s v="R1011"/>
    <n v="25"/>
  </r>
  <r>
    <s v="Id426"/>
    <s v="Dahl, Mr.  Matt"/>
    <n v="27.36"/>
    <n v="9.4499999999999993"/>
    <s v="yes"/>
    <s v="No"/>
    <x v="0"/>
    <n v="2"/>
    <x v="0"/>
    <x v="1"/>
    <s v="Diabetes"/>
    <n v="1985"/>
    <s v="Jul"/>
    <n v="5"/>
    <n v="3"/>
    <d v="1985-07-05T00:00:00"/>
    <n v="3910.44"/>
    <s v="tier - 2"/>
    <s v="tier - 2"/>
    <s v="R1013"/>
    <n v="37"/>
  </r>
  <r>
    <s v="Id427"/>
    <s v="Surtees, Ms.  Taryn L"/>
    <n v="22.2"/>
    <n v="5.51"/>
    <s v="No"/>
    <s v="No"/>
    <x v="0"/>
    <n v="0"/>
    <x v="0"/>
    <x v="2"/>
    <s v="Normal"/>
    <n v="2000"/>
    <s v="Jul"/>
    <n v="10"/>
    <n v="2"/>
    <d v="2000-07-10T00:00:00"/>
    <n v="3925.76"/>
    <s v="tier - 2"/>
    <s v="tier - 2"/>
    <s v="R1024"/>
    <n v="22"/>
  </r>
  <r>
    <s v="Id428"/>
    <s v="Spetner, Ms.  Temima"/>
    <n v="25.71"/>
    <n v="4.18"/>
    <s v="No"/>
    <s v="yes"/>
    <x v="0"/>
    <n v="1"/>
    <x v="0"/>
    <x v="1"/>
    <s v="Normal"/>
    <n v="2002"/>
    <s v="Jun"/>
    <n v="15"/>
    <n v="0"/>
    <d v="2002-06-15T00:00:00"/>
    <n v="3931.51"/>
    <s v="tier - 2"/>
    <s v="tier - 3"/>
    <s v="R1011"/>
    <n v="20"/>
  </r>
  <r>
    <s v="Id429"/>
    <s v="Brandon, Ms.  Jennifer"/>
    <n v="41.91"/>
    <n v="5.98"/>
    <s v="yes"/>
    <s v="No"/>
    <x v="0"/>
    <n v="1"/>
    <x v="1"/>
    <x v="0"/>
    <s v="Prediabetes"/>
    <n v="1988"/>
    <s v="Oct"/>
    <n v="24"/>
    <n v="0"/>
    <d v="1988-10-24T00:00:00"/>
    <n v="3935.18"/>
    <s v="tier - 3"/>
    <s v="tier - 1"/>
    <s v="R1013"/>
    <n v="34"/>
  </r>
  <r>
    <s v="Id430"/>
    <s v="Eley, Ms.  Serena M."/>
    <n v="25.85"/>
    <n v="10.16"/>
    <s v="No"/>
    <s v="No"/>
    <x v="0"/>
    <n v="0"/>
    <x v="0"/>
    <x v="1"/>
    <s v="Diabetes"/>
    <n v="1993"/>
    <s v="Sep"/>
    <n v="29"/>
    <n v="0"/>
    <d v="1993-09-29T00:00:00"/>
    <n v="3943.6"/>
    <s v="tier - 2"/>
    <s v="tier - 3"/>
    <s v="R1024"/>
    <n v="29"/>
  </r>
  <r>
    <s v="Id431"/>
    <s v="Sedicum, Ms.  Victoria M."/>
    <n v="23.844999999999999"/>
    <n v="11.71"/>
    <s v="No"/>
    <s v="No"/>
    <x v="0"/>
    <n v="2"/>
    <x v="0"/>
    <x v="2"/>
    <s v="Diabetes"/>
    <n v="1993"/>
    <s v="Nov"/>
    <n v="11"/>
    <n v="1"/>
    <d v="1993-11-11T00:00:00"/>
    <n v="3947.41"/>
    <s v="tier - 2"/>
    <s v="tier - 2"/>
    <s v="R1013"/>
    <n v="29"/>
  </r>
  <r>
    <s v="Id432"/>
    <s v="Markle, Ms.  Phoebe"/>
    <n v="30.59"/>
    <n v="5.23"/>
    <s v="No"/>
    <s v="No"/>
    <x v="1"/>
    <n v="1"/>
    <x v="1"/>
    <x v="0"/>
    <s v="Normal"/>
    <n v="1999"/>
    <s v="Jul"/>
    <n v="10"/>
    <n v="0"/>
    <d v="1999-07-10T00:00:00"/>
    <n v="3955.98"/>
    <s v="tier - 2"/>
    <s v="tier - 3"/>
    <s v="R1021"/>
    <n v="23"/>
  </r>
  <r>
    <s v="Id433"/>
    <s v="Kunz, Mr.  Corey"/>
    <n v="24.795000000000002"/>
    <n v="6.85"/>
    <s v="No"/>
    <s v="No"/>
    <x v="0"/>
    <n v="0"/>
    <x v="0"/>
    <x v="2"/>
    <s v="Diabetes"/>
    <n v="1995"/>
    <s v="Jul"/>
    <n v="11"/>
    <n v="1"/>
    <d v="1995-07-11T00:00:00"/>
    <n v="3956.07"/>
    <s v="tier - 2"/>
    <s v="tier - 2"/>
    <s v="R1012"/>
    <n v="27"/>
  </r>
  <r>
    <s v="Id434"/>
    <s v="Wimert, Ms.  Rebecca"/>
    <n v="24.13"/>
    <n v="7.05"/>
    <s v="yes"/>
    <s v="No"/>
    <x v="0"/>
    <n v="2"/>
    <x v="0"/>
    <x v="2"/>
    <s v="Diabetes"/>
    <n v="1990"/>
    <s v="Jul"/>
    <n v="29"/>
    <n v="0"/>
    <d v="1990-07-29T00:00:00"/>
    <n v="3972.92"/>
    <s v="tier - 2"/>
    <s v="tier - 3"/>
    <s v="R1013"/>
    <n v="32"/>
  </r>
  <r>
    <s v="Id435"/>
    <s v="Peterson, Mr.  Nicholas D"/>
    <n v="25.84"/>
    <n v="11.64"/>
    <s v="No"/>
    <s v="No"/>
    <x v="0"/>
    <n v="2"/>
    <x v="0"/>
    <x v="1"/>
    <s v="Diabetes"/>
    <n v="1996"/>
    <s v="Aug"/>
    <n v="17"/>
    <n v="2"/>
    <d v="1996-08-17T00:00:00"/>
    <n v="3981.98"/>
    <s v="tier - 2"/>
    <s v="tier - 2"/>
    <s v="R1013"/>
    <n v="26"/>
  </r>
  <r>
    <s v="Id436"/>
    <s v="Mercier, Mr.  Christian"/>
    <n v="28"/>
    <n v="10.52"/>
    <s v="No"/>
    <s v="No"/>
    <x v="0"/>
    <n v="0"/>
    <x v="0"/>
    <x v="1"/>
    <s v="Diabetes"/>
    <n v="1996"/>
    <s v="Sep"/>
    <n v="8"/>
    <n v="2"/>
    <d v="1996-09-08T00:00:00"/>
    <n v="3987.93"/>
    <s v="tier - 2"/>
    <s v="tier - 2"/>
    <s v="R1011"/>
    <n v="26"/>
  </r>
  <r>
    <s v="Id437"/>
    <s v="Laurie, Mr.  Jonathon S."/>
    <n v="34.1"/>
    <n v="4.01"/>
    <s v="yes"/>
    <s v="No"/>
    <x v="1"/>
    <n v="1"/>
    <x v="1"/>
    <x v="0"/>
    <s v="Normal"/>
    <n v="1990"/>
    <s v="Nov"/>
    <n v="22"/>
    <n v="0"/>
    <d v="1990-11-22T00:00:00"/>
    <n v="3989.84"/>
    <s v="tier - 2"/>
    <s v="tier - 2"/>
    <s v="R1011"/>
    <n v="32"/>
  </r>
  <r>
    <s v="Id438"/>
    <s v="Sekaquaptewa, Ms.  Caroline"/>
    <n v="26.125"/>
    <n v="8.56"/>
    <s v="yes"/>
    <s v="No"/>
    <x v="0"/>
    <n v="1"/>
    <x v="0"/>
    <x v="1"/>
    <s v="Diabetes"/>
    <n v="1990"/>
    <s v="Nov"/>
    <n v="1"/>
    <n v="0"/>
    <d v="1990-11-01T00:00:00"/>
    <n v="3994.18"/>
    <s v="tier - 2"/>
    <s v="tier - 2"/>
    <s v="R1013"/>
    <n v="32"/>
  </r>
  <r>
    <s v="Id439"/>
    <s v="Frash, Mr.  Joshua D."/>
    <n v="25.6"/>
    <n v="10.5"/>
    <s v="No"/>
    <s v="No"/>
    <x v="0"/>
    <n v="2"/>
    <x v="0"/>
    <x v="1"/>
    <s v="Diabetes"/>
    <n v="1989"/>
    <s v="Jul"/>
    <n v="10"/>
    <n v="3"/>
    <d v="1989-07-10T00:00:00"/>
    <n v="4002.36"/>
    <s v="tier - 2"/>
    <s v="tier - 1"/>
    <s v="R1013"/>
    <n v="33"/>
  </r>
  <r>
    <s v="Id440"/>
    <s v="Bukowski, Ms.  Nichole"/>
    <n v="24.32"/>
    <n v="6.39"/>
    <s v="No"/>
    <s v="No"/>
    <x v="0"/>
    <n v="0"/>
    <x v="1"/>
    <x v="2"/>
    <s v="Prediabetes"/>
    <n v="2000"/>
    <s v="Sep"/>
    <n v="13"/>
    <n v="3"/>
    <d v="2000-09-13T00:00:00"/>
    <n v="4005.42"/>
    <s v="tier - 2"/>
    <s v="tier - 1"/>
    <s v="R1015"/>
    <n v="22"/>
  </r>
  <r>
    <s v="Id441"/>
    <s v="Sandahl, Ms.  Denise M"/>
    <n v="22.88"/>
    <n v="5.71"/>
    <s v="yes"/>
    <s v="No"/>
    <x v="1"/>
    <n v="1"/>
    <x v="0"/>
    <x v="2"/>
    <s v="Prediabetes"/>
    <n v="1992"/>
    <s v="Oct"/>
    <n v="11"/>
    <n v="1"/>
    <d v="1992-10-11T00:00:00"/>
    <n v="4032.24"/>
    <s v="tier - 3"/>
    <s v="tier - 3"/>
    <s v="R1012"/>
    <n v="30"/>
  </r>
  <r>
    <s v="Id442"/>
    <s v="Speight, Mr.  Peter R."/>
    <n v="24.984999999999999"/>
    <n v="4.43"/>
    <s v="yes"/>
    <s v="No"/>
    <x v="1"/>
    <n v="1"/>
    <x v="1"/>
    <x v="1"/>
    <s v="Normal"/>
    <n v="1984"/>
    <s v="Jul"/>
    <n v="7"/>
    <n v="3"/>
    <d v="1984-07-07T00:00:00"/>
    <n v="4038.41"/>
    <s v="tier - 2"/>
    <s v="tier - 1"/>
    <s v="R1013"/>
    <n v="38"/>
  </r>
  <r>
    <s v="Id443"/>
    <s v="Lee, Mr.  Johnson K"/>
    <n v="33.1"/>
    <n v="5.52"/>
    <s v="No"/>
    <s v="No"/>
    <x v="1"/>
    <n v="1"/>
    <x v="1"/>
    <x v="0"/>
    <s v="Normal"/>
    <n v="1983"/>
    <s v="Nov"/>
    <n v="10"/>
    <n v="3"/>
    <d v="1983-11-10T00:00:00"/>
    <n v="4039.9"/>
    <s v="tier - 2"/>
    <s v="tier - 1"/>
    <s v="R1013"/>
    <n v="39"/>
  </r>
  <r>
    <s v="Id444"/>
    <s v="Nielsen, Ms.  Katherine"/>
    <n v="27.83"/>
    <n v="9.1999999999999993"/>
    <s v="yes"/>
    <s v="No"/>
    <x v="0"/>
    <n v="1"/>
    <x v="0"/>
    <x v="1"/>
    <s v="Diabetes"/>
    <n v="1993"/>
    <s v="Dec"/>
    <n v="26"/>
    <n v="1"/>
    <d v="1993-12-26T00:00:00"/>
    <n v="4040.56"/>
    <s v="tier - 3"/>
    <s v="tier - 3"/>
    <s v="R1015"/>
    <n v="29"/>
  </r>
  <r>
    <s v="Id445"/>
    <s v="Zirdok, Ms.  Lynda"/>
    <n v="30.875"/>
    <n v="10.97"/>
    <s v="yes"/>
    <s v="No"/>
    <x v="0"/>
    <n v="2"/>
    <x v="1"/>
    <x v="0"/>
    <s v="Diabetes"/>
    <n v="1988"/>
    <s v="Nov"/>
    <n v="30"/>
    <n v="3"/>
    <d v="1988-11-30T00:00:00"/>
    <n v="4047.94"/>
    <s v="tier - 2"/>
    <s v="tier - 1"/>
    <s v="R1013"/>
    <n v="34"/>
  </r>
  <r>
    <s v="Id446"/>
    <s v="Crudale, Mr.  Anthony"/>
    <n v="27.265000000000001"/>
    <n v="4.25"/>
    <s v="No"/>
    <s v="No"/>
    <x v="1"/>
    <n v="1"/>
    <x v="1"/>
    <x v="1"/>
    <s v="Normal"/>
    <n v="1993"/>
    <s v="Aug"/>
    <n v="13"/>
    <n v="2"/>
    <d v="1993-08-13T00:00:00"/>
    <n v="4058.12"/>
    <s v="tier - 2"/>
    <s v="tier - 1"/>
    <s v="R1013"/>
    <n v="29"/>
  </r>
  <r>
    <s v="Id447"/>
    <s v="Koopmans, Ms.  Linnea C."/>
    <n v="26.7"/>
    <n v="5.23"/>
    <s v="No"/>
    <s v="No"/>
    <x v="1"/>
    <n v="1"/>
    <x v="0"/>
    <x v="1"/>
    <s v="Normal"/>
    <n v="1995"/>
    <s v="Sep"/>
    <n v="14"/>
    <n v="2"/>
    <d v="1995-09-14T00:00:00"/>
    <n v="4058.71"/>
    <s v="tier - 3"/>
    <s v="tier - 3"/>
    <s v="R1012"/>
    <n v="27"/>
  </r>
  <r>
    <s v="Id448"/>
    <s v="Milani, Mr.  Massimiliano A."/>
    <n v="29.925000000000001"/>
    <n v="5.96"/>
    <s v="yes"/>
    <s v="No"/>
    <x v="1"/>
    <n v="1"/>
    <x v="0"/>
    <x v="0"/>
    <s v="Prediabetes"/>
    <n v="1983"/>
    <s v="Sep"/>
    <n v="16"/>
    <n v="3"/>
    <d v="1983-09-16T00:00:00"/>
    <n v="4070.42"/>
    <s v="tier - 2"/>
    <s v="tier - 1"/>
    <s v="R1013"/>
    <n v="39"/>
  </r>
  <r>
    <s v="Id449"/>
    <s v="Kelly, Mr.  James M."/>
    <n v="19.95"/>
    <n v="4.29"/>
    <s v="yes"/>
    <s v="No"/>
    <x v="0"/>
    <n v="2"/>
    <x v="0"/>
    <x v="2"/>
    <s v="Normal"/>
    <n v="2002"/>
    <s v="Oct"/>
    <n v="18"/>
    <n v="0"/>
    <d v="2002-10-18T00:00:00"/>
    <n v="4070.51"/>
    <s v="tier - 2"/>
    <s v="tier - 1"/>
    <s v="R1012"/>
    <n v="20"/>
  </r>
  <r>
    <s v="Id450"/>
    <s v="Finelli, Ms.  Lauren"/>
    <n v="24.225000000000001"/>
    <n v="4.09"/>
    <s v="No"/>
    <s v="No"/>
    <x v="0"/>
    <n v="0"/>
    <x v="1"/>
    <x v="2"/>
    <s v="Normal"/>
    <n v="1990"/>
    <s v="Dec"/>
    <n v="1"/>
    <n v="1"/>
    <d v="1990-12-01T00:00:00"/>
    <n v="4074.45"/>
    <s v="tier - 3"/>
    <s v="tier - 2"/>
    <s v="R1013"/>
    <n v="32"/>
  </r>
  <r>
    <s v="Id451"/>
    <s v="Palmer, Ms.  Michele V."/>
    <n v="28.12"/>
    <n v="4.88"/>
    <s v="No"/>
    <s v="No"/>
    <x v="0"/>
    <n v="0"/>
    <x v="0"/>
    <x v="1"/>
    <s v="Normal"/>
    <n v="1990"/>
    <s v="Dec"/>
    <n v="14"/>
    <n v="1"/>
    <d v="1990-12-14T00:00:00"/>
    <n v="4076.5"/>
    <s v="tier - 2"/>
    <s v="tier - 3"/>
    <s v="R1011"/>
    <n v="32"/>
  </r>
  <r>
    <s v="Id452"/>
    <s v="Wang, Mr.  Xiao"/>
    <n v="23.21"/>
    <n v="6.76"/>
    <s v="No"/>
    <s v="No"/>
    <x v="0"/>
    <n v="0"/>
    <x v="0"/>
    <x v="2"/>
    <s v="Diabetes"/>
    <n v="1994"/>
    <s v="Aug"/>
    <n v="21"/>
    <n v="1"/>
    <d v="1994-08-21T00:00:00"/>
    <n v="4133.6400000000003"/>
    <s v="tier - 2"/>
    <s v="tier - 3"/>
    <s v="R1012"/>
    <n v="28"/>
  </r>
  <r>
    <s v="Id453"/>
    <s v="Beasley, Ms.  Harper L"/>
    <n v="23.98"/>
    <n v="10.67"/>
    <s v="No"/>
    <s v="No"/>
    <x v="0"/>
    <n v="0"/>
    <x v="1"/>
    <x v="2"/>
    <s v="Diabetes"/>
    <n v="1991"/>
    <s v="Aug"/>
    <n v="6"/>
    <n v="0"/>
    <d v="1991-08-06T00:00:00"/>
    <n v="4134.08"/>
    <s v="tier - 2"/>
    <s v="tier - 1"/>
    <s v="R1012"/>
    <n v="31"/>
  </r>
  <r>
    <s v="Id454"/>
    <s v="Bedbury, Mr.  Nick"/>
    <n v="30"/>
    <n v="6.21"/>
    <s v="No"/>
    <s v="No"/>
    <x v="0"/>
    <n v="0"/>
    <x v="0"/>
    <x v="0"/>
    <s v="Prediabetes"/>
    <n v="1992"/>
    <s v="Jun"/>
    <n v="18"/>
    <n v="0"/>
    <d v="1992-06-18T00:00:00"/>
    <n v="4137.5200000000004"/>
    <s v="tier - 2"/>
    <s v="tier - 3"/>
    <s v="R1024"/>
    <n v="30"/>
  </r>
  <r>
    <s v="Id455"/>
    <s v="Stemberger, Mr.  Scott"/>
    <n v="17.350000000000001"/>
    <n v="5.03"/>
    <s v="yes"/>
    <s v="No"/>
    <x v="0"/>
    <n v="0"/>
    <x v="0"/>
    <x v="3"/>
    <s v="Normal"/>
    <n v="1992"/>
    <s v="Jun"/>
    <n v="28"/>
    <n v="1"/>
    <d v="1992-06-28T00:00:00"/>
    <n v="4149.74"/>
    <s v="tier - 2"/>
    <s v="tier - 1"/>
    <s v="R1011"/>
    <n v="30"/>
  </r>
  <r>
    <s v="Id456"/>
    <s v="Chebet, Mr.  Wilson"/>
    <n v="22.704999999999998"/>
    <n v="5.27"/>
    <s v="No"/>
    <s v="No"/>
    <x v="0"/>
    <n v="0"/>
    <x v="1"/>
    <x v="2"/>
    <s v="Normal"/>
    <n v="1992"/>
    <s v="Aug"/>
    <n v="4"/>
    <n v="1"/>
    <d v="1992-08-04T00:00:00"/>
    <n v="4151.03"/>
    <s v="tier - 2"/>
    <s v="tier - 2"/>
    <s v="R1013"/>
    <n v="30"/>
  </r>
  <r>
    <s v="Id457"/>
    <s v="Muir, Mr.  Lee"/>
    <n v="25.41"/>
    <n v="10.53"/>
    <s v="yes"/>
    <s v="No"/>
    <x v="0"/>
    <n v="1"/>
    <x v="0"/>
    <x v="1"/>
    <s v="Diabetes"/>
    <n v="1998"/>
    <s v="Nov"/>
    <n v="26"/>
    <n v="0"/>
    <d v="1998-11-26T00:00:00"/>
    <n v="4154.97"/>
    <s v="tier - 2"/>
    <s v="tier - 1"/>
    <s v="R1012"/>
    <n v="24"/>
  </r>
  <r>
    <s v="Id458"/>
    <s v="Yang, Mr.  Shizhong"/>
    <n v="18.23"/>
    <n v="5.78"/>
    <s v="No"/>
    <s v="No"/>
    <x v="1"/>
    <n v="1"/>
    <x v="0"/>
    <x v="3"/>
    <s v="Prediabetes"/>
    <n v="1984"/>
    <s v="Sep"/>
    <n v="16"/>
    <n v="3"/>
    <d v="1984-09-16T00:00:00"/>
    <n v="4163.21"/>
    <s v="tier - 2"/>
    <s v="tier - 2"/>
    <s v="R1012"/>
    <n v="38"/>
  </r>
  <r>
    <s v="Id459"/>
    <s v="Gravel, Ms.  Marie-Claire"/>
    <n v="24.7"/>
    <n v="4.3600000000000003"/>
    <s v="No"/>
    <s v="No"/>
    <x v="1"/>
    <n v="1"/>
    <x v="0"/>
    <x v="2"/>
    <s v="Normal"/>
    <n v="1989"/>
    <s v="Jun"/>
    <n v="25"/>
    <n v="0"/>
    <d v="1989-06-25T00:00:00"/>
    <n v="4185.1000000000004"/>
    <s v="tier - 2"/>
    <s v="tier - 3"/>
    <s v="R1013"/>
    <n v="33"/>
  </r>
  <r>
    <s v="Id460"/>
    <s v="Smith, Mr.  Todd J."/>
    <n v="37.4"/>
    <n v="9.7200000000000006"/>
    <s v="yes"/>
    <s v="No"/>
    <x v="1"/>
    <n v="1"/>
    <x v="1"/>
    <x v="0"/>
    <s v="Diabetes"/>
    <n v="1995"/>
    <s v="Oct"/>
    <n v="3"/>
    <n v="0"/>
    <d v="1995-10-03T00:00:00"/>
    <n v="4188.7299999999996"/>
    <s v="tier - 2"/>
    <s v="tier - 2"/>
    <s v="R1025"/>
    <n v="27"/>
  </r>
  <r>
    <s v="Id461"/>
    <s v="Williams, Ms.  Carolyn"/>
    <n v="26.885000000000002"/>
    <n v="5.18"/>
    <s v="No"/>
    <s v="No"/>
    <x v="1"/>
    <n v="1"/>
    <x v="0"/>
    <x v="1"/>
    <s v="Normal"/>
    <n v="1997"/>
    <s v="Sep"/>
    <n v="6"/>
    <n v="2"/>
    <d v="1997-09-06T00:00:00"/>
    <n v="4189.1099999999997"/>
    <s v="tier - 2"/>
    <s v="tier - 2"/>
    <s v="R1012"/>
    <n v="25"/>
  </r>
  <r>
    <s v="Id462"/>
    <s v="Meyer, Ms.  Lindsey"/>
    <n v="25.27"/>
    <n v="5.29"/>
    <s v="No"/>
    <s v="No"/>
    <x v="1"/>
    <n v="1"/>
    <x v="0"/>
    <x v="1"/>
    <s v="Normal"/>
    <n v="1998"/>
    <s v="Dec"/>
    <n v="14"/>
    <n v="3"/>
    <d v="1998-12-14T00:00:00"/>
    <n v="4234.93"/>
    <s v="tier - 2"/>
    <s v="tier - 1"/>
    <s v="R1011"/>
    <n v="24"/>
  </r>
  <r>
    <s v="Id463"/>
    <s v="Jamieson, Ms.  Marissa D"/>
    <n v="23.655000000000001"/>
    <n v="4.8600000000000003"/>
    <s v="yes"/>
    <s v="No"/>
    <x v="0"/>
    <n v="0"/>
    <x v="0"/>
    <x v="2"/>
    <s v="Normal"/>
    <n v="1992"/>
    <s v="Jun"/>
    <n v="27"/>
    <n v="1"/>
    <d v="1992-06-27T00:00:00"/>
    <n v="4237.13"/>
    <s v="tier - 3"/>
    <s v="tier - 1"/>
    <s v="R1016"/>
    <n v="30"/>
  </r>
  <r>
    <s v="Id464"/>
    <s v="Dufeal, Mr.  Jean Luc"/>
    <n v="55.05"/>
    <n v="7.66"/>
    <s v="No"/>
    <s v="No"/>
    <x v="0"/>
    <n v="0"/>
    <x v="1"/>
    <x v="0"/>
    <s v="Diabetes"/>
    <n v="1991"/>
    <s v="Nov"/>
    <n v="3"/>
    <n v="1"/>
    <d v="1991-11-03T00:00:00"/>
    <n v="4239.8900000000003"/>
    <s v="tier - 2"/>
    <s v="tier - 2"/>
    <s v="R1012"/>
    <n v="31"/>
  </r>
  <r>
    <s v="Id465"/>
    <s v="Sansonetti, Ms.  Danielle"/>
    <n v="24.89"/>
    <n v="6.1"/>
    <s v="yes"/>
    <s v="No"/>
    <x v="1"/>
    <n v="1"/>
    <x v="0"/>
    <x v="2"/>
    <s v="Prediabetes"/>
    <n v="1991"/>
    <s v="Dec"/>
    <n v="1"/>
    <n v="1"/>
    <d v="1991-12-01T00:00:00"/>
    <n v="4243.59"/>
    <s v="tier - 3"/>
    <s v="tier - 1"/>
    <s v="R1012"/>
    <n v="31"/>
  </r>
  <r>
    <s v="Id466"/>
    <s v="Koneazny, Mr.  Jim"/>
    <n v="18.715"/>
    <n v="4.4400000000000004"/>
    <s v="No"/>
    <s v="No"/>
    <x v="0"/>
    <n v="0"/>
    <x v="1"/>
    <x v="2"/>
    <s v="Normal"/>
    <n v="1982"/>
    <s v="Jun"/>
    <n v="16"/>
    <n v="3"/>
    <d v="1982-06-16T00:00:00"/>
    <n v="4250.24"/>
    <s v="tier - 2"/>
    <s v="tier - 3"/>
    <s v="R1013"/>
    <n v="40"/>
  </r>
  <r>
    <s v="Id467"/>
    <s v="Johnson, Mr.  Matthew T"/>
    <n v="28.12"/>
    <n v="6.15"/>
    <s v="No"/>
    <s v="No"/>
    <x v="0"/>
    <n v="0"/>
    <x v="0"/>
    <x v="1"/>
    <s v="Prediabetes"/>
    <n v="1995"/>
    <s v="Oct"/>
    <n v="14"/>
    <n v="3"/>
    <d v="1995-10-14T00:00:00"/>
    <n v="4260.74"/>
    <s v="tier - 3"/>
    <s v="tier - 2"/>
    <s v="R1011"/>
    <n v="27"/>
  </r>
  <r>
    <s v="Id468"/>
    <s v="Glasson, Ms.  Rachel L."/>
    <n v="26.6"/>
    <n v="4.53"/>
    <s v="No"/>
    <s v="No"/>
    <x v="0"/>
    <n v="0"/>
    <x v="0"/>
    <x v="1"/>
    <s v="Normal"/>
    <n v="1983"/>
    <s v="Nov"/>
    <n v="20"/>
    <n v="3"/>
    <d v="1983-11-20T00:00:00"/>
    <n v="4265.01"/>
    <s v="tier - 2"/>
    <s v="tier - 1"/>
    <s v="R1012"/>
    <n v="39"/>
  </r>
  <r>
    <s v="Id469"/>
    <s v="Canitz, Ms.  Corina"/>
    <n v="30.114999999999998"/>
    <n v="5.48"/>
    <s v="No"/>
    <s v="yes"/>
    <x v="0"/>
    <n v="1"/>
    <x v="1"/>
    <x v="0"/>
    <s v="Normal"/>
    <n v="1992"/>
    <s v="Jun"/>
    <n v="18"/>
    <n v="2"/>
    <d v="1992-06-18T00:00:00"/>
    <n v="4266.17"/>
    <s v="tier - 3"/>
    <s v="tier - 2"/>
    <s v="R1013"/>
    <n v="30"/>
  </r>
  <r>
    <s v="Id470"/>
    <s v="Li, Mr.  Guannan"/>
    <n v="24.605"/>
    <n v="5.48"/>
    <s v="No"/>
    <s v="No"/>
    <x v="0"/>
    <n v="0"/>
    <x v="0"/>
    <x v="2"/>
    <s v="Normal"/>
    <n v="2003"/>
    <s v="Jun"/>
    <n v="8"/>
    <n v="0"/>
    <d v="2003-06-08T00:00:00"/>
    <n v="4278.55"/>
    <s v="tier - 2"/>
    <s v="tier - 1"/>
    <s v="R1021"/>
    <n v="20"/>
  </r>
  <r>
    <s v="Id471"/>
    <s v="Parsons, Mr.  Don"/>
    <n v="29.6"/>
    <n v="8.1"/>
    <s v="No"/>
    <s v="No"/>
    <x v="0"/>
    <n v="0"/>
    <x v="1"/>
    <x v="1"/>
    <s v="Diabetes"/>
    <n v="2000"/>
    <s v="Nov"/>
    <n v="25"/>
    <n v="3"/>
    <d v="2000-11-25T00:00:00"/>
    <n v="4296.2700000000004"/>
    <s v="tier - 2"/>
    <s v="tier - 3"/>
    <s v="R1012"/>
    <n v="22"/>
  </r>
  <r>
    <s v="Id472"/>
    <s v="Raulli, Mr.  Chris"/>
    <n v="24.42"/>
    <n v="7.16"/>
    <s v="No"/>
    <s v="No"/>
    <x v="0"/>
    <n v="0"/>
    <x v="0"/>
    <x v="2"/>
    <s v="Diabetes"/>
    <n v="1988"/>
    <s v="Dec"/>
    <n v="19"/>
    <n v="0"/>
    <d v="1988-12-19T00:00:00"/>
    <n v="4320.41"/>
    <s v="tier - 2"/>
    <s v="tier - 1"/>
    <s v="R1012"/>
    <n v="34"/>
  </r>
  <r>
    <s v="Id473"/>
    <s v="Frome, Mr.  Gavin V."/>
    <n v="20.9"/>
    <n v="4.55"/>
    <s v="yes"/>
    <s v="No"/>
    <x v="1"/>
    <n v="1"/>
    <x v="0"/>
    <x v="2"/>
    <s v="Normal"/>
    <n v="1994"/>
    <s v="Nov"/>
    <n v="2"/>
    <n v="1"/>
    <d v="1994-11-02T00:00:00"/>
    <n v="4337.74"/>
    <s v="tier - 2"/>
    <s v="tier - 1"/>
    <s v="R1024"/>
    <n v="28"/>
  </r>
  <r>
    <s v="Id474"/>
    <s v="Sevcik, Mr.  David"/>
    <n v="22.895"/>
    <n v="6.03"/>
    <s v="No"/>
    <s v="No"/>
    <x v="0"/>
    <n v="0"/>
    <x v="0"/>
    <x v="2"/>
    <s v="Prediabetes"/>
    <n v="1994"/>
    <s v="Oct"/>
    <n v="26"/>
    <n v="2"/>
    <d v="1994-10-26T00:00:00"/>
    <n v="4340.4399999999996"/>
    <s v="tier - 2"/>
    <s v="tier - 1"/>
    <s v="R1013"/>
    <n v="28"/>
  </r>
  <r>
    <s v="Id475"/>
    <s v="Narang, Mr.  Jatin"/>
    <n v="28.3"/>
    <n v="5.47"/>
    <s v="yes"/>
    <s v="No"/>
    <x v="1"/>
    <n v="1"/>
    <x v="0"/>
    <x v="1"/>
    <s v="Normal"/>
    <n v="1991"/>
    <s v="Jun"/>
    <n v="1"/>
    <n v="0"/>
    <d v="1991-06-01T00:00:00"/>
    <n v="4347.0200000000004"/>
    <s v="tier - 2"/>
    <s v="tier - 1"/>
    <s v="R1024"/>
    <n v="32"/>
  </r>
  <r>
    <s v="Id476"/>
    <s v="Royston, Mr.  J P. II"/>
    <n v="54.3"/>
    <n v="4.1500000000000004"/>
    <s v="yes"/>
    <s v="No"/>
    <x v="0"/>
    <n v="1"/>
    <x v="1"/>
    <x v="0"/>
    <s v="Normal"/>
    <n v="1994"/>
    <s v="Nov"/>
    <n v="1"/>
    <n v="2"/>
    <d v="1994-11-01T00:00:00"/>
    <n v="4349.46"/>
    <s v="tier - 2"/>
    <s v="tier - 2"/>
    <s v="R1013"/>
    <n v="28"/>
  </r>
  <r>
    <s v="Id477"/>
    <s v="Tieri, Ms.  Angela M."/>
    <n v="33.344999999999999"/>
    <n v="11.32"/>
    <s v="yes"/>
    <s v="No"/>
    <x v="0"/>
    <n v="1"/>
    <x v="1"/>
    <x v="0"/>
    <s v="Diabetes"/>
    <n v="1991"/>
    <s v="Sep"/>
    <n v="13"/>
    <n v="1"/>
    <d v="1991-09-13T00:00:00"/>
    <n v="4350.51"/>
    <s v="tier - 2"/>
    <s v="tier - 2"/>
    <s v="R1013"/>
    <n v="31"/>
  </r>
  <r>
    <s v="Id478"/>
    <s v="Whitney, Mr.  Blake K."/>
    <n v="33"/>
    <n v="9.51"/>
    <s v="yes"/>
    <s v="No"/>
    <x v="0"/>
    <n v="0"/>
    <x v="1"/>
    <x v="0"/>
    <s v="Diabetes"/>
    <n v="1990"/>
    <s v="Aug"/>
    <n v="28"/>
    <n v="0"/>
    <d v="1990-08-28T00:00:00"/>
    <n v="4357.04"/>
    <s v="tier - 2"/>
    <s v="tier - 3"/>
    <s v="R1012"/>
    <n v="32"/>
  </r>
  <r>
    <s v="Id479"/>
    <s v="Wandzilak, Mr.  Brian T."/>
    <n v="28.024999999999999"/>
    <n v="7.67"/>
    <s v="yes"/>
    <s v="No"/>
    <x v="0"/>
    <n v="1"/>
    <x v="0"/>
    <x v="1"/>
    <s v="Diabetes"/>
    <n v="1997"/>
    <s v="Nov"/>
    <n v="29"/>
    <n v="3"/>
    <d v="1997-11-29T00:00:00"/>
    <n v="4391.6499999999996"/>
    <s v="tier - 2"/>
    <s v="tier - 2"/>
    <s v="R1011"/>
    <n v="25"/>
  </r>
  <r>
    <s v="Id480"/>
    <s v="Valenzona, Mr.  Damon"/>
    <n v="28.69"/>
    <n v="6.23"/>
    <s v="No"/>
    <s v="No"/>
    <x v="0"/>
    <n v="1"/>
    <x v="0"/>
    <x v="1"/>
    <s v="Prediabetes"/>
    <n v="1982"/>
    <s v="Jun"/>
    <n v="29"/>
    <n v="3"/>
    <d v="1982-06-29T00:00:00"/>
    <n v="4392.7"/>
    <s v="tier - 2"/>
    <s v="tier - 2"/>
    <s v="R1013"/>
    <n v="40"/>
  </r>
  <r>
    <s v="Id481"/>
    <s v="Young, Mr.  Jeffrey"/>
    <n v="40.28"/>
    <n v="8.9"/>
    <s v="No"/>
    <s v="No"/>
    <x v="0"/>
    <n v="0"/>
    <x v="1"/>
    <x v="0"/>
    <s v="Diabetes"/>
    <n v="1988"/>
    <s v="Jul"/>
    <n v="18"/>
    <n v="3"/>
    <d v="1988-07-18T00:00:00"/>
    <n v="4397.3100000000004"/>
    <s v="tier - 2"/>
    <s v="tier - 2"/>
    <s v="R1013"/>
    <n v="34"/>
  </r>
  <r>
    <s v="Id482"/>
    <s v="Richards, Mr.  Malcolm J."/>
    <n v="37.299999999999997"/>
    <n v="7.79"/>
    <s v="yes"/>
    <s v="No"/>
    <x v="0"/>
    <n v="0"/>
    <x v="1"/>
    <x v="0"/>
    <s v="Diabetes"/>
    <n v="1986"/>
    <s v="Aug"/>
    <n v="11"/>
    <n v="0"/>
    <d v="1986-08-11T00:00:00"/>
    <n v="4399.7299999999996"/>
    <s v="tier - 3"/>
    <s v="tier - 2"/>
    <s v="R1013"/>
    <n v="36"/>
  </r>
  <r>
    <s v="Id483"/>
    <s v="Alexson, Ms.  Margaret B."/>
    <n v="54.47"/>
    <n v="4.49"/>
    <s v="yes"/>
    <s v="No"/>
    <x v="0"/>
    <n v="2"/>
    <x v="1"/>
    <x v="0"/>
    <s v="Normal"/>
    <n v="1986"/>
    <s v="Jul"/>
    <n v="13"/>
    <n v="0"/>
    <d v="1986-07-13T00:00:00"/>
    <n v="4402.2299999999996"/>
    <s v="tier - 2"/>
    <s v="tier - 2"/>
    <s v="R1011"/>
    <n v="36"/>
  </r>
  <r>
    <s v="Id484"/>
    <s v="Wright, Ms.  Helen"/>
    <n v="38.06"/>
    <n v="5.24"/>
    <s v="yes"/>
    <s v="No"/>
    <x v="1"/>
    <n v="1"/>
    <x v="1"/>
    <x v="0"/>
    <s v="Normal"/>
    <n v="1988"/>
    <s v="Sep"/>
    <n v="16"/>
    <n v="0"/>
    <d v="1988-09-16T00:00:00"/>
    <n v="4415.16"/>
    <s v="tier - 2"/>
    <s v="tier - 1"/>
    <s v="R1013"/>
    <n v="34"/>
  </r>
  <r>
    <s v="Id485"/>
    <s v="McKenna, Mr.  Matthew"/>
    <n v="51.47"/>
    <n v="9.6"/>
    <s v="No"/>
    <s v="No"/>
    <x v="0"/>
    <n v="0"/>
    <x v="1"/>
    <x v="0"/>
    <s v="Diabetes"/>
    <n v="1992"/>
    <s v="Aug"/>
    <n v="15"/>
    <n v="0"/>
    <d v="1992-08-15T00:00:00"/>
    <n v="4420.95"/>
    <s v="tier - 2"/>
    <s v="tier - 3"/>
    <s v="R1020"/>
    <n v="30"/>
  </r>
  <r>
    <s v="Id486"/>
    <s v="Sallade, Mr.  Jeff"/>
    <n v="29.8"/>
    <n v="5.78"/>
    <s v="yes"/>
    <s v="No"/>
    <x v="0"/>
    <n v="0"/>
    <x v="1"/>
    <x v="1"/>
    <s v="Prediabetes"/>
    <n v="1994"/>
    <s v="Dec"/>
    <n v="29"/>
    <n v="2"/>
    <d v="1994-12-29T00:00:00"/>
    <n v="4428.8900000000003"/>
    <s v="tier - 3"/>
    <s v="tier - 1"/>
    <s v="R1017"/>
    <n v="28"/>
  </r>
  <r>
    <s v="Id487"/>
    <s v="Argall, Mrs.  Tara R"/>
    <n v="49.77"/>
    <n v="7.02"/>
    <s v="No"/>
    <s v="No"/>
    <x v="0"/>
    <n v="0"/>
    <x v="1"/>
    <x v="0"/>
    <s v="Diabetes"/>
    <n v="1993"/>
    <s v="Sep"/>
    <n v="4"/>
    <n v="2"/>
    <d v="1993-09-04T00:00:00"/>
    <n v="4433.3900000000003"/>
    <s v="tier - 2"/>
    <s v="tier - 3"/>
    <s v="R1012"/>
    <n v="29"/>
  </r>
  <r>
    <s v="Id488"/>
    <s v="Patchell, Ms.  Kristin"/>
    <n v="25.555"/>
    <n v="4.09"/>
    <s v="yes"/>
    <s v="No"/>
    <x v="0"/>
    <n v="0"/>
    <x v="0"/>
    <x v="1"/>
    <s v="Normal"/>
    <n v="1993"/>
    <s v="Dec"/>
    <n v="23"/>
    <n v="2"/>
    <d v="1993-12-23T00:00:00"/>
    <n v="4433.92"/>
    <s v="tier - 2"/>
    <s v="tier - 2"/>
    <s v="R1012"/>
    <n v="29"/>
  </r>
  <r>
    <s v="Id489"/>
    <s v="Catoggio, Mr.  Timothy"/>
    <n v="29.64"/>
    <n v="4.93"/>
    <s v="No"/>
    <s v="No"/>
    <x v="1"/>
    <n v="1"/>
    <x v="1"/>
    <x v="1"/>
    <s v="Normal"/>
    <n v="1994"/>
    <s v="Oct"/>
    <n v="8"/>
    <n v="2"/>
    <d v="1994-10-08T00:00:00"/>
    <n v="4435.09"/>
    <s v="tier - 3"/>
    <s v="tier - 2"/>
    <s v="R1016"/>
    <n v="28"/>
  </r>
  <r>
    <s v="Id490"/>
    <s v="Adams, Mr.  Scott"/>
    <n v="53.93"/>
    <n v="5.34"/>
    <s v="yes"/>
    <s v="No"/>
    <x v="0"/>
    <n v="2"/>
    <x v="1"/>
    <x v="0"/>
    <s v="Normal"/>
    <n v="1994"/>
    <s v="Oct"/>
    <n v="24"/>
    <n v="2"/>
    <d v="1994-10-24T00:00:00"/>
    <n v="4438.26"/>
    <s v="tier - 2"/>
    <s v="tier - 3"/>
    <s v="R1017"/>
    <n v="28"/>
  </r>
  <r>
    <s v="Id491"/>
    <s v="Windt, Ms.  Carly E"/>
    <n v="28.024999999999999"/>
    <n v="5.65"/>
    <s v="No"/>
    <s v="No"/>
    <x v="0"/>
    <n v="1"/>
    <x v="0"/>
    <x v="1"/>
    <s v="Normal"/>
    <n v="1991"/>
    <s v="Sep"/>
    <n v="3"/>
    <n v="1"/>
    <d v="1991-09-03T00:00:00"/>
    <n v="4441.21"/>
    <s v="tier - 1"/>
    <s v="tier - 2"/>
    <s v="R1014"/>
    <n v="31"/>
  </r>
  <r>
    <s v="Id492"/>
    <s v="Ryan, Ms.  Lisa"/>
    <n v="27.5"/>
    <n v="4.49"/>
    <s v="No"/>
    <s v="No"/>
    <x v="0"/>
    <n v="0"/>
    <x v="1"/>
    <x v="1"/>
    <s v="Normal"/>
    <n v="1994"/>
    <s v="Jun"/>
    <n v="28"/>
    <n v="3"/>
    <d v="1994-06-28T00:00:00"/>
    <n v="4449.46"/>
    <s v="tier - 1"/>
    <s v="tier - 2"/>
    <s v="R1013"/>
    <n v="28"/>
  </r>
  <r>
    <s v="Id493"/>
    <s v="Marion, Ms.  Stacey"/>
    <n v="21.8"/>
    <n v="10.55"/>
    <s v="No"/>
    <s v="No"/>
    <x v="0"/>
    <n v="0"/>
    <x v="0"/>
    <x v="2"/>
    <s v="Diabetes"/>
    <n v="1990"/>
    <s v="Aug"/>
    <n v="8"/>
    <n v="1"/>
    <d v="1990-08-08T00:00:00"/>
    <n v="4454.3999999999996"/>
    <s v="tier - 2"/>
    <s v="tier - 3"/>
    <s v="R1012"/>
    <n v="32"/>
  </r>
  <r>
    <s v="Id494"/>
    <s v="Raffetto, Mr.  Louis"/>
    <n v="26.41"/>
    <n v="4.92"/>
    <s v="yes"/>
    <s v="No"/>
    <x v="1"/>
    <n v="1"/>
    <x v="0"/>
    <x v="1"/>
    <s v="Normal"/>
    <n v="1990"/>
    <s v="Jul"/>
    <n v="15"/>
    <n v="1"/>
    <d v="1990-07-15T00:00:00"/>
    <n v="4462.72"/>
    <s v="tier - 2"/>
    <s v="tier - 3"/>
    <s v="R1012"/>
    <n v="32"/>
  </r>
  <r>
    <s v="Id495"/>
    <s v="Young, Mr.  Brian R."/>
    <n v="27.835000000000001"/>
    <n v="5.9"/>
    <s v="yes"/>
    <s v="No"/>
    <x v="0"/>
    <n v="1"/>
    <x v="0"/>
    <x v="1"/>
    <s v="Prediabetes"/>
    <n v="1991"/>
    <s v="Jul"/>
    <n v="4"/>
    <n v="2"/>
    <d v="1991-07-04T00:00:00"/>
    <n v="4463.21"/>
    <s v="tier - 3"/>
    <s v="tier - 3"/>
    <s v="R1013"/>
    <n v="31"/>
  </r>
  <r>
    <s v="Id496"/>
    <s v="Oehlke, Mrs.  Jessica"/>
    <n v="51.74"/>
    <n v="4.9800000000000004"/>
    <s v="yes"/>
    <s v="No"/>
    <x v="0"/>
    <n v="2"/>
    <x v="1"/>
    <x v="0"/>
    <s v="Normal"/>
    <n v="1999"/>
    <s v="Nov"/>
    <n v="20"/>
    <n v="3"/>
    <d v="1999-11-20T00:00:00"/>
    <n v="4466.62"/>
    <s v="tier - 2"/>
    <s v="tier - 2"/>
    <s v="R1012"/>
    <n v="23"/>
  </r>
  <r>
    <s v="Id497"/>
    <s v="Sudol, Ms.  Dawn M."/>
    <n v="23.37"/>
    <n v="5.8"/>
    <s v="No"/>
    <s v="No"/>
    <x v="0"/>
    <n v="0"/>
    <x v="0"/>
    <x v="2"/>
    <s v="Prediabetes"/>
    <n v="2004"/>
    <s v="Jul"/>
    <n v="18"/>
    <n v="0"/>
    <d v="2004-07-18T00:00:00"/>
    <n v="4468.25"/>
    <s v="tier - 2"/>
    <s v="tier - 2"/>
    <s v="R1012"/>
    <n v="18"/>
  </r>
  <r>
    <s v="Id498"/>
    <s v="Van Es, Mr.  Chris"/>
    <n v="29.7"/>
    <n v="6.21"/>
    <s v="yes"/>
    <s v="No"/>
    <x v="1"/>
    <n v="1"/>
    <x v="0"/>
    <x v="1"/>
    <s v="Prediabetes"/>
    <n v="1992"/>
    <s v="Jul"/>
    <n v="12"/>
    <n v="0"/>
    <d v="1992-07-12T00:00:00"/>
    <n v="4488.58"/>
    <s v="tier - 2"/>
    <s v="tier - 3"/>
    <s v="R1012"/>
    <n v="30"/>
  </r>
  <r>
    <s v="Id499"/>
    <s v="Dolge, Ms.  Karen"/>
    <n v="20.045000000000002"/>
    <n v="6.17"/>
    <s v="No"/>
    <s v="No"/>
    <x v="1"/>
    <n v="1"/>
    <x v="0"/>
    <x v="2"/>
    <s v="Prediabetes"/>
    <n v="1988"/>
    <s v="Jun"/>
    <n v="26"/>
    <n v="0"/>
    <d v="1988-06-26T00:00:00"/>
    <n v="4500.34"/>
    <s v="tier - 2"/>
    <s v="tier - 1"/>
    <s v="R1017"/>
    <n v="34"/>
  </r>
  <r>
    <s v="Id500"/>
    <s v="Marlier, Ms.  Jessica"/>
    <n v="27.83"/>
    <n v="5.36"/>
    <s v="No"/>
    <s v="No"/>
    <x v="0"/>
    <n v="2"/>
    <x v="1"/>
    <x v="1"/>
    <s v="Normal"/>
    <n v="1997"/>
    <s v="Oct"/>
    <n v="13"/>
    <n v="4"/>
    <d v="1997-10-13T00:00:00"/>
    <n v="4504.66"/>
    <s v="tier - 1"/>
    <s v="tier - 2"/>
    <s v="R1013"/>
    <n v="25"/>
  </r>
  <r>
    <s v="Id501"/>
    <s v="Girard, Mr.  Mathieu"/>
    <n v="28.93"/>
    <n v="5.2"/>
    <s v="No"/>
    <s v="No"/>
    <x v="0"/>
    <n v="0"/>
    <x v="0"/>
    <x v="1"/>
    <s v="Normal"/>
    <n v="1982"/>
    <s v="Sep"/>
    <n v="27"/>
    <n v="3"/>
    <d v="1982-09-27T00:00:00"/>
    <n v="4511.41"/>
    <s v="tier - 2"/>
    <s v="tier - 3"/>
    <s v="R1013"/>
    <n v="40"/>
  </r>
  <r>
    <s v="Id502"/>
    <s v="Lee, Mr.  Kam S."/>
    <n v="33.82"/>
    <n v="5.42"/>
    <s v="No"/>
    <s v="No"/>
    <x v="0"/>
    <n v="0"/>
    <x v="1"/>
    <x v="0"/>
    <s v="Normal"/>
    <n v="1980"/>
    <s v="Jun"/>
    <n v="16"/>
    <n v="2"/>
    <d v="1980-06-16T00:00:00"/>
    <n v="4515.71"/>
    <s v="tier - 2"/>
    <s v="tier - 3"/>
    <s v="R1013"/>
    <n v="42"/>
  </r>
  <r>
    <s v="Id503"/>
    <s v="Hubbard, Ms.  Valerie A"/>
    <n v="20.234999999999999"/>
    <n v="6.84"/>
    <s v="No"/>
    <s v="No"/>
    <x v="0"/>
    <n v="0"/>
    <x v="0"/>
    <x v="2"/>
    <s v="Diabetes"/>
    <n v="2003"/>
    <s v="Oct"/>
    <n v="2"/>
    <n v="0"/>
    <d v="2003-10-02T00:00:00"/>
    <n v="4518.3999999999996"/>
    <s v="tier - 2"/>
    <s v="tier - 3"/>
    <s v="R1026"/>
    <n v="19"/>
  </r>
  <r>
    <s v="Id504"/>
    <s v="Koester, Ms.  Freya R"/>
    <n v="49.2"/>
    <n v="10.9"/>
    <s v="yes"/>
    <s v="No"/>
    <x v="1"/>
    <n v="1"/>
    <x v="1"/>
    <x v="0"/>
    <s v="Diabetes"/>
    <n v="1987"/>
    <s v="Dec"/>
    <n v="5"/>
    <n v="3"/>
    <d v="1987-12-05T00:00:00"/>
    <n v="4518.7700000000004"/>
    <s v="tier - 2"/>
    <s v="tier - 3"/>
    <s v="R1012"/>
    <n v="35"/>
  </r>
  <r>
    <s v="Id505"/>
    <s v="Matthews, Ms.  Jennifer"/>
    <n v="26.4"/>
    <n v="4.87"/>
    <s v="yes"/>
    <s v="No"/>
    <x v="0"/>
    <n v="0"/>
    <x v="0"/>
    <x v="1"/>
    <s v="Normal"/>
    <n v="1988"/>
    <s v="Dec"/>
    <n v="21"/>
    <n v="0"/>
    <d v="1988-12-21T00:00:00"/>
    <n v="4518.83"/>
    <s v="tier - 2"/>
    <s v="tier - 2"/>
    <s v="R1017"/>
    <n v="34"/>
  </r>
  <r>
    <s v="Id506"/>
    <s v="Rubinich, Ms.  Kara"/>
    <n v="28.38"/>
    <n v="6.07"/>
    <s v="No"/>
    <s v="No"/>
    <x v="0"/>
    <n v="1"/>
    <x v="0"/>
    <x v="1"/>
    <s v="Prediabetes"/>
    <n v="1992"/>
    <s v="Aug"/>
    <n v="13"/>
    <n v="1"/>
    <d v="1992-08-13T00:00:00"/>
    <n v="4527.18"/>
    <s v="tier - 2"/>
    <s v="tier - 2"/>
    <s v="R1012"/>
    <n v="30"/>
  </r>
  <r>
    <s v="Id507"/>
    <s v="Alban, Mr.  Bradley A."/>
    <n v="24.64"/>
    <n v="4.33"/>
    <s v="No"/>
    <s v="No"/>
    <x v="0"/>
    <n v="0"/>
    <x v="0"/>
    <x v="2"/>
    <s v="Normal"/>
    <n v="1993"/>
    <s v="Jun"/>
    <n v="29"/>
    <n v="2"/>
    <d v="1993-06-29T00:00:00"/>
    <n v="4529.4799999999996"/>
    <s v="tier - 2"/>
    <s v="tier - 1"/>
    <s v="R1011"/>
    <n v="29"/>
  </r>
  <r>
    <s v="Id508"/>
    <s v="Corcoran, Mr.  Brendan"/>
    <n v="39.71"/>
    <n v="5.83"/>
    <s v="No"/>
    <s v="No"/>
    <x v="0"/>
    <n v="1"/>
    <x v="1"/>
    <x v="0"/>
    <s v="Prediabetes"/>
    <n v="1988"/>
    <s v="Jun"/>
    <n v="13"/>
    <n v="1"/>
    <d v="1988-06-13T00:00:00"/>
    <n v="4536.26"/>
    <s v="tier - 2"/>
    <s v="tier - 2"/>
    <s v="R1011"/>
    <n v="34"/>
  </r>
  <r>
    <s v="Id509"/>
    <s v="Sargent, Ms.  Amber R"/>
    <n v="22.22"/>
    <n v="5.5"/>
    <s v="No"/>
    <s v="No"/>
    <x v="0"/>
    <n v="0"/>
    <x v="0"/>
    <x v="2"/>
    <s v="Normal"/>
    <n v="1990"/>
    <s v="Nov"/>
    <n v="17"/>
    <n v="0"/>
    <d v="1990-11-17T00:00:00"/>
    <n v="4544.2299999999996"/>
    <s v="tier - 2"/>
    <s v="tier - 1"/>
    <s v="R1024"/>
    <n v="32"/>
  </r>
  <r>
    <s v="Id510"/>
    <s v="Watson, Mr.  Sean K"/>
    <n v="33.344999999999999"/>
    <n v="4.79"/>
    <s v="No"/>
    <s v="No"/>
    <x v="1"/>
    <n v="1"/>
    <x v="1"/>
    <x v="0"/>
    <s v="Normal"/>
    <n v="2004"/>
    <s v="Dec"/>
    <n v="22"/>
    <n v="4"/>
    <d v="2004-12-22T00:00:00"/>
    <n v="4561.1899999999996"/>
    <s v="tier - 2"/>
    <s v="tier - 2"/>
    <s v="R1024"/>
    <n v="18"/>
  </r>
  <r>
    <s v="Id511"/>
    <s v="Esponda, Mr.  Rick"/>
    <n v="24.42"/>
    <n v="5.81"/>
    <s v="No"/>
    <s v="No"/>
    <x v="0"/>
    <n v="1"/>
    <x v="0"/>
    <x v="2"/>
    <s v="Prediabetes"/>
    <n v="1990"/>
    <s v="Sep"/>
    <n v="20"/>
    <n v="1"/>
    <d v="1990-09-20T00:00:00"/>
    <n v="4562.84"/>
    <s v="tier - 2"/>
    <s v="tier - 2"/>
    <s v="R1013"/>
    <n v="32"/>
  </r>
  <r>
    <s v="Id512"/>
    <s v="Krall, Mr.  Matthew"/>
    <n v="29.81"/>
    <n v="5.58"/>
    <s v="No"/>
    <s v="No"/>
    <x v="0"/>
    <n v="0"/>
    <x v="0"/>
    <x v="1"/>
    <s v="Normal"/>
    <n v="1996"/>
    <s v="Dec"/>
    <n v="25"/>
    <n v="2"/>
    <d v="1996-12-25T00:00:00"/>
    <n v="4564.1899999999996"/>
    <s v="tier - 2"/>
    <s v="tier - 2"/>
    <s v="R1024"/>
    <n v="26"/>
  </r>
  <r>
    <s v="Id513"/>
    <s v="Poskin, Mr.  Brady"/>
    <n v="51.18"/>
    <n v="4.4000000000000004"/>
    <s v="yes"/>
    <s v="No"/>
    <x v="0"/>
    <n v="2"/>
    <x v="1"/>
    <x v="0"/>
    <s v="Normal"/>
    <n v="1989"/>
    <s v="Sep"/>
    <n v="18"/>
    <n v="0"/>
    <d v="1989-09-18T00:00:00"/>
    <n v="4571.41"/>
    <s v="tier - 2"/>
    <s v="tier - 2"/>
    <s v="R1012"/>
    <n v="33"/>
  </r>
  <r>
    <s v="Id514"/>
    <s v="Halfmann, Ms.  Kameko"/>
    <n v="51.37"/>
    <n v="8.18"/>
    <s v="yes"/>
    <s v="No"/>
    <x v="0"/>
    <n v="0"/>
    <x v="1"/>
    <x v="0"/>
    <s v="Diabetes"/>
    <n v="2000"/>
    <s v="Jul"/>
    <n v="2"/>
    <n v="0"/>
    <d v="2000-07-02T00:00:00"/>
    <n v="4608.03"/>
    <s v="tier - 2"/>
    <s v="tier - 3"/>
    <s v="R1011"/>
    <n v="22"/>
  </r>
  <r>
    <s v="Id515"/>
    <s v="Klapper, Mr.  Jeremy A"/>
    <n v="36.19"/>
    <n v="5.52"/>
    <s v="yes"/>
    <s v="No"/>
    <x v="0"/>
    <n v="0"/>
    <x v="1"/>
    <x v="0"/>
    <s v="Normal"/>
    <n v="1998"/>
    <s v="Jun"/>
    <n v="29"/>
    <n v="3"/>
    <d v="1998-06-29T00:00:00"/>
    <n v="4618.08"/>
    <s v="tier - 2"/>
    <s v="tier - 1"/>
    <s v="R1012"/>
    <n v="24"/>
  </r>
  <r>
    <s v="Id516"/>
    <s v="George, Mr.  Daniel"/>
    <n v="25.9"/>
    <n v="4.84"/>
    <s v="No"/>
    <s v="No"/>
    <x v="0"/>
    <n v="0"/>
    <x v="0"/>
    <x v="1"/>
    <s v="Normal"/>
    <n v="1985"/>
    <s v="Jun"/>
    <n v="22"/>
    <n v="0"/>
    <d v="1985-06-22T00:00:00"/>
    <n v="4646.76"/>
    <s v="tier - 1"/>
    <s v="tier - 1"/>
    <s v="R1011"/>
    <n v="37"/>
  </r>
  <r>
    <s v="Id517"/>
    <s v="Hicks, Ms.  Amanda"/>
    <n v="35.72"/>
    <n v="4.08"/>
    <s v="No"/>
    <s v="No"/>
    <x v="1"/>
    <n v="1"/>
    <x v="1"/>
    <x v="0"/>
    <s v="Normal"/>
    <n v="1996"/>
    <s v="Oct"/>
    <n v="25"/>
    <n v="3"/>
    <d v="1996-10-25T00:00:00"/>
    <n v="4661.29"/>
    <s v="tier - 2"/>
    <s v="tier - 1"/>
    <s v="R1017"/>
    <n v="26"/>
  </r>
  <r>
    <s v="Id518"/>
    <s v="Lockyer, Ms.  Karen"/>
    <n v="27.94"/>
    <n v="4.4800000000000004"/>
    <s v="No"/>
    <s v="No"/>
    <x v="1"/>
    <n v="1"/>
    <x v="0"/>
    <x v="1"/>
    <s v="Normal"/>
    <n v="1990"/>
    <s v="Aug"/>
    <n v="5"/>
    <n v="1"/>
    <d v="1990-08-05T00:00:00"/>
    <n v="4667.6099999999997"/>
    <s v="tier - 3"/>
    <s v="tier - 3"/>
    <s v="R1016"/>
    <n v="32"/>
  </r>
  <r>
    <s v="Id519"/>
    <s v="Byrnes, Mr.  Gregory"/>
    <n v="27.1"/>
    <n v="5.73"/>
    <s v="No"/>
    <s v="No"/>
    <x v="0"/>
    <n v="0"/>
    <x v="0"/>
    <x v="1"/>
    <s v="Prediabetes"/>
    <n v="1990"/>
    <s v="Sep"/>
    <n v="26"/>
    <n v="2"/>
    <d v="1990-09-26T00:00:00"/>
    <n v="4670.6400000000003"/>
    <s v="tier - 2"/>
    <s v="tier - 2"/>
    <s v="R1011"/>
    <n v="32"/>
  </r>
  <r>
    <s v="Id520"/>
    <s v="Norris, Ms.  Sabine"/>
    <n v="18.3"/>
    <n v="5.46"/>
    <s v="yes"/>
    <s v="No"/>
    <x v="1"/>
    <n v="1"/>
    <x v="0"/>
    <x v="3"/>
    <s v="Normal"/>
    <n v="1990"/>
    <s v="Jul"/>
    <n v="13"/>
    <n v="2"/>
    <d v="1990-07-13T00:00:00"/>
    <n v="4673.3900000000003"/>
    <s v="tier - 2"/>
    <s v="tier - 1"/>
    <s v="R1013"/>
    <n v="32"/>
  </r>
  <r>
    <s v="Id521"/>
    <s v="Darda, Mr.  Joseph"/>
    <n v="25.3"/>
    <n v="5.0199999999999996"/>
    <s v="yes"/>
    <s v="No"/>
    <x v="0"/>
    <n v="1"/>
    <x v="0"/>
    <x v="1"/>
    <s v="Normal"/>
    <n v="1979"/>
    <s v="Oct"/>
    <n v="18"/>
    <n v="2"/>
    <d v="1979-10-18T00:00:00"/>
    <n v="4674.2"/>
    <s v="tier - 2"/>
    <s v="tier - 1"/>
    <s v="R1013"/>
    <n v="43"/>
  </r>
  <r>
    <s v="Id522"/>
    <s v="Otstot, Mr.  Adam"/>
    <n v="38.83"/>
    <n v="6.36"/>
    <s v="No"/>
    <s v="No"/>
    <x v="0"/>
    <n v="1"/>
    <x v="1"/>
    <x v="0"/>
    <s v="Prediabetes"/>
    <n v="2003"/>
    <s v="Oct"/>
    <n v="4"/>
    <n v="0"/>
    <d v="2003-10-04T00:00:00"/>
    <n v="4678.8"/>
    <s v="tier - 2"/>
    <s v="tier - 1"/>
    <s v="R1021"/>
    <n v="19"/>
  </r>
  <r>
    <s v="Id523"/>
    <s v="Bowley, Ms.  Karolyn A"/>
    <n v="27.6"/>
    <n v="5.36"/>
    <s v="No"/>
    <s v="No"/>
    <x v="0"/>
    <n v="1"/>
    <x v="1"/>
    <x v="1"/>
    <s v="Normal"/>
    <n v="1990"/>
    <s v="Sep"/>
    <n v="4"/>
    <n v="2"/>
    <d v="1990-09-04T00:00:00"/>
    <n v="4686.3900000000003"/>
    <s v="tier - 3"/>
    <s v="tier - 3"/>
    <s v="R1013"/>
    <n v="32"/>
  </r>
  <r>
    <s v="Id524"/>
    <s v="Rogers, Mrs.  Anita L."/>
    <n v="46.4"/>
    <n v="8.3699999999999992"/>
    <s v="yes"/>
    <s v="No"/>
    <x v="1"/>
    <n v="1"/>
    <x v="1"/>
    <x v="0"/>
    <s v="Diabetes"/>
    <n v="2003"/>
    <s v="Jun"/>
    <n v="22"/>
    <n v="5"/>
    <d v="2003-06-22T00:00:00"/>
    <n v="4687.8"/>
    <s v="tier - 2"/>
    <s v="tier - 3"/>
    <s v="R1011"/>
    <n v="19"/>
  </r>
  <r>
    <s v="Id525"/>
    <s v="Mclaughlin, Ms.  Laura E."/>
    <n v="51.92"/>
    <n v="5.18"/>
    <s v="yes"/>
    <s v="No"/>
    <x v="1"/>
    <n v="1"/>
    <x v="1"/>
    <x v="0"/>
    <s v="Normal"/>
    <n v="1977"/>
    <s v="Dec"/>
    <n v="4"/>
    <n v="2"/>
    <d v="1977-12-04T00:00:00"/>
    <n v="4699.47"/>
    <s v="tier - 2"/>
    <s v="tier - 3"/>
    <s v="R1013"/>
    <n v="45"/>
  </r>
  <r>
    <s v="Id526"/>
    <s v="Ziegler, Ms.  Sarah"/>
    <n v="32.395000000000003"/>
    <n v="5.68"/>
    <s v="yes"/>
    <s v="No"/>
    <x v="0"/>
    <n v="1"/>
    <x v="1"/>
    <x v="0"/>
    <s v="Normal"/>
    <n v="1981"/>
    <s v="Aug"/>
    <n v="12"/>
    <n v="1"/>
    <d v="1981-08-12T00:00:00"/>
    <n v="4712.12"/>
    <s v="tier - 2"/>
    <s v="tier - 3"/>
    <s v="R1011"/>
    <n v="41"/>
  </r>
  <r>
    <s v="Id527"/>
    <s v="Hughey, Mrs.  Ashley E"/>
    <n v="46.19"/>
    <n v="7.31"/>
    <s v="yes"/>
    <s v="No"/>
    <x v="1"/>
    <n v="1"/>
    <x v="1"/>
    <x v="0"/>
    <s v="Diabetes"/>
    <n v="1992"/>
    <s v="Oct"/>
    <n v="9"/>
    <n v="1"/>
    <d v="1992-10-09T00:00:00"/>
    <n v="4718.2"/>
    <s v="tier - 2"/>
    <s v="tier - 3"/>
    <s v="R1024"/>
    <n v="30"/>
  </r>
  <r>
    <s v="Id528"/>
    <s v="Knast, Ms.  Lindsey"/>
    <n v="27.93"/>
    <n v="4.67"/>
    <s v="No"/>
    <s v="No"/>
    <x v="1"/>
    <n v="1"/>
    <x v="1"/>
    <x v="1"/>
    <s v="Normal"/>
    <n v="1992"/>
    <s v="Sep"/>
    <n v="28"/>
    <n v="1"/>
    <d v="1992-09-28T00:00:00"/>
    <n v="4719.5200000000004"/>
    <s v="tier - 2"/>
    <s v="tier - 2"/>
    <s v="R1024"/>
    <n v="30"/>
  </r>
  <r>
    <s v="Id529"/>
    <s v="Stob, Mr.  Alan"/>
    <n v="45.62"/>
    <n v="6.87"/>
    <s v="No"/>
    <s v="No"/>
    <x v="0"/>
    <n v="0"/>
    <x v="1"/>
    <x v="0"/>
    <s v="Diabetes"/>
    <n v="1994"/>
    <s v="Aug"/>
    <n v="12"/>
    <n v="2"/>
    <d v="1994-08-12T00:00:00"/>
    <n v="4719.74"/>
    <s v="tier - 2"/>
    <s v="tier - 1"/>
    <s v="R1012"/>
    <n v="28"/>
  </r>
  <r>
    <s v="Id530"/>
    <s v="Jensen, Mr.  Dan R."/>
    <n v="35.31"/>
    <n v="5.87"/>
    <s v="No"/>
    <s v="No"/>
    <x v="1"/>
    <n v="1"/>
    <x v="1"/>
    <x v="0"/>
    <s v="Prediabetes"/>
    <n v="1980"/>
    <s v="Jul"/>
    <n v="2"/>
    <n v="2"/>
    <d v="1980-07-02T00:00:00"/>
    <n v="4728.71"/>
    <s v="tier - 2"/>
    <s v="tier - 3"/>
    <s v="R1012"/>
    <n v="42"/>
  </r>
  <r>
    <s v="Id531"/>
    <s v="Mutter, Ms.  Katie"/>
    <n v="30.4"/>
    <n v="4.07"/>
    <s v="yes"/>
    <s v="No"/>
    <x v="0"/>
    <n v="1"/>
    <x v="1"/>
    <x v="0"/>
    <s v="Normal"/>
    <n v="1986"/>
    <s v="Sep"/>
    <n v="5"/>
    <n v="3"/>
    <d v="1986-09-05T00:00:00"/>
    <n v="4734.6400000000003"/>
    <s v="tier - 2"/>
    <s v="tier - 1"/>
    <s v="R1013"/>
    <n v="36"/>
  </r>
  <r>
    <s v="Id532"/>
    <s v="Ahern, Mr.  Eric"/>
    <n v="20.13"/>
    <n v="6.47"/>
    <s v="No"/>
    <s v="No"/>
    <x v="1"/>
    <n v="1"/>
    <x v="0"/>
    <x v="2"/>
    <s v="Diabetes"/>
    <n v="1991"/>
    <s v="Oct"/>
    <n v="12"/>
    <n v="1"/>
    <d v="1991-10-12T00:00:00"/>
    <n v="4738.2700000000004"/>
    <s v="tier - 2"/>
    <s v="tier - 3"/>
    <s v="R1012"/>
    <n v="31"/>
  </r>
  <r>
    <s v="Id533"/>
    <s v="Chviruk, Ms.  Cathryn"/>
    <n v="23.655000000000001"/>
    <n v="5.14"/>
    <s v="No"/>
    <s v="No"/>
    <x v="0"/>
    <n v="1"/>
    <x v="0"/>
    <x v="2"/>
    <s v="Normal"/>
    <n v="2004"/>
    <s v="Nov"/>
    <n v="24"/>
    <n v="0"/>
    <d v="2004-11-24T00:00:00"/>
    <n v="4740.78"/>
    <s v="tier - 2"/>
    <s v="tier - 3"/>
    <s v="R1021"/>
    <n v="18"/>
  </r>
  <r>
    <s v="Id534"/>
    <s v="Meehan, Mr.  Brendan"/>
    <n v="49.05"/>
    <n v="9.77"/>
    <s v="yes"/>
    <s v="No"/>
    <x v="0"/>
    <n v="0"/>
    <x v="1"/>
    <x v="0"/>
    <s v="Diabetes"/>
    <n v="1987"/>
    <s v="Jun"/>
    <n v="5"/>
    <n v="1"/>
    <d v="1987-06-05T00:00:00"/>
    <n v="4746.34"/>
    <s v="tier - 2"/>
    <s v="tier - 2"/>
    <s v="R1011"/>
    <n v="36"/>
  </r>
  <r>
    <s v="Id535"/>
    <s v="Gammon, Ms.  Shauna"/>
    <n v="51.94"/>
    <n v="8.8000000000000007"/>
    <s v="yes"/>
    <s v="No"/>
    <x v="0"/>
    <n v="2"/>
    <x v="1"/>
    <x v="0"/>
    <s v="Diabetes"/>
    <n v="1987"/>
    <s v="Sep"/>
    <n v="2"/>
    <n v="1"/>
    <d v="1987-09-02T00:00:00"/>
    <n v="4747.05"/>
    <s v="tier - 2"/>
    <s v="tier - 2"/>
    <s v="R1013"/>
    <n v="35"/>
  </r>
  <r>
    <s v="Id536"/>
    <s v="Lee, Mr.  Terence"/>
    <n v="29.83"/>
    <n v="5.84"/>
    <s v="No"/>
    <s v="No"/>
    <x v="0"/>
    <n v="1"/>
    <x v="0"/>
    <x v="1"/>
    <s v="Prediabetes"/>
    <n v="1987"/>
    <s v="Nov"/>
    <n v="22"/>
    <n v="1"/>
    <d v="1987-11-22T00:00:00"/>
    <n v="4751.07"/>
    <s v="tier - 3"/>
    <s v="tier - 1"/>
    <s v="R1011"/>
    <n v="35"/>
  </r>
  <r>
    <s v="Id537"/>
    <s v="Franco, Ms.  Marisol"/>
    <n v="22.6"/>
    <n v="10.43"/>
    <s v="yes"/>
    <s v="No"/>
    <x v="0"/>
    <n v="1"/>
    <x v="0"/>
    <x v="2"/>
    <s v="Diabetes"/>
    <n v="1992"/>
    <s v="Aug"/>
    <n v="16"/>
    <n v="2"/>
    <d v="1992-08-16T00:00:00"/>
    <n v="4753.6400000000003"/>
    <s v="tier - 2"/>
    <s v="tier - 3"/>
    <s v="R1013"/>
    <n v="30"/>
  </r>
  <r>
    <s v="Id538"/>
    <s v="Patterson, Ms.  Lindsay"/>
    <n v="46.69"/>
    <n v="4.25"/>
    <s v="yes"/>
    <s v="No"/>
    <x v="0"/>
    <n v="1"/>
    <x v="1"/>
    <x v="0"/>
    <s v="Normal"/>
    <n v="1987"/>
    <s v="Sep"/>
    <n v="27"/>
    <n v="1"/>
    <d v="1987-09-27T00:00:00"/>
    <n v="4762.33"/>
    <s v="tier - 3"/>
    <s v="tier - 3"/>
    <s v="R1011"/>
    <n v="35"/>
  </r>
  <r>
    <s v="Id539"/>
    <s v="Valdes, Ms.  Katie"/>
    <n v="28.49"/>
    <n v="4.8899999999999997"/>
    <s v="No"/>
    <s v="No"/>
    <x v="0"/>
    <n v="0"/>
    <x v="0"/>
    <x v="1"/>
    <s v="Normal"/>
    <n v="1989"/>
    <s v="Aug"/>
    <n v="1"/>
    <n v="1"/>
    <d v="1989-08-01T00:00:00"/>
    <n v="4766.0200000000004"/>
    <s v="tier - 2"/>
    <s v="tier - 3"/>
    <s v="R1011"/>
    <n v="33"/>
  </r>
  <r>
    <s v="Id540"/>
    <s v="Craig, Mr.  Daniel"/>
    <n v="28.5"/>
    <n v="5.55"/>
    <s v="yes"/>
    <s v="No"/>
    <x v="0"/>
    <n v="1"/>
    <x v="0"/>
    <x v="1"/>
    <s v="Normal"/>
    <n v="1989"/>
    <s v="Dec"/>
    <n v="9"/>
    <n v="1"/>
    <d v="1989-12-09T00:00:00"/>
    <n v="4779.6000000000004"/>
    <s v="tier - 2"/>
    <s v="tier - 3"/>
    <s v="R1013"/>
    <n v="33"/>
  </r>
  <r>
    <s v="Id541"/>
    <s v="Whipple, Mr.  Brett W"/>
    <n v="24.4"/>
    <n v="4.5199999999999996"/>
    <s v="No"/>
    <s v="No"/>
    <x v="0"/>
    <n v="1"/>
    <x v="0"/>
    <x v="2"/>
    <s v="Normal"/>
    <n v="1987"/>
    <s v="Jun"/>
    <n v="22"/>
    <n v="3"/>
    <d v="1987-06-22T00:00:00"/>
    <n v="4787.42"/>
    <s v="tier - 2"/>
    <s v="tier - 3"/>
    <s v="R1013"/>
    <n v="35"/>
  </r>
  <r>
    <s v="Id542"/>
    <s v="Marton, Mr.  Dylan J"/>
    <n v="29.15"/>
    <n v="4.45"/>
    <s v="yes"/>
    <s v="No"/>
    <x v="0"/>
    <n v="1"/>
    <x v="0"/>
    <x v="1"/>
    <s v="Normal"/>
    <n v="1989"/>
    <s v="Dec"/>
    <n v="16"/>
    <n v="1"/>
    <d v="1989-12-16T00:00:00"/>
    <n v="4795.66"/>
    <s v="tier - 2"/>
    <s v="tier - 1"/>
    <s v="R1013"/>
    <n v="33"/>
  </r>
  <r>
    <s v="Id543"/>
    <s v="Hildebrandt, Ms.  Elizabeth"/>
    <n v="27.28"/>
    <n v="4.72"/>
    <s v="No"/>
    <s v="yes"/>
    <x v="0"/>
    <n v="1"/>
    <x v="0"/>
    <x v="1"/>
    <s v="Normal"/>
    <n v="1978"/>
    <s v="Oct"/>
    <n v="3"/>
    <n v="2"/>
    <d v="1978-10-03T00:00:00"/>
    <n v="4812.34"/>
    <s v="tier - 2"/>
    <s v="tier - 3"/>
    <s v="R1013"/>
    <n v="44"/>
  </r>
  <r>
    <s v="Id544"/>
    <s v="Biggs, Ms.  Brooke M."/>
    <n v="32.229999999999997"/>
    <n v="4.6500000000000004"/>
    <s v="yes"/>
    <s v="No"/>
    <x v="1"/>
    <n v="1"/>
    <x v="1"/>
    <x v="0"/>
    <s v="Normal"/>
    <n v="1981"/>
    <s v="Jul"/>
    <n v="3"/>
    <n v="1"/>
    <d v="1981-07-03T00:00:00"/>
    <n v="4827.1000000000004"/>
    <s v="tier - 2"/>
    <s v="tier - 1"/>
    <s v="R1013"/>
    <n v="41"/>
  </r>
  <r>
    <s v="Id545"/>
    <s v="Shigezumi, Mrs.  Teiko"/>
    <n v="44.2"/>
    <n v="11.34"/>
    <s v="yes"/>
    <s v="No"/>
    <x v="1"/>
    <n v="1"/>
    <x v="1"/>
    <x v="0"/>
    <s v="Diabetes"/>
    <n v="1995"/>
    <s v="Dec"/>
    <n v="1"/>
    <n v="3"/>
    <d v="1995-12-01T00:00:00"/>
    <n v="4827.8999999999996"/>
    <s v="tier - 1"/>
    <s v="tier - 2"/>
    <s v="?"/>
    <n v="27"/>
  </r>
  <r>
    <s v="Id546"/>
    <s v="Meineke, Mr.  Zachary"/>
    <n v="29.734999999999999"/>
    <n v="4.53"/>
    <s v="No"/>
    <s v="No"/>
    <x v="1"/>
    <n v="1"/>
    <x v="1"/>
    <x v="1"/>
    <s v="Normal"/>
    <n v="2002"/>
    <s v="Jun"/>
    <n v="27"/>
    <n v="5"/>
    <d v="2002-06-27T00:00:00"/>
    <n v="4830.63"/>
    <s v="tier - 2"/>
    <s v="tier - 1"/>
    <s v="R1011"/>
    <n v="20"/>
  </r>
  <r>
    <s v="Id547"/>
    <s v="Ludington, Ms.  Johannah"/>
    <n v="28.31"/>
    <n v="6.35"/>
    <s v="No"/>
    <s v="No"/>
    <x v="0"/>
    <n v="0"/>
    <x v="0"/>
    <x v="1"/>
    <s v="Prediabetes"/>
    <n v="2000"/>
    <s v="Dec"/>
    <n v="11"/>
    <n v="0"/>
    <d v="2000-12-11T00:00:00"/>
    <n v="4835.43"/>
    <s v="tier - 2"/>
    <s v="tier - 2"/>
    <s v="R1021"/>
    <n v="22"/>
  </r>
  <r>
    <s v="Id548"/>
    <s v="Perrich, Mr.  Ryan A"/>
    <n v="46.62"/>
    <n v="8.51"/>
    <s v="No"/>
    <s v="No"/>
    <x v="0"/>
    <n v="0"/>
    <x v="1"/>
    <x v="0"/>
    <s v="Diabetes"/>
    <n v="1992"/>
    <s v="Sep"/>
    <n v="10"/>
    <n v="3"/>
    <d v="1992-09-10T00:00:00"/>
    <n v="4837.58"/>
    <s v="tier - 3"/>
    <s v="tier - 2"/>
    <s v="R1013"/>
    <n v="30"/>
  </r>
  <r>
    <s v="Id549"/>
    <s v="Cervantes, Mr.  Andres Sr."/>
    <n v="51.75"/>
    <n v="8.59"/>
    <s v="yes"/>
    <s v="No"/>
    <x v="0"/>
    <n v="1"/>
    <x v="1"/>
    <x v="0"/>
    <s v="Diabetes"/>
    <n v="1984"/>
    <s v="Oct"/>
    <n v="15"/>
    <n v="3"/>
    <d v="1984-10-15T00:00:00"/>
    <n v="4839.18"/>
    <s v="tier - 2"/>
    <s v="tier - 1"/>
    <s v="R1012"/>
    <n v="38"/>
  </r>
  <r>
    <s v="Id550"/>
    <s v="Andrews, Mr.  Bryan"/>
    <n v="25.7"/>
    <n v="4.13"/>
    <s v="yes"/>
    <s v="No"/>
    <x v="0"/>
    <n v="0"/>
    <x v="0"/>
    <x v="1"/>
    <s v="Normal"/>
    <n v="1995"/>
    <s v="Sep"/>
    <n v="29"/>
    <n v="0"/>
    <d v="1995-09-29T00:00:00"/>
    <n v="4840.95"/>
    <s v="tier - 2"/>
    <s v="tier - 1"/>
    <s v="R1021"/>
    <n v="27"/>
  </r>
  <r>
    <s v="Id551"/>
    <s v="Ruvalcaba, Ms.  Lizette"/>
    <n v="31.79"/>
    <n v="4.55"/>
    <s v="No"/>
    <s v="No"/>
    <x v="0"/>
    <n v="0"/>
    <x v="1"/>
    <x v="0"/>
    <s v="Normal"/>
    <n v="1979"/>
    <s v="Dec"/>
    <n v="13"/>
    <n v="2"/>
    <d v="1979-12-13T00:00:00"/>
    <n v="4843.79"/>
    <s v="tier - 2"/>
    <s v="tier - 3"/>
    <s v="R1013"/>
    <n v="43"/>
  </r>
  <r>
    <s v="Id552"/>
    <s v="King, Mr.  Don"/>
    <n v="24.795000000000002"/>
    <n v="4.5199999999999996"/>
    <s v="No"/>
    <s v="No"/>
    <x v="0"/>
    <n v="0"/>
    <x v="0"/>
    <x v="2"/>
    <s v="Normal"/>
    <n v="1974"/>
    <s v="Sep"/>
    <n v="11"/>
    <n v="0"/>
    <d v="1974-09-11T00:00:00"/>
    <n v="4844.67"/>
    <s v="tier - 2"/>
    <s v="tier - 2"/>
    <s v="R1013"/>
    <n v="48"/>
  </r>
  <r>
    <s v="Id553"/>
    <s v="Stone, Mr.  Jeb"/>
    <n v="53.98"/>
    <n v="5.07"/>
    <s v="No"/>
    <s v="No"/>
    <x v="1"/>
    <n v="1"/>
    <x v="1"/>
    <x v="0"/>
    <s v="Normal"/>
    <n v="2001"/>
    <s v="Jun"/>
    <n v="7"/>
    <n v="0"/>
    <d v="2001-06-07T00:00:00"/>
    <n v="4846.53"/>
    <s v="tier - 2"/>
    <s v="tier - 3"/>
    <s v="R1021"/>
    <n v="22"/>
  </r>
  <r>
    <s v="Id554"/>
    <s v="Campbell, Ms.  Amy R."/>
    <n v="41.325000000000003"/>
    <n v="4.04"/>
    <s v="yes"/>
    <s v="No"/>
    <x v="1"/>
    <n v="1"/>
    <x v="1"/>
    <x v="0"/>
    <s v="Normal"/>
    <n v="1995"/>
    <s v="Dec"/>
    <n v="27"/>
    <n v="3"/>
    <d v="1995-12-27T00:00:00"/>
    <n v="4846.92"/>
    <s v="tier - 2"/>
    <s v="tier - 3"/>
    <s v="R1017"/>
    <n v="27"/>
  </r>
  <r>
    <s v="Id555"/>
    <s v="Asher, Mr.  Brian"/>
    <n v="51.65"/>
    <n v="5.3"/>
    <s v="yes"/>
    <s v="No"/>
    <x v="0"/>
    <n v="0"/>
    <x v="1"/>
    <x v="0"/>
    <s v="Normal"/>
    <n v="1989"/>
    <s v="Sep"/>
    <n v="1"/>
    <n v="3"/>
    <d v="1989-09-01T00:00:00"/>
    <n v="4859.8900000000003"/>
    <s v="tier - 2"/>
    <s v="tier - 3"/>
    <s v="R1011"/>
    <n v="33"/>
  </r>
  <r>
    <s v="Id556"/>
    <s v="Mazzotta, Mr.  Mike G"/>
    <n v="44.52"/>
    <n v="8.64"/>
    <s v="yes"/>
    <s v="No"/>
    <x v="1"/>
    <n v="1"/>
    <x v="1"/>
    <x v="0"/>
    <s v="Diabetes"/>
    <n v="1997"/>
    <s v="Sep"/>
    <n v="29"/>
    <n v="4"/>
    <d v="1997-09-29T00:00:00"/>
    <n v="4877.9799999999996"/>
    <s v="tier - 2"/>
    <s v="tier - 3"/>
    <s v="R1012"/>
    <n v="25"/>
  </r>
  <r>
    <s v="Id557"/>
    <s v="Huttl, Ms.  Simonezitrone Sr."/>
    <n v="53.29"/>
    <n v="4.03"/>
    <s v="No"/>
    <s v="No"/>
    <x v="1"/>
    <n v="1"/>
    <x v="1"/>
    <x v="0"/>
    <s v="Normal"/>
    <n v="1986"/>
    <s v="Dec"/>
    <n v="23"/>
    <n v="0"/>
    <d v="1986-12-23T00:00:00"/>
    <n v="4883.87"/>
    <s v="tier - 2"/>
    <s v="tier - 1"/>
    <s v="R1011"/>
    <n v="36"/>
  </r>
  <r>
    <s v="Id558"/>
    <s v="Ferron, Mr.  Nicholas"/>
    <n v="46.63"/>
    <n v="4.26"/>
    <s v="yes"/>
    <s v="No"/>
    <x v="0"/>
    <n v="2"/>
    <x v="1"/>
    <x v="0"/>
    <s v="Normal"/>
    <n v="1986"/>
    <s v="Oct"/>
    <n v="27"/>
    <n v="0"/>
    <d v="1986-10-27T00:00:00"/>
    <n v="4889.04"/>
    <s v="tier - 2"/>
    <s v="tier - 1"/>
    <s v="R1013"/>
    <n v="36"/>
  </r>
  <r>
    <s v="Id559"/>
    <s v="Colarusso, Ms.  Angela M"/>
    <n v="28.88"/>
    <n v="5.35"/>
    <s v="No"/>
    <s v="No"/>
    <x v="1"/>
    <n v="1"/>
    <x v="0"/>
    <x v="1"/>
    <s v="Normal"/>
    <n v="1989"/>
    <s v="Jul"/>
    <n v="10"/>
    <n v="2"/>
    <d v="1989-07-10T00:00:00"/>
    <n v="4890"/>
    <s v="tier - 3"/>
    <s v="tier - 2"/>
    <s v="R1013"/>
    <n v="33"/>
  </r>
  <r>
    <s v="Id560"/>
    <s v="Pearlman, Mr.  Oz"/>
    <n v="23.98"/>
    <n v="4.9000000000000004"/>
    <s v="No"/>
    <s v="No"/>
    <x v="0"/>
    <n v="0"/>
    <x v="2"/>
    <x v="2"/>
    <s v="Normal"/>
    <n v="1990"/>
    <s v="Nov"/>
    <n v="28"/>
    <n v="3"/>
    <d v="1990-11-28T00:00:00"/>
    <n v="4894.3900000000003"/>
    <s v="tier - 2"/>
    <s v="tier - 3"/>
    <s v="R1013"/>
    <n v="32"/>
  </r>
  <r>
    <s v="Id561"/>
    <s v="O'Mara, Ms.  Erin M."/>
    <n v="23.65"/>
    <n v="4.5"/>
    <s v="No"/>
    <s v="No"/>
    <x v="0"/>
    <n v="0"/>
    <x v="1"/>
    <x v="2"/>
    <s v="Normal"/>
    <n v="1988"/>
    <s v="Sep"/>
    <n v="23"/>
    <n v="1"/>
    <d v="1988-09-23T00:00:00"/>
    <n v="4894.75"/>
    <s v="tier - 3"/>
    <s v="tier - 3"/>
    <s v="R1012"/>
    <n v="34"/>
  </r>
  <r>
    <s v="Id562"/>
    <s v="Niska, Mr.  Bobby E."/>
    <n v="49.09"/>
    <n v="8.3800000000000008"/>
    <s v="yes"/>
    <s v="No"/>
    <x v="0"/>
    <n v="2"/>
    <x v="1"/>
    <x v="0"/>
    <s v="Diabetes"/>
    <n v="1993"/>
    <s v="Jul"/>
    <n v="10"/>
    <n v="2"/>
    <d v="1993-07-10T00:00:00"/>
    <n v="4906.41"/>
    <s v="tier - 2"/>
    <s v="tier - 1"/>
    <s v="R1012"/>
    <n v="29"/>
  </r>
  <r>
    <s v="Id563"/>
    <s v="Schlich, Mr.  Daniel P."/>
    <n v="28.024999999999999"/>
    <n v="7.03"/>
    <s v="No"/>
    <s v="No"/>
    <x v="0"/>
    <n v="0"/>
    <x v="0"/>
    <x v="1"/>
    <s v="Diabetes"/>
    <n v="1981"/>
    <s v="Oct"/>
    <n v="18"/>
    <n v="1"/>
    <d v="1981-10-18T00:00:00"/>
    <n v="4911.8900000000003"/>
    <s v="tier - 2"/>
    <s v="tier - 3"/>
    <s v="R1013"/>
    <n v="41"/>
  </r>
  <r>
    <s v="Id564"/>
    <s v="Zidek, Ms.  Marie E."/>
    <n v="43.32"/>
    <n v="8.75"/>
    <s v="yes"/>
    <s v="No"/>
    <x v="1"/>
    <n v="1"/>
    <x v="1"/>
    <x v="0"/>
    <s v="Diabetes"/>
    <n v="2002"/>
    <s v="Aug"/>
    <n v="21"/>
    <n v="5"/>
    <d v="2002-08-21T00:00:00"/>
    <n v="4915.0600000000004"/>
    <s v="tier - 2"/>
    <s v="tier - 1"/>
    <s v="R1017"/>
    <n v="20"/>
  </r>
  <r>
    <s v="Id565"/>
    <s v="Ellgass, Mrs.  Katie"/>
    <n v="45.92"/>
    <n v="9.51"/>
    <s v="No"/>
    <s v="No"/>
    <x v="0"/>
    <n v="0"/>
    <x v="1"/>
    <x v="0"/>
    <s v="Diabetes"/>
    <n v="1993"/>
    <s v="Aug"/>
    <n v="10"/>
    <n v="2"/>
    <d v="1993-08-10T00:00:00"/>
    <n v="4922.92"/>
    <s v="tier - 2"/>
    <s v="tier - 2"/>
    <s v="R1012"/>
    <n v="29"/>
  </r>
  <r>
    <s v="Id566"/>
    <s v="Lowe, Mr.  Eric D"/>
    <n v="44.03"/>
    <n v="9.36"/>
    <s v="No"/>
    <s v="No"/>
    <x v="0"/>
    <n v="0"/>
    <x v="1"/>
    <x v="0"/>
    <s v="Diabetes"/>
    <n v="1991"/>
    <s v="Aug"/>
    <n v="23"/>
    <n v="2"/>
    <d v="1991-08-23T00:00:00"/>
    <n v="4931.6499999999996"/>
    <s v="tier - 2"/>
    <s v="tier - 3"/>
    <s v="R1011"/>
    <n v="31"/>
  </r>
  <r>
    <s v="Id567"/>
    <s v="Malone, Ms.  Tara"/>
    <n v="24.6"/>
    <n v="4.8099999999999996"/>
    <s v="No"/>
    <s v="No"/>
    <x v="0"/>
    <n v="0"/>
    <x v="0"/>
    <x v="2"/>
    <s v="Normal"/>
    <n v="1991"/>
    <s v="Nov"/>
    <n v="27"/>
    <n v="2"/>
    <d v="1991-11-27T00:00:00"/>
    <n v="4934.71"/>
    <s v="tier - 2"/>
    <s v="tier - 3"/>
    <s v="R1011"/>
    <n v="31"/>
  </r>
  <r>
    <s v="Id568"/>
    <s v="Dumke, Ms.  Haley L"/>
    <n v="49.15"/>
    <n v="8.08"/>
    <s v="No"/>
    <s v="No"/>
    <x v="0"/>
    <n v="0"/>
    <x v="1"/>
    <x v="0"/>
    <s v="Diabetes"/>
    <n v="1974"/>
    <s v="Jun"/>
    <n v="26"/>
    <n v="0"/>
    <d v="1974-06-26T00:00:00"/>
    <n v="4942.0600000000004"/>
    <s v="tier - 2"/>
    <s v="tier - 2"/>
    <s v="R1013"/>
    <n v="48"/>
  </r>
  <r>
    <s v="Id569"/>
    <s v="Strong, Ms.  Kayla B."/>
    <n v="28.31"/>
    <n v="6.29"/>
    <s v="No"/>
    <s v="No"/>
    <x v="1"/>
    <n v="1"/>
    <x v="0"/>
    <x v="1"/>
    <s v="Prediabetes"/>
    <n v="1991"/>
    <s v="Aug"/>
    <n v="30"/>
    <n v="2"/>
    <d v="1991-08-30T00:00:00"/>
    <n v="4949.76"/>
    <s v="tier - 2"/>
    <s v="tier - 1"/>
    <s v="R1013"/>
    <n v="31"/>
  </r>
  <r>
    <s v="Id570"/>
    <s v="Ferguson, Mr.  Mark D."/>
    <n v="22.99"/>
    <n v="6.29"/>
    <s v="No"/>
    <s v="No"/>
    <x v="0"/>
    <n v="1"/>
    <x v="0"/>
    <x v="2"/>
    <s v="Prediabetes"/>
    <n v="1973"/>
    <s v="Nov"/>
    <n v="7"/>
    <n v="0"/>
    <d v="1973-11-07T00:00:00"/>
    <n v="4985.22"/>
    <s v="tier - 2"/>
    <s v="tier - 3"/>
    <s v="R1013"/>
    <n v="49"/>
  </r>
  <r>
    <s v="Id571"/>
    <s v="Klein, Mr.  Patrick J."/>
    <n v="29.07"/>
    <n v="5.12"/>
    <s v="No"/>
    <s v="No"/>
    <x v="1"/>
    <n v="1"/>
    <x v="0"/>
    <x v="1"/>
    <s v="Normal"/>
    <n v="1988"/>
    <s v="Jun"/>
    <n v="24"/>
    <n v="0"/>
    <d v="1988-06-24T00:00:00"/>
    <n v="4992.38"/>
    <s v="tier - 2"/>
    <s v="tier - 3"/>
    <s v="R1024"/>
    <n v="34"/>
  </r>
  <r>
    <s v="Id572"/>
    <s v="Eusebio, Mr.  Alejandro"/>
    <n v="42.02"/>
    <n v="9.9499999999999993"/>
    <s v="yes"/>
    <s v="No"/>
    <x v="1"/>
    <n v="1"/>
    <x v="1"/>
    <x v="0"/>
    <s v="Diabetes"/>
    <n v="2001"/>
    <s v="Oct"/>
    <n v="5"/>
    <n v="0"/>
    <d v="2001-10-05T00:00:00"/>
    <n v="4999.04"/>
    <s v="tier - 2"/>
    <s v="tier - 2"/>
    <s v="R1011"/>
    <n v="21"/>
  </r>
  <r>
    <s v="Id573"/>
    <s v="Szolosi, Mrs.  Beth A"/>
    <n v="49.07"/>
    <n v="9.08"/>
    <s v="yes"/>
    <s v="No"/>
    <x v="0"/>
    <n v="1"/>
    <x v="1"/>
    <x v="0"/>
    <s v="Diabetes"/>
    <n v="1988"/>
    <s v="Sep"/>
    <n v="4"/>
    <n v="1"/>
    <d v="1988-09-04T00:00:00"/>
    <n v="5002.78"/>
    <s v="tier - 2"/>
    <s v="tier - 2"/>
    <s v="R1013"/>
    <n v="34"/>
  </r>
  <r>
    <s v="Id574"/>
    <s v="Butler, Mr.  Jason R"/>
    <n v="19.8"/>
    <n v="4.82"/>
    <s v="No"/>
    <s v="No"/>
    <x v="0"/>
    <n v="0"/>
    <x v="0"/>
    <x v="2"/>
    <s v="Normal"/>
    <n v="1977"/>
    <s v="Jun"/>
    <n v="9"/>
    <n v="2"/>
    <d v="1977-06-09T00:00:00"/>
    <n v="5003.7700000000004"/>
    <s v="tier - 2"/>
    <s v="tier - 3"/>
    <s v="R1013"/>
    <n v="45"/>
  </r>
  <r>
    <s v="Id575"/>
    <s v="Fukuchi, Mr.  Yoshinori"/>
    <n v="27.36"/>
    <n v="4.6500000000000004"/>
    <s v="No"/>
    <s v="yes"/>
    <x v="0"/>
    <n v="1"/>
    <x v="0"/>
    <x v="1"/>
    <s v="Normal"/>
    <n v="1988"/>
    <s v="Jul"/>
    <n v="8"/>
    <n v="1"/>
    <d v="1988-07-08T00:00:00"/>
    <n v="5003.8500000000004"/>
    <s v="tier - 2"/>
    <s v="tier - 3"/>
    <s v="R1011"/>
    <n v="34"/>
  </r>
  <r>
    <s v="Id576"/>
    <s v="Drucker, Ms.  Adrienne G."/>
    <n v="42.95"/>
    <n v="5.16"/>
    <s v="yes"/>
    <s v="No"/>
    <x v="0"/>
    <n v="1"/>
    <x v="1"/>
    <x v="0"/>
    <s v="Normal"/>
    <n v="1988"/>
    <s v="Nov"/>
    <n v="9"/>
    <n v="1"/>
    <d v="1988-11-09T00:00:00"/>
    <n v="5012.47"/>
    <s v="tier - 2"/>
    <s v="tier - 3"/>
    <s v="R1011"/>
    <n v="34"/>
  </r>
  <r>
    <s v="Id577"/>
    <s v="Aziz, Mrs.  Meredith"/>
    <n v="42.66"/>
    <n v="10.44"/>
    <s v="No"/>
    <s v="No"/>
    <x v="0"/>
    <n v="0"/>
    <x v="1"/>
    <x v="0"/>
    <s v="Diabetes"/>
    <n v="1985"/>
    <s v="Dec"/>
    <n v="28"/>
    <n v="0"/>
    <d v="1985-12-28T00:00:00"/>
    <n v="5028.1499999999996"/>
    <s v="tier - 1"/>
    <s v="tier - 2"/>
    <s v="R1012"/>
    <n v="37"/>
  </r>
  <r>
    <s v="Id578"/>
    <s v="Pak, Mr.  Junyong"/>
    <n v="33.630000000000003"/>
    <n v="5.69"/>
    <s v="No"/>
    <s v="No"/>
    <x v="0"/>
    <n v="1"/>
    <x v="1"/>
    <x v="0"/>
    <s v="Normal"/>
    <n v="1991"/>
    <s v="Sep"/>
    <n v="10"/>
    <n v="2"/>
    <d v="1991-09-10T00:00:00"/>
    <n v="5031.2700000000004"/>
    <s v="tier - 3"/>
    <s v="tier - 1"/>
    <s v="R1016"/>
    <n v="31"/>
  </r>
  <r>
    <s v="Id579"/>
    <s v="Kieta, Ms.  Kristen A."/>
    <n v="26.84"/>
    <n v="6.5"/>
    <s v="No"/>
    <s v="No"/>
    <x v="0"/>
    <n v="0"/>
    <x v="0"/>
    <x v="1"/>
    <s v="Diabetes"/>
    <n v="1986"/>
    <s v="Jun"/>
    <n v="29"/>
    <n v="3"/>
    <d v="1986-06-29T00:00:00"/>
    <n v="5034.1000000000004"/>
    <s v="tier - 2"/>
    <s v="tier - 2"/>
    <s v="R1013"/>
    <n v="36"/>
  </r>
  <r>
    <s v="Id580"/>
    <s v="Velez, Ms.  Maria I."/>
    <n v="28.3"/>
    <n v="5.73"/>
    <s v="No"/>
    <s v="No"/>
    <x v="1"/>
    <n v="1"/>
    <x v="0"/>
    <x v="1"/>
    <s v="Prediabetes"/>
    <n v="1997"/>
    <s v="Dec"/>
    <n v="4"/>
    <n v="0"/>
    <d v="1997-12-04T00:00:00"/>
    <n v="5038.57"/>
    <s v="tier - 2"/>
    <s v="tier - 2"/>
    <s v="R1025"/>
    <n v="25"/>
  </r>
  <r>
    <s v="Id581"/>
    <s v="Bussiere, Mr.  Jonathan"/>
    <n v="27.06"/>
    <n v="5.74"/>
    <s v="yes"/>
    <s v="No"/>
    <x v="0"/>
    <n v="0"/>
    <x v="0"/>
    <x v="1"/>
    <s v="Prediabetes"/>
    <n v="2001"/>
    <s v="Oct"/>
    <n v="16"/>
    <n v="0"/>
    <d v="2001-10-16T00:00:00"/>
    <n v="5043.13"/>
    <s v="tier - 2"/>
    <s v="tier - 3"/>
    <s v="R1011"/>
    <n v="21"/>
  </r>
  <r>
    <s v="Id582"/>
    <s v="McCartney, Mr.  Phil"/>
    <n v="47.13"/>
    <n v="8.6999999999999993"/>
    <s v="No"/>
    <s v="No"/>
    <x v="0"/>
    <n v="0"/>
    <x v="1"/>
    <x v="0"/>
    <s v="Diabetes"/>
    <n v="1997"/>
    <s v="Jul"/>
    <n v="29"/>
    <n v="0"/>
    <d v="1997-07-29T00:00:00"/>
    <n v="5045.1499999999996"/>
    <s v="tier - 2"/>
    <s v="tier - 2"/>
    <s v="R1012"/>
    <n v="25"/>
  </r>
  <r>
    <s v="Id583"/>
    <s v="Bambauer, Ms.  Benjamina C"/>
    <n v="51.72"/>
    <n v="5.09"/>
    <s v="No"/>
    <s v="No"/>
    <x v="0"/>
    <n v="0"/>
    <x v="1"/>
    <x v="0"/>
    <s v="Normal"/>
    <n v="1980"/>
    <s v="Sep"/>
    <n v="7"/>
    <n v="2"/>
    <d v="1980-09-07T00:00:00"/>
    <n v="5054.05"/>
    <s v="tier - 2"/>
    <s v="tier - 2"/>
    <s v="R1013"/>
    <n v="42"/>
  </r>
  <r>
    <s v="Id584"/>
    <s v="Mertz, Mr.  Christopher"/>
    <n v="48.59"/>
    <n v="5.57"/>
    <s v="No"/>
    <s v="No"/>
    <x v="0"/>
    <n v="0"/>
    <x v="1"/>
    <x v="0"/>
    <s v="Normal"/>
    <n v="1993"/>
    <s v="Jun"/>
    <n v="11"/>
    <n v="0"/>
    <d v="1993-06-11T00:00:00"/>
    <n v="5059.5600000000004"/>
    <s v="tier - 2"/>
    <s v="tier - 1"/>
    <s v="R1021"/>
    <n v="29"/>
  </r>
  <r>
    <s v="Id585"/>
    <s v="Mason, Ms.  Alison B"/>
    <n v="45.18"/>
    <n v="10.87"/>
    <s v="No"/>
    <s v="No"/>
    <x v="0"/>
    <n v="0"/>
    <x v="1"/>
    <x v="0"/>
    <s v="Diabetes"/>
    <n v="1978"/>
    <s v="Nov"/>
    <n v="22"/>
    <n v="2"/>
    <d v="1978-11-22T00:00:00"/>
    <n v="5077.1899999999996"/>
    <s v="tier - 2"/>
    <s v="tier - 3"/>
    <s v="R1012"/>
    <n v="44"/>
  </r>
  <r>
    <s v="Id586"/>
    <s v="Rotich, Ms.  Caroline"/>
    <n v="27.9"/>
    <n v="6.02"/>
    <s v="No"/>
    <s v="No"/>
    <x v="1"/>
    <n v="1"/>
    <x v="0"/>
    <x v="1"/>
    <s v="Prediabetes"/>
    <n v="1997"/>
    <s v="Jul"/>
    <n v="14"/>
    <n v="5"/>
    <d v="1997-07-14T00:00:00"/>
    <n v="5080.1000000000004"/>
    <s v="tier - 3"/>
    <s v="tier - 2"/>
    <s v="R1011"/>
    <n v="25"/>
  </r>
  <r>
    <s v="Id587"/>
    <s v="Fetzer, Ms.  Alexis N"/>
    <n v="51.33"/>
    <n v="7"/>
    <s v="No"/>
    <s v="No"/>
    <x v="0"/>
    <n v="0"/>
    <x v="1"/>
    <x v="0"/>
    <s v="Diabetes"/>
    <n v="1999"/>
    <s v="Jun"/>
    <n v="19"/>
    <n v="0"/>
    <d v="1999-06-19T00:00:00"/>
    <n v="5087.92"/>
    <s v="tier - 2"/>
    <s v="tier - 2"/>
    <s v="R1026"/>
    <n v="23"/>
  </r>
  <r>
    <s v="Id588"/>
    <s v="Mattis, Ms.  Shanda L"/>
    <n v="30.59"/>
    <n v="5.56"/>
    <s v="yes"/>
    <s v="No"/>
    <x v="0"/>
    <n v="1"/>
    <x v="1"/>
    <x v="0"/>
    <s v="Normal"/>
    <n v="1987"/>
    <s v="Nov"/>
    <n v="18"/>
    <n v="1"/>
    <d v="1987-11-18T00:00:00"/>
    <n v="5116.5"/>
    <s v="tier - 2"/>
    <s v="tier - 2"/>
    <s v="R1012"/>
    <n v="35"/>
  </r>
  <r>
    <s v="Id589"/>
    <s v="Cochran, Mrs.  Lacey"/>
    <n v="39.229999999999997"/>
    <n v="8.4499999999999993"/>
    <s v="No"/>
    <s v="No"/>
    <x v="0"/>
    <n v="0"/>
    <x v="1"/>
    <x v="0"/>
    <s v="Diabetes"/>
    <n v="1988"/>
    <s v="Nov"/>
    <n v="1"/>
    <n v="2"/>
    <d v="1988-11-01T00:00:00"/>
    <n v="5124.1899999999996"/>
    <s v="tier - 2"/>
    <s v="tier - 3"/>
    <s v="R1013"/>
    <n v="34"/>
  </r>
  <r>
    <s v="Id590"/>
    <s v="Balinsky, Ms.  Laurette"/>
    <n v="19.094999999999999"/>
    <n v="6.19"/>
    <s v="No"/>
    <s v="No"/>
    <x v="0"/>
    <n v="0"/>
    <x v="0"/>
    <x v="2"/>
    <s v="Prediabetes"/>
    <n v="1987"/>
    <s v="Sep"/>
    <n v="13"/>
    <n v="1"/>
    <d v="1987-09-13T00:00:00"/>
    <n v="5125.22"/>
    <s v="tier - 1"/>
    <s v="tier - 2"/>
    <s v="R1012"/>
    <n v="35"/>
  </r>
  <r>
    <s v="Id591"/>
    <s v="Reilly, Mr.  Jason"/>
    <n v="49.72"/>
    <n v="7.71"/>
    <s v="No"/>
    <s v="No"/>
    <x v="0"/>
    <n v="0"/>
    <x v="1"/>
    <x v="0"/>
    <s v="Diabetes"/>
    <n v="1988"/>
    <s v="Sep"/>
    <n v="15"/>
    <n v="3"/>
    <d v="1988-09-15T00:00:00"/>
    <n v="5136.75"/>
    <s v="tier - 2"/>
    <s v="tier - 1"/>
    <s v="R1013"/>
    <n v="34"/>
  </r>
  <r>
    <s v="Id592"/>
    <s v="Johnson, Ms.  Mary"/>
    <n v="21.754999999999999"/>
    <n v="4.63"/>
    <s v="No"/>
    <s v="No"/>
    <x v="1"/>
    <n v="1"/>
    <x v="0"/>
    <x v="2"/>
    <s v="Normal"/>
    <n v="1993"/>
    <s v="Dec"/>
    <n v="10"/>
    <n v="3"/>
    <d v="1993-12-10T00:00:00"/>
    <n v="5138.26"/>
    <s v="tier - 2"/>
    <s v="tier - 2"/>
    <s v="R1013"/>
    <n v="29"/>
  </r>
  <r>
    <s v="Id593"/>
    <s v="Petry, Ms.  Kati A"/>
    <n v="48.39"/>
    <n v="4.6100000000000003"/>
    <s v="No"/>
    <s v="No"/>
    <x v="0"/>
    <n v="0"/>
    <x v="1"/>
    <x v="0"/>
    <s v="Normal"/>
    <n v="1984"/>
    <s v="Aug"/>
    <n v="22"/>
    <n v="3"/>
    <d v="1984-08-22T00:00:00"/>
    <n v="5144.18"/>
    <s v="tier - 2"/>
    <s v="tier - 1"/>
    <s v="R1013"/>
    <n v="38"/>
  </r>
  <r>
    <s v="Id594"/>
    <s v="Laleman, Mrs.  Kelly J"/>
    <n v="47.15"/>
    <n v="9.5299999999999994"/>
    <s v="yes"/>
    <s v="No"/>
    <x v="0"/>
    <n v="1"/>
    <x v="1"/>
    <x v="0"/>
    <s v="Diabetes"/>
    <n v="1990"/>
    <s v="Aug"/>
    <n v="22"/>
    <n v="1"/>
    <d v="1990-08-22T00:00:00"/>
    <n v="5148.55"/>
    <s v="tier - 2"/>
    <s v="tier - 2"/>
    <s v="R1024"/>
    <n v="32"/>
  </r>
  <r>
    <s v="Id595"/>
    <s v="Colby, Ms.  Greer D"/>
    <n v="47.59"/>
    <n v="11.43"/>
    <s v="yes"/>
    <s v="No"/>
    <x v="0"/>
    <n v="2"/>
    <x v="1"/>
    <x v="0"/>
    <s v="Diabetes"/>
    <n v="1990"/>
    <s v="Oct"/>
    <n v="9"/>
    <n v="2"/>
    <d v="1990-10-09T00:00:00"/>
    <n v="5152.13"/>
    <s v="tier - 2"/>
    <s v="tier - 2"/>
    <s v="R1011"/>
    <n v="32"/>
  </r>
  <r>
    <s v="Id596"/>
    <s v="Wathke, Mr.  Brent"/>
    <n v="39.81"/>
    <n v="7.65"/>
    <s v="yes"/>
    <s v="No"/>
    <x v="1"/>
    <n v="1"/>
    <x v="1"/>
    <x v="0"/>
    <s v="Diabetes"/>
    <n v="1991"/>
    <s v="Aug"/>
    <n v="29"/>
    <n v="3"/>
    <d v="1991-08-29T00:00:00"/>
    <n v="5166.96"/>
    <s v="tier - 2"/>
    <s v="tier - 2"/>
    <s v="R1012"/>
    <n v="31"/>
  </r>
  <r>
    <s v="Id597"/>
    <s v="Daly, Mr.  Eugene M"/>
    <n v="31.02"/>
    <n v="5.87"/>
    <s v="yes"/>
    <s v="No"/>
    <x v="0"/>
    <n v="0"/>
    <x v="1"/>
    <x v="0"/>
    <s v="Prediabetes"/>
    <n v="1984"/>
    <s v="Oct"/>
    <n v="16"/>
    <n v="3"/>
    <d v="1984-10-16T00:00:00"/>
    <n v="5177.12"/>
    <s v="tier - 2"/>
    <s v="tier - 1"/>
    <s v="R1013"/>
    <n v="38"/>
  </r>
  <r>
    <s v="Id598"/>
    <s v="Dillon, Ms.  Erin D"/>
    <n v="24.75"/>
    <n v="4.3600000000000003"/>
    <s v="yes"/>
    <s v="No"/>
    <x v="0"/>
    <n v="1"/>
    <x v="0"/>
    <x v="2"/>
    <s v="Normal"/>
    <n v="1979"/>
    <s v="Sep"/>
    <n v="12"/>
    <n v="2"/>
    <d v="1979-09-12T00:00:00"/>
    <n v="5195.58"/>
    <s v="tier - 2"/>
    <s v="tier - 2"/>
    <s v="R1013"/>
    <n v="43"/>
  </r>
  <r>
    <s v="Id599"/>
    <s v="Pontes, Ms.  Kamilla"/>
    <n v="30.114999999999998"/>
    <n v="10.119999999999999"/>
    <s v="No"/>
    <s v="No"/>
    <x v="0"/>
    <n v="3"/>
    <x v="1"/>
    <x v="0"/>
    <s v="Diabetes"/>
    <n v="2004"/>
    <s v="Jun"/>
    <n v="6"/>
    <n v="0"/>
    <d v="2004-06-06T00:00:00"/>
    <n v="5198.6899999999996"/>
    <s v="tier - 2"/>
    <s v="tier - 2"/>
    <s v="R1022"/>
    <n v="19"/>
  </r>
  <r>
    <s v="Id600"/>
    <s v="Spies, Mr.  Wayne I."/>
    <n v="26.03"/>
    <n v="4.01"/>
    <s v="No"/>
    <s v="No"/>
    <x v="1"/>
    <n v="1"/>
    <x v="0"/>
    <x v="1"/>
    <s v="Normal"/>
    <n v="1983"/>
    <s v="Oct"/>
    <n v="24"/>
    <n v="3"/>
    <d v="1983-10-24T00:00:00"/>
    <n v="5207.97"/>
    <s v="tier - 2"/>
    <s v="tier - 2"/>
    <s v="R1012"/>
    <n v="39"/>
  </r>
  <r>
    <s v="Id601"/>
    <s v="Greig, Ms.  Tracy L"/>
    <n v="20.045000000000002"/>
    <n v="4.7699999999999996"/>
    <s v="yes"/>
    <s v="No"/>
    <x v="0"/>
    <n v="1"/>
    <x v="0"/>
    <x v="2"/>
    <s v="Normal"/>
    <n v="1993"/>
    <s v="Jun"/>
    <n v="17"/>
    <n v="3"/>
    <d v="1993-06-17T00:00:00"/>
    <n v="5209.58"/>
    <s v="tier - 3"/>
    <s v="tier - 3"/>
    <s v="R1017"/>
    <n v="29"/>
  </r>
  <r>
    <s v="Id602"/>
    <s v="Scott, Mrs.  Heather"/>
    <n v="40.24"/>
    <n v="6.83"/>
    <s v="No"/>
    <s v="No"/>
    <x v="0"/>
    <n v="0"/>
    <x v="1"/>
    <x v="0"/>
    <s v="Diabetes"/>
    <n v="1999"/>
    <s v="Dec"/>
    <n v="1"/>
    <n v="0"/>
    <d v="1999-12-01T00:00:00"/>
    <n v="5213.22"/>
    <s v="tier - 2"/>
    <s v="tier - 1"/>
    <s v="R1012"/>
    <n v="23"/>
  </r>
  <r>
    <s v="Id603"/>
    <s v="Erlandson, Mrs.  Megan C"/>
    <n v="43.15"/>
    <n v="6.14"/>
    <s v="yes"/>
    <s v="No"/>
    <x v="1"/>
    <n v="1"/>
    <x v="1"/>
    <x v="0"/>
    <s v="Prediabetes"/>
    <n v="1995"/>
    <s v="Jun"/>
    <n v="6"/>
    <n v="0"/>
    <d v="1995-06-06T00:00:00"/>
    <n v="5216.4799999999996"/>
    <s v="tier - 2"/>
    <s v="tier - 2"/>
    <s v="R1025"/>
    <n v="28"/>
  </r>
  <r>
    <s v="Id604"/>
    <s v="Autrey, Mr.  Jonathan"/>
    <n v="27.7"/>
    <n v="5.6"/>
    <s v="No"/>
    <s v="No"/>
    <x v="1"/>
    <n v="1"/>
    <x v="0"/>
    <x v="1"/>
    <s v="Normal"/>
    <n v="1987"/>
    <s v="Jun"/>
    <n v="29"/>
    <n v="0"/>
    <d v="1987-06-29T00:00:00"/>
    <n v="5227.99"/>
    <s v="tier - 2"/>
    <s v="tier - 1"/>
    <s v="R1024"/>
    <n v="35"/>
  </r>
  <r>
    <s v="Id605"/>
    <s v="Alleman, Mr.  Greg D."/>
    <n v="45.68"/>
    <n v="4.8"/>
    <s v="No"/>
    <s v="No"/>
    <x v="0"/>
    <n v="2"/>
    <x v="1"/>
    <x v="0"/>
    <s v="Normal"/>
    <n v="1987"/>
    <s v="Dec"/>
    <n v="26"/>
    <n v="1"/>
    <d v="1987-12-26T00:00:00"/>
    <n v="5240.7700000000004"/>
    <s v="tier - 2"/>
    <s v="tier - 2"/>
    <s v="R1011"/>
    <n v="35"/>
  </r>
  <r>
    <s v="Id606"/>
    <s v="Michalski, Mr.  Steven L."/>
    <n v="27.3"/>
    <n v="11.89"/>
    <s v="No"/>
    <s v="No"/>
    <x v="0"/>
    <n v="0"/>
    <x v="0"/>
    <x v="1"/>
    <s v="Diabetes"/>
    <n v="1987"/>
    <s v="Jul"/>
    <n v="5"/>
    <n v="1"/>
    <d v="1987-07-05T00:00:00"/>
    <n v="5245.23"/>
    <s v="tier - 2"/>
    <s v="tier - 2"/>
    <s v="R1013"/>
    <n v="35"/>
  </r>
  <r>
    <s v="Id607"/>
    <s v="Grillo, Mr.  Gianfilippo"/>
    <n v="54.45"/>
    <n v="4.7300000000000004"/>
    <s v="yes"/>
    <s v="No"/>
    <x v="0"/>
    <n v="1"/>
    <x v="1"/>
    <x v="0"/>
    <s v="Normal"/>
    <n v="1987"/>
    <s v="Sep"/>
    <n v="9"/>
    <n v="1"/>
    <d v="1987-09-09T00:00:00"/>
    <n v="5246.05"/>
    <s v="tier - 2"/>
    <s v="tier - 3"/>
    <s v="R1011"/>
    <n v="35"/>
  </r>
  <r>
    <s v="Id608"/>
    <s v="Coronado, Mr.  Hector"/>
    <n v="54.43"/>
    <n v="4.6100000000000003"/>
    <s v="yes"/>
    <s v="No"/>
    <x v="0"/>
    <n v="1"/>
    <x v="1"/>
    <x v="0"/>
    <s v="Normal"/>
    <n v="1990"/>
    <s v="Jul"/>
    <n v="6"/>
    <n v="3"/>
    <d v="1990-07-06T00:00:00"/>
    <n v="5253.52"/>
    <s v="tier - 3"/>
    <s v="tier - 3"/>
    <s v="R1011"/>
    <n v="32"/>
  </r>
  <r>
    <s v="Id609"/>
    <s v="Dewine, Mr.  Mark W."/>
    <n v="48.01"/>
    <n v="7.3"/>
    <s v="No"/>
    <s v="No"/>
    <x v="0"/>
    <n v="0"/>
    <x v="1"/>
    <x v="0"/>
    <s v="Diabetes"/>
    <n v="1989"/>
    <s v="Nov"/>
    <n v="25"/>
    <n v="2"/>
    <d v="1989-11-25T00:00:00"/>
    <n v="5257.51"/>
    <s v="tier - 2"/>
    <s v="tier - 2"/>
    <s v="R1012"/>
    <n v="33"/>
  </r>
  <r>
    <s v="Id610"/>
    <s v="Carman, Mrs.  Aubri"/>
    <n v="48.32"/>
    <n v="5.88"/>
    <s v="No"/>
    <s v="No"/>
    <x v="0"/>
    <n v="0"/>
    <x v="1"/>
    <x v="0"/>
    <s v="Prediabetes"/>
    <n v="1989"/>
    <s v="Jul"/>
    <n v="19"/>
    <n v="2"/>
    <d v="1989-07-19T00:00:00"/>
    <n v="5261.47"/>
    <s v="tier - 2"/>
    <s v="tier - 2"/>
    <s v="R1012"/>
    <n v="33"/>
  </r>
  <r>
    <s v="Id611"/>
    <s v="Neems, Mr.  Justin"/>
    <n v="22.895"/>
    <n v="4.0599999999999996"/>
    <s v="No"/>
    <s v="No"/>
    <x v="1"/>
    <n v="1"/>
    <x v="0"/>
    <x v="2"/>
    <s v="Normal"/>
    <n v="1986"/>
    <s v="Oct"/>
    <n v="25"/>
    <n v="0"/>
    <d v="1986-10-25T00:00:00"/>
    <n v="5266.37"/>
    <s v="tier - 2"/>
    <s v="tier - 2"/>
    <s v="R1012"/>
    <n v="36"/>
  </r>
  <r>
    <s v="Id612"/>
    <s v="Pesyna, Ms.  Megan A."/>
    <n v="54.85"/>
    <n v="4.9000000000000004"/>
    <s v="No"/>
    <s v="No"/>
    <x v="0"/>
    <n v="1"/>
    <x v="1"/>
    <x v="0"/>
    <s v="Normal"/>
    <n v="1986"/>
    <s v="Sep"/>
    <n v="20"/>
    <n v="0"/>
    <d v="1986-09-20T00:00:00"/>
    <n v="5267.82"/>
    <s v="tier - 2"/>
    <s v="tier - 2"/>
    <s v="R1012"/>
    <n v="36"/>
  </r>
  <r>
    <s v="Id613"/>
    <s v="Meling, Ms.  Erika M."/>
    <n v="21.85"/>
    <n v="5.52"/>
    <s v="No"/>
    <s v="No"/>
    <x v="1"/>
    <n v="1"/>
    <x v="0"/>
    <x v="2"/>
    <s v="Normal"/>
    <n v="1986"/>
    <s v="Oct"/>
    <n v="20"/>
    <n v="0"/>
    <d v="1986-10-20T00:00:00"/>
    <n v="5272.18"/>
    <s v="tier - 2"/>
    <s v="tier - 3"/>
    <s v="R1012"/>
    <n v="36"/>
  </r>
  <r>
    <s v="Id614"/>
    <s v="Widlowski, Mr.  Daniel G."/>
    <n v="51.86"/>
    <n v="5.2"/>
    <s v="yes"/>
    <s v="No"/>
    <x v="0"/>
    <n v="0"/>
    <x v="1"/>
    <x v="0"/>
    <s v="Normal"/>
    <n v="1987"/>
    <s v="Sep"/>
    <n v="1"/>
    <n v="3"/>
    <d v="1987-09-01T00:00:00"/>
    <n v="5275.86"/>
    <s v="tier - 2"/>
    <s v="tier - 2"/>
    <s v="R1013"/>
    <n v="35"/>
  </r>
  <r>
    <s v="Id615"/>
    <s v="Nadar, Ms.  Devin C."/>
    <n v="39.049999999999997"/>
    <n v="7.59"/>
    <s v="No"/>
    <s v="No"/>
    <x v="0"/>
    <n v="3"/>
    <x v="1"/>
    <x v="0"/>
    <s v="Diabetes"/>
    <n v="1974"/>
    <s v="Nov"/>
    <n v="12"/>
    <n v="0"/>
    <d v="1974-11-12T00:00:00"/>
    <n v="5291.71"/>
    <s v="tier - 2"/>
    <s v="tier - 2"/>
    <s v="R1012"/>
    <n v="48"/>
  </r>
  <r>
    <s v="Id616"/>
    <s v="Turner, Ms.  Louise A"/>
    <n v="31.824999999999999"/>
    <n v="8.2799999999999994"/>
    <s v="No"/>
    <s v="No"/>
    <x v="0"/>
    <n v="3"/>
    <x v="1"/>
    <x v="0"/>
    <s v="Diabetes"/>
    <n v="2004"/>
    <s v="Aug"/>
    <n v="22"/>
    <n v="0"/>
    <d v="2004-08-22T00:00:00"/>
    <n v="5293.67"/>
    <s v="tier - 2"/>
    <s v="tier - 2"/>
    <s v="R1022"/>
    <n v="18"/>
  </r>
  <r>
    <s v="Id617"/>
    <s v="Walker, Mrs.  Sarah"/>
    <n v="46.43"/>
    <n v="6.72"/>
    <s v="No"/>
    <s v="No"/>
    <x v="0"/>
    <n v="0"/>
    <x v="1"/>
    <x v="0"/>
    <s v="Diabetes"/>
    <n v="2000"/>
    <s v="Sep"/>
    <n v="9"/>
    <n v="0"/>
    <d v="2000-09-09T00:00:00"/>
    <n v="5306.7"/>
    <s v="tier - 2"/>
    <s v="tier - 3"/>
    <s v="R1012"/>
    <n v="22"/>
  </r>
  <r>
    <s v="Id618"/>
    <s v="Leedham, Ms.  Amy"/>
    <n v="53.63"/>
    <n v="5.47"/>
    <s v="yes"/>
    <s v="No"/>
    <x v="0"/>
    <n v="1"/>
    <x v="1"/>
    <x v="0"/>
    <s v="Normal"/>
    <n v="1994"/>
    <s v="Nov"/>
    <n v="13"/>
    <n v="3"/>
    <d v="1994-11-13T00:00:00"/>
    <n v="5312.17"/>
    <s v="tier - 2"/>
    <s v="tier - 2"/>
    <s v="R1012"/>
    <n v="28"/>
  </r>
  <r>
    <s v="Id619"/>
    <s v="Haglund, Ms.  Brittany L."/>
    <n v="48.7"/>
    <n v="4.71"/>
    <s v="No"/>
    <s v="No"/>
    <x v="0"/>
    <n v="0"/>
    <x v="1"/>
    <x v="0"/>
    <s v="Normal"/>
    <n v="1974"/>
    <s v="Sep"/>
    <n v="2"/>
    <n v="0"/>
    <d v="1974-09-02T00:00:00"/>
    <n v="5322.24"/>
    <s v="tier - 2"/>
    <s v="tier - 1"/>
    <s v="R1012"/>
    <n v="48"/>
  </r>
  <r>
    <s v="Id620"/>
    <s v="Mills, Ms.  Jessica L"/>
    <n v="48.81"/>
    <n v="5.49"/>
    <s v="No"/>
    <s v="No"/>
    <x v="0"/>
    <n v="0"/>
    <x v="1"/>
    <x v="0"/>
    <s v="Normal"/>
    <n v="1992"/>
    <s v="Jun"/>
    <n v="18"/>
    <n v="3"/>
    <d v="1992-06-18T00:00:00"/>
    <n v="5325.65"/>
    <s v="tier - 2"/>
    <s v="tier - 1"/>
    <s v="R1011"/>
    <n v="30"/>
  </r>
  <r>
    <s v="Id621"/>
    <s v="Drnjevich, Mrs.  Kristina K"/>
    <n v="47.53"/>
    <n v="4.72"/>
    <s v="No"/>
    <s v="No"/>
    <x v="0"/>
    <n v="0"/>
    <x v="1"/>
    <x v="0"/>
    <s v="Normal"/>
    <n v="1991"/>
    <s v="Aug"/>
    <n v="28"/>
    <n v="2"/>
    <d v="1991-08-28T00:00:00"/>
    <n v="5327.4"/>
    <s v="tier - 2"/>
    <s v="tier - 1"/>
    <s v="R1012"/>
    <n v="31"/>
  </r>
  <r>
    <s v="Id622"/>
    <s v="Clay, Mr.  Brad"/>
    <n v="36.85"/>
    <n v="6.7"/>
    <s v="No"/>
    <s v="No"/>
    <x v="0"/>
    <n v="0"/>
    <x v="1"/>
    <x v="0"/>
    <s v="Diabetes"/>
    <n v="1972"/>
    <s v="Dec"/>
    <n v="15"/>
    <n v="0"/>
    <d v="1972-12-15T00:00:00"/>
    <n v="5344.81"/>
    <s v="tier - 2"/>
    <s v="tier - 3"/>
    <s v="R1013"/>
    <n v="50"/>
  </r>
  <r>
    <s v="Id623"/>
    <s v="Marbury, Ms.  Margaret O"/>
    <n v="29.3"/>
    <n v="5.5"/>
    <s v="No"/>
    <s v="No"/>
    <x v="0"/>
    <n v="0"/>
    <x v="1"/>
    <x v="1"/>
    <s v="Normal"/>
    <n v="1989"/>
    <s v="Nov"/>
    <n v="7"/>
    <n v="1"/>
    <d v="1989-11-07T00:00:00"/>
    <n v="5354.07"/>
    <s v="tier - 2"/>
    <s v="tier - 3"/>
    <s v="R1024"/>
    <n v="33"/>
  </r>
  <r>
    <s v="Id624"/>
    <s v="Coon, Mr.  Craig R."/>
    <n v="19.3"/>
    <n v="4.46"/>
    <s v="No"/>
    <s v="No"/>
    <x v="0"/>
    <n v="1"/>
    <x v="0"/>
    <x v="2"/>
    <s v="Normal"/>
    <n v="1994"/>
    <s v="Dec"/>
    <n v="7"/>
    <n v="0"/>
    <d v="1994-12-07T00:00:00"/>
    <n v="5364.66"/>
    <s v="tier - 2"/>
    <s v="tier - 1"/>
    <s v="R1011"/>
    <n v="28"/>
  </r>
  <r>
    <s v="Id625"/>
    <s v="Vanttinen, Mr.  Simo"/>
    <n v="24.13"/>
    <n v="5.29"/>
    <s v="yes"/>
    <s v="No"/>
    <x v="1"/>
    <n v="1"/>
    <x v="0"/>
    <x v="2"/>
    <s v="Normal"/>
    <n v="1986"/>
    <s v="Jun"/>
    <n v="1"/>
    <n v="1"/>
    <d v="1986-06-01T00:00:00"/>
    <n v="5373.36"/>
    <s v="tier - 2"/>
    <s v="tier - 2"/>
    <s v="R1012"/>
    <n v="37"/>
  </r>
  <r>
    <s v="Id626"/>
    <s v="Garges, Mr.  Christopher J"/>
    <n v="46.7"/>
    <n v="10.99"/>
    <s v="No"/>
    <s v="No"/>
    <x v="0"/>
    <n v="0"/>
    <x v="1"/>
    <x v="0"/>
    <s v="Diabetes"/>
    <n v="1989"/>
    <s v="Nov"/>
    <n v="18"/>
    <n v="2"/>
    <d v="1989-11-18T00:00:00"/>
    <n v="5375.04"/>
    <s v="tier - 2"/>
    <s v="tier - 1"/>
    <s v="R1011"/>
    <n v="33"/>
  </r>
  <r>
    <s v="Id627"/>
    <s v="Rivel, Mr.  Mario Sr."/>
    <n v="45.27"/>
    <n v="5.2"/>
    <s v="yes"/>
    <s v="No"/>
    <x v="0"/>
    <n v="0"/>
    <x v="1"/>
    <x v="0"/>
    <s v="Normal"/>
    <n v="1986"/>
    <s v="Jul"/>
    <n v="22"/>
    <n v="1"/>
    <d v="1986-07-22T00:00:00"/>
    <n v="5377.46"/>
    <s v="tier - 2"/>
    <s v="tier - 3"/>
    <s v="R1012"/>
    <n v="36"/>
  </r>
  <r>
    <s v="Id628"/>
    <s v="Lawson, Mrs.  Meghann R."/>
    <n v="44.29"/>
    <n v="9.66"/>
    <s v="No"/>
    <s v="No"/>
    <x v="0"/>
    <n v="2"/>
    <x v="1"/>
    <x v="0"/>
    <s v="Diabetes"/>
    <n v="1984"/>
    <s v="Jun"/>
    <n v="1"/>
    <n v="0"/>
    <d v="1984-06-01T00:00:00"/>
    <n v="5383.54"/>
    <s v="tier - 2"/>
    <s v="tier - 3"/>
    <s v="R1011"/>
    <n v="39"/>
  </r>
  <r>
    <s v="Id629"/>
    <s v="Cale, Mr.  Scott M"/>
    <n v="54.59"/>
    <n v="4.22"/>
    <s v="yes"/>
    <s v="No"/>
    <x v="0"/>
    <n v="1"/>
    <x v="1"/>
    <x v="0"/>
    <s v="Normal"/>
    <n v="1988"/>
    <s v="Aug"/>
    <n v="8"/>
    <n v="1"/>
    <d v="1988-08-08T00:00:00"/>
    <n v="5385.34"/>
    <s v="tier - 2"/>
    <s v="tier - 3"/>
    <s v="R1012"/>
    <n v="34"/>
  </r>
  <r>
    <s v="Id630"/>
    <s v="Phillips, Ms.  Caitlin E."/>
    <n v="32.965000000000003"/>
    <n v="11.78"/>
    <s v="No"/>
    <s v="No"/>
    <x v="0"/>
    <n v="0"/>
    <x v="1"/>
    <x v="0"/>
    <s v="Diabetes"/>
    <n v="1989"/>
    <s v="Nov"/>
    <n v="6"/>
    <n v="3"/>
    <d v="1989-11-06T00:00:00"/>
    <n v="5396.44"/>
    <s v="tier - 2"/>
    <s v="tier - 3"/>
    <s v="R1013"/>
    <n v="33"/>
  </r>
  <r>
    <s v="Id631"/>
    <s v="Stewart, Mrs.  Samantha A."/>
    <n v="38.049999999999997"/>
    <n v="9.6199999999999992"/>
    <s v="No"/>
    <s v="No"/>
    <x v="0"/>
    <n v="0"/>
    <x v="1"/>
    <x v="0"/>
    <s v="Diabetes"/>
    <n v="1984"/>
    <s v="Sep"/>
    <n v="3"/>
    <n v="0"/>
    <d v="1984-09-03T00:00:00"/>
    <n v="5397.62"/>
    <s v="tier - 2"/>
    <s v="tier - 2"/>
    <s v="R1013"/>
    <n v="38"/>
  </r>
  <r>
    <s v="Id632"/>
    <s v="Drotz, Mr.  Erik"/>
    <n v="46.14"/>
    <n v="10.78"/>
    <s v="No"/>
    <s v="No"/>
    <x v="0"/>
    <n v="0"/>
    <x v="1"/>
    <x v="0"/>
    <s v="Diabetes"/>
    <n v="1984"/>
    <s v="Aug"/>
    <n v="1"/>
    <n v="0"/>
    <d v="1984-08-01T00:00:00"/>
    <n v="5400.98"/>
    <s v="tier - 2"/>
    <s v="tier - 2"/>
    <s v="R1013"/>
    <n v="38"/>
  </r>
  <r>
    <s v="Id633"/>
    <s v="Mutai, Mr.  Christopher"/>
    <n v="41.325000000000003"/>
    <n v="5.1100000000000003"/>
    <s v="yes"/>
    <s v="No"/>
    <x v="0"/>
    <n v="2"/>
    <x v="1"/>
    <x v="0"/>
    <s v="Normal"/>
    <n v="1985"/>
    <s v="Dec"/>
    <n v="23"/>
    <n v="3"/>
    <d v="1985-12-23T00:00:00"/>
    <n v="5402.89"/>
    <s v="tier - 2"/>
    <s v="tier - 1"/>
    <s v="R1013"/>
    <n v="37"/>
  </r>
  <r>
    <s v="Id634"/>
    <s v="Lovlien, Mrs.  Maya"/>
    <n v="44.64"/>
    <n v="7.18"/>
    <s v="No"/>
    <s v="No"/>
    <x v="0"/>
    <n v="0"/>
    <x v="1"/>
    <x v="0"/>
    <s v="Diabetes"/>
    <n v="1975"/>
    <s v="Sep"/>
    <n v="27"/>
    <n v="1"/>
    <d v="1975-09-27T00:00:00"/>
    <n v="5411.99"/>
    <s v="tier - 2"/>
    <s v="tier - 3"/>
    <s v="R1012"/>
    <n v="47"/>
  </r>
  <r>
    <s v="Id635"/>
    <s v="Bruns, Mr.  Zachary T"/>
    <n v="25.175000000000001"/>
    <n v="4.96"/>
    <s v="No"/>
    <s v="yes"/>
    <x v="0"/>
    <n v="1"/>
    <x v="2"/>
    <x v="1"/>
    <s v="Normal"/>
    <n v="1982"/>
    <s v="Sep"/>
    <n v="27"/>
    <n v="0"/>
    <d v="1982-09-27T00:00:00"/>
    <n v="5415.66"/>
    <s v="tier - 2"/>
    <s v="tier - 3"/>
    <s v="R1013"/>
    <n v="40"/>
  </r>
  <r>
    <s v="Id636"/>
    <s v="Stoney, Mrs.  Hilda"/>
    <n v="43.11"/>
    <n v="4.67"/>
    <s v="yes"/>
    <s v="No"/>
    <x v="0"/>
    <n v="0"/>
    <x v="1"/>
    <x v="0"/>
    <s v="Normal"/>
    <n v="1991"/>
    <s v="Jul"/>
    <n v="6"/>
    <n v="3"/>
    <d v="1991-07-06T00:00:00"/>
    <n v="5425.02"/>
    <s v="tier - 2"/>
    <s v="tier - 1"/>
    <s v="R1012"/>
    <n v="31"/>
  </r>
  <r>
    <s v="Id637"/>
    <s v="Markert, Ms.  Stephanie"/>
    <n v="53.32"/>
    <n v="5.0599999999999996"/>
    <s v="No"/>
    <s v="No"/>
    <x v="0"/>
    <n v="0"/>
    <x v="1"/>
    <x v="0"/>
    <s v="Normal"/>
    <n v="1992"/>
    <s v="Sep"/>
    <n v="17"/>
    <n v="3"/>
    <d v="1992-09-17T00:00:00"/>
    <n v="5428.73"/>
    <s v="tier - 3"/>
    <s v="tier - 1"/>
    <s v="R1017"/>
    <n v="30"/>
  </r>
  <r>
    <s v="Id638"/>
    <s v="McLucas, Mr.  Doug"/>
    <n v="38.04"/>
    <n v="5.0199999999999996"/>
    <s v="yes"/>
    <s v="No"/>
    <x v="0"/>
    <n v="1"/>
    <x v="1"/>
    <x v="0"/>
    <s v="Normal"/>
    <n v="1978"/>
    <s v="Jun"/>
    <n v="8"/>
    <n v="2"/>
    <d v="1978-06-08T00:00:00"/>
    <n v="5428.98"/>
    <s v="tier - 2"/>
    <s v="tier - 2"/>
    <s v="R1012"/>
    <n v="45"/>
  </r>
  <r>
    <s v="Id639"/>
    <s v="Erwin, Ms.  Bethany N."/>
    <n v="37.9"/>
    <n v="7.76"/>
    <s v="No"/>
    <s v="No"/>
    <x v="0"/>
    <n v="0"/>
    <x v="1"/>
    <x v="0"/>
    <s v="Diabetes"/>
    <n v="1982"/>
    <s v="Aug"/>
    <n v="25"/>
    <n v="0"/>
    <d v="1982-08-25T00:00:00"/>
    <n v="5438.75"/>
    <s v="tier - 3"/>
    <s v="tier - 2"/>
    <s v="R1013"/>
    <n v="40"/>
  </r>
  <r>
    <s v="Id640"/>
    <s v="Osborne, Mrs.  Sandra H"/>
    <n v="39.6"/>
    <n v="9.32"/>
    <s v="No"/>
    <s v="No"/>
    <x v="0"/>
    <n v="0"/>
    <x v="1"/>
    <x v="0"/>
    <s v="Diabetes"/>
    <n v="1986"/>
    <s v="Dec"/>
    <n v="25"/>
    <n v="0"/>
    <d v="1986-12-25T00:00:00"/>
    <n v="5458.05"/>
    <s v="tier - 2"/>
    <s v="tier - 2"/>
    <s v="R1024"/>
    <n v="36"/>
  </r>
  <r>
    <s v="Id641"/>
    <s v="Otsuka, Mr.  Takuo"/>
    <n v="50.92"/>
    <n v="5.31"/>
    <s v="yes"/>
    <s v="No"/>
    <x v="0"/>
    <n v="1"/>
    <x v="1"/>
    <x v="0"/>
    <s v="Normal"/>
    <n v="1973"/>
    <s v="Oct"/>
    <n v="24"/>
    <n v="0"/>
    <d v="1973-10-24T00:00:00"/>
    <n v="5466.88"/>
    <s v="tier - 2"/>
    <s v="tier - 2"/>
    <s v="R1013"/>
    <n v="49"/>
  </r>
  <r>
    <s v="Id642"/>
    <s v="Smith, Ms.  Kelly A."/>
    <n v="21.85"/>
    <n v="5.56"/>
    <s v="yes"/>
    <s v="No"/>
    <x v="0"/>
    <n v="0"/>
    <x v="0"/>
    <x v="2"/>
    <s v="Normal"/>
    <n v="1986"/>
    <s v="Dec"/>
    <n v="2"/>
    <n v="0"/>
    <d v="1986-12-02T00:00:00"/>
    <n v="5469.01"/>
    <s v="tier - 2"/>
    <s v="tier - 2"/>
    <s v="R1024"/>
    <n v="36"/>
  </r>
  <r>
    <s v="Id643"/>
    <s v="Myers, Mr.  Scott"/>
    <n v="36.08"/>
    <n v="7.11"/>
    <s v="yes"/>
    <s v="No"/>
    <x v="1"/>
    <n v="1"/>
    <x v="1"/>
    <x v="0"/>
    <s v="Diabetes"/>
    <n v="1986"/>
    <s v="Jul"/>
    <n v="12"/>
    <n v="1"/>
    <d v="1986-07-12T00:00:00"/>
    <n v="5472.45"/>
    <s v="tier - 2"/>
    <s v="tier - 3"/>
    <s v="R1011"/>
    <n v="36"/>
  </r>
  <r>
    <s v="Id644"/>
    <s v="Cote, Mr.  Benoit"/>
    <n v="40.44"/>
    <n v="5.13"/>
    <s v="yes"/>
    <s v="No"/>
    <x v="1"/>
    <n v="1"/>
    <x v="1"/>
    <x v="0"/>
    <s v="Normal"/>
    <n v="1986"/>
    <s v="Sep"/>
    <n v="30"/>
    <n v="1"/>
    <d v="1986-09-30T00:00:00"/>
    <n v="5478.04"/>
    <s v="tier - 2"/>
    <s v="tier - 3"/>
    <s v="R1013"/>
    <n v="36"/>
  </r>
  <r>
    <s v="Id645"/>
    <s v="Ehrhardt, Ms.  Elizabeth M."/>
    <n v="38.094999999999999"/>
    <n v="10.199999999999999"/>
    <s v="No"/>
    <s v="No"/>
    <x v="0"/>
    <n v="0"/>
    <x v="1"/>
    <x v="0"/>
    <s v="Diabetes"/>
    <n v="1984"/>
    <s v="Aug"/>
    <n v="26"/>
    <n v="1"/>
    <d v="1984-08-26T00:00:00"/>
    <n v="5484.47"/>
    <s v="tier - 2"/>
    <s v="tier - 2"/>
    <s v="R1013"/>
    <n v="38"/>
  </r>
  <r>
    <s v="Id646"/>
    <s v="Petersen, Ms.  Jessica A."/>
    <n v="44.95"/>
    <n v="10.4"/>
    <s v="No"/>
    <s v="No"/>
    <x v="0"/>
    <n v="0"/>
    <x v="1"/>
    <x v="0"/>
    <s v="Diabetes"/>
    <n v="1984"/>
    <s v="Aug"/>
    <n v="17"/>
    <n v="1"/>
    <d v="1984-08-17T00:00:00"/>
    <n v="5488.26"/>
    <s v="tier - 2"/>
    <s v="tier - 3"/>
    <s v="R1011"/>
    <n v="38"/>
  </r>
  <r>
    <s v="Id647"/>
    <s v="Ertel, Ms.  Monica K"/>
    <n v="35.54"/>
    <n v="10.67"/>
    <s v="No"/>
    <s v="No"/>
    <x v="0"/>
    <n v="0"/>
    <x v="1"/>
    <x v="0"/>
    <s v="Diabetes"/>
    <n v="1988"/>
    <s v="Jul"/>
    <n v="29"/>
    <n v="3"/>
    <d v="1988-07-29T00:00:00"/>
    <n v="5503.36"/>
    <s v="tier - 2"/>
    <s v="tier - 2"/>
    <s v="R1012"/>
    <n v="34"/>
  </r>
  <r>
    <s v="Id648"/>
    <s v="Lanza, Mr.  Kevin L"/>
    <n v="39.799999999999997"/>
    <n v="4.6500000000000004"/>
    <s v="yes"/>
    <s v="No"/>
    <x v="0"/>
    <n v="2"/>
    <x v="1"/>
    <x v="0"/>
    <s v="Normal"/>
    <n v="1981"/>
    <s v="Nov"/>
    <n v="7"/>
    <n v="1"/>
    <d v="1981-11-07T00:00:00"/>
    <n v="5539.4"/>
    <s v="tier - 2"/>
    <s v="tier - 2"/>
    <s v="R1013"/>
    <n v="41"/>
  </r>
  <r>
    <s v="Id649"/>
    <s v="Picklesimer, Mr.  Gregory"/>
    <n v="33.659999999999997"/>
    <n v="5.65"/>
    <s v="yes"/>
    <s v="No"/>
    <x v="0"/>
    <n v="2"/>
    <x v="1"/>
    <x v="0"/>
    <s v="Normal"/>
    <n v="1980"/>
    <s v="Dec"/>
    <n v="7"/>
    <n v="2"/>
    <d v="1980-12-07T00:00:00"/>
    <n v="5540.35"/>
    <s v="tier - 2"/>
    <s v="tier - 2"/>
    <s v="R1012"/>
    <n v="42"/>
  </r>
  <r>
    <s v="Id650"/>
    <s v="Giles, Ms.  Della"/>
    <n v="35.5"/>
    <n v="11.97"/>
    <s v="No"/>
    <s v="No"/>
    <x v="0"/>
    <n v="0"/>
    <x v="1"/>
    <x v="0"/>
    <s v="Diabetes"/>
    <n v="1999"/>
    <s v="Sep"/>
    <n v="22"/>
    <n v="0"/>
    <d v="1999-09-22T00:00:00"/>
    <n v="5552.61"/>
    <s v="tier - 2"/>
    <s v="tier - 3"/>
    <s v="R1026"/>
    <n v="23"/>
  </r>
  <r>
    <s v="Id651"/>
    <s v="Harmon, Mr.  David"/>
    <n v="41.63"/>
    <n v="6.71"/>
    <s v="No"/>
    <s v="No"/>
    <x v="0"/>
    <n v="0"/>
    <x v="1"/>
    <x v="0"/>
    <s v="Diabetes"/>
    <n v="1974"/>
    <s v="Sep"/>
    <n v="18"/>
    <n v="0"/>
    <d v="1974-09-18T00:00:00"/>
    <n v="5576.35"/>
    <s v="tier - 2"/>
    <s v="tier - 3"/>
    <s v="R1013"/>
    <n v="48"/>
  </r>
  <r>
    <s v="Id652"/>
    <s v="Pennings, Ms.  Victoria"/>
    <n v="46.49"/>
    <n v="11.92"/>
    <s v="No"/>
    <s v="No"/>
    <x v="0"/>
    <n v="0"/>
    <x v="1"/>
    <x v="0"/>
    <s v="Diabetes"/>
    <n v="1985"/>
    <s v="Sep"/>
    <n v="5"/>
    <n v="3"/>
    <d v="1985-09-05T00:00:00"/>
    <n v="5582.95"/>
    <s v="tier - 2"/>
    <s v="tier - 1"/>
    <s v="R1012"/>
    <n v="37"/>
  </r>
  <r>
    <s v="Id653"/>
    <s v="Tseronis, Mr.  Tasos"/>
    <n v="43.29"/>
    <n v="5.35"/>
    <s v="No"/>
    <s v="No"/>
    <x v="0"/>
    <n v="2"/>
    <x v="1"/>
    <x v="0"/>
    <s v="Normal"/>
    <n v="1986"/>
    <s v="Nov"/>
    <n v="21"/>
    <n v="2"/>
    <d v="1986-11-21T00:00:00"/>
    <n v="5584.31"/>
    <s v="tier - 3"/>
    <s v="tier - 1"/>
    <s v="R1013"/>
    <n v="36"/>
  </r>
  <r>
    <s v="Id654"/>
    <s v="Aliff, Mr.  Thomas"/>
    <n v="43.08"/>
    <n v="8.9600000000000009"/>
    <s v="yes"/>
    <s v="No"/>
    <x v="0"/>
    <n v="1"/>
    <x v="1"/>
    <x v="0"/>
    <s v="Diabetes"/>
    <n v="1983"/>
    <s v="Oct"/>
    <n v="3"/>
    <n v="3"/>
    <d v="1983-10-03T00:00:00"/>
    <n v="5587.59"/>
    <s v="tier - 2"/>
    <s v="tier - 1"/>
    <s v="R1013"/>
    <n v="39"/>
  </r>
  <r>
    <s v="Id655"/>
    <s v="Willenberg, Mr.  Lukasz"/>
    <n v="39.07"/>
    <n v="11.93"/>
    <s v="No"/>
    <s v="No"/>
    <x v="0"/>
    <n v="0"/>
    <x v="1"/>
    <x v="0"/>
    <s v="Diabetes"/>
    <n v="1988"/>
    <s v="Nov"/>
    <n v="18"/>
    <n v="1"/>
    <d v="1988-11-18T00:00:00"/>
    <n v="5594.85"/>
    <s v="tier - 2"/>
    <s v="tier - 3"/>
    <s v="R1024"/>
    <n v="34"/>
  </r>
  <r>
    <s v="Id656"/>
    <s v="Millett, Mr.  Matthew A."/>
    <n v="41.3"/>
    <n v="9.59"/>
    <s v="No"/>
    <s v="No"/>
    <x v="0"/>
    <n v="0"/>
    <x v="1"/>
    <x v="0"/>
    <s v="Diabetes"/>
    <n v="1978"/>
    <s v="Sep"/>
    <n v="11"/>
    <n v="2"/>
    <d v="1978-09-11T00:00:00"/>
    <n v="5612.83"/>
    <s v="tier - 2"/>
    <s v="tier - 3"/>
    <s v="R1013"/>
    <n v="44"/>
  </r>
  <r>
    <s v="Id657"/>
    <s v="Haley, Ms.  Meta"/>
    <n v="42.95"/>
    <n v="11.88"/>
    <s v="yes"/>
    <s v="No"/>
    <x v="0"/>
    <n v="2"/>
    <x v="1"/>
    <x v="0"/>
    <s v="Diabetes"/>
    <n v="1994"/>
    <s v="Nov"/>
    <n v="15"/>
    <n v="5"/>
    <d v="1994-11-15T00:00:00"/>
    <n v="5615.37"/>
    <s v="tier - 2"/>
    <s v="tier - 3"/>
    <s v="R1011"/>
    <n v="28"/>
  </r>
  <r>
    <s v="Id658"/>
    <s v="Ackerman, Ms.  Rachel E"/>
    <n v="46.96"/>
    <n v="4.6399999999999997"/>
    <s v="No"/>
    <s v="No"/>
    <x v="1"/>
    <n v="1"/>
    <x v="1"/>
    <x v="0"/>
    <s v="Normal"/>
    <n v="1987"/>
    <s v="Dec"/>
    <n v="9"/>
    <n v="1"/>
    <d v="1987-12-09T00:00:00"/>
    <n v="5630.46"/>
    <s v="tier - 2"/>
    <s v="tier - 3"/>
    <s v="R1012"/>
    <n v="35"/>
  </r>
  <r>
    <s v="Id659"/>
    <s v="Valdez, Ms.  Angelica"/>
    <n v="30.495000000000001"/>
    <n v="9.5299999999999994"/>
    <s v="No"/>
    <s v="No"/>
    <x v="0"/>
    <n v="0"/>
    <x v="1"/>
    <x v="0"/>
    <s v="Diabetes"/>
    <n v="1983"/>
    <s v="Jun"/>
    <n v="8"/>
    <n v="0"/>
    <d v="1983-06-08T00:00:00"/>
    <n v="5649.72"/>
    <s v="tier - 2"/>
    <s v="tier - 3"/>
    <s v="R1011"/>
    <n v="40"/>
  </r>
  <r>
    <s v="Id660"/>
    <s v="Michaud, Ms.  Kathleen"/>
    <n v="17.954999999999998"/>
    <n v="5.29"/>
    <s v="yes"/>
    <s v="No"/>
    <x v="0"/>
    <n v="1"/>
    <x v="0"/>
    <x v="3"/>
    <s v="Normal"/>
    <n v="1978"/>
    <s v="Sep"/>
    <n v="27"/>
    <n v="2"/>
    <d v="1978-09-27T00:00:00"/>
    <n v="5650.14"/>
    <s v="tier - 2"/>
    <s v="tier - 1"/>
    <s v="R1013"/>
    <n v="44"/>
  </r>
  <r>
    <s v="Id661"/>
    <s v="Gunnink, Mr.  Gabriel D."/>
    <n v="25.6"/>
    <n v="10.95"/>
    <s v="No"/>
    <s v="No"/>
    <x v="0"/>
    <n v="3"/>
    <x v="1"/>
    <x v="1"/>
    <s v="Diabetes"/>
    <n v="1983"/>
    <s v="Sep"/>
    <n v="3"/>
    <n v="0"/>
    <d v="1983-09-03T00:00:00"/>
    <n v="5662.23"/>
    <s v="tier - 2"/>
    <s v="tier - 1"/>
    <s v="R1013"/>
    <n v="39"/>
  </r>
  <r>
    <s v="Id662"/>
    <s v="Knight, Mr.  Jeff T"/>
    <n v="34.21"/>
    <n v="9.17"/>
    <s v="No"/>
    <s v="No"/>
    <x v="0"/>
    <n v="0"/>
    <x v="1"/>
    <x v="0"/>
    <s v="Diabetes"/>
    <n v="1984"/>
    <s v="Aug"/>
    <n v="12"/>
    <n v="3"/>
    <d v="1984-08-12T00:00:00"/>
    <n v="5679.13"/>
    <s v="tier - 2"/>
    <s v="tier - 2"/>
    <s v="R1013"/>
    <n v="38"/>
  </r>
  <r>
    <s v="Id663"/>
    <s v="Grosscup, Mr.  Neil D"/>
    <n v="39.74"/>
    <n v="7.39"/>
    <s v="No"/>
    <s v="No"/>
    <x v="0"/>
    <n v="0"/>
    <x v="1"/>
    <x v="0"/>
    <s v="Diabetes"/>
    <n v="1972"/>
    <s v="Oct"/>
    <n v="28"/>
    <n v="0"/>
    <d v="1972-10-28T00:00:00"/>
    <n v="5690.79"/>
    <s v="tier - 2"/>
    <s v="tier - 1"/>
    <s v="R1013"/>
    <n v="50"/>
  </r>
  <r>
    <s v="Id664"/>
    <s v="Koniuch, Ms.  Katherine L."/>
    <n v="49.53"/>
    <n v="9.1300000000000008"/>
    <s v="yes"/>
    <s v="No"/>
    <x v="0"/>
    <n v="0"/>
    <x v="1"/>
    <x v="0"/>
    <s v="Diabetes"/>
    <n v="1992"/>
    <s v="Nov"/>
    <n v="3"/>
    <n v="3"/>
    <d v="1992-11-03T00:00:00"/>
    <n v="5693.43"/>
    <s v="tier - 2"/>
    <s v="tier - 3"/>
    <s v="R1012"/>
    <n v="30"/>
  </r>
  <r>
    <s v="Id665"/>
    <s v="Heitzman, Ms.  Ariel E"/>
    <n v="39.33"/>
    <n v="10.4"/>
    <s v="No"/>
    <s v="No"/>
    <x v="0"/>
    <n v="3"/>
    <x v="1"/>
    <x v="0"/>
    <s v="Diabetes"/>
    <n v="1974"/>
    <s v="Jul"/>
    <n v="6"/>
    <n v="0"/>
    <d v="1974-07-06T00:00:00"/>
    <n v="5698.74"/>
    <s v="tier - 2"/>
    <s v="tier - 2"/>
    <s v="R1012"/>
    <n v="48"/>
  </r>
  <r>
    <s v="Id666"/>
    <s v="Tatton, Mr.  Christopher P"/>
    <n v="39.979999999999997"/>
    <n v="9.4600000000000009"/>
    <s v="yes"/>
    <s v="No"/>
    <x v="0"/>
    <n v="2"/>
    <x v="1"/>
    <x v="0"/>
    <s v="Diabetes"/>
    <n v="1981"/>
    <s v="Jun"/>
    <n v="15"/>
    <n v="0"/>
    <d v="1981-06-15T00:00:00"/>
    <n v="5699.84"/>
    <s v="tier - 2"/>
    <s v="tier - 3"/>
    <s v="R1013"/>
    <n v="41"/>
  </r>
  <r>
    <s v="Id667"/>
    <s v="Flanagan, Mrs.  Erin M."/>
    <n v="46.51"/>
    <n v="8.69"/>
    <s v="yes"/>
    <s v="No"/>
    <x v="0"/>
    <n v="0"/>
    <x v="1"/>
    <x v="0"/>
    <s v="Diabetes"/>
    <n v="1993"/>
    <s v="Nov"/>
    <n v="3"/>
    <n v="4"/>
    <d v="1993-11-03T00:00:00"/>
    <n v="5708.87"/>
    <s v="tier - 2"/>
    <s v="tier - 1"/>
    <s v="R1011"/>
    <n v="29"/>
  </r>
  <r>
    <s v="Id668"/>
    <s v="Funk, Mrs.  Molly K."/>
    <n v="43.58"/>
    <n v="4.2300000000000004"/>
    <s v="No"/>
    <s v="No"/>
    <x v="1"/>
    <n v="1"/>
    <x v="1"/>
    <x v="0"/>
    <s v="Normal"/>
    <n v="1981"/>
    <s v="Aug"/>
    <n v="30"/>
    <n v="0"/>
    <d v="1981-08-30T00:00:00"/>
    <n v="5709.16"/>
    <s v="tier - 3"/>
    <s v="tier - 3"/>
    <s v="R1013"/>
    <n v="41"/>
  </r>
  <r>
    <s v="Id669"/>
    <s v="Davenport, Mr.  Ryan J."/>
    <n v="42.28"/>
    <n v="9.16"/>
    <s v="yes"/>
    <s v="No"/>
    <x v="0"/>
    <n v="1"/>
    <x v="1"/>
    <x v="0"/>
    <s v="Diabetes"/>
    <n v="1971"/>
    <s v="Dec"/>
    <n v="18"/>
    <n v="0"/>
    <d v="1971-12-18T00:00:00"/>
    <n v="5720.38"/>
    <s v="tier - 2"/>
    <s v="tier - 1"/>
    <s v="R1013"/>
    <n v="51"/>
  </r>
  <r>
    <s v="Id670"/>
    <s v="Nicholson, Mrs.  Jennifer"/>
    <n v="35.520000000000003"/>
    <n v="8.26"/>
    <s v="No"/>
    <s v="No"/>
    <x v="0"/>
    <n v="0"/>
    <x v="1"/>
    <x v="0"/>
    <s v="Diabetes"/>
    <n v="1987"/>
    <s v="Oct"/>
    <n v="19"/>
    <n v="2"/>
    <d v="1987-10-19T00:00:00"/>
    <n v="5729.01"/>
    <s v="tier - 1"/>
    <s v="tier - 2"/>
    <s v="R1012"/>
    <n v="35"/>
  </r>
  <r>
    <s v="Id671"/>
    <s v="Lindbloom, Mr.  Daniel M"/>
    <n v="33.6"/>
    <n v="11.25"/>
    <s v="No"/>
    <s v="No"/>
    <x v="0"/>
    <n v="0"/>
    <x v="1"/>
    <x v="0"/>
    <s v="Diabetes"/>
    <n v="1972"/>
    <s v="Aug"/>
    <n v="21"/>
    <n v="0"/>
    <d v="1972-08-21T00:00:00"/>
    <n v="5741.67"/>
    <s v="tier - 2"/>
    <s v="tier - 3"/>
    <s v="R1013"/>
    <n v="50"/>
  </r>
  <r>
    <s v="Id672"/>
    <s v="Wijayaratne, Ms.  Hiruni"/>
    <n v="22.42"/>
    <n v="6.74"/>
    <s v="No"/>
    <s v="No"/>
    <x v="0"/>
    <n v="0"/>
    <x v="0"/>
    <x v="2"/>
    <s v="Diabetes"/>
    <n v="1993"/>
    <s v="Jun"/>
    <n v="10"/>
    <n v="0"/>
    <d v="1993-06-10T00:00:00"/>
    <n v="5748.13"/>
    <s v="tier - 2"/>
    <s v="tier - 1"/>
    <s v="R1021"/>
    <n v="29"/>
  </r>
  <r>
    <s v="Id673"/>
    <s v="Ainsworth, Ms.  Reina H."/>
    <n v="46.86"/>
    <n v="4.87"/>
    <s v="No"/>
    <s v="No"/>
    <x v="0"/>
    <n v="0"/>
    <x v="1"/>
    <x v="0"/>
    <s v="Normal"/>
    <n v="1983"/>
    <s v="Aug"/>
    <n v="30"/>
    <n v="0"/>
    <d v="1983-08-30T00:00:00"/>
    <n v="5757.41"/>
    <s v="tier - 2"/>
    <s v="tier - 3"/>
    <s v="R1019"/>
    <n v="39"/>
  </r>
  <r>
    <s v="Id674"/>
    <s v="Gayagoy, Ms.  Kristi"/>
    <n v="32.965000000000003"/>
    <n v="6.68"/>
    <s v="No"/>
    <s v="No"/>
    <x v="0"/>
    <n v="3"/>
    <x v="1"/>
    <x v="0"/>
    <s v="Diabetes"/>
    <n v="2004"/>
    <s v="Nov"/>
    <n v="1"/>
    <n v="0"/>
    <d v="2004-11-01T00:00:00"/>
    <n v="5778.71"/>
    <s v="tier - 2"/>
    <s v="tier - 3"/>
    <s v="R1022"/>
    <n v="18"/>
  </r>
  <r>
    <s v="Id675"/>
    <s v="Fitzmaurice, Ms.  Meredith L."/>
    <n v="39.340000000000003"/>
    <n v="5.0199999999999996"/>
    <s v="yes"/>
    <s v="No"/>
    <x v="1"/>
    <n v="1"/>
    <x v="1"/>
    <x v="0"/>
    <s v="Normal"/>
    <n v="1980"/>
    <s v="Sep"/>
    <n v="18"/>
    <n v="2"/>
    <d v="1980-09-18T00:00:00"/>
    <n v="5807.06"/>
    <s v="tier - 2"/>
    <s v="tier - 3"/>
    <s v="R1013"/>
    <n v="42"/>
  </r>
  <r>
    <s v="Id676"/>
    <s v="Rodriguez, Ms.  Jocelyn"/>
    <n v="47"/>
    <n v="10.64"/>
    <s v="yes"/>
    <s v="No"/>
    <x v="0"/>
    <n v="0"/>
    <x v="1"/>
    <x v="0"/>
    <s v="Diabetes"/>
    <n v="1972"/>
    <s v="Nov"/>
    <n v="2"/>
    <n v="0"/>
    <d v="1972-11-02T00:00:00"/>
    <n v="5812.9"/>
    <s v="tier - 2"/>
    <s v="tier - 2"/>
    <s v="R1013"/>
    <n v="50"/>
  </r>
  <r>
    <s v="Id677"/>
    <s v="Tsoucas, Mrs.  Daphne"/>
    <n v="36.71"/>
    <n v="8.74"/>
    <s v="yes"/>
    <s v="No"/>
    <x v="0"/>
    <n v="0"/>
    <x v="1"/>
    <x v="0"/>
    <s v="Diabetes"/>
    <n v="2002"/>
    <s v="Jul"/>
    <n v="22"/>
    <n v="0"/>
    <d v="2002-07-22T00:00:00"/>
    <n v="5816.58"/>
    <s v="tier - 2"/>
    <s v="tier - 2"/>
    <s v="R1026"/>
    <n v="20"/>
  </r>
  <r>
    <s v="Id678"/>
    <s v="Muhly, Ms.  Margaret E"/>
    <n v="53.48"/>
    <n v="5.64"/>
    <s v="No"/>
    <s v="No"/>
    <x v="0"/>
    <n v="0"/>
    <x v="1"/>
    <x v="0"/>
    <s v="Normal"/>
    <n v="1971"/>
    <s v="Sep"/>
    <n v="27"/>
    <n v="0"/>
    <d v="1971-09-27T00:00:00"/>
    <n v="5832.6"/>
    <s v="tier - 2"/>
    <s v="tier - 3"/>
    <s v="R1012"/>
    <n v="51"/>
  </r>
  <r>
    <s v="Id679"/>
    <s v="Lund, Mr.  Mario J."/>
    <n v="35.5"/>
    <n v="10.37"/>
    <s v="No"/>
    <s v="No"/>
    <x v="0"/>
    <n v="0"/>
    <x v="1"/>
    <x v="0"/>
    <s v="Diabetes"/>
    <n v="1987"/>
    <s v="Jul"/>
    <n v="27"/>
    <n v="2"/>
    <d v="1987-07-27T00:00:00"/>
    <n v="5836.52"/>
    <s v="tier - 2"/>
    <s v="tier - 3"/>
    <s v="R1013"/>
    <n v="35"/>
  </r>
  <r>
    <s v="Id680"/>
    <s v="Battaglino, Mr.  Peter"/>
    <n v="36.979999999999997"/>
    <n v="9.56"/>
    <s v="yes"/>
    <s v="No"/>
    <x v="0"/>
    <n v="0"/>
    <x v="1"/>
    <x v="0"/>
    <s v="Diabetes"/>
    <n v="1995"/>
    <s v="Aug"/>
    <n v="20"/>
    <n v="0"/>
    <d v="1995-08-20T00:00:00"/>
    <n v="5843.99"/>
    <s v="tier - 2"/>
    <s v="tier - 2"/>
    <s v="R1025"/>
    <n v="27"/>
  </r>
  <r>
    <s v="Id681"/>
    <s v="Pena, Ms.  Carolina"/>
    <n v="32.395000000000003"/>
    <n v="8.23"/>
    <s v="yes"/>
    <s v="No"/>
    <x v="1"/>
    <n v="1"/>
    <x v="1"/>
    <x v="0"/>
    <s v="Diabetes"/>
    <n v="1987"/>
    <s v="Sep"/>
    <n v="30"/>
    <n v="2"/>
    <d v="1987-09-30T00:00:00"/>
    <n v="5846.92"/>
    <s v="tier - 2"/>
    <s v="tier - 2"/>
    <s v="R1013"/>
    <n v="35"/>
  </r>
  <r>
    <s v="Id682"/>
    <s v="Thomason, Mrs.  Jenny K."/>
    <n v="32.729999999999997"/>
    <n v="7.03"/>
    <s v="No"/>
    <s v="No"/>
    <x v="0"/>
    <n v="0"/>
    <x v="1"/>
    <x v="0"/>
    <s v="Diabetes"/>
    <n v="1985"/>
    <s v="Jun"/>
    <n v="18"/>
    <n v="3"/>
    <d v="1985-06-18T00:00:00"/>
    <n v="5847.24"/>
    <s v="tier - 2"/>
    <s v="tier - 1"/>
    <s v="R1013"/>
    <n v="37"/>
  </r>
  <r>
    <s v="Id683"/>
    <s v="Hancox, Ms.  Jessica"/>
    <n v="20.52"/>
    <n v="5.45"/>
    <s v="No"/>
    <s v="No"/>
    <x v="0"/>
    <n v="1"/>
    <x v="0"/>
    <x v="2"/>
    <s v="Normal"/>
    <n v="1984"/>
    <s v="Nov"/>
    <n v="22"/>
    <n v="1"/>
    <d v="1984-11-22T00:00:00"/>
    <n v="5855.9"/>
    <s v="tier - 2"/>
    <s v="tier - 3"/>
    <s v="R1012"/>
    <n v="38"/>
  </r>
  <r>
    <s v="Id684"/>
    <s v="Canarecci, Ms.  Kimberly D"/>
    <n v="51.72"/>
    <n v="5.76"/>
    <s v="No"/>
    <s v="No"/>
    <x v="0"/>
    <n v="0"/>
    <x v="1"/>
    <x v="0"/>
    <s v="Prediabetes"/>
    <n v="1993"/>
    <s v="Oct"/>
    <n v="19"/>
    <n v="0"/>
    <d v="1993-10-19T00:00:00"/>
    <n v="5877.02"/>
    <s v="tier - 2"/>
    <s v="tier - 2"/>
    <s v="R1021"/>
    <n v="29"/>
  </r>
  <r>
    <s v="Id685"/>
    <s v="Toupin, Mr.  Marc-Olivier"/>
    <n v="50.2"/>
    <n v="5.4"/>
    <s v="No"/>
    <s v="No"/>
    <x v="0"/>
    <n v="0"/>
    <x v="1"/>
    <x v="0"/>
    <s v="Normal"/>
    <n v="1982"/>
    <s v="Jul"/>
    <n v="8"/>
    <n v="0"/>
    <d v="1982-07-08T00:00:00"/>
    <n v="5910.94"/>
    <s v="tier - 2"/>
    <s v="tier - 1"/>
    <s v="R1011"/>
    <n v="40"/>
  </r>
  <r>
    <s v="Id686"/>
    <s v="Mulley, Mr.  Russell J"/>
    <n v="25.52"/>
    <n v="6.35"/>
    <s v="No"/>
    <s v="No"/>
    <x v="1"/>
    <n v="1"/>
    <x v="1"/>
    <x v="1"/>
    <s v="Prediabetes"/>
    <n v="1982"/>
    <s v="Dec"/>
    <n v="21"/>
    <n v="0"/>
    <d v="1982-12-21T00:00:00"/>
    <n v="5920.1"/>
    <s v="tier - 2"/>
    <s v="tier - 1"/>
    <s v="R1013"/>
    <n v="40"/>
  </r>
  <r>
    <s v="Id687"/>
    <s v="Parry, Ms.  Karine"/>
    <n v="35.200000000000003"/>
    <n v="6.26"/>
    <s v="yes"/>
    <s v="No"/>
    <x v="0"/>
    <n v="2"/>
    <x v="1"/>
    <x v="0"/>
    <s v="Prediabetes"/>
    <n v="1987"/>
    <s v="Jul"/>
    <n v="29"/>
    <n v="3"/>
    <d v="1987-07-29T00:00:00"/>
    <n v="5926.85"/>
    <s v="tier - 3"/>
    <s v="tier - 3"/>
    <s v="R1011"/>
    <n v="35"/>
  </r>
  <r>
    <s v="Id688"/>
    <s v="Mason Cox, Ms.  Cheryl"/>
    <n v="41.26"/>
    <n v="5.97"/>
    <s v="yes"/>
    <s v="No"/>
    <x v="0"/>
    <n v="0"/>
    <x v="1"/>
    <x v="0"/>
    <s v="Prediabetes"/>
    <n v="1993"/>
    <s v="Aug"/>
    <n v="13"/>
    <n v="0"/>
    <d v="1993-08-13T00:00:00"/>
    <n v="5926.93"/>
    <s v="tier - 2"/>
    <s v="tier - 2"/>
    <s v="R1025"/>
    <n v="29"/>
  </r>
  <r>
    <s v="Id689"/>
    <s v="Thompson, Ms.  Allison M."/>
    <n v="17.195"/>
    <n v="5.29"/>
    <s v="yes"/>
    <s v="No"/>
    <x v="0"/>
    <n v="0"/>
    <x v="0"/>
    <x v="3"/>
    <s v="Normal"/>
    <n v="1994"/>
    <s v="Jul"/>
    <n v="30"/>
    <n v="0"/>
    <d v="1994-07-30T00:00:00"/>
    <n v="5927.65"/>
    <s v="tier - 2"/>
    <s v="tier - 1"/>
    <s v="R1012"/>
    <n v="28"/>
  </r>
  <r>
    <s v="Id690"/>
    <s v="Nelson, Ms.  Adriana"/>
    <n v="23.085000000000001"/>
    <n v="4.2699999999999996"/>
    <s v="yes"/>
    <s v="No"/>
    <x v="0"/>
    <n v="2"/>
    <x v="1"/>
    <x v="2"/>
    <s v="Normal"/>
    <n v="1987"/>
    <s v="Jul"/>
    <n v="14"/>
    <n v="3"/>
    <d v="1987-07-14T00:00:00"/>
    <n v="5934.38"/>
    <s v="tier - 3"/>
    <s v="tier - 2"/>
    <s v="R1013"/>
    <n v="35"/>
  </r>
  <r>
    <s v="Id691"/>
    <s v="Forte, Ms.  Miranda J"/>
    <n v="21.66"/>
    <n v="5.2"/>
    <s v="yes"/>
    <s v="No"/>
    <x v="0"/>
    <n v="2"/>
    <x v="1"/>
    <x v="2"/>
    <s v="Normal"/>
    <n v="2003"/>
    <s v="Aug"/>
    <n v="13"/>
    <n v="0"/>
    <d v="2003-08-13T00:00:00"/>
    <n v="5957.35"/>
    <s v="tier - 2"/>
    <s v="tier - 2"/>
    <s v="R1012"/>
    <n v="19"/>
  </r>
  <r>
    <s v="Id692"/>
    <s v="Corona Iturriaga, Mr.  Roberto"/>
    <n v="36.47"/>
    <n v="8.23"/>
    <s v="yes"/>
    <s v="No"/>
    <x v="0"/>
    <n v="0"/>
    <x v="1"/>
    <x v="0"/>
    <s v="Diabetes"/>
    <n v="2004"/>
    <s v="Jul"/>
    <n v="15"/>
    <n v="0"/>
    <d v="2004-07-15T00:00:00"/>
    <n v="5960.91"/>
    <s v="tier - 2"/>
    <s v="tier - 1"/>
    <s v="R1026"/>
    <n v="18"/>
  </r>
  <r>
    <s v="Id693"/>
    <s v="McCollum, Mrs.  Rebecca B."/>
    <n v="36.08"/>
    <n v="10.33"/>
    <s v="yes"/>
    <s v="No"/>
    <x v="0"/>
    <n v="0"/>
    <x v="1"/>
    <x v="0"/>
    <s v="Diabetes"/>
    <n v="1980"/>
    <s v="Aug"/>
    <n v="5"/>
    <n v="0"/>
    <d v="1980-08-05T00:00:00"/>
    <n v="5966.89"/>
    <s v="tier - 2"/>
    <s v="tier - 3"/>
    <s v="R1013"/>
    <n v="42"/>
  </r>
  <r>
    <s v="Id694"/>
    <s v="Hevner, Ms.  Tiffany"/>
    <n v="23.18"/>
    <n v="6.13"/>
    <s v="No"/>
    <s v="No"/>
    <x v="0"/>
    <n v="0"/>
    <x v="1"/>
    <x v="2"/>
    <s v="Prediabetes"/>
    <n v="1980"/>
    <s v="Jul"/>
    <n v="21"/>
    <n v="0"/>
    <d v="1980-07-21T00:00:00"/>
    <n v="5969.72"/>
    <s v="tier - 3"/>
    <s v="tier - 3"/>
    <s v="R1011"/>
    <n v="42"/>
  </r>
  <r>
    <s v="Id695"/>
    <s v="Looi, Mr.  Alexander"/>
    <n v="39.159999999999997"/>
    <n v="8.08"/>
    <s v="No"/>
    <s v="No"/>
    <x v="0"/>
    <n v="3"/>
    <x v="1"/>
    <x v="0"/>
    <s v="Diabetes"/>
    <n v="1989"/>
    <s v="Jul"/>
    <n v="22"/>
    <n v="3"/>
    <d v="1989-07-22T00:00:00"/>
    <n v="5972.38"/>
    <s v="tier - 2"/>
    <s v="tier - 2"/>
    <s v="R1011"/>
    <n v="33"/>
  </r>
  <r>
    <s v="Id696"/>
    <s v="Power, Mr.  Rich M"/>
    <n v="38.19"/>
    <n v="10.49"/>
    <s v="No"/>
    <s v="No"/>
    <x v="0"/>
    <n v="3"/>
    <x v="1"/>
    <x v="0"/>
    <s v="Diabetes"/>
    <n v="1984"/>
    <s v="Sep"/>
    <n v="19"/>
    <n v="1"/>
    <d v="1984-09-19T00:00:00"/>
    <n v="5974.38"/>
    <s v="tier - 2"/>
    <s v="tier - 3"/>
    <s v="R1013"/>
    <n v="38"/>
  </r>
  <r>
    <s v="Id697"/>
    <s v="Routon, Mr.  Aaron C"/>
    <n v="26.41"/>
    <n v="8.11"/>
    <s v="No"/>
    <s v="No"/>
    <x v="0"/>
    <n v="3"/>
    <x v="1"/>
    <x v="1"/>
    <s v="Diabetes"/>
    <n v="1984"/>
    <s v="Nov"/>
    <n v="11"/>
    <n v="1"/>
    <d v="1984-11-11T00:00:00"/>
    <n v="5976.83"/>
    <s v="tier - 2"/>
    <s v="tier - 2"/>
    <s v="R1013"/>
    <n v="38"/>
  </r>
  <r>
    <s v="Id698"/>
    <s v="Dochelli, Ms.  Kate"/>
    <n v="28.785"/>
    <n v="6.6"/>
    <s v="No"/>
    <s v="No"/>
    <x v="0"/>
    <n v="0"/>
    <x v="1"/>
    <x v="1"/>
    <s v="Diabetes"/>
    <n v="1970"/>
    <s v="Jun"/>
    <n v="25"/>
    <n v="0"/>
    <d v="1970-06-25T00:00:00"/>
    <n v="5979.66"/>
    <s v="tier - 2"/>
    <s v="tier - 3"/>
    <s v="R1013"/>
    <n v="52"/>
  </r>
  <r>
    <s v="Id699"/>
    <s v="Gillespie, Ms.  Maria M"/>
    <n v="26.695"/>
    <n v="10.14"/>
    <s v="yes"/>
    <s v="No"/>
    <x v="1"/>
    <n v="1"/>
    <x v="1"/>
    <x v="1"/>
    <s v="Diabetes"/>
    <n v="1980"/>
    <s v="Oct"/>
    <n v="10"/>
    <n v="0"/>
    <d v="1980-10-10T00:00:00"/>
    <n v="5979.73"/>
    <s v="tier - 2"/>
    <s v="tier - 2"/>
    <s v="R1011"/>
    <n v="42"/>
  </r>
  <r>
    <s v="Id700"/>
    <s v="Oskvig, Mr.  Daven W"/>
    <n v="32.799999999999997"/>
    <n v="6.06"/>
    <s v="yes"/>
    <s v="No"/>
    <x v="0"/>
    <n v="1"/>
    <x v="1"/>
    <x v="0"/>
    <s v="Prediabetes"/>
    <n v="1974"/>
    <s v="Oct"/>
    <n v="11"/>
    <n v="0"/>
    <d v="1974-10-11T00:00:00"/>
    <n v="5979.99"/>
    <s v="tier - 2"/>
    <s v="tier - 3"/>
    <s v="R1013"/>
    <n v="48"/>
  </r>
  <r>
    <s v="Id701"/>
    <s v="Holland-Stergar, Mrs.  Brianne"/>
    <n v="35.869999999999997"/>
    <n v="9.91"/>
    <s v="yes"/>
    <s v="No"/>
    <x v="0"/>
    <n v="0"/>
    <x v="1"/>
    <x v="0"/>
    <s v="Diabetes"/>
    <n v="1988"/>
    <s v="Jun"/>
    <n v="10"/>
    <n v="2"/>
    <d v="1988-06-10T00:00:00"/>
    <n v="5989.52"/>
    <s v="tier - 2"/>
    <s v="tier - 1"/>
    <s v="R1012"/>
    <n v="34"/>
  </r>
  <r>
    <s v="Id702"/>
    <s v="Arai, Mr.  Hiroki"/>
    <n v="21.66"/>
    <n v="4.1399999999999997"/>
    <s v="yes"/>
    <s v="No"/>
    <x v="0"/>
    <n v="2"/>
    <x v="1"/>
    <x v="2"/>
    <s v="Normal"/>
    <n v="1974"/>
    <s v="Aug"/>
    <n v="17"/>
    <n v="0"/>
    <d v="1974-08-17T00:00:00"/>
    <n v="5990.17"/>
    <s v="tier - 2"/>
    <s v="tier - 2"/>
    <s v="R1013"/>
    <n v="48"/>
  </r>
  <r>
    <s v="Id703"/>
    <s v="Olausson, Mr.  Anders"/>
    <n v="37.72"/>
    <n v="4.38"/>
    <s v="yes"/>
    <s v="No"/>
    <x v="1"/>
    <n v="1"/>
    <x v="1"/>
    <x v="0"/>
    <s v="Normal"/>
    <n v="1980"/>
    <s v="Aug"/>
    <n v="8"/>
    <n v="2"/>
    <d v="1980-08-08T00:00:00"/>
    <n v="5993.62"/>
    <s v="tier - 2"/>
    <s v="tier - 3"/>
    <s v="R1013"/>
    <n v="42"/>
  </r>
  <r>
    <s v="Id704"/>
    <s v="Wagner, Ms.  Danielle"/>
    <n v="39.700000000000003"/>
    <n v="9.83"/>
    <s v="No"/>
    <s v="No"/>
    <x v="0"/>
    <n v="3"/>
    <x v="1"/>
    <x v="0"/>
    <s v="Diabetes"/>
    <n v="1989"/>
    <s v="Aug"/>
    <n v="16"/>
    <n v="4"/>
    <d v="1989-08-16T00:00:00"/>
    <n v="6059.17"/>
    <s v="tier - 2"/>
    <s v="tier - 1"/>
    <s v="R1011"/>
    <n v="33"/>
  </r>
  <r>
    <s v="Id705"/>
    <s v="Delong, Ms.  Candace N"/>
    <n v="35.97"/>
    <n v="11.08"/>
    <s v="No"/>
    <s v="No"/>
    <x v="0"/>
    <n v="3"/>
    <x v="1"/>
    <x v="0"/>
    <s v="Diabetes"/>
    <n v="1996"/>
    <s v="Jul"/>
    <n v="28"/>
    <n v="0"/>
    <d v="1996-07-28T00:00:00"/>
    <n v="6061.8"/>
    <s v="tier - 2"/>
    <s v="tier - 3"/>
    <s v="R1012"/>
    <n v="26"/>
  </r>
  <r>
    <s v="Id706"/>
    <s v="Mehech, Mr.  Bruno F."/>
    <n v="37.85"/>
    <n v="11.01"/>
    <s v="No"/>
    <s v="No"/>
    <x v="0"/>
    <n v="0"/>
    <x v="1"/>
    <x v="0"/>
    <s v="Diabetes"/>
    <n v="1994"/>
    <s v="Nov"/>
    <n v="8"/>
    <n v="0"/>
    <d v="1994-11-08T00:00:00"/>
    <n v="6064.37"/>
    <s v="tier - 2"/>
    <s v="tier - 2"/>
    <s v="R1011"/>
    <n v="28"/>
  </r>
  <r>
    <s v="Id707"/>
    <s v="Machiela, Ms.  Emily"/>
    <n v="21.66"/>
    <n v="4.37"/>
    <s v="No"/>
    <s v="yes"/>
    <x v="0"/>
    <n v="1"/>
    <x v="0"/>
    <x v="2"/>
    <s v="Normal"/>
    <n v="1984"/>
    <s v="Sep"/>
    <n v="21"/>
    <n v="1"/>
    <d v="1984-09-21T00:00:00"/>
    <n v="6067.13"/>
    <s v="tier - 3"/>
    <s v="tier - 1"/>
    <s v="R1016"/>
    <n v="38"/>
  </r>
  <r>
    <s v="Id708"/>
    <s v="Young, Mrs.  Katie"/>
    <n v="39.369999999999997"/>
    <n v="5.91"/>
    <s v="No"/>
    <s v="No"/>
    <x v="0"/>
    <n v="2"/>
    <x v="1"/>
    <x v="0"/>
    <s v="Prediabetes"/>
    <n v="1979"/>
    <s v="Aug"/>
    <n v="8"/>
    <n v="2"/>
    <d v="1979-08-08T00:00:00"/>
    <n v="6074.37"/>
    <s v="tier - 2"/>
    <s v="tier - 2"/>
    <s v="R1012"/>
    <n v="43"/>
  </r>
  <r>
    <s v="Id709"/>
    <s v="Dupere, Mrs.  Sally"/>
    <n v="40.880000000000003"/>
    <n v="7.65"/>
    <s v="No"/>
    <s v="No"/>
    <x v="0"/>
    <n v="0"/>
    <x v="1"/>
    <x v="0"/>
    <s v="Diabetes"/>
    <n v="1984"/>
    <s v="Oct"/>
    <n v="14"/>
    <n v="1"/>
    <d v="1984-10-14T00:00:00"/>
    <n v="6079.67"/>
    <s v="tier - 1"/>
    <s v="tier - 1"/>
    <s v="R1014"/>
    <n v="38"/>
  </r>
  <r>
    <s v="Id710"/>
    <s v="Iandolo, Ms.  Meaghan J"/>
    <n v="26.22"/>
    <n v="5.37"/>
    <s v="yes"/>
    <s v="No"/>
    <x v="0"/>
    <n v="2"/>
    <x v="1"/>
    <x v="1"/>
    <s v="Normal"/>
    <n v="1984"/>
    <s v="Jul"/>
    <n v="25"/>
    <n v="2"/>
    <d v="1984-07-25T00:00:00"/>
    <n v="6082.41"/>
    <s v="tier - 1"/>
    <s v="tier - 2"/>
    <s v="R1011"/>
    <n v="38"/>
  </r>
  <r>
    <s v="Id711"/>
    <s v="Ito, Ms.  Rina"/>
    <n v="25.08"/>
    <n v="5.75"/>
    <s v="yes"/>
    <s v="No"/>
    <x v="0"/>
    <n v="2"/>
    <x v="1"/>
    <x v="1"/>
    <s v="Prediabetes"/>
    <n v="1970"/>
    <s v="Jun"/>
    <n v="9"/>
    <n v="0"/>
    <d v="1970-06-09T00:00:00"/>
    <n v="6098.38"/>
    <s v="tier - 2"/>
    <s v="tier - 2"/>
    <s v="R1013"/>
    <n v="52"/>
  </r>
  <r>
    <s v="Id712"/>
    <s v="Barry, Ms.  Kristin P."/>
    <n v="39.1"/>
    <n v="6.79"/>
    <s v="yes"/>
    <s v="No"/>
    <x v="0"/>
    <n v="2"/>
    <x v="1"/>
    <x v="0"/>
    <s v="Diabetes"/>
    <n v="1995"/>
    <s v="Sep"/>
    <n v="9"/>
    <n v="0"/>
    <d v="1995-09-09T00:00:00"/>
    <n v="6111.95"/>
    <s v="tier - 2"/>
    <s v="tier - 3"/>
    <s v="R1026"/>
    <n v="27"/>
  </r>
  <r>
    <s v="Id713"/>
    <s v="Boyce, Mr.  Albert"/>
    <n v="37.905000000000001"/>
    <n v="7.03"/>
    <s v="No"/>
    <s v="No"/>
    <x v="0"/>
    <n v="3"/>
    <x v="1"/>
    <x v="0"/>
    <s v="Diabetes"/>
    <n v="1985"/>
    <s v="Jul"/>
    <n v="21"/>
    <n v="1"/>
    <d v="1985-07-21T00:00:00"/>
    <n v="6112.35"/>
    <s v="tier - 2"/>
    <s v="tier - 1"/>
    <s v="R1012"/>
    <n v="37"/>
  </r>
  <r>
    <s v="Id714"/>
    <s v="Lin, Mrs.  Ashley"/>
    <n v="43.35"/>
    <n v="5.41"/>
    <s v="yes"/>
    <s v="No"/>
    <x v="1"/>
    <n v="1"/>
    <x v="1"/>
    <x v="0"/>
    <s v="Normal"/>
    <n v="1991"/>
    <s v="Jul"/>
    <n v="25"/>
    <n v="3"/>
    <d v="1991-07-25T00:00:00"/>
    <n v="6113.23"/>
    <s v="tier - 2"/>
    <s v="tier - 2"/>
    <s v="R1024"/>
    <n v="31"/>
  </r>
  <r>
    <s v="Id715"/>
    <s v="Smith, Mrs.  Shannon L"/>
    <n v="36.15"/>
    <n v="8.0500000000000007"/>
    <s v="No"/>
    <s v="No"/>
    <x v="0"/>
    <n v="0"/>
    <x v="1"/>
    <x v="0"/>
    <s v="Diabetes"/>
    <n v="1983"/>
    <s v="Aug"/>
    <n v="11"/>
    <n v="1"/>
    <d v="1983-08-11T00:00:00"/>
    <n v="6117.49"/>
    <s v="tier - 2"/>
    <s v="tier - 3"/>
    <s v="R1012"/>
    <n v="39"/>
  </r>
  <r>
    <s v="Id716"/>
    <s v="Nalven, Ms.  Amy B"/>
    <n v="44.98"/>
    <n v="5.94"/>
    <s v="No"/>
    <s v="No"/>
    <x v="0"/>
    <n v="1"/>
    <x v="1"/>
    <x v="0"/>
    <s v="Prediabetes"/>
    <n v="1983"/>
    <s v="Nov"/>
    <n v="16"/>
    <n v="1"/>
    <d v="1983-11-16T00:00:00"/>
    <n v="6123.57"/>
    <s v="tier - 3"/>
    <s v="tier - 2"/>
    <s v="R1012"/>
    <n v="39"/>
  </r>
  <r>
    <s v="Id717"/>
    <s v="Bourgeois, Ms.  A Danielle"/>
    <n v="38.28"/>
    <n v="5.51"/>
    <s v="No"/>
    <s v="yes"/>
    <x v="0"/>
    <n v="1"/>
    <x v="1"/>
    <x v="0"/>
    <s v="Normal"/>
    <n v="1990"/>
    <s v="Aug"/>
    <n v="18"/>
    <n v="3"/>
    <d v="1990-08-18T00:00:00"/>
    <n v="6128.8"/>
    <s v="tier - 2"/>
    <s v="tier - 3"/>
    <s v="R1012"/>
    <n v="32"/>
  </r>
  <r>
    <s v="Id718"/>
    <s v="Orloff, Mr.  Conrad F"/>
    <n v="32.299999999999997"/>
    <n v="6.55"/>
    <s v="yes"/>
    <s v="No"/>
    <x v="0"/>
    <n v="2"/>
    <x v="1"/>
    <x v="0"/>
    <s v="Diabetes"/>
    <n v="1969"/>
    <s v="Nov"/>
    <n v="9"/>
    <n v="0"/>
    <d v="1969-11-09T00:00:00"/>
    <n v="6138.5"/>
    <s v="tier - 2"/>
    <s v="tier - 2"/>
    <s v="R1011"/>
    <n v="53"/>
  </r>
  <r>
    <s v="Id719"/>
    <s v="Ramirez, Mr.  Josh"/>
    <n v="39.51"/>
    <n v="5.79"/>
    <s v="yes"/>
    <s v="No"/>
    <x v="0"/>
    <n v="0"/>
    <x v="1"/>
    <x v="0"/>
    <s v="Prediabetes"/>
    <n v="1978"/>
    <s v="Sep"/>
    <n v="5"/>
    <n v="2"/>
    <d v="1978-09-05T00:00:00"/>
    <n v="6138.58"/>
    <s v="tier - 2"/>
    <s v="tier - 1"/>
    <s v="R1013"/>
    <n v="44"/>
  </r>
  <r>
    <s v="Id720"/>
    <s v="Fouquet, Mr.  Maxime"/>
    <n v="50.46"/>
    <n v="4.5599999999999996"/>
    <s v="No"/>
    <s v="No"/>
    <x v="0"/>
    <n v="0"/>
    <x v="1"/>
    <x v="0"/>
    <s v="Normal"/>
    <n v="1976"/>
    <s v="Dec"/>
    <n v="12"/>
    <n v="2"/>
    <d v="1976-12-12T00:00:00"/>
    <n v="6139.14"/>
    <s v="tier - 2"/>
    <s v="tier - 3"/>
    <s v="R1013"/>
    <n v="46"/>
  </r>
  <r>
    <s v="Id721"/>
    <s v="McPhillips, Ms.  Natalie"/>
    <n v="31.73"/>
    <n v="7"/>
    <s v="No"/>
    <s v="No"/>
    <x v="0"/>
    <n v="0"/>
    <x v="1"/>
    <x v="0"/>
    <s v="Diabetes"/>
    <n v="1970"/>
    <s v="Oct"/>
    <n v="14"/>
    <n v="0"/>
    <d v="1970-10-14T00:00:00"/>
    <n v="6147.12"/>
    <s v="tier - 2"/>
    <s v="tier - 3"/>
    <s v="R1012"/>
    <n v="52"/>
  </r>
  <r>
    <s v="Id722"/>
    <s v="Burgin, Ms.  Melissa"/>
    <n v="32.1"/>
    <n v="6.57"/>
    <s v="yes"/>
    <s v="No"/>
    <x v="1"/>
    <n v="1"/>
    <x v="1"/>
    <x v="0"/>
    <s v="Diabetes"/>
    <n v="1973"/>
    <s v="Nov"/>
    <n v="6"/>
    <n v="0"/>
    <d v="1973-11-06T00:00:00"/>
    <n v="6152.05"/>
    <s v="tier - 2"/>
    <s v="tier - 3"/>
    <s v="R1013"/>
    <n v="49"/>
  </r>
  <r>
    <s v="Id723"/>
    <s v="Roberts, Ms.  Laura P."/>
    <n v="27.83"/>
    <n v="11.61"/>
    <s v="yes"/>
    <s v="No"/>
    <x v="1"/>
    <n v="1"/>
    <x v="1"/>
    <x v="1"/>
    <s v="Diabetes"/>
    <n v="1985"/>
    <s v="Oct"/>
    <n v="15"/>
    <n v="3"/>
    <d v="1985-10-15T00:00:00"/>
    <n v="6159.57"/>
    <s v="tier - 2"/>
    <s v="tier - 1"/>
    <s v="R1012"/>
    <n v="37"/>
  </r>
  <r>
    <s v="Id724"/>
    <s v="Nemec, Mrs.  Lisa"/>
    <n v="27.72"/>
    <n v="8.16"/>
    <s v="yes"/>
    <s v="No"/>
    <x v="1"/>
    <n v="1"/>
    <x v="1"/>
    <x v="1"/>
    <s v="Diabetes"/>
    <n v="1984"/>
    <s v="Oct"/>
    <n v="6"/>
    <n v="3"/>
    <d v="1984-10-06T00:00:00"/>
    <n v="6170.96"/>
    <s v="tier - 2"/>
    <s v="tier - 1"/>
    <s v="R1013"/>
    <n v="38"/>
  </r>
  <r>
    <s v="Id725"/>
    <s v="Appman, Mr.  William D. Jr."/>
    <n v="36.765000000000001"/>
    <n v="4.4800000000000004"/>
    <s v="yes"/>
    <s v="No"/>
    <x v="0"/>
    <n v="2"/>
    <x v="1"/>
    <x v="0"/>
    <s v="Normal"/>
    <n v="1985"/>
    <s v="Aug"/>
    <n v="9"/>
    <n v="3"/>
    <d v="1985-08-09T00:00:00"/>
    <n v="6183.32"/>
    <s v="tier - 2"/>
    <s v="tier - 2"/>
    <s v="R1012"/>
    <n v="37"/>
  </r>
  <r>
    <s v="Id726"/>
    <s v="Driscoll, Mr.  James"/>
    <n v="48.36"/>
    <n v="4.08"/>
    <s v="No"/>
    <s v="No"/>
    <x v="0"/>
    <n v="0"/>
    <x v="1"/>
    <x v="0"/>
    <s v="Normal"/>
    <n v="1970"/>
    <s v="Oct"/>
    <n v="5"/>
    <n v="0"/>
    <d v="1970-10-05T00:00:00"/>
    <n v="6183.46"/>
    <s v="tier - 2"/>
    <s v="tier - 2"/>
    <s v="R1012"/>
    <n v="52"/>
  </r>
  <r>
    <s v="Id727"/>
    <s v="Glotzbach, Mr.  John"/>
    <n v="31.445"/>
    <n v="4.4000000000000004"/>
    <s v="yes"/>
    <s v="No"/>
    <x v="0"/>
    <n v="2"/>
    <x v="1"/>
    <x v="0"/>
    <s v="Normal"/>
    <n v="1988"/>
    <s v="Nov"/>
    <n v="1"/>
    <n v="3"/>
    <d v="1988-11-01T00:00:00"/>
    <n v="6184.3"/>
    <s v="tier - 2"/>
    <s v="tier - 3"/>
    <s v="R1013"/>
    <n v="34"/>
  </r>
  <r>
    <s v="Id728"/>
    <s v="Tenforde, Mr.  Adam S"/>
    <n v="27.55"/>
    <n v="9.02"/>
    <s v="No"/>
    <s v="No"/>
    <x v="0"/>
    <n v="0"/>
    <x v="1"/>
    <x v="1"/>
    <s v="Diabetes"/>
    <n v="1981"/>
    <s v="Nov"/>
    <n v="22"/>
    <n v="0"/>
    <d v="1981-11-22T00:00:00"/>
    <n v="6185.32"/>
    <s v="tier - 2"/>
    <s v="tier - 1"/>
    <s v="R1013"/>
    <n v="41"/>
  </r>
  <r>
    <s v="Id729"/>
    <s v="Ramirez, Mr.  Armando"/>
    <n v="33.11"/>
    <n v="8.06"/>
    <s v="No"/>
    <s v="No"/>
    <x v="0"/>
    <n v="0"/>
    <x v="1"/>
    <x v="0"/>
    <s v="Diabetes"/>
    <n v="1981"/>
    <s v="Oct"/>
    <n v="1"/>
    <n v="0"/>
    <d v="1981-10-01T00:00:00"/>
    <n v="6186.13"/>
    <s v="tier - 2"/>
    <s v="tier - 3"/>
    <s v="R1011"/>
    <n v="41"/>
  </r>
  <r>
    <s v="Id730"/>
    <s v="Stanley Torres, Ms.  Dana"/>
    <n v="36.85"/>
    <n v="6.21"/>
    <s v="yes"/>
    <s v="No"/>
    <x v="0"/>
    <n v="2"/>
    <x v="1"/>
    <x v="0"/>
    <s v="Prediabetes"/>
    <n v="1988"/>
    <s v="Oct"/>
    <n v="23"/>
    <n v="3"/>
    <d v="1988-10-23T00:00:00"/>
    <n v="6196.45"/>
    <s v="tier - 2"/>
    <s v="tier - 1"/>
    <s v="R1011"/>
    <n v="34"/>
  </r>
  <r>
    <s v="Id731"/>
    <s v="Vandongen, Ms.  Jennifer L"/>
    <n v="36.299999999999997"/>
    <n v="5.79"/>
    <s v="yes"/>
    <s v="No"/>
    <x v="0"/>
    <n v="2"/>
    <x v="1"/>
    <x v="0"/>
    <s v="Prediabetes"/>
    <n v="1985"/>
    <s v="Jul"/>
    <n v="22"/>
    <n v="2"/>
    <d v="1985-07-22T00:00:00"/>
    <n v="6198.75"/>
    <s v="tier - 2"/>
    <s v="tier - 1"/>
    <s v="R1012"/>
    <n v="37"/>
  </r>
  <r>
    <s v="Id732"/>
    <s v="Liebald, Mr.  Benjamin"/>
    <n v="45.34"/>
    <n v="5.69"/>
    <s v="yes"/>
    <s v="No"/>
    <x v="0"/>
    <n v="0"/>
    <x v="1"/>
    <x v="0"/>
    <s v="Normal"/>
    <n v="1985"/>
    <s v="Dec"/>
    <n v="20"/>
    <n v="2"/>
    <d v="1985-12-20T00:00:00"/>
    <n v="6203.9"/>
    <s v="tier - 1"/>
    <s v="tier - 2"/>
    <s v="R1012"/>
    <n v="37"/>
  </r>
  <r>
    <s v="Id733"/>
    <s v="Holte, Ms.  Tanya"/>
    <n v="31.8"/>
    <n v="5.36"/>
    <s v="yes"/>
    <s v="No"/>
    <x v="0"/>
    <n v="2"/>
    <x v="1"/>
    <x v="0"/>
    <s v="Normal"/>
    <n v="1985"/>
    <s v="Sep"/>
    <n v="22"/>
    <n v="2"/>
    <d v="1985-09-22T00:00:00"/>
    <n v="6203.9"/>
    <s v="tier - 2"/>
    <s v="tier - 2"/>
    <s v="R1012"/>
    <n v="37"/>
  </r>
  <r>
    <s v="Id734"/>
    <s v="Johnson, Ms.  Tracy"/>
    <n v="41.02"/>
    <n v="11.37"/>
    <s v="No"/>
    <s v="No"/>
    <x v="0"/>
    <n v="0"/>
    <x v="1"/>
    <x v="0"/>
    <s v="Diabetes"/>
    <n v="1999"/>
    <s v="Sep"/>
    <n v="10"/>
    <n v="0"/>
    <d v="1999-09-10T00:00:00"/>
    <n v="6207.26"/>
    <s v="tier - 2"/>
    <s v="tier - 2"/>
    <s v="R1026"/>
    <n v="23"/>
  </r>
  <r>
    <s v="Id735"/>
    <s v="Bartlett, Ms.  Emily S"/>
    <n v="32.68"/>
    <n v="11.87"/>
    <s v="No"/>
    <s v="No"/>
    <x v="0"/>
    <n v="0"/>
    <x v="1"/>
    <x v="0"/>
    <s v="Diabetes"/>
    <n v="1992"/>
    <s v="Aug"/>
    <n v="12"/>
    <n v="0"/>
    <d v="1992-08-12T00:00:00"/>
    <n v="6208.5"/>
    <s v="tier - 2"/>
    <s v="tier - 1"/>
    <s v="R1021"/>
    <n v="30"/>
  </r>
  <r>
    <s v="Id736"/>
    <s v="Bergman, Ms.  Kelly R"/>
    <n v="21.7"/>
    <n v="4.9000000000000004"/>
    <s v="No"/>
    <s v="No"/>
    <x v="1"/>
    <n v="1"/>
    <x v="0"/>
    <x v="2"/>
    <s v="Normal"/>
    <n v="1972"/>
    <s v="Jun"/>
    <n v="29"/>
    <n v="0"/>
    <d v="1972-06-29T00:00:00"/>
    <n v="6219.93"/>
    <s v="tier - 2"/>
    <s v="tier - 2"/>
    <s v="R1013"/>
    <n v="50"/>
  </r>
  <r>
    <s v="Id737"/>
    <s v="Aitken, Mr.  Kyle"/>
    <n v="40.479999999999997"/>
    <n v="6.7"/>
    <s v="No"/>
    <s v="No"/>
    <x v="0"/>
    <n v="3"/>
    <x v="1"/>
    <x v="0"/>
    <s v="Diabetes"/>
    <n v="1978"/>
    <s v="Sep"/>
    <n v="19"/>
    <n v="2"/>
    <d v="1978-09-19T00:00:00"/>
    <n v="6236.95"/>
    <s v="tier - 2"/>
    <s v="tier - 2"/>
    <s v="R1013"/>
    <n v="44"/>
  </r>
  <r>
    <s v="Id738"/>
    <s v="Berger, Mr.  Bruce A Jr."/>
    <n v="34.5"/>
    <n v="10.3"/>
    <s v="No"/>
    <s v="No"/>
    <x v="0"/>
    <n v="3"/>
    <x v="1"/>
    <x v="0"/>
    <s v="Diabetes"/>
    <n v="1983"/>
    <s v="Aug"/>
    <n v="11"/>
    <n v="1"/>
    <d v="1983-08-11T00:00:00"/>
    <n v="6238.3"/>
    <s v="tier - 2"/>
    <s v="tier - 1"/>
    <s v="R1011"/>
    <n v="39"/>
  </r>
  <r>
    <s v="Id739"/>
    <s v="Richey, Mr.  Cary J"/>
    <n v="45.9"/>
    <n v="11.14"/>
    <s v="yes"/>
    <s v="No"/>
    <x v="0"/>
    <n v="1"/>
    <x v="1"/>
    <x v="0"/>
    <s v="Diabetes"/>
    <n v="1979"/>
    <s v="Oct"/>
    <n v="10"/>
    <n v="0"/>
    <d v="1979-10-10T00:00:00"/>
    <n v="6250.44"/>
    <s v="tier - 2"/>
    <s v="tier - 1"/>
    <s v="R1011"/>
    <n v="43"/>
  </r>
  <r>
    <s v="Id740"/>
    <s v="Trotter, Mrs.  Jill M"/>
    <n v="33.479999999999997"/>
    <n v="4.74"/>
    <s v="yes"/>
    <s v="No"/>
    <x v="0"/>
    <n v="2"/>
    <x v="1"/>
    <x v="0"/>
    <s v="Normal"/>
    <n v="1972"/>
    <s v="Nov"/>
    <n v="11"/>
    <n v="0"/>
    <d v="1972-11-11T00:00:00"/>
    <n v="6253.85"/>
    <s v="tier - 2"/>
    <s v="tier - 2"/>
    <s v="R1013"/>
    <n v="50"/>
  </r>
  <r>
    <s v="Id741"/>
    <s v="Chavez, Mr.  Chris"/>
    <n v="28.31"/>
    <n v="5.96"/>
    <s v="yes"/>
    <s v="No"/>
    <x v="0"/>
    <n v="2"/>
    <x v="1"/>
    <x v="1"/>
    <s v="Prediabetes"/>
    <n v="1972"/>
    <s v="Sep"/>
    <n v="8"/>
    <n v="0"/>
    <d v="1972-09-08T00:00:00"/>
    <n v="6254.13"/>
    <s v="tier - 2"/>
    <s v="tier - 2"/>
    <s v="R1012"/>
    <n v="50"/>
  </r>
  <r>
    <s v="Id742"/>
    <s v="Orifice, Mr.  Michael E."/>
    <n v="21.565000000000001"/>
    <n v="4.95"/>
    <s v="No"/>
    <s v="yes"/>
    <x v="0"/>
    <n v="1"/>
    <x v="0"/>
    <x v="2"/>
    <s v="Normal"/>
    <n v="1970"/>
    <s v="Oct"/>
    <n v="11"/>
    <n v="0"/>
    <d v="1970-10-11T00:00:00"/>
    <n v="6255.38"/>
    <s v="tier - 2"/>
    <s v="tier - 2"/>
    <s v="R1013"/>
    <n v="52"/>
  </r>
  <r>
    <s v="Id743"/>
    <s v="Farkash, Mrs.  Lauren"/>
    <n v="35.590000000000003"/>
    <n v="5.21"/>
    <s v="yes"/>
    <s v="No"/>
    <x v="1"/>
    <n v="1"/>
    <x v="1"/>
    <x v="0"/>
    <s v="Normal"/>
    <n v="1995"/>
    <s v="Oct"/>
    <n v="17"/>
    <n v="0"/>
    <d v="1995-10-17T00:00:00"/>
    <n v="6261.2"/>
    <s v="tier - 2"/>
    <s v="tier - 1"/>
    <s v="R1026"/>
    <n v="27"/>
  </r>
  <r>
    <s v="Id744"/>
    <s v="Hribar, Mrs.  Kathryn E"/>
    <n v="43.44"/>
    <n v="4.8600000000000003"/>
    <s v="yes"/>
    <s v="No"/>
    <x v="0"/>
    <n v="0"/>
    <x v="1"/>
    <x v="0"/>
    <s v="Normal"/>
    <n v="1984"/>
    <s v="Sep"/>
    <n v="25"/>
    <n v="3"/>
    <d v="1984-09-25T00:00:00"/>
    <n v="6269.33"/>
    <s v="tier - 2"/>
    <s v="tier - 1"/>
    <s v="R1013"/>
    <n v="38"/>
  </r>
  <r>
    <s v="Id745"/>
    <s v="Crawford, Ms.  Polly"/>
    <n v="21.754999999999999"/>
    <n v="7.79"/>
    <s v="yes"/>
    <s v="No"/>
    <x v="0"/>
    <n v="0"/>
    <x v="1"/>
    <x v="2"/>
    <s v="Diabetes"/>
    <n v="1981"/>
    <s v="Jun"/>
    <n v="30"/>
    <n v="1"/>
    <d v="1981-06-30T00:00:00"/>
    <n v="6272.48"/>
    <s v="tier - 1"/>
    <s v="tier - 3"/>
    <s v="R1013"/>
    <n v="41"/>
  </r>
  <r>
    <s v="Id746"/>
    <s v="Sittlington, Mr.  Mark H."/>
    <n v="44.55"/>
    <n v="7.12"/>
    <s v="yes"/>
    <s v="No"/>
    <x v="0"/>
    <n v="1"/>
    <x v="1"/>
    <x v="0"/>
    <s v="Diabetes"/>
    <n v="1993"/>
    <s v="Oct"/>
    <n v="16"/>
    <n v="0"/>
    <d v="1993-10-16T00:00:00"/>
    <n v="6276.3"/>
    <s v="tier - 2"/>
    <s v="tier - 1"/>
    <s v="R1025"/>
    <n v="29"/>
  </r>
  <r>
    <s v="Id747"/>
    <s v="Silbert, Mrs.  Jessie M."/>
    <n v="43.32"/>
    <n v="4.67"/>
    <s v="yes"/>
    <s v="No"/>
    <x v="0"/>
    <n v="0"/>
    <x v="1"/>
    <x v="0"/>
    <s v="Normal"/>
    <n v="1981"/>
    <s v="Nov"/>
    <n v="24"/>
    <n v="1"/>
    <d v="1981-11-24T00:00:00"/>
    <n v="6282.24"/>
    <s v="tier - 2"/>
    <s v="tier - 1"/>
    <s v="R1011"/>
    <n v="41"/>
  </r>
  <r>
    <s v="Id748"/>
    <s v="Carrique, Mr.  Chris"/>
    <n v="31.23"/>
    <n v="9.1199999999999992"/>
    <s v="yes"/>
    <s v="No"/>
    <x v="1"/>
    <n v="1"/>
    <x v="1"/>
    <x v="0"/>
    <s v="Diabetes"/>
    <n v="1981"/>
    <s v="Aug"/>
    <n v="26"/>
    <n v="1"/>
    <d v="1981-08-26T00:00:00"/>
    <n v="6289.75"/>
    <s v="tier - 2"/>
    <s v="tier - 3"/>
    <s v="R1013"/>
    <n v="41"/>
  </r>
  <r>
    <s v="Id749"/>
    <s v="Kosla, Mr.  Daniel"/>
    <n v="42.81"/>
    <n v="4.1500000000000004"/>
    <s v="No"/>
    <s v="No"/>
    <x v="0"/>
    <n v="1"/>
    <x v="1"/>
    <x v="0"/>
    <s v="Normal"/>
    <n v="1996"/>
    <s v="Jul"/>
    <n v="4"/>
    <n v="0"/>
    <d v="1996-07-04T00:00:00"/>
    <n v="6293.63"/>
    <s v="tier - 2"/>
    <s v="tier - 3"/>
    <s v="R1021"/>
    <n v="26"/>
  </r>
  <r>
    <s v="Id750"/>
    <s v="Parker, Ms.  Megan"/>
    <n v="35.909999999999997"/>
    <n v="6.72"/>
    <s v="yes"/>
    <s v="No"/>
    <x v="0"/>
    <n v="2"/>
    <x v="1"/>
    <x v="0"/>
    <s v="Diabetes"/>
    <n v="1974"/>
    <s v="Sep"/>
    <n v="17"/>
    <n v="0"/>
    <d v="1974-09-17T00:00:00"/>
    <n v="6302.23"/>
    <s v="tier - 2"/>
    <s v="tier - 1"/>
    <s v="R1013"/>
    <n v="48"/>
  </r>
  <r>
    <s v="Id751"/>
    <s v="Horton, Mr.  Kevin"/>
    <n v="36.65"/>
    <n v="5.01"/>
    <s v="yes"/>
    <s v="No"/>
    <x v="1"/>
    <n v="1"/>
    <x v="1"/>
    <x v="0"/>
    <s v="Normal"/>
    <n v="1969"/>
    <s v="Sep"/>
    <n v="4"/>
    <n v="0"/>
    <d v="1969-09-04T00:00:00"/>
    <n v="6305.61"/>
    <s v="tier - 2"/>
    <s v="tier - 2"/>
    <s v="R1012"/>
    <n v="53"/>
  </r>
  <r>
    <s v="Id752"/>
    <s v="Boller, Ms.  Caroline S."/>
    <n v="22.04"/>
    <n v="10.9"/>
    <s v="yes"/>
    <s v="No"/>
    <x v="0"/>
    <n v="2"/>
    <x v="1"/>
    <x v="2"/>
    <s v="Diabetes"/>
    <n v="2004"/>
    <s v="Jul"/>
    <n v="27"/>
    <n v="0"/>
    <d v="2004-07-27T00:00:00"/>
    <n v="6311.11"/>
    <s v="tier - 2"/>
    <s v="tier - 2"/>
    <s v="R1011"/>
    <n v="18"/>
  </r>
  <r>
    <s v="Id753"/>
    <s v="Olaru, Ms.  Nuta"/>
    <n v="31.824999999999999"/>
    <n v="5.52"/>
    <s v="yes"/>
    <s v="No"/>
    <x v="0"/>
    <n v="1"/>
    <x v="1"/>
    <x v="0"/>
    <s v="Normal"/>
    <n v="1985"/>
    <s v="Nov"/>
    <n v="19"/>
    <n v="2"/>
    <d v="1985-11-19T00:00:00"/>
    <n v="6311.95"/>
    <s v="tier - 2"/>
    <s v="tier - 1"/>
    <s v="R1011"/>
    <n v="37"/>
  </r>
  <r>
    <s v="Id754"/>
    <s v="Prescott, Ms.  Margie"/>
    <n v="53.58"/>
    <n v="4.55"/>
    <s v="No"/>
    <s v="No"/>
    <x v="0"/>
    <n v="1"/>
    <x v="1"/>
    <x v="0"/>
    <s v="Normal"/>
    <n v="1985"/>
    <s v="Dec"/>
    <n v="15"/>
    <n v="2"/>
    <d v="1985-12-15T00:00:00"/>
    <n v="6313.76"/>
    <s v="tier - 2"/>
    <s v="tier - 1"/>
    <s v="R1013"/>
    <n v="37"/>
  </r>
  <r>
    <s v="Id755"/>
    <s v="Hines, Mrs.  Heidi"/>
    <n v="34.299999999999997"/>
    <n v="11.76"/>
    <s v="No"/>
    <s v="No"/>
    <x v="0"/>
    <n v="0"/>
    <x v="1"/>
    <x v="0"/>
    <s v="Diabetes"/>
    <n v="1990"/>
    <s v="Aug"/>
    <n v="13"/>
    <n v="3"/>
    <d v="1990-08-13T00:00:00"/>
    <n v="6334.34"/>
    <s v="tier - 2"/>
    <s v="tier - 2"/>
    <s v="R1024"/>
    <n v="32"/>
  </r>
  <r>
    <s v="Id756"/>
    <s v="Blanton, Mr.  Diego J"/>
    <n v="32.11"/>
    <n v="7.06"/>
    <s v="No"/>
    <s v="No"/>
    <x v="0"/>
    <n v="0"/>
    <x v="1"/>
    <x v="0"/>
    <s v="Diabetes"/>
    <n v="1986"/>
    <s v="Sep"/>
    <n v="25"/>
    <n v="3"/>
    <d v="1986-09-25T00:00:00"/>
    <n v="6335.64"/>
    <s v="tier - 2"/>
    <s v="tier - 2"/>
    <s v="R1013"/>
    <n v="36"/>
  </r>
  <r>
    <s v="Id757"/>
    <s v="Bustamante, Mr.  Enrique M Sr."/>
    <n v="31.78"/>
    <n v="11.35"/>
    <s v="yes"/>
    <s v="No"/>
    <x v="1"/>
    <n v="1"/>
    <x v="1"/>
    <x v="0"/>
    <s v="Diabetes"/>
    <n v="1983"/>
    <s v="Oct"/>
    <n v="21"/>
    <n v="2"/>
    <d v="1983-10-21T00:00:00"/>
    <n v="6338.08"/>
    <s v="tier - 2"/>
    <s v="tier - 1"/>
    <s v="R1013"/>
    <n v="39"/>
  </r>
  <r>
    <s v="Id758"/>
    <s v="McCann, Mr.  Greg"/>
    <n v="46.89"/>
    <n v="5.52"/>
    <s v="No"/>
    <s v="No"/>
    <x v="0"/>
    <n v="0"/>
    <x v="1"/>
    <x v="0"/>
    <s v="Normal"/>
    <n v="1983"/>
    <s v="Aug"/>
    <n v="19"/>
    <n v="2"/>
    <d v="1983-08-19T00:00:00"/>
    <n v="6356.27"/>
    <s v="tier - 3"/>
    <s v="tier - 2"/>
    <s v="R1013"/>
    <n v="39"/>
  </r>
  <r>
    <s v="Id759"/>
    <s v="Schmole, Mr.  Filip"/>
    <n v="39.35"/>
    <n v="7.86"/>
    <s v="yes"/>
    <s v="No"/>
    <x v="0"/>
    <n v="1"/>
    <x v="1"/>
    <x v="0"/>
    <s v="Diabetes"/>
    <n v="1980"/>
    <s v="Oct"/>
    <n v="30"/>
    <n v="0"/>
    <d v="1980-10-30T00:00:00"/>
    <n v="6358.78"/>
    <s v="tier - 2"/>
    <s v="tier - 1"/>
    <s v="R1012"/>
    <n v="42"/>
  </r>
  <r>
    <s v="Id760"/>
    <s v="Barber, Ms.  Rosemary E."/>
    <n v="39.200000000000003"/>
    <n v="11.38"/>
    <s v="No"/>
    <s v="No"/>
    <x v="0"/>
    <n v="0"/>
    <x v="1"/>
    <x v="0"/>
    <s v="Diabetes"/>
    <n v="1989"/>
    <s v="Jun"/>
    <n v="24"/>
    <n v="3"/>
    <d v="1989-06-24T00:00:00"/>
    <n v="6360.99"/>
    <s v="tier - 2"/>
    <s v="tier - 2"/>
    <s v="R1012"/>
    <n v="33"/>
  </r>
  <r>
    <s v="Id761"/>
    <s v="Reichmann, Ms.  Lisa"/>
    <n v="39.159999999999997"/>
    <n v="10.48"/>
    <s v="No"/>
    <s v="No"/>
    <x v="0"/>
    <n v="0"/>
    <x v="1"/>
    <x v="0"/>
    <s v="Diabetes"/>
    <n v="1996"/>
    <s v="Jul"/>
    <n v="7"/>
    <n v="0"/>
    <d v="1996-07-07T00:00:00"/>
    <n v="6361.47"/>
    <s v="tier - 2"/>
    <s v="tier - 3"/>
    <s v="R1021"/>
    <n v="26"/>
  </r>
  <r>
    <s v="Id762"/>
    <s v="Cavatorta, Mr.  Jason"/>
    <n v="44.1"/>
    <n v="5.04"/>
    <s v="yes"/>
    <s v="No"/>
    <x v="0"/>
    <n v="0"/>
    <x v="1"/>
    <x v="0"/>
    <s v="Normal"/>
    <n v="1970"/>
    <s v="Nov"/>
    <n v="9"/>
    <n v="0"/>
    <d v="1970-11-09T00:00:00"/>
    <n v="6367.31"/>
    <s v="tier - 2"/>
    <s v="tier - 1"/>
    <s v="R1013"/>
    <n v="52"/>
  </r>
  <r>
    <s v="Id763"/>
    <s v="Yaeger, Ms.  Courtney"/>
    <n v="33.200000000000003"/>
    <n v="9.06"/>
    <s v="No"/>
    <s v="No"/>
    <x v="0"/>
    <n v="0"/>
    <x v="1"/>
    <x v="0"/>
    <s v="Diabetes"/>
    <n v="1984"/>
    <s v="Aug"/>
    <n v="13"/>
    <n v="1"/>
    <d v="1984-08-13T00:00:00"/>
    <n v="6373.56"/>
    <s v="tier - 2"/>
    <s v="tier - 1"/>
    <s v="R1012"/>
    <n v="38"/>
  </r>
  <r>
    <s v="Id764"/>
    <s v="Hughes, Ms.  Jennifer R."/>
    <n v="29.92"/>
    <n v="11.07"/>
    <s v="No"/>
    <s v="No"/>
    <x v="0"/>
    <n v="0"/>
    <x v="1"/>
    <x v="0"/>
    <s v="Diabetes"/>
    <n v="1976"/>
    <s v="Nov"/>
    <n v="18"/>
    <n v="2"/>
    <d v="1976-11-18T00:00:00"/>
    <n v="6374.16"/>
    <s v="tier - 2"/>
    <s v="tier - 2"/>
    <s v="R1013"/>
    <n v="46"/>
  </r>
  <r>
    <s v="Id765"/>
    <s v="Donahue, Ms.  Lauren E"/>
    <n v="25"/>
    <n v="10.45"/>
    <s v="No"/>
    <s v="No"/>
    <x v="0"/>
    <n v="0"/>
    <x v="1"/>
    <x v="1"/>
    <s v="Diabetes"/>
    <n v="1982"/>
    <s v="Aug"/>
    <n v="6"/>
    <n v="1"/>
    <d v="1982-08-06T00:00:00"/>
    <n v="6389.38"/>
    <s v="tier - 1"/>
    <s v="tier - 2"/>
    <s v="R1012"/>
    <n v="40"/>
  </r>
  <r>
    <s v="Id766"/>
    <s v="Greenwell, Ms.  Ashley M."/>
    <n v="38.869999999999997"/>
    <n v="8.6300000000000008"/>
    <s v="yes"/>
    <s v="No"/>
    <x v="0"/>
    <n v="1"/>
    <x v="1"/>
    <x v="0"/>
    <s v="Diabetes"/>
    <n v="1997"/>
    <s v="Aug"/>
    <n v="16"/>
    <n v="0"/>
    <d v="1997-08-16T00:00:00"/>
    <n v="6389.53"/>
    <s v="tier - 2"/>
    <s v="tier - 2"/>
    <s v="R1021"/>
    <n v="25"/>
  </r>
  <r>
    <s v="Id767"/>
    <s v="Steele, Ms.  Alison R."/>
    <n v="32.299999999999997"/>
    <n v="5.28"/>
    <s v="yes"/>
    <s v="No"/>
    <x v="0"/>
    <n v="2"/>
    <x v="1"/>
    <x v="0"/>
    <s v="Normal"/>
    <n v="1982"/>
    <s v="Oct"/>
    <n v="28"/>
    <n v="1"/>
    <d v="1982-10-28T00:00:00"/>
    <n v="6393.6"/>
    <s v="tier - 2"/>
    <s v="tier - 1"/>
    <s v="R1012"/>
    <n v="40"/>
  </r>
  <r>
    <s v="Id768"/>
    <s v="Gunter, Ms.  Madeleine"/>
    <n v="31.16"/>
    <n v="7.49"/>
    <s v="yes"/>
    <s v="No"/>
    <x v="0"/>
    <n v="2"/>
    <x v="1"/>
    <x v="0"/>
    <s v="Diabetes"/>
    <n v="1987"/>
    <s v="Sep"/>
    <n v="9"/>
    <n v="2"/>
    <d v="1987-09-09T00:00:00"/>
    <n v="6402.29"/>
    <s v="tier - 2"/>
    <s v="tier - 3"/>
    <s v="R1024"/>
    <n v="35"/>
  </r>
  <r>
    <s v="Id769"/>
    <s v="McDonough, Ms.  Stacey"/>
    <n v="54.59"/>
    <n v="4.2699999999999996"/>
    <s v="No"/>
    <s v="No"/>
    <x v="0"/>
    <n v="0"/>
    <x v="1"/>
    <x v="0"/>
    <s v="Normal"/>
    <n v="1985"/>
    <s v="Dec"/>
    <n v="10"/>
    <n v="2"/>
    <d v="1985-12-10T00:00:00"/>
    <n v="6406.41"/>
    <s v="tier - 1"/>
    <s v="tier - 3"/>
    <s v="R1014"/>
    <n v="37"/>
  </r>
  <r>
    <s v="Id770"/>
    <s v="Sweetland, Ms.  Kimberly"/>
    <n v="21.09"/>
    <n v="9.2200000000000006"/>
    <s v="yes"/>
    <s v="No"/>
    <x v="0"/>
    <n v="2"/>
    <x v="1"/>
    <x v="2"/>
    <s v="Diabetes"/>
    <n v="1970"/>
    <s v="Aug"/>
    <n v="20"/>
    <n v="0"/>
    <d v="1970-08-20T00:00:00"/>
    <n v="6407.05"/>
    <s v="tier - 2"/>
    <s v="tier - 1"/>
    <s v="R1013"/>
    <n v="52"/>
  </r>
  <r>
    <s v="Id771"/>
    <s v="Hammersmith, Mr.  Matthew D"/>
    <n v="52.41"/>
    <n v="5.99"/>
    <s v="No"/>
    <s v="No"/>
    <x v="0"/>
    <n v="1"/>
    <x v="1"/>
    <x v="0"/>
    <s v="Prediabetes"/>
    <n v="1971"/>
    <s v="Aug"/>
    <n v="22"/>
    <n v="0"/>
    <d v="1971-08-22T00:00:00"/>
    <n v="6412.34"/>
    <s v="tier - 2"/>
    <s v="tier - 3"/>
    <s v="R1013"/>
    <n v="51"/>
  </r>
  <r>
    <s v="Id772"/>
    <s v="French, Mr.  Michael"/>
    <n v="41.47"/>
    <n v="5.86"/>
    <s v="yes"/>
    <s v="No"/>
    <x v="0"/>
    <n v="2"/>
    <x v="1"/>
    <x v="0"/>
    <s v="Prediabetes"/>
    <n v="1987"/>
    <s v="Sep"/>
    <n v="4"/>
    <n v="3"/>
    <d v="1987-09-04T00:00:00"/>
    <n v="6414.18"/>
    <s v="tier - 2"/>
    <s v="tier - 2"/>
    <s v="R1011"/>
    <n v="35"/>
  </r>
  <r>
    <s v="Id773"/>
    <s v="Garbe, Mr.  Ben"/>
    <n v="33.1"/>
    <n v="5.19"/>
    <s v="yes"/>
    <s v="No"/>
    <x v="0"/>
    <n v="2"/>
    <x v="1"/>
    <x v="0"/>
    <s v="Normal"/>
    <n v="1976"/>
    <s v="Dec"/>
    <n v="30"/>
    <n v="2"/>
    <d v="1976-12-30T00:00:00"/>
    <n v="6417.28"/>
    <s v="tier - 2"/>
    <s v="tier - 3"/>
    <s v="R1013"/>
    <n v="46"/>
  </r>
  <r>
    <s v="Id774"/>
    <s v="Duncan, Mr.  Chris"/>
    <n v="30.8"/>
    <n v="4.37"/>
    <s v="yes"/>
    <s v="No"/>
    <x v="0"/>
    <n v="2"/>
    <x v="1"/>
    <x v="0"/>
    <s v="Normal"/>
    <n v="1975"/>
    <s v="Aug"/>
    <n v="5"/>
    <n v="1"/>
    <d v="1975-08-05T00:00:00"/>
    <n v="6423.48"/>
    <s v="tier - 2"/>
    <s v="tier - 3"/>
    <s v="R1013"/>
    <n v="47"/>
  </r>
  <r>
    <s v="Id775"/>
    <s v="Wallace, Mr.  Jeremy J"/>
    <n v="42.06"/>
    <n v="5.32"/>
    <s v="No"/>
    <s v="No"/>
    <x v="0"/>
    <n v="1"/>
    <x v="1"/>
    <x v="0"/>
    <s v="Normal"/>
    <n v="1985"/>
    <s v="Jul"/>
    <n v="22"/>
    <n v="3"/>
    <d v="1985-07-22T00:00:00"/>
    <n v="6435.62"/>
    <s v="tier - 3"/>
    <s v="tier - 2"/>
    <s v="R1013"/>
    <n v="37"/>
  </r>
  <r>
    <s v="Id776"/>
    <s v="Tillman, Mrs.  Amy L."/>
    <n v="39.270000000000003"/>
    <n v="5.64"/>
    <s v="No"/>
    <s v="No"/>
    <x v="1"/>
    <n v="1"/>
    <x v="1"/>
    <x v="0"/>
    <s v="Normal"/>
    <n v="1984"/>
    <s v="Aug"/>
    <n v="26"/>
    <n v="2"/>
    <d v="1984-08-26T00:00:00"/>
    <n v="6455.86"/>
    <s v="tier - 3"/>
    <s v="tier - 3"/>
    <s v="R1012"/>
    <n v="38"/>
  </r>
  <r>
    <s v="Id777"/>
    <s v="Lee, Mrs.  Karen L."/>
    <n v="30.71"/>
    <n v="5.59"/>
    <s v="yes"/>
    <s v="No"/>
    <x v="0"/>
    <n v="1"/>
    <x v="1"/>
    <x v="0"/>
    <s v="Normal"/>
    <n v="1984"/>
    <s v="Nov"/>
    <n v="1"/>
    <n v="2"/>
    <d v="1984-11-01T00:00:00"/>
    <n v="6457.84"/>
    <s v="tier - 2"/>
    <s v="tier - 3"/>
    <s v="R1012"/>
    <n v="38"/>
  </r>
  <r>
    <s v="Id778"/>
    <s v="Taylor, Ms.  Tennille"/>
    <n v="47.19"/>
    <n v="5.29"/>
    <s v="No"/>
    <s v="No"/>
    <x v="0"/>
    <n v="0"/>
    <x v="1"/>
    <x v="0"/>
    <s v="Normal"/>
    <n v="1981"/>
    <s v="Jul"/>
    <n v="27"/>
    <n v="1"/>
    <d v="1981-07-27T00:00:00"/>
    <n v="6473.15"/>
    <s v="tier - 2"/>
    <s v="tier - 2"/>
    <s v="R1013"/>
    <n v="41"/>
  </r>
  <r>
    <s v="Id779"/>
    <s v="McSween, Mr.  Matt"/>
    <n v="30.02"/>
    <n v="6.65"/>
    <s v="No"/>
    <s v="No"/>
    <x v="0"/>
    <n v="0"/>
    <x v="1"/>
    <x v="0"/>
    <s v="Diabetes"/>
    <n v="1980"/>
    <s v="Jun"/>
    <n v="8"/>
    <n v="0"/>
    <d v="1980-06-08T00:00:00"/>
    <n v="6474.01"/>
    <s v="tier - 2"/>
    <s v="tier - 3"/>
    <s v="R1011"/>
    <n v="43"/>
  </r>
  <r>
    <s v="Id780"/>
    <s v="Schubert, Ms.  Emily"/>
    <n v="37.909999999999997"/>
    <n v="5.68"/>
    <s v="yes"/>
    <s v="No"/>
    <x v="0"/>
    <n v="0"/>
    <x v="1"/>
    <x v="0"/>
    <s v="Normal"/>
    <n v="1970"/>
    <s v="Dec"/>
    <n v="1"/>
    <n v="0"/>
    <d v="1970-12-01T00:00:00"/>
    <n v="6481.67"/>
    <s v="tier - 2"/>
    <s v="tier - 2"/>
    <s v="R1013"/>
    <n v="52"/>
  </r>
  <r>
    <s v="Id781"/>
    <s v="Lalanne, Mr.  Justin E"/>
    <n v="54.61"/>
    <n v="4.49"/>
    <s v="No"/>
    <s v="No"/>
    <x v="0"/>
    <n v="0"/>
    <x v="1"/>
    <x v="0"/>
    <s v="Normal"/>
    <n v="1982"/>
    <s v="Oct"/>
    <n v="9"/>
    <n v="1"/>
    <d v="1982-10-09T00:00:00"/>
    <n v="6496.89"/>
    <s v="tier - 2"/>
    <s v="tier - 3"/>
    <s v="R1011"/>
    <n v="40"/>
  </r>
  <r>
    <s v="Id782"/>
    <s v="Flanagan, Ms.  Shalane"/>
    <n v="36.005000000000003"/>
    <n v="6.9"/>
    <s v="No"/>
    <s v="No"/>
    <x v="0"/>
    <n v="0"/>
    <x v="1"/>
    <x v="0"/>
    <s v="Diabetes"/>
    <n v="1982"/>
    <s v="Aug"/>
    <n v="28"/>
    <n v="1"/>
    <d v="1982-08-28T00:00:00"/>
    <n v="6500.24"/>
    <s v="tier - 2"/>
    <s v="tier - 2"/>
    <s v="R1013"/>
    <n v="40"/>
  </r>
  <r>
    <s v="Id783"/>
    <s v="Arellano, Ms.  Jessica N."/>
    <n v="28.7"/>
    <n v="11.52"/>
    <s v="No"/>
    <s v="No"/>
    <x v="0"/>
    <n v="0"/>
    <x v="1"/>
    <x v="1"/>
    <s v="Diabetes"/>
    <n v="1994"/>
    <s v="Jul"/>
    <n v="7"/>
    <n v="0"/>
    <d v="1994-07-07T00:00:00"/>
    <n v="6512.24"/>
    <s v="tier - 2"/>
    <s v="tier - 1"/>
    <s v="R1021"/>
    <n v="28"/>
  </r>
  <r>
    <s v="Id784"/>
    <s v="Charette, Ms.  Melanie"/>
    <n v="34.295000000000002"/>
    <n v="11.24"/>
    <s v="No"/>
    <s v="No"/>
    <x v="0"/>
    <n v="0"/>
    <x v="1"/>
    <x v="0"/>
    <s v="Diabetes"/>
    <n v="1976"/>
    <s v="Oct"/>
    <n v="23"/>
    <n v="2"/>
    <d v="1976-10-23T00:00:00"/>
    <n v="6529.21"/>
    <s v="tier - 2"/>
    <s v="tier - 1"/>
    <s v="R1013"/>
    <n v="46"/>
  </r>
  <r>
    <s v="Id785"/>
    <s v="Pena Reyes, Ms.  Ruth Angelica"/>
    <n v="27.55"/>
    <n v="10.98"/>
    <s v="No"/>
    <s v="No"/>
    <x v="0"/>
    <n v="0"/>
    <x v="1"/>
    <x v="1"/>
    <s v="Diabetes"/>
    <n v="1982"/>
    <s v="Aug"/>
    <n v="12"/>
    <n v="3"/>
    <d v="1982-08-12T00:00:00"/>
    <n v="6532.04"/>
    <s v="tier - 2"/>
    <s v="tier - 1"/>
    <s v="R1013"/>
    <n v="40"/>
  </r>
  <r>
    <s v="Id786"/>
    <s v="Broderick, Ms.  Una M"/>
    <n v="40.700000000000003"/>
    <n v="5.42"/>
    <s v="No"/>
    <s v="No"/>
    <x v="0"/>
    <n v="0"/>
    <x v="1"/>
    <x v="0"/>
    <s v="Normal"/>
    <n v="1982"/>
    <s v="Oct"/>
    <n v="2"/>
    <n v="3"/>
    <d v="1982-10-02T00:00:00"/>
    <n v="6536.68"/>
    <s v="tier - 2"/>
    <s v="tier - 2"/>
    <s v="R1012"/>
    <n v="40"/>
  </r>
  <r>
    <s v="Id787"/>
    <s v="Summers, Ms.  Taralyn"/>
    <n v="18.335000000000001"/>
    <n v="10.97"/>
    <s v="No"/>
    <s v="No"/>
    <x v="0"/>
    <n v="0"/>
    <x v="1"/>
    <x v="3"/>
    <s v="Diabetes"/>
    <n v="1969"/>
    <s v="Dec"/>
    <n v="3"/>
    <n v="0"/>
    <d v="1969-12-03T00:00:00"/>
    <n v="6546.16"/>
    <s v="tier - 2"/>
    <s v="tier - 3"/>
    <s v="R1013"/>
    <n v="53"/>
  </r>
  <r>
    <s v="Id788"/>
    <s v="Fisher, Mr.  James A"/>
    <n v="33.914999999999999"/>
    <n v="9.56"/>
    <s v="yes"/>
    <s v="No"/>
    <x v="0"/>
    <n v="2"/>
    <x v="1"/>
    <x v="0"/>
    <s v="Diabetes"/>
    <n v="1986"/>
    <s v="Dec"/>
    <n v="18"/>
    <n v="3"/>
    <d v="1986-12-18T00:00:00"/>
    <n v="6548.2"/>
    <s v="tier - 2"/>
    <s v="tier - 3"/>
    <s v="R1012"/>
    <n v="36"/>
  </r>
  <r>
    <s v="Id789"/>
    <s v="Zhou, Mr.  Ning"/>
    <n v="33.534999999999997"/>
    <n v="9.4"/>
    <s v="yes"/>
    <s v="No"/>
    <x v="0"/>
    <n v="2"/>
    <x v="1"/>
    <x v="0"/>
    <s v="Diabetes"/>
    <n v="1989"/>
    <s v="Aug"/>
    <n v="6"/>
    <n v="3"/>
    <d v="1989-08-06T00:00:00"/>
    <n v="6551.75"/>
    <s v="tier - 2"/>
    <s v="tier - 2"/>
    <s v="R1024"/>
    <n v="33"/>
  </r>
  <r>
    <s v="Id790"/>
    <s v="Clarke-Ames, Mr.  Joel"/>
    <n v="23.655000000000001"/>
    <n v="8.48"/>
    <s v="yes"/>
    <s v="No"/>
    <x v="0"/>
    <n v="2"/>
    <x v="1"/>
    <x v="2"/>
    <s v="Diabetes"/>
    <n v="1968"/>
    <s v="Dec"/>
    <n v="11"/>
    <n v="0"/>
    <d v="1968-12-11T00:00:00"/>
    <n v="6552.01"/>
    <s v="tier - 3"/>
    <s v="tier - 2"/>
    <s v="R1013"/>
    <n v="54"/>
  </r>
  <r>
    <s v="Id791"/>
    <s v="Staton, Ms.  Pamela J."/>
    <n v="28"/>
    <n v="5.57"/>
    <s v="No"/>
    <s v="No"/>
    <x v="0"/>
    <n v="0"/>
    <x v="1"/>
    <x v="1"/>
    <s v="Normal"/>
    <n v="1984"/>
    <s v="Sep"/>
    <n v="20"/>
    <n v="1"/>
    <d v="1984-09-20T00:00:00"/>
    <n v="6555.07"/>
    <s v="tier - 2"/>
    <s v="tier - 2"/>
    <s v="R1024"/>
    <n v="38"/>
  </r>
  <r>
    <s v="Id792"/>
    <s v="Forster, Ms.  Brittney"/>
    <n v="30.23"/>
    <n v="6.94"/>
    <s v="yes"/>
    <s v="No"/>
    <x v="1"/>
    <n v="1"/>
    <x v="1"/>
    <x v="0"/>
    <s v="Diabetes"/>
    <n v="1981"/>
    <s v="Jul"/>
    <n v="20"/>
    <n v="0"/>
    <d v="1981-07-20T00:00:00"/>
    <n v="6571.02"/>
    <s v="tier - 2"/>
    <s v="tier - 1"/>
    <s v="R1012"/>
    <n v="41"/>
  </r>
  <r>
    <s v="Id793"/>
    <s v="Monaghan, Mrs.  Sheila"/>
    <n v="51.14"/>
    <n v="4.05"/>
    <s v="No"/>
    <s v="No"/>
    <x v="0"/>
    <n v="1"/>
    <x v="1"/>
    <x v="0"/>
    <s v="Normal"/>
    <n v="1984"/>
    <s v="Oct"/>
    <n v="5"/>
    <n v="2"/>
    <d v="1984-10-05T00:00:00"/>
    <n v="6571.54"/>
    <s v="tier - 2"/>
    <s v="tier - 3"/>
    <s v="R1011"/>
    <n v="38"/>
  </r>
  <r>
    <s v="Id794"/>
    <s v="Kawamoto, Mr.  Koji"/>
    <n v="24.32"/>
    <n v="10.220000000000001"/>
    <s v="No"/>
    <s v="No"/>
    <x v="0"/>
    <n v="0"/>
    <x v="1"/>
    <x v="2"/>
    <s v="Diabetes"/>
    <n v="1982"/>
    <s v="Nov"/>
    <n v="22"/>
    <n v="2"/>
    <d v="1982-11-22T00:00:00"/>
    <n v="6593.51"/>
    <s v="tier - 2"/>
    <s v="tier - 1"/>
    <s v="R1013"/>
    <n v="40"/>
  </r>
  <r>
    <s v="Id795"/>
    <s v="Dicharry, Ms.  Sarah"/>
    <n v="38.06"/>
    <n v="9.24"/>
    <s v="No"/>
    <s v="No"/>
    <x v="0"/>
    <n v="0"/>
    <x v="1"/>
    <x v="0"/>
    <s v="Diabetes"/>
    <n v="1982"/>
    <s v="Dec"/>
    <n v="29"/>
    <n v="1"/>
    <d v="1982-12-29T00:00:00"/>
    <n v="6600.21"/>
    <s v="tier - 3"/>
    <s v="tier - 2"/>
    <s v="R1016"/>
    <n v="40"/>
  </r>
  <r>
    <s v="Id796"/>
    <s v="Berry, Mrs.  Colleen M"/>
    <n v="37.700000000000003"/>
    <n v="8.6"/>
    <s v="No"/>
    <s v="No"/>
    <x v="0"/>
    <n v="0"/>
    <x v="1"/>
    <x v="0"/>
    <s v="Diabetes"/>
    <n v="1982"/>
    <s v="Nov"/>
    <n v="7"/>
    <n v="2"/>
    <d v="1982-11-07T00:00:00"/>
    <n v="6600.36"/>
    <s v="tier - 2"/>
    <s v="tier - 3"/>
    <s v="R1011"/>
    <n v="40"/>
  </r>
  <r>
    <s v="Id797"/>
    <s v="Porfirio, Ms.  Deedra G."/>
    <n v="44"/>
    <n v="9.32"/>
    <s v="yes"/>
    <s v="No"/>
    <x v="0"/>
    <n v="2"/>
    <x v="1"/>
    <x v="0"/>
    <s v="Diabetes"/>
    <n v="1982"/>
    <s v="Aug"/>
    <n v="28"/>
    <n v="1"/>
    <d v="1982-08-28T00:00:00"/>
    <n v="6610.11"/>
    <s v="tier - 3"/>
    <s v="tier - 2"/>
    <s v="R1015"/>
    <n v="40"/>
  </r>
  <r>
    <s v="Id798"/>
    <s v="Thind, Mrs.  Kulwinder"/>
    <n v="41.45"/>
    <n v="6.12"/>
    <s v="yes"/>
    <s v="No"/>
    <x v="0"/>
    <n v="0"/>
    <x v="1"/>
    <x v="0"/>
    <s v="Prediabetes"/>
    <n v="1973"/>
    <s v="Aug"/>
    <n v="29"/>
    <n v="0"/>
    <d v="1973-08-29T00:00:00"/>
    <n v="6630.31"/>
    <s v="tier - 2"/>
    <s v="tier - 1"/>
    <s v="R1013"/>
    <n v="49"/>
  </r>
  <r>
    <s v="Id799"/>
    <s v="Ryan, Ms.  Ann M."/>
    <n v="25.364999999999998"/>
    <n v="9.19"/>
    <s v="yes"/>
    <s v="No"/>
    <x v="0"/>
    <n v="0"/>
    <x v="1"/>
    <x v="1"/>
    <s v="Diabetes"/>
    <n v="2003"/>
    <s v="Sep"/>
    <n v="4"/>
    <n v="0"/>
    <d v="2003-09-04T00:00:00"/>
    <n v="6638.16"/>
    <s v="tier - 2"/>
    <s v="tier - 1"/>
    <s v="R1012"/>
    <n v="19"/>
  </r>
  <r>
    <s v="Id800"/>
    <s v="Horn, Ms.  Sarah E"/>
    <n v="34.56"/>
    <n v="5.84"/>
    <s v="yes"/>
    <s v="No"/>
    <x v="1"/>
    <n v="1"/>
    <x v="1"/>
    <x v="0"/>
    <s v="Prediabetes"/>
    <n v="1990"/>
    <s v="Jun"/>
    <n v="6"/>
    <n v="3"/>
    <d v="1990-06-06T00:00:00"/>
    <n v="6639.3"/>
    <s v="tier - 2"/>
    <s v="tier - 2"/>
    <s v="R1021"/>
    <n v="33"/>
  </r>
  <r>
    <s v="Id801"/>
    <s v="Sabadosa, Ms.  Apryl J."/>
    <n v="28.2"/>
    <n v="7.19"/>
    <s v="yes"/>
    <s v="No"/>
    <x v="0"/>
    <n v="2"/>
    <x v="1"/>
    <x v="1"/>
    <s v="Diabetes"/>
    <n v="1984"/>
    <s v="Dec"/>
    <n v="8"/>
    <n v="2"/>
    <d v="1984-12-08T00:00:00"/>
    <n v="6640.54"/>
    <s v="tier - 2"/>
    <s v="tier - 3"/>
    <s v="R1019"/>
    <n v="38"/>
  </r>
  <r>
    <s v="Id802"/>
    <s v="Casady, Mrs.  Ilana"/>
    <n v="30.43"/>
    <n v="9.39"/>
    <s v="No"/>
    <s v="No"/>
    <x v="0"/>
    <n v="0"/>
    <x v="1"/>
    <x v="0"/>
    <s v="Diabetes"/>
    <n v="1970"/>
    <s v="Nov"/>
    <n v="8"/>
    <n v="0"/>
    <d v="1970-11-08T00:00:00"/>
    <n v="6651.26"/>
    <s v="tier - 2"/>
    <s v="tier - 3"/>
    <s v="R1013"/>
    <n v="52"/>
  </r>
  <r>
    <s v="Id803"/>
    <s v="Phillips, Ms.  Katherine"/>
    <n v="32.395000000000003"/>
    <n v="4.2699999999999996"/>
    <s v="yes"/>
    <s v="No"/>
    <x v="0"/>
    <n v="1"/>
    <x v="1"/>
    <x v="0"/>
    <s v="Normal"/>
    <n v="1984"/>
    <s v="Jul"/>
    <n v="1"/>
    <n v="3"/>
    <d v="1984-07-01T00:00:00"/>
    <n v="6652.53"/>
    <s v="tier - 3"/>
    <s v="tier - 2"/>
    <s v="R1013"/>
    <n v="38"/>
  </r>
  <r>
    <s v="Id804"/>
    <s v="Ahokas, Ms.  Katherine"/>
    <n v="24.035"/>
    <n v="11.71"/>
    <s v="No"/>
    <s v="No"/>
    <x v="0"/>
    <n v="0"/>
    <x v="1"/>
    <x v="2"/>
    <s v="Diabetes"/>
    <n v="1989"/>
    <s v="Nov"/>
    <n v="19"/>
    <n v="5"/>
    <d v="1989-11-19T00:00:00"/>
    <n v="6653.79"/>
    <s v="tier - 2"/>
    <s v="tier - 1"/>
    <s v="R1013"/>
    <n v="33"/>
  </r>
  <r>
    <s v="Id805"/>
    <s v="Hebert, Mr.  Karl"/>
    <n v="37.119999999999997"/>
    <n v="5.29"/>
    <s v="No"/>
    <s v="No"/>
    <x v="0"/>
    <n v="2"/>
    <x v="1"/>
    <x v="0"/>
    <s v="Normal"/>
    <n v="1982"/>
    <s v="Sep"/>
    <n v="27"/>
    <n v="3"/>
    <d v="1982-09-27T00:00:00"/>
    <n v="6664.32"/>
    <s v="tier - 2"/>
    <s v="tier - 2"/>
    <s v="R1013"/>
    <n v="40"/>
  </r>
  <r>
    <s v="Id806"/>
    <s v="Fair, Mr.  Stephen"/>
    <n v="34.840000000000003"/>
    <n v="6"/>
    <s v="yes"/>
    <s v="No"/>
    <x v="1"/>
    <n v="1"/>
    <x v="1"/>
    <x v="0"/>
    <s v="Prediabetes"/>
    <n v="1981"/>
    <s v="Sep"/>
    <n v="17"/>
    <n v="1"/>
    <d v="1981-09-17T00:00:00"/>
    <n v="6664.69"/>
    <s v="tier - 3"/>
    <s v="tier - 1"/>
    <s v="R1012"/>
    <n v="41"/>
  </r>
  <r>
    <s v="Id807"/>
    <s v="Swenson, Mr.  Will"/>
    <n v="29.53"/>
    <n v="10.64"/>
    <s v="No"/>
    <s v="No"/>
    <x v="0"/>
    <n v="0"/>
    <x v="1"/>
    <x v="1"/>
    <s v="Diabetes"/>
    <n v="1989"/>
    <s v="Oct"/>
    <n v="20"/>
    <n v="5"/>
    <d v="1989-10-20T00:00:00"/>
    <n v="6666.24"/>
    <s v="tier - 3"/>
    <s v="tier - 1"/>
    <s v="R1011"/>
    <n v="33"/>
  </r>
  <r>
    <s v="Id808"/>
    <s v="Revenis, Mr.  Bradley D"/>
    <n v="42.51"/>
    <n v="8.2100000000000009"/>
    <s v="yes"/>
    <s v="No"/>
    <x v="0"/>
    <n v="0"/>
    <x v="1"/>
    <x v="0"/>
    <s v="Diabetes"/>
    <n v="1985"/>
    <s v="Jul"/>
    <n v="9"/>
    <n v="2"/>
    <d v="1985-07-09T00:00:00"/>
    <n v="6686.43"/>
    <s v="tier - 2"/>
    <s v="tier - 3"/>
    <s v="R1012"/>
    <n v="37"/>
  </r>
  <r>
    <s v="Id809"/>
    <s v="Engnes, Mrs.  Amy M"/>
    <n v="38.14"/>
    <n v="5.58"/>
    <s v="No"/>
    <s v="No"/>
    <x v="1"/>
    <n v="1"/>
    <x v="1"/>
    <x v="0"/>
    <s v="Normal"/>
    <n v="1968"/>
    <s v="Jul"/>
    <n v="13"/>
    <n v="0"/>
    <d v="1968-07-13T00:00:00"/>
    <n v="6700.56"/>
    <s v="tier - 3"/>
    <s v="tier - 1"/>
    <s v="R1012"/>
    <n v="54"/>
  </r>
  <r>
    <s v="Id810"/>
    <s v="Wiltse, Mr.  Matthew W."/>
    <n v="39.93"/>
    <n v="8.75"/>
    <s v="No"/>
    <s v="No"/>
    <x v="0"/>
    <n v="0"/>
    <x v="1"/>
    <x v="0"/>
    <s v="Diabetes"/>
    <n v="1971"/>
    <s v="Dec"/>
    <n v="12"/>
    <n v="0"/>
    <d v="1971-12-12T00:00:00"/>
    <n v="6706.47"/>
    <s v="tier - 2"/>
    <s v="tier - 1"/>
    <s v="R1013"/>
    <n v="51"/>
  </r>
  <r>
    <s v="Id811"/>
    <s v="Fernandez, Mr.  Doug"/>
    <n v="38.83"/>
    <n v="11.86"/>
    <s v="No"/>
    <s v="No"/>
    <x v="0"/>
    <n v="0"/>
    <x v="1"/>
    <x v="0"/>
    <s v="Diabetes"/>
    <n v="1983"/>
    <s v="Jun"/>
    <n v="12"/>
    <n v="2"/>
    <d v="1983-06-12T00:00:00"/>
    <n v="6710.19"/>
    <s v="tier - 3"/>
    <s v="tier - 3"/>
    <s v="R1012"/>
    <n v="39"/>
  </r>
  <r>
    <s v="Id812"/>
    <s v="Edwards, Mr.  Tom"/>
    <n v="37.4"/>
    <n v="11.46"/>
    <s v="No"/>
    <s v="No"/>
    <x v="0"/>
    <n v="0"/>
    <x v="1"/>
    <x v="0"/>
    <s v="Diabetes"/>
    <n v="1994"/>
    <s v="Jun"/>
    <n v="13"/>
    <n v="0"/>
    <d v="1994-06-13T00:00:00"/>
    <n v="6721.37"/>
    <s v="tier - 2"/>
    <s v="tier - 1"/>
    <s v="R1012"/>
    <n v="28"/>
  </r>
  <r>
    <s v="Id813"/>
    <s v="Pinney, Mr.  Jonathan"/>
    <n v="21.4"/>
    <n v="9.0299999999999994"/>
    <s v="No"/>
    <s v="No"/>
    <x v="0"/>
    <n v="0"/>
    <x v="1"/>
    <x v="2"/>
    <s v="Diabetes"/>
    <n v="1978"/>
    <s v="Oct"/>
    <n v="21"/>
    <n v="2"/>
    <d v="1978-10-21T00:00:00"/>
    <n v="6737.98"/>
    <s v="tier - 2"/>
    <s v="tier - 3"/>
    <s v="R1013"/>
    <n v="44"/>
  </r>
  <r>
    <s v="Id814"/>
    <s v="Levy, Mr.  Wayne A."/>
    <n v="38.380000000000003"/>
    <n v="8.26"/>
    <s v="yes"/>
    <s v="No"/>
    <x v="0"/>
    <n v="2"/>
    <x v="1"/>
    <x v="0"/>
    <s v="Diabetes"/>
    <n v="1968"/>
    <s v="Jul"/>
    <n v="18"/>
    <n v="0"/>
    <d v="1968-07-18T00:00:00"/>
    <n v="6738.84"/>
    <s v="tier - 3"/>
    <s v="tier - 1"/>
    <s v="R1012"/>
    <n v="54"/>
  </r>
  <r>
    <s v="Id815"/>
    <s v="Takeda, Mr.  Nobuyori"/>
    <n v="33.659999999999997"/>
    <n v="5.42"/>
    <s v="yes"/>
    <s v="No"/>
    <x v="0"/>
    <n v="2"/>
    <x v="1"/>
    <x v="0"/>
    <s v="Normal"/>
    <n v="1986"/>
    <s v="Aug"/>
    <n v="7"/>
    <n v="3"/>
    <d v="1986-08-07T00:00:00"/>
    <n v="6746.74"/>
    <s v="tier - 3"/>
    <s v="tier - 2"/>
    <s v="R1016"/>
    <n v="36"/>
  </r>
  <r>
    <s v="Id816"/>
    <s v="Burke, Mr.  Rich"/>
    <n v="31.79"/>
    <n v="11.33"/>
    <s v="yes"/>
    <s v="No"/>
    <x v="1"/>
    <n v="1"/>
    <x v="1"/>
    <x v="0"/>
    <s v="Diabetes"/>
    <n v="1986"/>
    <s v="Jun"/>
    <n v="5"/>
    <n v="3"/>
    <d v="1986-06-05T00:00:00"/>
    <n v="6748.59"/>
    <s v="tier - 3"/>
    <s v="tier - 1"/>
    <s v="R1016"/>
    <n v="37"/>
  </r>
  <r>
    <s v="Id817"/>
    <s v="Duarte, Mr.  Marcos S"/>
    <n v="29.7"/>
    <n v="7.69"/>
    <s v="yes"/>
    <s v="No"/>
    <x v="1"/>
    <n v="1"/>
    <x v="1"/>
    <x v="1"/>
    <s v="Diabetes"/>
    <n v="1970"/>
    <s v="Jun"/>
    <n v="17"/>
    <n v="0"/>
    <d v="1970-06-17T00:00:00"/>
    <n v="6749.63"/>
    <s v="tier - 2"/>
    <s v="tier - 1"/>
    <s v="R1013"/>
    <n v="52"/>
  </r>
  <r>
    <s v="Id818"/>
    <s v="Clark, Mr.  Dave"/>
    <n v="25.46"/>
    <n v="8.77"/>
    <s v="yes"/>
    <s v="No"/>
    <x v="1"/>
    <n v="1"/>
    <x v="1"/>
    <x v="1"/>
    <s v="Diabetes"/>
    <n v="1966"/>
    <s v="Dec"/>
    <n v="9"/>
    <n v="0"/>
    <d v="1966-12-09T00:00:00"/>
    <n v="6750.27"/>
    <s v="tier - 3"/>
    <s v="tier - 2"/>
    <s v="R1013"/>
    <n v="56"/>
  </r>
  <r>
    <s v="Id819"/>
    <s v="Nice, Mr.  Andy"/>
    <n v="39.14"/>
    <n v="4.91"/>
    <s v="No"/>
    <s v="yes"/>
    <x v="0"/>
    <n v="1"/>
    <x v="1"/>
    <x v="0"/>
    <s v="Normal"/>
    <n v="1988"/>
    <s v="Oct"/>
    <n v="10"/>
    <n v="3"/>
    <d v="1988-10-10T00:00:00"/>
    <n v="6753.04"/>
    <s v="tier - 2"/>
    <s v="tier - 2"/>
    <s v="R1024"/>
    <n v="34"/>
  </r>
  <r>
    <s v="Id820"/>
    <s v="Windler, Ms.  Mary"/>
    <n v="41.2"/>
    <n v="4.95"/>
    <s v="No"/>
    <s v="No"/>
    <x v="0"/>
    <n v="1"/>
    <x v="1"/>
    <x v="0"/>
    <s v="Normal"/>
    <n v="1981"/>
    <s v="Sep"/>
    <n v="21"/>
    <n v="1"/>
    <d v="1981-09-21T00:00:00"/>
    <n v="6770.19"/>
    <s v="tier - 2"/>
    <s v="tier - 3"/>
    <s v="R1013"/>
    <n v="41"/>
  </r>
  <r>
    <s v="Id821"/>
    <s v="Jones, Mr.  Marcus B"/>
    <n v="28.81"/>
    <n v="10.8"/>
    <s v="yes"/>
    <s v="No"/>
    <x v="1"/>
    <n v="1"/>
    <x v="1"/>
    <x v="1"/>
    <s v="Diabetes"/>
    <n v="1981"/>
    <s v="Sep"/>
    <n v="3"/>
    <n v="1"/>
    <d v="1981-09-03T00:00:00"/>
    <n v="6775.96"/>
    <s v="tier - 2"/>
    <s v="tier - 3"/>
    <s v="R1011"/>
    <n v="41"/>
  </r>
  <r>
    <s v="Id822"/>
    <s v="Stevenson, Mr.  Thomas K."/>
    <n v="37.409999999999997"/>
    <n v="7.21"/>
    <s v="No"/>
    <s v="No"/>
    <x v="0"/>
    <n v="2"/>
    <x v="1"/>
    <x v="0"/>
    <s v="Diabetes"/>
    <n v="1981"/>
    <s v="Oct"/>
    <n v="8"/>
    <n v="1"/>
    <d v="1981-10-08T00:00:00"/>
    <n v="6781.35"/>
    <s v="tier - 2"/>
    <s v="tier - 1"/>
    <s v="R1013"/>
    <n v="41"/>
  </r>
  <r>
    <s v="Id823"/>
    <s v="Humphrey, Mr.  Robert"/>
    <n v="52.54"/>
    <n v="5.12"/>
    <s v="No"/>
    <s v="No"/>
    <x v="1"/>
    <n v="1"/>
    <x v="1"/>
    <x v="0"/>
    <s v="Normal"/>
    <n v="1980"/>
    <s v="Nov"/>
    <n v="23"/>
    <n v="2"/>
    <d v="1980-11-23T00:00:00"/>
    <n v="6781.52"/>
    <s v="tier - 2"/>
    <s v="tier - 2"/>
    <s v="R1013"/>
    <n v="42"/>
  </r>
  <r>
    <s v="Id824"/>
    <s v="Nelson, Mr.  Geoff"/>
    <n v="17.29"/>
    <n v="4.62"/>
    <s v="No"/>
    <s v="yes"/>
    <x v="0"/>
    <n v="1"/>
    <x v="0"/>
    <x v="3"/>
    <s v="Normal"/>
    <n v="1985"/>
    <s v="Dec"/>
    <n v="24"/>
    <n v="3"/>
    <d v="1985-12-24T00:00:00"/>
    <n v="6796.86"/>
    <s v="tier - 3"/>
    <s v="tier - 3"/>
    <s v="R1012"/>
    <n v="37"/>
  </r>
  <r>
    <s v="Id825"/>
    <s v="Payne, Mr.  Chris J."/>
    <n v="31.74"/>
    <n v="7.68"/>
    <s v="yes"/>
    <s v="No"/>
    <x v="0"/>
    <n v="0"/>
    <x v="1"/>
    <x v="0"/>
    <s v="Diabetes"/>
    <n v="1991"/>
    <s v="Jun"/>
    <n v="29"/>
    <n v="5"/>
    <d v="1991-06-29T00:00:00"/>
    <n v="6799.46"/>
    <s v="tier - 1"/>
    <s v="tier - 2"/>
    <s v="R1014"/>
    <n v="31"/>
  </r>
  <r>
    <s v="Id826"/>
    <s v="Hails, Ms.  Kate A."/>
    <n v="26.504999999999999"/>
    <n v="6.79"/>
    <s v="yes"/>
    <s v="No"/>
    <x v="1"/>
    <n v="1"/>
    <x v="1"/>
    <x v="1"/>
    <s v="Diabetes"/>
    <n v="1975"/>
    <s v="Aug"/>
    <n v="17"/>
    <n v="1"/>
    <d v="1975-08-17T00:00:00"/>
    <n v="6809.46"/>
    <s v="tier - 2"/>
    <s v="tier - 1"/>
    <s v="R1012"/>
    <n v="47"/>
  </r>
  <r>
    <s v="Id827"/>
    <s v="Proctor, Ms.  Kelli"/>
    <n v="36.479999999999997"/>
    <n v="11.09"/>
    <s v="No"/>
    <s v="No"/>
    <x v="0"/>
    <n v="0"/>
    <x v="1"/>
    <x v="0"/>
    <s v="Diabetes"/>
    <n v="1994"/>
    <s v="Jul"/>
    <n v="8"/>
    <n v="0"/>
    <d v="1994-07-08T00:00:00"/>
    <n v="6827.69"/>
    <s v="tier - 2"/>
    <s v="tier - 2"/>
    <s v="R1021"/>
    <n v="28"/>
  </r>
  <r>
    <s v="Id828"/>
    <s v="Ryan, Mrs.  Maggie M"/>
    <n v="39.159999999999997"/>
    <n v="5.24"/>
    <s v="yes"/>
    <s v="No"/>
    <x v="1"/>
    <n v="1"/>
    <x v="1"/>
    <x v="0"/>
    <s v="Normal"/>
    <n v="1979"/>
    <s v="Jul"/>
    <n v="15"/>
    <n v="0"/>
    <d v="1979-07-15T00:00:00"/>
    <n v="6837.37"/>
    <s v="tier - 3"/>
    <s v="tier - 1"/>
    <s v="R1016"/>
    <n v="43"/>
  </r>
  <r>
    <s v="Id829"/>
    <s v="Watson, Mrs.  Michelle L."/>
    <n v="28.22"/>
    <n v="7.51"/>
    <s v="yes"/>
    <s v="No"/>
    <x v="1"/>
    <n v="1"/>
    <x v="1"/>
    <x v="1"/>
    <s v="Diabetes"/>
    <n v="2000"/>
    <s v="Nov"/>
    <n v="30"/>
    <n v="0"/>
    <d v="2000-11-30T00:00:00"/>
    <n v="6842.28"/>
    <s v="tier - 2"/>
    <s v="tier - 1"/>
    <s v="R1012"/>
    <n v="22"/>
  </r>
  <r>
    <s v="Id830"/>
    <s v="Gresh, Mrs.  Ashley K"/>
    <n v="35"/>
    <n v="4.13"/>
    <s v="No"/>
    <s v="No"/>
    <x v="0"/>
    <n v="2"/>
    <x v="1"/>
    <x v="0"/>
    <s v="Normal"/>
    <n v="1977"/>
    <s v="Jun"/>
    <n v="15"/>
    <n v="2"/>
    <d v="1977-06-15T00:00:00"/>
    <n v="6843.17"/>
    <s v="tier - 2"/>
    <s v="tier - 1"/>
    <s v="R1013"/>
    <n v="45"/>
  </r>
  <r>
    <s v="Id831"/>
    <s v="Anis, Mr.  Michael"/>
    <n v="36.24"/>
    <n v="8.3800000000000008"/>
    <s v="yes"/>
    <s v="No"/>
    <x v="0"/>
    <n v="1"/>
    <x v="1"/>
    <x v="0"/>
    <s v="Diabetes"/>
    <n v="1979"/>
    <s v="Nov"/>
    <n v="4"/>
    <n v="1"/>
    <d v="1979-11-04T00:00:00"/>
    <n v="6849.03"/>
    <s v="tier - 2"/>
    <s v="tier - 2"/>
    <s v="R1011"/>
    <n v="43"/>
  </r>
  <r>
    <s v="Id832"/>
    <s v="Swartz, Mr.  Ryan K."/>
    <n v="36.954999999999998"/>
    <n v="8.07"/>
    <s v="No"/>
    <s v="No"/>
    <x v="0"/>
    <n v="0"/>
    <x v="1"/>
    <x v="0"/>
    <s v="Diabetes"/>
    <n v="1981"/>
    <s v="Jun"/>
    <n v="19"/>
    <n v="1"/>
    <d v="1981-06-19T00:00:00"/>
    <n v="6858.48"/>
    <s v="tier - 2"/>
    <s v="tier - 2"/>
    <s v="R1019"/>
    <n v="41"/>
  </r>
  <r>
    <s v="Id833"/>
    <s v="Schluneker, Mr.  Matthew J"/>
    <n v="29.64"/>
    <n v="8.9499999999999993"/>
    <s v="No"/>
    <s v="No"/>
    <x v="0"/>
    <n v="0"/>
    <x v="1"/>
    <x v="1"/>
    <s v="Diabetes"/>
    <n v="1978"/>
    <s v="Aug"/>
    <n v="5"/>
    <n v="2"/>
    <d v="1978-08-05T00:00:00"/>
    <n v="6863.49"/>
    <s v="tier - 2"/>
    <s v="tier - 1"/>
    <s v="R1013"/>
    <n v="44"/>
  </r>
  <r>
    <s v="Id834"/>
    <s v="Bellemare, Mrs.  Karine"/>
    <n v="42.74"/>
    <n v="6.31"/>
    <s v="yes"/>
    <s v="No"/>
    <x v="0"/>
    <n v="1"/>
    <x v="1"/>
    <x v="0"/>
    <s v="Prediabetes"/>
    <n v="1969"/>
    <s v="Oct"/>
    <n v="23"/>
    <n v="0"/>
    <d v="1969-10-23T00:00:00"/>
    <n v="6868.39"/>
    <s v="tier - 2"/>
    <s v="tier - 2"/>
    <s v="R1013"/>
    <n v="53"/>
  </r>
  <r>
    <s v="Id835"/>
    <s v="Vitalo, Ms.  Antonia G"/>
    <n v="36.130000000000003"/>
    <n v="7.19"/>
    <s v="yes"/>
    <s v="No"/>
    <x v="0"/>
    <n v="2"/>
    <x v="1"/>
    <x v="0"/>
    <s v="Diabetes"/>
    <n v="1981"/>
    <s v="Jun"/>
    <n v="23"/>
    <n v="2"/>
    <d v="1981-06-23T00:00:00"/>
    <n v="6875.96"/>
    <s v="tier - 2"/>
    <s v="tier - 2"/>
    <s v="R1011"/>
    <n v="41"/>
  </r>
  <r>
    <s v="Id836"/>
    <s v="Hamilton, Ms.  Casondra L"/>
    <n v="31.55"/>
    <n v="6.11"/>
    <s v="yes"/>
    <s v="No"/>
    <x v="0"/>
    <n v="1"/>
    <x v="1"/>
    <x v="0"/>
    <s v="Prediabetes"/>
    <n v="2004"/>
    <s v="Dec"/>
    <n v="24"/>
    <n v="0"/>
    <d v="2004-12-24T00:00:00"/>
    <n v="6876.53"/>
    <s v="tier - 2"/>
    <s v="tier - 1"/>
    <s v="R1012"/>
    <n v="18"/>
  </r>
  <r>
    <s v="Id837"/>
    <s v="Marshall, Ms.  Wendy"/>
    <n v="52.75"/>
    <n v="6.02"/>
    <s v="No"/>
    <s v="No"/>
    <x v="0"/>
    <n v="1"/>
    <x v="1"/>
    <x v="0"/>
    <s v="Prediabetes"/>
    <n v="1985"/>
    <s v="Sep"/>
    <n v="10"/>
    <n v="2"/>
    <d v="1985-09-10T00:00:00"/>
    <n v="6877.98"/>
    <s v="tier - 2"/>
    <s v="tier - 1"/>
    <s v="R1024"/>
    <n v="37"/>
  </r>
  <r>
    <s v="Id838"/>
    <s v="Cale, Mr.  Eric D"/>
    <n v="36.67"/>
    <n v="11.86"/>
    <s v="No"/>
    <s v="No"/>
    <x v="0"/>
    <n v="0"/>
    <x v="1"/>
    <x v="0"/>
    <s v="Diabetes"/>
    <n v="1989"/>
    <s v="Dec"/>
    <n v="21"/>
    <n v="3"/>
    <d v="1989-12-21T00:00:00"/>
    <n v="6895.19"/>
    <s v="tier - 2"/>
    <s v="tier - 3"/>
    <s v="R1024"/>
    <n v="33"/>
  </r>
  <r>
    <s v="Id839"/>
    <s v="Pittaway, Ms.  Elizabeth"/>
    <n v="38.06"/>
    <n v="8.25"/>
    <s v="No"/>
    <s v="No"/>
    <x v="0"/>
    <n v="0"/>
    <x v="1"/>
    <x v="0"/>
    <s v="Diabetes"/>
    <n v="1984"/>
    <s v="Sep"/>
    <n v="5"/>
    <n v="2"/>
    <d v="1984-09-05T00:00:00"/>
    <n v="6933.24"/>
    <s v="tier - 2"/>
    <s v="tier - 3"/>
    <s v="R1012"/>
    <n v="38"/>
  </r>
  <r>
    <s v="Id840"/>
    <s v="Bill, Ms.  Laura F"/>
    <n v="38"/>
    <n v="8.1300000000000008"/>
    <s v="No"/>
    <s v="No"/>
    <x v="0"/>
    <n v="0"/>
    <x v="1"/>
    <x v="0"/>
    <s v="Diabetes"/>
    <n v="1978"/>
    <s v="Nov"/>
    <n v="29"/>
    <n v="2"/>
    <d v="1978-11-29T00:00:00"/>
    <n v="6938.11"/>
    <s v="tier - 2"/>
    <s v="tier - 2"/>
    <s v="R1013"/>
    <n v="44"/>
  </r>
  <r>
    <s v="Id841"/>
    <s v="Antrim, Ms.  Amelia F."/>
    <n v="35.1"/>
    <n v="10.1"/>
    <s v="No"/>
    <s v="No"/>
    <x v="0"/>
    <n v="0"/>
    <x v="1"/>
    <x v="0"/>
    <s v="Diabetes"/>
    <n v="1980"/>
    <s v="Aug"/>
    <n v="30"/>
    <n v="1"/>
    <d v="1980-08-30T00:00:00"/>
    <n v="6940.91"/>
    <s v="tier - 2"/>
    <s v="tier - 2"/>
    <s v="R1012"/>
    <n v="42"/>
  </r>
  <r>
    <s v="Id842"/>
    <s v="Doolittle-Crider, Ms.  Amy L."/>
    <n v="33.82"/>
    <n v="5.89"/>
    <s v="yes"/>
    <s v="No"/>
    <x v="0"/>
    <n v="2"/>
    <x v="1"/>
    <x v="0"/>
    <s v="Prediabetes"/>
    <n v="1980"/>
    <s v="Oct"/>
    <n v="5"/>
    <n v="2"/>
    <d v="1980-10-05T00:00:00"/>
    <n v="6940.94"/>
    <s v="tier - 2"/>
    <s v="tier - 3"/>
    <s v="R1013"/>
    <n v="42"/>
  </r>
  <r>
    <s v="Id843"/>
    <s v="Ruhlman, Ms.  Katie J"/>
    <n v="37.43"/>
    <n v="4.97"/>
    <s v="No"/>
    <s v="No"/>
    <x v="0"/>
    <n v="2"/>
    <x v="1"/>
    <x v="0"/>
    <s v="Normal"/>
    <n v="1978"/>
    <s v="Dec"/>
    <n v="15"/>
    <n v="0"/>
    <d v="1978-12-15T00:00:00"/>
    <n v="6948.7"/>
    <s v="tier - 1"/>
    <s v="tier - 2"/>
    <s v="R1012"/>
    <n v="44"/>
  </r>
  <r>
    <s v="Id844"/>
    <s v="Anderson, Ms.  Laura E."/>
    <n v="30.5"/>
    <n v="9.9"/>
    <s v="No"/>
    <s v="No"/>
    <x v="0"/>
    <n v="0"/>
    <x v="1"/>
    <x v="0"/>
    <s v="Diabetes"/>
    <n v="1980"/>
    <s v="Aug"/>
    <n v="18"/>
    <n v="2"/>
    <d v="1980-08-18T00:00:00"/>
    <n v="6951.12"/>
    <s v="tier - 2"/>
    <s v="tier - 2"/>
    <s v="R1013"/>
    <n v="42"/>
  </r>
  <r>
    <s v="Id845"/>
    <s v="Uchiyama, Mrs.  Mayumi"/>
    <n v="24.53"/>
    <n v="9.0500000000000007"/>
    <s v="No"/>
    <s v="No"/>
    <x v="0"/>
    <n v="0"/>
    <x v="1"/>
    <x v="2"/>
    <s v="Diabetes"/>
    <n v="1975"/>
    <s v="Jun"/>
    <n v="3"/>
    <n v="1"/>
    <d v="1975-06-03T00:00:00"/>
    <n v="6965.21"/>
    <s v="tier - 2"/>
    <s v="tier - 3"/>
    <s v="R1013"/>
    <n v="48"/>
  </r>
  <r>
    <s v="Id846"/>
    <s v="Desota, Ms.  Vanessa"/>
    <n v="25.74"/>
    <n v="10.93"/>
    <s v="No"/>
    <s v="No"/>
    <x v="0"/>
    <n v="0"/>
    <x v="1"/>
    <x v="1"/>
    <s v="Diabetes"/>
    <n v="1985"/>
    <s v="Dec"/>
    <n v="10"/>
    <n v="3"/>
    <d v="1985-12-10T00:00:00"/>
    <n v="6985.51"/>
    <s v="tier - 2"/>
    <s v="tier - 2"/>
    <s v="R1019"/>
    <n v="37"/>
  </r>
  <r>
    <s v="Id847"/>
    <s v="Edmonds, Ms.  Natali N"/>
    <n v="34.08"/>
    <n v="7.58"/>
    <s v="yes"/>
    <s v="No"/>
    <x v="0"/>
    <n v="2"/>
    <x v="1"/>
    <x v="0"/>
    <s v="Diabetes"/>
    <n v="1982"/>
    <s v="Oct"/>
    <n v="18"/>
    <n v="2"/>
    <d v="1982-10-18T00:00:00"/>
    <n v="6986.7"/>
    <s v="tier - 3"/>
    <s v="tier - 1"/>
    <s v="R1012"/>
    <n v="40"/>
  </r>
  <r>
    <s v="Id848"/>
    <s v="Otto, Ms.  Beth"/>
    <n v="31.35"/>
    <n v="11"/>
    <s v="yes"/>
    <s v="No"/>
    <x v="1"/>
    <n v="1"/>
    <x v="1"/>
    <x v="0"/>
    <s v="Diabetes"/>
    <n v="1982"/>
    <s v="Sep"/>
    <n v="1"/>
    <n v="3"/>
    <d v="1982-09-01T00:00:00"/>
    <n v="6989.95"/>
    <s v="tier - 2"/>
    <s v="tier - 1"/>
    <s v="R1013"/>
    <n v="40"/>
  </r>
  <r>
    <s v="Id849"/>
    <s v="Kurt, Mr.  Alex"/>
    <n v="26.79"/>
    <n v="5.0599999999999996"/>
    <s v="No"/>
    <s v="No"/>
    <x v="0"/>
    <n v="1"/>
    <x v="1"/>
    <x v="1"/>
    <s v="Normal"/>
    <n v="1969"/>
    <s v="Jul"/>
    <n v="6"/>
    <n v="0"/>
    <d v="1969-07-06T00:00:00"/>
    <n v="7003.1"/>
    <s v="tier - 2"/>
    <s v="tier - 3"/>
    <s v="R1013"/>
    <n v="53"/>
  </r>
  <r>
    <s v="Id850"/>
    <s v="Duhaime, Mr.  Spencer"/>
    <n v="42.78"/>
    <n v="6.11"/>
    <s v="yes"/>
    <s v="No"/>
    <x v="0"/>
    <n v="1"/>
    <x v="1"/>
    <x v="0"/>
    <s v="Prediabetes"/>
    <n v="1978"/>
    <s v="Jun"/>
    <n v="2"/>
    <n v="2"/>
    <d v="1978-06-02T00:00:00"/>
    <n v="7033.08"/>
    <s v="tier - 2"/>
    <s v="tier - 2"/>
    <s v="R1013"/>
    <n v="45"/>
  </r>
  <r>
    <s v="Id851"/>
    <s v="Swann, Ms.  Andee W."/>
    <n v="46.75"/>
    <n v="6.66"/>
    <s v="yes"/>
    <s v="No"/>
    <x v="0"/>
    <n v="2"/>
    <x v="1"/>
    <x v="0"/>
    <s v="Diabetes"/>
    <n v="1995"/>
    <s v="Oct"/>
    <n v="29"/>
    <n v="0"/>
    <d v="1995-10-29T00:00:00"/>
    <n v="7042.11"/>
    <s v="tier - 2"/>
    <s v="tier - 3"/>
    <s v="R1012"/>
    <n v="27"/>
  </r>
  <r>
    <s v="Id852"/>
    <s v="Burton, Mrs.  Amy"/>
    <n v="32.15"/>
    <n v="4.0199999999999996"/>
    <s v="yes"/>
    <s v="No"/>
    <x v="1"/>
    <n v="1"/>
    <x v="1"/>
    <x v="0"/>
    <s v="Normal"/>
    <n v="1980"/>
    <s v="Jul"/>
    <n v="26"/>
    <n v="1"/>
    <d v="1980-07-26T00:00:00"/>
    <n v="7045.5"/>
    <s v="tier - 2"/>
    <s v="tier - 1"/>
    <s v="R1011"/>
    <n v="42"/>
  </r>
  <r>
    <s v="Id853"/>
    <s v="Ricardi, Mr.  Joshua"/>
    <n v="43.4"/>
    <n v="8.81"/>
    <s v="yes"/>
    <s v="No"/>
    <x v="0"/>
    <n v="2"/>
    <x v="1"/>
    <x v="0"/>
    <s v="Diabetes"/>
    <n v="1980"/>
    <s v="Oct"/>
    <n v="22"/>
    <n v="1"/>
    <d v="1980-10-22T00:00:00"/>
    <n v="7046.72"/>
    <s v="tier - 2"/>
    <s v="tier - 3"/>
    <s v="R1013"/>
    <n v="42"/>
  </r>
  <r>
    <s v="Id854"/>
    <s v="Joslyn, Mr.  C Fred"/>
    <n v="31.57"/>
    <n v="7.92"/>
    <s v="yes"/>
    <s v="No"/>
    <x v="0"/>
    <n v="2"/>
    <x v="1"/>
    <x v="0"/>
    <s v="Diabetes"/>
    <n v="1980"/>
    <s v="Jul"/>
    <n v="21"/>
    <n v="0"/>
    <d v="1980-07-21T00:00:00"/>
    <n v="7050.02"/>
    <s v="tier - 2"/>
    <s v="tier - 1"/>
    <s v="R1024"/>
    <n v="42"/>
  </r>
  <r>
    <s v="Id855"/>
    <s v="Bennie, Mr.  Jeremy"/>
    <n v="24.32"/>
    <n v="7.48"/>
    <s v="No"/>
    <s v="No"/>
    <x v="0"/>
    <n v="0"/>
    <x v="1"/>
    <x v="2"/>
    <s v="Diabetes"/>
    <n v="1980"/>
    <s v="Jun"/>
    <n v="28"/>
    <n v="1"/>
    <d v="1980-06-28T00:00:00"/>
    <n v="7050.64"/>
    <s v="tier - 2"/>
    <s v="tier - 3"/>
    <s v="R1011"/>
    <n v="42"/>
  </r>
  <r>
    <s v="Id856"/>
    <s v="Kanyane, Mr.  Patrick Sr."/>
    <n v="31.07"/>
    <n v="4.62"/>
    <s v="yes"/>
    <s v="No"/>
    <x v="0"/>
    <n v="2"/>
    <x v="1"/>
    <x v="0"/>
    <s v="Normal"/>
    <n v="1978"/>
    <s v="Jun"/>
    <n v="24"/>
    <n v="2"/>
    <d v="1978-06-24T00:00:00"/>
    <n v="7054.41"/>
    <s v="tier - 2"/>
    <s v="tier - 2"/>
    <s v="R1013"/>
    <n v="44"/>
  </r>
  <r>
    <s v="Id857"/>
    <s v="McFadden, Ms.  Kelly M."/>
    <n v="35.814999999999998"/>
    <n v="8.4700000000000006"/>
    <s v="No"/>
    <s v="No"/>
    <x v="0"/>
    <n v="0"/>
    <x v="1"/>
    <x v="0"/>
    <s v="Diabetes"/>
    <n v="1982"/>
    <s v="Oct"/>
    <n v="6"/>
    <n v="1"/>
    <d v="1982-10-06T00:00:00"/>
    <n v="7077.19"/>
    <s v="tier - 2"/>
    <s v="tier - 3"/>
    <s v="R1024"/>
    <n v="40"/>
  </r>
  <r>
    <s v="Id858"/>
    <s v="Connolly, Ms.  Katherine"/>
    <n v="40.81"/>
    <n v="10.58"/>
    <s v="yes"/>
    <s v="No"/>
    <x v="0"/>
    <n v="0"/>
    <x v="1"/>
    <x v="0"/>
    <s v="Diabetes"/>
    <n v="1992"/>
    <s v="Jun"/>
    <n v="18"/>
    <n v="0"/>
    <d v="1992-06-18T00:00:00"/>
    <n v="7096.98"/>
    <s v="tier - 2"/>
    <s v="tier - 2"/>
    <s v="R1012"/>
    <n v="30"/>
  </r>
  <r>
    <s v="Id859"/>
    <s v="Merino, Ms.  Keila L"/>
    <n v="24.605"/>
    <n v="7.48"/>
    <s v="No"/>
    <s v="No"/>
    <x v="0"/>
    <n v="0"/>
    <x v="1"/>
    <x v="2"/>
    <s v="Diabetes"/>
    <n v="1987"/>
    <s v="Aug"/>
    <n v="11"/>
    <n v="3"/>
    <d v="1987-08-11T00:00:00"/>
    <n v="7106.81"/>
    <s v="tier - 2"/>
    <s v="tier - 1"/>
    <s v="R1012"/>
    <n v="35"/>
  </r>
  <r>
    <s v="Id860"/>
    <s v="Baird, Ms.  Zanae E"/>
    <n v="21.47"/>
    <n v="7.82"/>
    <s v="No"/>
    <s v="No"/>
    <x v="0"/>
    <n v="0"/>
    <x v="1"/>
    <x v="2"/>
    <s v="Diabetes"/>
    <n v="1968"/>
    <s v="Jun"/>
    <n v="29"/>
    <n v="0"/>
    <d v="1968-06-29T00:00:00"/>
    <n v="7125.25"/>
    <s v="tier - 3"/>
    <s v="tier - 2"/>
    <s v="R1013"/>
    <n v="54"/>
  </r>
  <r>
    <s v="Id861"/>
    <s v="Locatelli, Mr.  Alex"/>
    <n v="52.89"/>
    <n v="4.96"/>
    <s v="yes"/>
    <s v="No"/>
    <x v="0"/>
    <n v="1"/>
    <x v="1"/>
    <x v="0"/>
    <s v="Normal"/>
    <n v="1993"/>
    <s v="Aug"/>
    <n v="1"/>
    <n v="0"/>
    <d v="1993-08-01T00:00:00"/>
    <n v="7128.64"/>
    <s v="tier - 2"/>
    <s v="tier - 2"/>
    <s v="R1021"/>
    <n v="29"/>
  </r>
  <r>
    <s v="Id862"/>
    <s v="Brake, Ms.  Kathryn"/>
    <n v="32.965000000000003"/>
    <n v="6.15"/>
    <s v="yes"/>
    <s v="No"/>
    <x v="0"/>
    <n v="1"/>
    <x v="1"/>
    <x v="0"/>
    <s v="Prediabetes"/>
    <n v="1984"/>
    <s v="Jul"/>
    <n v="7"/>
    <n v="2"/>
    <d v="1984-07-07T00:00:00"/>
    <n v="7133.9"/>
    <s v="tier - 2"/>
    <s v="tier - 1"/>
    <s v="R1024"/>
    <n v="38"/>
  </r>
  <r>
    <s v="Id863"/>
    <s v="Jacobs, Mr.  Jason L."/>
    <n v="36.799999999999997"/>
    <n v="4.62"/>
    <s v="No"/>
    <s v="No"/>
    <x v="1"/>
    <n v="1"/>
    <x v="1"/>
    <x v="0"/>
    <s v="Normal"/>
    <n v="1999"/>
    <s v="Aug"/>
    <n v="8"/>
    <n v="0"/>
    <d v="1999-08-08T00:00:00"/>
    <n v="7144.4"/>
    <s v="tier - 2"/>
    <s v="tier - 1"/>
    <s v="R1022"/>
    <n v="23"/>
  </r>
  <r>
    <s v="Id864"/>
    <s v="Vaught, Mr.  Benjamin J."/>
    <n v="34.299999999999997"/>
    <n v="4.87"/>
    <s v="No"/>
    <s v="No"/>
    <x v="0"/>
    <n v="2"/>
    <x v="1"/>
    <x v="0"/>
    <s v="Normal"/>
    <n v="1984"/>
    <s v="Nov"/>
    <n v="21"/>
    <n v="2"/>
    <d v="1984-11-21T00:00:00"/>
    <n v="7144.86"/>
    <s v="tier - 2"/>
    <s v="tier - 2"/>
    <s v="R1024"/>
    <n v="38"/>
  </r>
  <r>
    <s v="Id865"/>
    <s v="Monteleone, Mr.  Steven M."/>
    <n v="35.244999999999997"/>
    <n v="4.63"/>
    <s v="No"/>
    <s v="No"/>
    <x v="0"/>
    <n v="0"/>
    <x v="1"/>
    <x v="0"/>
    <s v="Normal"/>
    <n v="1976"/>
    <s v="Jun"/>
    <n v="24"/>
    <n v="0"/>
    <d v="1976-06-24T00:00:00"/>
    <n v="7147.11"/>
    <s v="tier - 3"/>
    <s v="tier - 2"/>
    <s v="R1011"/>
    <n v="46"/>
  </r>
  <r>
    <s v="Id866"/>
    <s v="Verdugo, Mrs.  Erika"/>
    <n v="26.23"/>
    <n v="11.93"/>
    <s v="No"/>
    <s v="No"/>
    <x v="0"/>
    <n v="0"/>
    <x v="1"/>
    <x v="1"/>
    <s v="Diabetes"/>
    <n v="1978"/>
    <s v="Jul"/>
    <n v="30"/>
    <n v="1"/>
    <d v="1978-07-30T00:00:00"/>
    <n v="7147.47"/>
    <s v="tier - 2"/>
    <s v="tier - 3"/>
    <s v="R1013"/>
    <n v="44"/>
  </r>
  <r>
    <s v="Id867"/>
    <s v="Sellers, Mr.  Chad"/>
    <n v="36.1"/>
    <n v="5.65"/>
    <s v="yes"/>
    <s v="No"/>
    <x v="0"/>
    <n v="2"/>
    <x v="1"/>
    <x v="0"/>
    <s v="Normal"/>
    <n v="1984"/>
    <s v="Jun"/>
    <n v="29"/>
    <n v="3"/>
    <d v="1984-06-29T00:00:00"/>
    <n v="7151.09"/>
    <s v="tier - 2"/>
    <s v="tier - 2"/>
    <s v="R1011"/>
    <n v="38"/>
  </r>
  <r>
    <s v="Id868"/>
    <s v="Bowman, Mr.  Mark"/>
    <n v="37.1"/>
    <n v="11.21"/>
    <s v="yes"/>
    <s v="No"/>
    <x v="1"/>
    <n v="1"/>
    <x v="1"/>
    <x v="0"/>
    <s v="Diabetes"/>
    <n v="1978"/>
    <s v="Sep"/>
    <n v="6"/>
    <n v="1"/>
    <d v="1978-09-06T00:00:00"/>
    <n v="7152.67"/>
    <s v="tier - 3"/>
    <s v="tier - 2"/>
    <s v="R1013"/>
    <n v="44"/>
  </r>
  <r>
    <s v="Id869"/>
    <s v="Marley, Mr.  David"/>
    <n v="27.5"/>
    <n v="10.62"/>
    <s v="yes"/>
    <s v="No"/>
    <x v="1"/>
    <n v="1"/>
    <x v="1"/>
    <x v="1"/>
    <s v="Diabetes"/>
    <n v="1981"/>
    <s v="Jul"/>
    <n v="17"/>
    <n v="1"/>
    <d v="1981-07-17T00:00:00"/>
    <n v="7153.55"/>
    <s v="tier - 2"/>
    <s v="tier - 1"/>
    <s v="R1012"/>
    <n v="41"/>
  </r>
  <r>
    <s v="Id870"/>
    <s v="Grey, Mr.  Matthew R"/>
    <n v="24.7"/>
    <n v="10.7"/>
    <s v="yes"/>
    <s v="No"/>
    <x v="1"/>
    <n v="1"/>
    <x v="1"/>
    <x v="2"/>
    <s v="Diabetes"/>
    <n v="1980"/>
    <s v="Jun"/>
    <n v="22"/>
    <n v="2"/>
    <d v="1980-06-22T00:00:00"/>
    <n v="7160.09"/>
    <s v="tier - 2"/>
    <s v="tier - 2"/>
    <s v="R1011"/>
    <n v="42"/>
  </r>
  <r>
    <s v="Id871"/>
    <s v="O'Rourke, Mrs.  Orla"/>
    <n v="26.78"/>
    <n v="10.02"/>
    <s v="yes"/>
    <s v="No"/>
    <x v="1"/>
    <n v="1"/>
    <x v="1"/>
    <x v="1"/>
    <s v="Diabetes"/>
    <n v="1980"/>
    <s v="Oct"/>
    <n v="7"/>
    <n v="2"/>
    <d v="1980-10-07T00:00:00"/>
    <n v="7160.33"/>
    <s v="tier - 2"/>
    <s v="tier - 1"/>
    <s v="R1013"/>
    <n v="42"/>
  </r>
  <r>
    <s v="Id872"/>
    <s v="Fatehali, Ms.  Shaista S"/>
    <n v="45.8"/>
    <n v="4.8499999999999996"/>
    <s v="No"/>
    <s v="No"/>
    <x v="0"/>
    <n v="0"/>
    <x v="1"/>
    <x v="0"/>
    <s v="Normal"/>
    <n v="1980"/>
    <s v="Sep"/>
    <n v="30"/>
    <n v="2"/>
    <d v="1980-09-30T00:00:00"/>
    <n v="7162.01"/>
    <s v="tier - 2"/>
    <s v="tier - 3"/>
    <s v="R1013"/>
    <n v="42"/>
  </r>
  <r>
    <s v="Id873"/>
    <s v="Piza-Taylor, Mrs.  Emily"/>
    <n v="29"/>
    <n v="4.3899999999999997"/>
    <s v="yes"/>
    <s v="No"/>
    <x v="0"/>
    <n v="2"/>
    <x v="1"/>
    <x v="1"/>
    <s v="Normal"/>
    <n v="1982"/>
    <s v="Aug"/>
    <n v="16"/>
    <n v="2"/>
    <d v="1982-08-16T00:00:00"/>
    <n v="7173.36"/>
    <s v="tier - 3"/>
    <s v="tier - 2"/>
    <s v="R1016"/>
    <n v="40"/>
  </r>
  <r>
    <s v="Id874"/>
    <s v="Cavanaugh, Ms.  Julie A."/>
    <n v="33.534999999999997"/>
    <n v="8.24"/>
    <s v="yes"/>
    <s v="No"/>
    <x v="0"/>
    <n v="0"/>
    <x v="1"/>
    <x v="0"/>
    <s v="Diabetes"/>
    <n v="1975"/>
    <s v="Jul"/>
    <n v="19"/>
    <n v="1"/>
    <d v="1975-07-19T00:00:00"/>
    <n v="7175.51"/>
    <s v="tier - 2"/>
    <s v="tier - 3"/>
    <s v="R1013"/>
    <n v="47"/>
  </r>
  <r>
    <s v="Id875"/>
    <s v="Amako, Ms.  Megumi"/>
    <n v="32.774999999999999"/>
    <n v="9.77"/>
    <s v="yes"/>
    <s v="No"/>
    <x v="0"/>
    <n v="0"/>
    <x v="1"/>
    <x v="0"/>
    <s v="Diabetes"/>
    <n v="1968"/>
    <s v="Aug"/>
    <n v="26"/>
    <n v="0"/>
    <d v="1968-08-26T00:00:00"/>
    <n v="7179.52"/>
    <s v="tier - 3"/>
    <s v="tier - 3"/>
    <s v="R1013"/>
    <n v="54"/>
  </r>
  <r>
    <s v="Id876"/>
    <s v="Musa, Ms.  Skylar"/>
    <n v="37.51"/>
    <n v="5.5"/>
    <s v="yes"/>
    <s v="No"/>
    <x v="0"/>
    <n v="2"/>
    <x v="1"/>
    <x v="0"/>
    <s v="Normal"/>
    <n v="1982"/>
    <s v="Sep"/>
    <n v="14"/>
    <n v="3"/>
    <d v="1982-09-14T00:00:00"/>
    <n v="7196.87"/>
    <s v="tier - 3"/>
    <s v="tier - 2"/>
    <s v="R1011"/>
    <n v="40"/>
  </r>
  <r>
    <s v="Id877"/>
    <s v="Phillippi, Mrs.  Victoria"/>
    <n v="39.86"/>
    <n v="11.84"/>
    <s v="yes"/>
    <s v="No"/>
    <x v="0"/>
    <n v="1"/>
    <x v="1"/>
    <x v="0"/>
    <s v="Diabetes"/>
    <n v="1983"/>
    <s v="Aug"/>
    <n v="11"/>
    <n v="2"/>
    <d v="1983-08-11T00:00:00"/>
    <n v="7201.7"/>
    <s v="tier - 2"/>
    <s v="tier - 3"/>
    <s v="R1012"/>
    <n v="39"/>
  </r>
  <r>
    <s v="Id878"/>
    <s v="Hoskins, Mrs.  Amanda L"/>
    <n v="42.13"/>
    <n v="4.66"/>
    <s v="No"/>
    <s v="No"/>
    <x v="0"/>
    <n v="0"/>
    <x v="1"/>
    <x v="0"/>
    <s v="Normal"/>
    <n v="1983"/>
    <s v="Nov"/>
    <n v="21"/>
    <n v="2"/>
    <d v="1983-11-21T00:00:00"/>
    <n v="7209.49"/>
    <s v="tier - 2"/>
    <s v="tier - 3"/>
    <s v="R1012"/>
    <n v="39"/>
  </r>
  <r>
    <s v="Id879"/>
    <s v="Imbalzano Zegar, Ms.  Renee"/>
    <n v="35.99"/>
    <n v="11.11"/>
    <s v="No"/>
    <s v="No"/>
    <x v="0"/>
    <n v="0"/>
    <x v="1"/>
    <x v="0"/>
    <s v="Diabetes"/>
    <n v="1991"/>
    <s v="Jun"/>
    <n v="28"/>
    <n v="3"/>
    <d v="1991-06-28T00:00:00"/>
    <n v="7220.25"/>
    <s v="tier - 2"/>
    <s v="tier - 2"/>
    <s v="R1021"/>
    <n v="31"/>
  </r>
  <r>
    <s v="Id880"/>
    <s v="Triedman, Ms.  Nellie A."/>
    <n v="35.200000000000003"/>
    <n v="7.72"/>
    <s v="yes"/>
    <s v="No"/>
    <x v="1"/>
    <n v="1"/>
    <x v="1"/>
    <x v="0"/>
    <s v="Diabetes"/>
    <n v="1977"/>
    <s v="Sep"/>
    <n v="15"/>
    <n v="0"/>
    <d v="1977-09-15T00:00:00"/>
    <n v="7222.79"/>
    <s v="tier - 3"/>
    <s v="tier - 3"/>
    <s v="R1012"/>
    <n v="45"/>
  </r>
  <r>
    <s v="Id881"/>
    <s v="Lovuolo, Ms.  Tamara"/>
    <n v="29.91"/>
    <n v="5.55"/>
    <s v="yes"/>
    <s v="No"/>
    <x v="0"/>
    <n v="2"/>
    <x v="1"/>
    <x v="0"/>
    <s v="Normal"/>
    <n v="1986"/>
    <s v="Jul"/>
    <n v="13"/>
    <n v="3"/>
    <d v="1986-07-13T00:00:00"/>
    <n v="7228.22"/>
    <s v="tier - 2"/>
    <s v="tier - 1"/>
    <s v="R1024"/>
    <n v="36"/>
  </r>
  <r>
    <s v="Id882"/>
    <s v="Chung, Ms.  Joan"/>
    <n v="36.479999999999997"/>
    <n v="5.05"/>
    <s v="yes"/>
    <s v="No"/>
    <x v="0"/>
    <n v="1"/>
    <x v="1"/>
    <x v="0"/>
    <s v="Normal"/>
    <n v="1986"/>
    <s v="Sep"/>
    <n v="2"/>
    <n v="4"/>
    <d v="1986-09-02T00:00:00"/>
    <n v="7243.81"/>
    <s v="tier - 2"/>
    <s v="tier - 3"/>
    <s v="R1013"/>
    <n v="36"/>
  </r>
  <r>
    <s v="Id883"/>
    <s v="Newsom, Ms.  Aimee J."/>
    <n v="27.5"/>
    <n v="8.69"/>
    <s v="yes"/>
    <s v="No"/>
    <x v="1"/>
    <n v="1"/>
    <x v="1"/>
    <x v="1"/>
    <s v="Diabetes"/>
    <n v="1982"/>
    <s v="Jul"/>
    <n v="24"/>
    <n v="3"/>
    <d v="1982-07-24T00:00:00"/>
    <n v="7248.71"/>
    <s v="tier - 2"/>
    <s v="tier - 1"/>
    <s v="R1013"/>
    <n v="40"/>
  </r>
  <r>
    <s v="Id884"/>
    <s v="Harrington, Ms.  Suzanne"/>
    <n v="33.44"/>
    <n v="5.9"/>
    <s v="yes"/>
    <s v="No"/>
    <x v="0"/>
    <n v="1"/>
    <x v="1"/>
    <x v="0"/>
    <s v="Prediabetes"/>
    <n v="1981"/>
    <s v="Aug"/>
    <n v="14"/>
    <n v="2"/>
    <d v="1981-08-14T00:00:00"/>
    <n v="7256.72"/>
    <s v="tier - 3"/>
    <s v="tier - 2"/>
    <s v="R1012"/>
    <n v="41"/>
  </r>
  <r>
    <s v="Id885"/>
    <s v="Hoffman, Ms.  Kristin A."/>
    <n v="28.215"/>
    <n v="6.29"/>
    <s v="yes"/>
    <s v="No"/>
    <x v="0"/>
    <n v="1"/>
    <x v="1"/>
    <x v="1"/>
    <s v="Prediabetes"/>
    <n v="1981"/>
    <s v="Jun"/>
    <n v="13"/>
    <n v="2"/>
    <d v="1981-06-13T00:00:00"/>
    <n v="7261.74"/>
    <s v="tier - 3"/>
    <s v="tier - 3"/>
    <s v="R1012"/>
    <n v="41"/>
  </r>
  <r>
    <s v="Id886"/>
    <s v="Van Vugt, Ms.  Bronwyn"/>
    <n v="27.17"/>
    <n v="5.84"/>
    <s v="yes"/>
    <s v="No"/>
    <x v="0"/>
    <n v="1"/>
    <x v="1"/>
    <x v="1"/>
    <s v="Prediabetes"/>
    <n v="1973"/>
    <s v="Oct"/>
    <n v="25"/>
    <n v="0"/>
    <d v="1973-10-25T00:00:00"/>
    <n v="7265.58"/>
    <s v="tier - 2"/>
    <s v="tier - 2"/>
    <s v="R1013"/>
    <n v="49"/>
  </r>
  <r>
    <s v="Id887"/>
    <s v="Feehley, Ms.  Taylor J"/>
    <n v="35.380000000000003"/>
    <n v="6.12"/>
    <s v="No"/>
    <s v="No"/>
    <x v="0"/>
    <n v="0"/>
    <x v="1"/>
    <x v="0"/>
    <s v="Prediabetes"/>
    <n v="1981"/>
    <s v="Aug"/>
    <n v="4"/>
    <n v="2"/>
    <d v="1981-08-04T00:00:00"/>
    <n v="7265.7"/>
    <s v="tier - 3"/>
    <s v="tier - 3"/>
    <s v="R1012"/>
    <n v="41"/>
  </r>
  <r>
    <s v="Id888"/>
    <s v="Ashworth, Mrs.  Kimberly M."/>
    <n v="43.48"/>
    <n v="6.24"/>
    <s v="No"/>
    <s v="No"/>
    <x v="0"/>
    <n v="0"/>
    <x v="1"/>
    <x v="0"/>
    <s v="Prediabetes"/>
    <n v="1976"/>
    <s v="Dec"/>
    <n v="18"/>
    <n v="2"/>
    <d v="1976-12-18T00:00:00"/>
    <n v="7273.02"/>
    <s v="tier - 2"/>
    <s v="tier - 1"/>
    <s v="R1013"/>
    <n v="46"/>
  </r>
  <r>
    <s v="Id889"/>
    <s v="Hansen, Mr.  Joshua E."/>
    <n v="41.73"/>
    <n v="6.25"/>
    <s v="No"/>
    <s v="No"/>
    <x v="0"/>
    <n v="1"/>
    <x v="1"/>
    <x v="0"/>
    <s v="Prediabetes"/>
    <n v="1985"/>
    <s v="Nov"/>
    <n v="2"/>
    <n v="3"/>
    <d v="1985-11-02T00:00:00"/>
    <n v="7281.51"/>
    <s v="tier - 2"/>
    <s v="tier - 1"/>
    <s v="R1012"/>
    <n v="37"/>
  </r>
  <r>
    <s v="Id890"/>
    <s v="Czyz, Mr.  Jeffrey"/>
    <n v="28.9"/>
    <n v="11.96"/>
    <s v="No"/>
    <s v="No"/>
    <x v="0"/>
    <n v="0"/>
    <x v="1"/>
    <x v="1"/>
    <s v="Diabetes"/>
    <n v="1966"/>
    <s v="Dec"/>
    <n v="26"/>
    <n v="0"/>
    <d v="1966-12-26T00:00:00"/>
    <n v="7302.46"/>
    <s v="tier - 3"/>
    <s v="tier - 1"/>
    <s v="R1012"/>
    <n v="56"/>
  </r>
  <r>
    <s v="Id891"/>
    <s v="Bauder, Mr.  Andrew R"/>
    <n v="25.74"/>
    <n v="7.69"/>
    <s v="No"/>
    <s v="No"/>
    <x v="0"/>
    <n v="0"/>
    <x v="1"/>
    <x v="1"/>
    <s v="Diabetes"/>
    <n v="1965"/>
    <s v="Jun"/>
    <n v="6"/>
    <n v="0"/>
    <d v="1965-06-06T00:00:00"/>
    <n v="7304.65"/>
    <s v="tier - 3"/>
    <s v="tier - 3"/>
    <s v="R1013"/>
    <n v="58"/>
  </r>
  <r>
    <s v="Id892"/>
    <s v="Mendoza, Mr.  Francisco J. Sr."/>
    <n v="36.06"/>
    <n v="8.83"/>
    <s v="No"/>
    <s v="No"/>
    <x v="0"/>
    <n v="0"/>
    <x v="1"/>
    <x v="0"/>
    <s v="Diabetes"/>
    <n v="1965"/>
    <s v="Jun"/>
    <n v="25"/>
    <n v="0"/>
    <d v="1965-06-25T00:00:00"/>
    <n v="7318.21"/>
    <s v="tier - 3"/>
    <s v="tier - 1"/>
    <s v="R1013"/>
    <n v="57"/>
  </r>
  <r>
    <s v="Id893"/>
    <s v="Glass, Mrs.  Rhonda"/>
    <n v="43.28"/>
    <n v="4.41"/>
    <s v="No"/>
    <s v="No"/>
    <x v="0"/>
    <n v="0"/>
    <x v="1"/>
    <x v="0"/>
    <s v="Normal"/>
    <n v="1972"/>
    <s v="Aug"/>
    <n v="11"/>
    <n v="0"/>
    <d v="1972-08-11T00:00:00"/>
    <n v="7318.22"/>
    <s v="tier - 2"/>
    <s v="tier - 3"/>
    <s v="R1012"/>
    <n v="50"/>
  </r>
  <r>
    <s v="Id894"/>
    <s v="Butcher, Mr.  John"/>
    <n v="28.785"/>
    <n v="9.1"/>
    <s v="yes"/>
    <s v="No"/>
    <x v="1"/>
    <n v="1"/>
    <x v="1"/>
    <x v="1"/>
    <s v="Diabetes"/>
    <n v="1965"/>
    <s v="Jul"/>
    <n v="11"/>
    <n v="0"/>
    <d v="1965-07-11T00:00:00"/>
    <n v="7322.86"/>
    <s v="tier - 3"/>
    <s v="tier - 3"/>
    <s v="R1012"/>
    <n v="57"/>
  </r>
  <r>
    <s v="Id895"/>
    <s v="Traiser, Mr.  Miles J."/>
    <n v="25.46"/>
    <n v="11.52"/>
    <s v="yes"/>
    <s v="No"/>
    <x v="1"/>
    <n v="1"/>
    <x v="1"/>
    <x v="1"/>
    <s v="Diabetes"/>
    <n v="2004"/>
    <s v="Nov"/>
    <n v="15"/>
    <n v="0"/>
    <d v="2004-11-15T00:00:00"/>
    <n v="7323.73"/>
    <s v="tier - 2"/>
    <s v="tier - 2"/>
    <s v="R1024"/>
    <n v="18"/>
  </r>
  <r>
    <s v="Id896"/>
    <s v="Mudy-Mader, Ms.  Justyna I."/>
    <n v="30.8"/>
    <n v="10.95"/>
    <s v="No"/>
    <s v="No"/>
    <x v="0"/>
    <n v="0"/>
    <x v="1"/>
    <x v="0"/>
    <s v="Diabetes"/>
    <n v="1979"/>
    <s v="Jun"/>
    <n v="19"/>
    <n v="0"/>
    <d v="1979-06-19T00:00:00"/>
    <n v="7325.05"/>
    <s v="tier - 2"/>
    <s v="tier - 3"/>
    <s v="R1024"/>
    <n v="43"/>
  </r>
  <r>
    <s v="Id897"/>
    <s v="Rogers, Ms.  Lucille"/>
    <n v="28.88"/>
    <n v="11.5"/>
    <s v="No"/>
    <s v="No"/>
    <x v="0"/>
    <n v="0"/>
    <x v="1"/>
    <x v="1"/>
    <s v="Diabetes"/>
    <n v="1984"/>
    <s v="Jul"/>
    <n v="25"/>
    <n v="3"/>
    <d v="1984-07-25T00:00:00"/>
    <n v="7325.47"/>
    <s v="tier - 2"/>
    <s v="tier - 1"/>
    <s v="R1012"/>
    <n v="38"/>
  </r>
  <r>
    <s v="Id898"/>
    <s v="Woo, Ms.  April"/>
    <n v="23"/>
    <n v="9.8800000000000008"/>
    <s v="No"/>
    <s v="No"/>
    <x v="0"/>
    <n v="0"/>
    <x v="1"/>
    <x v="2"/>
    <s v="Diabetes"/>
    <n v="1979"/>
    <s v="Sep"/>
    <n v="19"/>
    <n v="1"/>
    <d v="1979-09-19T00:00:00"/>
    <n v="7337.75"/>
    <s v="tier - 2"/>
    <s v="tier - 3"/>
    <s v="R1011"/>
    <n v="43"/>
  </r>
  <r>
    <s v="Id899"/>
    <s v="Walsh, Mr.  Robert"/>
    <n v="38.25"/>
    <n v="6.2"/>
    <s v="No"/>
    <s v="No"/>
    <x v="0"/>
    <n v="1"/>
    <x v="1"/>
    <x v="0"/>
    <s v="Prediabetes"/>
    <n v="1986"/>
    <s v="Jun"/>
    <n v="15"/>
    <n v="3"/>
    <d v="1986-06-15T00:00:00"/>
    <n v="7339.93"/>
    <s v="tier - 2"/>
    <s v="tier - 2"/>
    <s v="R1012"/>
    <n v="36"/>
  </r>
  <r>
    <s v="Id900"/>
    <s v="White, Mrs.  Alyssa"/>
    <n v="39.25"/>
    <n v="8.41"/>
    <s v="yes"/>
    <s v="No"/>
    <x v="0"/>
    <n v="1"/>
    <x v="1"/>
    <x v="0"/>
    <s v="Diabetes"/>
    <n v="1977"/>
    <s v="Dec"/>
    <n v="18"/>
    <n v="0"/>
    <d v="1977-12-18T00:00:00"/>
    <n v="7345.08"/>
    <s v="tier - 2"/>
    <s v="tier - 1"/>
    <s v="R1011"/>
    <n v="45"/>
  </r>
  <r>
    <s v="Id901"/>
    <s v="Sheppard, Ms.  Jessica E."/>
    <n v="26.6"/>
    <n v="5.07"/>
    <s v="yes"/>
    <s v="No"/>
    <x v="0"/>
    <n v="2"/>
    <x v="1"/>
    <x v="1"/>
    <s v="Normal"/>
    <n v="1979"/>
    <s v="Jun"/>
    <n v="26"/>
    <n v="1"/>
    <d v="1979-06-26T00:00:00"/>
    <n v="7345.73"/>
    <s v="tier - 2"/>
    <s v="tier - 1"/>
    <s v="R1013"/>
    <n v="43"/>
  </r>
  <r>
    <s v="Id902"/>
    <s v="Doran, Mr.  Patrick J."/>
    <n v="35.700000000000003"/>
    <n v="4.0599999999999996"/>
    <s v="No"/>
    <s v="No"/>
    <x v="1"/>
    <n v="1"/>
    <x v="1"/>
    <x v="0"/>
    <s v="Normal"/>
    <n v="1977"/>
    <s v="Dec"/>
    <n v="1"/>
    <n v="0"/>
    <d v="1977-12-01T00:00:00"/>
    <n v="7348.14"/>
    <s v="tier - 2"/>
    <s v="tier - 1"/>
    <s v="R1011"/>
    <n v="45"/>
  </r>
  <r>
    <s v="Id903"/>
    <s v="Labrosse, Ms.  Emilie"/>
    <n v="20.100000000000001"/>
    <n v="10.52"/>
    <s v="No"/>
    <s v="No"/>
    <x v="0"/>
    <n v="0"/>
    <x v="1"/>
    <x v="2"/>
    <s v="Diabetes"/>
    <n v="1993"/>
    <s v="Oct"/>
    <n v="5"/>
    <n v="0"/>
    <d v="1993-10-05T00:00:00"/>
    <n v="7349.12"/>
    <s v="tier - 2"/>
    <s v="tier - 2"/>
    <s v="R1021"/>
    <n v="29"/>
  </r>
  <r>
    <s v="Id904"/>
    <s v="Thomas, Ms.  Caitlin B."/>
    <n v="22.23"/>
    <n v="9.65"/>
    <s v="No"/>
    <s v="No"/>
    <x v="0"/>
    <n v="0"/>
    <x v="1"/>
    <x v="2"/>
    <s v="Diabetes"/>
    <n v="1983"/>
    <s v="Jun"/>
    <n v="21"/>
    <n v="3"/>
    <d v="1983-06-21T00:00:00"/>
    <n v="7357.49"/>
    <s v="tier - 2"/>
    <s v="tier - 2"/>
    <s v="R1012"/>
    <n v="39"/>
  </r>
  <r>
    <s v="Id905"/>
    <s v="Lesniak, Mr.  Joseph W"/>
    <n v="36.47"/>
    <n v="6.21"/>
    <s v="No"/>
    <s v="No"/>
    <x v="0"/>
    <n v="0"/>
    <x v="1"/>
    <x v="0"/>
    <s v="Prediabetes"/>
    <n v="1981"/>
    <s v="Jul"/>
    <n v="16"/>
    <n v="1"/>
    <d v="1981-07-16T00:00:00"/>
    <n v="7358.18"/>
    <s v="tier - 2"/>
    <s v="tier - 3"/>
    <s v="R1024"/>
    <n v="41"/>
  </r>
  <r>
    <s v="Id906"/>
    <s v="Prowse, Ms.  Wendy"/>
    <n v="49.64"/>
    <n v="4.76"/>
    <s v="No"/>
    <s v="No"/>
    <x v="1"/>
    <n v="1"/>
    <x v="1"/>
    <x v="0"/>
    <s v="Normal"/>
    <n v="1965"/>
    <s v="Dec"/>
    <n v="9"/>
    <n v="0"/>
    <d v="1965-12-09T00:00:00"/>
    <n v="7362.31"/>
    <s v="tier - 3"/>
    <s v="tier - 3"/>
    <s v="R1013"/>
    <n v="57"/>
  </r>
  <r>
    <s v="Id907"/>
    <s v="Seigel, Mrs.  Leah L."/>
    <n v="36.799999999999997"/>
    <n v="5.73"/>
    <s v="yes"/>
    <s v="No"/>
    <x v="1"/>
    <n v="1"/>
    <x v="1"/>
    <x v="0"/>
    <s v="Prediabetes"/>
    <n v="1981"/>
    <s v="Nov"/>
    <n v="24"/>
    <n v="2"/>
    <d v="1981-11-24T00:00:00"/>
    <n v="7371.77"/>
    <s v="tier - 2"/>
    <s v="tier - 1"/>
    <s v="R1011"/>
    <n v="41"/>
  </r>
  <r>
    <s v="Id908"/>
    <s v="Blas, Mr.  Wayne L."/>
    <n v="33.880000000000003"/>
    <n v="10.78"/>
    <s v="yes"/>
    <s v="No"/>
    <x v="0"/>
    <n v="0"/>
    <x v="1"/>
    <x v="0"/>
    <s v="Diabetes"/>
    <n v="1993"/>
    <s v="Jul"/>
    <n v="22"/>
    <n v="0"/>
    <d v="1993-07-22T00:00:00"/>
    <n v="7388.85"/>
    <s v="tier - 2"/>
    <s v="tier - 2"/>
    <s v="R1026"/>
    <n v="29"/>
  </r>
  <r>
    <s v="Id909"/>
    <s v="Simpson, Mr.  Jason M."/>
    <n v="32.01"/>
    <n v="5.08"/>
    <s v="yes"/>
    <s v="No"/>
    <x v="0"/>
    <n v="1"/>
    <x v="1"/>
    <x v="0"/>
    <s v="Normal"/>
    <n v="1965"/>
    <s v="Dec"/>
    <n v="5"/>
    <n v="0"/>
    <d v="1965-12-05T00:00:00"/>
    <n v="7403.98"/>
    <s v="tier - 3"/>
    <s v="tier - 2"/>
    <s v="R1013"/>
    <n v="57"/>
  </r>
  <r>
    <s v="Id910"/>
    <s v="Gierman, Mr.  Floris"/>
    <n v="33.630000000000003"/>
    <n v="11.39"/>
    <s v="No"/>
    <s v="No"/>
    <x v="0"/>
    <n v="0"/>
    <x v="1"/>
    <x v="0"/>
    <s v="Diabetes"/>
    <n v="1983"/>
    <s v="Sep"/>
    <n v="19"/>
    <n v="3"/>
    <d v="1983-09-19T00:00:00"/>
    <n v="7418.52"/>
    <s v="tier - 2"/>
    <s v="tier - 2"/>
    <s v="R1011"/>
    <n v="39"/>
  </r>
  <r>
    <s v="Id911"/>
    <s v="Jeuland, Mr.  Marc"/>
    <n v="34.865000000000002"/>
    <n v="5.35"/>
    <s v="yes"/>
    <s v="No"/>
    <x v="0"/>
    <n v="1"/>
    <x v="1"/>
    <x v="0"/>
    <s v="Normal"/>
    <n v="1978"/>
    <s v="Nov"/>
    <n v="12"/>
    <n v="0"/>
    <d v="1978-11-12T00:00:00"/>
    <n v="7419.48"/>
    <s v="tier - 2"/>
    <s v="tier - 2"/>
    <s v="R1012"/>
    <n v="44"/>
  </r>
  <r>
    <s v="Id912"/>
    <s v="Chorney, Mr.  Christopher"/>
    <n v="43.11"/>
    <n v="5.6"/>
    <s v="No"/>
    <s v="No"/>
    <x v="0"/>
    <n v="0"/>
    <x v="1"/>
    <x v="0"/>
    <s v="Normal"/>
    <n v="1978"/>
    <s v="Dec"/>
    <n v="2"/>
    <n v="0"/>
    <d v="1978-12-02T00:00:00"/>
    <n v="7421.19"/>
    <s v="tier - 2"/>
    <s v="tier - 3"/>
    <s v="R1012"/>
    <n v="44"/>
  </r>
  <r>
    <s v="Id913"/>
    <s v="Rook, Mr.  Kevin"/>
    <n v="30.305"/>
    <n v="4.2699999999999996"/>
    <s v="yes"/>
    <s v="No"/>
    <x v="0"/>
    <n v="1"/>
    <x v="1"/>
    <x v="0"/>
    <s v="Normal"/>
    <n v="1977"/>
    <s v="Aug"/>
    <n v="25"/>
    <n v="1"/>
    <d v="1977-08-25T00:00:00"/>
    <n v="7441.05"/>
    <s v="tier - 3"/>
    <s v="tier - 2"/>
    <s v="R1011"/>
    <n v="45"/>
  </r>
  <r>
    <s v="Id914"/>
    <s v="Wright, Mr.  Aharon N"/>
    <n v="25.175000000000001"/>
    <n v="5.57"/>
    <s v="yes"/>
    <s v="No"/>
    <x v="0"/>
    <n v="1"/>
    <x v="1"/>
    <x v="1"/>
    <s v="Normal"/>
    <n v="1979"/>
    <s v="Sep"/>
    <n v="1"/>
    <n v="2"/>
    <d v="1979-09-01T00:00:00"/>
    <n v="7441.5"/>
    <s v="tier - 3"/>
    <s v="tier - 2"/>
    <s v="R1011"/>
    <n v="43"/>
  </r>
  <r>
    <s v="Id915"/>
    <s v="Chin, Mr.  Lawrence D."/>
    <n v="26.8"/>
    <n v="5.68"/>
    <s v="yes"/>
    <s v="No"/>
    <x v="0"/>
    <n v="1"/>
    <x v="1"/>
    <x v="1"/>
    <s v="Normal"/>
    <n v="1980"/>
    <s v="Jul"/>
    <n v="7"/>
    <n v="1"/>
    <d v="1980-07-07T00:00:00"/>
    <n v="7443.64"/>
    <s v="tier - 2"/>
    <s v="tier - 3"/>
    <s v="R1012"/>
    <n v="42"/>
  </r>
  <r>
    <s v="Id916"/>
    <s v="White, Mr.  Malcolm"/>
    <n v="21.78"/>
    <n v="5.3"/>
    <s v="No"/>
    <s v="yes"/>
    <x v="0"/>
    <n v="1"/>
    <x v="1"/>
    <x v="2"/>
    <s v="Normal"/>
    <n v="1977"/>
    <s v="Sep"/>
    <n v="25"/>
    <n v="1"/>
    <d v="1977-09-25T00:00:00"/>
    <n v="7445.92"/>
    <s v="tier - 3"/>
    <s v="tier - 1"/>
    <s v="R1011"/>
    <n v="45"/>
  </r>
  <r>
    <s v="Id917"/>
    <s v="Savage, Ms.  Anna E."/>
    <n v="30.14"/>
    <n v="9.4499999999999993"/>
    <s v="yes"/>
    <s v="No"/>
    <x v="0"/>
    <n v="0"/>
    <x v="1"/>
    <x v="0"/>
    <s v="Diabetes"/>
    <n v="1977"/>
    <s v="Sep"/>
    <n v="30"/>
    <n v="0"/>
    <d v="1977-09-30T00:00:00"/>
    <n v="7448.4"/>
    <s v="tier - 3"/>
    <s v="tier - 3"/>
    <s v="R1017"/>
    <n v="45"/>
  </r>
  <r>
    <s v="Id918"/>
    <s v="Hitchings, Ms.  Jenny"/>
    <n v="29.7"/>
    <n v="6.79"/>
    <s v="yes"/>
    <s v="No"/>
    <x v="0"/>
    <n v="0"/>
    <x v="1"/>
    <x v="1"/>
    <s v="Diabetes"/>
    <n v="2001"/>
    <s v="Jun"/>
    <n v="1"/>
    <n v="0"/>
    <d v="2001-06-01T00:00:00"/>
    <n v="7450.36"/>
    <s v="tier - 2"/>
    <s v="tier - 2"/>
    <s v="R1012"/>
    <n v="22"/>
  </r>
  <r>
    <s v="Id919"/>
    <s v="Truitt, Ms.  Melissa L"/>
    <n v="32.395000000000003"/>
    <n v="11.1"/>
    <s v="yes"/>
    <s v="No"/>
    <x v="0"/>
    <n v="0"/>
    <x v="1"/>
    <x v="0"/>
    <s v="Diabetes"/>
    <n v="1967"/>
    <s v="Aug"/>
    <n v="4"/>
    <n v="0"/>
    <d v="1967-08-04T00:00:00"/>
    <n v="7463.51"/>
    <s v="tier - 3"/>
    <s v="tier - 3"/>
    <s v="R1013"/>
    <n v="55"/>
  </r>
  <r>
    <s v="Id920"/>
    <s v="Chang, Ms.  Chia J."/>
    <n v="36.64"/>
    <n v="7.26"/>
    <s v="No"/>
    <s v="No"/>
    <x v="0"/>
    <n v="0"/>
    <x v="1"/>
    <x v="0"/>
    <s v="Diabetes"/>
    <n v="1996"/>
    <s v="Jun"/>
    <n v="14"/>
    <n v="0"/>
    <d v="1996-06-14T00:00:00"/>
    <n v="7487.38"/>
    <s v="tier - 2"/>
    <s v="tier - 3"/>
    <s v="R1012"/>
    <n v="26"/>
  </r>
  <r>
    <s v="Id921"/>
    <s v="Frey, Ms.  Laura A"/>
    <n v="39.049999999999997"/>
    <n v="5.27"/>
    <s v="yes"/>
    <s v="No"/>
    <x v="0"/>
    <n v="1"/>
    <x v="1"/>
    <x v="0"/>
    <s v="Normal"/>
    <n v="1988"/>
    <s v="Dec"/>
    <n v="15"/>
    <n v="3"/>
    <d v="1988-12-15T00:00:00"/>
    <n v="7494.63"/>
    <s v="tier - 2"/>
    <s v="tier - 3"/>
    <s v="R1025"/>
    <n v="34"/>
  </r>
  <r>
    <s v="Id922"/>
    <s v="Krishna, Ms.  Aditi"/>
    <n v="33.1"/>
    <n v="5.46"/>
    <s v="yes"/>
    <s v="No"/>
    <x v="0"/>
    <n v="1"/>
    <x v="1"/>
    <x v="0"/>
    <s v="Normal"/>
    <n v="1997"/>
    <s v="Oct"/>
    <n v="28"/>
    <n v="0"/>
    <d v="1997-10-28T00:00:00"/>
    <n v="7504.3"/>
    <s v="tier - 2"/>
    <s v="tier - 1"/>
    <s v="R1012"/>
    <n v="25"/>
  </r>
  <r>
    <s v="Id923"/>
    <s v="Maher, Ms.  Leah A."/>
    <n v="31.824999999999999"/>
    <n v="8.1300000000000008"/>
    <s v="No"/>
    <s v="No"/>
    <x v="0"/>
    <n v="0"/>
    <x v="1"/>
    <x v="0"/>
    <s v="Diabetes"/>
    <n v="1983"/>
    <s v="Jul"/>
    <n v="10"/>
    <n v="4"/>
    <d v="1983-07-10T00:00:00"/>
    <n v="7512.27"/>
    <s v="tier - 3"/>
    <s v="tier - 2"/>
    <s v="R1011"/>
    <n v="39"/>
  </r>
  <r>
    <s v="Id924"/>
    <s v="Boivin, Ms.  Marianne"/>
    <n v="29"/>
    <n v="4.25"/>
    <s v="yes"/>
    <s v="No"/>
    <x v="0"/>
    <n v="1"/>
    <x v="1"/>
    <x v="1"/>
    <s v="Normal"/>
    <n v="1978"/>
    <s v="Oct"/>
    <n v="18"/>
    <n v="1"/>
    <d v="1978-10-18T00:00:00"/>
    <n v="7518.03"/>
    <s v="tier - 2"/>
    <s v="tier - 3"/>
    <s v="R1012"/>
    <n v="44"/>
  </r>
  <r>
    <s v="Id925"/>
    <s v="McAlister, Ms.  Carla"/>
    <n v="30.495000000000001"/>
    <n v="8.68"/>
    <s v="No"/>
    <s v="No"/>
    <x v="0"/>
    <n v="0"/>
    <x v="1"/>
    <x v="0"/>
    <s v="Diabetes"/>
    <n v="1976"/>
    <s v="Oct"/>
    <n v="10"/>
    <n v="0"/>
    <d v="1976-10-10T00:00:00"/>
    <n v="7526.71"/>
    <s v="tier - 3"/>
    <s v="tier - 1"/>
    <s v="R1012"/>
    <n v="46"/>
  </r>
  <r>
    <s v="Id926"/>
    <s v="Akhmedova, Ms.  Oksana"/>
    <n v="25.2"/>
    <n v="6.25"/>
    <s v="yes"/>
    <s v="No"/>
    <x v="0"/>
    <n v="1"/>
    <x v="1"/>
    <x v="1"/>
    <s v="Prediabetes"/>
    <n v="1978"/>
    <s v="Dec"/>
    <n v="14"/>
    <n v="2"/>
    <d v="1978-12-14T00:00:00"/>
    <n v="7531.7"/>
    <s v="tier - 2"/>
    <s v="tier - 1"/>
    <s v="R1013"/>
    <n v="44"/>
  </r>
  <r>
    <s v="Id927"/>
    <s v="Tucker, Ms.  Rebecca B."/>
    <n v="22.77"/>
    <n v="4.47"/>
    <s v="yes"/>
    <s v="No"/>
    <x v="0"/>
    <n v="1"/>
    <x v="1"/>
    <x v="2"/>
    <s v="Normal"/>
    <n v="1984"/>
    <s v="Aug"/>
    <n v="22"/>
    <n v="3"/>
    <d v="1984-08-22T00:00:00"/>
    <n v="7537.16"/>
    <s v="tier - 2"/>
    <s v="tier - 2"/>
    <s v="R1012"/>
    <n v="38"/>
  </r>
  <r>
    <s v="Id928"/>
    <s v="Gramelspacher, Ms.  Maria A."/>
    <n v="23.18"/>
    <n v="8.31"/>
    <s v="No"/>
    <s v="No"/>
    <x v="0"/>
    <n v="0"/>
    <x v="1"/>
    <x v="2"/>
    <s v="Diabetes"/>
    <n v="1988"/>
    <s v="Dec"/>
    <n v="15"/>
    <n v="3"/>
    <d v="1988-12-15T00:00:00"/>
    <n v="7538.52"/>
    <s v="tier - 2"/>
    <s v="tier - 2"/>
    <s v="R1012"/>
    <n v="34"/>
  </r>
  <r>
    <s v="Id929"/>
    <s v="Goldsmith, Mrs.  Lisa M"/>
    <n v="35.409999999999997"/>
    <n v="5.68"/>
    <s v="No"/>
    <s v="No"/>
    <x v="0"/>
    <n v="0"/>
    <x v="1"/>
    <x v="0"/>
    <s v="Normal"/>
    <n v="1994"/>
    <s v="Aug"/>
    <n v="14"/>
    <n v="0"/>
    <d v="1994-08-14T00:00:00"/>
    <n v="7567.13"/>
    <s v="tier - 2"/>
    <s v="tier - 2"/>
    <s v="R1021"/>
    <n v="28"/>
  </r>
  <r>
    <s v="Id930"/>
    <s v="Tranter, Mr.  Steve Jr."/>
    <n v="32.11"/>
    <n v="4.75"/>
    <s v="yes"/>
    <s v="No"/>
    <x v="0"/>
    <n v="2"/>
    <x v="1"/>
    <x v="0"/>
    <s v="Normal"/>
    <n v="1967"/>
    <s v="Jul"/>
    <n v="17"/>
    <n v="0"/>
    <d v="1967-07-17T00:00:00"/>
    <n v="7585.62"/>
    <s v="tier - 3"/>
    <s v="tier - 2"/>
    <s v="R1013"/>
    <n v="55"/>
  </r>
  <r>
    <s v="Id931"/>
    <s v="Tu, Mrs.  Tiffany"/>
    <n v="34.479999999999997"/>
    <n v="6.31"/>
    <s v="No"/>
    <s v="No"/>
    <x v="1"/>
    <n v="1"/>
    <x v="1"/>
    <x v="0"/>
    <s v="Prediabetes"/>
    <n v="1997"/>
    <s v="Sep"/>
    <n v="30"/>
    <n v="0"/>
    <d v="1997-09-30T00:00:00"/>
    <n v="7607.03"/>
    <s v="tier - 2"/>
    <s v="tier - 2"/>
    <s v="R1012"/>
    <n v="25"/>
  </r>
  <r>
    <s v="Id932"/>
    <s v="Kaczka, Mr.  Greg"/>
    <n v="34.39"/>
    <n v="6.28"/>
    <s v="yes"/>
    <s v="No"/>
    <x v="0"/>
    <n v="1"/>
    <x v="1"/>
    <x v="0"/>
    <s v="Prediabetes"/>
    <n v="1968"/>
    <s v="Jul"/>
    <n v="3"/>
    <n v="0"/>
    <d v="1968-07-03T00:00:00"/>
    <n v="7609.6"/>
    <s v="tier - 3"/>
    <s v="tier - 2"/>
    <s v="R1012"/>
    <n v="54"/>
  </r>
  <r>
    <s v="Id933"/>
    <s v="Hunter, Mr.  Dale"/>
    <n v="26.4"/>
    <n v="9.2899999999999991"/>
    <s v="yes"/>
    <s v="No"/>
    <x v="1"/>
    <n v="1"/>
    <x v="1"/>
    <x v="1"/>
    <s v="Diabetes"/>
    <n v="1996"/>
    <s v="Sep"/>
    <n v="17"/>
    <n v="0"/>
    <d v="1996-09-17T00:00:00"/>
    <n v="7623.13"/>
    <s v="tier - 2"/>
    <s v="tier - 3"/>
    <s v="R1011"/>
    <n v="26"/>
  </r>
  <r>
    <s v="Id934"/>
    <s v="Moran, Ms.  Brittany A."/>
    <n v="28.1"/>
    <n v="5.79"/>
    <s v="yes"/>
    <s v="No"/>
    <x v="1"/>
    <n v="1"/>
    <x v="1"/>
    <x v="1"/>
    <s v="Prediabetes"/>
    <n v="1978"/>
    <s v="Nov"/>
    <n v="28"/>
    <n v="1"/>
    <d v="1978-11-28T00:00:00"/>
    <n v="7623.52"/>
    <s v="tier - 2"/>
    <s v="tier - 1"/>
    <s v="R1011"/>
    <n v="44"/>
  </r>
  <r>
    <s v="Id935"/>
    <s v="Ashby, Mr.  Robert S"/>
    <n v="27"/>
    <n v="4.54"/>
    <s v="yes"/>
    <s v="No"/>
    <x v="0"/>
    <n v="1"/>
    <x v="1"/>
    <x v="1"/>
    <s v="Normal"/>
    <n v="1978"/>
    <s v="Nov"/>
    <n v="6"/>
    <n v="1"/>
    <d v="1978-11-06T00:00:00"/>
    <n v="7624.63"/>
    <s v="tier - 2"/>
    <s v="tier - 1"/>
    <s v="R1011"/>
    <n v="44"/>
  </r>
  <r>
    <s v="Id936"/>
    <s v="Ausen, Mr.  Cameron"/>
    <n v="28.594999999999999"/>
    <n v="4.68"/>
    <s v="yes"/>
    <s v="No"/>
    <x v="0"/>
    <n v="1"/>
    <x v="1"/>
    <x v="1"/>
    <s v="Normal"/>
    <n v="1978"/>
    <s v="Nov"/>
    <n v="29"/>
    <n v="1"/>
    <d v="1978-11-29T00:00:00"/>
    <n v="7626.99"/>
    <s v="tier - 2"/>
    <s v="tier - 2"/>
    <s v="R1011"/>
    <n v="44"/>
  </r>
  <r>
    <s v="Id937"/>
    <s v="Savage, Mrs.  Ulrike"/>
    <n v="36.799999999999997"/>
    <n v="5.88"/>
    <s v="No"/>
    <s v="No"/>
    <x v="0"/>
    <n v="1"/>
    <x v="1"/>
    <x v="0"/>
    <s v="Prediabetes"/>
    <n v="1978"/>
    <s v="Aug"/>
    <n v="24"/>
    <n v="1"/>
    <d v="1978-08-24T00:00:00"/>
    <n v="7633.72"/>
    <s v="tier - 2"/>
    <s v="tier - 1"/>
    <s v="R1013"/>
    <n v="44"/>
  </r>
  <r>
    <s v="Id938"/>
    <s v="O'Leary, Ms.  Katlyn A."/>
    <n v="23.75"/>
    <n v="5.42"/>
    <s v="yes"/>
    <s v="No"/>
    <x v="1"/>
    <n v="1"/>
    <x v="1"/>
    <x v="2"/>
    <s v="Normal"/>
    <n v="2001"/>
    <s v="Dec"/>
    <n v="13"/>
    <n v="0"/>
    <d v="2001-12-13T00:00:00"/>
    <n v="7636.92"/>
    <s v="tier - 2"/>
    <s v="tier - 3"/>
    <s v="R1012"/>
    <n v="21"/>
  </r>
  <r>
    <s v="Id939"/>
    <s v="Scoville, Mr.  Morgan B."/>
    <n v="35.619999999999997"/>
    <n v="4.16"/>
    <s v="No"/>
    <s v="No"/>
    <x v="0"/>
    <n v="0"/>
    <x v="1"/>
    <x v="0"/>
    <s v="Normal"/>
    <n v="1980"/>
    <s v="Jun"/>
    <n v="20"/>
    <n v="1"/>
    <d v="1980-06-20T00:00:00"/>
    <n v="7639.42"/>
    <s v="tier - 2"/>
    <s v="tier - 2"/>
    <s v="R1024"/>
    <n v="42"/>
  </r>
  <r>
    <s v="Id940"/>
    <s v="Kaus, Mr.  Peter"/>
    <n v="30.69"/>
    <n v="7.05"/>
    <s v="yes"/>
    <s v="No"/>
    <x v="0"/>
    <n v="2"/>
    <x v="1"/>
    <x v="0"/>
    <s v="Diabetes"/>
    <n v="1980"/>
    <s v="Jul"/>
    <n v="24"/>
    <n v="2"/>
    <d v="1980-07-24T00:00:00"/>
    <n v="7640.31"/>
    <s v="tier - 2"/>
    <s v="tier - 1"/>
    <s v="R1013"/>
    <n v="42"/>
  </r>
  <r>
    <s v="Id941"/>
    <s v="Rainey, Ms.  Chandler"/>
    <n v="35.799999999999997"/>
    <n v="5.63"/>
    <s v="yes"/>
    <s v="No"/>
    <x v="0"/>
    <n v="2"/>
    <x v="1"/>
    <x v="0"/>
    <s v="Normal"/>
    <n v="1999"/>
    <s v="Jun"/>
    <n v="15"/>
    <n v="0"/>
    <d v="1999-06-15T00:00:00"/>
    <n v="7642.05"/>
    <s v="tier - 2"/>
    <s v="tier - 2"/>
    <s v="R1026"/>
    <n v="23"/>
  </r>
  <r>
    <s v="Id942"/>
    <s v="Rasch, Ms.  Silvana M."/>
    <n v="28.785"/>
    <n v="4.24"/>
    <s v="yes"/>
    <s v="No"/>
    <x v="0"/>
    <n v="2"/>
    <x v="1"/>
    <x v="1"/>
    <s v="Normal"/>
    <n v="1980"/>
    <s v="Oct"/>
    <n v="16"/>
    <n v="1"/>
    <d v="1980-10-16T00:00:00"/>
    <n v="7650.77"/>
    <s v="tier - 2"/>
    <s v="tier - 2"/>
    <s v="R1024"/>
    <n v="42"/>
  </r>
  <r>
    <s v="Id943"/>
    <s v="Plunkett, Ms.  Natty"/>
    <n v="28.594999999999999"/>
    <n v="4.96"/>
    <s v="yes"/>
    <s v="No"/>
    <x v="0"/>
    <n v="2"/>
    <x v="1"/>
    <x v="1"/>
    <s v="Normal"/>
    <n v="1993"/>
    <s v="Aug"/>
    <n v="10"/>
    <n v="0"/>
    <d v="1993-08-10T00:00:00"/>
    <n v="7650.8"/>
    <s v="tier - 2"/>
    <s v="tier - 2"/>
    <s v="R1012"/>
    <n v="29"/>
  </r>
  <r>
    <s v="Id944"/>
    <s v="Murphy, Mr.  Nicholas T"/>
    <n v="48.75"/>
    <n v="4.34"/>
    <s v="No"/>
    <s v="No"/>
    <x v="0"/>
    <n v="0"/>
    <x v="1"/>
    <x v="0"/>
    <s v="Normal"/>
    <n v="1998"/>
    <s v="Sep"/>
    <n v="30"/>
    <n v="0"/>
    <d v="1998-09-30T00:00:00"/>
    <n v="7652.26"/>
    <s v="tier - 2"/>
    <s v="tier - 3"/>
    <s v="R1023"/>
    <n v="24"/>
  </r>
  <r>
    <s v="Id945"/>
    <s v="Gusmer, Ms.  Rebecca"/>
    <n v="28.31"/>
    <n v="5.43"/>
    <s v="yes"/>
    <s v="No"/>
    <x v="0"/>
    <n v="2"/>
    <x v="1"/>
    <x v="1"/>
    <s v="Normal"/>
    <n v="1965"/>
    <s v="Dec"/>
    <n v="27"/>
    <n v="0"/>
    <d v="1965-12-27T00:00:00"/>
    <n v="7657.69"/>
    <s v="tier - 3"/>
    <s v="tier - 3"/>
    <s v="R1012"/>
    <n v="57"/>
  </r>
  <r>
    <s v="Id946"/>
    <s v="Loftus, Mr.  John"/>
    <n v="38.39"/>
    <n v="8.33"/>
    <s v="yes"/>
    <s v="No"/>
    <x v="0"/>
    <n v="1"/>
    <x v="1"/>
    <x v="0"/>
    <s v="Diabetes"/>
    <n v="1976"/>
    <s v="Oct"/>
    <n v="9"/>
    <n v="2"/>
    <d v="1976-10-09T00:00:00"/>
    <n v="7662.47"/>
    <s v="tier - 2"/>
    <s v="tier - 1"/>
    <s v="R1011"/>
    <n v="46"/>
  </r>
  <r>
    <s v="Id947"/>
    <s v="Scott, Mr.  Antony G"/>
    <n v="25.87"/>
    <n v="5.63"/>
    <s v="yes"/>
    <s v="No"/>
    <x v="0"/>
    <n v="1"/>
    <x v="1"/>
    <x v="1"/>
    <s v="Normal"/>
    <n v="1996"/>
    <s v="Nov"/>
    <n v="24"/>
    <n v="0"/>
    <d v="1996-11-24T00:00:00"/>
    <n v="7670.75"/>
    <s v="tier - 2"/>
    <s v="tier - 2"/>
    <s v="R1022"/>
    <n v="26"/>
  </r>
  <r>
    <s v="Id948"/>
    <s v="Alvarez, Mr.  Eric"/>
    <n v="43.7"/>
    <n v="7.23"/>
    <s v="No"/>
    <s v="No"/>
    <x v="0"/>
    <n v="0"/>
    <x v="1"/>
    <x v="0"/>
    <s v="Diabetes"/>
    <n v="1995"/>
    <s v="Sep"/>
    <n v="13"/>
    <n v="0"/>
    <d v="1995-09-13T00:00:00"/>
    <n v="7676.4"/>
    <s v="tier - 2"/>
    <s v="tier - 1"/>
    <s v="R1012"/>
    <n v="27"/>
  </r>
  <r>
    <s v="Id949"/>
    <s v="Petersson, Mr.  Erik"/>
    <n v="40.945"/>
    <n v="10.57"/>
    <s v="No"/>
    <s v="No"/>
    <x v="0"/>
    <n v="0"/>
    <x v="1"/>
    <x v="0"/>
    <s v="Diabetes"/>
    <n v="1971"/>
    <s v="Oct"/>
    <n v="11"/>
    <n v="0"/>
    <d v="1971-10-11T00:00:00"/>
    <n v="7680.92"/>
    <s v="tier - 2"/>
    <s v="tier - 1"/>
    <s v="R1013"/>
    <n v="51"/>
  </r>
  <r>
    <s v="Id950"/>
    <s v="Liaw, Mr.  Matthew T"/>
    <n v="27.94"/>
    <n v="7.92"/>
    <s v="No"/>
    <s v="No"/>
    <x v="0"/>
    <n v="0"/>
    <x v="1"/>
    <x v="1"/>
    <s v="Diabetes"/>
    <n v="1981"/>
    <s v="Dec"/>
    <n v="19"/>
    <n v="1"/>
    <d v="1981-12-19T00:00:00"/>
    <n v="7681.17"/>
    <s v="tier - 2"/>
    <s v="tier - 2"/>
    <s v="R1020"/>
    <n v="41"/>
  </r>
  <r>
    <s v="Id951"/>
    <s v="Tripaldi, Ms.  Cassandra"/>
    <n v="31.9"/>
    <n v="10.119999999999999"/>
    <s v="No"/>
    <s v="No"/>
    <x v="0"/>
    <n v="2"/>
    <x v="1"/>
    <x v="0"/>
    <s v="Diabetes"/>
    <n v="1982"/>
    <s v="Dec"/>
    <n v="18"/>
    <n v="3"/>
    <d v="1982-12-18T00:00:00"/>
    <n v="7682.67"/>
    <s v="tier - 2"/>
    <s v="tier - 1"/>
    <s v="R1013"/>
    <n v="40"/>
  </r>
  <r>
    <s v="Id952"/>
    <s v="Kelley, Ms.  Rosemary C"/>
    <n v="31.64"/>
    <n v="7.91"/>
    <s v="No"/>
    <s v="No"/>
    <x v="0"/>
    <n v="0"/>
    <x v="1"/>
    <x v="0"/>
    <s v="Diabetes"/>
    <n v="1987"/>
    <s v="Jul"/>
    <n v="12"/>
    <n v="3"/>
    <d v="1987-07-12T00:00:00"/>
    <n v="7684.62"/>
    <s v="tier - 2"/>
    <s v="tier - 3"/>
    <s v="R1021"/>
    <n v="35"/>
  </r>
  <r>
    <s v="Id953"/>
    <s v="Endara, Ms.  Carrie A."/>
    <n v="46.7"/>
    <n v="10.9"/>
    <s v="No"/>
    <s v="No"/>
    <x v="0"/>
    <n v="0"/>
    <x v="1"/>
    <x v="0"/>
    <s v="Diabetes"/>
    <n v="1978"/>
    <s v="Dec"/>
    <n v="29"/>
    <n v="2"/>
    <d v="1978-12-29T00:00:00"/>
    <n v="7726.85"/>
    <s v="tier - 1"/>
    <s v="tier - 2"/>
    <s v="R1011"/>
    <n v="44"/>
  </r>
  <r>
    <s v="Id954"/>
    <s v="Valle, Mr.  Gerardo Sr."/>
    <n v="18.335000000000001"/>
    <n v="11.83"/>
    <s v="No"/>
    <s v="No"/>
    <x v="0"/>
    <n v="0"/>
    <x v="1"/>
    <x v="3"/>
    <s v="Diabetes"/>
    <n v="1979"/>
    <s v="Jun"/>
    <n v="2"/>
    <n v="1"/>
    <d v="1979-06-02T00:00:00"/>
    <n v="7727.25"/>
    <s v="tier - 2"/>
    <s v="tier - 3"/>
    <s v="R1012"/>
    <n v="44"/>
  </r>
  <r>
    <s v="Id955"/>
    <s v="Germain, Mr.  Matthew R."/>
    <n v="31.24"/>
    <n v="7.42"/>
    <s v="yes"/>
    <s v="No"/>
    <x v="0"/>
    <n v="2"/>
    <x v="1"/>
    <x v="0"/>
    <s v="Diabetes"/>
    <n v="1980"/>
    <s v="Sep"/>
    <n v="10"/>
    <n v="2"/>
    <d v="1980-09-10T00:00:00"/>
    <n v="7729.65"/>
    <s v="tier - 3"/>
    <s v="tier - 1"/>
    <s v="R1016"/>
    <n v="42"/>
  </r>
  <r>
    <s v="Id956"/>
    <s v="Finecey, Mrs.  Meghan E"/>
    <n v="39.22"/>
    <n v="5.62"/>
    <s v="yes"/>
    <s v="No"/>
    <x v="0"/>
    <n v="1"/>
    <x v="1"/>
    <x v="0"/>
    <s v="Normal"/>
    <n v="1978"/>
    <s v="Dec"/>
    <n v="4"/>
    <n v="2"/>
    <d v="1978-12-04T00:00:00"/>
    <n v="7731.43"/>
    <s v="tier - 3"/>
    <s v="tier - 2"/>
    <s v="R1013"/>
    <n v="44"/>
  </r>
  <r>
    <s v="Id957"/>
    <s v="Mendoza, Mr.  Eric"/>
    <n v="24.414999999999999"/>
    <n v="7.16"/>
    <s v="No"/>
    <s v="No"/>
    <x v="0"/>
    <n v="0"/>
    <x v="1"/>
    <x v="2"/>
    <s v="Diabetes"/>
    <n v="1977"/>
    <s v="Aug"/>
    <n v="29"/>
    <n v="0"/>
    <d v="1977-08-29T00:00:00"/>
    <n v="7731.86"/>
    <s v="tier - 2"/>
    <s v="tier - 3"/>
    <s v="R1012"/>
    <n v="45"/>
  </r>
  <r>
    <s v="Id958"/>
    <s v="Roe, Ms.  Lisa B"/>
    <n v="32.299999999999997"/>
    <n v="9.89"/>
    <s v="No"/>
    <s v="No"/>
    <x v="0"/>
    <n v="0"/>
    <x v="1"/>
    <x v="0"/>
    <s v="Diabetes"/>
    <n v="1965"/>
    <s v="Jul"/>
    <n v="18"/>
    <n v="0"/>
    <d v="1965-07-18T00:00:00"/>
    <n v="7736.39"/>
    <s v="tier - 3"/>
    <s v="tier - 2"/>
    <s v="R1013"/>
    <n v="57"/>
  </r>
  <r>
    <s v="Id959"/>
    <s v="Webb, Mrs.  Jane R."/>
    <n v="39.94"/>
    <n v="5.14"/>
    <s v="No"/>
    <s v="No"/>
    <x v="0"/>
    <n v="0"/>
    <x v="1"/>
    <x v="0"/>
    <s v="Normal"/>
    <n v="1978"/>
    <s v="Sep"/>
    <n v="4"/>
    <n v="2"/>
    <d v="1978-09-04T00:00:00"/>
    <n v="7740.34"/>
    <s v="tier - 1"/>
    <s v="tier - 1"/>
    <s v="R1011"/>
    <n v="44"/>
  </r>
  <r>
    <s v="Id960"/>
    <s v="Stocker, Ms.  Allison M"/>
    <n v="30"/>
    <n v="5.61"/>
    <s v="yes"/>
    <s v="No"/>
    <x v="1"/>
    <n v="1"/>
    <x v="1"/>
    <x v="0"/>
    <s v="Normal"/>
    <n v="1976"/>
    <s v="Dec"/>
    <n v="12"/>
    <n v="1"/>
    <d v="1976-12-12T00:00:00"/>
    <n v="7742.11"/>
    <s v="tier - 3"/>
    <s v="tier - 2"/>
    <s v="R1013"/>
    <n v="46"/>
  </r>
  <r>
    <s v="Id961"/>
    <s v="Jacobson, Mrs.  Sarah E."/>
    <n v="35.340000000000003"/>
    <n v="5.51"/>
    <s v="yes"/>
    <s v="No"/>
    <x v="1"/>
    <n v="1"/>
    <x v="1"/>
    <x v="0"/>
    <s v="Normal"/>
    <n v="1981"/>
    <s v="Jun"/>
    <n v="30"/>
    <n v="2"/>
    <d v="1981-06-30T00:00:00"/>
    <n v="7749.16"/>
    <s v="tier - 2"/>
    <s v="tier - 1"/>
    <s v="R1012"/>
    <n v="41"/>
  </r>
  <r>
    <s v="Id962"/>
    <s v="Shaw, Mr.  Philip J"/>
    <n v="32.204999999999998"/>
    <n v="8.3800000000000008"/>
    <s v="yes"/>
    <s v="No"/>
    <x v="0"/>
    <n v="2"/>
    <x v="1"/>
    <x v="0"/>
    <s v="Diabetes"/>
    <n v="1997"/>
    <s v="Dec"/>
    <n v="21"/>
    <n v="0"/>
    <d v="1997-12-21T00:00:00"/>
    <n v="7763.06"/>
    <s v="tier - 2"/>
    <s v="tier - 1"/>
    <s v="R1012"/>
    <n v="25"/>
  </r>
  <r>
    <s v="Id963"/>
    <s v="Goodwin, Ms.  Jillian A."/>
    <n v="33.880000000000003"/>
    <n v="4.68"/>
    <s v="No"/>
    <s v="yes"/>
    <x v="0"/>
    <n v="1"/>
    <x v="1"/>
    <x v="0"/>
    <s v="Normal"/>
    <n v="1974"/>
    <s v="Dec"/>
    <n v="6"/>
    <n v="0"/>
    <d v="1974-12-06T00:00:00"/>
    <n v="7789.64"/>
    <s v="tier - 1"/>
    <s v="tier - 3"/>
    <s v="R1013"/>
    <n v="48"/>
  </r>
  <r>
    <s v="Id964"/>
    <s v="Brock, Mrs.  Laura D"/>
    <n v="26.63"/>
    <n v="4.3600000000000003"/>
    <s v="yes"/>
    <s v="No"/>
    <x v="0"/>
    <n v="2"/>
    <x v="1"/>
    <x v="1"/>
    <s v="Normal"/>
    <n v="1999"/>
    <s v="Dec"/>
    <n v="25"/>
    <n v="0"/>
    <d v="1999-12-25T00:00:00"/>
    <n v="7794.68"/>
    <s v="tier - 2"/>
    <s v="tier - 2"/>
    <s v="R1026"/>
    <n v="23"/>
  </r>
  <r>
    <s v="Id965"/>
    <s v="Papp, Ms.  Megan E."/>
    <n v="28.7"/>
    <n v="7.74"/>
    <s v="No"/>
    <s v="No"/>
    <x v="0"/>
    <n v="0"/>
    <x v="1"/>
    <x v="1"/>
    <s v="Diabetes"/>
    <n v="1997"/>
    <s v="Dec"/>
    <n v="2"/>
    <n v="0"/>
    <d v="1997-12-02T00:00:00"/>
    <n v="7803.77"/>
    <s v="tier - 2"/>
    <s v="tier - 3"/>
    <s v="R1012"/>
    <n v="25"/>
  </r>
  <r>
    <s v="Id966"/>
    <s v="Siragusa, Ms.  Shannon J."/>
    <n v="25.65"/>
    <n v="4.05"/>
    <s v="yes"/>
    <s v="No"/>
    <x v="0"/>
    <n v="2"/>
    <x v="1"/>
    <x v="1"/>
    <s v="Normal"/>
    <n v="1974"/>
    <s v="Nov"/>
    <n v="9"/>
    <n v="0"/>
    <d v="1974-11-09T00:00:00"/>
    <n v="7804.16"/>
    <s v="tier - 2"/>
    <s v="tier - 3"/>
    <s v="R1013"/>
    <n v="48"/>
  </r>
  <r>
    <s v="Id967"/>
    <s v="Pizarro, Ms.  Rachelle M"/>
    <n v="36.384999999999998"/>
    <n v="11.49"/>
    <s v="No"/>
    <s v="No"/>
    <x v="0"/>
    <n v="0"/>
    <x v="1"/>
    <x v="0"/>
    <s v="Diabetes"/>
    <n v="1991"/>
    <s v="Dec"/>
    <n v="21"/>
    <n v="3"/>
    <d v="1991-12-21T00:00:00"/>
    <n v="7812.67"/>
    <s v="tier - 2"/>
    <s v="tier - 1"/>
    <s v="R1012"/>
    <n v="31"/>
  </r>
  <r>
    <s v="Id968"/>
    <s v="Strange, Mr.  Casey"/>
    <n v="34.69"/>
    <n v="5.65"/>
    <s v="No"/>
    <s v="No"/>
    <x v="0"/>
    <n v="0"/>
    <x v="1"/>
    <x v="0"/>
    <s v="Normal"/>
    <n v="1989"/>
    <s v="Oct"/>
    <n v="12"/>
    <n v="3"/>
    <d v="1989-10-12T00:00:00"/>
    <n v="7824.37"/>
    <s v="tier - 2"/>
    <s v="tier - 2"/>
    <s v="R1012"/>
    <n v="33"/>
  </r>
  <r>
    <s v="Id969"/>
    <s v="Eidinger, Ms.  Jessica L"/>
    <n v="37.68"/>
    <n v="4.29"/>
    <s v="yes"/>
    <s v="No"/>
    <x v="0"/>
    <n v="0"/>
    <x v="1"/>
    <x v="0"/>
    <s v="Normal"/>
    <n v="2001"/>
    <s v="Oct"/>
    <n v="5"/>
    <n v="0"/>
    <d v="2001-10-05T00:00:00"/>
    <n v="7844.8"/>
    <s v="tier - 2"/>
    <s v="tier - 2"/>
    <s v="R1012"/>
    <n v="21"/>
  </r>
  <r>
    <s v="Id970"/>
    <s v="Ginsburg, Mr.  Brandon F"/>
    <n v="35.49"/>
    <n v="4.74"/>
    <s v="yes"/>
    <s v="No"/>
    <x v="1"/>
    <n v="1"/>
    <x v="1"/>
    <x v="0"/>
    <s v="Normal"/>
    <n v="1994"/>
    <s v="Nov"/>
    <n v="17"/>
    <n v="0"/>
    <d v="1994-11-17T00:00:00"/>
    <n v="7851.85"/>
    <s v="tier - 2"/>
    <s v="tier - 3"/>
    <s v="R1012"/>
    <n v="28"/>
  </r>
  <r>
    <s v="Id971"/>
    <s v="Truex, Ms.  Melissa"/>
    <n v="44.7"/>
    <n v="7.6"/>
    <s v="yes"/>
    <s v="No"/>
    <x v="0"/>
    <n v="2"/>
    <x v="1"/>
    <x v="0"/>
    <s v="Diabetes"/>
    <n v="1962"/>
    <s v="Oct"/>
    <n v="10"/>
    <n v="0"/>
    <d v="1962-10-10T00:00:00"/>
    <n v="7896.41"/>
    <s v="tier - 3"/>
    <s v="tier - 2"/>
    <s v="R1013"/>
    <n v="60"/>
  </r>
  <r>
    <s v="Id972"/>
    <s v="Higgins, Ms.  Danielle N"/>
    <n v="38.380000000000003"/>
    <n v="8.5"/>
    <s v="yes"/>
    <s v="No"/>
    <x v="0"/>
    <n v="2"/>
    <x v="1"/>
    <x v="0"/>
    <s v="Diabetes"/>
    <n v="1977"/>
    <s v="Jul"/>
    <n v="20"/>
    <n v="0"/>
    <d v="1977-07-20T00:00:00"/>
    <n v="7935.29"/>
    <s v="tier - 2"/>
    <s v="tier - 1"/>
    <s v="R1024"/>
    <n v="45"/>
  </r>
  <r>
    <s v="Id973"/>
    <s v="McCurdy, Mr.  Matthew"/>
    <n v="35.244999999999997"/>
    <n v="11.22"/>
    <s v="yes"/>
    <s v="No"/>
    <x v="0"/>
    <n v="0"/>
    <x v="1"/>
    <x v="0"/>
    <s v="Diabetes"/>
    <n v="1987"/>
    <s v="Oct"/>
    <n v="29"/>
    <n v="3"/>
    <d v="1987-10-29T00:00:00"/>
    <n v="7948.22"/>
    <s v="tier - 2"/>
    <s v="tier - 3"/>
    <s v="R1025"/>
    <n v="35"/>
  </r>
  <r>
    <s v="Id974"/>
    <s v="Hughes, Mrs.  Bettina"/>
    <n v="49.84"/>
    <n v="5.0999999999999996"/>
    <s v="yes"/>
    <s v="No"/>
    <x v="1"/>
    <n v="1"/>
    <x v="1"/>
    <x v="0"/>
    <s v="Normal"/>
    <n v="1966"/>
    <s v="Jul"/>
    <n v="9"/>
    <n v="0"/>
    <d v="1966-07-09T00:00:00"/>
    <n v="7953.72"/>
    <s v="tier - 3"/>
    <s v="tier - 3"/>
    <s v="R1012"/>
    <n v="56"/>
  </r>
  <r>
    <s v="Id975"/>
    <s v="Varner, Mr.  Alexander"/>
    <n v="49.06"/>
    <n v="5.43"/>
    <s v="yes"/>
    <s v="No"/>
    <x v="0"/>
    <n v="1"/>
    <x v="1"/>
    <x v="0"/>
    <s v="Normal"/>
    <n v="1981"/>
    <s v="Dec"/>
    <n v="28"/>
    <n v="3"/>
    <d v="1981-12-28T00:00:00"/>
    <n v="7954.52"/>
    <s v="tier - 2"/>
    <s v="tier - 2"/>
    <s v="R1011"/>
    <n v="41"/>
  </r>
  <r>
    <s v="Id976"/>
    <s v="Dahmen, Mrs.  Holli"/>
    <n v="30.88"/>
    <n v="5.82"/>
    <s v="No"/>
    <s v="No"/>
    <x v="0"/>
    <n v="2"/>
    <x v="1"/>
    <x v="0"/>
    <s v="Prediabetes"/>
    <n v="1970"/>
    <s v="Jun"/>
    <n v="19"/>
    <n v="0"/>
    <d v="1970-06-19T00:00:00"/>
    <n v="7958.13"/>
    <s v="tier - 2"/>
    <s v="tier - 2"/>
    <s v="R1013"/>
    <n v="52"/>
  </r>
  <r>
    <s v="Id977"/>
    <s v="Young, Mrs.  Heather C"/>
    <n v="33.35"/>
    <n v="6.05"/>
    <s v="No"/>
    <s v="No"/>
    <x v="1"/>
    <n v="1"/>
    <x v="1"/>
    <x v="0"/>
    <s v="Prediabetes"/>
    <n v="1975"/>
    <s v="Aug"/>
    <n v="10"/>
    <n v="1"/>
    <d v="1975-08-10T00:00:00"/>
    <n v="7966.81"/>
    <s v="tier - 2"/>
    <s v="tier - 2"/>
    <s v="R1013"/>
    <n v="47"/>
  </r>
  <r>
    <s v="Id978"/>
    <s v="Fraser, Mr.  Kyle"/>
    <n v="38"/>
    <n v="6.38"/>
    <s v="yes"/>
    <s v="No"/>
    <x v="0"/>
    <n v="1"/>
    <x v="1"/>
    <x v="0"/>
    <s v="Prediabetes"/>
    <n v="1972"/>
    <s v="Nov"/>
    <n v="23"/>
    <n v="0"/>
    <d v="1972-11-23T00:00:00"/>
    <n v="7980.34"/>
    <s v="tier - 2"/>
    <s v="tier - 2"/>
    <s v="R1013"/>
    <n v="50"/>
  </r>
  <r>
    <s v="Id979"/>
    <s v="Deeg, Mr.  Thomas J"/>
    <n v="36.08"/>
    <n v="5.73"/>
    <s v="yes"/>
    <s v="No"/>
    <x v="0"/>
    <n v="1"/>
    <x v="1"/>
    <x v="0"/>
    <s v="Prediabetes"/>
    <n v="1983"/>
    <s v="Aug"/>
    <n v="28"/>
    <n v="3"/>
    <d v="1983-08-28T00:00:00"/>
    <n v="7985.82"/>
    <s v="tier - 2"/>
    <s v="tier - 1"/>
    <s v="R1024"/>
    <n v="39"/>
  </r>
  <r>
    <s v="Id980"/>
    <s v="Robertson, Mr.  Chris"/>
    <n v="35.700000000000003"/>
    <n v="5.47"/>
    <s v="yes"/>
    <s v="No"/>
    <x v="0"/>
    <n v="1"/>
    <x v="1"/>
    <x v="0"/>
    <s v="Normal"/>
    <n v="1983"/>
    <s v="Aug"/>
    <n v="20"/>
    <n v="3"/>
    <d v="1983-08-20T00:00:00"/>
    <n v="7986.48"/>
    <s v="tier - 2"/>
    <s v="tier - 3"/>
    <s v="R1024"/>
    <n v="39"/>
  </r>
  <r>
    <s v="Id981"/>
    <s v="Peck, Mr.  Graham"/>
    <n v="34.01"/>
    <n v="11.3"/>
    <s v="No"/>
    <s v="No"/>
    <x v="0"/>
    <n v="0"/>
    <x v="1"/>
    <x v="0"/>
    <s v="Diabetes"/>
    <n v="1962"/>
    <s v="Aug"/>
    <n v="22"/>
    <n v="0"/>
    <d v="1962-08-22T00:00:00"/>
    <n v="8004.96"/>
    <s v="tier - 3"/>
    <s v="tier - 1"/>
    <s v="R1013"/>
    <n v="60"/>
  </r>
  <r>
    <s v="Id982"/>
    <s v="Burger, Mr.  Garrett"/>
    <n v="31.54"/>
    <n v="6.72"/>
    <s v="No"/>
    <s v="No"/>
    <x v="0"/>
    <n v="0"/>
    <x v="1"/>
    <x v="0"/>
    <s v="Diabetes"/>
    <n v="1995"/>
    <s v="Sep"/>
    <n v="18"/>
    <n v="0"/>
    <d v="1995-09-18T00:00:00"/>
    <n v="8014.62"/>
    <s v="tier - 2"/>
    <s v="tier - 3"/>
    <s v="R1012"/>
    <n v="27"/>
  </r>
  <r>
    <s v="Id983"/>
    <s v="Blain, Mr.  Andrew"/>
    <n v="23.3"/>
    <n v="5.36"/>
    <s v="yes"/>
    <s v="No"/>
    <x v="0"/>
    <n v="1"/>
    <x v="1"/>
    <x v="2"/>
    <s v="Normal"/>
    <n v="1980"/>
    <s v="Nov"/>
    <n v="8"/>
    <n v="2"/>
    <d v="1980-11-08T00:00:00"/>
    <n v="8017.06"/>
    <s v="tier - 2"/>
    <s v="tier - 2"/>
    <s v="R1012"/>
    <n v="42"/>
  </r>
  <r>
    <s v="Id984"/>
    <s v="Winters, Mrs.  Annabelle M"/>
    <n v="27.75"/>
    <n v="9.8800000000000008"/>
    <s v="No"/>
    <s v="No"/>
    <x v="0"/>
    <n v="0"/>
    <x v="1"/>
    <x v="1"/>
    <s v="Diabetes"/>
    <n v="1989"/>
    <s v="Nov"/>
    <n v="3"/>
    <n v="3"/>
    <d v="1989-11-03T00:00:00"/>
    <n v="8021.11"/>
    <s v="tier - 2"/>
    <s v="tier - 1"/>
    <s v="R1012"/>
    <n v="33"/>
  </r>
  <r>
    <s v="Id985"/>
    <s v="McCue, Mr.  Daniel T."/>
    <n v="42.46"/>
    <n v="4.1100000000000003"/>
    <s v="No"/>
    <s v="No"/>
    <x v="0"/>
    <n v="0"/>
    <x v="1"/>
    <x v="0"/>
    <s v="Normal"/>
    <n v="1978"/>
    <s v="Jul"/>
    <n v="17"/>
    <n v="1"/>
    <d v="1978-07-17T00:00:00"/>
    <n v="8023.14"/>
    <s v="tier - 2"/>
    <s v="tier - 3"/>
    <s v="R1012"/>
    <n v="44"/>
  </r>
  <r>
    <s v="Id986"/>
    <s v="Webster, Ms.  Deanne"/>
    <n v="54.47"/>
    <n v="7.48"/>
    <s v="No"/>
    <s v="No"/>
    <x v="0"/>
    <n v="0"/>
    <x v="1"/>
    <x v="0"/>
    <s v="Diabetes"/>
    <n v="1976"/>
    <s v="Dec"/>
    <n v="20"/>
    <n v="0"/>
    <d v="1976-12-20T00:00:00"/>
    <n v="8026.67"/>
    <s v="tier - 2"/>
    <s v="tier - 2"/>
    <s v="R1012"/>
    <n v="46"/>
  </r>
  <r>
    <s v="Id987"/>
    <s v="Anderson, Ms.  Carrie"/>
    <n v="24.93"/>
    <n v="9.18"/>
    <s v="yes"/>
    <s v="No"/>
    <x v="1"/>
    <n v="1"/>
    <x v="1"/>
    <x v="1"/>
    <s v="Diabetes"/>
    <n v="1977"/>
    <s v="Nov"/>
    <n v="6"/>
    <n v="2"/>
    <d v="1977-11-06T00:00:00"/>
    <n v="8027.97"/>
    <s v="tier - 3"/>
    <s v="tier - 2"/>
    <s v="R1011"/>
    <n v="45"/>
  </r>
  <r>
    <s v="Id988"/>
    <s v="Chiappone, Mrs.  Suzanne"/>
    <n v="48.12"/>
    <n v="4.51"/>
    <s v="yes"/>
    <s v="No"/>
    <x v="0"/>
    <n v="1"/>
    <x v="1"/>
    <x v="0"/>
    <s v="Normal"/>
    <n v="2003"/>
    <s v="Dec"/>
    <n v="12"/>
    <n v="0"/>
    <d v="2003-12-12T00:00:00"/>
    <n v="8035.64"/>
    <s v="tier - 2"/>
    <s v="tier - 2"/>
    <s v="R1012"/>
    <n v="19"/>
  </r>
  <r>
    <s v="Id989"/>
    <s v="Opie, Ms.  Jasmine P."/>
    <n v="24.91"/>
    <n v="7.33"/>
    <s v="yes"/>
    <s v="No"/>
    <x v="1"/>
    <n v="1"/>
    <x v="1"/>
    <x v="1"/>
    <s v="Diabetes"/>
    <n v="1985"/>
    <s v="Nov"/>
    <n v="28"/>
    <n v="3"/>
    <d v="1985-11-28T00:00:00"/>
    <n v="8059.06"/>
    <s v="tier - 2"/>
    <s v="tier - 3"/>
    <s v="R1012"/>
    <n v="37"/>
  </r>
  <r>
    <s v="Id990"/>
    <s v="Donnelly, Ms.  Jennifer"/>
    <n v="27.645"/>
    <n v="10.56"/>
    <s v="No"/>
    <s v="No"/>
    <x v="0"/>
    <n v="0"/>
    <x v="1"/>
    <x v="1"/>
    <s v="Diabetes"/>
    <n v="1982"/>
    <s v="Dec"/>
    <n v="27"/>
    <n v="3"/>
    <d v="1982-12-27T00:00:00"/>
    <n v="8059.68"/>
    <s v="tier - 2"/>
    <s v="tier - 3"/>
    <s v="R1012"/>
    <n v="40"/>
  </r>
  <r>
    <s v="Id991"/>
    <s v="Rall, Ms.  Tracie"/>
    <n v="33.700000000000003"/>
    <n v="4.01"/>
    <s v="No"/>
    <s v="No"/>
    <x v="0"/>
    <n v="2"/>
    <x v="1"/>
    <x v="0"/>
    <s v="Normal"/>
    <n v="1970"/>
    <s v="Dec"/>
    <n v="12"/>
    <n v="0"/>
    <d v="1970-12-12T00:00:00"/>
    <n v="8062.31"/>
    <s v="tier - 2"/>
    <s v="tier - 1"/>
    <s v="R1013"/>
    <n v="52"/>
  </r>
  <r>
    <s v="Id992"/>
    <s v="Mitchell, Mr.  Tristan D."/>
    <n v="38.93"/>
    <n v="5.64"/>
    <s v="yes"/>
    <s v="No"/>
    <x v="0"/>
    <n v="1"/>
    <x v="1"/>
    <x v="0"/>
    <s v="Normal"/>
    <n v="1975"/>
    <s v="Jun"/>
    <n v="28"/>
    <n v="1"/>
    <d v="1975-06-28T00:00:00"/>
    <n v="8062.76"/>
    <s v="tier - 3"/>
    <s v="tier - 3"/>
    <s v="R1011"/>
    <n v="47"/>
  </r>
  <r>
    <s v="Id993"/>
    <s v="Chen, Mr.  Peiweng"/>
    <n v="32.774999999999999"/>
    <n v="8.02"/>
    <s v="yes"/>
    <s v="No"/>
    <x v="0"/>
    <n v="2"/>
    <x v="1"/>
    <x v="0"/>
    <s v="Diabetes"/>
    <n v="1965"/>
    <s v="Aug"/>
    <n v="11"/>
    <n v="0"/>
    <d v="1965-08-11T00:00:00"/>
    <n v="8067.83"/>
    <s v="tier - 3"/>
    <s v="tier - 1"/>
    <s v="R1013"/>
    <n v="57"/>
  </r>
  <r>
    <s v="Id994"/>
    <s v="Tufaro, Ms.  Theresa M."/>
    <n v="29.83"/>
    <n v="7.2"/>
    <s v="yes"/>
    <s v="No"/>
    <x v="0"/>
    <n v="0"/>
    <x v="1"/>
    <x v="1"/>
    <s v="Diabetes"/>
    <n v="1975"/>
    <s v="Dec"/>
    <n v="15"/>
    <n v="1"/>
    <d v="1975-12-15T00:00:00"/>
    <n v="8068.19"/>
    <s v="tier - 3"/>
    <s v="tier - 2"/>
    <s v="R1011"/>
    <n v="47"/>
  </r>
  <r>
    <s v="Id995"/>
    <s v="Peters, Mr.  Daniel J"/>
    <n v="28.31"/>
    <n v="4.55"/>
    <s v="No"/>
    <s v="yes"/>
    <x v="0"/>
    <n v="1"/>
    <x v="1"/>
    <x v="1"/>
    <s v="Normal"/>
    <n v="1965"/>
    <s v="Oct"/>
    <n v="21"/>
    <n v="0"/>
    <d v="1965-10-21T00:00:00"/>
    <n v="8071.57"/>
    <s v="tier - 3"/>
    <s v="tier - 1"/>
    <s v="R1011"/>
    <n v="57"/>
  </r>
  <r>
    <s v="Id996"/>
    <s v="Susedik, Mrs.  Courtney M."/>
    <n v="29.79"/>
    <n v="9.0299999999999994"/>
    <s v="No"/>
    <s v="No"/>
    <x v="0"/>
    <n v="0"/>
    <x v="1"/>
    <x v="1"/>
    <s v="Diabetes"/>
    <n v="1993"/>
    <s v="Nov"/>
    <n v="7"/>
    <n v="0"/>
    <d v="1993-11-07T00:00:00"/>
    <n v="8077.41"/>
    <s v="tier - 2"/>
    <s v="tier - 1"/>
    <s v="R1026"/>
    <n v="29"/>
  </r>
  <r>
    <s v="Id997"/>
    <s v="Garcia, Mr.  Jose A."/>
    <n v="36.6"/>
    <n v="5.2"/>
    <s v="yes"/>
    <s v="No"/>
    <x v="1"/>
    <n v="1"/>
    <x v="1"/>
    <x v="0"/>
    <s v="Normal"/>
    <n v="2001"/>
    <s v="Aug"/>
    <n v="28"/>
    <n v="0"/>
    <d v="2001-08-28T00:00:00"/>
    <n v="8081.26"/>
    <s v="tier - 2"/>
    <s v="tier - 2"/>
    <s v="R1012"/>
    <n v="21"/>
  </r>
  <r>
    <s v="Id998"/>
    <s v="Deady, Mrs.  Lauren"/>
    <n v="35.93"/>
    <n v="8.3000000000000007"/>
    <s v="yes"/>
    <s v="No"/>
    <x v="0"/>
    <n v="0"/>
    <x v="1"/>
    <x v="0"/>
    <s v="Diabetes"/>
    <n v="1994"/>
    <s v="Oct"/>
    <n v="12"/>
    <n v="0"/>
    <d v="1994-10-12T00:00:00"/>
    <n v="8081.74"/>
    <s v="tier - 2"/>
    <s v="tier - 2"/>
    <s v="R1026"/>
    <n v="28"/>
  </r>
  <r>
    <s v="Id999"/>
    <s v="Campbell, Mr.  Jonathon M."/>
    <n v="28.6"/>
    <n v="5.56"/>
    <s v="yes"/>
    <s v="No"/>
    <x v="1"/>
    <n v="1"/>
    <x v="1"/>
    <x v="1"/>
    <s v="Normal"/>
    <n v="1975"/>
    <s v="Dec"/>
    <n v="21"/>
    <n v="1"/>
    <d v="1975-12-21T00:00:00"/>
    <n v="8083.92"/>
    <s v="tier - 3"/>
    <s v="tier - 3"/>
    <s v="R1013"/>
    <n v="47"/>
  </r>
  <r>
    <s v="Id1000"/>
    <s v="Schaefer, Mrs.  Stephanie A"/>
    <n v="39.17"/>
    <n v="4.1500000000000004"/>
    <s v="No"/>
    <s v="No"/>
    <x v="0"/>
    <n v="0"/>
    <x v="1"/>
    <x v="0"/>
    <s v="Normal"/>
    <n v="1967"/>
    <s v="Jun"/>
    <n v="10"/>
    <n v="0"/>
    <d v="1967-06-10T00:00:00"/>
    <n v="8091.3"/>
    <s v="tier - 3"/>
    <s v="tier - 1"/>
    <s v="R1012"/>
    <n v="55"/>
  </r>
  <r>
    <s v="Id1001"/>
    <s v="D'Alessandro, Mr.  Patrick"/>
    <n v="26.41"/>
    <n v="5.99"/>
    <s v="yes"/>
    <s v="No"/>
    <x v="1"/>
    <n v="1"/>
    <x v="1"/>
    <x v="1"/>
    <s v="Prediabetes"/>
    <n v="1973"/>
    <s v="Oct"/>
    <n v="11"/>
    <n v="0"/>
    <d v="1973-10-11T00:00:00"/>
    <n v="8112.59"/>
    <s v="tier - 2"/>
    <s v="tier - 2"/>
    <s v="R1013"/>
    <n v="49"/>
  </r>
  <r>
    <s v="Id1002"/>
    <s v="Wyss, Mrs.  Krista"/>
    <n v="30.63"/>
    <n v="5.8"/>
    <s v="yes"/>
    <s v="No"/>
    <x v="0"/>
    <n v="0"/>
    <x v="1"/>
    <x v="0"/>
    <s v="Prediabetes"/>
    <n v="1978"/>
    <s v="Sep"/>
    <n v="1"/>
    <n v="2"/>
    <d v="1978-09-01T00:00:00"/>
    <n v="8116.27"/>
    <s v="tier - 3"/>
    <s v="tier - 1"/>
    <s v="R1012"/>
    <n v="44"/>
  </r>
  <r>
    <s v="Id1003"/>
    <s v="Rose, Ms.  Jenessa"/>
    <n v="31.73"/>
    <n v="7.32"/>
    <s v="yes"/>
    <s v="No"/>
    <x v="0"/>
    <n v="2"/>
    <x v="1"/>
    <x v="0"/>
    <s v="Diabetes"/>
    <n v="1973"/>
    <s v="Dec"/>
    <n v="16"/>
    <n v="0"/>
    <d v="1973-12-16T00:00:00"/>
    <n v="8116.68"/>
    <s v="tier - 3"/>
    <s v="tier - 1"/>
    <s v="R1011"/>
    <n v="49"/>
  </r>
  <r>
    <s v="Id1004"/>
    <s v="Hopper, Mr.  Ryan M."/>
    <n v="30.7"/>
    <n v="5.16"/>
    <s v="No"/>
    <s v="No"/>
    <x v="0"/>
    <n v="2"/>
    <x v="1"/>
    <x v="0"/>
    <s v="Normal"/>
    <n v="1973"/>
    <s v="Aug"/>
    <n v="30"/>
    <n v="0"/>
    <d v="1973-08-30T00:00:00"/>
    <n v="8124.41"/>
    <s v="tier - 3"/>
    <s v="tier - 1"/>
    <s v="R1013"/>
    <n v="49"/>
  </r>
  <r>
    <s v="Id1005"/>
    <s v="Finneran, Mr.  Thomas"/>
    <n v="25.934999999999999"/>
    <n v="5.96"/>
    <s v="yes"/>
    <s v="No"/>
    <x v="0"/>
    <n v="2"/>
    <x v="1"/>
    <x v="1"/>
    <s v="Prediabetes"/>
    <n v="1973"/>
    <s v="Sep"/>
    <n v="3"/>
    <n v="0"/>
    <d v="1973-09-03T00:00:00"/>
    <n v="8125.78"/>
    <s v="tier - 2"/>
    <s v="tier - 2"/>
    <s v="R1013"/>
    <n v="49"/>
  </r>
  <r>
    <s v="Id1006"/>
    <s v="Basham, Ms.  Amanda N."/>
    <n v="35.9"/>
    <n v="4.8499999999999996"/>
    <s v="yes"/>
    <s v="No"/>
    <x v="1"/>
    <n v="1"/>
    <x v="1"/>
    <x v="0"/>
    <s v="Normal"/>
    <n v="1990"/>
    <s v="Jun"/>
    <n v="21"/>
    <n v="3"/>
    <d v="1990-06-21T00:00:00"/>
    <n v="8157.92"/>
    <s v="tier - 2"/>
    <s v="tier - 3"/>
    <s v="R1025"/>
    <n v="32"/>
  </r>
  <r>
    <s v="Id1007"/>
    <s v="Inman, Ms.  Teresa P."/>
    <n v="26.7"/>
    <n v="5.09"/>
    <s v="yes"/>
    <s v="No"/>
    <x v="1"/>
    <n v="1"/>
    <x v="1"/>
    <x v="1"/>
    <s v="Normal"/>
    <n v="1982"/>
    <s v="Jun"/>
    <n v="28"/>
    <n v="4"/>
    <d v="1982-06-28T00:00:00"/>
    <n v="8162.72"/>
    <s v="tier - 3"/>
    <s v="tier - 3"/>
    <s v="R1012"/>
    <n v="40"/>
  </r>
  <r>
    <s v="Id1008"/>
    <s v="Oscal, Mr.  Dorian"/>
    <n v="33.71"/>
    <n v="4.9400000000000004"/>
    <s v="No"/>
    <s v="No"/>
    <x v="0"/>
    <n v="0"/>
    <x v="1"/>
    <x v="0"/>
    <s v="Normal"/>
    <n v="1963"/>
    <s v="Nov"/>
    <n v="5"/>
    <n v="0"/>
    <d v="1963-11-05T00:00:00"/>
    <n v="8177.9"/>
    <s v="tier - 3"/>
    <s v="tier - 1"/>
    <s v="R1013"/>
    <n v="59"/>
  </r>
  <r>
    <s v="Id1009"/>
    <s v="Craft, Ms.  Amy"/>
    <n v="41.91"/>
    <n v="4.92"/>
    <s v="yes"/>
    <s v="No"/>
    <x v="0"/>
    <n v="2"/>
    <x v="1"/>
    <x v="0"/>
    <s v="Normal"/>
    <n v="1983"/>
    <s v="Jun"/>
    <n v="8"/>
    <n v="3"/>
    <d v="1983-06-08T00:00:00"/>
    <n v="8179.51"/>
    <s v="tier - 2"/>
    <s v="tier - 2"/>
    <s v="R1020"/>
    <n v="40"/>
  </r>
  <r>
    <s v="Id1010"/>
    <s v="Kebede, Ms.  Aberu"/>
    <n v="39.82"/>
    <n v="6.05"/>
    <s v="yes"/>
    <s v="No"/>
    <x v="0"/>
    <n v="2"/>
    <x v="1"/>
    <x v="0"/>
    <s v="Prediabetes"/>
    <n v="1997"/>
    <s v="Oct"/>
    <n v="21"/>
    <n v="0"/>
    <d v="1997-10-21T00:00:00"/>
    <n v="8182.89"/>
    <s v="tier - 2"/>
    <s v="tier - 1"/>
    <s v="R1026"/>
    <n v="25"/>
  </r>
  <r>
    <s v="Id1011"/>
    <s v="Strobel, Ms.  Ashley"/>
    <n v="28.12"/>
    <n v="4.67"/>
    <s v="No"/>
    <s v="No"/>
    <x v="0"/>
    <n v="2"/>
    <x v="1"/>
    <x v="1"/>
    <s v="Normal"/>
    <n v="1962"/>
    <s v="Nov"/>
    <n v="23"/>
    <n v="0"/>
    <d v="1962-11-23T00:00:00"/>
    <n v="8188.12"/>
    <s v="tier - 3"/>
    <s v="tier - 3"/>
    <s v="R1013"/>
    <n v="60"/>
  </r>
  <r>
    <s v="Id1012"/>
    <s v="Dalton, Ms.  Anna E"/>
    <n v="26.98"/>
    <n v="9.81"/>
    <s v="yes"/>
    <s v="No"/>
    <x v="0"/>
    <n v="0"/>
    <x v="1"/>
    <x v="1"/>
    <s v="Diabetes"/>
    <n v="1978"/>
    <s v="Oct"/>
    <n v="24"/>
    <n v="2"/>
    <d v="1978-10-24T00:00:00"/>
    <n v="8211.1"/>
    <s v="tier - 2"/>
    <s v="tier - 3"/>
    <s v="R1013"/>
    <n v="44"/>
  </r>
  <r>
    <s v="Id1013"/>
    <s v="Morimoto, Ms.  Tania K."/>
    <n v="27.2"/>
    <n v="6.06"/>
    <s v="yes"/>
    <s v="No"/>
    <x v="0"/>
    <n v="2"/>
    <x v="1"/>
    <x v="1"/>
    <s v="Prediabetes"/>
    <n v="1978"/>
    <s v="Jun"/>
    <n v="30"/>
    <n v="2"/>
    <d v="1978-06-30T00:00:00"/>
    <n v="8219.2000000000007"/>
    <s v="tier - 2"/>
    <s v="tier - 2"/>
    <s v="R1013"/>
    <n v="44"/>
  </r>
  <r>
    <s v="Id1014"/>
    <s v="Manlove, Ms.  Ashley E"/>
    <n v="25.3"/>
    <n v="5.19"/>
    <s v="yes"/>
    <s v="No"/>
    <x v="0"/>
    <n v="2"/>
    <x v="1"/>
    <x v="1"/>
    <s v="Normal"/>
    <n v="1976"/>
    <s v="Sep"/>
    <n v="3"/>
    <n v="1"/>
    <d v="1976-09-03T00:00:00"/>
    <n v="8232.64"/>
    <s v="tier - 2"/>
    <s v="tier - 3"/>
    <s v="R1013"/>
    <n v="46"/>
  </r>
  <r>
    <s v="Id1015"/>
    <s v="Madzik, Ms.  Aleksandra"/>
    <n v="30.25"/>
    <n v="10.16"/>
    <s v="No"/>
    <s v="No"/>
    <x v="0"/>
    <n v="0"/>
    <x v="1"/>
    <x v="0"/>
    <s v="Diabetes"/>
    <n v="1976"/>
    <s v="Jun"/>
    <n v="30"/>
    <n v="1"/>
    <d v="1976-06-30T00:00:00"/>
    <n v="8233.1"/>
    <s v="tier - 2"/>
    <s v="tier - 2"/>
    <s v="R1013"/>
    <n v="46"/>
  </r>
  <r>
    <s v="Id1016"/>
    <s v="Hobson, Ms.  Valery L"/>
    <n v="54"/>
    <n v="4.68"/>
    <s v="yes"/>
    <s v="yes"/>
    <x v="0"/>
    <n v="2"/>
    <x v="1"/>
    <x v="0"/>
    <s v="Normal"/>
    <n v="1976"/>
    <s v="Sep"/>
    <n v="2"/>
    <n v="1"/>
    <d v="1976-09-02T00:00:00"/>
    <n v="8240.59"/>
    <s v="tier - 2"/>
    <s v="tier - 2"/>
    <s v="R1013"/>
    <n v="46"/>
  </r>
  <r>
    <s v="Id1017"/>
    <s v="Reyes, Mrs.  Joanna G."/>
    <n v="51.86"/>
    <n v="5.32"/>
    <s v="yes"/>
    <s v="No"/>
    <x v="0"/>
    <n v="0"/>
    <x v="1"/>
    <x v="0"/>
    <s v="Normal"/>
    <n v="1982"/>
    <s v="Sep"/>
    <n v="27"/>
    <n v="3"/>
    <d v="1982-09-27T00:00:00"/>
    <n v="8252.2800000000007"/>
    <s v="tier - 2"/>
    <s v="tier - 2"/>
    <s v="R1024"/>
    <n v="40"/>
  </r>
  <r>
    <s v="Id1018"/>
    <s v="Tierney, Mrs.  Stefanie F."/>
    <n v="31.39"/>
    <n v="6.99"/>
    <s v="No"/>
    <s v="No"/>
    <x v="0"/>
    <n v="0"/>
    <x v="1"/>
    <x v="0"/>
    <s v="Diabetes"/>
    <n v="1964"/>
    <s v="Sep"/>
    <n v="5"/>
    <n v="0"/>
    <d v="1964-09-05T00:00:00"/>
    <n v="8268"/>
    <s v="tier - 3"/>
    <s v="tier - 3"/>
    <s v="R1013"/>
    <n v="58"/>
  </r>
  <r>
    <s v="Id1019"/>
    <s v="Gabris, Mr.  Stephen"/>
    <n v="39.97"/>
    <n v="5.55"/>
    <s v="No"/>
    <s v="No"/>
    <x v="0"/>
    <n v="0"/>
    <x v="1"/>
    <x v="0"/>
    <s v="Normal"/>
    <n v="1974"/>
    <s v="Aug"/>
    <n v="5"/>
    <n v="0"/>
    <d v="1974-08-05T00:00:00"/>
    <n v="8269.0400000000009"/>
    <s v="tier - 2"/>
    <s v="tier - 1"/>
    <s v="R1011"/>
    <n v="48"/>
  </r>
  <r>
    <s v="Id1020"/>
    <s v="Howard, Ms.  Liza J."/>
    <n v="41.23"/>
    <n v="6.94"/>
    <s v="No"/>
    <s v="No"/>
    <x v="0"/>
    <n v="0"/>
    <x v="1"/>
    <x v="0"/>
    <s v="Diabetes"/>
    <n v="2000"/>
    <s v="Nov"/>
    <n v="28"/>
    <n v="0"/>
    <d v="2000-11-28T00:00:00"/>
    <n v="8271.4599999999991"/>
    <s v="tier - 2"/>
    <s v="tier - 1"/>
    <s v="R1023"/>
    <n v="22"/>
  </r>
  <r>
    <s v="Id1021"/>
    <s v="Kallay, Mr.  Ian M."/>
    <n v="49.45"/>
    <n v="4.2"/>
    <s v="yes"/>
    <s v="No"/>
    <x v="0"/>
    <n v="0"/>
    <x v="1"/>
    <x v="0"/>
    <s v="Normal"/>
    <n v="1974"/>
    <s v="Sep"/>
    <n v="26"/>
    <n v="0"/>
    <d v="1974-09-26T00:00:00"/>
    <n v="8277.52"/>
    <s v="tier - 2"/>
    <s v="tier - 2"/>
    <s v="R1011"/>
    <n v="48"/>
  </r>
  <r>
    <s v="Id1022"/>
    <s v="Leguizamo, Ms.  Claudia L."/>
    <n v="41.04"/>
    <n v="5.59"/>
    <s v="No"/>
    <s v="No"/>
    <x v="0"/>
    <n v="0"/>
    <x v="1"/>
    <x v="0"/>
    <s v="Normal"/>
    <n v="1974"/>
    <s v="Dec"/>
    <n v="22"/>
    <n v="0"/>
    <d v="1974-12-22T00:00:00"/>
    <n v="8280.6200000000008"/>
    <s v="tier - 2"/>
    <s v="tier - 2"/>
    <s v="R1013"/>
    <n v="48"/>
  </r>
  <r>
    <s v="Id1023"/>
    <s v="Escartin, Ms.  Jessica M"/>
    <n v="27.93"/>
    <n v="9.9600000000000009"/>
    <s v="No"/>
    <s v="No"/>
    <x v="0"/>
    <n v="0"/>
    <x v="1"/>
    <x v="1"/>
    <s v="Diabetes"/>
    <n v="1974"/>
    <s v="Jun"/>
    <n v="6"/>
    <n v="0"/>
    <d v="1974-06-06T00:00:00"/>
    <n v="8283.68"/>
    <s v="tier - 2"/>
    <s v="tier - 3"/>
    <s v="R1013"/>
    <n v="49"/>
  </r>
  <r>
    <s v="Id1024"/>
    <s v="Chorey, Mr.  Billy Jr."/>
    <n v="21.01"/>
    <n v="7.37"/>
    <s v="No"/>
    <s v="No"/>
    <x v="0"/>
    <n v="0"/>
    <x v="1"/>
    <x v="2"/>
    <s v="Diabetes"/>
    <n v="1978"/>
    <s v="Jun"/>
    <n v="26"/>
    <n v="2"/>
    <d v="1978-06-26T00:00:00"/>
    <n v="8302.5400000000009"/>
    <s v="tier - 3"/>
    <s v="tier - 3"/>
    <s v="R1016"/>
    <n v="44"/>
  </r>
  <r>
    <s v="Id1025"/>
    <s v="McVay, Mr.  David"/>
    <n v="52.37"/>
    <n v="5.0599999999999996"/>
    <s v="yes"/>
    <s v="yes"/>
    <x v="0"/>
    <n v="2"/>
    <x v="1"/>
    <x v="0"/>
    <s v="Normal"/>
    <n v="1979"/>
    <s v="Aug"/>
    <n v="7"/>
    <n v="2"/>
    <d v="1979-08-07T00:00:00"/>
    <n v="8310.84"/>
    <s v="tier - 2"/>
    <s v="tier - 2"/>
    <s v="R1012"/>
    <n v="43"/>
  </r>
  <r>
    <s v="Id1026"/>
    <s v="Vinson, Mr.  Tim"/>
    <n v="40.369999999999997"/>
    <n v="8.2100000000000009"/>
    <s v="No"/>
    <s v="No"/>
    <x v="0"/>
    <n v="0"/>
    <x v="1"/>
    <x v="0"/>
    <s v="Diabetes"/>
    <n v="1993"/>
    <s v="Jun"/>
    <n v="22"/>
    <n v="0"/>
    <d v="1993-06-22T00:00:00"/>
    <n v="8314.65"/>
    <s v="tier - 2"/>
    <s v="tier - 1"/>
    <s v="R1012"/>
    <n v="29"/>
  </r>
  <r>
    <s v="Id1027"/>
    <s v="Astrike-Davis, Ms.  Emma M"/>
    <n v="41.47"/>
    <n v="10.34"/>
    <s v="No"/>
    <s v="No"/>
    <x v="0"/>
    <n v="2"/>
    <x v="1"/>
    <x v="0"/>
    <s v="Diabetes"/>
    <n v="1976"/>
    <s v="Jul"/>
    <n v="12"/>
    <n v="1"/>
    <d v="1976-07-12T00:00:00"/>
    <n v="8334.4599999999991"/>
    <s v="tier - 3"/>
    <s v="tier - 2"/>
    <s v="R1016"/>
    <n v="46"/>
  </r>
  <r>
    <s v="Id1028"/>
    <s v="Harder, Mr.  Tim"/>
    <n v="33.725000000000001"/>
    <n v="5.51"/>
    <s v="yes"/>
    <s v="No"/>
    <x v="0"/>
    <n v="2"/>
    <x v="1"/>
    <x v="0"/>
    <s v="Normal"/>
    <n v="1976"/>
    <s v="Jul"/>
    <n v="20"/>
    <n v="1"/>
    <d v="1976-07-20T00:00:00"/>
    <n v="8334.59"/>
    <s v="tier - 3"/>
    <s v="tier - 2"/>
    <s v="R1016"/>
    <n v="46"/>
  </r>
  <r>
    <s v="Id1029"/>
    <s v="Bell, Mr.  Patrick"/>
    <n v="28.1"/>
    <n v="11.2"/>
    <s v="No"/>
    <s v="No"/>
    <x v="0"/>
    <n v="0"/>
    <x v="1"/>
    <x v="1"/>
    <s v="Diabetes"/>
    <n v="1976"/>
    <s v="Jul"/>
    <n v="7"/>
    <n v="1"/>
    <d v="1976-07-07T00:00:00"/>
    <n v="8342.91"/>
    <s v="tier - 3"/>
    <s v="tier - 1"/>
    <s v="R1016"/>
    <n v="46"/>
  </r>
  <r>
    <s v="Id1030"/>
    <s v="Dawes, Ms.  Bridget K."/>
    <n v="37.43"/>
    <n v="4.3499999999999996"/>
    <s v="yes"/>
    <s v="No"/>
    <x v="1"/>
    <n v="1"/>
    <x v="1"/>
    <x v="0"/>
    <s v="Normal"/>
    <n v="1976"/>
    <s v="Jun"/>
    <n v="12"/>
    <n v="2"/>
    <d v="1976-06-12T00:00:00"/>
    <n v="8347.16"/>
    <s v="tier - 2"/>
    <s v="tier - 1"/>
    <s v="R1013"/>
    <n v="46"/>
  </r>
  <r>
    <s v="Id1031"/>
    <s v="Larios, Mr.  Gabriel"/>
    <n v="23.7"/>
    <n v="10.45"/>
    <s v="No"/>
    <s v="No"/>
    <x v="0"/>
    <n v="0"/>
    <x v="1"/>
    <x v="2"/>
    <s v="Diabetes"/>
    <n v="1963"/>
    <s v="Sep"/>
    <n v="21"/>
    <n v="0"/>
    <d v="1963-09-21T00:00:00"/>
    <n v="8355.5400000000009"/>
    <s v="tier - 3"/>
    <s v="tier - 3"/>
    <s v="R1012"/>
    <n v="59"/>
  </r>
  <r>
    <s v="Id1032"/>
    <s v="Yaremczuk, Ms.  Natasha"/>
    <n v="24.795000000000002"/>
    <n v="4.07"/>
    <s v="yes"/>
    <s v="No"/>
    <x v="1"/>
    <n v="1"/>
    <x v="1"/>
    <x v="2"/>
    <s v="Normal"/>
    <n v="1971"/>
    <s v="Sep"/>
    <n v="4"/>
    <n v="0"/>
    <d v="1971-09-04T00:00:00"/>
    <n v="8396.6200000000008"/>
    <s v="tier - 2"/>
    <s v="tier - 3"/>
    <s v="R1013"/>
    <n v="51"/>
  </r>
  <r>
    <s v="Id1033"/>
    <s v="Knight, Ms.  Abby A."/>
    <n v="31.9"/>
    <n v="8.34"/>
    <s v="No"/>
    <s v="No"/>
    <x v="0"/>
    <n v="0"/>
    <x v="1"/>
    <x v="0"/>
    <s v="Diabetes"/>
    <n v="1971"/>
    <s v="Sep"/>
    <n v="18"/>
    <n v="0"/>
    <d v="1971-09-18T00:00:00"/>
    <n v="8400.01"/>
    <s v="tier - 2"/>
    <s v="tier - 3"/>
    <s v="R1013"/>
    <n v="51"/>
  </r>
  <r>
    <s v="Id1034"/>
    <s v="Eversman, Ms.  Michelle"/>
    <n v="32.68"/>
    <n v="7.41"/>
    <s v="No"/>
    <s v="No"/>
    <x v="0"/>
    <n v="0"/>
    <x v="1"/>
    <x v="0"/>
    <s v="Diabetes"/>
    <n v="1979"/>
    <s v="Jun"/>
    <n v="11"/>
    <n v="3"/>
    <d v="1979-06-11T00:00:00"/>
    <n v="8410.0499999999993"/>
    <s v="tier - 2"/>
    <s v="tier - 2"/>
    <s v="R1012"/>
    <n v="43"/>
  </r>
  <r>
    <s v="Id1035"/>
    <s v="Hickory, Ms.  Mckendree"/>
    <n v="47.13"/>
    <n v="4.3099999999999996"/>
    <s v="No"/>
    <s v="No"/>
    <x v="0"/>
    <n v="0"/>
    <x v="1"/>
    <x v="0"/>
    <s v="Normal"/>
    <n v="1977"/>
    <s v="Sep"/>
    <n v="4"/>
    <n v="2"/>
    <d v="1977-09-04T00:00:00"/>
    <n v="8413.4599999999991"/>
    <s v="tier - 3"/>
    <s v="tier - 1"/>
    <s v="R1012"/>
    <n v="45"/>
  </r>
  <r>
    <s v="Id1036"/>
    <s v="Mooney, Ms.  Tara"/>
    <n v="36.67"/>
    <n v="10.83"/>
    <s v="No"/>
    <s v="No"/>
    <x v="0"/>
    <n v="0"/>
    <x v="1"/>
    <x v="0"/>
    <s v="Diabetes"/>
    <n v="1975"/>
    <s v="Sep"/>
    <n v="28"/>
    <n v="1"/>
    <d v="1975-09-28T00:00:00"/>
    <n v="8428.07"/>
    <s v="tier - 3"/>
    <s v="tier - 2"/>
    <s v="R1012"/>
    <n v="47"/>
  </r>
  <r>
    <s v="Id1037"/>
    <s v="Craighead, Mr.  Daniel"/>
    <n v="33.630000000000003"/>
    <n v="11.31"/>
    <s v="No"/>
    <s v="No"/>
    <x v="0"/>
    <n v="0"/>
    <x v="1"/>
    <x v="0"/>
    <s v="Diabetes"/>
    <n v="1963"/>
    <s v="Sep"/>
    <n v="24"/>
    <n v="0"/>
    <d v="1963-09-24T00:00:00"/>
    <n v="8440.0499999999993"/>
    <s v="tier - 3"/>
    <s v="tier - 2"/>
    <s v="R1013"/>
    <n v="59"/>
  </r>
  <r>
    <s v="Id1038"/>
    <s v="Gardner, Mr.  Joshua P"/>
    <n v="32.67"/>
    <n v="11.81"/>
    <s v="yes"/>
    <s v="No"/>
    <x v="0"/>
    <n v="0"/>
    <x v="1"/>
    <x v="0"/>
    <s v="Diabetes"/>
    <n v="1972"/>
    <s v="Sep"/>
    <n v="9"/>
    <n v="0"/>
    <d v="1972-09-09T00:00:00"/>
    <n v="8442.67"/>
    <s v="tier - 2"/>
    <s v="tier - 3"/>
    <s v="R1013"/>
    <n v="50"/>
  </r>
  <r>
    <s v="Id1039"/>
    <s v="Lohrenz, Ms.  Erin C"/>
    <n v="33.299999999999997"/>
    <n v="8.26"/>
    <s v="yes"/>
    <s v="No"/>
    <x v="0"/>
    <n v="2"/>
    <x v="1"/>
    <x v="0"/>
    <s v="Diabetes"/>
    <n v="1972"/>
    <s v="Sep"/>
    <n v="4"/>
    <n v="0"/>
    <d v="1972-09-04T00:00:00"/>
    <n v="8444.4699999999993"/>
    <s v="tier - 3"/>
    <s v="tier - 1"/>
    <s v="R1011"/>
    <n v="50"/>
  </r>
  <r>
    <s v="Id1040"/>
    <s v="Demise, Ms.  Shure"/>
    <n v="30.78"/>
    <n v="10.74"/>
    <s v="yes"/>
    <s v="No"/>
    <x v="0"/>
    <n v="2"/>
    <x v="1"/>
    <x v="0"/>
    <s v="Diabetes"/>
    <n v="1966"/>
    <s v="Jun"/>
    <n v="12"/>
    <n v="0"/>
    <d v="1966-06-12T00:00:00"/>
    <n v="8448.66"/>
    <s v="tier - 3"/>
    <s v="tier - 1"/>
    <s v="R1013"/>
    <n v="56"/>
  </r>
  <r>
    <s v="Id1041"/>
    <s v="Nelson, Mr.  Richard"/>
    <n v="28.975000000000001"/>
    <n v="7.69"/>
    <s v="yes"/>
    <s v="No"/>
    <x v="0"/>
    <n v="0"/>
    <x v="1"/>
    <x v="1"/>
    <s v="Diabetes"/>
    <n v="1984"/>
    <s v="Jun"/>
    <n v="19"/>
    <n v="3"/>
    <d v="1984-06-19T00:00:00"/>
    <n v="8450.82"/>
    <s v="tier - 2"/>
    <s v="tier - 2"/>
    <s v="R1025"/>
    <n v="38"/>
  </r>
  <r>
    <s v="Id1042"/>
    <s v="Guitard, Ms.  Brenda"/>
    <n v="33.4"/>
    <n v="4.84"/>
    <s v="No"/>
    <s v="No"/>
    <x v="0"/>
    <n v="0"/>
    <x v="1"/>
    <x v="0"/>
    <s v="Normal"/>
    <n v="1972"/>
    <s v="Dec"/>
    <n v="26"/>
    <n v="0"/>
    <d v="1972-12-26T00:00:00"/>
    <n v="8457.82"/>
    <s v="tier - 2"/>
    <s v="tier - 3"/>
    <s v="R1011"/>
    <n v="50"/>
  </r>
  <r>
    <s v="Id1043"/>
    <s v="Navas, Mr.  Joseph M"/>
    <n v="21.5"/>
    <n v="9.77"/>
    <s v="yes"/>
    <s v="No"/>
    <x v="0"/>
    <n v="0"/>
    <x v="1"/>
    <x v="2"/>
    <s v="Diabetes"/>
    <n v="1992"/>
    <s v="Sep"/>
    <n v="9"/>
    <n v="0"/>
    <d v="1992-09-09T00:00:00"/>
    <n v="8466.35"/>
    <s v="tier - 2"/>
    <s v="tier - 2"/>
    <s v="R1012"/>
    <n v="30"/>
  </r>
  <r>
    <s v="Id1044"/>
    <s v="Ptucha, Mr.  Stephen J."/>
    <n v="38.14"/>
    <n v="5.84"/>
    <s v="No"/>
    <s v="No"/>
    <x v="0"/>
    <n v="0"/>
    <x v="1"/>
    <x v="0"/>
    <s v="Prediabetes"/>
    <n v="1993"/>
    <s v="Nov"/>
    <n v="10"/>
    <n v="0"/>
    <d v="1993-11-10T00:00:00"/>
    <n v="8471.65"/>
    <s v="tier - 2"/>
    <s v="tier - 1"/>
    <s v="R1012"/>
    <n v="29"/>
  </r>
  <r>
    <s v="Id1045"/>
    <s v="Kirouac, Mrs.  Kathya"/>
    <n v="35.42"/>
    <n v="8.6999999999999993"/>
    <s v="yes"/>
    <s v="No"/>
    <x v="0"/>
    <n v="1"/>
    <x v="1"/>
    <x v="0"/>
    <s v="Diabetes"/>
    <n v="1977"/>
    <s v="Dec"/>
    <n v="26"/>
    <n v="2"/>
    <d v="1977-12-26T00:00:00"/>
    <n v="8515.76"/>
    <s v="tier - 2"/>
    <s v="tier - 2"/>
    <s v="R1013"/>
    <n v="45"/>
  </r>
  <r>
    <s v="Id1046"/>
    <s v="Toews, Mr.  Wesley"/>
    <n v="35.625"/>
    <n v="10.79"/>
    <s v="No"/>
    <s v="No"/>
    <x v="0"/>
    <n v="0"/>
    <x v="1"/>
    <x v="0"/>
    <s v="Diabetes"/>
    <n v="1977"/>
    <s v="Jun"/>
    <n v="21"/>
    <n v="2"/>
    <d v="1977-06-21T00:00:00"/>
    <n v="8516.83"/>
    <s v="tier - 2"/>
    <s v="tier - 1"/>
    <s v="R1013"/>
    <n v="45"/>
  </r>
  <r>
    <s v="Id1047"/>
    <s v="Perry, Mr.  Tim"/>
    <n v="45.51"/>
    <n v="4.32"/>
    <s v="No"/>
    <s v="No"/>
    <x v="0"/>
    <n v="1"/>
    <x v="1"/>
    <x v="0"/>
    <s v="Normal"/>
    <n v="1977"/>
    <s v="Dec"/>
    <n v="29"/>
    <n v="2"/>
    <d v="1977-12-29T00:00:00"/>
    <n v="8520.0300000000007"/>
    <s v="tier - 2"/>
    <s v="tier - 3"/>
    <s v="R1011"/>
    <n v="45"/>
  </r>
  <r>
    <s v="Id1048"/>
    <s v="Kretz, Ms.  Jamie L."/>
    <n v="37.1"/>
    <n v="7.19"/>
    <s v="yes"/>
    <s v="No"/>
    <x v="0"/>
    <n v="0"/>
    <x v="1"/>
    <x v="0"/>
    <s v="Diabetes"/>
    <n v="1979"/>
    <s v="Aug"/>
    <n v="13"/>
    <n v="3"/>
    <d v="1979-08-13T00:00:00"/>
    <n v="8522"/>
    <s v="tier - 2"/>
    <s v="tier - 2"/>
    <s v="R1011"/>
    <n v="43"/>
  </r>
  <r>
    <s v="Id1049"/>
    <s v="Hempel, Ms.  Alexandra"/>
    <n v="30.5"/>
    <n v="11.94"/>
    <s v="yes"/>
    <s v="No"/>
    <x v="0"/>
    <n v="0"/>
    <x v="1"/>
    <x v="0"/>
    <s v="Diabetes"/>
    <n v="1977"/>
    <s v="Jul"/>
    <n v="26"/>
    <n v="2"/>
    <d v="1977-07-26T00:00:00"/>
    <n v="8527.5300000000007"/>
    <s v="tier - 2"/>
    <s v="tier - 2"/>
    <s v="R1013"/>
    <n v="45"/>
  </r>
  <r>
    <s v="Id1050"/>
    <s v="McBroom, Ms.  Tiffany"/>
    <n v="28.16"/>
    <n v="5.56"/>
    <s v="No"/>
    <s v="No"/>
    <x v="0"/>
    <n v="2"/>
    <x v="1"/>
    <x v="1"/>
    <s v="Normal"/>
    <s v="?"/>
    <s v="Jul"/>
    <n v="24"/>
    <n v="0"/>
    <e v="#VALUE!"/>
    <n v="8534.67"/>
    <s v="tier - 2"/>
    <s v="tier - 3"/>
    <s v="R1024"/>
    <e v="#VALUE!"/>
  </r>
  <r>
    <s v="Id1051"/>
    <s v="Yoo, Mrs.  Rebecca J"/>
    <n v="29.1"/>
    <n v="5.64"/>
    <s v="yes"/>
    <s v="No"/>
    <x v="0"/>
    <n v="0"/>
    <x v="1"/>
    <x v="1"/>
    <s v="Normal"/>
    <n v="1981"/>
    <s v="Dec"/>
    <n v="27"/>
    <n v="3"/>
    <d v="1981-12-27T00:00:00"/>
    <n v="8538.2900000000009"/>
    <s v="tier - 2"/>
    <s v="tier - 3"/>
    <s v="R1024"/>
    <n v="41"/>
  </r>
  <r>
    <s v="Id1052"/>
    <s v="Rand, Mr.  Austin T."/>
    <n v="30.22"/>
    <n v="4.6500000000000004"/>
    <s v="No"/>
    <s v="No"/>
    <x v="0"/>
    <n v="0"/>
    <x v="1"/>
    <x v="0"/>
    <s v="Normal"/>
    <n v="1975"/>
    <s v="Nov"/>
    <n v="6"/>
    <n v="1"/>
    <d v="1975-11-06T00:00:00"/>
    <n v="8539.67"/>
    <s v="tier - 2"/>
    <s v="tier - 3"/>
    <s v="R1011"/>
    <n v="47"/>
  </r>
  <r>
    <s v="Id1053"/>
    <s v="Wolfe, Ms.  Jamie T"/>
    <n v="24.29"/>
    <n v="9.0500000000000007"/>
    <s v="No"/>
    <s v="No"/>
    <x v="0"/>
    <n v="0"/>
    <x v="1"/>
    <x v="2"/>
    <s v="Diabetes"/>
    <s v="?"/>
    <s v="Dec"/>
    <n v="12"/>
    <n v="1"/>
    <e v="#VALUE!"/>
    <n v="8547.69"/>
    <s v="tier - 2"/>
    <s v="tier - 1"/>
    <s v="R1013"/>
    <e v="#VALUE!"/>
  </r>
  <r>
    <s v="Id1054"/>
    <s v="Vance, Mr.  Matthew T."/>
    <n v="29.39"/>
    <n v="4.5199999999999996"/>
    <s v="yes"/>
    <s v="No"/>
    <x v="0"/>
    <n v="0"/>
    <x v="1"/>
    <x v="1"/>
    <s v="Normal"/>
    <n v="1975"/>
    <s v="Aug"/>
    <n v="6"/>
    <n v="1"/>
    <d v="1975-08-06T00:00:00"/>
    <n v="8551.35"/>
    <s v="tier - 2"/>
    <s v="tier - 2"/>
    <s v="R1011"/>
    <n v="47"/>
  </r>
  <r>
    <s v="Id1055"/>
    <s v="Burnett, Mrs.  Emily"/>
    <n v="25.66"/>
    <n v="4.62"/>
    <s v="yes"/>
    <s v="No"/>
    <x v="0"/>
    <n v="1"/>
    <x v="1"/>
    <x v="1"/>
    <s v="Normal"/>
    <n v="1975"/>
    <s v="Aug"/>
    <n v="21"/>
    <n v="1"/>
    <d v="1975-08-21T00:00:00"/>
    <n v="8556.91"/>
    <s v="tier - 2"/>
    <s v="tier - 1"/>
    <s v="R1011"/>
    <n v="47"/>
  </r>
  <r>
    <s v="Id1056"/>
    <s v="Clason, Ms.  Gillian"/>
    <n v="39.11"/>
    <n v="5.87"/>
    <s v="No"/>
    <s v="No"/>
    <x v="0"/>
    <n v="0"/>
    <x v="1"/>
    <x v="0"/>
    <s v="Prediabetes"/>
    <n v="1988"/>
    <s v="Sep"/>
    <n v="21"/>
    <n v="3"/>
    <d v="1988-09-21T00:00:00"/>
    <n v="8567.25"/>
    <s v="tier - 2"/>
    <s v="tier - 1"/>
    <s v="R1012"/>
    <n v="34"/>
  </r>
  <r>
    <s v="Id1057"/>
    <s v="Donnelly, Mrs.  Brenn E."/>
    <n v="43.78"/>
    <n v="5.71"/>
    <s v="No"/>
    <s v="No"/>
    <x v="0"/>
    <n v="1"/>
    <x v="1"/>
    <x v="0"/>
    <s v="Prediabetes"/>
    <n v="1975"/>
    <s v="Sep"/>
    <n v="26"/>
    <n v="1"/>
    <d v="1975-09-26T00:00:00"/>
    <n v="8569.86"/>
    <s v="tier - 2"/>
    <s v="tier - 3"/>
    <s v="R1013"/>
    <n v="47"/>
  </r>
  <r>
    <s v="Id1058"/>
    <s v="Pietz, Ms.  Lisa M"/>
    <n v="24.35"/>
    <n v="9.08"/>
    <s v="No"/>
    <s v="No"/>
    <x v="0"/>
    <n v="0"/>
    <x v="1"/>
    <x v="2"/>
    <s v="Diabetes"/>
    <n v="1982"/>
    <s v="Dec"/>
    <n v="6"/>
    <n v="3"/>
    <d v="1982-12-06T00:00:00"/>
    <n v="8572.0400000000009"/>
    <s v="tier - 2"/>
    <s v="tier - 2"/>
    <s v="R1021"/>
    <n v="40"/>
  </r>
  <r>
    <s v="Id1059"/>
    <s v="Tegenkamp, Mr.  Matt"/>
    <n v="40.299999999999997"/>
    <n v="5.3"/>
    <s v="yes"/>
    <s v="No"/>
    <x v="0"/>
    <n v="2"/>
    <x v="1"/>
    <x v="0"/>
    <s v="Normal"/>
    <n v="1987"/>
    <s v="Nov"/>
    <n v="11"/>
    <n v="3"/>
    <d v="1987-11-11T00:00:00"/>
    <n v="8573.2999999999993"/>
    <s v="tier - 2"/>
    <s v="tier - 2"/>
    <s v="R1021"/>
    <n v="35"/>
  </r>
  <r>
    <s v="Id1060"/>
    <s v="Dover, Mr.  Thomas A."/>
    <n v="32.774999999999999"/>
    <n v="11.76"/>
    <s v="yes"/>
    <s v="No"/>
    <x v="0"/>
    <n v="0"/>
    <x v="1"/>
    <x v="0"/>
    <s v="Diabetes"/>
    <n v="1983"/>
    <s v="Dec"/>
    <n v="30"/>
    <n v="5"/>
    <d v="1983-12-30T00:00:00"/>
    <n v="8582.2999999999993"/>
    <s v="tier - 2"/>
    <s v="tier - 1"/>
    <s v="R1013"/>
    <n v="39"/>
  </r>
  <r>
    <s v="Id1061"/>
    <s v="Dockemeyer, Mr.  Kevin J"/>
    <n v="39.6"/>
    <n v="5.1100000000000003"/>
    <s v="yes"/>
    <s v="No"/>
    <x v="0"/>
    <n v="2"/>
    <x v="1"/>
    <x v="0"/>
    <s v="Normal"/>
    <n v="1983"/>
    <s v="Jul"/>
    <n v="25"/>
    <n v="5"/>
    <d v="1983-07-25T00:00:00"/>
    <n v="8596.83"/>
    <s v="tier - 2"/>
    <s v="tier - 3"/>
    <s v="R1013"/>
    <n v="39"/>
  </r>
  <r>
    <s v="Id1062"/>
    <s v="Steele, Mr.  William H. III"/>
    <n v="30.97"/>
    <n v="5.54"/>
    <s v="No"/>
    <s v="No"/>
    <x v="0"/>
    <n v="2"/>
    <x v="1"/>
    <x v="0"/>
    <s v="Normal"/>
    <n v="1973"/>
    <s v="Jul"/>
    <n v="11"/>
    <n v="0"/>
    <d v="1973-07-11T00:00:00"/>
    <n v="8601.33"/>
    <s v="tier - 2"/>
    <s v="tier - 1"/>
    <s v="R1013"/>
    <n v="49"/>
  </r>
  <r>
    <s v="Id1063"/>
    <s v="Harel, Mr.  Gal"/>
    <n v="27.645"/>
    <n v="8.8699999999999992"/>
    <s v="yes"/>
    <s v="No"/>
    <x v="0"/>
    <n v="0"/>
    <x v="1"/>
    <x v="1"/>
    <s v="Diabetes"/>
    <n v="1977"/>
    <s v="Sep"/>
    <n v="24"/>
    <n v="2"/>
    <d v="1977-09-24T00:00:00"/>
    <n v="8603.82"/>
    <s v="tier - 2"/>
    <s v="tier - 1"/>
    <s v="R1019"/>
    <n v="45"/>
  </r>
  <r>
    <s v="Id1064"/>
    <s v="Aguila, Mr.  Anton"/>
    <n v="34.43"/>
    <n v="5.96"/>
    <s v="yes"/>
    <s v="No"/>
    <x v="0"/>
    <n v="2"/>
    <x v="1"/>
    <x v="0"/>
    <s v="Prediabetes"/>
    <n v="1977"/>
    <s v="Nov"/>
    <n v="12"/>
    <n v="2"/>
    <d v="1977-11-12T00:00:00"/>
    <n v="8604.48"/>
    <s v="tier - 3"/>
    <s v="tier - 2"/>
    <s v="R1016"/>
    <n v="45"/>
  </r>
  <r>
    <s v="Id1065"/>
    <s v="Vallejo Sarmiento, Ms.  Yazmin"/>
    <n v="39.6"/>
    <n v="4.4400000000000004"/>
    <s v="yes"/>
    <s v="No"/>
    <x v="1"/>
    <n v="1"/>
    <x v="1"/>
    <x v="0"/>
    <s v="Normal"/>
    <n v="1977"/>
    <s v="Oct"/>
    <n v="15"/>
    <n v="3"/>
    <d v="1977-10-15T00:00:00"/>
    <n v="8605.36"/>
    <s v="tier - 2"/>
    <s v="tier - 2"/>
    <s v="R1013"/>
    <n v="45"/>
  </r>
  <r>
    <s v="Id1066"/>
    <s v="Beisheim, Mr.  Florian"/>
    <n v="22.1"/>
    <n v="4.6500000000000004"/>
    <s v="yes"/>
    <s v="No"/>
    <x v="0"/>
    <n v="2"/>
    <x v="1"/>
    <x v="2"/>
    <s v="Normal"/>
    <n v="1979"/>
    <s v="Jul"/>
    <n v="17"/>
    <n v="3"/>
    <d v="1979-07-17T00:00:00"/>
    <n v="8606.2199999999993"/>
    <s v="tier - 1"/>
    <s v="tier - 2"/>
    <s v="R1014"/>
    <n v="43"/>
  </r>
  <r>
    <s v="Id1067"/>
    <s v="Lenhoff, Ms.  Karen L"/>
    <n v="33.25"/>
    <n v="5.64"/>
    <s v="yes"/>
    <s v="No"/>
    <x v="1"/>
    <n v="1"/>
    <x v="1"/>
    <x v="0"/>
    <s v="Normal"/>
    <n v="1977"/>
    <s v="Sep"/>
    <n v="2"/>
    <n v="3"/>
    <d v="1977-09-02T00:00:00"/>
    <n v="8615.2999999999993"/>
    <s v="tier - 2"/>
    <s v="tier - 3"/>
    <s v="R1011"/>
    <n v="45"/>
  </r>
  <r>
    <s v="Id1068"/>
    <s v="Wehrwein, Mr.  Scott"/>
    <n v="33.33"/>
    <n v="10.19"/>
    <s v="No"/>
    <s v="No"/>
    <x v="0"/>
    <n v="0"/>
    <x v="1"/>
    <x v="0"/>
    <s v="Diabetes"/>
    <n v="1975"/>
    <s v="Aug"/>
    <n v="3"/>
    <n v="1"/>
    <d v="1975-08-03T00:00:00"/>
    <n v="8627.5400000000009"/>
    <s v="tier - 2"/>
    <s v="tier - 2"/>
    <s v="R1017"/>
    <n v="47"/>
  </r>
  <r>
    <s v="Id1069"/>
    <s v="Wallace, Ms.  Claire"/>
    <n v="30.5"/>
    <n v="10.79"/>
    <s v="No"/>
    <s v="No"/>
    <x v="0"/>
    <n v="0"/>
    <x v="1"/>
    <x v="0"/>
    <s v="Diabetes"/>
    <n v="1965"/>
    <s v="Oct"/>
    <n v="21"/>
    <n v="0"/>
    <d v="1965-10-21T00:00:00"/>
    <n v="8665.09"/>
    <s v="tier - 3"/>
    <s v="tier - 2"/>
    <s v="R1012"/>
    <n v="57"/>
  </r>
  <r>
    <s v="Id1070"/>
    <s v="Markowitz, Ms.  Lynn M."/>
    <n v="30.3"/>
    <n v="4.24"/>
    <s v="No"/>
    <s v="No"/>
    <x v="0"/>
    <n v="0"/>
    <x v="1"/>
    <x v="0"/>
    <s v="Normal"/>
    <n v="1969"/>
    <s v="Aug"/>
    <n v="10"/>
    <n v="0"/>
    <d v="1969-08-10T00:00:00"/>
    <n v="8665.14"/>
    <s v="tier - 2"/>
    <s v="tier - 3"/>
    <s v="R1013"/>
    <n v="53"/>
  </r>
  <r>
    <s v="Id1071"/>
    <s v="Vos, Ms.  Sharon"/>
    <n v="26.22"/>
    <n v="5.83"/>
    <s v="No"/>
    <s v="No"/>
    <x v="0"/>
    <n v="2"/>
    <x v="1"/>
    <x v="1"/>
    <s v="Prediabetes"/>
    <n v="1974"/>
    <s v="Aug"/>
    <n v="16"/>
    <n v="0"/>
    <d v="1974-08-16T00:00:00"/>
    <n v="8671.19"/>
    <s v="tier - 2"/>
    <s v="tier - 1"/>
    <s v="R1012"/>
    <n v="48"/>
  </r>
  <r>
    <s v="Id1072"/>
    <s v="McLeod, Mrs.  Candice"/>
    <n v="29.99"/>
    <n v="11.85"/>
    <s v="No"/>
    <s v="No"/>
    <x v="0"/>
    <n v="0"/>
    <x v="1"/>
    <x v="0"/>
    <s v="Diabetes"/>
    <n v="1973"/>
    <s v="Oct"/>
    <n v="11"/>
    <n v="0"/>
    <d v="1973-10-11T00:00:00"/>
    <n v="8688.86"/>
    <s v="tier - 2"/>
    <s v="tier - 1"/>
    <s v="R1017"/>
    <n v="49"/>
  </r>
  <r>
    <s v="Id1073"/>
    <s v="Balcom, Ms.  Jennifer D"/>
    <n v="36.380000000000003"/>
    <n v="5.98"/>
    <s v="No"/>
    <s v="No"/>
    <x v="0"/>
    <n v="1"/>
    <x v="1"/>
    <x v="0"/>
    <s v="Prediabetes"/>
    <n v="1980"/>
    <s v="Oct"/>
    <n v="28"/>
    <n v="2"/>
    <d v="1980-10-28T00:00:00"/>
    <n v="8701.84"/>
    <s v="tier - 2"/>
    <s v="tier - 3"/>
    <s v="R1021"/>
    <n v="42"/>
  </r>
  <r>
    <s v="Id1074"/>
    <s v="Dirth, Mr.  Eric"/>
    <n v="31.16"/>
    <n v="4.26"/>
    <s v="yes"/>
    <s v="No"/>
    <x v="1"/>
    <n v="1"/>
    <x v="1"/>
    <x v="0"/>
    <s v="Normal"/>
    <n v="1973"/>
    <s v="Jun"/>
    <n v="25"/>
    <n v="1"/>
    <d v="1973-06-25T00:00:00"/>
    <n v="8703.4599999999991"/>
    <s v="tier - 3"/>
    <s v="tier - 3"/>
    <s v="R1011"/>
    <n v="49"/>
  </r>
  <r>
    <s v="Id1075"/>
    <s v="Inglish, Mr.  Bryan"/>
    <n v="25.55"/>
    <n v="4.96"/>
    <s v="yes"/>
    <s v="No"/>
    <x v="0"/>
    <n v="1"/>
    <x v="1"/>
    <x v="1"/>
    <s v="Normal"/>
    <n v="1976"/>
    <s v="Jun"/>
    <n v="17"/>
    <n v="2"/>
    <d v="1976-06-17T00:00:00"/>
    <n v="8733.23"/>
    <s v="tier - 2"/>
    <s v="tier - 3"/>
    <s v="R1012"/>
    <n v="46"/>
  </r>
  <r>
    <s v="Id1076"/>
    <s v="Matthews, Mr.  Devon R."/>
    <n v="28.77"/>
    <n v="4"/>
    <s v="yes"/>
    <s v="No"/>
    <x v="0"/>
    <n v="0"/>
    <x v="1"/>
    <x v="1"/>
    <s v="Normal"/>
    <n v="1999"/>
    <s v="Aug"/>
    <n v="23"/>
    <n v="0"/>
    <d v="1999-08-23T00:00:00"/>
    <n v="8747.68"/>
    <s v="tier - 2"/>
    <s v="tier - 3"/>
    <s v="R1011"/>
    <n v="23"/>
  </r>
  <r>
    <s v="Id1077"/>
    <s v="Massa-Musiak, Ms.  Elena"/>
    <n v="23.14"/>
    <n v="4.1500000000000004"/>
    <s v="yes"/>
    <s v="No"/>
    <x v="0"/>
    <n v="1"/>
    <x v="1"/>
    <x v="2"/>
    <s v="Normal"/>
    <n v="1969"/>
    <s v="Sep"/>
    <n v="9"/>
    <n v="0"/>
    <d v="1969-09-09T00:00:00"/>
    <n v="8760.1200000000008"/>
    <s v="tier - 2"/>
    <s v="tier - 1"/>
    <s v="R1013"/>
    <n v="53"/>
  </r>
  <r>
    <s v="Id1078"/>
    <s v="Bailey, Mr.  Chris"/>
    <n v="39.6"/>
    <n v="11.36"/>
    <s v="No"/>
    <s v="No"/>
    <x v="0"/>
    <n v="0"/>
    <x v="1"/>
    <x v="0"/>
    <s v="Diabetes"/>
    <n v="1974"/>
    <s v="Sep"/>
    <n v="6"/>
    <n v="1"/>
    <d v="1974-09-06T00:00:00"/>
    <n v="8765.25"/>
    <s v="tier - 2"/>
    <s v="tier - 3"/>
    <s v="R1012"/>
    <n v="48"/>
  </r>
  <r>
    <s v="Id1079"/>
    <s v="Jacoby, Mr.  Bert"/>
    <n v="29.2"/>
    <n v="7.53"/>
    <s v="No"/>
    <s v="No"/>
    <x v="0"/>
    <n v="0"/>
    <x v="1"/>
    <x v="1"/>
    <s v="Diabetes"/>
    <n v="1971"/>
    <s v="Aug"/>
    <n v="23"/>
    <n v="0"/>
    <d v="1971-08-23T00:00:00"/>
    <n v="8782.4699999999993"/>
    <s v="tier - 2"/>
    <s v="tier - 3"/>
    <s v="R1011"/>
    <n v="51"/>
  </r>
  <r>
    <s v="Id1080"/>
    <s v="Crimmings, Mr.  John P."/>
    <n v="32.774999999999999"/>
    <n v="7.95"/>
    <s v="No"/>
    <s v="No"/>
    <x v="0"/>
    <n v="0"/>
    <x v="1"/>
    <x v="0"/>
    <s v="Diabetes"/>
    <n v="1971"/>
    <s v="Jun"/>
    <n v="18"/>
    <n v="0"/>
    <d v="1971-06-18T00:00:00"/>
    <n v="8798.59"/>
    <s v="tier - 2"/>
    <s v="tier - 1"/>
    <s v="R1011"/>
    <n v="51"/>
  </r>
  <r>
    <s v="Id1081"/>
    <s v="Crane, Mr.  Daniel P"/>
    <n v="24.035"/>
    <n v="8.5"/>
    <s v="No"/>
    <s v="No"/>
    <x v="0"/>
    <n v="0"/>
    <x v="1"/>
    <x v="2"/>
    <s v="Diabetes"/>
    <n v="1965"/>
    <s v="Aug"/>
    <n v="29"/>
    <n v="0"/>
    <d v="1965-08-29T00:00:00"/>
    <n v="8800.49"/>
    <s v="tier - 3"/>
    <s v="tier - 2"/>
    <s v="R1013"/>
    <n v="57"/>
  </r>
  <r>
    <s v="Id1082"/>
    <s v="Swartzfager, Mrs.  Lisa K."/>
    <n v="30.55"/>
    <n v="5.89"/>
    <s v="No"/>
    <s v="No"/>
    <x v="1"/>
    <n v="1"/>
    <x v="1"/>
    <x v="0"/>
    <s v="Prediabetes"/>
    <n v="2001"/>
    <s v="Nov"/>
    <n v="7"/>
    <n v="0"/>
    <d v="2001-11-07T00:00:00"/>
    <n v="8821.8799999999992"/>
    <s v="tier - 2"/>
    <s v="tier - 3"/>
    <s v="R1023"/>
    <n v="21"/>
  </r>
  <r>
    <s v="Id1083"/>
    <s v="Clevenger, Mrs.  Kristine"/>
    <n v="28.81"/>
    <n v="8.76"/>
    <s v="No"/>
    <s v="No"/>
    <x v="0"/>
    <n v="2"/>
    <x v="1"/>
    <x v="1"/>
    <s v="Diabetes"/>
    <n v="1976"/>
    <s v="Jun"/>
    <n v="14"/>
    <n v="2"/>
    <d v="1976-06-14T00:00:00"/>
    <n v="8823.2800000000007"/>
    <s v="tier - 2"/>
    <s v="tier - 1"/>
    <s v="R1011"/>
    <n v="46"/>
  </r>
  <r>
    <s v="Id1084"/>
    <s v="Reichardt, Mr.  Paul A"/>
    <n v="31.66"/>
    <n v="4.1100000000000003"/>
    <s v="No"/>
    <s v="No"/>
    <x v="0"/>
    <n v="0"/>
    <x v="1"/>
    <x v="0"/>
    <s v="Normal"/>
    <n v="1976"/>
    <s v="Oct"/>
    <n v="19"/>
    <n v="1"/>
    <d v="1976-10-19T00:00:00"/>
    <n v="8823.99"/>
    <s v="tier - 2"/>
    <s v="tier - 3"/>
    <s v="R1024"/>
    <n v="46"/>
  </r>
  <r>
    <s v="Id1085"/>
    <s v="Morton, Mr.  Bryan"/>
    <n v="28.215"/>
    <n v="7.56"/>
    <s v="yes"/>
    <s v="No"/>
    <x v="0"/>
    <n v="1"/>
    <x v="1"/>
    <x v="1"/>
    <s v="Diabetes"/>
    <n v="1988"/>
    <s v="Aug"/>
    <n v="22"/>
    <n v="3"/>
    <d v="1988-08-22T00:00:00"/>
    <n v="8824.27"/>
    <s v="tier - 2"/>
    <s v="tier - 1"/>
    <s v="R1025"/>
    <n v="34"/>
  </r>
  <r>
    <s v="Id1086"/>
    <s v="Sunstrum, Mr.  Chris"/>
    <n v="26.12"/>
    <n v="4.17"/>
    <s v="yes"/>
    <s v="No"/>
    <x v="1"/>
    <n v="1"/>
    <x v="1"/>
    <x v="1"/>
    <s v="Normal"/>
    <n v="1976"/>
    <s v="Jul"/>
    <n v="14"/>
    <n v="2"/>
    <d v="1976-07-14T00:00:00"/>
    <n v="8825.09"/>
    <s v="tier - 2"/>
    <s v="tier - 3"/>
    <s v="R1011"/>
    <n v="46"/>
  </r>
  <r>
    <s v="Id1087"/>
    <s v="Frownfelter, Ms.  Milah B"/>
    <n v="36.630000000000003"/>
    <n v="11.42"/>
    <s v="No"/>
    <s v="No"/>
    <x v="0"/>
    <n v="2"/>
    <x v="1"/>
    <x v="0"/>
    <s v="Diabetes"/>
    <n v="1972"/>
    <s v="Nov"/>
    <n v="14"/>
    <n v="0"/>
    <d v="1972-11-14T00:00:00"/>
    <n v="8827.2099999999991"/>
    <s v="tier - 3"/>
    <s v="tier - 1"/>
    <s v="R1012"/>
    <n v="50"/>
  </r>
  <r>
    <s v="Id1088"/>
    <s v="Richter, Ms.  Annette M."/>
    <n v="33.344999999999999"/>
    <n v="7.33"/>
    <s v="No"/>
    <s v="No"/>
    <x v="0"/>
    <n v="2"/>
    <x v="1"/>
    <x v="0"/>
    <s v="Diabetes"/>
    <n v="1972"/>
    <s v="Nov"/>
    <n v="22"/>
    <n v="0"/>
    <d v="1972-11-22T00:00:00"/>
    <n v="8835.26"/>
    <s v="tier - 3"/>
    <s v="tier - 2"/>
    <s v="R1012"/>
    <n v="50"/>
  </r>
  <r>
    <s v="Id1089"/>
    <s v="England, Mrs.  Yoko"/>
    <n v="27.11"/>
    <n v="6.7"/>
    <s v="No"/>
    <s v="No"/>
    <x v="0"/>
    <n v="0"/>
    <x v="1"/>
    <x v="1"/>
    <s v="Diabetes"/>
    <n v="1974"/>
    <s v="Jun"/>
    <n v="18"/>
    <n v="1"/>
    <d v="1974-06-18T00:00:00"/>
    <n v="8871.15"/>
    <s v="tier - 2"/>
    <s v="tier - 3"/>
    <s v="R1013"/>
    <n v="48"/>
  </r>
  <r>
    <s v="Id1090"/>
    <s v="McLean, Ms.  Laura"/>
    <n v="26.6"/>
    <n v="5.27"/>
    <s v="yes"/>
    <s v="No"/>
    <x v="1"/>
    <n v="1"/>
    <x v="1"/>
    <x v="1"/>
    <s v="Normal"/>
    <n v="1973"/>
    <s v="Sep"/>
    <n v="9"/>
    <n v="0"/>
    <d v="1973-09-09T00:00:00"/>
    <n v="8890.59"/>
    <s v="tier - 2"/>
    <s v="tier - 3"/>
    <s v="R1012"/>
    <n v="49"/>
  </r>
  <r>
    <s v="Id1091"/>
    <s v="Gardner, Ms.  Tess A."/>
    <n v="30.41"/>
    <n v="7.72"/>
    <s v="No"/>
    <s v="No"/>
    <x v="0"/>
    <n v="0"/>
    <x v="1"/>
    <x v="0"/>
    <s v="Diabetes"/>
    <n v="1978"/>
    <s v="Dec"/>
    <n v="16"/>
    <n v="3"/>
    <d v="1978-12-16T00:00:00"/>
    <n v="8891.14"/>
    <s v="tier - 2"/>
    <s v="tier - 3"/>
    <s v="R1017"/>
    <n v="44"/>
  </r>
  <r>
    <s v="Id1092"/>
    <s v="Lane, Mr.  William G."/>
    <n v="28.98"/>
    <n v="8.68"/>
    <s v="No"/>
    <s v="No"/>
    <x v="0"/>
    <n v="2"/>
    <x v="1"/>
    <x v="1"/>
    <s v="Diabetes"/>
    <n v="1997"/>
    <s v="Nov"/>
    <n v="28"/>
    <n v="0"/>
    <d v="1997-11-28T00:00:00"/>
    <n v="8906.14"/>
    <s v="tier - 2"/>
    <s v="tier - 2"/>
    <s v="R1012"/>
    <n v="25"/>
  </r>
  <r>
    <s v="Id1093"/>
    <s v="Vonachen, Ms.  Paige"/>
    <n v="31.24"/>
    <n v="9.8000000000000007"/>
    <s v="No"/>
    <s v="No"/>
    <x v="0"/>
    <n v="0"/>
    <x v="1"/>
    <x v="0"/>
    <s v="Diabetes"/>
    <n v="1967"/>
    <s v="Sep"/>
    <n v="6"/>
    <n v="0"/>
    <d v="1967-09-06T00:00:00"/>
    <n v="8908.4699999999993"/>
    <s v="tier - 3"/>
    <s v="tier - 2"/>
    <s v="R1013"/>
    <n v="55"/>
  </r>
  <r>
    <s v="Id1094"/>
    <s v="Smith, Mr.  Matthew J"/>
    <n v="31.54"/>
    <n v="4.4400000000000004"/>
    <s v="No"/>
    <s v="No"/>
    <x v="0"/>
    <n v="0"/>
    <x v="1"/>
    <x v="0"/>
    <s v="Normal"/>
    <n v="1975"/>
    <s v="Jul"/>
    <n v="7"/>
    <n v="1"/>
    <d v="1975-07-07T00:00:00"/>
    <n v="8930.93"/>
    <s v="tier - 2"/>
    <s v="tier - 2"/>
    <s v="R1012"/>
    <n v="47"/>
  </r>
  <r>
    <s v="Id1095"/>
    <s v="Kidwell, Mr.  Matthew"/>
    <n v="38.6"/>
    <n v="7.19"/>
    <s v="yes"/>
    <s v="No"/>
    <x v="0"/>
    <n v="2"/>
    <x v="1"/>
    <x v="0"/>
    <s v="Diabetes"/>
    <n v="1972"/>
    <s v="Jun"/>
    <n v="6"/>
    <n v="0"/>
    <d v="1972-06-06T00:00:00"/>
    <n v="8932.08"/>
    <s v="tier - 2"/>
    <s v="tier - 1"/>
    <s v="R1011"/>
    <n v="51"/>
  </r>
  <r>
    <s v="Id1096"/>
    <s v="Betancourth, Mrs.  Maria"/>
    <n v="37.950000000000003"/>
    <n v="6.06"/>
    <s v="No"/>
    <s v="No"/>
    <x v="0"/>
    <n v="0"/>
    <x v="1"/>
    <x v="0"/>
    <s v="Prediabetes"/>
    <n v="1976"/>
    <s v="Dec"/>
    <n v="25"/>
    <n v="3"/>
    <d v="1976-12-25T00:00:00"/>
    <n v="8944.1200000000008"/>
    <s v="tier - 3"/>
    <s v="tier - 2"/>
    <s v="R1013"/>
    <n v="46"/>
  </r>
  <r>
    <s v="Id1097"/>
    <s v="Henstrom, Ms.  Stephanie D"/>
    <n v="38.97"/>
    <n v="5.12"/>
    <s v="No"/>
    <s v="No"/>
    <x v="0"/>
    <n v="0"/>
    <x v="1"/>
    <x v="0"/>
    <s v="Normal"/>
    <n v="1992"/>
    <s v="Sep"/>
    <n v="27"/>
    <n v="0"/>
    <d v="1992-09-27T00:00:00"/>
    <n v="8954.99"/>
    <s v="tier - 2"/>
    <s v="tier - 3"/>
    <s v="R1026"/>
    <n v="30"/>
  </r>
  <r>
    <s v="Id1098"/>
    <s v="Pereira, Ms.  Tiffany"/>
    <n v="21.2"/>
    <n v="10.72"/>
    <s v="No"/>
    <s v="No"/>
    <x v="0"/>
    <n v="0"/>
    <x v="1"/>
    <x v="2"/>
    <s v="Diabetes"/>
    <n v="1974"/>
    <s v="Aug"/>
    <n v="17"/>
    <n v="1"/>
    <d v="1974-08-17T00:00:00"/>
    <n v="8964.06"/>
    <s v="tier - 3"/>
    <s v="tier - 2"/>
    <s v="R1016"/>
    <n v="48"/>
  </r>
  <r>
    <s v="Id1099"/>
    <s v="Black, Ms.  Sara M."/>
    <n v="23.96"/>
    <n v="9.58"/>
    <s v="yes"/>
    <s v="No"/>
    <x v="1"/>
    <n v="1"/>
    <x v="1"/>
    <x v="2"/>
    <s v="Diabetes"/>
    <n v="1983"/>
    <s v="Jul"/>
    <n v="15"/>
    <n v="5"/>
    <d v="1983-07-15T00:00:00"/>
    <n v="8965.7999999999993"/>
    <s v="tier - 2"/>
    <s v="tier - 3"/>
    <s v="R1012"/>
    <n v="39"/>
  </r>
  <r>
    <s v="Id1100"/>
    <s v="Brown, Mr.  Scott A."/>
    <n v="35.93"/>
    <n v="6.4"/>
    <s v="yes"/>
    <s v="No"/>
    <x v="0"/>
    <n v="1"/>
    <x v="1"/>
    <x v="0"/>
    <s v="Prediabetes"/>
    <n v="1974"/>
    <s v="Sep"/>
    <n v="8"/>
    <n v="2"/>
    <d v="1974-09-08T00:00:00"/>
    <n v="8968.33"/>
    <s v="tier - 3"/>
    <s v="tier - 2"/>
    <s v="R1011"/>
    <n v="48"/>
  </r>
  <r>
    <s v="Id1101"/>
    <s v="Reasoner, Mrs.  Lauren"/>
    <n v="26.11"/>
    <n v="6.8"/>
    <s v="yes"/>
    <s v="No"/>
    <x v="0"/>
    <n v="2"/>
    <x v="1"/>
    <x v="1"/>
    <s v="Diabetes"/>
    <n v="1974"/>
    <s v="Jul"/>
    <n v="21"/>
    <n v="2"/>
    <d v="1974-07-21T00:00:00"/>
    <n v="8978.19"/>
    <s v="tier - 2"/>
    <s v="tier - 2"/>
    <s v="R1013"/>
    <n v="48"/>
  </r>
  <r>
    <s v="Id1102"/>
    <s v="Wandzilak, Mr.  Scott"/>
    <n v="32.299999999999997"/>
    <n v="9.48"/>
    <s v="No"/>
    <s v="No"/>
    <x v="0"/>
    <n v="2"/>
    <x v="1"/>
    <x v="0"/>
    <s v="Diabetes"/>
    <n v="1973"/>
    <s v="Oct"/>
    <n v="11"/>
    <n v="0"/>
    <d v="1973-10-11T00:00:00"/>
    <n v="8988.16"/>
    <s v="tier - 2"/>
    <s v="tier - 1"/>
    <s v="R1012"/>
    <n v="49"/>
  </r>
  <r>
    <s v="Id1103"/>
    <s v="Carver, Mr.  Brian A."/>
    <n v="28.69"/>
    <n v="7.45"/>
    <s v="No"/>
    <s v="No"/>
    <x v="0"/>
    <n v="2"/>
    <x v="1"/>
    <x v="1"/>
    <s v="Diabetes"/>
    <n v="1979"/>
    <s v="Dec"/>
    <n v="16"/>
    <n v="2"/>
    <d v="1979-12-16T00:00:00"/>
    <n v="8998.43"/>
    <s v="tier - 2"/>
    <s v="tier - 1"/>
    <s v="R1025"/>
    <n v="43"/>
  </r>
  <r>
    <s v="Id1104"/>
    <s v="Borror, Ms.  Kaitlin R."/>
    <n v="31.28"/>
    <n v="6.94"/>
    <s v="yes"/>
    <s v="No"/>
    <x v="0"/>
    <n v="1"/>
    <x v="1"/>
    <x v="0"/>
    <s v="Diabetes"/>
    <n v="1993"/>
    <s v="Dec"/>
    <n v="1"/>
    <n v="0"/>
    <d v="1993-12-01T00:00:00"/>
    <n v="9010.2000000000007"/>
    <s v="tier - 2"/>
    <s v="tier - 3"/>
    <s v="R1026"/>
    <n v="29"/>
  </r>
  <r>
    <s v="Id1105"/>
    <s v="Saad, Mr.  Mohammad"/>
    <n v="30.21"/>
    <n v="7.83"/>
    <s v="No"/>
    <s v="No"/>
    <x v="0"/>
    <n v="0"/>
    <x v="1"/>
    <x v="0"/>
    <s v="Diabetes"/>
    <n v="1972"/>
    <s v="Dec"/>
    <n v="7"/>
    <n v="1"/>
    <d v="1972-12-07T00:00:00"/>
    <n v="9048.0300000000007"/>
    <s v="tier - 2"/>
    <s v="tier - 2"/>
    <s v="R1013"/>
    <n v="50"/>
  </r>
  <r>
    <s v="Id1106"/>
    <s v="Paul, Mr.  Charlie"/>
    <n v="38.28"/>
    <n v="10.17"/>
    <s v="yes"/>
    <s v="No"/>
    <x v="0"/>
    <n v="0"/>
    <x v="1"/>
    <x v="0"/>
    <s v="Diabetes"/>
    <n v="1972"/>
    <s v="Dec"/>
    <n v="2"/>
    <n v="1"/>
    <d v="1972-12-02T00:00:00"/>
    <n v="9058.73"/>
    <s v="tier - 3"/>
    <s v="tier - 2"/>
    <s v="R1013"/>
    <n v="50"/>
  </r>
  <r>
    <s v="Id1107"/>
    <s v="Trail, Mr.  Brent"/>
    <n v="29.9"/>
    <n v="8.9600000000000009"/>
    <s v="yes"/>
    <s v="No"/>
    <x v="0"/>
    <n v="0"/>
    <x v="1"/>
    <x v="1"/>
    <s v="Diabetes"/>
    <n v="1977"/>
    <s v="Nov"/>
    <n v="4"/>
    <n v="2"/>
    <d v="1977-11-04T00:00:00"/>
    <n v="9095.07"/>
    <s v="tier - 2"/>
    <s v="tier - 2"/>
    <s v="R1024"/>
    <n v="45"/>
  </r>
  <r>
    <s v="Id1108"/>
    <s v="Benton, Ms.  Kelli M"/>
    <n v="23.18"/>
    <n v="6.96"/>
    <s v="yes"/>
    <s v="No"/>
    <x v="0"/>
    <n v="2"/>
    <x v="1"/>
    <x v="2"/>
    <s v="Diabetes"/>
    <n v="1965"/>
    <s v="Nov"/>
    <n v="9"/>
    <n v="0"/>
    <d v="1965-11-09T00:00:00"/>
    <n v="9095.94"/>
    <s v="tier - 3"/>
    <s v="tier - 1"/>
    <s v="R1011"/>
    <n v="57"/>
  </r>
  <r>
    <s v="Id1109"/>
    <s v="Bauman, Mrs.  Sheridan H"/>
    <n v="33.020000000000003"/>
    <n v="5.07"/>
    <s v="yes"/>
    <s v="No"/>
    <x v="0"/>
    <n v="0"/>
    <x v="1"/>
    <x v="0"/>
    <s v="Normal"/>
    <n v="1977"/>
    <s v="Dec"/>
    <n v="2"/>
    <n v="3"/>
    <d v="1977-12-02T00:00:00"/>
    <n v="9101.7999999999993"/>
    <s v="tier - 2"/>
    <s v="tier - 1"/>
    <s v="R1011"/>
    <n v="45"/>
  </r>
  <r>
    <s v="Id1110"/>
    <s v="Bakula, Mrs.  Sarah M."/>
    <n v="27.29"/>
    <n v="5.85"/>
    <s v="No"/>
    <s v="No"/>
    <x v="0"/>
    <n v="2"/>
    <x v="1"/>
    <x v="1"/>
    <s v="Prediabetes"/>
    <n v="1970"/>
    <s v="Aug"/>
    <n v="12"/>
    <n v="0"/>
    <d v="1970-08-12T00:00:00"/>
    <n v="9140.9500000000007"/>
    <s v="tier - 3"/>
    <s v="tier - 3"/>
    <s v="R1013"/>
    <n v="52"/>
  </r>
  <r>
    <s v="Id1111"/>
    <s v="Edwards, Ms.  Jennifer"/>
    <n v="23.18"/>
    <n v="10.56"/>
    <s v="No"/>
    <s v="No"/>
    <x v="0"/>
    <n v="2"/>
    <x v="1"/>
    <x v="2"/>
    <s v="Diabetes"/>
    <n v="1970"/>
    <s v="Oct"/>
    <n v="18"/>
    <n v="0"/>
    <d v="1970-10-18T00:00:00"/>
    <n v="9144.57"/>
    <s v="tier - 3"/>
    <s v="tier - 2"/>
    <s v="R1011"/>
    <n v="52"/>
  </r>
  <r>
    <s v="Id1112"/>
    <s v="Davis, Mrs.  Laura J"/>
    <n v="32.659999999999997"/>
    <n v="8.92"/>
    <s v="yes"/>
    <s v="No"/>
    <x v="0"/>
    <n v="0"/>
    <x v="1"/>
    <x v="0"/>
    <s v="Diabetes"/>
    <n v="1982"/>
    <s v="Dec"/>
    <n v="8"/>
    <n v="3"/>
    <d v="1982-12-08T00:00:00"/>
    <n v="9147.5"/>
    <s v="tier - 2"/>
    <s v="tier - 1"/>
    <s v="R1012"/>
    <n v="40"/>
  </r>
  <r>
    <s v="Id1113"/>
    <s v="Weiler, Mr.  Thomas"/>
    <n v="30.78"/>
    <n v="8.6300000000000008"/>
    <s v="No"/>
    <s v="No"/>
    <x v="0"/>
    <n v="0"/>
    <x v="1"/>
    <x v="0"/>
    <s v="Diabetes"/>
    <n v="1990"/>
    <s v="Aug"/>
    <n v="23"/>
    <n v="3"/>
    <d v="1990-08-23T00:00:00"/>
    <n v="9159.51"/>
    <s v="tier - 2"/>
    <s v="tier - 2"/>
    <s v="R1021"/>
    <n v="32"/>
  </r>
  <r>
    <s v="Id1114"/>
    <s v="Schaaf, Ms.  Gisele"/>
    <n v="47.2"/>
    <n v="6.29"/>
    <s v="yes"/>
    <s v="No"/>
    <x v="1"/>
    <n v="1"/>
    <x v="1"/>
    <x v="0"/>
    <s v="Prediabetes"/>
    <n v="1970"/>
    <s v="Oct"/>
    <n v="24"/>
    <n v="0"/>
    <d v="1970-10-24T00:00:00"/>
    <n v="9171.75"/>
    <s v="tier - 2"/>
    <s v="tier - 2"/>
    <s v="R1012"/>
    <n v="52"/>
  </r>
  <r>
    <s v="Id1115"/>
    <s v="Sack, Ms.  Myra L"/>
    <n v="31.6"/>
    <n v="5.75"/>
    <s v="No"/>
    <s v="No"/>
    <x v="0"/>
    <n v="2"/>
    <x v="1"/>
    <x v="0"/>
    <s v="Prediabetes"/>
    <n v="1971"/>
    <s v="Dec"/>
    <n v="29"/>
    <n v="0"/>
    <d v="1971-12-29T00:00:00"/>
    <n v="9174.14"/>
    <s v="tier - 3"/>
    <s v="tier - 1"/>
    <s v="R1012"/>
    <n v="51"/>
  </r>
  <r>
    <s v="Id1116"/>
    <s v="Chenard, Ms.  Melissa M."/>
    <n v="33.914999999999999"/>
    <n v="6.66"/>
    <s v="yes"/>
    <s v="No"/>
    <x v="0"/>
    <n v="1"/>
    <x v="1"/>
    <x v="0"/>
    <s v="Diabetes"/>
    <n v="1973"/>
    <s v="Dec"/>
    <n v="25"/>
    <n v="1"/>
    <d v="1973-12-25T00:00:00"/>
    <n v="9182.17"/>
    <s v="tier - 2"/>
    <s v="tier - 3"/>
    <s v="R1011"/>
    <n v="49"/>
  </r>
  <r>
    <s v="Id1117"/>
    <s v="Williamson, Ms.  Eleanor F."/>
    <n v="23.54"/>
    <n v="5.0999999999999996"/>
    <s v="No"/>
    <s v="No"/>
    <x v="0"/>
    <n v="2"/>
    <x v="1"/>
    <x v="2"/>
    <s v="Normal"/>
    <n v="1976"/>
    <s v="Sep"/>
    <n v="10"/>
    <n v="2"/>
    <d v="1976-09-10T00:00:00"/>
    <n v="9193.84"/>
    <s v="tier - 2"/>
    <s v="tier - 1"/>
    <s v="R1012"/>
    <n v="46"/>
  </r>
  <r>
    <s v="Id1118"/>
    <s v="Dollas, Ms.  Elizabeth"/>
    <n v="27.074999999999999"/>
    <n v="4.41"/>
    <s v="No"/>
    <s v="No"/>
    <x v="0"/>
    <n v="2"/>
    <x v="1"/>
    <x v="1"/>
    <s v="Normal"/>
    <n v="1986"/>
    <s v="Dec"/>
    <n v="25"/>
    <n v="3"/>
    <d v="1986-12-25T00:00:00"/>
    <n v="9210.06"/>
    <s v="tier - 2"/>
    <s v="tier - 3"/>
    <s v="R1021"/>
    <n v="36"/>
  </r>
  <r>
    <s v="Id1119"/>
    <s v="Sprague, Mr.  Kenneth"/>
    <n v="25.8"/>
    <n v="5.52"/>
    <s v="yes"/>
    <s v="No"/>
    <x v="0"/>
    <n v="0"/>
    <x v="1"/>
    <x v="1"/>
    <s v="Normal"/>
    <n v="1981"/>
    <s v="Dec"/>
    <n v="5"/>
    <n v="5"/>
    <d v="1981-12-05T00:00:00"/>
    <n v="9222.4"/>
    <s v="tier - 2"/>
    <s v="tier - 3"/>
    <s v="R1019"/>
    <n v="41"/>
  </r>
  <r>
    <s v="Id1120"/>
    <s v="Michell, Mr.  Robert G."/>
    <n v="36.1"/>
    <n v="4.62"/>
    <s v="yes"/>
    <s v="No"/>
    <x v="1"/>
    <n v="1"/>
    <x v="1"/>
    <x v="0"/>
    <s v="Normal"/>
    <n v="1975"/>
    <s v="Dec"/>
    <n v="6"/>
    <n v="2"/>
    <d v="1975-12-06T00:00:00"/>
    <n v="9225.26"/>
    <s v="tier - 3"/>
    <s v="tier - 3"/>
    <s v="R1015"/>
    <n v="47"/>
  </r>
  <r>
    <s v="Id1121"/>
    <s v="Datwyler, Mr.  Thomas C."/>
    <n v="30.495000000000001"/>
    <n v="5.74"/>
    <s v="yes"/>
    <s v="No"/>
    <x v="1"/>
    <n v="1"/>
    <x v="1"/>
    <x v="0"/>
    <s v="Prediabetes"/>
    <n v="1980"/>
    <s v="Oct"/>
    <n v="5"/>
    <n v="2"/>
    <d v="1980-10-05T00:00:00"/>
    <n v="9247.94"/>
    <s v="tier - 2"/>
    <s v="tier - 1"/>
    <s v="R1021"/>
    <n v="42"/>
  </r>
  <r>
    <s v="Id1122"/>
    <s v="Mead, Mr.  Matthew J."/>
    <n v="21.4"/>
    <n v="6.3"/>
    <s v="yes"/>
    <s v="No"/>
    <x v="1"/>
    <n v="1"/>
    <x v="1"/>
    <x v="2"/>
    <s v="Prediabetes"/>
    <n v="1974"/>
    <s v="Aug"/>
    <n v="21"/>
    <n v="1"/>
    <d v="1974-08-21T00:00:00"/>
    <n v="9249.5"/>
    <s v="tier - 2"/>
    <s v="tier - 1"/>
    <s v="R1012"/>
    <n v="48"/>
  </r>
  <r>
    <s v="Id1123"/>
    <s v="Kennedy, Ms.  Mallory D."/>
    <n v="32.299999999999997"/>
    <n v="10.27"/>
    <s v="No"/>
    <s v="No"/>
    <x v="0"/>
    <n v="0"/>
    <x v="1"/>
    <x v="0"/>
    <s v="Diabetes"/>
    <n v="1971"/>
    <s v="Aug"/>
    <n v="6"/>
    <n v="0"/>
    <d v="1971-08-06T00:00:00"/>
    <n v="9264.7999999999993"/>
    <s v="tier - 2"/>
    <s v="tier - 1"/>
    <s v="R1011"/>
    <n v="51"/>
  </r>
  <r>
    <s v="Id1124"/>
    <s v="Czech, Mr.  Christopher D."/>
    <n v="29.78"/>
    <n v="5.85"/>
    <s v="No"/>
    <s v="No"/>
    <x v="1"/>
    <n v="1"/>
    <x v="1"/>
    <x v="1"/>
    <s v="Prediabetes"/>
    <n v="1973"/>
    <s v="Oct"/>
    <n v="27"/>
    <n v="1"/>
    <d v="1973-10-27T00:00:00"/>
    <n v="9282.48"/>
    <s v="tier - 3"/>
    <s v="tier - 2"/>
    <s v="R1016"/>
    <n v="49"/>
  </r>
  <r>
    <s v="Id1125"/>
    <s v="O'Brien, Mrs.  Jamie"/>
    <n v="34.76"/>
    <n v="5.92"/>
    <s v="yes"/>
    <s v="No"/>
    <x v="0"/>
    <n v="1"/>
    <x v="1"/>
    <x v="0"/>
    <s v="Prediabetes"/>
    <n v="1971"/>
    <s v="Jul"/>
    <n v="2"/>
    <n v="0"/>
    <d v="1971-07-02T00:00:00"/>
    <n v="9283.56"/>
    <s v="tier - 2"/>
    <s v="tier - 3"/>
    <s v="R1013"/>
    <n v="51"/>
  </r>
  <r>
    <s v="Id1126"/>
    <s v="Bachman, Ms.  Ariell"/>
    <n v="18.335000000000001"/>
    <n v="10.01"/>
    <s v="yes"/>
    <s v="No"/>
    <x v="0"/>
    <n v="2"/>
    <x v="1"/>
    <x v="3"/>
    <s v="Diabetes"/>
    <n v="1969"/>
    <s v="Nov"/>
    <n v="26"/>
    <n v="0"/>
    <d v="1969-11-26T00:00:00"/>
    <n v="9285.8700000000008"/>
    <s v="tier - 2"/>
    <s v="tier - 3"/>
    <s v="R1013"/>
    <n v="53"/>
  </r>
  <r>
    <s v="Id1127"/>
    <s v="Bednar, Mr.  Christopher"/>
    <n v="32.299999999999997"/>
    <n v="9.59"/>
    <s v="No"/>
    <s v="No"/>
    <x v="0"/>
    <n v="0"/>
    <x v="1"/>
    <x v="0"/>
    <s v="Diabetes"/>
    <n v="1973"/>
    <s v="Oct"/>
    <n v="16"/>
    <n v="1"/>
    <d v="1973-10-16T00:00:00"/>
    <n v="9288.0300000000007"/>
    <s v="tier - 2"/>
    <s v="tier - 3"/>
    <s v="R1018"/>
    <n v="49"/>
  </r>
  <r>
    <s v="Id1128"/>
    <s v="Daye, Mr.  Ryan"/>
    <n v="27.74"/>
    <n v="10.37"/>
    <s v="No"/>
    <s v="No"/>
    <x v="0"/>
    <n v="0"/>
    <x v="1"/>
    <x v="1"/>
    <s v="Diabetes"/>
    <n v="1973"/>
    <s v="Sep"/>
    <n v="18"/>
    <n v="1"/>
    <d v="1973-09-18T00:00:00"/>
    <n v="9290.14"/>
    <s v="tier - 3"/>
    <s v="tier - 3"/>
    <s v="R1016"/>
    <n v="49"/>
  </r>
  <r>
    <s v="Id1129"/>
    <s v="Clarke, Mr.  Thomas B."/>
    <n v="24"/>
    <n v="4.01"/>
    <s v="yes"/>
    <s v="No"/>
    <x v="0"/>
    <n v="1"/>
    <x v="1"/>
    <x v="2"/>
    <s v="Normal"/>
    <n v="1976"/>
    <s v="Nov"/>
    <n v="3"/>
    <n v="3"/>
    <d v="1976-11-03T00:00:00"/>
    <n v="9301.89"/>
    <s v="tier - 2"/>
    <s v="tier - 1"/>
    <s v="R1012"/>
    <n v="46"/>
  </r>
  <r>
    <s v="Id1130"/>
    <s v="Koren, Ms.  Katie"/>
    <n v="31.78"/>
    <n v="4.24"/>
    <s v="yes"/>
    <s v="No"/>
    <x v="1"/>
    <n v="1"/>
    <x v="1"/>
    <x v="0"/>
    <s v="Normal"/>
    <n v="1973"/>
    <s v="Oct"/>
    <n v="16"/>
    <n v="2"/>
    <d v="1973-10-16T00:00:00"/>
    <n v="9304.7000000000007"/>
    <s v="tier - 3"/>
    <s v="tier - 3"/>
    <s v="R1013"/>
    <n v="49"/>
  </r>
  <r>
    <s v="Id1131"/>
    <s v="Kuramoto, Mrs.  Rachelle L"/>
    <n v="32.25"/>
    <n v="5.36"/>
    <s v="yes"/>
    <s v="No"/>
    <x v="0"/>
    <n v="0"/>
    <x v="1"/>
    <x v="0"/>
    <s v="Normal"/>
    <n v="1963"/>
    <s v="Jun"/>
    <n v="8"/>
    <n v="0"/>
    <d v="1963-06-08T00:00:00"/>
    <n v="9310.81"/>
    <s v="tier - 3"/>
    <s v="tier - 1"/>
    <s v="R1013"/>
    <n v="60"/>
  </r>
  <r>
    <s v="Id1132"/>
    <s v="Lynn, Ms.  Colleen"/>
    <n v="30.114999999999998"/>
    <n v="4.99"/>
    <s v="No"/>
    <s v="No"/>
    <x v="0"/>
    <n v="2"/>
    <x v="1"/>
    <x v="0"/>
    <s v="Normal"/>
    <n v="1977"/>
    <s v="Oct"/>
    <n v="12"/>
    <n v="2"/>
    <d v="1977-10-12T00:00:00"/>
    <n v="9315.41"/>
    <s v="tier - 2"/>
    <s v="tier - 1"/>
    <s v="R1024"/>
    <n v="45"/>
  </r>
  <r>
    <s v="Id1133"/>
    <s v="Dierksen, Mr.  Gregory A"/>
    <n v="22.41"/>
    <n v="8.68"/>
    <s v="No"/>
    <s v="No"/>
    <x v="0"/>
    <n v="0"/>
    <x v="1"/>
    <x v="2"/>
    <s v="Diabetes"/>
    <n v="1988"/>
    <s v="Jul"/>
    <n v="9"/>
    <n v="3"/>
    <d v="1988-07-09T00:00:00"/>
    <n v="9320.26"/>
    <s v="tier - 2"/>
    <s v="tier - 1"/>
    <s v="R1012"/>
    <n v="34"/>
  </r>
  <r>
    <s v="Id1134"/>
    <s v="Zoeller, Ms.  Lara"/>
    <n v="45.72"/>
    <n v="4.2300000000000004"/>
    <s v="yes"/>
    <s v="No"/>
    <x v="0"/>
    <n v="0"/>
    <x v="1"/>
    <x v="0"/>
    <s v="Normal"/>
    <n v="1996"/>
    <s v="Oct"/>
    <n v="12"/>
    <n v="0"/>
    <d v="1996-10-12T00:00:00"/>
    <n v="9338.61"/>
    <s v="tier - 2"/>
    <s v="tier - 1"/>
    <s v="R1026"/>
    <n v="26"/>
  </r>
  <r>
    <s v="Id1135"/>
    <s v="Flesch, Ms.  Megan"/>
    <n v="25"/>
    <n v="5.32"/>
    <s v="yes"/>
    <s v="No"/>
    <x v="0"/>
    <n v="2"/>
    <x v="1"/>
    <x v="1"/>
    <s v="Normal"/>
    <n v="1988"/>
    <s v="Jul"/>
    <n v="1"/>
    <n v="3"/>
    <d v="1988-07-01T00:00:00"/>
    <n v="9344.2000000000007"/>
    <s v="tier - 2"/>
    <s v="tier - 1"/>
    <s v="R1021"/>
    <n v="34"/>
  </r>
  <r>
    <s v="Id1136"/>
    <s v="Maltby, Ms.  Sara"/>
    <n v="39.5"/>
    <n v="6.66"/>
    <s v="No"/>
    <s v="No"/>
    <x v="0"/>
    <n v="0"/>
    <x v="1"/>
    <x v="0"/>
    <s v="Diabetes"/>
    <n v="1971"/>
    <s v="Oct"/>
    <n v="8"/>
    <n v="0"/>
    <d v="1971-10-08T00:00:00"/>
    <n v="9361.33"/>
    <s v="tier - 3"/>
    <s v="tier - 1"/>
    <s v="R1016"/>
    <n v="51"/>
  </r>
  <r>
    <s v="Id1137"/>
    <s v="Custance, Ms.  Lucie J."/>
    <n v="37.729999999999997"/>
    <n v="7.4"/>
    <s v="No"/>
    <s v="No"/>
    <x v="0"/>
    <n v="0"/>
    <x v="1"/>
    <x v="0"/>
    <s v="Diabetes"/>
    <n v="1969"/>
    <s v="Nov"/>
    <n v="24"/>
    <n v="0"/>
    <d v="1969-11-24T00:00:00"/>
    <n v="9377.4500000000007"/>
    <s v="tier - 2"/>
    <s v="tier - 3"/>
    <s v="R1013"/>
    <n v="53"/>
  </r>
  <r>
    <s v="Id1138"/>
    <s v="Choi, Ms.  Elizabeth S."/>
    <n v="40.659999999999997"/>
    <n v="10.08"/>
    <s v="No"/>
    <s v="No"/>
    <x v="0"/>
    <n v="0"/>
    <x v="1"/>
    <x v="0"/>
    <s v="Diabetes"/>
    <n v="1971"/>
    <s v="Nov"/>
    <n v="26"/>
    <n v="1"/>
    <d v="1971-11-26T00:00:00"/>
    <n v="9377.9"/>
    <s v="tier - 2"/>
    <s v="tier - 1"/>
    <s v="R1013"/>
    <n v="51"/>
  </r>
  <r>
    <s v="Id1139"/>
    <s v="Barnett, Ms.  Carma S"/>
    <n v="34.200000000000003"/>
    <n v="8.58"/>
    <s v="No"/>
    <s v="No"/>
    <x v="0"/>
    <n v="0"/>
    <x v="1"/>
    <x v="0"/>
    <s v="Diabetes"/>
    <n v="1975"/>
    <s v="Dec"/>
    <n v="2"/>
    <n v="1"/>
    <d v="1975-12-02T00:00:00"/>
    <n v="9380.75"/>
    <s v="tier - 2"/>
    <s v="tier - 2"/>
    <s v="R1024"/>
    <n v="47"/>
  </r>
  <r>
    <s v="Id1140"/>
    <s v="Proulx, Mr.  Ryan"/>
    <n v="46.51"/>
    <n v="5.84"/>
    <s v="No"/>
    <s v="No"/>
    <x v="0"/>
    <n v="1"/>
    <x v="1"/>
    <x v="0"/>
    <s v="Prediabetes"/>
    <n v="1971"/>
    <s v="Dec"/>
    <n v="29"/>
    <n v="1"/>
    <d v="1971-12-29T00:00:00"/>
    <n v="9386.16"/>
    <s v="tier - 3"/>
    <s v="tier - 2"/>
    <s v="R1013"/>
    <n v="51"/>
  </r>
  <r>
    <s v="Id1141"/>
    <s v="Hamilton, Mr.  Daniel"/>
    <n v="28.88"/>
    <n v="4.8600000000000003"/>
    <s v="yes"/>
    <s v="No"/>
    <x v="1"/>
    <n v="1"/>
    <x v="1"/>
    <x v="1"/>
    <s v="Normal"/>
    <n v="1971"/>
    <s v="Oct"/>
    <n v="20"/>
    <n v="1"/>
    <d v="1971-10-20T00:00:00"/>
    <n v="9391.35"/>
    <s v="tier - 3"/>
    <s v="tier - 3"/>
    <s v="R1011"/>
    <n v="51"/>
  </r>
  <r>
    <s v="Id1142"/>
    <s v="Lundine, Ms.  Sarah"/>
    <n v="33.914999999999999"/>
    <n v="11.52"/>
    <s v="No"/>
    <s v="No"/>
    <x v="0"/>
    <n v="0"/>
    <x v="1"/>
    <x v="0"/>
    <s v="Diabetes"/>
    <n v="1976"/>
    <s v="Oct"/>
    <n v="17"/>
    <n v="2"/>
    <d v="1976-10-17T00:00:00"/>
    <n v="9411.01"/>
    <s v="tier - 2"/>
    <s v="tier - 3"/>
    <s v="R1024"/>
    <n v="46"/>
  </r>
  <r>
    <s v="Id1143"/>
    <s v="Paullin, Mr.  Matthew J"/>
    <n v="24.32"/>
    <n v="6.15"/>
    <s v="yes"/>
    <s v="No"/>
    <x v="1"/>
    <n v="1"/>
    <x v="1"/>
    <x v="2"/>
    <s v="Prediabetes"/>
    <n v="1976"/>
    <s v="Oct"/>
    <n v="30"/>
    <n v="3"/>
    <d v="1976-10-30T00:00:00"/>
    <n v="9414.92"/>
    <s v="tier - 2"/>
    <s v="tier - 2"/>
    <s v="R1011"/>
    <n v="46"/>
  </r>
  <r>
    <s v="Id1144"/>
    <s v="Delucia, Ms.  Francesca"/>
    <n v="25.8"/>
    <n v="9.94"/>
    <s v="No"/>
    <s v="No"/>
    <x v="0"/>
    <n v="0"/>
    <x v="1"/>
    <x v="1"/>
    <s v="Diabetes"/>
    <n v="1976"/>
    <s v="Nov"/>
    <n v="3"/>
    <n v="2"/>
    <d v="1976-11-03T00:00:00"/>
    <n v="9432.93"/>
    <s v="tier - 2"/>
    <s v="tier - 1"/>
    <s v="R1024"/>
    <n v="46"/>
  </r>
  <r>
    <s v="Id1145"/>
    <s v="Valentine, Ms.  Nicole"/>
    <n v="21.56"/>
    <n v="10.56"/>
    <s v="No"/>
    <s v="No"/>
    <x v="0"/>
    <n v="0"/>
    <x v="1"/>
    <x v="2"/>
    <s v="Diabetes"/>
    <n v="1974"/>
    <s v="Nov"/>
    <n v="27"/>
    <n v="1"/>
    <d v="1974-11-27T00:00:00"/>
    <n v="9447.25"/>
    <s v="tier - 2"/>
    <s v="tier - 1"/>
    <s v="R1024"/>
    <n v="48"/>
  </r>
  <r>
    <s v="Id1146"/>
    <s v="Mohara, Mr.  Toshiyuki"/>
    <n v="31.6"/>
    <n v="6.79"/>
    <s v="No"/>
    <s v="No"/>
    <x v="0"/>
    <n v="0"/>
    <x v="1"/>
    <x v="0"/>
    <s v="Diabetes"/>
    <n v="1974"/>
    <s v="Jun"/>
    <n v="8"/>
    <n v="1"/>
    <d v="1974-06-08T00:00:00"/>
    <n v="9447.3799999999992"/>
    <s v="tier - 2"/>
    <s v="tier - 3"/>
    <s v="R1024"/>
    <n v="49"/>
  </r>
  <r>
    <s v="Id1147"/>
    <s v="Fairbrother, Mr.  Tom L."/>
    <n v="42.93"/>
    <n v="4.8"/>
    <s v="No"/>
    <s v="No"/>
    <x v="0"/>
    <n v="1"/>
    <x v="1"/>
    <x v="0"/>
    <s v="Normal"/>
    <n v="1987"/>
    <s v="Nov"/>
    <n v="14"/>
    <n v="3"/>
    <d v="1987-11-14T00:00:00"/>
    <n v="9448.42"/>
    <s v="tier - 2"/>
    <s v="tier - 3"/>
    <s v="R1021"/>
    <n v="35"/>
  </r>
  <r>
    <s v="Id1148"/>
    <s v="Fagan, Mr.  Brian"/>
    <n v="26.72"/>
    <n v="5.75"/>
    <s v="No"/>
    <s v="No"/>
    <x v="0"/>
    <n v="2"/>
    <x v="1"/>
    <x v="1"/>
    <s v="Prediabetes"/>
    <n v="1979"/>
    <s v="Jul"/>
    <n v="17"/>
    <n v="2"/>
    <d v="1979-07-17T00:00:00"/>
    <n v="9453.92"/>
    <s v="tier - 2"/>
    <s v="tier - 2"/>
    <s v="R1021"/>
    <n v="43"/>
  </r>
  <r>
    <s v="Id1149"/>
    <s v="Toth, Mr.  Matthew"/>
    <n v="26.67"/>
    <n v="5.81"/>
    <s v="No"/>
    <s v="No"/>
    <x v="0"/>
    <n v="2"/>
    <x v="1"/>
    <x v="1"/>
    <s v="Prediabetes"/>
    <n v="1969"/>
    <s v="Jun"/>
    <n v="4"/>
    <n v="0"/>
    <d v="1969-06-04T00:00:00"/>
    <n v="9487.64"/>
    <s v="tier - 2"/>
    <s v="tier - 2"/>
    <s v="R1013"/>
    <n v="54"/>
  </r>
  <r>
    <s v="Id1150"/>
    <s v="Guinn, Ms.  Julee"/>
    <n v="42.68"/>
    <n v="9.2799999999999994"/>
    <s v="No"/>
    <s v="No"/>
    <x v="0"/>
    <n v="2"/>
    <x v="1"/>
    <x v="0"/>
    <s v="Diabetes"/>
    <n v="1976"/>
    <s v="Nov"/>
    <n v="28"/>
    <n v="3"/>
    <d v="1976-11-28T00:00:00"/>
    <n v="9500.57"/>
    <s v="tier - 2"/>
    <s v="tier - 3"/>
    <s v="R1017"/>
    <n v="46"/>
  </r>
  <r>
    <s v="Id1151"/>
    <s v="Rogers, Mr.  Christopher M."/>
    <n v="24.31"/>
    <n v="6.37"/>
    <s v="No"/>
    <s v="No"/>
    <x v="0"/>
    <n v="0"/>
    <x v="1"/>
    <x v="2"/>
    <s v="Prediabetes"/>
    <n v="1969"/>
    <s v="Aug"/>
    <n v="24"/>
    <n v="0"/>
    <d v="1969-08-24T00:00:00"/>
    <n v="9504.31"/>
    <s v="tier - 3"/>
    <s v="tier - 2"/>
    <s v="R1013"/>
    <n v="53"/>
  </r>
  <r>
    <s v="Id1152"/>
    <s v="Diviney, Mr.  Ciaran"/>
    <n v="44.75"/>
    <n v="5.09"/>
    <s v="yes"/>
    <s v="No"/>
    <x v="0"/>
    <n v="0"/>
    <x v="1"/>
    <x v="0"/>
    <s v="Normal"/>
    <n v="1992"/>
    <s v="Aug"/>
    <n v="22"/>
    <n v="0"/>
    <d v="1992-08-22T00:00:00"/>
    <n v="9507.68"/>
    <s v="tier - 2"/>
    <s v="tier - 1"/>
    <s v="R1012"/>
    <n v="30"/>
  </r>
  <r>
    <s v="Id1153"/>
    <s v="Marlatt, Ms.  Kara"/>
    <n v="30.78"/>
    <n v="7.94"/>
    <s v="No"/>
    <s v="No"/>
    <x v="0"/>
    <n v="2"/>
    <x v="1"/>
    <x v="0"/>
    <s v="Diabetes"/>
    <n v="1971"/>
    <s v="Nov"/>
    <n v="29"/>
    <n v="0"/>
    <d v="1971-11-29T00:00:00"/>
    <n v="9528.9"/>
    <s v="tier - 2"/>
    <s v="tier - 2"/>
    <s v="R1011"/>
    <n v="51"/>
  </r>
  <r>
    <s v="Id1154"/>
    <s v="Ohler, Ms.  Makie"/>
    <n v="21.86"/>
    <n v="10.95"/>
    <s v="No"/>
    <s v="No"/>
    <x v="0"/>
    <n v="0"/>
    <x v="1"/>
    <x v="2"/>
    <s v="Diabetes"/>
    <n v="1973"/>
    <s v="Dec"/>
    <n v="21"/>
    <n v="0"/>
    <d v="1973-12-21T00:00:00"/>
    <n v="9538.65"/>
    <s v="tier - 2"/>
    <s v="tier - 3"/>
    <s v="R1021"/>
    <n v="49"/>
  </r>
  <r>
    <s v="Id1155"/>
    <s v="Mossler, Ms.  Emily E"/>
    <n v="49.09"/>
    <n v="6.3"/>
    <s v="yes"/>
    <s v="No"/>
    <x v="0"/>
    <n v="0"/>
    <x v="1"/>
    <x v="0"/>
    <s v="Prediabetes"/>
    <n v="1975"/>
    <s v="Jul"/>
    <n v="28"/>
    <n v="1"/>
    <d v="1975-07-28T00:00:00"/>
    <n v="9540.17"/>
    <s v="tier - 2"/>
    <s v="tier - 2"/>
    <s v="R1024"/>
    <n v="47"/>
  </r>
  <r>
    <s v="Id1156"/>
    <s v="Segall, Mr.  Cary"/>
    <n v="47.74"/>
    <n v="8.0500000000000007"/>
    <s v="yes"/>
    <s v="No"/>
    <x v="0"/>
    <n v="2"/>
    <x v="1"/>
    <x v="0"/>
    <s v="Diabetes"/>
    <n v="1972"/>
    <s v="Sep"/>
    <n v="22"/>
    <n v="0"/>
    <d v="1972-09-22T00:00:00"/>
    <n v="9541.7000000000007"/>
    <s v="tier - 2"/>
    <s v="tier - 1"/>
    <s v="R1024"/>
    <n v="50"/>
  </r>
  <r>
    <s v="Id1157"/>
    <s v="Sprieser, Mr.  Steven"/>
    <n v="30.2"/>
    <n v="9.8800000000000008"/>
    <s v="yes"/>
    <s v="No"/>
    <x v="0"/>
    <n v="2"/>
    <x v="1"/>
    <x v="0"/>
    <s v="Diabetes"/>
    <n v="1972"/>
    <s v="Sep"/>
    <n v="22"/>
    <n v="1"/>
    <d v="1972-09-22T00:00:00"/>
    <n v="9549.57"/>
    <s v="tier - 2"/>
    <s v="tier - 1"/>
    <s v="R1013"/>
    <n v="50"/>
  </r>
  <r>
    <s v="Id1158"/>
    <s v="Blanco, Mr.  Jose Antonio Sr."/>
    <n v="33.25"/>
    <n v="7.42"/>
    <s v="yes"/>
    <s v="No"/>
    <x v="0"/>
    <n v="2"/>
    <x v="1"/>
    <x v="0"/>
    <s v="Diabetes"/>
    <n v="1974"/>
    <s v="Aug"/>
    <n v="14"/>
    <n v="3"/>
    <d v="1974-08-14T00:00:00"/>
    <n v="9563.0300000000007"/>
    <s v="tier - 3"/>
    <s v="tier - 1"/>
    <s v="R1011"/>
    <n v="48"/>
  </r>
  <r>
    <s v="Id1159"/>
    <s v="Sheptock, Ms.  Tatiana"/>
    <n v="26.6"/>
    <n v="8.4499999999999993"/>
    <s v="yes"/>
    <s v="No"/>
    <x v="0"/>
    <n v="1"/>
    <x v="1"/>
    <x v="1"/>
    <s v="Diabetes"/>
    <n v="1973"/>
    <s v="Dec"/>
    <n v="1"/>
    <n v="1"/>
    <d v="1973-12-01T00:00:00"/>
    <n v="9566.99"/>
    <s v="tier - 2"/>
    <s v="tier - 1"/>
    <s v="R1012"/>
    <n v="49"/>
  </r>
  <r>
    <s v="Id1160"/>
    <s v="Chruniak, Mr.  Dan T."/>
    <n v="26.35"/>
    <n v="6.21"/>
    <s v="No"/>
    <s v="No"/>
    <x v="0"/>
    <n v="2"/>
    <x v="1"/>
    <x v="1"/>
    <s v="Prediabetes"/>
    <n v="1966"/>
    <s v="Dec"/>
    <n v="4"/>
    <n v="0"/>
    <d v="1966-12-04T00:00:00"/>
    <n v="9582.5400000000009"/>
    <s v="tier - 3"/>
    <s v="tier - 2"/>
    <s v="R1013"/>
    <n v="56"/>
  </r>
  <r>
    <s v="Id1161"/>
    <s v="Miller, Ms.  Liisa A."/>
    <n v="39.994999999999997"/>
    <n v="4.6500000000000004"/>
    <s v="No"/>
    <s v="No"/>
    <x v="0"/>
    <n v="0"/>
    <x v="1"/>
    <x v="0"/>
    <s v="Normal"/>
    <n v="1973"/>
    <s v="Nov"/>
    <n v="28"/>
    <n v="1"/>
    <d v="1973-11-28T00:00:00"/>
    <n v="9583.89"/>
    <s v="tier - 2"/>
    <s v="tier - 3"/>
    <s v="R1012"/>
    <n v="49"/>
  </r>
  <r>
    <s v="Id1162"/>
    <s v="Theis, Ms.  Kathryn E."/>
    <n v="22.92"/>
    <n v="5.87"/>
    <s v="yes"/>
    <s v="No"/>
    <x v="0"/>
    <n v="1"/>
    <x v="1"/>
    <x v="2"/>
    <s v="Prediabetes"/>
    <n v="1981"/>
    <s v="Oct"/>
    <n v="18"/>
    <n v="1"/>
    <d v="1981-10-18T00:00:00"/>
    <n v="9584.0400000000009"/>
    <s v="tier - 2"/>
    <s v="tier - 1"/>
    <s v="R1021"/>
    <n v="41"/>
  </r>
  <r>
    <s v="Id1163"/>
    <s v="Sadler, Mr.  Maxwell"/>
    <n v="24.78"/>
    <n v="4.24"/>
    <s v="yes"/>
    <s v="No"/>
    <x v="0"/>
    <n v="2"/>
    <x v="1"/>
    <x v="2"/>
    <s v="Normal"/>
    <n v="1964"/>
    <s v="Dec"/>
    <n v="15"/>
    <n v="0"/>
    <d v="1964-12-15T00:00:00"/>
    <n v="9597.6299999999992"/>
    <s v="tier - 3"/>
    <s v="tier - 3"/>
    <s v="R1013"/>
    <n v="58"/>
  </r>
  <r>
    <s v="Id1164"/>
    <s v="Auger, Ms.  Pascale"/>
    <n v="34.07"/>
    <n v="7.81"/>
    <s v="yes"/>
    <s v="No"/>
    <x v="0"/>
    <n v="0"/>
    <x v="1"/>
    <x v="0"/>
    <s v="Diabetes"/>
    <n v="1972"/>
    <s v="Dec"/>
    <n v="27"/>
    <n v="1"/>
    <d v="1972-12-27T00:00:00"/>
    <n v="9617.66"/>
    <s v="tier - 3"/>
    <s v="tier - 3"/>
    <s v="R1016"/>
    <n v="50"/>
  </r>
  <r>
    <s v="Id1165"/>
    <s v="Steadman, Ms.  Becca"/>
    <n v="30.14"/>
    <n v="9.85"/>
    <s v="No"/>
    <s v="No"/>
    <x v="0"/>
    <n v="0"/>
    <x v="1"/>
    <x v="0"/>
    <s v="Diabetes"/>
    <n v="1982"/>
    <s v="Aug"/>
    <n v="29"/>
    <n v="3"/>
    <d v="1982-08-29T00:00:00"/>
    <n v="9619.18"/>
    <s v="tier - 2"/>
    <s v="tier - 1"/>
    <s v="R1025"/>
    <n v="40"/>
  </r>
  <r>
    <s v="Id1166"/>
    <s v="McCarron, Ms.  Grace"/>
    <n v="18.05"/>
    <n v="6.94"/>
    <s v="No"/>
    <s v="No"/>
    <x v="0"/>
    <n v="0"/>
    <x v="1"/>
    <x v="3"/>
    <s v="Diabetes"/>
    <n v="1975"/>
    <s v="Oct"/>
    <n v="29"/>
    <n v="3"/>
    <d v="1975-10-29T00:00:00"/>
    <n v="9620.33"/>
    <s v="tier - 3"/>
    <s v="tier - 3"/>
    <s v="R1012"/>
    <n v="47"/>
  </r>
  <r>
    <s v="Id1167"/>
    <s v="Roecker, Ms.  Samantha"/>
    <n v="37.4"/>
    <n v="11.3"/>
    <s v="yes"/>
    <s v="No"/>
    <x v="0"/>
    <n v="2"/>
    <x v="1"/>
    <x v="0"/>
    <s v="Diabetes"/>
    <n v="1970"/>
    <s v="Dec"/>
    <n v="16"/>
    <n v="0"/>
    <d v="1970-12-16T00:00:00"/>
    <n v="9625.92"/>
    <s v="tier - 2"/>
    <s v="tier - 3"/>
    <s v="R1011"/>
    <n v="52"/>
  </r>
  <r>
    <s v="Id1168"/>
    <s v="Giumarra, Mrs.  Nicole R."/>
    <n v="25.75"/>
    <n v="9.23"/>
    <s v="No"/>
    <s v="No"/>
    <x v="0"/>
    <n v="0"/>
    <x v="1"/>
    <x v="1"/>
    <s v="Diabetes"/>
    <n v="1998"/>
    <s v="Jun"/>
    <n v="23"/>
    <n v="0"/>
    <d v="1998-06-23T00:00:00"/>
    <n v="9628.7900000000009"/>
    <s v="tier - 2"/>
    <s v="tier - 2"/>
    <s v="R1026"/>
    <n v="24"/>
  </r>
  <r>
    <s v="Id1169"/>
    <s v="Peters, Mr.  David W"/>
    <n v="32.299999999999997"/>
    <n v="4.37"/>
    <s v="No"/>
    <s v="No"/>
    <x v="0"/>
    <n v="2"/>
    <x v="1"/>
    <x v="0"/>
    <s v="Normal"/>
    <n v="1979"/>
    <s v="Dec"/>
    <n v="19"/>
    <n v="2"/>
    <d v="1979-12-19T00:00:00"/>
    <n v="9630.2999999999993"/>
    <s v="tier - 2"/>
    <s v="tier - 2"/>
    <s v="R1021"/>
    <n v="43"/>
  </r>
  <r>
    <s v="Id1170"/>
    <s v="Bower, Mr.  Grant"/>
    <n v="28.61"/>
    <n v="5.76"/>
    <s v="No"/>
    <s v="No"/>
    <x v="1"/>
    <n v="1"/>
    <x v="1"/>
    <x v="1"/>
    <s v="Prediabetes"/>
    <n v="1972"/>
    <s v="Oct"/>
    <n v="23"/>
    <n v="2"/>
    <d v="1972-10-23T00:00:00"/>
    <n v="9630.4"/>
    <s v="tier - 2"/>
    <s v="tier - 2"/>
    <s v="R1011"/>
    <n v="50"/>
  </r>
  <r>
    <s v="Id1171"/>
    <s v="Chen, Mrs.  Sophia"/>
    <n v="45.41"/>
    <n v="4.96"/>
    <s v="No"/>
    <s v="No"/>
    <x v="0"/>
    <n v="1"/>
    <x v="1"/>
    <x v="0"/>
    <s v="Normal"/>
    <n v="1968"/>
    <s v="Jun"/>
    <n v="22"/>
    <n v="0"/>
    <d v="1968-06-22T00:00:00"/>
    <n v="9630.91"/>
    <s v="tier - 3"/>
    <s v="tier - 2"/>
    <s v="R1013"/>
    <n v="54"/>
  </r>
  <r>
    <s v="Id1172"/>
    <s v="Capriccioso, Ms.  Christina"/>
    <n v="31.2"/>
    <n v="11.04"/>
    <s v="yes"/>
    <s v="No"/>
    <x v="0"/>
    <n v="2"/>
    <x v="1"/>
    <x v="0"/>
    <s v="Diabetes"/>
    <n v="1970"/>
    <s v="Sep"/>
    <n v="30"/>
    <n v="0"/>
    <d v="1970-09-30T00:00:00"/>
    <n v="9634.5400000000009"/>
    <s v="tier - 2"/>
    <s v="tier - 2"/>
    <s v="R1011"/>
    <n v="52"/>
  </r>
  <r>
    <s v="Id1173"/>
    <s v="Starbuck, Mr.  Sam L."/>
    <n v="29.83"/>
    <n v="7.81"/>
    <s v="yes"/>
    <s v="No"/>
    <x v="0"/>
    <n v="1"/>
    <x v="1"/>
    <x v="1"/>
    <s v="Diabetes"/>
    <n v="1971"/>
    <s v="Jul"/>
    <n v="19"/>
    <n v="0"/>
    <d v="1971-07-19T00:00:00"/>
    <n v="9644.25"/>
    <s v="tier - 2"/>
    <s v="tier - 1"/>
    <s v="R1012"/>
    <n v="51"/>
  </r>
  <r>
    <s v="Id1174"/>
    <s v="McMahon, Mrs.  Haley R."/>
    <n v="29.06"/>
    <n v="4.55"/>
    <s v="No"/>
    <s v="No"/>
    <x v="0"/>
    <n v="0"/>
    <x v="1"/>
    <x v="1"/>
    <s v="Normal"/>
    <n v="1974"/>
    <s v="Jul"/>
    <n v="8"/>
    <n v="0"/>
    <d v="1974-07-08T00:00:00"/>
    <n v="9653.81"/>
    <s v="tier - 2"/>
    <s v="tier - 2"/>
    <s v="R1011"/>
    <n v="48"/>
  </r>
  <r>
    <s v="Id1175"/>
    <s v="Rissell, Mr.  Ethan"/>
    <n v="27.454999999999998"/>
    <n v="6.13"/>
    <s v="No"/>
    <s v="No"/>
    <x v="0"/>
    <n v="2"/>
    <x v="1"/>
    <x v="1"/>
    <s v="Prediabetes"/>
    <n v="1981"/>
    <s v="Aug"/>
    <n v="8"/>
    <n v="1"/>
    <d v="1981-08-08T00:00:00"/>
    <n v="9664.34"/>
    <s v="tier - 2"/>
    <s v="tier - 3"/>
    <s v="R1011"/>
    <n v="41"/>
  </r>
  <r>
    <s v="Id1176"/>
    <s v="Kromroy, Mr.  Andrew W"/>
    <n v="23.01"/>
    <n v="6.04"/>
    <s v="yes"/>
    <s v="No"/>
    <x v="0"/>
    <n v="1"/>
    <x v="1"/>
    <x v="2"/>
    <s v="Prediabetes"/>
    <n v="1966"/>
    <s v="Sep"/>
    <n v="16"/>
    <n v="0"/>
    <d v="1966-09-16T00:00:00"/>
    <n v="9684.2900000000009"/>
    <s v="tier - 3"/>
    <s v="tier - 2"/>
    <s v="R1013"/>
    <n v="56"/>
  </r>
  <r>
    <s v="Id1177"/>
    <s v="Manfredi, Mr.  Mark G"/>
    <n v="31.39"/>
    <n v="8.85"/>
    <s v="yes"/>
    <s v="No"/>
    <x v="0"/>
    <n v="0"/>
    <x v="1"/>
    <x v="0"/>
    <s v="Diabetes"/>
    <n v="1964"/>
    <s v="Nov"/>
    <n v="7"/>
    <n v="0"/>
    <d v="1964-11-07T00:00:00"/>
    <n v="9698.42"/>
    <s v="tier - 3"/>
    <s v="tier - 3"/>
    <s v="R1013"/>
    <n v="58"/>
  </r>
  <r>
    <s v="Id1178"/>
    <s v="Manwaring, Ms.  Kasey E."/>
    <n v="34.770000000000003"/>
    <n v="10.54"/>
    <s v="No"/>
    <s v="No"/>
    <x v="0"/>
    <n v="2"/>
    <x v="1"/>
    <x v="0"/>
    <s v="Diabetes"/>
    <n v="1977"/>
    <s v="Sep"/>
    <n v="19"/>
    <n v="3"/>
    <d v="1977-09-19T00:00:00"/>
    <n v="9704.67"/>
    <s v="tier - 2"/>
    <s v="tier - 3"/>
    <s v="R1024"/>
    <n v="45"/>
  </r>
  <r>
    <s v="Id1179"/>
    <s v="Tomaszewski, Mr.  Jeff"/>
    <n v="24.48"/>
    <n v="4.37"/>
    <s v="yes"/>
    <s v="No"/>
    <x v="0"/>
    <n v="2"/>
    <x v="1"/>
    <x v="2"/>
    <s v="Normal"/>
    <n v="1972"/>
    <s v="Jul"/>
    <n v="10"/>
    <n v="0"/>
    <d v="1972-07-10T00:00:00"/>
    <n v="9710.7099999999991"/>
    <s v="tier - 2"/>
    <s v="tier - 1"/>
    <s v="R1021"/>
    <n v="50"/>
  </r>
  <r>
    <s v="Id1180"/>
    <s v="Gannon, Ms.  Amy"/>
    <n v="22.61"/>
    <n v="9.6300000000000008"/>
    <s v="No"/>
    <s v="No"/>
    <x v="0"/>
    <n v="2"/>
    <x v="1"/>
    <x v="2"/>
    <s v="Diabetes"/>
    <n v="1975"/>
    <s v="Jun"/>
    <n v="27"/>
    <n v="2"/>
    <d v="1975-06-27T00:00:00"/>
    <n v="9715.84"/>
    <s v="tier - 2"/>
    <s v="tier - 1"/>
    <s v="R1024"/>
    <n v="47"/>
  </r>
  <r>
    <s v="Id1181"/>
    <s v="Frye, Mr.  Adam"/>
    <n v="34.299999999999997"/>
    <n v="10.37"/>
    <s v="No"/>
    <s v="No"/>
    <x v="0"/>
    <n v="0"/>
    <x v="1"/>
    <x v="0"/>
    <s v="Diabetes"/>
    <n v="1970"/>
    <s v="Sep"/>
    <n v="12"/>
    <n v="0"/>
    <d v="1970-09-12T00:00:00"/>
    <n v="9722.77"/>
    <s v="tier - 3"/>
    <s v="tier - 1"/>
    <s v="R1016"/>
    <n v="52"/>
  </r>
  <r>
    <s v="Id1182"/>
    <s v="Jenkins, Ms.  Kristin M"/>
    <n v="46.09"/>
    <n v="5.44"/>
    <s v="No"/>
    <s v="No"/>
    <x v="0"/>
    <n v="2"/>
    <x v="1"/>
    <x v="0"/>
    <s v="Normal"/>
    <n v="1970"/>
    <s v="Aug"/>
    <n v="18"/>
    <n v="1"/>
    <d v="1970-08-18T00:00:00"/>
    <n v="9724.5300000000007"/>
    <s v="tier - 3"/>
    <s v="tier - 1"/>
    <s v="R1011"/>
    <n v="52"/>
  </r>
  <r>
    <s v="Id1183"/>
    <s v="Currier, Ms.  Mary-Lynn B."/>
    <n v="44.744999999999997"/>
    <n v="5.19"/>
    <s v="No"/>
    <s v="No"/>
    <x v="0"/>
    <n v="2"/>
    <x v="1"/>
    <x v="0"/>
    <s v="Normal"/>
    <n v="1970"/>
    <s v="Jul"/>
    <n v="4"/>
    <n v="1"/>
    <d v="1970-07-04T00:00:00"/>
    <n v="9748.91"/>
    <s v="tier - 2"/>
    <s v="tier - 1"/>
    <s v="R1013"/>
    <n v="52"/>
  </r>
  <r>
    <s v="Id1184"/>
    <s v="Whittendale, Mrs.  Jamie A"/>
    <n v="26.33"/>
    <n v="11.8"/>
    <s v="yes"/>
    <s v="No"/>
    <x v="0"/>
    <n v="1"/>
    <x v="1"/>
    <x v="1"/>
    <s v="Diabetes"/>
    <n v="2001"/>
    <s v="Jul"/>
    <n v="14"/>
    <n v="0"/>
    <d v="2001-07-14T00:00:00"/>
    <n v="9753.49"/>
    <s v="tier - 2"/>
    <s v="tier - 2"/>
    <s v="R1012"/>
    <n v="21"/>
  </r>
  <r>
    <s v="Id1185"/>
    <s v="Rixe, Mr.  Jeffrey A."/>
    <n v="26.6"/>
    <n v="8.3800000000000008"/>
    <s v="No"/>
    <s v="No"/>
    <x v="0"/>
    <n v="2"/>
    <x v="1"/>
    <x v="1"/>
    <s v="Diabetes"/>
    <n v="1965"/>
    <s v="Sep"/>
    <n v="5"/>
    <n v="0"/>
    <d v="1965-09-05T00:00:00"/>
    <n v="9764.08"/>
    <s v="tier - 3"/>
    <s v="tier - 1"/>
    <s v="R1012"/>
    <n v="57"/>
  </r>
  <r>
    <s v="Id1186"/>
    <s v="Ballon-Landa, Ms.  Nicole"/>
    <n v="27.5"/>
    <n v="7.58"/>
    <s v="No"/>
    <s v="No"/>
    <x v="0"/>
    <n v="0"/>
    <x v="1"/>
    <x v="1"/>
    <s v="Diabetes"/>
    <n v="1973"/>
    <s v="Jul"/>
    <n v="7"/>
    <n v="1"/>
    <d v="1973-07-07T00:00:00"/>
    <n v="9778.35"/>
    <s v="tier - 2"/>
    <s v="tier - 2"/>
    <s v="R1024"/>
    <n v="49"/>
  </r>
  <r>
    <s v="Id1187"/>
    <s v="Zaferos, Ms.  Audrey"/>
    <n v="41.55"/>
    <n v="4.6100000000000003"/>
    <s v="No"/>
    <s v="No"/>
    <x v="0"/>
    <n v="1"/>
    <x v="1"/>
    <x v="0"/>
    <s v="Normal"/>
    <n v="1996"/>
    <s v="Aug"/>
    <n v="8"/>
    <n v="0"/>
    <d v="1996-08-08T00:00:00"/>
    <n v="9787.32"/>
    <s v="tier - 2"/>
    <s v="tier - 3"/>
    <s v="R1023"/>
    <n v="26"/>
  </r>
  <r>
    <s v="Id1188"/>
    <s v="Jackson, Mr.  Jacob"/>
    <n v="41.47"/>
    <n v="4.7"/>
    <s v="yes"/>
    <s v="No"/>
    <x v="1"/>
    <n v="1"/>
    <x v="1"/>
    <x v="0"/>
    <s v="Normal"/>
    <n v="1977"/>
    <s v="Jun"/>
    <n v="7"/>
    <n v="5"/>
    <d v="1977-06-07T00:00:00"/>
    <n v="9788.8700000000008"/>
    <s v="tier - 3"/>
    <s v="tier - 2"/>
    <s v="R1013"/>
    <n v="46"/>
  </r>
  <r>
    <s v="Id1189"/>
    <s v="Evans Marke, Mr.  Daniel S"/>
    <n v="24.795000000000002"/>
    <n v="6.05"/>
    <s v="yes"/>
    <s v="No"/>
    <x v="0"/>
    <n v="0"/>
    <x v="1"/>
    <x v="2"/>
    <s v="Prediabetes"/>
    <n v="1973"/>
    <s v="Sep"/>
    <n v="17"/>
    <n v="2"/>
    <d v="1973-09-17T00:00:00"/>
    <n v="9800.89"/>
    <s v="tier - 2"/>
    <s v="tier - 1"/>
    <s v="R1013"/>
    <n v="49"/>
  </r>
  <r>
    <s v="Id1190"/>
    <s v="Samland, Mr.  Marc C."/>
    <n v="29.48"/>
    <n v="5.63"/>
    <s v="yes"/>
    <s v="No"/>
    <x v="1"/>
    <n v="1"/>
    <x v="1"/>
    <x v="1"/>
    <s v="Normal"/>
    <n v="1972"/>
    <s v="Jun"/>
    <n v="28"/>
    <n v="0"/>
    <d v="1972-06-28T00:00:00"/>
    <n v="9819.25"/>
    <s v="tier - 2"/>
    <s v="tier - 2"/>
    <s v="R1021"/>
    <n v="50"/>
  </r>
  <r>
    <s v="Id1191"/>
    <s v="Shapiro, Mr.  Mark S"/>
    <n v="28.09"/>
    <n v="6.06"/>
    <s v="No"/>
    <s v="No"/>
    <x v="1"/>
    <n v="1"/>
    <x v="1"/>
    <x v="1"/>
    <s v="Prediabetes"/>
    <n v="1972"/>
    <s v="Sep"/>
    <n v="26"/>
    <n v="0"/>
    <d v="1972-09-26T00:00:00"/>
    <n v="9836.2099999999991"/>
    <s v="tier - 2"/>
    <s v="tier - 3"/>
    <s v="R1021"/>
    <n v="50"/>
  </r>
  <r>
    <s v="Id1192"/>
    <s v="Snitzer, Mr.  Dan"/>
    <n v="32.729999999999997"/>
    <n v="5.19"/>
    <s v="No"/>
    <s v="No"/>
    <x v="0"/>
    <n v="1"/>
    <x v="1"/>
    <x v="0"/>
    <s v="Normal"/>
    <n v="1992"/>
    <s v="Aug"/>
    <n v="13"/>
    <n v="0"/>
    <d v="1992-08-13T00:00:00"/>
    <n v="9844.4500000000007"/>
    <s v="tier - 2"/>
    <s v="tier - 1"/>
    <s v="R1012"/>
    <n v="30"/>
  </r>
  <r>
    <s v="Id1193"/>
    <s v="Herra Arroyo, Ms.  Gabriela"/>
    <n v="27.36"/>
    <n v="8.9600000000000009"/>
    <s v="No"/>
    <s v="No"/>
    <x v="0"/>
    <n v="0"/>
    <x v="1"/>
    <x v="1"/>
    <s v="Diabetes"/>
    <n v="1968"/>
    <s v="Nov"/>
    <n v="4"/>
    <n v="0"/>
    <d v="1968-11-04T00:00:00"/>
    <n v="9850.43"/>
    <s v="tier - 3"/>
    <s v="tier - 3"/>
    <s v="R1011"/>
    <n v="54"/>
  </r>
  <r>
    <s v="Id1194"/>
    <s v="Watters, Ms.  Amanda"/>
    <n v="27.265000000000001"/>
    <n v="11.39"/>
    <s v="No"/>
    <s v="No"/>
    <x v="0"/>
    <n v="0"/>
    <x v="1"/>
    <x v="1"/>
    <s v="Diabetes"/>
    <n v="1971"/>
    <s v="Oct"/>
    <n v="23"/>
    <n v="1"/>
    <d v="1971-10-23T00:00:00"/>
    <n v="9855.1299999999992"/>
    <s v="tier - 2"/>
    <s v="tier - 3"/>
    <s v="R1013"/>
    <n v="51"/>
  </r>
  <r>
    <s v="Id1195"/>
    <s v="Steele-Belkin, Ms.  Dara"/>
    <n v="48.07"/>
    <n v="4.0599999999999996"/>
    <s v="yes"/>
    <s v="No"/>
    <x v="0"/>
    <n v="0"/>
    <x v="1"/>
    <x v="0"/>
    <s v="Normal"/>
    <n v="1971"/>
    <s v="Jul"/>
    <n v="17"/>
    <n v="1"/>
    <d v="1971-07-17T00:00:00"/>
    <n v="9861.0300000000007"/>
    <s v="tier - 2"/>
    <s v="tier - 2"/>
    <s v="R1011"/>
    <n v="51"/>
  </r>
  <r>
    <s v="Id1196"/>
    <s v="Christensen, Ms.  Rachelle R"/>
    <n v="30.8"/>
    <n v="5.23"/>
    <s v="yes"/>
    <s v="No"/>
    <x v="0"/>
    <n v="0"/>
    <x v="1"/>
    <x v="0"/>
    <s v="Normal"/>
    <n v="1969"/>
    <s v="Oct"/>
    <n v="20"/>
    <n v="0"/>
    <d v="1969-10-20T00:00:00"/>
    <n v="9863.4699999999993"/>
    <s v="tier - 3"/>
    <s v="tier - 3"/>
    <s v="R1012"/>
    <n v="53"/>
  </r>
  <r>
    <s v="Id1197"/>
    <s v="Hodge, Ms.  Brenda J"/>
    <n v="32.299999999999997"/>
    <n v="5.05"/>
    <s v="yes"/>
    <s v="No"/>
    <x v="0"/>
    <n v="0"/>
    <x v="1"/>
    <x v="0"/>
    <s v="Normal"/>
    <n v="1971"/>
    <s v="Nov"/>
    <n v="9"/>
    <n v="0"/>
    <d v="1971-11-09T00:00:00"/>
    <n v="9866.2999999999993"/>
    <s v="tier - 2"/>
    <s v="tier - 3"/>
    <s v="R1024"/>
    <n v="51"/>
  </r>
  <r>
    <s v="Id1198"/>
    <s v="Rusterholz, Mr.  Tim"/>
    <n v="39.700000000000003"/>
    <n v="7.34"/>
    <s v="No"/>
    <s v="No"/>
    <x v="0"/>
    <n v="0"/>
    <x v="1"/>
    <x v="0"/>
    <s v="Diabetes"/>
    <n v="1969"/>
    <s v="Aug"/>
    <n v="13"/>
    <n v="0"/>
    <d v="1969-08-13T00:00:00"/>
    <n v="9869.81"/>
    <s v="tier - 3"/>
    <s v="tier - 3"/>
    <s v="R1012"/>
    <n v="53"/>
  </r>
  <r>
    <s v="Id1199"/>
    <s v="Lafrance, Mr.  Sylvain"/>
    <n v="35.97"/>
    <n v="8.1300000000000008"/>
    <s v="No"/>
    <s v="No"/>
    <x v="0"/>
    <n v="0"/>
    <x v="1"/>
    <x v="0"/>
    <s v="Diabetes"/>
    <n v="1998"/>
    <s v="Jul"/>
    <n v="6"/>
    <n v="0"/>
    <d v="1998-07-06T00:00:00"/>
    <n v="9870.59"/>
    <s v="tier - 2"/>
    <s v="tier - 2"/>
    <s v="R1023"/>
    <n v="24"/>
  </r>
  <r>
    <s v="Id1200"/>
    <s v="Hallis, Mrs.  Lisa M"/>
    <n v="25.86"/>
    <n v="6.68"/>
    <s v="yes"/>
    <s v="No"/>
    <x v="0"/>
    <n v="1"/>
    <x v="1"/>
    <x v="1"/>
    <s v="Diabetes"/>
    <n v="1971"/>
    <s v="Dec"/>
    <n v="22"/>
    <n v="1"/>
    <d v="1971-12-22T00:00:00"/>
    <n v="9872.7000000000007"/>
    <s v="tier - 2"/>
    <s v="tier - 2"/>
    <s v="R1011"/>
    <n v="51"/>
  </r>
  <r>
    <s v="Id1201"/>
    <s v="Marshall, Mr.  Ryan"/>
    <n v="30.03"/>
    <n v="11.51"/>
    <s v="No"/>
    <s v="No"/>
    <x v="0"/>
    <n v="0"/>
    <x v="1"/>
    <x v="0"/>
    <s v="Diabetes"/>
    <n v="1971"/>
    <s v="Jul"/>
    <n v="3"/>
    <n v="0"/>
    <d v="1971-07-03T00:00:00"/>
    <n v="9875.68"/>
    <s v="tier - 2"/>
    <s v="tier - 3"/>
    <s v="R1024"/>
    <n v="51"/>
  </r>
  <r>
    <s v="Id1202"/>
    <s v="Salowitz, Mrs.  Kaitlin M"/>
    <n v="25.76"/>
    <n v="6.02"/>
    <s v="yes"/>
    <s v="No"/>
    <x v="1"/>
    <n v="1"/>
    <x v="1"/>
    <x v="1"/>
    <s v="Prediabetes"/>
    <n v="1971"/>
    <s v="Oct"/>
    <n v="3"/>
    <n v="1"/>
    <d v="1971-10-03T00:00:00"/>
    <n v="9877.61"/>
    <s v="tier - 2"/>
    <s v="tier - 1"/>
    <s v="R1013"/>
    <n v="51"/>
  </r>
  <r>
    <s v="Id1203"/>
    <s v="Blake, Mr.  William R."/>
    <n v="22.42"/>
    <n v="7.96"/>
    <s v="No"/>
    <s v="No"/>
    <x v="0"/>
    <n v="0"/>
    <x v="1"/>
    <x v="2"/>
    <s v="Diabetes"/>
    <n v="1971"/>
    <s v="Nov"/>
    <n v="8"/>
    <n v="1"/>
    <d v="1971-11-08T00:00:00"/>
    <n v="9880.07"/>
    <s v="tier - 2"/>
    <s v="tier - 3"/>
    <s v="R1011"/>
    <n v="51"/>
  </r>
  <r>
    <s v="Id1204"/>
    <s v="Langerak, Mr.  Bruce"/>
    <n v="33.18"/>
    <n v="6.01"/>
    <s v="yes"/>
    <s v="No"/>
    <x v="0"/>
    <n v="1"/>
    <x v="1"/>
    <x v="0"/>
    <s v="Prediabetes"/>
    <n v="1966"/>
    <s v="Nov"/>
    <n v="5"/>
    <n v="0"/>
    <d v="1966-11-05T00:00:00"/>
    <n v="9890.23"/>
    <s v="tier - 3"/>
    <s v="tier - 3"/>
    <s v="R1013"/>
    <n v="56"/>
  </r>
  <r>
    <s v="Id1205"/>
    <s v="Bonilla, Mrs.  Veronica"/>
    <n v="43.04"/>
    <n v="5.9"/>
    <s v="yes"/>
    <s v="No"/>
    <x v="0"/>
    <n v="0"/>
    <x v="1"/>
    <x v="0"/>
    <s v="Prediabetes"/>
    <n v="1996"/>
    <s v="Jul"/>
    <n v="8"/>
    <n v="0"/>
    <d v="1996-07-08T00:00:00"/>
    <n v="9894.69"/>
    <s v="tier - 2"/>
    <s v="tier - 3"/>
    <s v="R1012"/>
    <n v="26"/>
  </r>
  <r>
    <s v="Id1206"/>
    <s v="Ciabattoni, Mr.  Warren"/>
    <n v="34.15"/>
    <n v="4.49"/>
    <s v="yes"/>
    <s v="No"/>
    <x v="0"/>
    <n v="1"/>
    <x v="1"/>
    <x v="0"/>
    <s v="Normal"/>
    <n v="1962"/>
    <s v="Aug"/>
    <n v="17"/>
    <n v="0"/>
    <d v="1962-08-17T00:00:00"/>
    <n v="9907.83"/>
    <s v="tier - 3"/>
    <s v="tier - 2"/>
    <s v="R1013"/>
    <n v="60"/>
  </r>
  <r>
    <s v="Id1207"/>
    <s v="Escanero Palmer, Mrs.  Daniela"/>
    <n v="25.78"/>
    <n v="6.25"/>
    <s v="No"/>
    <s v="No"/>
    <x v="0"/>
    <n v="0"/>
    <x v="1"/>
    <x v="1"/>
    <s v="Prediabetes"/>
    <n v="1972"/>
    <s v="Sep"/>
    <n v="14"/>
    <n v="1"/>
    <d v="1972-09-14T00:00:00"/>
    <n v="9910.36"/>
    <s v="tier - 2"/>
    <s v="tier - 3"/>
    <s v="R1012"/>
    <n v="50"/>
  </r>
  <r>
    <s v="Id1208"/>
    <s v="Lowe, Ms.  Deirdre A"/>
    <n v="21.02"/>
    <n v="9.6199999999999992"/>
    <s v="yes"/>
    <s v="No"/>
    <x v="1"/>
    <n v="1"/>
    <x v="1"/>
    <x v="2"/>
    <s v="Diabetes"/>
    <n v="1985"/>
    <s v="Aug"/>
    <n v="19"/>
    <n v="3"/>
    <d v="1985-08-19T00:00:00"/>
    <n v="9930.64"/>
    <s v="tier - 2"/>
    <s v="tier - 3"/>
    <s v="R1025"/>
    <n v="37"/>
  </r>
  <r>
    <s v="Id1209"/>
    <s v="Osmark, Mr.  Mathias"/>
    <n v="37.51"/>
    <n v="11.06"/>
    <s v="No"/>
    <s v="No"/>
    <x v="0"/>
    <n v="2"/>
    <x v="1"/>
    <x v="0"/>
    <s v="Diabetes"/>
    <n v="1983"/>
    <s v="Dec"/>
    <n v="3"/>
    <n v="3"/>
    <d v="1983-12-03T00:00:00"/>
    <n v="9931.9599999999991"/>
    <s v="tier - 2"/>
    <s v="tier - 2"/>
    <s v="R1012"/>
    <n v="39"/>
  </r>
  <r>
    <s v="Id1210"/>
    <s v="Lawson, Mr.  Matthew"/>
    <n v="25.745000000000001"/>
    <n v="6.11"/>
    <s v="yes"/>
    <s v="No"/>
    <x v="0"/>
    <n v="0"/>
    <x v="1"/>
    <x v="1"/>
    <s v="Prediabetes"/>
    <n v="1964"/>
    <s v="Sep"/>
    <n v="11"/>
    <n v="0"/>
    <d v="1964-09-11T00:00:00"/>
    <n v="9933.44"/>
    <s v="tier - 3"/>
    <s v="tier - 3"/>
    <s v="R1013"/>
    <n v="58"/>
  </r>
  <r>
    <s v="Id1211"/>
    <s v="Warwick, Mr.  Kurt"/>
    <n v="31.35"/>
    <n v="11.49"/>
    <s v="No"/>
    <s v="No"/>
    <x v="0"/>
    <n v="2"/>
    <x v="1"/>
    <x v="0"/>
    <s v="Diabetes"/>
    <n v="1971"/>
    <s v="Dec"/>
    <n v="26"/>
    <n v="1"/>
    <d v="1971-12-26T00:00:00"/>
    <n v="9957.7199999999993"/>
    <s v="tier - 2"/>
    <s v="tier - 3"/>
    <s v="R1018"/>
    <n v="51"/>
  </r>
  <r>
    <s v="Id1212"/>
    <s v="Magnuson, Mr.  Samuel"/>
    <n v="29.83"/>
    <n v="8.68"/>
    <s v="No"/>
    <s v="No"/>
    <x v="0"/>
    <n v="2"/>
    <x v="1"/>
    <x v="1"/>
    <s v="Diabetes"/>
    <n v="1971"/>
    <s v="Oct"/>
    <n v="6"/>
    <n v="1"/>
    <d v="1971-10-06T00:00:00"/>
    <n v="9964.06"/>
    <s v="tier - 2"/>
    <s v="tier - 2"/>
    <s v="R1019"/>
    <n v="51"/>
  </r>
  <r>
    <s v="Id1213"/>
    <s v="Marsh, Mrs.  Emily"/>
    <n v="25.49"/>
    <n v="5.68"/>
    <s v="yes"/>
    <s v="No"/>
    <x v="1"/>
    <n v="1"/>
    <x v="1"/>
    <x v="1"/>
    <s v="Normal"/>
    <n v="1970"/>
    <s v="Aug"/>
    <n v="11"/>
    <n v="0"/>
    <d v="1970-08-11T00:00:00"/>
    <n v="9991.0400000000009"/>
    <s v="tier - 2"/>
    <s v="tier - 3"/>
    <s v="R1012"/>
    <n v="52"/>
  </r>
  <r>
    <s v="Id1214"/>
    <s v="Kari, Ms.  Tiffany"/>
    <n v="34.1"/>
    <n v="8.4499999999999993"/>
    <s v="No"/>
    <s v="No"/>
    <x v="0"/>
    <n v="0"/>
    <x v="1"/>
    <x v="0"/>
    <s v="Diabetes"/>
    <n v="1988"/>
    <s v="Jul"/>
    <n v="3"/>
    <n v="3"/>
    <d v="1988-07-03T00:00:00"/>
    <n v="10011.44"/>
    <s v="tier - 3"/>
    <s v="tier - 3"/>
    <s v="R1026"/>
    <n v="34"/>
  </r>
  <r>
    <s v="Id1215"/>
    <s v="Standiford, Mr.  Alex F"/>
    <n v="25.84"/>
    <n v="8.51"/>
    <s v="No"/>
    <s v="No"/>
    <x v="0"/>
    <n v="2"/>
    <x v="1"/>
    <x v="1"/>
    <s v="Diabetes"/>
    <n v="1979"/>
    <s v="Dec"/>
    <n v="28"/>
    <n v="2"/>
    <d v="1979-12-28T00:00:00"/>
    <n v="10027.15"/>
    <s v="tier - 3"/>
    <s v="tier - 1"/>
    <s v="R1021"/>
    <n v="43"/>
  </r>
  <r>
    <s v="Id1216"/>
    <s v="Sherwin, Ms.  Alice"/>
    <n v="20.6"/>
    <n v="7.62"/>
    <s v="No"/>
    <s v="No"/>
    <x v="0"/>
    <n v="0"/>
    <x v="1"/>
    <x v="2"/>
    <s v="Diabetes"/>
    <n v="1974"/>
    <s v="Aug"/>
    <n v="30"/>
    <n v="2"/>
    <d v="1974-08-30T00:00:00"/>
    <n v="10043.25"/>
    <s v="tier - 3"/>
    <s v="tier - 2"/>
    <s v="R1024"/>
    <n v="48"/>
  </r>
  <r>
    <s v="Id1217"/>
    <s v="Parker, Ms.  Allison M."/>
    <n v="28.88"/>
    <n v="10.18"/>
    <s v="No"/>
    <s v="No"/>
    <x v="0"/>
    <n v="0"/>
    <x v="1"/>
    <x v="1"/>
    <s v="Diabetes"/>
    <n v="1969"/>
    <s v="Aug"/>
    <n v="22"/>
    <n v="1"/>
    <d v="1969-08-22T00:00:00"/>
    <n v="10065.41"/>
    <s v="tier - 3"/>
    <s v="tier - 2"/>
    <s v="R1011"/>
    <n v="53"/>
  </r>
  <r>
    <s v="Id1218"/>
    <s v="Blekeli, Mr.  Johannes Fiskerstand"/>
    <n v="28.24"/>
    <n v="5.36"/>
    <s v="No"/>
    <s v="No"/>
    <x v="0"/>
    <n v="0"/>
    <x v="1"/>
    <x v="1"/>
    <s v="Normal"/>
    <n v="1969"/>
    <s v="Oct"/>
    <n v="27"/>
    <n v="0"/>
    <d v="1969-10-27T00:00:00"/>
    <n v="10072.06"/>
    <s v="tier - 3"/>
    <s v="tier - 1"/>
    <s v="R1017"/>
    <n v="53"/>
  </r>
  <r>
    <s v="Id1219"/>
    <s v="Vangampleare, Mr.  Stephen"/>
    <n v="25.46"/>
    <n v="11.78"/>
    <s v="yes"/>
    <s v="No"/>
    <x v="0"/>
    <n v="1"/>
    <x v="1"/>
    <x v="1"/>
    <s v="Diabetes"/>
    <n v="1969"/>
    <s v="Jul"/>
    <n v="3"/>
    <n v="1"/>
    <d v="1969-07-03T00:00:00"/>
    <n v="10085.85"/>
    <s v="tier - 3"/>
    <s v="tier - 3"/>
    <s v="R1011"/>
    <n v="53"/>
  </r>
  <r>
    <s v="Id1220"/>
    <s v="Hiatt, Mr.  Jon M"/>
    <n v="29.64"/>
    <n v="10.82"/>
    <s v="yes"/>
    <s v="No"/>
    <x v="0"/>
    <n v="0"/>
    <x v="1"/>
    <x v="1"/>
    <s v="Diabetes"/>
    <n v="1976"/>
    <s v="Dec"/>
    <n v="19"/>
    <n v="5"/>
    <d v="1976-12-19T00:00:00"/>
    <n v="10096.969999999999"/>
    <s v="tier - 3"/>
    <s v="tier - 2"/>
    <s v="R1011"/>
    <n v="46"/>
  </r>
  <r>
    <s v="Id1221"/>
    <s v="Tadesse, Mr.  Fasil"/>
    <n v="31.27"/>
    <n v="7.73"/>
    <s v="yes"/>
    <s v="No"/>
    <x v="0"/>
    <n v="1"/>
    <x v="1"/>
    <x v="0"/>
    <s v="Diabetes"/>
    <n v="1972"/>
    <s v="Oct"/>
    <n v="19"/>
    <n v="1"/>
    <d v="1972-10-19T00:00:00"/>
    <n v="10106.129999999999"/>
    <s v="tier - 3"/>
    <s v="tier - 1"/>
    <s v="R1024"/>
    <n v="50"/>
  </r>
  <r>
    <s v="Id1222"/>
    <s v="Jaswell, Ms.  Megan C."/>
    <n v="19.95"/>
    <n v="6.24"/>
    <s v="yes"/>
    <s v="No"/>
    <x v="0"/>
    <n v="0"/>
    <x v="1"/>
    <x v="2"/>
    <s v="Prediabetes"/>
    <n v="1972"/>
    <s v="Aug"/>
    <n v="8"/>
    <n v="2"/>
    <d v="1972-08-08T00:00:00"/>
    <n v="10107.219999999999"/>
    <s v="tier - 3"/>
    <s v="tier - 1"/>
    <s v="R1013"/>
    <n v="50"/>
  </r>
  <r>
    <s v="Id1223"/>
    <s v="Phillips-Cook, Ms.  Lisa J."/>
    <n v="21.3"/>
    <n v="10.42"/>
    <s v="No"/>
    <s v="No"/>
    <x v="0"/>
    <n v="2"/>
    <x v="1"/>
    <x v="2"/>
    <s v="Diabetes"/>
    <n v="1975"/>
    <s v="Jul"/>
    <n v="2"/>
    <n v="3"/>
    <d v="1975-07-02T00:00:00"/>
    <n v="10115.01"/>
    <s v="tier - 3"/>
    <s v="tier - 3"/>
    <s v="R1012"/>
    <n v="47"/>
  </r>
  <r>
    <s v="Id1224"/>
    <s v="Clark, Mr.  Doron P"/>
    <n v="31.635000000000002"/>
    <n v="11.11"/>
    <s v="No"/>
    <s v="No"/>
    <x v="0"/>
    <n v="0"/>
    <x v="1"/>
    <x v="0"/>
    <s v="Diabetes"/>
    <n v="1972"/>
    <s v="Nov"/>
    <n v="16"/>
    <n v="2"/>
    <d v="1972-11-16T00:00:00"/>
    <n v="10118.42"/>
    <s v="tier - 3"/>
    <s v="tier - 3"/>
    <s v="R1011"/>
    <n v="50"/>
  </r>
  <r>
    <s v="Id1225"/>
    <s v="Wang, Ms.  Katharina"/>
    <n v="23.9"/>
    <n v="7.67"/>
    <s v="yes"/>
    <s v="No"/>
    <x v="0"/>
    <n v="2"/>
    <x v="1"/>
    <x v="2"/>
    <s v="Diabetes"/>
    <n v="1997"/>
    <s v="Sep"/>
    <n v="5"/>
    <n v="0"/>
    <d v="1997-09-05T00:00:00"/>
    <n v="10139.84"/>
    <s v="tier - 3"/>
    <s v="tier - 2"/>
    <s v="R1012"/>
    <n v="25"/>
  </r>
  <r>
    <s v="Id1226"/>
    <s v="Desruisseaux, Mr.  Carl"/>
    <n v="34.15"/>
    <n v="6.15"/>
    <s v="No"/>
    <s v="No"/>
    <x v="0"/>
    <n v="0"/>
    <x v="1"/>
    <x v="0"/>
    <s v="Prediabetes"/>
    <n v="1974"/>
    <s v="Dec"/>
    <n v="30"/>
    <n v="3"/>
    <d v="1974-12-30T00:00:00"/>
    <n v="10141.14"/>
    <s v="tier - 3"/>
    <s v="tier - 1"/>
    <s v="R1016"/>
    <n v="48"/>
  </r>
  <r>
    <s v="Id1227"/>
    <s v="Ripp, Ms.  Kelsey J."/>
    <n v="28.71"/>
    <n v="5.71"/>
    <s v="No"/>
    <s v="No"/>
    <x v="0"/>
    <n v="0"/>
    <x v="1"/>
    <x v="1"/>
    <s v="Prediabetes"/>
    <n v="1981"/>
    <s v="Jun"/>
    <n v="12"/>
    <n v="1"/>
    <d v="1981-06-12T00:00:00"/>
    <n v="10146.129999999999"/>
    <s v="tier - 3"/>
    <s v="tier - 1"/>
    <s v="R1025"/>
    <n v="41"/>
  </r>
  <r>
    <s v="Id1228"/>
    <s v="Harris, Mr.  Stephen A."/>
    <n v="36.700000000000003"/>
    <n v="8.6999999999999993"/>
    <s v="yes"/>
    <s v="No"/>
    <x v="0"/>
    <n v="2"/>
    <x v="1"/>
    <x v="0"/>
    <s v="Diabetes"/>
    <n v="1973"/>
    <s v="Oct"/>
    <n v="13"/>
    <n v="2"/>
    <d v="1973-10-13T00:00:00"/>
    <n v="10156.780000000001"/>
    <s v="tier - 3"/>
    <s v="tier - 2"/>
    <s v="R1012"/>
    <n v="49"/>
  </r>
  <r>
    <s v="Id1229"/>
    <s v="Shafer, Mr.  Dan"/>
    <n v="34.1"/>
    <n v="9.0399999999999991"/>
    <s v="yes"/>
    <s v="No"/>
    <x v="0"/>
    <n v="2"/>
    <x v="1"/>
    <x v="0"/>
    <s v="Diabetes"/>
    <n v="1972"/>
    <s v="Jul"/>
    <n v="10"/>
    <n v="0"/>
    <d v="1972-07-10T00:00:00"/>
    <n v="10160.870000000001"/>
    <s v="tier - 3"/>
    <s v="tier - 3"/>
    <s v="R1025"/>
    <n v="50"/>
  </r>
  <r>
    <s v="Id1230"/>
    <s v="Hemesath, Ms.  Katie C"/>
    <n v="25.7"/>
    <n v="5.61"/>
    <s v="No"/>
    <s v="No"/>
    <x v="0"/>
    <n v="0"/>
    <x v="1"/>
    <x v="1"/>
    <s v="Normal"/>
    <n v="1985"/>
    <s v="Oct"/>
    <n v="16"/>
    <n v="3"/>
    <d v="1985-10-16T00:00:00"/>
    <n v="10191.82"/>
    <s v="tier - 3"/>
    <s v="tier - 2"/>
    <s v="R1026"/>
    <n v="37"/>
  </r>
  <r>
    <s v="Id1231"/>
    <s v="Vinci, Ms.  Melissa K"/>
    <n v="21.68"/>
    <n v="8.1199999999999992"/>
    <s v="No"/>
    <s v="No"/>
    <x v="0"/>
    <n v="0"/>
    <x v="1"/>
    <x v="2"/>
    <s v="Diabetes"/>
    <n v="1970"/>
    <s v="Dec"/>
    <n v="24"/>
    <n v="0"/>
    <d v="1970-12-24T00:00:00"/>
    <n v="10197.77"/>
    <s v="tier - 3"/>
    <s v="tier - 1"/>
    <s v="R1024"/>
    <n v="52"/>
  </r>
  <r>
    <s v="Id1232"/>
    <s v="Diamond-Husmann, Ms.  Kara H"/>
    <n v="25.175000000000001"/>
    <n v="4.74"/>
    <s v="No"/>
    <s v="No"/>
    <x v="0"/>
    <n v="0"/>
    <x v="1"/>
    <x v="1"/>
    <s v="Normal"/>
    <n v="1967"/>
    <s v="Sep"/>
    <n v="26"/>
    <n v="0"/>
    <d v="1967-09-26T00:00:00"/>
    <n v="10214.64"/>
    <s v="tier - 3"/>
    <s v="tier - 2"/>
    <s v="R1011"/>
    <n v="55"/>
  </r>
  <r>
    <s v="Id1233"/>
    <s v="Soto, Mr.  Juan Carlos"/>
    <n v="44.77"/>
    <n v="4.0599999999999996"/>
    <s v="No"/>
    <s v="No"/>
    <x v="0"/>
    <n v="2"/>
    <x v="1"/>
    <x v="0"/>
    <s v="Normal"/>
    <n v="1967"/>
    <s v="Jun"/>
    <n v="28"/>
    <n v="0"/>
    <d v="1967-06-28T00:00:00"/>
    <n v="10226.280000000001"/>
    <s v="tier - 3"/>
    <s v="tier - 3"/>
    <s v="R1013"/>
    <n v="55"/>
  </r>
  <r>
    <s v="Id1234"/>
    <s v="Howard, Mr.  John III"/>
    <n v="37.07"/>
    <n v="5.69"/>
    <s v="No"/>
    <s v="No"/>
    <x v="0"/>
    <n v="2"/>
    <x v="1"/>
    <x v="0"/>
    <s v="Normal"/>
    <n v="1968"/>
    <s v="Sep"/>
    <n v="23"/>
    <n v="0"/>
    <d v="1968-09-23T00:00:00"/>
    <n v="10231.5"/>
    <s v="tier - 3"/>
    <s v="tier - 1"/>
    <s v="R1012"/>
    <n v="54"/>
  </r>
  <r>
    <s v="Id1235"/>
    <s v="Patrick, Mrs.  Sarah M"/>
    <n v="39.799999999999997"/>
    <n v="5.66"/>
    <s v="No"/>
    <s v="No"/>
    <x v="1"/>
    <n v="1"/>
    <x v="1"/>
    <x v="0"/>
    <s v="Normal"/>
    <n v="1975"/>
    <s v="Aug"/>
    <n v="15"/>
    <n v="1"/>
    <d v="1975-08-15T00:00:00"/>
    <n v="10259.129999999999"/>
    <s v="tier - 3"/>
    <s v="tier - 2"/>
    <s v="R1011"/>
    <n v="47"/>
  </r>
  <r>
    <s v="Id1236"/>
    <s v="Dacko, Mrs.  Kristin C"/>
    <n v="26.36"/>
    <n v="4.32"/>
    <s v="No"/>
    <s v="No"/>
    <x v="1"/>
    <n v="1"/>
    <x v="1"/>
    <x v="1"/>
    <s v="Normal"/>
    <n v="1973"/>
    <s v="Sep"/>
    <n v="5"/>
    <n v="3"/>
    <d v="1973-09-05T00:00:00"/>
    <n v="10264.44"/>
    <s v="tier - 3"/>
    <s v="tier - 2"/>
    <s v="R1012"/>
    <n v="49"/>
  </r>
  <r>
    <s v="Id1237"/>
    <s v="Glassey, Ms.  Casey M."/>
    <n v="29.925000000000001"/>
    <n v="8.2899999999999991"/>
    <s v="No"/>
    <s v="No"/>
    <x v="0"/>
    <n v="2"/>
    <x v="1"/>
    <x v="0"/>
    <s v="Diabetes"/>
    <n v="1973"/>
    <s v="Nov"/>
    <n v="27"/>
    <n v="3"/>
    <d v="1973-11-27T00:00:00"/>
    <n v="10269.459999999999"/>
    <s v="tier - 3"/>
    <s v="tier - 3"/>
    <s v="R1012"/>
    <n v="49"/>
  </r>
  <r>
    <s v="Id1238"/>
    <s v="Frechette, Mr.  Samuel"/>
    <n v="37.29"/>
    <n v="10.46"/>
    <s v="No"/>
    <s v="No"/>
    <x v="0"/>
    <n v="0"/>
    <x v="1"/>
    <x v="0"/>
    <s v="Diabetes"/>
    <n v="1970"/>
    <s v="Jun"/>
    <n v="21"/>
    <n v="0"/>
    <d v="1970-06-21T00:00:00"/>
    <n v="10274.33"/>
    <s v="tier - 3"/>
    <s v="tier - 1"/>
    <s v="R1024"/>
    <n v="52"/>
  </r>
  <r>
    <s v="Id1239"/>
    <s v="Benitez, Mr.  Braulio"/>
    <n v="30.2"/>
    <n v="11.96"/>
    <s v="No"/>
    <s v="No"/>
    <x v="0"/>
    <n v="0"/>
    <x v="1"/>
    <x v="0"/>
    <s v="Diabetes"/>
    <n v="1988"/>
    <s v="Sep"/>
    <n v="14"/>
    <n v="3"/>
    <d v="1988-09-14T00:00:00"/>
    <n v="10276.99"/>
    <s v="tier - 3"/>
    <s v="tier - 1"/>
    <s v="R1021"/>
    <n v="34"/>
  </r>
  <r>
    <s v="Id1240"/>
    <s v="Gauthier, Ms.  Anne-Marie"/>
    <n v="24.225000000000001"/>
    <n v="4.25"/>
    <s v="yes"/>
    <s v="No"/>
    <x v="1"/>
    <n v="1"/>
    <x v="1"/>
    <x v="2"/>
    <s v="Normal"/>
    <n v="1963"/>
    <s v="Sep"/>
    <n v="24"/>
    <n v="0"/>
    <d v="1963-09-24T00:00:00"/>
    <n v="10308.040000000001"/>
    <s v="tier - 3"/>
    <s v="tier - 1"/>
    <s v="R1013"/>
    <n v="59"/>
  </r>
  <r>
    <s v="Id1241"/>
    <s v="Fazioli, Mr.  Samuel K."/>
    <n v="31.445"/>
    <n v="8.33"/>
    <s v="No"/>
    <s v="No"/>
    <x v="0"/>
    <n v="0"/>
    <x v="1"/>
    <x v="0"/>
    <s v="Diabetes"/>
    <n v="1962"/>
    <s v="Jul"/>
    <n v="12"/>
    <n v="0"/>
    <d v="1962-07-12T00:00:00"/>
    <n v="10310.780000000001"/>
    <s v="tier - 3"/>
    <s v="tier - 3"/>
    <s v="R1012"/>
    <n v="60"/>
  </r>
  <r>
    <s v="Id1242"/>
    <s v="Chorney, Mrs.  Yuki"/>
    <n v="38.880000000000003"/>
    <n v="4.29"/>
    <s v="No"/>
    <s v="No"/>
    <x v="0"/>
    <n v="1"/>
    <x v="1"/>
    <x v="0"/>
    <s v="Normal"/>
    <n v="1991"/>
    <s v="Nov"/>
    <n v="17"/>
    <n v="3"/>
    <d v="1991-11-17T00:00:00"/>
    <n v="10315.91"/>
    <s v="tier - 3"/>
    <s v="tier - 2"/>
    <s v="R1012"/>
    <n v="31"/>
  </r>
  <r>
    <s v="Id1243"/>
    <s v="Dannenhauer, Mr.  Rafer"/>
    <n v="43.89"/>
    <n v="6.32"/>
    <s v="yes"/>
    <s v="No"/>
    <x v="0"/>
    <n v="0"/>
    <x v="1"/>
    <x v="0"/>
    <s v="Prediabetes"/>
    <n v="1991"/>
    <s v="Aug"/>
    <n v="21"/>
    <n v="3"/>
    <d v="1991-08-21T00:00:00"/>
    <n v="10322.9"/>
    <s v="tier - 3"/>
    <s v="tier - 1"/>
    <s v="R1026"/>
    <n v="31"/>
  </r>
  <r>
    <s v="Id1244"/>
    <s v="McComb, Ms.  Claire"/>
    <n v="25.6"/>
    <n v="5.65"/>
    <s v="No"/>
    <s v="No"/>
    <x v="0"/>
    <n v="2"/>
    <x v="1"/>
    <x v="1"/>
    <s v="Normal"/>
    <n v="1970"/>
    <s v="Dec"/>
    <n v="1"/>
    <n v="2"/>
    <d v="1970-12-01T00:00:00"/>
    <n v="10325.209999999999"/>
    <s v="tier - 3"/>
    <s v="tier - 3"/>
    <s v="R1011"/>
    <n v="52"/>
  </r>
  <r>
    <s v="Id1245"/>
    <s v="Blake, Ms.  Erynn J."/>
    <n v="29.545000000000002"/>
    <n v="8.41"/>
    <s v="yes"/>
    <s v="No"/>
    <x v="0"/>
    <n v="1"/>
    <x v="1"/>
    <x v="1"/>
    <s v="Diabetes"/>
    <n v="1982"/>
    <s v="Jul"/>
    <n v="21"/>
    <n v="3"/>
    <d v="1982-07-21T00:00:00"/>
    <n v="10329.06"/>
    <s v="tier - 3"/>
    <s v="tier - 1"/>
    <s v="R1021"/>
    <n v="40"/>
  </r>
  <r>
    <s v="Id1246"/>
    <s v="Sambasivam, Mr.  Mahesh"/>
    <n v="23.25"/>
    <n v="11.96"/>
    <s v="yes"/>
    <s v="No"/>
    <x v="0"/>
    <n v="0"/>
    <x v="1"/>
    <x v="2"/>
    <s v="Diabetes"/>
    <n v="1968"/>
    <s v="Jul"/>
    <n v="19"/>
    <n v="0"/>
    <d v="1968-07-19T00:00:00"/>
    <n v="10338.93"/>
    <s v="tier - 3"/>
    <s v="tier - 1"/>
    <s v="R1013"/>
    <n v="54"/>
  </r>
  <r>
    <s v="Id1247"/>
    <s v="Maina, Mr.  Stanley"/>
    <n v="43.95"/>
    <n v="5.17"/>
    <s v="yes"/>
    <s v="No"/>
    <x v="1"/>
    <n v="1"/>
    <x v="1"/>
    <x v="0"/>
    <s v="Normal"/>
    <n v="1973"/>
    <s v="Aug"/>
    <n v="8"/>
    <n v="0"/>
    <d v="1973-08-08T00:00:00"/>
    <n v="10345.93"/>
    <s v="tier - 3"/>
    <s v="tier - 2"/>
    <s v="R1021"/>
    <n v="49"/>
  </r>
  <r>
    <s v="Id1248"/>
    <s v="Keshian, Mr.  Gregory"/>
    <n v="21.85"/>
    <n v="8.76"/>
    <s v="No"/>
    <s v="No"/>
    <x v="0"/>
    <n v="0"/>
    <x v="1"/>
    <x v="2"/>
    <s v="Diabetes"/>
    <n v="1974"/>
    <s v="Sep"/>
    <n v="29"/>
    <n v="0"/>
    <d v="1974-09-29T00:00:00"/>
    <n v="10352.48"/>
    <s v="tier - 3"/>
    <s v="tier - 1"/>
    <s v="R1012"/>
    <n v="48"/>
  </r>
  <r>
    <s v="Id1249"/>
    <s v="Maas, Mr.  Eric"/>
    <n v="25.73"/>
    <n v="7.99"/>
    <s v="No"/>
    <s v="No"/>
    <x v="0"/>
    <n v="2"/>
    <x v="1"/>
    <x v="1"/>
    <s v="Diabetes"/>
    <n v="1969"/>
    <s v="Jun"/>
    <n v="17"/>
    <n v="0"/>
    <d v="1969-06-17T00:00:00"/>
    <n v="10355.64"/>
    <s v="tier - 3"/>
    <s v="tier - 1"/>
    <s v="R1012"/>
    <n v="53"/>
  </r>
  <r>
    <s v="Id1250"/>
    <s v="Sinasac, Ms.  Rachel M"/>
    <n v="32.229999999999997"/>
    <n v="8.59"/>
    <s v="No"/>
    <s v="No"/>
    <x v="0"/>
    <n v="0"/>
    <x v="1"/>
    <x v="0"/>
    <s v="Diabetes"/>
    <n v="1971"/>
    <s v="Sep"/>
    <n v="6"/>
    <n v="0"/>
    <d v="1971-09-06T00:00:00"/>
    <n v="10356.67"/>
    <s v="tier - 3"/>
    <s v="tier - 1"/>
    <s v="R1025"/>
    <n v="51"/>
  </r>
  <r>
    <s v="Id1251"/>
    <s v="Van De Kamp, Mr.  Fritz"/>
    <n v="32.204999999999998"/>
    <n v="6.14"/>
    <s v="No"/>
    <s v="No"/>
    <x v="0"/>
    <n v="2"/>
    <x v="1"/>
    <x v="0"/>
    <s v="Prediabetes"/>
    <n v="1973"/>
    <s v="Sep"/>
    <n v="29"/>
    <n v="2"/>
    <d v="1973-09-29T00:00:00"/>
    <n v="10370.91"/>
    <s v="tier - 3"/>
    <s v="tier - 3"/>
    <s v="R1024"/>
    <n v="49"/>
  </r>
  <r>
    <s v="Id1252"/>
    <s v="Ruffo, Mr.  Brad"/>
    <n v="26.41"/>
    <n v="4.08"/>
    <s v="No"/>
    <s v="No"/>
    <x v="0"/>
    <n v="2"/>
    <x v="1"/>
    <x v="1"/>
    <s v="Normal"/>
    <n v="1973"/>
    <s v="Sep"/>
    <n v="19"/>
    <n v="3"/>
    <d v="1973-09-19T00:00:00"/>
    <n v="10381.48"/>
    <s v="tier - 3"/>
    <s v="tier - 3"/>
    <s v="R1013"/>
    <n v="49"/>
  </r>
  <r>
    <s v="Id1253"/>
    <s v="Long, Ms.  Claire M"/>
    <n v="30.2"/>
    <n v="6.25"/>
    <s v="yes"/>
    <s v="No"/>
    <x v="0"/>
    <n v="0"/>
    <x v="1"/>
    <x v="0"/>
    <s v="Prediabetes"/>
    <n v="1969"/>
    <s v="Jul"/>
    <n v="7"/>
    <n v="0"/>
    <d v="1969-07-07T00:00:00"/>
    <n v="10403.27"/>
    <s v="tier - 3"/>
    <s v="tier - 2"/>
    <s v="R1020"/>
    <n v="53"/>
  </r>
  <r>
    <s v="Id1254"/>
    <s v="Rohde, Mrs.  Jennifer"/>
    <n v="31.26"/>
    <n v="5.94"/>
    <s v="yes"/>
    <s v="No"/>
    <x v="0"/>
    <n v="1"/>
    <x v="1"/>
    <x v="0"/>
    <s v="Prediabetes"/>
    <n v="1975"/>
    <s v="Jun"/>
    <n v="5"/>
    <n v="4"/>
    <d v="1975-06-05T00:00:00"/>
    <n v="10407.09"/>
    <s v="tier - 3"/>
    <s v="tier - 1"/>
    <s v="R1015"/>
    <n v="48"/>
  </r>
  <r>
    <s v="Id1255"/>
    <s v="Bonzi, Ms.  Maria S."/>
    <n v="33.725000000000001"/>
    <n v="6.45"/>
    <s v="yes"/>
    <s v="No"/>
    <x v="0"/>
    <n v="0"/>
    <x v="1"/>
    <x v="0"/>
    <s v="Diabetes"/>
    <n v="1980"/>
    <s v="Oct"/>
    <n v="24"/>
    <n v="2"/>
    <d v="1980-10-24T00:00:00"/>
    <n v="10407.98"/>
    <s v="tier - 3"/>
    <s v="tier - 1"/>
    <s v="R1021"/>
    <n v="42"/>
  </r>
  <r>
    <s v="Id1256"/>
    <s v="Moore, Ms.  Katherine E"/>
    <n v="28.9"/>
    <n v="5.74"/>
    <s v="yes"/>
    <s v="No"/>
    <x v="0"/>
    <n v="0"/>
    <x v="1"/>
    <x v="1"/>
    <s v="Prediabetes"/>
    <n v="1973"/>
    <s v="Oct"/>
    <n v="11"/>
    <n v="0"/>
    <d v="1973-10-11T00:00:00"/>
    <n v="10419.59"/>
    <s v="tier - 3"/>
    <s v="tier - 2"/>
    <s v="R1025"/>
    <n v="49"/>
  </r>
  <r>
    <s v="Id1257"/>
    <s v="McGrane, Mr.  Michael"/>
    <n v="45.69"/>
    <n v="4.43"/>
    <s v="yes"/>
    <s v="No"/>
    <x v="0"/>
    <n v="0"/>
    <x v="1"/>
    <x v="0"/>
    <s v="Normal"/>
    <n v="1979"/>
    <s v="Nov"/>
    <n v="25"/>
    <n v="2"/>
    <d v="1979-11-25T00:00:00"/>
    <n v="10419.65"/>
    <s v="tier - 3"/>
    <s v="tier - 2"/>
    <s v="R1025"/>
    <n v="43"/>
  </r>
  <r>
    <s v="Id1258"/>
    <s v="Stepnowski, Ms.  Roxanne"/>
    <n v="21.03"/>
    <n v="6.5"/>
    <s v="No"/>
    <s v="No"/>
    <x v="0"/>
    <n v="0"/>
    <x v="1"/>
    <x v="2"/>
    <s v="Diabetes"/>
    <n v="1968"/>
    <s v="Dec"/>
    <n v="27"/>
    <n v="0"/>
    <d v="1968-12-27T00:00:00"/>
    <n v="10422.92"/>
    <s v="tier - 3"/>
    <s v="tier - 1"/>
    <s v="R1017"/>
    <n v="54"/>
  </r>
  <r>
    <s v="Id1259"/>
    <s v="Merkle, Mr.  Israel"/>
    <n v="37"/>
    <n v="8.75"/>
    <s v="No"/>
    <s v="No"/>
    <x v="0"/>
    <n v="0"/>
    <x v="1"/>
    <x v="0"/>
    <s v="Diabetes"/>
    <n v="1968"/>
    <s v="Aug"/>
    <n v="23"/>
    <n v="0"/>
    <d v="1968-08-23T00:00:00"/>
    <n v="10435.07"/>
    <s v="tier - 3"/>
    <s v="tier - 1"/>
    <s v="R1016"/>
    <n v="54"/>
  </r>
  <r>
    <s v="Id1260"/>
    <s v="Schaefer, Mr.  Samalya"/>
    <n v="25.4"/>
    <n v="11.96"/>
    <s v="No"/>
    <s v="No"/>
    <x v="0"/>
    <n v="0"/>
    <x v="1"/>
    <x v="1"/>
    <s v="Diabetes"/>
    <n v="1968"/>
    <s v="Aug"/>
    <n v="29"/>
    <n v="1"/>
    <d v="1968-08-29T00:00:00"/>
    <n v="10436.1"/>
    <s v="tier - 3"/>
    <s v="tier - 3"/>
    <s v="R1011"/>
    <n v="54"/>
  </r>
  <r>
    <s v="Id1261"/>
    <s v="Vigneron, Mr.  Peter"/>
    <n v="32.299999999999997"/>
    <n v="10.54"/>
    <s v="No"/>
    <s v="No"/>
    <x v="0"/>
    <n v="0"/>
    <x v="1"/>
    <x v="0"/>
    <s v="Diabetes"/>
    <n v="1968"/>
    <s v="Nov"/>
    <n v="8"/>
    <n v="1"/>
    <d v="1968-11-08T00:00:00"/>
    <n v="10450.549999999999"/>
    <s v="tier - 3"/>
    <s v="tier - 1"/>
    <s v="R1011"/>
    <n v="54"/>
  </r>
  <r>
    <s v="Id1262"/>
    <s v="Mucci, Ms.  Alicia"/>
    <n v="23.94"/>
    <n v="4.54"/>
    <s v="yes"/>
    <s v="No"/>
    <x v="1"/>
    <n v="1"/>
    <x v="1"/>
    <x v="2"/>
    <s v="Normal"/>
    <n v="1964"/>
    <s v="Oct"/>
    <n v="14"/>
    <n v="0"/>
    <d v="1964-10-14T00:00:00"/>
    <n v="10455.1"/>
    <s v="tier - 3"/>
    <s v="tier - 1"/>
    <s v="R1012"/>
    <n v="58"/>
  </r>
  <r>
    <s v="Id1263"/>
    <s v="MacDonald, Ms.  Sarah K."/>
    <n v="46.4"/>
    <n v="5.71"/>
    <s v="No"/>
    <s v="No"/>
    <x v="0"/>
    <n v="0"/>
    <x v="1"/>
    <x v="0"/>
    <s v="Prediabetes"/>
    <n v="1976"/>
    <s v="Aug"/>
    <n v="3"/>
    <n v="2"/>
    <d v="1976-08-03T00:00:00"/>
    <n v="10455.14"/>
    <s v="tier - 3"/>
    <s v="tier - 2"/>
    <s v="R1021"/>
    <n v="46"/>
  </r>
  <r>
    <s v="Id1264"/>
    <s v="Deng, Mr.  Guomin"/>
    <n v="40.375"/>
    <n v="6.25"/>
    <s v="yes"/>
    <s v="No"/>
    <x v="0"/>
    <n v="0"/>
    <x v="1"/>
    <x v="0"/>
    <s v="Prediabetes"/>
    <n v="1964"/>
    <s v="Jul"/>
    <n v="27"/>
    <n v="0"/>
    <d v="1964-07-27T00:00:00"/>
    <n v="10459.19"/>
    <s v="tier - 3"/>
    <s v="tier - 1"/>
    <s v="R1013"/>
    <n v="58"/>
  </r>
  <r>
    <s v="Id1265"/>
    <s v="De Mata, Mr.  Javier"/>
    <n v="28.7"/>
    <n v="9.4700000000000006"/>
    <s v="No"/>
    <s v="No"/>
    <x v="0"/>
    <n v="2"/>
    <x v="1"/>
    <x v="1"/>
    <s v="Diabetes"/>
    <n v="1969"/>
    <s v="Sep"/>
    <n v="22"/>
    <n v="1"/>
    <d v="1969-09-22T00:00:00"/>
    <n v="10461.98"/>
    <s v="tier - 3"/>
    <s v="tier - 1"/>
    <s v="R1012"/>
    <n v="53"/>
  </r>
  <r>
    <s v="Id1266"/>
    <s v="Strickland, Mr.  Matt"/>
    <n v="26.63"/>
    <n v="5.7"/>
    <s v="No"/>
    <s v="No"/>
    <x v="0"/>
    <n v="0"/>
    <x v="1"/>
    <x v="1"/>
    <s v="Prediabetes"/>
    <n v="1987"/>
    <s v="Jun"/>
    <n v="28"/>
    <n v="3"/>
    <d v="1987-06-28T00:00:00"/>
    <n v="10464.83"/>
    <s v="tier - 3"/>
    <s v="tier - 1"/>
    <s v="R1012"/>
    <n v="35"/>
  </r>
  <r>
    <s v="Id1267"/>
    <s v="Cheney, Mr.  Thomas S"/>
    <n v="22.515000000000001"/>
    <n v="11.18"/>
    <s v="No"/>
    <s v="No"/>
    <x v="0"/>
    <n v="2"/>
    <x v="1"/>
    <x v="2"/>
    <s v="Diabetes"/>
    <n v="1978"/>
    <s v="Aug"/>
    <n v="21"/>
    <n v="2"/>
    <d v="1978-08-21T00:00:00"/>
    <n v="10486.55"/>
    <s v="tier - 3"/>
    <s v="tier - 3"/>
    <s v="R1025"/>
    <n v="44"/>
  </r>
  <r>
    <s v="Id1268"/>
    <s v="Godoy, Ms.  Martha Patricia"/>
    <n v="36.575000000000003"/>
    <n v="10.98"/>
    <s v="No"/>
    <s v="No"/>
    <x v="0"/>
    <n v="0"/>
    <x v="1"/>
    <x v="0"/>
    <s v="Diabetes"/>
    <n v="1972"/>
    <s v="Oct"/>
    <n v="19"/>
    <n v="2"/>
    <d v="1972-10-19T00:00:00"/>
    <n v="10493.95"/>
    <s v="tier - 3"/>
    <s v="tier - 1"/>
    <s v="R1012"/>
    <n v="50"/>
  </r>
  <r>
    <s v="Id1269"/>
    <s v="Rider, Ms.  Alicia"/>
    <n v="23.66"/>
    <n v="5.1100000000000003"/>
    <s v="yes"/>
    <s v="No"/>
    <x v="1"/>
    <n v="1"/>
    <x v="1"/>
    <x v="2"/>
    <s v="Normal"/>
    <n v="1977"/>
    <s v="Oct"/>
    <n v="25"/>
    <n v="2"/>
    <d v="1977-10-25T00:00:00"/>
    <n v="10495.6"/>
    <s v="tier - 3"/>
    <s v="tier - 1"/>
    <s v="R1012"/>
    <n v="45"/>
  </r>
  <r>
    <s v="Id1270"/>
    <s v="Evans, Ms.  Jennifer V."/>
    <n v="18.62"/>
    <n v="10.24"/>
    <s v="No"/>
    <s v="No"/>
    <x v="0"/>
    <n v="0"/>
    <x v="1"/>
    <x v="2"/>
    <s v="Diabetes"/>
    <n v="1971"/>
    <s v="Sep"/>
    <n v="26"/>
    <n v="0"/>
    <d v="1971-09-26T00:00:00"/>
    <n v="10546.48"/>
    <s v="tier - 3"/>
    <s v="tier - 3"/>
    <s v="R1011"/>
    <n v="51"/>
  </r>
  <r>
    <s v="Id1271"/>
    <s v="Anderson, Mr.  Michael W."/>
    <n v="19.190000000000001"/>
    <n v="7.71"/>
    <s v="yes"/>
    <s v="No"/>
    <x v="0"/>
    <n v="1"/>
    <x v="1"/>
    <x v="2"/>
    <s v="Diabetes"/>
    <n v="1971"/>
    <s v="Jun"/>
    <n v="29"/>
    <n v="3"/>
    <d v="1971-06-29T00:00:00"/>
    <n v="10560.49"/>
    <s v="tier - 3"/>
    <s v="tier - 2"/>
    <s v="R1013"/>
    <n v="51"/>
  </r>
  <r>
    <s v="Id1272"/>
    <s v="Walters, Mr.  Eddie C"/>
    <n v="27.5"/>
    <n v="6.03"/>
    <s v="No"/>
    <s v="No"/>
    <x v="0"/>
    <n v="0"/>
    <x v="1"/>
    <x v="1"/>
    <s v="Prediabetes"/>
    <n v="1969"/>
    <s v="Jul"/>
    <n v="17"/>
    <n v="0"/>
    <d v="1969-07-17T00:00:00"/>
    <n v="10564.88"/>
    <s v="tier - 3"/>
    <s v="tier - 1"/>
    <s v="R1024"/>
    <n v="53"/>
  </r>
  <r>
    <s v="Id1273"/>
    <s v="Leboeuf, Mr.  Maxime M"/>
    <n v="27.36"/>
    <n v="5.96"/>
    <s v="No"/>
    <s v="No"/>
    <x v="1"/>
    <n v="1"/>
    <x v="1"/>
    <x v="1"/>
    <s v="Prediabetes"/>
    <n v="1966"/>
    <s v="Dec"/>
    <n v="11"/>
    <n v="0"/>
    <d v="1966-12-11T00:00:00"/>
    <n v="10577.09"/>
    <s v="tier - 3"/>
    <s v="tier - 3"/>
    <s v="R1011"/>
    <n v="56"/>
  </r>
  <r>
    <s v="Id1274"/>
    <s v="Scheibel, Mr.  Mark D"/>
    <n v="20.350000000000001"/>
    <n v="4.16"/>
    <s v="No"/>
    <s v="No"/>
    <x v="0"/>
    <n v="0"/>
    <x v="1"/>
    <x v="2"/>
    <s v="Normal"/>
    <n v="1969"/>
    <s v="Dec"/>
    <n v="25"/>
    <n v="1"/>
    <d v="1969-12-25T00:00:00"/>
    <n v="10579.71"/>
    <s v="tier - 3"/>
    <s v="tier - 3"/>
    <s v="R1013"/>
    <n v="53"/>
  </r>
  <r>
    <s v="Id1275"/>
    <s v="Ritter, Mr.  Adam"/>
    <n v="24.035"/>
    <n v="6.11"/>
    <s v="No"/>
    <s v="No"/>
    <x v="0"/>
    <n v="0"/>
    <x v="1"/>
    <x v="2"/>
    <s v="Prediabetes"/>
    <n v="1966"/>
    <s v="Nov"/>
    <n v="3"/>
    <n v="0"/>
    <d v="1966-11-03T00:00:00"/>
    <n v="10594.23"/>
    <s v="tier - 3"/>
    <s v="tier - 3"/>
    <s v="R1013"/>
    <n v="56"/>
  </r>
  <r>
    <s v="Id1276"/>
    <s v="Deeg, Mr.  Justin M"/>
    <n v="23.56"/>
    <n v="5.97"/>
    <s v="No"/>
    <s v="No"/>
    <x v="0"/>
    <n v="0"/>
    <x v="1"/>
    <x v="2"/>
    <s v="Prediabetes"/>
    <n v="1967"/>
    <s v="Nov"/>
    <n v="29"/>
    <n v="0"/>
    <d v="1967-11-29T00:00:00"/>
    <n v="10594.5"/>
    <s v="tier - 3"/>
    <s v="tier - 1"/>
    <s v="R1012"/>
    <n v="55"/>
  </r>
  <r>
    <s v="Id1277"/>
    <s v="Pretot, Ms.  Svetlana V."/>
    <n v="27.17"/>
    <n v="10.81"/>
    <s v="No"/>
    <s v="No"/>
    <x v="0"/>
    <n v="2"/>
    <x v="1"/>
    <x v="1"/>
    <s v="Diabetes"/>
    <n v="1972"/>
    <s v="Dec"/>
    <n v="14"/>
    <n v="3"/>
    <d v="1972-12-14T00:00:00"/>
    <n v="10600.55"/>
    <s v="tier - 3"/>
    <s v="tier - 1"/>
    <s v="R1012"/>
    <n v="50"/>
  </r>
  <r>
    <s v="Id1278"/>
    <s v="Willsey, Ms.  Jana L"/>
    <n v="34.32"/>
    <n v="5.7"/>
    <s v="yes"/>
    <s v="No"/>
    <x v="1"/>
    <n v="1"/>
    <x v="1"/>
    <x v="0"/>
    <s v="Prediabetes"/>
    <n v="1966"/>
    <s v="Jul"/>
    <n v="20"/>
    <n v="0"/>
    <d v="1966-07-20T00:00:00"/>
    <n v="10601.41"/>
    <s v="tier - 3"/>
    <s v="tier - 2"/>
    <s v="R1011"/>
    <n v="56"/>
  </r>
  <r>
    <s v="Id1279"/>
    <s v="Roach, Ms.  Laura"/>
    <n v="23.87"/>
    <n v="4.7699999999999996"/>
    <s v="yes"/>
    <s v="No"/>
    <x v="1"/>
    <n v="1"/>
    <x v="1"/>
    <x v="2"/>
    <s v="Normal"/>
    <n v="1967"/>
    <s v="Jun"/>
    <n v="23"/>
    <n v="0"/>
    <d v="1967-06-23T00:00:00"/>
    <n v="10601.63"/>
    <s v="tier - 3"/>
    <s v="tier - 2"/>
    <s v="R1012"/>
    <n v="55"/>
  </r>
  <r>
    <s v="Id1280"/>
    <s v="Jacobsen, Mr.  Torrey C III"/>
    <n v="30.15"/>
    <n v="4.25"/>
    <s v="No"/>
    <s v="No"/>
    <x v="0"/>
    <n v="1"/>
    <x v="1"/>
    <x v="0"/>
    <s v="Normal"/>
    <n v="1966"/>
    <s v="Jul"/>
    <n v="2"/>
    <n v="0"/>
    <d v="1966-07-02T00:00:00"/>
    <n v="10602.39"/>
    <s v="tier - 3"/>
    <s v="tier - 3"/>
    <s v="R1011"/>
    <n v="56"/>
  </r>
  <r>
    <s v="Id1281"/>
    <s v="O'Hora, Mr.  Paul"/>
    <n v="26.36"/>
    <n v="5.52"/>
    <s v="No"/>
    <s v="No"/>
    <x v="0"/>
    <n v="0"/>
    <x v="1"/>
    <x v="1"/>
    <s v="Normal"/>
    <n v="1965"/>
    <s v="Jun"/>
    <n v="27"/>
    <n v="0"/>
    <d v="1965-06-27T00:00:00"/>
    <n v="10608.67"/>
    <s v="tier - 3"/>
    <s v="tier - 3"/>
    <s v="R1012"/>
    <n v="57"/>
  </r>
  <r>
    <s v="Id1282"/>
    <s v="Amato, Ms.  Jennifer D."/>
    <n v="45.32"/>
    <n v="6.53"/>
    <s v="yes"/>
    <s v="No"/>
    <x v="0"/>
    <n v="1"/>
    <x v="1"/>
    <x v="0"/>
    <s v="Diabetes"/>
    <n v="1992"/>
    <s v="Jul"/>
    <n v="23"/>
    <n v="0"/>
    <d v="1992-07-23T00:00:00"/>
    <n v="10617.04"/>
    <s v="tier - 3"/>
    <s v="tier - 3"/>
    <s v="R1026"/>
    <n v="30"/>
  </r>
  <r>
    <s v="Id1283"/>
    <s v="Reed, Mr.  Erik"/>
    <n v="31.93"/>
    <n v="4.82"/>
    <s v="yes"/>
    <s v="No"/>
    <x v="0"/>
    <n v="1"/>
    <x v="1"/>
    <x v="0"/>
    <s v="Normal"/>
    <n v="1990"/>
    <s v="Jul"/>
    <n v="6"/>
    <n v="3"/>
    <d v="1990-07-06T00:00:00"/>
    <n v="10620.26"/>
    <s v="tier - 3"/>
    <s v="tier - 3"/>
    <s v="R1012"/>
    <n v="32"/>
  </r>
  <r>
    <s v="Id1284"/>
    <s v="Wegner, Ms.  Lana J"/>
    <n v="36"/>
    <n v="11.94"/>
    <s v="yes"/>
    <s v="No"/>
    <x v="0"/>
    <n v="1"/>
    <x v="1"/>
    <x v="0"/>
    <s v="Diabetes"/>
    <n v="1964"/>
    <s v="Aug"/>
    <n v="8"/>
    <n v="0"/>
    <d v="1964-08-08T00:00:00"/>
    <n v="10627.81"/>
    <s v="tier - 3"/>
    <s v="tier - 3"/>
    <s v="R1013"/>
    <n v="58"/>
  </r>
  <r>
    <s v="Id1285"/>
    <s v="Bokun, Ms.  Rebecca E"/>
    <n v="32"/>
    <n v="7.85"/>
    <s v="yes"/>
    <s v="No"/>
    <x v="0"/>
    <n v="1"/>
    <x v="1"/>
    <x v="0"/>
    <s v="Diabetes"/>
    <n v="1976"/>
    <s v="Nov"/>
    <n v="22"/>
    <n v="2"/>
    <d v="1976-11-22T00:00:00"/>
    <n v="10665.44"/>
    <s v="tier - 3"/>
    <s v="tier - 2"/>
    <s v="R1021"/>
    <n v="46"/>
  </r>
  <r>
    <s v="Id1286"/>
    <s v="Ainsley, Ms.  Katie M."/>
    <n v="29.37"/>
    <n v="8.01"/>
    <s v="yes"/>
    <s v="No"/>
    <x v="0"/>
    <n v="1"/>
    <x v="1"/>
    <x v="1"/>
    <s v="Diabetes"/>
    <n v="1962"/>
    <s v="Sep"/>
    <n v="7"/>
    <n v="0"/>
    <d v="1962-09-07T00:00:00"/>
    <n v="10676.83"/>
    <s v="tier - 3"/>
    <s v="tier - 3"/>
    <s v="R1013"/>
    <n v="60"/>
  </r>
  <r>
    <s v="Id1287"/>
    <s v="Foster, Ms.  Elizabeth A."/>
    <n v="23.6"/>
    <n v="7.4"/>
    <s v="yes"/>
    <s v="No"/>
    <x v="0"/>
    <n v="1"/>
    <x v="1"/>
    <x v="2"/>
    <s v="Diabetes"/>
    <n v="1977"/>
    <s v="Aug"/>
    <n v="2"/>
    <n v="2"/>
    <d v="1977-08-02T00:00:00"/>
    <n v="10690.11"/>
    <s v="tier - 3"/>
    <s v="tier - 2"/>
    <s v="R1021"/>
    <n v="45"/>
  </r>
  <r>
    <s v="Id1288"/>
    <s v="Overpeck, Ms.  Sarah"/>
    <n v="33.155000000000001"/>
    <n v="8.3800000000000008"/>
    <s v="yes"/>
    <s v="No"/>
    <x v="0"/>
    <n v="0"/>
    <x v="1"/>
    <x v="0"/>
    <s v="Diabetes"/>
    <n v="1976"/>
    <s v="Sep"/>
    <n v="30"/>
    <n v="2"/>
    <d v="1976-09-30T00:00:00"/>
    <n v="10698.38"/>
    <s v="tier - 3"/>
    <s v="tier - 1"/>
    <s v="R1025"/>
    <n v="46"/>
  </r>
  <r>
    <s v="Id1289"/>
    <s v="Levine, Ms.  Annie J."/>
    <n v="24.32"/>
    <n v="11.56"/>
    <s v="yes"/>
    <s v="No"/>
    <x v="0"/>
    <n v="1"/>
    <x v="1"/>
    <x v="2"/>
    <s v="Diabetes"/>
    <n v="1972"/>
    <s v="Oct"/>
    <n v="24"/>
    <n v="3"/>
    <d v="1972-10-24T00:00:00"/>
    <n v="10702.64"/>
    <s v="tier - 3"/>
    <s v="tier - 3"/>
    <s v="R1013"/>
    <n v="50"/>
  </r>
  <r>
    <s v="Id1290"/>
    <s v="Jean, Ms.  Annie"/>
    <n v="36.299999999999997"/>
    <n v="4.6100000000000003"/>
    <s v="No"/>
    <s v="No"/>
    <x v="0"/>
    <n v="0"/>
    <x v="1"/>
    <x v="0"/>
    <s v="Normal"/>
    <n v="1967"/>
    <s v="Jul"/>
    <n v="30"/>
    <n v="0"/>
    <d v="1967-07-30T00:00:00"/>
    <n v="10704.47"/>
    <s v="tier - 3"/>
    <s v="tier - 2"/>
    <s v="R1011"/>
    <n v="55"/>
  </r>
  <r>
    <s v="Id1291"/>
    <s v="Wild, Ms.  Lindsey"/>
    <n v="34.4"/>
    <n v="4.95"/>
    <s v="No"/>
    <s v="No"/>
    <x v="1"/>
    <n v="1"/>
    <x v="1"/>
    <x v="0"/>
    <s v="Normal"/>
    <n v="1967"/>
    <s v="Oct"/>
    <n v="5"/>
    <n v="0"/>
    <d v="1967-10-05T00:00:00"/>
    <n v="10713.64"/>
    <s v="tier - 3"/>
    <s v="tier - 3"/>
    <s v="R1011"/>
    <n v="55"/>
  </r>
  <r>
    <s v="Id1292"/>
    <s v="Tabor, Ms.  Laura"/>
    <n v="30.9"/>
    <n v="5.04"/>
    <s v="No"/>
    <s v="No"/>
    <x v="0"/>
    <n v="0"/>
    <x v="1"/>
    <x v="0"/>
    <s v="Normal"/>
    <n v="1992"/>
    <s v="Jun"/>
    <n v="25"/>
    <n v="0"/>
    <d v="1992-06-25T00:00:00"/>
    <n v="10719.57"/>
    <s v="tier - 3"/>
    <s v="tier - 1"/>
    <s v="R1012"/>
    <n v="30"/>
  </r>
  <r>
    <s v="Id1293"/>
    <s v="Steffen, Ms.  Amy T"/>
    <n v="28.6"/>
    <n v="5.42"/>
    <s v="No"/>
    <s v="No"/>
    <x v="0"/>
    <n v="0"/>
    <x v="1"/>
    <x v="1"/>
    <s v="Normal"/>
    <n v="1974"/>
    <s v="Dec"/>
    <n v="9"/>
    <n v="4"/>
    <d v="1974-12-09T00:00:00"/>
    <n v="10736.87"/>
    <s v="tier - 3"/>
    <s v="tier - 1"/>
    <s v="R1016"/>
    <n v="48"/>
  </r>
  <r>
    <s v="Id1294"/>
    <s v="Tadich, Ms.  Katarina D"/>
    <n v="27.83"/>
    <n v="5.39"/>
    <s v="No"/>
    <s v="No"/>
    <x v="0"/>
    <n v="0"/>
    <x v="1"/>
    <x v="1"/>
    <s v="Normal"/>
    <n v="1986"/>
    <s v="Aug"/>
    <n v="29"/>
    <n v="3"/>
    <d v="1986-08-29T00:00:00"/>
    <n v="10749.02"/>
    <s v="tier - 3"/>
    <s v="tier - 1"/>
    <s v="R1026"/>
    <n v="36"/>
  </r>
  <r>
    <s v="Id1295"/>
    <s v="Christenson, Mr.  B.j."/>
    <n v="39.64"/>
    <n v="6"/>
    <s v="No"/>
    <s v="No"/>
    <x v="1"/>
    <n v="1"/>
    <x v="1"/>
    <x v="0"/>
    <s v="Prediabetes"/>
    <n v="1989"/>
    <s v="Nov"/>
    <n v="25"/>
    <n v="3"/>
    <d v="1989-11-25T00:00:00"/>
    <n v="10769.75"/>
    <s v="tier - 3"/>
    <s v="tier - 2"/>
    <s v="R1022"/>
    <n v="33"/>
  </r>
  <r>
    <s v="Id1296"/>
    <s v="Shell, Ms.  Alison"/>
    <n v="38.479999999999997"/>
    <n v="6.02"/>
    <s v="No"/>
    <s v="No"/>
    <x v="0"/>
    <n v="1"/>
    <x v="1"/>
    <x v="0"/>
    <s v="Prediabetes"/>
    <n v="1967"/>
    <s v="Nov"/>
    <n v="11"/>
    <n v="1"/>
    <d v="1967-11-11T00:00:00"/>
    <n v="10791.96"/>
    <s v="tier - 3"/>
    <s v="tier - 2"/>
    <s v="R1011"/>
    <n v="55"/>
  </r>
  <r>
    <s v="Id1297"/>
    <s v="Rao, Mr.  Neil K."/>
    <n v="36.200000000000003"/>
    <n v="4.62"/>
    <s v="No"/>
    <s v="No"/>
    <x v="0"/>
    <n v="2"/>
    <x v="1"/>
    <x v="0"/>
    <s v="Normal"/>
    <n v="1999"/>
    <s v="Dec"/>
    <n v="24"/>
    <n v="0"/>
    <d v="1999-12-24T00:00:00"/>
    <n v="10795.94"/>
    <s v="tier - 3"/>
    <s v="tier - 1"/>
    <s v="R1011"/>
    <n v="23"/>
  </r>
  <r>
    <s v="Id1298"/>
    <s v="Myers, Mrs.  Anne Hunter"/>
    <n v="27.13"/>
    <n v="5.59"/>
    <s v="No"/>
    <s v="No"/>
    <x v="0"/>
    <n v="1"/>
    <x v="1"/>
    <x v="1"/>
    <s v="Normal"/>
    <n v="1967"/>
    <s v="Oct"/>
    <n v="23"/>
    <n v="0"/>
    <d v="1967-10-23T00:00:00"/>
    <n v="10796.35"/>
    <s v="tier - 3"/>
    <s v="tier - 1"/>
    <s v="R1019"/>
    <n v="55"/>
  </r>
  <r>
    <s v="Id1299"/>
    <s v="McLean, Ms.  Sandra"/>
    <n v="20.75"/>
    <n v="5.18"/>
    <s v="yes"/>
    <s v="No"/>
    <x v="0"/>
    <n v="2"/>
    <x v="1"/>
    <x v="2"/>
    <s v="Normal"/>
    <n v="1970"/>
    <s v="Oct"/>
    <n v="28"/>
    <n v="1"/>
    <d v="1970-10-28T00:00:00"/>
    <n v="10797.34"/>
    <s v="tier - 3"/>
    <s v="tier - 2"/>
    <s v="R1023"/>
    <n v="52"/>
  </r>
  <r>
    <s v="Id1300"/>
    <s v="Gomez, Mr.  Robert"/>
    <n v="26.6"/>
    <n v="6.29"/>
    <s v="No"/>
    <s v="No"/>
    <x v="0"/>
    <n v="2"/>
    <x v="1"/>
    <x v="1"/>
    <s v="Prediabetes"/>
    <n v="1970"/>
    <s v="Dec"/>
    <n v="18"/>
    <n v="2"/>
    <d v="1970-12-18T00:00:00"/>
    <n v="10806.84"/>
    <s v="tier - 3"/>
    <s v="tier - 2"/>
    <s v="R1011"/>
    <n v="52"/>
  </r>
  <r>
    <s v="Id1301"/>
    <s v="Hemingway, Mr.  Rodney"/>
    <n v="25.3"/>
    <n v="4.49"/>
    <s v="No"/>
    <s v="No"/>
    <x v="0"/>
    <n v="2"/>
    <x v="1"/>
    <x v="1"/>
    <s v="Normal"/>
    <n v="1967"/>
    <s v="Oct"/>
    <n v="2"/>
    <n v="1"/>
    <d v="1967-10-02T00:00:00"/>
    <n v="10807.49"/>
    <s v="tier - 3"/>
    <s v="tier - 2"/>
    <s v="R1013"/>
    <n v="55"/>
  </r>
  <r>
    <s v="Id1302"/>
    <s v="Pett, Mr.  Carl R"/>
    <n v="18.84"/>
    <n v="11.82"/>
    <s v="yes"/>
    <s v="No"/>
    <x v="1"/>
    <n v="1"/>
    <x v="1"/>
    <x v="2"/>
    <s v="Diabetes"/>
    <n v="1968"/>
    <s v="Jul"/>
    <n v="28"/>
    <n v="1"/>
    <d v="1968-07-28T00:00:00"/>
    <n v="10825.25"/>
    <s v="tier - 3"/>
    <s v="tier - 3"/>
    <s v="R1012"/>
    <n v="54"/>
  </r>
  <r>
    <s v="Id1303"/>
    <s v="Meingast, Mr.  Maximilian"/>
    <n v="19.57"/>
    <n v="7.41"/>
    <s v="yes"/>
    <s v="No"/>
    <x v="0"/>
    <n v="1"/>
    <x v="1"/>
    <x v="2"/>
    <s v="Diabetes"/>
    <n v="1971"/>
    <s v="Dec"/>
    <n v="20"/>
    <n v="2"/>
    <d v="1971-12-20T00:00:00"/>
    <n v="10848.13"/>
    <s v="tier - 3"/>
    <s v="tier - 3"/>
    <s v="R1012"/>
    <n v="51"/>
  </r>
  <r>
    <s v="Id1304"/>
    <s v="McCarthy, Mr.  Erik"/>
    <n v="30.495000000000001"/>
    <n v="5.97"/>
    <s v="No"/>
    <s v="No"/>
    <x v="0"/>
    <n v="0"/>
    <x v="1"/>
    <x v="0"/>
    <s v="Prediabetes"/>
    <n v="1994"/>
    <s v="Sep"/>
    <n v="6"/>
    <n v="0"/>
    <d v="1994-09-06T00:00:00"/>
    <n v="10886.66"/>
    <s v="tier - 3"/>
    <s v="tier - 3"/>
    <s v="R1012"/>
    <n v="28"/>
  </r>
  <r>
    <s v="Id1305"/>
    <s v="Boyle, Mr.  Christopher"/>
    <n v="30.114999999999998"/>
    <n v="5.74"/>
    <s v="No"/>
    <s v="No"/>
    <x v="1"/>
    <n v="1"/>
    <x v="1"/>
    <x v="0"/>
    <s v="Prediabetes"/>
    <n v="1968"/>
    <s v="Nov"/>
    <n v="13"/>
    <n v="0"/>
    <d v="1968-11-13T00:00:00"/>
    <n v="10923.93"/>
    <s v="tier - 3"/>
    <s v="tier - 1"/>
    <s v="R1024"/>
    <n v="54"/>
  </r>
  <r>
    <s v="Id1306"/>
    <s v="Gundersen, Mr.  Eirik"/>
    <n v="24.78"/>
    <n v="9.85"/>
    <s v="No"/>
    <s v="No"/>
    <x v="0"/>
    <n v="0"/>
    <x v="1"/>
    <x v="2"/>
    <s v="Diabetes"/>
    <n v="1968"/>
    <s v="Nov"/>
    <n v="12"/>
    <n v="1"/>
    <d v="1968-11-12T00:00:00"/>
    <n v="10928.85"/>
    <s v="tier - 3"/>
    <s v="tier - 3"/>
    <s v="R1013"/>
    <n v="54"/>
  </r>
  <r>
    <s v="Id1307"/>
    <s v="Wolswinkel, Mr.  Rik"/>
    <n v="24.77"/>
    <n v="7.59"/>
    <s v="No"/>
    <s v="No"/>
    <x v="0"/>
    <n v="0"/>
    <x v="1"/>
    <x v="2"/>
    <s v="Diabetes"/>
    <n v="1969"/>
    <s v="Nov"/>
    <n v="10"/>
    <n v="1"/>
    <d v="1969-11-10T00:00:00"/>
    <n v="10942.13"/>
    <s v="tier - 3"/>
    <s v="tier - 3"/>
    <s v="R1012"/>
    <n v="53"/>
  </r>
  <r>
    <s v="Id1308"/>
    <s v="Bomberger, Mr.  Matthew R"/>
    <n v="16.579999999999998"/>
    <n v="6.98"/>
    <s v="yes"/>
    <s v="No"/>
    <x v="1"/>
    <n v="1"/>
    <x v="1"/>
    <x v="3"/>
    <s v="Diabetes"/>
    <n v="1965"/>
    <s v="Dec"/>
    <n v="4"/>
    <n v="0"/>
    <d v="1965-12-04T00:00:00"/>
    <n v="10959.33"/>
    <s v="tier - 3"/>
    <s v="tier - 3"/>
    <s v="R1011"/>
    <n v="57"/>
  </r>
  <r>
    <s v="Id1309"/>
    <s v="Roy, Mr.  Daniel G"/>
    <n v="38.17"/>
    <n v="4.7300000000000004"/>
    <s v="yes"/>
    <s v="No"/>
    <x v="0"/>
    <n v="0"/>
    <x v="1"/>
    <x v="0"/>
    <s v="Normal"/>
    <n v="1969"/>
    <s v="Aug"/>
    <n v="14"/>
    <n v="1"/>
    <d v="1969-08-14T00:00:00"/>
    <n v="10959.69"/>
    <s v="tier - 3"/>
    <s v="tier - 3"/>
    <s v="R1012"/>
    <n v="53"/>
  </r>
  <r>
    <s v="Id1310"/>
    <s v="Lapierre, Mr.  Yannick"/>
    <n v="39.424999999999997"/>
    <n v="4.76"/>
    <s v="yes"/>
    <s v="No"/>
    <x v="0"/>
    <n v="0"/>
    <x v="1"/>
    <x v="0"/>
    <s v="Normal"/>
    <n v="1965"/>
    <s v="Jun"/>
    <n v="19"/>
    <n v="0"/>
    <d v="1965-06-19T00:00:00"/>
    <n v="10965.45"/>
    <s v="tier - 3"/>
    <s v="tier - 2"/>
    <s v="R1011"/>
    <n v="57"/>
  </r>
  <r>
    <s v="Id1311"/>
    <s v="Beaty, Mr.  Sean R"/>
    <n v="33.44"/>
    <n v="6.24"/>
    <s v="yes"/>
    <s v="No"/>
    <x v="0"/>
    <n v="0"/>
    <x v="1"/>
    <x v="0"/>
    <s v="Prediabetes"/>
    <n v="1966"/>
    <s v="Jul"/>
    <n v="9"/>
    <n v="0"/>
    <d v="1966-07-09T00:00:00"/>
    <n v="10976.25"/>
    <s v="tier - 3"/>
    <s v="tier - 2"/>
    <s v="R1012"/>
    <n v="56"/>
  </r>
  <r>
    <s v="Id1312"/>
    <s v="Hammer, Mr.  Peter"/>
    <n v="33.344999999999999"/>
    <n v="5.44"/>
    <s v="yes"/>
    <s v="No"/>
    <x v="0"/>
    <n v="0"/>
    <x v="1"/>
    <x v="0"/>
    <s v="Normal"/>
    <n v="1973"/>
    <s v="Oct"/>
    <n v="21"/>
    <n v="4"/>
    <d v="1973-10-21T00:00:00"/>
    <n v="10977.21"/>
    <s v="tier - 3"/>
    <s v="tier - 1"/>
    <s v="R1013"/>
    <n v="49"/>
  </r>
  <r>
    <s v="Id1313"/>
    <s v="Randolph, Ms.  Sara A."/>
    <n v="38.79"/>
    <n v="5.08"/>
    <s v="No"/>
    <s v="No"/>
    <x v="1"/>
    <n v="1"/>
    <x v="1"/>
    <x v="0"/>
    <s v="Normal"/>
    <n v="1965"/>
    <s v="Dec"/>
    <n v="18"/>
    <n v="0"/>
    <d v="1965-12-18T00:00:00"/>
    <n v="10982.5"/>
    <s v="tier - 3"/>
    <s v="tier - 3"/>
    <s v="R1013"/>
    <n v="57"/>
  </r>
  <r>
    <s v="Id1314"/>
    <s v="Masterson, Ms.  Erin C."/>
    <n v="30.684999999999999"/>
    <n v="4.87"/>
    <s v="No"/>
    <s v="No"/>
    <x v="1"/>
    <n v="1"/>
    <x v="1"/>
    <x v="0"/>
    <s v="Normal"/>
    <n v="2000"/>
    <s v="Sep"/>
    <n v="17"/>
    <n v="0"/>
    <d v="2000-09-17T00:00:00"/>
    <n v="10991.58"/>
    <s v="tier - 3"/>
    <s v="tier - 3"/>
    <s v="R1012"/>
    <n v="22"/>
  </r>
  <r>
    <s v="Id1315"/>
    <s v="Friess, Mr.  Thibaud"/>
    <n v="22.135000000000002"/>
    <n v="8.17"/>
    <s v="No"/>
    <s v="No"/>
    <x v="0"/>
    <n v="0"/>
    <x v="1"/>
    <x v="2"/>
    <s v="Diabetes"/>
    <n v="1968"/>
    <s v="Oct"/>
    <n v="24"/>
    <n v="2"/>
    <d v="1968-10-24T00:00:00"/>
    <n v="11013.71"/>
    <s v="tier - 3"/>
    <s v="tier - 1"/>
    <s v="R1013"/>
    <n v="54"/>
  </r>
  <r>
    <s v="Id1316"/>
    <s v="Mantoni, Ms.  Lisa"/>
    <n v="33.33"/>
    <n v="7.61"/>
    <s v="No"/>
    <s v="No"/>
    <x v="0"/>
    <n v="0"/>
    <x v="1"/>
    <x v="0"/>
    <s v="Diabetes"/>
    <n v="1974"/>
    <s v="Dec"/>
    <n v="15"/>
    <n v="4"/>
    <d v="1974-12-15T00:00:00"/>
    <n v="11015.17"/>
    <s v="tier - 3"/>
    <s v="tier - 1"/>
    <s v="R1012"/>
    <n v="48"/>
  </r>
  <r>
    <s v="Id1317"/>
    <s v="Bodeen, Ms.  Gretchen K."/>
    <n v="31.13"/>
    <n v="10.1"/>
    <s v="No"/>
    <s v="No"/>
    <x v="0"/>
    <n v="0"/>
    <x v="1"/>
    <x v="0"/>
    <s v="Diabetes"/>
    <n v="1991"/>
    <s v="Jun"/>
    <n v="26"/>
    <n v="3"/>
    <d v="1991-06-26T00:00:00"/>
    <n v="11018.05"/>
    <s v="tier - 3"/>
    <s v="tier - 2"/>
    <s v="R1012"/>
    <n v="31"/>
  </r>
  <r>
    <s v="Id1318"/>
    <s v="McPherson, Ms.  Martina"/>
    <n v="28.9"/>
    <n v="11.24"/>
    <s v="No"/>
    <s v="No"/>
    <x v="0"/>
    <n v="0"/>
    <x v="1"/>
    <x v="1"/>
    <s v="Diabetes"/>
    <n v="1996"/>
    <s v="Jul"/>
    <n v="21"/>
    <n v="0"/>
    <d v="1996-07-21T00:00:00"/>
    <n v="11028.56"/>
    <s v="tier - 3"/>
    <s v="tier - 3"/>
    <s v="R1012"/>
    <n v="26"/>
  </r>
  <r>
    <s v="Id1319"/>
    <s v="Palko, Mr.  Dustin J"/>
    <n v="43.31"/>
    <n v="6.1"/>
    <s v="yes"/>
    <s v="yes"/>
    <x v="0"/>
    <n v="1"/>
    <x v="1"/>
    <x v="0"/>
    <s v="Prediabetes"/>
    <n v="1974"/>
    <s v="Dec"/>
    <n v="10"/>
    <n v="4"/>
    <d v="1974-12-10T00:00:00"/>
    <n v="11033.66"/>
    <s v="tier - 3"/>
    <s v="tier - 3"/>
    <s v="R1012"/>
    <n v="48"/>
  </r>
  <r>
    <s v="Id1320"/>
    <s v="Breathitt, Ms.  Kelsey"/>
    <n v="22.8"/>
    <n v="6.98"/>
    <s v="No"/>
    <s v="No"/>
    <x v="0"/>
    <n v="0"/>
    <x v="1"/>
    <x v="2"/>
    <s v="Diabetes"/>
    <n v="1989"/>
    <s v="Oct"/>
    <n v="25"/>
    <n v="3"/>
    <d v="1989-10-25T00:00:00"/>
    <n v="11037.51"/>
    <s v="tier - 3"/>
    <s v="tier - 1"/>
    <s v="R1012"/>
    <n v="33"/>
  </r>
  <r>
    <s v="Id1321"/>
    <s v="Evora, Mr.  Daniel V."/>
    <n v="19.09"/>
    <n v="4"/>
    <s v="yes"/>
    <s v="No"/>
    <x v="0"/>
    <n v="1"/>
    <x v="1"/>
    <x v="2"/>
    <s v="Normal"/>
    <n v="1974"/>
    <s v="Aug"/>
    <n v="30"/>
    <n v="0"/>
    <d v="1974-08-30T00:00:00"/>
    <n v="11037.85"/>
    <s v="tier - 3"/>
    <s v="tier - 2"/>
    <s v="R1025"/>
    <n v="48"/>
  </r>
  <r>
    <s v="Id1322"/>
    <s v="Fischer, Ms.  Saeger"/>
    <n v="23.37"/>
    <n v="4.2300000000000004"/>
    <s v="No"/>
    <s v="No"/>
    <x v="0"/>
    <n v="0"/>
    <x v="1"/>
    <x v="2"/>
    <s v="Normal"/>
    <n v="2001"/>
    <s v="Dec"/>
    <n v="17"/>
    <n v="0"/>
    <d v="2001-12-17T00:00:00"/>
    <n v="11046.02"/>
    <s v="tier - 3"/>
    <s v="tier - 1"/>
    <s v="R1026"/>
    <n v="21"/>
  </r>
  <r>
    <s v="Id1323"/>
    <s v="Deba, Ms.  Buzunesh"/>
    <n v="33.44"/>
    <n v="4.72"/>
    <s v="yes"/>
    <s v="No"/>
    <x v="0"/>
    <n v="0"/>
    <x v="1"/>
    <x v="0"/>
    <s v="Normal"/>
    <n v="2000"/>
    <s v="Sep"/>
    <n v="18"/>
    <n v="0"/>
    <d v="2000-09-18T00:00:00"/>
    <n v="11068.7"/>
    <s v="tier - 3"/>
    <s v="tier - 1"/>
    <s v="R1011"/>
    <n v="22"/>
  </r>
  <r>
    <s v="Id1324"/>
    <s v="Leloup, Ms.  Mirte"/>
    <n v="28.05"/>
    <n v="5.63"/>
    <s v="yes"/>
    <s v="No"/>
    <x v="0"/>
    <n v="0"/>
    <x v="1"/>
    <x v="1"/>
    <s v="Normal"/>
    <n v="1971"/>
    <s v="Nov"/>
    <n v="9"/>
    <n v="0"/>
    <d v="1971-11-09T00:00:00"/>
    <n v="11068.77"/>
    <s v="tier - 3"/>
    <s v="tier - 2"/>
    <s v="R1012"/>
    <n v="51"/>
  </r>
  <r>
    <s v="Id1325"/>
    <s v="Labare, Ms.  Megan"/>
    <n v="27.72"/>
    <n v="5.83"/>
    <s v="yes"/>
    <s v="No"/>
    <x v="0"/>
    <n v="0"/>
    <x v="1"/>
    <x v="1"/>
    <s v="Prediabetes"/>
    <n v="1966"/>
    <s v="Nov"/>
    <n v="7"/>
    <n v="0"/>
    <d v="1966-11-07T00:00:00"/>
    <n v="11070.54"/>
    <s v="tier - 3"/>
    <s v="tier - 3"/>
    <s v="R1011"/>
    <n v="56"/>
  </r>
  <r>
    <s v="Id1326"/>
    <s v="Arouca, Ms.  Kerry A."/>
    <n v="29.81"/>
    <n v="9.23"/>
    <s v="No"/>
    <s v="No"/>
    <x v="0"/>
    <n v="0"/>
    <x v="1"/>
    <x v="1"/>
    <s v="Diabetes"/>
    <n v="1966"/>
    <s v="Nov"/>
    <n v="20"/>
    <n v="0"/>
    <d v="1966-11-20T00:00:00"/>
    <n v="11073.18"/>
    <s v="tier - 3"/>
    <s v="tier - 3"/>
    <s v="R1011"/>
    <n v="56"/>
  </r>
  <r>
    <s v="Id1327"/>
    <s v="Reese, Ms.  Kristin"/>
    <n v="23.98"/>
    <n v="9.89"/>
    <s v="No"/>
    <s v="No"/>
    <x v="0"/>
    <n v="0"/>
    <x v="1"/>
    <x v="2"/>
    <s v="Diabetes"/>
    <n v="1967"/>
    <s v="Sep"/>
    <n v="4"/>
    <n v="0"/>
    <d v="1967-09-04T00:00:00"/>
    <n v="11082.58"/>
    <s v="tier - 3"/>
    <s v="tier - 2"/>
    <s v="R1012"/>
    <n v="55"/>
  </r>
  <r>
    <s v="Id1328"/>
    <s v="McCloskey, Mr.  Christopher R."/>
    <n v="17.34"/>
    <n v="12"/>
    <s v="No"/>
    <s v="No"/>
    <x v="0"/>
    <n v="0"/>
    <x v="1"/>
    <x v="3"/>
    <s v="Diabetes"/>
    <n v="1972"/>
    <s v="Oct"/>
    <n v="7"/>
    <n v="3"/>
    <d v="1972-10-07T00:00:00"/>
    <n v="11085.59"/>
    <s v="tier - 3"/>
    <s v="tier - 2"/>
    <s v="R1012"/>
    <n v="50"/>
  </r>
  <r>
    <s v="Id1329"/>
    <s v="Tedsen, Mrs.  Elizabeth A"/>
    <n v="40.39"/>
    <n v="4.24"/>
    <s v="yes"/>
    <s v="No"/>
    <x v="1"/>
    <n v="1"/>
    <x v="1"/>
    <x v="0"/>
    <s v="Normal"/>
    <n v="1966"/>
    <s v="Sep"/>
    <n v="9"/>
    <n v="0"/>
    <d v="1966-09-09T00:00:00"/>
    <n v="11090.72"/>
    <s v="tier - 3"/>
    <s v="tier - 1"/>
    <s v="R1013"/>
    <n v="56"/>
  </r>
  <r>
    <s v="Id1330"/>
    <s v="Koehlinger, Mr.  Andrew"/>
    <n v="25.96"/>
    <n v="4.68"/>
    <s v="yes"/>
    <s v="No"/>
    <x v="1"/>
    <n v="1"/>
    <x v="1"/>
    <x v="1"/>
    <s v="Normal"/>
    <n v="1966"/>
    <s v="Jul"/>
    <n v="5"/>
    <n v="0"/>
    <d v="1966-07-05T00:00:00"/>
    <n v="11093.62"/>
    <s v="tier - 3"/>
    <s v="tier - 1"/>
    <s v="R1013"/>
    <n v="56"/>
  </r>
  <r>
    <s v="Id1331"/>
    <s v="Pielechaty, Ms.  Dawn M."/>
    <n v="17.68"/>
    <n v="8.57"/>
    <s v="yes"/>
    <s v="No"/>
    <x v="1"/>
    <n v="1"/>
    <x v="1"/>
    <x v="3"/>
    <s v="Diabetes"/>
    <n v="1980"/>
    <s v="Aug"/>
    <n v="20"/>
    <n v="2"/>
    <d v="1980-08-20T00:00:00"/>
    <n v="11103.33"/>
    <s v="tier - 3"/>
    <s v="tier - 1"/>
    <s v="R1021"/>
    <n v="42"/>
  </r>
  <r>
    <s v="Id1332"/>
    <s v="Korhonen, Mr.  Jonathan P"/>
    <n v="30.875"/>
    <n v="4.0999999999999996"/>
    <s v="No"/>
    <s v="No"/>
    <x v="0"/>
    <n v="0"/>
    <x v="1"/>
    <x v="0"/>
    <s v="Normal"/>
    <n v="1969"/>
    <s v="Nov"/>
    <n v="30"/>
    <n v="2"/>
    <d v="1969-11-30T00:00:00"/>
    <n v="11150.78"/>
    <s v="tier - 3"/>
    <s v="tier - 2"/>
    <s v="R1011"/>
    <n v="53"/>
  </r>
  <r>
    <s v="Id1333"/>
    <s v="Kehr, Mrs.  Gina"/>
    <n v="30.81"/>
    <n v="4.49"/>
    <s v="No"/>
    <s v="No"/>
    <x v="0"/>
    <n v="0"/>
    <x v="1"/>
    <x v="0"/>
    <s v="Normal"/>
    <n v="1969"/>
    <s v="Jun"/>
    <n v="25"/>
    <n v="2"/>
    <d v="1969-06-25T00:00:00"/>
    <n v="11163.57"/>
    <s v="tier - 3"/>
    <s v="tier - 2"/>
    <s v="R1011"/>
    <n v="53"/>
  </r>
  <r>
    <s v="Id1334"/>
    <s v="Montagna, Mr.  Dino"/>
    <n v="36.85"/>
    <n v="8.8000000000000007"/>
    <s v="No"/>
    <s v="No"/>
    <x v="0"/>
    <n v="2"/>
    <x v="1"/>
    <x v="0"/>
    <s v="Diabetes"/>
    <n v="1966"/>
    <s v="Aug"/>
    <n v="6"/>
    <n v="0"/>
    <d v="1966-08-06T00:00:00"/>
    <n v="11165.42"/>
    <s v="tier - 3"/>
    <s v="tier - 1"/>
    <s v="R1016"/>
    <n v="56"/>
  </r>
  <r>
    <s v="Id1335"/>
    <s v="M√ºller, Mr.  Jan"/>
    <n v="35.86"/>
    <n v="7.93"/>
    <s v="No"/>
    <s v="No"/>
    <x v="0"/>
    <n v="2"/>
    <x v="1"/>
    <x v="0"/>
    <s v="Diabetes"/>
    <n v="1972"/>
    <s v="Sep"/>
    <n v="3"/>
    <n v="0"/>
    <d v="1972-09-03T00:00:00"/>
    <n v="11186.2"/>
    <s v="tier - 3"/>
    <s v="tier - 2"/>
    <s v="R1021"/>
    <n v="50"/>
  </r>
  <r>
    <s v="Id1336"/>
    <s v="Baker, Mr.  Jonathan E."/>
    <n v="30.3"/>
    <n v="9.4499999999999993"/>
    <s v="No"/>
    <s v="No"/>
    <x v="0"/>
    <n v="2"/>
    <x v="1"/>
    <x v="0"/>
    <s v="Diabetes"/>
    <n v="1970"/>
    <s v="Jun"/>
    <n v="14"/>
    <n v="2"/>
    <d v="1970-06-14T00:00:00"/>
    <n v="11187.66"/>
    <s v="tier - 3"/>
    <s v="tier - 2"/>
    <s v="R1012"/>
    <n v="52"/>
  </r>
  <r>
    <s v="Id1337"/>
    <s v="Sidebottom, Mr.  Mark A"/>
    <n v="32.015000000000001"/>
    <n v="7.67"/>
    <s v="No"/>
    <s v="No"/>
    <x v="0"/>
    <n v="0"/>
    <x v="1"/>
    <x v="0"/>
    <s v="Diabetes"/>
    <n v="1976"/>
    <s v="Jun"/>
    <n v="28"/>
    <n v="2"/>
    <d v="1976-06-28T00:00:00"/>
    <n v="11217.35"/>
    <s v="tier - 3"/>
    <s v="tier - 2"/>
    <s v="R1025"/>
    <n v="46"/>
  </r>
  <r>
    <s v="Id1338"/>
    <s v="Johnson, Mrs.  Mary"/>
    <n v="25.06"/>
    <n v="10.53"/>
    <s v="No"/>
    <s v="No"/>
    <x v="0"/>
    <n v="2"/>
    <x v="1"/>
    <x v="1"/>
    <s v="Diabetes"/>
    <n v="1969"/>
    <s v="Dec"/>
    <n v="30"/>
    <n v="2"/>
    <d v="1969-12-30T00:00:00"/>
    <n v="11244.38"/>
    <s v="tier - 3"/>
    <s v="tier - 1"/>
    <s v="R1016"/>
    <n v="53"/>
  </r>
  <r>
    <s v="Id1339"/>
    <s v="Morris, Mr.  Samuel"/>
    <n v="18.829999999999998"/>
    <n v="10.08"/>
    <s v="yes"/>
    <s v="No"/>
    <x v="0"/>
    <n v="0"/>
    <x v="1"/>
    <x v="2"/>
    <s v="Diabetes"/>
    <n v="1989"/>
    <s v="Dec"/>
    <n v="17"/>
    <n v="3"/>
    <d v="1989-12-17T00:00:00"/>
    <n v="11250.43"/>
    <s v="tier - 3"/>
    <s v="tier - 2"/>
    <s v="R1026"/>
    <n v="33"/>
  </r>
  <r>
    <s v="Id1340"/>
    <s v="Chaisson, Mr.  Stan J"/>
    <n v="47.52"/>
    <n v="11.39"/>
    <s v="yes"/>
    <s v="No"/>
    <x v="0"/>
    <n v="1"/>
    <x v="1"/>
    <x v="0"/>
    <s v="Diabetes"/>
    <n v="1969"/>
    <s v="Aug"/>
    <n v="20"/>
    <n v="3"/>
    <d v="1969-08-20T00:00:00"/>
    <n v="11253.42"/>
    <s v="tier - 3"/>
    <s v="tier - 1"/>
    <s v="R1011"/>
    <n v="53"/>
  </r>
  <r>
    <s v="Id1341"/>
    <s v="Pigott, Mrs.  Jessica L."/>
    <n v="37.82"/>
    <n v="6.36"/>
    <s v="No"/>
    <s v="No"/>
    <x v="0"/>
    <n v="0"/>
    <x v="1"/>
    <x v="0"/>
    <s v="Prediabetes"/>
    <n v="1981"/>
    <s v="Oct"/>
    <n v="2"/>
    <n v="1"/>
    <d v="1981-10-02T00:00:00"/>
    <n v="11255.29"/>
    <s v="tier - 3"/>
    <s v="tier - 1"/>
    <s v="R1026"/>
    <n v="41"/>
  </r>
  <r>
    <s v="Id1342"/>
    <s v="Cochrane, Ms.  Krysta"/>
    <n v="44.16"/>
    <n v="5.31"/>
    <s v="yes"/>
    <s v="No"/>
    <x v="0"/>
    <n v="0"/>
    <x v="1"/>
    <x v="0"/>
    <s v="Normal"/>
    <n v="1969"/>
    <s v="Oct"/>
    <n v="11"/>
    <n v="3"/>
    <d v="1969-10-11T00:00:00"/>
    <n v="11264.54"/>
    <s v="tier - 3"/>
    <s v="tier - 2"/>
    <s v="R1011"/>
    <n v="53"/>
  </r>
  <r>
    <s v="Id1343"/>
    <s v="Armitage, Mrs.  Natascia"/>
    <n v="37.049999999999997"/>
    <n v="4.74"/>
    <s v="No"/>
    <s v="No"/>
    <x v="1"/>
    <n v="1"/>
    <x v="1"/>
    <x v="0"/>
    <s v="Normal"/>
    <n v="1971"/>
    <s v="Dec"/>
    <n v="26"/>
    <n v="0"/>
    <d v="1971-12-26T00:00:00"/>
    <n v="11265.71"/>
    <s v="tier - 3"/>
    <s v="tier - 1"/>
    <s v="R1025"/>
    <n v="51"/>
  </r>
  <r>
    <s v="Id1344"/>
    <s v="Shen, Ms.  Jenny"/>
    <n v="18.66"/>
    <n v="11.35"/>
    <s v="No"/>
    <s v="No"/>
    <x v="0"/>
    <n v="0"/>
    <x v="1"/>
    <x v="2"/>
    <s v="Diabetes"/>
    <n v="2004"/>
    <s v="Oct"/>
    <n v="4"/>
    <n v="1"/>
    <d v="2004-10-04T00:00:00"/>
    <n v="11272.33"/>
    <s v="tier - 3"/>
    <s v="tier - 2"/>
    <s v="R1019"/>
    <n v="18"/>
  </r>
  <r>
    <s v="Id1345"/>
    <s v="O'Kelly, Mr.  Brian"/>
    <n v="36.200000000000003"/>
    <n v="6.81"/>
    <s v="yes"/>
    <s v="No"/>
    <x v="0"/>
    <n v="1"/>
    <x v="1"/>
    <x v="0"/>
    <s v="Diabetes"/>
    <n v="1967"/>
    <s v="Jun"/>
    <n v="14"/>
    <n v="0"/>
    <d v="1967-06-14T00:00:00"/>
    <n v="11286.54"/>
    <s v="tier - 3"/>
    <s v="tier - 3"/>
    <s v="R1024"/>
    <n v="55"/>
  </r>
  <r>
    <s v="Id1346"/>
    <s v="Huff, Ms.  Monica"/>
    <n v="18.87"/>
    <n v="8.06"/>
    <s v="No"/>
    <s v="No"/>
    <x v="0"/>
    <n v="0"/>
    <x v="1"/>
    <x v="2"/>
    <s v="Diabetes"/>
    <n v="1970"/>
    <s v="Jun"/>
    <n v="22"/>
    <n v="3"/>
    <d v="1970-06-22T00:00:00"/>
    <n v="11289.11"/>
    <s v="tier - 3"/>
    <s v="tier - 1"/>
    <s v="R1012"/>
    <n v="52"/>
  </r>
  <r>
    <s v="Id1347"/>
    <s v="Dye, Mr.  Tyler"/>
    <n v="32.299999999999997"/>
    <n v="6.74"/>
    <s v="yes"/>
    <s v="No"/>
    <x v="0"/>
    <n v="1"/>
    <x v="1"/>
    <x v="0"/>
    <s v="Diabetes"/>
    <n v="1988"/>
    <s v="Nov"/>
    <n v="14"/>
    <n v="3"/>
    <d v="1988-11-14T00:00:00"/>
    <n v="11294.57"/>
    <s v="tier - 3"/>
    <s v="tier - 1"/>
    <s v="R1022"/>
    <n v="34"/>
  </r>
  <r>
    <s v="Id1348"/>
    <s v="Willard, Ms.  Kelly C"/>
    <n v="22.64"/>
    <n v="6.54"/>
    <s v="yes"/>
    <s v="No"/>
    <x v="0"/>
    <n v="2"/>
    <x v="1"/>
    <x v="2"/>
    <s v="Diabetes"/>
    <n v="1972"/>
    <s v="Sep"/>
    <n v="25"/>
    <n v="4"/>
    <d v="1972-09-25T00:00:00"/>
    <n v="11299.34"/>
    <s v="tier - 3"/>
    <s v="tier - 2"/>
    <s v="R1011"/>
    <n v="50"/>
  </r>
  <r>
    <s v="Id1349"/>
    <s v="D'Addario, Mrs.  Emily"/>
    <n v="28.69"/>
    <n v="5.4"/>
    <s v="No"/>
    <s v="No"/>
    <x v="0"/>
    <n v="0"/>
    <x v="1"/>
    <x v="1"/>
    <s v="Normal"/>
    <n v="1968"/>
    <s v="Oct"/>
    <n v="6"/>
    <n v="1"/>
    <d v="1968-10-06T00:00:00"/>
    <n v="11305.93"/>
    <s v="tier - 3"/>
    <s v="tier - 1"/>
    <s v="R1012"/>
    <n v="54"/>
  </r>
  <r>
    <s v="Id1350"/>
    <s v="Buchanan, Mr.  James V"/>
    <n v="28.16"/>
    <n v="5.58"/>
    <s v="yes"/>
    <s v="No"/>
    <x v="0"/>
    <n v="0"/>
    <x v="1"/>
    <x v="1"/>
    <s v="Normal"/>
    <n v="1963"/>
    <s v="Nov"/>
    <n v="22"/>
    <n v="0"/>
    <d v="1963-11-22T00:00:00"/>
    <n v="11312.33"/>
    <s v="tier - 3"/>
    <s v="tier - 3"/>
    <s v="R1012"/>
    <n v="59"/>
  </r>
  <r>
    <s v="Id1351"/>
    <s v="Clark, Ms.  Angie"/>
    <n v="45.54"/>
    <n v="5.84"/>
    <s v="No"/>
    <s v="No"/>
    <x v="1"/>
    <n v="1"/>
    <x v="1"/>
    <x v="0"/>
    <s v="Prediabetes"/>
    <n v="1995"/>
    <s v="Dec"/>
    <n v="10"/>
    <n v="0"/>
    <d v="1995-12-10T00:00:00"/>
    <n v="11318.57"/>
    <s v="tier - 3"/>
    <s v="tier - 2"/>
    <s v="R1026"/>
    <n v="27"/>
  </r>
  <r>
    <s v="Id1352"/>
    <s v="Waterson, Mr.  Michael J."/>
    <n v="28.7"/>
    <n v="4.2"/>
    <s v="No"/>
    <s v="No"/>
    <x v="0"/>
    <n v="0"/>
    <x v="1"/>
    <x v="1"/>
    <s v="Normal"/>
    <n v="1963"/>
    <s v="Jul"/>
    <n v="11"/>
    <n v="0"/>
    <d v="1963-07-11T00:00:00"/>
    <n v="11319.12"/>
    <s v="tier - 3"/>
    <s v="tier - 1"/>
    <s v="R1012"/>
    <n v="59"/>
  </r>
  <r>
    <s v="Id1353"/>
    <s v="Piras, Ms.  Sabina"/>
    <n v="27.74"/>
    <n v="6.06"/>
    <s v="yes"/>
    <s v="No"/>
    <x v="0"/>
    <n v="0"/>
    <x v="1"/>
    <x v="1"/>
    <s v="Prediabetes"/>
    <n v="2002"/>
    <s v="Sep"/>
    <n v="20"/>
    <n v="0"/>
    <d v="2002-09-20T00:00:00"/>
    <n v="11321.49"/>
    <s v="tier - 3"/>
    <s v="tier - 3"/>
    <s v="R1012"/>
    <n v="20"/>
  </r>
  <r>
    <s v="Id1354"/>
    <s v="Olson, Ms.  Amy C"/>
    <n v="36.954999999999998"/>
    <n v="7.57"/>
    <s v="No"/>
    <s v="No"/>
    <x v="0"/>
    <n v="0"/>
    <x v="1"/>
    <x v="0"/>
    <s v="Diabetes"/>
    <n v="1989"/>
    <s v="Aug"/>
    <n v="19"/>
    <n v="1"/>
    <d v="1989-08-19T00:00:00"/>
    <n v="11326.71"/>
    <s v="tier - 3"/>
    <s v="tier - 3"/>
    <s v="R1013"/>
    <n v="33"/>
  </r>
  <r>
    <s v="Id1355"/>
    <s v="Manfredi, Ms.  Victoria U"/>
    <n v="30.69"/>
    <n v="6.15"/>
    <s v="No"/>
    <s v="No"/>
    <x v="0"/>
    <n v="0"/>
    <x v="1"/>
    <x v="0"/>
    <s v="Prediabetes"/>
    <n v="1968"/>
    <s v="Nov"/>
    <n v="2"/>
    <n v="0"/>
    <d v="1968-11-02T00:00:00"/>
    <n v="11344.32"/>
    <s v="tier - 3"/>
    <s v="tier - 2"/>
    <s v="R1025"/>
    <n v="54"/>
  </r>
  <r>
    <s v="Id1356"/>
    <s v="Landberg, Ms.  Amelia B"/>
    <n v="24.984999999999999"/>
    <n v="4.5599999999999996"/>
    <s v="No"/>
    <s v="No"/>
    <x v="0"/>
    <n v="0"/>
    <x v="1"/>
    <x v="1"/>
    <s v="Normal"/>
    <n v="1964"/>
    <s v="Jul"/>
    <n v="12"/>
    <n v="0"/>
    <d v="1964-07-12T00:00:00"/>
    <n v="11345.52"/>
    <s v="tier - 3"/>
    <s v="tier - 3"/>
    <s v="R1011"/>
    <n v="58"/>
  </r>
  <r>
    <s v="Id1357"/>
    <s v="Flynn, Ms.  Jackie J"/>
    <n v="39.42"/>
    <n v="4.72"/>
    <s v="yes"/>
    <s v="No"/>
    <x v="0"/>
    <n v="1"/>
    <x v="1"/>
    <x v="0"/>
    <s v="Normal"/>
    <n v="1965"/>
    <s v="Nov"/>
    <n v="29"/>
    <n v="0"/>
    <d v="1965-11-29T00:00:00"/>
    <n v="11353.23"/>
    <s v="tier - 3"/>
    <s v="tier - 1"/>
    <s v="R1012"/>
    <n v="57"/>
  </r>
  <r>
    <s v="Id1358"/>
    <s v="Bishop, Mr.  Justin"/>
    <n v="16.8"/>
    <n v="7.98"/>
    <s v="No"/>
    <s v="No"/>
    <x v="0"/>
    <n v="0"/>
    <x v="1"/>
    <x v="3"/>
    <s v="Diabetes"/>
    <n v="1965"/>
    <s v="Sep"/>
    <n v="26"/>
    <n v="0"/>
    <d v="1965-09-26T00:00:00"/>
    <n v="11356.66"/>
    <s v="tier - 3"/>
    <s v="tier - 3"/>
    <s v="R1012"/>
    <n v="57"/>
  </r>
  <r>
    <s v="Id1359"/>
    <s v="Devitt, Ms.  Kerry"/>
    <n v="23.274999999999999"/>
    <n v="6.26"/>
    <s v="yes"/>
    <s v="No"/>
    <x v="1"/>
    <n v="1"/>
    <x v="1"/>
    <x v="2"/>
    <s v="Prediabetes"/>
    <n v="1964"/>
    <s v="Jul"/>
    <n v="4"/>
    <n v="0"/>
    <d v="1964-07-04T00:00:00"/>
    <n v="11362.76"/>
    <s v="tier - 3"/>
    <s v="tier - 1"/>
    <s v="R1011"/>
    <n v="58"/>
  </r>
  <r>
    <s v="Id1360"/>
    <s v="Lynch, Ms.  Cindy G."/>
    <n v="22.8"/>
    <n v="4.29"/>
    <s v="yes"/>
    <s v="No"/>
    <x v="1"/>
    <n v="1"/>
    <x v="1"/>
    <x v="2"/>
    <s v="Normal"/>
    <n v="1964"/>
    <s v="Jul"/>
    <n v="3"/>
    <n v="0"/>
    <d v="1964-07-03T00:00:00"/>
    <n v="11363.28"/>
    <s v="tier - 3"/>
    <s v="tier - 1"/>
    <s v="R1013"/>
    <n v="58"/>
  </r>
  <r>
    <s v="Id1361"/>
    <s v="Tramontano, Mr.  Gennaro"/>
    <n v="24.3"/>
    <n v="5.43"/>
    <s v="No"/>
    <s v="No"/>
    <x v="0"/>
    <n v="2"/>
    <x v="1"/>
    <x v="2"/>
    <s v="Normal"/>
    <n v="1964"/>
    <s v="Dec"/>
    <n v="13"/>
    <n v="0"/>
    <d v="1964-12-13T00:00:00"/>
    <n v="11365.95"/>
    <s v="tier - 3"/>
    <s v="tier - 2"/>
    <s v="R1011"/>
    <n v="58"/>
  </r>
  <r>
    <s v="Id1362"/>
    <s v="Davidson, Mr.  Terry"/>
    <n v="25.13"/>
    <n v="8"/>
    <s v="yes"/>
    <s v="No"/>
    <x v="0"/>
    <n v="1"/>
    <x v="1"/>
    <x v="1"/>
    <s v="Diabetes"/>
    <n v="1979"/>
    <s v="Jun"/>
    <n v="7"/>
    <n v="2"/>
    <d v="1979-06-07T00:00:00"/>
    <n v="11369.39"/>
    <s v="tier - 3"/>
    <s v="tier - 1"/>
    <s v="R1026"/>
    <n v="44"/>
  </r>
  <r>
    <s v="Id1363"/>
    <s v="Burke, Mr.  Patrick J"/>
    <n v="22.72"/>
    <n v="9.9600000000000009"/>
    <s v="yes"/>
    <s v="No"/>
    <x v="0"/>
    <n v="2"/>
    <x v="1"/>
    <x v="2"/>
    <s v="Diabetes"/>
    <n v="1972"/>
    <s v="Dec"/>
    <n v="6"/>
    <n v="0"/>
    <d v="1972-12-06T00:00:00"/>
    <n v="11378.57"/>
    <s v="tier - 3"/>
    <s v="tier - 2"/>
    <s v="R1025"/>
    <n v="50"/>
  </r>
  <r>
    <s v="Id1364"/>
    <s v="McGraw, Ms.  Keara"/>
    <n v="32.6"/>
    <n v="6.8"/>
    <s v="yes"/>
    <s v="No"/>
    <x v="0"/>
    <n v="0"/>
    <x v="1"/>
    <x v="0"/>
    <s v="Diabetes"/>
    <n v="1964"/>
    <s v="Jun"/>
    <n v="13"/>
    <n v="0"/>
    <d v="1964-06-13T00:00:00"/>
    <n v="11381.33"/>
    <s v="tier - 3"/>
    <s v="tier - 2"/>
    <s v="R1013"/>
    <n v="58"/>
  </r>
  <r>
    <s v="Id1365"/>
    <s v="Fellure, Ms.  Nicole"/>
    <n v="17.28"/>
    <n v="6.22"/>
    <s v="yes"/>
    <s v="No"/>
    <x v="0"/>
    <n v="2"/>
    <x v="1"/>
    <x v="3"/>
    <s v="Prediabetes"/>
    <n v="1997"/>
    <s v="Jul"/>
    <n v="28"/>
    <n v="0"/>
    <d v="1997-07-28T00:00:00"/>
    <n v="11388.27"/>
    <s v="tier - 3"/>
    <s v="tier - 2"/>
    <s v="R1026"/>
    <n v="25"/>
  </r>
  <r>
    <s v="Id1366"/>
    <s v="Sanford, Mrs.  Katena"/>
    <n v="27.92"/>
    <n v="5.79"/>
    <s v="No"/>
    <s v="No"/>
    <x v="0"/>
    <n v="1"/>
    <x v="1"/>
    <x v="1"/>
    <s v="Prediabetes"/>
    <n v="1967"/>
    <s v="Dec"/>
    <n v="19"/>
    <n v="1"/>
    <d v="1967-12-19T00:00:00"/>
    <n v="11394.07"/>
    <s v="tier - 3"/>
    <s v="tier - 1"/>
    <s v="R1018"/>
    <n v="55"/>
  </r>
  <r>
    <s v="Id1367"/>
    <s v="Wrenn, Ms.  Bean K."/>
    <n v="38.284999999999997"/>
    <n v="5.41"/>
    <s v="No"/>
    <s v="No"/>
    <x v="0"/>
    <n v="0"/>
    <x v="1"/>
    <x v="0"/>
    <s v="Normal"/>
    <n v="1970"/>
    <s v="Oct"/>
    <n v="2"/>
    <n v="2"/>
    <d v="1970-10-02T00:00:00"/>
    <n v="11396.9"/>
    <s v="tier - 3"/>
    <s v="tier - 3"/>
    <s v="R1024"/>
    <n v="52"/>
  </r>
  <r>
    <s v="Id1368"/>
    <s v="Lindsey, Mr.  Brian"/>
    <n v="16.48"/>
    <n v="11.05"/>
    <s v="No"/>
    <s v="No"/>
    <x v="0"/>
    <n v="0"/>
    <x v="1"/>
    <x v="3"/>
    <s v="Diabetes"/>
    <n v="1970"/>
    <s v="Oct"/>
    <n v="7"/>
    <n v="3"/>
    <d v="1970-10-07T00:00:00"/>
    <n v="11411.69"/>
    <s v="tier - 3"/>
    <s v="tier - 2"/>
    <s v="R1011"/>
    <n v="52"/>
  </r>
  <r>
    <s v="Id1369"/>
    <s v="Krueger, Mr.  Jan-Patrick"/>
    <n v="38.57"/>
    <n v="6.27"/>
    <s v="No"/>
    <s v="No"/>
    <x v="0"/>
    <n v="0"/>
    <x v="1"/>
    <x v="0"/>
    <s v="Prediabetes"/>
    <n v="1983"/>
    <s v="Oct"/>
    <n v="23"/>
    <n v="3"/>
    <d v="1983-10-23T00:00:00"/>
    <n v="11412.02"/>
    <s v="tier - 3"/>
    <s v="tier - 1"/>
    <s v="R1021"/>
    <n v="39"/>
  </r>
  <r>
    <s v="Id1370"/>
    <s v="Babler, Mr.  Jesse J"/>
    <n v="43.85"/>
    <n v="4.7699999999999996"/>
    <s v="yes"/>
    <s v="No"/>
    <x v="0"/>
    <n v="0"/>
    <x v="1"/>
    <x v="0"/>
    <s v="Normal"/>
    <n v="1985"/>
    <s v="Jun"/>
    <n v="9"/>
    <n v="3"/>
    <d v="1985-06-09T00:00:00"/>
    <n v="11419.49"/>
    <s v="tier - 3"/>
    <s v="tier - 1"/>
    <s v="R1012"/>
    <n v="37"/>
  </r>
  <r>
    <s v="Id1371"/>
    <s v="Brezenski, Ms.  Lindsey M"/>
    <n v="30.11"/>
    <n v="4.08"/>
    <s v="No"/>
    <s v="No"/>
    <x v="0"/>
    <n v="0"/>
    <x v="1"/>
    <x v="0"/>
    <s v="Normal"/>
    <n v="1980"/>
    <s v="Jul"/>
    <n v="17"/>
    <n v="2"/>
    <d v="1980-07-17T00:00:00"/>
    <n v="11435.74"/>
    <s v="tier - 3"/>
    <s v="tier - 3"/>
    <s v="R1021"/>
    <n v="42"/>
  </r>
  <r>
    <s v="Id1372"/>
    <s v="Marschner, Ms.  Marguerite K."/>
    <n v="31.59"/>
    <n v="6.01"/>
    <s v="No"/>
    <s v="No"/>
    <x v="0"/>
    <n v="0"/>
    <x v="1"/>
    <x v="0"/>
    <s v="Prediabetes"/>
    <n v="1971"/>
    <s v="Sep"/>
    <n v="12"/>
    <n v="3"/>
    <d v="1971-09-12T00:00:00"/>
    <n v="11436.74"/>
    <s v="tier - 3"/>
    <s v="tier - 3"/>
    <s v="R1012"/>
    <n v="51"/>
  </r>
  <r>
    <s v="Id1373"/>
    <s v="King, Mr.  Travis"/>
    <n v="40.15"/>
    <n v="11.84"/>
    <s v="No"/>
    <s v="No"/>
    <x v="0"/>
    <n v="0"/>
    <x v="1"/>
    <x v="0"/>
    <s v="Diabetes"/>
    <n v="1966"/>
    <s v="Jun"/>
    <n v="14"/>
    <n v="0"/>
    <d v="1966-06-14T00:00:00"/>
    <n v="11454.02"/>
    <s v="tier - 3"/>
    <s v="tier - 1"/>
    <s v="R1012"/>
    <n v="56"/>
  </r>
  <r>
    <s v="Id1374"/>
    <s v="Montez, Mr.  Ricky"/>
    <n v="40.700000000000003"/>
    <n v="6.27"/>
    <s v="yes"/>
    <s v="No"/>
    <x v="1"/>
    <n v="1"/>
    <x v="1"/>
    <x v="0"/>
    <s v="Prediabetes"/>
    <n v="1965"/>
    <s v="Jun"/>
    <n v="23"/>
    <n v="0"/>
    <d v="1965-06-23T00:00:00"/>
    <n v="11455.28"/>
    <s v="tier - 3"/>
    <s v="tier - 2"/>
    <s v="R1011"/>
    <n v="57"/>
  </r>
  <r>
    <s v="Id1375"/>
    <s v="Campbell, Mrs.  Colleen L."/>
    <n v="40.76"/>
    <n v="5.28"/>
    <s v="No"/>
    <s v="No"/>
    <x v="0"/>
    <n v="0"/>
    <x v="1"/>
    <x v="0"/>
    <s v="Normal"/>
    <n v="1966"/>
    <s v="Sep"/>
    <n v="7"/>
    <n v="0"/>
    <d v="1966-09-07T00:00:00"/>
    <n v="11478.14"/>
    <s v="tier - 3"/>
    <s v="tier - 2"/>
    <s v="R1025"/>
    <n v="56"/>
  </r>
  <r>
    <s v="Id1376"/>
    <s v="Hurt, Mr.  Charlie A"/>
    <n v="29.7"/>
    <n v="7.03"/>
    <s v="No"/>
    <s v="No"/>
    <x v="0"/>
    <n v="0"/>
    <x v="1"/>
    <x v="1"/>
    <s v="Diabetes"/>
    <n v="2004"/>
    <s v="Sep"/>
    <n v="10"/>
    <n v="0"/>
    <d v="2004-09-10T00:00:00"/>
    <n v="11482.63"/>
    <s v="tier - 3"/>
    <s v="tier - 2"/>
    <s v="R1013"/>
    <n v="18"/>
  </r>
  <r>
    <s v="Id1377"/>
    <s v="Garey, Mr.  Rick"/>
    <n v="40.58"/>
    <n v="5.32"/>
    <s v="yes"/>
    <s v="No"/>
    <x v="1"/>
    <n v="1"/>
    <x v="1"/>
    <x v="0"/>
    <s v="Normal"/>
    <n v="1970"/>
    <s v="Oct"/>
    <n v="13"/>
    <n v="3"/>
    <d v="1970-10-13T00:00:00"/>
    <n v="11488.32"/>
    <s v="tier - 3"/>
    <s v="tier - 1"/>
    <s v="R1014"/>
    <n v="52"/>
  </r>
  <r>
    <s v="Id1378"/>
    <s v="Reddy, Ms.  Lauren C"/>
    <n v="33.06"/>
    <n v="9.59"/>
    <s v="yes"/>
    <s v="No"/>
    <x v="0"/>
    <n v="0"/>
    <x v="1"/>
    <x v="0"/>
    <s v="Diabetes"/>
    <n v="1983"/>
    <s v="Jun"/>
    <n v="7"/>
    <n v="3"/>
    <d v="1983-06-07T00:00:00"/>
    <n v="11492.46"/>
    <s v="tier - 3"/>
    <s v="tier - 3"/>
    <s v="R1026"/>
    <n v="40"/>
  </r>
  <r>
    <s v="Id1379"/>
    <s v="Mueller, Mr.  Daniel"/>
    <n v="26.62"/>
    <n v="6.15"/>
    <s v="yes"/>
    <s v="No"/>
    <x v="0"/>
    <n v="0"/>
    <x v="1"/>
    <x v="1"/>
    <s v="Prediabetes"/>
    <n v="1969"/>
    <s v="Aug"/>
    <n v="11"/>
    <n v="0"/>
    <d v="1969-08-11T00:00:00"/>
    <n v="11497.69"/>
    <s v="tier - 3"/>
    <s v="tier - 1"/>
    <s v="R1012"/>
    <n v="53"/>
  </r>
  <r>
    <s v="Id1380"/>
    <s v="Julia, Mr.  Jaime"/>
    <n v="37.1"/>
    <n v="11.08"/>
    <s v="No"/>
    <s v="No"/>
    <x v="0"/>
    <n v="0"/>
    <x v="1"/>
    <x v="0"/>
    <s v="Diabetes"/>
    <n v="1989"/>
    <s v="Oct"/>
    <n v="6"/>
    <n v="3"/>
    <d v="1989-10-06T00:00:00"/>
    <n v="11511.61"/>
    <s v="tier - 3"/>
    <s v="tier - 3"/>
    <s v="R1026"/>
    <n v="33"/>
  </r>
  <r>
    <s v="Id1381"/>
    <s v="Uribe, Mr.  Erik R"/>
    <n v="18.28"/>
    <n v="7.95"/>
    <s v="No"/>
    <s v="No"/>
    <x v="0"/>
    <n v="0"/>
    <x v="1"/>
    <x v="3"/>
    <s v="Diabetes"/>
    <n v="1968"/>
    <s v="Jun"/>
    <n v="24"/>
    <n v="1"/>
    <d v="1968-06-24T00:00:00"/>
    <n v="11512.41"/>
    <s v="tier - 3"/>
    <s v="tier - 1"/>
    <s v="R1024"/>
    <n v="54"/>
  </r>
  <r>
    <s v="Id1382"/>
    <s v="Hand, Ms.  Katie"/>
    <n v="35.814999999999998"/>
    <n v="6.23"/>
    <s v="No"/>
    <s v="No"/>
    <x v="0"/>
    <n v="0"/>
    <x v="1"/>
    <x v="0"/>
    <s v="Prediabetes"/>
    <n v="1971"/>
    <s v="Dec"/>
    <n v="19"/>
    <n v="4"/>
    <d v="1971-12-19T00:00:00"/>
    <n v="11520.1"/>
    <s v="tier - 3"/>
    <s v="tier - 1"/>
    <s v="R1012"/>
    <n v="51"/>
  </r>
  <r>
    <s v="Id1383"/>
    <s v="Petersen, Mr.  Thomas A"/>
    <n v="30.69"/>
    <n v="6.5"/>
    <s v="No"/>
    <s v="No"/>
    <x v="0"/>
    <n v="0"/>
    <x v="1"/>
    <x v="0"/>
    <s v="Diabetes"/>
    <n v="1988"/>
    <s v="Jun"/>
    <n v="12"/>
    <n v="3"/>
    <d v="1988-06-12T00:00:00"/>
    <n v="11524.25"/>
    <s v="tier - 3"/>
    <s v="tier - 1"/>
    <s v="R1026"/>
    <n v="34"/>
  </r>
  <r>
    <s v="Id1384"/>
    <s v="Mac-Thiong, Mr.  Jean-Marc"/>
    <n v="26.125"/>
    <n v="5.22"/>
    <s v="No"/>
    <s v="No"/>
    <x v="0"/>
    <n v="0"/>
    <x v="1"/>
    <x v="1"/>
    <s v="Normal"/>
    <n v="1970"/>
    <s v="Jul"/>
    <n v="23"/>
    <n v="0"/>
    <d v="1970-07-23T00:00:00"/>
    <n v="11530.12"/>
    <s v="tier - 3"/>
    <s v="tier - 1"/>
    <s v="R1012"/>
    <n v="52"/>
  </r>
  <r>
    <s v="Id1385"/>
    <s v="Walker, Ms.  Kerry L"/>
    <n v="34.58"/>
    <n v="6.3"/>
    <s v="No"/>
    <s v="No"/>
    <x v="1"/>
    <n v="1"/>
    <x v="1"/>
    <x v="0"/>
    <s v="Prediabetes"/>
    <n v="1965"/>
    <s v="Oct"/>
    <n v="3"/>
    <n v="0"/>
    <d v="1965-10-03T00:00:00"/>
    <n v="11534.87"/>
    <s v="tier - 3"/>
    <s v="tier - 1"/>
    <s v="R1017"/>
    <n v="57"/>
  </r>
  <r>
    <s v="Id1386"/>
    <s v="Steidl, Mr.  Ulrich"/>
    <n v="27.4"/>
    <n v="8.84"/>
    <s v="No"/>
    <s v="No"/>
    <x v="0"/>
    <n v="0"/>
    <x v="1"/>
    <x v="1"/>
    <s v="Diabetes"/>
    <n v="1968"/>
    <s v="Nov"/>
    <n v="14"/>
    <n v="2"/>
    <d v="1968-11-14T00:00:00"/>
    <n v="11538.42"/>
    <s v="tier - 3"/>
    <s v="tier - 1"/>
    <s v="R1011"/>
    <n v="54"/>
  </r>
  <r>
    <s v="Id1387"/>
    <s v="Rose, Mr.  Justin P"/>
    <n v="27.53"/>
    <n v="4.1100000000000003"/>
    <s v="No"/>
    <s v="No"/>
    <x v="0"/>
    <n v="1"/>
    <x v="1"/>
    <x v="1"/>
    <s v="Normal"/>
    <n v="1971"/>
    <s v="Dec"/>
    <n v="1"/>
    <n v="0"/>
    <d v="1971-12-01T00:00:00"/>
    <n v="11540.25"/>
    <s v="tier - 3"/>
    <s v="tier - 1"/>
    <s v="R1012"/>
    <n v="51"/>
  </r>
  <r>
    <s v="Id1388"/>
    <s v="Alderfer, Ms.  Hannah E."/>
    <n v="33"/>
    <n v="4.57"/>
    <s v="No"/>
    <s v="No"/>
    <x v="0"/>
    <n v="0"/>
    <x v="1"/>
    <x v="0"/>
    <s v="Normal"/>
    <n v="1973"/>
    <s v="Jul"/>
    <n v="23"/>
    <n v="5"/>
    <d v="1973-07-23T00:00:00"/>
    <n v="11552.9"/>
    <s v="tier - 3"/>
    <s v="tier - 2"/>
    <s v="R1011"/>
    <n v="49"/>
  </r>
  <r>
    <s v="Id1389"/>
    <s v="Ryland, Mr.  David"/>
    <n v="25.78"/>
    <n v="11.06"/>
    <s v="yes"/>
    <s v="No"/>
    <x v="0"/>
    <n v="0"/>
    <x v="1"/>
    <x v="1"/>
    <s v="Diabetes"/>
    <n v="1965"/>
    <s v="Oct"/>
    <n v="27"/>
    <n v="1"/>
    <d v="1965-10-27T00:00:00"/>
    <n v="11554.22"/>
    <s v="tier - 3"/>
    <s v="tier - 1"/>
    <s v="R1013"/>
    <n v="57"/>
  </r>
  <r>
    <s v="Id1390"/>
    <s v="Bethea, Mr.  Jim"/>
    <n v="22.66"/>
    <n v="10.68"/>
    <s v="No"/>
    <s v="No"/>
    <x v="0"/>
    <n v="0"/>
    <x v="1"/>
    <x v="2"/>
    <s v="Diabetes"/>
    <n v="1965"/>
    <s v="Dec"/>
    <n v="25"/>
    <n v="0"/>
    <d v="1965-12-25T00:00:00"/>
    <n v="11566.3"/>
    <s v="tier - 3"/>
    <s v="tier - 3"/>
    <s v="R1016"/>
    <n v="57"/>
  </r>
  <r>
    <s v="Id1391"/>
    <s v="Kelly, Mr.  Joseph P"/>
    <n v="38.81"/>
    <n v="6.14"/>
    <s v="yes"/>
    <s v="No"/>
    <x v="0"/>
    <n v="1"/>
    <x v="1"/>
    <x v="0"/>
    <s v="Prediabetes"/>
    <n v="1965"/>
    <s v="Nov"/>
    <n v="6"/>
    <n v="1"/>
    <d v="1965-11-06T00:00:00"/>
    <n v="11576.13"/>
    <s v="tier - 3"/>
    <s v="tier - 3"/>
    <s v="R1011"/>
    <n v="57"/>
  </r>
  <r>
    <s v="Id1392"/>
    <s v="Blois, Mr.  Michael"/>
    <n v="38.51"/>
    <n v="5.45"/>
    <s v="yes"/>
    <s v="No"/>
    <x v="0"/>
    <n v="0"/>
    <x v="1"/>
    <x v="0"/>
    <s v="Normal"/>
    <n v="1964"/>
    <s v="Jun"/>
    <n v="20"/>
    <n v="0"/>
    <d v="1964-06-20T00:00:00"/>
    <n v="11602.75"/>
    <s v="tier - 3"/>
    <s v="tier - 1"/>
    <s v="R1020"/>
    <n v="58"/>
  </r>
  <r>
    <s v="Id1393"/>
    <s v="Dayton, Ms.  Gina M"/>
    <n v="22.98"/>
    <n v="6.14"/>
    <s v="yes"/>
    <s v="No"/>
    <x v="0"/>
    <n v="0"/>
    <x v="1"/>
    <x v="2"/>
    <s v="Prediabetes"/>
    <n v="1986"/>
    <s v="Jul"/>
    <n v="17"/>
    <n v="3"/>
    <d v="1986-07-17T00:00:00"/>
    <n v="11625.11"/>
    <s v="tier - 3"/>
    <s v="tier - 3"/>
    <s v="R1022"/>
    <n v="36"/>
  </r>
  <r>
    <s v="Id1394"/>
    <s v="Cloud, Ms.  Shantel C."/>
    <n v="15.65"/>
    <n v="7.85"/>
    <s v="No"/>
    <s v="No"/>
    <x v="0"/>
    <n v="0"/>
    <x v="1"/>
    <x v="3"/>
    <s v="Diabetes"/>
    <n v="1966"/>
    <s v="Oct"/>
    <n v="4"/>
    <n v="0"/>
    <d v="1966-10-04T00:00:00"/>
    <n v="11657.72"/>
    <s v="tier - 3"/>
    <s v="tier - 2"/>
    <s v="R1024"/>
    <n v="56"/>
  </r>
  <r>
    <s v="Id1395"/>
    <s v="Betournay, Mr.  Brian"/>
    <n v="39.97"/>
    <n v="4.09"/>
    <s v="No"/>
    <s v="No"/>
    <x v="0"/>
    <n v="1"/>
    <x v="1"/>
    <x v="0"/>
    <s v="Normal"/>
    <n v="1994"/>
    <s v="Jul"/>
    <n v="20"/>
    <n v="0"/>
    <d v="1994-07-20T00:00:00"/>
    <n v="11657.81"/>
    <s v="tier - 3"/>
    <s v="tier - 2"/>
    <s v="R1023"/>
    <n v="28"/>
  </r>
  <r>
    <s v="Id1396"/>
    <s v="Temple, Mr.  Brian"/>
    <n v="37.22"/>
    <n v="4.62"/>
    <s v="No"/>
    <s v="No"/>
    <x v="1"/>
    <n v="1"/>
    <x v="1"/>
    <x v="0"/>
    <s v="Normal"/>
    <n v="1966"/>
    <s v="Jul"/>
    <n v="6"/>
    <n v="0"/>
    <d v="1966-07-06T00:00:00"/>
    <n v="11658.12"/>
    <s v="tier - 3"/>
    <s v="tier - 1"/>
    <s v="R1024"/>
    <n v="56"/>
  </r>
  <r>
    <s v="Id1397"/>
    <s v="Rollie, Ms.  Jessica R"/>
    <n v="41.325000000000003"/>
    <n v="5.77"/>
    <s v="No"/>
    <s v="No"/>
    <x v="0"/>
    <n v="0"/>
    <x v="1"/>
    <x v="0"/>
    <s v="Prediabetes"/>
    <n v="1966"/>
    <s v="Aug"/>
    <n v="23"/>
    <n v="0"/>
    <d v="1966-08-23T00:00:00"/>
    <n v="11658.38"/>
    <s v="tier - 3"/>
    <s v="tier - 3"/>
    <s v="R1024"/>
    <n v="56"/>
  </r>
  <r>
    <s v="Id1398"/>
    <s v="Roybal, Mrs.  Robyn"/>
    <n v="40.31"/>
    <n v="5.84"/>
    <s v="No"/>
    <s v="No"/>
    <x v="0"/>
    <n v="0"/>
    <x v="1"/>
    <x v="0"/>
    <s v="Prediabetes"/>
    <n v="1966"/>
    <s v="Nov"/>
    <n v="9"/>
    <n v="1"/>
    <d v="1966-11-09T00:00:00"/>
    <n v="11674.13"/>
    <s v="tier - 3"/>
    <s v="tier - 1"/>
    <s v="R1011"/>
    <n v="56"/>
  </r>
  <r>
    <s v="Id1399"/>
    <s v="Turgeon, Ms.  Ashley"/>
    <n v="29.48"/>
    <n v="4.91"/>
    <s v="No"/>
    <s v="No"/>
    <x v="0"/>
    <n v="0"/>
    <x v="1"/>
    <x v="1"/>
    <s v="Normal"/>
    <n v="1970"/>
    <s v="Dec"/>
    <n v="1"/>
    <n v="0"/>
    <d v="1970-12-01T00:00:00"/>
    <n v="11696.52"/>
    <s v="tier - 3"/>
    <s v="tier - 1"/>
    <s v="R1021"/>
    <n v="52"/>
  </r>
  <r>
    <s v="Id1400"/>
    <s v="Deingenis, Ms.  Dana"/>
    <n v="33.155000000000001"/>
    <n v="5.07"/>
    <s v="No"/>
    <s v="No"/>
    <x v="0"/>
    <n v="0"/>
    <x v="1"/>
    <x v="0"/>
    <s v="Normal"/>
    <n v="1982"/>
    <s v="Oct"/>
    <n v="21"/>
    <n v="3"/>
    <d v="1982-10-21T00:00:00"/>
    <n v="11712.97"/>
    <s v="tier - 3"/>
    <s v="tier - 2"/>
    <s v="R1021"/>
    <n v="40"/>
  </r>
  <r>
    <s v="Id1401"/>
    <s v="Hodge, Ms.  Jessica F."/>
    <n v="42.85"/>
    <n v="5.81"/>
    <s v="yes"/>
    <s v="No"/>
    <x v="0"/>
    <n v="0"/>
    <x v="1"/>
    <x v="0"/>
    <s v="Prediabetes"/>
    <n v="1969"/>
    <s v="Oct"/>
    <n v="12"/>
    <n v="2"/>
    <d v="1969-10-12T00:00:00"/>
    <n v="11729.68"/>
    <s v="tier - 3"/>
    <s v="tier - 1"/>
    <s v="R1024"/>
    <n v="53"/>
  </r>
  <r>
    <s v="Id1402"/>
    <s v="Gibbs, Ms.  Lindsey"/>
    <n v="32.340000000000003"/>
    <n v="11.2"/>
    <s v="No"/>
    <s v="No"/>
    <x v="0"/>
    <n v="0"/>
    <x v="1"/>
    <x v="0"/>
    <s v="Diabetes"/>
    <n v="1984"/>
    <s v="Nov"/>
    <n v="26"/>
    <n v="3"/>
    <d v="1984-11-26T00:00:00"/>
    <n v="11730.82"/>
    <s v="tier - 3"/>
    <s v="tier - 3"/>
    <s v="R1026"/>
    <n v="38"/>
  </r>
  <r>
    <s v="Id1403"/>
    <s v="Trom, Ms.  Kelly A"/>
    <n v="27.5"/>
    <n v="10.75"/>
    <s v="No"/>
    <s v="No"/>
    <x v="0"/>
    <n v="0"/>
    <x v="1"/>
    <x v="1"/>
    <s v="Diabetes"/>
    <n v="1964"/>
    <s v="Nov"/>
    <n v="9"/>
    <n v="0"/>
    <d v="1964-11-09T00:00:00"/>
    <n v="11735.88"/>
    <s v="tier - 3"/>
    <s v="tier - 1"/>
    <s v="R1012"/>
    <n v="58"/>
  </r>
  <r>
    <s v="Id1404"/>
    <s v="Sizer, Ms.  Brooke E"/>
    <n v="25.8"/>
    <n v="7.8"/>
    <s v="No"/>
    <s v="No"/>
    <x v="0"/>
    <n v="0"/>
    <x v="1"/>
    <x v="1"/>
    <s v="Diabetes"/>
    <n v="1988"/>
    <s v="Sep"/>
    <n v="5"/>
    <n v="2"/>
    <d v="1988-09-05T00:00:00"/>
    <n v="11737.85"/>
    <s v="tier - 3"/>
    <s v="tier - 1"/>
    <s v="R1011"/>
    <n v="34"/>
  </r>
  <r>
    <s v="Id1405"/>
    <s v="Ellison, Ms.  Katelyn E."/>
    <n v="25"/>
    <n v="7.04"/>
    <s v="No"/>
    <s v="No"/>
    <x v="0"/>
    <n v="0"/>
    <x v="1"/>
    <x v="1"/>
    <s v="Diabetes"/>
    <n v="1969"/>
    <s v="Nov"/>
    <n v="12"/>
    <n v="3"/>
    <d v="1969-11-12T00:00:00"/>
    <n v="11741.73"/>
    <s v="tier - 3"/>
    <s v="tier - 1"/>
    <s v="R1011"/>
    <n v="53"/>
  </r>
  <r>
    <s v="Id1406"/>
    <s v="Sulkowski, Mr.  Adam"/>
    <n v="41.2"/>
    <n v="4.18"/>
    <s v="yes"/>
    <s v="No"/>
    <x v="0"/>
    <n v="0"/>
    <x v="1"/>
    <x v="0"/>
    <s v="Normal"/>
    <n v="1963"/>
    <s v="Jun"/>
    <n v="9"/>
    <n v="0"/>
    <d v="1963-06-09T00:00:00"/>
    <n v="11743.3"/>
    <s v="tier - 3"/>
    <s v="tier - 3"/>
    <s v="R1013"/>
    <n v="59"/>
  </r>
  <r>
    <s v="Id1407"/>
    <s v="Maringo, Ms.  Dana"/>
    <n v="17.78"/>
    <n v="8.19"/>
    <s v="No"/>
    <s v="No"/>
    <x v="0"/>
    <n v="0"/>
    <x v="1"/>
    <x v="3"/>
    <s v="Diabetes"/>
    <n v="1964"/>
    <s v="Dec"/>
    <n v="2"/>
    <n v="0"/>
    <d v="1964-12-02T00:00:00"/>
    <n v="11743.93"/>
    <s v="tier - 3"/>
    <s v="tier - 1"/>
    <s v="R1012"/>
    <n v="58"/>
  </r>
  <r>
    <s v="Id1408"/>
    <s v="Lattin, Mr.  Eric W"/>
    <n v="40.119999999999997"/>
    <n v="6.22"/>
    <s v="yes"/>
    <s v="No"/>
    <x v="1"/>
    <n v="1"/>
    <x v="1"/>
    <x v="0"/>
    <s v="Prediabetes"/>
    <n v="1979"/>
    <s v="Nov"/>
    <n v="6"/>
    <n v="2"/>
    <d v="1979-11-06T00:00:00"/>
    <n v="11752.68"/>
    <s v="tier - 3"/>
    <s v="tier - 1"/>
    <s v="R1026"/>
    <n v="43"/>
  </r>
  <r>
    <s v="Id1409"/>
    <s v="Deblander, Mr.  Matthew D"/>
    <n v="19.350000000000001"/>
    <n v="8.2200000000000006"/>
    <s v="yes"/>
    <s v="No"/>
    <x v="0"/>
    <n v="0"/>
    <x v="1"/>
    <x v="2"/>
    <s v="Diabetes"/>
    <n v="1966"/>
    <s v="Jul"/>
    <n v="25"/>
    <n v="1"/>
    <d v="1966-07-25T00:00:00"/>
    <n v="11763"/>
    <s v="tier - 3"/>
    <s v="tier - 3"/>
    <s v="R1016"/>
    <n v="56"/>
  </r>
  <r>
    <s v="Id1410"/>
    <s v="O'Neill, Mr.  Eoghan"/>
    <n v="36.69"/>
    <n v="6.15"/>
    <s v="No"/>
    <s v="No"/>
    <x v="0"/>
    <n v="0"/>
    <x v="1"/>
    <x v="0"/>
    <s v="Prediabetes"/>
    <n v="1982"/>
    <s v="Nov"/>
    <n v="20"/>
    <n v="3"/>
    <d v="1982-11-20T00:00:00"/>
    <n v="11773.06"/>
    <s v="tier - 3"/>
    <s v="tier - 3"/>
    <s v="R1026"/>
    <n v="40"/>
  </r>
  <r>
    <s v="Id1411"/>
    <s v="Davis, Ms.  Pamela W"/>
    <n v="28.51"/>
    <n v="5.65"/>
    <s v="yes"/>
    <s v="No"/>
    <x v="0"/>
    <n v="1"/>
    <x v="1"/>
    <x v="1"/>
    <s v="Normal"/>
    <n v="1965"/>
    <s v="Oct"/>
    <n v="3"/>
    <n v="0"/>
    <d v="1965-10-03T00:00:00"/>
    <n v="11830.61"/>
    <s v="tier - 3"/>
    <s v="tier - 1"/>
    <s v="R1012"/>
    <n v="57"/>
  </r>
  <r>
    <s v="Id1412"/>
    <s v="Stanek, Ms.  Lindsey M."/>
    <n v="30.21"/>
    <n v="5.5"/>
    <s v="No"/>
    <s v="No"/>
    <x v="0"/>
    <n v="1"/>
    <x v="1"/>
    <x v="0"/>
    <s v="Normal"/>
    <n v="1964"/>
    <s v="Jun"/>
    <n v="27"/>
    <n v="0"/>
    <d v="1964-06-27T00:00:00"/>
    <n v="11833.78"/>
    <s v="tier - 3"/>
    <s v="tier - 3"/>
    <s v="R1013"/>
    <n v="58"/>
  </r>
  <r>
    <s v="Id1413"/>
    <s v="Harris, Ms.  Kassie"/>
    <n v="24.33"/>
    <n v="8"/>
    <s v="No"/>
    <s v="No"/>
    <x v="0"/>
    <n v="0"/>
    <x v="1"/>
    <x v="2"/>
    <s v="Diabetes"/>
    <n v="1964"/>
    <s v="Sep"/>
    <n v="11"/>
    <n v="0"/>
    <d v="1964-09-11T00:00:00"/>
    <n v="11837.16"/>
    <s v="tier - 3"/>
    <s v="tier - 3"/>
    <s v="R1011"/>
    <n v="58"/>
  </r>
  <r>
    <s v="Id1414"/>
    <s v="Manning, Mr.  Matthew"/>
    <n v="19.855"/>
    <n v="5.71"/>
    <s v="yes"/>
    <s v="No"/>
    <x v="0"/>
    <n v="0"/>
    <x v="1"/>
    <x v="2"/>
    <s v="Prediabetes"/>
    <n v="1965"/>
    <s v="Sep"/>
    <n v="25"/>
    <n v="0"/>
    <d v="1965-09-25T00:00:00"/>
    <n v="11840.78"/>
    <s v="tier - 3"/>
    <s v="tier - 2"/>
    <s v="R1012"/>
    <n v="57"/>
  </r>
  <r>
    <s v="Id1415"/>
    <s v="Barrera Munoz, Mr.  Ruben Dario"/>
    <n v="25.364999999999998"/>
    <n v="11.71"/>
    <s v="No"/>
    <s v="No"/>
    <x v="0"/>
    <n v="0"/>
    <x v="1"/>
    <x v="1"/>
    <s v="Diabetes"/>
    <n v="1964"/>
    <s v="Jul"/>
    <n v="11"/>
    <n v="0"/>
    <d v="1964-07-11T00:00:00"/>
    <n v="11842.44"/>
    <s v="tier - 3"/>
    <s v="tier - 2"/>
    <s v="R1011"/>
    <n v="58"/>
  </r>
  <r>
    <s v="Id1416"/>
    <s v="Schauwaers, Mr.  Kevin"/>
    <n v="29.6"/>
    <n v="6.17"/>
    <s v="yes"/>
    <s v="No"/>
    <x v="1"/>
    <n v="1"/>
    <x v="1"/>
    <x v="1"/>
    <s v="Prediabetes"/>
    <n v="1965"/>
    <s v="Nov"/>
    <n v="10"/>
    <n v="0"/>
    <d v="1965-11-10T00:00:00"/>
    <n v="11842.62"/>
    <s v="tier - 3"/>
    <s v="tier - 3"/>
    <s v="R1012"/>
    <n v="57"/>
  </r>
  <r>
    <s v="Id1417"/>
    <s v="Hartman, Ms.  Lindsay M"/>
    <n v="39.43"/>
    <n v="6.1"/>
    <s v="yes"/>
    <s v="No"/>
    <x v="1"/>
    <n v="1"/>
    <x v="1"/>
    <x v="0"/>
    <s v="Prediabetes"/>
    <n v="1964"/>
    <s v="Jun"/>
    <n v="27"/>
    <n v="0"/>
    <d v="1964-06-27T00:00:00"/>
    <n v="11848.14"/>
    <s v="tier - 3"/>
    <s v="tier - 2"/>
    <s v="R1011"/>
    <n v="58"/>
  </r>
  <r>
    <s v="Id1418"/>
    <s v="Fire, Mrs.  Amanda"/>
    <n v="27.34"/>
    <n v="5.19"/>
    <s v="yes"/>
    <s v="No"/>
    <x v="0"/>
    <n v="1"/>
    <x v="1"/>
    <x v="1"/>
    <s v="Normal"/>
    <n v="1964"/>
    <s v="Sep"/>
    <n v="29"/>
    <n v="0"/>
    <d v="1964-09-29T00:00:00"/>
    <n v="11856.41"/>
    <s v="tier - 3"/>
    <s v="tier - 2"/>
    <s v="R1013"/>
    <n v="58"/>
  </r>
  <r>
    <s v="Id1419"/>
    <s v="Waliaula, Mr.  James"/>
    <n v="39.01"/>
    <n v="5.37"/>
    <s v="yes"/>
    <s v="No"/>
    <x v="0"/>
    <n v="0"/>
    <x v="1"/>
    <x v="0"/>
    <s v="Normal"/>
    <n v="1974"/>
    <s v="Jul"/>
    <n v="7"/>
    <n v="0"/>
    <d v="1974-07-07T00:00:00"/>
    <n v="11858.56"/>
    <s v="tier - 3"/>
    <s v="tier - 3"/>
    <s v="R1011"/>
    <n v="48"/>
  </r>
  <r>
    <s v="Id1420"/>
    <s v="Blackshear, Mr.  Samuel H."/>
    <n v="18.989999999999998"/>
    <n v="10.82"/>
    <s v="yes"/>
    <s v="No"/>
    <x v="0"/>
    <n v="0"/>
    <x v="1"/>
    <x v="2"/>
    <s v="Diabetes"/>
    <n v="1967"/>
    <s v="Aug"/>
    <n v="24"/>
    <n v="1"/>
    <d v="1967-08-24T00:00:00"/>
    <n v="11879.1"/>
    <s v="tier - 3"/>
    <s v="tier - 3"/>
    <s v="R1024"/>
    <n v="55"/>
  </r>
  <r>
    <s v="Id1421"/>
    <s v="Nettik, Ms.  Jenni"/>
    <n v="42.3"/>
    <n v="6.06"/>
    <s v="yes"/>
    <s v="No"/>
    <x v="0"/>
    <n v="0"/>
    <x v="1"/>
    <x v="0"/>
    <s v="Prediabetes"/>
    <n v="1967"/>
    <s v="Jul"/>
    <n v="14"/>
    <n v="2"/>
    <d v="1967-07-14T00:00:00"/>
    <n v="11881.36"/>
    <s v="tier - 3"/>
    <s v="tier - 2"/>
    <s v="R1011"/>
    <n v="55"/>
  </r>
  <r>
    <s v="Id1422"/>
    <s v="Novales, Mr.  Estuardo F"/>
    <n v="39.805"/>
    <n v="5.91"/>
    <s v="No"/>
    <s v="No"/>
    <x v="0"/>
    <n v="0"/>
    <x v="1"/>
    <x v="0"/>
    <s v="Prediabetes"/>
    <n v="1967"/>
    <s v="Oct"/>
    <n v="29"/>
    <n v="2"/>
    <d v="1967-10-29T00:00:00"/>
    <n v="11881.97"/>
    <s v="tier - 3"/>
    <s v="tier - 1"/>
    <s v="R1013"/>
    <n v="55"/>
  </r>
  <r>
    <s v="Id1423"/>
    <s v="Rosauer, Mr.  Brett"/>
    <n v="33.700000000000003"/>
    <n v="5.87"/>
    <s v="No"/>
    <s v="No"/>
    <x v="0"/>
    <n v="0"/>
    <x v="1"/>
    <x v="0"/>
    <s v="Prediabetes"/>
    <n v="2004"/>
    <s v="Jun"/>
    <n v="2"/>
    <n v="2"/>
    <d v="2004-06-02T00:00:00"/>
    <n v="11884.05"/>
    <s v="tier - 3"/>
    <s v="tier - 3"/>
    <s v="R1013"/>
    <n v="19"/>
  </r>
  <r>
    <s v="Id1424"/>
    <s v="Ryder, Ms.  Sharon E."/>
    <n v="36.195"/>
    <n v="6.22"/>
    <s v="No"/>
    <s v="No"/>
    <x v="0"/>
    <n v="0"/>
    <x v="1"/>
    <x v="0"/>
    <s v="Prediabetes"/>
    <n v="1964"/>
    <s v="Nov"/>
    <n v="19"/>
    <n v="0"/>
    <d v="1964-11-19T00:00:00"/>
    <n v="11918.2"/>
    <s v="tier - 3"/>
    <s v="tier - 1"/>
    <s v="R1021"/>
    <n v="58"/>
  </r>
  <r>
    <s v="Id1425"/>
    <s v="Larsen, Mr.  Jacob W√¶ver"/>
    <n v="32.6"/>
    <n v="5.73"/>
    <s v="No"/>
    <s v="No"/>
    <x v="1"/>
    <n v="1"/>
    <x v="1"/>
    <x v="0"/>
    <s v="Prediabetes"/>
    <n v="1964"/>
    <s v="Dec"/>
    <n v="20"/>
    <n v="0"/>
    <d v="1964-12-20T00:00:00"/>
    <n v="11931.13"/>
    <s v="tier - 3"/>
    <s v="tier - 1"/>
    <s v="R1019"/>
    <n v="58"/>
  </r>
  <r>
    <s v="Id1426"/>
    <s v="Keate, Mr.  Scott"/>
    <n v="30.2"/>
    <n v="5.7"/>
    <s v="No"/>
    <s v="No"/>
    <x v="0"/>
    <n v="0"/>
    <x v="1"/>
    <x v="0"/>
    <s v="Prediabetes"/>
    <n v="1964"/>
    <s v="Aug"/>
    <n v="2"/>
    <n v="0"/>
    <d v="1964-08-02T00:00:00"/>
    <n v="11938.26"/>
    <s v="tier - 3"/>
    <s v="tier - 3"/>
    <s v="R1019"/>
    <n v="58"/>
  </r>
  <r>
    <s v="Id1427"/>
    <s v="Williams, Ms.  Brooke S."/>
    <n v="27.645"/>
    <n v="9.91"/>
    <s v="No"/>
    <s v="No"/>
    <x v="0"/>
    <n v="0"/>
    <x v="1"/>
    <x v="1"/>
    <s v="Diabetes"/>
    <n v="1991"/>
    <s v="Oct"/>
    <n v="19"/>
    <n v="3"/>
    <d v="1991-10-19T00:00:00"/>
    <n v="11941.83"/>
    <s v="tier - 3"/>
    <s v="tier - 1"/>
    <s v="R1023"/>
    <n v="31"/>
  </r>
  <r>
    <s v="Id1428"/>
    <s v="Starosciak, Ms.  Kaye A."/>
    <n v="26.41"/>
    <n v="11.4"/>
    <s v="No"/>
    <s v="No"/>
    <x v="0"/>
    <n v="0"/>
    <x v="1"/>
    <x v="1"/>
    <s v="Diabetes"/>
    <n v="1964"/>
    <s v="Dec"/>
    <n v="25"/>
    <n v="0"/>
    <d v="1964-12-25T00:00:00"/>
    <n v="11944.59"/>
    <s v="tier - 3"/>
    <s v="tier - 2"/>
    <s v="R1016"/>
    <n v="58"/>
  </r>
  <r>
    <s v="Id1429"/>
    <s v="Smith, Ms.  Carolyn"/>
    <n v="34.1"/>
    <n v="6.29"/>
    <s v="yes"/>
    <s v="No"/>
    <x v="1"/>
    <n v="1"/>
    <x v="1"/>
    <x v="0"/>
    <s v="Prediabetes"/>
    <n v="1965"/>
    <s v="Nov"/>
    <n v="1"/>
    <n v="1"/>
    <d v="1965-11-01T00:00:00"/>
    <n v="11945.13"/>
    <s v="tier - 3"/>
    <s v="tier - 2"/>
    <s v="R1012"/>
    <n v="57"/>
  </r>
  <r>
    <s v="Id1430"/>
    <s v="Henderson, Mr.  Daniel C."/>
    <n v="17.3"/>
    <n v="9.2799999999999994"/>
    <s v="No"/>
    <s v="No"/>
    <x v="0"/>
    <n v="0"/>
    <x v="1"/>
    <x v="3"/>
    <s v="Diabetes"/>
    <n v="1964"/>
    <s v="Sep"/>
    <n v="29"/>
    <n v="1"/>
    <d v="1964-09-29T00:00:00"/>
    <n v="11946.63"/>
    <s v="tier - 3"/>
    <s v="tier - 2"/>
    <s v="R1013"/>
    <n v="58"/>
  </r>
  <r>
    <s v="Id1431"/>
    <s v="Winkelman, Mrs.  Laurie A"/>
    <n v="35.020000000000003"/>
    <n v="4.78"/>
    <s v="No"/>
    <s v="No"/>
    <x v="1"/>
    <n v="1"/>
    <x v="1"/>
    <x v="0"/>
    <s v="Normal"/>
    <n v="1967"/>
    <s v="Dec"/>
    <n v="22"/>
    <n v="3"/>
    <d v="1967-12-22T00:00:00"/>
    <n v="11987.17"/>
    <s v="tier - 3"/>
    <s v="tier - 3"/>
    <s v="R1013"/>
    <n v="55"/>
  </r>
  <r>
    <s v="Id1432"/>
    <s v="Monette, Ms.  Nicole"/>
    <n v="37.1"/>
    <n v="8.8699999999999992"/>
    <s v="yes"/>
    <s v="No"/>
    <x v="0"/>
    <n v="0"/>
    <x v="1"/>
    <x v="0"/>
    <s v="Diabetes"/>
    <n v="1983"/>
    <s v="Jul"/>
    <n v="4"/>
    <n v="3"/>
    <d v="1983-07-04T00:00:00"/>
    <n v="11987.68"/>
    <s v="tier - 3"/>
    <s v="tier - 2"/>
    <s v="R1026"/>
    <n v="39"/>
  </r>
  <r>
    <s v="Id1433"/>
    <s v="Kramer, Ms.  Shelby"/>
    <n v="16.79"/>
    <n v="11.4"/>
    <s v="No"/>
    <s v="No"/>
    <x v="0"/>
    <n v="0"/>
    <x v="1"/>
    <x v="3"/>
    <s v="Diabetes"/>
    <n v="1993"/>
    <s v="Dec"/>
    <n v="12"/>
    <n v="0"/>
    <d v="1993-12-12T00:00:00"/>
    <n v="11994.89"/>
    <s v="tier - 3"/>
    <s v="tier - 2"/>
    <s v="R1012"/>
    <n v="29"/>
  </r>
  <r>
    <s v="Id1434"/>
    <s v="Goldstein, Ms.  Allison"/>
    <n v="31.635000000000002"/>
    <n v="9.1300000000000008"/>
    <s v="yes"/>
    <s v="No"/>
    <x v="0"/>
    <n v="0"/>
    <x v="1"/>
    <x v="0"/>
    <s v="Diabetes"/>
    <n v="1982"/>
    <s v="Oct"/>
    <n v="17"/>
    <n v="3"/>
    <d v="1982-10-17T00:00:00"/>
    <n v="12001.29"/>
    <s v="tier - 3"/>
    <s v="tier - 3"/>
    <s v="R1021"/>
    <n v="40"/>
  </r>
  <r>
    <s v="Id1435"/>
    <s v="Gonzalez, Ms.  Leticia"/>
    <n v="24.19"/>
    <n v="6.22"/>
    <s v="yes"/>
    <s v="No"/>
    <x v="1"/>
    <n v="1"/>
    <x v="1"/>
    <x v="2"/>
    <s v="Prediabetes"/>
    <n v="1965"/>
    <s v="Jun"/>
    <n v="9"/>
    <n v="0"/>
    <d v="1965-06-09T00:00:00"/>
    <n v="12029.29"/>
    <s v="tier - 3"/>
    <s v="tier - 2"/>
    <s v="R1024"/>
    <n v="57"/>
  </r>
  <r>
    <s v="Id1436"/>
    <s v="Barrett, Mr.  John S."/>
    <n v="35.29"/>
    <n v="5.9"/>
    <s v="No"/>
    <s v="No"/>
    <x v="1"/>
    <n v="1"/>
    <x v="1"/>
    <x v="0"/>
    <s v="Prediabetes"/>
    <n v="1965"/>
    <s v="Oct"/>
    <n v="29"/>
    <n v="1"/>
    <d v="1965-10-29T00:00:00"/>
    <n v="12032.33"/>
    <s v="tier - 3"/>
    <s v="tier - 1"/>
    <s v="R1011"/>
    <n v="57"/>
  </r>
  <r>
    <s v="Id1437"/>
    <s v="Irwin, Ms.  April"/>
    <n v="35.299999999999997"/>
    <n v="4.45"/>
    <s v="No"/>
    <s v="No"/>
    <x v="0"/>
    <n v="0"/>
    <x v="1"/>
    <x v="0"/>
    <s v="Normal"/>
    <n v="1979"/>
    <s v="Oct"/>
    <n v="16"/>
    <n v="2"/>
    <d v="1979-10-16T00:00:00"/>
    <n v="12035.18"/>
    <s v="tier - 3"/>
    <s v="tier - 3"/>
    <s v="R1021"/>
    <n v="43"/>
  </r>
  <r>
    <s v="Id1438"/>
    <s v="Glenn, Ms.  Ashley N."/>
    <n v="35.64"/>
    <n v="6.17"/>
    <s v="No"/>
    <s v="No"/>
    <x v="1"/>
    <n v="1"/>
    <x v="1"/>
    <x v="0"/>
    <s v="Prediabetes"/>
    <n v="1966"/>
    <s v="Nov"/>
    <n v="24"/>
    <n v="1"/>
    <d v="1966-11-24T00:00:00"/>
    <n v="12044.34"/>
    <s v="tier - 3"/>
    <s v="tier - 1"/>
    <s v="R1012"/>
    <n v="56"/>
  </r>
  <r>
    <s v="Id1439"/>
    <s v="O'Meara, Ms.  Madeleine"/>
    <n v="33.1"/>
    <n v="4.93"/>
    <s v="No"/>
    <s v="No"/>
    <x v="0"/>
    <n v="0"/>
    <x v="1"/>
    <x v="0"/>
    <s v="Normal"/>
    <n v="1986"/>
    <s v="Sep"/>
    <n v="7"/>
    <n v="3"/>
    <d v="1986-09-07T00:00:00"/>
    <n v="12048.13"/>
    <s v="tier - 3"/>
    <s v="tier - 2"/>
    <s v="R1026"/>
    <n v="36"/>
  </r>
  <r>
    <s v="Id1440"/>
    <s v="Budrow, Ms.  Nelly S"/>
    <n v="26.41"/>
    <n v="7.32"/>
    <s v="yes"/>
    <s v="No"/>
    <x v="0"/>
    <n v="1"/>
    <x v="1"/>
    <x v="1"/>
    <s v="Diabetes"/>
    <n v="1984"/>
    <s v="Sep"/>
    <n v="2"/>
    <n v="3"/>
    <d v="1984-09-02T00:00:00"/>
    <n v="12091.34"/>
    <s v="tier - 3"/>
    <s v="tier - 2"/>
    <s v="R1022"/>
    <n v="38"/>
  </r>
  <r>
    <s v="Id1441"/>
    <s v="Anderson, Ms.  Meredith S"/>
    <n v="29.9"/>
    <n v="5.27"/>
    <s v="No"/>
    <s v="No"/>
    <x v="1"/>
    <n v="1"/>
    <x v="1"/>
    <x v="1"/>
    <s v="Normal"/>
    <n v="1968"/>
    <s v="Jun"/>
    <n v="21"/>
    <n v="3"/>
    <d v="1968-06-21T00:00:00"/>
    <n v="12094.48"/>
    <s v="tier - 3"/>
    <s v="tier - 3"/>
    <s v="R1011"/>
    <n v="54"/>
  </r>
  <r>
    <s v="Id1442"/>
    <s v="Douglas, Mr.  Kevin"/>
    <n v="25.24"/>
    <n v="5.82"/>
    <s v="No"/>
    <s v="No"/>
    <x v="0"/>
    <n v="1"/>
    <x v="1"/>
    <x v="1"/>
    <s v="Prediabetes"/>
    <n v="1968"/>
    <s v="Dec"/>
    <n v="9"/>
    <n v="2"/>
    <d v="1968-12-09T00:00:00"/>
    <n v="12096.65"/>
    <s v="tier - 3"/>
    <s v="tier - 1"/>
    <s v="R1024"/>
    <n v="54"/>
  </r>
  <r>
    <s v="Id1443"/>
    <s v="Tecklenburg, Ms.  Lisa"/>
    <n v="25.08"/>
    <n v="5.8"/>
    <s v="No"/>
    <s v="No"/>
    <x v="1"/>
    <n v="1"/>
    <x v="1"/>
    <x v="1"/>
    <s v="Prediabetes"/>
    <n v="1968"/>
    <s v="Oct"/>
    <n v="25"/>
    <n v="3"/>
    <d v="1968-10-25T00:00:00"/>
    <n v="12105.32"/>
    <s v="tier - 3"/>
    <s v="tier - 3"/>
    <s v="R1011"/>
    <n v="54"/>
  </r>
  <r>
    <s v="Id1444"/>
    <s v="Baker, Ms.  Katherine A"/>
    <n v="29.164999999999999"/>
    <n v="4.87"/>
    <s v="No"/>
    <s v="yes"/>
    <x v="0"/>
    <n v="1"/>
    <x v="1"/>
    <x v="1"/>
    <s v="Normal"/>
    <n v="1963"/>
    <s v="Jul"/>
    <n v="20"/>
    <n v="0"/>
    <d v="1963-07-20T00:00:00"/>
    <n v="12124.99"/>
    <s v="tier - 3"/>
    <s v="tier - 1"/>
    <s v="R1012"/>
    <n v="59"/>
  </r>
  <r>
    <s v="Id1445"/>
    <s v="Schenck, Mr.  Steve"/>
    <n v="15.05"/>
    <n v="8.1199999999999992"/>
    <s v="No"/>
    <s v="No"/>
    <x v="0"/>
    <n v="0"/>
    <x v="1"/>
    <x v="3"/>
    <s v="Diabetes"/>
    <n v="1963"/>
    <s v="Jun"/>
    <n v="4"/>
    <n v="0"/>
    <d v="1963-06-04T00:00:00"/>
    <n v="12129.61"/>
    <s v="tier - 3"/>
    <s v="tier - 1"/>
    <s v="R1012"/>
    <n v="60"/>
  </r>
  <r>
    <s v="Id1446"/>
    <s v="Johnson, Ms.  Kate L."/>
    <n v="19.95"/>
    <n v="4.3600000000000003"/>
    <s v="No"/>
    <s v="No"/>
    <x v="0"/>
    <n v="2"/>
    <x v="1"/>
    <x v="2"/>
    <s v="Normal"/>
    <n v="1991"/>
    <s v="Nov"/>
    <n v="6"/>
    <n v="3"/>
    <d v="1991-11-06T00:00:00"/>
    <n v="12130.8"/>
    <s v="tier - 3"/>
    <s v="tier - 3"/>
    <s v="R1026"/>
    <n v="31"/>
  </r>
  <r>
    <s v="Id1447"/>
    <s v="Blendell, Ms.  Beth"/>
    <n v="16.66"/>
    <n v="9.16"/>
    <s v="No"/>
    <s v="No"/>
    <x v="0"/>
    <n v="0"/>
    <x v="1"/>
    <x v="3"/>
    <s v="Diabetes"/>
    <n v="1974"/>
    <s v="Sep"/>
    <n v="16"/>
    <n v="0"/>
    <d v="1974-09-16T00:00:00"/>
    <n v="12137.6"/>
    <s v="tier - 3"/>
    <s v="tier - 3"/>
    <s v="R1012"/>
    <n v="48"/>
  </r>
  <r>
    <s v="Id1448"/>
    <s v="Parodi, Ms.  Katharine"/>
    <n v="16.62"/>
    <n v="9.14"/>
    <s v="No"/>
    <s v="No"/>
    <x v="0"/>
    <n v="0"/>
    <x v="1"/>
    <x v="3"/>
    <s v="Diabetes"/>
    <n v="1962"/>
    <s v="Nov"/>
    <n v="4"/>
    <n v="0"/>
    <d v="1962-11-04T00:00:00"/>
    <n v="12142.58"/>
    <s v="tier - 3"/>
    <s v="tier - 2"/>
    <s v="R1013"/>
    <n v="60"/>
  </r>
  <r>
    <s v="Id1449"/>
    <s v="Morgan, Ms.  Heather L"/>
    <n v="15.36"/>
    <n v="5.49"/>
    <s v="yes"/>
    <s v="No"/>
    <x v="0"/>
    <n v="2"/>
    <x v="1"/>
    <x v="3"/>
    <s v="Normal"/>
    <n v="1962"/>
    <s v="Sep"/>
    <n v="15"/>
    <n v="0"/>
    <d v="1962-09-15T00:00:00"/>
    <n v="12146.97"/>
    <s v="tier - 3"/>
    <s v="tier - 3"/>
    <s v="R1011"/>
    <n v="60"/>
  </r>
  <r>
    <s v="Id1450"/>
    <s v="Linden, Ms.  Desiree"/>
    <n v="27.74"/>
    <n v="5.96"/>
    <s v="yes"/>
    <s v="No"/>
    <x v="0"/>
    <n v="0"/>
    <x v="1"/>
    <x v="1"/>
    <s v="Prediabetes"/>
    <n v="1987"/>
    <s v="Oct"/>
    <n v="5"/>
    <n v="3"/>
    <d v="1987-10-05T00:00:00"/>
    <n v="12148.2"/>
    <s v="tier - 3"/>
    <s v="tier - 3"/>
    <s v="R1012"/>
    <n v="35"/>
  </r>
  <r>
    <s v="Id1451"/>
    <s v="Horning, Mr.  Peter B."/>
    <n v="22.44"/>
    <n v="4.62"/>
    <s v="yes"/>
    <s v="No"/>
    <x v="0"/>
    <n v="0"/>
    <x v="1"/>
    <x v="2"/>
    <s v="Normal"/>
    <n v="1991"/>
    <s v="Aug"/>
    <n v="29"/>
    <n v="3"/>
    <d v="1991-08-29T00:00:00"/>
    <n v="12198.64"/>
    <s v="tier - 3"/>
    <s v="tier - 3"/>
    <s v="R1026"/>
    <n v="31"/>
  </r>
  <r>
    <s v="Id1452"/>
    <s v="Goode, Mr.  Adam"/>
    <n v="37.049999999999997"/>
    <n v="9.9600000000000009"/>
    <s v="yes"/>
    <s v="No"/>
    <x v="0"/>
    <n v="0"/>
    <x v="1"/>
    <x v="0"/>
    <s v="Diabetes"/>
    <n v="1977"/>
    <s v="Aug"/>
    <n v="14"/>
    <n v="2"/>
    <d v="1977-08-14T00:00:00"/>
    <n v="12218.7"/>
    <s v="tier - 3"/>
    <s v="tier - 1"/>
    <s v="R1012"/>
    <n v="45"/>
  </r>
  <r>
    <s v="Id1453"/>
    <s v="Doden, Mr.  Jeremy J"/>
    <n v="22.95"/>
    <n v="10.53"/>
    <s v="No"/>
    <s v="No"/>
    <x v="0"/>
    <n v="2"/>
    <x v="1"/>
    <x v="2"/>
    <s v="Diabetes"/>
    <n v="1964"/>
    <s v="Jul"/>
    <n v="20"/>
    <n v="0"/>
    <d v="1964-07-20T00:00:00"/>
    <n v="12222.9"/>
    <s v="tier - 3"/>
    <s v="tier - 2"/>
    <s v="R1012"/>
    <n v="58"/>
  </r>
  <r>
    <s v="Id1454"/>
    <s v="Groff, Mr.  Adam C"/>
    <n v="34.200000000000003"/>
    <n v="6.69"/>
    <s v="yes"/>
    <s v="No"/>
    <x v="0"/>
    <n v="0"/>
    <x v="1"/>
    <x v="0"/>
    <s v="Diabetes"/>
    <n v="1964"/>
    <s v="Jul"/>
    <n v="2"/>
    <n v="0"/>
    <d v="1964-07-02T00:00:00"/>
    <n v="12224.35"/>
    <s v="tier - 3"/>
    <s v="tier - 1"/>
    <s v="R1012"/>
    <n v="58"/>
  </r>
  <r>
    <s v="Id1455"/>
    <s v="Kuehler, Mr.  Jon"/>
    <n v="30.59"/>
    <n v="9.5500000000000007"/>
    <s v="yes"/>
    <s v="No"/>
    <x v="0"/>
    <n v="0"/>
    <x v="1"/>
    <x v="0"/>
    <s v="Diabetes"/>
    <n v="1964"/>
    <s v="Jun"/>
    <n v="24"/>
    <n v="0"/>
    <d v="1964-06-24T00:00:00"/>
    <n v="12231.61"/>
    <s v="tier - 3"/>
    <s v="tier - 3"/>
    <s v="R1012"/>
    <n v="58"/>
  </r>
  <r>
    <s v="Id1456"/>
    <s v="Daniels, Mr.  Steven J"/>
    <n v="25.51"/>
    <n v="6.05"/>
    <s v="No"/>
    <s v="No"/>
    <x v="0"/>
    <n v="0"/>
    <x v="1"/>
    <x v="1"/>
    <s v="Prediabetes"/>
    <n v="1963"/>
    <s v="Jul"/>
    <n v="19"/>
    <n v="0"/>
    <d v="1963-07-19T00:00:00"/>
    <n v="12233.83"/>
    <s v="tier - 3"/>
    <s v="tier - 1"/>
    <s v="R1011"/>
    <n v="59"/>
  </r>
  <r>
    <s v="Id1457"/>
    <s v="Gibby, Ms.  Jessica P."/>
    <n v="29.04"/>
    <n v="10.56"/>
    <s v="yes"/>
    <s v="No"/>
    <x v="0"/>
    <n v="1"/>
    <x v="1"/>
    <x v="1"/>
    <s v="Diabetes"/>
    <n v="1964"/>
    <s v="Oct"/>
    <n v="15"/>
    <n v="0"/>
    <d v="1964-10-15T00:00:00"/>
    <n v="12235.84"/>
    <s v="tier - 3"/>
    <s v="tier - 3"/>
    <s v="R1012"/>
    <n v="58"/>
  </r>
  <r>
    <s v="Id1458"/>
    <s v="Busa, Ms.  Ashley"/>
    <n v="22.135000000000002"/>
    <n v="10.81"/>
    <s v="yes"/>
    <s v="No"/>
    <x v="0"/>
    <n v="1"/>
    <x v="1"/>
    <x v="2"/>
    <s v="Diabetes"/>
    <n v="1966"/>
    <s v="Jul"/>
    <n v="29"/>
    <n v="0"/>
    <d v="1966-07-29T00:00:00"/>
    <n v="12237.73"/>
    <s v="tier - 3"/>
    <s v="tier - 3"/>
    <s v="R1012"/>
    <n v="56"/>
  </r>
  <r>
    <s v="Id1459"/>
    <s v="Moyo, Mr.  Arturo H."/>
    <n v="21.375"/>
    <n v="4.32"/>
    <s v="No"/>
    <s v="No"/>
    <x v="0"/>
    <n v="0"/>
    <x v="1"/>
    <x v="2"/>
    <s v="Normal"/>
    <n v="1963"/>
    <s v="Jul"/>
    <n v="17"/>
    <n v="0"/>
    <d v="1963-07-17T00:00:00"/>
    <n v="12244.53"/>
    <s v="tier - 3"/>
    <s v="tier - 1"/>
    <s v="R1013"/>
    <n v="59"/>
  </r>
  <r>
    <s v="Id1460"/>
    <s v="Horn, Mr.  Ketil"/>
    <n v="29.19"/>
    <n v="4.37"/>
    <s v="No"/>
    <s v="No"/>
    <x v="0"/>
    <n v="0"/>
    <x v="1"/>
    <x v="1"/>
    <s v="Normal"/>
    <n v="1974"/>
    <s v="Jun"/>
    <n v="23"/>
    <n v="0"/>
    <d v="1974-06-23T00:00:00"/>
    <n v="12245.17"/>
    <s v="tier - 3"/>
    <s v="tier - 1"/>
    <s v="R1012"/>
    <n v="48"/>
  </r>
  <r>
    <s v="Id1461"/>
    <s v="Bien, Ms.  Katie"/>
    <n v="31.92"/>
    <n v="4.8099999999999996"/>
    <s v="yes"/>
    <s v="No"/>
    <x v="1"/>
    <n v="1"/>
    <x v="1"/>
    <x v="0"/>
    <s v="Normal"/>
    <n v="1989"/>
    <s v="Nov"/>
    <n v="23"/>
    <n v="3"/>
    <d v="1989-11-23T00:00:00"/>
    <n v="12254.44"/>
    <s v="tier - 3"/>
    <s v="tier - 3"/>
    <s v="R1026"/>
    <n v="33"/>
  </r>
  <r>
    <s v="Id1462"/>
    <s v="O'Connor, Ms.  Christi"/>
    <n v="26.315000000000001"/>
    <n v="4.5599999999999996"/>
    <s v="yes"/>
    <s v="No"/>
    <x v="1"/>
    <n v="1"/>
    <x v="1"/>
    <x v="1"/>
    <s v="Normal"/>
    <n v="1986"/>
    <s v="Aug"/>
    <n v="13"/>
    <n v="3"/>
    <d v="1986-08-13T00:00:00"/>
    <n v="12255.04"/>
    <s v="tier - 3"/>
    <s v="tier - 2"/>
    <s v="R1026"/>
    <n v="36"/>
  </r>
  <r>
    <s v="Id1463"/>
    <s v="Ash, Mr.  Alan"/>
    <n v="35.299999999999997"/>
    <n v="4.3899999999999997"/>
    <s v="No"/>
    <s v="No"/>
    <x v="0"/>
    <n v="0"/>
    <x v="1"/>
    <x v="0"/>
    <s v="Normal"/>
    <n v="1966"/>
    <s v="Dec"/>
    <n v="6"/>
    <n v="2"/>
    <d v="1966-12-06T00:00:00"/>
    <n v="12265.51"/>
    <s v="tier - 3"/>
    <s v="tier - 3"/>
    <s v="R1013"/>
    <n v="56"/>
  </r>
  <r>
    <s v="Id1464"/>
    <s v="Do Prado, Mr.  Edivaldo B. Sr."/>
    <n v="18.91"/>
    <n v="11.44"/>
    <s v="No"/>
    <s v="No"/>
    <x v="0"/>
    <n v="0"/>
    <x v="1"/>
    <x v="2"/>
    <s v="Diabetes"/>
    <n v="1967"/>
    <s v="Dec"/>
    <n v="30"/>
    <n v="2"/>
    <d v="1967-12-30T00:00:00"/>
    <n v="12268.63"/>
    <s v="tier - 3"/>
    <s v="tier - 1"/>
    <s v="R1012"/>
    <n v="55"/>
  </r>
  <r>
    <s v="Id1465"/>
    <s v="Phillips, Ms.  Eve"/>
    <n v="22.41"/>
    <n v="11.37"/>
    <s v="yes"/>
    <s v="No"/>
    <x v="0"/>
    <n v="1"/>
    <x v="1"/>
    <x v="2"/>
    <s v="Diabetes"/>
    <n v="1967"/>
    <s v="Aug"/>
    <n v="28"/>
    <n v="2"/>
    <d v="1967-08-28T00:00:00"/>
    <n v="12269.69"/>
    <s v="tier - 3"/>
    <s v="tier - 2"/>
    <s v="R1012"/>
    <n v="55"/>
  </r>
  <r>
    <s v="Id1466"/>
    <s v="Kelly, Mr.  Devin"/>
    <n v="22.704999999999998"/>
    <n v="6.14"/>
    <s v="No"/>
    <s v="No"/>
    <x v="0"/>
    <n v="0"/>
    <x v="1"/>
    <x v="2"/>
    <s v="Prediabetes"/>
    <n v="1966"/>
    <s v="Nov"/>
    <n v="16"/>
    <n v="0"/>
    <d v="1966-11-16T00:00:00"/>
    <n v="12282.03"/>
    <s v="tier - 3"/>
    <s v="tier - 1"/>
    <s v="R1025"/>
    <n v="56"/>
  </r>
  <r>
    <s v="Id1467"/>
    <s v="Dever, Mr.  Shaun R"/>
    <n v="37.18"/>
    <n v="4.8899999999999997"/>
    <s v="No"/>
    <s v="No"/>
    <x v="0"/>
    <n v="0"/>
    <x v="1"/>
    <x v="0"/>
    <s v="Normal"/>
    <n v="1990"/>
    <s v="Oct"/>
    <n v="29"/>
    <n v="3"/>
    <d v="1990-10-29T00:00:00"/>
    <n v="12282.38"/>
    <s v="tier - 3"/>
    <s v="tier - 1"/>
    <s v="R1011"/>
    <n v="32"/>
  </r>
  <r>
    <s v="Id1468"/>
    <s v="Horvath, Mr.  Adrian"/>
    <n v="35.97"/>
    <n v="4.5999999999999996"/>
    <s v="No"/>
    <s v="No"/>
    <x v="0"/>
    <n v="0"/>
    <x v="1"/>
    <x v="0"/>
    <s v="Normal"/>
    <n v="1963"/>
    <s v="Oct"/>
    <n v="28"/>
    <n v="0"/>
    <d v="1963-10-28T00:00:00"/>
    <n v="12299.59"/>
    <s v="tier - 3"/>
    <s v="tier - 1"/>
    <s v="R1025"/>
    <n v="59"/>
  </r>
  <r>
    <s v="Id1469"/>
    <s v="Danner, Mr.  Andrew"/>
    <n v="35.799999999999997"/>
    <n v="4.42"/>
    <s v="No"/>
    <s v="No"/>
    <x v="0"/>
    <n v="0"/>
    <x v="1"/>
    <x v="0"/>
    <s v="Normal"/>
    <n v="1963"/>
    <s v="Aug"/>
    <n v="29"/>
    <n v="0"/>
    <d v="1963-08-29T00:00:00"/>
    <n v="12323.94"/>
    <s v="tier - 3"/>
    <s v="tier - 3"/>
    <s v="R1017"/>
    <n v="59"/>
  </r>
  <r>
    <s v="Id1470"/>
    <s v="Weiss, Ms.  Mallory"/>
    <n v="28.31"/>
    <n v="7.48"/>
    <s v="yes"/>
    <s v="No"/>
    <x v="0"/>
    <n v="0"/>
    <x v="1"/>
    <x v="1"/>
    <s v="Diabetes"/>
    <n v="1963"/>
    <s v="Aug"/>
    <n v="2"/>
    <n v="1"/>
    <d v="1963-08-02T00:00:00"/>
    <n v="12333.83"/>
    <s v="tier - 3"/>
    <s v="tier - 2"/>
    <s v="R1011"/>
    <n v="59"/>
  </r>
  <r>
    <s v="Id1471"/>
    <s v="D'Andrea, Mr.  Shawn E"/>
    <n v="38.06"/>
    <n v="10.74"/>
    <s v="No"/>
    <s v="No"/>
    <x v="0"/>
    <n v="0"/>
    <x v="1"/>
    <x v="0"/>
    <s v="Diabetes"/>
    <n v="1963"/>
    <s v="Sep"/>
    <n v="22"/>
    <n v="1"/>
    <d v="1963-09-22T00:00:00"/>
    <n v="12347.17"/>
    <s v="tier - 3"/>
    <s v="tier - 3"/>
    <s v="R1011"/>
    <n v="59"/>
  </r>
  <r>
    <s v="Id1472"/>
    <s v="Olesky, Ms.  Sarah E"/>
    <n v="28"/>
    <n v="5.19"/>
    <s v="No"/>
    <s v="No"/>
    <x v="0"/>
    <n v="1"/>
    <x v="1"/>
    <x v="1"/>
    <s v="Normal"/>
    <n v="1966"/>
    <s v="Dec"/>
    <n v="29"/>
    <n v="3"/>
    <d v="1966-12-29T00:00:00"/>
    <n v="12363.55"/>
    <s v="tier - 3"/>
    <s v="tier - 3"/>
    <s v="R1011"/>
    <n v="56"/>
  </r>
  <r>
    <s v="Id1473"/>
    <s v="Whitcraft, Mr.  Josh"/>
    <n v="34.32"/>
    <n v="9.17"/>
    <s v="No"/>
    <s v="No"/>
    <x v="0"/>
    <n v="0"/>
    <x v="1"/>
    <x v="0"/>
    <s v="Diabetes"/>
    <n v="1962"/>
    <s v="Sep"/>
    <n v="26"/>
    <n v="0"/>
    <d v="1962-09-26T00:00:00"/>
    <n v="12369.89"/>
    <s v="tier - 3"/>
    <s v="tier - 2"/>
    <s v="R1024"/>
    <n v="60"/>
  </r>
  <r>
    <s v="Id1474"/>
    <s v="Salazar, Mr.  Johann A"/>
    <n v="22.3"/>
    <n v="4.95"/>
    <s v="yes"/>
    <s v="No"/>
    <x v="0"/>
    <n v="0"/>
    <x v="1"/>
    <x v="2"/>
    <s v="Normal"/>
    <n v="1989"/>
    <s v="Dec"/>
    <n v="29"/>
    <n v="0"/>
    <d v="1989-12-29T00:00:00"/>
    <n v="12404.88"/>
    <s v="tier - 3"/>
    <s v="tier - 3"/>
    <s v="R1016"/>
    <n v="33"/>
  </r>
  <r>
    <s v="Id1475"/>
    <s v="Todd, Ms.  Robin M."/>
    <n v="27.835000000000001"/>
    <n v="6.03"/>
    <s v="No"/>
    <s v="No"/>
    <x v="0"/>
    <n v="1"/>
    <x v="1"/>
    <x v="1"/>
    <s v="Prediabetes"/>
    <n v="1972"/>
    <s v="Aug"/>
    <n v="21"/>
    <n v="0"/>
    <d v="1972-08-21T00:00:00"/>
    <n v="12407.3"/>
    <s v="tier - 3"/>
    <s v="tier - 2"/>
    <s v="R1021"/>
    <n v="50"/>
  </r>
  <r>
    <s v="Id1476"/>
    <s v="Pond, Mr.  Kyle K"/>
    <n v="39.229999999999997"/>
    <n v="5.36"/>
    <s v="No"/>
    <s v="No"/>
    <x v="0"/>
    <n v="0"/>
    <x v="1"/>
    <x v="0"/>
    <s v="Normal"/>
    <n v="1979"/>
    <s v="Jul"/>
    <n v="14"/>
    <n v="2"/>
    <d v="1979-07-14T00:00:00"/>
    <n v="12408.29"/>
    <s v="tier - 3"/>
    <s v="tier - 1"/>
    <s v="R1022"/>
    <n v="43"/>
  </r>
  <r>
    <s v="Id1477"/>
    <s v="Egan, Ms.  Alison"/>
    <n v="19.95"/>
    <n v="6.11"/>
    <s v="No"/>
    <s v="No"/>
    <x v="0"/>
    <n v="1"/>
    <x v="1"/>
    <x v="2"/>
    <s v="Prediabetes"/>
    <n v="1964"/>
    <s v="Aug"/>
    <n v="4"/>
    <n v="0"/>
    <d v="1964-08-04T00:00:00"/>
    <n v="12430.95"/>
    <s v="tier - 3"/>
    <s v="tier - 3"/>
    <s v="R1024"/>
    <n v="58"/>
  </r>
  <r>
    <s v="Id1478"/>
    <s v="Bersani, Mr.  Michael A."/>
    <n v="34.64"/>
    <n v="4.88"/>
    <s v="No"/>
    <s v="No"/>
    <x v="1"/>
    <n v="1"/>
    <x v="1"/>
    <x v="0"/>
    <s v="Normal"/>
    <n v="1995"/>
    <s v="Aug"/>
    <n v="9"/>
    <n v="0"/>
    <d v="1995-08-09T00:00:00"/>
    <n v="12452.25"/>
    <s v="tier - 3"/>
    <s v="tier - 3"/>
    <s v="R1012"/>
    <n v="27"/>
  </r>
  <r>
    <s v="Id1479"/>
    <s v="Creech, Mr.  Byron A"/>
    <n v="18.75"/>
    <n v="6.72"/>
    <s v="No"/>
    <s v="No"/>
    <x v="0"/>
    <n v="0"/>
    <x v="1"/>
    <x v="2"/>
    <s v="Diabetes"/>
    <n v="1968"/>
    <s v="Nov"/>
    <n v="26"/>
    <n v="3"/>
    <d v="1968-11-26T00:00:00"/>
    <n v="12475.35"/>
    <s v="tier - 3"/>
    <s v="tier - 1"/>
    <s v="R1012"/>
    <n v="54"/>
  </r>
  <r>
    <s v="Id1480"/>
    <s v="Sudres, Ms.  Carine A"/>
    <n v="26.48"/>
    <n v="4.2"/>
    <s v="No"/>
    <s v="No"/>
    <x v="0"/>
    <n v="1"/>
    <x v="1"/>
    <x v="1"/>
    <s v="Normal"/>
    <n v="1968"/>
    <s v="Nov"/>
    <n v="12"/>
    <n v="3"/>
    <d v="1968-11-12T00:00:00"/>
    <n v="12479.71"/>
    <s v="tier - 3"/>
    <s v="tier - 3"/>
    <s v="R1012"/>
    <n v="54"/>
  </r>
  <r>
    <s v="Id1481"/>
    <s v="Couture, Mr.  Nathaniel"/>
    <n v="34.83"/>
    <n v="5.79"/>
    <s v="No"/>
    <s v="No"/>
    <x v="0"/>
    <n v="1"/>
    <x v="1"/>
    <x v="0"/>
    <s v="Prediabetes"/>
    <n v="1967"/>
    <s v="Sep"/>
    <n v="1"/>
    <n v="3"/>
    <d v="1967-09-01T00:00:00"/>
    <n v="12485.8"/>
    <s v="tier - 3"/>
    <s v="tier - 3"/>
    <s v="R1013"/>
    <n v="55"/>
  </r>
  <r>
    <s v="Id1482"/>
    <s v="Willard, Ms.  Lindsay A."/>
    <n v="25.46"/>
    <n v="4.29"/>
    <s v="No"/>
    <s v="No"/>
    <x v="0"/>
    <n v="0"/>
    <x v="1"/>
    <x v="1"/>
    <s v="Normal"/>
    <n v="1968"/>
    <s v="Dec"/>
    <n v="3"/>
    <n v="3"/>
    <d v="1968-12-03T00:00:00"/>
    <n v="12495.29"/>
    <s v="tier - 3"/>
    <s v="tier - 3"/>
    <s v="R1012"/>
    <n v="54"/>
  </r>
  <r>
    <s v="Id1483"/>
    <s v="Patronick, Mr.  Justin R"/>
    <n v="23.31"/>
    <n v="8.27"/>
    <s v="No"/>
    <s v="No"/>
    <x v="0"/>
    <n v="0"/>
    <x v="1"/>
    <x v="2"/>
    <s v="Diabetes"/>
    <n v="1966"/>
    <s v="Jul"/>
    <n v="12"/>
    <n v="0"/>
    <d v="1966-07-12T00:00:00"/>
    <n v="12499.88"/>
    <s v="tier - 3"/>
    <s v="tier - 2"/>
    <s v="R1012"/>
    <n v="56"/>
  </r>
  <r>
    <s v="Id1484"/>
    <s v="Depasquale, Ms.  Casey"/>
    <n v="29"/>
    <n v="4.5599999999999996"/>
    <s v="No"/>
    <s v="No"/>
    <x v="0"/>
    <n v="0"/>
    <x v="1"/>
    <x v="1"/>
    <s v="Normal"/>
    <n v="1962"/>
    <s v="Oct"/>
    <n v="16"/>
    <n v="0"/>
    <d v="1962-10-16T00:00:00"/>
    <n v="12523.6"/>
    <s v="tier - 3"/>
    <s v="tier - 3"/>
    <s v="R1012"/>
    <n v="60"/>
  </r>
  <r>
    <s v="Id1485"/>
    <s v="Lavergne, Ms.  Amanda L"/>
    <n v="32.869999999999997"/>
    <n v="5.33"/>
    <s v="No"/>
    <s v="No"/>
    <x v="0"/>
    <n v="0"/>
    <x v="1"/>
    <x v="0"/>
    <s v="Normal"/>
    <n v="1961"/>
    <s v="Nov"/>
    <n v="28"/>
    <n v="0"/>
    <d v="1961-11-28T00:00:00"/>
    <n v="12557.61"/>
    <s v="tier - 3"/>
    <s v="tier - 3"/>
    <s v="R1013"/>
    <n v="61"/>
  </r>
  <r>
    <s v="Id1486"/>
    <s v="Kawakami, Ms.  Ayako N."/>
    <n v="26.18"/>
    <n v="5.63"/>
    <s v="No"/>
    <s v="No"/>
    <x v="0"/>
    <n v="0"/>
    <x v="1"/>
    <x v="1"/>
    <s v="Normal"/>
    <n v="1961"/>
    <s v="Nov"/>
    <n v="28"/>
    <n v="0"/>
    <d v="1961-11-28T00:00:00"/>
    <n v="12574.05"/>
    <s v="tier - 3"/>
    <s v="tier - 1"/>
    <s v="R1011"/>
    <n v="61"/>
  </r>
  <r>
    <s v="Id1487"/>
    <s v="Gonsalves, Ms.  Emilee"/>
    <n v="25.3"/>
    <n v="5.12"/>
    <s v="No"/>
    <s v="No"/>
    <x v="0"/>
    <n v="0"/>
    <x v="1"/>
    <x v="1"/>
    <s v="Normal"/>
    <n v="1969"/>
    <s v="Nov"/>
    <n v="26"/>
    <n v="0"/>
    <d v="1969-11-26T00:00:00"/>
    <n v="12579.92"/>
    <s v="tier - 3"/>
    <s v="tier - 1"/>
    <s v="R1025"/>
    <n v="53"/>
  </r>
  <r>
    <s v="Id1488"/>
    <s v="Peck, Mr.  Stephen M"/>
    <n v="36.94"/>
    <n v="5.15"/>
    <s v="yes"/>
    <s v="No"/>
    <x v="0"/>
    <n v="1"/>
    <x v="1"/>
    <x v="0"/>
    <s v="Normal"/>
    <n v="1970"/>
    <s v="Jun"/>
    <n v="18"/>
    <n v="5"/>
    <d v="1970-06-18T00:00:00"/>
    <n v="12592.53"/>
    <s v="tier - 3"/>
    <s v="tier - 2"/>
    <s v="R1013"/>
    <n v="52"/>
  </r>
  <r>
    <s v="Id1489"/>
    <s v="Aure, Ms.  Annemarie A"/>
    <n v="22.86"/>
    <n v="7.5"/>
    <s v="No"/>
    <s v="No"/>
    <x v="0"/>
    <n v="0"/>
    <x v="1"/>
    <x v="2"/>
    <s v="Diabetes"/>
    <n v="1988"/>
    <s v="Aug"/>
    <n v="11"/>
    <n v="3"/>
    <d v="1988-08-11T00:00:00"/>
    <n v="12600.46"/>
    <s v="tier - 3"/>
    <s v="tier - 1"/>
    <s v="R1023"/>
    <n v="34"/>
  </r>
  <r>
    <s v="Id1490"/>
    <s v="Mattingly, Ms.  Ashley R"/>
    <n v="18.760000000000002"/>
    <n v="4.88"/>
    <s v="yes"/>
    <s v="No"/>
    <x v="1"/>
    <n v="1"/>
    <x v="1"/>
    <x v="2"/>
    <s v="Normal"/>
    <n v="1998"/>
    <s v="Nov"/>
    <n v="18"/>
    <n v="1"/>
    <d v="1998-11-18T00:00:00"/>
    <n v="12609.89"/>
    <s v="tier - 3"/>
    <s v="tier - 3"/>
    <s v="R1012"/>
    <n v="24"/>
  </r>
  <r>
    <s v="Id1491"/>
    <s v="Stelpflug, Ms.  Leslie A"/>
    <n v="24.36"/>
    <n v="5.57"/>
    <s v="No"/>
    <s v="No"/>
    <x v="0"/>
    <n v="0"/>
    <x v="1"/>
    <x v="2"/>
    <s v="Normal"/>
    <n v="1963"/>
    <s v="Aug"/>
    <n v="19"/>
    <n v="0"/>
    <d v="1963-08-19T00:00:00"/>
    <n v="12622.18"/>
    <s v="tier - 3"/>
    <s v="tier - 1"/>
    <s v="R1012"/>
    <n v="59"/>
  </r>
  <r>
    <s v="Id1492"/>
    <s v="Sanchez Antognini, Mr.  Mauricio J. Sr."/>
    <n v="32.299999999999997"/>
    <n v="5.31"/>
    <s v="No"/>
    <s v="No"/>
    <x v="0"/>
    <n v="0"/>
    <x v="1"/>
    <x v="0"/>
    <s v="Normal"/>
    <n v="1970"/>
    <s v="Dec"/>
    <n v="28"/>
    <n v="0"/>
    <d v="1970-12-28T00:00:00"/>
    <n v="12624.74"/>
    <s v="tier - 3"/>
    <s v="tier - 1"/>
    <s v="R1012"/>
    <n v="52"/>
  </r>
  <r>
    <s v="Id1493"/>
    <s v="Condon, Mr.  Kieran"/>
    <n v="22.704999999999998"/>
    <n v="4.57"/>
    <s v="yes"/>
    <s v="No"/>
    <x v="0"/>
    <n v="0"/>
    <x v="1"/>
    <x v="2"/>
    <s v="Normal"/>
    <n v="1965"/>
    <s v="Oct"/>
    <n v="4"/>
    <n v="2"/>
    <d v="1965-10-04T00:00:00"/>
    <n v="12629.17"/>
    <s v="tier - 3"/>
    <s v="tier - 1"/>
    <s v="R1013"/>
    <n v="57"/>
  </r>
  <r>
    <s v="Id1494"/>
    <s v="Magato, Ms.  Elizabeth A"/>
    <n v="21.79"/>
    <n v="8.6999999999999993"/>
    <s v="yes"/>
    <s v="No"/>
    <x v="0"/>
    <n v="1"/>
    <x v="1"/>
    <x v="2"/>
    <s v="Diabetes"/>
    <n v="1962"/>
    <s v="Nov"/>
    <n v="22"/>
    <n v="0"/>
    <d v="1962-11-22T00:00:00"/>
    <n v="12629.9"/>
    <s v="tier - 3"/>
    <s v="tier - 3"/>
    <s v="R1013"/>
    <n v="60"/>
  </r>
  <r>
    <s v="Id1495"/>
    <s v="Dombrowski, Mr.  Zeke M."/>
    <n v="24.52"/>
    <n v="4.76"/>
    <s v="No"/>
    <s v="No"/>
    <x v="0"/>
    <n v="0"/>
    <x v="1"/>
    <x v="2"/>
    <s v="Normal"/>
    <n v="1962"/>
    <s v="Jul"/>
    <n v="22"/>
    <n v="0"/>
    <d v="1962-07-22T00:00:00"/>
    <n v="12638.2"/>
    <s v="tier - 3"/>
    <s v="tier - 1"/>
    <s v="R1011"/>
    <n v="60"/>
  </r>
  <r>
    <s v="Id1496"/>
    <s v="Ohara, Mr.  Chip"/>
    <n v="39.520000000000003"/>
    <n v="11.81"/>
    <s v="No"/>
    <s v="No"/>
    <x v="0"/>
    <n v="0"/>
    <x v="1"/>
    <x v="0"/>
    <s v="Diabetes"/>
    <n v="1972"/>
    <s v="Sep"/>
    <n v="5"/>
    <n v="0"/>
    <d v="1972-09-05T00:00:00"/>
    <n v="12640.24"/>
    <s v="tier - 3"/>
    <s v="tier - 1"/>
    <s v="R1011"/>
    <n v="50"/>
  </r>
  <r>
    <s v="Id1497"/>
    <s v="Cifuentes Fetiva, Mr.  Miguel Angel Sr."/>
    <n v="24.49"/>
    <n v="4.67"/>
    <s v="No"/>
    <s v="No"/>
    <x v="0"/>
    <n v="0"/>
    <x v="1"/>
    <x v="2"/>
    <s v="Normal"/>
    <n v="1966"/>
    <s v="Dec"/>
    <n v="17"/>
    <n v="2"/>
    <d v="1966-12-17T00:00:00"/>
    <n v="12643.38"/>
    <s v="tier - 3"/>
    <s v="tier - 1"/>
    <s v="R1012"/>
    <n v="56"/>
  </r>
  <r>
    <s v="Id1498"/>
    <s v="Keno, Mr.  Brian"/>
    <n v="26.315000000000001"/>
    <n v="6.02"/>
    <s v="No"/>
    <s v="No"/>
    <x v="0"/>
    <n v="0"/>
    <x v="1"/>
    <x v="1"/>
    <s v="Prediabetes"/>
    <n v="1962"/>
    <s v="Jul"/>
    <n v="11"/>
    <n v="0"/>
    <d v="1962-07-11T00:00:00"/>
    <n v="12644.59"/>
    <s v="tier - 3"/>
    <s v="tier - 2"/>
    <s v="R1011"/>
    <n v="60"/>
  </r>
  <r>
    <s v="Id1499"/>
    <s v="Bruce, Ms.  Meghan"/>
    <n v="22.58"/>
    <n v="7.46"/>
    <s v="No"/>
    <s v="No"/>
    <x v="0"/>
    <n v="0"/>
    <x v="1"/>
    <x v="2"/>
    <s v="Diabetes"/>
    <n v="1965"/>
    <s v="Sep"/>
    <n v="14"/>
    <n v="2"/>
    <d v="1965-09-14T00:00:00"/>
    <n v="12646.21"/>
    <s v="tier - 3"/>
    <s v="tier - 2"/>
    <s v="R1011"/>
    <n v="57"/>
  </r>
  <r>
    <s v="Id1500"/>
    <s v="Lorch, Ms.  Meredith L."/>
    <n v="19.475000000000001"/>
    <n v="4.74"/>
    <s v="No"/>
    <s v="No"/>
    <x v="0"/>
    <n v="1"/>
    <x v="1"/>
    <x v="2"/>
    <s v="Normal"/>
    <n v="1962"/>
    <s v="Aug"/>
    <n v="27"/>
    <n v="0"/>
    <d v="1962-08-27T00:00:00"/>
    <n v="12648.7"/>
    <s v="tier - 3"/>
    <s v="tier - 2"/>
    <s v="R1013"/>
    <n v="60"/>
  </r>
  <r>
    <s v="Id1501"/>
    <s v="Sullivan, Mrs.  Millicent M"/>
    <n v="26.33"/>
    <n v="4.79"/>
    <s v="No"/>
    <s v="No"/>
    <x v="0"/>
    <n v="0"/>
    <x v="1"/>
    <x v="1"/>
    <s v="Normal"/>
    <n v="1974"/>
    <s v="Sep"/>
    <n v="24"/>
    <n v="0"/>
    <d v="1974-09-24T00:00:00"/>
    <n v="12697.48"/>
    <s v="tier - 3"/>
    <s v="tier - 3"/>
    <s v="R1021"/>
    <n v="48"/>
  </r>
  <r>
    <s v="Id1502"/>
    <s v="Cave, Ms.  Kathleen"/>
    <n v="17.29"/>
    <n v="5.35"/>
    <s v="yes"/>
    <s v="No"/>
    <x v="0"/>
    <n v="0"/>
    <x v="1"/>
    <x v="3"/>
    <s v="Normal"/>
    <n v="1992"/>
    <s v="Jul"/>
    <n v="7"/>
    <n v="0"/>
    <d v="1992-07-07T00:00:00"/>
    <n v="12699.56"/>
    <s v="tier - 3"/>
    <s v="tier - 2"/>
    <s v="R1011"/>
    <n v="30"/>
  </r>
  <r>
    <s v="Id1503"/>
    <s v="Gudenkauf, Ms.  Kimberly K"/>
    <n v="42.88"/>
    <n v="4.87"/>
    <s v="No"/>
    <s v="yes"/>
    <x v="0"/>
    <n v="1"/>
    <x v="1"/>
    <x v="0"/>
    <s v="Normal"/>
    <n v="1964"/>
    <s v="Nov"/>
    <n v="28"/>
    <n v="0"/>
    <d v="1964-11-28T00:00:00"/>
    <n v="12700.63"/>
    <s v="tier - 3"/>
    <s v="tier - 3"/>
    <s v="R1011"/>
    <n v="58"/>
  </r>
  <r>
    <s v="Id1504"/>
    <s v="Thomas, Mr.  Justin C"/>
    <n v="32.200000000000003"/>
    <n v="10.09"/>
    <s v="yes"/>
    <s v="No"/>
    <x v="0"/>
    <n v="0"/>
    <x v="1"/>
    <x v="0"/>
    <s v="Diabetes"/>
    <n v="1970"/>
    <s v="Jul"/>
    <n v="8"/>
    <n v="0"/>
    <d v="1970-07-08T00:00:00"/>
    <n v="12713"/>
    <s v="tier - 3"/>
    <s v="tier - 1"/>
    <s v="R1011"/>
    <n v="52"/>
  </r>
  <r>
    <s v="Id1505"/>
    <s v="Holley, Mr.  Tristan P."/>
    <n v="18.75"/>
    <n v="5.47"/>
    <s v="yes"/>
    <s v="No"/>
    <x v="1"/>
    <n v="1"/>
    <x v="1"/>
    <x v="2"/>
    <s v="Normal"/>
    <n v="1988"/>
    <s v="Jul"/>
    <n v="17"/>
    <n v="3"/>
    <d v="1988-07-17T00:00:00"/>
    <n v="12718.21"/>
    <s v="tier - 3"/>
    <s v="tier - 1"/>
    <s v="R1026"/>
    <n v="34"/>
  </r>
  <r>
    <s v="Id1506"/>
    <s v="Kemble, Ms.  Traci A"/>
    <n v="22.36"/>
    <n v="8.6"/>
    <s v="No"/>
    <s v="No"/>
    <x v="0"/>
    <n v="0"/>
    <x v="1"/>
    <x v="2"/>
    <s v="Diabetes"/>
    <n v="1962"/>
    <s v="Sep"/>
    <n v="2"/>
    <n v="0"/>
    <d v="1962-09-02T00:00:00"/>
    <n v="12731"/>
    <s v="tier - 3"/>
    <s v="tier - 3"/>
    <s v="R1016"/>
    <n v="60"/>
  </r>
  <r>
    <s v="Id1507"/>
    <s v="Bentley, Mr.  Justin P"/>
    <n v="23.94"/>
    <n v="10.74"/>
    <s v="yes"/>
    <s v="No"/>
    <x v="0"/>
    <n v="0"/>
    <x v="1"/>
    <x v="2"/>
    <s v="Diabetes"/>
    <n v="1962"/>
    <s v="Oct"/>
    <n v="1"/>
    <n v="0"/>
    <d v="1962-10-01T00:00:00"/>
    <n v="12741.17"/>
    <s v="tier - 3"/>
    <s v="tier - 1"/>
    <s v="R1017"/>
    <n v="60"/>
  </r>
  <r>
    <s v="Id1508"/>
    <s v="Jones, Mr.  Logan M"/>
    <n v="30.1"/>
    <n v="4.3899999999999997"/>
    <s v="No"/>
    <s v="No"/>
    <x v="1"/>
    <n v="1"/>
    <x v="1"/>
    <x v="0"/>
    <s v="Normal"/>
    <n v="1975"/>
    <s v="Sep"/>
    <n v="25"/>
    <n v="1"/>
    <d v="1975-09-25T00:00:00"/>
    <n v="12770.27"/>
    <s v="tier - 3"/>
    <s v="tier - 3"/>
    <s v="R1021"/>
    <n v="47"/>
  </r>
  <r>
    <s v="Id1509"/>
    <s v="Tremblay, Mr.  Sebastien"/>
    <n v="21.93"/>
    <n v="6.3"/>
    <s v="No"/>
    <s v="No"/>
    <x v="0"/>
    <n v="0"/>
    <x v="1"/>
    <x v="2"/>
    <s v="Prediabetes"/>
    <n v="1972"/>
    <s v="Oct"/>
    <n v="7"/>
    <n v="0"/>
    <d v="1972-10-07T00:00:00"/>
    <n v="12776.05"/>
    <s v="tier - 3"/>
    <s v="tier - 3"/>
    <s v="R1026"/>
    <n v="50"/>
  </r>
  <r>
    <s v="Id1510"/>
    <s v="Bellucci, Ms.  Tiffany A"/>
    <n v="39.75"/>
    <n v="5.41"/>
    <s v="No"/>
    <s v="yes"/>
    <x v="0"/>
    <n v="1"/>
    <x v="1"/>
    <x v="0"/>
    <s v="Normal"/>
    <n v="1963"/>
    <s v="Dec"/>
    <n v="5"/>
    <n v="0"/>
    <d v="1963-12-05T00:00:00"/>
    <n v="12788.03"/>
    <s v="tier - 3"/>
    <s v="tier - 3"/>
    <s v="R1025"/>
    <n v="59"/>
  </r>
  <r>
    <s v="Id1511"/>
    <s v="Collins, Mr.  Matthew"/>
    <n v="26.03"/>
    <n v="4.47"/>
    <s v="No"/>
    <s v="No"/>
    <x v="1"/>
    <n v="1"/>
    <x v="1"/>
    <x v="1"/>
    <s v="Normal"/>
    <n v="1983"/>
    <s v="Oct"/>
    <n v="29"/>
    <n v="3"/>
    <d v="1983-10-29T00:00:00"/>
    <n v="12788.18"/>
    <s v="tier - 3"/>
    <s v="tier - 1"/>
    <s v="R1026"/>
    <n v="39"/>
  </r>
  <r>
    <s v="Id1512"/>
    <s v="Gillman, Mr.  Luke"/>
    <n v="34.51"/>
    <n v="6.26"/>
    <s v="No"/>
    <s v="No"/>
    <x v="0"/>
    <n v="0"/>
    <x v="1"/>
    <x v="0"/>
    <s v="Prediabetes"/>
    <n v="1978"/>
    <s v="Jul"/>
    <n v="24"/>
    <n v="0"/>
    <d v="1978-07-24T00:00:00"/>
    <n v="12797.21"/>
    <s v="tier - 3"/>
    <s v="tier - 1"/>
    <s v="R1024"/>
    <n v="44"/>
  </r>
  <r>
    <s v="Id1513"/>
    <s v="West, Ms.  Leigh"/>
    <n v="19.32"/>
    <n v="11.58"/>
    <s v="yes"/>
    <s v="No"/>
    <x v="0"/>
    <n v="1"/>
    <x v="1"/>
    <x v="2"/>
    <s v="Diabetes"/>
    <n v="1963"/>
    <s v="Jul"/>
    <n v="20"/>
    <n v="0"/>
    <d v="1963-07-20T00:00:00"/>
    <n v="12815.44"/>
    <s v="tier - 3"/>
    <s v="tier - 3"/>
    <s v="R1024"/>
    <n v="59"/>
  </r>
  <r>
    <s v="Id1514"/>
    <s v="Chida, Mr.  Yosuke"/>
    <n v="28.5"/>
    <n v="4.3600000000000003"/>
    <s v="No"/>
    <s v="No"/>
    <x v="0"/>
    <n v="0"/>
    <x v="1"/>
    <x v="1"/>
    <s v="Normal"/>
    <n v="1967"/>
    <s v="Sep"/>
    <n v="25"/>
    <n v="0"/>
    <d v="1967-09-25T00:00:00"/>
    <n v="12823.25"/>
    <s v="tier - 3"/>
    <s v="tier - 3"/>
    <s v="R1021"/>
    <n v="55"/>
  </r>
  <r>
    <s v="Id1515"/>
    <s v="Reisenauer, Mr.  Matthew"/>
    <n v="30.875"/>
    <n v="4.1399999999999997"/>
    <s v="yes"/>
    <s v="No"/>
    <x v="0"/>
    <n v="0"/>
    <x v="1"/>
    <x v="0"/>
    <s v="Normal"/>
    <n v="2004"/>
    <s v="Nov"/>
    <n v="9"/>
    <n v="2"/>
    <d v="2004-11-09T00:00:00"/>
    <n v="12829.46"/>
    <s v="tier - 3"/>
    <s v="tier - 3"/>
    <s v="R1016"/>
    <n v="18"/>
  </r>
  <r>
    <s v="Id1516"/>
    <s v="Rosenberg-Wohl, Mr.  Jacob"/>
    <n v="24.02"/>
    <n v="4.38"/>
    <s v="No"/>
    <s v="No"/>
    <x v="0"/>
    <n v="0"/>
    <x v="1"/>
    <x v="2"/>
    <s v="Normal"/>
    <n v="1993"/>
    <s v="Sep"/>
    <n v="27"/>
    <n v="0"/>
    <d v="1993-09-27T00:00:00"/>
    <n v="12847.24"/>
    <s v="tier - 3"/>
    <s v="tier - 2"/>
    <s v="R1012"/>
    <n v="29"/>
  </r>
  <r>
    <s v="Id1517"/>
    <s v="Theriault, Ms.  Jodi"/>
    <n v="36.08"/>
    <n v="11.61"/>
    <s v="yes"/>
    <s v="No"/>
    <x v="0"/>
    <n v="0"/>
    <x v="1"/>
    <x v="0"/>
    <s v="Diabetes"/>
    <n v="1973"/>
    <s v="Sep"/>
    <n v="22"/>
    <n v="0"/>
    <d v="1973-09-22T00:00:00"/>
    <n v="12852.37"/>
    <s v="tier - 3"/>
    <s v="tier - 1"/>
    <s v="R1012"/>
    <n v="49"/>
  </r>
  <r>
    <s v="Id1518"/>
    <s v="Manuel, Ms.  Lauren"/>
    <n v="32.200000000000003"/>
    <n v="10.59"/>
    <s v="yes"/>
    <s v="No"/>
    <x v="0"/>
    <n v="0"/>
    <x v="1"/>
    <x v="0"/>
    <s v="Diabetes"/>
    <n v="1963"/>
    <s v="Sep"/>
    <n v="27"/>
    <n v="0"/>
    <d v="1963-09-27T00:00:00"/>
    <n v="12856.84"/>
    <s v="tier - 3"/>
    <s v="tier - 3"/>
    <s v="R1021"/>
    <n v="59"/>
  </r>
  <r>
    <s v="Id1519"/>
    <s v="Demko, Ms.  Misti C"/>
    <n v="28.05"/>
    <n v="11.85"/>
    <s v="yes"/>
    <s v="No"/>
    <x v="0"/>
    <n v="0"/>
    <x v="1"/>
    <x v="1"/>
    <s v="Diabetes"/>
    <n v="1984"/>
    <s v="Aug"/>
    <n v="6"/>
    <n v="3"/>
    <d v="1984-08-06T00:00:00"/>
    <n v="12870.31"/>
    <s v="tier - 3"/>
    <s v="tier - 3"/>
    <s v="R1012"/>
    <n v="38"/>
  </r>
  <r>
    <s v="Id1520"/>
    <s v="Battaglia, Ms.  Angela J"/>
    <n v="19"/>
    <n v="5.46"/>
    <s v="yes"/>
    <s v="No"/>
    <x v="0"/>
    <n v="1"/>
    <x v="1"/>
    <x v="2"/>
    <s v="Normal"/>
    <n v="2004"/>
    <s v="Jul"/>
    <n v="9"/>
    <n v="0"/>
    <d v="2004-07-09T00:00:00"/>
    <n v="12890.06"/>
    <s v="tier - 3"/>
    <s v="tier - 1"/>
    <s v="R1019"/>
    <n v="18"/>
  </r>
  <r>
    <s v="Id1521"/>
    <s v="Follo, Mr.  Jonathan D."/>
    <n v="16.13"/>
    <n v="4.54"/>
    <s v="yes"/>
    <s v="No"/>
    <x v="0"/>
    <n v="2"/>
    <x v="1"/>
    <x v="3"/>
    <s v="Normal"/>
    <n v="1963"/>
    <s v="Aug"/>
    <n v="16"/>
    <n v="1"/>
    <d v="1963-08-16T00:00:00"/>
    <n v="12913.99"/>
    <s v="tier - 3"/>
    <s v="tier - 2"/>
    <s v="R1016"/>
    <n v="59"/>
  </r>
  <r>
    <s v="Id1522"/>
    <s v="Barana, Ms.  Victoria"/>
    <n v="18.77"/>
    <n v="11.98"/>
    <s v="yes"/>
    <s v="No"/>
    <x v="0"/>
    <n v="2"/>
    <x v="1"/>
    <x v="2"/>
    <s v="Diabetes"/>
    <n v="1963"/>
    <s v="Sep"/>
    <n v="1"/>
    <n v="2"/>
    <d v="1963-09-01T00:00:00"/>
    <n v="12925.89"/>
    <s v="tier - 3"/>
    <s v="tier - 2"/>
    <s v="R1013"/>
    <n v="59"/>
  </r>
  <r>
    <s v="Id1523"/>
    <s v="Lysaght, Mr.  Adrian R."/>
    <n v="28.88"/>
    <n v="6.59"/>
    <s v="yes"/>
    <s v="No"/>
    <x v="0"/>
    <n v="1"/>
    <x v="1"/>
    <x v="1"/>
    <s v="Diabetes"/>
    <n v="1963"/>
    <s v="Aug"/>
    <n v="14"/>
    <n v="2"/>
    <d v="1963-08-14T00:00:00"/>
    <n v="12928.79"/>
    <s v="tier - 3"/>
    <s v="tier - 2"/>
    <s v="R1013"/>
    <n v="59"/>
  </r>
  <r>
    <s v="Id1524"/>
    <s v="Chalmers, Mr.  Andrew"/>
    <n v="27.55"/>
    <n v="10.83"/>
    <s v="yes"/>
    <s v="No"/>
    <x v="0"/>
    <n v="1"/>
    <x v="1"/>
    <x v="1"/>
    <s v="Diabetes"/>
    <n v="1966"/>
    <s v="Dec"/>
    <n v="22"/>
    <n v="4"/>
    <d v="1966-12-22T00:00:00"/>
    <n v="12949.16"/>
    <s v="tier - 3"/>
    <s v="tier - 3"/>
    <s v="R1013"/>
    <n v="56"/>
  </r>
  <r>
    <s v="Id1525"/>
    <s v="Phillippi, Mr.  Jason A."/>
    <n v="15.6"/>
    <n v="8.6"/>
    <s v="No"/>
    <s v="No"/>
    <x v="0"/>
    <n v="0"/>
    <x v="1"/>
    <x v="3"/>
    <s v="Diabetes"/>
    <n v="1961"/>
    <s v="Aug"/>
    <n v="20"/>
    <n v="0"/>
    <d v="1961-08-20T00:00:00"/>
    <n v="12950.07"/>
    <s v="tier - 3"/>
    <s v="tier - 1"/>
    <s v="R1012"/>
    <n v="61"/>
  </r>
  <r>
    <s v="Id1526"/>
    <s v="MacPherson, Ms.  Rachel"/>
    <n v="21.99"/>
    <n v="11.17"/>
    <s v="No"/>
    <s v="No"/>
    <x v="0"/>
    <n v="0"/>
    <x v="1"/>
    <x v="2"/>
    <s v="Diabetes"/>
    <n v="1960"/>
    <s v="Nov"/>
    <n v="4"/>
    <n v="0"/>
    <d v="1960-11-04T00:00:00"/>
    <n v="12957.12"/>
    <s v="tier - 3"/>
    <s v="tier - 1"/>
    <s v="R1011"/>
    <n v="62"/>
  </r>
  <r>
    <s v="Id1527"/>
    <s v="Delfidio, Ms.  Susan"/>
    <n v="34.85"/>
    <n v="5.75"/>
    <s v="No"/>
    <s v="No"/>
    <x v="0"/>
    <n v="0"/>
    <x v="1"/>
    <x v="0"/>
    <s v="Prediabetes"/>
    <n v="1960"/>
    <s v="Jun"/>
    <n v="22"/>
    <n v="0"/>
    <d v="1960-06-22T00:00:00"/>
    <n v="12979.36"/>
    <s v="tier - 3"/>
    <s v="tier - 1"/>
    <s v="R1011"/>
    <n v="62"/>
  </r>
  <r>
    <s v="Id1528"/>
    <s v="Cummings, Mr.  Cameron M."/>
    <n v="24.51"/>
    <n v="4.83"/>
    <s v="yes"/>
    <s v="No"/>
    <x v="1"/>
    <n v="1"/>
    <x v="1"/>
    <x v="2"/>
    <s v="Normal"/>
    <n v="1960"/>
    <s v="Sep"/>
    <n v="23"/>
    <n v="0"/>
    <d v="1960-09-23T00:00:00"/>
    <n v="12981.35"/>
    <s v="tier - 3"/>
    <s v="tier - 3"/>
    <s v="R1013"/>
    <n v="62"/>
  </r>
  <r>
    <s v="Id1529"/>
    <s v="Schroegel, Ms.  Claudia A."/>
    <n v="19.399999999999999"/>
    <n v="11.93"/>
    <s v="No"/>
    <s v="No"/>
    <x v="0"/>
    <n v="0"/>
    <x v="1"/>
    <x v="2"/>
    <s v="Diabetes"/>
    <n v="1960"/>
    <s v="Nov"/>
    <n v="28"/>
    <n v="0"/>
    <d v="1960-11-28T00:00:00"/>
    <n v="12982.87"/>
    <s v="tier - 3"/>
    <s v="tier - 1"/>
    <s v="R1013"/>
    <n v="62"/>
  </r>
  <r>
    <s v="Id1530"/>
    <s v="Williams, Ms.  Kate"/>
    <n v="15.1"/>
    <n v="8.41"/>
    <s v="No"/>
    <s v="No"/>
    <x v="0"/>
    <n v="0"/>
    <x v="1"/>
    <x v="3"/>
    <s v="Diabetes"/>
    <n v="1979"/>
    <s v="Nov"/>
    <n v="27"/>
    <n v="2"/>
    <d v="1979-11-27T00:00:00"/>
    <n v="12994.12"/>
    <s v="tier - 3"/>
    <s v="tier - 2"/>
    <s v="R1026"/>
    <n v="43"/>
  </r>
  <r>
    <s v="Id1531"/>
    <s v="Casey, Ms.  Nicole M."/>
    <n v="23.37"/>
    <n v="5.59"/>
    <s v="yes"/>
    <s v="No"/>
    <x v="0"/>
    <n v="0"/>
    <x v="1"/>
    <x v="2"/>
    <s v="Normal"/>
    <n v="1981"/>
    <s v="Oct"/>
    <n v="30"/>
    <n v="1"/>
    <d v="1981-10-30T00:00:00"/>
    <n v="13002.91"/>
    <s v="tier - 3"/>
    <s v="tier - 1"/>
    <s v="R1012"/>
    <n v="41"/>
  </r>
  <r>
    <s v="Id1532"/>
    <s v="Randall, Mr.  Jack"/>
    <n v="42.4"/>
    <n v="4.0599999999999996"/>
    <s v="No"/>
    <s v="No"/>
    <x v="0"/>
    <n v="0"/>
    <x v="1"/>
    <x v="0"/>
    <s v="Normal"/>
    <n v="1962"/>
    <s v="Jun"/>
    <n v="24"/>
    <n v="0"/>
    <d v="1962-06-24T00:00:00"/>
    <n v="13004.95"/>
    <s v="tier - 3"/>
    <s v="tier - 1"/>
    <s v="R1012"/>
    <n v="60"/>
  </r>
  <r>
    <s v="Id1533"/>
    <s v="Doyon, Mr.  Gregory"/>
    <n v="28.405000000000001"/>
    <n v="7.02"/>
    <s v="yes"/>
    <s v="No"/>
    <x v="0"/>
    <n v="0"/>
    <x v="1"/>
    <x v="1"/>
    <s v="Diabetes"/>
    <n v="1969"/>
    <s v="Dec"/>
    <n v="13"/>
    <n v="0"/>
    <d v="1969-12-13T00:00:00"/>
    <n v="13008.07"/>
    <s v="tier - 3"/>
    <s v="tier - 3"/>
    <s v="R1012"/>
    <n v="53"/>
  </r>
  <r>
    <s v="Id1534"/>
    <s v="Sankey, Ms.  Rebecca"/>
    <n v="23.4"/>
    <n v="4.47"/>
    <s v="No"/>
    <s v="No"/>
    <x v="0"/>
    <n v="0"/>
    <x v="1"/>
    <x v="2"/>
    <s v="Normal"/>
    <n v="1972"/>
    <s v="Sep"/>
    <n v="27"/>
    <n v="0"/>
    <d v="1972-09-27T00:00:00"/>
    <n v="13010.86"/>
    <s v="tier - 3"/>
    <s v="tier - 2"/>
    <s v="R1012"/>
    <n v="50"/>
  </r>
  <r>
    <s v="Id1535"/>
    <s v="Stilgenbauer, Mr.  Adam"/>
    <n v="33.44"/>
    <n v="4.54"/>
    <s v="No"/>
    <s v="No"/>
    <x v="0"/>
    <n v="0"/>
    <x v="1"/>
    <x v="0"/>
    <s v="Normal"/>
    <n v="1962"/>
    <s v="Jul"/>
    <n v="20"/>
    <n v="0"/>
    <d v="1962-07-20T00:00:00"/>
    <n v="13012.21"/>
    <s v="tier - 3"/>
    <s v="tier - 1"/>
    <s v="R1012"/>
    <n v="60"/>
  </r>
  <r>
    <s v="Id1536"/>
    <s v="Jaskiewicz, Mr.  Ryan"/>
    <n v="21.12"/>
    <n v="4.99"/>
    <s v="No"/>
    <s v="No"/>
    <x v="0"/>
    <n v="1"/>
    <x v="1"/>
    <x v="2"/>
    <s v="Normal"/>
    <n v="1964"/>
    <s v="Sep"/>
    <n v="23"/>
    <n v="1"/>
    <d v="1964-09-23T00:00:00"/>
    <n v="13019.16"/>
    <s v="tier - 3"/>
    <s v="tier - 1"/>
    <s v="R1024"/>
    <n v="58"/>
  </r>
  <r>
    <s v="Id1537"/>
    <s v="Deppen, Ms.  Jackie K."/>
    <n v="18.48"/>
    <n v="10.84"/>
    <s v="yes"/>
    <s v="No"/>
    <x v="0"/>
    <n v="2"/>
    <x v="1"/>
    <x v="3"/>
    <s v="Diabetes"/>
    <n v="1965"/>
    <s v="Nov"/>
    <n v="4"/>
    <n v="0"/>
    <d v="1965-11-04T00:00:00"/>
    <n v="13023.93"/>
    <s v="tier - 3"/>
    <s v="tier - 2"/>
    <s v="R1025"/>
    <n v="57"/>
  </r>
  <r>
    <s v="Id1538"/>
    <s v="Hine, Mr.  Chris"/>
    <n v="16.815000000000001"/>
    <n v="5.63"/>
    <s v="No"/>
    <s v="No"/>
    <x v="0"/>
    <n v="1"/>
    <x v="1"/>
    <x v="3"/>
    <s v="Normal"/>
    <n v="1961"/>
    <s v="Nov"/>
    <n v="9"/>
    <n v="0"/>
    <d v="1961-11-09T00:00:00"/>
    <n v="13041.92"/>
    <s v="tier - 3"/>
    <s v="tier - 1"/>
    <s v="R1011"/>
    <n v="61"/>
  </r>
  <r>
    <s v="Id1539"/>
    <s v="Mathews, Mr.  Tyler C"/>
    <n v="26.72"/>
    <n v="4.1399999999999997"/>
    <s v="No"/>
    <s v="No"/>
    <x v="0"/>
    <n v="0"/>
    <x v="1"/>
    <x v="1"/>
    <s v="Normal"/>
    <n v="1969"/>
    <s v="Sep"/>
    <n v="23"/>
    <n v="0"/>
    <d v="1969-09-23T00:00:00"/>
    <n v="13044.41"/>
    <s v="tier - 3"/>
    <s v="tier - 1"/>
    <s v="R1012"/>
    <n v="53"/>
  </r>
  <r>
    <s v="Id1540"/>
    <s v="Yabu, Ms.  Yoshie"/>
    <n v="41.42"/>
    <n v="5.17"/>
    <s v="No"/>
    <s v="No"/>
    <x v="1"/>
    <n v="1"/>
    <x v="1"/>
    <x v="0"/>
    <s v="Normal"/>
    <n v="1967"/>
    <s v="Aug"/>
    <n v="6"/>
    <n v="3"/>
    <d v="1967-08-06T00:00:00"/>
    <n v="13047.33"/>
    <s v="tier - 3"/>
    <s v="tier - 3"/>
    <s v="R1024"/>
    <n v="55"/>
  </r>
  <r>
    <s v="Id1541"/>
    <s v="Strang, Ms.  Lauren A"/>
    <n v="20.69"/>
    <n v="6.93"/>
    <s v="No"/>
    <s v="No"/>
    <x v="0"/>
    <n v="2"/>
    <x v="1"/>
    <x v="2"/>
    <s v="Diabetes"/>
    <n v="1985"/>
    <s v="Oct"/>
    <n v="26"/>
    <n v="3"/>
    <d v="1985-10-26T00:00:00"/>
    <n v="13051.22"/>
    <s v="tier - 3"/>
    <s v="tier - 1"/>
    <s v="R1026"/>
    <n v="37"/>
  </r>
  <r>
    <s v="Id1542"/>
    <s v="Frank, Mr.  Mason D."/>
    <n v="41.23"/>
    <n v="4.24"/>
    <s v="No"/>
    <s v="No"/>
    <x v="0"/>
    <n v="0"/>
    <x v="1"/>
    <x v="0"/>
    <s v="Normal"/>
    <n v="1961"/>
    <s v="Nov"/>
    <n v="6"/>
    <n v="0"/>
    <d v="1961-11-06T00:00:00"/>
    <n v="13063.88"/>
    <s v="tier - 3"/>
    <s v="tier - 2"/>
    <s v="R1011"/>
    <n v="61"/>
  </r>
  <r>
    <s v="Id1543"/>
    <s v="Shanley, Mr.  Ryan"/>
    <n v="29.9"/>
    <n v="5.91"/>
    <s v="No"/>
    <s v="No"/>
    <x v="0"/>
    <n v="0"/>
    <x v="1"/>
    <x v="1"/>
    <s v="Prediabetes"/>
    <n v="1978"/>
    <s v="Jul"/>
    <n v="17"/>
    <n v="2"/>
    <d v="1978-07-17T00:00:00"/>
    <n v="13101.74"/>
    <s v="tier - 3"/>
    <s v="tier - 2"/>
    <s v="R1026"/>
    <n v="44"/>
  </r>
  <r>
    <s v="Id1544"/>
    <s v="Mancebo Garcia, Mr.  Arturo"/>
    <n v="34.104999999999997"/>
    <n v="5.93"/>
    <s v="No"/>
    <s v="No"/>
    <x v="0"/>
    <n v="0"/>
    <x v="1"/>
    <x v="0"/>
    <s v="Prediabetes"/>
    <n v="1971"/>
    <s v="Oct"/>
    <n v="30"/>
    <n v="0"/>
    <d v="1971-10-30T00:00:00"/>
    <n v="13110.79"/>
    <s v="tier - 3"/>
    <s v="tier - 2"/>
    <s v="R1011"/>
    <n v="51"/>
  </r>
  <r>
    <s v="Id1545"/>
    <s v="Keehan, Mr.  Jake"/>
    <n v="24.97"/>
    <n v="5.66"/>
    <s v="No"/>
    <s v="No"/>
    <x v="0"/>
    <n v="0"/>
    <x v="1"/>
    <x v="1"/>
    <s v="Normal"/>
    <n v="1962"/>
    <s v="Aug"/>
    <n v="2"/>
    <n v="1"/>
    <d v="1962-08-02T00:00:00"/>
    <n v="13112.6"/>
    <s v="tier - 3"/>
    <s v="tier - 3"/>
    <s v="R1012"/>
    <n v="60"/>
  </r>
  <r>
    <s v="Id1546"/>
    <s v="Mahaney, Ms.  Sarah E"/>
    <n v="34.799999999999997"/>
    <n v="4.1900000000000004"/>
    <s v="No"/>
    <s v="No"/>
    <x v="0"/>
    <n v="1"/>
    <x v="1"/>
    <x v="0"/>
    <s v="Normal"/>
    <n v="1992"/>
    <s v="Aug"/>
    <n v="12"/>
    <n v="0"/>
    <d v="1992-08-12T00:00:00"/>
    <n v="13113.51"/>
    <s v="tier - 3"/>
    <s v="tier - 2"/>
    <s v="R1026"/>
    <n v="30"/>
  </r>
  <r>
    <s v="Id1547"/>
    <s v="Nolan, Ms.  Alison L."/>
    <n v="32.965000000000003"/>
    <n v="9.2100000000000009"/>
    <s v="yes"/>
    <s v="No"/>
    <x v="0"/>
    <n v="0"/>
    <x v="1"/>
    <x v="0"/>
    <s v="Diabetes"/>
    <n v="1963"/>
    <s v="Sep"/>
    <n v="14"/>
    <n v="0"/>
    <d v="1963-09-14T00:00:00"/>
    <n v="13116.84"/>
    <s v="tier - 3"/>
    <s v="tier - 1"/>
    <s v="R1012"/>
    <n v="59"/>
  </r>
  <r>
    <s v="Id1548"/>
    <s v="Sobrino, Ms.  Karen A."/>
    <n v="27.265000000000001"/>
    <n v="5.51"/>
    <s v="No"/>
    <s v="No"/>
    <x v="0"/>
    <n v="1"/>
    <x v="1"/>
    <x v="1"/>
    <s v="Normal"/>
    <n v="1999"/>
    <s v="Aug"/>
    <n v="16"/>
    <n v="0"/>
    <d v="1999-08-16T00:00:00"/>
    <n v="13126.68"/>
    <s v="tier - 3"/>
    <s v="tier - 3"/>
    <s v="R1011"/>
    <n v="23"/>
  </r>
  <r>
    <s v="Id1549"/>
    <s v="Gennaro, Mr.  Thomas R. Jr."/>
    <n v="17.059999999999999"/>
    <n v="8.5"/>
    <s v="No"/>
    <s v="No"/>
    <x v="0"/>
    <n v="0"/>
    <x v="1"/>
    <x v="3"/>
    <s v="Diabetes"/>
    <n v="1961"/>
    <s v="Sep"/>
    <n v="7"/>
    <n v="0"/>
    <d v="1961-09-07T00:00:00"/>
    <n v="13129.6"/>
    <s v="tier - 3"/>
    <s v="tier - 2"/>
    <s v="R1017"/>
    <n v="61"/>
  </r>
  <r>
    <s v="Id1550"/>
    <s v="Mayer, Ms.  Stephanie W."/>
    <n v="36.29"/>
    <n v="6.23"/>
    <s v="No"/>
    <s v="No"/>
    <x v="0"/>
    <n v="0"/>
    <x v="1"/>
    <x v="0"/>
    <s v="Prediabetes"/>
    <n v="1961"/>
    <s v="Dec"/>
    <n v="6"/>
    <n v="0"/>
    <d v="1961-12-06T00:00:00"/>
    <n v="13143.34"/>
    <s v="tier - 3"/>
    <s v="tier - 2"/>
    <s v="R1020"/>
    <n v="61"/>
  </r>
  <r>
    <s v="Id1551"/>
    <s v="Becker, Mr.  Ezra"/>
    <n v="28.594999999999999"/>
    <n v="8.5299999999999994"/>
    <s v="yes"/>
    <s v="No"/>
    <x v="0"/>
    <n v="1"/>
    <x v="1"/>
    <x v="1"/>
    <s v="Diabetes"/>
    <n v="1961"/>
    <s v="Dec"/>
    <n v="6"/>
    <n v="0"/>
    <d v="1961-12-06T00:00:00"/>
    <n v="13143.86"/>
    <s v="tier - 3"/>
    <s v="tier - 2"/>
    <s v="R1016"/>
    <n v="61"/>
  </r>
  <r>
    <s v="Id1552"/>
    <s v="Moore, Mr.  Jim"/>
    <n v="17.8"/>
    <n v="5.75"/>
    <s v="yes"/>
    <s v="No"/>
    <x v="1"/>
    <n v="1"/>
    <x v="1"/>
    <x v="3"/>
    <s v="Prediabetes"/>
    <n v="1962"/>
    <s v="Aug"/>
    <n v="5"/>
    <n v="0"/>
    <d v="1962-08-05T00:00:00"/>
    <n v="13204.29"/>
    <s v="tier - 3"/>
    <s v="tier - 1"/>
    <s v="R1024"/>
    <n v="60"/>
  </r>
  <r>
    <s v="Id1553"/>
    <s v="Platt, Mr.  Ari L."/>
    <n v="21.4"/>
    <n v="5.6"/>
    <s v="No"/>
    <s v="No"/>
    <x v="0"/>
    <n v="0"/>
    <x v="1"/>
    <x v="2"/>
    <s v="Normal"/>
    <n v="1982"/>
    <s v="Oct"/>
    <n v="15"/>
    <n v="3"/>
    <d v="1982-10-15T00:00:00"/>
    <n v="13214.43"/>
    <s v="tier - 3"/>
    <s v="tier - 2"/>
    <s v="R1012"/>
    <n v="40"/>
  </r>
  <r>
    <s v="Id1554"/>
    <s v="Brodeur, Ms.  Fanny"/>
    <n v="23.01"/>
    <n v="4.68"/>
    <s v="No"/>
    <s v="No"/>
    <x v="0"/>
    <n v="0"/>
    <x v="1"/>
    <x v="2"/>
    <s v="Normal"/>
    <n v="1962"/>
    <s v="Dec"/>
    <n v="7"/>
    <n v="0"/>
    <d v="1962-12-07T00:00:00"/>
    <n v="13217.09"/>
    <s v="tier - 3"/>
    <s v="tier - 1"/>
    <s v="R1024"/>
    <n v="60"/>
  </r>
  <r>
    <s v="Id1555"/>
    <s v="Knight Pech, Ms.  Heather"/>
    <n v="19.86"/>
    <n v="5.62"/>
    <s v="yes"/>
    <s v="No"/>
    <x v="0"/>
    <n v="0"/>
    <x v="1"/>
    <x v="2"/>
    <s v="Normal"/>
    <n v="1965"/>
    <s v="Nov"/>
    <n v="13"/>
    <n v="2"/>
    <d v="1965-11-13T00:00:00"/>
    <n v="13224.06"/>
    <s v="tier - 3"/>
    <s v="tier - 3"/>
    <s v="R1024"/>
    <n v="57"/>
  </r>
  <r>
    <s v="Id1556"/>
    <s v="Richter, Mr.  Peter W. Sr."/>
    <n v="33.58"/>
    <n v="5.08"/>
    <s v="No"/>
    <s v="No"/>
    <x v="0"/>
    <n v="0"/>
    <x v="1"/>
    <x v="0"/>
    <s v="Normal"/>
    <n v="1962"/>
    <s v="Nov"/>
    <n v="24"/>
    <n v="1"/>
    <d v="1962-11-24T00:00:00"/>
    <n v="13224.69"/>
    <s v="tier - 3"/>
    <s v="tier - 2"/>
    <s v="R1011"/>
    <n v="60"/>
  </r>
  <r>
    <s v="Id1557"/>
    <s v="Jubinski, Ms.  Catherine A"/>
    <n v="29.81"/>
    <n v="5.28"/>
    <s v="No"/>
    <s v="No"/>
    <x v="0"/>
    <n v="0"/>
    <x v="1"/>
    <x v="1"/>
    <s v="Normal"/>
    <n v="1962"/>
    <s v="Oct"/>
    <n v="11"/>
    <n v="0"/>
    <d v="1962-10-11T00:00:00"/>
    <n v="13228.85"/>
    <s v="tier - 3"/>
    <s v="tier - 3"/>
    <s v="R1023"/>
    <n v="60"/>
  </r>
  <r>
    <s v="Id1558"/>
    <s v="Wall, Ms.  Kelly A"/>
    <n v="27.4"/>
    <n v="4.6100000000000003"/>
    <s v="No"/>
    <s v="No"/>
    <x v="0"/>
    <n v="0"/>
    <x v="1"/>
    <x v="1"/>
    <s v="Normal"/>
    <n v="1994"/>
    <s v="Jul"/>
    <n v="1"/>
    <n v="0"/>
    <d v="1994-07-01T00:00:00"/>
    <n v="13292.52"/>
    <s v="tier - 3"/>
    <s v="tier - 3"/>
    <s v="R1012"/>
    <n v="28"/>
  </r>
  <r>
    <s v="Id1559"/>
    <s v="McKay, Ms.  Janel N."/>
    <n v="17.98"/>
    <n v="6.57"/>
    <s v="yes"/>
    <s v="No"/>
    <x v="0"/>
    <n v="2"/>
    <x v="1"/>
    <x v="3"/>
    <s v="Diabetes"/>
    <n v="1976"/>
    <s v="Aug"/>
    <n v="23"/>
    <n v="2"/>
    <d v="1976-08-23T00:00:00"/>
    <n v="13333.71"/>
    <s v="tier - 3"/>
    <s v="tier - 2"/>
    <s v="R1012"/>
    <n v="46"/>
  </r>
  <r>
    <s v="Id1560"/>
    <s v="Oh, Ms.  Yann Kai"/>
    <n v="37.9"/>
    <n v="5.83"/>
    <s v="No"/>
    <s v="No"/>
    <x v="0"/>
    <n v="0"/>
    <x v="1"/>
    <x v="0"/>
    <s v="Prediabetes"/>
    <n v="1960"/>
    <s v="Nov"/>
    <n v="11"/>
    <n v="0"/>
    <d v="1960-11-11T00:00:00"/>
    <n v="13352.1"/>
    <s v="tier - 3"/>
    <s v="tier - 1"/>
    <s v="R1012"/>
    <n v="62"/>
  </r>
  <r>
    <s v="Id1561"/>
    <s v="Kessell, Mr.  Zachary R."/>
    <n v="25.27"/>
    <n v="6.98"/>
    <s v="yes"/>
    <s v="No"/>
    <x v="0"/>
    <n v="0"/>
    <x v="1"/>
    <x v="1"/>
    <s v="Diabetes"/>
    <n v="1990"/>
    <s v="Oct"/>
    <n v="2"/>
    <n v="3"/>
    <d v="1990-10-02T00:00:00"/>
    <n v="13360.94"/>
    <s v="tier - 3"/>
    <s v="tier - 1"/>
    <s v="R1012"/>
    <n v="32"/>
  </r>
  <r>
    <s v="Id1562"/>
    <s v="Hidalgo Zambrano, Mr.  Alejandro Sr."/>
    <n v="29.26"/>
    <n v="4.03"/>
    <s v="No"/>
    <s v="No"/>
    <x v="0"/>
    <n v="1"/>
    <x v="1"/>
    <x v="1"/>
    <s v="Normal"/>
    <n v="1964"/>
    <s v="Sep"/>
    <n v="24"/>
    <n v="0"/>
    <d v="1964-09-24T00:00:00"/>
    <n v="13375.76"/>
    <s v="tier - 3"/>
    <s v="tier - 2"/>
    <s v="R1025"/>
    <n v="58"/>
  </r>
  <r>
    <s v="Id1563"/>
    <s v="Caprario, Mr.  Nicholas R."/>
    <n v="27.835000000000001"/>
    <n v="4.5599999999999996"/>
    <s v="No"/>
    <s v="No"/>
    <x v="0"/>
    <n v="1"/>
    <x v="1"/>
    <x v="1"/>
    <s v="Normal"/>
    <n v="1979"/>
    <s v="Sep"/>
    <n v="30"/>
    <n v="2"/>
    <d v="1979-09-30T00:00:00"/>
    <n v="13377.41"/>
    <s v="tier - 3"/>
    <s v="tier - 3"/>
    <s v="R1026"/>
    <n v="43"/>
  </r>
  <r>
    <s v="Id1564"/>
    <s v="Ryan, Mr.  Paul"/>
    <n v="46.53"/>
    <n v="5.38"/>
    <s v="yes"/>
    <s v="No"/>
    <x v="0"/>
    <n v="0"/>
    <x v="1"/>
    <x v="0"/>
    <s v="Normal"/>
    <n v="1984"/>
    <s v="Jun"/>
    <n v="6"/>
    <n v="3"/>
    <d v="1984-06-06T00:00:00"/>
    <n v="13383.67"/>
    <s v="tier - 3"/>
    <s v="tier - 2"/>
    <s v="R1023"/>
    <n v="39"/>
  </r>
  <r>
    <s v="Id1565"/>
    <s v="Hoffman, Mr.  Michael D"/>
    <n v="20.58"/>
    <n v="11.04"/>
    <s v="yes"/>
    <s v="No"/>
    <x v="0"/>
    <n v="1"/>
    <x v="1"/>
    <x v="2"/>
    <s v="Diabetes"/>
    <n v="1959"/>
    <s v="Dec"/>
    <n v="9"/>
    <n v="0"/>
    <d v="1959-12-09T00:00:00"/>
    <n v="13390.56"/>
    <s v="tier - 3"/>
    <s v="tier - 3"/>
    <s v="R1011"/>
    <n v="63"/>
  </r>
  <r>
    <s v="Id1566"/>
    <s v="Wong, Ms.  Marina"/>
    <n v="19.53"/>
    <n v="6.09"/>
    <s v="yes"/>
    <s v="No"/>
    <x v="0"/>
    <n v="0"/>
    <x v="1"/>
    <x v="2"/>
    <s v="Prediabetes"/>
    <n v="1959"/>
    <s v="Nov"/>
    <n v="25"/>
    <n v="0"/>
    <d v="1959-11-25T00:00:00"/>
    <n v="13393.76"/>
    <s v="tier - 3"/>
    <s v="tier - 1"/>
    <s v="R1011"/>
    <n v="63"/>
  </r>
  <r>
    <s v="Id1567"/>
    <s v="Lea, Ms.  Caroline"/>
    <n v="27.7"/>
    <n v="4.71"/>
    <s v="No"/>
    <s v="No"/>
    <x v="0"/>
    <n v="1"/>
    <x v="1"/>
    <x v="1"/>
    <s v="Normal"/>
    <n v="1959"/>
    <s v="Dec"/>
    <n v="20"/>
    <n v="0"/>
    <d v="1959-12-20T00:00:00"/>
    <n v="13405.39"/>
    <s v="tier - 3"/>
    <s v="tier - 3"/>
    <s v="R1013"/>
    <n v="63"/>
  </r>
  <r>
    <s v="Id1568"/>
    <s v="Patterson, Mr.  Ross P"/>
    <n v="18.920000000000002"/>
    <n v="8.18"/>
    <s v="No"/>
    <s v="No"/>
    <x v="0"/>
    <n v="0"/>
    <x v="1"/>
    <x v="2"/>
    <s v="Diabetes"/>
    <n v="1992"/>
    <s v="Dec"/>
    <n v="19"/>
    <n v="0"/>
    <d v="1992-12-19T00:00:00"/>
    <n v="13412.97"/>
    <s v="tier - 3"/>
    <s v="tier - 3"/>
    <s v="R1023"/>
    <n v="30"/>
  </r>
  <r>
    <s v="Id1569"/>
    <s v="Quigley, Ms.  Aoife"/>
    <n v="17.760000000000002"/>
    <n v="11.18"/>
    <s v="yes"/>
    <s v="No"/>
    <x v="0"/>
    <n v="2"/>
    <x v="1"/>
    <x v="3"/>
    <s v="Diabetes"/>
    <n v="1961"/>
    <s v="Jul"/>
    <n v="22"/>
    <n v="0"/>
    <d v="1961-07-22T00:00:00"/>
    <n v="13415.04"/>
    <s v="tier - 3"/>
    <s v="tier - 2"/>
    <s v="R1012"/>
    <n v="61"/>
  </r>
  <r>
    <s v="Id1570"/>
    <s v="Korir, Mr.  Wesley"/>
    <n v="29.83"/>
    <n v="5.03"/>
    <s v="yes"/>
    <s v="No"/>
    <x v="0"/>
    <n v="0"/>
    <x v="1"/>
    <x v="1"/>
    <s v="Normal"/>
    <n v="1994"/>
    <s v="Jun"/>
    <n v="17"/>
    <n v="0"/>
    <d v="1994-06-17T00:00:00"/>
    <n v="13417.05"/>
    <s v="tier - 3"/>
    <s v="tier - 3"/>
    <s v="R1012"/>
    <n v="28"/>
  </r>
  <r>
    <s v="Id1571"/>
    <s v="Downs, Ms.  Rebecca J"/>
    <n v="23.465"/>
    <n v="5.56"/>
    <s v="No"/>
    <s v="No"/>
    <x v="0"/>
    <n v="1"/>
    <x v="1"/>
    <x v="2"/>
    <s v="Normal"/>
    <n v="1961"/>
    <s v="Nov"/>
    <n v="3"/>
    <n v="0"/>
    <d v="1961-11-03T00:00:00"/>
    <n v="13429.04"/>
    <s v="tier - 3"/>
    <s v="tier - 3"/>
    <s v="R1012"/>
    <n v="61"/>
  </r>
  <r>
    <s v="Id1572"/>
    <s v="Young, Mr.  Barry P."/>
    <n v="29.355"/>
    <n v="4.33"/>
    <s v="No"/>
    <s v="No"/>
    <x v="0"/>
    <n v="0"/>
    <x v="1"/>
    <x v="1"/>
    <s v="Normal"/>
    <n v="1966"/>
    <s v="Nov"/>
    <n v="14"/>
    <n v="3"/>
    <d v="1966-11-14T00:00:00"/>
    <n v="13430.27"/>
    <s v="tier - 3"/>
    <s v="tier - 3"/>
    <s v="R1024"/>
    <n v="56"/>
  </r>
  <r>
    <s v="Id1573"/>
    <s v="Zywek, Mr.  Maciej"/>
    <n v="35.49"/>
    <n v="5.21"/>
    <s v="yes"/>
    <s v="No"/>
    <x v="1"/>
    <n v="1"/>
    <x v="1"/>
    <x v="0"/>
    <s v="Normal"/>
    <n v="1975"/>
    <s v="Jun"/>
    <n v="29"/>
    <n v="1"/>
    <d v="1975-06-29T00:00:00"/>
    <n v="13440.7"/>
    <s v="tier - 3"/>
    <s v="tier - 2"/>
    <s v="R1012"/>
    <n v="47"/>
  </r>
  <r>
    <s v="Id1574"/>
    <s v="Faulkner, Mr.  Jerry D."/>
    <n v="26.315000000000001"/>
    <n v="5.89"/>
    <s v="No"/>
    <s v="No"/>
    <x v="0"/>
    <n v="0"/>
    <x v="1"/>
    <x v="1"/>
    <s v="Prediabetes"/>
    <n v="1960"/>
    <s v="Aug"/>
    <n v="13"/>
    <n v="0"/>
    <d v="1960-08-13T00:00:00"/>
    <n v="13451.12"/>
    <s v="tier - 3"/>
    <s v="tier - 1"/>
    <s v="R1011"/>
    <n v="62"/>
  </r>
  <r>
    <s v="Id1575"/>
    <s v="Erspamer, Mr.  Eric A."/>
    <n v="19.79"/>
    <n v="4.8099999999999996"/>
    <s v="yes"/>
    <s v="No"/>
    <x v="0"/>
    <n v="0"/>
    <x v="1"/>
    <x v="2"/>
    <s v="Normal"/>
    <n v="1960"/>
    <s v="Jul"/>
    <n v="11"/>
    <n v="0"/>
    <d v="1960-07-11T00:00:00"/>
    <n v="13457.96"/>
    <s v="tier - 3"/>
    <s v="tier - 1"/>
    <s v="R1013"/>
    <n v="62"/>
  </r>
  <r>
    <s v="Id1576"/>
    <s v="Campbell, Ms.  Cathi"/>
    <n v="40.564999999999998"/>
    <n v="5.66"/>
    <s v="No"/>
    <s v="No"/>
    <x v="0"/>
    <n v="1"/>
    <x v="1"/>
    <x v="0"/>
    <s v="Normal"/>
    <n v="1960"/>
    <s v="Dec"/>
    <n v="16"/>
    <n v="0"/>
    <d v="1960-12-16T00:00:00"/>
    <n v="13462.52"/>
    <s v="tier - 3"/>
    <s v="tier - 2"/>
    <s v="R1011"/>
    <n v="62"/>
  </r>
  <r>
    <s v="Id1577"/>
    <s v="Addison, Mr.  Alex M"/>
    <n v="18.03"/>
    <n v="10.66"/>
    <s v="yes"/>
    <s v="No"/>
    <x v="0"/>
    <n v="2"/>
    <x v="1"/>
    <x v="3"/>
    <s v="Diabetes"/>
    <n v="1985"/>
    <s v="Aug"/>
    <n v="19"/>
    <n v="3"/>
    <d v="1985-08-19T00:00:00"/>
    <n v="13465.8"/>
    <s v="tier - 3"/>
    <s v="tier - 1"/>
    <s v="R1012"/>
    <n v="37"/>
  </r>
  <r>
    <s v="Id1578"/>
    <s v="Wu, Mr.  Liang"/>
    <n v="34.65"/>
    <n v="5.98"/>
    <s v="yes"/>
    <s v="No"/>
    <x v="0"/>
    <n v="0"/>
    <x v="1"/>
    <x v="0"/>
    <s v="Prediabetes"/>
    <n v="1960"/>
    <s v="Jul"/>
    <n v="28"/>
    <n v="0"/>
    <d v="1960-07-28T00:00:00"/>
    <n v="13470.8"/>
    <s v="tier - 3"/>
    <s v="tier - 2"/>
    <s v="R1013"/>
    <n v="62"/>
  </r>
  <r>
    <s v="Id1579"/>
    <s v="Millett, Ms.  Lexy"/>
    <n v="42.94"/>
    <n v="4.34"/>
    <s v="No"/>
    <s v="No"/>
    <x v="0"/>
    <n v="0"/>
    <x v="1"/>
    <x v="0"/>
    <s v="Normal"/>
    <n v="1960"/>
    <s v="Jul"/>
    <n v="24"/>
    <n v="0"/>
    <d v="1960-07-24T00:00:00"/>
    <n v="13470.86"/>
    <s v="tier - 3"/>
    <s v="tier - 3"/>
    <s v="R1011"/>
    <n v="62"/>
  </r>
  <r>
    <s v="Id1580"/>
    <s v="Bosl, Mr.  Michael"/>
    <n v="31.254999999999999"/>
    <n v="5.17"/>
    <s v="No"/>
    <s v="No"/>
    <x v="0"/>
    <n v="0"/>
    <x v="1"/>
    <x v="0"/>
    <s v="Normal"/>
    <n v="1975"/>
    <s v="Aug"/>
    <n v="7"/>
    <n v="1"/>
    <d v="1975-08-07T00:00:00"/>
    <n v="13472.19"/>
    <s v="tier - 3"/>
    <s v="tier - 2"/>
    <s v="R1012"/>
    <n v="47"/>
  </r>
  <r>
    <s v="Id1581"/>
    <s v="Goldberg, Mr.  Samuel L"/>
    <n v="45.43"/>
    <n v="4.2300000000000004"/>
    <s v="yes"/>
    <s v="No"/>
    <x v="1"/>
    <n v="1"/>
    <x v="1"/>
    <x v="0"/>
    <s v="Normal"/>
    <n v="1990"/>
    <s v="Aug"/>
    <n v="30"/>
    <n v="3"/>
    <d v="1990-08-30T00:00:00"/>
    <n v="13480.83"/>
    <s v="tier - 3"/>
    <s v="tier - 2"/>
    <s v="R1023"/>
    <n v="32"/>
  </r>
  <r>
    <s v="Id1582"/>
    <s v="Kelley, Mr.  Spencer A."/>
    <n v="32.340000000000003"/>
    <n v="4.88"/>
    <s v="yes"/>
    <s v="No"/>
    <x v="1"/>
    <n v="1"/>
    <x v="1"/>
    <x v="0"/>
    <s v="Normal"/>
    <n v="1963"/>
    <s v="Oct"/>
    <n v="14"/>
    <n v="0"/>
    <d v="1963-10-14T00:00:00"/>
    <n v="13511.28"/>
    <s v="tier - 3"/>
    <s v="tier - 1"/>
    <s v="R1012"/>
    <n v="59"/>
  </r>
  <r>
    <s v="Id1583"/>
    <s v="Johnston, Mrs.  Rochelle"/>
    <n v="25.46"/>
    <n v="9.7100000000000009"/>
    <s v="yes"/>
    <s v="No"/>
    <x v="0"/>
    <n v="1"/>
    <x v="1"/>
    <x v="1"/>
    <s v="Diabetes"/>
    <n v="1960"/>
    <s v="Jul"/>
    <n v="11"/>
    <n v="0"/>
    <d v="1960-07-11T00:00:00"/>
    <n v="13555"/>
    <s v="tier - 3"/>
    <s v="tier - 3"/>
    <s v="R1017"/>
    <n v="62"/>
  </r>
  <r>
    <s v="Id1584"/>
    <s v="Keating, Ms.  Paula"/>
    <n v="37.145000000000003"/>
    <n v="5.32"/>
    <s v="No"/>
    <s v="No"/>
    <x v="0"/>
    <n v="0"/>
    <x v="1"/>
    <x v="0"/>
    <s v="Normal"/>
    <n v="1968"/>
    <s v="Jul"/>
    <n v="15"/>
    <n v="0"/>
    <d v="1968-07-15T00:00:00"/>
    <n v="13566.04"/>
    <s v="tier - 3"/>
    <s v="tier - 3"/>
    <s v="R1026"/>
    <n v="54"/>
  </r>
  <r>
    <s v="Id1585"/>
    <s v="Duhon, Mrs.  Madeline E."/>
    <n v="30.8"/>
    <n v="5.83"/>
    <s v="yes"/>
    <s v="No"/>
    <x v="0"/>
    <n v="0"/>
    <x v="1"/>
    <x v="0"/>
    <s v="Prediabetes"/>
    <n v="1992"/>
    <s v="Aug"/>
    <n v="14"/>
    <n v="0"/>
    <d v="1992-08-14T00:00:00"/>
    <n v="13588.17"/>
    <s v="tier - 3"/>
    <s v="tier - 1"/>
    <s v="R1012"/>
    <n v="30"/>
  </r>
  <r>
    <s v="Id1586"/>
    <s v="Briseno, Ms.  Maria Isabel"/>
    <n v="29.5"/>
    <n v="5.54"/>
    <s v="yes"/>
    <s v="No"/>
    <x v="0"/>
    <n v="0"/>
    <x v="1"/>
    <x v="1"/>
    <s v="Normal"/>
    <n v="1964"/>
    <s v="Sep"/>
    <n v="10"/>
    <n v="2"/>
    <d v="1964-09-10T00:00:00"/>
    <n v="13607.37"/>
    <s v="tier - 3"/>
    <s v="tier - 1"/>
    <s v="R1024"/>
    <n v="58"/>
  </r>
  <r>
    <s v="Id1587"/>
    <s v="Besse, Mr.  Arthur M."/>
    <n v="43.39"/>
    <n v="5.85"/>
    <s v="No"/>
    <s v="yes"/>
    <x v="0"/>
    <n v="1"/>
    <x v="1"/>
    <x v="0"/>
    <s v="Prediabetes"/>
    <n v="1961"/>
    <s v="Nov"/>
    <n v="18"/>
    <n v="0"/>
    <d v="1961-11-18T00:00:00"/>
    <n v="13616.36"/>
    <s v="tier - 3"/>
    <s v="tier - 3"/>
    <s v="R1024"/>
    <n v="61"/>
  </r>
  <r>
    <s v="Id1588"/>
    <s v="Shillings, Mr.  Joseph R."/>
    <n v="15.08"/>
    <n v="4.8499999999999996"/>
    <s v="yes"/>
    <s v="No"/>
    <x v="1"/>
    <n v="1"/>
    <x v="1"/>
    <x v="3"/>
    <s v="Normal"/>
    <n v="1969"/>
    <s v="Jul"/>
    <n v="26"/>
    <n v="0"/>
    <d v="1969-07-26T00:00:00"/>
    <n v="13622.01"/>
    <s v="tier - 3"/>
    <s v="tier - 3"/>
    <s v="R1012"/>
    <n v="53"/>
  </r>
  <r>
    <s v="Id1589"/>
    <s v="Tate, Ms.  Sachiko"/>
    <n v="20.48"/>
    <n v="11.09"/>
    <s v="No"/>
    <s v="No"/>
    <x v="0"/>
    <n v="0"/>
    <x v="1"/>
    <x v="2"/>
    <s v="Diabetes"/>
    <n v="1961"/>
    <s v="Dec"/>
    <n v="24"/>
    <n v="0"/>
    <d v="1961-12-24T00:00:00"/>
    <n v="13635.64"/>
    <s v="tier - 3"/>
    <s v="tier - 3"/>
    <s v="R1024"/>
    <n v="61"/>
  </r>
  <r>
    <s v="Id1590"/>
    <s v="Arsenault, Mr.  Christopher"/>
    <n v="34.450000000000003"/>
    <n v="5.58"/>
    <s v="yes"/>
    <s v="No"/>
    <x v="0"/>
    <n v="0"/>
    <x v="1"/>
    <x v="0"/>
    <s v="Normal"/>
    <n v="1984"/>
    <s v="Jul"/>
    <n v="20"/>
    <n v="3"/>
    <d v="1984-07-20T00:00:00"/>
    <n v="13638.06"/>
    <s v="tier - 3"/>
    <s v="tier - 3"/>
    <s v="R1023"/>
    <n v="38"/>
  </r>
  <r>
    <s v="Id1591"/>
    <s v="Hengoed, Mr.  Joseph"/>
    <n v="34.21"/>
    <n v="9.7200000000000006"/>
    <s v="yes"/>
    <s v="No"/>
    <x v="0"/>
    <n v="0"/>
    <x v="1"/>
    <x v="0"/>
    <s v="Diabetes"/>
    <n v="1963"/>
    <s v="Aug"/>
    <n v="4"/>
    <n v="0"/>
    <d v="1963-08-04T00:00:00"/>
    <n v="13677.68"/>
    <s v="tier - 3"/>
    <s v="tier - 2"/>
    <s v="R1021"/>
    <n v="59"/>
  </r>
  <r>
    <s v="Id1592"/>
    <s v="Aller, Mr.  Lawrence"/>
    <n v="28.8"/>
    <n v="11.41"/>
    <s v="yes"/>
    <s v="No"/>
    <x v="0"/>
    <n v="0"/>
    <x v="1"/>
    <x v="1"/>
    <s v="Diabetes"/>
    <n v="1985"/>
    <s v="Sep"/>
    <n v="14"/>
    <n v="3"/>
    <d v="1985-09-14T00:00:00"/>
    <n v="13685.51"/>
    <s v="tier - 3"/>
    <s v="tier - 1"/>
    <s v="R1026"/>
    <n v="37"/>
  </r>
  <r>
    <s v="Id1593"/>
    <s v="Pisano, Mrs.  Katie"/>
    <n v="31.74"/>
    <n v="4.46"/>
    <s v="No"/>
    <s v="No"/>
    <x v="1"/>
    <n v="1"/>
    <x v="1"/>
    <x v="0"/>
    <s v="Normal"/>
    <n v="1986"/>
    <s v="Nov"/>
    <n v="24"/>
    <n v="3"/>
    <d v="1986-11-24T00:00:00"/>
    <n v="13714.55"/>
    <s v="tier - 3"/>
    <s v="tier - 2"/>
    <s v="R1023"/>
    <n v="36"/>
  </r>
  <r>
    <s v="Id1594"/>
    <s v="Sanca, Mr.  Ruben"/>
    <n v="21.78"/>
    <n v="9.31"/>
    <s v="yes"/>
    <s v="No"/>
    <x v="0"/>
    <n v="0"/>
    <x v="1"/>
    <x v="2"/>
    <s v="Diabetes"/>
    <n v="1981"/>
    <s v="Aug"/>
    <n v="2"/>
    <n v="1"/>
    <d v="1981-08-02T00:00:00"/>
    <n v="13725.47"/>
    <s v="tier - 3"/>
    <s v="tier - 2"/>
    <s v="R1024"/>
    <n v="41"/>
  </r>
  <r>
    <s v="Id1595"/>
    <s v="Bond, Ms.  Sarah"/>
    <n v="23.75"/>
    <n v="5.03"/>
    <s v="No"/>
    <s v="No"/>
    <x v="0"/>
    <n v="1"/>
    <x v="1"/>
    <x v="2"/>
    <s v="Normal"/>
    <n v="1985"/>
    <s v="Aug"/>
    <n v="29"/>
    <n v="3"/>
    <d v="1985-08-29T00:00:00"/>
    <n v="13726.21"/>
    <s v="tier - 3"/>
    <s v="tier - 3"/>
    <s v="R1026"/>
    <n v="37"/>
  </r>
  <r>
    <s v="Id1596"/>
    <s v="Carron, Mrs.  Angela R."/>
    <n v="33.21"/>
    <n v="5.07"/>
    <s v="yes"/>
    <s v="No"/>
    <x v="0"/>
    <n v="1"/>
    <x v="1"/>
    <x v="0"/>
    <s v="Normal"/>
    <n v="1969"/>
    <s v="Oct"/>
    <n v="23"/>
    <n v="0"/>
    <d v="1969-10-23T00:00:00"/>
    <n v="13746.74"/>
    <s v="tier - 3"/>
    <s v="tier - 2"/>
    <s v="R1026"/>
    <n v="53"/>
  </r>
  <r>
    <s v="Id1597"/>
    <s v="Ellwanger, Mr.  Chatham"/>
    <n v="17.7"/>
    <n v="10.42"/>
    <s v="yes"/>
    <s v="No"/>
    <x v="0"/>
    <n v="2"/>
    <x v="1"/>
    <x v="3"/>
    <s v="Diabetes"/>
    <n v="2004"/>
    <s v="Jul"/>
    <n v="16"/>
    <n v="0"/>
    <d v="2004-07-16T00:00:00"/>
    <n v="13747.87"/>
    <s v="tier - 3"/>
    <s v="tier - 2"/>
    <s v="R1018"/>
    <n v="18"/>
  </r>
  <r>
    <s v="Id1598"/>
    <s v="Hanson, Mr.  Derek"/>
    <n v="17.2"/>
    <n v="6.45"/>
    <s v="No"/>
    <s v="No"/>
    <x v="0"/>
    <n v="2"/>
    <x v="1"/>
    <x v="3"/>
    <s v="Diabetes"/>
    <n v="1959"/>
    <s v="Aug"/>
    <n v="6"/>
    <n v="0"/>
    <d v="1959-08-06T00:00:00"/>
    <n v="13770.1"/>
    <s v="tier - 3"/>
    <s v="tier - 1"/>
    <s v="R1012"/>
    <n v="63"/>
  </r>
  <r>
    <s v="Id1599"/>
    <s v="Tucker, Mr.  Kalvin J."/>
    <n v="19.21"/>
    <n v="5.52"/>
    <s v="No"/>
    <s v="No"/>
    <x v="0"/>
    <n v="2"/>
    <x v="1"/>
    <x v="2"/>
    <s v="Normal"/>
    <n v="1966"/>
    <s v="Nov"/>
    <n v="10"/>
    <n v="0"/>
    <d v="1966-11-10T00:00:00"/>
    <n v="13801.61"/>
    <s v="tier - 3"/>
    <s v="tier - 3"/>
    <s v="R1026"/>
    <n v="56"/>
  </r>
  <r>
    <s v="Id1600"/>
    <s v="Counts, Mr.  Dave"/>
    <n v="23.2"/>
    <n v="4.41"/>
    <s v="No"/>
    <s v="No"/>
    <x v="1"/>
    <n v="1"/>
    <x v="1"/>
    <x v="2"/>
    <s v="Normal"/>
    <n v="1986"/>
    <s v="Dec"/>
    <n v="8"/>
    <n v="3"/>
    <d v="1986-12-08T00:00:00"/>
    <n v="13819.49"/>
    <s v="tier - 3"/>
    <s v="tier - 2"/>
    <s v="R1012"/>
    <n v="36"/>
  </r>
  <r>
    <s v="Id1601"/>
    <s v="Carson, Ms.  Barbara G."/>
    <n v="32.5"/>
    <n v="4.6900000000000004"/>
    <s v="yes"/>
    <s v="No"/>
    <x v="1"/>
    <n v="1"/>
    <x v="1"/>
    <x v="0"/>
    <s v="Normal"/>
    <n v="1958"/>
    <s v="Nov"/>
    <n v="25"/>
    <n v="0"/>
    <d v="1958-11-25T00:00:00"/>
    <n v="13822.8"/>
    <s v="tier - 3"/>
    <s v="tier - 3"/>
    <s v="R1011"/>
    <n v="64"/>
  </r>
  <r>
    <s v="Id1602"/>
    <s v="Haines, Mr.  Skylar"/>
    <n v="20.9"/>
    <n v="6.94"/>
    <s v="No"/>
    <s v="No"/>
    <x v="0"/>
    <n v="0"/>
    <x v="1"/>
    <x v="2"/>
    <s v="Diabetes"/>
    <n v="1958"/>
    <s v="Dec"/>
    <n v="10"/>
    <n v="0"/>
    <d v="1958-12-10T00:00:00"/>
    <n v="13831.12"/>
    <s v="tier - 3"/>
    <s v="tier - 1"/>
    <s v="R1013"/>
    <n v="64"/>
  </r>
  <r>
    <s v="Id1603"/>
    <s v="Schnabel, Mr.  Nick"/>
    <n v="19.11"/>
    <n v="4.3499999999999996"/>
    <s v="No"/>
    <s v="No"/>
    <x v="0"/>
    <n v="2"/>
    <x v="1"/>
    <x v="2"/>
    <s v="Normal"/>
    <n v="2003"/>
    <s v="Jun"/>
    <n v="7"/>
    <n v="0"/>
    <d v="2003-06-07T00:00:00"/>
    <n v="13844.51"/>
    <s v="tier - 2"/>
    <s v="tier - 1"/>
    <s v="R1011"/>
    <n v="20"/>
  </r>
  <r>
    <s v="Id1604"/>
    <s v="Thind, Mr.  Sunny S"/>
    <n v="31.17"/>
    <n v="5.28"/>
    <s v="No"/>
    <s v="No"/>
    <x v="0"/>
    <n v="1"/>
    <x v="1"/>
    <x v="0"/>
    <s v="Normal"/>
    <n v="1960"/>
    <s v="Jul"/>
    <n v="21"/>
    <n v="0"/>
    <d v="1960-07-21T00:00:00"/>
    <n v="13844.8"/>
    <s v="tier - 2"/>
    <s v="tier - 2"/>
    <s v="R1012"/>
    <n v="62"/>
  </r>
  <r>
    <s v="Id1605"/>
    <s v="Simon, Mrs.  Anne-Marie"/>
    <n v="36.08"/>
    <n v="4.29"/>
    <s v="No"/>
    <s v="No"/>
    <x v="0"/>
    <n v="0"/>
    <x v="1"/>
    <x v="0"/>
    <s v="Normal"/>
    <n v="1978"/>
    <s v="Dec"/>
    <n v="19"/>
    <n v="2"/>
    <d v="1978-12-19T00:00:00"/>
    <n v="13874.89"/>
    <s v="tier - 2"/>
    <s v="tier - 1"/>
    <s v="R1012"/>
    <n v="44"/>
  </r>
  <r>
    <s v="Id1606"/>
    <s v="Arciniaga, Mr.  Nicholas"/>
    <n v="28.024999999999999"/>
    <n v="5.69"/>
    <s v="yes"/>
    <s v="No"/>
    <x v="0"/>
    <n v="0"/>
    <x v="1"/>
    <x v="1"/>
    <s v="Normal"/>
    <n v="1959"/>
    <s v="Oct"/>
    <n v="5"/>
    <n v="0"/>
    <d v="1959-10-05T00:00:00"/>
    <n v="13880.95"/>
    <s v="tier - 2"/>
    <s v="tier - 2"/>
    <s v="R1011"/>
    <n v="63"/>
  </r>
  <r>
    <s v="Id1607"/>
    <s v="Ryan, Mr.  Scott M."/>
    <n v="24.32"/>
    <n v="5.56"/>
    <s v="yes"/>
    <s v="No"/>
    <x v="0"/>
    <n v="0"/>
    <x v="1"/>
    <x v="2"/>
    <s v="Normal"/>
    <n v="1985"/>
    <s v="Sep"/>
    <n v="25"/>
    <n v="3"/>
    <d v="1985-09-25T00:00:00"/>
    <n v="13886.4"/>
    <s v="tier - 2"/>
    <s v="tier - 2"/>
    <s v="R1012"/>
    <n v="37"/>
  </r>
  <r>
    <s v="Id1608"/>
    <s v="Lizak, Ms.  Marisa A"/>
    <n v="38"/>
    <n v="5.41"/>
    <s v="yes"/>
    <s v="No"/>
    <x v="0"/>
    <n v="1"/>
    <x v="1"/>
    <x v="0"/>
    <s v="Normal"/>
    <n v="1959"/>
    <s v="Dec"/>
    <n v="29"/>
    <n v="0"/>
    <d v="1959-12-29T00:00:00"/>
    <n v="13887.2"/>
    <s v="tier - 2"/>
    <s v="tier - 3"/>
    <s v="R1013"/>
    <n v="63"/>
  </r>
  <r>
    <s v="Id1609"/>
    <s v="Howery, Ms.  Katie"/>
    <n v="31.6"/>
    <n v="10.85"/>
    <s v="yes"/>
    <s v="No"/>
    <x v="0"/>
    <n v="0"/>
    <x v="1"/>
    <x v="0"/>
    <s v="Diabetes"/>
    <n v="1959"/>
    <s v="Jul"/>
    <n v="7"/>
    <n v="0"/>
    <d v="1959-07-07T00:00:00"/>
    <n v="13887.97"/>
    <s v="tier - 2"/>
    <s v="tier - 2"/>
    <s v="R1013"/>
    <n v="63"/>
  </r>
  <r>
    <s v="Id1610"/>
    <s v="Crain, Ms.  Amy L"/>
    <n v="31.02"/>
    <n v="11.63"/>
    <s v="yes"/>
    <s v="No"/>
    <x v="0"/>
    <n v="0"/>
    <x v="1"/>
    <x v="0"/>
    <s v="Diabetes"/>
    <n v="1962"/>
    <s v="Jul"/>
    <n v="27"/>
    <n v="3"/>
    <d v="1962-07-27T00:00:00"/>
    <n v="13919.82"/>
    <s v="tier - 2"/>
    <s v="tier - 2"/>
    <s v="R1013"/>
    <n v="60"/>
  </r>
  <r>
    <s v="Id1611"/>
    <s v="Hotze, Ms.  Jenna M"/>
    <n v="29.26"/>
    <n v="5.68"/>
    <s v="yes"/>
    <s v="No"/>
    <x v="0"/>
    <n v="1"/>
    <x v="1"/>
    <x v="1"/>
    <s v="Normal"/>
    <n v="1960"/>
    <s v="Jun"/>
    <n v="18"/>
    <n v="1"/>
    <d v="1960-06-18T00:00:00"/>
    <n v="13937.67"/>
    <s v="tier - 2"/>
    <s v="tier - 1"/>
    <s v="R1012"/>
    <n v="62"/>
  </r>
  <r>
    <s v="Id1612"/>
    <s v="Chauhan, Ms.  Elizabeth M."/>
    <n v="15.09"/>
    <n v="7.59"/>
    <s v="yes"/>
    <s v="No"/>
    <x v="0"/>
    <n v="2"/>
    <x v="1"/>
    <x v="3"/>
    <s v="Diabetes"/>
    <n v="1959"/>
    <s v="Aug"/>
    <n v="29"/>
    <n v="0"/>
    <d v="1959-08-29T00:00:00"/>
    <n v="13974.46"/>
    <s v="tier - 2"/>
    <s v="tier - 2"/>
    <s v="R1019"/>
    <n v="63"/>
  </r>
  <r>
    <s v="Id1613"/>
    <s v="Raab, Mr.  Lyazid"/>
    <n v="22.63"/>
    <n v="5.09"/>
    <s v="yes"/>
    <s v="No"/>
    <x v="0"/>
    <n v="0"/>
    <x v="1"/>
    <x v="2"/>
    <s v="Normal"/>
    <n v="1990"/>
    <s v="Jul"/>
    <n v="13"/>
    <n v="3"/>
    <d v="1990-07-13T00:00:00"/>
    <n v="13979.45"/>
    <s v="tier - 2"/>
    <s v="tier - 1"/>
    <s v="R1023"/>
    <n v="32"/>
  </r>
  <r>
    <s v="Id1614"/>
    <s v="McKown, Ms.  Lindsey A."/>
    <n v="23.46"/>
    <n v="4.21"/>
    <s v="No"/>
    <s v="No"/>
    <x v="0"/>
    <n v="1"/>
    <x v="1"/>
    <x v="2"/>
    <s v="Normal"/>
    <n v="1959"/>
    <s v="Sep"/>
    <n v="6"/>
    <n v="0"/>
    <d v="1959-09-06T00:00:00"/>
    <n v="13981.85"/>
    <s v="tier - 2"/>
    <s v="tier - 1"/>
    <s v="R1016"/>
    <n v="63"/>
  </r>
  <r>
    <s v="Id1615"/>
    <s v="Schiemann, Mr.  Chris"/>
    <n v="22.56"/>
    <n v="4.34"/>
    <s v="yes"/>
    <s v="No"/>
    <x v="0"/>
    <n v="0"/>
    <x v="1"/>
    <x v="2"/>
    <s v="Normal"/>
    <n v="1963"/>
    <s v="Dec"/>
    <n v="23"/>
    <n v="3"/>
    <d v="1963-12-23T00:00:00"/>
    <n v="14001.13"/>
    <s v="tier - 2"/>
    <s v="tier - 1"/>
    <s v="R1013"/>
    <n v="59"/>
  </r>
  <r>
    <s v="Id1616"/>
    <s v="Cress, Ms.  Jennifer A"/>
    <n v="19.28"/>
    <n v="11.85"/>
    <s v="No"/>
    <s v="No"/>
    <x v="0"/>
    <n v="2"/>
    <x v="1"/>
    <x v="2"/>
    <s v="Diabetes"/>
    <n v="1963"/>
    <s v="Jul"/>
    <n v="6"/>
    <n v="3"/>
    <d v="1963-07-06T00:00:00"/>
    <n v="14001.29"/>
    <s v="tier - 2"/>
    <s v="tier - 2"/>
    <s v="R1013"/>
    <n v="59"/>
  </r>
  <r>
    <s v="Id1617"/>
    <s v="Mawson, Mr.  Leif S."/>
    <n v="15.37"/>
    <n v="9.61"/>
    <s v="yes"/>
    <s v="No"/>
    <x v="0"/>
    <n v="2"/>
    <x v="1"/>
    <x v="3"/>
    <s v="Diabetes"/>
    <n v="1963"/>
    <s v="Jul"/>
    <n v="8"/>
    <n v="3"/>
    <d v="1963-07-08T00:00:00"/>
    <n v="14007.22"/>
    <s v="tier - 2"/>
    <s v="tier - 3"/>
    <s v="R1011"/>
    <n v="59"/>
  </r>
  <r>
    <s v="Id1618"/>
    <s v="Wigginton, Ms.  Stephanie A"/>
    <n v="18.71"/>
    <n v="5.29"/>
    <s v="yes"/>
    <s v="No"/>
    <x v="0"/>
    <n v="0"/>
    <x v="1"/>
    <x v="2"/>
    <s v="Normal"/>
    <n v="1960"/>
    <s v="Nov"/>
    <n v="8"/>
    <n v="0"/>
    <d v="1960-11-08T00:00:00"/>
    <n v="14043.48"/>
    <s v="tier - 2"/>
    <s v="tier - 3"/>
    <s v="R1024"/>
    <n v="62"/>
  </r>
  <r>
    <s v="Id1619"/>
    <s v="Wang, Mr.  Bo"/>
    <n v="20.61"/>
    <n v="6.89"/>
    <s v="No"/>
    <s v="No"/>
    <x v="0"/>
    <n v="0"/>
    <x v="1"/>
    <x v="2"/>
    <s v="Diabetes"/>
    <n v="1991"/>
    <s v="Sep"/>
    <n v="12"/>
    <n v="3"/>
    <d v="1991-09-12T00:00:00"/>
    <n v="14081.93"/>
    <s v="tier - 2"/>
    <s v="tier - 3"/>
    <s v="R1012"/>
    <n v="31"/>
  </r>
  <r>
    <s v="Id1620"/>
    <s v="Schroeder, Ms.  Leah"/>
    <n v="15.99"/>
    <n v="4.57"/>
    <s v="yes"/>
    <s v="No"/>
    <x v="1"/>
    <n v="1"/>
    <x v="1"/>
    <x v="3"/>
    <s v="Normal"/>
    <n v="1976"/>
    <s v="Sep"/>
    <n v="26"/>
    <n v="2"/>
    <d v="1976-09-26T00:00:00"/>
    <n v="14098.07"/>
    <s v="tier - 2"/>
    <s v="tier - 3"/>
    <s v="R1023"/>
    <n v="46"/>
  </r>
  <r>
    <s v="Id1621"/>
    <s v="Leonard, Ms.  Kara Lynne"/>
    <n v="33.155000000000001"/>
    <n v="4.32"/>
    <s v="No"/>
    <s v="No"/>
    <x v="0"/>
    <n v="0"/>
    <x v="1"/>
    <x v="0"/>
    <s v="Normal"/>
    <n v="1961"/>
    <s v="Jun"/>
    <n v="14"/>
    <n v="2"/>
    <d v="1961-06-14T00:00:00"/>
    <n v="14119.62"/>
    <s v="tier - 2"/>
    <s v="tier - 1"/>
    <s v="R1012"/>
    <n v="61"/>
  </r>
  <r>
    <s v="Id1622"/>
    <s v="Tissue, Mr.  Jeffrey"/>
    <n v="26.22"/>
    <n v="5.57"/>
    <s v="yes"/>
    <s v="No"/>
    <x v="1"/>
    <n v="1"/>
    <x v="1"/>
    <x v="1"/>
    <s v="Normal"/>
    <n v="2004"/>
    <s v="Jul"/>
    <n v="6"/>
    <n v="0"/>
    <d v="2004-07-06T00:00:00"/>
    <n v="14133.04"/>
    <s v="tier - 2"/>
    <s v="tier - 3"/>
    <s v="R1013"/>
    <n v="18"/>
  </r>
  <r>
    <s v="Id1623"/>
    <s v="Wood, Mr.  Justin"/>
    <n v="21.85"/>
    <n v="5.26"/>
    <s v="yes"/>
    <s v="No"/>
    <x v="1"/>
    <n v="1"/>
    <x v="1"/>
    <x v="2"/>
    <s v="Normal"/>
    <n v="1984"/>
    <s v="Jul"/>
    <n v="7"/>
    <n v="3"/>
    <d v="1984-07-07T00:00:00"/>
    <n v="14152.46"/>
    <s v="tier - 2"/>
    <s v="tier - 1"/>
    <s v="R1012"/>
    <n v="38"/>
  </r>
  <r>
    <s v="Id1624"/>
    <s v="Denny, Ms.  Emily"/>
    <n v="30.495000000000001"/>
    <n v="6.25"/>
    <s v="No"/>
    <s v="No"/>
    <x v="0"/>
    <n v="0"/>
    <x v="1"/>
    <x v="0"/>
    <s v="Prediabetes"/>
    <n v="1968"/>
    <s v="Dec"/>
    <n v="25"/>
    <n v="0"/>
    <d v="1968-12-25T00:00:00"/>
    <n v="14193.55"/>
    <s v="tier - 2"/>
    <s v="tier - 1"/>
    <s v="R1026"/>
    <n v="54"/>
  </r>
  <r>
    <s v="Id1625"/>
    <s v="Testa, Ms.  Rebecca"/>
    <n v="34.104999999999997"/>
    <n v="5.67"/>
    <s v="yes"/>
    <s v="No"/>
    <x v="0"/>
    <n v="0"/>
    <x v="1"/>
    <x v="0"/>
    <s v="Normal"/>
    <n v="1983"/>
    <s v="Nov"/>
    <n v="17"/>
    <n v="3"/>
    <d v="1983-11-17T00:00:00"/>
    <n v="14209.4"/>
    <s v="tier - 2"/>
    <s v="tier - 1"/>
    <s v="R1026"/>
    <n v="39"/>
  </r>
  <r>
    <s v="Id1626"/>
    <s v="Mooney, Mrs.  Allie"/>
    <n v="32.770000000000003"/>
    <n v="4.42"/>
    <s v="yes"/>
    <s v="No"/>
    <x v="0"/>
    <n v="1"/>
    <x v="1"/>
    <x v="0"/>
    <s v="Normal"/>
    <n v="1958"/>
    <s v="Sep"/>
    <n v="21"/>
    <n v="0"/>
    <d v="1958-09-21T00:00:00"/>
    <n v="14210.54"/>
    <s v="tier - 2"/>
    <s v="tier - 2"/>
    <s v="R1012"/>
    <n v="64"/>
  </r>
  <r>
    <s v="Id1627"/>
    <s v="Buchholtz, Ms.  Trasi"/>
    <n v="16.850000000000001"/>
    <n v="11.75"/>
    <s v="yes"/>
    <s v="No"/>
    <x v="0"/>
    <n v="2"/>
    <x v="1"/>
    <x v="3"/>
    <s v="Diabetes"/>
    <n v="1961"/>
    <s v="Sep"/>
    <n v="25"/>
    <n v="2"/>
    <d v="1961-09-25T00:00:00"/>
    <n v="14235.07"/>
    <s v="tier - 2"/>
    <s v="tier - 1"/>
    <s v="R1011"/>
    <n v="61"/>
  </r>
  <r>
    <s v="Id1628"/>
    <s v="Hoyt, Mr.  Kevin"/>
    <n v="34.700000000000003"/>
    <n v="6.06"/>
    <s v="No"/>
    <s v="No"/>
    <x v="0"/>
    <n v="1"/>
    <x v="1"/>
    <x v="0"/>
    <s v="Prediabetes"/>
    <n v="1959"/>
    <s v="Oct"/>
    <n v="10"/>
    <n v="0"/>
    <d v="1959-10-10T00:00:00"/>
    <n v="14254.61"/>
    <s v="tier - 2"/>
    <s v="tier - 1"/>
    <s v="R1012"/>
    <n v="63"/>
  </r>
  <r>
    <s v="Id1629"/>
    <s v="Cabada, Mr.  Fernando"/>
    <n v="37.049999999999997"/>
    <n v="5.48"/>
    <s v="No"/>
    <s v="No"/>
    <x v="0"/>
    <n v="1"/>
    <x v="1"/>
    <x v="0"/>
    <s v="Normal"/>
    <n v="1959"/>
    <s v="Nov"/>
    <n v="8"/>
    <n v="0"/>
    <d v="1959-11-08T00:00:00"/>
    <n v="14256.19"/>
    <s v="tier - 2"/>
    <s v="tier - 3"/>
    <s v="R1012"/>
    <n v="63"/>
  </r>
  <r>
    <s v="Id1630"/>
    <s v="Lobaciute, Ms.  Ieva"/>
    <n v="18.78"/>
    <n v="4.45"/>
    <s v="No"/>
    <s v="No"/>
    <x v="1"/>
    <n v="1"/>
    <x v="1"/>
    <x v="2"/>
    <s v="Normal"/>
    <n v="1974"/>
    <s v="Dec"/>
    <n v="26"/>
    <n v="0"/>
    <d v="1974-12-26T00:00:00"/>
    <n v="14256.79"/>
    <s v="tier - 2"/>
    <s v="tier - 2"/>
    <s v="R1026"/>
    <n v="48"/>
  </r>
  <r>
    <s v="Id1631"/>
    <s v="Dawes, Mr.  Chris"/>
    <n v="28.024999999999999"/>
    <n v="5"/>
    <s v="No"/>
    <s v="No"/>
    <x v="0"/>
    <n v="1"/>
    <x v="1"/>
    <x v="1"/>
    <s v="Normal"/>
    <n v="1972"/>
    <s v="Jul"/>
    <n v="13"/>
    <n v="0"/>
    <d v="1972-07-13T00:00:00"/>
    <n v="14258.33"/>
    <s v="tier - 2"/>
    <s v="tier - 2"/>
    <s v="R1026"/>
    <n v="50"/>
  </r>
  <r>
    <s v="Id1632"/>
    <s v="Deppen, Mr.  Drew L."/>
    <n v="35.090000000000003"/>
    <n v="5.84"/>
    <s v="No"/>
    <s v="No"/>
    <x v="0"/>
    <n v="0"/>
    <x v="1"/>
    <x v="0"/>
    <s v="Prediabetes"/>
    <n v="2004"/>
    <s v="Sep"/>
    <n v="6"/>
    <n v="0"/>
    <d v="2004-09-06T00:00:00"/>
    <n v="14283.46"/>
    <s v="tier - 2"/>
    <s v="tier - 2"/>
    <s v="R1024"/>
    <n v="18"/>
  </r>
  <r>
    <s v="Id1633"/>
    <s v="Oberndorfer, Ms.  Christina"/>
    <n v="34.42"/>
    <n v="5.21"/>
    <s v="yes"/>
    <s v="No"/>
    <x v="0"/>
    <n v="0"/>
    <x v="1"/>
    <x v="0"/>
    <s v="Normal"/>
    <n v="1968"/>
    <s v="Dec"/>
    <n v="15"/>
    <n v="0"/>
    <d v="1968-12-15T00:00:00"/>
    <n v="14285.9"/>
    <s v="tier - 2"/>
    <s v="tier - 3"/>
    <s v="R1012"/>
    <n v="54"/>
  </r>
  <r>
    <s v="Id1634"/>
    <s v="Hetherington, Mr.  Alexander G"/>
    <n v="29.4"/>
    <n v="4.26"/>
    <s v="No"/>
    <s v="No"/>
    <x v="0"/>
    <n v="0"/>
    <x v="1"/>
    <x v="1"/>
    <s v="Normal"/>
    <n v="1958"/>
    <s v="Oct"/>
    <n v="15"/>
    <n v="0"/>
    <d v="1958-10-15T00:00:00"/>
    <n v="14313.85"/>
    <s v="tier - 2"/>
    <s v="tier - 3"/>
    <s v="R1013"/>
    <n v="64"/>
  </r>
  <r>
    <s v="Id1635"/>
    <s v="Murray, Ms.  Meaghan"/>
    <n v="21.31"/>
    <n v="4.17"/>
    <s v="No"/>
    <s v="No"/>
    <x v="0"/>
    <n v="0"/>
    <x v="1"/>
    <x v="2"/>
    <s v="Normal"/>
    <n v="1958"/>
    <s v="Jul"/>
    <n v="10"/>
    <n v="0"/>
    <d v="1958-07-10T00:00:00"/>
    <n v="14319.03"/>
    <s v="tier - 2"/>
    <s v="tier - 2"/>
    <s v="R1011"/>
    <n v="64"/>
  </r>
  <r>
    <s v="Id1636"/>
    <s v="Higden, Ms.  Kristin"/>
    <n v="19.559999999999999"/>
    <n v="11.96"/>
    <s v="No"/>
    <s v="No"/>
    <x v="0"/>
    <n v="0"/>
    <x v="1"/>
    <x v="2"/>
    <s v="Diabetes"/>
    <n v="1969"/>
    <s v="Sep"/>
    <n v="26"/>
    <n v="0"/>
    <d v="1969-09-26T00:00:00"/>
    <n v="14337.91"/>
    <s v="tier - 2"/>
    <s v="tier - 3"/>
    <s v="R1022"/>
    <n v="53"/>
  </r>
  <r>
    <s v="Id1637"/>
    <s v="Rediger, Ms.  Andrea K."/>
    <n v="37.335000000000001"/>
    <n v="6.26"/>
    <s v="yes"/>
    <s v="No"/>
    <x v="0"/>
    <n v="1"/>
    <x v="1"/>
    <x v="0"/>
    <s v="Prediabetes"/>
    <n v="1959"/>
    <s v="Dec"/>
    <n v="24"/>
    <n v="1"/>
    <d v="1959-12-24T00:00:00"/>
    <n v="14349.85"/>
    <s v="tier - 2"/>
    <s v="tier - 2"/>
    <s v="R1012"/>
    <n v="63"/>
  </r>
  <r>
    <s v="Id1638"/>
    <s v="Huff, Ms.  Kris"/>
    <n v="19.53"/>
    <n v="11.68"/>
    <s v="No"/>
    <s v="No"/>
    <x v="0"/>
    <n v="0"/>
    <x v="1"/>
    <x v="2"/>
    <s v="Diabetes"/>
    <n v="1967"/>
    <s v="Oct"/>
    <n v="10"/>
    <n v="0"/>
    <d v="1967-10-10T00:00:00"/>
    <n v="14355.43"/>
    <s v="tier - 2"/>
    <s v="tier - 1"/>
    <s v="R1026"/>
    <n v="55"/>
  </r>
  <r>
    <s v="Id1639"/>
    <s v="Hall, Mr.  Alden W"/>
    <n v="34.1"/>
    <n v="5.16"/>
    <s v="No"/>
    <s v="No"/>
    <x v="0"/>
    <n v="0"/>
    <x v="1"/>
    <x v="0"/>
    <s v="Normal"/>
    <n v="1988"/>
    <s v="Nov"/>
    <n v="16"/>
    <n v="1"/>
    <d v="1988-11-16T00:00:00"/>
    <n v="14358.36"/>
    <s v="tier - 2"/>
    <s v="tier - 2"/>
    <s v="R1011"/>
    <n v="34"/>
  </r>
  <r>
    <s v="Id1640"/>
    <s v="Grise, Ms.  Suzanne M"/>
    <n v="16.5"/>
    <n v="6.9"/>
    <s v="yes"/>
    <s v="No"/>
    <x v="0"/>
    <n v="2"/>
    <x v="1"/>
    <x v="3"/>
    <s v="Diabetes"/>
    <n v="1963"/>
    <s v="Jul"/>
    <n v="16"/>
    <n v="3"/>
    <d v="1963-07-16T00:00:00"/>
    <n v="14382.71"/>
    <s v="tier - 2"/>
    <s v="tier - 2"/>
    <s v="R1012"/>
    <n v="59"/>
  </r>
  <r>
    <s v="Id1641"/>
    <s v="Skildum, Ms.  Heidi Z."/>
    <n v="30.69"/>
    <n v="4.83"/>
    <s v="No"/>
    <s v="No"/>
    <x v="0"/>
    <n v="1"/>
    <x v="1"/>
    <x v="0"/>
    <s v="Normal"/>
    <n v="1965"/>
    <s v="Jun"/>
    <n v="22"/>
    <n v="4"/>
    <d v="1965-06-22T00:00:00"/>
    <n v="14394.4"/>
    <s v="tier - 2"/>
    <s v="tier - 3"/>
    <s v="R1024"/>
    <n v="57"/>
  </r>
  <r>
    <s v="Id1642"/>
    <s v="Yang, Ms.  Carolyn"/>
    <n v="28.93"/>
    <n v="4.87"/>
    <s v="No"/>
    <s v="No"/>
    <x v="0"/>
    <n v="1"/>
    <x v="1"/>
    <x v="1"/>
    <s v="Normal"/>
    <n v="1958"/>
    <s v="Sep"/>
    <n v="14"/>
    <n v="0"/>
    <d v="1958-09-14T00:00:00"/>
    <n v="14394.56"/>
    <s v="tier - 2"/>
    <s v="tier - 1"/>
    <s v="R1018"/>
    <n v="64"/>
  </r>
  <r>
    <s v="Id1643"/>
    <s v="Fischer-Daly, Ms.  Sabine"/>
    <n v="38.9"/>
    <n v="4.28"/>
    <s v="No"/>
    <s v="No"/>
    <x v="0"/>
    <n v="0"/>
    <x v="1"/>
    <x v="0"/>
    <s v="Normal"/>
    <n v="1958"/>
    <s v="Jul"/>
    <n v="29"/>
    <n v="0"/>
    <d v="1958-07-29T00:00:00"/>
    <n v="14410.93"/>
    <s v="tier - 2"/>
    <s v="tier - 2"/>
    <s v="R1016"/>
    <n v="64"/>
  </r>
  <r>
    <s v="Id1644"/>
    <s v="Asher, Mr.  Bobby"/>
    <n v="26.9"/>
    <n v="4.07"/>
    <s v="No"/>
    <s v="No"/>
    <x v="0"/>
    <n v="0"/>
    <x v="1"/>
    <x v="1"/>
    <s v="Normal"/>
    <n v="1958"/>
    <s v="Sep"/>
    <n v="20"/>
    <n v="1"/>
    <d v="1958-09-20T00:00:00"/>
    <n v="14418.28"/>
    <s v="tier - 2"/>
    <s v="tier - 3"/>
    <s v="R1013"/>
    <n v="64"/>
  </r>
  <r>
    <s v="Id1645"/>
    <s v="Zhou, Mr.  Fan"/>
    <n v="24.86"/>
    <n v="6.23"/>
    <s v="No"/>
    <s v="No"/>
    <x v="0"/>
    <n v="0"/>
    <x v="1"/>
    <x v="2"/>
    <s v="Prediabetes"/>
    <n v="1999"/>
    <s v="Aug"/>
    <n v="10"/>
    <n v="2"/>
    <d v="1999-08-10T00:00:00"/>
    <n v="14426.07"/>
    <s v="tier - 2"/>
    <s v="tier - 1"/>
    <s v="R1012"/>
    <n v="23"/>
  </r>
  <r>
    <s v="Id1646"/>
    <s v="Rudder, Mrs.  Rachel M"/>
    <n v="39.14"/>
    <n v="6.24"/>
    <s v="No"/>
    <s v="yes"/>
    <x v="0"/>
    <n v="1"/>
    <x v="1"/>
    <x v="0"/>
    <s v="Prediabetes"/>
    <n v="1967"/>
    <s v="Aug"/>
    <n v="15"/>
    <n v="0"/>
    <d v="1967-08-15T00:00:00"/>
    <n v="14426.66"/>
    <s v="tier - 2"/>
    <s v="tier - 2"/>
    <s v="R1026"/>
    <n v="55"/>
  </r>
  <r>
    <s v="Id1647"/>
    <s v="Cartmell, Mr.  Greg"/>
    <n v="39.799999999999997"/>
    <n v="6.17"/>
    <s v="No"/>
    <s v="No"/>
    <x v="1"/>
    <n v="1"/>
    <x v="1"/>
    <x v="0"/>
    <s v="Prediabetes"/>
    <n v="1967"/>
    <s v="Nov"/>
    <n v="4"/>
    <n v="0"/>
    <d v="1967-11-04T00:00:00"/>
    <n v="14427.63"/>
    <s v="tier - 2"/>
    <s v="tier - 2"/>
    <s v="R1021"/>
    <n v="55"/>
  </r>
  <r>
    <s v="Id1648"/>
    <s v="Troland, Mr.  Dan"/>
    <n v="34.32"/>
    <n v="5.16"/>
    <s v="No"/>
    <s v="No"/>
    <x v="0"/>
    <n v="1"/>
    <x v="1"/>
    <x v="0"/>
    <s v="Normal"/>
    <n v="1959"/>
    <s v="Jun"/>
    <n v="29"/>
    <n v="0"/>
    <d v="1959-06-29T00:00:00"/>
    <n v="14449.85"/>
    <s v="tier - 2"/>
    <s v="tier - 1"/>
    <s v="R1024"/>
    <n v="63"/>
  </r>
  <r>
    <s v="Id1649"/>
    <s v="Hall, Ms.  Jennifer A"/>
    <n v="32.51"/>
    <n v="4.3"/>
    <s v="No"/>
    <s v="No"/>
    <x v="0"/>
    <n v="0"/>
    <x v="1"/>
    <x v="0"/>
    <s v="Normal"/>
    <n v="1959"/>
    <s v="Aug"/>
    <n v="3"/>
    <n v="0"/>
    <d v="1959-08-03T00:00:00"/>
    <n v="14451.84"/>
    <s v="tier - 2"/>
    <s v="tier - 3"/>
    <s v="R1023"/>
    <n v="63"/>
  </r>
  <r>
    <s v="Id1650"/>
    <s v="Berg, Mrs.  Jessica"/>
    <n v="30.71"/>
    <n v="6.14"/>
    <s v="No"/>
    <s v="No"/>
    <x v="1"/>
    <n v="1"/>
    <x v="1"/>
    <x v="0"/>
    <s v="Prediabetes"/>
    <n v="1996"/>
    <s v="Nov"/>
    <n v="10"/>
    <n v="2"/>
    <d v="1996-11-10T00:00:00"/>
    <n v="14455.64"/>
    <s v="tier - 2"/>
    <s v="tier - 3"/>
    <s v="R1024"/>
    <n v="26"/>
  </r>
  <r>
    <s v="Id1651"/>
    <s v="Engtrakul, Mr.  Chaiwat"/>
    <n v="28.9"/>
    <n v="5.36"/>
    <s v="No"/>
    <s v="No"/>
    <x v="0"/>
    <n v="1"/>
    <x v="1"/>
    <x v="1"/>
    <s v="Normal"/>
    <n v="1976"/>
    <s v="Nov"/>
    <n v="27"/>
    <n v="2"/>
    <d v="1976-11-27T00:00:00"/>
    <n v="14470.01"/>
    <s v="tier - 2"/>
    <s v="tier - 3"/>
    <s v="R1012"/>
    <n v="46"/>
  </r>
  <r>
    <s v="Id1652"/>
    <s v="Leonhardt, Ms.  Kerri"/>
    <n v="36.19"/>
    <n v="4.3"/>
    <s v="No"/>
    <s v="No"/>
    <x v="0"/>
    <n v="0"/>
    <x v="1"/>
    <x v="0"/>
    <s v="Normal"/>
    <n v="1959"/>
    <s v="Nov"/>
    <n v="20"/>
    <n v="1"/>
    <d v="1959-11-20T00:00:00"/>
    <n v="14474.68"/>
    <s v="tier - 2"/>
    <s v="tier - 2"/>
    <s v="R1013"/>
    <n v="63"/>
  </r>
  <r>
    <s v="Id1653"/>
    <s v="Goetz, Ms.  Lisa"/>
    <n v="29.6"/>
    <n v="4.09"/>
    <s v="No"/>
    <s v="No"/>
    <x v="0"/>
    <n v="0"/>
    <x v="1"/>
    <x v="1"/>
    <s v="Normal"/>
    <n v="1979"/>
    <s v="Oct"/>
    <n v="20"/>
    <n v="5"/>
    <d v="1979-10-20T00:00:00"/>
    <n v="14478.33"/>
    <s v="tier - 2"/>
    <s v="tier - 2"/>
    <s v="R1013"/>
    <n v="43"/>
  </r>
  <r>
    <s v="Id1654"/>
    <s v="Cacharelis, Mr.  Nicholas G"/>
    <n v="30.95"/>
    <n v="6.27"/>
    <s v="No"/>
    <s v="No"/>
    <x v="1"/>
    <n v="1"/>
    <x v="1"/>
    <x v="0"/>
    <s v="Prediabetes"/>
    <n v="1989"/>
    <s v="Jul"/>
    <n v="22"/>
    <n v="3"/>
    <d v="1989-07-22T00:00:00"/>
    <n v="14507.46"/>
    <s v="tier - 2"/>
    <s v="tier - 3"/>
    <s v="R1012"/>
    <n v="33"/>
  </r>
  <r>
    <s v="Id1655"/>
    <s v="Kariolis, Mr.  Vasilis S"/>
    <n v="19.95"/>
    <n v="5.39"/>
    <s v="No"/>
    <s v="No"/>
    <x v="0"/>
    <n v="1"/>
    <x v="1"/>
    <x v="2"/>
    <s v="Normal"/>
    <n v="1989"/>
    <s v="Jul"/>
    <n v="14"/>
    <n v="3"/>
    <d v="1989-07-14T00:00:00"/>
    <n v="14547.26"/>
    <s v="tier - 2"/>
    <s v="tier - 3"/>
    <s v="R1011"/>
    <n v="33"/>
  </r>
  <r>
    <s v="Id1656"/>
    <s v="Zelwin, Mr.  Michael P"/>
    <n v="23.65"/>
    <n v="5.75"/>
    <s v="yes"/>
    <s v="No"/>
    <x v="0"/>
    <n v="0"/>
    <x v="1"/>
    <x v="2"/>
    <s v="Prediabetes"/>
    <n v="1998"/>
    <s v="Sep"/>
    <n v="12"/>
    <n v="0"/>
    <d v="1998-09-12T00:00:00"/>
    <n v="14571.89"/>
    <s v="tier - 2"/>
    <s v="tier - 1"/>
    <s v="R1024"/>
    <n v="24"/>
  </r>
  <r>
    <s v="Id1657"/>
    <s v="Barry, Ms.  Colleen C."/>
    <n v="43.34"/>
    <n v="4.91"/>
    <s v="No"/>
    <s v="No"/>
    <x v="0"/>
    <n v="1"/>
    <x v="1"/>
    <x v="0"/>
    <s v="Normal"/>
    <n v="1962"/>
    <s v="Dec"/>
    <n v="3"/>
    <n v="0"/>
    <d v="1962-12-03T00:00:00"/>
    <n v="14574.64"/>
    <s v="tier - 2"/>
    <s v="tier - 1"/>
    <s v="R1025"/>
    <n v="60"/>
  </r>
  <r>
    <s v="Id1658"/>
    <s v="Bannon, Mrs.  Annika"/>
    <n v="31.98"/>
    <n v="4.46"/>
    <s v="yes"/>
    <s v="No"/>
    <x v="0"/>
    <n v="1"/>
    <x v="1"/>
    <x v="0"/>
    <s v="Normal"/>
    <n v="1963"/>
    <s v="Oct"/>
    <n v="14"/>
    <n v="3"/>
    <d v="1963-10-14T00:00:00"/>
    <n v="14590.63"/>
    <s v="tier - 2"/>
    <s v="tier - 1"/>
    <s v="R1024"/>
    <n v="59"/>
  </r>
  <r>
    <s v="Id1659"/>
    <s v="Chang, Ms.  Kelly"/>
    <n v="35.86"/>
    <n v="6.22"/>
    <s v="No"/>
    <s v="No"/>
    <x v="0"/>
    <n v="1"/>
    <x v="1"/>
    <x v="0"/>
    <s v="Prediabetes"/>
    <n v="1967"/>
    <s v="Jul"/>
    <n v="18"/>
    <n v="0"/>
    <d v="1967-07-18T00:00:00"/>
    <n v="14600.62"/>
    <s v="tier - 2"/>
    <s v="tier - 3"/>
    <s v="R1022"/>
    <n v="55"/>
  </r>
  <r>
    <s v="Id1660"/>
    <s v="Vetter, Mr.  Nicholas C."/>
    <n v="15.2"/>
    <n v="8.82"/>
    <s v="No"/>
    <s v="No"/>
    <x v="0"/>
    <n v="0"/>
    <x v="1"/>
    <x v="3"/>
    <s v="Diabetes"/>
    <n v="1965"/>
    <s v="Nov"/>
    <n v="8"/>
    <n v="0"/>
    <d v="1965-11-08T00:00:00"/>
    <n v="14612.33"/>
    <s v="tier - 2"/>
    <s v="tier - 3"/>
    <s v="R1021"/>
    <n v="57"/>
  </r>
  <r>
    <s v="Id1661"/>
    <s v="Jablonski, Mrs.  Kelly K"/>
    <n v="37.200000000000003"/>
    <n v="10.14"/>
    <s v="No"/>
    <s v="No"/>
    <x v="0"/>
    <n v="0"/>
    <x v="1"/>
    <x v="0"/>
    <s v="Diabetes"/>
    <n v="1991"/>
    <s v="Aug"/>
    <n v="21"/>
    <n v="3"/>
    <d v="1991-08-21T00:00:00"/>
    <n v="14630.52"/>
    <s v="tier - 2"/>
    <s v="tier - 3"/>
    <s v="R1011"/>
    <n v="31"/>
  </r>
  <r>
    <s v="Id1662"/>
    <s v="Jakubowitch, Mr.  Andrew"/>
    <n v="17.91"/>
    <n v="4.66"/>
    <s v="No"/>
    <s v="No"/>
    <x v="0"/>
    <n v="2"/>
    <x v="1"/>
    <x v="3"/>
    <s v="Normal"/>
    <n v="1967"/>
    <s v="Sep"/>
    <n v="1"/>
    <n v="0"/>
    <d v="1967-09-01T00:00:00"/>
    <n v="14640.35"/>
    <s v="tier - 2"/>
    <s v="tier - 3"/>
    <s v="R1026"/>
    <n v="55"/>
  </r>
  <r>
    <s v="Id1663"/>
    <s v="Altshuler, Ms.  Hannah"/>
    <n v="20.76"/>
    <n v="6.26"/>
    <s v="No"/>
    <s v="No"/>
    <x v="0"/>
    <n v="0"/>
    <x v="1"/>
    <x v="2"/>
    <s v="Prediabetes"/>
    <n v="1981"/>
    <s v="Nov"/>
    <n v="13"/>
    <n v="1"/>
    <d v="1981-11-13T00:00:00"/>
    <n v="14657.2"/>
    <s v="tier - 2"/>
    <s v="tier - 1"/>
    <s v="R1012"/>
    <n v="41"/>
  </r>
  <r>
    <s v="Id1664"/>
    <s v="Ugarte, Mr.  Patricio Sr."/>
    <n v="38.99"/>
    <n v="5.21"/>
    <s v="No"/>
    <s v="yes"/>
    <x v="0"/>
    <n v="1"/>
    <x v="1"/>
    <x v="0"/>
    <s v="Normal"/>
    <n v="1969"/>
    <s v="Oct"/>
    <n v="20"/>
    <n v="0"/>
    <d v="1969-10-20T00:00:00"/>
    <n v="14665.75"/>
    <s v="tier - 2"/>
    <s v="tier - 1"/>
    <s v="R1012"/>
    <n v="53"/>
  </r>
  <r>
    <s v="Id1665"/>
    <s v="Tusso, Mr.  Robert B"/>
    <n v="42.655000000000001"/>
    <n v="5.94"/>
    <s v="yes"/>
    <s v="No"/>
    <x v="1"/>
    <n v="1"/>
    <x v="1"/>
    <x v="0"/>
    <s v="Prediabetes"/>
    <n v="1958"/>
    <s v="Jul"/>
    <n v="23"/>
    <n v="0"/>
    <d v="1958-07-23T00:00:00"/>
    <n v="14692.67"/>
    <s v="tier - 2"/>
    <s v="tier - 1"/>
    <s v="R1012"/>
    <n v="64"/>
  </r>
  <r>
    <s v="Id1666"/>
    <s v="Johnson, Mr.  Benjamin M"/>
    <n v="30.57"/>
    <n v="5.34"/>
    <s v="No"/>
    <s v="No"/>
    <x v="1"/>
    <n v="1"/>
    <x v="1"/>
    <x v="0"/>
    <s v="Normal"/>
    <n v="1982"/>
    <s v="Sep"/>
    <n v="4"/>
    <n v="3"/>
    <d v="1982-09-04T00:00:00"/>
    <n v="14696.77"/>
    <s v="tier - 2"/>
    <s v="tier - 2"/>
    <s v="R1011"/>
    <n v="40"/>
  </r>
  <r>
    <s v="Id1667"/>
    <s v="Landry, Mr.  Robert"/>
    <n v="17.7"/>
    <n v="6.38"/>
    <s v="No"/>
    <s v="No"/>
    <x v="0"/>
    <n v="2"/>
    <x v="1"/>
    <x v="3"/>
    <s v="Prediabetes"/>
    <n v="2002"/>
    <s v="Sep"/>
    <n v="24"/>
    <n v="0"/>
    <d v="2002-09-24T00:00:00"/>
    <n v="14711.74"/>
    <s v="tier - 2"/>
    <s v="tier - 2"/>
    <s v="R1012"/>
    <n v="20"/>
  </r>
  <r>
    <s v="Id1668"/>
    <s v="McDonald, Mr.  Eric R."/>
    <n v="34.770000000000003"/>
    <n v="4.47"/>
    <s v="No"/>
    <s v="No"/>
    <x v="0"/>
    <n v="1"/>
    <x v="1"/>
    <x v="0"/>
    <s v="Normal"/>
    <n v="1962"/>
    <s v="Jul"/>
    <n v="29"/>
    <n v="0"/>
    <d v="1962-07-29T00:00:00"/>
    <n v="14738.43"/>
    <s v="tier - 2"/>
    <s v="tier - 3"/>
    <s v="R1021"/>
    <n v="60"/>
  </r>
  <r>
    <s v="Id1669"/>
    <s v="Dunlap, Mr.  Matthew"/>
    <n v="16.88"/>
    <n v="9.9600000000000009"/>
    <s v="No"/>
    <s v="No"/>
    <x v="0"/>
    <n v="0"/>
    <x v="1"/>
    <x v="3"/>
    <s v="Diabetes"/>
    <n v="1965"/>
    <s v="Jul"/>
    <n v="27"/>
    <n v="0"/>
    <d v="1965-07-27T00:00:00"/>
    <n v="14750.42"/>
    <s v="tier - 2"/>
    <s v="tier - 2"/>
    <s v="R1026"/>
    <n v="57"/>
  </r>
  <r>
    <s v="Id1670"/>
    <s v="Larue, Mr.  Bob R"/>
    <n v="40.26"/>
    <n v="9.92"/>
    <s v="yes"/>
    <s v="No"/>
    <x v="0"/>
    <n v="0"/>
    <x v="1"/>
    <x v="0"/>
    <s v="Diabetes"/>
    <n v="1975"/>
    <s v="Dec"/>
    <n v="10"/>
    <n v="1"/>
    <d v="1975-12-10T00:00:00"/>
    <n v="14819"/>
    <s v="tier - 2"/>
    <s v="tier - 3"/>
    <s v="R1023"/>
    <n v="47"/>
  </r>
  <r>
    <s v="Id1671"/>
    <s v="Hodge, Ms.  Stephanie J."/>
    <n v="25.6"/>
    <n v="6.03"/>
    <s v="No"/>
    <s v="No"/>
    <x v="1"/>
    <n v="1"/>
    <x v="1"/>
    <x v="1"/>
    <s v="Prediabetes"/>
    <n v="1979"/>
    <s v="Oct"/>
    <n v="18"/>
    <n v="2"/>
    <d v="1979-10-18T00:00:00"/>
    <n v="14839.34"/>
    <s v="tier - 2"/>
    <s v="tier - 3"/>
    <s v="R1026"/>
    <n v="43"/>
  </r>
  <r>
    <s v="Id1672"/>
    <s v="Marcus, Mr.  Jake"/>
    <n v="33.549999999999997"/>
    <n v="10.9"/>
    <s v="yes"/>
    <s v="No"/>
    <x v="0"/>
    <n v="0"/>
    <x v="1"/>
    <x v="0"/>
    <s v="Diabetes"/>
    <n v="1981"/>
    <s v="Jun"/>
    <n v="5"/>
    <n v="1"/>
    <d v="1981-06-05T00:00:00"/>
    <n v="14843.96"/>
    <s v="tier - 2"/>
    <s v="tier - 3"/>
    <s v="R1026"/>
    <n v="42"/>
  </r>
  <r>
    <s v="Id1673"/>
    <s v="Daubert, Ms.  Alison L."/>
    <n v="16.690000000000001"/>
    <n v="10.66"/>
    <s v="No"/>
    <s v="No"/>
    <x v="0"/>
    <n v="0"/>
    <x v="1"/>
    <x v="3"/>
    <s v="Diabetes"/>
    <n v="1970"/>
    <s v="Nov"/>
    <n v="11"/>
    <n v="0"/>
    <d v="1970-11-11T00:00:00"/>
    <n v="14847.63"/>
    <s v="tier - 2"/>
    <s v="tier - 2"/>
    <s v="R1023"/>
    <n v="52"/>
  </r>
  <r>
    <s v="Id1674"/>
    <s v="Close, Ms.  Lindsay M"/>
    <n v="19.95"/>
    <n v="4.05"/>
    <s v="No"/>
    <s v="No"/>
    <x v="0"/>
    <n v="1"/>
    <x v="1"/>
    <x v="2"/>
    <s v="Normal"/>
    <n v="1958"/>
    <s v="Oct"/>
    <n v="17"/>
    <n v="0"/>
    <d v="1958-10-17T00:00:00"/>
    <n v="14901.52"/>
    <s v="tier - 2"/>
    <s v="tier - 2"/>
    <s v="R1024"/>
    <n v="64"/>
  </r>
  <r>
    <s v="Id1675"/>
    <s v="Roels, Mr.  Guillaume"/>
    <n v="17.55"/>
    <n v="4.2300000000000004"/>
    <s v="No"/>
    <s v="No"/>
    <x v="0"/>
    <n v="2"/>
    <x v="1"/>
    <x v="3"/>
    <s v="Normal"/>
    <n v="1981"/>
    <s v="Jul"/>
    <n v="4"/>
    <n v="1"/>
    <d v="1981-07-04T00:00:00"/>
    <n v="14908.27"/>
    <s v="tier - 2"/>
    <s v="tier - 1"/>
    <s v="R1011"/>
    <n v="41"/>
  </r>
  <r>
    <s v="Id1676"/>
    <s v="Venosky, Ms.  Kaylee"/>
    <n v="22.01"/>
    <n v="5.01"/>
    <s v="No"/>
    <s v="No"/>
    <x v="0"/>
    <n v="1"/>
    <x v="1"/>
    <x v="2"/>
    <s v="Normal"/>
    <n v="1968"/>
    <s v="Nov"/>
    <n v="8"/>
    <n v="0"/>
    <d v="1968-11-08T00:00:00"/>
    <n v="14926.97"/>
    <s v="tier - 2"/>
    <s v="tier - 2"/>
    <s v="R1012"/>
    <n v="54"/>
  </r>
  <r>
    <s v="Id1677"/>
    <s v="Gosnell, Ms.  Theresa"/>
    <n v="41.8"/>
    <n v="5.82"/>
    <s v="yes"/>
    <s v="No"/>
    <x v="1"/>
    <n v="1"/>
    <x v="1"/>
    <x v="0"/>
    <s v="Prediabetes"/>
    <n v="1962"/>
    <s v="Nov"/>
    <n v="29"/>
    <n v="0"/>
    <d v="1962-11-29T00:00:00"/>
    <n v="14945.34"/>
    <s v="tier - 2"/>
    <s v="tier - 1"/>
    <s v="R1021"/>
    <n v="60"/>
  </r>
  <r>
    <s v="Id1678"/>
    <s v="Chewning-Kulick, Mr.  Travis G."/>
    <n v="19.170000000000002"/>
    <n v="7.94"/>
    <s v="No"/>
    <s v="No"/>
    <x v="0"/>
    <n v="0"/>
    <x v="1"/>
    <x v="2"/>
    <s v="Diabetes"/>
    <n v="1958"/>
    <s v="Jul"/>
    <n v="29"/>
    <n v="2"/>
    <d v="1958-07-29T00:00:00"/>
    <n v="14988.43"/>
    <s v="tier - 2"/>
    <s v="tier - 3"/>
    <s v="R1011"/>
    <n v="64"/>
  </r>
  <r>
    <s v="Id1679"/>
    <s v="McCarron, Ms.  Emma L."/>
    <n v="32.799999999999997"/>
    <n v="6.16"/>
    <s v="yes"/>
    <s v="No"/>
    <x v="1"/>
    <n v="1"/>
    <x v="1"/>
    <x v="0"/>
    <s v="Prediabetes"/>
    <n v="1995"/>
    <s v="Aug"/>
    <n v="2"/>
    <n v="2"/>
    <d v="1995-08-02T00:00:00"/>
    <n v="15006.58"/>
    <s v="tier - 2"/>
    <s v="tier - 2"/>
    <s v="R1024"/>
    <n v="27"/>
  </r>
  <r>
    <s v="Id1680"/>
    <s v="Manion, Ms.  Linda"/>
    <n v="35.814999999999998"/>
    <n v="4.1500000000000004"/>
    <s v="No"/>
    <s v="No"/>
    <x v="0"/>
    <n v="1"/>
    <x v="1"/>
    <x v="0"/>
    <s v="Normal"/>
    <n v="1960"/>
    <s v="Aug"/>
    <n v="8"/>
    <n v="2"/>
    <d v="1960-08-08T00:00:00"/>
    <n v="15019.76"/>
    <s v="tier - 2"/>
    <s v="tier - 2"/>
    <s v="R1012"/>
    <n v="62"/>
  </r>
  <r>
    <s v="Id1681"/>
    <s v="Strong, Mr.  Owen R"/>
    <n v="24.3"/>
    <n v="6.23"/>
    <s v="No"/>
    <s v="No"/>
    <x v="0"/>
    <n v="0"/>
    <x v="1"/>
    <x v="2"/>
    <s v="Prediabetes"/>
    <n v="1979"/>
    <s v="Nov"/>
    <n v="25"/>
    <n v="2"/>
    <d v="1979-11-25T00:00:00"/>
    <n v="15025.76"/>
    <s v="tier - 2"/>
    <s v="tier - 1"/>
    <s v="R1011"/>
    <n v="43"/>
  </r>
  <r>
    <s v="Id1682"/>
    <s v="Leblanc, Mr.  Jacob"/>
    <n v="19.059999999999999"/>
    <n v="7.41"/>
    <s v="No"/>
    <s v="No"/>
    <x v="0"/>
    <n v="0"/>
    <x v="1"/>
    <x v="2"/>
    <s v="Diabetes"/>
    <n v="1970"/>
    <s v="Sep"/>
    <n v="11"/>
    <n v="0"/>
    <d v="1970-09-11T00:00:00"/>
    <n v="15026.3"/>
    <s v="tier - 2"/>
    <s v="tier - 3"/>
    <s v="R1011"/>
    <n v="52"/>
  </r>
  <r>
    <s v="Id1683"/>
    <s v="Palmer, Ms.  Jacqueline"/>
    <n v="33.25"/>
    <n v="5.62"/>
    <s v="yes"/>
    <s v="No"/>
    <x v="0"/>
    <n v="1"/>
    <x v="1"/>
    <x v="0"/>
    <s v="Normal"/>
    <n v="1971"/>
    <s v="Aug"/>
    <n v="15"/>
    <n v="0"/>
    <d v="1971-08-15T00:00:00"/>
    <n v="15038.51"/>
    <s v="tier - 2"/>
    <s v="tier - 3"/>
    <s v="R1023"/>
    <n v="51"/>
  </r>
  <r>
    <s v="Id1684"/>
    <s v="Shen, Mr.  Yefeng"/>
    <n v="21.37"/>
    <n v="4.54"/>
    <s v="yes"/>
    <s v="No"/>
    <x v="1"/>
    <n v="1"/>
    <x v="1"/>
    <x v="2"/>
    <s v="Normal"/>
    <n v="1968"/>
    <s v="Jun"/>
    <n v="12"/>
    <n v="0"/>
    <d v="1968-06-12T00:00:00"/>
    <n v="15052.68"/>
    <s v="tier - 2"/>
    <s v="tier - 2"/>
    <s v="R1022"/>
    <n v="54"/>
  </r>
  <r>
    <s v="Id1685"/>
    <s v="Goldsby, Mr.  Thomas J"/>
    <n v="34.43"/>
    <n v="8.6199999999999992"/>
    <s v="yes"/>
    <s v="No"/>
    <x v="0"/>
    <n v="1"/>
    <x v="1"/>
    <x v="0"/>
    <s v="Diabetes"/>
    <n v="1975"/>
    <s v="Oct"/>
    <n v="26"/>
    <n v="1"/>
    <d v="1975-10-26T00:00:00"/>
    <n v="15090.35"/>
    <s v="tier - 2"/>
    <s v="tier - 1"/>
    <s v="R1023"/>
    <n v="47"/>
  </r>
  <r>
    <s v="Id1686"/>
    <s v="Whitney, Mr.  Ken"/>
    <n v="20.86"/>
    <n v="4.3600000000000003"/>
    <s v="yes"/>
    <s v="No"/>
    <x v="0"/>
    <n v="0"/>
    <x v="1"/>
    <x v="2"/>
    <s v="Normal"/>
    <n v="1972"/>
    <s v="Nov"/>
    <n v="7"/>
    <n v="0"/>
    <d v="1972-11-07T00:00:00"/>
    <n v="15103.69"/>
    <s v="tier - 2"/>
    <s v="tier - 1"/>
    <s v="R1012"/>
    <n v="50"/>
  </r>
  <r>
    <s v="Id1687"/>
    <s v="Mahoney, Ms.  Annie E"/>
    <n v="18.34"/>
    <n v="10.01"/>
    <s v="No"/>
    <s v="No"/>
    <x v="0"/>
    <n v="0"/>
    <x v="1"/>
    <x v="3"/>
    <s v="Diabetes"/>
    <n v="1978"/>
    <s v="Sep"/>
    <n v="5"/>
    <n v="2"/>
    <d v="1978-09-05T00:00:00"/>
    <n v="15123.19"/>
    <s v="tier - 2"/>
    <s v="tier - 1"/>
    <s v="R1011"/>
    <n v="44"/>
  </r>
  <r>
    <s v="Id1688"/>
    <s v="McCracken, Mrs.  Noel K."/>
    <n v="34.15"/>
    <n v="5.42"/>
    <s v="No"/>
    <s v="No"/>
    <x v="0"/>
    <n v="0"/>
    <x v="1"/>
    <x v="0"/>
    <s v="Normal"/>
    <n v="1971"/>
    <s v="Nov"/>
    <n v="25"/>
    <n v="0"/>
    <d v="1971-11-25T00:00:00"/>
    <n v="15150.44"/>
    <s v="tier - 2"/>
    <s v="tier - 1"/>
    <s v="R1023"/>
    <n v="51"/>
  </r>
  <r>
    <s v="Id1689"/>
    <s v="Spewak, Mr.  Mark S"/>
    <n v="18.350000000000001"/>
    <n v="5.12"/>
    <s v="No"/>
    <s v="No"/>
    <x v="0"/>
    <n v="0"/>
    <x v="1"/>
    <x v="3"/>
    <s v="Normal"/>
    <n v="1962"/>
    <s v="Oct"/>
    <n v="25"/>
    <n v="0"/>
    <d v="1962-10-25T00:00:00"/>
    <n v="15161.25"/>
    <s v="tier - 2"/>
    <s v="tier - 2"/>
    <s v="R1012"/>
    <n v="60"/>
  </r>
  <r>
    <s v="Id1690"/>
    <s v="Cottini, Ms.  Federica"/>
    <n v="22.13"/>
    <n v="9.1999999999999993"/>
    <s v="yes"/>
    <s v="No"/>
    <x v="0"/>
    <n v="0"/>
    <x v="1"/>
    <x v="2"/>
    <s v="Diabetes"/>
    <n v="1959"/>
    <s v="Jun"/>
    <n v="4"/>
    <n v="3"/>
    <d v="1959-06-04T00:00:00"/>
    <n v="15161.53"/>
    <s v="tier - 2"/>
    <s v="tier - 1"/>
    <s v="R1013"/>
    <n v="64"/>
  </r>
  <r>
    <s v="Id1691"/>
    <s v="Findlay, Ms.  Pamela L"/>
    <n v="22.51"/>
    <n v="6.08"/>
    <s v="yes"/>
    <s v="No"/>
    <x v="0"/>
    <n v="1"/>
    <x v="1"/>
    <x v="2"/>
    <s v="Prediabetes"/>
    <n v="1959"/>
    <s v="Dec"/>
    <n v="3"/>
    <n v="3"/>
    <d v="1959-12-03T00:00:00"/>
    <n v="15170.07"/>
    <s v="tier - 2"/>
    <s v="tier - 3"/>
    <s v="R1011"/>
    <n v="63"/>
  </r>
  <r>
    <s v="Id1692"/>
    <s v="Strasburg, Mr.  Andrew W."/>
    <n v="31"/>
    <n v="4.7699999999999996"/>
    <s v="No"/>
    <s v="No"/>
    <x v="0"/>
    <n v="1"/>
    <x v="1"/>
    <x v="0"/>
    <s v="Normal"/>
    <n v="1962"/>
    <s v="Jun"/>
    <n v="17"/>
    <n v="0"/>
    <d v="1962-06-17T00:00:00"/>
    <n v="15174.81"/>
    <s v="tier - 2"/>
    <s v="tier - 1"/>
    <s v="R1012"/>
    <n v="60"/>
  </r>
  <r>
    <s v="Id1693"/>
    <s v="Adams, Mr.  Randall"/>
    <n v="28.27"/>
    <n v="4.62"/>
    <s v="No"/>
    <s v="No"/>
    <x v="0"/>
    <n v="1"/>
    <x v="1"/>
    <x v="1"/>
    <s v="Normal"/>
    <n v="1978"/>
    <s v="Nov"/>
    <n v="23"/>
    <n v="2"/>
    <d v="1978-11-23T00:00:00"/>
    <n v="15207.92"/>
    <s v="tier - 2"/>
    <s v="tier - 1"/>
    <s v="R1012"/>
    <n v="44"/>
  </r>
  <r>
    <s v="Id1694"/>
    <s v="Deeter, Ms.  Tracy L"/>
    <n v="29.92"/>
    <n v="9.07"/>
    <s v="yes"/>
    <s v="No"/>
    <x v="0"/>
    <n v="1"/>
    <x v="1"/>
    <x v="0"/>
    <s v="Diabetes"/>
    <n v="1960"/>
    <s v="Jul"/>
    <n v="25"/>
    <n v="2"/>
    <d v="1960-07-25T00:00:00"/>
    <n v="15230.32"/>
    <s v="tier - 2"/>
    <s v="tier - 2"/>
    <s v="R1024"/>
    <n v="62"/>
  </r>
  <r>
    <s v="Id1695"/>
    <s v="Arpin, Ms.  Azelie"/>
    <n v="25.9"/>
    <n v="9.1199999999999992"/>
    <s v="yes"/>
    <s v="No"/>
    <x v="0"/>
    <n v="1"/>
    <x v="1"/>
    <x v="1"/>
    <s v="Diabetes"/>
    <n v="1969"/>
    <s v="Sep"/>
    <n v="16"/>
    <n v="0"/>
    <d v="1969-09-16T00:00:00"/>
    <n v="15260.52"/>
    <s v="tier - 2"/>
    <s v="tier - 2"/>
    <s v="R1023"/>
    <n v="53"/>
  </r>
  <r>
    <s v="Id1696"/>
    <s v="Schoeneck, Ms.  Monica M."/>
    <n v="27.74"/>
    <n v="7.32"/>
    <s v="yes"/>
    <s v="No"/>
    <x v="0"/>
    <n v="1"/>
    <x v="1"/>
    <x v="1"/>
    <s v="Diabetes"/>
    <n v="1963"/>
    <s v="Dec"/>
    <n v="13"/>
    <n v="0"/>
    <d v="1963-12-13T00:00:00"/>
    <n v="15322.77"/>
    <s v="tier - 2"/>
    <s v="tier - 3"/>
    <s v="R1021"/>
    <n v="59"/>
  </r>
  <r>
    <s v="Id1697"/>
    <s v="Mueller, Ms.  Katarina K."/>
    <n v="17.260000000000002"/>
    <n v="11.73"/>
    <s v="No"/>
    <s v="No"/>
    <x v="0"/>
    <n v="2"/>
    <x v="1"/>
    <x v="3"/>
    <s v="Diabetes"/>
    <n v="2001"/>
    <s v="Jul"/>
    <n v="14"/>
    <n v="1"/>
    <d v="2001-07-14T00:00:00"/>
    <n v="15359.1"/>
    <s v="tier - 2"/>
    <s v="tier - 3"/>
    <s v="R1024"/>
    <n v="21"/>
  </r>
  <r>
    <s v="Id1698"/>
    <s v="Willits, Ms.  Jamie L."/>
    <n v="19.855"/>
    <n v="6.64"/>
    <s v="yes"/>
    <s v="No"/>
    <x v="0"/>
    <n v="1"/>
    <x v="1"/>
    <x v="2"/>
    <s v="Diabetes"/>
    <n v="1988"/>
    <s v="Dec"/>
    <n v="17"/>
    <n v="3"/>
    <d v="1988-12-17T00:00:00"/>
    <n v="15361.5"/>
    <s v="tier - 2"/>
    <s v="tier - 3"/>
    <s v="R1023"/>
    <n v="34"/>
  </r>
  <r>
    <s v="Id1699"/>
    <s v="Syring, Mr.  Brian"/>
    <n v="41.69"/>
    <n v="5.78"/>
    <s v="No"/>
    <s v="No"/>
    <x v="0"/>
    <n v="0"/>
    <x v="1"/>
    <x v="0"/>
    <s v="Prediabetes"/>
    <n v="1968"/>
    <s v="Jul"/>
    <n v="18"/>
    <n v="0"/>
    <d v="1968-07-18T00:00:00"/>
    <n v="15363.77"/>
    <s v="tier - 2"/>
    <s v="tier - 1"/>
    <s v="R1026"/>
    <n v="54"/>
  </r>
  <r>
    <s v="Id1700"/>
    <s v="Strike, Ms.  Stacey L."/>
    <n v="16.12"/>
    <n v="10.45"/>
    <s v="No"/>
    <s v="No"/>
    <x v="0"/>
    <n v="0"/>
    <x v="1"/>
    <x v="3"/>
    <s v="Diabetes"/>
    <n v="1962"/>
    <s v="Sep"/>
    <n v="6"/>
    <n v="0"/>
    <d v="1962-09-06T00:00:00"/>
    <n v="15368.22"/>
    <s v="tier - 2"/>
    <s v="tier - 2"/>
    <s v="R1011"/>
    <n v="60"/>
  </r>
  <r>
    <s v="Id1701"/>
    <s v="Hennigar, Mr.  Stephen"/>
    <n v="37.43"/>
    <n v="4.5199999999999996"/>
    <s v="No"/>
    <s v="No"/>
    <x v="0"/>
    <n v="1"/>
    <x v="1"/>
    <x v="0"/>
    <s v="Normal"/>
    <n v="1964"/>
    <s v="Sep"/>
    <n v="4"/>
    <n v="0"/>
    <d v="1964-09-04T00:00:00"/>
    <n v="15377.77"/>
    <s v="tier - 2"/>
    <s v="tier - 2"/>
    <s v="R1012"/>
    <n v="58"/>
  </r>
  <r>
    <s v="Id1702"/>
    <s v="May, Mr.  Joshua"/>
    <n v="31.065000000000001"/>
    <n v="5.71"/>
    <s v="No"/>
    <s v="No"/>
    <x v="0"/>
    <n v="0"/>
    <x v="1"/>
    <x v="0"/>
    <s v="Prediabetes"/>
    <n v="1990"/>
    <s v="Oct"/>
    <n v="25"/>
    <n v="3"/>
    <d v="1990-10-25T00:00:00"/>
    <n v="15440.2"/>
    <s v="tier - 2"/>
    <s v="tier - 1"/>
    <s v="R1012"/>
    <n v="32"/>
  </r>
  <r>
    <s v="Id1703"/>
    <s v="Metcalf, Mr.  Josh"/>
    <n v="25.08"/>
    <n v="4.7699999999999996"/>
    <s v="No"/>
    <s v="No"/>
    <x v="0"/>
    <n v="0"/>
    <x v="1"/>
    <x v="1"/>
    <s v="Normal"/>
    <n v="1976"/>
    <s v="Jul"/>
    <n v="20"/>
    <n v="2"/>
    <d v="1976-07-20T00:00:00"/>
    <n v="15450.48"/>
    <s v="tier - 2"/>
    <s v="tier - 1"/>
    <s v="R1026"/>
    <n v="46"/>
  </r>
  <r>
    <s v="Id1704"/>
    <s v="Tiska, Ms.  Heather"/>
    <n v="15.2"/>
    <n v="7.81"/>
    <s v="yes"/>
    <s v="No"/>
    <x v="0"/>
    <n v="1"/>
    <x v="1"/>
    <x v="3"/>
    <s v="Diabetes"/>
    <n v="2004"/>
    <s v="Jul"/>
    <n v="17"/>
    <n v="0"/>
    <d v="2004-07-17T00:00:00"/>
    <n v="15518.18"/>
    <s v="tier - 2"/>
    <s v="tier - 3"/>
    <s v="R1015"/>
    <n v="18"/>
  </r>
  <r>
    <s v="Id1705"/>
    <s v="McDonough, Mr.  James C."/>
    <n v="22.34"/>
    <n v="5.19"/>
    <s v="yes"/>
    <s v="No"/>
    <x v="0"/>
    <n v="0"/>
    <x v="1"/>
    <x v="2"/>
    <s v="Normal"/>
    <n v="1974"/>
    <s v="Jun"/>
    <n v="28"/>
    <n v="0"/>
    <d v="1974-06-28T00:00:00"/>
    <n v="15532.16"/>
    <s v="tier - 2"/>
    <s v="tier - 2"/>
    <s v="R1026"/>
    <n v="48"/>
  </r>
  <r>
    <s v="Id1706"/>
    <s v="Fairley, Ms.  Kim"/>
    <n v="40.15"/>
    <n v="5.93"/>
    <s v="No"/>
    <s v="No"/>
    <x v="0"/>
    <n v="1"/>
    <x v="1"/>
    <x v="0"/>
    <s v="Prediabetes"/>
    <n v="1959"/>
    <s v="Oct"/>
    <n v="2"/>
    <n v="3"/>
    <d v="1959-10-02T00:00:00"/>
    <n v="15555.19"/>
    <s v="tier - 2"/>
    <s v="tier - 3"/>
    <s v="R1012"/>
    <n v="63"/>
  </r>
  <r>
    <s v="Id1707"/>
    <s v="Barnett, Ms.  Marie E."/>
    <n v="37.729999999999997"/>
    <n v="6.29"/>
    <s v="No"/>
    <s v="No"/>
    <x v="0"/>
    <n v="1"/>
    <x v="1"/>
    <x v="0"/>
    <s v="Prediabetes"/>
    <n v="1974"/>
    <s v="Jul"/>
    <n v="30"/>
    <n v="0"/>
    <d v="1974-07-30T00:00:00"/>
    <n v="15556.67"/>
    <s v="tier - 2"/>
    <s v="tier - 2"/>
    <s v="R1012"/>
    <n v="48"/>
  </r>
  <r>
    <s v="Id1708"/>
    <s v="Piasta, Mr.  Dariusz"/>
    <n v="25.35"/>
    <n v="4.9000000000000004"/>
    <s v="No"/>
    <s v="No"/>
    <x v="0"/>
    <n v="0"/>
    <x v="1"/>
    <x v="1"/>
    <s v="Normal"/>
    <n v="1965"/>
    <s v="Oct"/>
    <n v="28"/>
    <n v="0"/>
    <d v="1965-10-28T00:00:00"/>
    <n v="15608.58"/>
    <s v="tier - 2"/>
    <s v="tier - 2"/>
    <s v="R1026"/>
    <n v="57"/>
  </r>
  <r>
    <s v="Id1709"/>
    <s v="Mueller, Ms.  Jessica E."/>
    <n v="26.41"/>
    <n v="5.07"/>
    <s v="yes"/>
    <s v="No"/>
    <x v="0"/>
    <n v="1"/>
    <x v="1"/>
    <x v="1"/>
    <s v="Normal"/>
    <n v="1960"/>
    <s v="Jun"/>
    <n v="6"/>
    <n v="3"/>
    <d v="1960-06-06T00:00:00"/>
    <n v="15612.19"/>
    <s v="tier - 2"/>
    <s v="tier - 2"/>
    <s v="R1012"/>
    <n v="63"/>
  </r>
  <r>
    <s v="Id1710"/>
    <s v="Olsen, Ms.  Kristen"/>
    <n v="27.6"/>
    <n v="5.33"/>
    <s v="No"/>
    <s v="No"/>
    <x v="0"/>
    <n v="1"/>
    <x v="1"/>
    <x v="1"/>
    <s v="Normal"/>
    <n v="1988"/>
    <s v="Dec"/>
    <n v="22"/>
    <n v="3"/>
    <d v="1988-12-22T00:00:00"/>
    <n v="15646.28"/>
    <s v="tier - 2"/>
    <s v="tier - 2"/>
    <s v="R1011"/>
    <n v="34"/>
  </r>
  <r>
    <s v="Id1711"/>
    <s v="De Jesus, Mr.  Jose Guadalupe P. Sr."/>
    <n v="33.82"/>
    <n v="8.93"/>
    <s v="yes"/>
    <s v="No"/>
    <x v="0"/>
    <n v="1"/>
    <x v="1"/>
    <x v="0"/>
    <s v="Diabetes"/>
    <n v="1973"/>
    <s v="Jun"/>
    <n v="26"/>
    <n v="0"/>
    <d v="1973-06-26T00:00:00"/>
    <n v="15670.3"/>
    <s v="tier - 2"/>
    <s v="tier - 2"/>
    <s v="R1026"/>
    <n v="49"/>
  </r>
  <r>
    <s v="Id1712"/>
    <s v="Bartus, Ms.  Cynthia"/>
    <n v="32.9"/>
    <n v="4.3499999999999996"/>
    <s v="No"/>
    <s v="No"/>
    <x v="0"/>
    <n v="0"/>
    <x v="1"/>
    <x v="0"/>
    <s v="Normal"/>
    <n v="1976"/>
    <s v="Sep"/>
    <n v="20"/>
    <n v="2"/>
    <d v="1976-09-20T00:00:00"/>
    <n v="15698.86"/>
    <s v="tier - 2"/>
    <s v="tier - 2"/>
    <s v="R1012"/>
    <n v="46"/>
  </r>
  <r>
    <s v="Id1713"/>
    <s v="Stevens, Mr.  Tyler"/>
    <n v="30.875"/>
    <n v="9.5399999999999991"/>
    <s v="yes"/>
    <s v="No"/>
    <x v="0"/>
    <n v="1"/>
    <x v="1"/>
    <x v="0"/>
    <s v="Diabetes"/>
    <n v="1974"/>
    <s v="Aug"/>
    <n v="29"/>
    <n v="0"/>
    <d v="1974-08-29T00:00:00"/>
    <n v="15746.62"/>
    <s v="tier - 2"/>
    <s v="tier - 1"/>
    <s v="R1012"/>
    <n v="48"/>
  </r>
  <r>
    <s v="Id1714"/>
    <s v="Rich, Ms.  Holly J"/>
    <n v="32.64"/>
    <n v="5.91"/>
    <s v="No"/>
    <s v="No"/>
    <x v="0"/>
    <n v="0"/>
    <x v="1"/>
    <x v="0"/>
    <s v="Prediabetes"/>
    <n v="1997"/>
    <s v="Oct"/>
    <n v="9"/>
    <n v="0"/>
    <d v="1997-10-09T00:00:00"/>
    <n v="15817.99"/>
    <s v="tier - 2"/>
    <s v="tier - 2"/>
    <s v="R1012"/>
    <n v="25"/>
  </r>
  <r>
    <s v="Id1715"/>
    <s v="Fayter, Ms.  Kristen"/>
    <n v="22.135000000000002"/>
    <n v="5.0999999999999996"/>
    <s v="No"/>
    <s v="No"/>
    <x v="0"/>
    <n v="0"/>
    <x v="1"/>
    <x v="2"/>
    <s v="Normal"/>
    <n v="1984"/>
    <s v="Jun"/>
    <n v="26"/>
    <n v="0"/>
    <d v="1984-06-26T00:00:00"/>
    <n v="15820.7"/>
    <s v="tier - 2"/>
    <s v="tier - 3"/>
    <s v="R1011"/>
    <n v="38"/>
  </r>
  <r>
    <s v="Id1716"/>
    <s v="Parise, Mr.  Thomas"/>
    <n v="16.53"/>
    <n v="5.08"/>
    <s v="No"/>
    <s v="No"/>
    <x v="0"/>
    <n v="2"/>
    <x v="1"/>
    <x v="3"/>
    <s v="Normal"/>
    <n v="1982"/>
    <s v="Nov"/>
    <n v="11"/>
    <n v="4"/>
    <d v="1982-11-11T00:00:00"/>
    <n v="15828.82"/>
    <s v="tier - 2"/>
    <s v="tier - 3"/>
    <s v="R1011"/>
    <n v="40"/>
  </r>
  <r>
    <s v="Id1717"/>
    <s v="Andrew, Ms.  Tricity M"/>
    <n v="32.774999999999999"/>
    <n v="4.75"/>
    <s v="No"/>
    <s v="No"/>
    <x v="0"/>
    <n v="0"/>
    <x v="1"/>
    <x v="0"/>
    <s v="Normal"/>
    <n v="1962"/>
    <s v="Dec"/>
    <n v="25"/>
    <n v="0"/>
    <d v="1962-12-25T00:00:00"/>
    <n v="15840.81"/>
    <s v="tier - 2"/>
    <s v="tier - 1"/>
    <s v="R1022"/>
    <n v="60"/>
  </r>
  <r>
    <s v="Id1718"/>
    <s v="Gryniewicz, Ms.  Sarah A"/>
    <n v="30.9"/>
    <n v="6.05"/>
    <s v="No"/>
    <s v="No"/>
    <x v="0"/>
    <n v="1"/>
    <x v="1"/>
    <x v="0"/>
    <s v="Prediabetes"/>
    <n v="1980"/>
    <s v="Oct"/>
    <n v="12"/>
    <n v="2"/>
    <d v="1980-10-12T00:00:00"/>
    <n v="15922.29"/>
    <s v="tier - 2"/>
    <s v="tier - 3"/>
    <s v="R1026"/>
    <n v="42"/>
  </r>
  <r>
    <s v="Id1719"/>
    <s v="Panora, Ms.  Lisa M."/>
    <n v="15.58"/>
    <n v="11.56"/>
    <s v="No"/>
    <s v="No"/>
    <x v="0"/>
    <n v="0"/>
    <x v="1"/>
    <x v="3"/>
    <s v="Diabetes"/>
    <n v="1982"/>
    <s v="Jul"/>
    <n v="24"/>
    <n v="3"/>
    <d v="1982-07-24T00:00:00"/>
    <n v="15965.29"/>
    <s v="tier - 2"/>
    <s v="tier - 1"/>
    <s v="R1012"/>
    <n v="40"/>
  </r>
  <r>
    <s v="Id1720"/>
    <s v="Woodward, Ms.  Tracy A."/>
    <n v="26.315000000000001"/>
    <n v="5.76"/>
    <s v="No"/>
    <s v="No"/>
    <x v="0"/>
    <n v="0"/>
    <x v="1"/>
    <x v="1"/>
    <s v="Prediabetes"/>
    <n v="1980"/>
    <s v="Sep"/>
    <n v="19"/>
    <n v="2"/>
    <d v="1980-09-19T00:00:00"/>
    <n v="15966.19"/>
    <s v="tier - 2"/>
    <s v="tier - 2"/>
    <s v="R1012"/>
    <n v="42"/>
  </r>
  <r>
    <s v="Id1721"/>
    <s v="Lambe, Mr.  Patrick"/>
    <n v="35.61"/>
    <n v="5.65"/>
    <s v="No"/>
    <s v="yes"/>
    <x v="0"/>
    <n v="1"/>
    <x v="1"/>
    <x v="0"/>
    <s v="Normal"/>
    <n v="1988"/>
    <s v="Dec"/>
    <n v="5"/>
    <n v="3"/>
    <d v="1988-12-05T00:00:00"/>
    <n v="16059.06"/>
    <s v="tier - 2"/>
    <s v="tier - 3"/>
    <s v="R1012"/>
    <n v="34"/>
  </r>
  <r>
    <s v="Id1722"/>
    <s v="Casto, Mr.  Trent"/>
    <n v="37.56"/>
    <n v="5.88"/>
    <s v="No"/>
    <s v="yes"/>
    <x v="0"/>
    <n v="1"/>
    <x v="1"/>
    <x v="0"/>
    <s v="Prediabetes"/>
    <n v="1978"/>
    <s v="Sep"/>
    <n v="16"/>
    <n v="2"/>
    <d v="1978-09-16T00:00:00"/>
    <n v="16062.89"/>
    <s v="tier - 2"/>
    <s v="tier - 2"/>
    <s v="R1026"/>
    <n v="44"/>
  </r>
  <r>
    <s v="Id1723"/>
    <s v="Martelli, Ms.  Julie"/>
    <n v="15.49"/>
    <n v="9.6"/>
    <s v="No"/>
    <s v="No"/>
    <x v="0"/>
    <n v="0"/>
    <x v="1"/>
    <x v="3"/>
    <s v="Diabetes"/>
    <n v="1958"/>
    <s v="Oct"/>
    <n v="22"/>
    <n v="2"/>
    <d v="1958-10-22T00:00:00"/>
    <n v="16069.08"/>
    <s v="tier - 2"/>
    <s v="tier - 2"/>
    <s v="R1024"/>
    <n v="64"/>
  </r>
  <r>
    <s v="Id1724"/>
    <s v="Naskret, Mr.  Sawomir"/>
    <n v="23.48"/>
    <n v="6.24"/>
    <s v="No"/>
    <s v="No"/>
    <x v="0"/>
    <n v="1"/>
    <x v="1"/>
    <x v="2"/>
    <s v="Prediabetes"/>
    <n v="1958"/>
    <s v="Jun"/>
    <n v="21"/>
    <n v="3"/>
    <d v="1958-06-21T00:00:00"/>
    <n v="16085.13"/>
    <s v="tier - 2"/>
    <s v="tier - 2"/>
    <s v="R1013"/>
    <n v="64"/>
  </r>
  <r>
    <s v="Id1725"/>
    <s v="Morgan, Ms.  Micah"/>
    <n v="30.02"/>
    <n v="7.63"/>
    <s v="yes"/>
    <s v="No"/>
    <x v="0"/>
    <n v="1"/>
    <x v="1"/>
    <x v="0"/>
    <s v="Diabetes"/>
    <n v="1985"/>
    <s v="Aug"/>
    <n v="27"/>
    <n v="3"/>
    <d v="1985-08-27T00:00:00"/>
    <n v="16097.94"/>
    <s v="tier - 2"/>
    <s v="tier - 3"/>
    <s v="R1012"/>
    <n v="37"/>
  </r>
  <r>
    <s v="Id1726"/>
    <s v="Maloney, Ms.  Kelly H."/>
    <n v="26.885000000000002"/>
    <n v="8.66"/>
    <s v="yes"/>
    <s v="No"/>
    <x v="0"/>
    <n v="1"/>
    <x v="1"/>
    <x v="1"/>
    <s v="Diabetes"/>
    <n v="1993"/>
    <s v="Aug"/>
    <n v="8"/>
    <n v="0"/>
    <d v="1993-08-08T00:00:00"/>
    <n v="16115.3"/>
    <s v="tier - 2"/>
    <s v="tier - 1"/>
    <s v="R1024"/>
    <n v="29"/>
  </r>
  <r>
    <s v="Id1727"/>
    <s v="Amherst, Ms.  Lindsay M."/>
    <n v="25.84"/>
    <n v="8.5500000000000007"/>
    <s v="yes"/>
    <s v="No"/>
    <x v="0"/>
    <n v="1"/>
    <x v="1"/>
    <x v="1"/>
    <s v="Diabetes"/>
    <n v="1987"/>
    <s v="Oct"/>
    <n v="6"/>
    <n v="3"/>
    <d v="1987-10-06T00:00:00"/>
    <n v="16122.65"/>
    <s v="tier - 2"/>
    <s v="tier - 1"/>
    <s v="R1011"/>
    <n v="35"/>
  </r>
  <r>
    <s v="Id1728"/>
    <s v="Davenport, Mr.  Austen G"/>
    <n v="27.454999999999998"/>
    <n v="4.54"/>
    <s v="No"/>
    <s v="No"/>
    <x v="0"/>
    <n v="0"/>
    <x v="1"/>
    <x v="1"/>
    <s v="Normal"/>
    <n v="1993"/>
    <s v="Dec"/>
    <n v="12"/>
    <n v="0"/>
    <d v="1993-12-12T00:00:00"/>
    <n v="16138.76"/>
    <s v="tier - 2"/>
    <s v="tier - 3"/>
    <s v="R1017"/>
    <n v="29"/>
  </r>
  <r>
    <s v="Id1729"/>
    <s v="Johansen, Mr.  Tory J."/>
    <n v="24.605"/>
    <n v="5.7"/>
    <s v="No"/>
    <s v="No"/>
    <x v="0"/>
    <n v="0"/>
    <x v="1"/>
    <x v="2"/>
    <s v="Prediabetes"/>
    <n v="1982"/>
    <s v="Jul"/>
    <n v="6"/>
    <n v="3"/>
    <d v="1982-07-06T00:00:00"/>
    <n v="16152.04"/>
    <s v="tier - 2"/>
    <s v="tier - 1"/>
    <s v="R1026"/>
    <n v="40"/>
  </r>
  <r>
    <s v="Id1730"/>
    <s v="Bond, Mr.  Robert J."/>
    <n v="30.8"/>
    <n v="5.07"/>
    <s v="No"/>
    <s v="No"/>
    <x v="0"/>
    <n v="0"/>
    <x v="1"/>
    <x v="0"/>
    <s v="Normal"/>
    <n v="1974"/>
    <s v="Sep"/>
    <n v="11"/>
    <n v="0"/>
    <d v="1974-09-11T00:00:00"/>
    <n v="16190.97"/>
    <s v="tier - 2"/>
    <s v="tier - 3"/>
    <s v="R1012"/>
    <n v="48"/>
  </r>
  <r>
    <s v="Id1731"/>
    <s v="Reilly, Ms.  Steph"/>
    <n v="34.799999999999997"/>
    <n v="4.38"/>
    <s v="No"/>
    <s v="No"/>
    <x v="0"/>
    <n v="1"/>
    <x v="1"/>
    <x v="0"/>
    <s v="Normal"/>
    <n v="1988"/>
    <s v="Aug"/>
    <n v="6"/>
    <n v="3"/>
    <d v="1988-08-06T00:00:00"/>
    <n v="16199.1"/>
    <s v="tier - 2"/>
    <s v="tier - 2"/>
    <s v="R1012"/>
    <n v="34"/>
  </r>
  <r>
    <s v="Id1732"/>
    <s v="Chandler, Ms.  Kate"/>
    <n v="34.21"/>
    <n v="4.54"/>
    <s v="No"/>
    <s v="No"/>
    <x v="0"/>
    <n v="1"/>
    <x v="1"/>
    <x v="0"/>
    <s v="Normal"/>
    <n v="1988"/>
    <s v="Aug"/>
    <n v="21"/>
    <n v="3"/>
    <d v="1988-08-21T00:00:00"/>
    <n v="16205.88"/>
    <s v="tier - 2"/>
    <s v="tier - 1"/>
    <s v="R1012"/>
    <n v="34"/>
  </r>
  <r>
    <s v="Id1733"/>
    <s v="Kaufmann, Ms.  Kristina"/>
    <n v="31"/>
    <n v="5.38"/>
    <s v="No"/>
    <s v="No"/>
    <x v="0"/>
    <n v="1"/>
    <x v="1"/>
    <x v="0"/>
    <s v="Normal"/>
    <n v="2002"/>
    <s v="Sep"/>
    <n v="8"/>
    <n v="0"/>
    <d v="2002-09-08T00:00:00"/>
    <n v="16232.85"/>
    <s v="tier - 2"/>
    <s v="tier - 1"/>
    <s v="R1011"/>
    <n v="20"/>
  </r>
  <r>
    <s v="Id1734"/>
    <s v="Barnes-Zurkinden, Ms.  Flo"/>
    <n v="26.125"/>
    <n v="5.55"/>
    <s v="No"/>
    <s v="No"/>
    <x v="0"/>
    <n v="1"/>
    <x v="1"/>
    <x v="1"/>
    <s v="Normal"/>
    <n v="1972"/>
    <s v="Jul"/>
    <n v="30"/>
    <n v="0"/>
    <d v="1972-07-30T00:00:00"/>
    <n v="16267.32"/>
    <s v="tier - 2"/>
    <s v="tier - 2"/>
    <s v="R1023"/>
    <n v="50"/>
  </r>
  <r>
    <s v="Id1735"/>
    <s v="Wolter, Mrs.  Sarah P."/>
    <n v="30.13"/>
    <n v="4.03"/>
    <s v="yes"/>
    <s v="No"/>
    <x v="0"/>
    <n v="1"/>
    <x v="1"/>
    <x v="0"/>
    <s v="Normal"/>
    <n v="2003"/>
    <s v="Aug"/>
    <n v="24"/>
    <n v="0"/>
    <d v="2003-08-24T00:00:00"/>
    <n v="16297.85"/>
    <s v="tier - 2"/>
    <s v="tier - 3"/>
    <s v="R1011"/>
    <n v="19"/>
  </r>
  <r>
    <s v="Id1736"/>
    <s v="Pearson, Ms.  Anabel"/>
    <n v="34.19"/>
    <n v="4.1900000000000004"/>
    <s v="No"/>
    <s v="No"/>
    <x v="0"/>
    <n v="0"/>
    <x v="1"/>
    <x v="0"/>
    <s v="Normal"/>
    <n v="1969"/>
    <s v="Aug"/>
    <n v="8"/>
    <n v="0"/>
    <d v="1969-08-08T00:00:00"/>
    <n v="16311.05"/>
    <s v="tier - 2"/>
    <s v="tier - 3"/>
    <s v="R1026"/>
    <n v="53"/>
  </r>
  <r>
    <s v="Id1737"/>
    <s v="Thomas, Mr.  Ian"/>
    <n v="22.515000000000001"/>
    <n v="4.37"/>
    <s v="No"/>
    <s v="No"/>
    <x v="1"/>
    <n v="1"/>
    <x v="1"/>
    <x v="2"/>
    <s v="Normal"/>
    <n v="1965"/>
    <s v="Dec"/>
    <n v="5"/>
    <n v="0"/>
    <d v="1965-12-05T00:00:00"/>
    <n v="16351.42"/>
    <s v="tier - 2"/>
    <s v="tier - 3"/>
    <s v="R1026"/>
    <n v="57"/>
  </r>
  <r>
    <s v="Id1738"/>
    <s v="Leon, Mr.  Alex"/>
    <n v="18.239999999999998"/>
    <n v="5.31"/>
    <s v="yes"/>
    <s v="No"/>
    <x v="1"/>
    <n v="1"/>
    <x v="1"/>
    <x v="3"/>
    <s v="Normal"/>
    <n v="1995"/>
    <s v="Sep"/>
    <n v="28"/>
    <n v="3"/>
    <d v="1995-09-28T00:00:00"/>
    <n v="16420.490000000002"/>
    <s v="tier - 2"/>
    <s v="tier - 3"/>
    <s v="R1012"/>
    <n v="27"/>
  </r>
  <r>
    <s v="Id1739"/>
    <s v="Marriott, Mr.  Richard J"/>
    <n v="37.28"/>
    <n v="4.66"/>
    <s v="No"/>
    <s v="yes"/>
    <x v="0"/>
    <n v="1"/>
    <x v="1"/>
    <x v="0"/>
    <s v="Normal"/>
    <n v="2003"/>
    <s v="Dec"/>
    <n v="20"/>
    <n v="1"/>
    <d v="2003-12-20T00:00:00"/>
    <n v="16450.89"/>
    <s v="tier - 2"/>
    <s v="tier - 1"/>
    <s v="R1012"/>
    <n v="19"/>
  </r>
  <r>
    <s v="Id1740"/>
    <s v="Wilkins, Ms.  Jacqueline N."/>
    <n v="18.2"/>
    <n v="6.19"/>
    <s v="No"/>
    <s v="No"/>
    <x v="1"/>
    <n v="1"/>
    <x v="1"/>
    <x v="3"/>
    <s v="Prediabetes"/>
    <n v="1958"/>
    <s v="Oct"/>
    <n v="10"/>
    <n v="3"/>
    <d v="1958-10-10T00:00:00"/>
    <n v="16455.71"/>
    <s v="tier - 2"/>
    <s v="tier - 2"/>
    <s v="R1012"/>
    <n v="64"/>
  </r>
  <r>
    <s v="Id1741"/>
    <s v="Saiter, Ms.  Cindy"/>
    <n v="20.53"/>
    <n v="4.8600000000000003"/>
    <s v="No"/>
    <s v="No"/>
    <x v="0"/>
    <n v="1"/>
    <x v="1"/>
    <x v="2"/>
    <s v="Normal"/>
    <n v="1995"/>
    <s v="Dec"/>
    <n v="23"/>
    <n v="0"/>
    <d v="1995-12-23T00:00:00"/>
    <n v="16577.78"/>
    <s v="tier - 2"/>
    <s v="tier - 1"/>
    <s v="R1013"/>
    <n v="27"/>
  </r>
  <r>
    <s v="Id1742"/>
    <s v="Winrow, Ms.  Marcia"/>
    <n v="23.79"/>
    <n v="4.74"/>
    <s v="No"/>
    <s v="No"/>
    <x v="0"/>
    <n v="0"/>
    <x v="1"/>
    <x v="2"/>
    <s v="Normal"/>
    <n v="2001"/>
    <s v="Jun"/>
    <n v="25"/>
    <n v="0"/>
    <d v="2001-06-25T00:00:00"/>
    <n v="16586.5"/>
    <s v="tier - 2"/>
    <s v="tier - 1"/>
    <s v="R1013"/>
    <n v="21"/>
  </r>
  <r>
    <s v="Id1743"/>
    <s v="Gries, Ms.  Samantha R."/>
    <n v="29.8"/>
    <n v="6.03"/>
    <s v="No"/>
    <s v="No"/>
    <x v="0"/>
    <n v="0"/>
    <x v="1"/>
    <x v="1"/>
    <s v="Prediabetes"/>
    <n v="1963"/>
    <s v="Jun"/>
    <n v="25"/>
    <n v="0"/>
    <d v="1963-06-25T00:00:00"/>
    <n v="16587.96"/>
    <s v="tier - 2"/>
    <s v="tier - 2"/>
    <s v="R1023"/>
    <n v="59"/>
  </r>
  <r>
    <s v="Id1744"/>
    <s v="Strohschein, Ms.  Katie"/>
    <n v="31.54"/>
    <n v="4.71"/>
    <s v="No"/>
    <s v="No"/>
    <x v="0"/>
    <n v="0"/>
    <x v="1"/>
    <x v="0"/>
    <s v="Normal"/>
    <n v="1970"/>
    <s v="Jul"/>
    <n v="10"/>
    <n v="0"/>
    <d v="1970-07-10T00:00:00"/>
    <n v="16600.16"/>
    <s v="tier - 2"/>
    <s v="tier - 2"/>
    <s v="R1011"/>
    <n v="52"/>
  </r>
  <r>
    <s v="Id1745"/>
    <s v="Berger, Mr.  John P"/>
    <n v="20.82"/>
    <n v="5.55"/>
    <s v="No"/>
    <s v="No"/>
    <x v="0"/>
    <n v="1"/>
    <x v="1"/>
    <x v="2"/>
    <s v="Normal"/>
    <n v="1975"/>
    <s v="Jul"/>
    <n v="24"/>
    <n v="1"/>
    <d v="1975-07-24T00:00:00"/>
    <n v="16602.18"/>
    <s v="tier - 2"/>
    <s v="tier - 1"/>
    <s v="R1026"/>
    <n v="47"/>
  </r>
  <r>
    <s v="Id1746"/>
    <s v="Coogan, Ms.  Rachel"/>
    <n v="38.83"/>
    <n v="4.78"/>
    <s v="No"/>
    <s v="No"/>
    <x v="1"/>
    <n v="1"/>
    <x v="1"/>
    <x v="0"/>
    <s v="Normal"/>
    <n v="1977"/>
    <s v="Sep"/>
    <n v="25"/>
    <n v="2"/>
    <d v="1977-09-25T00:00:00"/>
    <n v="16631.61"/>
    <s v="tier - 2"/>
    <s v="tier - 1"/>
    <s v="R1012"/>
    <n v="45"/>
  </r>
  <r>
    <s v="Id1747"/>
    <s v="Gagnon, Ms.  Isabelle"/>
    <n v="23.44"/>
    <n v="4.6500000000000004"/>
    <s v="yes"/>
    <s v="No"/>
    <x v="0"/>
    <n v="1"/>
    <x v="1"/>
    <x v="2"/>
    <s v="Normal"/>
    <n v="1993"/>
    <s v="Nov"/>
    <n v="5"/>
    <n v="1"/>
    <d v="1993-11-05T00:00:00"/>
    <n v="16657.72"/>
    <s v="tier - 2"/>
    <s v="tier - 1"/>
    <s v="R1024"/>
    <n v="29"/>
  </r>
  <r>
    <s v="Id1748"/>
    <s v="Pearson, Mr.  Neil"/>
    <n v="24.13"/>
    <n v="5.2"/>
    <s v="No"/>
    <s v="No"/>
    <x v="0"/>
    <n v="1"/>
    <x v="1"/>
    <x v="2"/>
    <s v="Normal"/>
    <n v="1974"/>
    <s v="Aug"/>
    <n v="28"/>
    <n v="0"/>
    <d v="1974-08-28T00:00:00"/>
    <n v="16770.990000000002"/>
    <s v="tier - 2"/>
    <s v="tier - 1"/>
    <s v="R1012"/>
    <n v="48"/>
  </r>
  <r>
    <s v="Id1749"/>
    <s v="Brian, Mr.  Tom"/>
    <n v="42.13"/>
    <n v="4.54"/>
    <s v="yes"/>
    <s v="No"/>
    <x v="0"/>
    <n v="1"/>
    <x v="1"/>
    <x v="0"/>
    <s v="Normal"/>
    <n v="1989"/>
    <s v="Sep"/>
    <n v="23"/>
    <n v="2"/>
    <d v="1989-09-23T00:00:00"/>
    <n v="16776.3"/>
    <s v="tier - 2"/>
    <s v="tier - 2"/>
    <s v="R1024"/>
    <n v="33"/>
  </r>
  <r>
    <s v="Id1750"/>
    <s v="Brown, Mr.  Nathan"/>
    <n v="17.86"/>
    <n v="4.1100000000000003"/>
    <s v="No"/>
    <s v="No"/>
    <x v="0"/>
    <n v="1"/>
    <x v="1"/>
    <x v="3"/>
    <s v="Normal"/>
    <n v="1962"/>
    <s v="Jul"/>
    <n v="29"/>
    <n v="0"/>
    <d v="1962-07-29T00:00:00"/>
    <n v="16779.400000000001"/>
    <s v="tier - 2"/>
    <s v="tier - 2"/>
    <s v="R1026"/>
    <n v="60"/>
  </r>
  <r>
    <s v="Id1751"/>
    <s v="Fox, Mrs.  Kelli N"/>
    <n v="32.78"/>
    <n v="4.63"/>
    <s v="No"/>
    <s v="No"/>
    <x v="0"/>
    <n v="0"/>
    <x v="1"/>
    <x v="0"/>
    <s v="Normal"/>
    <n v="1995"/>
    <s v="Oct"/>
    <n v="19"/>
    <n v="1"/>
    <d v="1995-10-19T00:00:00"/>
    <n v="16796.41"/>
    <s v="tier - 2"/>
    <s v="tier - 3"/>
    <s v="R1024"/>
    <n v="27"/>
  </r>
  <r>
    <s v="Id1752"/>
    <s v="Traver, Mr.  Scott M."/>
    <n v="23.9"/>
    <n v="6.06"/>
    <s v="yes"/>
    <s v="No"/>
    <x v="1"/>
    <n v="1"/>
    <x v="1"/>
    <x v="2"/>
    <s v="Prediabetes"/>
    <n v="1974"/>
    <s v="Aug"/>
    <n v="8"/>
    <n v="0"/>
    <d v="1974-08-08T00:00:00"/>
    <n v="16841.32"/>
    <s v="tier - 2"/>
    <s v="tier - 3"/>
    <s v="R1011"/>
    <n v="48"/>
  </r>
  <r>
    <s v="Id1753"/>
    <s v="Quick, Mr.  Grant A"/>
    <n v="15.47"/>
    <n v="8.43"/>
    <s v="No"/>
    <s v="No"/>
    <x v="0"/>
    <n v="0"/>
    <x v="1"/>
    <x v="3"/>
    <s v="Diabetes"/>
    <n v="2003"/>
    <s v="Sep"/>
    <n v="10"/>
    <n v="0"/>
    <d v="2003-09-10T00:00:00"/>
    <n v="16884.919999999998"/>
    <s v="tier - 2"/>
    <s v="tier - 2"/>
    <s v="R1011"/>
    <n v="19"/>
  </r>
  <r>
    <s v="Id1754"/>
    <s v="Scott, Mr.  Jonathan C"/>
    <n v="28.54"/>
    <n v="5.51"/>
    <s v="No"/>
    <s v="No"/>
    <x v="1"/>
    <n v="1"/>
    <x v="1"/>
    <x v="1"/>
    <s v="Normal"/>
    <n v="1968"/>
    <s v="Oct"/>
    <n v="21"/>
    <n v="0"/>
    <d v="1968-10-21T00:00:00"/>
    <n v="16903.5"/>
    <s v="tier - 2"/>
    <s v="tier - 3"/>
    <s v="R1012"/>
    <n v="54"/>
  </r>
  <r>
    <s v="Id1755"/>
    <s v="Theriot, Ms.  Rachael M."/>
    <n v="18.54"/>
    <n v="4.95"/>
    <s v="No"/>
    <s v="No"/>
    <x v="0"/>
    <n v="0"/>
    <x v="1"/>
    <x v="2"/>
    <s v="Normal"/>
    <n v="1977"/>
    <s v="Aug"/>
    <n v="25"/>
    <n v="2"/>
    <d v="1977-08-25T00:00:00"/>
    <n v="16921.09"/>
    <s v="tier - 2"/>
    <s v="tier - 3"/>
    <s v="R1023"/>
    <n v="45"/>
  </r>
  <r>
    <s v="Id1756"/>
    <s v="Michalis, Ms.  Pilar"/>
    <n v="32.18"/>
    <n v="6.44"/>
    <s v="yes"/>
    <s v="No"/>
    <x v="1"/>
    <n v="1"/>
    <x v="1"/>
    <x v="0"/>
    <s v="Diabetes"/>
    <n v="1980"/>
    <s v="Jul"/>
    <n v="16"/>
    <n v="2"/>
    <d v="1980-07-16T00:00:00"/>
    <n v="16990.55"/>
    <s v="tier - 2"/>
    <s v="tier - 3"/>
    <s v="R1012"/>
    <n v="42"/>
  </r>
  <r>
    <s v="Id1757"/>
    <s v="Hall, Mr.  Kyle M"/>
    <n v="37.380000000000003"/>
    <n v="6.05"/>
    <s v="yes"/>
    <s v="No"/>
    <x v="0"/>
    <n v="0"/>
    <x v="1"/>
    <x v="0"/>
    <s v="Prediabetes"/>
    <n v="1971"/>
    <s v="Aug"/>
    <n v="22"/>
    <n v="0"/>
    <d v="1971-08-22T00:00:00"/>
    <n v="17016.009999999998"/>
    <s v="tier - 2"/>
    <s v="tier - 2"/>
    <s v="R1023"/>
    <n v="51"/>
  </r>
  <r>
    <s v="Id1758"/>
    <s v="Tjong Clemons, Mrs.  Christie"/>
    <n v="31.12"/>
    <n v="4.76"/>
    <s v="yes"/>
    <s v="No"/>
    <x v="1"/>
    <n v="1"/>
    <x v="1"/>
    <x v="0"/>
    <s v="Normal"/>
    <n v="1996"/>
    <s v="Jun"/>
    <n v="10"/>
    <n v="0"/>
    <d v="1996-06-10T00:00:00"/>
    <n v="17043.34"/>
    <s v="tier - 2"/>
    <s v="tier - 3"/>
    <s v="R1013"/>
    <n v="26"/>
  </r>
  <r>
    <s v="Id1759"/>
    <s v="Palma, Mr.  David A."/>
    <n v="22.01"/>
    <n v="6.72"/>
    <s v="yes"/>
    <s v="No"/>
    <x v="0"/>
    <n v="1"/>
    <x v="1"/>
    <x v="2"/>
    <s v="Diabetes"/>
    <n v="2003"/>
    <s v="Dec"/>
    <n v="26"/>
    <n v="0"/>
    <d v="2003-12-26T00:00:00"/>
    <n v="17081.080000000002"/>
    <s v="tier - 2"/>
    <s v="tier - 2"/>
    <s v="R1011"/>
    <n v="19"/>
  </r>
  <r>
    <s v="Id1760"/>
    <s v="Takaoka, Mr.  Masahiro"/>
    <n v="27.645"/>
    <n v="5.7"/>
    <s v="No"/>
    <s v="No"/>
    <x v="0"/>
    <n v="0"/>
    <x v="1"/>
    <x v="1"/>
    <s v="Prediabetes"/>
    <n v="2002"/>
    <s v="Jun"/>
    <n v="28"/>
    <n v="1"/>
    <d v="2002-06-28T00:00:00"/>
    <n v="17085.27"/>
    <s v="tier - 2"/>
    <s v="tier - 3"/>
    <s v="R1013"/>
    <n v="20"/>
  </r>
  <r>
    <s v="Id1761"/>
    <s v="Sherman, Mr.  Logan B."/>
    <n v="29.64"/>
    <n v="5.31"/>
    <s v="yes"/>
    <s v="No"/>
    <x v="0"/>
    <n v="0"/>
    <x v="1"/>
    <x v="1"/>
    <s v="Normal"/>
    <n v="1998"/>
    <s v="Jun"/>
    <n v="3"/>
    <n v="4"/>
    <d v="1998-06-03T00:00:00"/>
    <n v="17128.43"/>
    <s v="tier - 2"/>
    <s v="tier - 3"/>
    <s v="R1016"/>
    <n v="25"/>
  </r>
  <r>
    <s v="Id1762"/>
    <s v="Andre, Ms.  Stephanie L."/>
    <n v="33.700000000000003"/>
    <n v="4.32"/>
    <s v="yes"/>
    <s v="No"/>
    <x v="0"/>
    <n v="1"/>
    <x v="1"/>
    <x v="0"/>
    <s v="Normal"/>
    <n v="1965"/>
    <s v="Sep"/>
    <n v="16"/>
    <n v="0"/>
    <d v="1965-09-16T00:00:00"/>
    <n v="17172.27"/>
    <s v="tier - 2"/>
    <s v="tier - 2"/>
    <s v="R1026"/>
    <n v="57"/>
  </r>
  <r>
    <s v="Id1763"/>
    <s v="Switt, Ms.  Angela H"/>
    <n v="27.5"/>
    <n v="4.2300000000000004"/>
    <s v="yes"/>
    <s v="No"/>
    <x v="0"/>
    <n v="1"/>
    <x v="1"/>
    <x v="1"/>
    <s v="Normal"/>
    <n v="1964"/>
    <s v="Jun"/>
    <n v="7"/>
    <n v="0"/>
    <d v="1964-06-07T00:00:00"/>
    <n v="17174.52"/>
    <s v="tier - 2"/>
    <s v="tier - 2"/>
    <s v="R1012"/>
    <n v="59"/>
  </r>
  <r>
    <s v="Id1764"/>
    <s v="Erickson, Ms.  Britt K"/>
    <n v="16.12"/>
    <n v="6.09"/>
    <s v="No"/>
    <s v="No"/>
    <x v="0"/>
    <n v="0"/>
    <x v="1"/>
    <x v="3"/>
    <s v="Prediabetes"/>
    <n v="2004"/>
    <s v="Aug"/>
    <n v="18"/>
    <n v="1"/>
    <d v="2004-08-18T00:00:00"/>
    <n v="17178.68"/>
    <s v="tier - 2"/>
    <s v="tier - 2"/>
    <s v="R1019"/>
    <n v="18"/>
  </r>
  <r>
    <s v="Id1765"/>
    <s v="Miller, Ms.  Joyce R."/>
    <n v="26.73"/>
    <n v="4.74"/>
    <s v="yes"/>
    <s v="No"/>
    <x v="0"/>
    <n v="1"/>
    <x v="1"/>
    <x v="1"/>
    <s v="Normal"/>
    <n v="1982"/>
    <s v="Oct"/>
    <n v="22"/>
    <n v="1"/>
    <d v="1982-10-22T00:00:00"/>
    <n v="17179.52"/>
    <s v="tier - 2"/>
    <s v="tier - 1"/>
    <s v="R1013"/>
    <n v="40"/>
  </r>
  <r>
    <s v="Id1766"/>
    <s v="Whitbeck, Mr.  Ben"/>
    <n v="37.25"/>
    <n v="6.23"/>
    <s v="yes"/>
    <s v="No"/>
    <x v="0"/>
    <n v="0"/>
    <x v="1"/>
    <x v="0"/>
    <s v="Prediabetes"/>
    <n v="1975"/>
    <s v="Aug"/>
    <n v="25"/>
    <n v="1"/>
    <d v="1975-08-25T00:00:00"/>
    <n v="17253.43"/>
    <s v="tier - 2"/>
    <s v="tier - 3"/>
    <s v="R1026"/>
    <n v="47"/>
  </r>
  <r>
    <s v="Id1767"/>
    <s v="Auer, Ms.  Sarah M."/>
    <n v="23.56"/>
    <n v="5.45"/>
    <s v="yes"/>
    <s v="No"/>
    <x v="0"/>
    <n v="1"/>
    <x v="1"/>
    <x v="2"/>
    <s v="Normal"/>
    <n v="1963"/>
    <s v="Jul"/>
    <n v="12"/>
    <n v="0"/>
    <d v="1963-07-12T00:00:00"/>
    <n v="17337.580000000002"/>
    <s v="tier - 2"/>
    <s v="tier - 3"/>
    <s v="R1023"/>
    <n v="59"/>
  </r>
  <r>
    <s v="Id1768"/>
    <s v="Attar, Ms.  Sarah"/>
    <n v="15.84"/>
    <n v="10.34"/>
    <s v="No"/>
    <s v="No"/>
    <x v="0"/>
    <n v="2"/>
    <x v="1"/>
    <x v="3"/>
    <s v="Diabetes"/>
    <n v="2003"/>
    <s v="Nov"/>
    <n v="1"/>
    <n v="0"/>
    <d v="2003-11-01T00:00:00"/>
    <n v="17352.68"/>
    <s v="tier - 2"/>
    <s v="tier - 3"/>
    <s v="R1012"/>
    <n v="19"/>
  </r>
  <r>
    <s v="Id1769"/>
    <s v="Misuraca, Ms.  Katie"/>
    <n v="36.630000000000003"/>
    <n v="5.15"/>
    <s v="No"/>
    <s v="No"/>
    <x v="0"/>
    <n v="0"/>
    <x v="1"/>
    <x v="0"/>
    <s v="Normal"/>
    <n v="1992"/>
    <s v="Oct"/>
    <n v="18"/>
    <n v="2"/>
    <d v="1992-10-18T00:00:00"/>
    <n v="17361.77"/>
    <s v="tier - 2"/>
    <s v="tier - 1"/>
    <s v="R1012"/>
    <n v="30"/>
  </r>
  <r>
    <s v="Id1770"/>
    <s v="Spannaus, Ms.  Michaela L"/>
    <n v="16.47"/>
    <n v="11.72"/>
    <s v="No"/>
    <s v="No"/>
    <x v="0"/>
    <n v="0"/>
    <x v="1"/>
    <x v="3"/>
    <s v="Diabetes"/>
    <n v="2003"/>
    <s v="Nov"/>
    <n v="2"/>
    <n v="0"/>
    <d v="2003-11-02T00:00:00"/>
    <n v="17468.98"/>
    <s v="tier - 2"/>
    <s v="tier - 1"/>
    <s v="R1012"/>
    <n v="19"/>
  </r>
  <r>
    <s v="Id1771"/>
    <s v="Tarbiat, Ms.  Shalaleh"/>
    <n v="25.8"/>
    <n v="5.29"/>
    <s v="No"/>
    <s v="No"/>
    <x v="0"/>
    <n v="0"/>
    <x v="1"/>
    <x v="1"/>
    <s v="Normal"/>
    <n v="1971"/>
    <s v="Jun"/>
    <n v="8"/>
    <n v="0"/>
    <d v="1971-06-08T00:00:00"/>
    <n v="17479.53"/>
    <s v="tier - 1"/>
    <s v="tier - 1"/>
    <s v="R1012"/>
    <n v="52"/>
  </r>
  <r>
    <s v="Id1772"/>
    <s v="Pulkkinen, Ms.  Karen"/>
    <n v="23.6"/>
    <n v="4.33"/>
    <s v="No"/>
    <s v="No"/>
    <x v="0"/>
    <n v="0"/>
    <x v="1"/>
    <x v="2"/>
    <s v="Normal"/>
    <n v="1990"/>
    <s v="Dec"/>
    <n v="29"/>
    <n v="0"/>
    <d v="1990-12-29T00:00:00"/>
    <n v="17496.310000000001"/>
    <s v="tier - 1"/>
    <s v="tier - 2"/>
    <s v="R1011"/>
    <n v="32"/>
  </r>
  <r>
    <s v="Id1773"/>
    <s v="Trnovcova, Ms.  Zuzana"/>
    <n v="32.11"/>
    <n v="6.24"/>
    <s v="No"/>
    <s v="No"/>
    <x v="1"/>
    <n v="1"/>
    <x v="1"/>
    <x v="0"/>
    <s v="Prediabetes"/>
    <n v="1965"/>
    <s v="Jun"/>
    <n v="16"/>
    <n v="0"/>
    <d v="1965-06-16T00:00:00"/>
    <n v="17505.650000000001"/>
    <s v="tier - 1"/>
    <s v="tier - 2"/>
    <s v="R1023"/>
    <n v="57"/>
  </r>
  <r>
    <s v="Id1774"/>
    <s v="Anthony, Mr.  Daniel J."/>
    <n v="30.114999999999998"/>
    <n v="11.61"/>
    <s v="No"/>
    <s v="No"/>
    <x v="0"/>
    <n v="0"/>
    <x v="1"/>
    <x v="0"/>
    <s v="Diabetes"/>
    <n v="1968"/>
    <s v="Jul"/>
    <n v="12"/>
    <n v="0"/>
    <d v="1968-07-12T00:00:00"/>
    <n v="17507.47"/>
    <s v="tier - 1"/>
    <s v="tier - 1"/>
    <s v="R1026"/>
    <n v="54"/>
  </r>
  <r>
    <s v="Id1775"/>
    <s v="Hetrick, Ms.  Alexandra"/>
    <n v="20.28"/>
    <n v="11.07"/>
    <s v="yes"/>
    <s v="No"/>
    <x v="0"/>
    <n v="0"/>
    <x v="1"/>
    <x v="2"/>
    <s v="Diabetes"/>
    <n v="1963"/>
    <s v="Nov"/>
    <n v="16"/>
    <n v="0"/>
    <d v="1963-11-16T00:00:00"/>
    <n v="17556.88"/>
    <s v="tier - 1"/>
    <s v="tier - 2"/>
    <s v="R1012"/>
    <n v="59"/>
  </r>
  <r>
    <s v="Id1776"/>
    <s v="Stern, Ms.  Jessica"/>
    <n v="20.234999999999999"/>
    <n v="5.19"/>
    <s v="No"/>
    <s v="No"/>
    <x v="1"/>
    <n v="1"/>
    <x v="1"/>
    <x v="2"/>
    <s v="Normal"/>
    <n v="2002"/>
    <s v="Aug"/>
    <n v="25"/>
    <n v="1"/>
    <d v="2002-08-25T00:00:00"/>
    <n v="17560.38"/>
    <s v="tier - 1"/>
    <s v="tier - 1"/>
    <s v="R1012"/>
    <n v="20"/>
  </r>
  <r>
    <s v="Id1777"/>
    <s v="Newman, Mr.  Matthew M"/>
    <n v="25.27"/>
    <n v="5.7"/>
    <s v="yes"/>
    <s v="No"/>
    <x v="0"/>
    <n v="1"/>
    <x v="1"/>
    <x v="1"/>
    <s v="Prediabetes"/>
    <n v="1970"/>
    <s v="Jul"/>
    <n v="26"/>
    <n v="0"/>
    <d v="1970-07-26T00:00:00"/>
    <n v="17584.72"/>
    <s v="tier - 1"/>
    <s v="tier - 3"/>
    <s v="R1012"/>
    <n v="52"/>
  </r>
  <r>
    <s v="Id1778"/>
    <s v="Reasoner, Ms.  Nadine A."/>
    <n v="24.24"/>
    <n v="6.15"/>
    <s v="No"/>
    <s v="No"/>
    <x v="0"/>
    <n v="0"/>
    <x v="1"/>
    <x v="2"/>
    <s v="Prediabetes"/>
    <n v="1990"/>
    <s v="Oct"/>
    <n v="25"/>
    <n v="1"/>
    <d v="1990-10-25T00:00:00"/>
    <n v="17626.240000000002"/>
    <s v="tier - 1"/>
    <s v="tier - 3"/>
    <s v="R1013"/>
    <n v="32"/>
  </r>
  <r>
    <s v="Id1779"/>
    <s v="Mone, Mr.  Peter J. Jr."/>
    <n v="35.75"/>
    <n v="5.07"/>
    <s v="No"/>
    <s v="No"/>
    <x v="0"/>
    <n v="0"/>
    <x v="1"/>
    <x v="0"/>
    <s v="Normal"/>
    <n v="1994"/>
    <s v="Jul"/>
    <n v="1"/>
    <n v="3"/>
    <d v="1994-07-01T00:00:00"/>
    <n v="17663.14"/>
    <s v="tier - 1"/>
    <s v="tier - 3"/>
    <s v="R1013"/>
    <n v="28"/>
  </r>
  <r>
    <s v="Id1780"/>
    <s v="Powers, Ms.  Colleen M"/>
    <n v="29.92"/>
    <n v="10.97"/>
    <s v="yes"/>
    <s v="No"/>
    <x v="0"/>
    <n v="1"/>
    <x v="1"/>
    <x v="0"/>
    <s v="Diabetes"/>
    <n v="2003"/>
    <s v="Jul"/>
    <n v="14"/>
    <n v="0"/>
    <d v="2003-07-14T00:00:00"/>
    <n v="17748.509999999998"/>
    <s v="tier - 1"/>
    <s v="tier - 1"/>
    <s v="R1012"/>
    <n v="19"/>
  </r>
  <r>
    <s v="Id1781"/>
    <s v="Ulery, Ms.  Julie A."/>
    <n v="26.2"/>
    <n v="10.93"/>
    <s v="yes"/>
    <s v="No"/>
    <x v="0"/>
    <n v="1"/>
    <x v="1"/>
    <x v="1"/>
    <s v="Diabetes"/>
    <n v="1966"/>
    <s v="Jun"/>
    <n v="21"/>
    <n v="0"/>
    <d v="1966-06-21T00:00:00"/>
    <n v="17777.73"/>
    <s v="tier - 1"/>
    <s v="tier - 3"/>
    <s v="R1012"/>
    <n v="56"/>
  </r>
  <r>
    <s v="Id1782"/>
    <s v="Haines, Mr.  Douglas W"/>
    <n v="26.695"/>
    <n v="4.21"/>
    <s v="yes"/>
    <s v="No"/>
    <x v="1"/>
    <n v="1"/>
    <x v="1"/>
    <x v="1"/>
    <s v="Normal"/>
    <n v="1979"/>
    <s v="Oct"/>
    <n v="10"/>
    <n v="2"/>
    <d v="1979-10-10T00:00:00"/>
    <n v="17779.939999999999"/>
    <s v="tier - 1"/>
    <s v="tier - 2"/>
    <s v="R1012"/>
    <n v="43"/>
  </r>
  <r>
    <s v="Id1783"/>
    <s v="Airoldi, Ms.  Catherine"/>
    <n v="23.16"/>
    <n v="5.5"/>
    <s v="No"/>
    <s v="No"/>
    <x v="0"/>
    <n v="0"/>
    <x v="1"/>
    <x v="2"/>
    <s v="Normal"/>
    <n v="1963"/>
    <s v="Dec"/>
    <n v="8"/>
    <n v="0"/>
    <d v="1963-12-08T00:00:00"/>
    <n v="17832.599999999999"/>
    <s v="tier - 1"/>
    <s v="tier - 2"/>
    <s v="R1012"/>
    <n v="59"/>
  </r>
  <r>
    <s v="Id1784"/>
    <s v="Mattis, Mr.  James A"/>
    <n v="32.585000000000001"/>
    <n v="4.93"/>
    <s v="yes"/>
    <s v="No"/>
    <x v="0"/>
    <n v="1"/>
    <x v="1"/>
    <x v="0"/>
    <s v="Normal"/>
    <n v="1976"/>
    <s v="Dec"/>
    <n v="12"/>
    <n v="2"/>
    <d v="1976-12-12T00:00:00"/>
    <n v="17862.919999999998"/>
    <s v="tier - 1"/>
    <s v="tier - 2"/>
    <s v="R1012"/>
    <n v="46"/>
  </r>
  <r>
    <s v="Id1785"/>
    <s v="Cho, Mr.  Youngseong"/>
    <n v="33.97"/>
    <n v="5.6"/>
    <s v="yes"/>
    <s v="No"/>
    <x v="0"/>
    <n v="0"/>
    <x v="1"/>
    <x v="0"/>
    <s v="Normal"/>
    <n v="1997"/>
    <s v="Aug"/>
    <n v="26"/>
    <n v="0"/>
    <d v="1997-08-26T00:00:00"/>
    <n v="17878.900000000001"/>
    <s v="tier - 1"/>
    <s v="tier - 2"/>
    <s v="R1024"/>
    <n v="25"/>
  </r>
  <r>
    <s v="Id1786"/>
    <s v="Reumann, Mr.  John"/>
    <n v="16.57"/>
    <n v="9.99"/>
    <s v="No"/>
    <s v="No"/>
    <x v="0"/>
    <n v="0"/>
    <x v="1"/>
    <x v="3"/>
    <s v="Diabetes"/>
    <n v="1979"/>
    <s v="Nov"/>
    <n v="12"/>
    <n v="2"/>
    <d v="1979-11-12T00:00:00"/>
    <n v="17882.669999999998"/>
    <s v="tier - 1"/>
    <s v="tier - 3"/>
    <s v="R1012"/>
    <n v="43"/>
  </r>
  <r>
    <s v="Id1787"/>
    <s v="Cooper, Mr.  Brandon S."/>
    <n v="17.55"/>
    <n v="5.93"/>
    <s v="No"/>
    <s v="No"/>
    <x v="1"/>
    <n v="1"/>
    <x v="1"/>
    <x v="3"/>
    <s v="Prediabetes"/>
    <n v="1989"/>
    <s v="Dec"/>
    <n v="4"/>
    <n v="0"/>
    <d v="1989-12-04T00:00:00"/>
    <n v="17904.53"/>
    <s v="tier - 1"/>
    <s v="tier - 2"/>
    <s v="R1017"/>
    <n v="33"/>
  </r>
  <r>
    <s v="Id1788"/>
    <s v="Kennedy, Mr.  Sean P"/>
    <n v="29.41"/>
    <n v="6.29"/>
    <s v="yes"/>
    <s v="No"/>
    <x v="0"/>
    <n v="1"/>
    <x v="1"/>
    <x v="1"/>
    <s v="Prediabetes"/>
    <n v="1977"/>
    <s v="Oct"/>
    <n v="17"/>
    <n v="0"/>
    <d v="1977-10-17T00:00:00"/>
    <n v="17929.3"/>
    <s v="tier - 1"/>
    <s v="tier - 2"/>
    <s v="R1013"/>
    <n v="45"/>
  </r>
  <r>
    <s v="Id1789"/>
    <s v="Cichon, Mr.  Scott"/>
    <n v="17.91"/>
    <n v="5.65"/>
    <s v="No"/>
    <s v="No"/>
    <x v="0"/>
    <n v="1"/>
    <x v="1"/>
    <x v="3"/>
    <s v="Normal"/>
    <n v="2001"/>
    <s v="Sep"/>
    <n v="28"/>
    <n v="4"/>
    <d v="2001-09-28T00:00:00"/>
    <n v="17942.11"/>
    <s v="tier - 1"/>
    <s v="tier - 2"/>
    <s v="R1011"/>
    <n v="21"/>
  </r>
  <r>
    <s v="Id1790"/>
    <s v="Maroevic, Mr.  Janez"/>
    <n v="31.57"/>
    <n v="6.15"/>
    <s v="No"/>
    <s v="No"/>
    <x v="0"/>
    <n v="1"/>
    <x v="1"/>
    <x v="0"/>
    <s v="Prediabetes"/>
    <n v="1975"/>
    <s v="Jun"/>
    <n v="27"/>
    <n v="1"/>
    <d v="1975-06-27T00:00:00"/>
    <n v="18031.16"/>
    <s v="tier - 1"/>
    <s v="tier - 3"/>
    <s v="R1023"/>
    <n v="47"/>
  </r>
  <r>
    <s v="Id1791"/>
    <s v="Martin, Mr.  John I. Jr."/>
    <n v="33.18"/>
    <n v="5.22"/>
    <s v="No"/>
    <s v="yes"/>
    <x v="0"/>
    <n v="1"/>
    <x v="1"/>
    <x v="0"/>
    <s v="Normal"/>
    <n v="1965"/>
    <s v="Oct"/>
    <n v="17"/>
    <n v="0"/>
    <d v="1965-10-17T00:00:00"/>
    <n v="18031.189999999999"/>
    <s v="tier - 1"/>
    <s v="tier - 2"/>
    <s v="R1012"/>
    <n v="57"/>
  </r>
  <r>
    <s v="Id1792"/>
    <s v="Schulz, Ms.  Heather"/>
    <n v="37"/>
    <n v="11.66"/>
    <s v="No"/>
    <s v="No"/>
    <x v="0"/>
    <n v="0"/>
    <x v="1"/>
    <x v="0"/>
    <s v="Diabetes"/>
    <n v="1999"/>
    <s v="Oct"/>
    <n v="24"/>
    <n v="0"/>
    <d v="1999-10-24T00:00:00"/>
    <n v="18033.97"/>
    <s v="tier - 1"/>
    <s v="tier - 1"/>
    <s v="R1012"/>
    <n v="23"/>
  </r>
  <r>
    <s v="Id1793"/>
    <s v="Capriolo, Mr.  Michael"/>
    <n v="18.905000000000001"/>
    <n v="4.91"/>
    <s v="yes"/>
    <s v="No"/>
    <x v="0"/>
    <n v="1"/>
    <x v="1"/>
    <x v="2"/>
    <s v="Normal"/>
    <n v="1993"/>
    <s v="Jul"/>
    <n v="12"/>
    <n v="2"/>
    <d v="1993-07-12T00:00:00"/>
    <n v="18157.88"/>
    <s v="tier - 1"/>
    <s v="tier - 1"/>
    <s v="R1012"/>
    <n v="29"/>
  </r>
  <r>
    <s v="Id1794"/>
    <s v="Borleis, Ms.  Kathleen"/>
    <n v="20.03"/>
    <n v="9.25"/>
    <s v="yes"/>
    <s v="No"/>
    <x v="0"/>
    <n v="0"/>
    <x v="1"/>
    <x v="2"/>
    <s v="Diabetes"/>
    <n v="1963"/>
    <s v="Jul"/>
    <n v="4"/>
    <n v="0"/>
    <d v="1963-07-04T00:00:00"/>
    <n v="18208.34"/>
    <s v="tier - 1"/>
    <s v="tier - 2"/>
    <s v="R1026"/>
    <n v="59"/>
  </r>
  <r>
    <s v="Id1795"/>
    <s v="Kramer, Mr.  Ryan M"/>
    <n v="16.7"/>
    <n v="11.48"/>
    <s v="No"/>
    <s v="No"/>
    <x v="0"/>
    <n v="0"/>
    <x v="1"/>
    <x v="3"/>
    <s v="Diabetes"/>
    <n v="1997"/>
    <s v="Jun"/>
    <n v="15"/>
    <n v="1"/>
    <d v="1997-06-15T00:00:00"/>
    <n v="18218.16"/>
    <s v="tier - 1"/>
    <s v="tier - 1"/>
    <s v="R1013"/>
    <n v="25"/>
  </r>
  <r>
    <s v="Id1796"/>
    <s v="Conrad, Ms.  Sara"/>
    <n v="39.82"/>
    <n v="6.06"/>
    <s v="No"/>
    <s v="No"/>
    <x v="0"/>
    <n v="0"/>
    <x v="1"/>
    <x v="0"/>
    <s v="Prediabetes"/>
    <n v="2004"/>
    <s v="Sep"/>
    <n v="10"/>
    <n v="3"/>
    <d v="2004-09-10T00:00:00"/>
    <n v="18223.45"/>
    <s v="tier - 1"/>
    <s v="tier - 3"/>
    <s v="R1013"/>
    <n v="18"/>
  </r>
  <r>
    <s v="Id1797"/>
    <s v="Karakoyunlu, Mr.  Deniz"/>
    <n v="22.04"/>
    <n v="5.86"/>
    <s v="No"/>
    <s v="No"/>
    <x v="0"/>
    <n v="1"/>
    <x v="1"/>
    <x v="2"/>
    <s v="Prediabetes"/>
    <n v="1995"/>
    <s v="Aug"/>
    <n v="3"/>
    <n v="0"/>
    <d v="1995-08-03T00:00:00"/>
    <n v="18246.5"/>
    <s v="tier - 1"/>
    <s v="tier - 1"/>
    <s v="R1013"/>
    <n v="27"/>
  </r>
  <r>
    <s v="Id1798"/>
    <s v="Desrosiers, Ms.  Shannon L."/>
    <n v="28.27"/>
    <n v="5.33"/>
    <s v="No"/>
    <s v="No"/>
    <x v="0"/>
    <n v="0"/>
    <x v="1"/>
    <x v="1"/>
    <s v="Normal"/>
    <n v="1992"/>
    <s v="Dec"/>
    <n v="25"/>
    <n v="3"/>
    <d v="1992-12-25T00:00:00"/>
    <n v="18259.22"/>
    <s v="tier - 1"/>
    <s v="tier - 3"/>
    <s v="R1011"/>
    <n v="30"/>
  </r>
  <r>
    <s v="Id1799"/>
    <s v="O'Mara, Ms.  Kaitlin M."/>
    <n v="18.5"/>
    <n v="5.33"/>
    <s v="No"/>
    <s v="No"/>
    <x v="0"/>
    <n v="0"/>
    <x v="1"/>
    <x v="2"/>
    <s v="Normal"/>
    <n v="1995"/>
    <s v="Jul"/>
    <n v="4"/>
    <n v="0"/>
    <d v="1995-07-04T00:00:00"/>
    <n v="18310.740000000002"/>
    <s v="tier - 1"/>
    <s v="tier - 3"/>
    <s v="R1012"/>
    <n v="27"/>
  </r>
  <r>
    <s v="Id1800"/>
    <s v="Shabot Marcos, Mr.  Alfredo"/>
    <n v="38.6"/>
    <n v="6.02"/>
    <s v="No"/>
    <s v="No"/>
    <x v="0"/>
    <n v="1"/>
    <x v="1"/>
    <x v="0"/>
    <s v="Prediabetes"/>
    <n v="1999"/>
    <s v="Dec"/>
    <n v="15"/>
    <n v="1"/>
    <d v="1999-12-15T00:00:00"/>
    <n v="18328.240000000002"/>
    <s v="tier - 1"/>
    <s v="tier - 2"/>
    <s v="R1013"/>
    <n v="23"/>
  </r>
  <r>
    <s v="Id1801"/>
    <s v="Comment, Ms.  Kristen"/>
    <n v="43.12"/>
    <n v="6.25"/>
    <s v="No"/>
    <s v="No"/>
    <x v="0"/>
    <n v="1"/>
    <x v="1"/>
    <x v="0"/>
    <s v="Prediabetes"/>
    <n v="1964"/>
    <s v="Sep"/>
    <n v="26"/>
    <n v="0"/>
    <d v="1964-09-26T00:00:00"/>
    <n v="18443.11"/>
    <s v="tier - 1"/>
    <s v="tier - 2"/>
    <s v="R1012"/>
    <n v="58"/>
  </r>
  <r>
    <s v="Id1802"/>
    <s v="Moss, Mr.  Daniel"/>
    <n v="30.5"/>
    <n v="4.8099999999999996"/>
    <s v="No"/>
    <s v="No"/>
    <x v="0"/>
    <n v="1"/>
    <x v="1"/>
    <x v="0"/>
    <s v="Normal"/>
    <n v="1986"/>
    <s v="Aug"/>
    <n v="12"/>
    <n v="2"/>
    <d v="1986-08-12T00:00:00"/>
    <n v="18608.259999999998"/>
    <s v="tier - 1"/>
    <s v="tier - 3"/>
    <s v="R1011"/>
    <n v="36"/>
  </r>
  <r>
    <s v="Id1803"/>
    <s v="Guzman, Mr.  Jonathan"/>
    <n v="27.61"/>
    <n v="4.5999999999999996"/>
    <s v="No"/>
    <s v="No"/>
    <x v="0"/>
    <n v="1"/>
    <x v="1"/>
    <x v="1"/>
    <s v="Normal"/>
    <n v="1998"/>
    <s v="Sep"/>
    <n v="23"/>
    <n v="0"/>
    <d v="1998-09-23T00:00:00"/>
    <n v="18648.419999999998"/>
    <s v="tier - 1"/>
    <s v="tier - 1"/>
    <s v="R1019"/>
    <n v="24"/>
  </r>
  <r>
    <s v="Id1804"/>
    <s v="Cox, Mr.  Troy"/>
    <n v="27.1"/>
    <n v="5.08"/>
    <s v="No"/>
    <s v="No"/>
    <x v="0"/>
    <n v="1"/>
    <x v="1"/>
    <x v="1"/>
    <s v="Normal"/>
    <n v="1970"/>
    <s v="Oct"/>
    <n v="17"/>
    <n v="0"/>
    <d v="1970-10-17T00:00:00"/>
    <n v="18682.740000000002"/>
    <s v="tier - 1"/>
    <s v="tier - 3"/>
    <s v="R1012"/>
    <n v="52"/>
  </r>
  <r>
    <s v="Id1805"/>
    <s v="Clash, Mr.  Daniel C"/>
    <n v="35.93"/>
    <n v="5.43"/>
    <s v="No"/>
    <s v="yes"/>
    <x v="0"/>
    <n v="1"/>
    <x v="1"/>
    <x v="0"/>
    <s v="Normal"/>
    <n v="1967"/>
    <s v="Aug"/>
    <n v="30"/>
    <n v="0"/>
    <d v="1967-08-30T00:00:00"/>
    <n v="18694.689999999999"/>
    <s v="tier - 1"/>
    <s v="tier - 1"/>
    <s v="R1023"/>
    <n v="55"/>
  </r>
  <r>
    <s v="Id1806"/>
    <s v="Blankenship, Ms.  Lauren"/>
    <n v="32.68"/>
    <n v="5.44"/>
    <s v="No"/>
    <s v="No"/>
    <x v="0"/>
    <n v="0"/>
    <x v="1"/>
    <x v="0"/>
    <s v="Normal"/>
    <n v="1992"/>
    <s v="Dec"/>
    <n v="27"/>
    <n v="3"/>
    <d v="1992-12-27T00:00:00"/>
    <n v="18765.88"/>
    <s v="tier - 1"/>
    <s v="tier - 2"/>
    <s v="R1012"/>
    <n v="30"/>
  </r>
  <r>
    <s v="Id1807"/>
    <s v="Lloyd, Ms.  Jennefer"/>
    <n v="20.74"/>
    <n v="11.69"/>
    <s v="yes"/>
    <s v="No"/>
    <x v="0"/>
    <n v="1"/>
    <x v="1"/>
    <x v="2"/>
    <s v="Diabetes"/>
    <n v="1979"/>
    <s v="Nov"/>
    <n v="19"/>
    <n v="2"/>
    <d v="1979-11-19T00:00:00"/>
    <n v="18767.740000000002"/>
    <s v="tier - 1"/>
    <s v="tier - 1"/>
    <s v="R1013"/>
    <n v="43"/>
  </r>
  <r>
    <s v="Id1808"/>
    <s v="Kong, Ms.  Tracey L."/>
    <n v="15.57"/>
    <n v="6.07"/>
    <s v="No"/>
    <s v="No"/>
    <x v="0"/>
    <n v="0"/>
    <x v="1"/>
    <x v="3"/>
    <s v="Prediabetes"/>
    <n v="1995"/>
    <s v="Nov"/>
    <n v="28"/>
    <n v="3"/>
    <d v="1995-11-28T00:00:00"/>
    <n v="18804.75"/>
    <s v="tier - 1"/>
    <s v="tier - 1"/>
    <s v="R1012"/>
    <n v="27"/>
  </r>
  <r>
    <s v="Id1809"/>
    <s v="Benson, Ms.  Ashley"/>
    <n v="23.844999999999999"/>
    <n v="4.3600000000000003"/>
    <s v="No"/>
    <s v="No"/>
    <x v="0"/>
    <n v="0"/>
    <x v="1"/>
    <x v="2"/>
    <s v="Normal"/>
    <n v="1979"/>
    <s v="Oct"/>
    <n v="15"/>
    <n v="2"/>
    <d v="1979-10-15T00:00:00"/>
    <n v="18806.150000000001"/>
    <s v="tier - 1"/>
    <s v="tier - 2"/>
    <s v="R1013"/>
    <n v="43"/>
  </r>
  <r>
    <s v="Id1810"/>
    <s v="Huntington, Ms.  Cindy"/>
    <n v="22.895"/>
    <n v="5.24"/>
    <s v="No"/>
    <s v="No"/>
    <x v="0"/>
    <n v="1"/>
    <x v="1"/>
    <x v="2"/>
    <s v="Normal"/>
    <n v="1962"/>
    <s v="Dec"/>
    <n v="18"/>
    <n v="0"/>
    <d v="1962-12-18T00:00:00"/>
    <n v="18815.53"/>
    <s v="tier - 1"/>
    <s v="tier - 1"/>
    <s v="R1023"/>
    <n v="60"/>
  </r>
  <r>
    <s v="Id1811"/>
    <s v="Kendall, Ms.  Esther"/>
    <n v="21.945"/>
    <n v="5.37"/>
    <s v="No"/>
    <s v="No"/>
    <x v="0"/>
    <n v="1"/>
    <x v="1"/>
    <x v="2"/>
    <s v="Normal"/>
    <n v="2003"/>
    <s v="Jul"/>
    <n v="24"/>
    <n v="3"/>
    <d v="2003-07-24T00:00:00"/>
    <n v="18838.7"/>
    <s v="tier - 1"/>
    <s v="tier - 3"/>
    <s v="R1012"/>
    <n v="19"/>
  </r>
  <r>
    <s v="Id1812"/>
    <s v="Gast, Ms.  Jackie"/>
    <n v="19.47"/>
    <n v="6.6"/>
    <s v="yes"/>
    <s v="No"/>
    <x v="0"/>
    <n v="0"/>
    <x v="1"/>
    <x v="2"/>
    <s v="Diabetes"/>
    <n v="1963"/>
    <s v="Dec"/>
    <n v="6"/>
    <n v="0"/>
    <d v="1963-12-06T00:00:00"/>
    <n v="18883.330000000002"/>
    <s v="tier - 1"/>
    <s v="tier - 1"/>
    <s v="R1026"/>
    <n v="59"/>
  </r>
  <r>
    <s v="Id1813"/>
    <s v="Scanlin, Mr.  Timothy P."/>
    <n v="15.61"/>
    <n v="5.77"/>
    <s v="No"/>
    <s v="No"/>
    <x v="0"/>
    <n v="0"/>
    <x v="1"/>
    <x v="3"/>
    <s v="Prediabetes"/>
    <n v="1995"/>
    <s v="Sep"/>
    <n v="27"/>
    <n v="1"/>
    <d v="1995-09-27T00:00:00"/>
    <n v="18903.490000000002"/>
    <s v="tier - 1"/>
    <s v="tier - 2"/>
    <s v="R1024"/>
    <n v="27"/>
  </r>
  <r>
    <s v="Id1814"/>
    <s v="Philbrook, Ms.  Lauren"/>
    <n v="28.6"/>
    <n v="6.08"/>
    <s v="No"/>
    <s v="No"/>
    <x v="1"/>
    <n v="1"/>
    <x v="1"/>
    <x v="1"/>
    <s v="Prediabetes"/>
    <n v="1969"/>
    <s v="Aug"/>
    <n v="3"/>
    <n v="0"/>
    <d v="1969-08-03T00:00:00"/>
    <n v="18932.810000000001"/>
    <s v="tier - 1"/>
    <s v="tier - 3"/>
    <s v="R1012"/>
    <n v="53"/>
  </r>
  <r>
    <s v="Id1815"/>
    <s v="Cowan, Mr.  Benjamin"/>
    <n v="46.53"/>
    <n v="4.16"/>
    <s v="No"/>
    <s v="No"/>
    <x v="0"/>
    <n v="0"/>
    <x v="1"/>
    <x v="0"/>
    <s v="Normal"/>
    <n v="1963"/>
    <s v="Oct"/>
    <n v="20"/>
    <n v="0"/>
    <d v="1963-10-20T00:00:00"/>
    <n v="18954.560000000001"/>
    <s v="tier - 1"/>
    <s v="tier - 1"/>
    <s v="R1026"/>
    <n v="59"/>
  </r>
  <r>
    <s v="Id1816"/>
    <s v="Sousa, Mr.  Hugo M"/>
    <n v="34.99"/>
    <n v="5.0999999999999996"/>
    <s v="No"/>
    <s v="No"/>
    <x v="1"/>
    <n v="1"/>
    <x v="1"/>
    <x v="0"/>
    <s v="Normal"/>
    <n v="1998"/>
    <s v="Aug"/>
    <n v="6"/>
    <n v="0"/>
    <d v="1998-08-06T00:00:00"/>
    <n v="18955.22"/>
    <s v="tier - 1"/>
    <s v="tier - 3"/>
    <s v="R1011"/>
    <n v="24"/>
  </r>
  <r>
    <s v="Id1817"/>
    <s v="Stanton, Mr.  Daniel J. Jr."/>
    <n v="17.05"/>
    <n v="5.3"/>
    <s v="No"/>
    <s v="No"/>
    <x v="1"/>
    <n v="1"/>
    <x v="1"/>
    <x v="3"/>
    <s v="Normal"/>
    <n v="1992"/>
    <s v="Nov"/>
    <n v="30"/>
    <n v="1"/>
    <d v="1992-11-30T00:00:00"/>
    <n v="18963.169999999998"/>
    <s v="tier - 1"/>
    <s v="tier - 1"/>
    <s v="R1013"/>
    <n v="30"/>
  </r>
  <r>
    <s v="Id1818"/>
    <s v="Mollak, Mr.  Justin R"/>
    <n v="37.18"/>
    <n v="4.9000000000000004"/>
    <s v="No"/>
    <s v="No"/>
    <x v="0"/>
    <n v="0"/>
    <x v="1"/>
    <x v="0"/>
    <s v="Normal"/>
    <n v="1988"/>
    <s v="Oct"/>
    <n v="24"/>
    <n v="2"/>
    <d v="1988-10-24T00:00:00"/>
    <n v="18972.5"/>
    <s v="tier - 1"/>
    <s v="tier - 3"/>
    <s v="R1013"/>
    <n v="34"/>
  </r>
  <r>
    <s v="Id1819"/>
    <s v="Bell, Mr.  Colin"/>
    <n v="35.200000000000003"/>
    <n v="5.55"/>
    <s v="No"/>
    <s v="No"/>
    <x v="0"/>
    <n v="0"/>
    <x v="1"/>
    <x v="0"/>
    <s v="Normal"/>
    <n v="1983"/>
    <s v="Dec"/>
    <n v="19"/>
    <n v="5"/>
    <d v="1983-12-19T00:00:00"/>
    <n v="19023.259999999998"/>
    <s v="tier - 1"/>
    <s v="tier - 3"/>
    <s v="R1011"/>
    <n v="39"/>
  </r>
  <r>
    <s v="Id1820"/>
    <s v="Weston, Mr.  Rob"/>
    <n v="37.335000000000001"/>
    <n v="4.95"/>
    <s v="No"/>
    <s v="No"/>
    <x v="0"/>
    <n v="0"/>
    <x v="1"/>
    <x v="0"/>
    <s v="Normal"/>
    <n v="1989"/>
    <s v="Jun"/>
    <n v="5"/>
    <n v="1"/>
    <d v="1989-06-05T00:00:00"/>
    <n v="19040.88"/>
    <s v="tier - 1"/>
    <s v="tier - 3"/>
    <s v="R1011"/>
    <n v="34"/>
  </r>
  <r>
    <s v="Id1821"/>
    <s v="Rabuzzi, Mr.  Patrick"/>
    <n v="27.265000000000001"/>
    <n v="6.46"/>
    <s v="yes"/>
    <s v="No"/>
    <x v="0"/>
    <n v="0"/>
    <x v="1"/>
    <x v="1"/>
    <s v="Diabetes"/>
    <n v="1993"/>
    <s v="Sep"/>
    <n v="28"/>
    <n v="1"/>
    <d v="1993-09-28T00:00:00"/>
    <n v="19107.78"/>
    <s v="tier - 1"/>
    <s v="tier - 2"/>
    <s v="R1013"/>
    <n v="29"/>
  </r>
  <r>
    <s v="Id1822"/>
    <s v="Hendrix, Mr.  Austin D"/>
    <n v="30.8"/>
    <n v="4.9000000000000004"/>
    <s v="yes"/>
    <s v="No"/>
    <x v="0"/>
    <n v="0"/>
    <x v="1"/>
    <x v="0"/>
    <s v="Normal"/>
    <n v="1979"/>
    <s v="Jul"/>
    <n v="2"/>
    <n v="2"/>
    <d v="1979-07-02T00:00:00"/>
    <n v="19144.580000000002"/>
    <s v="tier - 1"/>
    <s v="tier - 1"/>
    <s v="R1024"/>
    <n v="43"/>
  </r>
  <r>
    <s v="Id1823"/>
    <s v="Van Nielen, Ms.  Brittany"/>
    <n v="30.21"/>
    <n v="5.21"/>
    <s v="No"/>
    <s v="No"/>
    <x v="0"/>
    <n v="1"/>
    <x v="1"/>
    <x v="0"/>
    <s v="Normal"/>
    <n v="1991"/>
    <s v="Sep"/>
    <n v="16"/>
    <n v="3"/>
    <d v="1991-09-16T00:00:00"/>
    <n v="19199.939999999999"/>
    <s v="tier - 1"/>
    <s v="tier - 3"/>
    <s v="R1011"/>
    <n v="31"/>
  </r>
  <r>
    <s v="Id1824"/>
    <s v="Blanton, Mr.  Matthew T"/>
    <n v="35.340000000000003"/>
    <n v="4.13"/>
    <s v="No"/>
    <s v="yes"/>
    <x v="0"/>
    <n v="1"/>
    <x v="1"/>
    <x v="0"/>
    <s v="Normal"/>
    <n v="1985"/>
    <s v="Dec"/>
    <n v="28"/>
    <n v="0"/>
    <d v="1985-12-28T00:00:00"/>
    <n v="19214.71"/>
    <s v="tier - 1"/>
    <s v="tier - 3"/>
    <s v="R1013"/>
    <n v="37"/>
  </r>
  <r>
    <s v="Id1825"/>
    <s v="Schout, Ms.  Becky G."/>
    <n v="26.695"/>
    <n v="5.28"/>
    <s v="No"/>
    <s v="No"/>
    <x v="0"/>
    <n v="0"/>
    <x v="1"/>
    <x v="1"/>
    <s v="Normal"/>
    <n v="1967"/>
    <s v="Jul"/>
    <n v="29"/>
    <n v="0"/>
    <d v="1967-07-29T00:00:00"/>
    <n v="19259.96"/>
    <s v="tier - 1"/>
    <s v="tier - 1"/>
    <s v="R1012"/>
    <n v="55"/>
  </r>
  <r>
    <s v="Id1826"/>
    <s v="Schmaltz, Ms.  Virginie"/>
    <n v="29.355"/>
    <n v="4.68"/>
    <s v="yes"/>
    <s v="No"/>
    <x v="0"/>
    <n v="0"/>
    <x v="1"/>
    <x v="1"/>
    <s v="Normal"/>
    <n v="1966"/>
    <s v="Nov"/>
    <n v="15"/>
    <n v="0"/>
    <d v="1966-11-15T00:00:00"/>
    <n v="19321.060000000001"/>
    <s v="tier - 1"/>
    <s v="tier - 1"/>
    <s v="R1012"/>
    <n v="56"/>
  </r>
  <r>
    <s v="Id1827"/>
    <s v="Eagen, Ms.  Allison A"/>
    <n v="29.59"/>
    <n v="4.0599999999999996"/>
    <s v="No"/>
    <s v="No"/>
    <x v="0"/>
    <n v="0"/>
    <x v="1"/>
    <x v="1"/>
    <s v="Normal"/>
    <n v="1991"/>
    <s v="Aug"/>
    <n v="24"/>
    <n v="0"/>
    <d v="1991-08-24T00:00:00"/>
    <n v="19350.37"/>
    <s v="tier - 1"/>
    <s v="tier - 3"/>
    <s v="R1013"/>
    <n v="31"/>
  </r>
  <r>
    <s v="Id1828"/>
    <s v="Rotramel, Ms.  Julie"/>
    <n v="31.35"/>
    <n v="4.2"/>
    <s v="No"/>
    <s v="yes"/>
    <x v="0"/>
    <n v="1"/>
    <x v="1"/>
    <x v="0"/>
    <s v="Normal"/>
    <n v="1987"/>
    <s v="Jun"/>
    <n v="30"/>
    <n v="3"/>
    <d v="1987-06-30T00:00:00"/>
    <n v="19362"/>
    <s v="tier - 1"/>
    <s v="tier - 3"/>
    <s v="R1013"/>
    <n v="35"/>
  </r>
  <r>
    <s v="Id1829"/>
    <s v="Prevost, Ms.  Katherine"/>
    <n v="20.52"/>
    <n v="4.83"/>
    <s v="No"/>
    <s v="No"/>
    <x v="0"/>
    <n v="0"/>
    <x v="1"/>
    <x v="2"/>
    <s v="Normal"/>
    <n v="1993"/>
    <s v="Sep"/>
    <n v="6"/>
    <n v="2"/>
    <d v="1993-09-06T00:00:00"/>
    <n v="19442.349999999999"/>
    <s v="tier - 1"/>
    <s v="tier - 3"/>
    <s v="R1012"/>
    <n v="29"/>
  </r>
  <r>
    <s v="Id1830"/>
    <s v="Boyd, Mr.  Caleb"/>
    <n v="42.9"/>
    <n v="4.87"/>
    <s v="yes"/>
    <s v="No"/>
    <x v="0"/>
    <n v="1"/>
    <x v="1"/>
    <x v="0"/>
    <s v="Normal"/>
    <n v="1982"/>
    <s v="Dec"/>
    <n v="15"/>
    <n v="2"/>
    <d v="1982-12-15T00:00:00"/>
    <n v="19444.27"/>
    <s v="tier - 1"/>
    <s v="tier - 1"/>
    <s v="R1013"/>
    <n v="40"/>
  </r>
  <r>
    <s v="Id1831"/>
    <s v="Dawes, Ms.  Jaime"/>
    <n v="24.6"/>
    <n v="5.86"/>
    <s v="No"/>
    <s v="No"/>
    <x v="1"/>
    <n v="1"/>
    <x v="1"/>
    <x v="2"/>
    <s v="Prediabetes"/>
    <n v="1987"/>
    <s v="Nov"/>
    <n v="30"/>
    <n v="4"/>
    <d v="1987-11-30T00:00:00"/>
    <n v="19496.72"/>
    <s v="tier - 1"/>
    <s v="tier - 3"/>
    <s v="R1019"/>
    <n v="35"/>
  </r>
  <r>
    <s v="Id1832"/>
    <s v="Jennings, Ms.  Hannah"/>
    <n v="28.405000000000001"/>
    <n v="4.12"/>
    <s v="No"/>
    <s v="No"/>
    <x v="0"/>
    <n v="1"/>
    <x v="1"/>
    <x v="1"/>
    <s v="Normal"/>
    <n v="1980"/>
    <s v="Nov"/>
    <n v="8"/>
    <n v="0"/>
    <d v="1980-11-08T00:00:00"/>
    <n v="19515.54"/>
    <s v="tier - 1"/>
    <s v="tier - 1"/>
    <s v="R1013"/>
    <n v="42"/>
  </r>
  <r>
    <s v="Id1833"/>
    <s v="Nyambaso, Mr.  Zachariah"/>
    <n v="34.674999999999997"/>
    <n v="5.71"/>
    <s v="yes"/>
    <s v="No"/>
    <x v="0"/>
    <n v="1"/>
    <x v="1"/>
    <x v="0"/>
    <s v="Prediabetes"/>
    <n v="1992"/>
    <s v="Aug"/>
    <n v="19"/>
    <n v="1"/>
    <d v="1992-08-19T00:00:00"/>
    <n v="19521.97"/>
    <s v="tier - 1"/>
    <s v="tier - 2"/>
    <s v="R1013"/>
    <n v="30"/>
  </r>
  <r>
    <s v="Id1834"/>
    <s v="Shaffer, Ms.  Patricia A"/>
    <n v="18.850000000000001"/>
    <n v="6.03"/>
    <s v="No"/>
    <s v="No"/>
    <x v="0"/>
    <n v="1"/>
    <x v="1"/>
    <x v="2"/>
    <s v="Prediabetes"/>
    <n v="1985"/>
    <s v="Sep"/>
    <n v="17"/>
    <n v="0"/>
    <d v="1985-09-17T00:00:00"/>
    <n v="19539.240000000002"/>
    <s v="tier - 1"/>
    <s v="tier - 1"/>
    <s v="R1013"/>
    <n v="37"/>
  </r>
  <r>
    <s v="Id1835"/>
    <s v="Corkum, Mrs.  Elizabeth A."/>
    <n v="34.130000000000003"/>
    <n v="5.65"/>
    <s v="No"/>
    <s v="No"/>
    <x v="1"/>
    <n v="1"/>
    <x v="1"/>
    <x v="0"/>
    <s v="Normal"/>
    <n v="1963"/>
    <s v="Jul"/>
    <n v="14"/>
    <n v="0"/>
    <d v="1963-07-14T00:00:00"/>
    <n v="19551.34"/>
    <s v="tier - 1"/>
    <s v="tier - 3"/>
    <s v="R1012"/>
    <n v="59"/>
  </r>
  <r>
    <s v="Id1836"/>
    <s v="Pedersen, Mr.  Benjamin"/>
    <n v="17.34"/>
    <n v="5.05"/>
    <s v="No"/>
    <s v="No"/>
    <x v="0"/>
    <n v="0"/>
    <x v="1"/>
    <x v="3"/>
    <s v="Normal"/>
    <n v="1978"/>
    <s v="Sep"/>
    <n v="24"/>
    <n v="1"/>
    <d v="1978-09-24T00:00:00"/>
    <n v="19594.810000000001"/>
    <s v="tier - 1"/>
    <s v="tier - 1"/>
    <s v="R1024"/>
    <n v="44"/>
  </r>
  <r>
    <s v="Id1837"/>
    <s v="Melo, Mr.  Breno"/>
    <n v="17.440000000000001"/>
    <n v="6.26"/>
    <s v="No"/>
    <s v="No"/>
    <x v="0"/>
    <n v="0"/>
    <x v="1"/>
    <x v="3"/>
    <s v="Prediabetes"/>
    <n v="1994"/>
    <s v="Aug"/>
    <n v="27"/>
    <n v="0"/>
    <d v="1994-08-27T00:00:00"/>
    <n v="19673.34"/>
    <s v="tier - 1"/>
    <s v="tier - 2"/>
    <s v="R1012"/>
    <n v="28"/>
  </r>
  <r>
    <s v="Id1838"/>
    <s v="Sakamoto, Mr.  Takaya"/>
    <n v="33.659999999999997"/>
    <n v="4.08"/>
    <s v="yes"/>
    <s v="No"/>
    <x v="1"/>
    <n v="1"/>
    <x v="1"/>
    <x v="0"/>
    <s v="Normal"/>
    <n v="1990"/>
    <s v="Aug"/>
    <n v="8"/>
    <n v="1"/>
    <d v="1990-08-08T00:00:00"/>
    <n v="19719.689999999999"/>
    <s v="tier - 1"/>
    <s v="tier - 2"/>
    <s v="R1013"/>
    <n v="32"/>
  </r>
  <r>
    <s v="Id1839"/>
    <s v="McMahon, Mr.  Thomas IV"/>
    <n v="21.375"/>
    <n v="6.19"/>
    <s v="yes"/>
    <s v="No"/>
    <x v="0"/>
    <n v="1"/>
    <x v="1"/>
    <x v="2"/>
    <s v="Prediabetes"/>
    <n v="1972"/>
    <s v="Jun"/>
    <n v="14"/>
    <n v="3"/>
    <d v="1972-06-14T00:00:00"/>
    <n v="19749.38"/>
    <s v="tier - 1"/>
    <s v="tier - 3"/>
    <s v="R1013"/>
    <n v="50"/>
  </r>
  <r>
    <s v="Id1840"/>
    <s v="Harris, Mr.  Bradley E"/>
    <n v="27.14"/>
    <n v="6.01"/>
    <s v="No"/>
    <s v="No"/>
    <x v="0"/>
    <n v="1"/>
    <x v="1"/>
    <x v="1"/>
    <s v="Prediabetes"/>
    <n v="1979"/>
    <s v="Oct"/>
    <n v="30"/>
    <n v="2"/>
    <d v="1979-10-30T00:00:00"/>
    <n v="19798.05"/>
    <s v="tier - 1"/>
    <s v="tier - 1"/>
    <s v="R1024"/>
    <n v="43"/>
  </r>
  <r>
    <s v="Id1841"/>
    <s v="Lombardo, Ms.  Megan"/>
    <n v="35.78"/>
    <n v="6.07"/>
    <s v="No"/>
    <s v="yes"/>
    <x v="0"/>
    <n v="1"/>
    <x v="1"/>
    <x v="0"/>
    <s v="Prediabetes"/>
    <n v="1997"/>
    <s v="Oct"/>
    <n v="18"/>
    <n v="3"/>
    <d v="1997-10-18T00:00:00"/>
    <n v="19933.46"/>
    <s v="tier - 1"/>
    <s v="tier - 3"/>
    <s v="R1011"/>
    <n v="25"/>
  </r>
  <r>
    <s v="Id1842"/>
    <s v="Bode, Ms.  Ruby J"/>
    <n v="34.96"/>
    <n v="5.63"/>
    <s v="No"/>
    <s v="No"/>
    <x v="0"/>
    <n v="0"/>
    <x v="1"/>
    <x v="0"/>
    <s v="Normal"/>
    <n v="1980"/>
    <s v="Oct"/>
    <n v="9"/>
    <n v="0"/>
    <d v="1980-10-09T00:00:00"/>
    <n v="19964.75"/>
    <s v="tier - 1"/>
    <s v="tier - 2"/>
    <s v="R1024"/>
    <n v="42"/>
  </r>
  <r>
    <s v="Id1843"/>
    <s v="Johnson, Mr.  Bart"/>
    <n v="38.39"/>
    <n v="6.05"/>
    <s v="No"/>
    <s v="No"/>
    <x v="0"/>
    <n v="0"/>
    <x v="1"/>
    <x v="0"/>
    <s v="Prediabetes"/>
    <n v="1966"/>
    <s v="Aug"/>
    <n v="10"/>
    <n v="0"/>
    <d v="1966-08-10T00:00:00"/>
    <n v="19995.29"/>
    <s v="tier - 1"/>
    <s v="tier - 3"/>
    <s v="R1026"/>
    <n v="56"/>
  </r>
  <r>
    <s v="Id1844"/>
    <s v="Norcross, Mr.  Robert A."/>
    <n v="33.82"/>
    <n v="4.6500000000000004"/>
    <s v="No"/>
    <s v="No"/>
    <x v="0"/>
    <n v="0"/>
    <x v="1"/>
    <x v="0"/>
    <s v="Normal"/>
    <n v="1988"/>
    <s v="Jul"/>
    <n v="25"/>
    <n v="1"/>
    <d v="1988-07-25T00:00:00"/>
    <n v="20009.63"/>
    <s v="tier - 2"/>
    <s v="tier - 1"/>
    <s v="R1012"/>
    <n v="34"/>
  </r>
  <r>
    <s v="Id1845"/>
    <s v="Lazrus, Mr.  Adam"/>
    <n v="27.835000000000001"/>
    <n v="5.37"/>
    <s v="No"/>
    <s v="No"/>
    <x v="0"/>
    <n v="0"/>
    <x v="1"/>
    <x v="1"/>
    <s v="Normal"/>
    <n v="1983"/>
    <s v="Oct"/>
    <n v="6"/>
    <n v="0"/>
    <d v="1983-10-06T00:00:00"/>
    <n v="20149.32"/>
    <s v="tier - 2"/>
    <s v="tier - 1"/>
    <s v="R1016"/>
    <n v="39"/>
  </r>
  <r>
    <s v="Id1846"/>
    <s v="Tsegay, Mr.  Yemane Adhane"/>
    <n v="33"/>
    <n v="5.39"/>
    <s v="No"/>
    <s v="No"/>
    <x v="0"/>
    <n v="0"/>
    <x v="1"/>
    <x v="0"/>
    <s v="Normal"/>
    <n v="2002"/>
    <s v="Jul"/>
    <n v="9"/>
    <n v="0"/>
    <d v="2002-07-09T00:00:00"/>
    <n v="20167.34"/>
    <s v="tier - 3"/>
    <s v="tier - 3"/>
    <s v="R1011"/>
    <n v="20"/>
  </r>
  <r>
    <s v="Id1847"/>
    <s v="Schneider, Mr.  Jesse A."/>
    <n v="26.885000000000002"/>
    <n v="5.86"/>
    <s v="No"/>
    <s v="No"/>
    <x v="0"/>
    <n v="0"/>
    <x v="1"/>
    <x v="1"/>
    <s v="Prediabetes"/>
    <n v="1994"/>
    <s v="Jun"/>
    <n v="8"/>
    <n v="2"/>
    <d v="1994-06-08T00:00:00"/>
    <n v="20177.669999999998"/>
    <s v="tier - 2"/>
    <s v="tier - 1"/>
    <s v="R1011"/>
    <n v="29"/>
  </r>
  <r>
    <s v="Id1848"/>
    <s v="Loreto, Mr.  Bird"/>
    <n v="29.26"/>
    <n v="4.4400000000000004"/>
    <s v="No"/>
    <s v="No"/>
    <x v="0"/>
    <n v="0"/>
    <x v="1"/>
    <x v="1"/>
    <s v="Normal"/>
    <n v="1987"/>
    <s v="Oct"/>
    <n v="17"/>
    <n v="0"/>
    <d v="1987-10-17T00:00:00"/>
    <n v="20234.849999999999"/>
    <s v="tier - 2"/>
    <s v="tier - 3"/>
    <s v="R1012"/>
    <n v="35"/>
  </r>
  <r>
    <s v="Id1849"/>
    <s v="Callahan, Mr.  Patrick M."/>
    <n v="26.98"/>
    <n v="4.41"/>
    <s v="No"/>
    <s v="No"/>
    <x v="0"/>
    <n v="0"/>
    <x v="1"/>
    <x v="1"/>
    <s v="Normal"/>
    <n v="1966"/>
    <s v="Aug"/>
    <n v="22"/>
    <n v="0"/>
    <d v="1966-08-22T00:00:00"/>
    <n v="20253.84"/>
    <s v="tier - 2"/>
    <s v="tier - 3"/>
    <s v="R1012"/>
    <n v="56"/>
  </r>
  <r>
    <s v="Id1850"/>
    <s v="Timko, Mr.  Kyle"/>
    <n v="32.11"/>
    <n v="5.19"/>
    <s v="No"/>
    <s v="No"/>
    <x v="1"/>
    <n v="1"/>
    <x v="1"/>
    <x v="0"/>
    <s v="Normal"/>
    <n v="1993"/>
    <s v="Sep"/>
    <n v="7"/>
    <n v="1"/>
    <d v="1993-09-07T00:00:00"/>
    <n v="20277.810000000001"/>
    <s v="tier - 3"/>
    <s v="tier - 3"/>
    <s v="R1016"/>
    <n v="29"/>
  </r>
  <r>
    <s v="Id1851"/>
    <s v="Achatz, Mr.  Ryan"/>
    <n v="31.73"/>
    <n v="5.16"/>
    <s v="No"/>
    <s v="No"/>
    <x v="1"/>
    <n v="1"/>
    <x v="1"/>
    <x v="0"/>
    <s v="Normal"/>
    <n v="1985"/>
    <s v="Sep"/>
    <n v="17"/>
    <n v="1"/>
    <d v="1985-09-17T00:00:00"/>
    <n v="20296.86"/>
    <s v="tier - 3"/>
    <s v="tier - 1"/>
    <s v="R1024"/>
    <n v="37"/>
  </r>
  <r>
    <s v="Id1852"/>
    <s v="Horwitz, Mr.  Yuri"/>
    <n v="22.515000000000001"/>
    <n v="4.24"/>
    <s v="No"/>
    <s v="No"/>
    <x v="0"/>
    <n v="0"/>
    <x v="1"/>
    <x v="2"/>
    <s v="Normal"/>
    <n v="1962"/>
    <s v="Jul"/>
    <n v="2"/>
    <n v="0"/>
    <d v="1962-07-02T00:00:00"/>
    <n v="20354.5"/>
    <s v="tier - 3"/>
    <s v="tier - 2"/>
    <s v="R1026"/>
    <n v="60"/>
  </r>
  <r>
    <s v="Id1853"/>
    <s v="Gordyan, Mr.  Ryan"/>
    <n v="25.9"/>
    <n v="5.45"/>
    <s v="No"/>
    <s v="No"/>
    <x v="0"/>
    <n v="1"/>
    <x v="1"/>
    <x v="1"/>
    <s v="Normal"/>
    <n v="1985"/>
    <s v="Jul"/>
    <n v="12"/>
    <n v="0"/>
    <d v="1985-07-12T00:00:00"/>
    <n v="20420.599999999999"/>
    <s v="tier - 3"/>
    <s v="tier - 2"/>
    <s v="R1011"/>
    <n v="37"/>
  </r>
  <r>
    <s v="Id1854"/>
    <s v="Hetherington, Ms.  Debbie"/>
    <n v="27.72"/>
    <n v="5.03"/>
    <s v="yes"/>
    <s v="No"/>
    <x v="0"/>
    <n v="1"/>
    <x v="1"/>
    <x v="1"/>
    <s v="Normal"/>
    <n v="1962"/>
    <s v="Oct"/>
    <n v="18"/>
    <n v="0"/>
    <d v="1962-10-18T00:00:00"/>
    <n v="20446.849999999999"/>
    <s v="tier - 2"/>
    <s v="tier - 1"/>
    <s v="R1012"/>
    <n v="60"/>
  </r>
  <r>
    <s v="Id1855"/>
    <s v="Thompson, Mr.  Mark D"/>
    <n v="31.5"/>
    <n v="9.6199999999999992"/>
    <s v="yes"/>
    <s v="No"/>
    <x v="0"/>
    <n v="1"/>
    <x v="1"/>
    <x v="0"/>
    <s v="Diabetes"/>
    <n v="1969"/>
    <s v="Oct"/>
    <n v="13"/>
    <n v="3"/>
    <d v="1969-10-13T00:00:00"/>
    <n v="20463"/>
    <s v="tier - 2"/>
    <s v="tier - 2"/>
    <s v="R1013"/>
    <n v="53"/>
  </r>
  <r>
    <s v="Id1856"/>
    <s v="Battoo, Mr.  Christopher"/>
    <n v="29.7"/>
    <n v="6.77"/>
    <s v="yes"/>
    <s v="No"/>
    <x v="0"/>
    <n v="1"/>
    <x v="1"/>
    <x v="1"/>
    <s v="Diabetes"/>
    <n v="1966"/>
    <s v="Jul"/>
    <n v="9"/>
    <n v="0"/>
    <d v="1966-07-09T00:00:00"/>
    <n v="20568.32"/>
    <s v="tier - 3"/>
    <s v="tier - 2"/>
    <s v="R1012"/>
    <n v="56"/>
  </r>
  <r>
    <s v="Id1857"/>
    <s v="Barker, Ms.  Daniell L"/>
    <n v="21.26"/>
    <n v="5.36"/>
    <s v="yes"/>
    <s v="No"/>
    <x v="0"/>
    <n v="1"/>
    <x v="1"/>
    <x v="2"/>
    <s v="Normal"/>
    <n v="1967"/>
    <s v="Dec"/>
    <n v="17"/>
    <n v="0"/>
    <d v="1967-12-17T00:00:00"/>
    <n v="20630.28"/>
    <s v="tier - 2"/>
    <s v="tier - 3"/>
    <s v="R1011"/>
    <n v="55"/>
  </r>
  <r>
    <s v="Id1858"/>
    <s v="Saarnilehto, Mr.  Janne"/>
    <n v="17.09"/>
    <n v="5.69"/>
    <s v="No"/>
    <s v="No"/>
    <x v="0"/>
    <n v="0"/>
    <x v="1"/>
    <x v="3"/>
    <s v="Normal"/>
    <n v="1965"/>
    <s v="Aug"/>
    <n v="1"/>
    <n v="0"/>
    <d v="1965-08-01T00:00:00"/>
    <n v="20709.02"/>
    <s v="tier - 3"/>
    <s v="tier - 2"/>
    <s v="R1019"/>
    <n v="57"/>
  </r>
  <r>
    <s v="Id1859"/>
    <s v="Morton, Ms.  Martina"/>
    <n v="24.3"/>
    <n v="4.9000000000000004"/>
    <s v="yes"/>
    <s v="No"/>
    <x v="1"/>
    <n v="1"/>
    <x v="1"/>
    <x v="2"/>
    <s v="Normal"/>
    <n v="1992"/>
    <s v="Sep"/>
    <n v="14"/>
    <n v="3"/>
    <d v="1992-09-14T00:00:00"/>
    <n v="20745.990000000002"/>
    <s v="tier - 3"/>
    <s v="tier - 1"/>
    <s v="R1012"/>
    <n v="30"/>
  </r>
  <r>
    <s v="Id1860"/>
    <s v="Thomas, Ms.  Elizabeth L"/>
    <n v="29.734999999999999"/>
    <n v="5.78"/>
    <s v="No"/>
    <s v="No"/>
    <x v="0"/>
    <n v="0"/>
    <x v="1"/>
    <x v="1"/>
    <s v="Prediabetes"/>
    <n v="1986"/>
    <s v="Aug"/>
    <n v="4"/>
    <n v="1"/>
    <d v="1986-08-04T00:00:00"/>
    <n v="20773.63"/>
    <s v="tier - 2"/>
    <s v="tier - 3"/>
    <s v="R1017"/>
    <n v="36"/>
  </r>
  <r>
    <s v="Id1861"/>
    <s v="Hillman, Ms.  Stephanie C."/>
    <n v="29.26"/>
    <n v="4.7"/>
    <s v="No"/>
    <s v="No"/>
    <x v="0"/>
    <n v="0"/>
    <x v="1"/>
    <x v="1"/>
    <s v="Normal"/>
    <n v="1967"/>
    <s v="Sep"/>
    <n v="8"/>
    <n v="0"/>
    <d v="1967-09-08T00:00:00"/>
    <n v="20781.490000000002"/>
    <s v="tier - 2"/>
    <s v="tier - 3"/>
    <s v="R1013"/>
    <n v="55"/>
  </r>
  <r>
    <s v="Id1862"/>
    <s v="Edwards, Ms.  Katie"/>
    <n v="33"/>
    <n v="6.28"/>
    <s v="No"/>
    <s v="No"/>
    <x v="0"/>
    <n v="0"/>
    <x v="1"/>
    <x v="0"/>
    <s v="Prediabetes"/>
    <n v="1975"/>
    <s v="Dec"/>
    <n v="8"/>
    <n v="0"/>
    <d v="1975-12-08T00:00:00"/>
    <n v="20878.78"/>
    <s v="tier - 2"/>
    <s v="tier - 1"/>
    <s v="R1024"/>
    <n v="47"/>
  </r>
  <r>
    <s v="Id1863"/>
    <s v="Bartel, Ms.  Callie"/>
    <n v="31.065000000000001"/>
    <n v="4.2300000000000004"/>
    <s v="No"/>
    <s v="No"/>
    <x v="0"/>
    <n v="0"/>
    <x v="1"/>
    <x v="0"/>
    <s v="Normal"/>
    <n v="1964"/>
    <s v="Nov"/>
    <n v="19"/>
    <n v="0"/>
    <d v="1964-11-19T00:00:00"/>
    <n v="20893.060000000001"/>
    <s v="tier - 2"/>
    <s v="tier - 3"/>
    <s v="R1012"/>
    <n v="58"/>
  </r>
  <r>
    <s v="Id1864"/>
    <s v="Potekhina, Ms.  Inna"/>
    <n v="26.51"/>
    <n v="6.17"/>
    <s v="No"/>
    <s v="No"/>
    <x v="0"/>
    <n v="0"/>
    <x v="1"/>
    <x v="1"/>
    <s v="Prediabetes"/>
    <n v="1987"/>
    <s v="Nov"/>
    <n v="27"/>
    <n v="2"/>
    <d v="1987-11-27T00:00:00"/>
    <n v="20984.09"/>
    <s v="tier - 2"/>
    <s v="tier - 2"/>
    <s v="R1015"/>
    <n v="35"/>
  </r>
  <r>
    <s v="Id1865"/>
    <s v="Kelly, Ms.  Mary K."/>
    <n v="28.88"/>
    <n v="4.96"/>
    <s v="No"/>
    <s v="No"/>
    <x v="0"/>
    <n v="0"/>
    <x v="1"/>
    <x v="1"/>
    <s v="Normal"/>
    <n v="1983"/>
    <s v="Jul"/>
    <n v="2"/>
    <n v="1"/>
    <d v="1983-07-02T00:00:00"/>
    <n v="21082.16"/>
    <s v="tier - 3"/>
    <s v="tier - 2"/>
    <s v="R1011"/>
    <n v="39"/>
  </r>
  <r>
    <s v="Id1866"/>
    <s v="Lapp, Mr.  Samuel M."/>
    <n v="35.814999999999998"/>
    <n v="5.1100000000000003"/>
    <s v="yes"/>
    <s v="No"/>
    <x v="0"/>
    <n v="1"/>
    <x v="1"/>
    <x v="0"/>
    <s v="Normal"/>
    <n v="1977"/>
    <s v="Nov"/>
    <n v="23"/>
    <n v="2"/>
    <d v="1977-11-23T00:00:00"/>
    <n v="21098.55"/>
    <s v="tier - 3"/>
    <s v="tier - 3"/>
    <s v="R1012"/>
    <n v="45"/>
  </r>
  <r>
    <s v="Id1867"/>
    <s v="Burke, Ms.  Kimberly"/>
    <n v="21.28"/>
    <n v="4.05"/>
    <s v="No"/>
    <s v="yes"/>
    <x v="0"/>
    <n v="1"/>
    <x v="1"/>
    <x v="2"/>
    <s v="Normal"/>
    <n v="1969"/>
    <s v="Aug"/>
    <n v="26"/>
    <n v="0"/>
    <d v="1969-08-26T00:00:00"/>
    <n v="21195.82"/>
    <s v="tier - 3"/>
    <s v="tier - 1"/>
    <s v="R1013"/>
    <n v="53"/>
  </r>
  <r>
    <s v="Id1868"/>
    <s v="Barry, Mr.  Tom J."/>
    <n v="33.81"/>
    <n v="6.49"/>
    <s v="No"/>
    <s v="No"/>
    <x v="1"/>
    <n v="1"/>
    <x v="1"/>
    <x v="0"/>
    <s v="Diabetes"/>
    <n v="1974"/>
    <s v="Oct"/>
    <n v="14"/>
    <n v="0"/>
    <d v="1974-10-14T00:00:00"/>
    <n v="21223.68"/>
    <s v="tier - 3"/>
    <s v="tier - 2"/>
    <s v="R1013"/>
    <n v="48"/>
  </r>
  <r>
    <s v="Id1869"/>
    <s v="McCormick, Mr.  Zachary"/>
    <n v="44.22"/>
    <n v="4.1900000000000004"/>
    <s v="No"/>
    <s v="No"/>
    <x v="0"/>
    <n v="1"/>
    <x v="1"/>
    <x v="0"/>
    <s v="Normal"/>
    <n v="1974"/>
    <s v="Sep"/>
    <n v="3"/>
    <n v="0"/>
    <d v="1974-09-03T00:00:00"/>
    <n v="21232.18"/>
    <s v="tier - 3"/>
    <s v="tier - 2"/>
    <s v="R1011"/>
    <n v="48"/>
  </r>
  <r>
    <s v="Id1870"/>
    <s v="McElroy, Mr.  Dane"/>
    <n v="15.46"/>
    <n v="4.99"/>
    <s v="yes"/>
    <s v="No"/>
    <x v="1"/>
    <n v="1"/>
    <x v="1"/>
    <x v="3"/>
    <s v="Normal"/>
    <n v="1980"/>
    <s v="Dec"/>
    <n v="10"/>
    <n v="2"/>
    <d v="1980-12-10T00:00:00"/>
    <n v="21259.38"/>
    <s v="tier - 3"/>
    <s v="tier - 3"/>
    <s v="R1019"/>
    <n v="42"/>
  </r>
  <r>
    <s v="Id1871"/>
    <s v="Coffed, Mr.  Dougie J"/>
    <n v="30.3"/>
    <n v="4.7699999999999996"/>
    <s v="yes"/>
    <s v="No"/>
    <x v="0"/>
    <n v="1"/>
    <x v="1"/>
    <x v="0"/>
    <s v="Normal"/>
    <n v="2004"/>
    <s v="Aug"/>
    <n v="4"/>
    <n v="0"/>
    <d v="2004-08-04T00:00:00"/>
    <n v="21344.85"/>
    <s v="tier - 3"/>
    <s v="tier - 1"/>
    <s v="R1024"/>
    <n v="18"/>
  </r>
  <r>
    <s v="Id1872"/>
    <s v="Estes, Mr.  Jeremiah H"/>
    <n v="16.670000000000002"/>
    <n v="5.46"/>
    <s v="No"/>
    <s v="No"/>
    <x v="0"/>
    <n v="0"/>
    <x v="1"/>
    <x v="3"/>
    <s v="Normal"/>
    <n v="1980"/>
    <s v="Sep"/>
    <n v="4"/>
    <n v="0"/>
    <d v="1980-09-04T00:00:00"/>
    <n v="21348.71"/>
    <s v="tier - 2"/>
    <s v="tier - 1"/>
    <s v="R1012"/>
    <n v="42"/>
  </r>
  <r>
    <s v="Id1873"/>
    <s v="Miles, Mr.  Ashley J."/>
    <n v="28.594999999999999"/>
    <n v="5.43"/>
    <s v="No"/>
    <s v="No"/>
    <x v="0"/>
    <n v="0"/>
    <x v="1"/>
    <x v="1"/>
    <s v="Normal"/>
    <n v="1990"/>
    <s v="Nov"/>
    <n v="21"/>
    <n v="4"/>
    <d v="1990-11-21T00:00:00"/>
    <n v="21472.48"/>
    <s v="tier - 2"/>
    <s v="tier - 2"/>
    <s v="R1012"/>
    <n v="32"/>
  </r>
  <r>
    <s v="Id1874"/>
    <s v="Zamore, Mr.  Turner J."/>
    <n v="25.934999999999999"/>
    <n v="4.29"/>
    <s v="No"/>
    <s v="No"/>
    <x v="0"/>
    <n v="0"/>
    <x v="1"/>
    <x v="1"/>
    <s v="Normal"/>
    <n v="1999"/>
    <s v="Jun"/>
    <n v="12"/>
    <n v="0"/>
    <d v="1999-06-12T00:00:00"/>
    <n v="21595.38"/>
    <s v="tier - 2"/>
    <s v="tier - 3"/>
    <s v="R1012"/>
    <n v="23"/>
  </r>
  <r>
    <s v="Id1875"/>
    <s v="Donaghy, Mr.  Roger"/>
    <n v="27.645"/>
    <n v="5.25"/>
    <s v="No"/>
    <s v="No"/>
    <x v="0"/>
    <n v="1"/>
    <x v="1"/>
    <x v="1"/>
    <s v="Normal"/>
    <n v="1983"/>
    <s v="Dec"/>
    <n v="25"/>
    <n v="3"/>
    <d v="1983-12-25T00:00:00"/>
    <n v="21659.93"/>
    <s v="tier - 3"/>
    <s v="tier - 3"/>
    <s v="R1024"/>
    <n v="39"/>
  </r>
  <r>
    <s v="Id1876"/>
    <s v="Kennedy, Ms.  Pamela"/>
    <n v="30.1"/>
    <n v="4.04"/>
    <s v="No"/>
    <s v="No"/>
    <x v="0"/>
    <n v="1"/>
    <x v="1"/>
    <x v="0"/>
    <s v="Normal"/>
    <n v="1962"/>
    <s v="Nov"/>
    <n v="16"/>
    <n v="0"/>
    <d v="1962-11-16T00:00:00"/>
    <n v="21661.16"/>
    <s v="tier - 2"/>
    <s v="tier - 2"/>
    <s v="R1012"/>
    <n v="60"/>
  </r>
  <r>
    <s v="Id1877"/>
    <s v="Fiorini, Ms.  Allison M."/>
    <n v="26.79"/>
    <n v="5"/>
    <s v="yes"/>
    <s v="No"/>
    <x v="1"/>
    <n v="1"/>
    <x v="1"/>
    <x v="1"/>
    <s v="Normal"/>
    <n v="1976"/>
    <s v="Jul"/>
    <n v="18"/>
    <n v="1"/>
    <d v="1976-07-18T00:00:00"/>
    <n v="21677.279999999999"/>
    <s v="tier - 3"/>
    <s v="tier - 1"/>
    <s v="R1012"/>
    <n v="46"/>
  </r>
  <r>
    <s v="Id1878"/>
    <s v="Alexander, Mrs.  Katherine H."/>
    <n v="27.1"/>
    <n v="4.01"/>
    <s v="yes"/>
    <s v="No"/>
    <x v="0"/>
    <n v="1"/>
    <x v="1"/>
    <x v="1"/>
    <s v="Normal"/>
    <n v="1979"/>
    <s v="Sep"/>
    <n v="20"/>
    <n v="1"/>
    <d v="1979-09-20T00:00:00"/>
    <n v="21771.34"/>
    <s v="tier - 3"/>
    <s v="tier - 1"/>
    <s v="R1024"/>
    <n v="43"/>
  </r>
  <r>
    <s v="Id1879"/>
    <s v="Watkins, Ms.  Robin"/>
    <n v="24.31"/>
    <n v="5.4"/>
    <s v="No"/>
    <s v="No"/>
    <x v="0"/>
    <n v="0"/>
    <x v="1"/>
    <x v="2"/>
    <s v="Normal"/>
    <n v="1979"/>
    <s v="Sep"/>
    <n v="28"/>
    <n v="0"/>
    <d v="1979-09-28T00:00:00"/>
    <n v="21774.32"/>
    <s v="tier - 3"/>
    <s v="tier - 2"/>
    <s v="R1012"/>
    <n v="43"/>
  </r>
  <r>
    <s v="Id1880"/>
    <s v="Cassel, Ms.  Terri"/>
    <n v="15.53"/>
    <n v="5.81"/>
    <s v="No"/>
    <s v="No"/>
    <x v="0"/>
    <n v="1"/>
    <x v="1"/>
    <x v="3"/>
    <s v="Prediabetes"/>
    <n v="1963"/>
    <s v="Aug"/>
    <n v="27"/>
    <n v="0"/>
    <d v="1963-08-27T00:00:00"/>
    <n v="21797"/>
    <s v="tier - 3"/>
    <s v="tier - 1"/>
    <s v="R1011"/>
    <n v="59"/>
  </r>
  <r>
    <s v="Id1881"/>
    <s v="Ferguson, Mr.  Eddie"/>
    <n v="30.7"/>
    <n v="5.82"/>
    <s v="No"/>
    <s v="No"/>
    <x v="0"/>
    <n v="1"/>
    <x v="1"/>
    <x v="0"/>
    <s v="Prediabetes"/>
    <n v="1979"/>
    <s v="Aug"/>
    <n v="17"/>
    <n v="2"/>
    <d v="1979-08-17T00:00:00"/>
    <n v="21880.82"/>
    <s v="tier - 3"/>
    <s v="tier - 1"/>
    <s v="R1012"/>
    <n v="43"/>
  </r>
  <r>
    <s v="Id1882"/>
    <s v="O'Sullivan, Ms.  Pamela"/>
    <n v="33.33"/>
    <n v="4.82"/>
    <s v="No"/>
    <s v="No"/>
    <x v="0"/>
    <n v="1"/>
    <x v="1"/>
    <x v="0"/>
    <s v="Normal"/>
    <n v="2003"/>
    <s v="Sep"/>
    <n v="28"/>
    <n v="0"/>
    <d v="2003-09-28T00:00:00"/>
    <n v="21882.400000000001"/>
    <s v="tier - 2"/>
    <s v="tier - 1"/>
    <s v="R1011"/>
    <n v="19"/>
  </r>
  <r>
    <s v="Id1883"/>
    <s v="Chepkirui, Ms.  Joyce"/>
    <n v="32.4"/>
    <n v="5.08"/>
    <s v="No"/>
    <s v="No"/>
    <x v="0"/>
    <n v="1"/>
    <x v="1"/>
    <x v="0"/>
    <s v="Normal"/>
    <n v="1975"/>
    <s v="Dec"/>
    <n v="19"/>
    <n v="1"/>
    <d v="1975-12-19T00:00:00"/>
    <n v="21978.68"/>
    <s v="tier - 3"/>
    <s v="tier - 3"/>
    <s v="R1013"/>
    <n v="47"/>
  </r>
  <r>
    <s v="Id1884"/>
    <s v="Gurney, Ms.  Alison W."/>
    <n v="27.93"/>
    <n v="5.59"/>
    <s v="No"/>
    <s v="No"/>
    <x v="0"/>
    <n v="1"/>
    <x v="1"/>
    <x v="1"/>
    <s v="Normal"/>
    <n v="1989"/>
    <s v="Oct"/>
    <n v="14"/>
    <n v="0"/>
    <d v="1989-10-14T00:00:00"/>
    <n v="21984.47"/>
    <s v="tier - 3"/>
    <s v="tier - 1"/>
    <s v="R1012"/>
    <n v="33"/>
  </r>
  <r>
    <s v="Id1885"/>
    <s v="Francis, Ms.  Tammara C"/>
    <n v="21.754999999999999"/>
    <n v="5.12"/>
    <s v="No"/>
    <s v="No"/>
    <x v="0"/>
    <n v="0"/>
    <x v="1"/>
    <x v="2"/>
    <s v="Normal"/>
    <n v="2001"/>
    <s v="Aug"/>
    <n v="28"/>
    <n v="0"/>
    <d v="2001-08-28T00:00:00"/>
    <n v="22097.62"/>
    <s v="tier - 3"/>
    <s v="tier - 1"/>
    <s v="R1011"/>
    <n v="21"/>
  </r>
  <r>
    <s v="Id1886"/>
    <s v="Gruca, Ms.  Dorota"/>
    <n v="25.934999999999999"/>
    <n v="4.95"/>
    <s v="No"/>
    <s v="No"/>
    <x v="0"/>
    <n v="0"/>
    <x v="1"/>
    <x v="1"/>
    <s v="Normal"/>
    <n v="1980"/>
    <s v="Sep"/>
    <n v="12"/>
    <n v="0"/>
    <d v="1980-09-12T00:00:00"/>
    <n v="22144.03"/>
    <s v="tier - 2"/>
    <s v="tier - 2"/>
    <s v="R1011"/>
    <n v="42"/>
  </r>
  <r>
    <s v="Id1887"/>
    <s v="Rojas Alvarez, Mr.  Jose Norberto Sr."/>
    <n v="31.5"/>
    <n v="6.16"/>
    <s v="No"/>
    <s v="No"/>
    <x v="0"/>
    <n v="0"/>
    <x v="1"/>
    <x v="0"/>
    <s v="Prediabetes"/>
    <n v="1965"/>
    <s v="Aug"/>
    <n v="24"/>
    <n v="1"/>
    <d v="1965-08-24T00:00:00"/>
    <n v="22192.44"/>
    <s v="tier - 3"/>
    <s v="tier - 1"/>
    <s v="R1013"/>
    <n v="57"/>
  </r>
  <r>
    <s v="Id1888"/>
    <s v="Denton, Mr.  Peter"/>
    <n v="30.03"/>
    <n v="6.41"/>
    <s v="No"/>
    <s v="No"/>
    <x v="0"/>
    <n v="0"/>
    <x v="1"/>
    <x v="0"/>
    <s v="Diabetes"/>
    <n v="1971"/>
    <s v="Jun"/>
    <n v="16"/>
    <n v="1"/>
    <d v="1971-06-16T00:00:00"/>
    <n v="22218.11"/>
    <s v="tier - 2"/>
    <s v="tier - 3"/>
    <s v="R1013"/>
    <n v="51"/>
  </r>
  <r>
    <s v="Id1889"/>
    <s v="Mason, Mr.  Bryant"/>
    <n v="33.479999999999997"/>
    <n v="8.94"/>
    <s v="No"/>
    <s v="No"/>
    <x v="0"/>
    <n v="0"/>
    <x v="1"/>
    <x v="0"/>
    <s v="Diabetes"/>
    <n v="1982"/>
    <s v="Dec"/>
    <n v="27"/>
    <n v="1"/>
    <d v="1982-12-27T00:00:00"/>
    <n v="22331.57"/>
    <s v="tier - 2"/>
    <s v="tier - 3"/>
    <s v="R1024"/>
    <n v="40"/>
  </r>
  <r>
    <s v="Id1890"/>
    <s v="Trout, Ms.  Christina"/>
    <n v="16.510000000000002"/>
    <n v="4.42"/>
    <s v="yes"/>
    <s v="No"/>
    <x v="1"/>
    <n v="1"/>
    <x v="1"/>
    <x v="3"/>
    <s v="Normal"/>
    <n v="1999"/>
    <s v="Aug"/>
    <n v="26"/>
    <n v="2"/>
    <d v="1999-08-26T00:00:00"/>
    <n v="22395.74"/>
    <s v="tier - 3"/>
    <s v="tier - 2"/>
    <s v="R1024"/>
    <n v="23"/>
  </r>
  <r>
    <s v="Id1891"/>
    <s v="Gilbert, Mr.  John"/>
    <n v="33.155000000000001"/>
    <n v="5.3"/>
    <s v="yes"/>
    <s v="No"/>
    <x v="0"/>
    <n v="1"/>
    <x v="1"/>
    <x v="0"/>
    <s v="Normal"/>
    <n v="1966"/>
    <s v="Aug"/>
    <n v="18"/>
    <n v="0"/>
    <d v="1966-08-18T00:00:00"/>
    <n v="22412.65"/>
    <s v="tier - 3"/>
    <s v="tier - 3"/>
    <s v="R1014"/>
    <n v="56"/>
  </r>
  <r>
    <s v="Id1892"/>
    <s v="Chong, Mr.  Eduardo"/>
    <n v="37.29"/>
    <n v="4.6399999999999997"/>
    <s v="No"/>
    <s v="No"/>
    <x v="1"/>
    <n v="1"/>
    <x v="1"/>
    <x v="0"/>
    <s v="Normal"/>
    <n v="1983"/>
    <s v="Dec"/>
    <n v="21"/>
    <n v="1"/>
    <d v="1983-12-21T00:00:00"/>
    <n v="22462.04"/>
    <s v="tier - 3"/>
    <s v="tier - 1"/>
    <s v="R1019"/>
    <n v="39"/>
  </r>
  <r>
    <s v="Id1893"/>
    <s v="Henry, Ms.  Laura M."/>
    <n v="20.23"/>
    <n v="6.16"/>
    <s v="yes"/>
    <s v="No"/>
    <x v="0"/>
    <n v="1"/>
    <x v="1"/>
    <x v="2"/>
    <s v="Prediabetes"/>
    <n v="1979"/>
    <s v="Nov"/>
    <n v="14"/>
    <n v="2"/>
    <d v="1979-11-14T00:00:00"/>
    <n v="22478.6"/>
    <s v="tier - 3"/>
    <s v="tier - 2"/>
    <s v="R1011"/>
    <n v="43"/>
  </r>
  <r>
    <s v="Id1894"/>
    <s v="Brenneman, Mr.  Charlie"/>
    <n v="28.975000000000001"/>
    <n v="4.12"/>
    <s v="No"/>
    <s v="No"/>
    <x v="1"/>
    <n v="1"/>
    <x v="1"/>
    <x v="1"/>
    <s v="Normal"/>
    <n v="2003"/>
    <s v="Jul"/>
    <n v="25"/>
    <n v="2"/>
    <d v="2003-07-25T00:00:00"/>
    <n v="22493.66"/>
    <s v="tier - 2"/>
    <s v="tier - 1"/>
    <s v="R1012"/>
    <n v="19"/>
  </r>
  <r>
    <s v="Id1895"/>
    <s v="Kemp, Ms.  Melissa D."/>
    <n v="16.420000000000002"/>
    <n v="5.77"/>
    <s v="yes"/>
    <s v="No"/>
    <x v="1"/>
    <n v="1"/>
    <x v="1"/>
    <x v="3"/>
    <s v="Prediabetes"/>
    <n v="1970"/>
    <s v="Nov"/>
    <n v="9"/>
    <n v="0"/>
    <d v="1970-11-09T00:00:00"/>
    <n v="23045.57"/>
    <s v="tier - 2"/>
    <s v="tier - 2"/>
    <s v="R1024"/>
    <n v="52"/>
  </r>
  <r>
    <s v="Id1896"/>
    <s v="Wilson, Mr.  Dan C. Jr."/>
    <n v="17.559999999999999"/>
    <n v="6.2"/>
    <s v="No"/>
    <s v="No"/>
    <x v="0"/>
    <n v="1"/>
    <x v="1"/>
    <x v="3"/>
    <s v="Prediabetes"/>
    <n v="1975"/>
    <s v="Sep"/>
    <n v="9"/>
    <n v="0"/>
    <d v="1975-09-09T00:00:00"/>
    <n v="23065.42"/>
    <s v="tier - 2"/>
    <s v="tier - 2"/>
    <s v="R1013"/>
    <n v="47"/>
  </r>
  <r>
    <s v="Id1897"/>
    <s v="Hillyard, Mr.  Matthew"/>
    <n v="24.13"/>
    <n v="4.3899999999999997"/>
    <s v="No"/>
    <s v="No"/>
    <x v="0"/>
    <n v="1"/>
    <x v="1"/>
    <x v="2"/>
    <s v="Normal"/>
    <n v="2003"/>
    <s v="Dec"/>
    <n v="14"/>
    <n v="0"/>
    <d v="2003-12-14T00:00:00"/>
    <n v="23082.959999999999"/>
    <s v="tier - 2"/>
    <s v="tier - 2"/>
    <s v="R1011"/>
    <n v="19"/>
  </r>
  <r>
    <s v="Id1898"/>
    <s v="Turner, Mr.  Wesley C."/>
    <n v="19.95"/>
    <n v="5.13"/>
    <s v="No"/>
    <s v="yes"/>
    <x v="0"/>
    <n v="2"/>
    <x v="1"/>
    <x v="2"/>
    <s v="Normal"/>
    <n v="1997"/>
    <s v="Aug"/>
    <n v="7"/>
    <n v="2"/>
    <d v="1997-08-07T00:00:00"/>
    <n v="23241.47"/>
    <s v="tier - 2"/>
    <s v="tier - 3"/>
    <s v="R1018"/>
    <n v="25"/>
  </r>
  <r>
    <s v="Id1899"/>
    <s v="Benestad, Mr.  Christopher"/>
    <n v="21.24"/>
    <n v="4.49"/>
    <s v="No"/>
    <s v="No"/>
    <x v="0"/>
    <n v="0"/>
    <x v="1"/>
    <x v="2"/>
    <s v="Normal"/>
    <n v="1969"/>
    <s v="Nov"/>
    <n v="14"/>
    <n v="1"/>
    <d v="1969-11-14T00:00:00"/>
    <n v="23244.79"/>
    <s v="tier - 2"/>
    <s v="tier - 3"/>
    <s v="R1013"/>
    <n v="53"/>
  </r>
  <r>
    <s v="Id1900"/>
    <s v="Gonzales, Ms.  Jessica"/>
    <n v="44.22"/>
    <n v="6.35"/>
    <s v="No"/>
    <s v="No"/>
    <x v="0"/>
    <n v="0"/>
    <x v="1"/>
    <x v="0"/>
    <s v="Prediabetes"/>
    <n v="1994"/>
    <s v="Oct"/>
    <n v="3"/>
    <n v="1"/>
    <d v="1994-10-03T00:00:00"/>
    <n v="23288.93"/>
    <s v="tier - 2"/>
    <s v="tier - 3"/>
    <s v="R1024"/>
    <n v="28"/>
  </r>
  <r>
    <s v="Id1901"/>
    <s v="Newman, Ms.  Christin"/>
    <n v="41.1"/>
    <n v="5.79"/>
    <s v="No"/>
    <s v="No"/>
    <x v="0"/>
    <n v="0"/>
    <x v="1"/>
    <x v="0"/>
    <s v="Prediabetes"/>
    <n v="1973"/>
    <s v="Oct"/>
    <n v="22"/>
    <n v="2"/>
    <d v="1973-10-22T00:00:00"/>
    <n v="23306.55"/>
    <s v="tier - 2"/>
    <s v="tier - 2"/>
    <s v="R1011"/>
    <n v="49"/>
  </r>
  <r>
    <s v="Id1902"/>
    <s v="Sayre, Ms.  Sara"/>
    <n v="34.200000000000003"/>
    <n v="4.78"/>
    <s v="yes"/>
    <s v="No"/>
    <x v="0"/>
    <n v="0"/>
    <x v="1"/>
    <x v="0"/>
    <s v="Normal"/>
    <n v="1975"/>
    <s v="Nov"/>
    <n v="13"/>
    <n v="1"/>
    <d v="1975-11-13T00:00:00"/>
    <n v="23401.31"/>
    <s v="tier - 2"/>
    <s v="tier - 3"/>
    <s v="R1024"/>
    <n v="47"/>
  </r>
  <r>
    <s v="Id1903"/>
    <s v="Panke, Ms.  Elizabeth"/>
    <n v="29.92"/>
    <n v="6.02"/>
    <s v="yes"/>
    <s v="No"/>
    <x v="0"/>
    <n v="0"/>
    <x v="1"/>
    <x v="0"/>
    <s v="Prediabetes"/>
    <n v="1983"/>
    <s v="Aug"/>
    <n v="26"/>
    <n v="2"/>
    <d v="1983-08-26T00:00:00"/>
    <n v="23563.02"/>
    <s v="tier - 2"/>
    <s v="tier - 2"/>
    <s v="R1013"/>
    <n v="39"/>
  </r>
  <r>
    <s v="Id1904"/>
    <s v="Brennan, Ms.  Margaret P."/>
    <n v="28.93"/>
    <n v="4.4400000000000004"/>
    <s v="No"/>
    <s v="No"/>
    <x v="0"/>
    <n v="0"/>
    <x v="1"/>
    <x v="1"/>
    <s v="Normal"/>
    <n v="1974"/>
    <s v="Jun"/>
    <n v="2"/>
    <n v="1"/>
    <d v="1974-06-02T00:00:00"/>
    <n v="23568.27"/>
    <s v="tier - 2"/>
    <s v="tier - 2"/>
    <s v="R1011"/>
    <n v="49"/>
  </r>
  <r>
    <s v="Id1905"/>
    <s v="Ngo, Ms.  Tiffany K"/>
    <n v="31.254999999999999"/>
    <n v="5.84"/>
    <s v="yes"/>
    <s v="No"/>
    <x v="0"/>
    <n v="1"/>
    <x v="1"/>
    <x v="0"/>
    <s v="Prediabetes"/>
    <n v="1973"/>
    <s v="Jun"/>
    <n v="27"/>
    <n v="2"/>
    <d v="1973-06-27T00:00:00"/>
    <n v="23807.24"/>
    <s v="tier - 2"/>
    <s v="tier - 3"/>
    <s v="R1012"/>
    <n v="49"/>
  </r>
  <r>
    <s v="Id1906"/>
    <s v="Guerdan, Mr.  David M."/>
    <n v="29.83"/>
    <n v="5.39"/>
    <s v="No"/>
    <s v="No"/>
    <x v="0"/>
    <n v="0"/>
    <x v="1"/>
    <x v="1"/>
    <s v="Normal"/>
    <n v="1970"/>
    <s v="Aug"/>
    <n v="8"/>
    <n v="1"/>
    <d v="1970-08-08T00:00:00"/>
    <n v="23887.66"/>
    <s v="tier - 2"/>
    <s v="tier - 3"/>
    <s v="R1012"/>
    <n v="52"/>
  </r>
  <r>
    <s v="Id1907"/>
    <s v="Shaw, Ms.  Christine E"/>
    <n v="29.59"/>
    <n v="6.16"/>
    <s v="No"/>
    <s v="No"/>
    <x v="1"/>
    <n v="1"/>
    <x v="1"/>
    <x v="1"/>
    <s v="Prediabetes"/>
    <n v="1971"/>
    <s v="Jul"/>
    <n v="10"/>
    <n v="2"/>
    <d v="1971-07-10T00:00:00"/>
    <n v="23967.38"/>
    <s v="tier - 2"/>
    <s v="tier - 2"/>
    <s v="R1012"/>
    <n v="51"/>
  </r>
  <r>
    <s v="Id1908"/>
    <s v="Mills-Honarvar, Ms.  Donna"/>
    <n v="31.16"/>
    <n v="4.49"/>
    <s v="No"/>
    <s v="No"/>
    <x v="1"/>
    <n v="1"/>
    <x v="1"/>
    <x v="0"/>
    <s v="Normal"/>
    <n v="2003"/>
    <s v="Dec"/>
    <n v="30"/>
    <n v="2"/>
    <d v="2003-12-30T00:00:00"/>
    <n v="24059.68"/>
    <s v="tier - 2"/>
    <s v="tier - 2"/>
    <s v="R1012"/>
    <n v="19"/>
  </r>
  <r>
    <s v="Id1909"/>
    <s v="Farvard, Mr.  Rod"/>
    <n v="34.21"/>
    <n v="4.4800000000000004"/>
    <s v="yes"/>
    <s v="No"/>
    <x v="0"/>
    <n v="1"/>
    <x v="1"/>
    <x v="0"/>
    <s v="Normal"/>
    <n v="1973"/>
    <s v="Jun"/>
    <n v="13"/>
    <n v="3"/>
    <d v="1973-06-13T00:00:00"/>
    <n v="24106.91"/>
    <s v="tier - 2"/>
    <s v="tier - 2"/>
    <s v="R1024"/>
    <n v="49"/>
  </r>
  <r>
    <s v="Id1910"/>
    <s v="Kelly, Mr.  Joe"/>
    <n v="34.86"/>
    <n v="10.97"/>
    <s v="No"/>
    <s v="No"/>
    <x v="0"/>
    <n v="0"/>
    <x v="1"/>
    <x v="0"/>
    <s v="Diabetes"/>
    <n v="1974"/>
    <s v="Sep"/>
    <n v="10"/>
    <n v="3"/>
    <d v="1974-09-10T00:00:00"/>
    <n v="24180.93"/>
    <s v="tier - 2"/>
    <s v="tier - 1"/>
    <s v="R1013"/>
    <n v="48"/>
  </r>
  <r>
    <s v="Id1911"/>
    <s v="Skinner, Ms.  Kayleigh"/>
    <n v="34.58"/>
    <n v="5.14"/>
    <s v="No"/>
    <s v="yes"/>
    <x v="0"/>
    <n v="2"/>
    <x v="1"/>
    <x v="0"/>
    <s v="Normal"/>
    <n v="1964"/>
    <s v="Dec"/>
    <n v="16"/>
    <n v="0"/>
    <d v="1964-12-16T00:00:00"/>
    <n v="24227.34"/>
    <s v="tier - 2"/>
    <s v="tier - 1"/>
    <s v="R1013"/>
    <n v="58"/>
  </r>
  <r>
    <s v="Id1912"/>
    <s v="Murphy, Mr.  Lorcan A."/>
    <n v="17.940000000000001"/>
    <n v="5.17"/>
    <s v="yes"/>
    <s v="No"/>
    <x v="0"/>
    <n v="0"/>
    <x v="1"/>
    <x v="3"/>
    <s v="Normal"/>
    <n v="2004"/>
    <s v="Aug"/>
    <n v="3"/>
    <n v="0"/>
    <d v="2004-08-03T00:00:00"/>
    <n v="24294.02"/>
    <s v="tier - 2"/>
    <s v="tier - 1"/>
    <s v="R1011"/>
    <n v="18"/>
  </r>
  <r>
    <s v="Id1913"/>
    <s v="Shue, Mr.  Billy"/>
    <n v="26.8"/>
    <n v="6.18"/>
    <s v="yes"/>
    <s v="No"/>
    <x v="1"/>
    <n v="1"/>
    <x v="1"/>
    <x v="1"/>
    <s v="Prediabetes"/>
    <n v="1999"/>
    <s v="Oct"/>
    <n v="7"/>
    <n v="0"/>
    <d v="1999-10-07T00:00:00"/>
    <n v="24387.74"/>
    <s v="tier - 2"/>
    <s v="tier - 1"/>
    <s v="R1011"/>
    <n v="23"/>
  </r>
  <r>
    <s v="Id1914"/>
    <s v="Reilly, Mr.  Paul M."/>
    <n v="17.690000000000001"/>
    <n v="9.07"/>
    <s v="yes"/>
    <s v="No"/>
    <x v="0"/>
    <n v="0"/>
    <x v="1"/>
    <x v="3"/>
    <s v="Diabetes"/>
    <n v="1970"/>
    <s v="Nov"/>
    <n v="30"/>
    <n v="0"/>
    <d v="1970-11-30T00:00:00"/>
    <n v="24393.62"/>
    <s v="tier - 2"/>
    <s v="tier - 3"/>
    <s v="R1012"/>
    <n v="52"/>
  </r>
  <r>
    <s v="Id1915"/>
    <s v="Blinn, Ms.  Brenda M."/>
    <n v="25.77"/>
    <n v="4.43"/>
    <s v="No"/>
    <s v="No"/>
    <x v="1"/>
    <n v="1"/>
    <x v="1"/>
    <x v="1"/>
    <s v="Normal"/>
    <n v="1968"/>
    <s v="Jul"/>
    <n v="6"/>
    <n v="0"/>
    <d v="1968-07-06T00:00:00"/>
    <n v="24476.48"/>
    <s v="tier - 2"/>
    <s v="tier - 2"/>
    <s v="R1012"/>
    <n v="54"/>
  </r>
  <r>
    <s v="Id1916"/>
    <s v="Duyn, Mr.  Jeff H"/>
    <n v="34.46"/>
    <n v="4.17"/>
    <s v="No"/>
    <s v="yes"/>
    <x v="0"/>
    <n v="1"/>
    <x v="1"/>
    <x v="0"/>
    <s v="Normal"/>
    <n v="1961"/>
    <s v="Oct"/>
    <n v="21"/>
    <n v="0"/>
    <d v="1961-10-21T00:00:00"/>
    <n v="24513.09"/>
    <s v="tier - 2"/>
    <s v="tier - 2"/>
    <s v="R1013"/>
    <n v="61"/>
  </r>
  <r>
    <s v="Id1917"/>
    <s v="Wardian, Mr.  Michael"/>
    <n v="30.875"/>
    <n v="4.95"/>
    <s v="yes"/>
    <s v="No"/>
    <x v="0"/>
    <n v="0"/>
    <x v="1"/>
    <x v="0"/>
    <s v="Normal"/>
    <n v="1972"/>
    <s v="Sep"/>
    <n v="14"/>
    <n v="1"/>
    <d v="1972-09-14T00:00:00"/>
    <n v="24520.26"/>
    <s v="tier - 2"/>
    <s v="tier - 3"/>
    <s v="R1011"/>
    <n v="50"/>
  </r>
  <r>
    <s v="Id1918"/>
    <s v="Heuninck, Mr.  Jan"/>
    <n v="39.49"/>
    <n v="5.13"/>
    <s v="No"/>
    <s v="No"/>
    <x v="0"/>
    <n v="0"/>
    <x v="1"/>
    <x v="0"/>
    <s v="Normal"/>
    <n v="1975"/>
    <s v="Jun"/>
    <n v="13"/>
    <n v="2"/>
    <d v="1975-06-13T00:00:00"/>
    <n v="24535.7"/>
    <s v="tier - 2"/>
    <s v="tier - 2"/>
    <s v="R1012"/>
    <n v="47"/>
  </r>
  <r>
    <s v="Id1919"/>
    <s v="Kipyego, Mr.  Bernard"/>
    <n v="28.88"/>
    <n v="4.0999999999999996"/>
    <s v="No"/>
    <s v="No"/>
    <x v="0"/>
    <n v="0"/>
    <x v="1"/>
    <x v="1"/>
    <s v="Normal"/>
    <n v="1976"/>
    <s v="Oct"/>
    <n v="12"/>
    <n v="0"/>
    <d v="1976-10-12T00:00:00"/>
    <n v="24603.05"/>
    <s v="tier - 2"/>
    <s v="tier - 2"/>
    <s v="R1011"/>
    <n v="46"/>
  </r>
  <r>
    <s v="Id1920"/>
    <s v="Kuehl, Mr.  Craig"/>
    <n v="20.234999999999999"/>
    <n v="5.01"/>
    <s v="yes"/>
    <s v="No"/>
    <x v="0"/>
    <n v="0"/>
    <x v="1"/>
    <x v="2"/>
    <s v="Normal"/>
    <n v="1970"/>
    <s v="Jun"/>
    <n v="12"/>
    <n v="2"/>
    <d v="1970-06-12T00:00:00"/>
    <n v="24667.42"/>
    <s v="tier - 2"/>
    <s v="tier - 3"/>
    <s v="R1013"/>
    <n v="52"/>
  </r>
  <r>
    <s v="Id1921"/>
    <s v="Burkholder, Mrs.  Bryn"/>
    <n v="30.67"/>
    <n v="5.09"/>
    <s v="yes"/>
    <s v="No"/>
    <x v="0"/>
    <n v="0"/>
    <x v="1"/>
    <x v="0"/>
    <s v="Normal"/>
    <n v="1996"/>
    <s v="Aug"/>
    <n v="28"/>
    <n v="4"/>
    <d v="1996-08-28T00:00:00"/>
    <n v="24671.66"/>
    <s v="tier - 2"/>
    <s v="tier - 1"/>
    <s v="R1024"/>
    <n v="26"/>
  </r>
  <r>
    <s v="Id1922"/>
    <s v="Stadolnik, Mr.  Michael"/>
    <n v="30.875"/>
    <n v="6.49"/>
    <s v="No"/>
    <s v="No"/>
    <x v="0"/>
    <n v="0"/>
    <x v="1"/>
    <x v="0"/>
    <s v="Diabetes"/>
    <n v="1992"/>
    <s v="Oct"/>
    <n v="11"/>
    <n v="0"/>
    <d v="1992-10-11T00:00:00"/>
    <n v="24795.040000000001"/>
    <s v="tier - 2"/>
    <s v="tier - 3"/>
    <s v="R1011"/>
    <n v="30"/>
  </r>
  <r>
    <s v="Id1923"/>
    <s v="Shields, Mr.  Benjamin"/>
    <n v="23.8"/>
    <n v="4.08"/>
    <s v="No"/>
    <s v="No"/>
    <x v="0"/>
    <n v="0"/>
    <x v="1"/>
    <x v="2"/>
    <s v="Normal"/>
    <n v="1994"/>
    <s v="Sep"/>
    <n v="9"/>
    <n v="0"/>
    <d v="1994-09-09T00:00:00"/>
    <n v="24817.25"/>
    <s v="tier - 2"/>
    <s v="tier - 2"/>
    <s v="R1011"/>
    <n v="28"/>
  </r>
  <r>
    <s v="Id1924"/>
    <s v="Margolis, Mr.  Jay"/>
    <n v="15.37"/>
    <n v="8.6300000000000008"/>
    <s v="yes"/>
    <s v="No"/>
    <x v="0"/>
    <n v="0"/>
    <x v="1"/>
    <x v="3"/>
    <s v="Diabetes"/>
    <n v="1995"/>
    <s v="Jun"/>
    <n v="10"/>
    <n v="0"/>
    <d v="1995-06-10T00:00:00"/>
    <n v="24863.25"/>
    <s v="tier - 2"/>
    <s v="tier - 3"/>
    <s v="R1011"/>
    <n v="27"/>
  </r>
  <r>
    <s v="Id1925"/>
    <s v="Uffenbeck, Mr.  William"/>
    <n v="30.4"/>
    <n v="5.28"/>
    <s v="No"/>
    <s v="No"/>
    <x v="0"/>
    <n v="0"/>
    <x v="1"/>
    <x v="0"/>
    <s v="Normal"/>
    <n v="1970"/>
    <s v="Nov"/>
    <n v="26"/>
    <n v="3"/>
    <d v="1970-11-26T00:00:00"/>
    <n v="24869.84"/>
    <s v="tier - 2"/>
    <s v="tier - 2"/>
    <s v="R1016"/>
    <n v="52"/>
  </r>
  <r>
    <s v="Id1926"/>
    <s v="Brake, Ms.  Shelley"/>
    <n v="19.48"/>
    <n v="5.63"/>
    <s v="yes"/>
    <s v="No"/>
    <x v="0"/>
    <n v="1"/>
    <x v="1"/>
    <x v="2"/>
    <s v="Normal"/>
    <n v="1969"/>
    <s v="Jul"/>
    <n v="23"/>
    <n v="3"/>
    <d v="1969-07-23T00:00:00"/>
    <n v="24873.38"/>
    <s v="tier - 2"/>
    <s v="tier - 1"/>
    <s v="R1024"/>
    <n v="53"/>
  </r>
  <r>
    <s v="Id1927"/>
    <s v="Stepanova, Ms.  Jekaterina"/>
    <n v="16.96"/>
    <n v="11.47"/>
    <s v="yes"/>
    <s v="No"/>
    <x v="0"/>
    <n v="0"/>
    <x v="1"/>
    <x v="3"/>
    <s v="Diabetes"/>
    <n v="1987"/>
    <s v="Jun"/>
    <n v="14"/>
    <n v="2"/>
    <d v="1987-06-14T00:00:00"/>
    <n v="24915.05"/>
    <s v="tier - 2"/>
    <s v="tier - 1"/>
    <s v="R1024"/>
    <n v="35"/>
  </r>
  <r>
    <s v="Id1928"/>
    <s v="Verdi, Mr.  Daniel"/>
    <n v="19.05"/>
    <n v="4.92"/>
    <s v="No"/>
    <s v="No"/>
    <x v="0"/>
    <n v="1"/>
    <x v="1"/>
    <x v="2"/>
    <s v="Normal"/>
    <n v="1975"/>
    <s v="Nov"/>
    <n v="14"/>
    <n v="3"/>
    <d v="1975-11-14T00:00:00"/>
    <n v="24915.22"/>
    <s v="tier - 2"/>
    <s v="tier - 3"/>
    <s v="R1012"/>
    <n v="47"/>
  </r>
  <r>
    <s v="Id1929"/>
    <s v="McLean, Ms.  Pauline"/>
    <n v="37.619999999999997"/>
    <n v="4.18"/>
    <s v="No"/>
    <s v="No"/>
    <x v="0"/>
    <n v="0"/>
    <x v="1"/>
    <x v="0"/>
    <s v="Normal"/>
    <n v="1995"/>
    <s v="Dec"/>
    <n v="4"/>
    <n v="0"/>
    <d v="1995-12-04T00:00:00"/>
    <n v="25075.97"/>
    <s v="tier - 2"/>
    <s v="tier - 2"/>
    <s v="R1011"/>
    <n v="27"/>
  </r>
  <r>
    <s v="Id1930"/>
    <s v="Ryan, Ms.  Colleen"/>
    <n v="29.1"/>
    <n v="4.67"/>
    <s v="No"/>
    <s v="No"/>
    <x v="0"/>
    <n v="0"/>
    <x v="1"/>
    <x v="1"/>
    <s v="Normal"/>
    <n v="1998"/>
    <s v="Jun"/>
    <n v="14"/>
    <n v="0"/>
    <d v="1998-06-14T00:00:00"/>
    <n v="25081.77"/>
    <s v="tier - 2"/>
    <s v="tier - 2"/>
    <s v="R1013"/>
    <n v="24"/>
  </r>
  <r>
    <s v="Id1931"/>
    <s v="Mickelson, Ms.  Aleah K"/>
    <n v="26.62"/>
    <n v="6.24"/>
    <s v="No"/>
    <s v="No"/>
    <x v="0"/>
    <n v="0"/>
    <x v="1"/>
    <x v="1"/>
    <s v="Prediabetes"/>
    <n v="1998"/>
    <s v="Nov"/>
    <n v="24"/>
    <n v="0"/>
    <d v="1998-11-24T00:00:00"/>
    <n v="25127.22"/>
    <s v="tier - 2"/>
    <s v="tier - 3"/>
    <s v="R1011"/>
    <n v="24"/>
  </r>
  <r>
    <s v="Id1932"/>
    <s v="Dibaba, Ms.  Mare"/>
    <n v="25.74"/>
    <n v="5.99"/>
    <s v="No"/>
    <s v="No"/>
    <x v="0"/>
    <n v="0"/>
    <x v="1"/>
    <x v="1"/>
    <s v="Prediabetes"/>
    <n v="1975"/>
    <s v="Dec"/>
    <n v="14"/>
    <n v="3"/>
    <d v="1975-12-14T00:00:00"/>
    <n v="25309.49"/>
    <s v="tier - 2"/>
    <s v="tier - 1"/>
    <s v="R1011"/>
    <n v="47"/>
  </r>
  <r>
    <s v="Id1933"/>
    <s v="Shilling, Mr.  Kevin"/>
    <n v="18.22"/>
    <n v="10.27"/>
    <s v="yes"/>
    <s v="No"/>
    <x v="0"/>
    <n v="1"/>
    <x v="1"/>
    <x v="3"/>
    <s v="Diabetes"/>
    <n v="1972"/>
    <s v="Sep"/>
    <n v="26"/>
    <n v="2"/>
    <d v="1972-09-26T00:00:00"/>
    <n v="25333.33"/>
    <s v="tier - 2"/>
    <s v="tier - 2"/>
    <s v="R1017"/>
    <n v="50"/>
  </r>
  <r>
    <s v="Id1934"/>
    <s v="Bashaw, Ms.  Jessica"/>
    <n v="26.03"/>
    <n v="5.97"/>
    <s v="No"/>
    <s v="No"/>
    <x v="1"/>
    <n v="1"/>
    <x v="1"/>
    <x v="1"/>
    <s v="Prediabetes"/>
    <n v="1968"/>
    <s v="Aug"/>
    <n v="22"/>
    <n v="3"/>
    <d v="1968-08-22T00:00:00"/>
    <n v="25382.3"/>
    <s v="tier - 2"/>
    <s v="tier - 2"/>
    <s v="R1011"/>
    <n v="54"/>
  </r>
  <r>
    <s v="Id1935"/>
    <s v="Jacob, Ms.  Amanda R"/>
    <n v="17.29"/>
    <n v="4.9800000000000004"/>
    <s v="No"/>
    <s v="No"/>
    <x v="0"/>
    <n v="0"/>
    <x v="1"/>
    <x v="3"/>
    <s v="Normal"/>
    <n v="1968"/>
    <s v="Dec"/>
    <n v="11"/>
    <n v="1"/>
    <d v="1968-12-11T00:00:00"/>
    <n v="25517.11"/>
    <s v="tier - 2"/>
    <s v="tier - 3"/>
    <s v="R1017"/>
    <n v="54"/>
  </r>
  <r>
    <s v="Id1936"/>
    <s v="McCutcheon, Mr.  Murray W."/>
    <n v="18.170000000000002"/>
    <n v="6.91"/>
    <s v="yes"/>
    <s v="No"/>
    <x v="0"/>
    <n v="1"/>
    <x v="1"/>
    <x v="3"/>
    <s v="Diabetes"/>
    <n v="2001"/>
    <s v="Aug"/>
    <n v="2"/>
    <n v="0"/>
    <d v="2001-08-02T00:00:00"/>
    <n v="25648.98"/>
    <s v="tier - 2"/>
    <s v="tier - 1"/>
    <s v="R1011"/>
    <n v="21"/>
  </r>
  <r>
    <s v="Id1937"/>
    <s v="Connor, Mrs.  Meghan P."/>
    <n v="32.54"/>
    <n v="6.38"/>
    <s v="No"/>
    <s v="yes"/>
    <x v="0"/>
    <n v="1"/>
    <x v="1"/>
    <x v="0"/>
    <s v="Prediabetes"/>
    <n v="1972"/>
    <s v="Jul"/>
    <n v="17"/>
    <n v="0"/>
    <d v="1972-07-17T00:00:00"/>
    <n v="25656.58"/>
    <s v="tier - 2"/>
    <s v="tier - 3"/>
    <s v="R1024"/>
    <n v="50"/>
  </r>
  <r>
    <s v="Id1938"/>
    <s v="May, Mr.  David"/>
    <n v="30.25"/>
    <n v="4.7699999999999996"/>
    <s v="No"/>
    <s v="No"/>
    <x v="0"/>
    <n v="0"/>
    <x v="1"/>
    <x v="0"/>
    <s v="Normal"/>
    <n v="1963"/>
    <s v="Aug"/>
    <n v="21"/>
    <n v="0"/>
    <d v="1963-08-21T00:00:00"/>
    <n v="25678.78"/>
    <s v="tier - 2"/>
    <s v="tier - 3"/>
    <s v="R1012"/>
    <n v="59"/>
  </r>
  <r>
    <s v="Id1939"/>
    <s v="Geoghegan, Mr.  Seth"/>
    <n v="19.59"/>
    <n v="6.04"/>
    <s v="yes"/>
    <s v="No"/>
    <x v="0"/>
    <n v="1"/>
    <x v="1"/>
    <x v="2"/>
    <s v="Prediabetes"/>
    <n v="1970"/>
    <s v="Dec"/>
    <n v="3"/>
    <n v="3"/>
    <d v="1970-12-03T00:00:00"/>
    <n v="25992.82"/>
    <s v="tier - 2"/>
    <s v="tier - 2"/>
    <s v="R1013"/>
    <n v="52"/>
  </r>
  <r>
    <s v="Id1940"/>
    <s v="McGinn, Mr.  Michael P."/>
    <n v="45.9"/>
    <n v="4.3"/>
    <s v="yes"/>
    <s v="No"/>
    <x v="0"/>
    <n v="1"/>
    <x v="1"/>
    <x v="0"/>
    <s v="Normal"/>
    <n v="2001"/>
    <s v="Jun"/>
    <n v="5"/>
    <n v="2"/>
    <d v="2001-06-05T00:00:00"/>
    <n v="26018.95"/>
    <s v="tier - 2"/>
    <s v="tier - 2"/>
    <s v="R1012"/>
    <n v="22"/>
  </r>
  <r>
    <s v="Id1941"/>
    <s v="Jones, Mr.  Russell M"/>
    <n v="17.059999999999999"/>
    <n v="8.75"/>
    <s v="yes"/>
    <s v="No"/>
    <x v="0"/>
    <n v="0"/>
    <x v="1"/>
    <x v="3"/>
    <s v="Diabetes"/>
    <n v="2000"/>
    <s v="Dec"/>
    <n v="26"/>
    <n v="0"/>
    <d v="2000-12-26T00:00:00"/>
    <n v="26026.97"/>
    <s v="tier - 2"/>
    <s v="tier - 3"/>
    <s v="R1011"/>
    <n v="22"/>
  </r>
  <r>
    <s v="Id1942"/>
    <s v="Quinteros, Mr.  Martin"/>
    <n v="32.07"/>
    <n v="5.25"/>
    <s v="No"/>
    <s v="No"/>
    <x v="1"/>
    <n v="1"/>
    <x v="1"/>
    <x v="0"/>
    <s v="Normal"/>
    <n v="1966"/>
    <s v="Jul"/>
    <n v="9"/>
    <n v="1"/>
    <d v="1966-07-09T00:00:00"/>
    <n v="26109.33"/>
    <s v="tier - 2"/>
    <s v="tier - 3"/>
    <s v="R1012"/>
    <n v="56"/>
  </r>
  <r>
    <s v="Id1943"/>
    <s v="Loenser, Mr.  Michael"/>
    <n v="16.5"/>
    <n v="5.03"/>
    <s v="No"/>
    <s v="No"/>
    <x v="0"/>
    <n v="1"/>
    <x v="1"/>
    <x v="3"/>
    <s v="Normal"/>
    <n v="2002"/>
    <s v="Oct"/>
    <n v="11"/>
    <n v="0"/>
    <d v="2002-10-11T00:00:00"/>
    <n v="26125.67"/>
    <s v="tier - 2"/>
    <s v="tier - 1"/>
    <s v="R1013"/>
    <n v="20"/>
  </r>
  <r>
    <s v="Id1944"/>
    <s v="Aitken, Mr.  Miles"/>
    <n v="31.4"/>
    <n v="5.88"/>
    <s v="No"/>
    <s v="No"/>
    <x v="0"/>
    <n v="1"/>
    <x v="1"/>
    <x v="0"/>
    <s v="Prediabetes"/>
    <n v="1973"/>
    <s v="Jul"/>
    <n v="7"/>
    <n v="1"/>
    <d v="1973-07-07T00:00:00"/>
    <n v="26140.36"/>
    <s v="tier - 2"/>
    <s v="tier - 3"/>
    <s v="R1011"/>
    <n v="49"/>
  </r>
  <r>
    <s v="Id1945"/>
    <s v="Furrer, Ms.  Amanda"/>
    <n v="20.36"/>
    <n v="4.49"/>
    <s v="No"/>
    <s v="No"/>
    <x v="0"/>
    <n v="0"/>
    <x v="1"/>
    <x v="2"/>
    <s v="Normal"/>
    <n v="1975"/>
    <s v="Jun"/>
    <n v="4"/>
    <n v="1"/>
    <d v="1975-06-04T00:00:00"/>
    <n v="26236.58"/>
    <s v="tier - 2"/>
    <s v="tier - 1"/>
    <s v="R1011"/>
    <n v="48"/>
  </r>
  <r>
    <s v="Id1946"/>
    <s v="Konigs, Mr.  Roger"/>
    <n v="25.46"/>
    <n v="4.1399999999999997"/>
    <s v="No"/>
    <s v="No"/>
    <x v="0"/>
    <n v="1"/>
    <x v="1"/>
    <x v="1"/>
    <s v="Normal"/>
    <n v="2004"/>
    <s v="Dec"/>
    <n v="5"/>
    <n v="0"/>
    <d v="2004-12-05T00:00:00"/>
    <n v="26316.59"/>
    <s v="tier - 2"/>
    <s v="tier - 3"/>
    <s v="R1011"/>
    <n v="18"/>
  </r>
  <r>
    <s v="Id1947"/>
    <s v="Tesdahl, Mr.  Brock J"/>
    <n v="17.09"/>
    <n v="5.8"/>
    <s v="yes"/>
    <s v="No"/>
    <x v="0"/>
    <n v="0"/>
    <x v="1"/>
    <x v="3"/>
    <s v="Prediabetes"/>
    <n v="1974"/>
    <s v="Sep"/>
    <n v="21"/>
    <n v="1"/>
    <d v="1974-09-21T00:00:00"/>
    <n v="26392.26"/>
    <s v="tier - 2"/>
    <s v="tier - 2"/>
    <s v="R1024"/>
    <n v="48"/>
  </r>
  <r>
    <s v="Id1948"/>
    <s v="Engel, Mr.  Stephen F."/>
    <n v="20.83"/>
    <n v="5.12"/>
    <s v="No"/>
    <s v="No"/>
    <x v="0"/>
    <n v="0"/>
    <x v="1"/>
    <x v="2"/>
    <s v="Normal"/>
    <n v="1970"/>
    <s v="Aug"/>
    <n v="27"/>
    <n v="2"/>
    <d v="1970-08-27T00:00:00"/>
    <n v="26467.1"/>
    <s v="tier - 2"/>
    <s v="tier - 3"/>
    <s v="R1012"/>
    <n v="52"/>
  </r>
  <r>
    <s v="Id1949"/>
    <s v="Kuck, Ms.  Missy"/>
    <n v="18.920000000000002"/>
    <n v="5.98"/>
    <s v="yes"/>
    <s v="No"/>
    <x v="0"/>
    <n v="1"/>
    <x v="1"/>
    <x v="2"/>
    <s v="Prediabetes"/>
    <n v="2004"/>
    <s v="Sep"/>
    <n v="5"/>
    <n v="0"/>
    <d v="2004-09-05T00:00:00"/>
    <n v="26479.4"/>
    <s v="tier - 2"/>
    <s v="tier - 2"/>
    <s v="R1011"/>
    <n v="18"/>
  </r>
  <r>
    <s v="Id1950"/>
    <s v="Dillon, Mr.  William"/>
    <n v="37.1"/>
    <n v="5.46"/>
    <s v="No"/>
    <s v="No"/>
    <x v="0"/>
    <n v="0"/>
    <x v="1"/>
    <x v="0"/>
    <s v="Normal"/>
    <n v="1988"/>
    <s v="Jul"/>
    <n v="22"/>
    <n v="3"/>
    <d v="1988-07-22T00:00:00"/>
    <n v="26607.89"/>
    <s v="tier - 2"/>
    <s v="tier - 1"/>
    <s v="R1011"/>
    <n v="34"/>
  </r>
  <r>
    <s v="Id1951"/>
    <s v="Neuschel, Ms.  Lauren M"/>
    <n v="22.515000000000001"/>
    <n v="4.91"/>
    <s v="yes"/>
    <s v="No"/>
    <x v="1"/>
    <n v="1"/>
    <x v="1"/>
    <x v="2"/>
    <s v="Normal"/>
    <n v="1991"/>
    <s v="Aug"/>
    <n v="22"/>
    <n v="3"/>
    <d v="1991-08-22T00:00:00"/>
    <n v="26912.560000000001"/>
    <s v="tier - 2"/>
    <s v="tier - 2"/>
    <s v="R1011"/>
    <n v="31"/>
  </r>
  <r>
    <s v="Id1952"/>
    <s v="Rosales Ramirez, Mr.  Apolo U."/>
    <n v="32.700000000000003"/>
    <n v="4.66"/>
    <s v="No"/>
    <s v="No"/>
    <x v="0"/>
    <n v="0"/>
    <x v="1"/>
    <x v="0"/>
    <s v="Normal"/>
    <n v="1958"/>
    <s v="Dec"/>
    <n v="25"/>
    <n v="0"/>
    <d v="1958-12-25T00:00:00"/>
    <n v="26926.51"/>
    <s v="tier - 2"/>
    <s v="tier - 1"/>
    <s v="R1013"/>
    <n v="64"/>
  </r>
  <r>
    <s v="Id1953"/>
    <s v="Marquez, Mr.  Alfons"/>
    <n v="17.75"/>
    <n v="6.8"/>
    <s v="yes"/>
    <s v="No"/>
    <x v="0"/>
    <n v="1"/>
    <x v="1"/>
    <x v="3"/>
    <s v="Diabetes"/>
    <n v="2002"/>
    <s v="Jun"/>
    <n v="17"/>
    <n v="0"/>
    <d v="2002-06-17T00:00:00"/>
    <n v="26927.69"/>
    <s v="tier - 2"/>
    <s v="tier - 2"/>
    <s v="R1011"/>
    <n v="20"/>
  </r>
  <r>
    <s v="Id1954"/>
    <s v="Green, Ms.  Amber"/>
    <n v="33.630000000000003"/>
    <n v="4.47"/>
    <s v="yes"/>
    <s v="No"/>
    <x v="0"/>
    <n v="0"/>
    <x v="1"/>
    <x v="0"/>
    <s v="Normal"/>
    <n v="2000"/>
    <s v="Nov"/>
    <n v="9"/>
    <n v="0"/>
    <d v="2000-11-09T00:00:00"/>
    <n v="26936.98"/>
    <s v="tier - 2"/>
    <s v="tier - 3"/>
    <s v="R1011"/>
    <n v="22"/>
  </r>
  <r>
    <s v="Id1955"/>
    <s v="Schubel, Ms.  Leah C."/>
    <n v="34.799999999999997"/>
    <n v="4.08"/>
    <s v="yes"/>
    <s v="No"/>
    <x v="0"/>
    <n v="1"/>
    <x v="1"/>
    <x v="0"/>
    <s v="Normal"/>
    <n v="1960"/>
    <s v="Jul"/>
    <n v="9"/>
    <n v="1"/>
    <d v="1960-07-09T00:00:00"/>
    <n v="27000.98"/>
    <s v="tier - 2"/>
    <s v="tier - 2"/>
    <s v="R1013"/>
    <n v="62"/>
  </r>
  <r>
    <s v="Id1956"/>
    <s v="Jimenez, Ms.  Lilia"/>
    <n v="16.809999999999999"/>
    <n v="5.51"/>
    <s v="yes"/>
    <s v="No"/>
    <x v="0"/>
    <n v="1"/>
    <x v="1"/>
    <x v="3"/>
    <s v="Normal"/>
    <n v="1958"/>
    <s v="Jun"/>
    <n v="30"/>
    <n v="0"/>
    <d v="1958-06-30T00:00:00"/>
    <n v="27037.91"/>
    <s v="tier - 2"/>
    <s v="tier - 2"/>
    <s v="R1013"/>
    <n v="64"/>
  </r>
  <r>
    <s v="Id1957"/>
    <s v="Zimny-Schmitt, Mr.  Danny"/>
    <n v="16.690000000000001"/>
    <n v="8.4"/>
    <s v="yes"/>
    <s v="No"/>
    <x v="0"/>
    <n v="0"/>
    <x v="1"/>
    <x v="3"/>
    <s v="Diabetes"/>
    <n v="1994"/>
    <s v="Jul"/>
    <n v="2"/>
    <n v="0"/>
    <d v="1994-07-02T00:00:00"/>
    <n v="27080.639999999999"/>
    <s v="tier - 2"/>
    <s v="tier - 2"/>
    <s v="R1011"/>
    <n v="28"/>
  </r>
  <r>
    <s v="Id1958"/>
    <s v="Hill, Ms.  Lauren"/>
    <n v="23.21"/>
    <n v="5.14"/>
    <s v="yes"/>
    <s v="No"/>
    <x v="0"/>
    <n v="1"/>
    <x v="1"/>
    <x v="2"/>
    <s v="Normal"/>
    <n v="1990"/>
    <s v="Dec"/>
    <n v="13"/>
    <n v="3"/>
    <d v="1990-12-13T00:00:00"/>
    <n v="27092.38"/>
    <s v="tier - 2"/>
    <s v="tier - 3"/>
    <s v="R1011"/>
    <n v="32"/>
  </r>
  <r>
    <s v="Id1959"/>
    <s v="Brohart, Ms.  Courtney"/>
    <n v="25.175000000000001"/>
    <n v="5.21"/>
    <s v="yes"/>
    <s v="No"/>
    <x v="0"/>
    <n v="1"/>
    <x v="1"/>
    <x v="1"/>
    <s v="Normal"/>
    <n v="1970"/>
    <s v="Oct"/>
    <n v="2"/>
    <n v="0"/>
    <d v="1970-10-02T00:00:00"/>
    <n v="27117.99"/>
    <s v="tier - 2"/>
    <s v="tier - 2"/>
    <s v="R1013"/>
    <n v="52"/>
  </r>
  <r>
    <s v="Id1960"/>
    <s v="Ryan, Ms.  Elizabeth"/>
    <n v="34.770000000000003"/>
    <n v="6.23"/>
    <s v="No"/>
    <s v="No"/>
    <x v="0"/>
    <n v="0"/>
    <x v="1"/>
    <x v="0"/>
    <s v="Prediabetes"/>
    <n v="1965"/>
    <s v="Dec"/>
    <n v="21"/>
    <n v="0"/>
    <d v="1965-12-21T00:00:00"/>
    <n v="27218.44"/>
    <s v="tier - 2"/>
    <s v="tier - 1"/>
    <s v="R1017"/>
    <n v="57"/>
  </r>
  <r>
    <s v="Id1961"/>
    <s v="Oka, Ms.  Satomi"/>
    <n v="27.7"/>
    <n v="5.6"/>
    <s v="No"/>
    <s v="No"/>
    <x v="0"/>
    <n v="1"/>
    <x v="1"/>
    <x v="1"/>
    <s v="Normal"/>
    <n v="1999"/>
    <s v="Dec"/>
    <n v="2"/>
    <n v="0"/>
    <d v="1999-12-02T00:00:00"/>
    <n v="27236.959999999999"/>
    <s v="tier - 2"/>
    <s v="tier - 1"/>
    <s v="R1011"/>
    <n v="23"/>
  </r>
  <r>
    <s v="Id1962"/>
    <s v="Newman, Mr.  Matthew D"/>
    <n v="19.12"/>
    <n v="4.72"/>
    <s v="yes"/>
    <s v="No"/>
    <x v="0"/>
    <n v="1"/>
    <x v="1"/>
    <x v="2"/>
    <s v="Normal"/>
    <n v="1968"/>
    <s v="Jun"/>
    <n v="6"/>
    <n v="3"/>
    <d v="1968-06-06T00:00:00"/>
    <n v="27322.73"/>
    <s v="tier - 2"/>
    <s v="tier - 2"/>
    <s v="R1013"/>
    <n v="55"/>
  </r>
  <r>
    <s v="Id1963"/>
    <s v="Metzger, Mr.  Peter T II"/>
    <n v="32.67"/>
    <n v="4.67"/>
    <s v="No"/>
    <s v="No"/>
    <x v="1"/>
    <n v="1"/>
    <x v="1"/>
    <x v="0"/>
    <s v="Normal"/>
    <n v="1969"/>
    <s v="Oct"/>
    <n v="16"/>
    <n v="0"/>
    <d v="1969-10-16T00:00:00"/>
    <n v="27346.04"/>
    <s v="tier - 2"/>
    <s v="tier - 2"/>
    <s v="R1013"/>
    <n v="53"/>
  </r>
  <r>
    <s v="Id1964"/>
    <s v="Gonzalez, Mr.  Manuel"/>
    <n v="28.5"/>
    <n v="6.11"/>
    <s v="No"/>
    <s v="No"/>
    <x v="0"/>
    <n v="1"/>
    <x v="1"/>
    <x v="1"/>
    <s v="Prediabetes"/>
    <n v="1988"/>
    <s v="Sep"/>
    <n v="15"/>
    <n v="2"/>
    <d v="1988-09-15T00:00:00"/>
    <n v="27375.9"/>
    <s v="tier - 2"/>
    <s v="tier - 3"/>
    <s v="R1015"/>
    <n v="34"/>
  </r>
  <r>
    <s v="Id1965"/>
    <s v="Vaughn, Ms.  Kindsey P."/>
    <n v="39.270000000000003"/>
    <n v="6.25"/>
    <s v="No"/>
    <s v="No"/>
    <x v="0"/>
    <n v="0"/>
    <x v="1"/>
    <x v="0"/>
    <s v="Prediabetes"/>
    <n v="1985"/>
    <s v="Dec"/>
    <n v="5"/>
    <n v="3"/>
    <d v="1985-12-05T00:00:00"/>
    <n v="27432.73"/>
    <s v="tier - 2"/>
    <s v="tier - 1"/>
    <s v="R1011"/>
    <n v="37"/>
  </r>
  <r>
    <s v="Id1966"/>
    <s v="Clifford, Mr.  Thomas G."/>
    <n v="32.49"/>
    <n v="4"/>
    <s v="yes"/>
    <s v="No"/>
    <x v="0"/>
    <n v="0"/>
    <x v="1"/>
    <x v="0"/>
    <s v="Normal"/>
    <n v="1981"/>
    <s v="Oct"/>
    <n v="3"/>
    <n v="1"/>
    <d v="1981-10-03T00:00:00"/>
    <n v="27495.59"/>
    <s v="tier - 2"/>
    <s v="tier - 1"/>
    <s v="R1011"/>
    <n v="41"/>
  </r>
  <r>
    <s v="Id1967"/>
    <s v="Petty, Mr.  Kyle S"/>
    <n v="23.7"/>
    <n v="5.55"/>
    <s v="yes"/>
    <s v="No"/>
    <x v="0"/>
    <n v="0"/>
    <x v="1"/>
    <x v="2"/>
    <s v="Normal"/>
    <n v="1965"/>
    <s v="Oct"/>
    <n v="19"/>
    <n v="0"/>
    <d v="1965-10-19T00:00:00"/>
    <n v="27533.91"/>
    <s v="tier - 2"/>
    <s v="tier - 3"/>
    <s v="R1013"/>
    <n v="57"/>
  </r>
  <r>
    <s v="Id1968"/>
    <s v="Sanford, Mr.  Alexander J."/>
    <n v="30.4"/>
    <n v="5.95"/>
    <s v="No"/>
    <s v="yes"/>
    <x v="0"/>
    <n v="1"/>
    <x v="1"/>
    <x v="0"/>
    <s v="Prediabetes"/>
    <n v="1984"/>
    <s v="Jul"/>
    <n v="22"/>
    <n v="3"/>
    <d v="1984-07-22T00:00:00"/>
    <n v="27534.53"/>
    <s v="tier - 2"/>
    <s v="tier - 2"/>
    <s v="R1011"/>
    <n v="38"/>
  </r>
  <r>
    <s v="Id1969"/>
    <s v="Sprague, Mr.  Dustin L"/>
    <n v="38.94"/>
    <n v="4.3600000000000003"/>
    <s v="No"/>
    <s v="No"/>
    <x v="1"/>
    <n v="1"/>
    <x v="1"/>
    <x v="0"/>
    <s v="Normal"/>
    <n v="1985"/>
    <s v="Nov"/>
    <n v="6"/>
    <n v="3"/>
    <d v="1985-11-06T00:00:00"/>
    <n v="27598.93"/>
    <s v="tier - 2"/>
    <s v="tier - 1"/>
    <s v="R1011"/>
    <n v="37"/>
  </r>
  <r>
    <s v="Id1970"/>
    <s v="Lasseron, Mrs.  Chloe"/>
    <n v="31.02"/>
    <n v="4.84"/>
    <s v="No"/>
    <s v="No"/>
    <x v="1"/>
    <n v="1"/>
    <x v="1"/>
    <x v="0"/>
    <s v="Normal"/>
    <n v="1992"/>
    <s v="Jun"/>
    <n v="11"/>
    <n v="0"/>
    <d v="1992-06-11T00:00:00"/>
    <n v="27614.71"/>
    <s v="tier - 2"/>
    <s v="tier - 3"/>
    <s v="R1011"/>
    <n v="30"/>
  </r>
  <r>
    <s v="Id1971"/>
    <s v="Bushong, Ms.  Cailtlin"/>
    <n v="17.5"/>
    <n v="4.5599999999999996"/>
    <s v="No"/>
    <s v="No"/>
    <x v="0"/>
    <n v="1"/>
    <x v="1"/>
    <x v="3"/>
    <s v="Normal"/>
    <n v="1997"/>
    <s v="Sep"/>
    <n v="9"/>
    <n v="0"/>
    <d v="1997-09-09T00:00:00"/>
    <n v="27619.360000000001"/>
    <s v="tier - 2"/>
    <s v="tier - 3"/>
    <s v="R1011"/>
    <n v="25"/>
  </r>
  <r>
    <s v="Id1972"/>
    <s v="Dennison, Mr.  Joshua"/>
    <n v="34.799999999999997"/>
    <n v="4.42"/>
    <s v="yes"/>
    <s v="yes"/>
    <x v="0"/>
    <n v="2"/>
    <x v="1"/>
    <x v="0"/>
    <s v="Normal"/>
    <n v="1997"/>
    <s v="Oct"/>
    <n v="7"/>
    <n v="0"/>
    <d v="1997-10-07T00:00:00"/>
    <n v="27625.17"/>
    <s v="tier - 1"/>
    <s v="tier - 1"/>
    <s v="R1011"/>
    <n v="25"/>
  </r>
  <r>
    <s v="Id1973"/>
    <s v="Lira, Mr.  Chuy"/>
    <n v="17.3"/>
    <n v="7.66"/>
    <s v="yes"/>
    <s v="No"/>
    <x v="0"/>
    <n v="1"/>
    <x v="1"/>
    <x v="3"/>
    <s v="Diabetes"/>
    <n v="1992"/>
    <s v="Jul"/>
    <n v="3"/>
    <n v="0"/>
    <d v="1992-07-03T00:00:00"/>
    <n v="27696.11"/>
    <s v="tier - 1"/>
    <s v="tier - 2"/>
    <s v="R1011"/>
    <n v="30"/>
  </r>
  <r>
    <s v="Id1974"/>
    <s v="Nahigian, Ms.  Laurie B"/>
    <n v="32.25"/>
    <n v="5.2"/>
    <s v="yes"/>
    <s v="No"/>
    <x v="0"/>
    <n v="0"/>
    <x v="1"/>
    <x v="0"/>
    <s v="Normal"/>
    <n v="2002"/>
    <s v="Dec"/>
    <n v="6"/>
    <n v="1"/>
    <d v="2002-12-06T00:00:00"/>
    <n v="27724.29"/>
    <s v="tier - 1"/>
    <s v="tier - 3"/>
    <s v="R1013"/>
    <n v="20"/>
  </r>
  <r>
    <s v="Id1975"/>
    <s v="Cackett, Ms.  Rachel B."/>
    <n v="42.4"/>
    <n v="5.53"/>
    <s v="yes"/>
    <s v="No"/>
    <x v="0"/>
    <n v="0"/>
    <x v="1"/>
    <x v="0"/>
    <s v="Normal"/>
    <n v="1960"/>
    <s v="Jul"/>
    <n v="6"/>
    <n v="0"/>
    <d v="1960-07-06T00:00:00"/>
    <n v="27808.73"/>
    <s v="tier - 1"/>
    <s v="tier - 1"/>
    <s v="R1013"/>
    <n v="62"/>
  </r>
  <r>
    <s v="Id1976"/>
    <s v="Hunter-Galvan, Ms.  Liza"/>
    <n v="38.664999999999999"/>
    <n v="4.8600000000000003"/>
    <s v="No"/>
    <s v="yes"/>
    <x v="0"/>
    <n v="1"/>
    <x v="1"/>
    <x v="0"/>
    <s v="Normal"/>
    <n v="1985"/>
    <s v="Dec"/>
    <n v="4"/>
    <n v="3"/>
    <d v="1985-12-04T00:00:00"/>
    <n v="27849.94"/>
    <s v="tier - 1"/>
    <s v="tier - 1"/>
    <s v="R1011"/>
    <n v="37"/>
  </r>
  <r>
    <s v="Id1977"/>
    <s v="Pierret, Ms.  Lindsey"/>
    <n v="29.92"/>
    <n v="5.49"/>
    <s v="yes"/>
    <s v="No"/>
    <x v="0"/>
    <n v="0"/>
    <x v="1"/>
    <x v="0"/>
    <s v="Normal"/>
    <n v="1989"/>
    <s v="Nov"/>
    <n v="21"/>
    <n v="3"/>
    <d v="1989-11-21T00:00:00"/>
    <n v="27925.86"/>
    <s v="tier - 1"/>
    <s v="tier - 2"/>
    <s v="R1011"/>
    <n v="33"/>
  </r>
  <r>
    <s v="Id1978"/>
    <s v="White, Ms.  Lindsay E."/>
    <n v="29.48"/>
    <n v="4.09"/>
    <s v="yes"/>
    <s v="No"/>
    <x v="0"/>
    <n v="0"/>
    <x v="1"/>
    <x v="1"/>
    <s v="Normal"/>
    <n v="1991"/>
    <s v="Jun"/>
    <n v="4"/>
    <n v="3"/>
    <d v="1991-06-04T00:00:00"/>
    <n v="27931.11"/>
    <s v="tier - 1"/>
    <s v="tier - 3"/>
    <s v="R1011"/>
    <n v="32"/>
  </r>
  <r>
    <s v="Id1979"/>
    <s v="O'Neil, Ms.  Kathleen M."/>
    <n v="28.785"/>
    <n v="4.3099999999999996"/>
    <s v="yes"/>
    <s v="No"/>
    <x v="0"/>
    <n v="0"/>
    <x v="1"/>
    <x v="1"/>
    <s v="Normal"/>
    <n v="1961"/>
    <s v="Jul"/>
    <n v="28"/>
    <n v="3"/>
    <d v="1961-07-28T00:00:00"/>
    <n v="27941.29"/>
    <s v="tier - 1"/>
    <s v="tier - 3"/>
    <s v="R1011"/>
    <n v="61"/>
  </r>
  <r>
    <s v="Id1980"/>
    <s v="Leitz, Ms.  Aya"/>
    <n v="19.8"/>
    <n v="4"/>
    <s v="yes"/>
    <s v="No"/>
    <x v="0"/>
    <n v="0"/>
    <x v="1"/>
    <x v="2"/>
    <s v="Normal"/>
    <n v="1999"/>
    <s v="Dec"/>
    <n v="21"/>
    <n v="0"/>
    <d v="1999-12-21T00:00:00"/>
    <n v="27980.77"/>
    <s v="tier - 1"/>
    <s v="tier - 1"/>
    <s v="R1011"/>
    <n v="23"/>
  </r>
  <r>
    <s v="Id1981"/>
    <s v="Durfee, Ms.  Carolyn R"/>
    <n v="35.53"/>
    <n v="4.68"/>
    <s v="No"/>
    <s v="No"/>
    <x v="1"/>
    <n v="1"/>
    <x v="1"/>
    <x v="0"/>
    <s v="Normal"/>
    <n v="1985"/>
    <s v="Nov"/>
    <n v="29"/>
    <n v="3"/>
    <d v="1985-11-29T00:00:00"/>
    <n v="28006.94"/>
    <s v="tier - 1"/>
    <s v="tier - 2"/>
    <s v="R1011"/>
    <n v="37"/>
  </r>
  <r>
    <s v="Id1982"/>
    <s v="Maylone, Ms.  Bethany"/>
    <n v="21.47"/>
    <n v="4.0199999999999996"/>
    <s v="yes"/>
    <s v="No"/>
    <x v="0"/>
    <n v="1"/>
    <x v="1"/>
    <x v="2"/>
    <s v="Normal"/>
    <n v="1960"/>
    <s v="Nov"/>
    <n v="22"/>
    <n v="0"/>
    <d v="1960-11-22T00:00:00"/>
    <n v="28101.33"/>
    <s v="tier - 1"/>
    <s v="tier - 2"/>
    <s v="R1019"/>
    <n v="62"/>
  </r>
  <r>
    <s v="Id1983"/>
    <s v="Reiland, Ms.  Holly A"/>
    <n v="25.9"/>
    <n v="5.12"/>
    <s v="No"/>
    <s v="No"/>
    <x v="1"/>
    <n v="1"/>
    <x v="1"/>
    <x v="1"/>
    <s v="Normal"/>
    <n v="1999"/>
    <s v="Sep"/>
    <n v="6"/>
    <n v="0"/>
    <d v="1999-09-06T00:00:00"/>
    <n v="28245.34"/>
    <s v="tier - 1"/>
    <s v="tier - 3"/>
    <s v="R1011"/>
    <n v="23"/>
  </r>
  <r>
    <s v="Id1984"/>
    <s v="Hu, Mr.  Ping"/>
    <n v="20.81"/>
    <n v="5.52"/>
    <s v="No"/>
    <s v="No"/>
    <x v="0"/>
    <n v="0"/>
    <x v="1"/>
    <x v="2"/>
    <s v="Normal"/>
    <n v="1963"/>
    <s v="Nov"/>
    <n v="25"/>
    <n v="1"/>
    <d v="1963-11-25T00:00:00"/>
    <n v="28287.9"/>
    <s v="tier - 1"/>
    <s v="tier - 1"/>
    <s v="R1013"/>
    <n v="59"/>
  </r>
  <r>
    <s v="Id1985"/>
    <s v="Lessek, Mr.  Tim"/>
    <n v="25.84"/>
    <n v="5.81"/>
    <s v="yes"/>
    <s v="No"/>
    <x v="1"/>
    <n v="1"/>
    <x v="1"/>
    <x v="1"/>
    <s v="Prediabetes"/>
    <n v="1990"/>
    <s v="Dec"/>
    <n v="24"/>
    <n v="3"/>
    <d v="1990-12-24T00:00:00"/>
    <n v="28302.33"/>
    <s v="tier - 1"/>
    <s v="tier - 2"/>
    <s v="R1011"/>
    <n v="32"/>
  </r>
  <r>
    <s v="Id1986"/>
    <s v="Colavincenzo, Mr.  John"/>
    <n v="30.95"/>
    <n v="5.16"/>
    <s v="No"/>
    <s v="No"/>
    <x v="1"/>
    <n v="1"/>
    <x v="1"/>
    <x v="0"/>
    <s v="Normal"/>
    <n v="1977"/>
    <s v="Dec"/>
    <n v="2"/>
    <n v="1"/>
    <d v="1977-12-02T00:00:00"/>
    <n v="28340.19"/>
    <s v="tier - 1"/>
    <s v="tier - 2"/>
    <s v="R1012"/>
    <n v="45"/>
  </r>
  <r>
    <s v="Id1987"/>
    <s v="Mendez-Karr, Mrs.  Cynthia"/>
    <n v="30.54"/>
    <n v="5"/>
    <s v="No"/>
    <s v="No"/>
    <x v="1"/>
    <n v="1"/>
    <x v="1"/>
    <x v="0"/>
    <s v="Normal"/>
    <n v="1974"/>
    <s v="Sep"/>
    <n v="16"/>
    <n v="1"/>
    <d v="1974-09-16T00:00:00"/>
    <n v="28468.92"/>
    <s v="tier - 1"/>
    <s v="tier - 1"/>
    <s v="R1012"/>
    <n v="48"/>
  </r>
  <r>
    <s v="Id1988"/>
    <s v="Saulnier, Mr.  Emmett"/>
    <n v="33.914999999999999"/>
    <n v="5.84"/>
    <s v="yes"/>
    <s v="No"/>
    <x v="0"/>
    <n v="0"/>
    <x v="1"/>
    <x v="0"/>
    <s v="Prediabetes"/>
    <n v="1982"/>
    <s v="Dec"/>
    <n v="11"/>
    <n v="1"/>
    <d v="1982-12-11T00:00:00"/>
    <n v="28476.73"/>
    <s v="tier - 1"/>
    <s v="tier - 2"/>
    <s v="R1012"/>
    <n v="40"/>
  </r>
  <r>
    <s v="Id1989"/>
    <s v="Schoonover, Ms.  Kate"/>
    <n v="33.31"/>
    <n v="4.1900000000000004"/>
    <s v="No"/>
    <s v="No"/>
    <x v="1"/>
    <n v="1"/>
    <x v="1"/>
    <x v="0"/>
    <s v="Normal"/>
    <n v="1985"/>
    <s v="Sep"/>
    <n v="27"/>
    <n v="3"/>
    <d v="1985-09-27T00:00:00"/>
    <n v="28542.86"/>
    <s v="tier - 1"/>
    <s v="tier - 3"/>
    <s v="R1011"/>
    <n v="37"/>
  </r>
  <r>
    <s v="Id1990"/>
    <s v="Hass, Mr.  Christopher L."/>
    <n v="25.745000000000001"/>
    <n v="4.62"/>
    <s v="yes"/>
    <s v="No"/>
    <x v="0"/>
    <n v="0"/>
    <x v="1"/>
    <x v="1"/>
    <s v="Normal"/>
    <n v="1990"/>
    <s v="Dec"/>
    <n v="5"/>
    <n v="3"/>
    <d v="1990-12-05T00:00:00"/>
    <n v="28716.14"/>
    <s v="tier - 1"/>
    <s v="tier - 3"/>
    <s v="R1011"/>
    <n v="32"/>
  </r>
  <r>
    <s v="Id1991"/>
    <s v="Cadotte, Mr.  Christopher P."/>
    <n v="37.1"/>
    <n v="6.24"/>
    <s v="No"/>
    <s v="No"/>
    <x v="0"/>
    <n v="0"/>
    <x v="1"/>
    <x v="0"/>
    <s v="Prediabetes"/>
    <n v="1961"/>
    <s v="Aug"/>
    <n v="3"/>
    <n v="1"/>
    <d v="1961-08-03T00:00:00"/>
    <n v="28868.66"/>
    <s v="tier - 1"/>
    <s v="tier - 2"/>
    <s v="R1012"/>
    <n v="61"/>
  </r>
  <r>
    <s v="Id1992"/>
    <s v="Cacciapaglia, Mr.  Christopher W"/>
    <n v="35.435000000000002"/>
    <n v="5.81"/>
    <s v="No"/>
    <s v="No"/>
    <x v="0"/>
    <n v="0"/>
    <x v="1"/>
    <x v="0"/>
    <s v="Prediabetes"/>
    <n v="1962"/>
    <s v="Jul"/>
    <n v="25"/>
    <n v="0"/>
    <d v="1962-07-25T00:00:00"/>
    <n v="28923.14"/>
    <s v="tier - 1"/>
    <s v="tier - 1"/>
    <s v="R1012"/>
    <n v="60"/>
  </r>
  <r>
    <s v="Id1993"/>
    <s v="Mininger, Mr.  Norman H."/>
    <n v="20.399999999999999"/>
    <n v="4.83"/>
    <s v="No"/>
    <s v="No"/>
    <x v="0"/>
    <n v="0"/>
    <x v="1"/>
    <x v="2"/>
    <s v="Normal"/>
    <n v="1959"/>
    <s v="Dec"/>
    <n v="5"/>
    <n v="0"/>
    <d v="1959-12-05T00:00:00"/>
    <n v="28950.47"/>
    <s v="tier - 1"/>
    <s v="tier - 1"/>
    <s v="R1012"/>
    <n v="63"/>
  </r>
  <r>
    <s v="Id1994"/>
    <s v="Mayo, Ms.  Susan"/>
    <n v="42.13"/>
    <n v="5.72"/>
    <s v="yes"/>
    <s v="No"/>
    <x v="1"/>
    <n v="1"/>
    <x v="1"/>
    <x v="0"/>
    <s v="Prediabetes"/>
    <n v="2003"/>
    <s v="Sep"/>
    <n v="1"/>
    <n v="0"/>
    <d v="2003-09-01T00:00:00"/>
    <n v="28998.68"/>
    <s v="tier - 1"/>
    <s v="tier - 3"/>
    <s v="R1011"/>
    <n v="19"/>
  </r>
  <r>
    <s v="Id1995"/>
    <s v="Zicko, Ms.  Tatyana K"/>
    <n v="33.99"/>
    <n v="4.83"/>
    <s v="yes"/>
    <s v="No"/>
    <x v="1"/>
    <n v="1"/>
    <x v="1"/>
    <x v="0"/>
    <s v="Normal"/>
    <n v="1992"/>
    <s v="Jul"/>
    <n v="7"/>
    <n v="0"/>
    <d v="1992-07-07T00:00:00"/>
    <n v="29007.82"/>
    <s v="tier - 1"/>
    <s v="tier - 3"/>
    <s v="R1011"/>
    <n v="30"/>
  </r>
  <r>
    <s v="Id1996"/>
    <s v="Graham, Ms.  Chrissy"/>
    <n v="28.594999999999999"/>
    <n v="4.1399999999999997"/>
    <s v="yes"/>
    <s v="No"/>
    <x v="1"/>
    <n v="1"/>
    <x v="1"/>
    <x v="1"/>
    <s v="Normal"/>
    <n v="1980"/>
    <s v="Jul"/>
    <n v="14"/>
    <n v="2"/>
    <d v="1980-07-14T00:00:00"/>
    <n v="29114.21"/>
    <s v="tier - 1"/>
    <s v="tier - 3"/>
    <s v="R1011"/>
    <n v="42"/>
  </r>
  <r>
    <s v="Id1997"/>
    <s v="Boland, Ms.  Carrie"/>
    <n v="20.8"/>
    <n v="4.07"/>
    <s v="yes"/>
    <s v="No"/>
    <x v="1"/>
    <n v="1"/>
    <x v="1"/>
    <x v="2"/>
    <s v="Normal"/>
    <n v="1978"/>
    <s v="Nov"/>
    <n v="29"/>
    <n v="2"/>
    <d v="1978-11-29T00:00:00"/>
    <n v="29114.77"/>
    <s v="tier - 1"/>
    <s v="tier - 1"/>
    <s v="R1011"/>
    <n v="44"/>
  </r>
  <r>
    <s v="Id1998"/>
    <s v="Cupp, Ms.  Halle"/>
    <n v="23.465"/>
    <n v="6.26"/>
    <s v="yes"/>
    <s v="No"/>
    <x v="1"/>
    <n v="1"/>
    <x v="1"/>
    <x v="2"/>
    <s v="Prediabetes"/>
    <n v="1961"/>
    <s v="Dec"/>
    <n v="24"/>
    <n v="0"/>
    <d v="1961-12-24T00:00:00"/>
    <n v="29141.360000000001"/>
    <s v="tier - 1"/>
    <s v="tier - 3"/>
    <s v="R1012"/>
    <n v="61"/>
  </r>
  <r>
    <s v="Id1999"/>
    <s v="Shaw, Ms.  Carolyn"/>
    <n v="40.185000000000002"/>
    <n v="5.88"/>
    <s v="yes"/>
    <s v="No"/>
    <x v="0"/>
    <n v="0"/>
    <x v="1"/>
    <x v="0"/>
    <s v="Prediabetes"/>
    <n v="1976"/>
    <s v="Nov"/>
    <n v="8"/>
    <n v="2"/>
    <d v="1976-11-08T00:00:00"/>
    <n v="29160.39"/>
    <s v="tier - 1"/>
    <s v="tier - 2"/>
    <s v="R1011"/>
    <n v="46"/>
  </r>
  <r>
    <s v="Id2000"/>
    <s v="Klassen, Ms.  Tara D."/>
    <n v="21.89"/>
    <n v="5.72"/>
    <s v="yes"/>
    <s v="No"/>
    <x v="0"/>
    <n v="0"/>
    <x v="1"/>
    <x v="2"/>
    <s v="Prediabetes"/>
    <n v="1969"/>
    <s v="Jul"/>
    <n v="9"/>
    <n v="2"/>
    <d v="1969-07-09T00:00:00"/>
    <n v="29186.48"/>
    <s v="tier - 1"/>
    <s v="tier - 3"/>
    <s v="R1024"/>
    <n v="53"/>
  </r>
  <r>
    <s v="Id2001"/>
    <s v="Musal, Mr.  Rasim M"/>
    <n v="29.34"/>
    <n v="6.09"/>
    <s v="yes"/>
    <s v="yes"/>
    <x v="0"/>
    <n v="2"/>
    <x v="1"/>
    <x v="1"/>
    <s v="Prediabetes"/>
    <n v="1978"/>
    <s v="Jul"/>
    <n v="21"/>
    <n v="2"/>
    <d v="1978-07-21T00:00:00"/>
    <n v="29227.599999999999"/>
    <s v="tier - 1"/>
    <s v="tier - 3"/>
    <s v="R1012"/>
    <n v="44"/>
  </r>
  <r>
    <s v="Id2002"/>
    <s v="Kitayama, Ms.  Dina"/>
    <n v="22.61"/>
    <n v="4.25"/>
    <s v="yes"/>
    <s v="No"/>
    <x v="0"/>
    <n v="0"/>
    <x v="1"/>
    <x v="2"/>
    <s v="Normal"/>
    <n v="1958"/>
    <s v="Jun"/>
    <n v="5"/>
    <n v="0"/>
    <d v="1958-06-05T00:00:00"/>
    <n v="29330.98"/>
    <s v="tier - 1"/>
    <s v="tier - 2"/>
    <s v="R1012"/>
    <n v="65"/>
  </r>
  <r>
    <s v="Id2003"/>
    <s v="Altman, Ms.  Lisa"/>
    <n v="22.23"/>
    <n v="6.09"/>
    <s v="yes"/>
    <s v="No"/>
    <x v="0"/>
    <n v="0"/>
    <x v="1"/>
    <x v="2"/>
    <s v="Prediabetes"/>
    <n v="1985"/>
    <s v="Nov"/>
    <n v="7"/>
    <n v="3"/>
    <d v="1985-11-07T00:00:00"/>
    <n v="29352.560000000001"/>
    <s v="tier - 1"/>
    <s v="tier - 1"/>
    <s v="R1011"/>
    <n v="37"/>
  </r>
  <r>
    <s v="Id2004"/>
    <s v="Demchko, Ms.  Caitrin"/>
    <n v="33.4"/>
    <n v="5.51"/>
    <s v="No"/>
    <s v="No"/>
    <x v="0"/>
    <n v="0"/>
    <x v="1"/>
    <x v="0"/>
    <s v="Normal"/>
    <n v="1987"/>
    <s v="Jul"/>
    <n v="16"/>
    <n v="3"/>
    <d v="1987-07-16T00:00:00"/>
    <n v="29443.59"/>
    <s v="tier - 1"/>
    <s v="tier - 1"/>
    <s v="R1011"/>
    <n v="35"/>
  </r>
  <r>
    <s v="Id2005"/>
    <s v="Wild, Ms.  Adriana S"/>
    <n v="33.11"/>
    <n v="5.63"/>
    <s v="No"/>
    <s v="No"/>
    <x v="0"/>
    <n v="0"/>
    <x v="1"/>
    <x v="0"/>
    <s v="Normal"/>
    <n v="1959"/>
    <s v="Oct"/>
    <n v="20"/>
    <n v="0"/>
    <d v="1959-10-20T00:00:00"/>
    <n v="29523.17"/>
    <s v="tier - 1"/>
    <s v="tier - 2"/>
    <s v="R1024"/>
    <n v="63"/>
  </r>
  <r>
    <s v="Id2006"/>
    <s v="Betts, Ms.  Megan"/>
    <n v="16.815000000000001"/>
    <n v="5.29"/>
    <s v="yes"/>
    <s v="No"/>
    <x v="0"/>
    <n v="0"/>
    <x v="1"/>
    <x v="3"/>
    <s v="Normal"/>
    <n v="1975"/>
    <s v="Nov"/>
    <n v="3"/>
    <n v="1"/>
    <d v="1975-11-03T00:00:00"/>
    <n v="29583.8"/>
    <s v="tier - 1"/>
    <s v="tier - 1"/>
    <s v="R1011"/>
    <n v="47"/>
  </r>
  <r>
    <s v="Id2007"/>
    <s v="Martin, Mrs.  Kristen M"/>
    <n v="25.61"/>
    <n v="4"/>
    <s v="No"/>
    <s v="No"/>
    <x v="1"/>
    <n v="1"/>
    <x v="1"/>
    <x v="1"/>
    <s v="Normal"/>
    <n v="1993"/>
    <s v="Jul"/>
    <n v="27"/>
    <n v="0"/>
    <d v="1993-07-27T00:00:00"/>
    <n v="29622.69"/>
    <s v="tier - 1"/>
    <s v="tier - 1"/>
    <s v="R1011"/>
    <n v="29"/>
  </r>
  <r>
    <s v="Id2008"/>
    <s v="Vandeventer, Ms.  Alix"/>
    <n v="25.8"/>
    <n v="5.49"/>
    <s v="No"/>
    <s v="No"/>
    <x v="0"/>
    <n v="0"/>
    <x v="1"/>
    <x v="1"/>
    <s v="Normal"/>
    <n v="1973"/>
    <s v="Aug"/>
    <n v="23"/>
    <n v="0"/>
    <d v="1973-08-23T00:00:00"/>
    <n v="29757.69"/>
    <s v="tier - 1"/>
    <s v="tier - 3"/>
    <s v="R1011"/>
    <n v="49"/>
  </r>
  <r>
    <s v="Id2009"/>
    <s v="Hirano, Mr.  Kakushin"/>
    <n v="27.39"/>
    <n v="5.34"/>
    <s v="No"/>
    <s v="No"/>
    <x v="0"/>
    <n v="0"/>
    <x v="1"/>
    <x v="1"/>
    <s v="Normal"/>
    <n v="1998"/>
    <s v="Jun"/>
    <n v="20"/>
    <n v="0"/>
    <d v="1998-06-20T00:00:00"/>
    <n v="29760.6"/>
    <s v="tier - 1"/>
    <s v="tier - 2"/>
    <s v="R1011"/>
    <n v="24"/>
  </r>
  <r>
    <s v="Id2010"/>
    <s v="Davi, Mr.  Michael J"/>
    <n v="17.03"/>
    <n v="4.12"/>
    <s v="No"/>
    <s v="No"/>
    <x v="0"/>
    <n v="1"/>
    <x v="1"/>
    <x v="3"/>
    <s v="Normal"/>
    <n v="1981"/>
    <s v="Aug"/>
    <n v="13"/>
    <n v="1"/>
    <d v="1981-08-13T00:00:00"/>
    <n v="29816.639999999999"/>
    <s v="tier - 1"/>
    <s v="tier - 2"/>
    <s v="R1011"/>
    <n v="41"/>
  </r>
  <r>
    <s v="Id2011"/>
    <s v="Sloan, Mr.  Bradley"/>
    <n v="23.75"/>
    <n v="5.49"/>
    <s v="yes"/>
    <s v="No"/>
    <x v="0"/>
    <n v="0"/>
    <x v="1"/>
    <x v="2"/>
    <s v="Normal"/>
    <n v="1982"/>
    <s v="Oct"/>
    <n v="29"/>
    <n v="3"/>
    <d v="1982-10-29T00:00:00"/>
    <n v="29818.76"/>
    <s v="tier - 1"/>
    <s v="tier - 1"/>
    <s v="R1012"/>
    <n v="40"/>
  </r>
  <r>
    <s v="Id2012"/>
    <s v="Homich, Mr.  Matt"/>
    <n v="26.03"/>
    <n v="5.1100000000000003"/>
    <s v="yes"/>
    <s v="No"/>
    <x v="0"/>
    <n v="1"/>
    <x v="1"/>
    <x v="1"/>
    <s v="Normal"/>
    <n v="1989"/>
    <s v="Dec"/>
    <n v="30"/>
    <n v="3"/>
    <d v="1989-12-30T00:00:00"/>
    <n v="29852.48"/>
    <s v="tier - 1"/>
    <s v="tier - 3"/>
    <s v="R1011"/>
    <n v="33"/>
  </r>
  <r>
    <s v="Id2013"/>
    <s v="Bell, Ms.  Amanda C."/>
    <n v="16.079999999999998"/>
    <n v="5.94"/>
    <s v="No"/>
    <s v="No"/>
    <x v="0"/>
    <n v="0"/>
    <x v="1"/>
    <x v="3"/>
    <s v="Prediabetes"/>
    <n v="1975"/>
    <s v="Aug"/>
    <n v="19"/>
    <n v="1"/>
    <d v="1975-08-19T00:00:00"/>
    <n v="29899.25"/>
    <s v="tier - 1"/>
    <s v="tier - 3"/>
    <s v="R1011"/>
    <n v="47"/>
  </r>
  <r>
    <s v="Id2014"/>
    <s v="Kristjansson, Mr.  Valur"/>
    <n v="30.875"/>
    <n v="5.54"/>
    <s v="No"/>
    <s v="No"/>
    <x v="0"/>
    <n v="0"/>
    <x v="1"/>
    <x v="0"/>
    <s v="Normal"/>
    <n v="1988"/>
    <s v="Dec"/>
    <n v="30"/>
    <n v="3"/>
    <d v="1988-12-30T00:00:00"/>
    <n v="29929.56"/>
    <s v="tier - 1"/>
    <s v="tier - 1"/>
    <s v="R1011"/>
    <n v="34"/>
  </r>
  <r>
    <s v="Id2015"/>
    <s v="Pitman, Ms.  Erica J"/>
    <n v="31.79"/>
    <n v="7.09"/>
    <s v="No"/>
    <s v="No"/>
    <x v="0"/>
    <n v="0"/>
    <x v="1"/>
    <x v="0"/>
    <s v="Diabetes"/>
    <n v="1976"/>
    <s v="Jun"/>
    <n v="12"/>
    <n v="2"/>
    <d v="1976-06-12T00:00:00"/>
    <n v="29933.75"/>
    <s v="tier - 1"/>
    <s v="tier - 1"/>
    <s v="R1011"/>
    <n v="46"/>
  </r>
  <r>
    <s v="Id2016"/>
    <s v="Curley, Mr.  Stephen F."/>
    <n v="28.48"/>
    <n v="6.22"/>
    <s v="yes"/>
    <s v="No"/>
    <x v="1"/>
    <n v="1"/>
    <x v="1"/>
    <x v="1"/>
    <s v="Prediabetes"/>
    <n v="1991"/>
    <s v="Oct"/>
    <n v="5"/>
    <n v="3"/>
    <d v="1991-10-05T00:00:00"/>
    <n v="29969.67"/>
    <s v="tier - 1"/>
    <s v="tier - 1"/>
    <s v="R1011"/>
    <n v="31"/>
  </r>
  <r>
    <s v="Id2017"/>
    <s v="Zimmer, Ms.  Lissa"/>
    <n v="26.6"/>
    <n v="4.33"/>
    <s v="No"/>
    <s v="No"/>
    <x v="0"/>
    <n v="1"/>
    <x v="1"/>
    <x v="1"/>
    <s v="Normal"/>
    <n v="1981"/>
    <s v="Aug"/>
    <n v="4"/>
    <n v="1"/>
    <d v="1981-08-04T00:00:00"/>
    <n v="30026.87"/>
    <s v="tier - 2"/>
    <s v="tier - 3"/>
    <s v="R1012"/>
    <n v="41"/>
  </r>
  <r>
    <s v="Id2018"/>
    <s v="Granski, Ms.  Megan"/>
    <n v="25.27"/>
    <n v="5.83"/>
    <s v="No"/>
    <s v="No"/>
    <x v="0"/>
    <n v="1"/>
    <x v="1"/>
    <x v="1"/>
    <s v="Prediabetes"/>
    <n v="1967"/>
    <s v="Jun"/>
    <n v="16"/>
    <n v="3"/>
    <d v="1967-06-16T00:00:00"/>
    <n v="30063.58"/>
    <s v="tier - 1"/>
    <s v="tier - 1"/>
    <s v="R1012"/>
    <n v="55"/>
  </r>
  <r>
    <s v="Id2019"/>
    <s v="Dunn, Ms.  Alyson"/>
    <n v="34.484999999999999"/>
    <n v="4.7"/>
    <s v="yes"/>
    <s v="No"/>
    <x v="1"/>
    <n v="1"/>
    <x v="1"/>
    <x v="0"/>
    <s v="Normal"/>
    <n v="1979"/>
    <s v="Sep"/>
    <n v="2"/>
    <n v="2"/>
    <d v="1979-09-02T00:00:00"/>
    <n v="30095.97"/>
    <s v="tier - 2"/>
    <s v="tier - 3"/>
    <s v="R1011"/>
    <n v="43"/>
  </r>
  <r>
    <s v="Id2020"/>
    <s v="Regina, Mr.  Chance B"/>
    <n v="15.57"/>
    <n v="4.07"/>
    <s v="yes"/>
    <s v="No"/>
    <x v="0"/>
    <n v="1"/>
    <x v="1"/>
    <x v="3"/>
    <s v="Normal"/>
    <n v="1971"/>
    <s v="Dec"/>
    <n v="25"/>
    <n v="0"/>
    <d v="1971-12-25T00:00:00"/>
    <n v="30134.75"/>
    <s v="tier - 2"/>
    <s v="tier - 3"/>
    <s v="R1011"/>
    <n v="51"/>
  </r>
  <r>
    <s v="Id2021"/>
    <s v="O'Connor, Mr.  Sean P"/>
    <n v="30.36"/>
    <n v="9.39"/>
    <s v="No"/>
    <s v="No"/>
    <x v="0"/>
    <n v="0"/>
    <x v="1"/>
    <x v="0"/>
    <s v="Diabetes"/>
    <n v="1958"/>
    <s v="Aug"/>
    <n v="11"/>
    <n v="1"/>
    <d v="1958-08-11T00:00:00"/>
    <n v="30166.62"/>
    <s v="tier - 1"/>
    <s v="tier - 3"/>
    <s v="R1012"/>
    <n v="64"/>
  </r>
  <r>
    <s v="Id2022"/>
    <s v="Howe, Ms.  Therese"/>
    <n v="19.37"/>
    <n v="4.18"/>
    <s v="No"/>
    <s v="No"/>
    <x v="0"/>
    <n v="0"/>
    <x v="1"/>
    <x v="2"/>
    <s v="Normal"/>
    <n v="1963"/>
    <s v="Sep"/>
    <n v="13"/>
    <n v="3"/>
    <d v="1963-09-13T00:00:00"/>
    <n v="30184.94"/>
    <s v="tier - 1"/>
    <s v="tier - 1"/>
    <s v="R1014"/>
    <n v="59"/>
  </r>
  <r>
    <s v="Id2023"/>
    <s v="Atwater, Mr.  Beau"/>
    <n v="16.71"/>
    <n v="4.18"/>
    <s v="No"/>
    <s v="No"/>
    <x v="0"/>
    <n v="1"/>
    <x v="1"/>
    <x v="3"/>
    <s v="Normal"/>
    <n v="1962"/>
    <s v="Sep"/>
    <n v="15"/>
    <n v="0"/>
    <d v="1962-09-15T00:00:00"/>
    <n v="30260"/>
    <s v="tier - 1"/>
    <s v="tier - 1"/>
    <s v="R1014"/>
    <n v="60"/>
  </r>
  <r>
    <s v="Id2024"/>
    <s v="Gurganus, Ms.  Kelsey M"/>
    <n v="24.1"/>
    <n v="4.4000000000000004"/>
    <s v="yes"/>
    <s v="No"/>
    <x v="0"/>
    <n v="1"/>
    <x v="1"/>
    <x v="2"/>
    <s v="Normal"/>
    <n v="1972"/>
    <s v="Jul"/>
    <n v="24"/>
    <n v="2"/>
    <d v="1972-07-24T00:00:00"/>
    <n v="30284.639999999999"/>
    <s v="tier - 1"/>
    <s v="tier - 1"/>
    <s v="R1012"/>
    <n v="50"/>
  </r>
  <r>
    <s v="Id2025"/>
    <s v="Holden, Ms.  Gretchen"/>
    <n v="29.77"/>
    <n v="9.9"/>
    <s v="No"/>
    <s v="No"/>
    <x v="0"/>
    <n v="0"/>
    <x v="1"/>
    <x v="1"/>
    <s v="Diabetes"/>
    <n v="2004"/>
    <s v="Jun"/>
    <n v="1"/>
    <n v="0"/>
    <d v="2004-06-01T00:00:00"/>
    <n v="30328.27"/>
    <s v="tier - 2"/>
    <s v="tier - 2"/>
    <s v="R1011"/>
    <n v="19"/>
  </r>
  <r>
    <s v="Id2026"/>
    <s v="Parton, Mr.  Nicholas E."/>
    <n v="46.53"/>
    <n v="4.84"/>
    <s v="yes"/>
    <s v="No"/>
    <x v="0"/>
    <n v="0"/>
    <x v="1"/>
    <x v="0"/>
    <s v="Normal"/>
    <n v="1969"/>
    <s v="Jul"/>
    <n v="30"/>
    <n v="0"/>
    <d v="1969-07-30T00:00:00"/>
    <n v="30366.93"/>
    <s v="tier - 2"/>
    <s v="tier - 2"/>
    <s v="R1011"/>
    <n v="53"/>
  </r>
  <r>
    <s v="Id2027"/>
    <s v="Downs, Ms.  Deborah"/>
    <n v="23.4"/>
    <n v="5.53"/>
    <s v="No"/>
    <s v="No"/>
    <x v="1"/>
    <n v="1"/>
    <x v="1"/>
    <x v="2"/>
    <s v="Normal"/>
    <n v="1976"/>
    <s v="Sep"/>
    <n v="3"/>
    <n v="2"/>
    <d v="1976-09-03T00:00:00"/>
    <n v="30409.53"/>
    <s v="tier - 2"/>
    <s v="tier - 3"/>
    <s v="R1012"/>
    <n v="46"/>
  </r>
  <r>
    <s v="Id2028"/>
    <s v="Dent, Mr.  Chuck W. Jr."/>
    <n v="30"/>
    <n v="4.33"/>
    <s v="yes"/>
    <s v="No"/>
    <x v="0"/>
    <n v="0"/>
    <x v="1"/>
    <x v="0"/>
    <s v="Normal"/>
    <n v="1998"/>
    <s v="Oct"/>
    <n v="28"/>
    <n v="0"/>
    <d v="1998-10-28T00:00:00"/>
    <n v="30422.03"/>
    <s v="tier - 2"/>
    <s v="tier - 3"/>
    <s v="R1011"/>
    <n v="24"/>
  </r>
  <r>
    <s v="Id2029"/>
    <s v="Ranti, Mr.  Daniel"/>
    <n v="29.15"/>
    <n v="4.91"/>
    <s v="yes"/>
    <s v="No"/>
    <x v="0"/>
    <n v="0"/>
    <x v="1"/>
    <x v="1"/>
    <s v="Normal"/>
    <n v="1983"/>
    <s v="Sep"/>
    <n v="3"/>
    <n v="3"/>
    <d v="1983-09-03T00:00:00"/>
    <n v="30457.37"/>
    <s v="tier - 2"/>
    <s v="tier - 1"/>
    <s v="R1012"/>
    <n v="39"/>
  </r>
  <r>
    <s v="Id2030"/>
    <s v="Ishaq, Ms.  Amany"/>
    <n v="34.865000000000002"/>
    <n v="4.8"/>
    <s v="No"/>
    <s v="No"/>
    <x v="0"/>
    <n v="0"/>
    <x v="1"/>
    <x v="0"/>
    <s v="Normal"/>
    <n v="1986"/>
    <s v="Aug"/>
    <n v="10"/>
    <n v="3"/>
    <d v="1986-08-10T00:00:00"/>
    <n v="30530.5"/>
    <s v="tier - 2"/>
    <s v="tier - 1"/>
    <s v="R1011"/>
    <n v="36"/>
  </r>
  <r>
    <s v="Id2031"/>
    <s v="Wiles, Ms.  Kipling"/>
    <n v="28.12"/>
    <n v="5.55"/>
    <s v="yes"/>
    <s v="yes"/>
    <x v="0"/>
    <n v="2"/>
    <x v="1"/>
    <x v="1"/>
    <s v="Normal"/>
    <n v="1970"/>
    <s v="Nov"/>
    <n v="11"/>
    <n v="0"/>
    <d v="1970-11-11T00:00:00"/>
    <n v="30625.65"/>
    <s v="tier - 2"/>
    <s v="tier - 3"/>
    <s v="R1011"/>
    <n v="52"/>
  </r>
  <r>
    <s v="Id2032"/>
    <s v="Roberts, Mr.  Duncan"/>
    <n v="29.45"/>
    <n v="5.24"/>
    <s v="yes"/>
    <s v="No"/>
    <x v="0"/>
    <n v="0"/>
    <x v="1"/>
    <x v="1"/>
    <s v="Normal"/>
    <n v="1999"/>
    <s v="Sep"/>
    <n v="21"/>
    <n v="0"/>
    <d v="1999-09-21T00:00:00"/>
    <n v="30697.71"/>
    <s v="tier - 1"/>
    <s v="tier - 2"/>
    <s v="R1011"/>
    <n v="23"/>
  </r>
  <r>
    <s v="Id2033"/>
    <s v="Serafini, Mr.  Louis C."/>
    <n v="27.94"/>
    <n v="6.08"/>
    <s v="No"/>
    <s v="No"/>
    <x v="1"/>
    <n v="1"/>
    <x v="1"/>
    <x v="1"/>
    <s v="Prediabetes"/>
    <n v="1983"/>
    <s v="Dec"/>
    <n v="21"/>
    <n v="3"/>
    <d v="1983-12-21T00:00:00"/>
    <n v="30724.44"/>
    <s v="tier - 2"/>
    <s v="tier - 3"/>
    <s v="R1011"/>
    <n v="39"/>
  </r>
  <r>
    <s v="Id2034"/>
    <s v="Button, Mr.  Daniel J"/>
    <n v="27.2"/>
    <n v="5.83"/>
    <s v="No"/>
    <s v="No"/>
    <x v="1"/>
    <n v="1"/>
    <x v="1"/>
    <x v="1"/>
    <s v="Prediabetes"/>
    <n v="1988"/>
    <s v="Sep"/>
    <n v="5"/>
    <n v="3"/>
    <d v="1988-09-05T00:00:00"/>
    <n v="30763.01"/>
    <s v="tier - 2"/>
    <s v="tier - 1"/>
    <s v="R1011"/>
    <n v="34"/>
  </r>
  <r>
    <s v="Id2035"/>
    <s v="Gaal, Ms.  Ildiko M."/>
    <n v="33.344999999999999"/>
    <n v="4.29"/>
    <s v="No"/>
    <s v="No"/>
    <x v="0"/>
    <n v="1"/>
    <x v="1"/>
    <x v="0"/>
    <s v="Normal"/>
    <n v="1961"/>
    <s v="Sep"/>
    <n v="9"/>
    <n v="3"/>
    <d v="1961-09-09T00:00:00"/>
    <n v="30942.19"/>
    <s v="tier - 2"/>
    <s v="tier - 2"/>
    <s v="R1013"/>
    <n v="61"/>
  </r>
  <r>
    <s v="Id2036"/>
    <s v="Liptak, Ms.  Melinda E."/>
    <n v="29.925000000000001"/>
    <n v="5.3"/>
    <s v="No"/>
    <s v="No"/>
    <x v="0"/>
    <n v="1"/>
    <x v="1"/>
    <x v="0"/>
    <s v="Normal"/>
    <n v="2004"/>
    <s v="Nov"/>
    <n v="9"/>
    <n v="0"/>
    <d v="2004-11-09T00:00:00"/>
    <n v="31196.61"/>
    <s v="tier - 2"/>
    <s v="tier - 1"/>
    <s v="R1011"/>
    <n v="18"/>
  </r>
  <r>
    <s v="Id2037"/>
    <s v="Kellam, Ms.  Ashley M"/>
    <n v="24.225000000000001"/>
    <n v="4.42"/>
    <s v="No"/>
    <s v="No"/>
    <x v="0"/>
    <n v="1"/>
    <x v="1"/>
    <x v="2"/>
    <s v="Normal"/>
    <n v="2000"/>
    <s v="Jul"/>
    <n v="22"/>
    <n v="0"/>
    <d v="2000-07-22T00:00:00"/>
    <n v="31234.560000000001"/>
    <s v="tier - 1"/>
    <s v="tier - 1"/>
    <s v="R1011"/>
    <n v="22"/>
  </r>
  <r>
    <s v="Id2038"/>
    <s v="Gordon, Ms.  Stephanie"/>
    <n v="29.68"/>
    <n v="5.68"/>
    <s v="No"/>
    <s v="yes"/>
    <x v="0"/>
    <n v="1"/>
    <x v="1"/>
    <x v="1"/>
    <s v="Normal"/>
    <n v="1968"/>
    <s v="Jul"/>
    <n v="9"/>
    <n v="0"/>
    <d v="1968-07-09T00:00:00"/>
    <n v="31322.53"/>
    <s v="tier - 2"/>
    <s v="tier - 1"/>
    <s v="R1011"/>
    <n v="54"/>
  </r>
  <r>
    <s v="Id2039"/>
    <s v="Hyland, Mr.  Sean P."/>
    <n v="20.614999999999998"/>
    <n v="6.05"/>
    <s v="No"/>
    <s v="No"/>
    <x v="1"/>
    <n v="1"/>
    <x v="1"/>
    <x v="2"/>
    <s v="Prediabetes"/>
    <n v="1995"/>
    <s v="Sep"/>
    <n v="27"/>
    <n v="0"/>
    <d v="1995-09-27T00:00:00"/>
    <n v="31328.27"/>
    <s v="tier - 2"/>
    <s v="tier - 2"/>
    <s v="R1011"/>
    <n v="27"/>
  </r>
  <r>
    <s v="Id2040"/>
    <s v="Wagoner, Ms.  Emily G"/>
    <n v="32.119999999999997"/>
    <n v="5.33"/>
    <s v="No"/>
    <s v="yes"/>
    <x v="0"/>
    <n v="1"/>
    <x v="1"/>
    <x v="0"/>
    <s v="Normal"/>
    <n v="1974"/>
    <s v="Oct"/>
    <n v="8"/>
    <n v="0"/>
    <d v="1974-10-08T00:00:00"/>
    <n v="31368.81"/>
    <s v="tier - 2"/>
    <s v="tier - 3"/>
    <s v="R1011"/>
    <n v="48"/>
  </r>
  <r>
    <s v="Id2041"/>
    <s v="Thomas, Mr.  Malcolm"/>
    <n v="27.36"/>
    <n v="6.22"/>
    <s v="No"/>
    <s v="No"/>
    <x v="0"/>
    <n v="0"/>
    <x v="1"/>
    <x v="1"/>
    <s v="Prediabetes"/>
    <n v="1975"/>
    <s v="Oct"/>
    <n v="29"/>
    <n v="1"/>
    <d v="1975-10-29T00:00:00"/>
    <n v="31591.82"/>
    <s v="tier - 2"/>
    <s v="tier - 1"/>
    <s v="R1011"/>
    <n v="47"/>
  </r>
  <r>
    <s v="Id2042"/>
    <s v="Goffi, Mr.  Danilo"/>
    <n v="17.385000000000002"/>
    <n v="5.84"/>
    <s v="No"/>
    <s v="No"/>
    <x v="0"/>
    <n v="0"/>
    <x v="1"/>
    <x v="3"/>
    <s v="Prediabetes"/>
    <n v="1960"/>
    <s v="Dec"/>
    <n v="13"/>
    <n v="1"/>
    <d v="1960-12-13T00:00:00"/>
    <n v="31620"/>
    <s v="tier - 2"/>
    <s v="tier - 1"/>
    <s v="R1024"/>
    <n v="62"/>
  </r>
  <r>
    <s v="Id2043"/>
    <s v="Salovaara, Mr.  Mikko"/>
    <n v="30.13"/>
    <n v="5.71"/>
    <s v="No"/>
    <s v="yes"/>
    <x v="0"/>
    <n v="1"/>
    <x v="1"/>
    <x v="0"/>
    <s v="Prediabetes"/>
    <n v="1977"/>
    <s v="Oct"/>
    <n v="14"/>
    <n v="2"/>
    <d v="1977-10-14T00:00:00"/>
    <n v="31736.7"/>
    <s v="tier - 2"/>
    <s v="tier - 2"/>
    <s v="R1012"/>
    <n v="45"/>
  </r>
  <r>
    <s v="Id2044"/>
    <s v="Reid, Ms.  Paula C."/>
    <n v="25.44"/>
    <n v="6.04"/>
    <s v="yes"/>
    <s v="No"/>
    <x v="1"/>
    <n v="1"/>
    <x v="1"/>
    <x v="1"/>
    <s v="Prediabetes"/>
    <n v="1984"/>
    <s v="Sep"/>
    <n v="10"/>
    <n v="3"/>
    <d v="1984-09-10T00:00:00"/>
    <n v="31743.919999999998"/>
    <s v="tier - 2"/>
    <s v="tier - 1"/>
    <s v="R1011"/>
    <n v="38"/>
  </r>
  <r>
    <s v="Id2045"/>
    <s v="Allan, Ms.  Kirsten N."/>
    <n v="39.805"/>
    <n v="4.38"/>
    <s v="No"/>
    <s v="yes"/>
    <x v="0"/>
    <n v="1"/>
    <x v="1"/>
    <x v="0"/>
    <s v="Normal"/>
    <n v="1975"/>
    <s v="Sep"/>
    <n v="25"/>
    <n v="1"/>
    <d v="1975-09-25T00:00:00"/>
    <n v="31897.1"/>
    <s v="tier - 2"/>
    <s v="tier - 3"/>
    <s v="R1011"/>
    <n v="47"/>
  </r>
  <r>
    <s v="Id2046"/>
    <s v="McLaughlin, Ms.  Christy"/>
    <n v="30.4"/>
    <n v="5.56"/>
    <s v="yes"/>
    <s v="yes"/>
    <x v="0"/>
    <n v="1"/>
    <x v="1"/>
    <x v="0"/>
    <s v="Normal"/>
    <n v="1972"/>
    <s v="Sep"/>
    <n v="21"/>
    <n v="0"/>
    <d v="1972-09-21T00:00:00"/>
    <n v="31980.89"/>
    <s v="tier - 2"/>
    <s v="tier - 1"/>
    <s v="R1011"/>
    <n v="50"/>
  </r>
  <r>
    <s v="Id2047"/>
    <s v="Lee, Ms.  Jennifer"/>
    <n v="23.18"/>
    <n v="4.24"/>
    <s v="No"/>
    <s v="yes"/>
    <x v="0"/>
    <n v="1"/>
    <x v="1"/>
    <x v="2"/>
    <s v="Normal"/>
    <n v="1993"/>
    <s v="Sep"/>
    <n v="13"/>
    <n v="0"/>
    <d v="1993-09-13T00:00:00"/>
    <n v="32086.21"/>
    <s v="tier - 1"/>
    <s v="tier - 3"/>
    <s v="R1011"/>
    <n v="29"/>
  </r>
  <r>
    <s v="Id2048"/>
    <s v="Tang, Ms.  Jingjing"/>
    <n v="39.615000000000002"/>
    <n v="6.32"/>
    <s v="No"/>
    <s v="No"/>
    <x v="1"/>
    <n v="1"/>
    <x v="1"/>
    <x v="0"/>
    <s v="Prediabetes"/>
    <n v="1978"/>
    <s v="Nov"/>
    <n v="10"/>
    <n v="2"/>
    <d v="1978-11-10T00:00:00"/>
    <n v="32108.66"/>
    <s v="tier - 1"/>
    <s v="tier - 3"/>
    <s v="R1017"/>
    <n v="44"/>
  </r>
  <r>
    <s v="Id2049"/>
    <s v="Kennedy, Mr.  Morgan"/>
    <n v="30.59"/>
    <n v="6.3"/>
    <s v="yes"/>
    <s v="No"/>
    <x v="1"/>
    <n v="1"/>
    <x v="1"/>
    <x v="0"/>
    <s v="Prediabetes"/>
    <n v="1969"/>
    <s v="Sep"/>
    <n v="11"/>
    <n v="0"/>
    <d v="1969-09-11T00:00:00"/>
    <n v="32192.76"/>
    <s v="tier - 1"/>
    <s v="tier - 2"/>
    <s v="R1011"/>
    <n v="53"/>
  </r>
  <r>
    <s v="Id2050"/>
    <s v="Condon, Mr.  Patrick J."/>
    <n v="16.72"/>
    <n v="4.38"/>
    <s v="yes"/>
    <s v="No"/>
    <x v="0"/>
    <n v="1"/>
    <x v="1"/>
    <x v="3"/>
    <s v="Normal"/>
    <n v="1994"/>
    <s v="Sep"/>
    <n v="8"/>
    <n v="0"/>
    <d v="1994-09-08T00:00:00"/>
    <n v="32222.81"/>
    <s v="tier - 2"/>
    <s v="tier - 1"/>
    <s v="R1011"/>
    <n v="28"/>
  </r>
  <r>
    <s v="Id2051"/>
    <s v="Chepkwony, Mr.  Frankline"/>
    <n v="26.22"/>
    <n v="4.6500000000000004"/>
    <s v="yes"/>
    <s v="No"/>
    <x v="1"/>
    <n v="1"/>
    <x v="1"/>
    <x v="1"/>
    <s v="Normal"/>
    <n v="1975"/>
    <s v="Dec"/>
    <n v="17"/>
    <n v="1"/>
    <d v="1975-12-17T00:00:00"/>
    <n v="32259.96"/>
    <s v="tier - 2"/>
    <s v="tier - 3"/>
    <s v="R1012"/>
    <n v="47"/>
  </r>
  <r>
    <s v="Id2052"/>
    <s v="Rodriguez, Ms.  Laura T."/>
    <n v="31.824999999999999"/>
    <n v="4.7"/>
    <s v="No"/>
    <s v="No"/>
    <x v="1"/>
    <n v="1"/>
    <x v="1"/>
    <x v="0"/>
    <s v="Normal"/>
    <n v="1986"/>
    <s v="Dec"/>
    <n v="2"/>
    <n v="3"/>
    <d v="1986-12-02T00:00:00"/>
    <n v="32288.49"/>
    <s v="tier - 2"/>
    <s v="tier - 2"/>
    <s v="R1011"/>
    <n v="36"/>
  </r>
  <r>
    <s v="Id2053"/>
    <s v="Szynkarczuk, Ms.  Natalia"/>
    <n v="25.745000000000001"/>
    <n v="4.34"/>
    <s v="No"/>
    <s v="No"/>
    <x v="1"/>
    <n v="1"/>
    <x v="1"/>
    <x v="1"/>
    <s v="Normal"/>
    <n v="1972"/>
    <s v="Oct"/>
    <n v="19"/>
    <n v="0"/>
    <d v="1972-10-19T00:00:00"/>
    <n v="32428.63"/>
    <s v="tier - 2"/>
    <s v="tier - 2"/>
    <s v="R1011"/>
    <n v="50"/>
  </r>
  <r>
    <s v="Id2054"/>
    <s v="Brill, Ms.  Jennifer L."/>
    <n v="24.605"/>
    <n v="5.62"/>
    <s v="No"/>
    <s v="No"/>
    <x v="1"/>
    <n v="1"/>
    <x v="1"/>
    <x v="2"/>
    <s v="Normal"/>
    <n v="1976"/>
    <s v="Aug"/>
    <n v="9"/>
    <n v="2"/>
    <d v="1976-08-09T00:00:00"/>
    <n v="32430.22"/>
    <s v="tier - 2"/>
    <s v="tier - 3"/>
    <s v="R1011"/>
    <n v="46"/>
  </r>
  <r>
    <s v="Id2055"/>
    <s v="Adams, Ms.  Brooke"/>
    <n v="24.51"/>
    <n v="4.24"/>
    <s v="No"/>
    <s v="No"/>
    <x v="1"/>
    <n v="1"/>
    <x v="1"/>
    <x v="2"/>
    <s v="Normal"/>
    <n v="1981"/>
    <s v="Sep"/>
    <n v="27"/>
    <n v="1"/>
    <d v="1981-09-27T00:00:00"/>
    <n v="32462.35"/>
    <s v="tier - 2"/>
    <s v="tier - 2"/>
    <s v="R1011"/>
    <n v="41"/>
  </r>
  <r>
    <s v="Id2056"/>
    <s v="Nunn, Mr.  Jeremy M"/>
    <n v="31.065000000000001"/>
    <n v="4.57"/>
    <s v="yes"/>
    <s v="No"/>
    <x v="0"/>
    <n v="0"/>
    <x v="1"/>
    <x v="0"/>
    <s v="Normal"/>
    <n v="1976"/>
    <s v="Sep"/>
    <n v="19"/>
    <n v="2"/>
    <d v="1976-09-19T00:00:00"/>
    <n v="32485.46"/>
    <s v="tier - 2"/>
    <s v="tier - 1"/>
    <s v="R1011"/>
    <n v="46"/>
  </r>
  <r>
    <s v="Id2057"/>
    <s v="Blair, Ms.  Megan L."/>
    <n v="28.12"/>
    <n v="5.05"/>
    <s v="No"/>
    <s v="No"/>
    <x v="0"/>
    <n v="0"/>
    <x v="1"/>
    <x v="1"/>
    <s v="Normal"/>
    <n v="2003"/>
    <s v="Oct"/>
    <n v="8"/>
    <n v="0"/>
    <d v="2003-10-08T00:00:00"/>
    <n v="32548.34"/>
    <s v="tier - 1"/>
    <s v="tier - 2"/>
    <s v="R1013"/>
    <n v="19"/>
  </r>
  <r>
    <s v="Id2058"/>
    <s v="Sharkey, Mr.  Bryan"/>
    <n v="38.06"/>
    <n v="6.16"/>
    <s v="No"/>
    <s v="No"/>
    <x v="0"/>
    <n v="0"/>
    <x v="1"/>
    <x v="0"/>
    <s v="Prediabetes"/>
    <n v="1990"/>
    <s v="Jul"/>
    <n v="13"/>
    <n v="3"/>
    <d v="1990-07-13T00:00:00"/>
    <n v="32672.11"/>
    <s v="tier - 1"/>
    <s v="tier - 1"/>
    <s v="R1011"/>
    <n v="32"/>
  </r>
  <r>
    <s v="Id2059"/>
    <s v="Scalard, Ms.  Marny"/>
    <n v="24.96"/>
    <n v="4.57"/>
    <s v="No"/>
    <s v="No"/>
    <x v="0"/>
    <n v="0"/>
    <x v="1"/>
    <x v="1"/>
    <s v="Normal"/>
    <n v="1968"/>
    <s v="Nov"/>
    <n v="1"/>
    <n v="0"/>
    <d v="1968-11-01T00:00:00"/>
    <n v="32686.080000000002"/>
    <s v="tier - 2"/>
    <s v="tier - 3"/>
    <s v="R1011"/>
    <n v="54"/>
  </r>
  <r>
    <s v="Id2060"/>
    <s v="Burget, Mr.  Marc"/>
    <n v="17.670000000000002"/>
    <n v="5.53"/>
    <s v="yes"/>
    <s v="No"/>
    <x v="0"/>
    <n v="0"/>
    <x v="1"/>
    <x v="3"/>
    <s v="Normal"/>
    <n v="1990"/>
    <s v="Sep"/>
    <n v="30"/>
    <n v="3"/>
    <d v="1990-09-30T00:00:00"/>
    <n v="32716.2"/>
    <s v="tier - 1"/>
    <s v="tier - 2"/>
    <s v="R1011"/>
    <n v="32"/>
  </r>
  <r>
    <s v="Id2061"/>
    <s v="English, Mr.  Benjamin L"/>
    <n v="31.35"/>
    <n v="5.84"/>
    <s v="No"/>
    <s v="yes"/>
    <x v="0"/>
    <n v="1"/>
    <x v="1"/>
    <x v="0"/>
    <s v="Prediabetes"/>
    <n v="1990"/>
    <s v="Jul"/>
    <n v="9"/>
    <n v="2"/>
    <d v="1990-07-09T00:00:00"/>
    <n v="32734.19"/>
    <s v="tier - 2"/>
    <s v="tier - 1"/>
    <s v="R1012"/>
    <n v="32"/>
  </r>
  <r>
    <s v="Id2062"/>
    <s v="Hampton, Mr.  Rob G"/>
    <n v="28.31"/>
    <n v="6.41"/>
    <s v="No"/>
    <s v="yes"/>
    <x v="0"/>
    <n v="1"/>
    <x v="1"/>
    <x v="1"/>
    <s v="Diabetes"/>
    <n v="1974"/>
    <s v="Dec"/>
    <n v="6"/>
    <n v="0"/>
    <d v="1974-12-06T00:00:00"/>
    <n v="32760.48"/>
    <s v="tier - 1"/>
    <s v="tier - 1"/>
    <s v="R1011"/>
    <n v="48"/>
  </r>
  <r>
    <s v="Id2063"/>
    <s v="Flynn, Ms.  Stefanie A"/>
    <n v="30.3"/>
    <n v="4.7300000000000004"/>
    <s v="yes"/>
    <s v="No"/>
    <x v="1"/>
    <n v="1"/>
    <x v="1"/>
    <x v="0"/>
    <s v="Normal"/>
    <n v="1972"/>
    <s v="Nov"/>
    <n v="7"/>
    <n v="0"/>
    <d v="1972-11-07T00:00:00"/>
    <n v="32765.33"/>
    <s v="tier - 2"/>
    <s v="tier - 2"/>
    <s v="R1012"/>
    <n v="50"/>
  </r>
  <r>
    <s v="Id2064"/>
    <s v="Knast, Ms.  Stephanie"/>
    <n v="26.4"/>
    <n v="6.22"/>
    <s v="yes"/>
    <s v="No"/>
    <x v="0"/>
    <n v="0"/>
    <x v="1"/>
    <x v="1"/>
    <s v="Prediabetes"/>
    <n v="1980"/>
    <s v="Dec"/>
    <n v="12"/>
    <n v="3"/>
    <d v="1980-12-12T00:00:00"/>
    <n v="32787.46"/>
    <s v="tier - 1"/>
    <s v="tier - 3"/>
    <s v="R1012"/>
    <n v="42"/>
  </r>
  <r>
    <s v="Id2065"/>
    <s v="Lucas, Ms.  Caroline F."/>
    <n v="22.135000000000002"/>
    <n v="4.46"/>
    <s v="yes"/>
    <s v="No"/>
    <x v="0"/>
    <n v="0"/>
    <x v="1"/>
    <x v="2"/>
    <s v="Normal"/>
    <n v="1995"/>
    <s v="Dec"/>
    <n v="4"/>
    <n v="0"/>
    <d v="1995-12-04T00:00:00"/>
    <n v="32827.51"/>
    <s v="tier - 1"/>
    <s v="tier - 2"/>
    <s v="R1011"/>
    <n v="27"/>
  </r>
  <r>
    <s v="Id2066"/>
    <s v="Thomas, Ms.  Julia J."/>
    <n v="17.399999999999999"/>
    <n v="4.5"/>
    <s v="yes"/>
    <s v="No"/>
    <x v="0"/>
    <n v="0"/>
    <x v="1"/>
    <x v="3"/>
    <s v="Normal"/>
    <n v="1981"/>
    <s v="Nov"/>
    <n v="17"/>
    <n v="1"/>
    <d v="1981-11-17T00:00:00"/>
    <n v="32906.69"/>
    <s v="tier - 2"/>
    <s v="tier - 3"/>
    <s v="R1011"/>
    <n v="41"/>
  </r>
  <r>
    <s v="Id2067"/>
    <s v="Cherewatti, Mr.  Jack"/>
    <n v="28.06"/>
    <n v="8.93"/>
    <s v="No"/>
    <s v="No"/>
    <x v="0"/>
    <n v="0"/>
    <x v="1"/>
    <x v="1"/>
    <s v="Diabetes"/>
    <n v="1971"/>
    <s v="Aug"/>
    <n v="24"/>
    <n v="0"/>
    <d v="1971-08-24T00:00:00"/>
    <n v="32947.629999999997"/>
    <s v="tier - 2"/>
    <s v="tier - 1"/>
    <s v="R1011"/>
    <n v="51"/>
  </r>
  <r>
    <s v="Id2068"/>
    <s v="Olle, Mr.  Bernat"/>
    <n v="31.13"/>
    <n v="11.02"/>
    <s v="No"/>
    <s v="No"/>
    <x v="0"/>
    <n v="0"/>
    <x v="1"/>
    <x v="0"/>
    <s v="Diabetes"/>
    <n v="1995"/>
    <s v="Jul"/>
    <n v="8"/>
    <n v="0"/>
    <d v="1995-07-08T00:00:00"/>
    <n v="33017.46"/>
    <s v="tier - 1"/>
    <s v="tier - 1"/>
    <s v="R1011"/>
    <n v="27"/>
  </r>
  <r>
    <s v="Id2069"/>
    <s v="Hamsi, Mr.  Hicham"/>
    <n v="18.46"/>
    <n v="5.25"/>
    <s v="No"/>
    <s v="No"/>
    <x v="0"/>
    <n v="0"/>
    <x v="1"/>
    <x v="3"/>
    <s v="Normal"/>
    <n v="1967"/>
    <s v="Jul"/>
    <n v="10"/>
    <n v="0"/>
    <d v="1967-07-10T00:00:00"/>
    <n v="33025.32"/>
    <s v="tier - 2"/>
    <s v="tier - 3"/>
    <s v="R1011"/>
    <n v="55"/>
  </r>
  <r>
    <s v="Id2070"/>
    <s v="Finnegan, Ms.  Sarah"/>
    <n v="17.3"/>
    <n v="4.75"/>
    <s v="No"/>
    <s v="No"/>
    <x v="0"/>
    <n v="0"/>
    <x v="1"/>
    <x v="3"/>
    <s v="Normal"/>
    <n v="1994"/>
    <s v="Jul"/>
    <n v="28"/>
    <n v="0"/>
    <d v="1994-07-28T00:00:00"/>
    <n v="33057.230000000003"/>
    <s v="tier - 1"/>
    <s v="tier - 2"/>
    <s v="R1011"/>
    <n v="28"/>
  </r>
  <r>
    <s v="Id2071"/>
    <s v="Walsh, Mr.  Anthony S"/>
    <n v="35.625"/>
    <n v="4.68"/>
    <s v="yes"/>
    <s v="No"/>
    <x v="1"/>
    <n v="1"/>
    <x v="1"/>
    <x v="0"/>
    <s v="Normal"/>
    <n v="1962"/>
    <s v="Jul"/>
    <n v="1"/>
    <n v="0"/>
    <d v="1962-07-01T00:00:00"/>
    <n v="33074.94"/>
    <s v="tier - 1"/>
    <s v="tier - 2"/>
    <s v="R1011"/>
    <n v="60"/>
  </r>
  <r>
    <s v="Id2072"/>
    <s v="Villa, Ms.  Elisabetta"/>
    <n v="20.234999999999999"/>
    <n v="6.17"/>
    <s v="yes"/>
    <s v="yes"/>
    <x v="0"/>
    <n v="2"/>
    <x v="1"/>
    <x v="2"/>
    <s v="Prediabetes"/>
    <n v="1969"/>
    <s v="Oct"/>
    <n v="30"/>
    <n v="0"/>
    <d v="1969-10-30T00:00:00"/>
    <n v="33090.660000000003"/>
    <s v="tier - 2"/>
    <s v="tier - 2"/>
    <s v="R1011"/>
    <n v="53"/>
  </r>
  <r>
    <s v="Id2073"/>
    <s v="Cable, Mr.  Trevor N."/>
    <n v="27.55"/>
    <n v="4.5599999999999996"/>
    <s v="yes"/>
    <s v="No"/>
    <x v="1"/>
    <n v="1"/>
    <x v="1"/>
    <x v="1"/>
    <s v="Normal"/>
    <n v="1985"/>
    <s v="Jul"/>
    <n v="15"/>
    <n v="3"/>
    <d v="1985-07-15T00:00:00"/>
    <n v="33121"/>
    <s v="tier - 2"/>
    <s v="tier - 1"/>
    <s v="R1011"/>
    <n v="37"/>
  </r>
  <r>
    <s v="Id2074"/>
    <s v="Eiring, Ms.  Nancy"/>
    <n v="17.97"/>
    <n v="6.3"/>
    <s v="No"/>
    <s v="No"/>
    <x v="0"/>
    <n v="0"/>
    <x v="1"/>
    <x v="3"/>
    <s v="Prediabetes"/>
    <n v="1990"/>
    <s v="Oct"/>
    <n v="12"/>
    <n v="3"/>
    <d v="1990-10-12T00:00:00"/>
    <n v="33292.83"/>
    <s v="tier - 2"/>
    <s v="tier - 1"/>
    <s v="R1011"/>
    <n v="32"/>
  </r>
  <r>
    <s v="Id2075"/>
    <s v="Connor, Ms.  Allison R."/>
    <n v="29.98"/>
    <n v="6.03"/>
    <s v="No"/>
    <s v="yes"/>
    <x v="0"/>
    <n v="1"/>
    <x v="1"/>
    <x v="0"/>
    <s v="Prediabetes"/>
    <n v="2003"/>
    <s v="Nov"/>
    <n v="28"/>
    <n v="0"/>
    <d v="2003-11-28T00:00:00"/>
    <n v="33307.550000000003"/>
    <s v="tier - 2"/>
    <s v="tier - 3"/>
    <s v="R1012"/>
    <n v="19"/>
  </r>
  <r>
    <s v="Id2076"/>
    <s v="Friedman, Mr.  Robert J."/>
    <n v="33.659999999999997"/>
    <n v="4.2"/>
    <s v="yes"/>
    <s v="No"/>
    <x v="0"/>
    <n v="1"/>
    <x v="1"/>
    <x v="0"/>
    <s v="Normal"/>
    <n v="1972"/>
    <s v="Sep"/>
    <n v="5"/>
    <n v="0"/>
    <d v="1972-09-05T00:00:00"/>
    <n v="33344.449999999997"/>
    <s v="tier - 2"/>
    <s v="tier - 3"/>
    <s v="R1011"/>
    <n v="50"/>
  </r>
  <r>
    <s v="Id2077"/>
    <s v="Croker, Mr.  Nicholas"/>
    <n v="32.67"/>
    <n v="5.61"/>
    <s v="yes"/>
    <s v="No"/>
    <x v="0"/>
    <n v="1"/>
    <x v="1"/>
    <x v="0"/>
    <s v="Normal"/>
    <n v="1985"/>
    <s v="Dec"/>
    <n v="7"/>
    <n v="3"/>
    <d v="1985-12-07T00:00:00"/>
    <n v="33450.99"/>
    <s v="tier - 2"/>
    <s v="tier - 2"/>
    <s v="R1011"/>
    <n v="37"/>
  </r>
  <r>
    <s v="Id2078"/>
    <s v="Beganics, Mr.  Kevin L"/>
    <n v="30.5"/>
    <n v="5.88"/>
    <s v="yes"/>
    <s v="No"/>
    <x v="0"/>
    <n v="1"/>
    <x v="1"/>
    <x v="0"/>
    <s v="Prediabetes"/>
    <n v="1970"/>
    <s v="Jun"/>
    <n v="18"/>
    <n v="2"/>
    <d v="1970-06-18T00:00:00"/>
    <n v="33471.97"/>
    <s v="tier - 2"/>
    <s v="tier - 2"/>
    <s v="R1012"/>
    <n v="52"/>
  </r>
  <r>
    <s v="Id2079"/>
    <s v="Huberty, Mr.  Bryan"/>
    <n v="23.1"/>
    <n v="5.92"/>
    <s v="yes"/>
    <s v="No"/>
    <x v="0"/>
    <n v="1"/>
    <x v="1"/>
    <x v="2"/>
    <s v="Prediabetes"/>
    <n v="2002"/>
    <s v="Aug"/>
    <n v="25"/>
    <n v="0"/>
    <d v="2002-08-25T00:00:00"/>
    <n v="33475.82"/>
    <s v="tier - 1"/>
    <s v="tier - 1"/>
    <s v="R1018"/>
    <n v="20"/>
  </r>
  <r>
    <s v="Id2080"/>
    <s v="Jacobs, Ms.  Janae N."/>
    <n v="39.49"/>
    <n v="4.8099999999999996"/>
    <s v="No"/>
    <s v="No"/>
    <x v="0"/>
    <n v="1"/>
    <x v="1"/>
    <x v="0"/>
    <s v="Normal"/>
    <n v="1984"/>
    <s v="Jul"/>
    <n v="22"/>
    <n v="3"/>
    <d v="1984-07-22T00:00:00"/>
    <n v="33527.1"/>
    <s v="tier - 2"/>
    <s v="tier - 3"/>
    <s v="R1011"/>
    <n v="38"/>
  </r>
  <r>
    <s v="Id2081"/>
    <s v="Hazlehurst, Ms.  Audrey"/>
    <n v="33.99"/>
    <n v="4.55"/>
    <s v="No"/>
    <s v="No"/>
    <x v="0"/>
    <n v="1"/>
    <x v="1"/>
    <x v="0"/>
    <s v="Normal"/>
    <n v="2003"/>
    <s v="Sep"/>
    <n v="9"/>
    <n v="0"/>
    <d v="2003-09-09T00:00:00"/>
    <n v="33611.71"/>
    <s v="tier - 1"/>
    <s v="tier - 2"/>
    <s v="R1011"/>
    <n v="19"/>
  </r>
  <r>
    <s v="Id2082"/>
    <s v="Marin, Ms.  Laura"/>
    <n v="27.72"/>
    <n v="6.43"/>
    <s v="No"/>
    <s v="No"/>
    <x v="0"/>
    <n v="1"/>
    <x v="1"/>
    <x v="1"/>
    <s v="Diabetes"/>
    <n v="1993"/>
    <s v="Nov"/>
    <n v="28"/>
    <n v="0"/>
    <d v="1993-11-28T00:00:00"/>
    <n v="33707.550000000003"/>
    <s v="tier - 2"/>
    <s v="tier - 2"/>
    <s v="R1011"/>
    <n v="29"/>
  </r>
  <r>
    <s v="Id2083"/>
    <s v="Dear, Ms.  Nicole F"/>
    <n v="30.59"/>
    <n v="11.62"/>
    <s v="No"/>
    <s v="No"/>
    <x v="0"/>
    <n v="0"/>
    <x v="1"/>
    <x v="0"/>
    <s v="Diabetes"/>
    <n v="2004"/>
    <s v="Nov"/>
    <n v="1"/>
    <n v="0"/>
    <d v="2004-11-01T00:00:00"/>
    <n v="33732.69"/>
    <s v="tier - 1"/>
    <s v="tier - 1"/>
    <s v="R1017"/>
    <n v="18"/>
  </r>
  <r>
    <s v="Id2084"/>
    <s v="Lederer, Ms.  Krista L"/>
    <n v="22.6"/>
    <n v="6.04"/>
    <s v="No"/>
    <s v="No"/>
    <x v="0"/>
    <n v="1"/>
    <x v="1"/>
    <x v="2"/>
    <s v="Prediabetes"/>
    <n v="2003"/>
    <s v="Sep"/>
    <n v="12"/>
    <n v="0"/>
    <d v="2003-09-12T00:00:00"/>
    <n v="33750.29"/>
    <s v="tier - 1"/>
    <s v="tier - 3"/>
    <s v="R1012"/>
    <n v="19"/>
  </r>
  <r>
    <s v="Id2085"/>
    <s v="Robson, Ms.  Denise"/>
    <n v="28.785"/>
    <n v="8.82"/>
    <s v="No"/>
    <s v="No"/>
    <x v="0"/>
    <n v="0"/>
    <x v="1"/>
    <x v="1"/>
    <s v="Diabetes"/>
    <n v="1962"/>
    <s v="Dec"/>
    <n v="11"/>
    <n v="0"/>
    <d v="1962-12-11T00:00:00"/>
    <n v="33753.32"/>
    <s v="tier - 1"/>
    <s v="tier - 3"/>
    <s v="R1011"/>
    <n v="60"/>
  </r>
  <r>
    <s v="Id2086"/>
    <s v="Galvan, Mr.  Ariel"/>
    <n v="50.38"/>
    <n v="5.8"/>
    <s v="No"/>
    <s v="No"/>
    <x v="0"/>
    <n v="0"/>
    <x v="1"/>
    <x v="0"/>
    <s v="Prediabetes"/>
    <n v="2000"/>
    <s v="Oct"/>
    <n v="26"/>
    <n v="0"/>
    <d v="2000-10-26T00:00:00"/>
    <n v="33829.39"/>
    <s v="tier - 2"/>
    <s v="tier - 3"/>
    <s v="R1011"/>
    <n v="22"/>
  </r>
  <r>
    <s v="Id2087"/>
    <s v="Walsh, Mr.  Jeremy"/>
    <n v="35.200000000000003"/>
    <n v="4.28"/>
    <s v="No"/>
    <s v="No"/>
    <x v="0"/>
    <n v="0"/>
    <x v="1"/>
    <x v="0"/>
    <s v="Normal"/>
    <n v="1997"/>
    <s v="Aug"/>
    <n v="9"/>
    <n v="0"/>
    <d v="1997-08-09T00:00:00"/>
    <n v="33900.65"/>
    <s v="tier - 2"/>
    <s v="tier - 3"/>
    <s v="R1011"/>
    <n v="25"/>
  </r>
  <r>
    <s v="Id2088"/>
    <s v="Teeuwen, Ms.  Rosalie"/>
    <n v="35.72"/>
    <n v="5.5"/>
    <s v="yes"/>
    <s v="No"/>
    <x v="0"/>
    <n v="0"/>
    <x v="1"/>
    <x v="0"/>
    <s v="Normal"/>
    <n v="2000"/>
    <s v="Dec"/>
    <n v="27"/>
    <n v="0"/>
    <d v="2000-12-27T00:00:00"/>
    <n v="33907.550000000003"/>
    <s v="tier - 2"/>
    <s v="tier - 2"/>
    <s v="R1012"/>
    <n v="22"/>
  </r>
  <r>
    <s v="Id2089"/>
    <s v="List, Mr.  Jay"/>
    <n v="24.51"/>
    <n v="4.6900000000000004"/>
    <s v="No"/>
    <s v="No"/>
    <x v="0"/>
    <n v="0"/>
    <x v="1"/>
    <x v="2"/>
    <s v="Normal"/>
    <n v="1994"/>
    <s v="Sep"/>
    <n v="25"/>
    <n v="0"/>
    <d v="1994-09-25T00:00:00"/>
    <n v="33975.47"/>
    <s v="tier - 2"/>
    <s v="tier - 2"/>
    <s v="R1011"/>
    <n v="28"/>
  </r>
  <r>
    <s v="Id2090"/>
    <s v="Shafar, Mr.  Vitaliy"/>
    <n v="23.844999999999999"/>
    <n v="4.43"/>
    <s v="No"/>
    <s v="No"/>
    <x v="0"/>
    <n v="0"/>
    <x v="1"/>
    <x v="2"/>
    <s v="Normal"/>
    <n v="1972"/>
    <s v="Jul"/>
    <n v="26"/>
    <n v="0"/>
    <d v="1972-07-26T00:00:00"/>
    <n v="34053.360000000001"/>
    <s v="tier - 2"/>
    <s v="tier - 2"/>
    <s v="R1011"/>
    <n v="50"/>
  </r>
  <r>
    <s v="Id2091"/>
    <s v="Copenhaver, Mr.  Benjamin W."/>
    <n v="15.68"/>
    <n v="6.16"/>
    <s v="yes"/>
    <s v="No"/>
    <x v="0"/>
    <n v="1"/>
    <x v="1"/>
    <x v="3"/>
    <s v="Prediabetes"/>
    <n v="2002"/>
    <s v="Dec"/>
    <n v="26"/>
    <n v="0"/>
    <d v="2002-12-26T00:00:00"/>
    <n v="34084.68"/>
    <s v="tier - 2"/>
    <s v="tier - 3"/>
    <s v="R1011"/>
    <n v="20"/>
  </r>
  <r>
    <s v="Id2092"/>
    <s v="Stump, Mr.  Jesse"/>
    <n v="32.395000000000003"/>
    <n v="6.66"/>
    <s v="No"/>
    <s v="No"/>
    <x v="0"/>
    <n v="0"/>
    <x v="1"/>
    <x v="0"/>
    <s v="Diabetes"/>
    <n v="1999"/>
    <s v="Nov"/>
    <n v="6"/>
    <n v="0"/>
    <d v="1999-11-06T00:00:00"/>
    <n v="34166.269999999997"/>
    <s v="tier - 2"/>
    <s v="tier - 3"/>
    <s v="R1011"/>
    <n v="23"/>
  </r>
  <r>
    <s v="Id2093"/>
    <s v="Wehrman, Mr.  Mark"/>
    <n v="23.655000000000001"/>
    <n v="5.92"/>
    <s v="No"/>
    <s v="No"/>
    <x v="0"/>
    <n v="1"/>
    <x v="1"/>
    <x v="2"/>
    <s v="Prediabetes"/>
    <n v="1971"/>
    <s v="Aug"/>
    <n v="25"/>
    <n v="0"/>
    <d v="1971-08-25T00:00:00"/>
    <n v="34205.07"/>
    <s v="tier - 2"/>
    <s v="tier - 2"/>
    <s v="R1011"/>
    <n v="51"/>
  </r>
  <r>
    <s v="Id2094"/>
    <s v="Sischo, Ms.  Lauren"/>
    <n v="28.4"/>
    <n v="5.97"/>
    <s v="No"/>
    <s v="No"/>
    <x v="1"/>
    <n v="1"/>
    <x v="1"/>
    <x v="1"/>
    <s v="Prediabetes"/>
    <n v="1975"/>
    <s v="Jul"/>
    <n v="21"/>
    <n v="1"/>
    <d v="1975-07-21T00:00:00"/>
    <n v="34210.33"/>
    <s v="tier - 2"/>
    <s v="tier - 1"/>
    <s v="R1012"/>
    <n v="47"/>
  </r>
  <r>
    <s v="Id2095"/>
    <s v="Fonti, Mr.  Massimiliano"/>
    <n v="35.42"/>
    <n v="4.6399999999999997"/>
    <s v="yes"/>
    <s v="No"/>
    <x v="0"/>
    <n v="0"/>
    <x v="1"/>
    <x v="0"/>
    <s v="Normal"/>
    <n v="1962"/>
    <s v="Jul"/>
    <n v="5"/>
    <n v="0"/>
    <d v="1962-07-05T00:00:00"/>
    <n v="34218.019999999997"/>
    <s v="tier - 1"/>
    <s v="tier - 1"/>
    <s v="R1011"/>
    <n v="60"/>
  </r>
  <r>
    <s v="Id2096"/>
    <s v="Merlis, Mr.  Josh"/>
    <n v="26.18"/>
    <n v="6.12"/>
    <s v="No"/>
    <s v="yes"/>
    <x v="0"/>
    <n v="1"/>
    <x v="1"/>
    <x v="1"/>
    <s v="Prediabetes"/>
    <n v="1998"/>
    <s v="Jun"/>
    <n v="11"/>
    <n v="0"/>
    <d v="1998-06-11T00:00:00"/>
    <n v="34254.050000000003"/>
    <s v="tier - 1"/>
    <s v="tier - 3"/>
    <s v="R1019"/>
    <n v="24"/>
  </r>
  <r>
    <s v="Id2097"/>
    <s v="Hasegawa, Mr.  Kiyokatsu"/>
    <n v="20.8"/>
    <n v="4.87"/>
    <s v="yes"/>
    <s v="No"/>
    <x v="0"/>
    <n v="0"/>
    <x v="1"/>
    <x v="2"/>
    <s v="Normal"/>
    <n v="1995"/>
    <s v="Oct"/>
    <n v="30"/>
    <n v="0"/>
    <d v="1995-10-30T00:00:00"/>
    <n v="34289.43"/>
    <s v="tier - 1"/>
    <s v="tier - 1"/>
    <s v="R1011"/>
    <n v="27"/>
  </r>
  <r>
    <s v="Id2098"/>
    <s v="Haselden, Ms.  Amanda L"/>
    <n v="15.82"/>
    <n v="4.5999999999999996"/>
    <s v="No"/>
    <s v="No"/>
    <x v="0"/>
    <n v="0"/>
    <x v="1"/>
    <x v="3"/>
    <s v="Normal"/>
    <n v="1986"/>
    <s v="Oct"/>
    <n v="11"/>
    <n v="3"/>
    <d v="1986-10-11T00:00:00"/>
    <n v="34293.120000000003"/>
    <s v="tier - 1"/>
    <s v="tier - 2"/>
    <s v="R1011"/>
    <n v="36"/>
  </r>
  <r>
    <s v="Id2099"/>
    <s v="Simonson, Mr.  Matthew"/>
    <n v="17.670000000000002"/>
    <n v="4.78"/>
    <s v="No"/>
    <s v="No"/>
    <x v="0"/>
    <n v="0"/>
    <x v="1"/>
    <x v="3"/>
    <s v="Normal"/>
    <n v="2004"/>
    <s v="Nov"/>
    <n v="1"/>
    <n v="2"/>
    <d v="2004-11-01T00:00:00"/>
    <n v="34303.17"/>
    <s v="tier - 1"/>
    <s v="tier - 3"/>
    <s v="R1013"/>
    <n v="18"/>
  </r>
  <r>
    <s v="Id2100"/>
    <s v="Montag, Ms.  Julia M"/>
    <n v="31.92"/>
    <n v="11.05"/>
    <s v="No"/>
    <s v="No"/>
    <x v="0"/>
    <n v="0"/>
    <x v="1"/>
    <x v="0"/>
    <s v="Diabetes"/>
    <n v="1983"/>
    <s v="Oct"/>
    <n v="2"/>
    <n v="3"/>
    <d v="1983-10-02T00:00:00"/>
    <n v="34307.22"/>
    <s v="tier - 2"/>
    <s v="tier - 2"/>
    <s v="R1012"/>
    <n v="39"/>
  </r>
  <r>
    <s v="Id2101"/>
    <s v="Deroian, Ms.  Rhea"/>
    <n v="28.975000000000001"/>
    <n v="7.62"/>
    <s v="No"/>
    <s v="No"/>
    <x v="0"/>
    <n v="0"/>
    <x v="1"/>
    <x v="1"/>
    <s v="Diabetes"/>
    <n v="1984"/>
    <s v="Oct"/>
    <n v="1"/>
    <n v="3"/>
    <d v="1984-10-01T00:00:00"/>
    <n v="34402.22"/>
    <s v="tier - 2"/>
    <s v="tier - 3"/>
    <s v="R1011"/>
    <n v="38"/>
  </r>
  <r>
    <s v="Id2102"/>
    <s v="Goetz, Mr.  Justin"/>
    <n v="31.73"/>
    <n v="4.78"/>
    <s v="yes"/>
    <s v="yes"/>
    <x v="0"/>
    <n v="2"/>
    <x v="1"/>
    <x v="0"/>
    <s v="Normal"/>
    <n v="2003"/>
    <s v="Oct"/>
    <n v="5"/>
    <n v="0"/>
    <d v="2003-10-05T00:00:00"/>
    <n v="34439.86"/>
    <s v="tier - 2"/>
    <s v="tier - 1"/>
    <s v="R1013"/>
    <n v="19"/>
  </r>
  <r>
    <s v="Id2103"/>
    <s v="Brady, Mr.  Shamus M."/>
    <n v="28.88"/>
    <n v="6.09"/>
    <s v="yes"/>
    <s v="yes"/>
    <x v="0"/>
    <n v="2"/>
    <x v="1"/>
    <x v="1"/>
    <s v="Prediabetes"/>
    <n v="1990"/>
    <s v="Sep"/>
    <n v="24"/>
    <n v="3"/>
    <d v="1990-09-24T00:00:00"/>
    <n v="34456.269999999997"/>
    <s v="tier - 1"/>
    <s v="tier - 2"/>
    <s v="R1011"/>
    <n v="32"/>
  </r>
  <r>
    <s v="Id2104"/>
    <s v="Moran, Mr.  Mike"/>
    <n v="25.555"/>
    <n v="5.1100000000000003"/>
    <s v="No"/>
    <s v="No"/>
    <x v="1"/>
    <n v="1"/>
    <x v="1"/>
    <x v="1"/>
    <s v="Normal"/>
    <n v="1998"/>
    <s v="Jun"/>
    <n v="24"/>
    <n v="0"/>
    <d v="1998-06-24T00:00:00"/>
    <n v="34472.839999999997"/>
    <s v="tier - 1"/>
    <s v="tier - 3"/>
    <s v="R1011"/>
    <n v="24"/>
  </r>
  <r>
    <s v="Id2105"/>
    <s v="Strickler, Ms.  Mary Beth"/>
    <n v="37.29"/>
    <n v="4.46"/>
    <s v="No"/>
    <s v="yes"/>
    <x v="0"/>
    <n v="1"/>
    <x v="1"/>
    <x v="0"/>
    <s v="Normal"/>
    <n v="1976"/>
    <s v="Nov"/>
    <n v="25"/>
    <n v="2"/>
    <d v="1976-11-25T00:00:00"/>
    <n v="34543.39"/>
    <s v="tier - 2"/>
    <s v="tier - 3"/>
    <s v="R1011"/>
    <n v="46"/>
  </r>
  <r>
    <s v="Id2106"/>
    <s v="Simone, Ms.  Erin"/>
    <n v="40.28"/>
    <n v="6.11"/>
    <s v="No"/>
    <s v="yes"/>
    <x v="0"/>
    <n v="1"/>
    <x v="1"/>
    <x v="0"/>
    <s v="Prediabetes"/>
    <n v="2004"/>
    <s v="Oct"/>
    <n v="9"/>
    <n v="0"/>
    <d v="2004-10-09T00:00:00"/>
    <n v="34617.839999999997"/>
    <s v="tier - 1"/>
    <s v="tier - 3"/>
    <s v="R1016"/>
    <n v="18"/>
  </r>
  <r>
    <s v="Id2107"/>
    <s v="Von Rock, Ms.  Hallie"/>
    <n v="40.185000000000002"/>
    <n v="4.66"/>
    <s v="No"/>
    <s v="yes"/>
    <x v="0"/>
    <n v="1"/>
    <x v="1"/>
    <x v="0"/>
    <s v="Normal"/>
    <n v="1994"/>
    <s v="Jul"/>
    <n v="7"/>
    <n v="0"/>
    <d v="1994-07-07T00:00:00"/>
    <n v="34672.15"/>
    <s v="tier - 1"/>
    <s v="tier - 3"/>
    <s v="R1013"/>
    <n v="28"/>
  </r>
  <r>
    <s v="Id2108"/>
    <s v="Woodard, Ms.  Paige P"/>
    <n v="23.57"/>
    <n v="6.14"/>
    <s v="No"/>
    <s v="No"/>
    <x v="0"/>
    <n v="0"/>
    <x v="1"/>
    <x v="2"/>
    <s v="Prediabetes"/>
    <n v="2003"/>
    <s v="Jul"/>
    <n v="3"/>
    <n v="0"/>
    <d v="2003-07-03T00:00:00"/>
    <n v="34779.620000000003"/>
    <s v="tier - 1"/>
    <s v="tier - 2"/>
    <s v="R1011"/>
    <n v="19"/>
  </r>
  <r>
    <s v="Id2109"/>
    <s v="Li, Ms.  Ji"/>
    <n v="35.625"/>
    <n v="6.21"/>
    <s v="No"/>
    <s v="yes"/>
    <x v="0"/>
    <n v="1"/>
    <x v="1"/>
    <x v="0"/>
    <s v="Prediabetes"/>
    <n v="1995"/>
    <s v="Dec"/>
    <n v="27"/>
    <n v="1"/>
    <d v="1995-12-27T00:00:00"/>
    <n v="34806.47"/>
    <s v="tier - 1"/>
    <s v="tier - 2"/>
    <s v="R1013"/>
    <n v="27"/>
  </r>
  <r>
    <s v="Id2110"/>
    <s v="Sinda, Ms.  Carissa A"/>
    <n v="33.155000000000001"/>
    <n v="4.5999999999999996"/>
    <s v="No"/>
    <s v="yes"/>
    <x v="0"/>
    <n v="1"/>
    <x v="1"/>
    <x v="0"/>
    <s v="Normal"/>
    <n v="2003"/>
    <s v="Sep"/>
    <n v="17"/>
    <n v="0"/>
    <d v="2003-09-17T00:00:00"/>
    <n v="34828.65"/>
    <s v="tier - 1"/>
    <s v="tier - 3"/>
    <s v="R1011"/>
    <n v="19"/>
  </r>
  <r>
    <s v="Id2111"/>
    <s v="Rydland, Ms.  Mona"/>
    <n v="31.92"/>
    <n v="5.04"/>
    <s v="No"/>
    <s v="yes"/>
    <x v="0"/>
    <n v="1"/>
    <x v="1"/>
    <x v="0"/>
    <s v="Normal"/>
    <n v="1995"/>
    <s v="Oct"/>
    <n v="17"/>
    <n v="0"/>
    <d v="1995-10-17T00:00:00"/>
    <n v="34838.870000000003"/>
    <s v="tier - 2"/>
    <s v="tier - 3"/>
    <s v="R1011"/>
    <n v="27"/>
  </r>
  <r>
    <s v="Id2112"/>
    <s v="Vespa, Ms.  Kristin R."/>
    <n v="30.305"/>
    <n v="5.08"/>
    <s v="No"/>
    <s v="yes"/>
    <x v="0"/>
    <n v="1"/>
    <x v="1"/>
    <x v="0"/>
    <s v="Normal"/>
    <n v="1983"/>
    <s v="Jul"/>
    <n v="29"/>
    <n v="3"/>
    <d v="1983-07-29T00:00:00"/>
    <n v="34940.61"/>
    <s v="tier - 2"/>
    <s v="tier - 3"/>
    <s v="R1011"/>
    <n v="39"/>
  </r>
  <r>
    <s v="Id2113"/>
    <s v="Meadows, Ms.  Beth"/>
    <n v="30.114999999999998"/>
    <n v="4.38"/>
    <s v="No"/>
    <s v="yes"/>
    <x v="0"/>
    <n v="1"/>
    <x v="1"/>
    <x v="0"/>
    <s v="Normal"/>
    <n v="1967"/>
    <s v="Oct"/>
    <n v="7"/>
    <n v="0"/>
    <d v="1967-10-07T00:00:00"/>
    <n v="34975.68"/>
    <s v="tier - 2"/>
    <s v="tier - 2"/>
    <s v="R1011"/>
    <n v="55"/>
  </r>
  <r>
    <s v="Id2114"/>
    <s v="Toppen, Ms.  Allison"/>
    <n v="24.09"/>
    <n v="4.79"/>
    <s v="No"/>
    <s v="yes"/>
    <x v="0"/>
    <n v="1"/>
    <x v="1"/>
    <x v="2"/>
    <s v="Normal"/>
    <n v="1998"/>
    <s v="Aug"/>
    <n v="22"/>
    <n v="0"/>
    <d v="1998-08-22T00:00:00"/>
    <n v="34976.42"/>
    <s v="tier - 2"/>
    <s v="tier - 1"/>
    <s v="R1011"/>
    <n v="24"/>
  </r>
  <r>
    <s v="Id2115"/>
    <s v="Ermer, Ms.  Ashley E"/>
    <n v="28.215"/>
    <n v="4.21"/>
    <s v="No"/>
    <s v="yes"/>
    <x v="0"/>
    <n v="1"/>
    <x v="1"/>
    <x v="1"/>
    <s v="Normal"/>
    <n v="1997"/>
    <s v="Aug"/>
    <n v="22"/>
    <n v="0"/>
    <d v="1997-08-22T00:00:00"/>
    <n v="34979.86"/>
    <s v="tier - 2"/>
    <s v="tier - 2"/>
    <s v="R1011"/>
    <n v="25"/>
  </r>
  <r>
    <s v="Id2116"/>
    <s v="Dionne, Ms.  Hilary K."/>
    <n v="26.315000000000001"/>
    <n v="5.47"/>
    <s v="No"/>
    <s v="yes"/>
    <x v="0"/>
    <n v="1"/>
    <x v="1"/>
    <x v="1"/>
    <s v="Normal"/>
    <n v="1982"/>
    <s v="Jul"/>
    <n v="5"/>
    <n v="3"/>
    <d v="1982-07-05T00:00:00"/>
    <n v="35000.730000000003"/>
    <s v="tier - 2"/>
    <s v="tier - 3"/>
    <s v="R1011"/>
    <n v="40"/>
  </r>
  <r>
    <s v="Id2117"/>
    <s v="Stasulli, Ms.  Dominique"/>
    <n v="25.08"/>
    <n v="5.09"/>
    <s v="No"/>
    <s v="yes"/>
    <x v="0"/>
    <n v="1"/>
    <x v="1"/>
    <x v="1"/>
    <s v="Normal"/>
    <n v="1975"/>
    <s v="Aug"/>
    <n v="29"/>
    <n v="1"/>
    <d v="1975-08-29T00:00:00"/>
    <n v="35050.620000000003"/>
    <s v="tier - 2"/>
    <s v="tier - 1"/>
    <s v="R1011"/>
    <n v="47"/>
  </r>
  <r>
    <s v="Id2118"/>
    <s v="Duran, Mr.  Carlos I"/>
    <n v="15.41"/>
    <n v="5.08"/>
    <s v="No"/>
    <s v="No"/>
    <x v="0"/>
    <n v="0"/>
    <x v="1"/>
    <x v="3"/>
    <s v="Normal"/>
    <n v="1977"/>
    <s v="Jun"/>
    <n v="29"/>
    <n v="0"/>
    <d v="1977-06-29T00:00:00"/>
    <n v="35069.370000000003"/>
    <s v="tier - 1"/>
    <s v="tier - 1"/>
    <s v="R1017"/>
    <n v="45"/>
  </r>
  <r>
    <s v="Id2119"/>
    <s v="Klundt, Mr.  Matthew"/>
    <n v="23.83"/>
    <n v="5.68"/>
    <s v="No"/>
    <s v="No"/>
    <x v="0"/>
    <n v="0"/>
    <x v="1"/>
    <x v="2"/>
    <s v="Normal"/>
    <n v="1998"/>
    <s v="Dec"/>
    <n v="22"/>
    <n v="0"/>
    <d v="1998-12-22T00:00:00"/>
    <n v="35147.53"/>
    <s v="tier - 1"/>
    <s v="tier - 1"/>
    <s v="R1016"/>
    <n v="24"/>
  </r>
  <r>
    <s v="Id2120"/>
    <s v="Waters, Ms.  Kara"/>
    <n v="36"/>
    <n v="4.66"/>
    <s v="No"/>
    <s v="yes"/>
    <x v="0"/>
    <n v="1"/>
    <x v="1"/>
    <x v="0"/>
    <s v="Normal"/>
    <n v="1967"/>
    <s v="Dec"/>
    <n v="30"/>
    <n v="1"/>
    <d v="1967-12-30T00:00:00"/>
    <n v="35160.129999999997"/>
    <s v="tier - 2"/>
    <s v="tier - 2"/>
    <s v="R1011"/>
    <n v="55"/>
  </r>
  <r>
    <s v="Id2121"/>
    <s v="Rusk, Ms.  Sarah S"/>
    <n v="28.82"/>
    <n v="5.59"/>
    <s v="No"/>
    <s v="yes"/>
    <x v="0"/>
    <n v="1"/>
    <x v="1"/>
    <x v="1"/>
    <s v="Normal"/>
    <n v="1997"/>
    <s v="Jul"/>
    <n v="9"/>
    <n v="0"/>
    <d v="1997-07-09T00:00:00"/>
    <n v="35302.089999999997"/>
    <s v="tier - 1"/>
    <s v="tier - 2"/>
    <s v="R1011"/>
    <n v="25"/>
  </r>
  <r>
    <s v="Id2122"/>
    <s v="Gersbach, Ms.  Shauna R."/>
    <n v="28.05"/>
    <n v="6.2"/>
    <s v="No"/>
    <s v="yes"/>
    <x v="0"/>
    <n v="1"/>
    <x v="1"/>
    <x v="1"/>
    <s v="Prediabetes"/>
    <n v="1988"/>
    <s v="Sep"/>
    <n v="19"/>
    <n v="3"/>
    <d v="1988-09-19T00:00:00"/>
    <n v="35315.96"/>
    <s v="tier - 2"/>
    <s v="tier - 1"/>
    <s v="R1011"/>
    <n v="34"/>
  </r>
  <r>
    <s v="Id2123"/>
    <s v="Taylor-Watson, Ms.  Lindsay J."/>
    <n v="27.1"/>
    <n v="4.45"/>
    <s v="No"/>
    <s v="yes"/>
    <x v="0"/>
    <n v="1"/>
    <x v="1"/>
    <x v="1"/>
    <s v="Normal"/>
    <n v="1971"/>
    <s v="Sep"/>
    <n v="22"/>
    <n v="0"/>
    <d v="1971-09-22T00:00:00"/>
    <n v="35345.730000000003"/>
    <s v="tier - 2"/>
    <s v="tier - 3"/>
    <s v="R1011"/>
    <n v="51"/>
  </r>
  <r>
    <s v="Id2124"/>
    <s v="Crawford, Ms.  Danya A."/>
    <n v="24.3"/>
    <n v="6.1"/>
    <s v="yes"/>
    <s v="yes"/>
    <x v="0"/>
    <n v="1"/>
    <x v="1"/>
    <x v="2"/>
    <s v="Prediabetes"/>
    <n v="1988"/>
    <s v="Nov"/>
    <n v="20"/>
    <n v="0"/>
    <d v="1988-11-20T00:00:00"/>
    <n v="35491.64"/>
    <s v="tier - 1"/>
    <s v="tier - 2"/>
    <s v="R1011"/>
    <n v="34"/>
  </r>
  <r>
    <s v="Id2125"/>
    <s v="Levitsky, Ms.  Lorraine"/>
    <n v="30.72"/>
    <n v="6.06"/>
    <s v="No"/>
    <s v="yes"/>
    <x v="0"/>
    <n v="1"/>
    <x v="1"/>
    <x v="0"/>
    <s v="Prediabetes"/>
    <n v="1973"/>
    <s v="Dec"/>
    <n v="16"/>
    <n v="0"/>
    <d v="1973-12-16T00:00:00"/>
    <n v="35517.19"/>
    <s v="tier - 2"/>
    <s v="tier - 2"/>
    <s v="R1011"/>
    <n v="49"/>
  </r>
  <r>
    <s v="Id2126"/>
    <s v="Carroll, Ms.  Jennifer L."/>
    <n v="37.43"/>
    <n v="4.5599999999999996"/>
    <s v="No"/>
    <s v="No"/>
    <x v="1"/>
    <n v="1"/>
    <x v="1"/>
    <x v="0"/>
    <s v="Normal"/>
    <n v="1992"/>
    <s v="Sep"/>
    <n v="13"/>
    <n v="0"/>
    <d v="1992-09-13T00:00:00"/>
    <n v="35547.47"/>
    <s v="tier - 2"/>
    <s v="tier - 3"/>
    <s v="R1011"/>
    <n v="30"/>
  </r>
  <r>
    <s v="Id2127"/>
    <s v="Campos, Mr.  Jesus Sr."/>
    <n v="25.74"/>
    <n v="6.41"/>
    <s v="yes"/>
    <s v="No"/>
    <x v="1"/>
    <n v="1"/>
    <x v="1"/>
    <x v="1"/>
    <s v="Diabetes"/>
    <n v="1973"/>
    <s v="Oct"/>
    <n v="27"/>
    <n v="0"/>
    <d v="1973-10-27T00:00:00"/>
    <n v="35547.72"/>
    <s v="tier - 1"/>
    <s v="tier - 1"/>
    <s v="R1011"/>
    <n v="49"/>
  </r>
  <r>
    <s v="Id2128"/>
    <s v="Flajslik, Ms.  Kristen"/>
    <n v="36.575000000000003"/>
    <n v="5.57"/>
    <s v="No"/>
    <s v="No"/>
    <x v="1"/>
    <n v="1"/>
    <x v="1"/>
    <x v="0"/>
    <s v="Normal"/>
    <n v="1964"/>
    <s v="Aug"/>
    <n v="29"/>
    <n v="0"/>
    <d v="1964-08-29T00:00:00"/>
    <n v="35573.26"/>
    <s v="tier - 2"/>
    <s v="tier - 1"/>
    <s v="R1011"/>
    <n v="58"/>
  </r>
  <r>
    <s v="Id2129"/>
    <s v="Chua, Ms.  Catherine C."/>
    <n v="35.15"/>
    <n v="5.47"/>
    <s v="No"/>
    <s v="No"/>
    <x v="1"/>
    <n v="1"/>
    <x v="1"/>
    <x v="0"/>
    <s v="Normal"/>
    <n v="1971"/>
    <s v="Aug"/>
    <n v="10"/>
    <n v="0"/>
    <d v="1971-08-10T00:00:00"/>
    <n v="35583.17"/>
    <s v="tier - 1"/>
    <s v="tier - 3"/>
    <s v="R1011"/>
    <n v="51"/>
  </r>
  <r>
    <s v="Id2130"/>
    <s v="Wiltse, Ms.  Paula"/>
    <n v="32.11"/>
    <n v="4.43"/>
    <s v="No"/>
    <s v="No"/>
    <x v="1"/>
    <n v="1"/>
    <x v="1"/>
    <x v="0"/>
    <s v="Normal"/>
    <n v="2000"/>
    <s v="Oct"/>
    <n v="13"/>
    <n v="0"/>
    <d v="2000-10-13T00:00:00"/>
    <n v="35585.58"/>
    <s v="tier - 1"/>
    <s v="tier - 2"/>
    <s v="R1011"/>
    <n v="22"/>
  </r>
  <r>
    <s v="Id2131"/>
    <s v="Fisher, Ms.  Evan"/>
    <n v="30.495000000000001"/>
    <n v="4.95"/>
    <s v="No"/>
    <s v="No"/>
    <x v="1"/>
    <n v="1"/>
    <x v="1"/>
    <x v="0"/>
    <s v="Normal"/>
    <n v="2000"/>
    <s v="Nov"/>
    <n v="19"/>
    <n v="0"/>
    <d v="2000-11-19T00:00:00"/>
    <n v="35585.58"/>
    <s v="tier - 2"/>
    <s v="tier - 3"/>
    <s v="R1011"/>
    <n v="22"/>
  </r>
  <r>
    <s v="Id2132"/>
    <s v="Wilzbacher, Mr.  Nathan J"/>
    <n v="29.24"/>
    <n v="4.04"/>
    <s v="No"/>
    <s v="yes"/>
    <x v="0"/>
    <n v="1"/>
    <x v="1"/>
    <x v="1"/>
    <s v="Normal"/>
    <n v="2000"/>
    <s v="Dec"/>
    <n v="17"/>
    <n v="3"/>
    <d v="2000-12-17T00:00:00"/>
    <n v="35595.589999999997"/>
    <s v="tier - 2"/>
    <s v="tier - 3"/>
    <s v="R1013"/>
    <n v="22"/>
  </r>
  <r>
    <s v="Id2133"/>
    <s v="Thayer, Ms.  Ashley M"/>
    <n v="22.515000000000001"/>
    <n v="5.93"/>
    <s v="No"/>
    <s v="No"/>
    <x v="1"/>
    <n v="1"/>
    <x v="1"/>
    <x v="2"/>
    <s v="Prediabetes"/>
    <n v="1978"/>
    <s v="Dec"/>
    <n v="19"/>
    <n v="2"/>
    <d v="1978-12-19T00:00:00"/>
    <n v="35701.9"/>
    <s v="tier - 2"/>
    <s v="tier - 1"/>
    <s v="R1011"/>
    <n v="44"/>
  </r>
  <r>
    <s v="Id2134"/>
    <s v="Brosseau, Mr.  Jason"/>
    <n v="15.65"/>
    <n v="4.2300000000000004"/>
    <s v="No"/>
    <s v="No"/>
    <x v="0"/>
    <n v="0"/>
    <x v="1"/>
    <x v="3"/>
    <s v="Normal"/>
    <n v="1974"/>
    <s v="Jul"/>
    <n v="15"/>
    <n v="0"/>
    <d v="1974-07-15T00:00:00"/>
    <n v="35711.39"/>
    <s v="tier - 2"/>
    <s v="tier - 3"/>
    <s v="R1012"/>
    <n v="48"/>
  </r>
  <r>
    <s v="Id2135"/>
    <s v="Phares, Mr.  Marshall"/>
    <n v="27.36"/>
    <n v="5.59"/>
    <s v="yes"/>
    <s v="No"/>
    <x v="0"/>
    <n v="0"/>
    <x v="1"/>
    <x v="1"/>
    <s v="Normal"/>
    <n v="1976"/>
    <s v="Oct"/>
    <n v="4"/>
    <n v="2"/>
    <d v="1976-10-04T00:00:00"/>
    <n v="35733.96"/>
    <s v="tier - 2"/>
    <s v="tier - 2"/>
    <s v="R1011"/>
    <n v="46"/>
  </r>
  <r>
    <s v="Id2136"/>
    <s v="Curley, Mr.  Lavar"/>
    <n v="22.3"/>
    <n v="4.8899999999999997"/>
    <s v="yes"/>
    <s v="No"/>
    <x v="0"/>
    <n v="0"/>
    <x v="1"/>
    <x v="2"/>
    <s v="Normal"/>
    <n v="1992"/>
    <s v="Jun"/>
    <n v="18"/>
    <n v="0"/>
    <d v="1992-06-18T00:00:00"/>
    <n v="35883.269999999997"/>
    <s v="tier - 2"/>
    <s v="tier - 1"/>
    <s v="R1011"/>
    <n v="30"/>
  </r>
  <r>
    <s v="Id2137"/>
    <s v="Johnston, Mr.  Charlie T."/>
    <n v="26.03"/>
    <n v="5.81"/>
    <s v="yes"/>
    <s v="No"/>
    <x v="0"/>
    <n v="0"/>
    <x v="1"/>
    <x v="1"/>
    <s v="Prediabetes"/>
    <n v="1981"/>
    <s v="Nov"/>
    <n v="22"/>
    <n v="1"/>
    <d v="1981-11-22T00:00:00"/>
    <n v="35952.65"/>
    <s v="tier - 1"/>
    <s v="tier - 3"/>
    <s v="R1011"/>
    <n v="41"/>
  </r>
  <r>
    <s v="Id2138"/>
    <s v="Padula, Mrs.  Lauren"/>
    <n v="27.74"/>
    <n v="4.29"/>
    <s v="No"/>
    <s v="yes"/>
    <x v="0"/>
    <n v="1"/>
    <x v="1"/>
    <x v="1"/>
    <s v="Normal"/>
    <n v="1999"/>
    <s v="Sep"/>
    <n v="4"/>
    <n v="2"/>
    <d v="1999-09-04T00:00:00"/>
    <n v="36021.01"/>
    <s v="tier - 2"/>
    <s v="tier - 3"/>
    <s v="R1013"/>
    <n v="23"/>
  </r>
  <r>
    <s v="Id2139"/>
    <s v="Gamirov, Mr.  Arthur"/>
    <n v="32.11"/>
    <n v="4.03"/>
    <s v="yes"/>
    <s v="yes"/>
    <x v="0"/>
    <n v="2"/>
    <x v="1"/>
    <x v="0"/>
    <s v="Normal"/>
    <n v="1963"/>
    <s v="Jul"/>
    <n v="22"/>
    <n v="0"/>
    <d v="1963-07-22T00:00:00"/>
    <n v="36074.339999999997"/>
    <s v="tier - 2"/>
    <s v="tier - 1"/>
    <s v="R1011"/>
    <n v="59"/>
  </r>
  <r>
    <s v="Id2140"/>
    <s v="Briot, Mr.  Thomas"/>
    <n v="25.175000000000001"/>
    <n v="6.29"/>
    <s v="yes"/>
    <s v="yes"/>
    <x v="0"/>
    <n v="2"/>
    <x v="1"/>
    <x v="1"/>
    <s v="Prediabetes"/>
    <n v="1996"/>
    <s v="Aug"/>
    <n v="20"/>
    <n v="2"/>
    <d v="1996-08-20T00:00:00"/>
    <n v="36085.22"/>
    <s v="tier - 1"/>
    <s v="tier - 1"/>
    <s v="R1011"/>
    <n v="26"/>
  </r>
  <r>
    <s v="Id2141"/>
    <s v="De Hueck, Ms.  Jennifer"/>
    <n v="39.49"/>
    <n v="4.4800000000000004"/>
    <s v="yes"/>
    <s v="No"/>
    <x v="0"/>
    <n v="0"/>
    <x v="1"/>
    <x v="0"/>
    <s v="Normal"/>
    <n v="1979"/>
    <s v="Nov"/>
    <n v="4"/>
    <n v="2"/>
    <d v="1979-11-04T00:00:00"/>
    <n v="36090.49"/>
    <s v="tier - 2"/>
    <s v="tier - 2"/>
    <s v="R1011"/>
    <n v="43"/>
  </r>
  <r>
    <s v="Id2142"/>
    <s v="Putt, Ms.  Tammy"/>
    <n v="34.869999999999997"/>
    <n v="5.51"/>
    <s v="yes"/>
    <s v="No"/>
    <x v="0"/>
    <n v="0"/>
    <x v="1"/>
    <x v="0"/>
    <s v="Normal"/>
    <n v="1997"/>
    <s v="Jun"/>
    <n v="12"/>
    <n v="2"/>
    <d v="1997-06-12T00:00:00"/>
    <n v="36124.57"/>
    <s v="tier - 1"/>
    <s v="tier - 3"/>
    <s v="R1013"/>
    <n v="25"/>
  </r>
  <r>
    <s v="Id2143"/>
    <s v="Deiman, Ms.  Lena"/>
    <n v="34.6"/>
    <n v="4.5"/>
    <s v="yes"/>
    <s v="No"/>
    <x v="0"/>
    <n v="0"/>
    <x v="1"/>
    <x v="0"/>
    <s v="Normal"/>
    <n v="2004"/>
    <s v="Aug"/>
    <n v="30"/>
    <n v="0"/>
    <d v="2004-08-30T00:00:00"/>
    <n v="36149.480000000003"/>
    <s v="tier - 2"/>
    <s v="tier - 2"/>
    <s v="R1013"/>
    <n v="18"/>
  </r>
  <r>
    <s v="Id2144"/>
    <s v="Bonanni, Ms.  Valentina"/>
    <n v="25.8"/>
    <n v="6.29"/>
    <s v="yes"/>
    <s v="No"/>
    <x v="0"/>
    <n v="0"/>
    <x v="1"/>
    <x v="1"/>
    <s v="Prediabetes"/>
    <n v="1974"/>
    <s v="Dec"/>
    <n v="6"/>
    <n v="0"/>
    <d v="1974-12-06T00:00:00"/>
    <n v="36182.870000000003"/>
    <s v="tier - 2"/>
    <s v="tier - 3"/>
    <s v="R1012"/>
    <n v="48"/>
  </r>
  <r>
    <s v="Id2145"/>
    <s v="Stein, Mr.  Russell N."/>
    <n v="35.86"/>
    <n v="4.33"/>
    <s v="No"/>
    <s v="No"/>
    <x v="0"/>
    <n v="1"/>
    <x v="1"/>
    <x v="0"/>
    <s v="Normal"/>
    <n v="1999"/>
    <s v="Oct"/>
    <n v="1"/>
    <n v="3"/>
    <d v="1999-10-01T00:00:00"/>
    <n v="36189.1"/>
    <s v="tier - 1"/>
    <s v="tier - 3"/>
    <s v="R1016"/>
    <n v="23"/>
  </r>
  <r>
    <s v="Id2146"/>
    <s v="Laumann, Mr.  Scott R."/>
    <n v="40.47"/>
    <n v="11.15"/>
    <s v="No"/>
    <s v="No"/>
    <x v="0"/>
    <n v="0"/>
    <x v="1"/>
    <x v="0"/>
    <s v="Diabetes"/>
    <n v="1993"/>
    <s v="Dec"/>
    <n v="28"/>
    <n v="0"/>
    <d v="1993-12-28T00:00:00"/>
    <n v="36197.699999999997"/>
    <s v="tier - 1"/>
    <s v="tier - 3"/>
    <s v="R1011"/>
    <n v="29"/>
  </r>
  <r>
    <s v="Id2147"/>
    <s v="Galaviz, Mr.  Jose Francisco Sr."/>
    <n v="32.01"/>
    <n v="6.45"/>
    <s v="No"/>
    <s v="No"/>
    <x v="0"/>
    <n v="1"/>
    <x v="1"/>
    <x v="0"/>
    <s v="Diabetes"/>
    <n v="2003"/>
    <s v="Sep"/>
    <n v="5"/>
    <n v="0"/>
    <d v="2003-09-05T00:00:00"/>
    <n v="36219.410000000003"/>
    <s v="tier - 1"/>
    <s v="tier - 1"/>
    <s v="R1012"/>
    <n v="19"/>
  </r>
  <r>
    <s v="Id2148"/>
    <s v="Piper, Mr.  Paul J"/>
    <n v="33"/>
    <n v="9.27"/>
    <s v="No"/>
    <s v="No"/>
    <x v="0"/>
    <n v="0"/>
    <x v="1"/>
    <x v="0"/>
    <s v="Diabetes"/>
    <n v="2004"/>
    <s v="Dec"/>
    <n v="25"/>
    <n v="0"/>
    <d v="2004-12-25T00:00:00"/>
    <n v="36307.800000000003"/>
    <s v="tier - 1"/>
    <s v="tier - 2"/>
    <s v="R1013"/>
    <n v="18"/>
  </r>
  <r>
    <s v="Id2149"/>
    <s v="Cantini, Mr.  Adam"/>
    <n v="29.3"/>
    <n v="6.15"/>
    <s v="No"/>
    <s v="No"/>
    <x v="0"/>
    <n v="1"/>
    <x v="1"/>
    <x v="1"/>
    <s v="Prediabetes"/>
    <n v="1992"/>
    <s v="Jun"/>
    <n v="16"/>
    <n v="0"/>
    <d v="1992-06-16T00:00:00"/>
    <n v="36314.050000000003"/>
    <s v="tier - 2"/>
    <s v="tier - 2"/>
    <s v="R1011"/>
    <n v="30"/>
  </r>
  <r>
    <s v="Id2150"/>
    <s v="Hartman, Mr.  Edward J."/>
    <n v="25.8"/>
    <n v="4.13"/>
    <s v="No"/>
    <s v="No"/>
    <x v="0"/>
    <n v="1"/>
    <x v="1"/>
    <x v="1"/>
    <s v="Normal"/>
    <n v="1967"/>
    <s v="Oct"/>
    <n v="18"/>
    <n v="0"/>
    <d v="1967-10-18T00:00:00"/>
    <n v="36332.449999999997"/>
    <s v="tier - 1"/>
    <s v="tier - 3"/>
    <s v="R1011"/>
    <n v="55"/>
  </r>
  <r>
    <s v="Id2151"/>
    <s v="Werhane, Mr.  Patrick A."/>
    <n v="23.4"/>
    <n v="4.24"/>
    <s v="No"/>
    <s v="No"/>
    <x v="0"/>
    <n v="1"/>
    <x v="1"/>
    <x v="2"/>
    <s v="Normal"/>
    <n v="1975"/>
    <s v="Jun"/>
    <n v="5"/>
    <n v="1"/>
    <d v="1975-06-05T00:00:00"/>
    <n v="36350.71"/>
    <s v="tier - 1"/>
    <s v="tier - 2"/>
    <s v="R1011"/>
    <n v="48"/>
  </r>
  <r>
    <s v="Id2152"/>
    <s v="Davies, Mr.  Geraint H"/>
    <n v="27.93"/>
    <n v="9.8800000000000008"/>
    <s v="No"/>
    <s v="No"/>
    <x v="0"/>
    <n v="0"/>
    <x v="1"/>
    <x v="1"/>
    <s v="Diabetes"/>
    <n v="2003"/>
    <s v="Dec"/>
    <n v="9"/>
    <n v="2"/>
    <d v="2003-12-09T00:00:00"/>
    <n v="36397.58"/>
    <s v="tier - 2"/>
    <s v="tier - 3"/>
    <s v="R1011"/>
    <n v="19"/>
  </r>
  <r>
    <s v="Id2153"/>
    <s v="Hummel, Mr.  Dj"/>
    <n v="22"/>
    <n v="9.5"/>
    <s v="No"/>
    <s v="No"/>
    <x v="0"/>
    <n v="0"/>
    <x v="1"/>
    <x v="2"/>
    <s v="Diabetes"/>
    <n v="1962"/>
    <s v="Nov"/>
    <n v="19"/>
    <n v="0"/>
    <d v="1962-11-19T00:00:00"/>
    <n v="36445.550000000003"/>
    <s v="tier - 2"/>
    <s v="tier - 2"/>
    <s v="R1011"/>
    <n v="60"/>
  </r>
  <r>
    <s v="Id2154"/>
    <s v="Lutz, Mr.  Zachary A"/>
    <n v="36.86"/>
    <n v="4.97"/>
    <s v="yes"/>
    <s v="No"/>
    <x v="0"/>
    <n v="0"/>
    <x v="1"/>
    <x v="0"/>
    <s v="Normal"/>
    <n v="1973"/>
    <s v="Aug"/>
    <n v="9"/>
    <n v="0"/>
    <d v="1973-08-09T00:00:00"/>
    <n v="36541.550000000003"/>
    <s v="tier - 2"/>
    <s v="tier - 3"/>
    <s v="R1011"/>
    <n v="49"/>
  </r>
  <r>
    <s v="Id2155"/>
    <s v="Waters, Mr.  Brian W."/>
    <n v="31.254999999999999"/>
    <n v="5.49"/>
    <s v="yes"/>
    <s v="No"/>
    <x v="0"/>
    <n v="0"/>
    <x v="1"/>
    <x v="0"/>
    <s v="Normal"/>
    <n v="1992"/>
    <s v="Oct"/>
    <n v="9"/>
    <n v="0"/>
    <d v="1992-10-09T00:00:00"/>
    <n v="36572.800000000003"/>
    <s v="tier - 1"/>
    <s v="tier - 2"/>
    <s v="R1011"/>
    <n v="30"/>
  </r>
  <r>
    <s v="Id2156"/>
    <s v="Viglienzoni, Mr.  Joe"/>
    <n v="23.06"/>
    <n v="4.47"/>
    <s v="No"/>
    <s v="No"/>
    <x v="0"/>
    <n v="0"/>
    <x v="1"/>
    <x v="2"/>
    <s v="Normal"/>
    <n v="1961"/>
    <s v="Jul"/>
    <n v="29"/>
    <n v="4"/>
    <d v="1961-07-29T00:00:00"/>
    <n v="36580.28"/>
    <s v="tier - 2"/>
    <s v="tier - 2"/>
    <s v="R1013"/>
    <n v="61"/>
  </r>
  <r>
    <s v="Id2157"/>
    <s v="Rathbun, Mr.  Stephen"/>
    <n v="28.975000000000001"/>
    <n v="4.34"/>
    <s v="yes"/>
    <s v="No"/>
    <x v="0"/>
    <n v="0"/>
    <x v="1"/>
    <x v="1"/>
    <s v="Normal"/>
    <n v="1970"/>
    <s v="Jul"/>
    <n v="14"/>
    <n v="0"/>
    <d v="1970-07-14T00:00:00"/>
    <n v="36786.370000000003"/>
    <s v="tier - 1"/>
    <s v="tier - 1"/>
    <s v="R1011"/>
    <n v="52"/>
  </r>
  <r>
    <s v="Id2158"/>
    <s v="crane, Ms.  Ellen L."/>
    <n v="33.299999999999997"/>
    <n v="9.49"/>
    <s v="No"/>
    <s v="No"/>
    <x v="0"/>
    <n v="0"/>
    <x v="1"/>
    <x v="0"/>
    <s v="Diabetes"/>
    <n v="1965"/>
    <s v="Dec"/>
    <n v="28"/>
    <n v="0"/>
    <d v="1965-12-28T00:00:00"/>
    <n v="36795.29"/>
    <s v="tier - 2"/>
    <s v="tier - 1"/>
    <s v="R1011"/>
    <n v="57"/>
  </r>
  <r>
    <s v="Id2159"/>
    <s v="Conant, Ms.  Cindy"/>
    <n v="33"/>
    <n v="10.16"/>
    <s v="No"/>
    <s v="No"/>
    <x v="0"/>
    <n v="0"/>
    <x v="1"/>
    <x v="0"/>
    <s v="Diabetes"/>
    <n v="1992"/>
    <s v="Oct"/>
    <n v="6"/>
    <n v="0"/>
    <d v="1992-10-06T00:00:00"/>
    <n v="36837.47"/>
    <s v="tier - 1"/>
    <s v="tier - 2"/>
    <s v="R1011"/>
    <n v="30"/>
  </r>
  <r>
    <s v="Id2160"/>
    <s v="Huyser-Wierenga, Ms.  Abigail R."/>
    <n v="31.46"/>
    <n v="11.19"/>
    <s v="No"/>
    <s v="No"/>
    <x v="0"/>
    <n v="0"/>
    <x v="1"/>
    <x v="0"/>
    <s v="Diabetes"/>
    <n v="1992"/>
    <s v="Jul"/>
    <n v="4"/>
    <n v="0"/>
    <d v="1992-07-04T00:00:00"/>
    <n v="36837.47"/>
    <s v="tier - 2"/>
    <s v="tier - 3"/>
    <s v="R1011"/>
    <n v="30"/>
  </r>
  <r>
    <s v="Id2161"/>
    <s v="Natalini, Ms.  Amy L."/>
    <n v="29.6"/>
    <n v="11.03"/>
    <s v="No"/>
    <s v="No"/>
    <x v="0"/>
    <n v="0"/>
    <x v="1"/>
    <x v="1"/>
    <s v="Diabetes"/>
    <n v="1972"/>
    <s v="Dec"/>
    <n v="5"/>
    <n v="0"/>
    <d v="1972-12-05T00:00:00"/>
    <n v="36889.99"/>
    <s v="tier - 1"/>
    <s v="tier - 3"/>
    <s v="R1011"/>
    <n v="50"/>
  </r>
  <r>
    <s v="Id2162"/>
    <s v="Robbins, Ms.  Amy"/>
    <n v="22.05"/>
    <n v="4.43"/>
    <s v="yes"/>
    <s v="No"/>
    <x v="0"/>
    <n v="0"/>
    <x v="1"/>
    <x v="2"/>
    <s v="Normal"/>
    <n v="2003"/>
    <s v="Jun"/>
    <n v="21"/>
    <n v="0"/>
    <d v="2003-06-21T00:00:00"/>
    <n v="36898.730000000003"/>
    <s v="tier - 2"/>
    <s v="tier - 1"/>
    <s v="R1012"/>
    <n v="19"/>
  </r>
  <r>
    <s v="Id2163"/>
    <s v="Stanislav, Mrs.  Grace H"/>
    <n v="27.06"/>
    <n v="6.14"/>
    <s v="No"/>
    <s v="yes"/>
    <x v="0"/>
    <n v="1"/>
    <x v="1"/>
    <x v="1"/>
    <s v="Prediabetes"/>
    <n v="1963"/>
    <s v="Jul"/>
    <n v="24"/>
    <n v="2"/>
    <d v="1963-07-24T00:00:00"/>
    <n v="36910.61"/>
    <s v="tier - 2"/>
    <s v="tier - 2"/>
    <s v="R1011"/>
    <n v="59"/>
  </r>
  <r>
    <s v="Id2164"/>
    <s v="Meyer, Ms.  Caitie J."/>
    <n v="20.49"/>
    <n v="4.87"/>
    <s v="No"/>
    <s v="No"/>
    <x v="0"/>
    <n v="0"/>
    <x v="1"/>
    <x v="2"/>
    <s v="Normal"/>
    <n v="1991"/>
    <s v="Jun"/>
    <n v="10"/>
    <n v="3"/>
    <d v="1991-06-10T00:00:00"/>
    <n v="36911.99"/>
    <s v="tier - 2"/>
    <s v="tier - 2"/>
    <s v="R1011"/>
    <n v="31"/>
  </r>
  <r>
    <s v="Id2165"/>
    <s v="Mears, Mr.  Benjamin"/>
    <n v="28.4"/>
    <n v="4.3"/>
    <s v="No"/>
    <s v="No"/>
    <x v="1"/>
    <n v="1"/>
    <x v="1"/>
    <x v="1"/>
    <s v="Normal"/>
    <n v="1968"/>
    <s v="Oct"/>
    <n v="22"/>
    <n v="0"/>
    <d v="1968-10-22T00:00:00"/>
    <n v="36922.61"/>
    <s v="tier - 2"/>
    <s v="tier - 1"/>
    <s v="R1011"/>
    <n v="54"/>
  </r>
  <r>
    <s v="Id2166"/>
    <s v="Neill, Mr.  Ian T"/>
    <n v="41.91"/>
    <n v="6.19"/>
    <s v="No"/>
    <s v="No"/>
    <x v="0"/>
    <n v="0"/>
    <x v="1"/>
    <x v="0"/>
    <s v="Prediabetes"/>
    <n v="1977"/>
    <s v="Aug"/>
    <n v="13"/>
    <n v="2"/>
    <d v="1977-08-13T00:00:00"/>
    <n v="36935.64"/>
    <s v="tier - 2"/>
    <s v="tier - 1"/>
    <s v="R1011"/>
    <n v="45"/>
  </r>
  <r>
    <s v="Id2167"/>
    <s v="Tola, Mr.  Tadese"/>
    <n v="24.6"/>
    <n v="6.19"/>
    <s v="No"/>
    <s v="No"/>
    <x v="1"/>
    <n v="1"/>
    <x v="1"/>
    <x v="2"/>
    <s v="Prediabetes"/>
    <n v="1992"/>
    <s v="Aug"/>
    <n v="25"/>
    <n v="0"/>
    <d v="1992-08-25T00:00:00"/>
    <n v="36950.26"/>
    <s v="tier - 1"/>
    <s v="tier - 1"/>
    <s v="R1013"/>
    <n v="30"/>
  </r>
  <r>
    <s v="Id2168"/>
    <s v="Briskman, Mr.  Jonathan"/>
    <n v="20.9"/>
    <n v="5.12"/>
    <s v="No"/>
    <s v="No"/>
    <x v="1"/>
    <n v="1"/>
    <x v="1"/>
    <x v="2"/>
    <s v="Normal"/>
    <n v="1992"/>
    <s v="Sep"/>
    <n v="13"/>
    <n v="0"/>
    <d v="1992-09-13T00:00:00"/>
    <n v="36976.449999999997"/>
    <s v="tier - 2"/>
    <s v="tier - 3"/>
    <s v="R1011"/>
    <n v="30"/>
  </r>
  <r>
    <s v="Id2169"/>
    <s v="Ritzenhein, Mr.  Dathan"/>
    <n v="34.4"/>
    <n v="4.04"/>
    <s v="No"/>
    <s v="No"/>
    <x v="0"/>
    <n v="0"/>
    <x v="1"/>
    <x v="0"/>
    <s v="Normal"/>
    <n v="1991"/>
    <s v="Nov"/>
    <n v="1"/>
    <n v="3"/>
    <d v="1991-11-01T00:00:00"/>
    <n v="37040.879999999997"/>
    <s v="tier - 2"/>
    <s v="tier - 2"/>
    <s v="R1011"/>
    <n v="31"/>
  </r>
  <r>
    <s v="Id2170"/>
    <s v="Malkowski, Mr.  Eric"/>
    <n v="32.56"/>
    <n v="5.36"/>
    <s v="No"/>
    <s v="No"/>
    <x v="0"/>
    <n v="0"/>
    <x v="1"/>
    <x v="0"/>
    <s v="Normal"/>
    <n v="1988"/>
    <s v="Dec"/>
    <n v="17"/>
    <n v="3"/>
    <d v="1988-12-17T00:00:00"/>
    <n v="37076.370000000003"/>
    <s v="tier - 2"/>
    <s v="tier - 1"/>
    <s v="R1011"/>
    <n v="34"/>
  </r>
  <r>
    <s v="Id2171"/>
    <s v="Andreyko, Ms.  Allison M"/>
    <n v="27.98"/>
    <n v="4.38"/>
    <s v="No"/>
    <s v="yes"/>
    <x v="0"/>
    <n v="1"/>
    <x v="1"/>
    <x v="1"/>
    <s v="Normal"/>
    <n v="1989"/>
    <s v="Jun"/>
    <n v="10"/>
    <n v="0"/>
    <d v="1989-06-10T00:00:00"/>
    <n v="37079.370000000003"/>
    <s v="tier - 2"/>
    <s v="tier - 3"/>
    <s v="R1011"/>
    <n v="33"/>
  </r>
  <r>
    <s v="Id2172"/>
    <s v="Landry, Mr.  Paul"/>
    <n v="26.51"/>
    <n v="4.58"/>
    <s v="No"/>
    <s v="No"/>
    <x v="0"/>
    <n v="0"/>
    <x v="1"/>
    <x v="1"/>
    <s v="Normal"/>
    <n v="1995"/>
    <s v="Oct"/>
    <n v="30"/>
    <n v="0"/>
    <d v="1995-10-30T00:00:00"/>
    <n v="37133.9"/>
    <s v="tier - 2"/>
    <s v="tier - 2"/>
    <s v="R1013"/>
    <n v="27"/>
  </r>
  <r>
    <s v="Id2173"/>
    <s v="Lozier, Mr.  Aaron R"/>
    <n v="29.734999999999999"/>
    <n v="11.92"/>
    <s v="No"/>
    <s v="No"/>
    <x v="0"/>
    <n v="0"/>
    <x v="1"/>
    <x v="1"/>
    <s v="Diabetes"/>
    <n v="2000"/>
    <s v="Sep"/>
    <n v="5"/>
    <n v="1"/>
    <d v="2000-09-05T00:00:00"/>
    <n v="37165.160000000003"/>
    <s v="tier - 1"/>
    <s v="tier - 3"/>
    <s v="?"/>
    <n v="22"/>
  </r>
  <r>
    <s v="Id2174"/>
    <s v="O'Brien, Ms.  Caitlin H."/>
    <n v="40.5"/>
    <n v="5.4"/>
    <s v="No"/>
    <s v="No"/>
    <x v="1"/>
    <n v="1"/>
    <x v="1"/>
    <x v="0"/>
    <s v="Normal"/>
    <n v="1990"/>
    <s v="Oct"/>
    <n v="17"/>
    <n v="3"/>
    <d v="1990-10-17T00:00:00"/>
    <n v="37251.22"/>
    <s v="tier - 2"/>
    <s v="tier - 2"/>
    <s v="R1011"/>
    <n v="32"/>
  </r>
  <r>
    <s v="Id2175"/>
    <s v="Rodas, Mr.  Harald E."/>
    <n v="25.64"/>
    <n v="4.76"/>
    <s v="No"/>
    <s v="No"/>
    <x v="0"/>
    <n v="1"/>
    <x v="1"/>
    <x v="1"/>
    <s v="Normal"/>
    <n v="1985"/>
    <s v="Nov"/>
    <n v="17"/>
    <n v="0"/>
    <d v="1985-11-17T00:00:00"/>
    <n v="37270.15"/>
    <s v="tier - 2"/>
    <s v="tier - 1"/>
    <s v="R1024"/>
    <n v="37"/>
  </r>
  <r>
    <s v="Id2176"/>
    <s v="O'Connor, Ms.  Siobhan A."/>
    <n v="32.9"/>
    <n v="4.78"/>
    <s v="No"/>
    <s v="No"/>
    <x v="1"/>
    <n v="1"/>
    <x v="1"/>
    <x v="0"/>
    <s v="Normal"/>
    <n v="1975"/>
    <s v="Nov"/>
    <n v="9"/>
    <n v="1"/>
    <d v="1975-11-09T00:00:00"/>
    <n v="37272.339999999997"/>
    <s v="tier - 2"/>
    <s v="tier - 3"/>
    <s v="R1011"/>
    <n v="47"/>
  </r>
  <r>
    <s v="Id2177"/>
    <s v="White, Ms.  Andrea J."/>
    <n v="29.8"/>
    <n v="4.26"/>
    <s v="No"/>
    <s v="No"/>
    <x v="1"/>
    <n v="1"/>
    <x v="1"/>
    <x v="1"/>
    <s v="Normal"/>
    <n v="1969"/>
    <s v="Oct"/>
    <n v="30"/>
    <n v="0"/>
    <d v="1969-10-30T00:00:00"/>
    <n v="37277.269999999997"/>
    <s v="tier - 1"/>
    <s v="tier - 3"/>
    <s v="R1011"/>
    <n v="53"/>
  </r>
  <r>
    <s v="Id2178"/>
    <s v="Davenport, Ms.  Marie"/>
    <n v="28.9"/>
    <n v="5.85"/>
    <s v="No"/>
    <s v="No"/>
    <x v="1"/>
    <n v="1"/>
    <x v="1"/>
    <x v="1"/>
    <s v="Prediabetes"/>
    <n v="1979"/>
    <s v="Aug"/>
    <n v="3"/>
    <n v="2"/>
    <d v="1979-08-03T00:00:00"/>
    <n v="37425.94"/>
    <s v="tier - 2"/>
    <s v="tier - 1"/>
    <s v="R1011"/>
    <n v="43"/>
  </r>
  <r>
    <s v="Id2179"/>
    <s v="Karmen, Ms.  Rachel A."/>
    <n v="24.7"/>
    <n v="5.32"/>
    <s v="No"/>
    <s v="No"/>
    <x v="1"/>
    <n v="1"/>
    <x v="1"/>
    <x v="2"/>
    <s v="Normal"/>
    <n v="2002"/>
    <s v="Sep"/>
    <n v="27"/>
    <n v="3"/>
    <d v="2002-09-27T00:00:00"/>
    <n v="37465.339999999997"/>
    <s v="tier - 1"/>
    <s v="tier - 2"/>
    <s v="R1012"/>
    <n v="20"/>
  </r>
  <r>
    <s v="Id2180"/>
    <s v="Miller, Ms.  Emma"/>
    <n v="20.6"/>
    <n v="5.14"/>
    <s v="No"/>
    <s v="No"/>
    <x v="1"/>
    <n v="1"/>
    <x v="1"/>
    <x v="2"/>
    <s v="Normal"/>
    <n v="2000"/>
    <s v="Oct"/>
    <n v="12"/>
    <n v="2"/>
    <d v="2000-10-12T00:00:00"/>
    <n v="37484.449999999997"/>
    <s v="tier - 1"/>
    <s v="tier - 1"/>
    <s v="R1013"/>
    <n v="22"/>
  </r>
  <r>
    <s v="Id2181"/>
    <s v="Lippmann, Ms.  Kiersten"/>
    <n v="18.600000000000001"/>
    <n v="5"/>
    <s v="No"/>
    <s v="No"/>
    <x v="1"/>
    <n v="1"/>
    <x v="1"/>
    <x v="2"/>
    <s v="Normal"/>
    <n v="1990"/>
    <s v="Nov"/>
    <n v="16"/>
    <n v="1"/>
    <d v="1990-11-16T00:00:00"/>
    <n v="37607.53"/>
    <s v="tier - 1"/>
    <s v="tier - 2"/>
    <s v="R1019"/>
    <n v="32"/>
  </r>
  <r>
    <s v="Id2182"/>
    <s v="Klehm, Ms.  Rachael"/>
    <n v="17.8"/>
    <n v="4.55"/>
    <s v="No"/>
    <s v="No"/>
    <x v="1"/>
    <n v="1"/>
    <x v="1"/>
    <x v="3"/>
    <s v="Normal"/>
    <n v="1982"/>
    <s v="Jun"/>
    <n v="20"/>
    <n v="3"/>
    <d v="1982-06-20T00:00:00"/>
    <n v="37650.74"/>
    <s v="tier - 2"/>
    <s v="tier - 2"/>
    <s v="R1012"/>
    <n v="40"/>
  </r>
  <r>
    <s v="Id2183"/>
    <s v="Murphy, Mr.  Timothy P."/>
    <n v="35.200000000000003"/>
    <n v="5.97"/>
    <s v="No"/>
    <s v="yes"/>
    <x v="0"/>
    <n v="1"/>
    <x v="1"/>
    <x v="0"/>
    <s v="Prediabetes"/>
    <n v="1970"/>
    <s v="Oct"/>
    <n v="28"/>
    <n v="0"/>
    <d v="1970-10-28T00:00:00"/>
    <n v="37675.06"/>
    <s v="tier - 2"/>
    <s v="tier - 3"/>
    <s v="R1011"/>
    <n v="52"/>
  </r>
  <r>
    <s v="Id2184"/>
    <s v="Desisa, Mr.  Lelisa"/>
    <n v="33.770000000000003"/>
    <n v="4.0199999999999996"/>
    <s v="No"/>
    <s v="yes"/>
    <x v="0"/>
    <n v="1"/>
    <x v="1"/>
    <x v="0"/>
    <s v="Normal"/>
    <n v="1988"/>
    <s v="Oct"/>
    <n v="10"/>
    <n v="1"/>
    <d v="1988-10-10T00:00:00"/>
    <n v="37701.879999999997"/>
    <s v="tier - 2"/>
    <s v="tier - 3"/>
    <s v="R1023"/>
    <n v="34"/>
  </r>
  <r>
    <s v="Id2185"/>
    <s v="Brooks, Mr.  Nate"/>
    <n v="30.03"/>
    <n v="4.04"/>
    <s v="No"/>
    <s v="yes"/>
    <x v="0"/>
    <n v="1"/>
    <x v="1"/>
    <x v="0"/>
    <s v="Normal"/>
    <n v="1976"/>
    <s v="Sep"/>
    <n v="18"/>
    <n v="2"/>
    <d v="1976-09-18T00:00:00"/>
    <n v="37735.199999999997"/>
    <s v="tier - 2"/>
    <s v="tier - 2"/>
    <s v="R1011"/>
    <n v="46"/>
  </r>
  <r>
    <s v="Id2186"/>
    <s v="Stone, Mr.  Chris C."/>
    <n v="29.37"/>
    <n v="5.54"/>
    <s v="No"/>
    <s v="yes"/>
    <x v="0"/>
    <n v="1"/>
    <x v="1"/>
    <x v="1"/>
    <s v="Normal"/>
    <n v="1986"/>
    <s v="Aug"/>
    <n v="15"/>
    <n v="0"/>
    <d v="1986-08-15T00:00:00"/>
    <n v="37742.58"/>
    <s v="tier - 1"/>
    <s v="tier - 1"/>
    <s v="R1013"/>
    <n v="36"/>
  </r>
  <r>
    <s v="Id2187"/>
    <s v="Weispfennig, Mr.  Scott"/>
    <n v="28.5"/>
    <n v="4.03"/>
    <s v="No"/>
    <s v="yes"/>
    <x v="0"/>
    <n v="1"/>
    <x v="1"/>
    <x v="1"/>
    <s v="Normal"/>
    <n v="1983"/>
    <s v="Jul"/>
    <n v="26"/>
    <n v="3"/>
    <d v="1983-07-26T00:00:00"/>
    <n v="37800.980000000003"/>
    <s v="tier - 2"/>
    <s v="tier - 2"/>
    <s v="R1011"/>
    <n v="39"/>
  </r>
  <r>
    <s v="Id2188"/>
    <s v="Sorrell, Mr.  Kevin"/>
    <n v="23.32"/>
    <n v="5.62"/>
    <s v="No"/>
    <s v="yes"/>
    <x v="0"/>
    <n v="1"/>
    <x v="1"/>
    <x v="2"/>
    <s v="Normal"/>
    <n v="1979"/>
    <s v="Sep"/>
    <n v="9"/>
    <n v="0"/>
    <d v="1979-09-09T00:00:00"/>
    <n v="37829.72"/>
    <s v="tier - 1"/>
    <s v="tier - 2"/>
    <s v="R1011"/>
    <n v="43"/>
  </r>
  <r>
    <s v="Id2189"/>
    <s v="Morris, Mr.  Erik C."/>
    <n v="26.125"/>
    <n v="5.27"/>
    <s v="No"/>
    <s v="yes"/>
    <x v="0"/>
    <n v="1"/>
    <x v="1"/>
    <x v="1"/>
    <s v="Normal"/>
    <n v="1998"/>
    <s v="Jul"/>
    <n v="29"/>
    <n v="0"/>
    <d v="1998-07-29T00:00:00"/>
    <n v="38126.25"/>
    <s v="tier - 1"/>
    <s v="tier - 3"/>
    <s v="R1013"/>
    <n v="24"/>
  </r>
  <r>
    <s v="Id2190"/>
    <s v="Marek, Mr.  Shawn C"/>
    <n v="25.46"/>
    <n v="5.18"/>
    <s v="No"/>
    <s v="yes"/>
    <x v="0"/>
    <n v="1"/>
    <x v="1"/>
    <x v="1"/>
    <s v="Normal"/>
    <n v="1972"/>
    <s v="Nov"/>
    <n v="19"/>
    <n v="0"/>
    <d v="1972-11-19T00:00:00"/>
    <n v="38189.1"/>
    <s v="tier - 2"/>
    <s v="tier - 2"/>
    <s v="R1011"/>
    <n v="50"/>
  </r>
  <r>
    <s v="Id2191"/>
    <s v="Armstrong, Mr.  Vajin L."/>
    <n v="23.75"/>
    <n v="5.27"/>
    <s v="No"/>
    <s v="yes"/>
    <x v="0"/>
    <n v="1"/>
    <x v="1"/>
    <x v="2"/>
    <s v="Normal"/>
    <n v="1989"/>
    <s v="Sep"/>
    <n v="8"/>
    <n v="3"/>
    <d v="1989-09-08T00:00:00"/>
    <n v="38237.339999999997"/>
    <s v="tier - 2"/>
    <s v="tier - 3"/>
    <s v="R1011"/>
    <n v="33"/>
  </r>
  <r>
    <s v="Id2192"/>
    <s v="Werner, Mr.  John K. Jr."/>
    <n v="23.085000000000001"/>
    <n v="5.62"/>
    <s v="No"/>
    <s v="yes"/>
    <x v="0"/>
    <n v="1"/>
    <x v="1"/>
    <x v="2"/>
    <s v="Normal"/>
    <n v="1964"/>
    <s v="Jun"/>
    <n v="16"/>
    <n v="0"/>
    <d v="1964-06-16T00:00:00"/>
    <n v="38241.74"/>
    <s v="tier - 2"/>
    <s v="tier - 3"/>
    <s v="R1011"/>
    <n v="58"/>
  </r>
  <r>
    <s v="Id2193"/>
    <s v="Gries, Mr.  Kevin J."/>
    <n v="22.99"/>
    <n v="5.0599999999999996"/>
    <s v="No"/>
    <s v="yes"/>
    <x v="0"/>
    <n v="1"/>
    <x v="1"/>
    <x v="2"/>
    <s v="Normal"/>
    <n v="1980"/>
    <s v="Aug"/>
    <n v="16"/>
    <n v="1"/>
    <d v="1980-08-16T00:00:00"/>
    <n v="38245.589999999997"/>
    <s v="tier - 1"/>
    <s v="tier - 2"/>
    <s v="R1013"/>
    <n v="42"/>
  </r>
  <r>
    <s v="Id2194"/>
    <s v="Mills, Mr.  Kirby W."/>
    <n v="21.47"/>
    <n v="4.6900000000000004"/>
    <s v="No"/>
    <s v="yes"/>
    <x v="0"/>
    <n v="1"/>
    <x v="1"/>
    <x v="2"/>
    <s v="Normal"/>
    <n v="1989"/>
    <s v="Oct"/>
    <n v="30"/>
    <n v="1"/>
    <d v="1989-10-30T00:00:00"/>
    <n v="38282.75"/>
    <s v="tier - 1"/>
    <s v="tier - 2"/>
    <s v="R1013"/>
    <n v="33"/>
  </r>
  <r>
    <s v="Id2195"/>
    <s v="Penny, Mr.  J A"/>
    <n v="15.96"/>
    <n v="5.44"/>
    <s v="No"/>
    <s v="yes"/>
    <x v="0"/>
    <n v="1"/>
    <x v="1"/>
    <x v="3"/>
    <s v="Normal"/>
    <n v="1980"/>
    <s v="Jun"/>
    <n v="12"/>
    <n v="2"/>
    <d v="1980-06-12T00:00:00"/>
    <n v="38313.129999999997"/>
    <s v="tier - 1"/>
    <s v="tier - 3"/>
    <s v="R1011"/>
    <n v="42"/>
  </r>
  <r>
    <s v="Id2196"/>
    <s v="Hicks, Mr.  Dustin G."/>
    <n v="39.5"/>
    <n v="5.05"/>
    <s v="No"/>
    <s v="yes"/>
    <x v="0"/>
    <n v="1"/>
    <x v="1"/>
    <x v="0"/>
    <s v="Normal"/>
    <n v="2002"/>
    <s v="Sep"/>
    <n v="17"/>
    <n v="2"/>
    <d v="2002-09-17T00:00:00"/>
    <n v="38344.57"/>
    <s v="tier - 1"/>
    <s v="tier - 3"/>
    <s v="R1011"/>
    <n v="20"/>
  </r>
  <r>
    <s v="Id2197"/>
    <s v="Masayesva, Mr.  Anthony G"/>
    <n v="33.770000000000003"/>
    <n v="6"/>
    <s v="No"/>
    <s v="yes"/>
    <x v="0"/>
    <n v="1"/>
    <x v="1"/>
    <x v="0"/>
    <s v="Prediabetes"/>
    <n v="1970"/>
    <s v="Aug"/>
    <n v="22"/>
    <n v="0"/>
    <d v="1970-08-22T00:00:00"/>
    <n v="38389.79"/>
    <s v="tier - 2"/>
    <s v="tier - 3"/>
    <s v="R1011"/>
    <n v="52"/>
  </r>
  <r>
    <s v="Id2198"/>
    <s v="Paavola, Mr.  Ryan"/>
    <n v="26.84"/>
    <n v="5.99"/>
    <s v="yes"/>
    <s v="yes"/>
    <x v="0"/>
    <n v="1"/>
    <x v="1"/>
    <x v="1"/>
    <s v="Prediabetes"/>
    <n v="1971"/>
    <s v="Dec"/>
    <n v="23"/>
    <n v="0"/>
    <d v="1971-12-23T00:00:00"/>
    <n v="38405.26"/>
    <s v="tier - 2"/>
    <s v="tier - 1"/>
    <s v="R1011"/>
    <n v="51"/>
  </r>
  <r>
    <s v="Id2199"/>
    <s v="Gehlsen, Mr.  Eric N"/>
    <n v="35.53"/>
    <n v="4.3600000000000003"/>
    <s v="No"/>
    <s v="No"/>
    <x v="1"/>
    <n v="1"/>
    <x v="1"/>
    <x v="0"/>
    <s v="Normal"/>
    <n v="1986"/>
    <s v="Jun"/>
    <n v="21"/>
    <n v="2"/>
    <d v="1986-06-21T00:00:00"/>
    <n v="38415.47"/>
    <s v="tier - 1"/>
    <s v="tier - 2"/>
    <s v="R1011"/>
    <n v="36"/>
  </r>
  <r>
    <s v="Id2200"/>
    <s v="Roche, Mr.  Connor"/>
    <n v="30.59"/>
    <n v="4.41"/>
    <s v="No"/>
    <s v="No"/>
    <x v="1"/>
    <n v="1"/>
    <x v="1"/>
    <x v="0"/>
    <s v="Normal"/>
    <n v="1999"/>
    <s v="Nov"/>
    <n v="12"/>
    <n v="2"/>
    <d v="1999-11-12T00:00:00"/>
    <n v="38511.629999999997"/>
    <s v="tier - 2"/>
    <s v="tier - 2"/>
    <s v="R1024"/>
    <n v="23"/>
  </r>
  <r>
    <s v="Id2201"/>
    <s v="Hearn, Mr.  Patrick H."/>
    <n v="30.59"/>
    <n v="4.17"/>
    <s v="No"/>
    <s v="No"/>
    <x v="1"/>
    <n v="1"/>
    <x v="1"/>
    <x v="0"/>
    <s v="Normal"/>
    <n v="1990"/>
    <s v="Jul"/>
    <n v="13"/>
    <n v="3"/>
    <d v="1990-07-13T00:00:00"/>
    <n v="38652.089999999997"/>
    <s v="tier - 2"/>
    <s v="tier - 2"/>
    <s v="R1011"/>
    <n v="32"/>
  </r>
  <r>
    <s v="Id2202"/>
    <s v="Dimson, Mr.  Tyler"/>
    <n v="27.835000000000001"/>
    <n v="4.4400000000000004"/>
    <s v="No"/>
    <s v="No"/>
    <x v="1"/>
    <n v="1"/>
    <x v="1"/>
    <x v="1"/>
    <s v="Normal"/>
    <n v="1986"/>
    <s v="Jul"/>
    <n v="20"/>
    <n v="1"/>
    <d v="1986-07-20T00:00:00"/>
    <n v="38709.18"/>
    <s v="tier - 1"/>
    <s v="tier - 3"/>
    <s v="R1013"/>
    <n v="36"/>
  </r>
  <r>
    <s v="Id2203"/>
    <s v="Slason, Ms.  Deborah L."/>
    <n v="40.26"/>
    <n v="5.52"/>
    <s v="No"/>
    <s v="yes"/>
    <x v="0"/>
    <n v="1"/>
    <x v="1"/>
    <x v="0"/>
    <s v="Normal"/>
    <n v="1991"/>
    <s v="Nov"/>
    <n v="22"/>
    <n v="2"/>
    <d v="1991-11-22T00:00:00"/>
    <n v="38711"/>
    <s v="tier - 1"/>
    <s v="tier - 3"/>
    <s v="R1011"/>
    <n v="31"/>
  </r>
  <r>
    <s v="Id2204"/>
    <s v="Gibson, Ms.  Andrea K"/>
    <n v="39.82"/>
    <n v="6.01"/>
    <s v="No"/>
    <s v="yes"/>
    <x v="0"/>
    <n v="1"/>
    <x v="1"/>
    <x v="0"/>
    <s v="Prediabetes"/>
    <n v="1991"/>
    <s v="Nov"/>
    <n v="2"/>
    <n v="2"/>
    <d v="1991-11-02T00:00:00"/>
    <n v="38711"/>
    <s v="tier - 2"/>
    <s v="tier - 2"/>
    <s v="R1011"/>
    <n v="31"/>
  </r>
  <r>
    <s v="Id2205"/>
    <s v="Erdos, Ms.  Elleree"/>
    <n v="39.159999999999997"/>
    <n v="5.81"/>
    <s v="No"/>
    <s v="yes"/>
    <x v="0"/>
    <n v="1"/>
    <x v="1"/>
    <x v="0"/>
    <s v="Prediabetes"/>
    <n v="1976"/>
    <s v="Jun"/>
    <n v="15"/>
    <n v="2"/>
    <d v="1976-06-15T00:00:00"/>
    <n v="38740.120000000003"/>
    <s v="tier - 2"/>
    <s v="tier - 2"/>
    <s v="R1012"/>
    <n v="46"/>
  </r>
  <r>
    <s v="Id2206"/>
    <s v="Cushman, Mr.  Brandon J"/>
    <n v="25.555"/>
    <n v="4.37"/>
    <s v="No"/>
    <s v="No"/>
    <x v="1"/>
    <n v="1"/>
    <x v="1"/>
    <x v="1"/>
    <s v="Normal"/>
    <n v="1991"/>
    <s v="Nov"/>
    <n v="8"/>
    <n v="3"/>
    <d v="1991-11-08T00:00:00"/>
    <n v="38746.36"/>
    <s v="tier - 1"/>
    <s v="tier - 2"/>
    <s v="R1012"/>
    <n v="31"/>
  </r>
  <r>
    <s v="Id2207"/>
    <s v="Hammel, Mr.  Steve"/>
    <n v="25.175000000000001"/>
    <n v="5.74"/>
    <s v="No"/>
    <s v="No"/>
    <x v="1"/>
    <n v="1"/>
    <x v="1"/>
    <x v="1"/>
    <s v="Prediabetes"/>
    <n v="2004"/>
    <s v="Dec"/>
    <n v="5"/>
    <n v="0"/>
    <d v="2004-12-05T00:00:00"/>
    <n v="38792.69"/>
    <s v="tier - 2"/>
    <s v="tier - 2"/>
    <s v="R1013"/>
    <n v="18"/>
  </r>
  <r>
    <s v="Id2208"/>
    <s v="Ytterstad, Ms.  Nina Wavik Sr."/>
    <n v="38.28"/>
    <n v="5.39"/>
    <s v="No"/>
    <s v="yes"/>
    <x v="0"/>
    <n v="1"/>
    <x v="1"/>
    <x v="0"/>
    <s v="Normal"/>
    <n v="1979"/>
    <s v="Dec"/>
    <n v="3"/>
    <n v="2"/>
    <d v="1979-12-03T00:00:00"/>
    <n v="38836.980000000003"/>
    <s v="tier - 2"/>
    <s v="tier - 1"/>
    <s v="R1011"/>
    <n v="43"/>
  </r>
  <r>
    <s v="Id2209"/>
    <s v="Prince, Ms.  Dani"/>
    <n v="38.17"/>
    <n v="4.07"/>
    <s v="No"/>
    <s v="yes"/>
    <x v="0"/>
    <n v="1"/>
    <x v="1"/>
    <x v="0"/>
    <s v="Normal"/>
    <n v="1964"/>
    <s v="Jun"/>
    <n v="6"/>
    <n v="0"/>
    <d v="1964-06-06T00:00:00"/>
    <n v="38869.25"/>
    <s v="tier - 2"/>
    <s v="tier - 2"/>
    <s v="R1011"/>
    <n v="59"/>
  </r>
  <r>
    <s v="Id2210"/>
    <s v="Freeman, Ms.  Jennifer A."/>
    <n v="36.85"/>
    <n v="5.49"/>
    <s v="No"/>
    <s v="yes"/>
    <x v="0"/>
    <n v="1"/>
    <x v="1"/>
    <x v="0"/>
    <s v="Normal"/>
    <n v="1967"/>
    <s v="Jul"/>
    <n v="30"/>
    <n v="0"/>
    <d v="1967-07-30T00:00:00"/>
    <n v="38893.360000000001"/>
    <s v="tier - 1"/>
    <s v="tier - 2"/>
    <s v="R1011"/>
    <n v="55"/>
  </r>
  <r>
    <s v="Id2211"/>
    <s v="Petrulak, Mr.  Martin"/>
    <n v="22.61"/>
    <n v="5.68"/>
    <s v="No"/>
    <s v="No"/>
    <x v="1"/>
    <n v="1"/>
    <x v="1"/>
    <x v="2"/>
    <s v="Normal"/>
    <n v="1987"/>
    <s v="Jun"/>
    <n v="16"/>
    <n v="3"/>
    <d v="1987-06-16T00:00:00"/>
    <n v="38924.04"/>
    <s v="tier - 2"/>
    <s v="tier - 2"/>
    <s v="R1011"/>
    <n v="35"/>
  </r>
  <r>
    <s v="Id2212"/>
    <s v="Lloyd, Mr.  Steve"/>
    <n v="21.754999999999999"/>
    <n v="6.09"/>
    <s v="No"/>
    <s v="No"/>
    <x v="1"/>
    <n v="1"/>
    <x v="1"/>
    <x v="2"/>
    <s v="Prediabetes"/>
    <n v="1976"/>
    <s v="Dec"/>
    <n v="15"/>
    <n v="2"/>
    <d v="1976-12-15T00:00:00"/>
    <n v="38932.559999999998"/>
    <s v="tier - 2"/>
    <s v="tier - 3"/>
    <s v="R1011"/>
    <n v="46"/>
  </r>
  <r>
    <s v="Id2213"/>
    <s v="Zablocki, Mr.  Christopher"/>
    <n v="20.425000000000001"/>
    <n v="5.53"/>
    <s v="No"/>
    <s v="No"/>
    <x v="1"/>
    <n v="1"/>
    <x v="1"/>
    <x v="2"/>
    <s v="Normal"/>
    <n v="1980"/>
    <s v="Sep"/>
    <n v="24"/>
    <n v="2"/>
    <d v="1980-09-24T00:00:00"/>
    <n v="38947.43"/>
    <s v="tier - 2"/>
    <s v="tier - 3"/>
    <s v="R1011"/>
    <n v="42"/>
  </r>
  <r>
    <s v="Id2214"/>
    <s v="Van Meter, Ms.  Kathryn M."/>
    <n v="31.35"/>
    <n v="4.28"/>
    <s v="No"/>
    <s v="yes"/>
    <x v="0"/>
    <n v="1"/>
    <x v="1"/>
    <x v="0"/>
    <s v="Normal"/>
    <n v="1978"/>
    <s v="Oct"/>
    <n v="12"/>
    <n v="2"/>
    <d v="1978-10-12T00:00:00"/>
    <n v="38998.550000000003"/>
    <s v="tier - 1"/>
    <s v="tier - 1"/>
    <s v="R1011"/>
    <n v="44"/>
  </r>
  <r>
    <s v="Id2215"/>
    <s v="Babay, Ms.  Emily"/>
    <n v="31.13"/>
    <n v="6.01"/>
    <s v="No"/>
    <s v="yes"/>
    <x v="0"/>
    <n v="1"/>
    <x v="1"/>
    <x v="0"/>
    <s v="Prediabetes"/>
    <n v="1985"/>
    <s v="Sep"/>
    <n v="20"/>
    <n v="1"/>
    <d v="1985-09-20T00:00:00"/>
    <n v="39047.29"/>
    <s v="tier - 1"/>
    <s v="tier - 3"/>
    <s v="R1017"/>
    <n v="37"/>
  </r>
  <r>
    <s v="Id2216"/>
    <s v="Taylor, Mr.  Trent A"/>
    <n v="17.48"/>
    <n v="4.59"/>
    <s v="No"/>
    <s v="No"/>
    <x v="1"/>
    <n v="1"/>
    <x v="1"/>
    <x v="3"/>
    <s v="Normal"/>
    <n v="1982"/>
    <s v="Aug"/>
    <n v="4"/>
    <n v="1"/>
    <d v="1982-08-04T00:00:00"/>
    <n v="39125.33"/>
    <s v="tier - 1"/>
    <s v="tier - 1"/>
    <s v="R1016"/>
    <n v="40"/>
  </r>
  <r>
    <s v="Id2217"/>
    <s v="Smith, Ms.  Jennifer E"/>
    <n v="22.57"/>
    <n v="5.8"/>
    <s v="yes"/>
    <s v="No"/>
    <x v="0"/>
    <n v="1"/>
    <x v="1"/>
    <x v="2"/>
    <s v="Prediabetes"/>
    <n v="1962"/>
    <s v="Jul"/>
    <n v="7"/>
    <n v="0"/>
    <d v="1962-07-07T00:00:00"/>
    <n v="39221.120000000003"/>
    <s v="tier - 2"/>
    <s v="tier - 1"/>
    <s v="R1011"/>
    <n v="60"/>
  </r>
  <r>
    <s v="Id2218"/>
    <s v="Moody, Ms.  Polly"/>
    <n v="26.73"/>
    <n v="5.08"/>
    <s v="No"/>
    <s v="yes"/>
    <x v="0"/>
    <n v="1"/>
    <x v="1"/>
    <x v="1"/>
    <s v="Normal"/>
    <n v="1992"/>
    <s v="Nov"/>
    <n v="30"/>
    <n v="2"/>
    <d v="1992-11-30T00:00:00"/>
    <n v="39241.440000000002"/>
    <s v="tier - 1"/>
    <s v="tier - 3"/>
    <s v="R1011"/>
    <n v="30"/>
  </r>
  <r>
    <s v="Id2219"/>
    <s v="Swierzbinski, Ms.  Elizabeth"/>
    <n v="20.79"/>
    <n v="5.84"/>
    <s v="No"/>
    <s v="yes"/>
    <x v="0"/>
    <n v="1"/>
    <x v="1"/>
    <x v="2"/>
    <s v="Prediabetes"/>
    <n v="1982"/>
    <s v="Aug"/>
    <n v="16"/>
    <n v="3"/>
    <d v="1982-08-16T00:00:00"/>
    <n v="39315.279999999999"/>
    <s v="tier - 2"/>
    <s v="tier - 3"/>
    <s v="R1011"/>
    <n v="40"/>
  </r>
  <r>
    <s v="Id2220"/>
    <s v="Schwartz, Ms.  Tiffany A."/>
    <n v="20.149999999999999"/>
    <n v="4.1500000000000004"/>
    <s v="No"/>
    <s v="No"/>
    <x v="0"/>
    <n v="1"/>
    <x v="1"/>
    <x v="2"/>
    <s v="Normal"/>
    <n v="1978"/>
    <s v="Aug"/>
    <n v="5"/>
    <n v="2"/>
    <d v="1978-08-05T00:00:00"/>
    <n v="39352.6"/>
    <s v="tier - 2"/>
    <s v="tier - 3"/>
    <s v="R1011"/>
    <n v="44"/>
  </r>
  <r>
    <s v="Id2221"/>
    <s v="Sanseverino, Mr.  Cole"/>
    <n v="36.85"/>
    <n v="4.3600000000000003"/>
    <s v="yes"/>
    <s v="No"/>
    <x v="0"/>
    <n v="0"/>
    <x v="1"/>
    <x v="0"/>
    <s v="Normal"/>
    <n v="1966"/>
    <s v="Jun"/>
    <n v="24"/>
    <n v="0"/>
    <d v="1966-06-24T00:00:00"/>
    <n v="39396.86"/>
    <s v="tier - 2"/>
    <s v="tier - 2"/>
    <s v="R1011"/>
    <n v="56"/>
  </r>
  <r>
    <s v="Id2222"/>
    <s v="Lawder, Mr.  Matthew T."/>
    <n v="35.53"/>
    <n v="4.55"/>
    <s v="yes"/>
    <s v="No"/>
    <x v="0"/>
    <n v="0"/>
    <x v="1"/>
    <x v="0"/>
    <s v="Normal"/>
    <n v="1978"/>
    <s v="Jul"/>
    <n v="12"/>
    <n v="1"/>
    <d v="1978-07-12T00:00:00"/>
    <n v="39556.49"/>
    <s v="tier - 1"/>
    <s v="tier - 2"/>
    <s v="R1015"/>
    <n v="44"/>
  </r>
  <r>
    <s v="Id2223"/>
    <s v="Young, Mr.  Zachary"/>
    <n v="31.1"/>
    <n v="4.37"/>
    <s v="yes"/>
    <s v="No"/>
    <x v="0"/>
    <n v="0"/>
    <x v="1"/>
    <x v="0"/>
    <s v="Normal"/>
    <n v="1981"/>
    <s v="Jul"/>
    <n v="5"/>
    <n v="3"/>
    <d v="1981-07-05T00:00:00"/>
    <n v="39597.410000000003"/>
    <s v="tier - 1"/>
    <s v="tier - 2"/>
    <s v="R1017"/>
    <n v="41"/>
  </r>
  <r>
    <s v="Id2224"/>
    <s v="Hoerner, Mr.  Matthew T."/>
    <n v="23.21"/>
    <n v="5.24"/>
    <s v="yes"/>
    <s v="No"/>
    <x v="0"/>
    <n v="0"/>
    <x v="1"/>
    <x v="2"/>
    <s v="Normal"/>
    <n v="1995"/>
    <s v="Aug"/>
    <n v="7"/>
    <n v="0"/>
    <d v="1995-08-07T00:00:00"/>
    <n v="39611.760000000002"/>
    <s v="tier - 1"/>
    <s v="tier - 3"/>
    <s v="R1013"/>
    <n v="27"/>
  </r>
  <r>
    <s v="Id2225"/>
    <s v="Benson, Mr.  Pat"/>
    <n v="18.36"/>
    <n v="5.96"/>
    <s v="No"/>
    <s v="No"/>
    <x v="0"/>
    <n v="1"/>
    <x v="1"/>
    <x v="3"/>
    <s v="Prediabetes"/>
    <n v="1977"/>
    <s v="Dec"/>
    <n v="17"/>
    <n v="2"/>
    <d v="1977-12-17T00:00:00"/>
    <n v="39670.44"/>
    <s v="tier - 2"/>
    <s v="tier - 1"/>
    <s v="R1012"/>
    <n v="45"/>
  </r>
  <r>
    <s v="Id2226"/>
    <s v="Horton, Ms.  Ashley"/>
    <n v="15.92"/>
    <n v="4.76"/>
    <s v="yes"/>
    <s v="No"/>
    <x v="0"/>
    <n v="1"/>
    <x v="1"/>
    <x v="3"/>
    <s v="Normal"/>
    <n v="1968"/>
    <s v="Sep"/>
    <n v="29"/>
    <n v="0"/>
    <d v="1968-09-29T00:00:00"/>
    <n v="39721.93"/>
    <s v="tier - 2"/>
    <s v="tier - 2"/>
    <s v="R1011"/>
    <n v="54"/>
  </r>
  <r>
    <s v="Id2227"/>
    <s v="McGraw, Ms.  Elizabeth A."/>
    <n v="15.17"/>
    <n v="4.3"/>
    <s v="yes"/>
    <s v="No"/>
    <x v="1"/>
    <n v="1"/>
    <x v="1"/>
    <x v="3"/>
    <s v="Normal"/>
    <n v="2003"/>
    <s v="Jul"/>
    <n v="16"/>
    <n v="0"/>
    <d v="2003-07-16T00:00:00"/>
    <n v="39722.75"/>
    <s v="tier - 1"/>
    <s v="tier - 1"/>
    <s v="R1013"/>
    <n v="19"/>
  </r>
  <r>
    <s v="Id2228"/>
    <s v="Beaulne, Ms.  Rebecca M."/>
    <n v="16.63"/>
    <n v="4.5"/>
    <s v="No"/>
    <s v="No"/>
    <x v="0"/>
    <n v="1"/>
    <x v="1"/>
    <x v="3"/>
    <s v="Normal"/>
    <n v="1977"/>
    <s v="Aug"/>
    <n v="12"/>
    <n v="1"/>
    <d v="1977-08-12T00:00:00"/>
    <n v="39725.519999999997"/>
    <s v="tier - 2"/>
    <s v="tier - 1"/>
    <s v="R1012"/>
    <n v="45"/>
  </r>
  <r>
    <s v="Id2229"/>
    <s v="Lunz, Ms.  Ruth"/>
    <n v="19.39"/>
    <n v="5.59"/>
    <s v="No"/>
    <s v="No"/>
    <x v="1"/>
    <n v="1"/>
    <x v="1"/>
    <x v="2"/>
    <s v="Normal"/>
    <n v="1973"/>
    <s v="Dec"/>
    <n v="17"/>
    <n v="0"/>
    <d v="1973-12-17T00:00:00"/>
    <n v="39727.61"/>
    <s v="tier - 1"/>
    <s v="tier - 2"/>
    <s v="R1011"/>
    <n v="49"/>
  </r>
  <r>
    <s v="Id2230"/>
    <s v="Kyle, Mr.  Gregory S"/>
    <n v="17.34"/>
    <n v="6.29"/>
    <s v="yes"/>
    <s v="No"/>
    <x v="1"/>
    <n v="1"/>
    <x v="1"/>
    <x v="3"/>
    <s v="Prediabetes"/>
    <n v="1987"/>
    <s v="Jul"/>
    <n v="24"/>
    <n v="1"/>
    <d v="1987-07-24T00:00:00"/>
    <n v="39774.28"/>
    <s v="tier - 1"/>
    <s v="tier - 1"/>
    <s v="R1014"/>
    <n v="35"/>
  </r>
  <r>
    <s v="Id2231"/>
    <s v="Brackenwagen, Ms.  Alexandra S"/>
    <n v="17.940000000000001"/>
    <n v="4.1900000000000004"/>
    <s v="No"/>
    <s v="yes"/>
    <x v="0"/>
    <n v="1"/>
    <x v="1"/>
    <x v="3"/>
    <s v="Normal"/>
    <n v="1985"/>
    <s v="Jul"/>
    <n v="17"/>
    <n v="2"/>
    <d v="1985-07-17T00:00:00"/>
    <n v="39836.519999999997"/>
    <s v="tier - 2"/>
    <s v="tier - 1"/>
    <s v="R1011"/>
    <n v="37"/>
  </r>
  <r>
    <s v="Id2232"/>
    <s v="Schmitt, Ms.  Hillary"/>
    <n v="16.670000000000002"/>
    <n v="4.7"/>
    <s v="yes"/>
    <s v="No"/>
    <x v="1"/>
    <n v="1"/>
    <x v="1"/>
    <x v="3"/>
    <s v="Normal"/>
    <n v="1983"/>
    <s v="Jun"/>
    <n v="1"/>
    <n v="3"/>
    <d v="1983-06-01T00:00:00"/>
    <n v="39865.699999999997"/>
    <s v="tier - 2"/>
    <s v="tier - 2"/>
    <s v="R1011"/>
    <n v="40"/>
  </r>
  <r>
    <s v="Id2233"/>
    <s v="Borden, Ms.  Amy K."/>
    <n v="20.58"/>
    <n v="5.64"/>
    <s v="yes"/>
    <s v="No"/>
    <x v="0"/>
    <n v="0"/>
    <x v="1"/>
    <x v="2"/>
    <s v="Normal"/>
    <n v="1985"/>
    <s v="Aug"/>
    <n v="22"/>
    <n v="1"/>
    <d v="1985-08-22T00:00:00"/>
    <n v="39871.699999999997"/>
    <s v="tier - 1"/>
    <s v="tier - 2"/>
    <s v="R1013"/>
    <n v="37"/>
  </r>
  <r>
    <s v="Id2234"/>
    <s v="McLean, Mr.  Scott"/>
    <n v="16.5"/>
    <n v="4.1100000000000003"/>
    <s v="yes"/>
    <s v="No"/>
    <x v="0"/>
    <n v="0"/>
    <x v="1"/>
    <x v="3"/>
    <s v="Normal"/>
    <n v="1975"/>
    <s v="Dec"/>
    <n v="2"/>
    <n v="1"/>
    <d v="1975-12-02T00:00:00"/>
    <n v="39963.120000000003"/>
    <s v="tier - 2"/>
    <s v="tier - 2"/>
    <s v="R1011"/>
    <n v="47"/>
  </r>
  <r>
    <s v="Id2235"/>
    <s v="Regan, Mr.  John"/>
    <n v="15.41"/>
    <n v="5.43"/>
    <s v="yes"/>
    <s v="No"/>
    <x v="1"/>
    <n v="1"/>
    <x v="1"/>
    <x v="3"/>
    <s v="Normal"/>
    <n v="1987"/>
    <s v="Aug"/>
    <n v="8"/>
    <n v="3"/>
    <d v="1987-08-08T00:00:00"/>
    <n v="39983.43"/>
    <s v="tier - 2"/>
    <s v="tier - 3"/>
    <s v="R1012"/>
    <n v="35"/>
  </r>
  <r>
    <s v="Id2236"/>
    <s v="Koenis, Mr.  Maaikel"/>
    <n v="24.59"/>
    <n v="4.38"/>
    <s v="No"/>
    <s v="No"/>
    <x v="0"/>
    <n v="1"/>
    <x v="1"/>
    <x v="2"/>
    <s v="Normal"/>
    <n v="1982"/>
    <s v="Dec"/>
    <n v="25"/>
    <n v="2"/>
    <d v="1982-12-25T00:00:00"/>
    <n v="40003.33"/>
    <s v="tier - 1"/>
    <s v="tier - 1"/>
    <s v="R1012"/>
    <n v="40"/>
  </r>
  <r>
    <s v="Id2237"/>
    <s v="Kittaka, Mr.  Daniel C"/>
    <n v="33.33"/>
    <n v="9.7899999999999991"/>
    <s v="No"/>
    <s v="No"/>
    <x v="0"/>
    <n v="0"/>
    <x v="1"/>
    <x v="0"/>
    <s v="Diabetes"/>
    <n v="1978"/>
    <s v="Dec"/>
    <n v="20"/>
    <n v="2"/>
    <d v="1978-12-20T00:00:00"/>
    <n v="40054.730000000003"/>
    <s v="tier - 1"/>
    <s v="tier - 3"/>
    <s v="R1011"/>
    <n v="44"/>
  </r>
  <r>
    <s v="Id2238"/>
    <s v="Concannon, Mr.  Christopher S."/>
    <n v="18.5"/>
    <n v="11.84"/>
    <s v="No"/>
    <s v="No"/>
    <x v="0"/>
    <n v="0"/>
    <x v="1"/>
    <x v="2"/>
    <s v="Diabetes"/>
    <n v="1966"/>
    <s v="Aug"/>
    <n v="12"/>
    <n v="0"/>
    <d v="1966-08-12T00:00:00"/>
    <n v="40069.440000000002"/>
    <s v="tier - 1"/>
    <s v="tier - 3"/>
    <s v="R1011"/>
    <n v="56"/>
  </r>
  <r>
    <s v="Id2239"/>
    <s v="Johnson, Mr.  William R"/>
    <n v="18.579999999999998"/>
    <n v="6.22"/>
    <s v="No"/>
    <s v="No"/>
    <x v="0"/>
    <n v="0"/>
    <x v="1"/>
    <x v="2"/>
    <s v="Prediabetes"/>
    <n v="1983"/>
    <s v="Oct"/>
    <n v="14"/>
    <n v="2"/>
    <d v="1983-10-14T00:00:00"/>
    <n v="40103.89"/>
    <s v="tier - 1"/>
    <s v="tier - 2"/>
    <s v="R1011"/>
    <n v="39"/>
  </r>
  <r>
    <s v="Id2240"/>
    <s v="Schultz, Ms.  Lyndsy"/>
    <n v="16.64"/>
    <n v="10.01"/>
    <s v="No"/>
    <s v="No"/>
    <x v="0"/>
    <n v="0"/>
    <x v="1"/>
    <x v="3"/>
    <s v="Diabetes"/>
    <n v="1985"/>
    <s v="Oct"/>
    <n v="21"/>
    <n v="4"/>
    <d v="1985-10-21T00:00:00"/>
    <n v="40182.25"/>
    <s v="tier - 1"/>
    <s v="tier - 2"/>
    <s v="R1011"/>
    <n v="37"/>
  </r>
  <r>
    <s v="Id2241"/>
    <s v="Brannigan, Ms.  Jessica"/>
    <n v="19.329999999999998"/>
    <n v="4.32"/>
    <s v="No"/>
    <s v="No"/>
    <x v="0"/>
    <n v="1"/>
    <x v="1"/>
    <x v="2"/>
    <s v="Normal"/>
    <n v="1979"/>
    <s v="Aug"/>
    <n v="18"/>
    <n v="2"/>
    <d v="1979-08-18T00:00:00"/>
    <n v="40204.83"/>
    <s v="tier - 1"/>
    <s v="tier - 3"/>
    <s v="R1012"/>
    <n v="43"/>
  </r>
  <r>
    <s v="Id2242"/>
    <s v="Cavallo, Ms.  Anna"/>
    <n v="21.26"/>
    <n v="5.65"/>
    <s v="yes"/>
    <s v="No"/>
    <x v="1"/>
    <n v="1"/>
    <x v="1"/>
    <x v="2"/>
    <s v="Normal"/>
    <n v="1981"/>
    <s v="Jul"/>
    <n v="28"/>
    <n v="1"/>
    <d v="1981-07-28T00:00:00"/>
    <n v="40208.559999999998"/>
    <s v="tier - 1"/>
    <s v="tier - 2"/>
    <s v="R1011"/>
    <n v="41"/>
  </r>
  <r>
    <s v="Id2243"/>
    <s v="Chang, Mr.  Jordan"/>
    <n v="15.6"/>
    <n v="4.12"/>
    <s v="yes"/>
    <s v="No"/>
    <x v="0"/>
    <n v="1"/>
    <x v="1"/>
    <x v="3"/>
    <s v="Normal"/>
    <n v="1981"/>
    <s v="Oct"/>
    <n v="4"/>
    <n v="1"/>
    <d v="1981-10-04T00:00:00"/>
    <n v="40273.65"/>
    <s v="tier - 1"/>
    <s v="tier - 3"/>
    <s v="R1013"/>
    <n v="41"/>
  </r>
  <r>
    <s v="Id2244"/>
    <s v="Axelrod, Mr.  Brian"/>
    <n v="24.39"/>
    <n v="6.24"/>
    <s v="No"/>
    <s v="No"/>
    <x v="0"/>
    <n v="1"/>
    <x v="1"/>
    <x v="2"/>
    <s v="Prediabetes"/>
    <n v="1977"/>
    <s v="Jun"/>
    <n v="27"/>
    <n v="2"/>
    <d v="1977-06-27T00:00:00"/>
    <n v="40284.379999999997"/>
    <s v="tier - 1"/>
    <s v="tier - 3"/>
    <s v="R1012"/>
    <n v="45"/>
  </r>
  <r>
    <s v="Id2245"/>
    <s v="Davenport, Ms.  Katherine A"/>
    <n v="24.75"/>
    <n v="4.83"/>
    <s v="No"/>
    <s v="No"/>
    <x v="0"/>
    <n v="0"/>
    <x v="1"/>
    <x v="2"/>
    <s v="Normal"/>
    <n v="1962"/>
    <s v="Sep"/>
    <n v="4"/>
    <n v="0"/>
    <d v="1962-09-04T00:00:00"/>
    <n v="40309.93"/>
    <s v="tier - 1"/>
    <s v="tier - 3"/>
    <s v="R1011"/>
    <n v="60"/>
  </r>
  <r>
    <s v="Id2246"/>
    <s v="Roberge, Ms.  Melanie"/>
    <n v="20.88"/>
    <n v="7.4"/>
    <s v="No"/>
    <s v="No"/>
    <x v="0"/>
    <n v="0"/>
    <x v="1"/>
    <x v="2"/>
    <s v="Diabetes"/>
    <n v="1966"/>
    <s v="Aug"/>
    <n v="12"/>
    <n v="0"/>
    <d v="1966-08-12T00:00:00"/>
    <n v="40373.74"/>
    <s v="tier - 1"/>
    <s v="tier - 3"/>
    <s v="R1011"/>
    <n v="56"/>
  </r>
  <r>
    <s v="Id2247"/>
    <s v="Schmidt, Ms.  Jessica"/>
    <n v="20.43"/>
    <n v="4.54"/>
    <s v="No"/>
    <s v="No"/>
    <x v="0"/>
    <n v="0"/>
    <x v="1"/>
    <x v="2"/>
    <s v="Normal"/>
    <n v="1985"/>
    <s v="Nov"/>
    <n v="3"/>
    <n v="0"/>
    <d v="1985-11-03T00:00:00"/>
    <n v="40419.019999999997"/>
    <s v="tier - 1"/>
    <s v="tier - 2"/>
    <s v="R1013"/>
    <n v="37"/>
  </r>
  <r>
    <s v="Id2248"/>
    <s v="Kosters, Mr.  Eric S"/>
    <n v="15.18"/>
    <n v="11.11"/>
    <s v="No"/>
    <s v="No"/>
    <x v="0"/>
    <n v="0"/>
    <x v="1"/>
    <x v="3"/>
    <s v="Diabetes"/>
    <n v="1975"/>
    <s v="Jul"/>
    <n v="10"/>
    <n v="1"/>
    <d v="1975-07-10T00:00:00"/>
    <n v="40590.550000000003"/>
    <s v="tier - 1"/>
    <s v="tier - 3"/>
    <s v="R1012"/>
    <n v="47"/>
  </r>
  <r>
    <s v="Id2249"/>
    <s v="Dykes, Mr.  Joseph"/>
    <n v="15.12"/>
    <n v="4.03"/>
    <s v="yes"/>
    <s v="No"/>
    <x v="0"/>
    <n v="0"/>
    <x v="1"/>
    <x v="3"/>
    <s v="Normal"/>
    <n v="1970"/>
    <s v="Sep"/>
    <n v="25"/>
    <n v="0"/>
    <d v="1970-09-25T00:00:00"/>
    <n v="40692.910000000003"/>
    <s v="tier - 1"/>
    <s v="tier - 1"/>
    <s v="R1011"/>
    <n v="52"/>
  </r>
  <r>
    <s v="Id2250"/>
    <s v="Velan, Ms.  Mary"/>
    <n v="23.88"/>
    <n v="4.51"/>
    <s v="No"/>
    <s v="No"/>
    <x v="0"/>
    <n v="1"/>
    <x v="1"/>
    <x v="2"/>
    <s v="Normal"/>
    <n v="1976"/>
    <s v="Dec"/>
    <n v="26"/>
    <n v="3"/>
    <d v="1976-12-26T00:00:00"/>
    <n v="40720.550000000003"/>
    <s v="tier - 1"/>
    <s v="tier - 3"/>
    <s v="R1012"/>
    <n v="46"/>
  </r>
  <r>
    <s v="Id2251"/>
    <s v="Goolik, Ms.  Natalie"/>
    <n v="16.13"/>
    <n v="5.56"/>
    <s v="No"/>
    <s v="yes"/>
    <x v="0"/>
    <n v="1"/>
    <x v="1"/>
    <x v="3"/>
    <s v="Normal"/>
    <n v="1972"/>
    <s v="Jun"/>
    <n v="10"/>
    <n v="0"/>
    <d v="1972-06-10T00:00:00"/>
    <n v="40817.85"/>
    <s v="tier - 1"/>
    <s v="tier - 3"/>
    <s v="R1011"/>
    <n v="50"/>
  </r>
  <r>
    <s v="Id2252"/>
    <s v="Bain, Mr.  Christopher"/>
    <n v="24.09"/>
    <n v="4.0999999999999996"/>
    <s v="No"/>
    <s v="yes"/>
    <x v="0"/>
    <n v="1"/>
    <x v="1"/>
    <x v="2"/>
    <s v="Normal"/>
    <n v="1999"/>
    <s v="Jul"/>
    <n v="2"/>
    <n v="1"/>
    <d v="1999-07-02T00:00:00"/>
    <n v="40904.199999999997"/>
    <s v="tier - 1"/>
    <s v="tier - 1"/>
    <s v="R1024"/>
    <n v="23"/>
  </r>
  <r>
    <s v="Id2253"/>
    <s v="Wieck, Ms.  Sonja"/>
    <n v="19.43"/>
    <n v="5.85"/>
    <s v="No"/>
    <s v="yes"/>
    <x v="0"/>
    <n v="1"/>
    <x v="1"/>
    <x v="2"/>
    <s v="Prediabetes"/>
    <n v="1992"/>
    <s v="Aug"/>
    <n v="4"/>
    <n v="3"/>
    <d v="1992-08-04T00:00:00"/>
    <n v="40932.43"/>
    <s v="tier - 1"/>
    <s v="tier - 2"/>
    <s v="R1013"/>
    <n v="30"/>
  </r>
  <r>
    <s v="Id2254"/>
    <s v="Friel, Ms.  Alexandra"/>
    <n v="15.22"/>
    <n v="4.92"/>
    <s v="yes"/>
    <s v="No"/>
    <x v="1"/>
    <n v="1"/>
    <x v="1"/>
    <x v="3"/>
    <s v="Normal"/>
    <n v="1979"/>
    <s v="Sep"/>
    <n v="16"/>
    <n v="3"/>
    <d v="1979-09-16T00:00:00"/>
    <n v="40941.29"/>
    <s v="tier - 1"/>
    <s v="tier - 2"/>
    <s v="R1013"/>
    <n v="43"/>
  </r>
  <r>
    <s v="Id2255"/>
    <s v="Santandreu, Ms.  Martha L."/>
    <n v="20.72"/>
    <n v="9.4600000000000009"/>
    <s v="No"/>
    <s v="No"/>
    <x v="0"/>
    <n v="0"/>
    <x v="1"/>
    <x v="2"/>
    <s v="Diabetes"/>
    <n v="1983"/>
    <s v="Sep"/>
    <n v="8"/>
    <n v="3"/>
    <d v="1983-09-08T00:00:00"/>
    <n v="40961.29"/>
    <s v="tier - 1"/>
    <s v="tier - 2"/>
    <s v="R1011"/>
    <n v="39"/>
  </r>
  <r>
    <s v="Id2256"/>
    <s v="Johnson, Mr.  Ryan C."/>
    <n v="35.4"/>
    <n v="5.94"/>
    <s v="No"/>
    <s v="No"/>
    <x v="1"/>
    <n v="1"/>
    <x v="1"/>
    <x v="0"/>
    <s v="Prediabetes"/>
    <n v="1974"/>
    <s v="Jun"/>
    <n v="5"/>
    <n v="0"/>
    <d v="1974-06-05T00:00:00"/>
    <n v="40974.160000000003"/>
    <s v="tier - 1"/>
    <s v="tier - 2"/>
    <s v="R1013"/>
    <n v="49"/>
  </r>
  <r>
    <s v="Id2257"/>
    <s v="Gerber, Mr.  Cliff"/>
    <n v="34.4"/>
    <n v="5.7"/>
    <s v="No"/>
    <s v="No"/>
    <x v="1"/>
    <n v="1"/>
    <x v="1"/>
    <x v="0"/>
    <s v="Prediabetes"/>
    <n v="1979"/>
    <s v="Oct"/>
    <n v="11"/>
    <n v="1"/>
    <d v="1979-10-11T00:00:00"/>
    <n v="41034.22"/>
    <s v="tier - 1"/>
    <s v="tier - 3"/>
    <s v="R1017"/>
    <n v="43"/>
  </r>
  <r>
    <s v="Id2258"/>
    <s v="Benadum, Mr.  Blue"/>
    <n v="34.1"/>
    <n v="4.13"/>
    <s v="No"/>
    <s v="No"/>
    <x v="1"/>
    <n v="1"/>
    <x v="1"/>
    <x v="0"/>
    <s v="Normal"/>
    <n v="1972"/>
    <s v="Aug"/>
    <n v="12"/>
    <n v="0"/>
    <d v="1972-08-12T00:00:00"/>
    <n v="41055.29"/>
    <s v="tier - 1"/>
    <s v="tier - 2"/>
    <s v="R1011"/>
    <n v="50"/>
  </r>
  <r>
    <s v="Id2259"/>
    <s v="Ragazzini, Mr.  Jeffrey M"/>
    <n v="30.4"/>
    <n v="4.7699999999999996"/>
    <s v="No"/>
    <s v="No"/>
    <x v="1"/>
    <n v="1"/>
    <x v="1"/>
    <x v="0"/>
    <s v="Normal"/>
    <n v="1972"/>
    <s v="Sep"/>
    <n v="6"/>
    <n v="0"/>
    <d v="1972-09-06T00:00:00"/>
    <n v="41097.160000000003"/>
    <s v="tier - 1"/>
    <s v="tier - 3"/>
    <s v="R1016"/>
    <n v="50"/>
  </r>
  <r>
    <s v="Id2260"/>
    <s v="Kessinger, Mr.  Andrew"/>
    <n v="28.7"/>
    <n v="4.99"/>
    <s v="No"/>
    <s v="No"/>
    <x v="1"/>
    <n v="1"/>
    <x v="1"/>
    <x v="1"/>
    <s v="Normal"/>
    <n v="1969"/>
    <s v="Aug"/>
    <n v="8"/>
    <n v="0"/>
    <d v="1969-08-08T00:00:00"/>
    <n v="41191.57"/>
    <s v="tier - 1"/>
    <s v="tier - 2"/>
    <s v="R1011"/>
    <n v="53"/>
  </r>
  <r>
    <s v="Id2261"/>
    <s v="Bezgin, Ms.  Julia"/>
    <n v="17.440000000000001"/>
    <n v="4.42"/>
    <s v="yes"/>
    <s v="No"/>
    <x v="1"/>
    <n v="1"/>
    <x v="1"/>
    <x v="3"/>
    <s v="Normal"/>
    <n v="1964"/>
    <s v="Jun"/>
    <n v="6"/>
    <n v="0"/>
    <d v="1964-06-06T00:00:00"/>
    <n v="41250.39"/>
    <s v="tier - 1"/>
    <s v="tier - 3"/>
    <s v="R1011"/>
    <n v="59"/>
  </r>
  <r>
    <s v="Id2262"/>
    <s v="Woldesilassie, Mr.  Daniel"/>
    <n v="27.6"/>
    <n v="4.01"/>
    <s v="No"/>
    <s v="No"/>
    <x v="1"/>
    <n v="1"/>
    <x v="1"/>
    <x v="1"/>
    <s v="Normal"/>
    <n v="1977"/>
    <s v="Aug"/>
    <n v="27"/>
    <n v="2"/>
    <d v="1977-08-27T00:00:00"/>
    <n v="41271.5"/>
    <s v="tier - 1"/>
    <s v="tier - 2"/>
    <s v="R1011"/>
    <n v="45"/>
  </r>
  <r>
    <s v="Id2263"/>
    <s v="Ruiz Herrero, Mr.  Jaime"/>
    <n v="20.7"/>
    <n v="4.49"/>
    <s v="No"/>
    <s v="No"/>
    <x v="1"/>
    <n v="1"/>
    <x v="1"/>
    <x v="2"/>
    <s v="Normal"/>
    <n v="1964"/>
    <s v="Oct"/>
    <n v="7"/>
    <n v="0"/>
    <d v="1964-10-07T00:00:00"/>
    <n v="41331.79"/>
    <s v="tier - 1"/>
    <s v="tier - 2"/>
    <s v="R1011"/>
    <n v="58"/>
  </r>
  <r>
    <s v="Id2264"/>
    <s v="Bin Alias, Mr.  Mohd Syahidan"/>
    <n v="20.3"/>
    <n v="6.37"/>
    <s v="No"/>
    <s v="No"/>
    <x v="1"/>
    <n v="1"/>
    <x v="1"/>
    <x v="2"/>
    <s v="Prediabetes"/>
    <n v="1971"/>
    <s v="Oct"/>
    <n v="16"/>
    <n v="0"/>
    <d v="1971-10-16T00:00:00"/>
    <n v="41351.879999999997"/>
    <s v="tier - 1"/>
    <s v="tier - 2"/>
    <s v="R1011"/>
    <n v="51"/>
  </r>
  <r>
    <s v="Id2265"/>
    <s v="Fischer-Daly, Mr.  Matthew"/>
    <n v="19.8"/>
    <n v="5.12"/>
    <s v="No"/>
    <s v="No"/>
    <x v="1"/>
    <n v="1"/>
    <x v="1"/>
    <x v="2"/>
    <s v="Normal"/>
    <n v="1967"/>
    <s v="Dec"/>
    <n v="22"/>
    <n v="0"/>
    <d v="1967-12-22T00:00:00"/>
    <n v="41505.15"/>
    <s v="tier - 1"/>
    <s v="tier - 2"/>
    <s v="R1011"/>
    <n v="55"/>
  </r>
  <r>
    <s v="Id2266"/>
    <s v="Pulliam, Ms.  Elizabeth S."/>
    <n v="21.87"/>
    <n v="8.59"/>
    <s v="No"/>
    <s v="No"/>
    <x v="0"/>
    <n v="0"/>
    <x v="1"/>
    <x v="2"/>
    <s v="Diabetes"/>
    <n v="1974"/>
    <s v="Nov"/>
    <n v="24"/>
    <n v="0"/>
    <d v="1974-11-24T00:00:00"/>
    <n v="41636.199999999997"/>
    <s v="tier - 1"/>
    <s v="tier - 1"/>
    <s v="R1011"/>
    <n v="48"/>
  </r>
  <r>
    <s v="Id2267"/>
    <s v="Guisinger, Ms.  Katie"/>
    <n v="16.600000000000001"/>
    <n v="5.87"/>
    <s v="No"/>
    <s v="No"/>
    <x v="0"/>
    <n v="1"/>
    <x v="1"/>
    <x v="3"/>
    <s v="Prediabetes"/>
    <n v="1976"/>
    <s v="Oct"/>
    <n v="29"/>
    <n v="1"/>
    <d v="1976-10-29T00:00:00"/>
    <n v="41661.599999999999"/>
    <s v="tier - 1"/>
    <s v="tier - 3"/>
    <s v="R1011"/>
    <n v="46"/>
  </r>
  <r>
    <s v="Id2268"/>
    <s v="Arnerich, Ms.  Christi A."/>
    <n v="21.98"/>
    <n v="7.03"/>
    <s v="No"/>
    <s v="No"/>
    <x v="0"/>
    <n v="0"/>
    <x v="1"/>
    <x v="2"/>
    <s v="Diabetes"/>
    <n v="1975"/>
    <s v="Nov"/>
    <n v="14"/>
    <n v="0"/>
    <d v="1975-11-14T00:00:00"/>
    <n v="41676.080000000002"/>
    <s v="tier - 1"/>
    <s v="tier - 2"/>
    <s v="R1013"/>
    <n v="47"/>
  </r>
  <r>
    <s v="Id2269"/>
    <s v="Lynch, Ms.  Sandra K."/>
    <n v="19.7"/>
    <n v="5.51"/>
    <s v="No"/>
    <s v="No"/>
    <x v="0"/>
    <n v="1"/>
    <x v="1"/>
    <x v="2"/>
    <s v="Normal"/>
    <n v="1975"/>
    <s v="Sep"/>
    <n v="29"/>
    <n v="1"/>
    <d v="1975-09-29T00:00:00"/>
    <n v="41681.86"/>
    <s v="tier - 1"/>
    <s v="tier - 1"/>
    <s v="R1011"/>
    <n v="47"/>
  </r>
  <r>
    <s v="Id2270"/>
    <s v="Reilly, Ms.  Katharine"/>
    <n v="19.21"/>
    <n v="4.76"/>
    <s v="No"/>
    <s v="yes"/>
    <x v="0"/>
    <n v="1"/>
    <x v="1"/>
    <x v="2"/>
    <s v="Normal"/>
    <n v="1962"/>
    <s v="Sep"/>
    <n v="22"/>
    <n v="0"/>
    <d v="1962-09-22T00:00:00"/>
    <n v="41794.629999999997"/>
    <s v="tier - 1"/>
    <s v="tier - 3"/>
    <s v="R1011"/>
    <n v="60"/>
  </r>
  <r>
    <s v="Id2271"/>
    <s v="Nolette, Mr.  Jerome"/>
    <n v="19.3"/>
    <n v="4.7"/>
    <s v="No"/>
    <s v="yes"/>
    <x v="0"/>
    <n v="1"/>
    <x v="1"/>
    <x v="2"/>
    <s v="Normal"/>
    <n v="1966"/>
    <s v="Sep"/>
    <n v="21"/>
    <n v="0"/>
    <d v="1966-09-21T00:00:00"/>
    <n v="41886.54"/>
    <s v="tier - 1"/>
    <s v="tier - 3"/>
    <s v="R1011"/>
    <n v="56"/>
  </r>
  <r>
    <s v="Id2272"/>
    <s v="Chabrier, Ms.  Julia R"/>
    <n v="16.22"/>
    <n v="6.21"/>
    <s v="yes"/>
    <s v="No"/>
    <x v="0"/>
    <n v="0"/>
    <x v="1"/>
    <x v="3"/>
    <s v="Prediabetes"/>
    <n v="1972"/>
    <s v="Jun"/>
    <n v="8"/>
    <n v="1"/>
    <d v="1972-06-08T00:00:00"/>
    <n v="41919.1"/>
    <s v="tier - 1"/>
    <s v="tier - 1"/>
    <s v="R1016"/>
    <n v="51"/>
  </r>
  <r>
    <s v="Id2273"/>
    <s v="Lee, Mr.  Sean Henry"/>
    <n v="17.12"/>
    <n v="4.5199999999999996"/>
    <s v="No"/>
    <s v="yes"/>
    <x v="0"/>
    <n v="1"/>
    <x v="1"/>
    <x v="3"/>
    <s v="Normal"/>
    <n v="1984"/>
    <s v="Nov"/>
    <n v="10"/>
    <n v="3"/>
    <d v="1984-11-10T00:00:00"/>
    <n v="41949.24"/>
    <s v="tier - 1"/>
    <s v="tier - 1"/>
    <s v="R1013"/>
    <n v="38"/>
  </r>
  <r>
    <s v="Id2274"/>
    <s v="Knotts, Ms.  Rachel A."/>
    <n v="19.07"/>
    <n v="5.45"/>
    <s v="No"/>
    <s v="No"/>
    <x v="0"/>
    <n v="1"/>
    <x v="1"/>
    <x v="2"/>
    <s v="Normal"/>
    <n v="1968"/>
    <s v="Dec"/>
    <n v="19"/>
    <n v="1"/>
    <d v="1968-12-19T00:00:00"/>
    <n v="41999.519999999997"/>
    <s v="tier - 1"/>
    <s v="tier - 3"/>
    <s v="R1013"/>
    <n v="54"/>
  </r>
  <r>
    <s v="Id2275"/>
    <s v="Pultorak, Mr.  Jim"/>
    <n v="15.56"/>
    <n v="4.42"/>
    <s v="No"/>
    <s v="No"/>
    <x v="0"/>
    <n v="0"/>
    <x v="1"/>
    <x v="3"/>
    <s v="Normal"/>
    <n v="1976"/>
    <s v="Nov"/>
    <n v="28"/>
    <n v="0"/>
    <d v="1976-11-28T00:00:00"/>
    <n v="42111.66"/>
    <s v="tier - 1"/>
    <s v="tier - 1"/>
    <s v="R1024"/>
    <n v="46"/>
  </r>
  <r>
    <s v="Id2276"/>
    <s v="Maxon, Mr.  Tim"/>
    <n v="22.76"/>
    <n v="9.44"/>
    <s v="No"/>
    <s v="No"/>
    <x v="0"/>
    <n v="0"/>
    <x v="1"/>
    <x v="2"/>
    <s v="Diabetes"/>
    <n v="1997"/>
    <s v="Dec"/>
    <n v="9"/>
    <n v="2"/>
    <d v="1997-12-09T00:00:00"/>
    <n v="42112.24"/>
    <s v="tier - 1"/>
    <s v="tier - 3"/>
    <s v="R1013"/>
    <n v="25"/>
  </r>
  <r>
    <s v="Id2277"/>
    <s v="Kraai, Ms.  Abby L."/>
    <n v="22.79"/>
    <n v="6.15"/>
    <s v="yes"/>
    <s v="No"/>
    <x v="1"/>
    <n v="1"/>
    <x v="1"/>
    <x v="2"/>
    <s v="Prediabetes"/>
    <n v="1979"/>
    <s v="Jul"/>
    <n v="3"/>
    <n v="3"/>
    <d v="1979-07-03T00:00:00"/>
    <n v="42124.52"/>
    <s v="tier - 1"/>
    <s v="tier - 1"/>
    <s v="R1013"/>
    <n v="43"/>
  </r>
  <r>
    <s v="Id2278"/>
    <s v="Larosa, Mr.  Mark"/>
    <n v="17.41"/>
    <n v="5.13"/>
    <s v="yes"/>
    <s v="No"/>
    <x v="0"/>
    <n v="0"/>
    <x v="1"/>
    <x v="3"/>
    <s v="Normal"/>
    <n v="1973"/>
    <s v="Sep"/>
    <n v="18"/>
    <n v="0"/>
    <d v="1973-09-18T00:00:00"/>
    <n v="42188.15"/>
    <s v="tier - 1"/>
    <s v="tier - 1"/>
    <s v="R1011"/>
    <n v="49"/>
  </r>
  <r>
    <s v="Id2279"/>
    <s v="King, Mr.  Ali"/>
    <n v="19.32"/>
    <n v="4.96"/>
    <s v="yes"/>
    <s v="No"/>
    <x v="0"/>
    <n v="0"/>
    <x v="1"/>
    <x v="2"/>
    <s v="Normal"/>
    <n v="1975"/>
    <s v="Aug"/>
    <n v="15"/>
    <n v="1"/>
    <d v="1975-08-15T00:00:00"/>
    <n v="42211.14"/>
    <s v="tier - 1"/>
    <s v="tier - 3"/>
    <s v="R1013"/>
    <n v="47"/>
  </r>
  <r>
    <s v="Id2280"/>
    <s v="Haney, Mr.  Joshua"/>
    <n v="18.25"/>
    <n v="10.95"/>
    <s v="No"/>
    <s v="No"/>
    <x v="0"/>
    <n v="0"/>
    <x v="1"/>
    <x v="3"/>
    <s v="Diabetes"/>
    <n v="1967"/>
    <s v="Jun"/>
    <n v="28"/>
    <n v="0"/>
    <d v="1967-06-28T00:00:00"/>
    <n v="42303.69"/>
    <s v="tier - 1"/>
    <s v="tier - 2"/>
    <s v="R1016"/>
    <n v="55"/>
  </r>
  <r>
    <s v="Id2281"/>
    <s v="Boulay, Mr.  Pierre"/>
    <n v="53.13"/>
    <n v="4.4400000000000004"/>
    <s v="No"/>
    <s v="yes"/>
    <x v="0"/>
    <n v="1"/>
    <x v="1"/>
    <x v="0"/>
    <s v="Normal"/>
    <n v="1968"/>
    <s v="Aug"/>
    <n v="3"/>
    <n v="0"/>
    <d v="1968-08-03T00:00:00"/>
    <n v="42478.6"/>
    <s v="tier - 1"/>
    <s v="tier - 2"/>
    <s v="R1011"/>
    <n v="54"/>
  </r>
  <r>
    <s v="Id2282"/>
    <s v="Peters, Ms.  Kate"/>
    <n v="20.46"/>
    <n v="4.0199999999999996"/>
    <s v="No"/>
    <s v="No"/>
    <x v="0"/>
    <n v="0"/>
    <x v="1"/>
    <x v="2"/>
    <s v="Normal"/>
    <n v="1967"/>
    <s v="Jun"/>
    <n v="27"/>
    <n v="0"/>
    <d v="1967-06-27T00:00:00"/>
    <n v="42538.720000000001"/>
    <s v="tier - 1"/>
    <s v="tier - 3"/>
    <s v="R1011"/>
    <n v="55"/>
  </r>
  <r>
    <s v="Id2283"/>
    <s v="Luy, Mr.  David"/>
    <n v="43.01"/>
    <n v="5.44"/>
    <s v="No"/>
    <s v="yes"/>
    <x v="0"/>
    <n v="1"/>
    <x v="1"/>
    <x v="0"/>
    <s v="Normal"/>
    <n v="1979"/>
    <s v="Dec"/>
    <n v="27"/>
    <n v="2"/>
    <d v="1979-12-27T00:00:00"/>
    <n v="42560.43"/>
    <s v="tier - 1"/>
    <s v="tier - 3"/>
    <s v="R1013"/>
    <n v="43"/>
  </r>
  <r>
    <s v="Id2284"/>
    <s v="Fava, Ms.  Carla"/>
    <n v="15.01"/>
    <n v="4.1500000000000004"/>
    <s v="No"/>
    <s v="No"/>
    <x v="1"/>
    <n v="1"/>
    <x v="1"/>
    <x v="3"/>
    <s v="Normal"/>
    <n v="1971"/>
    <s v="Nov"/>
    <n v="3"/>
    <n v="0"/>
    <d v="1971-11-03T00:00:00"/>
    <n v="42644.2"/>
    <s v="tier - 1"/>
    <s v="tier - 3"/>
    <s v="R1011"/>
    <n v="51"/>
  </r>
  <r>
    <s v="Id2285"/>
    <s v="Montoya, Mr.  Alvaro Sr."/>
    <n v="41.14"/>
    <n v="6.02"/>
    <s v="No"/>
    <s v="yes"/>
    <x v="0"/>
    <n v="1"/>
    <x v="1"/>
    <x v="0"/>
    <s v="Prediabetes"/>
    <n v="1977"/>
    <s v="Oct"/>
    <n v="21"/>
    <n v="2"/>
    <d v="1977-10-21T00:00:00"/>
    <n v="42760.5"/>
    <s v="tier - 1"/>
    <s v="tier - 2"/>
    <s v="R1012"/>
    <n v="45"/>
  </r>
  <r>
    <s v="Id2286"/>
    <s v="Bain, Ms.  Hope"/>
    <n v="16.55"/>
    <n v="7.73"/>
    <s v="No"/>
    <s v="No"/>
    <x v="0"/>
    <n v="0"/>
    <x v="1"/>
    <x v="3"/>
    <s v="Diabetes"/>
    <n v="1965"/>
    <s v="Oct"/>
    <n v="29"/>
    <n v="0"/>
    <d v="1965-10-29T00:00:00"/>
    <n v="42764.12"/>
    <s v="tier - 1"/>
    <s v="tier - 2"/>
    <s v="R1011"/>
    <n v="57"/>
  </r>
  <r>
    <s v="Id2287"/>
    <s v="Albertson, Mr.  Mark P."/>
    <n v="37.29"/>
    <n v="5.03"/>
    <s v="No"/>
    <s v="yes"/>
    <x v="0"/>
    <n v="1"/>
    <x v="1"/>
    <x v="0"/>
    <s v="Normal"/>
    <n v="1972"/>
    <s v="Sep"/>
    <n v="10"/>
    <n v="2"/>
    <d v="1972-09-10T00:00:00"/>
    <n v="42856.84"/>
    <s v="tier - 1"/>
    <s v="tier - 1"/>
    <s v="R1011"/>
    <n v="50"/>
  </r>
  <r>
    <s v="Id2288"/>
    <s v="Barger, Ms.  Desiree"/>
    <n v="16.739999999999998"/>
    <n v="4.08"/>
    <s v="yes"/>
    <s v="No"/>
    <x v="0"/>
    <n v="0"/>
    <x v="1"/>
    <x v="3"/>
    <s v="Normal"/>
    <n v="1975"/>
    <s v="Oct"/>
    <n v="23"/>
    <n v="1"/>
    <d v="1975-10-23T00:00:00"/>
    <n v="42969.85"/>
    <s v="tier - 1"/>
    <s v="tier - 3"/>
    <s v="R1013"/>
    <n v="47"/>
  </r>
  <r>
    <s v="Id2289"/>
    <s v="Fraioli, Mr.  Mario Jr."/>
    <n v="34.43"/>
    <n v="4.2699999999999996"/>
    <s v="No"/>
    <s v="yes"/>
    <x v="0"/>
    <n v="1"/>
    <x v="1"/>
    <x v="0"/>
    <s v="Normal"/>
    <n v="1978"/>
    <s v="Nov"/>
    <n v="4"/>
    <n v="0"/>
    <d v="1978-11-04T00:00:00"/>
    <n v="42983.46"/>
    <s v="tier - 1"/>
    <s v="tier - 2"/>
    <s v="R1012"/>
    <n v="44"/>
  </r>
  <r>
    <s v="Id2290"/>
    <s v="April, Mr.  Lusapho"/>
    <n v="34.1"/>
    <n v="4.07"/>
    <s v="No"/>
    <s v="yes"/>
    <x v="0"/>
    <n v="1"/>
    <x v="1"/>
    <x v="0"/>
    <s v="Normal"/>
    <n v="1965"/>
    <s v="Nov"/>
    <n v="29"/>
    <n v="0"/>
    <d v="1965-11-29T00:00:00"/>
    <n v="43073.760000000002"/>
    <s v="tier - 2"/>
    <s v="tier - 2"/>
    <s v="R1011"/>
    <n v="57"/>
  </r>
  <r>
    <s v="Id2291"/>
    <s v="King, Ms.  Erin C."/>
    <n v="19.3"/>
    <n v="10.36"/>
    <s v="No"/>
    <s v="No"/>
    <x v="0"/>
    <n v="0"/>
    <x v="1"/>
    <x v="2"/>
    <s v="Diabetes"/>
    <n v="1969"/>
    <s v="Dec"/>
    <n v="3"/>
    <n v="0"/>
    <d v="1969-12-03T00:00:00"/>
    <n v="43254.42"/>
    <s v="tier - 2"/>
    <s v="tier - 2"/>
    <s v="R1016"/>
    <n v="53"/>
  </r>
  <r>
    <s v="Id2292"/>
    <s v="Talhelm, Mr.  Alan F"/>
    <n v="33.659999999999997"/>
    <n v="5.71"/>
    <s v="No"/>
    <s v="yes"/>
    <x v="0"/>
    <n v="1"/>
    <x v="1"/>
    <x v="0"/>
    <s v="Prediabetes"/>
    <n v="1965"/>
    <s v="Aug"/>
    <n v="22"/>
    <n v="0"/>
    <d v="1965-08-22T00:00:00"/>
    <n v="43578.94"/>
    <s v="tier - 2"/>
    <s v="tier - 2"/>
    <s v="R1012"/>
    <n v="57"/>
  </r>
  <r>
    <s v="Id2293"/>
    <s v="Regnier, Mr.  Ryan"/>
    <n v="33.33"/>
    <n v="6.08"/>
    <s v="No"/>
    <s v="yes"/>
    <x v="0"/>
    <n v="1"/>
    <x v="1"/>
    <x v="0"/>
    <s v="Prediabetes"/>
    <n v="1986"/>
    <s v="Dec"/>
    <n v="29"/>
    <n v="3"/>
    <d v="1986-12-29T00:00:00"/>
    <n v="43753.34"/>
    <s v="tier - 2"/>
    <s v="tier - 1"/>
    <s v="R1015"/>
    <n v="36"/>
  </r>
  <r>
    <s v="Id2294"/>
    <s v="Treece, Ms.  Hope"/>
    <n v="21.84"/>
    <n v="5.71"/>
    <s v="No"/>
    <s v="yes"/>
    <x v="0"/>
    <n v="1"/>
    <x v="1"/>
    <x v="2"/>
    <s v="Prediabetes"/>
    <n v="1966"/>
    <s v="Oct"/>
    <n v="25"/>
    <n v="2"/>
    <d v="1966-10-25T00:00:00"/>
    <n v="43813.87"/>
    <s v="tier - 2"/>
    <s v="tier - 2"/>
    <s v="R1013"/>
    <n v="56"/>
  </r>
  <r>
    <s v="Id2295"/>
    <s v="Beisel, Mr.  Josh"/>
    <n v="16.87"/>
    <n v="9.1300000000000008"/>
    <s v="No"/>
    <s v="No"/>
    <x v="0"/>
    <n v="0"/>
    <x v="1"/>
    <x v="3"/>
    <s v="Diabetes"/>
    <n v="1966"/>
    <s v="Jul"/>
    <n v="2"/>
    <n v="0"/>
    <d v="1966-07-02T00:00:00"/>
    <n v="43817.45"/>
    <s v="tier - 2"/>
    <s v="tier - 3"/>
    <s v="R1012"/>
    <n v="56"/>
  </r>
  <r>
    <s v="Id2296"/>
    <s v="Enke, Mr.  Jacob J"/>
    <n v="30.14"/>
    <n v="5.49"/>
    <s v="No"/>
    <s v="yes"/>
    <x v="0"/>
    <n v="1"/>
    <x v="1"/>
    <x v="0"/>
    <s v="Normal"/>
    <n v="1980"/>
    <s v="Nov"/>
    <n v="10"/>
    <n v="2"/>
    <d v="1980-11-10T00:00:00"/>
    <n v="43896.38"/>
    <s v="tier - 2"/>
    <s v="tier - 1"/>
    <s v="R1013"/>
    <n v="42"/>
  </r>
  <r>
    <s v="Id2297"/>
    <s v="Ruiz-Tagle Barros, Mr.  Jose Tomas"/>
    <n v="23.21"/>
    <n v="4.37"/>
    <s v="No"/>
    <s v="yes"/>
    <x v="0"/>
    <n v="1"/>
    <x v="1"/>
    <x v="2"/>
    <s v="Normal"/>
    <n v="1966"/>
    <s v="Oct"/>
    <n v="5"/>
    <n v="0"/>
    <d v="1966-10-05T00:00:00"/>
    <n v="43921.18"/>
    <s v="tier - 2"/>
    <s v="tier - 2"/>
    <s v="R1012"/>
    <n v="56"/>
  </r>
  <r>
    <s v="Id2298"/>
    <s v="Ferrell, Ms.  Mary Evan"/>
    <n v="17.170000000000002"/>
    <n v="8.4600000000000009"/>
    <s v="No"/>
    <s v="No"/>
    <x v="0"/>
    <n v="0"/>
    <x v="1"/>
    <x v="3"/>
    <s v="Diabetes"/>
    <n v="1988"/>
    <s v="Jul"/>
    <n v="16"/>
    <n v="1"/>
    <d v="1988-07-16T00:00:00"/>
    <n v="43943.88"/>
    <s v="tier - 2"/>
    <s v="tier - 1"/>
    <s v="R1012"/>
    <n v="34"/>
  </r>
  <r>
    <s v="Id2299"/>
    <s v="Gates, Mr.  Justin K."/>
    <n v="15.61"/>
    <n v="5.28"/>
    <s v="No"/>
    <s v="No"/>
    <x v="0"/>
    <n v="1"/>
    <x v="1"/>
    <x v="3"/>
    <s v="Normal"/>
    <n v="1975"/>
    <s v="Jun"/>
    <n v="1"/>
    <n v="2"/>
    <d v="1975-06-01T00:00:00"/>
    <n v="44202.65"/>
    <s v="tier - 2"/>
    <s v="tier - 2"/>
    <s v="R1013"/>
    <n v="48"/>
  </r>
  <r>
    <s v="Id2300"/>
    <s v="Jeffers, Mr.  Patrick"/>
    <n v="17.98"/>
    <n v="5.33"/>
    <s v="yes"/>
    <s v="No"/>
    <x v="1"/>
    <n v="1"/>
    <x v="1"/>
    <x v="3"/>
    <s v="Normal"/>
    <n v="1968"/>
    <s v="Nov"/>
    <n v="24"/>
    <n v="2"/>
    <d v="1968-11-24T00:00:00"/>
    <n v="44260.75"/>
    <s v="tier - 2"/>
    <s v="tier - 1"/>
    <s v="R1013"/>
    <n v="54"/>
  </r>
  <r>
    <s v="Id2301"/>
    <s v="Sulhanek, Mr.  Roman"/>
    <n v="21.64"/>
    <n v="5.5"/>
    <s v="No"/>
    <s v="yes"/>
    <x v="0"/>
    <n v="1"/>
    <x v="1"/>
    <x v="2"/>
    <s v="Normal"/>
    <n v="1971"/>
    <s v="Oct"/>
    <n v="29"/>
    <n v="0"/>
    <d v="1971-10-29T00:00:00"/>
    <n v="44400.41"/>
    <s v="tier - 2"/>
    <s v="tier - 2"/>
    <s v="R1013"/>
    <n v="51"/>
  </r>
  <r>
    <s v="Id2302"/>
    <s v="Ozahowski, Mr.  David"/>
    <n v="16.399999999999999"/>
    <n v="5.4"/>
    <s v="No"/>
    <s v="No"/>
    <x v="1"/>
    <n v="1"/>
    <x v="1"/>
    <x v="3"/>
    <s v="Normal"/>
    <n v="1967"/>
    <s v="Sep"/>
    <n v="14"/>
    <n v="0"/>
    <d v="1967-09-14T00:00:00"/>
    <n v="44423.8"/>
    <s v="tier - 2"/>
    <s v="tier - 3"/>
    <s v="R1013"/>
    <n v="55"/>
  </r>
  <r>
    <s v="Id2303"/>
    <s v="Caron, Ms.  Evelyn L"/>
    <n v="15.77"/>
    <n v="6.05"/>
    <s v="yes"/>
    <s v="No"/>
    <x v="0"/>
    <n v="1"/>
    <x v="1"/>
    <x v="3"/>
    <s v="Prediabetes"/>
    <n v="2000"/>
    <s v="Aug"/>
    <n v="2"/>
    <n v="1"/>
    <d v="2000-08-02T00:00:00"/>
    <n v="44501.4"/>
    <s v="tier - 2"/>
    <s v="tier - 3"/>
    <s v="R1013"/>
    <n v="22"/>
  </r>
  <r>
    <s v="Id2304"/>
    <s v="Fullarton, Mr.  Jim"/>
    <n v="18.27"/>
    <n v="11.46"/>
    <s v="No"/>
    <s v="No"/>
    <x v="0"/>
    <n v="0"/>
    <x v="1"/>
    <x v="3"/>
    <s v="Diabetes"/>
    <n v="1993"/>
    <s v="Oct"/>
    <n v="11"/>
    <n v="2"/>
    <d v="1993-10-11T00:00:00"/>
    <n v="44585.46"/>
    <s v="tier - 2"/>
    <s v="tier - 2"/>
    <s v="R1011"/>
    <n v="29"/>
  </r>
  <r>
    <s v="Id2305"/>
    <s v="Lindgren, Mr.  Matthew S"/>
    <n v="16.489999999999998"/>
    <n v="8.48"/>
    <s v="No"/>
    <s v="No"/>
    <x v="0"/>
    <n v="0"/>
    <x v="1"/>
    <x v="3"/>
    <s v="Diabetes"/>
    <n v="1971"/>
    <s v="Aug"/>
    <n v="13"/>
    <n v="2"/>
    <d v="1971-08-13T00:00:00"/>
    <n v="44641.2"/>
    <s v="tier - 2"/>
    <s v="tier - 3"/>
    <s v="R1024"/>
    <n v="51"/>
  </r>
  <r>
    <s v="Id2306"/>
    <s v="Akiha, Mr.  Kenneth"/>
    <n v="16.14"/>
    <n v="4.8600000000000003"/>
    <s v="No"/>
    <s v="No"/>
    <x v="0"/>
    <n v="0"/>
    <x v="1"/>
    <x v="3"/>
    <s v="Normal"/>
    <n v="1962"/>
    <s v="Dec"/>
    <n v="17"/>
    <n v="0"/>
    <d v="1962-12-17T00:00:00"/>
    <n v="45008.959999999999"/>
    <s v="tier - 2"/>
    <s v="tier - 2"/>
    <s v="R1013"/>
    <n v="60"/>
  </r>
  <r>
    <s v="Id2307"/>
    <s v="Sweny, Ms.  Andrea"/>
    <n v="20.85"/>
    <n v="4.45"/>
    <s v="yes"/>
    <s v="No"/>
    <x v="0"/>
    <n v="1"/>
    <x v="1"/>
    <x v="2"/>
    <s v="Normal"/>
    <n v="1974"/>
    <s v="Aug"/>
    <n v="9"/>
    <n v="2"/>
    <d v="1974-08-09T00:00:00"/>
    <n v="45702.02"/>
    <s v="tier - 2"/>
    <s v="tier - 2"/>
    <s v="R1012"/>
    <n v="48"/>
  </r>
  <r>
    <s v="Id2308"/>
    <s v="Tobin, Ms.  Kristina"/>
    <n v="15.88"/>
    <n v="4.3600000000000003"/>
    <s v="No"/>
    <s v="No"/>
    <x v="0"/>
    <n v="0"/>
    <x v="1"/>
    <x v="3"/>
    <s v="Normal"/>
    <n v="1960"/>
    <s v="Dec"/>
    <n v="21"/>
    <n v="0"/>
    <d v="1960-12-21T00:00:00"/>
    <n v="45710.21"/>
    <s v="tier - 2"/>
    <s v="tier - 2"/>
    <s v="R1016"/>
    <n v="62"/>
  </r>
  <r>
    <s v="Id2309"/>
    <s v="Pedersen, Ms.  Kristen"/>
    <n v="20.66"/>
    <n v="5.8"/>
    <s v="No"/>
    <s v="yes"/>
    <x v="0"/>
    <n v="1"/>
    <x v="1"/>
    <x v="2"/>
    <s v="Prediabetes"/>
    <n v="1979"/>
    <s v="Aug"/>
    <n v="12"/>
    <n v="0"/>
    <d v="1979-08-12T00:00:00"/>
    <n v="45863.21"/>
    <s v="tier - 2"/>
    <s v="tier - 1"/>
    <s v="R1013"/>
    <n v="43"/>
  </r>
  <r>
    <s v="Id2310"/>
    <s v="Lynch, Mr.  Matthew"/>
    <n v="20.399999999999999"/>
    <n v="5.27"/>
    <s v="No"/>
    <s v="No"/>
    <x v="0"/>
    <n v="0"/>
    <x v="1"/>
    <x v="2"/>
    <s v="Normal"/>
    <n v="1985"/>
    <s v="Sep"/>
    <n v="30"/>
    <n v="2"/>
    <d v="1985-09-30T00:00:00"/>
    <n v="46113.51"/>
    <s v="tier - 2"/>
    <s v="tier - 3"/>
    <s v="R1011"/>
    <n v="37"/>
  </r>
  <r>
    <s v="Id2311"/>
    <s v="Keys, Mrs.  Kathleen"/>
    <n v="25.19"/>
    <n v="5.64"/>
    <s v="yes"/>
    <s v="No"/>
    <x v="0"/>
    <n v="0"/>
    <x v="1"/>
    <x v="1"/>
    <s v="Normal"/>
    <n v="1962"/>
    <s v="Dec"/>
    <n v="4"/>
    <n v="3"/>
    <d v="1962-12-04T00:00:00"/>
    <n v="46130.53"/>
    <s v="tier - 1"/>
    <s v="tier - 1"/>
    <s v="R1012"/>
    <n v="60"/>
  </r>
  <r>
    <s v="Id2312"/>
    <s v="Wilbur, Ms.  Lindsey"/>
    <n v="20.54"/>
    <n v="4.2"/>
    <s v="yes"/>
    <s v="No"/>
    <x v="0"/>
    <n v="1"/>
    <x v="1"/>
    <x v="2"/>
    <s v="Normal"/>
    <n v="1976"/>
    <s v="Dec"/>
    <n v="2"/>
    <n v="3"/>
    <d v="1976-12-02T00:00:00"/>
    <n v="46151.12"/>
    <s v="tier - 1"/>
    <s v="tier - 3"/>
    <s v="R1013"/>
    <n v="46"/>
  </r>
  <r>
    <s v="Id2313"/>
    <s v="Ditota, Mr.  Robert"/>
    <n v="20.13"/>
    <n v="5.42"/>
    <s v="No"/>
    <s v="No"/>
    <x v="0"/>
    <n v="0"/>
    <x v="1"/>
    <x v="2"/>
    <s v="Normal"/>
    <n v="1978"/>
    <s v="Aug"/>
    <n v="17"/>
    <n v="2"/>
    <d v="1978-08-17T00:00:00"/>
    <n v="46200.99"/>
    <s v="tier - 1"/>
    <s v="tier - 1"/>
    <s v="R1013"/>
    <n v="44"/>
  </r>
  <r>
    <s v="Id2314"/>
    <s v="Horbol, Ms.  Sarah E."/>
    <n v="18.93"/>
    <n v="6.11"/>
    <s v="No"/>
    <s v="No"/>
    <x v="1"/>
    <n v="1"/>
    <x v="1"/>
    <x v="2"/>
    <s v="Prediabetes"/>
    <n v="1971"/>
    <s v="Dec"/>
    <n v="6"/>
    <n v="3"/>
    <d v="1971-12-06T00:00:00"/>
    <n v="46255.11"/>
    <s v="tier - 1"/>
    <s v="tier - 3"/>
    <s v="R1024"/>
    <n v="51"/>
  </r>
  <r>
    <s v="Id2315"/>
    <s v="O'Rourke, Ms.  Flannery"/>
    <n v="24.14"/>
    <n v="5.29"/>
    <s v="No"/>
    <s v="yes"/>
    <x v="0"/>
    <n v="1"/>
    <x v="1"/>
    <x v="2"/>
    <s v="Normal"/>
    <n v="1961"/>
    <s v="Aug"/>
    <n v="8"/>
    <n v="0"/>
    <d v="1961-08-08T00:00:00"/>
    <n v="46599.11"/>
    <s v="tier - 1"/>
    <s v="tier - 1"/>
    <s v="R1013"/>
    <n v="61"/>
  </r>
  <r>
    <s v="Id2316"/>
    <s v="Williams, Mr.  John T"/>
    <n v="25.03"/>
    <n v="5.91"/>
    <s v="No"/>
    <s v="yes"/>
    <x v="0"/>
    <n v="1"/>
    <x v="1"/>
    <x v="1"/>
    <s v="Prediabetes"/>
    <n v="1969"/>
    <s v="Jun"/>
    <n v="23"/>
    <n v="3"/>
    <d v="1969-06-23T00:00:00"/>
    <n v="46661.440000000002"/>
    <s v="tier - 1"/>
    <s v="tier - 3"/>
    <s v="R1012"/>
    <n v="53"/>
  </r>
  <r>
    <s v="Id2317"/>
    <s v="Murakami, Mr.  Koji"/>
    <n v="20.47"/>
    <n v="5.81"/>
    <s v="yes"/>
    <s v="No"/>
    <x v="0"/>
    <n v="1"/>
    <x v="1"/>
    <x v="2"/>
    <s v="Prediabetes"/>
    <n v="1960"/>
    <s v="Nov"/>
    <n v="17"/>
    <n v="3"/>
    <d v="1960-11-17T00:00:00"/>
    <n v="46718.16"/>
    <s v="tier - 1"/>
    <s v="tier - 1"/>
    <s v="R1012"/>
    <n v="62"/>
  </r>
  <r>
    <s v="Id2318"/>
    <s v="Gagnon, Ms.  Candice M"/>
    <n v="18.82"/>
    <n v="5.51"/>
    <s v="yes"/>
    <s v="No"/>
    <x v="0"/>
    <n v="0"/>
    <x v="1"/>
    <x v="2"/>
    <s v="Normal"/>
    <n v="1958"/>
    <s v="Sep"/>
    <n v="15"/>
    <n v="0"/>
    <d v="1958-09-15T00:00:00"/>
    <n v="46889.26"/>
    <s v="tier - 2"/>
    <s v="tier - 3"/>
    <s v="R1013"/>
    <n v="64"/>
  </r>
  <r>
    <s v="Id2319"/>
    <s v="Petermann, Mr.  Theodore A."/>
    <n v="17.079999999999998"/>
    <n v="5.73"/>
    <s v="No"/>
    <s v="No"/>
    <x v="1"/>
    <n v="1"/>
    <x v="1"/>
    <x v="3"/>
    <s v="Prediabetes"/>
    <n v="1959"/>
    <s v="Jul"/>
    <n v="14"/>
    <n v="0"/>
    <d v="1959-07-14T00:00:00"/>
    <n v="47055.53"/>
    <s v="tier - 2"/>
    <s v="tier - 1"/>
    <s v="R1013"/>
    <n v="63"/>
  </r>
  <r>
    <s v="Id2320"/>
    <s v="Graves - Rostro, Ms.  Lindy"/>
    <n v="19.21"/>
    <n v="5.53"/>
    <s v="yes"/>
    <s v="No"/>
    <x v="0"/>
    <n v="0"/>
    <x v="1"/>
    <x v="2"/>
    <s v="Normal"/>
    <n v="1970"/>
    <s v="Dec"/>
    <n v="28"/>
    <n v="2"/>
    <d v="1970-12-28T00:00:00"/>
    <n v="47269.85"/>
    <s v="tier - 1"/>
    <s v="tier - 2"/>
    <s v="R1013"/>
    <n v="52"/>
  </r>
  <r>
    <s v="Id2321"/>
    <s v="Danielson, Mr.  Thomas"/>
    <n v="17.86"/>
    <n v="5.43"/>
    <s v="No"/>
    <s v="No"/>
    <x v="1"/>
    <n v="1"/>
    <x v="1"/>
    <x v="3"/>
    <s v="Normal"/>
    <n v="1958"/>
    <s v="Sep"/>
    <n v="3"/>
    <n v="2"/>
    <d v="1958-09-03T00:00:00"/>
    <n v="47291.06"/>
    <s v="tier - 2"/>
    <s v="tier - 1"/>
    <s v="R1011"/>
    <n v="64"/>
  </r>
  <r>
    <s v="Id2322"/>
    <s v="Street, Ms.  Holly"/>
    <n v="21.38"/>
    <n v="8.01"/>
    <s v="No"/>
    <s v="No"/>
    <x v="0"/>
    <n v="0"/>
    <x v="1"/>
    <x v="2"/>
    <s v="Diabetes"/>
    <n v="1959"/>
    <s v="Oct"/>
    <n v="4"/>
    <n v="2"/>
    <d v="1959-10-04T00:00:00"/>
    <n v="47305.31"/>
    <s v="tier - 2"/>
    <s v="tier - 1"/>
    <s v="R1011"/>
    <n v="63"/>
  </r>
  <r>
    <s v="Id2323"/>
    <s v="Buss, Mr.  Matthew"/>
    <n v="23.35"/>
    <n v="5.94"/>
    <s v="No"/>
    <s v="No"/>
    <x v="0"/>
    <n v="0"/>
    <x v="1"/>
    <x v="2"/>
    <s v="Prediabetes"/>
    <n v="1961"/>
    <s v="Jun"/>
    <n v="13"/>
    <n v="1"/>
    <d v="1961-06-13T00:00:00"/>
    <n v="47403.88"/>
    <s v="tier - 1"/>
    <s v="tier - 3"/>
    <s v="R1011"/>
    <n v="61"/>
  </r>
  <r>
    <s v="Id2324"/>
    <s v="Duffy, Ms.  Meghan K"/>
    <n v="22.24"/>
    <n v="5.04"/>
    <s v="No"/>
    <s v="No"/>
    <x v="0"/>
    <n v="0"/>
    <x v="1"/>
    <x v="2"/>
    <s v="Normal"/>
    <n v="1971"/>
    <s v="Sep"/>
    <n v="27"/>
    <n v="2"/>
    <d v="1971-09-27T00:00:00"/>
    <n v="47462.89"/>
    <s v="tier - 1"/>
    <s v="tier - 2"/>
    <s v="R1013"/>
    <n v="51"/>
  </r>
  <r>
    <s v="Id2325"/>
    <s v="Hines, Mr.  Fred"/>
    <n v="24.76"/>
    <n v="4.54"/>
    <s v="yes"/>
    <s v="No"/>
    <x v="0"/>
    <n v="0"/>
    <x v="1"/>
    <x v="2"/>
    <s v="Normal"/>
    <n v="1964"/>
    <s v="Nov"/>
    <n v="7"/>
    <n v="2"/>
    <d v="1964-11-07T00:00:00"/>
    <n v="47496.49"/>
    <s v="tier - 1"/>
    <s v="tier - 3"/>
    <s v="R1012"/>
    <n v="58"/>
  </r>
  <r>
    <s v="Id2326"/>
    <s v="Castro, Mr.  Sebastian"/>
    <n v="20.100000000000001"/>
    <n v="5.6"/>
    <s v="yes"/>
    <s v="No"/>
    <x v="1"/>
    <n v="1"/>
    <x v="1"/>
    <x v="2"/>
    <s v="Normal"/>
    <n v="1963"/>
    <s v="Aug"/>
    <n v="5"/>
    <n v="1"/>
    <d v="1963-08-05T00:00:00"/>
    <n v="47896.79"/>
    <s v="tier - 1"/>
    <s v="tier - 3"/>
    <s v="R1024"/>
    <n v="59"/>
  </r>
  <r>
    <s v="Id2327"/>
    <s v="Howell, Ms.  Laura"/>
    <n v="21.77"/>
    <n v="10.67"/>
    <s v="No"/>
    <s v="No"/>
    <x v="0"/>
    <n v="0"/>
    <x v="1"/>
    <x v="2"/>
    <s v="Diabetes"/>
    <n v="1958"/>
    <s v="Nov"/>
    <n v="16"/>
    <n v="1"/>
    <d v="1958-11-16T00:00:00"/>
    <n v="47928.03"/>
    <s v="tier - 2"/>
    <s v="tier - 3"/>
    <s v="R1011"/>
    <n v="64"/>
  </r>
  <r>
    <s v="Id2328"/>
    <s v="Avery, Ms.  Nicole"/>
    <n v="17.82"/>
    <n v="5.26"/>
    <s v="yes"/>
    <s v="No"/>
    <x v="0"/>
    <n v="1"/>
    <x v="1"/>
    <x v="3"/>
    <s v="Normal"/>
    <n v="1962"/>
    <s v="Aug"/>
    <n v="27"/>
    <n v="0"/>
    <d v="1962-08-27T00:00:00"/>
    <n v="48173.36"/>
    <s v="tier - 1"/>
    <s v="tier - 3"/>
    <s v="R1011"/>
    <n v="60"/>
  </r>
  <r>
    <s v="Id2329"/>
    <s v="Bohinski, Ms.  Susan E"/>
    <n v="17.07"/>
    <n v="5.22"/>
    <s v="No"/>
    <s v="No"/>
    <x v="1"/>
    <n v="1"/>
    <x v="1"/>
    <x v="3"/>
    <s v="Normal"/>
    <n v="1961"/>
    <s v="Dec"/>
    <n v="21"/>
    <n v="1"/>
    <d v="1961-12-21T00:00:00"/>
    <n v="48517.56"/>
    <s v="tier - 1"/>
    <s v="tier - 3"/>
    <s v="R1024"/>
    <n v="61"/>
  </r>
  <r>
    <s v="Id2330"/>
    <s v="Kohls, Ms.  Katy"/>
    <n v="22.24"/>
    <n v="4.29"/>
    <s v="yes"/>
    <s v="No"/>
    <x v="0"/>
    <n v="0"/>
    <x v="1"/>
    <x v="2"/>
    <s v="Normal"/>
    <n v="1968"/>
    <s v="Dec"/>
    <n v="1"/>
    <n v="3"/>
    <d v="1968-12-01T00:00:00"/>
    <n v="48549.18"/>
    <s v="tier - 1"/>
    <s v="tier - 3"/>
    <s v="R1016"/>
    <n v="54"/>
  </r>
  <r>
    <s v="Id2331"/>
    <s v="Brietzke, Mr.  Jordan"/>
    <n v="22.34"/>
    <n v="5.57"/>
    <s v="No"/>
    <s v="No"/>
    <x v="0"/>
    <n v="1"/>
    <x v="1"/>
    <x v="2"/>
    <s v="Normal"/>
    <n v="1962"/>
    <s v="Oct"/>
    <n v="11"/>
    <n v="0"/>
    <d v="1962-10-11T00:00:00"/>
    <n v="48673.56"/>
    <s v="tier - 1"/>
    <s v="tier - 2"/>
    <s v="R1013"/>
    <n v="60"/>
  </r>
  <r>
    <s v="Id2332"/>
    <s v="Riveros Gonzalez, Mr.  Juan D. Sr."/>
    <n v="17.7"/>
    <n v="6.28"/>
    <s v="No"/>
    <s v="No"/>
    <x v="0"/>
    <n v="1"/>
    <x v="1"/>
    <x v="3"/>
    <s v="Prediabetes"/>
    <n v="1965"/>
    <s v="Oct"/>
    <n v="27"/>
    <n v="1"/>
    <d v="1965-10-27T00:00:00"/>
    <n v="48675.519999999997"/>
    <s v="tier - 1"/>
    <s v="tier - 2"/>
    <s v="R1013"/>
    <n v="57"/>
  </r>
  <r>
    <s v="Id2333"/>
    <s v="Albano, Ms.  Julie"/>
    <n v="16.47"/>
    <n v="6.35"/>
    <s v="No"/>
    <s v="No"/>
    <x v="1"/>
    <n v="1"/>
    <x v="1"/>
    <x v="3"/>
    <s v="Prediabetes"/>
    <n v="1959"/>
    <s v="Jul"/>
    <n v="22"/>
    <n v="0"/>
    <d v="1959-07-22T00:00:00"/>
    <n v="48824.45"/>
    <s v="tier - 2"/>
    <s v="tier - 1"/>
    <s v="R1011"/>
    <n v="63"/>
  </r>
  <r>
    <s v="Id2334"/>
    <s v="Rosendahl, Mr.  Evan P"/>
    <n v="17.600000000000001"/>
    <n v="4.3899999999999997"/>
    <s v="No"/>
    <s v="No"/>
    <x v="0"/>
    <n v="1"/>
    <x v="1"/>
    <x v="3"/>
    <s v="Normal"/>
    <n v="1978"/>
    <s v="Dec"/>
    <n v="29"/>
    <n v="0"/>
    <d v="1978-12-29T00:00:00"/>
    <n v="48885.14"/>
    <s v="tier - 1"/>
    <s v="tier - 2"/>
    <s v="R1013"/>
    <n v="44"/>
  </r>
  <r>
    <s v="Id2335"/>
    <s v="German, Mr.  Aaron K"/>
    <n v="17.579999999999998"/>
    <n v="4.51"/>
    <s v="No"/>
    <s v="No"/>
    <x v="0"/>
    <n v="1"/>
    <x v="1"/>
    <x v="3"/>
    <s v="Normal"/>
    <n v="1963"/>
    <s v="Sep"/>
    <n v="4"/>
    <n v="1"/>
    <d v="1963-09-04T00:00:00"/>
    <n v="48970.25"/>
    <s v="tier - 1"/>
    <s v="tier - 2"/>
    <s v="R1013"/>
    <n v="59"/>
  </r>
  <r>
    <m/>
    <m/>
    <m/>
    <m/>
    <m/>
    <m/>
    <x v="2"/>
    <m/>
    <x v="3"/>
    <x v="4"/>
    <m/>
    <n v="1958"/>
    <s v="Jun"/>
    <n v="27"/>
    <n v="2"/>
    <d v="1958-06-27T00:00:00"/>
    <n v="49577.66"/>
    <s v="tier - 2"/>
    <s v="tier - 2"/>
    <s v="R1013"/>
    <n v="64"/>
  </r>
  <r>
    <m/>
    <m/>
    <m/>
    <m/>
    <m/>
    <m/>
    <x v="2"/>
    <m/>
    <x v="3"/>
    <x v="4"/>
    <m/>
    <n v="1994"/>
    <s v="Oct"/>
    <n v="27"/>
    <n v="1"/>
    <d v="1994-10-27T00:00:00"/>
    <n v="51194.559999999998"/>
    <s v="tier - 1"/>
    <s v="tier - 3"/>
    <s v="R1011"/>
    <n v="28"/>
  </r>
  <r>
    <m/>
    <m/>
    <m/>
    <m/>
    <m/>
    <m/>
    <x v="2"/>
    <m/>
    <x v="3"/>
    <x v="4"/>
    <m/>
    <n v="1962"/>
    <s v="Aug"/>
    <n v="4"/>
    <n v="0"/>
    <d v="1962-08-04T00:00:00"/>
    <n v="52590.83"/>
    <s v="tier - 1"/>
    <s v="tier - 3"/>
    <s v="R1011"/>
    <n v="60"/>
  </r>
  <r>
    <m/>
    <m/>
    <m/>
    <m/>
    <m/>
    <m/>
    <x v="2"/>
    <m/>
    <x v="3"/>
    <x v="4"/>
    <m/>
    <n v="1989"/>
    <s v="Jun"/>
    <n v="19"/>
    <n v="0"/>
    <d v="1989-06-19T00:00:00"/>
    <n v="55135.4"/>
    <s v="tier - 1"/>
    <s v="tier - 2"/>
    <s v="R1012"/>
    <n v="33"/>
  </r>
  <r>
    <m/>
    <m/>
    <m/>
    <m/>
    <m/>
    <m/>
    <x v="2"/>
    <m/>
    <x v="3"/>
    <x v="4"/>
    <m/>
    <n v="1991"/>
    <s v="Jun"/>
    <n v="6"/>
    <n v="1"/>
    <d v="1991-06-06T00:00:00"/>
    <n v="58571.07"/>
    <s v="tier - 1"/>
    <s v="tier - 3"/>
    <s v="R1024"/>
    <n v="32"/>
  </r>
  <r>
    <m/>
    <m/>
    <m/>
    <m/>
    <m/>
    <m/>
    <x v="2"/>
    <m/>
    <x v="3"/>
    <x v="4"/>
    <m/>
    <n v="1970"/>
    <s v="?"/>
    <n v="11"/>
    <n v="3"/>
    <e v="#VALUE!"/>
    <n v="60021.4"/>
    <s v="tier - 1"/>
    <s v="tier - 1"/>
    <s v="R1012"/>
    <e v="#VALUE!"/>
  </r>
  <r>
    <m/>
    <m/>
    <m/>
    <m/>
    <m/>
    <m/>
    <x v="2"/>
    <m/>
    <x v="3"/>
    <x v="4"/>
    <m/>
    <n v="1977"/>
    <s v="Jun"/>
    <n v="8"/>
    <n v="0"/>
    <d v="1977-06-08T00:00:00"/>
    <n v="62592.87"/>
    <s v="tier - 2"/>
    <s v="tier - 3"/>
    <s v="R1013"/>
    <n v="46"/>
  </r>
  <r>
    <m/>
    <m/>
    <m/>
    <m/>
    <m/>
    <m/>
    <x v="2"/>
    <m/>
    <x v="3"/>
    <x v="4"/>
    <m/>
    <n v="1968"/>
    <s v="Oct"/>
    <n v="12"/>
    <n v="0"/>
    <d v="1968-10-12T00:00:00"/>
    <n v="63770.43"/>
    <s v="tier - 1"/>
    <s v="tier - 3"/>
    <s v="R1013"/>
    <n v="54"/>
  </r>
  <r>
    <m/>
    <m/>
    <m/>
    <m/>
    <m/>
    <m/>
    <x v="2"/>
    <m/>
    <x v="3"/>
    <x v="4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77550-75A3-48EF-B3A5-747416A61609}" name="PivotTable4" cacheId="19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21:B27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harges" fld="16" baseField="0" baseItem="0"/>
  </dataFields>
  <chartFormats count="1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74FF7-49EC-4A47-A86D-4D62AF32FF7C}" name="PivotTable1" cacheId="19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9" firstHeaderRow="1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0" baseItem="0"/>
  </dataFields>
  <chartFormats count="15">
    <chartFormat chart="13" format="6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64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13" format="65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13" format="66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2"/>
          </reference>
        </references>
      </pivotArea>
    </chartFormat>
    <chartFormat chart="13" format="6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3"/>
          </reference>
        </references>
      </pivotArea>
    </chartFormat>
    <chartFormat chart="13" format="6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69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13" format="70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13" format="7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2"/>
          </reference>
        </references>
      </pivotArea>
    </chartFormat>
    <chartFormat chart="13" format="72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3"/>
          </reference>
        </references>
      </pivotArea>
    </chartFormat>
    <chartFormat chart="13" format="7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3" format="74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</references>
      </pivotArea>
    </chartFormat>
    <chartFormat chart="13" format="75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1"/>
          </reference>
        </references>
      </pivotArea>
    </chartFormat>
    <chartFormat chart="13" format="76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2"/>
          </reference>
        </references>
      </pivotArea>
    </chartFormat>
    <chartFormat chart="13" format="77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9C8E9-502E-4D50-B884-FE032CAB8463}" name="PivotTable2" cacheId="19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Q28:R34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harges" fld="16" baseField="0" baseItem="0"/>
  </dataFields>
  <chartFormats count="1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434D5C-E46B-4A4D-934E-5703742177A0}" name="PivotTable1" cacheId="19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3:Q9" firstHeaderRow="1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0" baseItem="0"/>
  </dataFields>
  <chartFormats count="15">
    <chartFormat chart="13" format="6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64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13" format="65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13" format="66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2"/>
          </reference>
        </references>
      </pivotArea>
    </chartFormat>
    <chartFormat chart="13" format="6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3"/>
          </reference>
        </references>
      </pivotArea>
    </chartFormat>
    <chartFormat chart="13" format="6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69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13" format="70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13" format="7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2"/>
          </reference>
        </references>
      </pivotArea>
    </chartFormat>
    <chartFormat chart="13" format="72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3"/>
          </reference>
        </references>
      </pivotArea>
    </chartFormat>
    <chartFormat chart="13" format="7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3" format="74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</references>
      </pivotArea>
    </chartFormat>
    <chartFormat chart="13" format="75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1"/>
          </reference>
        </references>
      </pivotArea>
    </chartFormat>
    <chartFormat chart="13" format="76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2"/>
          </reference>
        </references>
      </pivotArea>
    </chartFormat>
    <chartFormat chart="13" format="77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AFE206A-6C66-4AF4-BDED-A7757A0C7F83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C0MHlO6D9WnJVy-RtNn2Z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36"/>
  <sheetViews>
    <sheetView workbookViewId="0">
      <selection sqref="A1:XFD1048576"/>
    </sheetView>
  </sheetViews>
  <sheetFormatPr defaultRowHeight="15"/>
  <cols>
    <col min="1" max="1" width="15.5703125" customWidth="1"/>
    <col min="2" max="2" width="37.42578125" bestFit="1" customWidth="1"/>
  </cols>
  <sheetData>
    <row r="1" spans="1:2" s="2" customFormat="1" ht="18.95" customHeight="1">
      <c r="A1" s="5" t="s">
        <v>0</v>
      </c>
      <c r="B1" s="6" t="s">
        <v>1</v>
      </c>
    </row>
    <row r="2" spans="1:2" ht="15.75">
      <c r="A2" s="1" t="s">
        <v>2</v>
      </c>
      <c r="B2" s="1" t="s">
        <v>3</v>
      </c>
    </row>
    <row r="3" spans="1:2" ht="15.75">
      <c r="A3" s="1" t="s">
        <v>4</v>
      </c>
      <c r="B3" s="1" t="s">
        <v>5</v>
      </c>
    </row>
    <row r="4" spans="1:2" ht="15.75">
      <c r="A4" s="1" t="s">
        <v>6</v>
      </c>
      <c r="B4" s="1" t="s">
        <v>7</v>
      </c>
    </row>
    <row r="5" spans="1:2" ht="15.75">
      <c r="A5" s="1" t="s">
        <v>8</v>
      </c>
      <c r="B5" s="1" t="s">
        <v>9</v>
      </c>
    </row>
    <row r="6" spans="1:2" ht="15.75">
      <c r="A6" s="1" t="s">
        <v>10</v>
      </c>
      <c r="B6" s="1" t="s">
        <v>11</v>
      </c>
    </row>
    <row r="7" spans="1:2" ht="15.75">
      <c r="A7" s="1" t="s">
        <v>12</v>
      </c>
      <c r="B7" s="1" t="s">
        <v>13</v>
      </c>
    </row>
    <row r="8" spans="1:2" ht="15.75">
      <c r="A8" s="1" t="s">
        <v>14</v>
      </c>
      <c r="B8" s="1" t="s">
        <v>15</v>
      </c>
    </row>
    <row r="9" spans="1:2" ht="15.75">
      <c r="A9" s="1" t="s">
        <v>16</v>
      </c>
      <c r="B9" s="1" t="s">
        <v>17</v>
      </c>
    </row>
    <row r="10" spans="1:2" ht="15.75">
      <c r="A10" s="1" t="s">
        <v>18</v>
      </c>
      <c r="B10" s="1" t="s">
        <v>19</v>
      </c>
    </row>
    <row r="11" spans="1:2" ht="15.75">
      <c r="A11" s="1" t="s">
        <v>20</v>
      </c>
      <c r="B11" s="1" t="s">
        <v>21</v>
      </c>
    </row>
    <row r="12" spans="1:2" ht="15.75">
      <c r="A12" s="1" t="s">
        <v>22</v>
      </c>
      <c r="B12" s="1" t="s">
        <v>23</v>
      </c>
    </row>
    <row r="13" spans="1:2" ht="15.75">
      <c r="A13" s="1" t="s">
        <v>24</v>
      </c>
      <c r="B13" s="1" t="s">
        <v>25</v>
      </c>
    </row>
    <row r="14" spans="1:2" ht="15.75">
      <c r="A14" s="1" t="s">
        <v>26</v>
      </c>
      <c r="B14" s="1" t="s">
        <v>27</v>
      </c>
    </row>
    <row r="15" spans="1:2" ht="15.75">
      <c r="A15" s="1" t="s">
        <v>28</v>
      </c>
      <c r="B15" s="1" t="s">
        <v>29</v>
      </c>
    </row>
    <row r="16" spans="1:2" ht="15.75">
      <c r="A16" s="1" t="s">
        <v>30</v>
      </c>
      <c r="B16" s="1" t="s">
        <v>31</v>
      </c>
    </row>
    <row r="17" spans="1:2" ht="15.75">
      <c r="A17" s="1" t="s">
        <v>32</v>
      </c>
      <c r="B17" s="1" t="s">
        <v>33</v>
      </c>
    </row>
    <row r="18" spans="1:2" ht="15.75">
      <c r="A18" s="1" t="s">
        <v>34</v>
      </c>
      <c r="B18" s="1" t="s">
        <v>35</v>
      </c>
    </row>
    <row r="19" spans="1:2" ht="15.75">
      <c r="A19" s="1" t="s">
        <v>36</v>
      </c>
      <c r="B19" s="1" t="s">
        <v>37</v>
      </c>
    </row>
    <row r="20" spans="1:2" ht="15.75">
      <c r="A20" s="1" t="s">
        <v>38</v>
      </c>
      <c r="B20" s="1" t="s">
        <v>39</v>
      </c>
    </row>
    <row r="21" spans="1:2" ht="15.75">
      <c r="A21" s="1" t="s">
        <v>40</v>
      </c>
      <c r="B21" s="1" t="s">
        <v>41</v>
      </c>
    </row>
    <row r="22" spans="1:2" ht="15.75">
      <c r="A22" s="1" t="s">
        <v>42</v>
      </c>
      <c r="B22" s="1" t="s">
        <v>43</v>
      </c>
    </row>
    <row r="23" spans="1:2" ht="15.75">
      <c r="A23" s="1" t="s">
        <v>44</v>
      </c>
      <c r="B23" s="1" t="s">
        <v>45</v>
      </c>
    </row>
    <row r="24" spans="1:2" ht="15.75">
      <c r="A24" s="1" t="s">
        <v>46</v>
      </c>
      <c r="B24" s="1" t="s">
        <v>47</v>
      </c>
    </row>
    <row r="25" spans="1:2" ht="15.75">
      <c r="A25" s="1" t="s">
        <v>48</v>
      </c>
      <c r="B25" s="1" t="s">
        <v>49</v>
      </c>
    </row>
    <row r="26" spans="1:2" ht="15.75">
      <c r="A26" s="1" t="s">
        <v>50</v>
      </c>
      <c r="B26" s="1" t="s">
        <v>51</v>
      </c>
    </row>
    <row r="27" spans="1:2" ht="15.75">
      <c r="A27" s="1" t="s">
        <v>52</v>
      </c>
      <c r="B27" s="1" t="s">
        <v>53</v>
      </c>
    </row>
    <row r="28" spans="1:2" ht="15.75">
      <c r="A28" s="1" t="s">
        <v>54</v>
      </c>
      <c r="B28" s="1" t="s">
        <v>55</v>
      </c>
    </row>
    <row r="29" spans="1:2" ht="15.75">
      <c r="A29" s="1" t="s">
        <v>56</v>
      </c>
      <c r="B29" s="1" t="s">
        <v>57</v>
      </c>
    </row>
    <row r="30" spans="1:2" ht="15.75">
      <c r="A30" s="1" t="s">
        <v>58</v>
      </c>
      <c r="B30" s="1" t="s">
        <v>59</v>
      </c>
    </row>
    <row r="31" spans="1:2" ht="15.75">
      <c r="A31" s="1" t="s">
        <v>60</v>
      </c>
      <c r="B31" s="1" t="s">
        <v>61</v>
      </c>
    </row>
    <row r="32" spans="1:2" ht="15.75">
      <c r="A32" s="1" t="s">
        <v>62</v>
      </c>
      <c r="B32" s="1" t="s">
        <v>63</v>
      </c>
    </row>
    <row r="33" spans="1:2" ht="15.75">
      <c r="A33" s="1" t="s">
        <v>64</v>
      </c>
      <c r="B33" s="1" t="s">
        <v>65</v>
      </c>
    </row>
    <row r="34" spans="1:2" ht="15.75">
      <c r="A34" s="1" t="s">
        <v>66</v>
      </c>
      <c r="B34" s="1" t="s">
        <v>67</v>
      </c>
    </row>
    <row r="35" spans="1:2" ht="15.75">
      <c r="A35" s="1" t="s">
        <v>68</v>
      </c>
      <c r="B35" s="1" t="s">
        <v>69</v>
      </c>
    </row>
    <row r="36" spans="1:2" ht="15.75">
      <c r="A36" s="1" t="s">
        <v>70</v>
      </c>
      <c r="B36" s="1" t="s">
        <v>71</v>
      </c>
    </row>
    <row r="37" spans="1:2" ht="15.75">
      <c r="A37" s="1" t="s">
        <v>72</v>
      </c>
      <c r="B37" s="1" t="s">
        <v>73</v>
      </c>
    </row>
    <row r="38" spans="1:2" ht="15.75">
      <c r="A38" s="1" t="s">
        <v>74</v>
      </c>
      <c r="B38" s="1" t="s">
        <v>75</v>
      </c>
    </row>
    <row r="39" spans="1:2" ht="15.75">
      <c r="A39" s="1" t="s">
        <v>76</v>
      </c>
      <c r="B39" s="1" t="s">
        <v>77</v>
      </c>
    </row>
    <row r="40" spans="1:2" ht="15.75">
      <c r="A40" s="1" t="s">
        <v>78</v>
      </c>
      <c r="B40" s="1" t="s">
        <v>79</v>
      </c>
    </row>
    <row r="41" spans="1:2" ht="15.75">
      <c r="A41" s="1" t="s">
        <v>80</v>
      </c>
      <c r="B41" s="1" t="s">
        <v>81</v>
      </c>
    </row>
    <row r="42" spans="1:2" ht="15.75">
      <c r="A42" s="1" t="s">
        <v>82</v>
      </c>
      <c r="B42" s="1" t="s">
        <v>83</v>
      </c>
    </row>
    <row r="43" spans="1:2" ht="15.75">
      <c r="A43" s="1" t="s">
        <v>84</v>
      </c>
      <c r="B43" s="1" t="s">
        <v>85</v>
      </c>
    </row>
    <row r="44" spans="1:2" ht="15.75">
      <c r="A44" s="1" t="s">
        <v>86</v>
      </c>
      <c r="B44" s="1" t="s">
        <v>87</v>
      </c>
    </row>
    <row r="45" spans="1:2" ht="15.75">
      <c r="A45" s="1" t="s">
        <v>88</v>
      </c>
      <c r="B45" s="1" t="s">
        <v>89</v>
      </c>
    </row>
    <row r="46" spans="1:2" ht="15.75">
      <c r="A46" s="1" t="s">
        <v>90</v>
      </c>
      <c r="B46" s="1" t="s">
        <v>91</v>
      </c>
    </row>
    <row r="47" spans="1:2" ht="15.75">
      <c r="A47" s="1" t="s">
        <v>92</v>
      </c>
      <c r="B47" s="1" t="s">
        <v>93</v>
      </c>
    </row>
    <row r="48" spans="1:2" ht="15.75">
      <c r="A48" s="1" t="s">
        <v>94</v>
      </c>
      <c r="B48" s="1" t="s">
        <v>95</v>
      </c>
    </row>
    <row r="49" spans="1:2" ht="15.75">
      <c r="A49" s="1" t="s">
        <v>96</v>
      </c>
      <c r="B49" s="1" t="s">
        <v>97</v>
      </c>
    </row>
    <row r="50" spans="1:2" ht="15.75">
      <c r="A50" s="1" t="s">
        <v>98</v>
      </c>
      <c r="B50" s="1" t="s">
        <v>99</v>
      </c>
    </row>
    <row r="51" spans="1:2" ht="15.75">
      <c r="A51" s="1" t="s">
        <v>100</v>
      </c>
      <c r="B51" s="1" t="s">
        <v>101</v>
      </c>
    </row>
    <row r="52" spans="1:2" ht="15.75">
      <c r="A52" s="1" t="s">
        <v>102</v>
      </c>
      <c r="B52" s="1" t="s">
        <v>103</v>
      </c>
    </row>
    <row r="53" spans="1:2" ht="15.75">
      <c r="A53" s="1" t="s">
        <v>104</v>
      </c>
      <c r="B53" s="1" t="s">
        <v>105</v>
      </c>
    </row>
    <row r="54" spans="1:2" ht="15.75">
      <c r="A54" s="1" t="s">
        <v>106</v>
      </c>
      <c r="B54" s="1" t="s">
        <v>107</v>
      </c>
    </row>
    <row r="55" spans="1:2" ht="15.75">
      <c r="A55" s="1" t="s">
        <v>108</v>
      </c>
      <c r="B55" s="1" t="s">
        <v>109</v>
      </c>
    </row>
    <row r="56" spans="1:2" ht="15.75">
      <c r="A56" s="1" t="s">
        <v>110</v>
      </c>
      <c r="B56" s="1" t="s">
        <v>111</v>
      </c>
    </row>
    <row r="57" spans="1:2" ht="15.75">
      <c r="A57" s="1" t="s">
        <v>112</v>
      </c>
      <c r="B57" s="1" t="s">
        <v>113</v>
      </c>
    </row>
    <row r="58" spans="1:2" ht="15.75">
      <c r="A58" s="1" t="s">
        <v>114</v>
      </c>
      <c r="B58" s="1" t="s">
        <v>115</v>
      </c>
    </row>
    <row r="59" spans="1:2" ht="15.75">
      <c r="A59" s="1" t="s">
        <v>116</v>
      </c>
      <c r="B59" s="1" t="s">
        <v>117</v>
      </c>
    </row>
    <row r="60" spans="1:2" ht="15.75">
      <c r="A60" s="1" t="s">
        <v>118</v>
      </c>
      <c r="B60" s="1" t="s">
        <v>119</v>
      </c>
    </row>
    <row r="61" spans="1:2" ht="15.75">
      <c r="A61" s="1" t="s">
        <v>120</v>
      </c>
      <c r="B61" s="1" t="s">
        <v>121</v>
      </c>
    </row>
    <row r="62" spans="1:2" ht="15.75">
      <c r="A62" s="1" t="s">
        <v>122</v>
      </c>
      <c r="B62" s="1" t="s">
        <v>123</v>
      </c>
    </row>
    <row r="63" spans="1:2" ht="15.75">
      <c r="A63" s="1" t="s">
        <v>124</v>
      </c>
      <c r="B63" s="1" t="s">
        <v>125</v>
      </c>
    </row>
    <row r="64" spans="1:2" ht="15.75">
      <c r="A64" s="1" t="s">
        <v>126</v>
      </c>
      <c r="B64" s="1" t="s">
        <v>127</v>
      </c>
    </row>
    <row r="65" spans="1:2" ht="15.75">
      <c r="A65" s="1" t="s">
        <v>128</v>
      </c>
      <c r="B65" s="1" t="s">
        <v>129</v>
      </c>
    </row>
    <row r="66" spans="1:2" ht="15.75">
      <c r="A66" s="1" t="s">
        <v>130</v>
      </c>
      <c r="B66" s="1" t="s">
        <v>131</v>
      </c>
    </row>
    <row r="67" spans="1:2" ht="15.75">
      <c r="A67" s="1" t="s">
        <v>132</v>
      </c>
      <c r="B67" s="1" t="s">
        <v>133</v>
      </c>
    </row>
    <row r="68" spans="1:2" ht="15.75">
      <c r="A68" s="1" t="s">
        <v>134</v>
      </c>
      <c r="B68" s="1" t="s">
        <v>135</v>
      </c>
    </row>
    <row r="69" spans="1:2" ht="15.75">
      <c r="A69" s="1" t="s">
        <v>136</v>
      </c>
      <c r="B69" s="1" t="s">
        <v>137</v>
      </c>
    </row>
    <row r="70" spans="1:2" ht="15.75">
      <c r="A70" s="1" t="s">
        <v>138</v>
      </c>
      <c r="B70" s="1" t="s">
        <v>139</v>
      </c>
    </row>
    <row r="71" spans="1:2" ht="15.75">
      <c r="A71" s="1" t="s">
        <v>140</v>
      </c>
      <c r="B71" s="1" t="s">
        <v>141</v>
      </c>
    </row>
    <row r="72" spans="1:2" ht="15.75">
      <c r="A72" s="1" t="s">
        <v>142</v>
      </c>
      <c r="B72" s="1" t="s">
        <v>143</v>
      </c>
    </row>
    <row r="73" spans="1:2" ht="15.75">
      <c r="A73" s="1" t="s">
        <v>144</v>
      </c>
      <c r="B73" s="1" t="s">
        <v>145</v>
      </c>
    </row>
    <row r="74" spans="1:2" ht="15.75">
      <c r="A74" s="1" t="s">
        <v>146</v>
      </c>
      <c r="B74" s="1" t="s">
        <v>147</v>
      </c>
    </row>
    <row r="75" spans="1:2" ht="15.75">
      <c r="A75" s="1" t="s">
        <v>148</v>
      </c>
      <c r="B75" s="1" t="s">
        <v>149</v>
      </c>
    </row>
    <row r="76" spans="1:2" ht="15.75">
      <c r="A76" s="1" t="s">
        <v>150</v>
      </c>
      <c r="B76" s="1" t="s">
        <v>151</v>
      </c>
    </row>
    <row r="77" spans="1:2" ht="15.75">
      <c r="A77" s="1" t="s">
        <v>152</v>
      </c>
      <c r="B77" s="1" t="s">
        <v>153</v>
      </c>
    </row>
    <row r="78" spans="1:2" ht="15.75">
      <c r="A78" s="1" t="s">
        <v>154</v>
      </c>
      <c r="B78" s="1" t="s">
        <v>155</v>
      </c>
    </row>
    <row r="79" spans="1:2" ht="15.75">
      <c r="A79" s="1" t="s">
        <v>156</v>
      </c>
      <c r="B79" s="1" t="s">
        <v>157</v>
      </c>
    </row>
    <row r="80" spans="1:2" ht="15.75">
      <c r="A80" s="1" t="s">
        <v>158</v>
      </c>
      <c r="B80" s="1" t="s">
        <v>159</v>
      </c>
    </row>
    <row r="81" spans="1:2" ht="15.75">
      <c r="A81" s="1" t="s">
        <v>160</v>
      </c>
      <c r="B81" s="1" t="s">
        <v>161</v>
      </c>
    </row>
    <row r="82" spans="1:2" ht="15.75">
      <c r="A82" s="1" t="s">
        <v>162</v>
      </c>
      <c r="B82" s="1" t="s">
        <v>163</v>
      </c>
    </row>
    <row r="83" spans="1:2" ht="15.75">
      <c r="A83" s="1" t="s">
        <v>164</v>
      </c>
      <c r="B83" s="1" t="s">
        <v>165</v>
      </c>
    </row>
    <row r="84" spans="1:2" ht="15.75">
      <c r="A84" s="1" t="s">
        <v>166</v>
      </c>
      <c r="B84" s="1" t="s">
        <v>167</v>
      </c>
    </row>
    <row r="85" spans="1:2" ht="15.75">
      <c r="A85" s="1" t="s">
        <v>168</v>
      </c>
      <c r="B85" s="1" t="s">
        <v>169</v>
      </c>
    </row>
    <row r="86" spans="1:2" ht="15.75">
      <c r="A86" s="1" t="s">
        <v>170</v>
      </c>
      <c r="B86" s="1" t="s">
        <v>171</v>
      </c>
    </row>
    <row r="87" spans="1:2" ht="15.75">
      <c r="A87" s="1" t="s">
        <v>172</v>
      </c>
      <c r="B87" s="1" t="s">
        <v>173</v>
      </c>
    </row>
    <row r="88" spans="1:2" ht="15.75">
      <c r="A88" s="1" t="s">
        <v>174</v>
      </c>
      <c r="B88" s="1" t="s">
        <v>175</v>
      </c>
    </row>
    <row r="89" spans="1:2" ht="15.75">
      <c r="A89" s="1" t="s">
        <v>176</v>
      </c>
      <c r="B89" s="1" t="s">
        <v>177</v>
      </c>
    </row>
    <row r="90" spans="1:2" ht="15.75">
      <c r="A90" s="1" t="s">
        <v>178</v>
      </c>
      <c r="B90" s="1" t="s">
        <v>179</v>
      </c>
    </row>
    <row r="91" spans="1:2" ht="15.75">
      <c r="A91" s="1" t="s">
        <v>180</v>
      </c>
      <c r="B91" s="1" t="s">
        <v>181</v>
      </c>
    </row>
    <row r="92" spans="1:2" ht="15.75">
      <c r="A92" s="1" t="s">
        <v>182</v>
      </c>
      <c r="B92" s="1" t="s">
        <v>183</v>
      </c>
    </row>
    <row r="93" spans="1:2" ht="15.75">
      <c r="A93" s="1" t="s">
        <v>184</v>
      </c>
      <c r="B93" s="1" t="s">
        <v>185</v>
      </c>
    </row>
    <row r="94" spans="1:2" ht="15.75">
      <c r="A94" s="1" t="s">
        <v>186</v>
      </c>
      <c r="B94" s="1" t="s">
        <v>187</v>
      </c>
    </row>
    <row r="95" spans="1:2" ht="15.75">
      <c r="A95" s="1" t="s">
        <v>188</v>
      </c>
      <c r="B95" s="1" t="s">
        <v>189</v>
      </c>
    </row>
    <row r="96" spans="1:2" ht="15.75">
      <c r="A96" s="1" t="s">
        <v>190</v>
      </c>
      <c r="B96" s="1" t="s">
        <v>191</v>
      </c>
    </row>
    <row r="97" spans="1:2" ht="15.75">
      <c r="A97" s="1" t="s">
        <v>192</v>
      </c>
      <c r="B97" s="1" t="s">
        <v>193</v>
      </c>
    </row>
    <row r="98" spans="1:2" ht="15.75">
      <c r="A98" s="1" t="s">
        <v>194</v>
      </c>
      <c r="B98" s="1" t="s">
        <v>195</v>
      </c>
    </row>
    <row r="99" spans="1:2" ht="15.75">
      <c r="A99" s="1" t="s">
        <v>196</v>
      </c>
      <c r="B99" s="1" t="s">
        <v>197</v>
      </c>
    </row>
    <row r="100" spans="1:2" ht="15.75">
      <c r="A100" s="1" t="s">
        <v>198</v>
      </c>
      <c r="B100" s="1" t="s">
        <v>199</v>
      </c>
    </row>
    <row r="101" spans="1:2" ht="15.75">
      <c r="A101" s="1" t="s">
        <v>200</v>
      </c>
      <c r="B101" s="1" t="s">
        <v>201</v>
      </c>
    </row>
    <row r="102" spans="1:2" ht="15.75">
      <c r="A102" s="1" t="s">
        <v>202</v>
      </c>
      <c r="B102" s="1" t="s">
        <v>203</v>
      </c>
    </row>
    <row r="103" spans="1:2" ht="15.75">
      <c r="A103" s="1" t="s">
        <v>204</v>
      </c>
      <c r="B103" s="1" t="s">
        <v>205</v>
      </c>
    </row>
    <row r="104" spans="1:2" ht="15.75">
      <c r="A104" s="1" t="s">
        <v>206</v>
      </c>
      <c r="B104" s="1" t="s">
        <v>207</v>
      </c>
    </row>
    <row r="105" spans="1:2" ht="15.75">
      <c r="A105" s="1" t="s">
        <v>208</v>
      </c>
      <c r="B105" s="1" t="s">
        <v>209</v>
      </c>
    </row>
    <row r="106" spans="1:2" ht="15.75">
      <c r="A106" s="1" t="s">
        <v>210</v>
      </c>
      <c r="B106" s="1" t="s">
        <v>211</v>
      </c>
    </row>
    <row r="107" spans="1:2" ht="15.75">
      <c r="A107" s="1" t="s">
        <v>212</v>
      </c>
      <c r="B107" s="1" t="s">
        <v>213</v>
      </c>
    </row>
    <row r="108" spans="1:2" ht="15.75">
      <c r="A108" s="1" t="s">
        <v>214</v>
      </c>
      <c r="B108" s="1" t="s">
        <v>215</v>
      </c>
    </row>
    <row r="109" spans="1:2" ht="15.75">
      <c r="A109" s="1" t="s">
        <v>216</v>
      </c>
      <c r="B109" s="1" t="s">
        <v>217</v>
      </c>
    </row>
    <row r="110" spans="1:2" ht="15.75">
      <c r="A110" s="1" t="s">
        <v>218</v>
      </c>
      <c r="B110" s="1" t="s">
        <v>219</v>
      </c>
    </row>
    <row r="111" spans="1:2" ht="15.75">
      <c r="A111" s="1" t="s">
        <v>220</v>
      </c>
      <c r="B111" s="1" t="s">
        <v>221</v>
      </c>
    </row>
    <row r="112" spans="1:2" ht="15.75">
      <c r="A112" s="1" t="s">
        <v>222</v>
      </c>
      <c r="B112" s="1" t="s">
        <v>223</v>
      </c>
    </row>
    <row r="113" spans="1:2" ht="15.75">
      <c r="A113" s="1" t="s">
        <v>224</v>
      </c>
      <c r="B113" s="1" t="s">
        <v>225</v>
      </c>
    </row>
    <row r="114" spans="1:2" ht="15.75">
      <c r="A114" s="1" t="s">
        <v>226</v>
      </c>
      <c r="B114" s="1" t="s">
        <v>227</v>
      </c>
    </row>
    <row r="115" spans="1:2" ht="15.75">
      <c r="A115" s="1" t="s">
        <v>228</v>
      </c>
      <c r="B115" s="1" t="s">
        <v>229</v>
      </c>
    </row>
    <row r="116" spans="1:2" ht="15.75">
      <c r="A116" s="1" t="s">
        <v>230</v>
      </c>
      <c r="B116" s="1" t="s">
        <v>231</v>
      </c>
    </row>
    <row r="117" spans="1:2" ht="15.75">
      <c r="A117" s="1" t="s">
        <v>232</v>
      </c>
      <c r="B117" s="1" t="s">
        <v>233</v>
      </c>
    </row>
    <row r="118" spans="1:2" ht="15.75">
      <c r="A118" s="1" t="s">
        <v>234</v>
      </c>
      <c r="B118" s="1" t="s">
        <v>235</v>
      </c>
    </row>
    <row r="119" spans="1:2" ht="15.75">
      <c r="A119" s="1" t="s">
        <v>236</v>
      </c>
      <c r="B119" s="1" t="s">
        <v>237</v>
      </c>
    </row>
    <row r="120" spans="1:2" ht="15.75">
      <c r="A120" s="1" t="s">
        <v>238</v>
      </c>
      <c r="B120" s="1" t="s">
        <v>239</v>
      </c>
    </row>
    <row r="121" spans="1:2" ht="15.75">
      <c r="A121" s="1" t="s">
        <v>240</v>
      </c>
      <c r="B121" s="1" t="s">
        <v>241</v>
      </c>
    </row>
    <row r="122" spans="1:2" ht="15.75">
      <c r="A122" s="1" t="s">
        <v>242</v>
      </c>
      <c r="B122" s="1" t="s">
        <v>243</v>
      </c>
    </row>
    <row r="123" spans="1:2" ht="15.75">
      <c r="A123" s="1" t="s">
        <v>244</v>
      </c>
      <c r="B123" s="1" t="s">
        <v>245</v>
      </c>
    </row>
    <row r="124" spans="1:2" ht="15.75">
      <c r="A124" s="1" t="s">
        <v>246</v>
      </c>
      <c r="B124" s="1" t="s">
        <v>247</v>
      </c>
    </row>
    <row r="125" spans="1:2" ht="15.75">
      <c r="A125" s="1" t="s">
        <v>248</v>
      </c>
      <c r="B125" s="1" t="s">
        <v>249</v>
      </c>
    </row>
    <row r="126" spans="1:2" ht="15.75">
      <c r="A126" s="1" t="s">
        <v>250</v>
      </c>
      <c r="B126" s="1" t="s">
        <v>251</v>
      </c>
    </row>
    <row r="127" spans="1:2" ht="15.75">
      <c r="A127" s="1" t="s">
        <v>252</v>
      </c>
      <c r="B127" s="1" t="s">
        <v>253</v>
      </c>
    </row>
    <row r="128" spans="1:2" ht="15.75">
      <c r="A128" s="1" t="s">
        <v>254</v>
      </c>
      <c r="B128" s="1" t="s">
        <v>255</v>
      </c>
    </row>
    <row r="129" spans="1:2" ht="15.75">
      <c r="A129" s="1" t="s">
        <v>256</v>
      </c>
      <c r="B129" s="1" t="s">
        <v>257</v>
      </c>
    </row>
    <row r="130" spans="1:2" ht="15.75">
      <c r="A130" s="1" t="s">
        <v>258</v>
      </c>
      <c r="B130" s="1" t="s">
        <v>259</v>
      </c>
    </row>
    <row r="131" spans="1:2" ht="15.75">
      <c r="A131" s="1" t="s">
        <v>260</v>
      </c>
      <c r="B131" s="1" t="s">
        <v>261</v>
      </c>
    </row>
    <row r="132" spans="1:2" ht="15.75">
      <c r="A132" s="1" t="s">
        <v>262</v>
      </c>
      <c r="B132" s="1" t="s">
        <v>263</v>
      </c>
    </row>
    <row r="133" spans="1:2" ht="15.75">
      <c r="A133" s="1" t="s">
        <v>264</v>
      </c>
      <c r="B133" s="1" t="s">
        <v>265</v>
      </c>
    </row>
    <row r="134" spans="1:2" ht="15.75">
      <c r="A134" s="1" t="s">
        <v>266</v>
      </c>
      <c r="B134" s="1" t="s">
        <v>267</v>
      </c>
    </row>
    <row r="135" spans="1:2" ht="15.75">
      <c r="A135" s="1" t="s">
        <v>268</v>
      </c>
      <c r="B135" s="1" t="s">
        <v>269</v>
      </c>
    </row>
    <row r="136" spans="1:2" ht="15.75">
      <c r="A136" s="1" t="s">
        <v>270</v>
      </c>
      <c r="B136" s="1" t="s">
        <v>271</v>
      </c>
    </row>
    <row r="137" spans="1:2" ht="15.75">
      <c r="A137" s="1" t="s">
        <v>272</v>
      </c>
      <c r="B137" s="1" t="s">
        <v>273</v>
      </c>
    </row>
    <row r="138" spans="1:2" ht="15.75">
      <c r="A138" s="1" t="s">
        <v>274</v>
      </c>
      <c r="B138" s="1" t="s">
        <v>275</v>
      </c>
    </row>
    <row r="139" spans="1:2" ht="15.75">
      <c r="A139" s="1" t="s">
        <v>276</v>
      </c>
      <c r="B139" s="1" t="s">
        <v>277</v>
      </c>
    </row>
    <row r="140" spans="1:2" ht="15.75">
      <c r="A140" s="1" t="s">
        <v>278</v>
      </c>
      <c r="B140" s="1" t="s">
        <v>279</v>
      </c>
    </row>
    <row r="141" spans="1:2" ht="15.75">
      <c r="A141" s="1" t="s">
        <v>280</v>
      </c>
      <c r="B141" s="1" t="s">
        <v>281</v>
      </c>
    </row>
    <row r="142" spans="1:2" ht="15.75">
      <c r="A142" s="1" t="s">
        <v>282</v>
      </c>
      <c r="B142" s="1" t="s">
        <v>283</v>
      </c>
    </row>
    <row r="143" spans="1:2" ht="15.75">
      <c r="A143" s="1" t="s">
        <v>284</v>
      </c>
      <c r="B143" s="1" t="s">
        <v>285</v>
      </c>
    </row>
    <row r="144" spans="1:2" ht="15.75">
      <c r="A144" s="1" t="s">
        <v>286</v>
      </c>
      <c r="B144" s="1" t="s">
        <v>287</v>
      </c>
    </row>
    <row r="145" spans="1:2" ht="15.75">
      <c r="A145" s="1" t="s">
        <v>288</v>
      </c>
      <c r="B145" s="1" t="s">
        <v>289</v>
      </c>
    </row>
    <row r="146" spans="1:2" ht="15.75">
      <c r="A146" s="1" t="s">
        <v>290</v>
      </c>
      <c r="B146" s="1" t="s">
        <v>291</v>
      </c>
    </row>
    <row r="147" spans="1:2" ht="15.75">
      <c r="A147" s="1" t="s">
        <v>292</v>
      </c>
      <c r="B147" s="1" t="s">
        <v>293</v>
      </c>
    </row>
    <row r="148" spans="1:2" ht="15.75">
      <c r="A148" s="1" t="s">
        <v>294</v>
      </c>
      <c r="B148" s="1" t="s">
        <v>295</v>
      </c>
    </row>
    <row r="149" spans="1:2" ht="15.75">
      <c r="A149" s="1" t="s">
        <v>296</v>
      </c>
      <c r="B149" s="1" t="s">
        <v>297</v>
      </c>
    </row>
    <row r="150" spans="1:2" ht="15.75">
      <c r="A150" s="1" t="s">
        <v>298</v>
      </c>
      <c r="B150" s="1" t="s">
        <v>299</v>
      </c>
    </row>
    <row r="151" spans="1:2" ht="15.75">
      <c r="A151" s="1" t="s">
        <v>300</v>
      </c>
      <c r="B151" s="1" t="s">
        <v>301</v>
      </c>
    </row>
    <row r="152" spans="1:2" ht="15.75">
      <c r="A152" s="1" t="s">
        <v>302</v>
      </c>
      <c r="B152" s="1" t="s">
        <v>303</v>
      </c>
    </row>
    <row r="153" spans="1:2" ht="15.75">
      <c r="A153" s="1" t="s">
        <v>304</v>
      </c>
      <c r="B153" s="1" t="s">
        <v>305</v>
      </c>
    </row>
    <row r="154" spans="1:2" ht="15.75">
      <c r="A154" s="1" t="s">
        <v>306</v>
      </c>
      <c r="B154" s="1" t="s">
        <v>307</v>
      </c>
    </row>
    <row r="155" spans="1:2" ht="15.75">
      <c r="A155" s="1" t="s">
        <v>308</v>
      </c>
      <c r="B155" s="1" t="s">
        <v>309</v>
      </c>
    </row>
    <row r="156" spans="1:2" ht="15.75">
      <c r="A156" s="1" t="s">
        <v>310</v>
      </c>
      <c r="B156" s="1" t="s">
        <v>311</v>
      </c>
    </row>
    <row r="157" spans="1:2" ht="15.75">
      <c r="A157" s="1" t="s">
        <v>312</v>
      </c>
      <c r="B157" s="1" t="s">
        <v>313</v>
      </c>
    </row>
    <row r="158" spans="1:2" ht="15.75">
      <c r="A158" s="1" t="s">
        <v>314</v>
      </c>
      <c r="B158" s="1" t="s">
        <v>315</v>
      </c>
    </row>
    <row r="159" spans="1:2" ht="15.75">
      <c r="A159" s="1" t="s">
        <v>316</v>
      </c>
      <c r="B159" s="1" t="s">
        <v>317</v>
      </c>
    </row>
    <row r="160" spans="1:2" ht="15.75">
      <c r="A160" s="1" t="s">
        <v>318</v>
      </c>
      <c r="B160" s="1" t="s">
        <v>319</v>
      </c>
    </row>
    <row r="161" spans="1:2" ht="15.75">
      <c r="A161" s="1" t="s">
        <v>320</v>
      </c>
      <c r="B161" s="1" t="s">
        <v>321</v>
      </c>
    </row>
    <row r="162" spans="1:2" ht="15.75">
      <c r="A162" s="1" t="s">
        <v>322</v>
      </c>
      <c r="B162" s="1" t="s">
        <v>323</v>
      </c>
    </row>
    <row r="163" spans="1:2" ht="15.75">
      <c r="A163" s="1" t="s">
        <v>324</v>
      </c>
      <c r="B163" s="1" t="s">
        <v>325</v>
      </c>
    </row>
    <row r="164" spans="1:2" ht="15.75">
      <c r="A164" s="1" t="s">
        <v>326</v>
      </c>
      <c r="B164" s="1" t="s">
        <v>327</v>
      </c>
    </row>
    <row r="165" spans="1:2" ht="15.75">
      <c r="A165" s="1" t="s">
        <v>328</v>
      </c>
      <c r="B165" s="1" t="s">
        <v>329</v>
      </c>
    </row>
    <row r="166" spans="1:2" ht="15.75">
      <c r="A166" s="1" t="s">
        <v>330</v>
      </c>
      <c r="B166" s="1" t="s">
        <v>331</v>
      </c>
    </row>
    <row r="167" spans="1:2" ht="15.75">
      <c r="A167" s="1" t="s">
        <v>332</v>
      </c>
      <c r="B167" s="1" t="s">
        <v>333</v>
      </c>
    </row>
    <row r="168" spans="1:2" ht="15.75">
      <c r="A168" s="1" t="s">
        <v>334</v>
      </c>
      <c r="B168" s="1" t="s">
        <v>335</v>
      </c>
    </row>
    <row r="169" spans="1:2" ht="15.75">
      <c r="A169" s="1" t="s">
        <v>336</v>
      </c>
      <c r="B169" s="1" t="s">
        <v>337</v>
      </c>
    </row>
    <row r="170" spans="1:2" ht="15.75">
      <c r="A170" s="1" t="s">
        <v>338</v>
      </c>
      <c r="B170" s="1" t="s">
        <v>339</v>
      </c>
    </row>
    <row r="171" spans="1:2" ht="15.75">
      <c r="A171" s="1" t="s">
        <v>340</v>
      </c>
      <c r="B171" s="1" t="s">
        <v>341</v>
      </c>
    </row>
    <row r="172" spans="1:2" ht="15.75">
      <c r="A172" s="1" t="s">
        <v>342</v>
      </c>
      <c r="B172" s="1" t="s">
        <v>343</v>
      </c>
    </row>
    <row r="173" spans="1:2" ht="15.75">
      <c r="A173" s="1" t="s">
        <v>344</v>
      </c>
      <c r="B173" s="1" t="s">
        <v>345</v>
      </c>
    </row>
    <row r="174" spans="1:2" ht="15.75">
      <c r="A174" s="1" t="s">
        <v>346</v>
      </c>
      <c r="B174" s="1" t="s">
        <v>347</v>
      </c>
    </row>
    <row r="175" spans="1:2" ht="15.75">
      <c r="A175" s="1" t="s">
        <v>348</v>
      </c>
      <c r="B175" s="1" t="s">
        <v>349</v>
      </c>
    </row>
    <row r="176" spans="1:2" ht="15.75">
      <c r="A176" s="1" t="s">
        <v>350</v>
      </c>
      <c r="B176" s="1" t="s">
        <v>351</v>
      </c>
    </row>
    <row r="177" spans="1:2" ht="15.75">
      <c r="A177" s="1" t="s">
        <v>352</v>
      </c>
      <c r="B177" s="1" t="s">
        <v>353</v>
      </c>
    </row>
    <row r="178" spans="1:2" ht="15.75">
      <c r="A178" s="1" t="s">
        <v>354</v>
      </c>
      <c r="B178" s="1" t="s">
        <v>355</v>
      </c>
    </row>
    <row r="179" spans="1:2" ht="15.75">
      <c r="A179" s="1" t="s">
        <v>356</v>
      </c>
      <c r="B179" s="1" t="s">
        <v>357</v>
      </c>
    </row>
    <row r="180" spans="1:2" ht="15.75">
      <c r="A180" s="1" t="s">
        <v>358</v>
      </c>
      <c r="B180" s="1" t="s">
        <v>359</v>
      </c>
    </row>
    <row r="181" spans="1:2" ht="15.75">
      <c r="A181" s="1" t="s">
        <v>360</v>
      </c>
      <c r="B181" s="1" t="s">
        <v>361</v>
      </c>
    </row>
    <row r="182" spans="1:2" ht="15.75">
      <c r="A182" s="1" t="s">
        <v>362</v>
      </c>
      <c r="B182" s="1" t="s">
        <v>363</v>
      </c>
    </row>
    <row r="183" spans="1:2" ht="15.75">
      <c r="A183" s="1" t="s">
        <v>364</v>
      </c>
      <c r="B183" s="1" t="s">
        <v>365</v>
      </c>
    </row>
    <row r="184" spans="1:2" ht="15.75">
      <c r="A184" s="1" t="s">
        <v>366</v>
      </c>
      <c r="B184" s="1" t="s">
        <v>367</v>
      </c>
    </row>
    <row r="185" spans="1:2" ht="15.75">
      <c r="A185" s="1" t="s">
        <v>368</v>
      </c>
      <c r="B185" s="1" t="s">
        <v>369</v>
      </c>
    </row>
    <row r="186" spans="1:2" ht="15.75">
      <c r="A186" s="1" t="s">
        <v>370</v>
      </c>
      <c r="B186" s="1" t="s">
        <v>371</v>
      </c>
    </row>
    <row r="187" spans="1:2" ht="15.75">
      <c r="A187" s="1" t="s">
        <v>372</v>
      </c>
      <c r="B187" s="1" t="s">
        <v>373</v>
      </c>
    </row>
    <row r="188" spans="1:2" ht="15.75">
      <c r="A188" s="1" t="s">
        <v>374</v>
      </c>
      <c r="B188" s="1" t="s">
        <v>375</v>
      </c>
    </row>
    <row r="189" spans="1:2" ht="15.75">
      <c r="A189" s="1" t="s">
        <v>376</v>
      </c>
      <c r="B189" s="1" t="s">
        <v>377</v>
      </c>
    </row>
    <row r="190" spans="1:2" ht="15.75">
      <c r="A190" s="1" t="s">
        <v>378</v>
      </c>
      <c r="B190" s="1" t="s">
        <v>379</v>
      </c>
    </row>
    <row r="191" spans="1:2" ht="15.75">
      <c r="A191" s="1" t="s">
        <v>380</v>
      </c>
      <c r="B191" s="1" t="s">
        <v>381</v>
      </c>
    </row>
    <row r="192" spans="1:2" ht="15.75">
      <c r="A192" s="1" t="s">
        <v>382</v>
      </c>
      <c r="B192" s="1" t="s">
        <v>383</v>
      </c>
    </row>
    <row r="193" spans="1:2" ht="15.75">
      <c r="A193" s="1" t="s">
        <v>384</v>
      </c>
      <c r="B193" s="1" t="s">
        <v>385</v>
      </c>
    </row>
    <row r="194" spans="1:2" ht="15.75">
      <c r="A194" s="1" t="s">
        <v>386</v>
      </c>
      <c r="B194" s="1" t="s">
        <v>387</v>
      </c>
    </row>
    <row r="195" spans="1:2" ht="15.75">
      <c r="A195" s="1" t="s">
        <v>388</v>
      </c>
      <c r="B195" s="1" t="s">
        <v>389</v>
      </c>
    </row>
    <row r="196" spans="1:2" ht="15.75">
      <c r="A196" s="1" t="s">
        <v>390</v>
      </c>
      <c r="B196" s="1" t="s">
        <v>391</v>
      </c>
    </row>
    <row r="197" spans="1:2" ht="15.75">
      <c r="A197" s="1" t="s">
        <v>392</v>
      </c>
      <c r="B197" s="1" t="s">
        <v>393</v>
      </c>
    </row>
    <row r="198" spans="1:2" ht="15.75">
      <c r="A198" s="1" t="s">
        <v>394</v>
      </c>
      <c r="B198" s="1" t="s">
        <v>395</v>
      </c>
    </row>
    <row r="199" spans="1:2" ht="15.75">
      <c r="A199" s="1" t="s">
        <v>396</v>
      </c>
      <c r="B199" s="1" t="s">
        <v>397</v>
      </c>
    </row>
    <row r="200" spans="1:2" ht="15.75">
      <c r="A200" s="1" t="s">
        <v>398</v>
      </c>
      <c r="B200" s="1" t="s">
        <v>399</v>
      </c>
    </row>
    <row r="201" spans="1:2" ht="15.75">
      <c r="A201" s="1" t="s">
        <v>400</v>
      </c>
      <c r="B201" s="1" t="s">
        <v>401</v>
      </c>
    </row>
    <row r="202" spans="1:2" ht="15.75">
      <c r="A202" s="1" t="s">
        <v>402</v>
      </c>
      <c r="B202" s="1" t="s">
        <v>403</v>
      </c>
    </row>
    <row r="203" spans="1:2" ht="15.75">
      <c r="A203" s="1" t="s">
        <v>404</v>
      </c>
      <c r="B203" s="1" t="s">
        <v>405</v>
      </c>
    </row>
    <row r="204" spans="1:2" ht="15.75">
      <c r="A204" s="1" t="s">
        <v>406</v>
      </c>
      <c r="B204" s="1" t="s">
        <v>407</v>
      </c>
    </row>
    <row r="205" spans="1:2" ht="15.75">
      <c r="A205" s="1" t="s">
        <v>408</v>
      </c>
      <c r="B205" s="1" t="s">
        <v>409</v>
      </c>
    </row>
    <row r="206" spans="1:2" ht="15.75">
      <c r="A206" s="1" t="s">
        <v>410</v>
      </c>
      <c r="B206" s="1" t="s">
        <v>411</v>
      </c>
    </row>
    <row r="207" spans="1:2" ht="15.75">
      <c r="A207" s="1" t="s">
        <v>412</v>
      </c>
      <c r="B207" s="1" t="s">
        <v>413</v>
      </c>
    </row>
    <row r="208" spans="1:2" ht="15.75">
      <c r="A208" s="1" t="s">
        <v>414</v>
      </c>
      <c r="B208" s="1" t="s">
        <v>415</v>
      </c>
    </row>
    <row r="209" spans="1:2" ht="15.75">
      <c r="A209" s="1" t="s">
        <v>416</v>
      </c>
      <c r="B209" s="1" t="s">
        <v>417</v>
      </c>
    </row>
    <row r="210" spans="1:2" ht="15.75">
      <c r="A210" s="1" t="s">
        <v>418</v>
      </c>
      <c r="B210" s="1" t="s">
        <v>419</v>
      </c>
    </row>
    <row r="211" spans="1:2" ht="15.75">
      <c r="A211" s="1" t="s">
        <v>420</v>
      </c>
      <c r="B211" s="1" t="s">
        <v>421</v>
      </c>
    </row>
    <row r="212" spans="1:2" ht="15.75">
      <c r="A212" s="1" t="s">
        <v>422</v>
      </c>
      <c r="B212" s="1" t="s">
        <v>423</v>
      </c>
    </row>
    <row r="213" spans="1:2" ht="15.75">
      <c r="A213" s="1" t="s">
        <v>424</v>
      </c>
      <c r="B213" s="1" t="s">
        <v>425</v>
      </c>
    </row>
    <row r="214" spans="1:2" ht="15.75">
      <c r="A214" s="1" t="s">
        <v>426</v>
      </c>
      <c r="B214" s="1" t="s">
        <v>427</v>
      </c>
    </row>
    <row r="215" spans="1:2" ht="15.75">
      <c r="A215" s="1" t="s">
        <v>428</v>
      </c>
      <c r="B215" s="1" t="s">
        <v>429</v>
      </c>
    </row>
    <row r="216" spans="1:2" ht="15.75">
      <c r="A216" s="1" t="s">
        <v>430</v>
      </c>
      <c r="B216" s="1" t="s">
        <v>431</v>
      </c>
    </row>
    <row r="217" spans="1:2" ht="15.75">
      <c r="A217" s="1" t="s">
        <v>432</v>
      </c>
      <c r="B217" s="1" t="s">
        <v>433</v>
      </c>
    </row>
    <row r="218" spans="1:2" ht="15.75">
      <c r="A218" s="1" t="s">
        <v>434</v>
      </c>
      <c r="B218" s="1" t="s">
        <v>435</v>
      </c>
    </row>
    <row r="219" spans="1:2" ht="15.75">
      <c r="A219" s="1" t="s">
        <v>436</v>
      </c>
      <c r="B219" s="1" t="s">
        <v>437</v>
      </c>
    </row>
    <row r="220" spans="1:2" ht="15.75">
      <c r="A220" s="1" t="s">
        <v>438</v>
      </c>
      <c r="B220" s="1" t="s">
        <v>439</v>
      </c>
    </row>
    <row r="221" spans="1:2" ht="15.75">
      <c r="A221" s="1" t="s">
        <v>440</v>
      </c>
      <c r="B221" s="1" t="s">
        <v>441</v>
      </c>
    </row>
    <row r="222" spans="1:2" ht="15.75">
      <c r="A222" s="1" t="s">
        <v>442</v>
      </c>
      <c r="B222" s="1" t="s">
        <v>443</v>
      </c>
    </row>
    <row r="223" spans="1:2" ht="15.75">
      <c r="A223" s="1" t="s">
        <v>444</v>
      </c>
      <c r="B223" s="1" t="s">
        <v>445</v>
      </c>
    </row>
    <row r="224" spans="1:2" ht="15.75">
      <c r="A224" s="1" t="s">
        <v>446</v>
      </c>
      <c r="B224" s="1" t="s">
        <v>447</v>
      </c>
    </row>
    <row r="225" spans="1:2" ht="15.75">
      <c r="A225" s="1" t="s">
        <v>448</v>
      </c>
      <c r="B225" s="1" t="s">
        <v>449</v>
      </c>
    </row>
    <row r="226" spans="1:2" ht="15.75">
      <c r="A226" s="1" t="s">
        <v>450</v>
      </c>
      <c r="B226" s="1" t="s">
        <v>451</v>
      </c>
    </row>
    <row r="227" spans="1:2" ht="15.75">
      <c r="A227" s="1" t="s">
        <v>452</v>
      </c>
      <c r="B227" s="1" t="s">
        <v>453</v>
      </c>
    </row>
    <row r="228" spans="1:2" ht="15.75">
      <c r="A228" s="1" t="s">
        <v>454</v>
      </c>
      <c r="B228" s="1" t="s">
        <v>455</v>
      </c>
    </row>
    <row r="229" spans="1:2" ht="15.75">
      <c r="A229" s="1" t="s">
        <v>456</v>
      </c>
      <c r="B229" s="1" t="s">
        <v>457</v>
      </c>
    </row>
    <row r="230" spans="1:2" ht="15.75">
      <c r="A230" s="1" t="s">
        <v>458</v>
      </c>
      <c r="B230" s="1" t="s">
        <v>459</v>
      </c>
    </row>
    <row r="231" spans="1:2" ht="15.75">
      <c r="A231" s="1" t="s">
        <v>460</v>
      </c>
      <c r="B231" s="1" t="s">
        <v>461</v>
      </c>
    </row>
    <row r="232" spans="1:2" ht="15.75">
      <c r="A232" s="1" t="s">
        <v>462</v>
      </c>
      <c r="B232" s="1" t="s">
        <v>463</v>
      </c>
    </row>
    <row r="233" spans="1:2" ht="15.75">
      <c r="A233" s="1" t="s">
        <v>464</v>
      </c>
      <c r="B233" s="1" t="s">
        <v>465</v>
      </c>
    </row>
    <row r="234" spans="1:2" ht="15.75">
      <c r="A234" s="1" t="s">
        <v>466</v>
      </c>
      <c r="B234" s="1" t="s">
        <v>467</v>
      </c>
    </row>
    <row r="235" spans="1:2" ht="15.75">
      <c r="A235" s="1" t="s">
        <v>468</v>
      </c>
      <c r="B235" s="1" t="s">
        <v>469</v>
      </c>
    </row>
    <row r="236" spans="1:2" ht="15.75">
      <c r="A236" s="1" t="s">
        <v>470</v>
      </c>
      <c r="B236" s="1" t="s">
        <v>471</v>
      </c>
    </row>
    <row r="237" spans="1:2" ht="15.75">
      <c r="A237" s="1" t="s">
        <v>472</v>
      </c>
      <c r="B237" s="1" t="s">
        <v>473</v>
      </c>
    </row>
    <row r="238" spans="1:2" ht="15.75">
      <c r="A238" s="1" t="s">
        <v>474</v>
      </c>
      <c r="B238" s="1" t="s">
        <v>475</v>
      </c>
    </row>
    <row r="239" spans="1:2" ht="15.75">
      <c r="A239" s="1" t="s">
        <v>476</v>
      </c>
      <c r="B239" s="1" t="s">
        <v>477</v>
      </c>
    </row>
    <row r="240" spans="1:2" ht="15.75">
      <c r="A240" s="1" t="s">
        <v>478</v>
      </c>
      <c r="B240" s="1" t="s">
        <v>479</v>
      </c>
    </row>
    <row r="241" spans="1:2" ht="15.75">
      <c r="A241" s="1" t="s">
        <v>480</v>
      </c>
      <c r="B241" s="1" t="s">
        <v>481</v>
      </c>
    </row>
    <row r="242" spans="1:2" ht="15.75">
      <c r="A242" s="1" t="s">
        <v>482</v>
      </c>
      <c r="B242" s="1" t="s">
        <v>483</v>
      </c>
    </row>
    <row r="243" spans="1:2" ht="15.75">
      <c r="A243" s="1" t="s">
        <v>484</v>
      </c>
      <c r="B243" s="1" t="s">
        <v>485</v>
      </c>
    </row>
    <row r="244" spans="1:2" ht="15.75">
      <c r="A244" s="1" t="s">
        <v>486</v>
      </c>
      <c r="B244" s="1" t="s">
        <v>487</v>
      </c>
    </row>
    <row r="245" spans="1:2" ht="15.75">
      <c r="A245" s="1" t="s">
        <v>488</v>
      </c>
      <c r="B245" s="1" t="s">
        <v>489</v>
      </c>
    </row>
    <row r="246" spans="1:2" ht="15.75">
      <c r="A246" s="1" t="s">
        <v>490</v>
      </c>
      <c r="B246" s="1" t="s">
        <v>491</v>
      </c>
    </row>
    <row r="247" spans="1:2" ht="15.75">
      <c r="A247" s="1" t="s">
        <v>492</v>
      </c>
      <c r="B247" s="1" t="s">
        <v>493</v>
      </c>
    </row>
    <row r="248" spans="1:2" ht="15.75">
      <c r="A248" s="1" t="s">
        <v>494</v>
      </c>
      <c r="B248" s="1" t="s">
        <v>495</v>
      </c>
    </row>
    <row r="249" spans="1:2" ht="15.75">
      <c r="A249" s="1" t="s">
        <v>496</v>
      </c>
      <c r="B249" s="1" t="s">
        <v>497</v>
      </c>
    </row>
    <row r="250" spans="1:2" ht="15.75">
      <c r="A250" s="1" t="s">
        <v>498</v>
      </c>
      <c r="B250" s="1" t="s">
        <v>499</v>
      </c>
    </row>
    <row r="251" spans="1:2" ht="15.75">
      <c r="A251" s="1" t="s">
        <v>500</v>
      </c>
      <c r="B251" s="1" t="s">
        <v>501</v>
      </c>
    </row>
    <row r="252" spans="1:2" ht="15.75">
      <c r="A252" s="1" t="s">
        <v>502</v>
      </c>
      <c r="B252" s="1" t="s">
        <v>503</v>
      </c>
    </row>
    <row r="253" spans="1:2" ht="15.75">
      <c r="A253" s="1" t="s">
        <v>504</v>
      </c>
      <c r="B253" s="1" t="s">
        <v>505</v>
      </c>
    </row>
    <row r="254" spans="1:2" ht="15.75">
      <c r="A254" s="1" t="s">
        <v>506</v>
      </c>
      <c r="B254" s="1" t="s">
        <v>507</v>
      </c>
    </row>
    <row r="255" spans="1:2" ht="15.75">
      <c r="A255" s="1" t="s">
        <v>508</v>
      </c>
      <c r="B255" s="1" t="s">
        <v>509</v>
      </c>
    </row>
    <row r="256" spans="1:2" ht="15.75">
      <c r="A256" s="1" t="s">
        <v>510</v>
      </c>
      <c r="B256" s="1" t="s">
        <v>511</v>
      </c>
    </row>
    <row r="257" spans="1:2" ht="15.75">
      <c r="A257" s="1" t="s">
        <v>512</v>
      </c>
      <c r="B257" s="1" t="s">
        <v>513</v>
      </c>
    </row>
    <row r="258" spans="1:2" ht="15.75">
      <c r="A258" s="1" t="s">
        <v>514</v>
      </c>
      <c r="B258" s="1" t="s">
        <v>515</v>
      </c>
    </row>
    <row r="259" spans="1:2" ht="15.75">
      <c r="A259" s="1" t="s">
        <v>516</v>
      </c>
      <c r="B259" s="1" t="s">
        <v>517</v>
      </c>
    </row>
    <row r="260" spans="1:2" ht="15.75">
      <c r="A260" s="1" t="s">
        <v>518</v>
      </c>
      <c r="B260" s="1" t="s">
        <v>519</v>
      </c>
    </row>
    <row r="261" spans="1:2" ht="15.75">
      <c r="A261" s="1" t="s">
        <v>520</v>
      </c>
      <c r="B261" s="1" t="s">
        <v>521</v>
      </c>
    </row>
    <row r="262" spans="1:2" ht="15.75">
      <c r="A262" s="1" t="s">
        <v>522</v>
      </c>
      <c r="B262" s="1" t="s">
        <v>523</v>
      </c>
    </row>
    <row r="263" spans="1:2" ht="15.75">
      <c r="A263" s="1" t="s">
        <v>524</v>
      </c>
      <c r="B263" s="1" t="s">
        <v>525</v>
      </c>
    </row>
    <row r="264" spans="1:2" ht="15.75">
      <c r="A264" s="1" t="s">
        <v>526</v>
      </c>
      <c r="B264" s="1" t="s">
        <v>527</v>
      </c>
    </row>
    <row r="265" spans="1:2" ht="15.75">
      <c r="A265" s="1" t="s">
        <v>528</v>
      </c>
      <c r="B265" s="1" t="s">
        <v>529</v>
      </c>
    </row>
    <row r="266" spans="1:2" ht="15.75">
      <c r="A266" s="1" t="s">
        <v>530</v>
      </c>
      <c r="B266" s="1" t="s">
        <v>531</v>
      </c>
    </row>
    <row r="267" spans="1:2" ht="15.75">
      <c r="A267" s="1" t="s">
        <v>532</v>
      </c>
      <c r="B267" s="1" t="s">
        <v>533</v>
      </c>
    </row>
    <row r="268" spans="1:2" ht="15.75">
      <c r="A268" s="1" t="s">
        <v>534</v>
      </c>
      <c r="B268" s="1" t="s">
        <v>535</v>
      </c>
    </row>
    <row r="269" spans="1:2" ht="15.75">
      <c r="A269" s="1" t="s">
        <v>536</v>
      </c>
      <c r="B269" s="1" t="s">
        <v>537</v>
      </c>
    </row>
    <row r="270" spans="1:2" ht="15.75">
      <c r="A270" s="1" t="s">
        <v>538</v>
      </c>
      <c r="B270" s="1" t="s">
        <v>539</v>
      </c>
    </row>
    <row r="271" spans="1:2" ht="15.75">
      <c r="A271" s="1" t="s">
        <v>540</v>
      </c>
      <c r="B271" s="1" t="s">
        <v>541</v>
      </c>
    </row>
    <row r="272" spans="1:2" ht="15.75">
      <c r="A272" s="1" t="s">
        <v>542</v>
      </c>
      <c r="B272" s="1" t="s">
        <v>543</v>
      </c>
    </row>
    <row r="273" spans="1:2" ht="15.75">
      <c r="A273" s="1" t="s">
        <v>544</v>
      </c>
      <c r="B273" s="1" t="s">
        <v>545</v>
      </c>
    </row>
    <row r="274" spans="1:2" ht="15.75">
      <c r="A274" s="1" t="s">
        <v>546</v>
      </c>
      <c r="B274" s="1" t="s">
        <v>547</v>
      </c>
    </row>
    <row r="275" spans="1:2" ht="15.75">
      <c r="A275" s="1" t="s">
        <v>548</v>
      </c>
      <c r="B275" s="1" t="s">
        <v>549</v>
      </c>
    </row>
    <row r="276" spans="1:2" ht="15.75">
      <c r="A276" s="1" t="s">
        <v>550</v>
      </c>
      <c r="B276" s="1" t="s">
        <v>551</v>
      </c>
    </row>
    <row r="277" spans="1:2" ht="15.75">
      <c r="A277" s="1" t="s">
        <v>552</v>
      </c>
      <c r="B277" s="1" t="s">
        <v>553</v>
      </c>
    </row>
    <row r="278" spans="1:2" ht="15.75">
      <c r="A278" s="1" t="s">
        <v>554</v>
      </c>
      <c r="B278" s="1" t="s">
        <v>555</v>
      </c>
    </row>
    <row r="279" spans="1:2" ht="15.75">
      <c r="A279" s="1" t="s">
        <v>556</v>
      </c>
      <c r="B279" s="1" t="s">
        <v>557</v>
      </c>
    </row>
    <row r="280" spans="1:2" ht="15.75">
      <c r="A280" s="1" t="s">
        <v>558</v>
      </c>
      <c r="B280" s="1" t="s">
        <v>559</v>
      </c>
    </row>
    <row r="281" spans="1:2" ht="15.75">
      <c r="A281" s="1" t="s">
        <v>560</v>
      </c>
      <c r="B281" s="1" t="s">
        <v>561</v>
      </c>
    </row>
    <row r="282" spans="1:2" ht="15.75">
      <c r="A282" s="1" t="s">
        <v>562</v>
      </c>
      <c r="B282" s="1" t="s">
        <v>563</v>
      </c>
    </row>
    <row r="283" spans="1:2" ht="15.75">
      <c r="A283" s="1" t="s">
        <v>564</v>
      </c>
      <c r="B283" s="1" t="s">
        <v>565</v>
      </c>
    </row>
    <row r="284" spans="1:2" ht="15.75">
      <c r="A284" s="1" t="s">
        <v>566</v>
      </c>
      <c r="B284" s="1" t="s">
        <v>567</v>
      </c>
    </row>
    <row r="285" spans="1:2" ht="15.75">
      <c r="A285" s="1" t="s">
        <v>568</v>
      </c>
      <c r="B285" s="1" t="s">
        <v>569</v>
      </c>
    </row>
    <row r="286" spans="1:2" ht="15.75">
      <c r="A286" s="1" t="s">
        <v>570</v>
      </c>
      <c r="B286" s="1" t="s">
        <v>571</v>
      </c>
    </row>
    <row r="287" spans="1:2" ht="15.75">
      <c r="A287" s="1" t="s">
        <v>572</v>
      </c>
      <c r="B287" s="1" t="s">
        <v>573</v>
      </c>
    </row>
    <row r="288" spans="1:2" ht="15.75">
      <c r="A288" s="1" t="s">
        <v>574</v>
      </c>
      <c r="B288" s="1" t="s">
        <v>575</v>
      </c>
    </row>
    <row r="289" spans="1:2" ht="15.75">
      <c r="A289" s="1" t="s">
        <v>576</v>
      </c>
      <c r="B289" s="1" t="s">
        <v>577</v>
      </c>
    </row>
    <row r="290" spans="1:2" ht="15.75">
      <c r="A290" s="1" t="s">
        <v>578</v>
      </c>
      <c r="B290" s="1" t="s">
        <v>579</v>
      </c>
    </row>
    <row r="291" spans="1:2" ht="15.75">
      <c r="A291" s="1" t="s">
        <v>580</v>
      </c>
      <c r="B291" s="1" t="s">
        <v>581</v>
      </c>
    </row>
    <row r="292" spans="1:2" ht="15.75">
      <c r="A292" s="1" t="s">
        <v>582</v>
      </c>
      <c r="B292" s="1" t="s">
        <v>583</v>
      </c>
    </row>
    <row r="293" spans="1:2" ht="15.75">
      <c r="A293" s="1" t="s">
        <v>584</v>
      </c>
      <c r="B293" s="1" t="s">
        <v>585</v>
      </c>
    </row>
    <row r="294" spans="1:2" ht="15.75">
      <c r="A294" s="1" t="s">
        <v>586</v>
      </c>
      <c r="B294" s="1" t="s">
        <v>587</v>
      </c>
    </row>
    <row r="295" spans="1:2" ht="15.75">
      <c r="A295" s="1" t="s">
        <v>588</v>
      </c>
      <c r="B295" s="1" t="s">
        <v>589</v>
      </c>
    </row>
    <row r="296" spans="1:2" ht="15.75">
      <c r="A296" s="1" t="s">
        <v>590</v>
      </c>
      <c r="B296" s="1" t="s">
        <v>591</v>
      </c>
    </row>
    <row r="297" spans="1:2" ht="15.75">
      <c r="A297" s="1" t="s">
        <v>592</v>
      </c>
      <c r="B297" s="1" t="s">
        <v>593</v>
      </c>
    </row>
    <row r="298" spans="1:2" ht="15.75">
      <c r="A298" s="1" t="s">
        <v>594</v>
      </c>
      <c r="B298" s="1" t="s">
        <v>595</v>
      </c>
    </row>
    <row r="299" spans="1:2" ht="15.75">
      <c r="A299" s="1" t="s">
        <v>596</v>
      </c>
      <c r="B299" s="1" t="s">
        <v>597</v>
      </c>
    </row>
    <row r="300" spans="1:2" ht="15.75">
      <c r="A300" s="1" t="s">
        <v>598</v>
      </c>
      <c r="B300" s="1" t="s">
        <v>599</v>
      </c>
    </row>
    <row r="301" spans="1:2" ht="15.75">
      <c r="A301" s="1" t="s">
        <v>600</v>
      </c>
      <c r="B301" s="1" t="s">
        <v>601</v>
      </c>
    </row>
    <row r="302" spans="1:2" ht="15.75">
      <c r="A302" s="1" t="s">
        <v>602</v>
      </c>
      <c r="B302" s="1" t="s">
        <v>603</v>
      </c>
    </row>
    <row r="303" spans="1:2" ht="15.75">
      <c r="A303" s="1" t="s">
        <v>604</v>
      </c>
      <c r="B303" s="1" t="s">
        <v>605</v>
      </c>
    </row>
    <row r="304" spans="1:2" ht="15.75">
      <c r="A304" s="1" t="s">
        <v>606</v>
      </c>
      <c r="B304" s="1" t="s">
        <v>607</v>
      </c>
    </row>
    <row r="305" spans="1:2" ht="15.75">
      <c r="A305" s="1" t="s">
        <v>608</v>
      </c>
      <c r="B305" s="1" t="s">
        <v>609</v>
      </c>
    </row>
    <row r="306" spans="1:2" ht="15.75">
      <c r="A306" s="1" t="s">
        <v>610</v>
      </c>
      <c r="B306" s="1" t="s">
        <v>611</v>
      </c>
    </row>
    <row r="307" spans="1:2" ht="15.75">
      <c r="A307" s="1" t="s">
        <v>612</v>
      </c>
      <c r="B307" s="1" t="s">
        <v>613</v>
      </c>
    </row>
    <row r="308" spans="1:2" ht="15.75">
      <c r="A308" s="1" t="s">
        <v>614</v>
      </c>
      <c r="B308" s="1" t="s">
        <v>615</v>
      </c>
    </row>
    <row r="309" spans="1:2" ht="15.75">
      <c r="A309" s="1" t="s">
        <v>616</v>
      </c>
      <c r="B309" s="1" t="s">
        <v>617</v>
      </c>
    </row>
    <row r="310" spans="1:2" ht="15.75">
      <c r="A310" s="1" t="s">
        <v>618</v>
      </c>
      <c r="B310" s="1" t="s">
        <v>619</v>
      </c>
    </row>
    <row r="311" spans="1:2" ht="15.75">
      <c r="A311" s="1" t="s">
        <v>620</v>
      </c>
      <c r="B311" s="1" t="s">
        <v>621</v>
      </c>
    </row>
    <row r="312" spans="1:2" ht="15.75">
      <c r="A312" s="1" t="s">
        <v>622</v>
      </c>
      <c r="B312" s="1" t="s">
        <v>623</v>
      </c>
    </row>
    <row r="313" spans="1:2" ht="15.75">
      <c r="A313" s="1" t="s">
        <v>624</v>
      </c>
      <c r="B313" s="1" t="s">
        <v>625</v>
      </c>
    </row>
    <row r="314" spans="1:2" ht="15.75">
      <c r="A314" s="1" t="s">
        <v>626</v>
      </c>
      <c r="B314" s="1" t="s">
        <v>627</v>
      </c>
    </row>
    <row r="315" spans="1:2" ht="15.75">
      <c r="A315" s="1" t="s">
        <v>628</v>
      </c>
      <c r="B315" s="1" t="s">
        <v>629</v>
      </c>
    </row>
    <row r="316" spans="1:2" ht="15.75">
      <c r="A316" s="1" t="s">
        <v>630</v>
      </c>
      <c r="B316" s="1" t="s">
        <v>631</v>
      </c>
    </row>
    <row r="317" spans="1:2" ht="15.75">
      <c r="A317" s="1" t="s">
        <v>632</v>
      </c>
      <c r="B317" s="1" t="s">
        <v>633</v>
      </c>
    </row>
    <row r="318" spans="1:2" ht="15.75">
      <c r="A318" s="1" t="s">
        <v>634</v>
      </c>
      <c r="B318" s="1" t="s">
        <v>635</v>
      </c>
    </row>
    <row r="319" spans="1:2" ht="15.75">
      <c r="A319" s="1" t="s">
        <v>636</v>
      </c>
      <c r="B319" s="1" t="s">
        <v>637</v>
      </c>
    </row>
    <row r="320" spans="1:2" ht="15.75">
      <c r="A320" s="1" t="s">
        <v>638</v>
      </c>
      <c r="B320" s="1" t="s">
        <v>639</v>
      </c>
    </row>
    <row r="321" spans="1:2" ht="15.75">
      <c r="A321" s="1" t="s">
        <v>640</v>
      </c>
      <c r="B321" s="1" t="s">
        <v>641</v>
      </c>
    </row>
    <row r="322" spans="1:2" ht="15.75">
      <c r="A322" s="1" t="s">
        <v>642</v>
      </c>
      <c r="B322" s="1" t="s">
        <v>643</v>
      </c>
    </row>
    <row r="323" spans="1:2" ht="15.75">
      <c r="A323" s="1" t="s">
        <v>644</v>
      </c>
      <c r="B323" s="1" t="s">
        <v>645</v>
      </c>
    </row>
    <row r="324" spans="1:2" ht="15.75">
      <c r="A324" s="1" t="s">
        <v>646</v>
      </c>
      <c r="B324" s="1" t="s">
        <v>647</v>
      </c>
    </row>
    <row r="325" spans="1:2" ht="15.75">
      <c r="A325" s="1" t="s">
        <v>648</v>
      </c>
      <c r="B325" s="1" t="s">
        <v>649</v>
      </c>
    </row>
    <row r="326" spans="1:2" ht="15.75">
      <c r="A326" s="1" t="s">
        <v>650</v>
      </c>
      <c r="B326" s="1" t="s">
        <v>651</v>
      </c>
    </row>
    <row r="327" spans="1:2" ht="15.75">
      <c r="A327" s="1" t="s">
        <v>652</v>
      </c>
      <c r="B327" s="1" t="s">
        <v>653</v>
      </c>
    </row>
    <row r="328" spans="1:2" ht="15.75">
      <c r="A328" s="1" t="s">
        <v>654</v>
      </c>
      <c r="B328" s="1" t="s">
        <v>655</v>
      </c>
    </row>
    <row r="329" spans="1:2" ht="15.75">
      <c r="A329" s="1" t="s">
        <v>656</v>
      </c>
      <c r="B329" s="1" t="s">
        <v>657</v>
      </c>
    </row>
    <row r="330" spans="1:2" ht="15.75">
      <c r="A330" s="1" t="s">
        <v>658</v>
      </c>
      <c r="B330" s="1" t="s">
        <v>659</v>
      </c>
    </row>
    <row r="331" spans="1:2" ht="15.75">
      <c r="A331" s="1" t="s">
        <v>660</v>
      </c>
      <c r="B331" s="1" t="s">
        <v>661</v>
      </c>
    </row>
    <row r="332" spans="1:2" ht="15.75">
      <c r="A332" s="1" t="s">
        <v>662</v>
      </c>
      <c r="B332" s="1" t="s">
        <v>663</v>
      </c>
    </row>
    <row r="333" spans="1:2" ht="15.75">
      <c r="A333" s="1" t="s">
        <v>664</v>
      </c>
      <c r="B333" s="1" t="s">
        <v>665</v>
      </c>
    </row>
    <row r="334" spans="1:2" ht="15.75">
      <c r="A334" s="1" t="s">
        <v>666</v>
      </c>
      <c r="B334" s="1" t="s">
        <v>667</v>
      </c>
    </row>
    <row r="335" spans="1:2" ht="15.75">
      <c r="A335" s="1" t="s">
        <v>668</v>
      </c>
      <c r="B335" s="1" t="s">
        <v>669</v>
      </c>
    </row>
    <row r="336" spans="1:2" ht="15.75">
      <c r="A336" s="1" t="s">
        <v>670</v>
      </c>
      <c r="B336" s="1" t="s">
        <v>671</v>
      </c>
    </row>
    <row r="337" spans="1:2" ht="15.75">
      <c r="A337" s="1" t="s">
        <v>672</v>
      </c>
      <c r="B337" s="1" t="s">
        <v>673</v>
      </c>
    </row>
    <row r="338" spans="1:2" ht="15.75">
      <c r="A338" s="1" t="s">
        <v>674</v>
      </c>
      <c r="B338" s="1" t="s">
        <v>675</v>
      </c>
    </row>
    <row r="339" spans="1:2" ht="15.75">
      <c r="A339" s="1" t="s">
        <v>676</v>
      </c>
      <c r="B339" s="1" t="s">
        <v>677</v>
      </c>
    </row>
    <row r="340" spans="1:2" ht="15.75">
      <c r="A340" s="1" t="s">
        <v>678</v>
      </c>
      <c r="B340" s="1" t="s">
        <v>679</v>
      </c>
    </row>
    <row r="341" spans="1:2" ht="15.75">
      <c r="A341" s="1" t="s">
        <v>680</v>
      </c>
      <c r="B341" s="1" t="s">
        <v>681</v>
      </c>
    </row>
    <row r="342" spans="1:2" ht="15.75">
      <c r="A342" s="1" t="s">
        <v>682</v>
      </c>
      <c r="B342" s="1" t="s">
        <v>683</v>
      </c>
    </row>
    <row r="343" spans="1:2" ht="15.75">
      <c r="A343" s="1" t="s">
        <v>684</v>
      </c>
      <c r="B343" s="1" t="s">
        <v>685</v>
      </c>
    </row>
    <row r="344" spans="1:2" ht="15.75">
      <c r="A344" s="1" t="s">
        <v>686</v>
      </c>
      <c r="B344" s="1" t="s">
        <v>687</v>
      </c>
    </row>
    <row r="345" spans="1:2" ht="15.75">
      <c r="A345" s="1" t="s">
        <v>688</v>
      </c>
      <c r="B345" s="1" t="s">
        <v>689</v>
      </c>
    </row>
    <row r="346" spans="1:2" ht="15.75">
      <c r="A346" s="1" t="s">
        <v>690</v>
      </c>
      <c r="B346" s="1" t="s">
        <v>691</v>
      </c>
    </row>
    <row r="347" spans="1:2" ht="15.75">
      <c r="A347" s="1" t="s">
        <v>692</v>
      </c>
      <c r="B347" s="1" t="s">
        <v>693</v>
      </c>
    </row>
    <row r="348" spans="1:2" ht="15.75">
      <c r="A348" s="1" t="s">
        <v>694</v>
      </c>
      <c r="B348" s="1" t="s">
        <v>695</v>
      </c>
    </row>
    <row r="349" spans="1:2" ht="15.75">
      <c r="A349" s="1" t="s">
        <v>696</v>
      </c>
      <c r="B349" s="1" t="s">
        <v>697</v>
      </c>
    </row>
    <row r="350" spans="1:2" ht="15.75">
      <c r="A350" s="1" t="s">
        <v>698</v>
      </c>
      <c r="B350" s="1" t="s">
        <v>699</v>
      </c>
    </row>
    <row r="351" spans="1:2" ht="15.75">
      <c r="A351" s="1" t="s">
        <v>700</v>
      </c>
      <c r="B351" s="1" t="s">
        <v>701</v>
      </c>
    </row>
    <row r="352" spans="1:2" ht="15.75">
      <c r="A352" s="1" t="s">
        <v>702</v>
      </c>
      <c r="B352" s="1" t="s">
        <v>703</v>
      </c>
    </row>
    <row r="353" spans="1:2" ht="15.75">
      <c r="A353" s="1" t="s">
        <v>704</v>
      </c>
      <c r="B353" s="1" t="s">
        <v>705</v>
      </c>
    </row>
    <row r="354" spans="1:2" ht="15.75">
      <c r="A354" s="1" t="s">
        <v>706</v>
      </c>
      <c r="B354" s="1" t="s">
        <v>707</v>
      </c>
    </row>
    <row r="355" spans="1:2" ht="15.75">
      <c r="A355" s="1" t="s">
        <v>708</v>
      </c>
      <c r="B355" s="1" t="s">
        <v>709</v>
      </c>
    </row>
    <row r="356" spans="1:2" ht="15.75">
      <c r="A356" s="1" t="s">
        <v>710</v>
      </c>
      <c r="B356" s="1" t="s">
        <v>711</v>
      </c>
    </row>
    <row r="357" spans="1:2" ht="15.75">
      <c r="A357" s="1" t="s">
        <v>712</v>
      </c>
      <c r="B357" s="1" t="s">
        <v>713</v>
      </c>
    </row>
    <row r="358" spans="1:2" ht="15.75">
      <c r="A358" s="1" t="s">
        <v>714</v>
      </c>
      <c r="B358" s="1" t="s">
        <v>715</v>
      </c>
    </row>
    <row r="359" spans="1:2" ht="15.75">
      <c r="A359" s="1" t="s">
        <v>716</v>
      </c>
      <c r="B359" s="1" t="s">
        <v>717</v>
      </c>
    </row>
    <row r="360" spans="1:2" ht="15.75">
      <c r="A360" s="1" t="s">
        <v>718</v>
      </c>
      <c r="B360" s="1" t="s">
        <v>719</v>
      </c>
    </row>
    <row r="361" spans="1:2" ht="15.75">
      <c r="A361" s="1" t="s">
        <v>720</v>
      </c>
      <c r="B361" s="1" t="s">
        <v>721</v>
      </c>
    </row>
    <row r="362" spans="1:2" ht="15.75">
      <c r="A362" s="1" t="s">
        <v>722</v>
      </c>
      <c r="B362" s="1" t="s">
        <v>723</v>
      </c>
    </row>
    <row r="363" spans="1:2" ht="15.75">
      <c r="A363" s="1" t="s">
        <v>724</v>
      </c>
      <c r="B363" s="1" t="s">
        <v>725</v>
      </c>
    </row>
    <row r="364" spans="1:2" ht="15.75">
      <c r="A364" s="1" t="s">
        <v>726</v>
      </c>
      <c r="B364" s="1" t="s">
        <v>727</v>
      </c>
    </row>
    <row r="365" spans="1:2" ht="15.75">
      <c r="A365" s="1" t="s">
        <v>728</v>
      </c>
      <c r="B365" s="1" t="s">
        <v>729</v>
      </c>
    </row>
    <row r="366" spans="1:2" ht="15.75">
      <c r="A366" s="1" t="s">
        <v>730</v>
      </c>
      <c r="B366" s="1" t="s">
        <v>731</v>
      </c>
    </row>
    <row r="367" spans="1:2" ht="15.75">
      <c r="A367" s="1" t="s">
        <v>732</v>
      </c>
      <c r="B367" s="1" t="s">
        <v>733</v>
      </c>
    </row>
    <row r="368" spans="1:2" ht="15.75">
      <c r="A368" s="1" t="s">
        <v>734</v>
      </c>
      <c r="B368" s="1" t="s">
        <v>735</v>
      </c>
    </row>
    <row r="369" spans="1:2" ht="15.75">
      <c r="A369" s="1" t="s">
        <v>736</v>
      </c>
      <c r="B369" s="1" t="s">
        <v>737</v>
      </c>
    </row>
    <row r="370" spans="1:2" ht="15.75">
      <c r="A370" s="1" t="s">
        <v>738</v>
      </c>
      <c r="B370" s="1" t="s">
        <v>739</v>
      </c>
    </row>
    <row r="371" spans="1:2" ht="15.75">
      <c r="A371" s="1" t="s">
        <v>740</v>
      </c>
      <c r="B371" s="1" t="s">
        <v>741</v>
      </c>
    </row>
    <row r="372" spans="1:2" ht="15.75">
      <c r="A372" s="1" t="s">
        <v>742</v>
      </c>
      <c r="B372" s="1" t="s">
        <v>743</v>
      </c>
    </row>
    <row r="373" spans="1:2" ht="15.75">
      <c r="A373" s="1" t="s">
        <v>744</v>
      </c>
      <c r="B373" s="1" t="s">
        <v>745</v>
      </c>
    </row>
    <row r="374" spans="1:2" ht="15.75">
      <c r="A374" s="1" t="s">
        <v>746</v>
      </c>
      <c r="B374" s="1" t="s">
        <v>747</v>
      </c>
    </row>
    <row r="375" spans="1:2" ht="15.75">
      <c r="A375" s="1" t="s">
        <v>748</v>
      </c>
      <c r="B375" s="1" t="s">
        <v>749</v>
      </c>
    </row>
    <row r="376" spans="1:2" ht="15.75">
      <c r="A376" s="1" t="s">
        <v>750</v>
      </c>
      <c r="B376" s="1" t="s">
        <v>751</v>
      </c>
    </row>
    <row r="377" spans="1:2" ht="15.75">
      <c r="A377" s="1" t="s">
        <v>752</v>
      </c>
      <c r="B377" s="1" t="s">
        <v>753</v>
      </c>
    </row>
    <row r="378" spans="1:2" ht="15.75">
      <c r="A378" s="1" t="s">
        <v>754</v>
      </c>
      <c r="B378" s="1" t="s">
        <v>755</v>
      </c>
    </row>
    <row r="379" spans="1:2" ht="15.75">
      <c r="A379" s="1" t="s">
        <v>756</v>
      </c>
      <c r="B379" s="1" t="s">
        <v>757</v>
      </c>
    </row>
    <row r="380" spans="1:2" ht="15.75">
      <c r="A380" s="1" t="s">
        <v>758</v>
      </c>
      <c r="B380" s="1" t="s">
        <v>759</v>
      </c>
    </row>
    <row r="381" spans="1:2" ht="15.75">
      <c r="A381" s="1" t="s">
        <v>760</v>
      </c>
      <c r="B381" s="1" t="s">
        <v>761</v>
      </c>
    </row>
    <row r="382" spans="1:2" ht="15.75">
      <c r="A382" s="1" t="s">
        <v>762</v>
      </c>
      <c r="B382" s="1" t="s">
        <v>763</v>
      </c>
    </row>
    <row r="383" spans="1:2" ht="15.75">
      <c r="A383" s="1" t="s">
        <v>764</v>
      </c>
      <c r="B383" s="1" t="s">
        <v>765</v>
      </c>
    </row>
    <row r="384" spans="1:2" ht="15.75">
      <c r="A384" s="1" t="s">
        <v>766</v>
      </c>
      <c r="B384" s="1" t="s">
        <v>767</v>
      </c>
    </row>
    <row r="385" spans="1:2" ht="15.75">
      <c r="A385" s="1" t="s">
        <v>768</v>
      </c>
      <c r="B385" s="1" t="s">
        <v>769</v>
      </c>
    </row>
    <row r="386" spans="1:2" ht="15.75">
      <c r="A386" s="1" t="s">
        <v>770</v>
      </c>
      <c r="B386" s="1" t="s">
        <v>771</v>
      </c>
    </row>
    <row r="387" spans="1:2" ht="15.75">
      <c r="A387" s="1" t="s">
        <v>772</v>
      </c>
      <c r="B387" s="1" t="s">
        <v>773</v>
      </c>
    </row>
    <row r="388" spans="1:2" ht="15.75">
      <c r="A388" s="1" t="s">
        <v>774</v>
      </c>
      <c r="B388" s="1" t="s">
        <v>775</v>
      </c>
    </row>
    <row r="389" spans="1:2" ht="15.75">
      <c r="A389" s="1" t="s">
        <v>776</v>
      </c>
      <c r="B389" s="1" t="s">
        <v>777</v>
      </c>
    </row>
    <row r="390" spans="1:2" ht="15.75">
      <c r="A390" s="1" t="s">
        <v>778</v>
      </c>
      <c r="B390" s="1" t="s">
        <v>779</v>
      </c>
    </row>
    <row r="391" spans="1:2" ht="15.75">
      <c r="A391" s="1" t="s">
        <v>780</v>
      </c>
      <c r="B391" s="1" t="s">
        <v>781</v>
      </c>
    </row>
    <row r="392" spans="1:2" ht="15.75">
      <c r="A392" s="1" t="s">
        <v>782</v>
      </c>
      <c r="B392" s="1" t="s">
        <v>783</v>
      </c>
    </row>
    <row r="393" spans="1:2" ht="15.75">
      <c r="A393" s="1" t="s">
        <v>784</v>
      </c>
      <c r="B393" s="1" t="s">
        <v>785</v>
      </c>
    </row>
    <row r="394" spans="1:2" ht="15.75">
      <c r="A394" s="1" t="s">
        <v>786</v>
      </c>
      <c r="B394" s="1" t="s">
        <v>787</v>
      </c>
    </row>
    <row r="395" spans="1:2" ht="15.75">
      <c r="A395" s="1" t="s">
        <v>788</v>
      </c>
      <c r="B395" s="1" t="s">
        <v>789</v>
      </c>
    </row>
    <row r="396" spans="1:2" ht="15.75">
      <c r="A396" s="1" t="s">
        <v>790</v>
      </c>
      <c r="B396" s="1" t="s">
        <v>791</v>
      </c>
    </row>
    <row r="397" spans="1:2" ht="15.75">
      <c r="A397" s="1" t="s">
        <v>792</v>
      </c>
      <c r="B397" s="1" t="s">
        <v>793</v>
      </c>
    </row>
    <row r="398" spans="1:2" ht="15.75">
      <c r="A398" s="1" t="s">
        <v>794</v>
      </c>
      <c r="B398" s="1" t="s">
        <v>795</v>
      </c>
    </row>
    <row r="399" spans="1:2" ht="15.75">
      <c r="A399" s="1" t="s">
        <v>796</v>
      </c>
      <c r="B399" s="1" t="s">
        <v>797</v>
      </c>
    </row>
    <row r="400" spans="1:2" ht="15.75">
      <c r="A400" s="1" t="s">
        <v>798</v>
      </c>
      <c r="B400" s="1" t="s">
        <v>799</v>
      </c>
    </row>
    <row r="401" spans="1:2" ht="15.75">
      <c r="A401" s="1" t="s">
        <v>800</v>
      </c>
      <c r="B401" s="1" t="s">
        <v>801</v>
      </c>
    </row>
    <row r="402" spans="1:2" ht="15.75">
      <c r="A402" s="1" t="s">
        <v>802</v>
      </c>
      <c r="B402" s="1" t="s">
        <v>803</v>
      </c>
    </row>
    <row r="403" spans="1:2" ht="15.75">
      <c r="A403" s="1" t="s">
        <v>804</v>
      </c>
      <c r="B403" s="1" t="s">
        <v>805</v>
      </c>
    </row>
    <row r="404" spans="1:2" ht="15.75">
      <c r="A404" s="1" t="s">
        <v>806</v>
      </c>
      <c r="B404" s="1" t="s">
        <v>807</v>
      </c>
    </row>
    <row r="405" spans="1:2" ht="15.75">
      <c r="A405" s="1" t="s">
        <v>808</v>
      </c>
      <c r="B405" s="1" t="s">
        <v>809</v>
      </c>
    </row>
    <row r="406" spans="1:2" ht="15.75">
      <c r="A406" s="1" t="s">
        <v>810</v>
      </c>
      <c r="B406" s="1" t="s">
        <v>811</v>
      </c>
    </row>
    <row r="407" spans="1:2" ht="15.75">
      <c r="A407" s="1" t="s">
        <v>812</v>
      </c>
      <c r="B407" s="1" t="s">
        <v>813</v>
      </c>
    </row>
    <row r="408" spans="1:2" ht="15.75">
      <c r="A408" s="1" t="s">
        <v>814</v>
      </c>
      <c r="B408" s="1" t="s">
        <v>815</v>
      </c>
    </row>
    <row r="409" spans="1:2" ht="15.75">
      <c r="A409" s="1" t="s">
        <v>816</v>
      </c>
      <c r="B409" s="1" t="s">
        <v>817</v>
      </c>
    </row>
    <row r="410" spans="1:2" ht="15.75">
      <c r="A410" s="1" t="s">
        <v>818</v>
      </c>
      <c r="B410" s="1" t="s">
        <v>819</v>
      </c>
    </row>
    <row r="411" spans="1:2" ht="15.75">
      <c r="A411" s="1" t="s">
        <v>820</v>
      </c>
      <c r="B411" s="1" t="s">
        <v>821</v>
      </c>
    </row>
    <row r="412" spans="1:2" ht="15.75">
      <c r="A412" s="1" t="s">
        <v>822</v>
      </c>
      <c r="B412" s="1" t="s">
        <v>823</v>
      </c>
    </row>
    <row r="413" spans="1:2" ht="15.75">
      <c r="A413" s="1" t="s">
        <v>824</v>
      </c>
      <c r="B413" s="1" t="s">
        <v>825</v>
      </c>
    </row>
    <row r="414" spans="1:2" ht="15.75">
      <c r="A414" s="1" t="s">
        <v>826</v>
      </c>
      <c r="B414" s="1" t="s">
        <v>827</v>
      </c>
    </row>
    <row r="415" spans="1:2" ht="15.75">
      <c r="A415" s="1" t="s">
        <v>828</v>
      </c>
      <c r="B415" s="1" t="s">
        <v>829</v>
      </c>
    </row>
    <row r="416" spans="1:2" ht="15.75">
      <c r="A416" s="1" t="s">
        <v>830</v>
      </c>
      <c r="B416" s="1" t="s">
        <v>831</v>
      </c>
    </row>
    <row r="417" spans="1:2" ht="15.75">
      <c r="A417" s="1" t="s">
        <v>832</v>
      </c>
      <c r="B417" s="1" t="s">
        <v>833</v>
      </c>
    </row>
    <row r="418" spans="1:2" ht="15.75">
      <c r="A418" s="1" t="s">
        <v>834</v>
      </c>
      <c r="B418" s="1" t="s">
        <v>835</v>
      </c>
    </row>
    <row r="419" spans="1:2" ht="15.75">
      <c r="A419" s="1" t="s">
        <v>836</v>
      </c>
      <c r="B419" s="1" t="s">
        <v>837</v>
      </c>
    </row>
    <row r="420" spans="1:2" ht="15.75">
      <c r="A420" s="1" t="s">
        <v>838</v>
      </c>
      <c r="B420" s="1" t="s">
        <v>839</v>
      </c>
    </row>
    <row r="421" spans="1:2" ht="15.75">
      <c r="A421" s="1" t="s">
        <v>840</v>
      </c>
      <c r="B421" s="1" t="s">
        <v>841</v>
      </c>
    </row>
    <row r="422" spans="1:2" ht="15.75">
      <c r="A422" s="1" t="s">
        <v>842</v>
      </c>
      <c r="B422" s="1" t="s">
        <v>843</v>
      </c>
    </row>
    <row r="423" spans="1:2" ht="15.75">
      <c r="A423" s="1" t="s">
        <v>844</v>
      </c>
      <c r="B423" s="1" t="s">
        <v>845</v>
      </c>
    </row>
    <row r="424" spans="1:2" ht="15.75">
      <c r="A424" s="1" t="s">
        <v>846</v>
      </c>
      <c r="B424" s="1" t="s">
        <v>847</v>
      </c>
    </row>
    <row r="425" spans="1:2" ht="15.75">
      <c r="A425" s="1" t="s">
        <v>848</v>
      </c>
      <c r="B425" s="1" t="s">
        <v>849</v>
      </c>
    </row>
    <row r="426" spans="1:2" ht="15.75">
      <c r="A426" s="1" t="s">
        <v>850</v>
      </c>
      <c r="B426" s="1" t="s">
        <v>851</v>
      </c>
    </row>
    <row r="427" spans="1:2" ht="15.75">
      <c r="A427" s="1" t="s">
        <v>852</v>
      </c>
      <c r="B427" s="1" t="s">
        <v>853</v>
      </c>
    </row>
    <row r="428" spans="1:2" ht="15.75">
      <c r="A428" s="1" t="s">
        <v>854</v>
      </c>
      <c r="B428" s="1" t="s">
        <v>855</v>
      </c>
    </row>
    <row r="429" spans="1:2" ht="15.75">
      <c r="A429" s="1" t="s">
        <v>856</v>
      </c>
      <c r="B429" s="1" t="s">
        <v>857</v>
      </c>
    </row>
    <row r="430" spans="1:2" ht="15.75">
      <c r="A430" s="1" t="s">
        <v>858</v>
      </c>
      <c r="B430" s="1" t="s">
        <v>859</v>
      </c>
    </row>
    <row r="431" spans="1:2" ht="15.75">
      <c r="A431" s="1" t="s">
        <v>860</v>
      </c>
      <c r="B431" s="1" t="s">
        <v>861</v>
      </c>
    </row>
    <row r="432" spans="1:2" ht="15.75">
      <c r="A432" s="1" t="s">
        <v>862</v>
      </c>
      <c r="B432" s="1" t="s">
        <v>863</v>
      </c>
    </row>
    <row r="433" spans="1:2" ht="15.75">
      <c r="A433" s="1" t="s">
        <v>864</v>
      </c>
      <c r="B433" s="1" t="s">
        <v>865</v>
      </c>
    </row>
    <row r="434" spans="1:2" ht="15.75">
      <c r="A434" s="1" t="s">
        <v>866</v>
      </c>
      <c r="B434" s="1" t="s">
        <v>867</v>
      </c>
    </row>
    <row r="435" spans="1:2" ht="15.75">
      <c r="A435" s="1" t="s">
        <v>868</v>
      </c>
      <c r="B435" s="1" t="s">
        <v>869</v>
      </c>
    </row>
    <row r="436" spans="1:2" ht="15.75">
      <c r="A436" s="1" t="s">
        <v>870</v>
      </c>
      <c r="B436" s="1" t="s">
        <v>871</v>
      </c>
    </row>
    <row r="437" spans="1:2" ht="15.75">
      <c r="A437" s="1" t="s">
        <v>872</v>
      </c>
      <c r="B437" s="1" t="s">
        <v>873</v>
      </c>
    </row>
    <row r="438" spans="1:2" ht="15.75">
      <c r="A438" s="1" t="s">
        <v>874</v>
      </c>
      <c r="B438" s="1" t="s">
        <v>875</v>
      </c>
    </row>
    <row r="439" spans="1:2" ht="15.75">
      <c r="A439" s="1" t="s">
        <v>876</v>
      </c>
      <c r="B439" s="1" t="s">
        <v>877</v>
      </c>
    </row>
    <row r="440" spans="1:2" ht="15.75">
      <c r="A440" s="1" t="s">
        <v>878</v>
      </c>
      <c r="B440" s="1" t="s">
        <v>879</v>
      </c>
    </row>
    <row r="441" spans="1:2" ht="15.75">
      <c r="A441" s="1" t="s">
        <v>880</v>
      </c>
      <c r="B441" s="1" t="s">
        <v>881</v>
      </c>
    </row>
    <row r="442" spans="1:2" ht="15.75">
      <c r="A442" s="1" t="s">
        <v>882</v>
      </c>
      <c r="B442" s="1" t="s">
        <v>883</v>
      </c>
    </row>
    <row r="443" spans="1:2" ht="15.75">
      <c r="A443" s="1" t="s">
        <v>884</v>
      </c>
      <c r="B443" s="1" t="s">
        <v>885</v>
      </c>
    </row>
    <row r="444" spans="1:2" ht="15.75">
      <c r="A444" s="1" t="s">
        <v>886</v>
      </c>
      <c r="B444" s="1" t="s">
        <v>887</v>
      </c>
    </row>
    <row r="445" spans="1:2" ht="15.75">
      <c r="A445" s="1" t="s">
        <v>888</v>
      </c>
      <c r="B445" s="1" t="s">
        <v>889</v>
      </c>
    </row>
    <row r="446" spans="1:2" ht="15.75">
      <c r="A446" s="1" t="s">
        <v>890</v>
      </c>
      <c r="B446" s="1" t="s">
        <v>891</v>
      </c>
    </row>
    <row r="447" spans="1:2" ht="15.75">
      <c r="A447" s="1" t="s">
        <v>892</v>
      </c>
      <c r="B447" s="1" t="s">
        <v>893</v>
      </c>
    </row>
    <row r="448" spans="1:2" ht="15.75">
      <c r="A448" s="1" t="s">
        <v>894</v>
      </c>
      <c r="B448" s="1" t="s">
        <v>895</v>
      </c>
    </row>
    <row r="449" spans="1:2" ht="15.75">
      <c r="A449" s="1" t="s">
        <v>896</v>
      </c>
      <c r="B449" s="1" t="s">
        <v>897</v>
      </c>
    </row>
    <row r="450" spans="1:2" ht="15.75">
      <c r="A450" s="1" t="s">
        <v>898</v>
      </c>
      <c r="B450" s="1" t="s">
        <v>899</v>
      </c>
    </row>
    <row r="451" spans="1:2" ht="15.75">
      <c r="A451" s="1" t="s">
        <v>900</v>
      </c>
      <c r="B451" s="1" t="s">
        <v>901</v>
      </c>
    </row>
    <row r="452" spans="1:2" ht="15.75">
      <c r="A452" s="1" t="s">
        <v>902</v>
      </c>
      <c r="B452" s="1" t="s">
        <v>903</v>
      </c>
    </row>
    <row r="453" spans="1:2" ht="15.75">
      <c r="A453" s="1" t="s">
        <v>904</v>
      </c>
      <c r="B453" s="1" t="s">
        <v>905</v>
      </c>
    </row>
    <row r="454" spans="1:2" ht="15.75">
      <c r="A454" s="1" t="s">
        <v>906</v>
      </c>
      <c r="B454" s="1" t="s">
        <v>907</v>
      </c>
    </row>
    <row r="455" spans="1:2" ht="15.75">
      <c r="A455" s="1" t="s">
        <v>908</v>
      </c>
      <c r="B455" s="1" t="s">
        <v>909</v>
      </c>
    </row>
    <row r="456" spans="1:2" ht="15.75">
      <c r="A456" s="1" t="s">
        <v>910</v>
      </c>
      <c r="B456" s="1" t="s">
        <v>911</v>
      </c>
    </row>
    <row r="457" spans="1:2" ht="15.75">
      <c r="A457" s="1" t="s">
        <v>912</v>
      </c>
      <c r="B457" s="1" t="s">
        <v>913</v>
      </c>
    </row>
    <row r="458" spans="1:2" ht="15.75">
      <c r="A458" s="1" t="s">
        <v>914</v>
      </c>
      <c r="B458" s="1" t="s">
        <v>915</v>
      </c>
    </row>
    <row r="459" spans="1:2" ht="15.75">
      <c r="A459" s="1" t="s">
        <v>916</v>
      </c>
      <c r="B459" s="1" t="s">
        <v>917</v>
      </c>
    </row>
    <row r="460" spans="1:2" ht="15.75">
      <c r="A460" s="1" t="s">
        <v>918</v>
      </c>
      <c r="B460" s="1" t="s">
        <v>919</v>
      </c>
    </row>
    <row r="461" spans="1:2" ht="15.75">
      <c r="A461" s="1" t="s">
        <v>920</v>
      </c>
      <c r="B461" s="1" t="s">
        <v>921</v>
      </c>
    </row>
    <row r="462" spans="1:2" ht="15.75">
      <c r="A462" s="1" t="s">
        <v>922</v>
      </c>
      <c r="B462" s="1" t="s">
        <v>923</v>
      </c>
    </row>
    <row r="463" spans="1:2" ht="15.75">
      <c r="A463" s="1" t="s">
        <v>924</v>
      </c>
      <c r="B463" s="1" t="s">
        <v>925</v>
      </c>
    </row>
    <row r="464" spans="1:2" ht="15.75">
      <c r="A464" s="1" t="s">
        <v>926</v>
      </c>
      <c r="B464" s="1" t="s">
        <v>927</v>
      </c>
    </row>
    <row r="465" spans="1:2" ht="15.75">
      <c r="A465" s="1" t="s">
        <v>928</v>
      </c>
      <c r="B465" s="1" t="s">
        <v>929</v>
      </c>
    </row>
    <row r="466" spans="1:2" ht="15.75">
      <c r="A466" s="1" t="s">
        <v>930</v>
      </c>
      <c r="B466" s="1" t="s">
        <v>931</v>
      </c>
    </row>
    <row r="467" spans="1:2" ht="15.75">
      <c r="A467" s="1" t="s">
        <v>932</v>
      </c>
      <c r="B467" s="1" t="s">
        <v>933</v>
      </c>
    </row>
    <row r="468" spans="1:2" ht="15.75">
      <c r="A468" s="1" t="s">
        <v>934</v>
      </c>
      <c r="B468" s="1" t="s">
        <v>935</v>
      </c>
    </row>
    <row r="469" spans="1:2" ht="15.75">
      <c r="A469" s="1" t="s">
        <v>936</v>
      </c>
      <c r="B469" s="1" t="s">
        <v>937</v>
      </c>
    </row>
    <row r="470" spans="1:2" ht="15.75">
      <c r="A470" s="1" t="s">
        <v>938</v>
      </c>
      <c r="B470" s="1" t="s">
        <v>939</v>
      </c>
    </row>
    <row r="471" spans="1:2" ht="15.75">
      <c r="A471" s="1" t="s">
        <v>940</v>
      </c>
      <c r="B471" s="1" t="s">
        <v>941</v>
      </c>
    </row>
    <row r="472" spans="1:2" ht="15.75">
      <c r="A472" s="1" t="s">
        <v>942</v>
      </c>
      <c r="B472" s="1" t="s">
        <v>943</v>
      </c>
    </row>
    <row r="473" spans="1:2" ht="15.75">
      <c r="A473" s="1" t="s">
        <v>944</v>
      </c>
      <c r="B473" s="1" t="s">
        <v>945</v>
      </c>
    </row>
    <row r="474" spans="1:2" ht="15.75">
      <c r="A474" s="1" t="s">
        <v>946</v>
      </c>
      <c r="B474" s="1" t="s">
        <v>947</v>
      </c>
    </row>
    <row r="475" spans="1:2" ht="15.75">
      <c r="A475" s="1" t="s">
        <v>948</v>
      </c>
      <c r="B475" s="1" t="s">
        <v>949</v>
      </c>
    </row>
    <row r="476" spans="1:2" ht="15.75">
      <c r="A476" s="1" t="s">
        <v>950</v>
      </c>
      <c r="B476" s="1" t="s">
        <v>951</v>
      </c>
    </row>
    <row r="477" spans="1:2" ht="15.75">
      <c r="A477" s="1" t="s">
        <v>952</v>
      </c>
      <c r="B477" s="1" t="s">
        <v>953</v>
      </c>
    </row>
    <row r="478" spans="1:2" ht="15.75">
      <c r="A478" s="1" t="s">
        <v>954</v>
      </c>
      <c r="B478" s="1" t="s">
        <v>955</v>
      </c>
    </row>
    <row r="479" spans="1:2" ht="15.75">
      <c r="A479" s="1" t="s">
        <v>956</v>
      </c>
      <c r="B479" s="1" t="s">
        <v>957</v>
      </c>
    </row>
    <row r="480" spans="1:2" ht="15.75">
      <c r="A480" s="1" t="s">
        <v>958</v>
      </c>
      <c r="B480" s="1" t="s">
        <v>959</v>
      </c>
    </row>
    <row r="481" spans="1:2" ht="15.75">
      <c r="A481" s="1" t="s">
        <v>960</v>
      </c>
      <c r="B481" s="1" t="s">
        <v>961</v>
      </c>
    </row>
    <row r="482" spans="1:2" ht="15.75">
      <c r="A482" s="1" t="s">
        <v>962</v>
      </c>
      <c r="B482" s="1" t="s">
        <v>963</v>
      </c>
    </row>
    <row r="483" spans="1:2" ht="15.75">
      <c r="A483" s="1" t="s">
        <v>964</v>
      </c>
      <c r="B483" s="1" t="s">
        <v>965</v>
      </c>
    </row>
    <row r="484" spans="1:2" ht="15.75">
      <c r="A484" s="1" t="s">
        <v>966</v>
      </c>
      <c r="B484" s="1" t="s">
        <v>967</v>
      </c>
    </row>
    <row r="485" spans="1:2" ht="15.75">
      <c r="A485" s="1" t="s">
        <v>968</v>
      </c>
      <c r="B485" s="1" t="s">
        <v>969</v>
      </c>
    </row>
    <row r="486" spans="1:2" ht="15.75">
      <c r="A486" s="1" t="s">
        <v>970</v>
      </c>
      <c r="B486" s="1" t="s">
        <v>971</v>
      </c>
    </row>
    <row r="487" spans="1:2" ht="15.75">
      <c r="A487" s="1" t="s">
        <v>972</v>
      </c>
      <c r="B487" s="1" t="s">
        <v>973</v>
      </c>
    </row>
    <row r="488" spans="1:2" ht="15.75">
      <c r="A488" s="1" t="s">
        <v>974</v>
      </c>
      <c r="B488" s="1" t="s">
        <v>975</v>
      </c>
    </row>
    <row r="489" spans="1:2" ht="15.75">
      <c r="A489" s="1" t="s">
        <v>976</v>
      </c>
      <c r="B489" s="1" t="s">
        <v>977</v>
      </c>
    </row>
    <row r="490" spans="1:2" ht="15.75">
      <c r="A490" s="1" t="s">
        <v>978</v>
      </c>
      <c r="B490" s="1" t="s">
        <v>979</v>
      </c>
    </row>
    <row r="491" spans="1:2" ht="15.75">
      <c r="A491" s="1" t="s">
        <v>980</v>
      </c>
      <c r="B491" s="1" t="s">
        <v>981</v>
      </c>
    </row>
    <row r="492" spans="1:2" ht="15.75">
      <c r="A492" s="1" t="s">
        <v>982</v>
      </c>
      <c r="B492" s="1" t="s">
        <v>983</v>
      </c>
    </row>
    <row r="493" spans="1:2" ht="15.75">
      <c r="A493" s="1" t="s">
        <v>984</v>
      </c>
      <c r="B493" s="1" t="s">
        <v>985</v>
      </c>
    </row>
    <row r="494" spans="1:2" ht="15.75">
      <c r="A494" s="1" t="s">
        <v>986</v>
      </c>
      <c r="B494" s="1" t="s">
        <v>987</v>
      </c>
    </row>
    <row r="495" spans="1:2" ht="15.75">
      <c r="A495" s="1" t="s">
        <v>988</v>
      </c>
      <c r="B495" s="1" t="s">
        <v>989</v>
      </c>
    </row>
    <row r="496" spans="1:2" ht="15.75">
      <c r="A496" s="1" t="s">
        <v>990</v>
      </c>
      <c r="B496" s="1" t="s">
        <v>991</v>
      </c>
    </row>
    <row r="497" spans="1:2" ht="15.75">
      <c r="A497" s="1" t="s">
        <v>992</v>
      </c>
      <c r="B497" s="1" t="s">
        <v>993</v>
      </c>
    </row>
    <row r="498" spans="1:2" ht="15.75">
      <c r="A498" s="1" t="s">
        <v>994</v>
      </c>
      <c r="B498" s="1" t="s">
        <v>995</v>
      </c>
    </row>
    <row r="499" spans="1:2" ht="15.75">
      <c r="A499" s="1" t="s">
        <v>996</v>
      </c>
      <c r="B499" s="1" t="s">
        <v>997</v>
      </c>
    </row>
    <row r="500" spans="1:2" ht="15.75">
      <c r="A500" s="1" t="s">
        <v>998</v>
      </c>
      <c r="B500" s="1" t="s">
        <v>999</v>
      </c>
    </row>
    <row r="501" spans="1:2" ht="15.75">
      <c r="A501" s="1" t="s">
        <v>1000</v>
      </c>
      <c r="B501" s="1" t="s">
        <v>1001</v>
      </c>
    </row>
    <row r="502" spans="1:2" ht="15.75">
      <c r="A502" s="1" t="s">
        <v>1002</v>
      </c>
      <c r="B502" s="1" t="s">
        <v>1003</v>
      </c>
    </row>
    <row r="503" spans="1:2" ht="15.75">
      <c r="A503" s="1" t="s">
        <v>1004</v>
      </c>
      <c r="B503" s="1" t="s">
        <v>1005</v>
      </c>
    </row>
    <row r="504" spans="1:2" ht="15.75">
      <c r="A504" s="1" t="s">
        <v>1006</v>
      </c>
      <c r="B504" s="1" t="s">
        <v>1007</v>
      </c>
    </row>
    <row r="505" spans="1:2" ht="15.75">
      <c r="A505" s="1" t="s">
        <v>1008</v>
      </c>
      <c r="B505" s="1" t="s">
        <v>1009</v>
      </c>
    </row>
    <row r="506" spans="1:2" ht="15.75">
      <c r="A506" s="1" t="s">
        <v>1010</v>
      </c>
      <c r="B506" s="1" t="s">
        <v>1011</v>
      </c>
    </row>
    <row r="507" spans="1:2" ht="15.75">
      <c r="A507" s="1" t="s">
        <v>1012</v>
      </c>
      <c r="B507" s="1" t="s">
        <v>1013</v>
      </c>
    </row>
    <row r="508" spans="1:2" ht="15.75">
      <c r="A508" s="1" t="s">
        <v>1014</v>
      </c>
      <c r="B508" s="1" t="s">
        <v>1015</v>
      </c>
    </row>
    <row r="509" spans="1:2" ht="15.75">
      <c r="A509" s="1" t="s">
        <v>1016</v>
      </c>
      <c r="B509" s="1" t="s">
        <v>1017</v>
      </c>
    </row>
    <row r="510" spans="1:2" ht="15.75">
      <c r="A510" s="1" t="s">
        <v>1018</v>
      </c>
      <c r="B510" s="1" t="s">
        <v>1019</v>
      </c>
    </row>
    <row r="511" spans="1:2" ht="15.75">
      <c r="A511" s="1" t="s">
        <v>1020</v>
      </c>
      <c r="B511" s="1" t="s">
        <v>1021</v>
      </c>
    </row>
    <row r="512" spans="1:2" ht="15.75">
      <c r="A512" s="1" t="s">
        <v>1022</v>
      </c>
      <c r="B512" s="1" t="s">
        <v>1023</v>
      </c>
    </row>
    <row r="513" spans="1:2" ht="15.75">
      <c r="A513" s="1" t="s">
        <v>1024</v>
      </c>
      <c r="B513" s="1" t="s">
        <v>1025</v>
      </c>
    </row>
    <row r="514" spans="1:2" ht="15.75">
      <c r="A514" s="1" t="s">
        <v>1026</v>
      </c>
      <c r="B514" s="1" t="s">
        <v>1027</v>
      </c>
    </row>
    <row r="515" spans="1:2" ht="15.75">
      <c r="A515" s="1" t="s">
        <v>1028</v>
      </c>
      <c r="B515" s="1" t="s">
        <v>1029</v>
      </c>
    </row>
    <row r="516" spans="1:2" ht="15.75">
      <c r="A516" s="1" t="s">
        <v>1030</v>
      </c>
      <c r="B516" s="1" t="s">
        <v>1031</v>
      </c>
    </row>
    <row r="517" spans="1:2" ht="15.75">
      <c r="A517" s="1" t="s">
        <v>1032</v>
      </c>
      <c r="B517" s="1" t="s">
        <v>1033</v>
      </c>
    </row>
    <row r="518" spans="1:2" ht="15.75">
      <c r="A518" s="1" t="s">
        <v>1034</v>
      </c>
      <c r="B518" s="1" t="s">
        <v>1035</v>
      </c>
    </row>
    <row r="519" spans="1:2" ht="15.75">
      <c r="A519" s="1" t="s">
        <v>1036</v>
      </c>
      <c r="B519" s="1" t="s">
        <v>1037</v>
      </c>
    </row>
    <row r="520" spans="1:2" ht="15.75">
      <c r="A520" s="1" t="s">
        <v>1038</v>
      </c>
      <c r="B520" s="1" t="s">
        <v>1039</v>
      </c>
    </row>
    <row r="521" spans="1:2" ht="15.75">
      <c r="A521" s="1" t="s">
        <v>1040</v>
      </c>
      <c r="B521" s="1" t="s">
        <v>1041</v>
      </c>
    </row>
    <row r="522" spans="1:2" ht="15.75">
      <c r="A522" s="1" t="s">
        <v>1042</v>
      </c>
      <c r="B522" s="1" t="s">
        <v>1043</v>
      </c>
    </row>
    <row r="523" spans="1:2" ht="15.75">
      <c r="A523" s="1" t="s">
        <v>1044</v>
      </c>
      <c r="B523" s="1" t="s">
        <v>1045</v>
      </c>
    </row>
    <row r="524" spans="1:2" ht="15.75">
      <c r="A524" s="1" t="s">
        <v>1046</v>
      </c>
      <c r="B524" s="1" t="s">
        <v>1047</v>
      </c>
    </row>
    <row r="525" spans="1:2" ht="15.75">
      <c r="A525" s="1" t="s">
        <v>1048</v>
      </c>
      <c r="B525" s="1" t="s">
        <v>1049</v>
      </c>
    </row>
    <row r="526" spans="1:2" ht="15.75">
      <c r="A526" s="1" t="s">
        <v>1050</v>
      </c>
      <c r="B526" s="1" t="s">
        <v>1051</v>
      </c>
    </row>
    <row r="527" spans="1:2" ht="15.75">
      <c r="A527" s="1" t="s">
        <v>1052</v>
      </c>
      <c r="B527" s="1" t="s">
        <v>1053</v>
      </c>
    </row>
    <row r="528" spans="1:2" ht="15.75">
      <c r="A528" s="1" t="s">
        <v>1054</v>
      </c>
      <c r="B528" s="1" t="s">
        <v>1055</v>
      </c>
    </row>
    <row r="529" spans="1:2" ht="15.75">
      <c r="A529" s="1" t="s">
        <v>1056</v>
      </c>
      <c r="B529" s="1" t="s">
        <v>1057</v>
      </c>
    </row>
    <row r="530" spans="1:2" ht="15.75">
      <c r="A530" s="1" t="s">
        <v>1058</v>
      </c>
      <c r="B530" s="1" t="s">
        <v>1059</v>
      </c>
    </row>
    <row r="531" spans="1:2" ht="15.75">
      <c r="A531" s="1" t="s">
        <v>1060</v>
      </c>
      <c r="B531" s="1" t="s">
        <v>1061</v>
      </c>
    </row>
    <row r="532" spans="1:2" ht="15.75">
      <c r="A532" s="1" t="s">
        <v>1062</v>
      </c>
      <c r="B532" s="1" t="s">
        <v>1063</v>
      </c>
    </row>
    <row r="533" spans="1:2" ht="15.75">
      <c r="A533" s="1" t="s">
        <v>1064</v>
      </c>
      <c r="B533" s="1" t="s">
        <v>1065</v>
      </c>
    </row>
    <row r="534" spans="1:2" ht="15.75">
      <c r="A534" s="1" t="s">
        <v>1066</v>
      </c>
      <c r="B534" s="1" t="s">
        <v>1067</v>
      </c>
    </row>
    <row r="535" spans="1:2" ht="15.75">
      <c r="A535" s="1" t="s">
        <v>1068</v>
      </c>
      <c r="B535" s="1" t="s">
        <v>1069</v>
      </c>
    </row>
    <row r="536" spans="1:2" ht="15.75">
      <c r="A536" s="1" t="s">
        <v>1070</v>
      </c>
      <c r="B536" s="1" t="s">
        <v>1071</v>
      </c>
    </row>
    <row r="537" spans="1:2" ht="15.75">
      <c r="A537" s="1" t="s">
        <v>1072</v>
      </c>
      <c r="B537" s="1" t="s">
        <v>1073</v>
      </c>
    </row>
    <row r="538" spans="1:2" ht="15.75">
      <c r="A538" s="1" t="s">
        <v>1074</v>
      </c>
      <c r="B538" s="1" t="s">
        <v>1075</v>
      </c>
    </row>
    <row r="539" spans="1:2" ht="15.75">
      <c r="A539" s="1" t="s">
        <v>1076</v>
      </c>
      <c r="B539" s="1" t="s">
        <v>1077</v>
      </c>
    </row>
    <row r="540" spans="1:2" ht="15.75">
      <c r="A540" s="1" t="s">
        <v>1078</v>
      </c>
      <c r="B540" s="1" t="s">
        <v>1079</v>
      </c>
    </row>
    <row r="541" spans="1:2" ht="15.75">
      <c r="A541" s="1" t="s">
        <v>1080</v>
      </c>
      <c r="B541" s="1" t="s">
        <v>1081</v>
      </c>
    </row>
    <row r="542" spans="1:2" ht="15.75">
      <c r="A542" s="1" t="s">
        <v>1082</v>
      </c>
      <c r="B542" s="1" t="s">
        <v>1083</v>
      </c>
    </row>
    <row r="543" spans="1:2" ht="15.75">
      <c r="A543" s="1" t="s">
        <v>1084</v>
      </c>
      <c r="B543" s="1" t="s">
        <v>1085</v>
      </c>
    </row>
    <row r="544" spans="1:2" ht="15.75">
      <c r="A544" s="1" t="s">
        <v>1086</v>
      </c>
      <c r="B544" s="1" t="s">
        <v>1087</v>
      </c>
    </row>
    <row r="545" spans="1:2" ht="15.75">
      <c r="A545" s="1" t="s">
        <v>1088</v>
      </c>
      <c r="B545" s="1" t="s">
        <v>1089</v>
      </c>
    </row>
    <row r="546" spans="1:2" ht="15.75">
      <c r="A546" s="1" t="s">
        <v>1090</v>
      </c>
      <c r="B546" s="1" t="s">
        <v>1091</v>
      </c>
    </row>
    <row r="547" spans="1:2" ht="15.75">
      <c r="A547" s="1" t="s">
        <v>1092</v>
      </c>
      <c r="B547" s="1" t="s">
        <v>1093</v>
      </c>
    </row>
    <row r="548" spans="1:2" ht="15.75">
      <c r="A548" s="1" t="s">
        <v>1094</v>
      </c>
      <c r="B548" s="1" t="s">
        <v>1095</v>
      </c>
    </row>
    <row r="549" spans="1:2" ht="15.75">
      <c r="A549" s="1" t="s">
        <v>1096</v>
      </c>
      <c r="B549" s="1" t="s">
        <v>1097</v>
      </c>
    </row>
    <row r="550" spans="1:2" ht="15.75">
      <c r="A550" s="1" t="s">
        <v>1098</v>
      </c>
      <c r="B550" s="1" t="s">
        <v>1099</v>
      </c>
    </row>
    <row r="551" spans="1:2" ht="15.75">
      <c r="A551" s="1" t="s">
        <v>1100</v>
      </c>
      <c r="B551" s="1" t="s">
        <v>1101</v>
      </c>
    </row>
    <row r="552" spans="1:2" ht="15.75">
      <c r="A552" s="1" t="s">
        <v>1102</v>
      </c>
      <c r="B552" s="1" t="s">
        <v>1103</v>
      </c>
    </row>
    <row r="553" spans="1:2" ht="15.75">
      <c r="A553" s="1" t="s">
        <v>1104</v>
      </c>
      <c r="B553" s="1" t="s">
        <v>1105</v>
      </c>
    </row>
    <row r="554" spans="1:2" ht="15.75">
      <c r="A554" s="1" t="s">
        <v>1106</v>
      </c>
      <c r="B554" s="1" t="s">
        <v>1107</v>
      </c>
    </row>
    <row r="555" spans="1:2" ht="15.75">
      <c r="A555" s="1" t="s">
        <v>1108</v>
      </c>
      <c r="B555" s="1" t="s">
        <v>1109</v>
      </c>
    </row>
    <row r="556" spans="1:2" ht="15.75">
      <c r="A556" s="1" t="s">
        <v>1110</v>
      </c>
      <c r="B556" s="1" t="s">
        <v>1111</v>
      </c>
    </row>
    <row r="557" spans="1:2" ht="15.75">
      <c r="A557" s="1" t="s">
        <v>1112</v>
      </c>
      <c r="B557" s="1" t="s">
        <v>1113</v>
      </c>
    </row>
    <row r="558" spans="1:2" ht="15.75">
      <c r="A558" s="1" t="s">
        <v>1114</v>
      </c>
      <c r="B558" s="1" t="s">
        <v>1115</v>
      </c>
    </row>
    <row r="559" spans="1:2" ht="15.75">
      <c r="A559" s="1" t="s">
        <v>1116</v>
      </c>
      <c r="B559" s="1" t="s">
        <v>1117</v>
      </c>
    </row>
    <row r="560" spans="1:2" ht="15.75">
      <c r="A560" s="1" t="s">
        <v>1118</v>
      </c>
      <c r="B560" s="1" t="s">
        <v>1119</v>
      </c>
    </row>
    <row r="561" spans="1:2" ht="15.75">
      <c r="A561" s="1" t="s">
        <v>1120</v>
      </c>
      <c r="B561" s="1" t="s">
        <v>1121</v>
      </c>
    </row>
    <row r="562" spans="1:2" ht="15.75">
      <c r="A562" s="1" t="s">
        <v>1122</v>
      </c>
      <c r="B562" s="1" t="s">
        <v>1123</v>
      </c>
    </row>
    <row r="563" spans="1:2" ht="15.75">
      <c r="A563" s="1" t="s">
        <v>1124</v>
      </c>
      <c r="B563" s="1" t="s">
        <v>1125</v>
      </c>
    </row>
    <row r="564" spans="1:2" ht="15.75">
      <c r="A564" s="1" t="s">
        <v>1126</v>
      </c>
      <c r="B564" s="1" t="s">
        <v>1127</v>
      </c>
    </row>
    <row r="565" spans="1:2" ht="15.75">
      <c r="A565" s="1" t="s">
        <v>1128</v>
      </c>
      <c r="B565" s="1" t="s">
        <v>1129</v>
      </c>
    </row>
    <row r="566" spans="1:2" ht="15.75">
      <c r="A566" s="1" t="s">
        <v>1130</v>
      </c>
      <c r="B566" s="1" t="s">
        <v>1131</v>
      </c>
    </row>
    <row r="567" spans="1:2" ht="15.75">
      <c r="A567" s="1" t="s">
        <v>1132</v>
      </c>
      <c r="B567" s="1" t="s">
        <v>1133</v>
      </c>
    </row>
    <row r="568" spans="1:2" ht="15.75">
      <c r="A568" s="1" t="s">
        <v>1134</v>
      </c>
      <c r="B568" s="1" t="s">
        <v>1135</v>
      </c>
    </row>
    <row r="569" spans="1:2" ht="15.75">
      <c r="A569" s="1" t="s">
        <v>1136</v>
      </c>
      <c r="B569" s="1" t="s">
        <v>1137</v>
      </c>
    </row>
    <row r="570" spans="1:2" ht="15.75">
      <c r="A570" s="1" t="s">
        <v>1138</v>
      </c>
      <c r="B570" s="1" t="s">
        <v>1139</v>
      </c>
    </row>
    <row r="571" spans="1:2" ht="15.75">
      <c r="A571" s="1" t="s">
        <v>1140</v>
      </c>
      <c r="B571" s="1" t="s">
        <v>1141</v>
      </c>
    </row>
    <row r="572" spans="1:2" ht="15.75">
      <c r="A572" s="1" t="s">
        <v>1142</v>
      </c>
      <c r="B572" s="1" t="s">
        <v>1143</v>
      </c>
    </row>
    <row r="573" spans="1:2" ht="15.75">
      <c r="A573" s="1" t="s">
        <v>1144</v>
      </c>
      <c r="B573" s="1" t="s">
        <v>1145</v>
      </c>
    </row>
    <row r="574" spans="1:2" ht="15.75">
      <c r="A574" s="1" t="s">
        <v>1146</v>
      </c>
      <c r="B574" s="1" t="s">
        <v>1147</v>
      </c>
    </row>
    <row r="575" spans="1:2" ht="15.75">
      <c r="A575" s="1" t="s">
        <v>1148</v>
      </c>
      <c r="B575" s="1" t="s">
        <v>1149</v>
      </c>
    </row>
    <row r="576" spans="1:2" ht="15.75">
      <c r="A576" s="1" t="s">
        <v>1150</v>
      </c>
      <c r="B576" s="1" t="s">
        <v>1151</v>
      </c>
    </row>
    <row r="577" spans="1:2" ht="15.75">
      <c r="A577" s="1" t="s">
        <v>1152</v>
      </c>
      <c r="B577" s="1" t="s">
        <v>1153</v>
      </c>
    </row>
    <row r="578" spans="1:2" ht="15.75">
      <c r="A578" s="1" t="s">
        <v>1154</v>
      </c>
      <c r="B578" s="1" t="s">
        <v>1155</v>
      </c>
    </row>
    <row r="579" spans="1:2" ht="15.75">
      <c r="A579" s="1" t="s">
        <v>1156</v>
      </c>
      <c r="B579" s="1" t="s">
        <v>1157</v>
      </c>
    </row>
    <row r="580" spans="1:2" ht="15.75">
      <c r="A580" s="1" t="s">
        <v>1158</v>
      </c>
      <c r="B580" s="1" t="s">
        <v>1159</v>
      </c>
    </row>
    <row r="581" spans="1:2" ht="15.75">
      <c r="A581" s="1" t="s">
        <v>1160</v>
      </c>
      <c r="B581" s="1" t="s">
        <v>1161</v>
      </c>
    </row>
    <row r="582" spans="1:2" ht="15.75">
      <c r="A582" s="1" t="s">
        <v>1162</v>
      </c>
      <c r="B582" s="1" t="s">
        <v>1163</v>
      </c>
    </row>
    <row r="583" spans="1:2" ht="15.75">
      <c r="A583" s="1" t="s">
        <v>1164</v>
      </c>
      <c r="B583" s="1" t="s">
        <v>1165</v>
      </c>
    </row>
    <row r="584" spans="1:2" ht="15.75">
      <c r="A584" s="1" t="s">
        <v>1166</v>
      </c>
      <c r="B584" s="1" t="s">
        <v>1167</v>
      </c>
    </row>
    <row r="585" spans="1:2" ht="15.75">
      <c r="A585" s="1" t="s">
        <v>1168</v>
      </c>
      <c r="B585" s="1" t="s">
        <v>1169</v>
      </c>
    </row>
    <row r="586" spans="1:2" ht="15.75">
      <c r="A586" s="1" t="s">
        <v>1170</v>
      </c>
      <c r="B586" s="1" t="s">
        <v>1171</v>
      </c>
    </row>
    <row r="587" spans="1:2" ht="15.75">
      <c r="A587" s="1" t="s">
        <v>1172</v>
      </c>
      <c r="B587" s="1" t="s">
        <v>1173</v>
      </c>
    </row>
    <row r="588" spans="1:2" ht="15.75">
      <c r="A588" s="1" t="s">
        <v>1174</v>
      </c>
      <c r="B588" s="1" t="s">
        <v>1175</v>
      </c>
    </row>
    <row r="589" spans="1:2" ht="15.75">
      <c r="A589" s="1" t="s">
        <v>1176</v>
      </c>
      <c r="B589" s="1" t="s">
        <v>1177</v>
      </c>
    </row>
    <row r="590" spans="1:2" ht="15.75">
      <c r="A590" s="1" t="s">
        <v>1178</v>
      </c>
      <c r="B590" s="1" t="s">
        <v>1179</v>
      </c>
    </row>
    <row r="591" spans="1:2" ht="15.75">
      <c r="A591" s="1" t="s">
        <v>1180</v>
      </c>
      <c r="B591" s="1" t="s">
        <v>1181</v>
      </c>
    </row>
    <row r="592" spans="1:2" ht="15.75">
      <c r="A592" s="1" t="s">
        <v>1182</v>
      </c>
      <c r="B592" s="1" t="s">
        <v>1183</v>
      </c>
    </row>
    <row r="593" spans="1:2" ht="15.75">
      <c r="A593" s="1" t="s">
        <v>1184</v>
      </c>
      <c r="B593" s="1" t="s">
        <v>1185</v>
      </c>
    </row>
    <row r="594" spans="1:2" ht="15.75">
      <c r="A594" s="1" t="s">
        <v>1186</v>
      </c>
      <c r="B594" s="1" t="s">
        <v>1187</v>
      </c>
    </row>
    <row r="595" spans="1:2" ht="15.75">
      <c r="A595" s="1" t="s">
        <v>1188</v>
      </c>
      <c r="B595" s="1" t="s">
        <v>1189</v>
      </c>
    </row>
    <row r="596" spans="1:2" ht="15.75">
      <c r="A596" s="1" t="s">
        <v>1190</v>
      </c>
      <c r="B596" s="1" t="s">
        <v>1191</v>
      </c>
    </row>
    <row r="597" spans="1:2" ht="15.75">
      <c r="A597" s="1" t="s">
        <v>1192</v>
      </c>
      <c r="B597" s="1" t="s">
        <v>1193</v>
      </c>
    </row>
    <row r="598" spans="1:2" ht="15.75">
      <c r="A598" s="1" t="s">
        <v>1194</v>
      </c>
      <c r="B598" s="1" t="s">
        <v>1195</v>
      </c>
    </row>
    <row r="599" spans="1:2" ht="15.75">
      <c r="A599" s="1" t="s">
        <v>1196</v>
      </c>
      <c r="B599" s="1" t="s">
        <v>1197</v>
      </c>
    </row>
    <row r="600" spans="1:2" ht="15.75">
      <c r="A600" s="1" t="s">
        <v>1198</v>
      </c>
      <c r="B600" s="1" t="s">
        <v>1199</v>
      </c>
    </row>
    <row r="601" spans="1:2" ht="15.75">
      <c r="A601" s="1" t="s">
        <v>1200</v>
      </c>
      <c r="B601" s="1" t="s">
        <v>1201</v>
      </c>
    </row>
    <row r="602" spans="1:2" ht="15.75">
      <c r="A602" s="1" t="s">
        <v>1202</v>
      </c>
      <c r="B602" s="1" t="s">
        <v>1203</v>
      </c>
    </row>
    <row r="603" spans="1:2" ht="15.75">
      <c r="A603" s="1" t="s">
        <v>1204</v>
      </c>
      <c r="B603" s="1" t="s">
        <v>1205</v>
      </c>
    </row>
    <row r="604" spans="1:2" ht="15.75">
      <c r="A604" s="1" t="s">
        <v>1206</v>
      </c>
      <c r="B604" s="1" t="s">
        <v>1207</v>
      </c>
    </row>
    <row r="605" spans="1:2" ht="15.75">
      <c r="A605" s="1" t="s">
        <v>1208</v>
      </c>
      <c r="B605" s="1" t="s">
        <v>1209</v>
      </c>
    </row>
    <row r="606" spans="1:2" ht="15.75">
      <c r="A606" s="1" t="s">
        <v>1210</v>
      </c>
      <c r="B606" s="1" t="s">
        <v>1211</v>
      </c>
    </row>
    <row r="607" spans="1:2" ht="15.75">
      <c r="A607" s="1" t="s">
        <v>1212</v>
      </c>
      <c r="B607" s="1" t="s">
        <v>1213</v>
      </c>
    </row>
    <row r="608" spans="1:2" ht="15.75">
      <c r="A608" s="1" t="s">
        <v>1214</v>
      </c>
      <c r="B608" s="1" t="s">
        <v>1215</v>
      </c>
    </row>
    <row r="609" spans="1:2" ht="15.75">
      <c r="A609" s="1" t="s">
        <v>1216</v>
      </c>
      <c r="B609" s="1" t="s">
        <v>1217</v>
      </c>
    </row>
    <row r="610" spans="1:2" ht="15.75">
      <c r="A610" s="1" t="s">
        <v>1218</v>
      </c>
      <c r="B610" s="1" t="s">
        <v>1219</v>
      </c>
    </row>
    <row r="611" spans="1:2" ht="15.75">
      <c r="A611" s="1" t="s">
        <v>1220</v>
      </c>
      <c r="B611" s="1" t="s">
        <v>1221</v>
      </c>
    </row>
    <row r="612" spans="1:2" ht="15.75">
      <c r="A612" s="1" t="s">
        <v>1222</v>
      </c>
      <c r="B612" s="1" t="s">
        <v>1223</v>
      </c>
    </row>
    <row r="613" spans="1:2" ht="15.75">
      <c r="A613" s="1" t="s">
        <v>1224</v>
      </c>
      <c r="B613" s="1" t="s">
        <v>1225</v>
      </c>
    </row>
    <row r="614" spans="1:2" ht="15.75">
      <c r="A614" s="1" t="s">
        <v>1226</v>
      </c>
      <c r="B614" s="1" t="s">
        <v>1227</v>
      </c>
    </row>
    <row r="615" spans="1:2" ht="15.75">
      <c r="A615" s="1" t="s">
        <v>1228</v>
      </c>
      <c r="B615" s="1" t="s">
        <v>1229</v>
      </c>
    </row>
    <row r="616" spans="1:2" ht="15.75">
      <c r="A616" s="1" t="s">
        <v>1230</v>
      </c>
      <c r="B616" s="1" t="s">
        <v>1231</v>
      </c>
    </row>
    <row r="617" spans="1:2" ht="15.75">
      <c r="A617" s="1" t="s">
        <v>1232</v>
      </c>
      <c r="B617" s="1" t="s">
        <v>1233</v>
      </c>
    </row>
    <row r="618" spans="1:2" ht="15.75">
      <c r="A618" s="1" t="s">
        <v>1234</v>
      </c>
      <c r="B618" s="1" t="s">
        <v>1235</v>
      </c>
    </row>
    <row r="619" spans="1:2" ht="15.75">
      <c r="A619" s="1" t="s">
        <v>1236</v>
      </c>
      <c r="B619" s="1" t="s">
        <v>1237</v>
      </c>
    </row>
    <row r="620" spans="1:2" ht="15.75">
      <c r="A620" s="1" t="s">
        <v>1238</v>
      </c>
      <c r="B620" s="1" t="s">
        <v>1239</v>
      </c>
    </row>
    <row r="621" spans="1:2" ht="15.75">
      <c r="A621" s="1" t="s">
        <v>1240</v>
      </c>
      <c r="B621" s="1" t="s">
        <v>1241</v>
      </c>
    </row>
    <row r="622" spans="1:2" ht="15.75">
      <c r="A622" s="1" t="s">
        <v>1242</v>
      </c>
      <c r="B622" s="1" t="s">
        <v>1243</v>
      </c>
    </row>
    <row r="623" spans="1:2" ht="15.75">
      <c r="A623" s="1" t="s">
        <v>1244</v>
      </c>
      <c r="B623" s="1" t="s">
        <v>1245</v>
      </c>
    </row>
    <row r="624" spans="1:2" ht="15.75">
      <c r="A624" s="1" t="s">
        <v>1246</v>
      </c>
      <c r="B624" s="1" t="s">
        <v>1247</v>
      </c>
    </row>
    <row r="625" spans="1:2" ht="15.75">
      <c r="A625" s="1" t="s">
        <v>1248</v>
      </c>
      <c r="B625" s="1" t="s">
        <v>1249</v>
      </c>
    </row>
    <row r="626" spans="1:2" ht="15.75">
      <c r="A626" s="1" t="s">
        <v>1250</v>
      </c>
      <c r="B626" s="1" t="s">
        <v>1251</v>
      </c>
    </row>
    <row r="627" spans="1:2" ht="15.75">
      <c r="A627" s="1" t="s">
        <v>1252</v>
      </c>
      <c r="B627" s="1" t="s">
        <v>1253</v>
      </c>
    </row>
    <row r="628" spans="1:2" ht="15.75">
      <c r="A628" s="1" t="s">
        <v>1254</v>
      </c>
      <c r="B628" s="1" t="s">
        <v>1255</v>
      </c>
    </row>
    <row r="629" spans="1:2" ht="15.75">
      <c r="A629" s="1" t="s">
        <v>1256</v>
      </c>
      <c r="B629" s="1" t="s">
        <v>1257</v>
      </c>
    </row>
    <row r="630" spans="1:2" ht="15.75">
      <c r="A630" s="1" t="s">
        <v>1258</v>
      </c>
      <c r="B630" s="1" t="s">
        <v>1259</v>
      </c>
    </row>
    <row r="631" spans="1:2" ht="15.75">
      <c r="A631" s="1" t="s">
        <v>1260</v>
      </c>
      <c r="B631" s="1" t="s">
        <v>1261</v>
      </c>
    </row>
    <row r="632" spans="1:2" ht="15.75">
      <c r="A632" s="1" t="s">
        <v>1262</v>
      </c>
      <c r="B632" s="1" t="s">
        <v>1263</v>
      </c>
    </row>
    <row r="633" spans="1:2" ht="15.75">
      <c r="A633" s="1" t="s">
        <v>1264</v>
      </c>
      <c r="B633" s="1" t="s">
        <v>1265</v>
      </c>
    </row>
    <row r="634" spans="1:2" ht="15.75">
      <c r="A634" s="1" t="s">
        <v>1266</v>
      </c>
      <c r="B634" s="1" t="s">
        <v>1267</v>
      </c>
    </row>
    <row r="635" spans="1:2" ht="15.75">
      <c r="A635" s="1" t="s">
        <v>1268</v>
      </c>
      <c r="B635" s="1" t="s">
        <v>1269</v>
      </c>
    </row>
    <row r="636" spans="1:2" ht="15.75">
      <c r="A636" s="1" t="s">
        <v>1270</v>
      </c>
      <c r="B636" s="1" t="s">
        <v>1271</v>
      </c>
    </row>
    <row r="637" spans="1:2" ht="15.75">
      <c r="A637" s="1" t="s">
        <v>1272</v>
      </c>
      <c r="B637" s="1" t="s">
        <v>1273</v>
      </c>
    </row>
    <row r="638" spans="1:2" ht="15.75">
      <c r="A638" s="1" t="s">
        <v>1274</v>
      </c>
      <c r="B638" s="1" t="s">
        <v>1275</v>
      </c>
    </row>
    <row r="639" spans="1:2" ht="15.75">
      <c r="A639" s="1" t="s">
        <v>1276</v>
      </c>
      <c r="B639" s="1" t="s">
        <v>1277</v>
      </c>
    </row>
    <row r="640" spans="1:2" ht="15.75">
      <c r="A640" s="1" t="s">
        <v>1278</v>
      </c>
      <c r="B640" s="1" t="s">
        <v>1279</v>
      </c>
    </row>
    <row r="641" spans="1:2" ht="15.75">
      <c r="A641" s="1" t="s">
        <v>1280</v>
      </c>
      <c r="B641" s="1" t="s">
        <v>1281</v>
      </c>
    </row>
    <row r="642" spans="1:2" ht="15.75">
      <c r="A642" s="1" t="s">
        <v>1282</v>
      </c>
      <c r="B642" s="1" t="s">
        <v>1283</v>
      </c>
    </row>
    <row r="643" spans="1:2" ht="15.75">
      <c r="A643" s="1" t="s">
        <v>1284</v>
      </c>
      <c r="B643" s="1" t="s">
        <v>1285</v>
      </c>
    </row>
    <row r="644" spans="1:2" ht="15.75">
      <c r="A644" s="1" t="s">
        <v>1286</v>
      </c>
      <c r="B644" s="1" t="s">
        <v>1287</v>
      </c>
    </row>
    <row r="645" spans="1:2" ht="15.75">
      <c r="A645" s="1" t="s">
        <v>1288</v>
      </c>
      <c r="B645" s="1" t="s">
        <v>1289</v>
      </c>
    </row>
    <row r="646" spans="1:2" ht="15.75">
      <c r="A646" s="1" t="s">
        <v>1290</v>
      </c>
      <c r="B646" s="1" t="s">
        <v>1291</v>
      </c>
    </row>
    <row r="647" spans="1:2" ht="15.75">
      <c r="A647" s="1" t="s">
        <v>1292</v>
      </c>
      <c r="B647" s="1" t="s">
        <v>1293</v>
      </c>
    </row>
    <row r="648" spans="1:2" ht="15.75">
      <c r="A648" s="1" t="s">
        <v>1294</v>
      </c>
      <c r="B648" s="1" t="s">
        <v>1295</v>
      </c>
    </row>
    <row r="649" spans="1:2" ht="15.75">
      <c r="A649" s="1" t="s">
        <v>1296</v>
      </c>
      <c r="B649" s="1" t="s">
        <v>1297</v>
      </c>
    </row>
    <row r="650" spans="1:2" ht="15.75">
      <c r="A650" s="1" t="s">
        <v>1298</v>
      </c>
      <c r="B650" s="1" t="s">
        <v>1299</v>
      </c>
    </row>
    <row r="651" spans="1:2" ht="15.75">
      <c r="A651" s="1" t="s">
        <v>1300</v>
      </c>
      <c r="B651" s="1" t="s">
        <v>1301</v>
      </c>
    </row>
    <row r="652" spans="1:2" ht="15.75">
      <c r="A652" s="1" t="s">
        <v>1302</v>
      </c>
      <c r="B652" s="1" t="s">
        <v>1303</v>
      </c>
    </row>
    <row r="653" spans="1:2" ht="15.75">
      <c r="A653" s="1" t="s">
        <v>1304</v>
      </c>
      <c r="B653" s="1" t="s">
        <v>1305</v>
      </c>
    </row>
    <row r="654" spans="1:2" ht="15.75">
      <c r="A654" s="1" t="s">
        <v>1306</v>
      </c>
      <c r="B654" s="1" t="s">
        <v>1307</v>
      </c>
    </row>
    <row r="655" spans="1:2" ht="15.75">
      <c r="A655" s="1" t="s">
        <v>1308</v>
      </c>
      <c r="B655" s="1" t="s">
        <v>1309</v>
      </c>
    </row>
    <row r="656" spans="1:2" ht="15.75">
      <c r="A656" s="1" t="s">
        <v>1310</v>
      </c>
      <c r="B656" s="1" t="s">
        <v>1311</v>
      </c>
    </row>
    <row r="657" spans="1:2" ht="15.75">
      <c r="A657" s="1" t="s">
        <v>1312</v>
      </c>
      <c r="B657" s="1" t="s">
        <v>1313</v>
      </c>
    </row>
    <row r="658" spans="1:2" ht="15.75">
      <c r="A658" s="1" t="s">
        <v>1314</v>
      </c>
      <c r="B658" s="1" t="s">
        <v>1315</v>
      </c>
    </row>
    <row r="659" spans="1:2" ht="15.75">
      <c r="A659" s="1" t="s">
        <v>1316</v>
      </c>
      <c r="B659" s="1" t="s">
        <v>1317</v>
      </c>
    </row>
    <row r="660" spans="1:2" ht="15.75">
      <c r="A660" s="1" t="s">
        <v>1318</v>
      </c>
      <c r="B660" s="1" t="s">
        <v>1319</v>
      </c>
    </row>
    <row r="661" spans="1:2" ht="15.75">
      <c r="A661" s="1" t="s">
        <v>1320</v>
      </c>
      <c r="B661" s="1" t="s">
        <v>1321</v>
      </c>
    </row>
    <row r="662" spans="1:2" ht="15.75">
      <c r="A662" s="1" t="s">
        <v>1322</v>
      </c>
      <c r="B662" s="1" t="s">
        <v>1323</v>
      </c>
    </row>
    <row r="663" spans="1:2" ht="15.75">
      <c r="A663" s="1" t="s">
        <v>1324</v>
      </c>
      <c r="B663" s="1" t="s">
        <v>1325</v>
      </c>
    </row>
    <row r="664" spans="1:2" ht="15.75">
      <c r="A664" s="1" t="s">
        <v>1326</v>
      </c>
      <c r="B664" s="1" t="s">
        <v>1327</v>
      </c>
    </row>
    <row r="665" spans="1:2" ht="15.75">
      <c r="A665" s="1" t="s">
        <v>1328</v>
      </c>
      <c r="B665" s="1" t="s">
        <v>1329</v>
      </c>
    </row>
    <row r="666" spans="1:2" ht="15.75">
      <c r="A666" s="1" t="s">
        <v>1330</v>
      </c>
      <c r="B666" s="1" t="s">
        <v>1331</v>
      </c>
    </row>
    <row r="667" spans="1:2" ht="15.75">
      <c r="A667" s="1" t="s">
        <v>1332</v>
      </c>
      <c r="B667" s="1" t="s">
        <v>1333</v>
      </c>
    </row>
    <row r="668" spans="1:2" ht="15.75">
      <c r="A668" s="1" t="s">
        <v>1334</v>
      </c>
      <c r="B668" s="1" t="s">
        <v>1335</v>
      </c>
    </row>
    <row r="669" spans="1:2" ht="15.75">
      <c r="A669" s="1" t="s">
        <v>1336</v>
      </c>
      <c r="B669" s="1" t="s">
        <v>1337</v>
      </c>
    </row>
    <row r="670" spans="1:2" ht="15.75">
      <c r="A670" s="1" t="s">
        <v>1338</v>
      </c>
      <c r="B670" s="1" t="s">
        <v>1339</v>
      </c>
    </row>
    <row r="671" spans="1:2" ht="15.75">
      <c r="A671" s="1" t="s">
        <v>1340</v>
      </c>
      <c r="B671" s="1" t="s">
        <v>1341</v>
      </c>
    </row>
    <row r="672" spans="1:2" ht="15.75">
      <c r="A672" s="1" t="s">
        <v>1342</v>
      </c>
      <c r="B672" s="1" t="s">
        <v>1343</v>
      </c>
    </row>
    <row r="673" spans="1:2" ht="15.75">
      <c r="A673" s="1" t="s">
        <v>1344</v>
      </c>
      <c r="B673" s="1" t="s">
        <v>1345</v>
      </c>
    </row>
    <row r="674" spans="1:2" ht="15.75">
      <c r="A674" s="1" t="s">
        <v>1346</v>
      </c>
      <c r="B674" s="1" t="s">
        <v>1347</v>
      </c>
    </row>
    <row r="675" spans="1:2" ht="15.75">
      <c r="A675" s="1" t="s">
        <v>1348</v>
      </c>
      <c r="B675" s="1" t="s">
        <v>1349</v>
      </c>
    </row>
    <row r="676" spans="1:2" ht="15.75">
      <c r="A676" s="1" t="s">
        <v>1350</v>
      </c>
      <c r="B676" s="1" t="s">
        <v>1351</v>
      </c>
    </row>
    <row r="677" spans="1:2" ht="15.75">
      <c r="A677" s="1" t="s">
        <v>1352</v>
      </c>
      <c r="B677" s="1" t="s">
        <v>1353</v>
      </c>
    </row>
    <row r="678" spans="1:2" ht="15.75">
      <c r="A678" s="1" t="s">
        <v>1354</v>
      </c>
      <c r="B678" s="1" t="s">
        <v>1355</v>
      </c>
    </row>
    <row r="679" spans="1:2" ht="15.75">
      <c r="A679" s="1" t="s">
        <v>1356</v>
      </c>
      <c r="B679" s="1" t="s">
        <v>1357</v>
      </c>
    </row>
    <row r="680" spans="1:2" ht="15.75">
      <c r="A680" s="1" t="s">
        <v>1358</v>
      </c>
      <c r="B680" s="1" t="s">
        <v>1359</v>
      </c>
    </row>
    <row r="681" spans="1:2" ht="15.75">
      <c r="A681" s="1" t="s">
        <v>1360</v>
      </c>
      <c r="B681" s="1" t="s">
        <v>1361</v>
      </c>
    </row>
    <row r="682" spans="1:2" ht="15.75">
      <c r="A682" s="1" t="s">
        <v>1362</v>
      </c>
      <c r="B682" s="1" t="s">
        <v>1363</v>
      </c>
    </row>
    <row r="683" spans="1:2" ht="15.75">
      <c r="A683" s="1" t="s">
        <v>1364</v>
      </c>
      <c r="B683" s="1" t="s">
        <v>1365</v>
      </c>
    </row>
    <row r="684" spans="1:2" ht="15.75">
      <c r="A684" s="1" t="s">
        <v>1366</v>
      </c>
      <c r="B684" s="1" t="s">
        <v>1367</v>
      </c>
    </row>
    <row r="685" spans="1:2" ht="15.75">
      <c r="A685" s="1" t="s">
        <v>1368</v>
      </c>
      <c r="B685" s="1" t="s">
        <v>1369</v>
      </c>
    </row>
    <row r="686" spans="1:2" ht="15.75">
      <c r="A686" s="1" t="s">
        <v>1370</v>
      </c>
      <c r="B686" s="1" t="s">
        <v>1371</v>
      </c>
    </row>
    <row r="687" spans="1:2" ht="15.75">
      <c r="A687" s="1" t="s">
        <v>1372</v>
      </c>
      <c r="B687" s="1" t="s">
        <v>1373</v>
      </c>
    </row>
    <row r="688" spans="1:2" ht="15.75">
      <c r="A688" s="1" t="s">
        <v>1374</v>
      </c>
      <c r="B688" s="1" t="s">
        <v>1375</v>
      </c>
    </row>
    <row r="689" spans="1:2" ht="15.75">
      <c r="A689" s="1" t="s">
        <v>1376</v>
      </c>
      <c r="B689" s="1" t="s">
        <v>1377</v>
      </c>
    </row>
    <row r="690" spans="1:2" ht="15.75">
      <c r="A690" s="1" t="s">
        <v>1378</v>
      </c>
      <c r="B690" s="1" t="s">
        <v>1379</v>
      </c>
    </row>
    <row r="691" spans="1:2" ht="15.75">
      <c r="A691" s="1" t="s">
        <v>1380</v>
      </c>
      <c r="B691" s="1" t="s">
        <v>1381</v>
      </c>
    </row>
    <row r="692" spans="1:2" ht="15.75">
      <c r="A692" s="1" t="s">
        <v>1382</v>
      </c>
      <c r="B692" s="1" t="s">
        <v>1383</v>
      </c>
    </row>
    <row r="693" spans="1:2" ht="15.75">
      <c r="A693" s="1" t="s">
        <v>1384</v>
      </c>
      <c r="B693" s="1" t="s">
        <v>1385</v>
      </c>
    </row>
    <row r="694" spans="1:2" ht="15.75">
      <c r="A694" s="1" t="s">
        <v>1386</v>
      </c>
      <c r="B694" s="1" t="s">
        <v>1387</v>
      </c>
    </row>
    <row r="695" spans="1:2" ht="15.75">
      <c r="A695" s="1" t="s">
        <v>1388</v>
      </c>
      <c r="B695" s="1" t="s">
        <v>1389</v>
      </c>
    </row>
    <row r="696" spans="1:2" ht="15.75">
      <c r="A696" s="1" t="s">
        <v>1390</v>
      </c>
      <c r="B696" s="1" t="s">
        <v>1391</v>
      </c>
    </row>
    <row r="697" spans="1:2" ht="15.75">
      <c r="A697" s="1" t="s">
        <v>1392</v>
      </c>
      <c r="B697" s="1" t="s">
        <v>1393</v>
      </c>
    </row>
    <row r="698" spans="1:2" ht="15.75">
      <c r="A698" s="1" t="s">
        <v>1394</v>
      </c>
      <c r="B698" s="1" t="s">
        <v>1395</v>
      </c>
    </row>
    <row r="699" spans="1:2" ht="15.75">
      <c r="A699" s="1" t="s">
        <v>1396</v>
      </c>
      <c r="B699" s="1" t="s">
        <v>1397</v>
      </c>
    </row>
    <row r="700" spans="1:2" ht="15.75">
      <c r="A700" s="1" t="s">
        <v>1398</v>
      </c>
      <c r="B700" s="1" t="s">
        <v>1399</v>
      </c>
    </row>
    <row r="701" spans="1:2" ht="15.75">
      <c r="A701" s="1" t="s">
        <v>1400</v>
      </c>
      <c r="B701" s="1" t="s">
        <v>1401</v>
      </c>
    </row>
    <row r="702" spans="1:2" ht="15.75">
      <c r="A702" s="1" t="s">
        <v>1402</v>
      </c>
      <c r="B702" s="1" t="s">
        <v>1403</v>
      </c>
    </row>
    <row r="703" spans="1:2" ht="15.75">
      <c r="A703" s="1" t="s">
        <v>1404</v>
      </c>
      <c r="B703" s="1" t="s">
        <v>1405</v>
      </c>
    </row>
    <row r="704" spans="1:2" ht="15.75">
      <c r="A704" s="1" t="s">
        <v>1406</v>
      </c>
      <c r="B704" s="1" t="s">
        <v>1407</v>
      </c>
    </row>
    <row r="705" spans="1:2" ht="15.75">
      <c r="A705" s="1" t="s">
        <v>1408</v>
      </c>
      <c r="B705" s="1" t="s">
        <v>1409</v>
      </c>
    </row>
    <row r="706" spans="1:2" ht="15.75">
      <c r="A706" s="1" t="s">
        <v>1410</v>
      </c>
      <c r="B706" s="1" t="s">
        <v>1411</v>
      </c>
    </row>
    <row r="707" spans="1:2" ht="15.75">
      <c r="A707" s="1" t="s">
        <v>1412</v>
      </c>
      <c r="B707" s="1" t="s">
        <v>1413</v>
      </c>
    </row>
    <row r="708" spans="1:2" ht="15.75">
      <c r="A708" s="1" t="s">
        <v>1414</v>
      </c>
      <c r="B708" s="1" t="s">
        <v>1415</v>
      </c>
    </row>
    <row r="709" spans="1:2" ht="15.75">
      <c r="A709" s="1" t="s">
        <v>1416</v>
      </c>
      <c r="B709" s="1" t="s">
        <v>1417</v>
      </c>
    </row>
    <row r="710" spans="1:2" ht="15.75">
      <c r="A710" s="1" t="s">
        <v>1418</v>
      </c>
      <c r="B710" s="1" t="s">
        <v>1419</v>
      </c>
    </row>
    <row r="711" spans="1:2" ht="15.75">
      <c r="A711" s="1" t="s">
        <v>1420</v>
      </c>
      <c r="B711" s="1" t="s">
        <v>1421</v>
      </c>
    </row>
    <row r="712" spans="1:2" ht="15.75">
      <c r="A712" s="1" t="s">
        <v>1422</v>
      </c>
      <c r="B712" s="1" t="s">
        <v>1423</v>
      </c>
    </row>
    <row r="713" spans="1:2" ht="15.75">
      <c r="A713" s="1" t="s">
        <v>1424</v>
      </c>
      <c r="B713" s="1" t="s">
        <v>1425</v>
      </c>
    </row>
    <row r="714" spans="1:2" ht="15.75">
      <c r="A714" s="1" t="s">
        <v>1426</v>
      </c>
      <c r="B714" s="1" t="s">
        <v>1427</v>
      </c>
    </row>
    <row r="715" spans="1:2" ht="15.75">
      <c r="A715" s="1" t="s">
        <v>1428</v>
      </c>
      <c r="B715" s="1" t="s">
        <v>1429</v>
      </c>
    </row>
    <row r="716" spans="1:2" ht="15.75">
      <c r="A716" s="1" t="s">
        <v>1430</v>
      </c>
      <c r="B716" s="1" t="s">
        <v>1431</v>
      </c>
    </row>
    <row r="717" spans="1:2" ht="15.75">
      <c r="A717" s="1" t="s">
        <v>1432</v>
      </c>
      <c r="B717" s="1" t="s">
        <v>1433</v>
      </c>
    </row>
    <row r="718" spans="1:2" ht="15.75">
      <c r="A718" s="1" t="s">
        <v>1434</v>
      </c>
      <c r="B718" s="1" t="s">
        <v>1435</v>
      </c>
    </row>
    <row r="719" spans="1:2" ht="15.75">
      <c r="A719" s="1" t="s">
        <v>1436</v>
      </c>
      <c r="B719" s="1" t="s">
        <v>1437</v>
      </c>
    </row>
    <row r="720" spans="1:2" ht="15.75">
      <c r="A720" s="1" t="s">
        <v>1438</v>
      </c>
      <c r="B720" s="1" t="s">
        <v>1439</v>
      </c>
    </row>
    <row r="721" spans="1:2" ht="15.75">
      <c r="A721" s="1" t="s">
        <v>1440</v>
      </c>
      <c r="B721" s="1" t="s">
        <v>1441</v>
      </c>
    </row>
    <row r="722" spans="1:2" ht="15.75">
      <c r="A722" s="1" t="s">
        <v>1442</v>
      </c>
      <c r="B722" s="1" t="s">
        <v>1443</v>
      </c>
    </row>
    <row r="723" spans="1:2" ht="15.75">
      <c r="A723" s="1" t="s">
        <v>1444</v>
      </c>
      <c r="B723" s="1" t="s">
        <v>1445</v>
      </c>
    </row>
    <row r="724" spans="1:2" ht="15.75">
      <c r="A724" s="1" t="s">
        <v>1446</v>
      </c>
      <c r="B724" s="1" t="s">
        <v>1447</v>
      </c>
    </row>
    <row r="725" spans="1:2" ht="15.75">
      <c r="A725" s="1" t="s">
        <v>1448</v>
      </c>
      <c r="B725" s="1" t="s">
        <v>1449</v>
      </c>
    </row>
    <row r="726" spans="1:2" ht="15.75">
      <c r="A726" s="1" t="s">
        <v>1450</v>
      </c>
      <c r="B726" s="1" t="s">
        <v>1451</v>
      </c>
    </row>
    <row r="727" spans="1:2" ht="15.75">
      <c r="A727" s="1" t="s">
        <v>1452</v>
      </c>
      <c r="B727" s="1" t="s">
        <v>1453</v>
      </c>
    </row>
    <row r="728" spans="1:2" ht="15.75">
      <c r="A728" s="1" t="s">
        <v>1454</v>
      </c>
      <c r="B728" s="1" t="s">
        <v>1455</v>
      </c>
    </row>
    <row r="729" spans="1:2" ht="15.75">
      <c r="A729" s="1" t="s">
        <v>1456</v>
      </c>
      <c r="B729" s="1" t="s">
        <v>1457</v>
      </c>
    </row>
    <row r="730" spans="1:2" ht="15.75">
      <c r="A730" s="1" t="s">
        <v>1458</v>
      </c>
      <c r="B730" s="1" t="s">
        <v>1459</v>
      </c>
    </row>
    <row r="731" spans="1:2" ht="15.75">
      <c r="A731" s="1" t="s">
        <v>1460</v>
      </c>
      <c r="B731" s="1" t="s">
        <v>1461</v>
      </c>
    </row>
    <row r="732" spans="1:2" ht="15.75">
      <c r="A732" s="1" t="s">
        <v>1462</v>
      </c>
      <c r="B732" s="1" t="s">
        <v>1463</v>
      </c>
    </row>
    <row r="733" spans="1:2" ht="15.75">
      <c r="A733" s="1" t="s">
        <v>1464</v>
      </c>
      <c r="B733" s="1" t="s">
        <v>1465</v>
      </c>
    </row>
    <row r="734" spans="1:2" ht="15.75">
      <c r="A734" s="1" t="s">
        <v>1466</v>
      </c>
      <c r="B734" s="1" t="s">
        <v>1467</v>
      </c>
    </row>
    <row r="735" spans="1:2" ht="15.75">
      <c r="A735" s="1" t="s">
        <v>1468</v>
      </c>
      <c r="B735" s="1" t="s">
        <v>1469</v>
      </c>
    </row>
    <row r="736" spans="1:2" ht="15.75">
      <c r="A736" s="1" t="s">
        <v>1470</v>
      </c>
      <c r="B736" s="1" t="s">
        <v>1471</v>
      </c>
    </row>
    <row r="737" spans="1:2" ht="15.75">
      <c r="A737" s="1" t="s">
        <v>1472</v>
      </c>
      <c r="B737" s="1" t="s">
        <v>1473</v>
      </c>
    </row>
    <row r="738" spans="1:2" ht="15.75">
      <c r="A738" s="1" t="s">
        <v>1474</v>
      </c>
      <c r="B738" s="1" t="s">
        <v>1475</v>
      </c>
    </row>
    <row r="739" spans="1:2" ht="15.75">
      <c r="A739" s="1" t="s">
        <v>1476</v>
      </c>
      <c r="B739" s="1" t="s">
        <v>1477</v>
      </c>
    </row>
    <row r="740" spans="1:2" ht="15.75">
      <c r="A740" s="1" t="s">
        <v>1478</v>
      </c>
      <c r="B740" s="1" t="s">
        <v>1479</v>
      </c>
    </row>
    <row r="741" spans="1:2" ht="15.75">
      <c r="A741" s="1" t="s">
        <v>1480</v>
      </c>
      <c r="B741" s="1" t="s">
        <v>1481</v>
      </c>
    </row>
    <row r="742" spans="1:2" ht="15.75">
      <c r="A742" s="1" t="s">
        <v>1482</v>
      </c>
      <c r="B742" s="1" t="s">
        <v>1483</v>
      </c>
    </row>
    <row r="743" spans="1:2" ht="15.75">
      <c r="A743" s="1" t="s">
        <v>1484</v>
      </c>
      <c r="B743" s="1" t="s">
        <v>1485</v>
      </c>
    </row>
    <row r="744" spans="1:2" ht="15.75">
      <c r="A744" s="1" t="s">
        <v>1486</v>
      </c>
      <c r="B744" s="1" t="s">
        <v>1487</v>
      </c>
    </row>
    <row r="745" spans="1:2" ht="15.75">
      <c r="A745" s="1" t="s">
        <v>1488</v>
      </c>
      <c r="B745" s="1" t="s">
        <v>1489</v>
      </c>
    </row>
    <row r="746" spans="1:2" ht="15.75">
      <c r="A746" s="1" t="s">
        <v>1490</v>
      </c>
      <c r="B746" s="1" t="s">
        <v>1491</v>
      </c>
    </row>
    <row r="747" spans="1:2" ht="15.75">
      <c r="A747" s="1" t="s">
        <v>1492</v>
      </c>
      <c r="B747" s="1" t="s">
        <v>1493</v>
      </c>
    </row>
    <row r="748" spans="1:2" ht="15.75">
      <c r="A748" s="1" t="s">
        <v>1494</v>
      </c>
      <c r="B748" s="1" t="s">
        <v>1495</v>
      </c>
    </row>
    <row r="749" spans="1:2" ht="15.75">
      <c r="A749" s="1" t="s">
        <v>1496</v>
      </c>
      <c r="B749" s="1" t="s">
        <v>1497</v>
      </c>
    </row>
    <row r="750" spans="1:2" ht="15.75">
      <c r="A750" s="1" t="s">
        <v>1498</v>
      </c>
      <c r="B750" s="1" t="s">
        <v>1499</v>
      </c>
    </row>
    <row r="751" spans="1:2" ht="15.75">
      <c r="A751" s="1" t="s">
        <v>1500</v>
      </c>
      <c r="B751" s="1" t="s">
        <v>1501</v>
      </c>
    </row>
    <row r="752" spans="1:2" ht="15.75">
      <c r="A752" s="1" t="s">
        <v>1502</v>
      </c>
      <c r="B752" s="1" t="s">
        <v>1503</v>
      </c>
    </row>
    <row r="753" spans="1:2" ht="15.75">
      <c r="A753" s="1" t="s">
        <v>1504</v>
      </c>
      <c r="B753" s="1" t="s">
        <v>1505</v>
      </c>
    </row>
    <row r="754" spans="1:2" ht="15.75">
      <c r="A754" s="1" t="s">
        <v>1506</v>
      </c>
      <c r="B754" s="1" t="s">
        <v>1507</v>
      </c>
    </row>
    <row r="755" spans="1:2" ht="15.75">
      <c r="A755" s="1" t="s">
        <v>1508</v>
      </c>
      <c r="B755" s="1" t="s">
        <v>1509</v>
      </c>
    </row>
    <row r="756" spans="1:2" ht="15.75">
      <c r="A756" s="1" t="s">
        <v>1510</v>
      </c>
      <c r="B756" s="1" t="s">
        <v>1511</v>
      </c>
    </row>
    <row r="757" spans="1:2" ht="15.75">
      <c r="A757" s="1" t="s">
        <v>1512</v>
      </c>
      <c r="B757" s="1" t="s">
        <v>1513</v>
      </c>
    </row>
    <row r="758" spans="1:2" ht="15.75">
      <c r="A758" s="1" t="s">
        <v>1514</v>
      </c>
      <c r="B758" s="1" t="s">
        <v>1515</v>
      </c>
    </row>
    <row r="759" spans="1:2" ht="15.75">
      <c r="A759" s="1" t="s">
        <v>1516</v>
      </c>
      <c r="B759" s="1" t="s">
        <v>1517</v>
      </c>
    </row>
    <row r="760" spans="1:2" ht="15.75">
      <c r="A760" s="1" t="s">
        <v>1518</v>
      </c>
      <c r="B760" s="1" t="s">
        <v>1519</v>
      </c>
    </row>
    <row r="761" spans="1:2" ht="15.75">
      <c r="A761" s="1" t="s">
        <v>1520</v>
      </c>
      <c r="B761" s="1" t="s">
        <v>1521</v>
      </c>
    </row>
    <row r="762" spans="1:2" ht="15.75">
      <c r="A762" s="1" t="s">
        <v>1522</v>
      </c>
      <c r="B762" s="1" t="s">
        <v>1523</v>
      </c>
    </row>
    <row r="763" spans="1:2" ht="15.75">
      <c r="A763" s="1" t="s">
        <v>1524</v>
      </c>
      <c r="B763" s="1" t="s">
        <v>1525</v>
      </c>
    </row>
    <row r="764" spans="1:2" ht="15.75">
      <c r="A764" s="1" t="s">
        <v>1526</v>
      </c>
      <c r="B764" s="1" t="s">
        <v>1527</v>
      </c>
    </row>
    <row r="765" spans="1:2" ht="15.75">
      <c r="A765" s="1" t="s">
        <v>1528</v>
      </c>
      <c r="B765" s="1" t="s">
        <v>1529</v>
      </c>
    </row>
    <row r="766" spans="1:2" ht="15.75">
      <c r="A766" s="1" t="s">
        <v>1530</v>
      </c>
      <c r="B766" s="1" t="s">
        <v>1531</v>
      </c>
    </row>
    <row r="767" spans="1:2" ht="15.75">
      <c r="A767" s="1" t="s">
        <v>1532</v>
      </c>
      <c r="B767" s="1" t="s">
        <v>1533</v>
      </c>
    </row>
    <row r="768" spans="1:2" ht="15.75">
      <c r="A768" s="1" t="s">
        <v>1534</v>
      </c>
      <c r="B768" s="1" t="s">
        <v>1535</v>
      </c>
    </row>
    <row r="769" spans="1:2" ht="15.75">
      <c r="A769" s="1" t="s">
        <v>1536</v>
      </c>
      <c r="B769" s="1" t="s">
        <v>1537</v>
      </c>
    </row>
    <row r="770" spans="1:2" ht="15.75">
      <c r="A770" s="1" t="s">
        <v>1538</v>
      </c>
      <c r="B770" s="1" t="s">
        <v>1539</v>
      </c>
    </row>
    <row r="771" spans="1:2" ht="15.75">
      <c r="A771" s="1" t="s">
        <v>1540</v>
      </c>
      <c r="B771" s="1" t="s">
        <v>1541</v>
      </c>
    </row>
    <row r="772" spans="1:2" ht="15.75">
      <c r="A772" s="1" t="s">
        <v>1542</v>
      </c>
      <c r="B772" s="1" t="s">
        <v>1543</v>
      </c>
    </row>
    <row r="773" spans="1:2" ht="15.75">
      <c r="A773" s="1" t="s">
        <v>1544</v>
      </c>
      <c r="B773" s="1" t="s">
        <v>1545</v>
      </c>
    </row>
    <row r="774" spans="1:2" ht="15.75">
      <c r="A774" s="1" t="s">
        <v>1546</v>
      </c>
      <c r="B774" s="1" t="s">
        <v>1547</v>
      </c>
    </row>
    <row r="775" spans="1:2" ht="15.75">
      <c r="A775" s="1" t="s">
        <v>1548</v>
      </c>
      <c r="B775" s="1" t="s">
        <v>1549</v>
      </c>
    </row>
    <row r="776" spans="1:2" ht="15.75">
      <c r="A776" s="1" t="s">
        <v>1550</v>
      </c>
      <c r="B776" s="1" t="s">
        <v>1551</v>
      </c>
    </row>
    <row r="777" spans="1:2" ht="15.75">
      <c r="A777" s="1" t="s">
        <v>1552</v>
      </c>
      <c r="B777" s="1" t="s">
        <v>1553</v>
      </c>
    </row>
    <row r="778" spans="1:2" ht="15.75">
      <c r="A778" s="1" t="s">
        <v>1554</v>
      </c>
      <c r="B778" s="1" t="s">
        <v>1555</v>
      </c>
    </row>
    <row r="779" spans="1:2" ht="15.75">
      <c r="A779" s="1" t="s">
        <v>1556</v>
      </c>
      <c r="B779" s="1" t="s">
        <v>1557</v>
      </c>
    </row>
    <row r="780" spans="1:2" ht="15.75">
      <c r="A780" s="1" t="s">
        <v>1558</v>
      </c>
      <c r="B780" s="1" t="s">
        <v>1559</v>
      </c>
    </row>
    <row r="781" spans="1:2" ht="15.75">
      <c r="A781" s="1" t="s">
        <v>1560</v>
      </c>
      <c r="B781" s="1" t="s">
        <v>1561</v>
      </c>
    </row>
    <row r="782" spans="1:2" ht="15.75">
      <c r="A782" s="1" t="s">
        <v>1562</v>
      </c>
      <c r="B782" s="1" t="s">
        <v>1563</v>
      </c>
    </row>
    <row r="783" spans="1:2" ht="15.75">
      <c r="A783" s="1" t="s">
        <v>1564</v>
      </c>
      <c r="B783" s="1" t="s">
        <v>1565</v>
      </c>
    </row>
    <row r="784" spans="1:2" ht="15.75">
      <c r="A784" s="1" t="s">
        <v>1566</v>
      </c>
      <c r="B784" s="1" t="s">
        <v>1567</v>
      </c>
    </row>
    <row r="785" spans="1:2" ht="15.75">
      <c r="A785" s="1" t="s">
        <v>1568</v>
      </c>
      <c r="B785" s="1" t="s">
        <v>1569</v>
      </c>
    </row>
    <row r="786" spans="1:2" ht="15.75">
      <c r="A786" s="1" t="s">
        <v>1570</v>
      </c>
      <c r="B786" s="1" t="s">
        <v>1571</v>
      </c>
    </row>
    <row r="787" spans="1:2" ht="15.75">
      <c r="A787" s="1" t="s">
        <v>1572</v>
      </c>
      <c r="B787" s="1" t="s">
        <v>1573</v>
      </c>
    </row>
    <row r="788" spans="1:2" ht="15.75">
      <c r="A788" s="1" t="s">
        <v>1574</v>
      </c>
      <c r="B788" s="1" t="s">
        <v>1575</v>
      </c>
    </row>
    <row r="789" spans="1:2" ht="15.75">
      <c r="A789" s="1" t="s">
        <v>1576</v>
      </c>
      <c r="B789" s="1" t="s">
        <v>1577</v>
      </c>
    </row>
    <row r="790" spans="1:2" ht="15.75">
      <c r="A790" s="1" t="s">
        <v>1578</v>
      </c>
      <c r="B790" s="1" t="s">
        <v>1579</v>
      </c>
    </row>
    <row r="791" spans="1:2" ht="15.75">
      <c r="A791" s="1" t="s">
        <v>1580</v>
      </c>
      <c r="B791" s="1" t="s">
        <v>1581</v>
      </c>
    </row>
    <row r="792" spans="1:2" ht="15.75">
      <c r="A792" s="1" t="s">
        <v>1582</v>
      </c>
      <c r="B792" s="1" t="s">
        <v>1583</v>
      </c>
    </row>
    <row r="793" spans="1:2" ht="15.75">
      <c r="A793" s="1" t="s">
        <v>1584</v>
      </c>
      <c r="B793" s="1" t="s">
        <v>1585</v>
      </c>
    </row>
    <row r="794" spans="1:2" ht="15.75">
      <c r="A794" s="1" t="s">
        <v>1586</v>
      </c>
      <c r="B794" s="1" t="s">
        <v>1587</v>
      </c>
    </row>
    <row r="795" spans="1:2" ht="15.75">
      <c r="A795" s="1" t="s">
        <v>1588</v>
      </c>
      <c r="B795" s="1" t="s">
        <v>1589</v>
      </c>
    </row>
    <row r="796" spans="1:2" ht="15.75">
      <c r="A796" s="1" t="s">
        <v>1590</v>
      </c>
      <c r="B796" s="1" t="s">
        <v>1591</v>
      </c>
    </row>
    <row r="797" spans="1:2" ht="15.75">
      <c r="A797" s="1" t="s">
        <v>1592</v>
      </c>
      <c r="B797" s="1" t="s">
        <v>1593</v>
      </c>
    </row>
    <row r="798" spans="1:2" ht="15.75">
      <c r="A798" s="1" t="s">
        <v>1594</v>
      </c>
      <c r="B798" s="1" t="s">
        <v>1595</v>
      </c>
    </row>
    <row r="799" spans="1:2" ht="15.75">
      <c r="A799" s="1" t="s">
        <v>1596</v>
      </c>
      <c r="B799" s="1" t="s">
        <v>1597</v>
      </c>
    </row>
    <row r="800" spans="1:2" ht="15.75">
      <c r="A800" s="1" t="s">
        <v>1598</v>
      </c>
      <c r="B800" s="1" t="s">
        <v>1599</v>
      </c>
    </row>
    <row r="801" spans="1:2" ht="15.75">
      <c r="A801" s="1" t="s">
        <v>1600</v>
      </c>
      <c r="B801" s="1" t="s">
        <v>1601</v>
      </c>
    </row>
    <row r="802" spans="1:2" ht="15.75">
      <c r="A802" s="1" t="s">
        <v>1602</v>
      </c>
      <c r="B802" s="1" t="s">
        <v>1603</v>
      </c>
    </row>
    <row r="803" spans="1:2" ht="15.75">
      <c r="A803" s="1" t="s">
        <v>1604</v>
      </c>
      <c r="B803" s="1" t="s">
        <v>1605</v>
      </c>
    </row>
    <row r="804" spans="1:2" ht="15.75">
      <c r="A804" s="1" t="s">
        <v>1606</v>
      </c>
      <c r="B804" s="1" t="s">
        <v>1607</v>
      </c>
    </row>
    <row r="805" spans="1:2" ht="15.75">
      <c r="A805" s="1" t="s">
        <v>1608</v>
      </c>
      <c r="B805" s="1" t="s">
        <v>1609</v>
      </c>
    </row>
    <row r="806" spans="1:2" ht="15.75">
      <c r="A806" s="1" t="s">
        <v>1610</v>
      </c>
      <c r="B806" s="1" t="s">
        <v>1611</v>
      </c>
    </row>
    <row r="807" spans="1:2" ht="15.75">
      <c r="A807" s="1" t="s">
        <v>1612</v>
      </c>
      <c r="B807" s="1" t="s">
        <v>1613</v>
      </c>
    </row>
    <row r="808" spans="1:2" ht="15.75">
      <c r="A808" s="1" t="s">
        <v>1614</v>
      </c>
      <c r="B808" s="1" t="s">
        <v>1615</v>
      </c>
    </row>
    <row r="809" spans="1:2" ht="15.75">
      <c r="A809" s="1" t="s">
        <v>1616</v>
      </c>
      <c r="B809" s="1" t="s">
        <v>1617</v>
      </c>
    </row>
    <row r="810" spans="1:2" ht="15.75">
      <c r="A810" s="1" t="s">
        <v>1618</v>
      </c>
      <c r="B810" s="1" t="s">
        <v>1619</v>
      </c>
    </row>
    <row r="811" spans="1:2" ht="15.75">
      <c r="A811" s="1" t="s">
        <v>1620</v>
      </c>
      <c r="B811" s="1" t="s">
        <v>1621</v>
      </c>
    </row>
    <row r="812" spans="1:2" ht="15.75">
      <c r="A812" s="1" t="s">
        <v>1622</v>
      </c>
      <c r="B812" s="1" t="s">
        <v>1623</v>
      </c>
    </row>
    <row r="813" spans="1:2" ht="15.75">
      <c r="A813" s="1" t="s">
        <v>1624</v>
      </c>
      <c r="B813" s="1" t="s">
        <v>1625</v>
      </c>
    </row>
    <row r="814" spans="1:2" ht="15.75">
      <c r="A814" s="1" t="s">
        <v>1626</v>
      </c>
      <c r="B814" s="1" t="s">
        <v>1627</v>
      </c>
    </row>
    <row r="815" spans="1:2" ht="15.75">
      <c r="A815" s="1" t="s">
        <v>1628</v>
      </c>
      <c r="B815" s="1" t="s">
        <v>1629</v>
      </c>
    </row>
    <row r="816" spans="1:2" ht="15.75">
      <c r="A816" s="1" t="s">
        <v>1630</v>
      </c>
      <c r="B816" s="1" t="s">
        <v>1631</v>
      </c>
    </row>
    <row r="817" spans="1:2" ht="15.75">
      <c r="A817" s="1" t="s">
        <v>1632</v>
      </c>
      <c r="B817" s="1" t="s">
        <v>1633</v>
      </c>
    </row>
    <row r="818" spans="1:2" ht="15.75">
      <c r="A818" s="1" t="s">
        <v>1634</v>
      </c>
      <c r="B818" s="1" t="s">
        <v>1635</v>
      </c>
    </row>
    <row r="819" spans="1:2" ht="15.75">
      <c r="A819" s="1" t="s">
        <v>1636</v>
      </c>
      <c r="B819" s="1" t="s">
        <v>1637</v>
      </c>
    </row>
    <row r="820" spans="1:2" ht="15.75">
      <c r="A820" s="1" t="s">
        <v>1638</v>
      </c>
      <c r="B820" s="1" t="s">
        <v>1639</v>
      </c>
    </row>
    <row r="821" spans="1:2" ht="15.75">
      <c r="A821" s="1" t="s">
        <v>1640</v>
      </c>
      <c r="B821" s="1" t="s">
        <v>1641</v>
      </c>
    </row>
    <row r="822" spans="1:2" ht="15.75">
      <c r="A822" s="1" t="s">
        <v>1642</v>
      </c>
      <c r="B822" s="1" t="s">
        <v>1643</v>
      </c>
    </row>
    <row r="823" spans="1:2" ht="15.75">
      <c r="A823" s="1" t="s">
        <v>1644</v>
      </c>
      <c r="B823" s="1" t="s">
        <v>1645</v>
      </c>
    </row>
    <row r="824" spans="1:2" ht="15.75">
      <c r="A824" s="1" t="s">
        <v>1646</v>
      </c>
      <c r="B824" s="1" t="s">
        <v>1647</v>
      </c>
    </row>
    <row r="825" spans="1:2" ht="15.75">
      <c r="A825" s="1" t="s">
        <v>1648</v>
      </c>
      <c r="B825" s="1" t="s">
        <v>1649</v>
      </c>
    </row>
    <row r="826" spans="1:2" ht="15.75">
      <c r="A826" s="1" t="s">
        <v>1650</v>
      </c>
      <c r="B826" s="1" t="s">
        <v>1651</v>
      </c>
    </row>
    <row r="827" spans="1:2" ht="15.75">
      <c r="A827" s="1" t="s">
        <v>1652</v>
      </c>
      <c r="B827" s="1" t="s">
        <v>1653</v>
      </c>
    </row>
    <row r="828" spans="1:2" ht="15.75">
      <c r="A828" s="1" t="s">
        <v>1654</v>
      </c>
      <c r="B828" s="1" t="s">
        <v>1655</v>
      </c>
    </row>
    <row r="829" spans="1:2" ht="15.75">
      <c r="A829" s="1" t="s">
        <v>1656</v>
      </c>
      <c r="B829" s="1" t="s">
        <v>1657</v>
      </c>
    </row>
    <row r="830" spans="1:2" ht="15.75">
      <c r="A830" s="1" t="s">
        <v>1658</v>
      </c>
      <c r="B830" s="1" t="s">
        <v>1659</v>
      </c>
    </row>
    <row r="831" spans="1:2" ht="15.75">
      <c r="A831" s="1" t="s">
        <v>1660</v>
      </c>
      <c r="B831" s="1" t="s">
        <v>1661</v>
      </c>
    </row>
    <row r="832" spans="1:2" ht="15.75">
      <c r="A832" s="1" t="s">
        <v>1662</v>
      </c>
      <c r="B832" s="1" t="s">
        <v>1663</v>
      </c>
    </row>
    <row r="833" spans="1:2" ht="15.75">
      <c r="A833" s="1" t="s">
        <v>1664</v>
      </c>
      <c r="B833" s="1" t="s">
        <v>1665</v>
      </c>
    </row>
    <row r="834" spans="1:2" ht="15.75">
      <c r="A834" s="1" t="s">
        <v>1666</v>
      </c>
      <c r="B834" s="1" t="s">
        <v>1667</v>
      </c>
    </row>
    <row r="835" spans="1:2" ht="15.75">
      <c r="A835" s="1" t="s">
        <v>1668</v>
      </c>
      <c r="B835" s="1" t="s">
        <v>1669</v>
      </c>
    </row>
    <row r="836" spans="1:2" ht="15.75">
      <c r="A836" s="1" t="s">
        <v>1670</v>
      </c>
      <c r="B836" s="1" t="s">
        <v>1671</v>
      </c>
    </row>
    <row r="837" spans="1:2" ht="15.75">
      <c r="A837" s="1" t="s">
        <v>1672</v>
      </c>
      <c r="B837" s="1" t="s">
        <v>1673</v>
      </c>
    </row>
    <row r="838" spans="1:2" ht="15.75">
      <c r="A838" s="1" t="s">
        <v>1674</v>
      </c>
      <c r="B838" s="1" t="s">
        <v>1675</v>
      </c>
    </row>
    <row r="839" spans="1:2" ht="15.75">
      <c r="A839" s="1" t="s">
        <v>1676</v>
      </c>
      <c r="B839" s="1" t="s">
        <v>1677</v>
      </c>
    </row>
    <row r="840" spans="1:2" ht="15.75">
      <c r="A840" s="1" t="s">
        <v>1678</v>
      </c>
      <c r="B840" s="1" t="s">
        <v>1679</v>
      </c>
    </row>
    <row r="841" spans="1:2" ht="15.75">
      <c r="A841" s="1" t="s">
        <v>1680</v>
      </c>
      <c r="B841" s="1" t="s">
        <v>1681</v>
      </c>
    </row>
    <row r="842" spans="1:2" ht="15.75">
      <c r="A842" s="1" t="s">
        <v>1682</v>
      </c>
      <c r="B842" s="1" t="s">
        <v>1683</v>
      </c>
    </row>
    <row r="843" spans="1:2" ht="15.75">
      <c r="A843" s="1" t="s">
        <v>1684</v>
      </c>
      <c r="B843" s="1" t="s">
        <v>1685</v>
      </c>
    </row>
    <row r="844" spans="1:2" ht="15.75">
      <c r="A844" s="1" t="s">
        <v>1686</v>
      </c>
      <c r="B844" s="1" t="s">
        <v>1687</v>
      </c>
    </row>
    <row r="845" spans="1:2" ht="15.75">
      <c r="A845" s="1" t="s">
        <v>1688</v>
      </c>
      <c r="B845" s="1" t="s">
        <v>1689</v>
      </c>
    </row>
    <row r="846" spans="1:2" ht="15.75">
      <c r="A846" s="1" t="s">
        <v>1690</v>
      </c>
      <c r="B846" s="1" t="s">
        <v>1691</v>
      </c>
    </row>
    <row r="847" spans="1:2" ht="15.75">
      <c r="A847" s="1" t="s">
        <v>1692</v>
      </c>
      <c r="B847" s="1" t="s">
        <v>1693</v>
      </c>
    </row>
    <row r="848" spans="1:2" ht="15.75">
      <c r="A848" s="1" t="s">
        <v>1694</v>
      </c>
      <c r="B848" s="1" t="s">
        <v>1695</v>
      </c>
    </row>
    <row r="849" spans="1:2" ht="15.75">
      <c r="A849" s="1" t="s">
        <v>1696</v>
      </c>
      <c r="B849" s="1" t="s">
        <v>1697</v>
      </c>
    </row>
    <row r="850" spans="1:2" ht="15.75">
      <c r="A850" s="1" t="s">
        <v>1698</v>
      </c>
      <c r="B850" s="1" t="s">
        <v>1699</v>
      </c>
    </row>
    <row r="851" spans="1:2" ht="15.75">
      <c r="A851" s="1" t="s">
        <v>1700</v>
      </c>
      <c r="B851" s="1" t="s">
        <v>1701</v>
      </c>
    </row>
    <row r="852" spans="1:2" ht="15.75">
      <c r="A852" s="1" t="s">
        <v>1702</v>
      </c>
      <c r="B852" s="1" t="s">
        <v>1703</v>
      </c>
    </row>
    <row r="853" spans="1:2" ht="15.75">
      <c r="A853" s="1" t="s">
        <v>1704</v>
      </c>
      <c r="B853" s="1" t="s">
        <v>1705</v>
      </c>
    </row>
    <row r="854" spans="1:2" ht="15.75">
      <c r="A854" s="1" t="s">
        <v>1706</v>
      </c>
      <c r="B854" s="1" t="s">
        <v>1707</v>
      </c>
    </row>
    <row r="855" spans="1:2" ht="15.75">
      <c r="A855" s="1" t="s">
        <v>1708</v>
      </c>
      <c r="B855" s="1" t="s">
        <v>1709</v>
      </c>
    </row>
    <row r="856" spans="1:2" ht="15.75">
      <c r="A856" s="1" t="s">
        <v>1710</v>
      </c>
      <c r="B856" s="1" t="s">
        <v>1711</v>
      </c>
    </row>
    <row r="857" spans="1:2" ht="15.75">
      <c r="A857" s="1" t="s">
        <v>1712</v>
      </c>
      <c r="B857" s="1" t="s">
        <v>1713</v>
      </c>
    </row>
    <row r="858" spans="1:2" ht="15.75">
      <c r="A858" s="1" t="s">
        <v>1714</v>
      </c>
      <c r="B858" s="1" t="s">
        <v>1715</v>
      </c>
    </row>
    <row r="859" spans="1:2" ht="15.75">
      <c r="A859" s="1" t="s">
        <v>1716</v>
      </c>
      <c r="B859" s="1" t="s">
        <v>1717</v>
      </c>
    </row>
    <row r="860" spans="1:2" ht="15.75">
      <c r="A860" s="1" t="s">
        <v>1718</v>
      </c>
      <c r="B860" s="1" t="s">
        <v>1719</v>
      </c>
    </row>
    <row r="861" spans="1:2" ht="15.75">
      <c r="A861" s="1" t="s">
        <v>1720</v>
      </c>
      <c r="B861" s="1" t="s">
        <v>1721</v>
      </c>
    </row>
    <row r="862" spans="1:2" ht="15.75">
      <c r="A862" s="1" t="s">
        <v>1722</v>
      </c>
      <c r="B862" s="1" t="s">
        <v>1723</v>
      </c>
    </row>
    <row r="863" spans="1:2" ht="15.75">
      <c r="A863" s="1" t="s">
        <v>1724</v>
      </c>
      <c r="B863" s="1" t="s">
        <v>1725</v>
      </c>
    </row>
    <row r="864" spans="1:2" ht="15.75">
      <c r="A864" s="1" t="s">
        <v>1726</v>
      </c>
      <c r="B864" s="1" t="s">
        <v>1727</v>
      </c>
    </row>
    <row r="865" spans="1:2" ht="15.75">
      <c r="A865" s="1" t="s">
        <v>1728</v>
      </c>
      <c r="B865" s="1" t="s">
        <v>1729</v>
      </c>
    </row>
    <row r="866" spans="1:2" ht="15.75">
      <c r="A866" s="1" t="s">
        <v>1730</v>
      </c>
      <c r="B866" s="1" t="s">
        <v>1731</v>
      </c>
    </row>
    <row r="867" spans="1:2" ht="15.75">
      <c r="A867" s="1" t="s">
        <v>1732</v>
      </c>
      <c r="B867" s="1" t="s">
        <v>1733</v>
      </c>
    </row>
    <row r="868" spans="1:2" ht="15.75">
      <c r="A868" s="1" t="s">
        <v>1734</v>
      </c>
      <c r="B868" s="1" t="s">
        <v>1735</v>
      </c>
    </row>
    <row r="869" spans="1:2" ht="15.75">
      <c r="A869" s="1" t="s">
        <v>1736</v>
      </c>
      <c r="B869" s="1" t="s">
        <v>1737</v>
      </c>
    </row>
    <row r="870" spans="1:2" ht="15.75">
      <c r="A870" s="1" t="s">
        <v>1738</v>
      </c>
      <c r="B870" s="1" t="s">
        <v>1739</v>
      </c>
    </row>
    <row r="871" spans="1:2" ht="15.75">
      <c r="A871" s="1" t="s">
        <v>1740</v>
      </c>
      <c r="B871" s="1" t="s">
        <v>1741</v>
      </c>
    </row>
    <row r="872" spans="1:2" ht="15.75">
      <c r="A872" s="1" t="s">
        <v>1742</v>
      </c>
      <c r="B872" s="1" t="s">
        <v>1743</v>
      </c>
    </row>
    <row r="873" spans="1:2" ht="15.75">
      <c r="A873" s="1" t="s">
        <v>1744</v>
      </c>
      <c r="B873" s="1" t="s">
        <v>1745</v>
      </c>
    </row>
    <row r="874" spans="1:2" ht="15.75">
      <c r="A874" s="1" t="s">
        <v>1746</v>
      </c>
      <c r="B874" s="1" t="s">
        <v>1747</v>
      </c>
    </row>
    <row r="875" spans="1:2" ht="15.75">
      <c r="A875" s="1" t="s">
        <v>1748</v>
      </c>
      <c r="B875" s="1" t="s">
        <v>1749</v>
      </c>
    </row>
    <row r="876" spans="1:2" ht="15.75">
      <c r="A876" s="1" t="s">
        <v>1750</v>
      </c>
      <c r="B876" s="1" t="s">
        <v>1751</v>
      </c>
    </row>
    <row r="877" spans="1:2" ht="15.75">
      <c r="A877" s="1" t="s">
        <v>1752</v>
      </c>
      <c r="B877" s="1" t="s">
        <v>1753</v>
      </c>
    </row>
    <row r="878" spans="1:2" ht="15.75">
      <c r="A878" s="1" t="s">
        <v>1754</v>
      </c>
      <c r="B878" s="1" t="s">
        <v>1755</v>
      </c>
    </row>
    <row r="879" spans="1:2" ht="15.75">
      <c r="A879" s="1" t="s">
        <v>1756</v>
      </c>
      <c r="B879" s="1" t="s">
        <v>1757</v>
      </c>
    </row>
    <row r="880" spans="1:2" ht="15.75">
      <c r="A880" s="1" t="s">
        <v>1758</v>
      </c>
      <c r="B880" s="1" t="s">
        <v>1759</v>
      </c>
    </row>
    <row r="881" spans="1:2" ht="15.75">
      <c r="A881" s="1" t="s">
        <v>1760</v>
      </c>
      <c r="B881" s="1" t="s">
        <v>1761</v>
      </c>
    </row>
    <row r="882" spans="1:2" ht="15.75">
      <c r="A882" s="1" t="s">
        <v>1762</v>
      </c>
      <c r="B882" s="1" t="s">
        <v>1763</v>
      </c>
    </row>
    <row r="883" spans="1:2" ht="15.75">
      <c r="A883" s="1" t="s">
        <v>1764</v>
      </c>
      <c r="B883" s="1" t="s">
        <v>1765</v>
      </c>
    </row>
    <row r="884" spans="1:2" ht="15.75">
      <c r="A884" s="1" t="s">
        <v>1766</v>
      </c>
      <c r="B884" s="1" t="s">
        <v>1767</v>
      </c>
    </row>
    <row r="885" spans="1:2" ht="15.75">
      <c r="A885" s="1" t="s">
        <v>1768</v>
      </c>
      <c r="B885" s="1" t="s">
        <v>1769</v>
      </c>
    </row>
    <row r="886" spans="1:2" ht="15.75">
      <c r="A886" s="1" t="s">
        <v>1770</v>
      </c>
      <c r="B886" s="1" t="s">
        <v>1771</v>
      </c>
    </row>
    <row r="887" spans="1:2" ht="15.75">
      <c r="A887" s="1" t="s">
        <v>1772</v>
      </c>
      <c r="B887" s="1" t="s">
        <v>1773</v>
      </c>
    </row>
    <row r="888" spans="1:2" ht="15.75">
      <c r="A888" s="1" t="s">
        <v>1774</v>
      </c>
      <c r="B888" s="1" t="s">
        <v>1775</v>
      </c>
    </row>
    <row r="889" spans="1:2" ht="15.75">
      <c r="A889" s="1" t="s">
        <v>1776</v>
      </c>
      <c r="B889" s="1" t="s">
        <v>1777</v>
      </c>
    </row>
    <row r="890" spans="1:2" ht="15.75">
      <c r="A890" s="1" t="s">
        <v>1778</v>
      </c>
      <c r="B890" s="1" t="s">
        <v>1779</v>
      </c>
    </row>
    <row r="891" spans="1:2" ht="15.75">
      <c r="A891" s="1" t="s">
        <v>1780</v>
      </c>
      <c r="B891" s="1" t="s">
        <v>1781</v>
      </c>
    </row>
    <row r="892" spans="1:2" ht="15.75">
      <c r="A892" s="1" t="s">
        <v>1782</v>
      </c>
      <c r="B892" s="1" t="s">
        <v>1783</v>
      </c>
    </row>
    <row r="893" spans="1:2" ht="15.75">
      <c r="A893" s="1" t="s">
        <v>1784</v>
      </c>
      <c r="B893" s="1" t="s">
        <v>1785</v>
      </c>
    </row>
    <row r="894" spans="1:2" ht="15.75">
      <c r="A894" s="1" t="s">
        <v>1786</v>
      </c>
      <c r="B894" s="1" t="s">
        <v>1787</v>
      </c>
    </row>
    <row r="895" spans="1:2" ht="15.75">
      <c r="A895" s="1" t="s">
        <v>1788</v>
      </c>
      <c r="B895" s="1" t="s">
        <v>1789</v>
      </c>
    </row>
    <row r="896" spans="1:2" ht="15.75">
      <c r="A896" s="1" t="s">
        <v>1790</v>
      </c>
      <c r="B896" s="1" t="s">
        <v>1791</v>
      </c>
    </row>
    <row r="897" spans="1:2" ht="15.75">
      <c r="A897" s="1" t="s">
        <v>1792</v>
      </c>
      <c r="B897" s="1" t="s">
        <v>1793</v>
      </c>
    </row>
    <row r="898" spans="1:2" ht="15.75">
      <c r="A898" s="1" t="s">
        <v>1794</v>
      </c>
      <c r="B898" s="1" t="s">
        <v>1795</v>
      </c>
    </row>
    <row r="899" spans="1:2" ht="15.75">
      <c r="A899" s="1" t="s">
        <v>1796</v>
      </c>
      <c r="B899" s="1" t="s">
        <v>1797</v>
      </c>
    </row>
    <row r="900" spans="1:2" ht="15.75">
      <c r="A900" s="1" t="s">
        <v>1798</v>
      </c>
      <c r="B900" s="1" t="s">
        <v>1799</v>
      </c>
    </row>
    <row r="901" spans="1:2" ht="15.75">
      <c r="A901" s="1" t="s">
        <v>1800</v>
      </c>
      <c r="B901" s="1" t="s">
        <v>1801</v>
      </c>
    </row>
    <row r="902" spans="1:2" ht="15.75">
      <c r="A902" s="1" t="s">
        <v>1802</v>
      </c>
      <c r="B902" s="1" t="s">
        <v>1803</v>
      </c>
    </row>
    <row r="903" spans="1:2" ht="15.75">
      <c r="A903" s="1" t="s">
        <v>1804</v>
      </c>
      <c r="B903" s="1" t="s">
        <v>1805</v>
      </c>
    </row>
    <row r="904" spans="1:2" ht="15.75">
      <c r="A904" s="1" t="s">
        <v>1806</v>
      </c>
      <c r="B904" s="1" t="s">
        <v>1807</v>
      </c>
    </row>
    <row r="905" spans="1:2" ht="15.75">
      <c r="A905" s="1" t="s">
        <v>1808</v>
      </c>
      <c r="B905" s="1" t="s">
        <v>1809</v>
      </c>
    </row>
    <row r="906" spans="1:2" ht="15.75">
      <c r="A906" s="1" t="s">
        <v>1810</v>
      </c>
      <c r="B906" s="1" t="s">
        <v>1811</v>
      </c>
    </row>
    <row r="907" spans="1:2" ht="15.75">
      <c r="A907" s="1" t="s">
        <v>1812</v>
      </c>
      <c r="B907" s="1" t="s">
        <v>1813</v>
      </c>
    </row>
    <row r="908" spans="1:2" ht="15.75">
      <c r="A908" s="1" t="s">
        <v>1814</v>
      </c>
      <c r="B908" s="1" t="s">
        <v>1815</v>
      </c>
    </row>
    <row r="909" spans="1:2" ht="15.75">
      <c r="A909" s="1" t="s">
        <v>1816</v>
      </c>
      <c r="B909" s="1" t="s">
        <v>1817</v>
      </c>
    </row>
    <row r="910" spans="1:2" ht="15.75">
      <c r="A910" s="1" t="s">
        <v>1818</v>
      </c>
      <c r="B910" s="1" t="s">
        <v>1819</v>
      </c>
    </row>
    <row r="911" spans="1:2" ht="15.75">
      <c r="A911" s="1" t="s">
        <v>1820</v>
      </c>
      <c r="B911" s="1" t="s">
        <v>1821</v>
      </c>
    </row>
    <row r="912" spans="1:2" ht="15.75">
      <c r="A912" s="1" t="s">
        <v>1822</v>
      </c>
      <c r="B912" s="1" t="s">
        <v>1823</v>
      </c>
    </row>
    <row r="913" spans="1:2" ht="15.75">
      <c r="A913" s="1" t="s">
        <v>1824</v>
      </c>
      <c r="B913" s="1" t="s">
        <v>1825</v>
      </c>
    </row>
    <row r="914" spans="1:2" ht="15.75">
      <c r="A914" s="1" t="s">
        <v>1826</v>
      </c>
      <c r="B914" s="1" t="s">
        <v>1827</v>
      </c>
    </row>
    <row r="915" spans="1:2" ht="15.75">
      <c r="A915" s="1" t="s">
        <v>1828</v>
      </c>
      <c r="B915" s="1" t="s">
        <v>1829</v>
      </c>
    </row>
    <row r="916" spans="1:2" ht="15.75">
      <c r="A916" s="1" t="s">
        <v>1830</v>
      </c>
      <c r="B916" s="1" t="s">
        <v>1831</v>
      </c>
    </row>
    <row r="917" spans="1:2" ht="15.75">
      <c r="A917" s="1" t="s">
        <v>1832</v>
      </c>
      <c r="B917" s="1" t="s">
        <v>1833</v>
      </c>
    </row>
    <row r="918" spans="1:2" ht="15.75">
      <c r="A918" s="1" t="s">
        <v>1834</v>
      </c>
      <c r="B918" s="1" t="s">
        <v>1835</v>
      </c>
    </row>
    <row r="919" spans="1:2" ht="15.75">
      <c r="A919" s="1" t="s">
        <v>1836</v>
      </c>
      <c r="B919" s="1" t="s">
        <v>1837</v>
      </c>
    </row>
    <row r="920" spans="1:2" ht="15.75">
      <c r="A920" s="1" t="s">
        <v>1838</v>
      </c>
      <c r="B920" s="1" t="s">
        <v>1839</v>
      </c>
    </row>
    <row r="921" spans="1:2" ht="15.75">
      <c r="A921" s="1" t="s">
        <v>1840</v>
      </c>
      <c r="B921" s="1" t="s">
        <v>1841</v>
      </c>
    </row>
    <row r="922" spans="1:2" ht="15.75">
      <c r="A922" s="1" t="s">
        <v>1842</v>
      </c>
      <c r="B922" s="1" t="s">
        <v>1843</v>
      </c>
    </row>
    <row r="923" spans="1:2" ht="15.75">
      <c r="A923" s="1" t="s">
        <v>1844</v>
      </c>
      <c r="B923" s="1" t="s">
        <v>1845</v>
      </c>
    </row>
    <row r="924" spans="1:2" ht="15.75">
      <c r="A924" s="1" t="s">
        <v>1846</v>
      </c>
      <c r="B924" s="1" t="s">
        <v>1847</v>
      </c>
    </row>
    <row r="925" spans="1:2" ht="15.75">
      <c r="A925" s="1" t="s">
        <v>1848</v>
      </c>
      <c r="B925" s="1" t="s">
        <v>1849</v>
      </c>
    </row>
    <row r="926" spans="1:2" ht="15.75">
      <c r="A926" s="1" t="s">
        <v>1850</v>
      </c>
      <c r="B926" s="1" t="s">
        <v>1851</v>
      </c>
    </row>
    <row r="927" spans="1:2" ht="15.75">
      <c r="A927" s="1" t="s">
        <v>1852</v>
      </c>
      <c r="B927" s="1" t="s">
        <v>1853</v>
      </c>
    </row>
    <row r="928" spans="1:2" ht="15.75">
      <c r="A928" s="1" t="s">
        <v>1854</v>
      </c>
      <c r="B928" s="1" t="s">
        <v>1855</v>
      </c>
    </row>
    <row r="929" spans="1:2" ht="15.75">
      <c r="A929" s="1" t="s">
        <v>1856</v>
      </c>
      <c r="B929" s="1" t="s">
        <v>1857</v>
      </c>
    </row>
    <row r="930" spans="1:2" ht="15.75">
      <c r="A930" s="1" t="s">
        <v>1858</v>
      </c>
      <c r="B930" s="1" t="s">
        <v>1859</v>
      </c>
    </row>
    <row r="931" spans="1:2" ht="15.75">
      <c r="A931" s="1" t="s">
        <v>1860</v>
      </c>
      <c r="B931" s="1" t="s">
        <v>1861</v>
      </c>
    </row>
    <row r="932" spans="1:2" ht="15.75">
      <c r="A932" s="1" t="s">
        <v>1862</v>
      </c>
      <c r="B932" s="1" t="s">
        <v>1863</v>
      </c>
    </row>
    <row r="933" spans="1:2" ht="15.75">
      <c r="A933" s="1" t="s">
        <v>1864</v>
      </c>
      <c r="B933" s="1" t="s">
        <v>1865</v>
      </c>
    </row>
    <row r="934" spans="1:2" ht="15.75">
      <c r="A934" s="1" t="s">
        <v>1866</v>
      </c>
      <c r="B934" s="1" t="s">
        <v>1867</v>
      </c>
    </row>
    <row r="935" spans="1:2" ht="15.75">
      <c r="A935" s="1" t="s">
        <v>1868</v>
      </c>
      <c r="B935" s="1" t="s">
        <v>1869</v>
      </c>
    </row>
    <row r="936" spans="1:2" ht="15.75">
      <c r="A936" s="1" t="s">
        <v>1870</v>
      </c>
      <c r="B936" s="1" t="s">
        <v>1871</v>
      </c>
    </row>
    <row r="937" spans="1:2" ht="15.75">
      <c r="A937" s="1" t="s">
        <v>1872</v>
      </c>
      <c r="B937" s="1" t="s">
        <v>1873</v>
      </c>
    </row>
    <row r="938" spans="1:2" ht="15.75">
      <c r="A938" s="1" t="s">
        <v>1874</v>
      </c>
      <c r="B938" s="1" t="s">
        <v>1875</v>
      </c>
    </row>
    <row r="939" spans="1:2" ht="15.75">
      <c r="A939" s="1" t="s">
        <v>1876</v>
      </c>
      <c r="B939" s="1" t="s">
        <v>1877</v>
      </c>
    </row>
    <row r="940" spans="1:2" ht="15.75">
      <c r="A940" s="1" t="s">
        <v>1878</v>
      </c>
      <c r="B940" s="1" t="s">
        <v>1879</v>
      </c>
    </row>
    <row r="941" spans="1:2" ht="15.75">
      <c r="A941" s="1" t="s">
        <v>1880</v>
      </c>
      <c r="B941" s="1" t="s">
        <v>1881</v>
      </c>
    </row>
    <row r="942" spans="1:2" ht="15.75">
      <c r="A942" s="1" t="s">
        <v>1882</v>
      </c>
      <c r="B942" s="1" t="s">
        <v>1883</v>
      </c>
    </row>
    <row r="943" spans="1:2" ht="15.75">
      <c r="A943" s="1" t="s">
        <v>1884</v>
      </c>
      <c r="B943" s="1" t="s">
        <v>1885</v>
      </c>
    </row>
    <row r="944" spans="1:2" ht="15.75">
      <c r="A944" s="1" t="s">
        <v>1886</v>
      </c>
      <c r="B944" s="1" t="s">
        <v>1887</v>
      </c>
    </row>
    <row r="945" spans="1:2" ht="15.75">
      <c r="A945" s="1" t="s">
        <v>1888</v>
      </c>
      <c r="B945" s="1" t="s">
        <v>1889</v>
      </c>
    </row>
    <row r="946" spans="1:2" ht="15.75">
      <c r="A946" s="1" t="s">
        <v>1890</v>
      </c>
      <c r="B946" s="1" t="s">
        <v>1891</v>
      </c>
    </row>
    <row r="947" spans="1:2" ht="15.75">
      <c r="A947" s="1" t="s">
        <v>1892</v>
      </c>
      <c r="B947" s="1" t="s">
        <v>1893</v>
      </c>
    </row>
    <row r="948" spans="1:2" ht="15.75">
      <c r="A948" s="1" t="s">
        <v>1894</v>
      </c>
      <c r="B948" s="1" t="s">
        <v>1895</v>
      </c>
    </row>
    <row r="949" spans="1:2" ht="15.75">
      <c r="A949" s="1" t="s">
        <v>1896</v>
      </c>
      <c r="B949" s="1" t="s">
        <v>1897</v>
      </c>
    </row>
    <row r="950" spans="1:2" ht="15.75">
      <c r="A950" s="1" t="s">
        <v>1898</v>
      </c>
      <c r="B950" s="1" t="s">
        <v>1899</v>
      </c>
    </row>
    <row r="951" spans="1:2" ht="15.75">
      <c r="A951" s="1" t="s">
        <v>1900</v>
      </c>
      <c r="B951" s="1" t="s">
        <v>1901</v>
      </c>
    </row>
    <row r="952" spans="1:2" ht="15.75">
      <c r="A952" s="1" t="s">
        <v>1902</v>
      </c>
      <c r="B952" s="1" t="s">
        <v>1903</v>
      </c>
    </row>
    <row r="953" spans="1:2" ht="15.75">
      <c r="A953" s="1" t="s">
        <v>1904</v>
      </c>
      <c r="B953" s="1" t="s">
        <v>1905</v>
      </c>
    </row>
    <row r="954" spans="1:2" ht="15.75">
      <c r="A954" s="1" t="s">
        <v>1906</v>
      </c>
      <c r="B954" s="1" t="s">
        <v>1907</v>
      </c>
    </row>
    <row r="955" spans="1:2" ht="15.75">
      <c r="A955" s="1" t="s">
        <v>1908</v>
      </c>
      <c r="B955" s="1" t="s">
        <v>1909</v>
      </c>
    </row>
    <row r="956" spans="1:2" ht="15.75">
      <c r="A956" s="1" t="s">
        <v>1910</v>
      </c>
      <c r="B956" s="1" t="s">
        <v>1911</v>
      </c>
    </row>
    <row r="957" spans="1:2" ht="15.75">
      <c r="A957" s="1" t="s">
        <v>1912</v>
      </c>
      <c r="B957" s="1" t="s">
        <v>1913</v>
      </c>
    </row>
    <row r="958" spans="1:2" ht="15.75">
      <c r="A958" s="1" t="s">
        <v>1914</v>
      </c>
      <c r="B958" s="1" t="s">
        <v>1915</v>
      </c>
    </row>
    <row r="959" spans="1:2" ht="15.75">
      <c r="A959" s="1" t="s">
        <v>1916</v>
      </c>
      <c r="B959" s="1" t="s">
        <v>1917</v>
      </c>
    </row>
    <row r="960" spans="1:2" ht="15.75">
      <c r="A960" s="1" t="s">
        <v>1918</v>
      </c>
      <c r="B960" s="1" t="s">
        <v>1919</v>
      </c>
    </row>
    <row r="961" spans="1:2" ht="15.75">
      <c r="A961" s="1" t="s">
        <v>1920</v>
      </c>
      <c r="B961" s="1" t="s">
        <v>1921</v>
      </c>
    </row>
    <row r="962" spans="1:2" ht="15.75">
      <c r="A962" s="1" t="s">
        <v>1922</v>
      </c>
      <c r="B962" s="1" t="s">
        <v>1923</v>
      </c>
    </row>
    <row r="963" spans="1:2" ht="15.75">
      <c r="A963" s="1" t="s">
        <v>1924</v>
      </c>
      <c r="B963" s="1" t="s">
        <v>1925</v>
      </c>
    </row>
    <row r="964" spans="1:2" ht="15.75">
      <c r="A964" s="1" t="s">
        <v>1926</v>
      </c>
      <c r="B964" s="1" t="s">
        <v>1927</v>
      </c>
    </row>
    <row r="965" spans="1:2" ht="15.75">
      <c r="A965" s="1" t="s">
        <v>1928</v>
      </c>
      <c r="B965" s="1" t="s">
        <v>1929</v>
      </c>
    </row>
    <row r="966" spans="1:2" ht="15.75">
      <c r="A966" s="1" t="s">
        <v>1930</v>
      </c>
      <c r="B966" s="1" t="s">
        <v>1931</v>
      </c>
    </row>
    <row r="967" spans="1:2" ht="15.75">
      <c r="A967" s="1" t="s">
        <v>1932</v>
      </c>
      <c r="B967" s="1" t="s">
        <v>1933</v>
      </c>
    </row>
    <row r="968" spans="1:2" ht="15.75">
      <c r="A968" s="1" t="s">
        <v>1934</v>
      </c>
      <c r="B968" s="1" t="s">
        <v>1935</v>
      </c>
    </row>
    <row r="969" spans="1:2" ht="15.75">
      <c r="A969" s="1" t="s">
        <v>1936</v>
      </c>
      <c r="B969" s="1" t="s">
        <v>1937</v>
      </c>
    </row>
    <row r="970" spans="1:2" ht="15.75">
      <c r="A970" s="1" t="s">
        <v>1938</v>
      </c>
      <c r="B970" s="1" t="s">
        <v>1939</v>
      </c>
    </row>
    <row r="971" spans="1:2" ht="15.75">
      <c r="A971" s="1" t="s">
        <v>1940</v>
      </c>
      <c r="B971" s="1" t="s">
        <v>1941</v>
      </c>
    </row>
    <row r="972" spans="1:2" ht="15.75">
      <c r="A972" s="1" t="s">
        <v>1942</v>
      </c>
      <c r="B972" s="1" t="s">
        <v>1943</v>
      </c>
    </row>
    <row r="973" spans="1:2" ht="15.75">
      <c r="A973" s="1" t="s">
        <v>1944</v>
      </c>
      <c r="B973" s="1" t="s">
        <v>1945</v>
      </c>
    </row>
    <row r="974" spans="1:2" ht="15.75">
      <c r="A974" s="1" t="s">
        <v>1946</v>
      </c>
      <c r="B974" s="1" t="s">
        <v>1947</v>
      </c>
    </row>
    <row r="975" spans="1:2" ht="15.75">
      <c r="A975" s="1" t="s">
        <v>1948</v>
      </c>
      <c r="B975" s="1" t="s">
        <v>1949</v>
      </c>
    </row>
    <row r="976" spans="1:2" ht="15.75">
      <c r="A976" s="1" t="s">
        <v>1950</v>
      </c>
      <c r="B976" s="1" t="s">
        <v>1951</v>
      </c>
    </row>
    <row r="977" spans="1:2" ht="15.75">
      <c r="A977" s="1" t="s">
        <v>1952</v>
      </c>
      <c r="B977" s="1" t="s">
        <v>1953</v>
      </c>
    </row>
    <row r="978" spans="1:2" ht="15.75">
      <c r="A978" s="1" t="s">
        <v>1954</v>
      </c>
      <c r="B978" s="1" t="s">
        <v>1955</v>
      </c>
    </row>
    <row r="979" spans="1:2" ht="15.75">
      <c r="A979" s="1" t="s">
        <v>1956</v>
      </c>
      <c r="B979" s="1" t="s">
        <v>1957</v>
      </c>
    </row>
    <row r="980" spans="1:2" ht="15.75">
      <c r="A980" s="1" t="s">
        <v>1958</v>
      </c>
      <c r="B980" s="1" t="s">
        <v>1959</v>
      </c>
    </row>
    <row r="981" spans="1:2" ht="15.75">
      <c r="A981" s="1" t="s">
        <v>1960</v>
      </c>
      <c r="B981" s="1" t="s">
        <v>1961</v>
      </c>
    </row>
    <row r="982" spans="1:2" ht="15.75">
      <c r="A982" s="1" t="s">
        <v>1962</v>
      </c>
      <c r="B982" s="1" t="s">
        <v>1963</v>
      </c>
    </row>
    <row r="983" spans="1:2" ht="15.75">
      <c r="A983" s="1" t="s">
        <v>1964</v>
      </c>
      <c r="B983" s="1" t="s">
        <v>1965</v>
      </c>
    </row>
    <row r="984" spans="1:2" ht="15.75">
      <c r="A984" s="1" t="s">
        <v>1966</v>
      </c>
      <c r="B984" s="1" t="s">
        <v>1967</v>
      </c>
    </row>
    <row r="985" spans="1:2" ht="15.75">
      <c r="A985" s="1" t="s">
        <v>1968</v>
      </c>
      <c r="B985" s="1" t="s">
        <v>1969</v>
      </c>
    </row>
    <row r="986" spans="1:2" ht="15.75">
      <c r="A986" s="1" t="s">
        <v>1970</v>
      </c>
      <c r="B986" s="1" t="s">
        <v>1971</v>
      </c>
    </row>
    <row r="987" spans="1:2" ht="15.75">
      <c r="A987" s="1" t="s">
        <v>1972</v>
      </c>
      <c r="B987" s="1" t="s">
        <v>1973</v>
      </c>
    </row>
    <row r="988" spans="1:2" ht="15.75">
      <c r="A988" s="1" t="s">
        <v>1974</v>
      </c>
      <c r="B988" s="1" t="s">
        <v>1975</v>
      </c>
    </row>
    <row r="989" spans="1:2" ht="15.75">
      <c r="A989" s="1" t="s">
        <v>1976</v>
      </c>
      <c r="B989" s="1" t="s">
        <v>1977</v>
      </c>
    </row>
    <row r="990" spans="1:2" ht="15.75">
      <c r="A990" s="1" t="s">
        <v>1978</v>
      </c>
      <c r="B990" s="1" t="s">
        <v>1979</v>
      </c>
    </row>
    <row r="991" spans="1:2" ht="15.75">
      <c r="A991" s="1" t="s">
        <v>1980</v>
      </c>
      <c r="B991" s="1" t="s">
        <v>1981</v>
      </c>
    </row>
    <row r="992" spans="1:2" ht="15.75">
      <c r="A992" s="1" t="s">
        <v>1982</v>
      </c>
      <c r="B992" s="1" t="s">
        <v>1983</v>
      </c>
    </row>
    <row r="993" spans="1:2" ht="15.75">
      <c r="A993" s="1" t="s">
        <v>1984</v>
      </c>
      <c r="B993" s="1" t="s">
        <v>1985</v>
      </c>
    </row>
    <row r="994" spans="1:2" ht="15.75">
      <c r="A994" s="1" t="s">
        <v>1986</v>
      </c>
      <c r="B994" s="1" t="s">
        <v>1987</v>
      </c>
    </row>
    <row r="995" spans="1:2" ht="15.75">
      <c r="A995" s="1" t="s">
        <v>1988</v>
      </c>
      <c r="B995" s="1" t="s">
        <v>1989</v>
      </c>
    </row>
    <row r="996" spans="1:2" ht="15.75">
      <c r="A996" s="1" t="s">
        <v>1990</v>
      </c>
      <c r="B996" s="1" t="s">
        <v>1991</v>
      </c>
    </row>
    <row r="997" spans="1:2" ht="15.75">
      <c r="A997" s="1" t="s">
        <v>1992</v>
      </c>
      <c r="B997" s="1" t="s">
        <v>1993</v>
      </c>
    </row>
    <row r="998" spans="1:2" ht="15.75">
      <c r="A998" s="1" t="s">
        <v>1994</v>
      </c>
      <c r="B998" s="1" t="s">
        <v>1995</v>
      </c>
    </row>
    <row r="999" spans="1:2" ht="15.75">
      <c r="A999" s="1" t="s">
        <v>1996</v>
      </c>
      <c r="B999" s="1" t="s">
        <v>1997</v>
      </c>
    </row>
    <row r="1000" spans="1:2" ht="15.75">
      <c r="A1000" s="1" t="s">
        <v>1998</v>
      </c>
      <c r="B1000" s="1" t="s">
        <v>1999</v>
      </c>
    </row>
    <row r="1001" spans="1:2" ht="15.75">
      <c r="A1001" s="1" t="s">
        <v>2000</v>
      </c>
      <c r="B1001" s="1" t="s">
        <v>2001</v>
      </c>
    </row>
    <row r="1002" spans="1:2" ht="15.75">
      <c r="A1002" s="1" t="s">
        <v>2002</v>
      </c>
      <c r="B1002" s="1" t="s">
        <v>2003</v>
      </c>
    </row>
    <row r="1003" spans="1:2" ht="15.75">
      <c r="A1003" s="1" t="s">
        <v>2004</v>
      </c>
      <c r="B1003" s="1" t="s">
        <v>2005</v>
      </c>
    </row>
    <row r="1004" spans="1:2" ht="15.75">
      <c r="A1004" s="1" t="s">
        <v>2006</v>
      </c>
      <c r="B1004" s="1" t="s">
        <v>2007</v>
      </c>
    </row>
    <row r="1005" spans="1:2" ht="15.75">
      <c r="A1005" s="1" t="s">
        <v>2008</v>
      </c>
      <c r="B1005" s="1" t="s">
        <v>2009</v>
      </c>
    </row>
    <row r="1006" spans="1:2" ht="15.75">
      <c r="A1006" s="1" t="s">
        <v>2010</v>
      </c>
      <c r="B1006" s="1" t="s">
        <v>2011</v>
      </c>
    </row>
    <row r="1007" spans="1:2" ht="15.75">
      <c r="A1007" s="1" t="s">
        <v>2012</v>
      </c>
      <c r="B1007" s="1" t="s">
        <v>2013</v>
      </c>
    </row>
    <row r="1008" spans="1:2" ht="15.75">
      <c r="A1008" s="1" t="s">
        <v>2014</v>
      </c>
      <c r="B1008" s="1" t="s">
        <v>2015</v>
      </c>
    </row>
    <row r="1009" spans="1:2" ht="15.75">
      <c r="A1009" s="1" t="s">
        <v>2016</v>
      </c>
      <c r="B1009" s="1" t="s">
        <v>2017</v>
      </c>
    </row>
    <row r="1010" spans="1:2" ht="15.75">
      <c r="A1010" s="1" t="s">
        <v>2018</v>
      </c>
      <c r="B1010" s="1" t="s">
        <v>2019</v>
      </c>
    </row>
    <row r="1011" spans="1:2" ht="15.75">
      <c r="A1011" s="1" t="s">
        <v>2020</v>
      </c>
      <c r="B1011" s="1" t="s">
        <v>2021</v>
      </c>
    </row>
    <row r="1012" spans="1:2" ht="15.75">
      <c r="A1012" s="1" t="s">
        <v>2022</v>
      </c>
      <c r="B1012" s="1" t="s">
        <v>2023</v>
      </c>
    </row>
    <row r="1013" spans="1:2" ht="15.75">
      <c r="A1013" s="1" t="s">
        <v>2024</v>
      </c>
      <c r="B1013" s="1" t="s">
        <v>2025</v>
      </c>
    </row>
    <row r="1014" spans="1:2" ht="15.75">
      <c r="A1014" s="1" t="s">
        <v>2026</v>
      </c>
      <c r="B1014" s="1" t="s">
        <v>2027</v>
      </c>
    </row>
    <row r="1015" spans="1:2" ht="15.75">
      <c r="A1015" s="1" t="s">
        <v>2028</v>
      </c>
      <c r="B1015" s="1" t="s">
        <v>2029</v>
      </c>
    </row>
    <row r="1016" spans="1:2" ht="15.75">
      <c r="A1016" s="1" t="s">
        <v>2030</v>
      </c>
      <c r="B1016" s="1" t="s">
        <v>2031</v>
      </c>
    </row>
    <row r="1017" spans="1:2" ht="15.75">
      <c r="A1017" s="1" t="s">
        <v>2032</v>
      </c>
      <c r="B1017" s="1" t="s">
        <v>2033</v>
      </c>
    </row>
    <row r="1018" spans="1:2" ht="15.75">
      <c r="A1018" s="1" t="s">
        <v>2034</v>
      </c>
      <c r="B1018" s="1" t="s">
        <v>2035</v>
      </c>
    </row>
    <row r="1019" spans="1:2" ht="15.75">
      <c r="A1019" s="1" t="s">
        <v>2036</v>
      </c>
      <c r="B1019" s="1" t="s">
        <v>2037</v>
      </c>
    </row>
    <row r="1020" spans="1:2" ht="15.75">
      <c r="A1020" s="1" t="s">
        <v>2038</v>
      </c>
      <c r="B1020" s="1" t="s">
        <v>2039</v>
      </c>
    </row>
    <row r="1021" spans="1:2" ht="15.75">
      <c r="A1021" s="1" t="s">
        <v>2040</v>
      </c>
      <c r="B1021" s="1" t="s">
        <v>2041</v>
      </c>
    </row>
    <row r="1022" spans="1:2" ht="15.75">
      <c r="A1022" s="1" t="s">
        <v>2042</v>
      </c>
      <c r="B1022" s="1" t="s">
        <v>2043</v>
      </c>
    </row>
    <row r="1023" spans="1:2" ht="15.75">
      <c r="A1023" s="1" t="s">
        <v>2044</v>
      </c>
      <c r="B1023" s="1" t="s">
        <v>2045</v>
      </c>
    </row>
    <row r="1024" spans="1:2" ht="15.75">
      <c r="A1024" s="1" t="s">
        <v>2046</v>
      </c>
      <c r="B1024" s="1" t="s">
        <v>2047</v>
      </c>
    </row>
    <row r="1025" spans="1:2" ht="15.75">
      <c r="A1025" s="1" t="s">
        <v>2048</v>
      </c>
      <c r="B1025" s="1" t="s">
        <v>2049</v>
      </c>
    </row>
    <row r="1026" spans="1:2" ht="15.75">
      <c r="A1026" s="1" t="s">
        <v>2050</v>
      </c>
      <c r="B1026" s="1" t="s">
        <v>2051</v>
      </c>
    </row>
    <row r="1027" spans="1:2" ht="15.75">
      <c r="A1027" s="1" t="s">
        <v>2052</v>
      </c>
      <c r="B1027" s="1" t="s">
        <v>2053</v>
      </c>
    </row>
    <row r="1028" spans="1:2" ht="15.75">
      <c r="A1028" s="1" t="s">
        <v>2054</v>
      </c>
      <c r="B1028" s="1" t="s">
        <v>2055</v>
      </c>
    </row>
    <row r="1029" spans="1:2" ht="15.75">
      <c r="A1029" s="1" t="s">
        <v>2056</v>
      </c>
      <c r="B1029" s="1" t="s">
        <v>2057</v>
      </c>
    </row>
    <row r="1030" spans="1:2" ht="15.75">
      <c r="A1030" s="1" t="s">
        <v>2058</v>
      </c>
      <c r="B1030" s="1" t="s">
        <v>2059</v>
      </c>
    </row>
    <row r="1031" spans="1:2" ht="15.75">
      <c r="A1031" s="1" t="s">
        <v>2060</v>
      </c>
      <c r="B1031" s="1" t="s">
        <v>2061</v>
      </c>
    </row>
    <row r="1032" spans="1:2" ht="15.75">
      <c r="A1032" s="1" t="s">
        <v>2062</v>
      </c>
      <c r="B1032" s="1" t="s">
        <v>2063</v>
      </c>
    </row>
    <row r="1033" spans="1:2" ht="15.75">
      <c r="A1033" s="1" t="s">
        <v>2064</v>
      </c>
      <c r="B1033" s="1" t="s">
        <v>2065</v>
      </c>
    </row>
    <row r="1034" spans="1:2" ht="15.75">
      <c r="A1034" s="1" t="s">
        <v>2066</v>
      </c>
      <c r="B1034" s="1" t="s">
        <v>2067</v>
      </c>
    </row>
    <row r="1035" spans="1:2" ht="15.75">
      <c r="A1035" s="1" t="s">
        <v>2068</v>
      </c>
      <c r="B1035" s="1" t="s">
        <v>2069</v>
      </c>
    </row>
    <row r="1036" spans="1:2" ht="15.75">
      <c r="A1036" s="1" t="s">
        <v>2070</v>
      </c>
      <c r="B1036" s="1" t="s">
        <v>2071</v>
      </c>
    </row>
    <row r="1037" spans="1:2" ht="15.75">
      <c r="A1037" s="1" t="s">
        <v>2072</v>
      </c>
      <c r="B1037" s="1" t="s">
        <v>2073</v>
      </c>
    </row>
    <row r="1038" spans="1:2" ht="15.75">
      <c r="A1038" s="1" t="s">
        <v>2074</v>
      </c>
      <c r="B1038" s="1" t="s">
        <v>2075</v>
      </c>
    </row>
    <row r="1039" spans="1:2" ht="15.75">
      <c r="A1039" s="1" t="s">
        <v>2076</v>
      </c>
      <c r="B1039" s="1" t="s">
        <v>2077</v>
      </c>
    </row>
    <row r="1040" spans="1:2" ht="15.75">
      <c r="A1040" s="1" t="s">
        <v>2078</v>
      </c>
      <c r="B1040" s="1" t="s">
        <v>2079</v>
      </c>
    </row>
    <row r="1041" spans="1:2" ht="15.75">
      <c r="A1041" s="1" t="s">
        <v>2080</v>
      </c>
      <c r="B1041" s="1" t="s">
        <v>2081</v>
      </c>
    </row>
    <row r="1042" spans="1:2" ht="15.75">
      <c r="A1042" s="1" t="s">
        <v>2082</v>
      </c>
      <c r="B1042" s="1" t="s">
        <v>2083</v>
      </c>
    </row>
    <row r="1043" spans="1:2" ht="15.75">
      <c r="A1043" s="1" t="s">
        <v>2084</v>
      </c>
      <c r="B1043" s="1" t="s">
        <v>2085</v>
      </c>
    </row>
    <row r="1044" spans="1:2" ht="15.75">
      <c r="A1044" s="1" t="s">
        <v>2086</v>
      </c>
      <c r="B1044" s="1" t="s">
        <v>2087</v>
      </c>
    </row>
    <row r="1045" spans="1:2" ht="15.75">
      <c r="A1045" s="1" t="s">
        <v>2088</v>
      </c>
      <c r="B1045" s="1" t="s">
        <v>2089</v>
      </c>
    </row>
    <row r="1046" spans="1:2" ht="15.75">
      <c r="A1046" s="1" t="s">
        <v>2090</v>
      </c>
      <c r="B1046" s="1" t="s">
        <v>2091</v>
      </c>
    </row>
    <row r="1047" spans="1:2" ht="15.75">
      <c r="A1047" s="1" t="s">
        <v>2092</v>
      </c>
      <c r="B1047" s="1" t="s">
        <v>2093</v>
      </c>
    </row>
    <row r="1048" spans="1:2" ht="15.75">
      <c r="A1048" s="1" t="s">
        <v>2094</v>
      </c>
      <c r="B1048" s="1" t="s">
        <v>2095</v>
      </c>
    </row>
    <row r="1049" spans="1:2" ht="15.75">
      <c r="A1049" s="1" t="s">
        <v>2096</v>
      </c>
      <c r="B1049" s="1" t="s">
        <v>2097</v>
      </c>
    </row>
    <row r="1050" spans="1:2" ht="15.75">
      <c r="A1050" s="1" t="s">
        <v>2098</v>
      </c>
      <c r="B1050" s="1" t="s">
        <v>2099</v>
      </c>
    </row>
    <row r="1051" spans="1:2" ht="15.75">
      <c r="A1051" s="1" t="s">
        <v>2100</v>
      </c>
      <c r="B1051" s="1" t="s">
        <v>2101</v>
      </c>
    </row>
    <row r="1052" spans="1:2" ht="15.75">
      <c r="A1052" s="1" t="s">
        <v>2102</v>
      </c>
      <c r="B1052" s="1" t="s">
        <v>2103</v>
      </c>
    </row>
    <row r="1053" spans="1:2" ht="15.75">
      <c r="A1053" s="1" t="s">
        <v>2104</v>
      </c>
      <c r="B1053" s="1" t="s">
        <v>2105</v>
      </c>
    </row>
    <row r="1054" spans="1:2" ht="15.75">
      <c r="A1054" s="1" t="s">
        <v>2106</v>
      </c>
      <c r="B1054" s="1" t="s">
        <v>2107</v>
      </c>
    </row>
    <row r="1055" spans="1:2" ht="15.75">
      <c r="A1055" s="1" t="s">
        <v>2108</v>
      </c>
      <c r="B1055" s="1" t="s">
        <v>2109</v>
      </c>
    </row>
    <row r="1056" spans="1:2" ht="15.75">
      <c r="A1056" s="1" t="s">
        <v>2110</v>
      </c>
      <c r="B1056" s="1" t="s">
        <v>2111</v>
      </c>
    </row>
    <row r="1057" spans="1:2" ht="15.75">
      <c r="A1057" s="1" t="s">
        <v>2112</v>
      </c>
      <c r="B1057" s="1" t="s">
        <v>2113</v>
      </c>
    </row>
    <row r="1058" spans="1:2" ht="15.75">
      <c r="A1058" s="1" t="s">
        <v>2114</v>
      </c>
      <c r="B1058" s="1" t="s">
        <v>2115</v>
      </c>
    </row>
    <row r="1059" spans="1:2" ht="15.75">
      <c r="A1059" s="1" t="s">
        <v>2116</v>
      </c>
      <c r="B1059" s="1" t="s">
        <v>2117</v>
      </c>
    </row>
    <row r="1060" spans="1:2" ht="15.75">
      <c r="A1060" s="1" t="s">
        <v>2118</v>
      </c>
      <c r="B1060" s="1" t="s">
        <v>2119</v>
      </c>
    </row>
    <row r="1061" spans="1:2" ht="15.75">
      <c r="A1061" s="1" t="s">
        <v>2120</v>
      </c>
      <c r="B1061" s="1" t="s">
        <v>2121</v>
      </c>
    </row>
    <row r="1062" spans="1:2" ht="15.75">
      <c r="A1062" s="1" t="s">
        <v>2122</v>
      </c>
      <c r="B1062" s="1" t="s">
        <v>2123</v>
      </c>
    </row>
    <row r="1063" spans="1:2" ht="15.75">
      <c r="A1063" s="1" t="s">
        <v>2124</v>
      </c>
      <c r="B1063" s="1" t="s">
        <v>2125</v>
      </c>
    </row>
    <row r="1064" spans="1:2" ht="15.75">
      <c r="A1064" s="1" t="s">
        <v>2126</v>
      </c>
      <c r="B1064" s="1" t="s">
        <v>2127</v>
      </c>
    </row>
    <row r="1065" spans="1:2" ht="15.75">
      <c r="A1065" s="1" t="s">
        <v>2128</v>
      </c>
      <c r="B1065" s="1" t="s">
        <v>2129</v>
      </c>
    </row>
    <row r="1066" spans="1:2" ht="15.75">
      <c r="A1066" s="1" t="s">
        <v>2130</v>
      </c>
      <c r="B1066" s="1" t="s">
        <v>2131</v>
      </c>
    </row>
    <row r="1067" spans="1:2" ht="15.75">
      <c r="A1067" s="1" t="s">
        <v>2132</v>
      </c>
      <c r="B1067" s="1" t="s">
        <v>2133</v>
      </c>
    </row>
    <row r="1068" spans="1:2" ht="15.75">
      <c r="A1068" s="1" t="s">
        <v>2134</v>
      </c>
      <c r="B1068" s="1" t="s">
        <v>2135</v>
      </c>
    </row>
    <row r="1069" spans="1:2" ht="15.75">
      <c r="A1069" s="1" t="s">
        <v>2136</v>
      </c>
      <c r="B1069" s="1" t="s">
        <v>2137</v>
      </c>
    </row>
    <row r="1070" spans="1:2" ht="15.75">
      <c r="A1070" s="1" t="s">
        <v>2138</v>
      </c>
      <c r="B1070" s="1" t="s">
        <v>2139</v>
      </c>
    </row>
    <row r="1071" spans="1:2" ht="15.75">
      <c r="A1071" s="1" t="s">
        <v>2140</v>
      </c>
      <c r="B1071" s="1" t="s">
        <v>2141</v>
      </c>
    </row>
    <row r="1072" spans="1:2" ht="15.75">
      <c r="A1072" s="1" t="s">
        <v>2142</v>
      </c>
      <c r="B1072" s="1" t="s">
        <v>2143</v>
      </c>
    </row>
    <row r="1073" spans="1:2" ht="15.75">
      <c r="A1073" s="1" t="s">
        <v>2144</v>
      </c>
      <c r="B1073" s="1" t="s">
        <v>2145</v>
      </c>
    </row>
    <row r="1074" spans="1:2" ht="15.75">
      <c r="A1074" s="1" t="s">
        <v>2146</v>
      </c>
      <c r="B1074" s="1" t="s">
        <v>2147</v>
      </c>
    </row>
    <row r="1075" spans="1:2" ht="15.75">
      <c r="A1075" s="1" t="s">
        <v>2148</v>
      </c>
      <c r="B1075" s="1" t="s">
        <v>2149</v>
      </c>
    </row>
    <row r="1076" spans="1:2" ht="15.75">
      <c r="A1076" s="1" t="s">
        <v>2150</v>
      </c>
      <c r="B1076" s="1" t="s">
        <v>2151</v>
      </c>
    </row>
    <row r="1077" spans="1:2" ht="15.75">
      <c r="A1077" s="1" t="s">
        <v>2152</v>
      </c>
      <c r="B1077" s="1" t="s">
        <v>2153</v>
      </c>
    </row>
    <row r="1078" spans="1:2" ht="15.75">
      <c r="A1078" s="1" t="s">
        <v>2154</v>
      </c>
      <c r="B1078" s="1" t="s">
        <v>2155</v>
      </c>
    </row>
    <row r="1079" spans="1:2" ht="15.75">
      <c r="A1079" s="1" t="s">
        <v>2156</v>
      </c>
      <c r="B1079" s="1" t="s">
        <v>2157</v>
      </c>
    </row>
    <row r="1080" spans="1:2" ht="15.75">
      <c r="A1080" s="1" t="s">
        <v>2158</v>
      </c>
      <c r="B1080" s="1" t="s">
        <v>2159</v>
      </c>
    </row>
    <row r="1081" spans="1:2" ht="15.75">
      <c r="A1081" s="1" t="s">
        <v>2160</v>
      </c>
      <c r="B1081" s="1" t="s">
        <v>2161</v>
      </c>
    </row>
    <row r="1082" spans="1:2" ht="15.75">
      <c r="A1082" s="1" t="s">
        <v>2162</v>
      </c>
      <c r="B1082" s="1" t="s">
        <v>2163</v>
      </c>
    </row>
    <row r="1083" spans="1:2" ht="15.75">
      <c r="A1083" s="1" t="s">
        <v>2164</v>
      </c>
      <c r="B1083" s="1" t="s">
        <v>2165</v>
      </c>
    </row>
    <row r="1084" spans="1:2" ht="15.75">
      <c r="A1084" s="1" t="s">
        <v>2166</v>
      </c>
      <c r="B1084" s="1" t="s">
        <v>2167</v>
      </c>
    </row>
    <row r="1085" spans="1:2" ht="15.75">
      <c r="A1085" s="1" t="s">
        <v>2168</v>
      </c>
      <c r="B1085" s="1" t="s">
        <v>2169</v>
      </c>
    </row>
    <row r="1086" spans="1:2" ht="15.75">
      <c r="A1086" s="1" t="s">
        <v>2170</v>
      </c>
      <c r="B1086" s="1" t="s">
        <v>2171</v>
      </c>
    </row>
    <row r="1087" spans="1:2" ht="15.75">
      <c r="A1087" s="1" t="s">
        <v>2172</v>
      </c>
      <c r="B1087" s="1" t="s">
        <v>2173</v>
      </c>
    </row>
    <row r="1088" spans="1:2" ht="15.75">
      <c r="A1088" s="1" t="s">
        <v>2174</v>
      </c>
      <c r="B1088" s="1" t="s">
        <v>2175</v>
      </c>
    </row>
    <row r="1089" spans="1:2" ht="15.75">
      <c r="A1089" s="1" t="s">
        <v>2176</v>
      </c>
      <c r="B1089" s="1" t="s">
        <v>2177</v>
      </c>
    </row>
    <row r="1090" spans="1:2" ht="15.75">
      <c r="A1090" s="1" t="s">
        <v>2178</v>
      </c>
      <c r="B1090" s="1" t="s">
        <v>2179</v>
      </c>
    </row>
    <row r="1091" spans="1:2" ht="15.75">
      <c r="A1091" s="1" t="s">
        <v>2180</v>
      </c>
      <c r="B1091" s="1" t="s">
        <v>2181</v>
      </c>
    </row>
    <row r="1092" spans="1:2" ht="15.75">
      <c r="A1092" s="1" t="s">
        <v>2182</v>
      </c>
      <c r="B1092" s="1" t="s">
        <v>2183</v>
      </c>
    </row>
    <row r="1093" spans="1:2" ht="15.75">
      <c r="A1093" s="1" t="s">
        <v>2184</v>
      </c>
      <c r="B1093" s="1" t="s">
        <v>2185</v>
      </c>
    </row>
    <row r="1094" spans="1:2" ht="15.75">
      <c r="A1094" s="1" t="s">
        <v>2186</v>
      </c>
      <c r="B1094" s="1" t="s">
        <v>2187</v>
      </c>
    </row>
    <row r="1095" spans="1:2" ht="15.75">
      <c r="A1095" s="1" t="s">
        <v>2188</v>
      </c>
      <c r="B1095" s="1" t="s">
        <v>2189</v>
      </c>
    </row>
    <row r="1096" spans="1:2" ht="15.75">
      <c r="A1096" s="1" t="s">
        <v>2190</v>
      </c>
      <c r="B1096" s="1" t="s">
        <v>2191</v>
      </c>
    </row>
    <row r="1097" spans="1:2" ht="15.75">
      <c r="A1097" s="1" t="s">
        <v>2192</v>
      </c>
      <c r="B1097" s="1" t="s">
        <v>2193</v>
      </c>
    </row>
    <row r="1098" spans="1:2" ht="15.75">
      <c r="A1098" s="1" t="s">
        <v>2194</v>
      </c>
      <c r="B1098" s="1" t="s">
        <v>2195</v>
      </c>
    </row>
    <row r="1099" spans="1:2" ht="15.75">
      <c r="A1099" s="1" t="s">
        <v>2196</v>
      </c>
      <c r="B1099" s="1" t="s">
        <v>2197</v>
      </c>
    </row>
    <row r="1100" spans="1:2" ht="15.75">
      <c r="A1100" s="1" t="s">
        <v>2198</v>
      </c>
      <c r="B1100" s="1" t="s">
        <v>2199</v>
      </c>
    </row>
    <row r="1101" spans="1:2" ht="15.75">
      <c r="A1101" s="1" t="s">
        <v>2200</v>
      </c>
      <c r="B1101" s="1" t="s">
        <v>2201</v>
      </c>
    </row>
    <row r="1102" spans="1:2" ht="15.75">
      <c r="A1102" s="1" t="s">
        <v>2202</v>
      </c>
      <c r="B1102" s="1" t="s">
        <v>2203</v>
      </c>
    </row>
    <row r="1103" spans="1:2" ht="15.75">
      <c r="A1103" s="1" t="s">
        <v>2204</v>
      </c>
      <c r="B1103" s="1" t="s">
        <v>2205</v>
      </c>
    </row>
    <row r="1104" spans="1:2" ht="15.75">
      <c r="A1104" s="1" t="s">
        <v>2206</v>
      </c>
      <c r="B1104" s="1" t="s">
        <v>2207</v>
      </c>
    </row>
    <row r="1105" spans="1:2" ht="15.75">
      <c r="A1105" s="1" t="s">
        <v>2208</v>
      </c>
      <c r="B1105" s="1" t="s">
        <v>2209</v>
      </c>
    </row>
    <row r="1106" spans="1:2" ht="15.75">
      <c r="A1106" s="1" t="s">
        <v>2210</v>
      </c>
      <c r="B1106" s="1" t="s">
        <v>2211</v>
      </c>
    </row>
    <row r="1107" spans="1:2" ht="15.75">
      <c r="A1107" s="1" t="s">
        <v>2212</v>
      </c>
      <c r="B1107" s="1" t="s">
        <v>2213</v>
      </c>
    </row>
    <row r="1108" spans="1:2" ht="15.75">
      <c r="A1108" s="1" t="s">
        <v>2214</v>
      </c>
      <c r="B1108" s="1" t="s">
        <v>2215</v>
      </c>
    </row>
    <row r="1109" spans="1:2" ht="15.75">
      <c r="A1109" s="1" t="s">
        <v>2216</v>
      </c>
      <c r="B1109" s="1" t="s">
        <v>2217</v>
      </c>
    </row>
    <row r="1110" spans="1:2" ht="15.75">
      <c r="A1110" s="1" t="s">
        <v>2218</v>
      </c>
      <c r="B1110" s="1" t="s">
        <v>2219</v>
      </c>
    </row>
    <row r="1111" spans="1:2" ht="15.75">
      <c r="A1111" s="1" t="s">
        <v>2220</v>
      </c>
      <c r="B1111" s="1" t="s">
        <v>2221</v>
      </c>
    </row>
    <row r="1112" spans="1:2" ht="15.75">
      <c r="A1112" s="1" t="s">
        <v>2222</v>
      </c>
      <c r="B1112" s="1" t="s">
        <v>2223</v>
      </c>
    </row>
    <row r="1113" spans="1:2" ht="15.75">
      <c r="A1113" s="1" t="s">
        <v>2224</v>
      </c>
      <c r="B1113" s="1" t="s">
        <v>2225</v>
      </c>
    </row>
    <row r="1114" spans="1:2" ht="15.75">
      <c r="A1114" s="1" t="s">
        <v>2226</v>
      </c>
      <c r="B1114" s="1" t="s">
        <v>2227</v>
      </c>
    </row>
    <row r="1115" spans="1:2" ht="15.75">
      <c r="A1115" s="1" t="s">
        <v>2228</v>
      </c>
      <c r="B1115" s="1" t="s">
        <v>2229</v>
      </c>
    </row>
    <row r="1116" spans="1:2" ht="15.75">
      <c r="A1116" s="1" t="s">
        <v>2230</v>
      </c>
      <c r="B1116" s="1" t="s">
        <v>2231</v>
      </c>
    </row>
    <row r="1117" spans="1:2" ht="15.75">
      <c r="A1117" s="1" t="s">
        <v>2232</v>
      </c>
      <c r="B1117" s="1" t="s">
        <v>2233</v>
      </c>
    </row>
    <row r="1118" spans="1:2" ht="15.75">
      <c r="A1118" s="1" t="s">
        <v>2234</v>
      </c>
      <c r="B1118" s="1" t="s">
        <v>2235</v>
      </c>
    </row>
    <row r="1119" spans="1:2" ht="15.75">
      <c r="A1119" s="1" t="s">
        <v>2236</v>
      </c>
      <c r="B1119" s="1" t="s">
        <v>2237</v>
      </c>
    </row>
    <row r="1120" spans="1:2" ht="15.75">
      <c r="A1120" s="1" t="s">
        <v>2238</v>
      </c>
      <c r="B1120" s="1" t="s">
        <v>2239</v>
      </c>
    </row>
    <row r="1121" spans="1:2" ht="15.75">
      <c r="A1121" s="1" t="s">
        <v>2240</v>
      </c>
      <c r="B1121" s="1" t="s">
        <v>2241</v>
      </c>
    </row>
    <row r="1122" spans="1:2" ht="15.75">
      <c r="A1122" s="1" t="s">
        <v>2242</v>
      </c>
      <c r="B1122" s="1" t="s">
        <v>2243</v>
      </c>
    </row>
    <row r="1123" spans="1:2" ht="15.75">
      <c r="A1123" s="1" t="s">
        <v>2244</v>
      </c>
      <c r="B1123" s="1" t="s">
        <v>2245</v>
      </c>
    </row>
    <row r="1124" spans="1:2" ht="15.75">
      <c r="A1124" s="1" t="s">
        <v>2246</v>
      </c>
      <c r="B1124" s="1" t="s">
        <v>2247</v>
      </c>
    </row>
    <row r="1125" spans="1:2" ht="15.75">
      <c r="A1125" s="1" t="s">
        <v>2248</v>
      </c>
      <c r="B1125" s="1" t="s">
        <v>2249</v>
      </c>
    </row>
    <row r="1126" spans="1:2" ht="15.75">
      <c r="A1126" s="1" t="s">
        <v>2250</v>
      </c>
      <c r="B1126" s="1" t="s">
        <v>2251</v>
      </c>
    </row>
    <row r="1127" spans="1:2" ht="15.75">
      <c r="A1127" s="1" t="s">
        <v>2252</v>
      </c>
      <c r="B1127" s="1" t="s">
        <v>2253</v>
      </c>
    </row>
    <row r="1128" spans="1:2" ht="15.75">
      <c r="A1128" s="1" t="s">
        <v>2254</v>
      </c>
      <c r="B1128" s="1" t="s">
        <v>2255</v>
      </c>
    </row>
    <row r="1129" spans="1:2" ht="15.75">
      <c r="A1129" s="1" t="s">
        <v>2256</v>
      </c>
      <c r="B1129" s="1" t="s">
        <v>2257</v>
      </c>
    </row>
    <row r="1130" spans="1:2" ht="15.75">
      <c r="A1130" s="1" t="s">
        <v>2258</v>
      </c>
      <c r="B1130" s="1" t="s">
        <v>2259</v>
      </c>
    </row>
    <row r="1131" spans="1:2" ht="15.75">
      <c r="A1131" s="1" t="s">
        <v>2260</v>
      </c>
      <c r="B1131" s="1" t="s">
        <v>2261</v>
      </c>
    </row>
    <row r="1132" spans="1:2" ht="15.75">
      <c r="A1132" s="1" t="s">
        <v>2262</v>
      </c>
      <c r="B1132" s="1" t="s">
        <v>2263</v>
      </c>
    </row>
    <row r="1133" spans="1:2" ht="15.75">
      <c r="A1133" s="1" t="s">
        <v>2264</v>
      </c>
      <c r="B1133" s="1" t="s">
        <v>2265</v>
      </c>
    </row>
    <row r="1134" spans="1:2" ht="15.75">
      <c r="A1134" s="1" t="s">
        <v>2266</v>
      </c>
      <c r="B1134" s="1" t="s">
        <v>2267</v>
      </c>
    </row>
    <row r="1135" spans="1:2" ht="15.75">
      <c r="A1135" s="1" t="s">
        <v>2268</v>
      </c>
      <c r="B1135" s="1" t="s">
        <v>2269</v>
      </c>
    </row>
    <row r="1136" spans="1:2" ht="15.75">
      <c r="A1136" s="1" t="s">
        <v>2270</v>
      </c>
      <c r="B1136" s="1" t="s">
        <v>2271</v>
      </c>
    </row>
    <row r="1137" spans="1:2" ht="15.75">
      <c r="A1137" s="1" t="s">
        <v>2272</v>
      </c>
      <c r="B1137" s="1" t="s">
        <v>2273</v>
      </c>
    </row>
    <row r="1138" spans="1:2" ht="15.75">
      <c r="A1138" s="1" t="s">
        <v>2274</v>
      </c>
      <c r="B1138" s="1" t="s">
        <v>2275</v>
      </c>
    </row>
    <row r="1139" spans="1:2" ht="15.75">
      <c r="A1139" s="1" t="s">
        <v>2276</v>
      </c>
      <c r="B1139" s="1" t="s">
        <v>2277</v>
      </c>
    </row>
    <row r="1140" spans="1:2" ht="15.75">
      <c r="A1140" s="1" t="s">
        <v>2278</v>
      </c>
      <c r="B1140" s="1" t="s">
        <v>2279</v>
      </c>
    </row>
    <row r="1141" spans="1:2" ht="15.75">
      <c r="A1141" s="1" t="s">
        <v>2280</v>
      </c>
      <c r="B1141" s="1" t="s">
        <v>2281</v>
      </c>
    </row>
    <row r="1142" spans="1:2" ht="15.75">
      <c r="A1142" s="1" t="s">
        <v>2282</v>
      </c>
      <c r="B1142" s="1" t="s">
        <v>2283</v>
      </c>
    </row>
    <row r="1143" spans="1:2" ht="15.75">
      <c r="A1143" s="1" t="s">
        <v>2284</v>
      </c>
      <c r="B1143" s="1" t="s">
        <v>2285</v>
      </c>
    </row>
    <row r="1144" spans="1:2" ht="15.75">
      <c r="A1144" s="1" t="s">
        <v>2286</v>
      </c>
      <c r="B1144" s="1" t="s">
        <v>2287</v>
      </c>
    </row>
    <row r="1145" spans="1:2" ht="15.75">
      <c r="A1145" s="1" t="s">
        <v>2288</v>
      </c>
      <c r="B1145" s="1" t="s">
        <v>2289</v>
      </c>
    </row>
    <row r="1146" spans="1:2" ht="15.75">
      <c r="A1146" s="1" t="s">
        <v>2290</v>
      </c>
      <c r="B1146" s="1" t="s">
        <v>2291</v>
      </c>
    </row>
    <row r="1147" spans="1:2" ht="15.75">
      <c r="A1147" s="1" t="s">
        <v>2292</v>
      </c>
      <c r="B1147" s="1" t="s">
        <v>2293</v>
      </c>
    </row>
    <row r="1148" spans="1:2" ht="15.75">
      <c r="A1148" s="1" t="s">
        <v>2294</v>
      </c>
      <c r="B1148" s="1" t="s">
        <v>2295</v>
      </c>
    </row>
    <row r="1149" spans="1:2" ht="15.75">
      <c r="A1149" s="1" t="s">
        <v>2296</v>
      </c>
      <c r="B1149" s="1" t="s">
        <v>2297</v>
      </c>
    </row>
    <row r="1150" spans="1:2" ht="15.75">
      <c r="A1150" s="1" t="s">
        <v>2298</v>
      </c>
      <c r="B1150" s="1" t="s">
        <v>2299</v>
      </c>
    </row>
    <row r="1151" spans="1:2" ht="15.75">
      <c r="A1151" s="1" t="s">
        <v>2300</v>
      </c>
      <c r="B1151" s="1" t="s">
        <v>2301</v>
      </c>
    </row>
    <row r="1152" spans="1:2" ht="15.75">
      <c r="A1152" s="1" t="s">
        <v>2302</v>
      </c>
      <c r="B1152" s="1" t="s">
        <v>2303</v>
      </c>
    </row>
    <row r="1153" spans="1:2" ht="15.75">
      <c r="A1153" s="1" t="s">
        <v>2304</v>
      </c>
      <c r="B1153" s="1" t="s">
        <v>2305</v>
      </c>
    </row>
    <row r="1154" spans="1:2" ht="15.75">
      <c r="A1154" s="1" t="s">
        <v>2306</v>
      </c>
      <c r="B1154" s="1" t="s">
        <v>2307</v>
      </c>
    </row>
    <row r="1155" spans="1:2" ht="15.75">
      <c r="A1155" s="1" t="s">
        <v>2308</v>
      </c>
      <c r="B1155" s="1" t="s">
        <v>2309</v>
      </c>
    </row>
    <row r="1156" spans="1:2" ht="15.75">
      <c r="A1156" s="1" t="s">
        <v>2310</v>
      </c>
      <c r="B1156" s="1" t="s">
        <v>2311</v>
      </c>
    </row>
    <row r="1157" spans="1:2" ht="15.75">
      <c r="A1157" s="1" t="s">
        <v>2312</v>
      </c>
      <c r="B1157" s="1" t="s">
        <v>2313</v>
      </c>
    </row>
    <row r="1158" spans="1:2" ht="15.75">
      <c r="A1158" s="1" t="s">
        <v>2314</v>
      </c>
      <c r="B1158" s="1" t="s">
        <v>2315</v>
      </c>
    </row>
    <row r="1159" spans="1:2" ht="15.75">
      <c r="A1159" s="1" t="s">
        <v>2316</v>
      </c>
      <c r="B1159" s="1" t="s">
        <v>2317</v>
      </c>
    </row>
    <row r="1160" spans="1:2" ht="15.75">
      <c r="A1160" s="1" t="s">
        <v>2318</v>
      </c>
      <c r="B1160" s="1" t="s">
        <v>2319</v>
      </c>
    </row>
    <row r="1161" spans="1:2" ht="15.75">
      <c r="A1161" s="1" t="s">
        <v>2320</v>
      </c>
      <c r="B1161" s="1" t="s">
        <v>2321</v>
      </c>
    </row>
    <row r="1162" spans="1:2" ht="15.75">
      <c r="A1162" s="1" t="s">
        <v>2322</v>
      </c>
      <c r="B1162" s="1" t="s">
        <v>2323</v>
      </c>
    </row>
    <row r="1163" spans="1:2" ht="15.75">
      <c r="A1163" s="1" t="s">
        <v>2324</v>
      </c>
      <c r="B1163" s="1" t="s">
        <v>2325</v>
      </c>
    </row>
    <row r="1164" spans="1:2" ht="15.75">
      <c r="A1164" s="1" t="s">
        <v>2326</v>
      </c>
      <c r="B1164" s="1" t="s">
        <v>2327</v>
      </c>
    </row>
    <row r="1165" spans="1:2" ht="15.75">
      <c r="A1165" s="1" t="s">
        <v>2328</v>
      </c>
      <c r="B1165" s="1" t="s">
        <v>2329</v>
      </c>
    </row>
    <row r="1166" spans="1:2" ht="15.75">
      <c r="A1166" s="1" t="s">
        <v>2330</v>
      </c>
      <c r="B1166" s="1" t="s">
        <v>2331</v>
      </c>
    </row>
    <row r="1167" spans="1:2" ht="15.75">
      <c r="A1167" s="1" t="s">
        <v>2332</v>
      </c>
      <c r="B1167" s="1" t="s">
        <v>2333</v>
      </c>
    </row>
    <row r="1168" spans="1:2" ht="15.75">
      <c r="A1168" s="1" t="s">
        <v>2334</v>
      </c>
      <c r="B1168" s="1" t="s">
        <v>2335</v>
      </c>
    </row>
    <row r="1169" spans="1:2" ht="15.75">
      <c r="A1169" s="1" t="s">
        <v>2336</v>
      </c>
      <c r="B1169" s="1" t="s">
        <v>2337</v>
      </c>
    </row>
    <row r="1170" spans="1:2" ht="15.75">
      <c r="A1170" s="1" t="s">
        <v>2338</v>
      </c>
      <c r="B1170" s="1" t="s">
        <v>2339</v>
      </c>
    </row>
    <row r="1171" spans="1:2" ht="15.75">
      <c r="A1171" s="1" t="s">
        <v>2340</v>
      </c>
      <c r="B1171" s="1" t="s">
        <v>2341</v>
      </c>
    </row>
    <row r="1172" spans="1:2" ht="15.75">
      <c r="A1172" s="1" t="s">
        <v>2342</v>
      </c>
      <c r="B1172" s="1" t="s">
        <v>2343</v>
      </c>
    </row>
    <row r="1173" spans="1:2" ht="15.75">
      <c r="A1173" s="1" t="s">
        <v>2344</v>
      </c>
      <c r="B1173" s="1" t="s">
        <v>2345</v>
      </c>
    </row>
    <row r="1174" spans="1:2" ht="15.75">
      <c r="A1174" s="1" t="s">
        <v>2346</v>
      </c>
      <c r="B1174" s="1" t="s">
        <v>2347</v>
      </c>
    </row>
    <row r="1175" spans="1:2" ht="15.75">
      <c r="A1175" s="1" t="s">
        <v>2348</v>
      </c>
      <c r="B1175" s="1" t="s">
        <v>2349</v>
      </c>
    </row>
    <row r="1176" spans="1:2" ht="15.75">
      <c r="A1176" s="1" t="s">
        <v>2350</v>
      </c>
      <c r="B1176" s="1" t="s">
        <v>2351</v>
      </c>
    </row>
    <row r="1177" spans="1:2" ht="15.75">
      <c r="A1177" s="1" t="s">
        <v>2352</v>
      </c>
      <c r="B1177" s="1" t="s">
        <v>2353</v>
      </c>
    </row>
    <row r="1178" spans="1:2" ht="15.75">
      <c r="A1178" s="1" t="s">
        <v>2354</v>
      </c>
      <c r="B1178" s="1" t="s">
        <v>2355</v>
      </c>
    </row>
    <row r="1179" spans="1:2" ht="15.75">
      <c r="A1179" s="1" t="s">
        <v>2356</v>
      </c>
      <c r="B1179" s="1" t="s">
        <v>2357</v>
      </c>
    </row>
    <row r="1180" spans="1:2" ht="15.75">
      <c r="A1180" s="1" t="s">
        <v>2358</v>
      </c>
      <c r="B1180" s="1" t="s">
        <v>2359</v>
      </c>
    </row>
    <row r="1181" spans="1:2" ht="15.75">
      <c r="A1181" s="1" t="s">
        <v>2360</v>
      </c>
      <c r="B1181" s="1" t="s">
        <v>2361</v>
      </c>
    </row>
    <row r="1182" spans="1:2" ht="15.75">
      <c r="A1182" s="1" t="s">
        <v>2362</v>
      </c>
      <c r="B1182" s="1" t="s">
        <v>2363</v>
      </c>
    </row>
    <row r="1183" spans="1:2" ht="15.75">
      <c r="A1183" s="1" t="s">
        <v>2364</v>
      </c>
      <c r="B1183" s="1" t="s">
        <v>2365</v>
      </c>
    </row>
    <row r="1184" spans="1:2" ht="15.75">
      <c r="A1184" s="1" t="s">
        <v>2366</v>
      </c>
      <c r="B1184" s="1" t="s">
        <v>2367</v>
      </c>
    </row>
    <row r="1185" spans="1:2" ht="15.75">
      <c r="A1185" s="1" t="s">
        <v>2368</v>
      </c>
      <c r="B1185" s="1" t="s">
        <v>2369</v>
      </c>
    </row>
    <row r="1186" spans="1:2" ht="15.75">
      <c r="A1186" s="1" t="s">
        <v>2370</v>
      </c>
      <c r="B1186" s="1" t="s">
        <v>2371</v>
      </c>
    </row>
    <row r="1187" spans="1:2" ht="15.75">
      <c r="A1187" s="1" t="s">
        <v>2372</v>
      </c>
      <c r="B1187" s="1" t="s">
        <v>2373</v>
      </c>
    </row>
    <row r="1188" spans="1:2" ht="15.75">
      <c r="A1188" s="1" t="s">
        <v>2374</v>
      </c>
      <c r="B1188" s="1" t="s">
        <v>2375</v>
      </c>
    </row>
    <row r="1189" spans="1:2" ht="15.75">
      <c r="A1189" s="1" t="s">
        <v>2376</v>
      </c>
      <c r="B1189" s="1" t="s">
        <v>2377</v>
      </c>
    </row>
    <row r="1190" spans="1:2" ht="15.75">
      <c r="A1190" s="1" t="s">
        <v>2378</v>
      </c>
      <c r="B1190" s="1" t="s">
        <v>2379</v>
      </c>
    </row>
    <row r="1191" spans="1:2" ht="15.75">
      <c r="A1191" s="1" t="s">
        <v>2380</v>
      </c>
      <c r="B1191" s="1" t="s">
        <v>2381</v>
      </c>
    </row>
    <row r="1192" spans="1:2" ht="15.75">
      <c r="A1192" s="1" t="s">
        <v>2382</v>
      </c>
      <c r="B1192" s="1" t="s">
        <v>2383</v>
      </c>
    </row>
    <row r="1193" spans="1:2" ht="15.75">
      <c r="A1193" s="1" t="s">
        <v>2384</v>
      </c>
      <c r="B1193" s="1" t="s">
        <v>2385</v>
      </c>
    </row>
    <row r="1194" spans="1:2" ht="15.75">
      <c r="A1194" s="1" t="s">
        <v>2386</v>
      </c>
      <c r="B1194" s="1" t="s">
        <v>2387</v>
      </c>
    </row>
    <row r="1195" spans="1:2" ht="15.75">
      <c r="A1195" s="1" t="s">
        <v>2388</v>
      </c>
      <c r="B1195" s="1" t="s">
        <v>2389</v>
      </c>
    </row>
    <row r="1196" spans="1:2" ht="15.75">
      <c r="A1196" s="1" t="s">
        <v>2390</v>
      </c>
      <c r="B1196" s="1" t="s">
        <v>2391</v>
      </c>
    </row>
    <row r="1197" spans="1:2" ht="15.75">
      <c r="A1197" s="1" t="s">
        <v>2392</v>
      </c>
      <c r="B1197" s="1" t="s">
        <v>2393</v>
      </c>
    </row>
    <row r="1198" spans="1:2" ht="15.75">
      <c r="A1198" s="1" t="s">
        <v>2394</v>
      </c>
      <c r="B1198" s="1" t="s">
        <v>2395</v>
      </c>
    </row>
    <row r="1199" spans="1:2" ht="15.75">
      <c r="A1199" s="1" t="s">
        <v>2396</v>
      </c>
      <c r="B1199" s="1" t="s">
        <v>2397</v>
      </c>
    </row>
    <row r="1200" spans="1:2" ht="15.75">
      <c r="A1200" s="1" t="s">
        <v>2398</v>
      </c>
      <c r="B1200" s="1" t="s">
        <v>2399</v>
      </c>
    </row>
    <row r="1201" spans="1:2" ht="15.75">
      <c r="A1201" s="1" t="s">
        <v>2400</v>
      </c>
      <c r="B1201" s="1" t="s">
        <v>2401</v>
      </c>
    </row>
    <row r="1202" spans="1:2" ht="15.75">
      <c r="A1202" s="1" t="s">
        <v>2402</v>
      </c>
      <c r="B1202" s="1" t="s">
        <v>2403</v>
      </c>
    </row>
    <row r="1203" spans="1:2" ht="15.75">
      <c r="A1203" s="1" t="s">
        <v>2404</v>
      </c>
      <c r="B1203" s="1" t="s">
        <v>2405</v>
      </c>
    </row>
    <row r="1204" spans="1:2" ht="15.75">
      <c r="A1204" s="1" t="s">
        <v>2406</v>
      </c>
      <c r="B1204" s="1" t="s">
        <v>2407</v>
      </c>
    </row>
    <row r="1205" spans="1:2" ht="15.75">
      <c r="A1205" s="1" t="s">
        <v>2408</v>
      </c>
      <c r="B1205" s="1" t="s">
        <v>2409</v>
      </c>
    </row>
    <row r="1206" spans="1:2" ht="15.75">
      <c r="A1206" s="1" t="s">
        <v>2410</v>
      </c>
      <c r="B1206" s="1" t="s">
        <v>2411</v>
      </c>
    </row>
    <row r="1207" spans="1:2" ht="15.75">
      <c r="A1207" s="1" t="s">
        <v>2412</v>
      </c>
      <c r="B1207" s="1" t="s">
        <v>2413</v>
      </c>
    </row>
    <row r="1208" spans="1:2" ht="15.75">
      <c r="A1208" s="1" t="s">
        <v>2414</v>
      </c>
      <c r="B1208" s="1" t="s">
        <v>2415</v>
      </c>
    </row>
    <row r="1209" spans="1:2" ht="15.75">
      <c r="A1209" s="1" t="s">
        <v>2416</v>
      </c>
      <c r="B1209" s="1" t="s">
        <v>2417</v>
      </c>
    </row>
    <row r="1210" spans="1:2" ht="15.75">
      <c r="A1210" s="1" t="s">
        <v>2418</v>
      </c>
      <c r="B1210" s="1" t="s">
        <v>2419</v>
      </c>
    </row>
    <row r="1211" spans="1:2" ht="15.75">
      <c r="A1211" s="1" t="s">
        <v>2420</v>
      </c>
      <c r="B1211" s="1" t="s">
        <v>2421</v>
      </c>
    </row>
    <row r="1212" spans="1:2" ht="15.75">
      <c r="A1212" s="1" t="s">
        <v>2422</v>
      </c>
      <c r="B1212" s="1" t="s">
        <v>2423</v>
      </c>
    </row>
    <row r="1213" spans="1:2" ht="15.75">
      <c r="A1213" s="1" t="s">
        <v>2424</v>
      </c>
      <c r="B1213" s="1" t="s">
        <v>2425</v>
      </c>
    </row>
    <row r="1214" spans="1:2" ht="15.75">
      <c r="A1214" s="1" t="s">
        <v>2426</v>
      </c>
      <c r="B1214" s="1" t="s">
        <v>2427</v>
      </c>
    </row>
    <row r="1215" spans="1:2" ht="15.75">
      <c r="A1215" s="1" t="s">
        <v>2428</v>
      </c>
      <c r="B1215" s="1" t="s">
        <v>2429</v>
      </c>
    </row>
    <row r="1216" spans="1:2" ht="15.75">
      <c r="A1216" s="1" t="s">
        <v>2430</v>
      </c>
      <c r="B1216" s="1" t="s">
        <v>2431</v>
      </c>
    </row>
    <row r="1217" spans="1:2" ht="15.75">
      <c r="A1217" s="1" t="s">
        <v>2432</v>
      </c>
      <c r="B1217" s="1" t="s">
        <v>2433</v>
      </c>
    </row>
    <row r="1218" spans="1:2" ht="15.75">
      <c r="A1218" s="1" t="s">
        <v>2434</v>
      </c>
      <c r="B1218" s="1" t="s">
        <v>2435</v>
      </c>
    </row>
    <row r="1219" spans="1:2" ht="15.75">
      <c r="A1219" s="1" t="s">
        <v>2436</v>
      </c>
      <c r="B1219" s="1" t="s">
        <v>2437</v>
      </c>
    </row>
    <row r="1220" spans="1:2" ht="15.75">
      <c r="A1220" s="1" t="s">
        <v>2438</v>
      </c>
      <c r="B1220" s="1" t="s">
        <v>2439</v>
      </c>
    </row>
    <row r="1221" spans="1:2" ht="15.75">
      <c r="A1221" s="1" t="s">
        <v>2440</v>
      </c>
      <c r="B1221" s="1" t="s">
        <v>2441</v>
      </c>
    </row>
    <row r="1222" spans="1:2" ht="15.75">
      <c r="A1222" s="1" t="s">
        <v>2442</v>
      </c>
      <c r="B1222" s="1" t="s">
        <v>2443</v>
      </c>
    </row>
    <row r="1223" spans="1:2" ht="15.75">
      <c r="A1223" s="1" t="s">
        <v>2444</v>
      </c>
      <c r="B1223" s="1" t="s">
        <v>2445</v>
      </c>
    </row>
    <row r="1224" spans="1:2" ht="15.75">
      <c r="A1224" s="1" t="s">
        <v>2446</v>
      </c>
      <c r="B1224" s="1" t="s">
        <v>2447</v>
      </c>
    </row>
    <row r="1225" spans="1:2" ht="15.75">
      <c r="A1225" s="1" t="s">
        <v>2448</v>
      </c>
      <c r="B1225" s="1" t="s">
        <v>2449</v>
      </c>
    </row>
    <row r="1226" spans="1:2" ht="15.75">
      <c r="A1226" s="1" t="s">
        <v>2450</v>
      </c>
      <c r="B1226" s="1" t="s">
        <v>2451</v>
      </c>
    </row>
    <row r="1227" spans="1:2" ht="15.75">
      <c r="A1227" s="1" t="s">
        <v>2452</v>
      </c>
      <c r="B1227" s="1" t="s">
        <v>2453</v>
      </c>
    </row>
    <row r="1228" spans="1:2" ht="15.75">
      <c r="A1228" s="1" t="s">
        <v>2454</v>
      </c>
      <c r="B1228" s="1" t="s">
        <v>2455</v>
      </c>
    </row>
    <row r="1229" spans="1:2" ht="15.75">
      <c r="A1229" s="1" t="s">
        <v>2456</v>
      </c>
      <c r="B1229" s="1" t="s">
        <v>2457</v>
      </c>
    </row>
    <row r="1230" spans="1:2" ht="15.75">
      <c r="A1230" s="1" t="s">
        <v>2458</v>
      </c>
      <c r="B1230" s="1" t="s">
        <v>2459</v>
      </c>
    </row>
    <row r="1231" spans="1:2" ht="15.75">
      <c r="A1231" s="1" t="s">
        <v>2460</v>
      </c>
      <c r="B1231" s="1" t="s">
        <v>2461</v>
      </c>
    </row>
    <row r="1232" spans="1:2" ht="15.75">
      <c r="A1232" s="1" t="s">
        <v>2462</v>
      </c>
      <c r="B1232" s="1" t="s">
        <v>2463</v>
      </c>
    </row>
    <row r="1233" spans="1:2" ht="15.75">
      <c r="A1233" s="1" t="s">
        <v>2464</v>
      </c>
      <c r="B1233" s="1" t="s">
        <v>2465</v>
      </c>
    </row>
    <row r="1234" spans="1:2" ht="15.75">
      <c r="A1234" s="1" t="s">
        <v>2466</v>
      </c>
      <c r="B1234" s="1" t="s">
        <v>2467</v>
      </c>
    </row>
    <row r="1235" spans="1:2" ht="15.75">
      <c r="A1235" s="1" t="s">
        <v>2468</v>
      </c>
      <c r="B1235" s="1" t="s">
        <v>2469</v>
      </c>
    </row>
    <row r="1236" spans="1:2" ht="15.75">
      <c r="A1236" s="1" t="s">
        <v>2470</v>
      </c>
      <c r="B1236" s="1" t="s">
        <v>2471</v>
      </c>
    </row>
    <row r="1237" spans="1:2" ht="15.75">
      <c r="A1237" s="1" t="s">
        <v>2472</v>
      </c>
      <c r="B1237" s="1" t="s">
        <v>2473</v>
      </c>
    </row>
    <row r="1238" spans="1:2" ht="15.75">
      <c r="A1238" s="1" t="s">
        <v>2474</v>
      </c>
      <c r="B1238" s="1" t="s">
        <v>2475</v>
      </c>
    </row>
    <row r="1239" spans="1:2" ht="15.75">
      <c r="A1239" s="1" t="s">
        <v>2476</v>
      </c>
      <c r="B1239" s="1" t="s">
        <v>2477</v>
      </c>
    </row>
    <row r="1240" spans="1:2" ht="15.75">
      <c r="A1240" s="1" t="s">
        <v>2478</v>
      </c>
      <c r="B1240" s="1" t="s">
        <v>2479</v>
      </c>
    </row>
    <row r="1241" spans="1:2" ht="15.75">
      <c r="A1241" s="1" t="s">
        <v>2480</v>
      </c>
      <c r="B1241" s="1" t="s">
        <v>2481</v>
      </c>
    </row>
    <row r="1242" spans="1:2" ht="15.75">
      <c r="A1242" s="1" t="s">
        <v>2482</v>
      </c>
      <c r="B1242" s="1" t="s">
        <v>2483</v>
      </c>
    </row>
    <row r="1243" spans="1:2" ht="15.75">
      <c r="A1243" s="1" t="s">
        <v>2484</v>
      </c>
      <c r="B1243" s="1" t="s">
        <v>2485</v>
      </c>
    </row>
    <row r="1244" spans="1:2" ht="15.75">
      <c r="A1244" s="1" t="s">
        <v>2486</v>
      </c>
      <c r="B1244" s="1" t="s">
        <v>2487</v>
      </c>
    </row>
    <row r="1245" spans="1:2" ht="15.75">
      <c r="A1245" s="1" t="s">
        <v>2488</v>
      </c>
      <c r="B1245" s="1" t="s">
        <v>2489</v>
      </c>
    </row>
    <row r="1246" spans="1:2" ht="15.75">
      <c r="A1246" s="1" t="s">
        <v>2490</v>
      </c>
      <c r="B1246" s="1" t="s">
        <v>2491</v>
      </c>
    </row>
    <row r="1247" spans="1:2" ht="15.75">
      <c r="A1247" s="1" t="s">
        <v>2492</v>
      </c>
      <c r="B1247" s="1" t="s">
        <v>2493</v>
      </c>
    </row>
    <row r="1248" spans="1:2" ht="15.75">
      <c r="A1248" s="1" t="s">
        <v>2494</v>
      </c>
      <c r="B1248" s="1" t="s">
        <v>2495</v>
      </c>
    </row>
    <row r="1249" spans="1:2" ht="15.75">
      <c r="A1249" s="1" t="s">
        <v>2496</v>
      </c>
      <c r="B1249" s="1" t="s">
        <v>2497</v>
      </c>
    </row>
    <row r="1250" spans="1:2" ht="15.75">
      <c r="A1250" s="1" t="s">
        <v>2498</v>
      </c>
      <c r="B1250" s="1" t="s">
        <v>2499</v>
      </c>
    </row>
    <row r="1251" spans="1:2" ht="15.75">
      <c r="A1251" s="1" t="s">
        <v>2500</v>
      </c>
      <c r="B1251" s="1" t="s">
        <v>2501</v>
      </c>
    </row>
    <row r="1252" spans="1:2" ht="15.75">
      <c r="A1252" s="1" t="s">
        <v>2502</v>
      </c>
      <c r="B1252" s="1" t="s">
        <v>2503</v>
      </c>
    </row>
    <row r="1253" spans="1:2" ht="15.75">
      <c r="A1253" s="1" t="s">
        <v>2504</v>
      </c>
      <c r="B1253" s="1" t="s">
        <v>2505</v>
      </c>
    </row>
    <row r="1254" spans="1:2" ht="15.75">
      <c r="A1254" s="1" t="s">
        <v>2506</v>
      </c>
      <c r="B1254" s="1" t="s">
        <v>2507</v>
      </c>
    </row>
    <row r="1255" spans="1:2" ht="15.75">
      <c r="A1255" s="1" t="s">
        <v>2508</v>
      </c>
      <c r="B1255" s="1" t="s">
        <v>2509</v>
      </c>
    </row>
    <row r="1256" spans="1:2" ht="15.75">
      <c r="A1256" s="1" t="s">
        <v>2510</v>
      </c>
      <c r="B1256" s="1" t="s">
        <v>2511</v>
      </c>
    </row>
    <row r="1257" spans="1:2" ht="15.75">
      <c r="A1257" s="1" t="s">
        <v>2512</v>
      </c>
      <c r="B1257" s="1" t="s">
        <v>2513</v>
      </c>
    </row>
    <row r="1258" spans="1:2" ht="15.75">
      <c r="A1258" s="1" t="s">
        <v>2514</v>
      </c>
      <c r="B1258" s="1" t="s">
        <v>2515</v>
      </c>
    </row>
    <row r="1259" spans="1:2" ht="15.75">
      <c r="A1259" s="1" t="s">
        <v>2516</v>
      </c>
      <c r="B1259" s="1" t="s">
        <v>2517</v>
      </c>
    </row>
    <row r="1260" spans="1:2" ht="15.75">
      <c r="A1260" s="1" t="s">
        <v>2518</v>
      </c>
      <c r="B1260" s="1" t="s">
        <v>2519</v>
      </c>
    </row>
    <row r="1261" spans="1:2" ht="15.75">
      <c r="A1261" s="1" t="s">
        <v>2520</v>
      </c>
      <c r="B1261" s="1" t="s">
        <v>2521</v>
      </c>
    </row>
    <row r="1262" spans="1:2" ht="15.75">
      <c r="A1262" s="1" t="s">
        <v>2522</v>
      </c>
      <c r="B1262" s="1" t="s">
        <v>2523</v>
      </c>
    </row>
    <row r="1263" spans="1:2" ht="15.75">
      <c r="A1263" s="1" t="s">
        <v>2524</v>
      </c>
      <c r="B1263" s="1" t="s">
        <v>2525</v>
      </c>
    </row>
    <row r="1264" spans="1:2" ht="15.75">
      <c r="A1264" s="1" t="s">
        <v>2526</v>
      </c>
      <c r="B1264" s="1" t="s">
        <v>2527</v>
      </c>
    </row>
    <row r="1265" spans="1:2" ht="15.75">
      <c r="A1265" s="1" t="s">
        <v>2528</v>
      </c>
      <c r="B1265" s="1" t="s">
        <v>2529</v>
      </c>
    </row>
    <row r="1266" spans="1:2" ht="15.75">
      <c r="A1266" s="1" t="s">
        <v>2530</v>
      </c>
      <c r="B1266" s="1" t="s">
        <v>2531</v>
      </c>
    </row>
    <row r="1267" spans="1:2" ht="15.75">
      <c r="A1267" s="1" t="s">
        <v>2532</v>
      </c>
      <c r="B1267" s="1" t="s">
        <v>2533</v>
      </c>
    </row>
    <row r="1268" spans="1:2" ht="15.75">
      <c r="A1268" s="1" t="s">
        <v>2534</v>
      </c>
      <c r="B1268" s="1" t="s">
        <v>2535</v>
      </c>
    </row>
    <row r="1269" spans="1:2" ht="15.75">
      <c r="A1269" s="1" t="s">
        <v>2536</v>
      </c>
      <c r="B1269" s="1" t="s">
        <v>2537</v>
      </c>
    </row>
    <row r="1270" spans="1:2" ht="15.75">
      <c r="A1270" s="1" t="s">
        <v>2538</v>
      </c>
      <c r="B1270" s="1" t="s">
        <v>2539</v>
      </c>
    </row>
    <row r="1271" spans="1:2" ht="15.75">
      <c r="A1271" s="1" t="s">
        <v>2540</v>
      </c>
      <c r="B1271" s="1" t="s">
        <v>2541</v>
      </c>
    </row>
    <row r="1272" spans="1:2" ht="15.75">
      <c r="A1272" s="1" t="s">
        <v>2542</v>
      </c>
      <c r="B1272" s="1" t="s">
        <v>2543</v>
      </c>
    </row>
    <row r="1273" spans="1:2" ht="15.75">
      <c r="A1273" s="1" t="s">
        <v>2544</v>
      </c>
      <c r="B1273" s="1" t="s">
        <v>2545</v>
      </c>
    </row>
    <row r="1274" spans="1:2" ht="15.75">
      <c r="A1274" s="1" t="s">
        <v>2546</v>
      </c>
      <c r="B1274" s="1" t="s">
        <v>2547</v>
      </c>
    </row>
    <row r="1275" spans="1:2" ht="15.75">
      <c r="A1275" s="1" t="s">
        <v>2548</v>
      </c>
      <c r="B1275" s="1" t="s">
        <v>2549</v>
      </c>
    </row>
    <row r="1276" spans="1:2" ht="15.75">
      <c r="A1276" s="1" t="s">
        <v>2550</v>
      </c>
      <c r="B1276" s="1" t="s">
        <v>2551</v>
      </c>
    </row>
    <row r="1277" spans="1:2" ht="15.75">
      <c r="A1277" s="1" t="s">
        <v>2552</v>
      </c>
      <c r="B1277" s="1" t="s">
        <v>2553</v>
      </c>
    </row>
    <row r="1278" spans="1:2" ht="15.75">
      <c r="A1278" s="1" t="s">
        <v>2554</v>
      </c>
      <c r="B1278" s="1" t="s">
        <v>2555</v>
      </c>
    </row>
    <row r="1279" spans="1:2" ht="15.75">
      <c r="A1279" s="1" t="s">
        <v>2556</v>
      </c>
      <c r="B1279" s="1" t="s">
        <v>2557</v>
      </c>
    </row>
    <row r="1280" spans="1:2" ht="15.75">
      <c r="A1280" s="1" t="s">
        <v>2558</v>
      </c>
      <c r="B1280" s="1" t="s">
        <v>2559</v>
      </c>
    </row>
    <row r="1281" spans="1:2" ht="15.75">
      <c r="A1281" s="1" t="s">
        <v>2560</v>
      </c>
      <c r="B1281" s="1" t="s">
        <v>2561</v>
      </c>
    </row>
    <row r="1282" spans="1:2" ht="15.75">
      <c r="A1282" s="1" t="s">
        <v>2562</v>
      </c>
      <c r="B1282" s="1" t="s">
        <v>2563</v>
      </c>
    </row>
    <row r="1283" spans="1:2" ht="15.75">
      <c r="A1283" s="1" t="s">
        <v>2564</v>
      </c>
      <c r="B1283" s="1" t="s">
        <v>2565</v>
      </c>
    </row>
    <row r="1284" spans="1:2" ht="15.75">
      <c r="A1284" s="1" t="s">
        <v>2566</v>
      </c>
      <c r="B1284" s="1" t="s">
        <v>2567</v>
      </c>
    </row>
    <row r="1285" spans="1:2" ht="15.75">
      <c r="A1285" s="1" t="s">
        <v>2568</v>
      </c>
      <c r="B1285" s="1" t="s">
        <v>2569</v>
      </c>
    </row>
    <row r="1286" spans="1:2" ht="15.75">
      <c r="A1286" s="1" t="s">
        <v>2570</v>
      </c>
      <c r="B1286" s="1" t="s">
        <v>2571</v>
      </c>
    </row>
    <row r="1287" spans="1:2" ht="15.75">
      <c r="A1287" s="1" t="s">
        <v>2572</v>
      </c>
      <c r="B1287" s="1" t="s">
        <v>2573</v>
      </c>
    </row>
    <row r="1288" spans="1:2" ht="15.75">
      <c r="A1288" s="1" t="s">
        <v>2574</v>
      </c>
      <c r="B1288" s="1" t="s">
        <v>2575</v>
      </c>
    </row>
    <row r="1289" spans="1:2" ht="15.75">
      <c r="A1289" s="1" t="s">
        <v>2576</v>
      </c>
      <c r="B1289" s="1" t="s">
        <v>2577</v>
      </c>
    </row>
    <row r="1290" spans="1:2" ht="15.75">
      <c r="A1290" s="1" t="s">
        <v>2578</v>
      </c>
      <c r="B1290" s="1" t="s">
        <v>2579</v>
      </c>
    </row>
    <row r="1291" spans="1:2" ht="15.75">
      <c r="A1291" s="1" t="s">
        <v>2580</v>
      </c>
      <c r="B1291" s="1" t="s">
        <v>2581</v>
      </c>
    </row>
    <row r="1292" spans="1:2" ht="15.75">
      <c r="A1292" s="1" t="s">
        <v>2582</v>
      </c>
      <c r="B1292" s="1" t="s">
        <v>2583</v>
      </c>
    </row>
    <row r="1293" spans="1:2" ht="15.75">
      <c r="A1293" s="1" t="s">
        <v>2584</v>
      </c>
      <c r="B1293" s="1" t="s">
        <v>2585</v>
      </c>
    </row>
    <row r="1294" spans="1:2" ht="15.75">
      <c r="A1294" s="1" t="s">
        <v>2586</v>
      </c>
      <c r="B1294" s="1" t="s">
        <v>2587</v>
      </c>
    </row>
    <row r="1295" spans="1:2" ht="15.75">
      <c r="A1295" s="1" t="s">
        <v>2588</v>
      </c>
      <c r="B1295" s="1" t="s">
        <v>2589</v>
      </c>
    </row>
    <row r="1296" spans="1:2" ht="15.75">
      <c r="A1296" s="1" t="s">
        <v>2590</v>
      </c>
      <c r="B1296" s="1" t="s">
        <v>2591</v>
      </c>
    </row>
    <row r="1297" spans="1:2" ht="15.75">
      <c r="A1297" s="1" t="s">
        <v>2592</v>
      </c>
      <c r="B1297" s="1" t="s">
        <v>2593</v>
      </c>
    </row>
    <row r="1298" spans="1:2" ht="15.75">
      <c r="A1298" s="1" t="s">
        <v>2594</v>
      </c>
      <c r="B1298" s="1" t="s">
        <v>2595</v>
      </c>
    </row>
    <row r="1299" spans="1:2" ht="15.75">
      <c r="A1299" s="1" t="s">
        <v>2596</v>
      </c>
      <c r="B1299" s="1" t="s">
        <v>2597</v>
      </c>
    </row>
    <row r="1300" spans="1:2" ht="15.75">
      <c r="A1300" s="1" t="s">
        <v>2598</v>
      </c>
      <c r="B1300" s="1" t="s">
        <v>2599</v>
      </c>
    </row>
    <row r="1301" spans="1:2" ht="15.75">
      <c r="A1301" s="1" t="s">
        <v>2600</v>
      </c>
      <c r="B1301" s="1" t="s">
        <v>2601</v>
      </c>
    </row>
    <row r="1302" spans="1:2" ht="15.75">
      <c r="A1302" s="1" t="s">
        <v>2602</v>
      </c>
      <c r="B1302" s="1" t="s">
        <v>2603</v>
      </c>
    </row>
    <row r="1303" spans="1:2" ht="15.75">
      <c r="A1303" s="1" t="s">
        <v>2604</v>
      </c>
      <c r="B1303" s="1" t="s">
        <v>2605</v>
      </c>
    </row>
    <row r="1304" spans="1:2" ht="15.75">
      <c r="A1304" s="1" t="s">
        <v>2606</v>
      </c>
      <c r="B1304" s="1" t="s">
        <v>2607</v>
      </c>
    </row>
    <row r="1305" spans="1:2" ht="15.75">
      <c r="A1305" s="1" t="s">
        <v>2608</v>
      </c>
      <c r="B1305" s="1" t="s">
        <v>2609</v>
      </c>
    </row>
    <row r="1306" spans="1:2" ht="15.75">
      <c r="A1306" s="1" t="s">
        <v>2610</v>
      </c>
      <c r="B1306" s="1" t="s">
        <v>2611</v>
      </c>
    </row>
    <row r="1307" spans="1:2" ht="15.75">
      <c r="A1307" s="1" t="s">
        <v>2612</v>
      </c>
      <c r="B1307" s="1" t="s">
        <v>2613</v>
      </c>
    </row>
    <row r="1308" spans="1:2" ht="15.75">
      <c r="A1308" s="1" t="s">
        <v>2614</v>
      </c>
      <c r="B1308" s="1" t="s">
        <v>2615</v>
      </c>
    </row>
    <row r="1309" spans="1:2" ht="15.75">
      <c r="A1309" s="1" t="s">
        <v>2616</v>
      </c>
      <c r="B1309" s="1" t="s">
        <v>2617</v>
      </c>
    </row>
    <row r="1310" spans="1:2" ht="15.75">
      <c r="A1310" s="1" t="s">
        <v>2618</v>
      </c>
      <c r="B1310" s="1" t="s">
        <v>2619</v>
      </c>
    </row>
    <row r="1311" spans="1:2" ht="15.75">
      <c r="A1311" s="1" t="s">
        <v>2620</v>
      </c>
      <c r="B1311" s="1" t="s">
        <v>2621</v>
      </c>
    </row>
    <row r="1312" spans="1:2" ht="15.75">
      <c r="A1312" s="1" t="s">
        <v>2622</v>
      </c>
      <c r="B1312" s="1" t="s">
        <v>2623</v>
      </c>
    </row>
    <row r="1313" spans="1:2" ht="15.75">
      <c r="A1313" s="1" t="s">
        <v>2624</v>
      </c>
      <c r="B1313" s="1" t="s">
        <v>2625</v>
      </c>
    </row>
    <row r="1314" spans="1:2" ht="15.75">
      <c r="A1314" s="1" t="s">
        <v>2626</v>
      </c>
      <c r="B1314" s="1" t="s">
        <v>2627</v>
      </c>
    </row>
    <row r="1315" spans="1:2" ht="15.75">
      <c r="A1315" s="1" t="s">
        <v>2628</v>
      </c>
      <c r="B1315" s="1" t="s">
        <v>2629</v>
      </c>
    </row>
    <row r="1316" spans="1:2" ht="15.75">
      <c r="A1316" s="1" t="s">
        <v>2630</v>
      </c>
      <c r="B1316" s="1" t="s">
        <v>2631</v>
      </c>
    </row>
    <row r="1317" spans="1:2" ht="15.75">
      <c r="A1317" s="1" t="s">
        <v>2632</v>
      </c>
      <c r="B1317" s="1" t="s">
        <v>2633</v>
      </c>
    </row>
    <row r="1318" spans="1:2" ht="15.75">
      <c r="A1318" s="1" t="s">
        <v>2634</v>
      </c>
      <c r="B1318" s="1" t="s">
        <v>2635</v>
      </c>
    </row>
    <row r="1319" spans="1:2" ht="15.75">
      <c r="A1319" s="1" t="s">
        <v>2636</v>
      </c>
      <c r="B1319" s="1" t="s">
        <v>2637</v>
      </c>
    </row>
    <row r="1320" spans="1:2" ht="15.75">
      <c r="A1320" s="1" t="s">
        <v>2638</v>
      </c>
      <c r="B1320" s="1" t="s">
        <v>2639</v>
      </c>
    </row>
    <row r="1321" spans="1:2" ht="15.75">
      <c r="A1321" s="1" t="s">
        <v>2640</v>
      </c>
      <c r="B1321" s="1" t="s">
        <v>2641</v>
      </c>
    </row>
    <row r="1322" spans="1:2" ht="15.75">
      <c r="A1322" s="1" t="s">
        <v>2642</v>
      </c>
      <c r="B1322" s="1" t="s">
        <v>2643</v>
      </c>
    </row>
    <row r="1323" spans="1:2" ht="15.75">
      <c r="A1323" s="1" t="s">
        <v>2644</v>
      </c>
      <c r="B1323" s="1" t="s">
        <v>2645</v>
      </c>
    </row>
    <row r="1324" spans="1:2" ht="15.75">
      <c r="A1324" s="1" t="s">
        <v>2646</v>
      </c>
      <c r="B1324" s="1" t="s">
        <v>2647</v>
      </c>
    </row>
    <row r="1325" spans="1:2" ht="15.75">
      <c r="A1325" s="1" t="s">
        <v>2648</v>
      </c>
      <c r="B1325" s="1" t="s">
        <v>2649</v>
      </c>
    </row>
    <row r="1326" spans="1:2" ht="15.75">
      <c r="A1326" s="1" t="s">
        <v>2650</v>
      </c>
      <c r="B1326" s="1" t="s">
        <v>2651</v>
      </c>
    </row>
    <row r="1327" spans="1:2" ht="15.75">
      <c r="A1327" s="1" t="s">
        <v>2652</v>
      </c>
      <c r="B1327" s="1" t="s">
        <v>2653</v>
      </c>
    </row>
    <row r="1328" spans="1:2" ht="15.75">
      <c r="A1328" s="1" t="s">
        <v>2654</v>
      </c>
      <c r="B1328" s="1" t="s">
        <v>2655</v>
      </c>
    </row>
    <row r="1329" spans="1:2" ht="15.75">
      <c r="A1329" s="1" t="s">
        <v>2656</v>
      </c>
      <c r="B1329" s="1" t="s">
        <v>2657</v>
      </c>
    </row>
    <row r="1330" spans="1:2" ht="15.75">
      <c r="A1330" s="1" t="s">
        <v>2658</v>
      </c>
      <c r="B1330" s="1" t="s">
        <v>2659</v>
      </c>
    </row>
    <row r="1331" spans="1:2" ht="15.75">
      <c r="A1331" s="1" t="s">
        <v>2660</v>
      </c>
      <c r="B1331" s="1" t="s">
        <v>2661</v>
      </c>
    </row>
    <row r="1332" spans="1:2" ht="15.75">
      <c r="A1332" s="1" t="s">
        <v>2662</v>
      </c>
      <c r="B1332" s="1" t="s">
        <v>2663</v>
      </c>
    </row>
    <row r="1333" spans="1:2" ht="15.75">
      <c r="A1333" s="1" t="s">
        <v>2664</v>
      </c>
      <c r="B1333" s="1" t="s">
        <v>2665</v>
      </c>
    </row>
    <row r="1334" spans="1:2" ht="15.75">
      <c r="A1334" s="1" t="s">
        <v>2666</v>
      </c>
      <c r="B1334" s="1" t="s">
        <v>2667</v>
      </c>
    </row>
    <row r="1335" spans="1:2" ht="15.75">
      <c r="A1335" s="1" t="s">
        <v>2668</v>
      </c>
      <c r="B1335" s="1" t="s">
        <v>2669</v>
      </c>
    </row>
    <row r="1336" spans="1:2" ht="15.75">
      <c r="A1336" s="1" t="s">
        <v>2670</v>
      </c>
      <c r="B1336" s="1" t="s">
        <v>2671</v>
      </c>
    </row>
    <row r="1337" spans="1:2" ht="15.75">
      <c r="A1337" s="1" t="s">
        <v>2672</v>
      </c>
      <c r="B1337" s="1" t="s">
        <v>2673</v>
      </c>
    </row>
    <row r="1338" spans="1:2" ht="15.75">
      <c r="A1338" s="1" t="s">
        <v>2674</v>
      </c>
      <c r="B1338" s="1" t="s">
        <v>2675</v>
      </c>
    </row>
    <row r="1339" spans="1:2" ht="15.75">
      <c r="A1339" s="1" t="s">
        <v>2676</v>
      </c>
      <c r="B1339" s="1" t="s">
        <v>2677</v>
      </c>
    </row>
    <row r="1340" spans="1:2" ht="15.75">
      <c r="A1340" s="1" t="s">
        <v>2678</v>
      </c>
      <c r="B1340" s="1" t="s">
        <v>2679</v>
      </c>
    </row>
    <row r="1341" spans="1:2" ht="15.75">
      <c r="A1341" s="1" t="s">
        <v>2680</v>
      </c>
      <c r="B1341" s="1" t="s">
        <v>2681</v>
      </c>
    </row>
    <row r="1342" spans="1:2" ht="15.75">
      <c r="A1342" s="1" t="s">
        <v>2682</v>
      </c>
      <c r="B1342" s="1" t="s">
        <v>2683</v>
      </c>
    </row>
    <row r="1343" spans="1:2" ht="15.75">
      <c r="A1343" s="1" t="s">
        <v>2684</v>
      </c>
      <c r="B1343" s="1" t="s">
        <v>2685</v>
      </c>
    </row>
    <row r="1344" spans="1:2" ht="15.75">
      <c r="A1344" s="1" t="s">
        <v>2686</v>
      </c>
      <c r="B1344" s="1" t="s">
        <v>2687</v>
      </c>
    </row>
    <row r="1345" spans="1:2" ht="15.75">
      <c r="A1345" s="1" t="s">
        <v>2688</v>
      </c>
      <c r="B1345" s="1" t="s">
        <v>2689</v>
      </c>
    </row>
    <row r="1346" spans="1:2" ht="15.75">
      <c r="A1346" s="1" t="s">
        <v>2690</v>
      </c>
      <c r="B1346" s="1" t="s">
        <v>2691</v>
      </c>
    </row>
    <row r="1347" spans="1:2" ht="15.75">
      <c r="A1347" s="1" t="s">
        <v>2692</v>
      </c>
      <c r="B1347" s="1" t="s">
        <v>2693</v>
      </c>
    </row>
    <row r="1348" spans="1:2" ht="15.75">
      <c r="A1348" s="1" t="s">
        <v>2694</v>
      </c>
      <c r="B1348" s="1" t="s">
        <v>2695</v>
      </c>
    </row>
    <row r="1349" spans="1:2" ht="15.75">
      <c r="A1349" s="1" t="s">
        <v>2696</v>
      </c>
      <c r="B1349" s="1" t="s">
        <v>2697</v>
      </c>
    </row>
    <row r="1350" spans="1:2" ht="15.75">
      <c r="A1350" s="1" t="s">
        <v>2698</v>
      </c>
      <c r="B1350" s="1" t="s">
        <v>2699</v>
      </c>
    </row>
    <row r="1351" spans="1:2" ht="15.75">
      <c r="A1351" s="1" t="s">
        <v>2700</v>
      </c>
      <c r="B1351" s="1" t="s">
        <v>2701</v>
      </c>
    </row>
    <row r="1352" spans="1:2" ht="15.75">
      <c r="A1352" s="1" t="s">
        <v>2702</v>
      </c>
      <c r="B1352" s="1" t="s">
        <v>2703</v>
      </c>
    </row>
    <row r="1353" spans="1:2" ht="15.75">
      <c r="A1353" s="1" t="s">
        <v>2704</v>
      </c>
      <c r="B1353" s="1" t="s">
        <v>2705</v>
      </c>
    </row>
    <row r="1354" spans="1:2" ht="15.75">
      <c r="A1354" s="1" t="s">
        <v>2706</v>
      </c>
      <c r="B1354" s="1" t="s">
        <v>2707</v>
      </c>
    </row>
    <row r="1355" spans="1:2" ht="15.75">
      <c r="A1355" s="1" t="s">
        <v>2708</v>
      </c>
      <c r="B1355" s="1" t="s">
        <v>2709</v>
      </c>
    </row>
    <row r="1356" spans="1:2" ht="15.75">
      <c r="A1356" s="1" t="s">
        <v>2710</v>
      </c>
      <c r="B1356" s="1" t="s">
        <v>2711</v>
      </c>
    </row>
    <row r="1357" spans="1:2" ht="15.75">
      <c r="A1357" s="1" t="s">
        <v>2712</v>
      </c>
      <c r="B1357" s="1" t="s">
        <v>2713</v>
      </c>
    </row>
    <row r="1358" spans="1:2" ht="15.75">
      <c r="A1358" s="1" t="s">
        <v>2714</v>
      </c>
      <c r="B1358" s="1" t="s">
        <v>2715</v>
      </c>
    </row>
    <row r="1359" spans="1:2" ht="15.75">
      <c r="A1359" s="1" t="s">
        <v>2716</v>
      </c>
      <c r="B1359" s="1" t="s">
        <v>2717</v>
      </c>
    </row>
    <row r="1360" spans="1:2" ht="15.75">
      <c r="A1360" s="1" t="s">
        <v>2718</v>
      </c>
      <c r="B1360" s="1" t="s">
        <v>2719</v>
      </c>
    </row>
    <row r="1361" spans="1:2" ht="15.75">
      <c r="A1361" s="1" t="s">
        <v>2720</v>
      </c>
      <c r="B1361" s="1" t="s">
        <v>2721</v>
      </c>
    </row>
    <row r="1362" spans="1:2" ht="15.75">
      <c r="A1362" s="1" t="s">
        <v>2722</v>
      </c>
      <c r="B1362" s="1" t="s">
        <v>2723</v>
      </c>
    </row>
    <row r="1363" spans="1:2" ht="15.75">
      <c r="A1363" s="1" t="s">
        <v>2724</v>
      </c>
      <c r="B1363" s="1" t="s">
        <v>2725</v>
      </c>
    </row>
    <row r="1364" spans="1:2" ht="15.75">
      <c r="A1364" s="1" t="s">
        <v>2726</v>
      </c>
      <c r="B1364" s="1" t="s">
        <v>2727</v>
      </c>
    </row>
    <row r="1365" spans="1:2" ht="15.75">
      <c r="A1365" s="1" t="s">
        <v>2728</v>
      </c>
      <c r="B1365" s="1" t="s">
        <v>2729</v>
      </c>
    </row>
    <row r="1366" spans="1:2" ht="15.75">
      <c r="A1366" s="1" t="s">
        <v>2730</v>
      </c>
      <c r="B1366" s="1" t="s">
        <v>2731</v>
      </c>
    </row>
    <row r="1367" spans="1:2" ht="15.75">
      <c r="A1367" s="1" t="s">
        <v>2732</v>
      </c>
      <c r="B1367" s="1" t="s">
        <v>2733</v>
      </c>
    </row>
    <row r="1368" spans="1:2" ht="15.75">
      <c r="A1368" s="1" t="s">
        <v>2734</v>
      </c>
      <c r="B1368" s="1" t="s">
        <v>2735</v>
      </c>
    </row>
    <row r="1369" spans="1:2" ht="15.75">
      <c r="A1369" s="1" t="s">
        <v>2736</v>
      </c>
      <c r="B1369" s="1" t="s">
        <v>2737</v>
      </c>
    </row>
    <row r="1370" spans="1:2" ht="15.75">
      <c r="A1370" s="1" t="s">
        <v>2738</v>
      </c>
      <c r="B1370" s="1" t="s">
        <v>2739</v>
      </c>
    </row>
    <row r="1371" spans="1:2" ht="15.75">
      <c r="A1371" s="1" t="s">
        <v>2740</v>
      </c>
      <c r="B1371" s="1" t="s">
        <v>2741</v>
      </c>
    </row>
    <row r="1372" spans="1:2" ht="15.75">
      <c r="A1372" s="1" t="s">
        <v>2742</v>
      </c>
      <c r="B1372" s="1" t="s">
        <v>2743</v>
      </c>
    </row>
    <row r="1373" spans="1:2" ht="15.75">
      <c r="A1373" s="1" t="s">
        <v>2744</v>
      </c>
      <c r="B1373" s="1" t="s">
        <v>2745</v>
      </c>
    </row>
    <row r="1374" spans="1:2" ht="15.75">
      <c r="A1374" s="1" t="s">
        <v>2746</v>
      </c>
      <c r="B1374" s="1" t="s">
        <v>2747</v>
      </c>
    </row>
    <row r="1375" spans="1:2" ht="15.75">
      <c r="A1375" s="1" t="s">
        <v>2748</v>
      </c>
      <c r="B1375" s="1" t="s">
        <v>2749</v>
      </c>
    </row>
    <row r="1376" spans="1:2" ht="15.75">
      <c r="A1376" s="1" t="s">
        <v>2750</v>
      </c>
      <c r="B1376" s="1" t="s">
        <v>2751</v>
      </c>
    </row>
    <row r="1377" spans="1:2" ht="15.75">
      <c r="A1377" s="1" t="s">
        <v>2752</v>
      </c>
      <c r="B1377" s="1" t="s">
        <v>2753</v>
      </c>
    </row>
    <row r="1378" spans="1:2" ht="15.75">
      <c r="A1378" s="1" t="s">
        <v>2754</v>
      </c>
      <c r="B1378" s="1" t="s">
        <v>2755</v>
      </c>
    </row>
    <row r="1379" spans="1:2" ht="15.75">
      <c r="A1379" s="1" t="s">
        <v>2756</v>
      </c>
      <c r="B1379" s="1" t="s">
        <v>2757</v>
      </c>
    </row>
    <row r="1380" spans="1:2" ht="15.75">
      <c r="A1380" s="1" t="s">
        <v>2758</v>
      </c>
      <c r="B1380" s="1" t="s">
        <v>2759</v>
      </c>
    </row>
    <row r="1381" spans="1:2" ht="15.75">
      <c r="A1381" s="1" t="s">
        <v>2760</v>
      </c>
      <c r="B1381" s="1" t="s">
        <v>2761</v>
      </c>
    </row>
    <row r="1382" spans="1:2" ht="15.75">
      <c r="A1382" s="1" t="s">
        <v>2762</v>
      </c>
      <c r="B1382" s="1" t="s">
        <v>2763</v>
      </c>
    </row>
    <row r="1383" spans="1:2" ht="15.75">
      <c r="A1383" s="1" t="s">
        <v>2764</v>
      </c>
      <c r="B1383" s="1" t="s">
        <v>2765</v>
      </c>
    </row>
    <row r="1384" spans="1:2" ht="15.75">
      <c r="A1384" s="1" t="s">
        <v>2766</v>
      </c>
      <c r="B1384" s="1" t="s">
        <v>2767</v>
      </c>
    </row>
    <row r="1385" spans="1:2" ht="15.75">
      <c r="A1385" s="1" t="s">
        <v>2768</v>
      </c>
      <c r="B1385" s="1" t="s">
        <v>2769</v>
      </c>
    </row>
    <row r="1386" spans="1:2" ht="15.75">
      <c r="A1386" s="1" t="s">
        <v>2770</v>
      </c>
      <c r="B1386" s="1" t="s">
        <v>2771</v>
      </c>
    </row>
    <row r="1387" spans="1:2" ht="15.75">
      <c r="A1387" s="1" t="s">
        <v>2772</v>
      </c>
      <c r="B1387" s="1" t="s">
        <v>2773</v>
      </c>
    </row>
    <row r="1388" spans="1:2" ht="15.75">
      <c r="A1388" s="1" t="s">
        <v>2774</v>
      </c>
      <c r="B1388" s="1" t="s">
        <v>2775</v>
      </c>
    </row>
    <row r="1389" spans="1:2" ht="15.75">
      <c r="A1389" s="1" t="s">
        <v>2776</v>
      </c>
      <c r="B1389" s="1" t="s">
        <v>2777</v>
      </c>
    </row>
    <row r="1390" spans="1:2" ht="15.75">
      <c r="A1390" s="1" t="s">
        <v>2778</v>
      </c>
      <c r="B1390" s="1" t="s">
        <v>2779</v>
      </c>
    </row>
    <row r="1391" spans="1:2" ht="15.75">
      <c r="A1391" s="1" t="s">
        <v>2780</v>
      </c>
      <c r="B1391" s="1" t="s">
        <v>2781</v>
      </c>
    </row>
    <row r="1392" spans="1:2" ht="15.75">
      <c r="A1392" s="1" t="s">
        <v>2782</v>
      </c>
      <c r="B1392" s="1" t="s">
        <v>2783</v>
      </c>
    </row>
    <row r="1393" spans="1:2" ht="15.75">
      <c r="A1393" s="1" t="s">
        <v>2784</v>
      </c>
      <c r="B1393" s="1" t="s">
        <v>2785</v>
      </c>
    </row>
    <row r="1394" spans="1:2" ht="15.75">
      <c r="A1394" s="1" t="s">
        <v>2786</v>
      </c>
      <c r="B1394" s="1" t="s">
        <v>2787</v>
      </c>
    </row>
    <row r="1395" spans="1:2" ht="15.75">
      <c r="A1395" s="1" t="s">
        <v>2788</v>
      </c>
      <c r="B1395" s="1" t="s">
        <v>2789</v>
      </c>
    </row>
    <row r="1396" spans="1:2" ht="15.75">
      <c r="A1396" s="1" t="s">
        <v>2790</v>
      </c>
      <c r="B1396" s="1" t="s">
        <v>2791</v>
      </c>
    </row>
    <row r="1397" spans="1:2" ht="15.75">
      <c r="A1397" s="1" t="s">
        <v>2792</v>
      </c>
      <c r="B1397" s="1" t="s">
        <v>2793</v>
      </c>
    </row>
    <row r="1398" spans="1:2" ht="15.75">
      <c r="A1398" s="1" t="s">
        <v>2794</v>
      </c>
      <c r="B1398" s="1" t="s">
        <v>2795</v>
      </c>
    </row>
    <row r="1399" spans="1:2" ht="15.75">
      <c r="A1399" s="1" t="s">
        <v>2796</v>
      </c>
      <c r="B1399" s="1" t="s">
        <v>2797</v>
      </c>
    </row>
    <row r="1400" spans="1:2" ht="15.75">
      <c r="A1400" s="1" t="s">
        <v>2798</v>
      </c>
      <c r="B1400" s="1" t="s">
        <v>2799</v>
      </c>
    </row>
    <row r="1401" spans="1:2" ht="15.75">
      <c r="A1401" s="1" t="s">
        <v>2800</v>
      </c>
      <c r="B1401" s="1" t="s">
        <v>2801</v>
      </c>
    </row>
    <row r="1402" spans="1:2" ht="15.75">
      <c r="A1402" s="1" t="s">
        <v>2802</v>
      </c>
      <c r="B1402" s="1" t="s">
        <v>2803</v>
      </c>
    </row>
    <row r="1403" spans="1:2" ht="15.75">
      <c r="A1403" s="1" t="s">
        <v>2804</v>
      </c>
      <c r="B1403" s="1" t="s">
        <v>2805</v>
      </c>
    </row>
    <row r="1404" spans="1:2" ht="15.75">
      <c r="A1404" s="1" t="s">
        <v>2806</v>
      </c>
      <c r="B1404" s="1" t="s">
        <v>2807</v>
      </c>
    </row>
    <row r="1405" spans="1:2" ht="15.75">
      <c r="A1405" s="1" t="s">
        <v>2808</v>
      </c>
      <c r="B1405" s="1" t="s">
        <v>2809</v>
      </c>
    </row>
    <row r="1406" spans="1:2" ht="15.75">
      <c r="A1406" s="1" t="s">
        <v>2810</v>
      </c>
      <c r="B1406" s="1" t="s">
        <v>2811</v>
      </c>
    </row>
    <row r="1407" spans="1:2" ht="15.75">
      <c r="A1407" s="1" t="s">
        <v>2812</v>
      </c>
      <c r="B1407" s="1" t="s">
        <v>2813</v>
      </c>
    </row>
    <row r="1408" spans="1:2" ht="15.75">
      <c r="A1408" s="1" t="s">
        <v>2814</v>
      </c>
      <c r="B1408" s="1" t="s">
        <v>2815</v>
      </c>
    </row>
    <row r="1409" spans="1:2" ht="15.75">
      <c r="A1409" s="1" t="s">
        <v>2816</v>
      </c>
      <c r="B1409" s="1" t="s">
        <v>2817</v>
      </c>
    </row>
    <row r="1410" spans="1:2" ht="15.75">
      <c r="A1410" s="1" t="s">
        <v>2818</v>
      </c>
      <c r="B1410" s="1" t="s">
        <v>2819</v>
      </c>
    </row>
    <row r="1411" spans="1:2" ht="15.75">
      <c r="A1411" s="1" t="s">
        <v>2820</v>
      </c>
      <c r="B1411" s="1" t="s">
        <v>2821</v>
      </c>
    </row>
    <row r="1412" spans="1:2" ht="15.75">
      <c r="A1412" s="1" t="s">
        <v>2822</v>
      </c>
      <c r="B1412" s="1" t="s">
        <v>2823</v>
      </c>
    </row>
    <row r="1413" spans="1:2" ht="15.75">
      <c r="A1413" s="1" t="s">
        <v>2824</v>
      </c>
      <c r="B1413" s="1" t="s">
        <v>2825</v>
      </c>
    </row>
    <row r="1414" spans="1:2" ht="15.75">
      <c r="A1414" s="1" t="s">
        <v>2826</v>
      </c>
      <c r="B1414" s="1" t="s">
        <v>2827</v>
      </c>
    </row>
    <row r="1415" spans="1:2" ht="15.75">
      <c r="A1415" s="1" t="s">
        <v>2828</v>
      </c>
      <c r="B1415" s="1" t="s">
        <v>2829</v>
      </c>
    </row>
    <row r="1416" spans="1:2" ht="15.75">
      <c r="A1416" s="1" t="s">
        <v>2830</v>
      </c>
      <c r="B1416" s="1" t="s">
        <v>2831</v>
      </c>
    </row>
    <row r="1417" spans="1:2" ht="15.75">
      <c r="A1417" s="1" t="s">
        <v>2832</v>
      </c>
      <c r="B1417" s="1" t="s">
        <v>2833</v>
      </c>
    </row>
    <row r="1418" spans="1:2" ht="15.75">
      <c r="A1418" s="1" t="s">
        <v>2834</v>
      </c>
      <c r="B1418" s="1" t="s">
        <v>2835</v>
      </c>
    </row>
    <row r="1419" spans="1:2" ht="15.75">
      <c r="A1419" s="1" t="s">
        <v>2836</v>
      </c>
      <c r="B1419" s="1" t="s">
        <v>2837</v>
      </c>
    </row>
    <row r="1420" spans="1:2" ht="15.75">
      <c r="A1420" s="1" t="s">
        <v>2838</v>
      </c>
      <c r="B1420" s="1" t="s">
        <v>2839</v>
      </c>
    </row>
    <row r="1421" spans="1:2" ht="15.75">
      <c r="A1421" s="1" t="s">
        <v>2840</v>
      </c>
      <c r="B1421" s="1" t="s">
        <v>2841</v>
      </c>
    </row>
    <row r="1422" spans="1:2" ht="15.75">
      <c r="A1422" s="1" t="s">
        <v>2842</v>
      </c>
      <c r="B1422" s="1" t="s">
        <v>2843</v>
      </c>
    </row>
    <row r="1423" spans="1:2" ht="15.75">
      <c r="A1423" s="1" t="s">
        <v>2844</v>
      </c>
      <c r="B1423" s="1" t="s">
        <v>2845</v>
      </c>
    </row>
    <row r="1424" spans="1:2" ht="15.75">
      <c r="A1424" s="1" t="s">
        <v>2846</v>
      </c>
      <c r="B1424" s="1" t="s">
        <v>2847</v>
      </c>
    </row>
    <row r="1425" spans="1:2" ht="15.75">
      <c r="A1425" s="1" t="s">
        <v>2848</v>
      </c>
      <c r="B1425" s="1" t="s">
        <v>2849</v>
      </c>
    </row>
    <row r="1426" spans="1:2" ht="15.75">
      <c r="A1426" s="1" t="s">
        <v>2850</v>
      </c>
      <c r="B1426" s="1" t="s">
        <v>2851</v>
      </c>
    </row>
    <row r="1427" spans="1:2" ht="15.75">
      <c r="A1427" s="1" t="s">
        <v>2852</v>
      </c>
      <c r="B1427" s="1" t="s">
        <v>2853</v>
      </c>
    </row>
    <row r="1428" spans="1:2" ht="15.75">
      <c r="A1428" s="1" t="s">
        <v>2854</v>
      </c>
      <c r="B1428" s="1" t="s">
        <v>2855</v>
      </c>
    </row>
    <row r="1429" spans="1:2" ht="15.75">
      <c r="A1429" s="1" t="s">
        <v>2856</v>
      </c>
      <c r="B1429" s="1" t="s">
        <v>2857</v>
      </c>
    </row>
    <row r="1430" spans="1:2" ht="15.75">
      <c r="A1430" s="1" t="s">
        <v>2858</v>
      </c>
      <c r="B1430" s="1" t="s">
        <v>2859</v>
      </c>
    </row>
    <row r="1431" spans="1:2" ht="15.75">
      <c r="A1431" s="1" t="s">
        <v>2860</v>
      </c>
      <c r="B1431" s="1" t="s">
        <v>2861</v>
      </c>
    </row>
    <row r="1432" spans="1:2" ht="15.75">
      <c r="A1432" s="1" t="s">
        <v>2862</v>
      </c>
      <c r="B1432" s="1" t="s">
        <v>2863</v>
      </c>
    </row>
    <row r="1433" spans="1:2" ht="15.75">
      <c r="A1433" s="1" t="s">
        <v>2864</v>
      </c>
      <c r="B1433" s="1" t="s">
        <v>2865</v>
      </c>
    </row>
    <row r="1434" spans="1:2" ht="15.75">
      <c r="A1434" s="1" t="s">
        <v>2866</v>
      </c>
      <c r="B1434" s="1" t="s">
        <v>2867</v>
      </c>
    </row>
    <row r="1435" spans="1:2" ht="15.75">
      <c r="A1435" s="1" t="s">
        <v>2868</v>
      </c>
      <c r="B1435" s="1" t="s">
        <v>2869</v>
      </c>
    </row>
    <row r="1436" spans="1:2" ht="15.75">
      <c r="A1436" s="1" t="s">
        <v>2870</v>
      </c>
      <c r="B1436" s="1" t="s">
        <v>2871</v>
      </c>
    </row>
    <row r="1437" spans="1:2" ht="15.75">
      <c r="A1437" s="1" t="s">
        <v>2872</v>
      </c>
      <c r="B1437" s="1" t="s">
        <v>2873</v>
      </c>
    </row>
    <row r="1438" spans="1:2" ht="15.75">
      <c r="A1438" s="1" t="s">
        <v>2874</v>
      </c>
      <c r="B1438" s="1" t="s">
        <v>2875</v>
      </c>
    </row>
    <row r="1439" spans="1:2" ht="15.75">
      <c r="A1439" s="1" t="s">
        <v>2876</v>
      </c>
      <c r="B1439" s="1" t="s">
        <v>2877</v>
      </c>
    </row>
    <row r="1440" spans="1:2" ht="15.75">
      <c r="A1440" s="1" t="s">
        <v>2878</v>
      </c>
      <c r="B1440" s="1" t="s">
        <v>2879</v>
      </c>
    </row>
    <row r="1441" spans="1:2" ht="15.75">
      <c r="A1441" s="1" t="s">
        <v>2880</v>
      </c>
      <c r="B1441" s="1" t="s">
        <v>2881</v>
      </c>
    </row>
    <row r="1442" spans="1:2" ht="15.75">
      <c r="A1442" s="1" t="s">
        <v>2882</v>
      </c>
      <c r="B1442" s="1" t="s">
        <v>2883</v>
      </c>
    </row>
    <row r="1443" spans="1:2" ht="15.75">
      <c r="A1443" s="1" t="s">
        <v>2884</v>
      </c>
      <c r="B1443" s="1" t="s">
        <v>2885</v>
      </c>
    </row>
    <row r="1444" spans="1:2" ht="15.75">
      <c r="A1444" s="1" t="s">
        <v>2886</v>
      </c>
      <c r="B1444" s="1" t="s">
        <v>2887</v>
      </c>
    </row>
    <row r="1445" spans="1:2" ht="15.75">
      <c r="A1445" s="1" t="s">
        <v>2888</v>
      </c>
      <c r="B1445" s="1" t="s">
        <v>2889</v>
      </c>
    </row>
    <row r="1446" spans="1:2" ht="15.75">
      <c r="A1446" s="1" t="s">
        <v>2890</v>
      </c>
      <c r="B1446" s="1" t="s">
        <v>2891</v>
      </c>
    </row>
    <row r="1447" spans="1:2" ht="15.75">
      <c r="A1447" s="1" t="s">
        <v>2892</v>
      </c>
      <c r="B1447" s="1" t="s">
        <v>2893</v>
      </c>
    </row>
    <row r="1448" spans="1:2" ht="15.75">
      <c r="A1448" s="1" t="s">
        <v>2894</v>
      </c>
      <c r="B1448" s="1" t="s">
        <v>2895</v>
      </c>
    </row>
    <row r="1449" spans="1:2" ht="15.75">
      <c r="A1449" s="1" t="s">
        <v>2896</v>
      </c>
      <c r="B1449" s="1" t="s">
        <v>2897</v>
      </c>
    </row>
    <row r="1450" spans="1:2" ht="15.75">
      <c r="A1450" s="1" t="s">
        <v>2898</v>
      </c>
      <c r="B1450" s="1" t="s">
        <v>2899</v>
      </c>
    </row>
    <row r="1451" spans="1:2" ht="15.75">
      <c r="A1451" s="1" t="s">
        <v>2900</v>
      </c>
      <c r="B1451" s="1" t="s">
        <v>2901</v>
      </c>
    </row>
    <row r="1452" spans="1:2" ht="15.75">
      <c r="A1452" s="1" t="s">
        <v>2902</v>
      </c>
      <c r="B1452" s="1" t="s">
        <v>2903</v>
      </c>
    </row>
    <row r="1453" spans="1:2" ht="15.75">
      <c r="A1453" s="1" t="s">
        <v>2904</v>
      </c>
      <c r="B1453" s="1" t="s">
        <v>2905</v>
      </c>
    </row>
    <row r="1454" spans="1:2" ht="15.75">
      <c r="A1454" s="1" t="s">
        <v>2906</v>
      </c>
      <c r="B1454" s="1" t="s">
        <v>2907</v>
      </c>
    </row>
    <row r="1455" spans="1:2" ht="15.75">
      <c r="A1455" s="1" t="s">
        <v>2908</v>
      </c>
      <c r="B1455" s="1" t="s">
        <v>2909</v>
      </c>
    </row>
    <row r="1456" spans="1:2" ht="15.75">
      <c r="A1456" s="1" t="s">
        <v>2910</v>
      </c>
      <c r="B1456" s="1" t="s">
        <v>2911</v>
      </c>
    </row>
    <row r="1457" spans="1:2" ht="15.75">
      <c r="A1457" s="1" t="s">
        <v>2912</v>
      </c>
      <c r="B1457" s="1" t="s">
        <v>2913</v>
      </c>
    </row>
    <row r="1458" spans="1:2" ht="15.75">
      <c r="A1458" s="1" t="s">
        <v>2914</v>
      </c>
      <c r="B1458" s="1" t="s">
        <v>2915</v>
      </c>
    </row>
    <row r="1459" spans="1:2" ht="15.75">
      <c r="A1459" s="1" t="s">
        <v>2916</v>
      </c>
      <c r="B1459" s="1" t="s">
        <v>2917</v>
      </c>
    </row>
    <row r="1460" spans="1:2" ht="15.75">
      <c r="A1460" s="1" t="s">
        <v>2918</v>
      </c>
      <c r="B1460" s="1" t="s">
        <v>2919</v>
      </c>
    </row>
    <row r="1461" spans="1:2" ht="15.75">
      <c r="A1461" s="1" t="s">
        <v>2920</v>
      </c>
      <c r="B1461" s="1" t="s">
        <v>2921</v>
      </c>
    </row>
    <row r="1462" spans="1:2" ht="15.75">
      <c r="A1462" s="1" t="s">
        <v>2922</v>
      </c>
      <c r="B1462" s="1" t="s">
        <v>2923</v>
      </c>
    </row>
    <row r="1463" spans="1:2" ht="15.75">
      <c r="A1463" s="1" t="s">
        <v>2924</v>
      </c>
      <c r="B1463" s="1" t="s">
        <v>2925</v>
      </c>
    </row>
    <row r="1464" spans="1:2" ht="15.75">
      <c r="A1464" s="1" t="s">
        <v>2926</v>
      </c>
      <c r="B1464" s="1" t="s">
        <v>2927</v>
      </c>
    </row>
    <row r="1465" spans="1:2" ht="15.75">
      <c r="A1465" s="1" t="s">
        <v>2928</v>
      </c>
      <c r="B1465" s="1" t="s">
        <v>2929</v>
      </c>
    </row>
    <row r="1466" spans="1:2" ht="15.75">
      <c r="A1466" s="1" t="s">
        <v>2930</v>
      </c>
      <c r="B1466" s="1" t="s">
        <v>2931</v>
      </c>
    </row>
    <row r="1467" spans="1:2" ht="15.75">
      <c r="A1467" s="1" t="s">
        <v>2932</v>
      </c>
      <c r="B1467" s="1" t="s">
        <v>2933</v>
      </c>
    </row>
    <row r="1468" spans="1:2" ht="15.75">
      <c r="A1468" s="1" t="s">
        <v>2934</v>
      </c>
      <c r="B1468" s="1" t="s">
        <v>2935</v>
      </c>
    </row>
    <row r="1469" spans="1:2" ht="15.75">
      <c r="A1469" s="1" t="s">
        <v>2936</v>
      </c>
      <c r="B1469" s="1" t="s">
        <v>2937</v>
      </c>
    </row>
    <row r="1470" spans="1:2" ht="15.75">
      <c r="A1470" s="1" t="s">
        <v>2938</v>
      </c>
      <c r="B1470" s="1" t="s">
        <v>2939</v>
      </c>
    </row>
    <row r="1471" spans="1:2" ht="15.75">
      <c r="A1471" s="1" t="s">
        <v>2940</v>
      </c>
      <c r="B1471" s="1" t="s">
        <v>2941</v>
      </c>
    </row>
    <row r="1472" spans="1:2" ht="15.75">
      <c r="A1472" s="1" t="s">
        <v>2942</v>
      </c>
      <c r="B1472" s="1" t="s">
        <v>2943</v>
      </c>
    </row>
    <row r="1473" spans="1:2" ht="15.75">
      <c r="A1473" s="1" t="s">
        <v>2944</v>
      </c>
      <c r="B1473" s="1" t="s">
        <v>2945</v>
      </c>
    </row>
    <row r="1474" spans="1:2" ht="15.75">
      <c r="A1474" s="1" t="s">
        <v>2946</v>
      </c>
      <c r="B1474" s="1" t="s">
        <v>2947</v>
      </c>
    </row>
    <row r="1475" spans="1:2" ht="15.75">
      <c r="A1475" s="1" t="s">
        <v>2948</v>
      </c>
      <c r="B1475" s="1" t="s">
        <v>2949</v>
      </c>
    </row>
    <row r="1476" spans="1:2" ht="15.75">
      <c r="A1476" s="1" t="s">
        <v>2950</v>
      </c>
      <c r="B1476" s="1" t="s">
        <v>2951</v>
      </c>
    </row>
    <row r="1477" spans="1:2" ht="15.75">
      <c r="A1477" s="1" t="s">
        <v>2952</v>
      </c>
      <c r="B1477" s="1" t="s">
        <v>2953</v>
      </c>
    </row>
    <row r="1478" spans="1:2" ht="15.75">
      <c r="A1478" s="1" t="s">
        <v>2954</v>
      </c>
      <c r="B1478" s="1" t="s">
        <v>2955</v>
      </c>
    </row>
    <row r="1479" spans="1:2" ht="15.75">
      <c r="A1479" s="1" t="s">
        <v>2956</v>
      </c>
      <c r="B1479" s="1" t="s">
        <v>2957</v>
      </c>
    </row>
    <row r="1480" spans="1:2" ht="15.75">
      <c r="A1480" s="1" t="s">
        <v>2958</v>
      </c>
      <c r="B1480" s="1" t="s">
        <v>2959</v>
      </c>
    </row>
    <row r="1481" spans="1:2" ht="15.75">
      <c r="A1481" s="1" t="s">
        <v>2960</v>
      </c>
      <c r="B1481" s="1" t="s">
        <v>2961</v>
      </c>
    </row>
    <row r="1482" spans="1:2" ht="15.75">
      <c r="A1482" s="1" t="s">
        <v>2962</v>
      </c>
      <c r="B1482" s="1" t="s">
        <v>2963</v>
      </c>
    </row>
    <row r="1483" spans="1:2" ht="15.75">
      <c r="A1483" s="1" t="s">
        <v>2964</v>
      </c>
      <c r="B1483" s="1" t="s">
        <v>2965</v>
      </c>
    </row>
    <row r="1484" spans="1:2" ht="15.75">
      <c r="A1484" s="1" t="s">
        <v>2966</v>
      </c>
      <c r="B1484" s="1" t="s">
        <v>2967</v>
      </c>
    </row>
    <row r="1485" spans="1:2" ht="15.75">
      <c r="A1485" s="1" t="s">
        <v>2968</v>
      </c>
      <c r="B1485" s="1" t="s">
        <v>2969</v>
      </c>
    </row>
    <row r="1486" spans="1:2" ht="15.75">
      <c r="A1486" s="1" t="s">
        <v>2970</v>
      </c>
      <c r="B1486" s="1" t="s">
        <v>2971</v>
      </c>
    </row>
    <row r="1487" spans="1:2" ht="15.75">
      <c r="A1487" s="1" t="s">
        <v>2972</v>
      </c>
      <c r="B1487" s="1" t="s">
        <v>2973</v>
      </c>
    </row>
    <row r="1488" spans="1:2" ht="15.75">
      <c r="A1488" s="1" t="s">
        <v>2974</v>
      </c>
      <c r="B1488" s="1" t="s">
        <v>2975</v>
      </c>
    </row>
    <row r="1489" spans="1:2" ht="15.75">
      <c r="A1489" s="1" t="s">
        <v>2976</v>
      </c>
      <c r="B1489" s="1" t="s">
        <v>2977</v>
      </c>
    </row>
    <row r="1490" spans="1:2" ht="15.75">
      <c r="A1490" s="1" t="s">
        <v>2978</v>
      </c>
      <c r="B1490" s="1" t="s">
        <v>2979</v>
      </c>
    </row>
    <row r="1491" spans="1:2" ht="15.75">
      <c r="A1491" s="1" t="s">
        <v>2980</v>
      </c>
      <c r="B1491" s="1" t="s">
        <v>2981</v>
      </c>
    </row>
    <row r="1492" spans="1:2" ht="15.75">
      <c r="A1492" s="1" t="s">
        <v>2982</v>
      </c>
      <c r="B1492" s="1" t="s">
        <v>2983</v>
      </c>
    </row>
    <row r="1493" spans="1:2" ht="15.75">
      <c r="A1493" s="1" t="s">
        <v>2984</v>
      </c>
      <c r="B1493" s="1" t="s">
        <v>2985</v>
      </c>
    </row>
    <row r="1494" spans="1:2" ht="15.75">
      <c r="A1494" s="1" t="s">
        <v>2986</v>
      </c>
      <c r="B1494" s="1" t="s">
        <v>2987</v>
      </c>
    </row>
    <row r="1495" spans="1:2" ht="15.75">
      <c r="A1495" s="1" t="s">
        <v>2988</v>
      </c>
      <c r="B1495" s="1" t="s">
        <v>2989</v>
      </c>
    </row>
    <row r="1496" spans="1:2" ht="15.75">
      <c r="A1496" s="1" t="s">
        <v>2990</v>
      </c>
      <c r="B1496" s="1" t="s">
        <v>2991</v>
      </c>
    </row>
    <row r="1497" spans="1:2" ht="15.75">
      <c r="A1497" s="1" t="s">
        <v>2992</v>
      </c>
      <c r="B1497" s="1" t="s">
        <v>2993</v>
      </c>
    </row>
    <row r="1498" spans="1:2" ht="15.75">
      <c r="A1498" s="1" t="s">
        <v>2994</v>
      </c>
      <c r="B1498" s="1" t="s">
        <v>2995</v>
      </c>
    </row>
    <row r="1499" spans="1:2" ht="15.75">
      <c r="A1499" s="1" t="s">
        <v>2996</v>
      </c>
      <c r="B1499" s="1" t="s">
        <v>2997</v>
      </c>
    </row>
    <row r="1500" spans="1:2" ht="15.75">
      <c r="A1500" s="1" t="s">
        <v>2998</v>
      </c>
      <c r="B1500" s="1" t="s">
        <v>2999</v>
      </c>
    </row>
    <row r="1501" spans="1:2" ht="15.75">
      <c r="A1501" s="1" t="s">
        <v>3000</v>
      </c>
      <c r="B1501" s="1" t="s">
        <v>3001</v>
      </c>
    </row>
    <row r="1502" spans="1:2" ht="15.75">
      <c r="A1502" s="1" t="s">
        <v>3002</v>
      </c>
      <c r="B1502" s="1" t="s">
        <v>3003</v>
      </c>
    </row>
    <row r="1503" spans="1:2" ht="15.75">
      <c r="A1503" s="1" t="s">
        <v>3004</v>
      </c>
      <c r="B1503" s="1" t="s">
        <v>3005</v>
      </c>
    </row>
    <row r="1504" spans="1:2" ht="15.75">
      <c r="A1504" s="1" t="s">
        <v>3006</v>
      </c>
      <c r="B1504" s="1" t="s">
        <v>3007</v>
      </c>
    </row>
    <row r="1505" spans="1:2" ht="15.75">
      <c r="A1505" s="1" t="s">
        <v>3008</v>
      </c>
      <c r="B1505" s="1" t="s">
        <v>3009</v>
      </c>
    </row>
    <row r="1506" spans="1:2" ht="15.75">
      <c r="A1506" s="1" t="s">
        <v>3010</v>
      </c>
      <c r="B1506" s="1" t="s">
        <v>3011</v>
      </c>
    </row>
    <row r="1507" spans="1:2" ht="15.75">
      <c r="A1507" s="1" t="s">
        <v>3012</v>
      </c>
      <c r="B1507" s="1" t="s">
        <v>3013</v>
      </c>
    </row>
    <row r="1508" spans="1:2" ht="15.75">
      <c r="A1508" s="1" t="s">
        <v>3014</v>
      </c>
      <c r="B1508" s="1" t="s">
        <v>3015</v>
      </c>
    </row>
    <row r="1509" spans="1:2" ht="15.75">
      <c r="A1509" s="1" t="s">
        <v>3016</v>
      </c>
      <c r="B1509" s="1" t="s">
        <v>3017</v>
      </c>
    </row>
    <row r="1510" spans="1:2" ht="15.75">
      <c r="A1510" s="1" t="s">
        <v>3018</v>
      </c>
      <c r="B1510" s="1" t="s">
        <v>3019</v>
      </c>
    </row>
    <row r="1511" spans="1:2" ht="15.75">
      <c r="A1511" s="1" t="s">
        <v>3020</v>
      </c>
      <c r="B1511" s="1" t="s">
        <v>3021</v>
      </c>
    </row>
    <row r="1512" spans="1:2" ht="15.75">
      <c r="A1512" s="1" t="s">
        <v>3022</v>
      </c>
      <c r="B1512" s="1" t="s">
        <v>3023</v>
      </c>
    </row>
    <row r="1513" spans="1:2" ht="15.75">
      <c r="A1513" s="1" t="s">
        <v>3024</v>
      </c>
      <c r="B1513" s="1" t="s">
        <v>3025</v>
      </c>
    </row>
    <row r="1514" spans="1:2" ht="15.75">
      <c r="A1514" s="1" t="s">
        <v>3026</v>
      </c>
      <c r="B1514" s="1" t="s">
        <v>3027</v>
      </c>
    </row>
    <row r="1515" spans="1:2" ht="15.75">
      <c r="A1515" s="1" t="s">
        <v>3028</v>
      </c>
      <c r="B1515" s="1" t="s">
        <v>3029</v>
      </c>
    </row>
    <row r="1516" spans="1:2" ht="15.75">
      <c r="A1516" s="1" t="s">
        <v>3030</v>
      </c>
      <c r="B1516" s="1" t="s">
        <v>3031</v>
      </c>
    </row>
    <row r="1517" spans="1:2" ht="15.75">
      <c r="A1517" s="1" t="s">
        <v>3032</v>
      </c>
      <c r="B1517" s="1" t="s">
        <v>3033</v>
      </c>
    </row>
    <row r="1518" spans="1:2" ht="15.75">
      <c r="A1518" s="1" t="s">
        <v>3034</v>
      </c>
      <c r="B1518" s="1" t="s">
        <v>3035</v>
      </c>
    </row>
    <row r="1519" spans="1:2" ht="15.75">
      <c r="A1519" s="1" t="s">
        <v>3036</v>
      </c>
      <c r="B1519" s="1" t="s">
        <v>3037</v>
      </c>
    </row>
    <row r="1520" spans="1:2" ht="15.75">
      <c r="A1520" s="1" t="s">
        <v>3038</v>
      </c>
      <c r="B1520" s="1" t="s">
        <v>3039</v>
      </c>
    </row>
    <row r="1521" spans="1:2" ht="15.75">
      <c r="A1521" s="1" t="s">
        <v>3040</v>
      </c>
      <c r="B1521" s="1" t="s">
        <v>3041</v>
      </c>
    </row>
    <row r="1522" spans="1:2" ht="15.75">
      <c r="A1522" s="1" t="s">
        <v>3042</v>
      </c>
      <c r="B1522" s="1" t="s">
        <v>3043</v>
      </c>
    </row>
    <row r="1523" spans="1:2" ht="15.75">
      <c r="A1523" s="1" t="s">
        <v>3044</v>
      </c>
      <c r="B1523" s="1" t="s">
        <v>3045</v>
      </c>
    </row>
    <row r="1524" spans="1:2" ht="15.75">
      <c r="A1524" s="1" t="s">
        <v>3046</v>
      </c>
      <c r="B1524" s="1" t="s">
        <v>3047</v>
      </c>
    </row>
    <row r="1525" spans="1:2" ht="15.75">
      <c r="A1525" s="1" t="s">
        <v>3048</v>
      </c>
      <c r="B1525" s="1" t="s">
        <v>3049</v>
      </c>
    </row>
    <row r="1526" spans="1:2" ht="15.75">
      <c r="A1526" s="1" t="s">
        <v>3050</v>
      </c>
      <c r="B1526" s="1" t="s">
        <v>3051</v>
      </c>
    </row>
    <row r="1527" spans="1:2" ht="15.75">
      <c r="A1527" s="1" t="s">
        <v>3052</v>
      </c>
      <c r="B1527" s="1" t="s">
        <v>3053</v>
      </c>
    </row>
    <row r="1528" spans="1:2" ht="15.75">
      <c r="A1528" s="1" t="s">
        <v>3054</v>
      </c>
      <c r="B1528" s="1" t="s">
        <v>3055</v>
      </c>
    </row>
    <row r="1529" spans="1:2" ht="15.75">
      <c r="A1529" s="1" t="s">
        <v>3056</v>
      </c>
      <c r="B1529" s="1" t="s">
        <v>3057</v>
      </c>
    </row>
    <row r="1530" spans="1:2" ht="15.75">
      <c r="A1530" s="1" t="s">
        <v>3058</v>
      </c>
      <c r="B1530" s="1" t="s">
        <v>3059</v>
      </c>
    </row>
    <row r="1531" spans="1:2" ht="15.75">
      <c r="A1531" s="1" t="s">
        <v>3060</v>
      </c>
      <c r="B1531" s="1" t="s">
        <v>3061</v>
      </c>
    </row>
    <row r="1532" spans="1:2" ht="15.75">
      <c r="A1532" s="1" t="s">
        <v>3062</v>
      </c>
      <c r="B1532" s="1" t="s">
        <v>3063</v>
      </c>
    </row>
    <row r="1533" spans="1:2" ht="15.75">
      <c r="A1533" s="1" t="s">
        <v>3064</v>
      </c>
      <c r="B1533" s="1" t="s">
        <v>3065</v>
      </c>
    </row>
    <row r="1534" spans="1:2" ht="15.75">
      <c r="A1534" s="1" t="s">
        <v>3066</v>
      </c>
      <c r="B1534" s="1" t="s">
        <v>3067</v>
      </c>
    </row>
    <row r="1535" spans="1:2" ht="15.75">
      <c r="A1535" s="1" t="s">
        <v>3068</v>
      </c>
      <c r="B1535" s="1" t="s">
        <v>3069</v>
      </c>
    </row>
    <row r="1536" spans="1:2" ht="15.75">
      <c r="A1536" s="1" t="s">
        <v>3070</v>
      </c>
      <c r="B1536" s="1" t="s">
        <v>3071</v>
      </c>
    </row>
    <row r="1537" spans="1:2" ht="15.75">
      <c r="A1537" s="1" t="s">
        <v>3072</v>
      </c>
      <c r="B1537" s="1" t="s">
        <v>3073</v>
      </c>
    </row>
    <row r="1538" spans="1:2" ht="15.75">
      <c r="A1538" s="1" t="s">
        <v>3074</v>
      </c>
      <c r="B1538" s="1" t="s">
        <v>3075</v>
      </c>
    </row>
    <row r="1539" spans="1:2" ht="15.75">
      <c r="A1539" s="1" t="s">
        <v>3076</v>
      </c>
      <c r="B1539" s="1" t="s">
        <v>3077</v>
      </c>
    </row>
    <row r="1540" spans="1:2" ht="15.75">
      <c r="A1540" s="1" t="s">
        <v>3078</v>
      </c>
      <c r="B1540" s="1" t="s">
        <v>3079</v>
      </c>
    </row>
    <row r="1541" spans="1:2" ht="15.75">
      <c r="A1541" s="1" t="s">
        <v>3080</v>
      </c>
      <c r="B1541" s="1" t="s">
        <v>3081</v>
      </c>
    </row>
    <row r="1542" spans="1:2" ht="15.75">
      <c r="A1542" s="1" t="s">
        <v>3082</v>
      </c>
      <c r="B1542" s="1" t="s">
        <v>3083</v>
      </c>
    </row>
    <row r="1543" spans="1:2" ht="15.75">
      <c r="A1543" s="1" t="s">
        <v>3084</v>
      </c>
      <c r="B1543" s="1" t="s">
        <v>3085</v>
      </c>
    </row>
    <row r="1544" spans="1:2" ht="15.75">
      <c r="A1544" s="1" t="s">
        <v>3086</v>
      </c>
      <c r="B1544" s="1" t="s">
        <v>3087</v>
      </c>
    </row>
    <row r="1545" spans="1:2" ht="15.75">
      <c r="A1545" s="1" t="s">
        <v>3088</v>
      </c>
      <c r="B1545" s="1" t="s">
        <v>3089</v>
      </c>
    </row>
    <row r="1546" spans="1:2" ht="15.75">
      <c r="A1546" s="1" t="s">
        <v>3090</v>
      </c>
      <c r="B1546" s="1" t="s">
        <v>3091</v>
      </c>
    </row>
    <row r="1547" spans="1:2" ht="15.75">
      <c r="A1547" s="1" t="s">
        <v>3092</v>
      </c>
      <c r="B1547" s="1" t="s">
        <v>3093</v>
      </c>
    </row>
    <row r="1548" spans="1:2" ht="15.75">
      <c r="A1548" s="1" t="s">
        <v>3094</v>
      </c>
      <c r="B1548" s="1" t="s">
        <v>3095</v>
      </c>
    </row>
    <row r="1549" spans="1:2" ht="15.75">
      <c r="A1549" s="1" t="s">
        <v>3096</v>
      </c>
      <c r="B1549" s="1" t="s">
        <v>3097</v>
      </c>
    </row>
    <row r="1550" spans="1:2" ht="15.75">
      <c r="A1550" s="1" t="s">
        <v>3098</v>
      </c>
      <c r="B1550" s="1" t="s">
        <v>3099</v>
      </c>
    </row>
    <row r="1551" spans="1:2" ht="15.75">
      <c r="A1551" s="1" t="s">
        <v>3100</v>
      </c>
      <c r="B1551" s="1" t="s">
        <v>3101</v>
      </c>
    </row>
    <row r="1552" spans="1:2" ht="15.75">
      <c r="A1552" s="1" t="s">
        <v>3102</v>
      </c>
      <c r="B1552" s="1" t="s">
        <v>3103</v>
      </c>
    </row>
    <row r="1553" spans="1:2" ht="15.75">
      <c r="A1553" s="1" t="s">
        <v>3104</v>
      </c>
      <c r="B1553" s="1" t="s">
        <v>3105</v>
      </c>
    </row>
    <row r="1554" spans="1:2" ht="15.75">
      <c r="A1554" s="1" t="s">
        <v>3106</v>
      </c>
      <c r="B1554" s="1" t="s">
        <v>3107</v>
      </c>
    </row>
    <row r="1555" spans="1:2" ht="15.75">
      <c r="A1555" s="1" t="s">
        <v>3108</v>
      </c>
      <c r="B1555" s="1" t="s">
        <v>3109</v>
      </c>
    </row>
    <row r="1556" spans="1:2" ht="15.75">
      <c r="A1556" s="1" t="s">
        <v>3110</v>
      </c>
      <c r="B1556" s="1" t="s">
        <v>3111</v>
      </c>
    </row>
    <row r="1557" spans="1:2" ht="15.75">
      <c r="A1557" s="1" t="s">
        <v>3112</v>
      </c>
      <c r="B1557" s="1" t="s">
        <v>3113</v>
      </c>
    </row>
    <row r="1558" spans="1:2" ht="15.75">
      <c r="A1558" s="1" t="s">
        <v>3114</v>
      </c>
      <c r="B1558" s="1" t="s">
        <v>3115</v>
      </c>
    </row>
    <row r="1559" spans="1:2" ht="15.75">
      <c r="A1559" s="1" t="s">
        <v>3116</v>
      </c>
      <c r="B1559" s="1" t="s">
        <v>3117</v>
      </c>
    </row>
    <row r="1560" spans="1:2" ht="15.75">
      <c r="A1560" s="1" t="s">
        <v>3118</v>
      </c>
      <c r="B1560" s="1" t="s">
        <v>3119</v>
      </c>
    </row>
    <row r="1561" spans="1:2" ht="15.75">
      <c r="A1561" s="1" t="s">
        <v>3120</v>
      </c>
      <c r="B1561" s="1" t="s">
        <v>3121</v>
      </c>
    </row>
    <row r="1562" spans="1:2" ht="15.75">
      <c r="A1562" s="1" t="s">
        <v>3122</v>
      </c>
      <c r="B1562" s="1" t="s">
        <v>3123</v>
      </c>
    </row>
    <row r="1563" spans="1:2" ht="15.75">
      <c r="A1563" s="1" t="s">
        <v>3124</v>
      </c>
      <c r="B1563" s="1" t="s">
        <v>3125</v>
      </c>
    </row>
    <row r="1564" spans="1:2" ht="15.75">
      <c r="A1564" s="1" t="s">
        <v>3126</v>
      </c>
      <c r="B1564" s="1" t="s">
        <v>3127</v>
      </c>
    </row>
    <row r="1565" spans="1:2" ht="15.75">
      <c r="A1565" s="1" t="s">
        <v>3128</v>
      </c>
      <c r="B1565" s="1" t="s">
        <v>3129</v>
      </c>
    </row>
    <row r="1566" spans="1:2" ht="15.75">
      <c r="A1566" s="1" t="s">
        <v>3130</v>
      </c>
      <c r="B1566" s="1" t="s">
        <v>3131</v>
      </c>
    </row>
    <row r="1567" spans="1:2" ht="15.75">
      <c r="A1567" s="1" t="s">
        <v>3132</v>
      </c>
      <c r="B1567" s="1" t="s">
        <v>3133</v>
      </c>
    </row>
    <row r="1568" spans="1:2" ht="15.75">
      <c r="A1568" s="1" t="s">
        <v>3134</v>
      </c>
      <c r="B1568" s="1" t="s">
        <v>3135</v>
      </c>
    </row>
    <row r="1569" spans="1:2" ht="15.75">
      <c r="A1569" s="1" t="s">
        <v>3136</v>
      </c>
      <c r="B1569" s="1" t="s">
        <v>3137</v>
      </c>
    </row>
    <row r="1570" spans="1:2" ht="15.75">
      <c r="A1570" s="1" t="s">
        <v>3138</v>
      </c>
      <c r="B1570" s="1" t="s">
        <v>3139</v>
      </c>
    </row>
    <row r="1571" spans="1:2" ht="15.75">
      <c r="A1571" s="1" t="s">
        <v>3140</v>
      </c>
      <c r="B1571" s="1" t="s">
        <v>3141</v>
      </c>
    </row>
    <row r="1572" spans="1:2" ht="15.75">
      <c r="A1572" s="1" t="s">
        <v>3142</v>
      </c>
      <c r="B1572" s="1" t="s">
        <v>3143</v>
      </c>
    </row>
    <row r="1573" spans="1:2" ht="15.75">
      <c r="A1573" s="1" t="s">
        <v>3144</v>
      </c>
      <c r="B1573" s="1" t="s">
        <v>3145</v>
      </c>
    </row>
    <row r="1574" spans="1:2" ht="15.75">
      <c r="A1574" s="1" t="s">
        <v>3146</v>
      </c>
      <c r="B1574" s="1" t="s">
        <v>3147</v>
      </c>
    </row>
    <row r="1575" spans="1:2" ht="15.75">
      <c r="A1575" s="1" t="s">
        <v>3148</v>
      </c>
      <c r="B1575" s="1" t="s">
        <v>3149</v>
      </c>
    </row>
    <row r="1576" spans="1:2" ht="15.75">
      <c r="A1576" s="1" t="s">
        <v>3150</v>
      </c>
      <c r="B1576" s="1" t="s">
        <v>3151</v>
      </c>
    </row>
    <row r="1577" spans="1:2" ht="15.75">
      <c r="A1577" s="1" t="s">
        <v>3152</v>
      </c>
      <c r="B1577" s="1" t="s">
        <v>3153</v>
      </c>
    </row>
    <row r="1578" spans="1:2" ht="15.75">
      <c r="A1578" s="1" t="s">
        <v>3154</v>
      </c>
      <c r="B1578" s="1" t="s">
        <v>3155</v>
      </c>
    </row>
    <row r="1579" spans="1:2" ht="15.75">
      <c r="A1579" s="1" t="s">
        <v>3156</v>
      </c>
      <c r="B1579" s="1" t="s">
        <v>3157</v>
      </c>
    </row>
    <row r="1580" spans="1:2" ht="15.75">
      <c r="A1580" s="1" t="s">
        <v>3158</v>
      </c>
      <c r="B1580" s="1" t="s">
        <v>3159</v>
      </c>
    </row>
    <row r="1581" spans="1:2" ht="15.75">
      <c r="A1581" s="1" t="s">
        <v>3160</v>
      </c>
      <c r="B1581" s="1" t="s">
        <v>3161</v>
      </c>
    </row>
    <row r="1582" spans="1:2" ht="15.75">
      <c r="A1582" s="1" t="s">
        <v>3162</v>
      </c>
      <c r="B1582" s="1" t="s">
        <v>3163</v>
      </c>
    </row>
    <row r="1583" spans="1:2" ht="15.75">
      <c r="A1583" s="1" t="s">
        <v>3164</v>
      </c>
      <c r="B1583" s="1" t="s">
        <v>3165</v>
      </c>
    </row>
    <row r="1584" spans="1:2" ht="15.75">
      <c r="A1584" s="1" t="s">
        <v>3166</v>
      </c>
      <c r="B1584" s="1" t="s">
        <v>3167</v>
      </c>
    </row>
    <row r="1585" spans="1:2" ht="15.75">
      <c r="A1585" s="1" t="s">
        <v>3168</v>
      </c>
      <c r="B1585" s="1" t="s">
        <v>3169</v>
      </c>
    </row>
    <row r="1586" spans="1:2" ht="15.75">
      <c r="A1586" s="1" t="s">
        <v>3170</v>
      </c>
      <c r="B1586" s="1" t="s">
        <v>3171</v>
      </c>
    </row>
    <row r="1587" spans="1:2" ht="15.75">
      <c r="A1587" s="1" t="s">
        <v>3172</v>
      </c>
      <c r="B1587" s="1" t="s">
        <v>3173</v>
      </c>
    </row>
    <row r="1588" spans="1:2" ht="15.75">
      <c r="A1588" s="1" t="s">
        <v>3174</v>
      </c>
      <c r="B1588" s="1" t="s">
        <v>3175</v>
      </c>
    </row>
    <row r="1589" spans="1:2" ht="15.75">
      <c r="A1589" s="1" t="s">
        <v>3176</v>
      </c>
      <c r="B1589" s="1" t="s">
        <v>3177</v>
      </c>
    </row>
    <row r="1590" spans="1:2" ht="15.75">
      <c r="A1590" s="1" t="s">
        <v>3178</v>
      </c>
      <c r="B1590" s="1" t="s">
        <v>3179</v>
      </c>
    </row>
    <row r="1591" spans="1:2" ht="15.75">
      <c r="A1591" s="1" t="s">
        <v>3180</v>
      </c>
      <c r="B1591" s="1" t="s">
        <v>3181</v>
      </c>
    </row>
    <row r="1592" spans="1:2" ht="15.75">
      <c r="A1592" s="1" t="s">
        <v>3182</v>
      </c>
      <c r="B1592" s="1" t="s">
        <v>3183</v>
      </c>
    </row>
    <row r="1593" spans="1:2" ht="15.75">
      <c r="A1593" s="1" t="s">
        <v>3184</v>
      </c>
      <c r="B1593" s="1" t="s">
        <v>3185</v>
      </c>
    </row>
    <row r="1594" spans="1:2" ht="15.75">
      <c r="A1594" s="1" t="s">
        <v>3186</v>
      </c>
      <c r="B1594" s="1" t="s">
        <v>3187</v>
      </c>
    </row>
    <row r="1595" spans="1:2" ht="15.75">
      <c r="A1595" s="1" t="s">
        <v>3188</v>
      </c>
      <c r="B1595" s="1" t="s">
        <v>3189</v>
      </c>
    </row>
    <row r="1596" spans="1:2" ht="15.75">
      <c r="A1596" s="1" t="s">
        <v>3190</v>
      </c>
      <c r="B1596" s="1" t="s">
        <v>3191</v>
      </c>
    </row>
    <row r="1597" spans="1:2" ht="15.75">
      <c r="A1597" s="1" t="s">
        <v>3192</v>
      </c>
      <c r="B1597" s="1" t="s">
        <v>3193</v>
      </c>
    </row>
    <row r="1598" spans="1:2" ht="15.75">
      <c r="A1598" s="1" t="s">
        <v>3194</v>
      </c>
      <c r="B1598" s="1" t="s">
        <v>3195</v>
      </c>
    </row>
    <row r="1599" spans="1:2" ht="15.75">
      <c r="A1599" s="1" t="s">
        <v>3196</v>
      </c>
      <c r="B1599" s="1" t="s">
        <v>3197</v>
      </c>
    </row>
    <row r="1600" spans="1:2" ht="15.75">
      <c r="A1600" s="1" t="s">
        <v>3198</v>
      </c>
      <c r="B1600" s="1" t="s">
        <v>3199</v>
      </c>
    </row>
    <row r="1601" spans="1:2" ht="15.75">
      <c r="A1601" s="1" t="s">
        <v>3200</v>
      </c>
      <c r="B1601" s="1" t="s">
        <v>3201</v>
      </c>
    </row>
    <row r="1602" spans="1:2" ht="15.75">
      <c r="A1602" s="1" t="s">
        <v>3202</v>
      </c>
      <c r="B1602" s="1" t="s">
        <v>3203</v>
      </c>
    </row>
    <row r="1603" spans="1:2" ht="15.75">
      <c r="A1603" s="1" t="s">
        <v>3204</v>
      </c>
      <c r="B1603" s="1" t="s">
        <v>3205</v>
      </c>
    </row>
    <row r="1604" spans="1:2" ht="15.75">
      <c r="A1604" s="1" t="s">
        <v>3206</v>
      </c>
      <c r="B1604" s="1" t="s">
        <v>3207</v>
      </c>
    </row>
    <row r="1605" spans="1:2" ht="15.75">
      <c r="A1605" s="1" t="s">
        <v>3208</v>
      </c>
      <c r="B1605" s="1" t="s">
        <v>3209</v>
      </c>
    </row>
    <row r="1606" spans="1:2" ht="15.75">
      <c r="A1606" s="1" t="s">
        <v>3210</v>
      </c>
      <c r="B1606" s="1" t="s">
        <v>3211</v>
      </c>
    </row>
    <row r="1607" spans="1:2" ht="15.75">
      <c r="A1607" s="1" t="s">
        <v>3212</v>
      </c>
      <c r="B1607" s="1" t="s">
        <v>3213</v>
      </c>
    </row>
    <row r="1608" spans="1:2" ht="15.75">
      <c r="A1608" s="1" t="s">
        <v>3214</v>
      </c>
      <c r="B1608" s="1" t="s">
        <v>3215</v>
      </c>
    </row>
    <row r="1609" spans="1:2" ht="15.75">
      <c r="A1609" s="1" t="s">
        <v>3216</v>
      </c>
      <c r="B1609" s="1" t="s">
        <v>3217</v>
      </c>
    </row>
    <row r="1610" spans="1:2" ht="15.75">
      <c r="A1610" s="1" t="s">
        <v>3218</v>
      </c>
      <c r="B1610" s="1" t="s">
        <v>3219</v>
      </c>
    </row>
    <row r="1611" spans="1:2" ht="15.75">
      <c r="A1611" s="1" t="s">
        <v>3220</v>
      </c>
      <c r="B1611" s="1" t="s">
        <v>3221</v>
      </c>
    </row>
    <row r="1612" spans="1:2" ht="15.75">
      <c r="A1612" s="1" t="s">
        <v>3222</v>
      </c>
      <c r="B1612" s="1" t="s">
        <v>3223</v>
      </c>
    </row>
    <row r="1613" spans="1:2" ht="15.75">
      <c r="A1613" s="1" t="s">
        <v>3224</v>
      </c>
      <c r="B1613" s="1" t="s">
        <v>3225</v>
      </c>
    </row>
    <row r="1614" spans="1:2" ht="15.75">
      <c r="A1614" s="1" t="s">
        <v>3226</v>
      </c>
      <c r="B1614" s="1" t="s">
        <v>3227</v>
      </c>
    </row>
    <row r="1615" spans="1:2" ht="15.75">
      <c r="A1615" s="1" t="s">
        <v>3228</v>
      </c>
      <c r="B1615" s="1" t="s">
        <v>3229</v>
      </c>
    </row>
    <row r="1616" spans="1:2" ht="15.75">
      <c r="A1616" s="1" t="s">
        <v>3230</v>
      </c>
      <c r="B1616" s="1" t="s">
        <v>3231</v>
      </c>
    </row>
    <row r="1617" spans="1:2" ht="15.75">
      <c r="A1617" s="1" t="s">
        <v>3232</v>
      </c>
      <c r="B1617" s="1" t="s">
        <v>3233</v>
      </c>
    </row>
    <row r="1618" spans="1:2" ht="15.75">
      <c r="A1618" s="1" t="s">
        <v>3234</v>
      </c>
      <c r="B1618" s="1" t="s">
        <v>3235</v>
      </c>
    </row>
    <row r="1619" spans="1:2" ht="15.75">
      <c r="A1619" s="1" t="s">
        <v>3236</v>
      </c>
      <c r="B1619" s="1" t="s">
        <v>3237</v>
      </c>
    </row>
    <row r="1620" spans="1:2" ht="15.75">
      <c r="A1620" s="1" t="s">
        <v>3238</v>
      </c>
      <c r="B1620" s="1" t="s">
        <v>3239</v>
      </c>
    </row>
    <row r="1621" spans="1:2" ht="15.75">
      <c r="A1621" s="1" t="s">
        <v>3240</v>
      </c>
      <c r="B1621" s="1" t="s">
        <v>3241</v>
      </c>
    </row>
    <row r="1622" spans="1:2" ht="15.75">
      <c r="A1622" s="1" t="s">
        <v>3242</v>
      </c>
      <c r="B1622" s="1" t="s">
        <v>3243</v>
      </c>
    </row>
    <row r="1623" spans="1:2" ht="15.75">
      <c r="A1623" s="1" t="s">
        <v>3244</v>
      </c>
      <c r="B1623" s="1" t="s">
        <v>3245</v>
      </c>
    </row>
    <row r="1624" spans="1:2" ht="15.75">
      <c r="A1624" s="1" t="s">
        <v>3246</v>
      </c>
      <c r="B1624" s="1" t="s">
        <v>3247</v>
      </c>
    </row>
    <row r="1625" spans="1:2" ht="15.75">
      <c r="A1625" s="1" t="s">
        <v>3248</v>
      </c>
      <c r="B1625" s="1" t="s">
        <v>3249</v>
      </c>
    </row>
    <row r="1626" spans="1:2" ht="15.75">
      <c r="A1626" s="1" t="s">
        <v>3250</v>
      </c>
      <c r="B1626" s="1" t="s">
        <v>3251</v>
      </c>
    </row>
    <row r="1627" spans="1:2" ht="15.75">
      <c r="A1627" s="1" t="s">
        <v>3252</v>
      </c>
      <c r="B1627" s="1" t="s">
        <v>3253</v>
      </c>
    </row>
    <row r="1628" spans="1:2" ht="15.75">
      <c r="A1628" s="1" t="s">
        <v>3254</v>
      </c>
      <c r="B1628" s="1" t="s">
        <v>3255</v>
      </c>
    </row>
    <row r="1629" spans="1:2" ht="15.75">
      <c r="A1629" s="1" t="s">
        <v>3256</v>
      </c>
      <c r="B1629" s="1" t="s">
        <v>3257</v>
      </c>
    </row>
    <row r="1630" spans="1:2" ht="15.75">
      <c r="A1630" s="1" t="s">
        <v>3258</v>
      </c>
      <c r="B1630" s="1" t="s">
        <v>3259</v>
      </c>
    </row>
    <row r="1631" spans="1:2" ht="15.75">
      <c r="A1631" s="1" t="s">
        <v>3260</v>
      </c>
      <c r="B1631" s="1" t="s">
        <v>3261</v>
      </c>
    </row>
    <row r="1632" spans="1:2" ht="15.75">
      <c r="A1632" s="1" t="s">
        <v>3262</v>
      </c>
      <c r="B1632" s="1" t="s">
        <v>3263</v>
      </c>
    </row>
    <row r="1633" spans="1:2" ht="15.75">
      <c r="A1633" s="1" t="s">
        <v>3264</v>
      </c>
      <c r="B1633" s="1" t="s">
        <v>3265</v>
      </c>
    </row>
    <row r="1634" spans="1:2" ht="15.75">
      <c r="A1634" s="1" t="s">
        <v>3266</v>
      </c>
      <c r="B1634" s="1" t="s">
        <v>3267</v>
      </c>
    </row>
    <row r="1635" spans="1:2" ht="15.75">
      <c r="A1635" s="1" t="s">
        <v>3268</v>
      </c>
      <c r="B1635" s="1" t="s">
        <v>3269</v>
      </c>
    </row>
    <row r="1636" spans="1:2" ht="15.75">
      <c r="A1636" s="1" t="s">
        <v>3270</v>
      </c>
      <c r="B1636" s="1" t="s">
        <v>3271</v>
      </c>
    </row>
    <row r="1637" spans="1:2" ht="15.75">
      <c r="A1637" s="1" t="s">
        <v>3272</v>
      </c>
      <c r="B1637" s="1" t="s">
        <v>3273</v>
      </c>
    </row>
    <row r="1638" spans="1:2" ht="15.75">
      <c r="A1638" s="1" t="s">
        <v>3274</v>
      </c>
      <c r="B1638" s="1" t="s">
        <v>3275</v>
      </c>
    </row>
    <row r="1639" spans="1:2" ht="15.75">
      <c r="A1639" s="1" t="s">
        <v>3276</v>
      </c>
      <c r="B1639" s="1" t="s">
        <v>3277</v>
      </c>
    </row>
    <row r="1640" spans="1:2" ht="15.75">
      <c r="A1640" s="1" t="s">
        <v>3278</v>
      </c>
      <c r="B1640" s="1" t="s">
        <v>3279</v>
      </c>
    </row>
    <row r="1641" spans="1:2" ht="15.75">
      <c r="A1641" s="1" t="s">
        <v>3280</v>
      </c>
      <c r="B1641" s="1" t="s">
        <v>3281</v>
      </c>
    </row>
    <row r="1642" spans="1:2" ht="15.75">
      <c r="A1642" s="1" t="s">
        <v>3282</v>
      </c>
      <c r="B1642" s="1" t="s">
        <v>3283</v>
      </c>
    </row>
    <row r="1643" spans="1:2" ht="15.75">
      <c r="A1643" s="1" t="s">
        <v>3284</v>
      </c>
      <c r="B1643" s="1" t="s">
        <v>3285</v>
      </c>
    </row>
    <row r="1644" spans="1:2" ht="15.75">
      <c r="A1644" s="1" t="s">
        <v>3286</v>
      </c>
      <c r="B1644" s="1" t="s">
        <v>3287</v>
      </c>
    </row>
    <row r="1645" spans="1:2" ht="15.75">
      <c r="A1645" s="1" t="s">
        <v>3288</v>
      </c>
      <c r="B1645" s="1" t="s">
        <v>3289</v>
      </c>
    </row>
    <row r="1646" spans="1:2" ht="15.75">
      <c r="A1646" s="1" t="s">
        <v>3290</v>
      </c>
      <c r="B1646" s="1" t="s">
        <v>3291</v>
      </c>
    </row>
    <row r="1647" spans="1:2" ht="15.75">
      <c r="A1647" s="1" t="s">
        <v>3292</v>
      </c>
      <c r="B1647" s="1" t="s">
        <v>3293</v>
      </c>
    </row>
    <row r="1648" spans="1:2" ht="15.75">
      <c r="A1648" s="1" t="s">
        <v>3294</v>
      </c>
      <c r="B1648" s="1" t="s">
        <v>3295</v>
      </c>
    </row>
    <row r="1649" spans="1:2" ht="15.75">
      <c r="A1649" s="1" t="s">
        <v>3296</v>
      </c>
      <c r="B1649" s="1" t="s">
        <v>3297</v>
      </c>
    </row>
    <row r="1650" spans="1:2" ht="15.75">
      <c r="A1650" s="1" t="s">
        <v>3298</v>
      </c>
      <c r="B1650" s="1" t="s">
        <v>3299</v>
      </c>
    </row>
    <row r="1651" spans="1:2" ht="15.75">
      <c r="A1651" s="1" t="s">
        <v>3300</v>
      </c>
      <c r="B1651" s="1" t="s">
        <v>3301</v>
      </c>
    </row>
    <row r="1652" spans="1:2" ht="15.75">
      <c r="A1652" s="1" t="s">
        <v>3302</v>
      </c>
      <c r="B1652" s="1" t="s">
        <v>3303</v>
      </c>
    </row>
    <row r="1653" spans="1:2" ht="15.75">
      <c r="A1653" s="1" t="s">
        <v>3304</v>
      </c>
      <c r="B1653" s="1" t="s">
        <v>3305</v>
      </c>
    </row>
    <row r="1654" spans="1:2" ht="15.75">
      <c r="A1654" s="1" t="s">
        <v>3306</v>
      </c>
      <c r="B1654" s="1" t="s">
        <v>3307</v>
      </c>
    </row>
    <row r="1655" spans="1:2" ht="15.75">
      <c r="A1655" s="1" t="s">
        <v>3308</v>
      </c>
      <c r="B1655" s="1" t="s">
        <v>3309</v>
      </c>
    </row>
    <row r="1656" spans="1:2" ht="15.75">
      <c r="A1656" s="1" t="s">
        <v>3310</v>
      </c>
      <c r="B1656" s="1" t="s">
        <v>3311</v>
      </c>
    </row>
    <row r="1657" spans="1:2" ht="15.75">
      <c r="A1657" s="1" t="s">
        <v>3312</v>
      </c>
      <c r="B1657" s="1" t="s">
        <v>3313</v>
      </c>
    </row>
    <row r="1658" spans="1:2" ht="15.75">
      <c r="A1658" s="1" t="s">
        <v>3314</v>
      </c>
      <c r="B1658" s="1" t="s">
        <v>3315</v>
      </c>
    </row>
    <row r="1659" spans="1:2" ht="15.75">
      <c r="A1659" s="1" t="s">
        <v>3316</v>
      </c>
      <c r="B1659" s="1" t="s">
        <v>3317</v>
      </c>
    </row>
    <row r="1660" spans="1:2" ht="15.75">
      <c r="A1660" s="1" t="s">
        <v>3318</v>
      </c>
      <c r="B1660" s="1" t="s">
        <v>3319</v>
      </c>
    </row>
    <row r="1661" spans="1:2" ht="15.75">
      <c r="A1661" s="1" t="s">
        <v>3320</v>
      </c>
      <c r="B1661" s="1" t="s">
        <v>3321</v>
      </c>
    </row>
    <row r="1662" spans="1:2" ht="15.75">
      <c r="A1662" s="1" t="s">
        <v>3322</v>
      </c>
      <c r="B1662" s="1" t="s">
        <v>3323</v>
      </c>
    </row>
    <row r="1663" spans="1:2" ht="15.75">
      <c r="A1663" s="1" t="s">
        <v>3324</v>
      </c>
      <c r="B1663" s="1" t="s">
        <v>3325</v>
      </c>
    </row>
    <row r="1664" spans="1:2" ht="15.75">
      <c r="A1664" s="1" t="s">
        <v>3326</v>
      </c>
      <c r="B1664" s="1" t="s">
        <v>3327</v>
      </c>
    </row>
    <row r="1665" spans="1:2" ht="15.75">
      <c r="A1665" s="1" t="s">
        <v>3328</v>
      </c>
      <c r="B1665" s="1" t="s">
        <v>3329</v>
      </c>
    </row>
    <row r="1666" spans="1:2" ht="15.75">
      <c r="A1666" s="1" t="s">
        <v>3330</v>
      </c>
      <c r="B1666" s="1" t="s">
        <v>3331</v>
      </c>
    </row>
    <row r="1667" spans="1:2" ht="15.75">
      <c r="A1667" s="1" t="s">
        <v>3332</v>
      </c>
      <c r="B1667" s="1" t="s">
        <v>3333</v>
      </c>
    </row>
    <row r="1668" spans="1:2" ht="15.75">
      <c r="A1668" s="1" t="s">
        <v>3334</v>
      </c>
      <c r="B1668" s="1" t="s">
        <v>3335</v>
      </c>
    </row>
    <row r="1669" spans="1:2" ht="15.75">
      <c r="A1669" s="1" t="s">
        <v>3336</v>
      </c>
      <c r="B1669" s="1" t="s">
        <v>3337</v>
      </c>
    </row>
    <row r="1670" spans="1:2" ht="15.75">
      <c r="A1670" s="1" t="s">
        <v>3338</v>
      </c>
      <c r="B1670" s="1" t="s">
        <v>3339</v>
      </c>
    </row>
    <row r="1671" spans="1:2" ht="15.75">
      <c r="A1671" s="1" t="s">
        <v>3340</v>
      </c>
      <c r="B1671" s="1" t="s">
        <v>3341</v>
      </c>
    </row>
    <row r="1672" spans="1:2" ht="15.75">
      <c r="A1672" s="1" t="s">
        <v>3342</v>
      </c>
      <c r="B1672" s="1" t="s">
        <v>3343</v>
      </c>
    </row>
    <row r="1673" spans="1:2" ht="15.75">
      <c r="A1673" s="1" t="s">
        <v>3344</v>
      </c>
      <c r="B1673" s="1" t="s">
        <v>3345</v>
      </c>
    </row>
    <row r="1674" spans="1:2" ht="15.75">
      <c r="A1674" s="1" t="s">
        <v>3346</v>
      </c>
      <c r="B1674" s="1" t="s">
        <v>3347</v>
      </c>
    </row>
    <row r="1675" spans="1:2" ht="15.75">
      <c r="A1675" s="1" t="s">
        <v>3348</v>
      </c>
      <c r="B1675" s="1" t="s">
        <v>3349</v>
      </c>
    </row>
    <row r="1676" spans="1:2" ht="15.75">
      <c r="A1676" s="1" t="s">
        <v>3350</v>
      </c>
      <c r="B1676" s="1" t="s">
        <v>3351</v>
      </c>
    </row>
    <row r="1677" spans="1:2" ht="15.75">
      <c r="A1677" s="1" t="s">
        <v>3352</v>
      </c>
      <c r="B1677" s="1" t="s">
        <v>3353</v>
      </c>
    </row>
    <row r="1678" spans="1:2" ht="15.75">
      <c r="A1678" s="1" t="s">
        <v>3354</v>
      </c>
      <c r="B1678" s="1" t="s">
        <v>3355</v>
      </c>
    </row>
    <row r="1679" spans="1:2" ht="15.75">
      <c r="A1679" s="1" t="s">
        <v>3356</v>
      </c>
      <c r="B1679" s="1" t="s">
        <v>3357</v>
      </c>
    </row>
    <row r="1680" spans="1:2" ht="15.75">
      <c r="A1680" s="1" t="s">
        <v>3358</v>
      </c>
      <c r="B1680" s="1" t="s">
        <v>3359</v>
      </c>
    </row>
    <row r="1681" spans="1:2" ht="15.75">
      <c r="A1681" s="1" t="s">
        <v>3360</v>
      </c>
      <c r="B1681" s="1" t="s">
        <v>3361</v>
      </c>
    </row>
    <row r="1682" spans="1:2" ht="15.75">
      <c r="A1682" s="1" t="s">
        <v>3362</v>
      </c>
      <c r="B1682" s="1" t="s">
        <v>3363</v>
      </c>
    </row>
    <row r="1683" spans="1:2" ht="15.75">
      <c r="A1683" s="1" t="s">
        <v>3364</v>
      </c>
      <c r="B1683" s="1" t="s">
        <v>3365</v>
      </c>
    </row>
    <row r="1684" spans="1:2" ht="15.75">
      <c r="A1684" s="1" t="s">
        <v>3366</v>
      </c>
      <c r="B1684" s="1" t="s">
        <v>3367</v>
      </c>
    </row>
    <row r="1685" spans="1:2" ht="15.75">
      <c r="A1685" s="1" t="s">
        <v>3368</v>
      </c>
      <c r="B1685" s="1" t="s">
        <v>3369</v>
      </c>
    </row>
    <row r="1686" spans="1:2" ht="15.75">
      <c r="A1686" s="1" t="s">
        <v>3370</v>
      </c>
      <c r="B1686" s="1" t="s">
        <v>3371</v>
      </c>
    </row>
    <row r="1687" spans="1:2" ht="15.75">
      <c r="A1687" s="1" t="s">
        <v>3372</v>
      </c>
      <c r="B1687" s="1" t="s">
        <v>3373</v>
      </c>
    </row>
    <row r="1688" spans="1:2" ht="15.75">
      <c r="A1688" s="1" t="s">
        <v>3374</v>
      </c>
      <c r="B1688" s="1" t="s">
        <v>3375</v>
      </c>
    </row>
    <row r="1689" spans="1:2" ht="15.75">
      <c r="A1689" s="1" t="s">
        <v>3376</v>
      </c>
      <c r="B1689" s="1" t="s">
        <v>3377</v>
      </c>
    </row>
    <row r="1690" spans="1:2" ht="15.75">
      <c r="A1690" s="1" t="s">
        <v>3378</v>
      </c>
      <c r="B1690" s="1" t="s">
        <v>3379</v>
      </c>
    </row>
    <row r="1691" spans="1:2" ht="15.75">
      <c r="A1691" s="1" t="s">
        <v>3380</v>
      </c>
      <c r="B1691" s="1" t="s">
        <v>3381</v>
      </c>
    </row>
    <row r="1692" spans="1:2" ht="15.75">
      <c r="A1692" s="1" t="s">
        <v>3382</v>
      </c>
      <c r="B1692" s="1" t="s">
        <v>3383</v>
      </c>
    </row>
    <row r="1693" spans="1:2" ht="15.75">
      <c r="A1693" s="1" t="s">
        <v>3384</v>
      </c>
      <c r="B1693" s="1" t="s">
        <v>3385</v>
      </c>
    </row>
    <row r="1694" spans="1:2" ht="15.75">
      <c r="A1694" s="1" t="s">
        <v>3386</v>
      </c>
      <c r="B1694" s="1" t="s">
        <v>3387</v>
      </c>
    </row>
    <row r="1695" spans="1:2" ht="15.75">
      <c r="A1695" s="1" t="s">
        <v>3388</v>
      </c>
      <c r="B1695" s="1" t="s">
        <v>3389</v>
      </c>
    </row>
    <row r="1696" spans="1:2" ht="15.75">
      <c r="A1696" s="1" t="s">
        <v>3390</v>
      </c>
      <c r="B1696" s="1" t="s">
        <v>3391</v>
      </c>
    </row>
    <row r="1697" spans="1:2" ht="15.75">
      <c r="A1697" s="1" t="s">
        <v>3392</v>
      </c>
      <c r="B1697" s="1" t="s">
        <v>3393</v>
      </c>
    </row>
    <row r="1698" spans="1:2" ht="15.75">
      <c r="A1698" s="1" t="s">
        <v>3394</v>
      </c>
      <c r="B1698" s="1" t="s">
        <v>3395</v>
      </c>
    </row>
    <row r="1699" spans="1:2" ht="15.75">
      <c r="A1699" s="1" t="s">
        <v>3396</v>
      </c>
      <c r="B1699" s="1" t="s">
        <v>3397</v>
      </c>
    </row>
    <row r="1700" spans="1:2" ht="15.75">
      <c r="A1700" s="1" t="s">
        <v>3398</v>
      </c>
      <c r="B1700" s="1" t="s">
        <v>3399</v>
      </c>
    </row>
    <row r="1701" spans="1:2" ht="15.75">
      <c r="A1701" s="1" t="s">
        <v>3400</v>
      </c>
      <c r="B1701" s="1" t="s">
        <v>3401</v>
      </c>
    </row>
    <row r="1702" spans="1:2" ht="15.75">
      <c r="A1702" s="1" t="s">
        <v>3402</v>
      </c>
      <c r="B1702" s="1" t="s">
        <v>3403</v>
      </c>
    </row>
    <row r="1703" spans="1:2" ht="15.75">
      <c r="A1703" s="1" t="s">
        <v>3404</v>
      </c>
      <c r="B1703" s="1" t="s">
        <v>3405</v>
      </c>
    </row>
    <row r="1704" spans="1:2" ht="15.75">
      <c r="A1704" s="1" t="s">
        <v>3406</v>
      </c>
      <c r="B1704" s="1" t="s">
        <v>3407</v>
      </c>
    </row>
    <row r="1705" spans="1:2" ht="15.75">
      <c r="A1705" s="1" t="s">
        <v>3408</v>
      </c>
      <c r="B1705" s="1" t="s">
        <v>3409</v>
      </c>
    </row>
    <row r="1706" spans="1:2" ht="15.75">
      <c r="A1706" s="1" t="s">
        <v>3410</v>
      </c>
      <c r="B1706" s="1" t="s">
        <v>3411</v>
      </c>
    </row>
    <row r="1707" spans="1:2" ht="15.75">
      <c r="A1707" s="1" t="s">
        <v>3412</v>
      </c>
      <c r="B1707" s="1" t="s">
        <v>3413</v>
      </c>
    </row>
    <row r="1708" spans="1:2" ht="15.75">
      <c r="A1708" s="1" t="s">
        <v>3414</v>
      </c>
      <c r="B1708" s="1" t="s">
        <v>3415</v>
      </c>
    </row>
    <row r="1709" spans="1:2" ht="15.75">
      <c r="A1709" s="1" t="s">
        <v>3416</v>
      </c>
      <c r="B1709" s="1" t="s">
        <v>3417</v>
      </c>
    </row>
    <row r="1710" spans="1:2" ht="15.75">
      <c r="A1710" s="1" t="s">
        <v>3418</v>
      </c>
      <c r="B1710" s="1" t="s">
        <v>3419</v>
      </c>
    </row>
    <row r="1711" spans="1:2" ht="15.75">
      <c r="A1711" s="1" t="s">
        <v>3420</v>
      </c>
      <c r="B1711" s="1" t="s">
        <v>3421</v>
      </c>
    </row>
    <row r="1712" spans="1:2" ht="15.75">
      <c r="A1712" s="1" t="s">
        <v>3422</v>
      </c>
      <c r="B1712" s="1" t="s">
        <v>3423</v>
      </c>
    </row>
    <row r="1713" spans="1:2" ht="15.75">
      <c r="A1713" s="1" t="s">
        <v>3424</v>
      </c>
      <c r="B1713" s="1" t="s">
        <v>3425</v>
      </c>
    </row>
    <row r="1714" spans="1:2" ht="15.75">
      <c r="A1714" s="1" t="s">
        <v>3426</v>
      </c>
      <c r="B1714" s="1" t="s">
        <v>3427</v>
      </c>
    </row>
    <row r="1715" spans="1:2" ht="15.75">
      <c r="A1715" s="1" t="s">
        <v>3428</v>
      </c>
      <c r="B1715" s="1" t="s">
        <v>3429</v>
      </c>
    </row>
    <row r="1716" spans="1:2" ht="15.75">
      <c r="A1716" s="1" t="s">
        <v>3430</v>
      </c>
      <c r="B1716" s="1" t="s">
        <v>3431</v>
      </c>
    </row>
    <row r="1717" spans="1:2" ht="15.75">
      <c r="A1717" s="1" t="s">
        <v>3432</v>
      </c>
      <c r="B1717" s="1" t="s">
        <v>3433</v>
      </c>
    </row>
    <row r="1718" spans="1:2" ht="15.75">
      <c r="A1718" s="1" t="s">
        <v>3434</v>
      </c>
      <c r="B1718" s="1" t="s">
        <v>3435</v>
      </c>
    </row>
    <row r="1719" spans="1:2" ht="15.75">
      <c r="A1719" s="1" t="s">
        <v>3436</v>
      </c>
      <c r="B1719" s="1" t="s">
        <v>3437</v>
      </c>
    </row>
    <row r="1720" spans="1:2" ht="15.75">
      <c r="A1720" s="1" t="s">
        <v>3438</v>
      </c>
      <c r="B1720" s="1" t="s">
        <v>3439</v>
      </c>
    </row>
    <row r="1721" spans="1:2" ht="15.75">
      <c r="A1721" s="1" t="s">
        <v>3440</v>
      </c>
      <c r="B1721" s="1" t="s">
        <v>3441</v>
      </c>
    </row>
    <row r="1722" spans="1:2" ht="15.75">
      <c r="A1722" s="1" t="s">
        <v>3442</v>
      </c>
      <c r="B1722" s="1" t="s">
        <v>3443</v>
      </c>
    </row>
    <row r="1723" spans="1:2" ht="15.75">
      <c r="A1723" s="1" t="s">
        <v>3444</v>
      </c>
      <c r="B1723" s="1" t="s">
        <v>3445</v>
      </c>
    </row>
    <row r="1724" spans="1:2" ht="15.75">
      <c r="A1724" s="1" t="s">
        <v>3446</v>
      </c>
      <c r="B1724" s="1" t="s">
        <v>3447</v>
      </c>
    </row>
    <row r="1725" spans="1:2" ht="15.75">
      <c r="A1725" s="1" t="s">
        <v>3448</v>
      </c>
      <c r="B1725" s="1" t="s">
        <v>3449</v>
      </c>
    </row>
    <row r="1726" spans="1:2" ht="15.75">
      <c r="A1726" s="1" t="s">
        <v>3450</v>
      </c>
      <c r="B1726" s="1" t="s">
        <v>3451</v>
      </c>
    </row>
    <row r="1727" spans="1:2" ht="15.75">
      <c r="A1727" s="1" t="s">
        <v>3452</v>
      </c>
      <c r="B1727" s="1" t="s">
        <v>3453</v>
      </c>
    </row>
    <row r="1728" spans="1:2" ht="15.75">
      <c r="A1728" s="1" t="s">
        <v>3454</v>
      </c>
      <c r="B1728" s="1" t="s">
        <v>3455</v>
      </c>
    </row>
    <row r="1729" spans="1:2" ht="15.75">
      <c r="A1729" s="1" t="s">
        <v>3456</v>
      </c>
      <c r="B1729" s="1" t="s">
        <v>3457</v>
      </c>
    </row>
    <row r="1730" spans="1:2" ht="15.75">
      <c r="A1730" s="1" t="s">
        <v>3458</v>
      </c>
      <c r="B1730" s="1" t="s">
        <v>3459</v>
      </c>
    </row>
    <row r="1731" spans="1:2" ht="15.75">
      <c r="A1731" s="1" t="s">
        <v>3460</v>
      </c>
      <c r="B1731" s="1" t="s">
        <v>3461</v>
      </c>
    </row>
    <row r="1732" spans="1:2" ht="15.75">
      <c r="A1732" s="1" t="s">
        <v>3462</v>
      </c>
      <c r="B1732" s="1" t="s">
        <v>3463</v>
      </c>
    </row>
    <row r="1733" spans="1:2" ht="15.75">
      <c r="A1733" s="1" t="s">
        <v>3464</v>
      </c>
      <c r="B1733" s="1" t="s">
        <v>3465</v>
      </c>
    </row>
    <row r="1734" spans="1:2" ht="15.75">
      <c r="A1734" s="1" t="s">
        <v>3466</v>
      </c>
      <c r="B1734" s="1" t="s">
        <v>3467</v>
      </c>
    </row>
    <row r="1735" spans="1:2" ht="15.75">
      <c r="A1735" s="1" t="s">
        <v>3468</v>
      </c>
      <c r="B1735" s="1" t="s">
        <v>3469</v>
      </c>
    </row>
    <row r="1736" spans="1:2" ht="15.75">
      <c r="A1736" s="1" t="s">
        <v>3470</v>
      </c>
      <c r="B1736" s="1" t="s">
        <v>3471</v>
      </c>
    </row>
    <row r="1737" spans="1:2" ht="15.75">
      <c r="A1737" s="1" t="s">
        <v>3472</v>
      </c>
      <c r="B1737" s="1" t="s">
        <v>3473</v>
      </c>
    </row>
    <row r="1738" spans="1:2" ht="15.75">
      <c r="A1738" s="1" t="s">
        <v>3474</v>
      </c>
      <c r="B1738" s="1" t="s">
        <v>3475</v>
      </c>
    </row>
    <row r="1739" spans="1:2" ht="15.75">
      <c r="A1739" s="1" t="s">
        <v>3476</v>
      </c>
      <c r="B1739" s="1" t="s">
        <v>3477</v>
      </c>
    </row>
    <row r="1740" spans="1:2" ht="15.75">
      <c r="A1740" s="1" t="s">
        <v>3478</v>
      </c>
      <c r="B1740" s="1" t="s">
        <v>3479</v>
      </c>
    </row>
    <row r="1741" spans="1:2" ht="15.75">
      <c r="A1741" s="1" t="s">
        <v>3480</v>
      </c>
      <c r="B1741" s="1" t="s">
        <v>3481</v>
      </c>
    </row>
    <row r="1742" spans="1:2" ht="15.75">
      <c r="A1742" s="1" t="s">
        <v>3482</v>
      </c>
      <c r="B1742" s="1" t="s">
        <v>3483</v>
      </c>
    </row>
    <row r="1743" spans="1:2" ht="15.75">
      <c r="A1743" s="1" t="s">
        <v>3484</v>
      </c>
      <c r="B1743" s="1" t="s">
        <v>3485</v>
      </c>
    </row>
    <row r="1744" spans="1:2" ht="15.75">
      <c r="A1744" s="1" t="s">
        <v>3486</v>
      </c>
      <c r="B1744" s="1" t="s">
        <v>3487</v>
      </c>
    </row>
    <row r="1745" spans="1:2" ht="15.75">
      <c r="A1745" s="1" t="s">
        <v>3488</v>
      </c>
      <c r="B1745" s="1" t="s">
        <v>3489</v>
      </c>
    </row>
    <row r="1746" spans="1:2" ht="15.75">
      <c r="A1746" s="1" t="s">
        <v>3490</v>
      </c>
      <c r="B1746" s="1" t="s">
        <v>3491</v>
      </c>
    </row>
    <row r="1747" spans="1:2" ht="15.75">
      <c r="A1747" s="1" t="s">
        <v>3492</v>
      </c>
      <c r="B1747" s="1" t="s">
        <v>3493</v>
      </c>
    </row>
    <row r="1748" spans="1:2" ht="15.75">
      <c r="A1748" s="1" t="s">
        <v>3494</v>
      </c>
      <c r="B1748" s="1" t="s">
        <v>3495</v>
      </c>
    </row>
    <row r="1749" spans="1:2" ht="15.75">
      <c r="A1749" s="1" t="s">
        <v>3496</v>
      </c>
      <c r="B1749" s="1" t="s">
        <v>3497</v>
      </c>
    </row>
    <row r="1750" spans="1:2" ht="15.75">
      <c r="A1750" s="1" t="s">
        <v>3498</v>
      </c>
      <c r="B1750" s="1" t="s">
        <v>3499</v>
      </c>
    </row>
    <row r="1751" spans="1:2" ht="15.75">
      <c r="A1751" s="1" t="s">
        <v>3500</v>
      </c>
      <c r="B1751" s="1" t="s">
        <v>3501</v>
      </c>
    </row>
    <row r="1752" spans="1:2" ht="15.75">
      <c r="A1752" s="1" t="s">
        <v>3502</v>
      </c>
      <c r="B1752" s="1" t="s">
        <v>3503</v>
      </c>
    </row>
    <row r="1753" spans="1:2" ht="15.75">
      <c r="A1753" s="1" t="s">
        <v>3504</v>
      </c>
      <c r="B1753" s="1" t="s">
        <v>3505</v>
      </c>
    </row>
    <row r="1754" spans="1:2" ht="15.75">
      <c r="A1754" s="1" t="s">
        <v>3506</v>
      </c>
      <c r="B1754" s="1" t="s">
        <v>3507</v>
      </c>
    </row>
    <row r="1755" spans="1:2" ht="15.75">
      <c r="A1755" s="1" t="s">
        <v>3508</v>
      </c>
      <c r="B1755" s="1" t="s">
        <v>3509</v>
      </c>
    </row>
    <row r="1756" spans="1:2" ht="15.75">
      <c r="A1756" s="1" t="s">
        <v>3510</v>
      </c>
      <c r="B1756" s="1" t="s">
        <v>3511</v>
      </c>
    </row>
    <row r="1757" spans="1:2" ht="15.75">
      <c r="A1757" s="1" t="s">
        <v>3512</v>
      </c>
      <c r="B1757" s="1" t="s">
        <v>3513</v>
      </c>
    </row>
    <row r="1758" spans="1:2" ht="15.75">
      <c r="A1758" s="1" t="s">
        <v>3514</v>
      </c>
      <c r="B1758" s="1" t="s">
        <v>3515</v>
      </c>
    </row>
    <row r="1759" spans="1:2" ht="15.75">
      <c r="A1759" s="1" t="s">
        <v>3516</v>
      </c>
      <c r="B1759" s="1" t="s">
        <v>3517</v>
      </c>
    </row>
    <row r="1760" spans="1:2" ht="15.75">
      <c r="A1760" s="1" t="s">
        <v>3518</v>
      </c>
      <c r="B1760" s="1" t="s">
        <v>3519</v>
      </c>
    </row>
    <row r="1761" spans="1:2" ht="15.75">
      <c r="A1761" s="1" t="s">
        <v>3520</v>
      </c>
      <c r="B1761" s="1" t="s">
        <v>3521</v>
      </c>
    </row>
    <row r="1762" spans="1:2" ht="15.75">
      <c r="A1762" s="1" t="s">
        <v>3522</v>
      </c>
      <c r="B1762" s="1" t="s">
        <v>3523</v>
      </c>
    </row>
    <row r="1763" spans="1:2" ht="15.75">
      <c r="A1763" s="1" t="s">
        <v>3524</v>
      </c>
      <c r="B1763" s="1" t="s">
        <v>3525</v>
      </c>
    </row>
    <row r="1764" spans="1:2" ht="15.75">
      <c r="A1764" s="1" t="s">
        <v>3526</v>
      </c>
      <c r="B1764" s="1" t="s">
        <v>3527</v>
      </c>
    </row>
    <row r="1765" spans="1:2" ht="15.75">
      <c r="A1765" s="1" t="s">
        <v>3528</v>
      </c>
      <c r="B1765" s="1" t="s">
        <v>3529</v>
      </c>
    </row>
    <row r="1766" spans="1:2" ht="15.75">
      <c r="A1766" s="1" t="s">
        <v>3530</v>
      </c>
      <c r="B1766" s="1" t="s">
        <v>3531</v>
      </c>
    </row>
    <row r="1767" spans="1:2" ht="15.75">
      <c r="A1767" s="1" t="s">
        <v>3532</v>
      </c>
      <c r="B1767" s="1" t="s">
        <v>3533</v>
      </c>
    </row>
    <row r="1768" spans="1:2" ht="15.75">
      <c r="A1768" s="1" t="s">
        <v>3534</v>
      </c>
      <c r="B1768" s="1" t="s">
        <v>3535</v>
      </c>
    </row>
    <row r="1769" spans="1:2" ht="15.75">
      <c r="A1769" s="1" t="s">
        <v>3536</v>
      </c>
      <c r="B1769" s="1" t="s">
        <v>3537</v>
      </c>
    </row>
    <row r="1770" spans="1:2" ht="15.75">
      <c r="A1770" s="1" t="s">
        <v>3538</v>
      </c>
      <c r="B1770" s="1" t="s">
        <v>3539</v>
      </c>
    </row>
    <row r="1771" spans="1:2" ht="15.75">
      <c r="A1771" s="1" t="s">
        <v>3540</v>
      </c>
      <c r="B1771" s="1" t="s">
        <v>3541</v>
      </c>
    </row>
    <row r="1772" spans="1:2" ht="15.75">
      <c r="A1772" s="1" t="s">
        <v>3542</v>
      </c>
      <c r="B1772" s="1" t="s">
        <v>3543</v>
      </c>
    </row>
    <row r="1773" spans="1:2" ht="15.75">
      <c r="A1773" s="1" t="s">
        <v>3544</v>
      </c>
      <c r="B1773" s="1" t="s">
        <v>3545</v>
      </c>
    </row>
    <row r="1774" spans="1:2" ht="15.75">
      <c r="A1774" s="1" t="s">
        <v>3546</v>
      </c>
      <c r="B1774" s="1" t="s">
        <v>3547</v>
      </c>
    </row>
    <row r="1775" spans="1:2" ht="15.75">
      <c r="A1775" s="1" t="s">
        <v>3548</v>
      </c>
      <c r="B1775" s="1" t="s">
        <v>3549</v>
      </c>
    </row>
    <row r="1776" spans="1:2" ht="15.75">
      <c r="A1776" s="1" t="s">
        <v>3550</v>
      </c>
      <c r="B1776" s="1" t="s">
        <v>3551</v>
      </c>
    </row>
    <row r="1777" spans="1:2" ht="15.75">
      <c r="A1777" s="1" t="s">
        <v>3552</v>
      </c>
      <c r="B1777" s="1" t="s">
        <v>3553</v>
      </c>
    </row>
    <row r="1778" spans="1:2" ht="15.75">
      <c r="A1778" s="1" t="s">
        <v>3554</v>
      </c>
      <c r="B1778" s="1" t="s">
        <v>3555</v>
      </c>
    </row>
    <row r="1779" spans="1:2" ht="15.75">
      <c r="A1779" s="1" t="s">
        <v>3556</v>
      </c>
      <c r="B1779" s="1" t="s">
        <v>3557</v>
      </c>
    </row>
    <row r="1780" spans="1:2" ht="15.75">
      <c r="A1780" s="1" t="s">
        <v>3558</v>
      </c>
      <c r="B1780" s="1" t="s">
        <v>3559</v>
      </c>
    </row>
    <row r="1781" spans="1:2" ht="15.75">
      <c r="A1781" s="1" t="s">
        <v>3560</v>
      </c>
      <c r="B1781" s="1" t="s">
        <v>3561</v>
      </c>
    </row>
    <row r="1782" spans="1:2" ht="15.75">
      <c r="A1782" s="1" t="s">
        <v>3562</v>
      </c>
      <c r="B1782" s="1" t="s">
        <v>3563</v>
      </c>
    </row>
    <row r="1783" spans="1:2" ht="15.75">
      <c r="A1783" s="1" t="s">
        <v>3564</v>
      </c>
      <c r="B1783" s="1" t="s">
        <v>3565</v>
      </c>
    </row>
    <row r="1784" spans="1:2" ht="15.75">
      <c r="A1784" s="1" t="s">
        <v>3566</v>
      </c>
      <c r="B1784" s="1" t="s">
        <v>3567</v>
      </c>
    </row>
    <row r="1785" spans="1:2" ht="15.75">
      <c r="A1785" s="1" t="s">
        <v>3568</v>
      </c>
      <c r="B1785" s="1" t="s">
        <v>3569</v>
      </c>
    </row>
    <row r="1786" spans="1:2" ht="15.75">
      <c r="A1786" s="1" t="s">
        <v>3570</v>
      </c>
      <c r="B1786" s="1" t="s">
        <v>3571</v>
      </c>
    </row>
    <row r="1787" spans="1:2" ht="15.75">
      <c r="A1787" s="1" t="s">
        <v>3572</v>
      </c>
      <c r="B1787" s="1" t="s">
        <v>3573</v>
      </c>
    </row>
    <row r="1788" spans="1:2" ht="15.75">
      <c r="A1788" s="1" t="s">
        <v>3574</v>
      </c>
      <c r="B1788" s="1" t="s">
        <v>3575</v>
      </c>
    </row>
    <row r="1789" spans="1:2" ht="15.75">
      <c r="A1789" s="1" t="s">
        <v>3576</v>
      </c>
      <c r="B1789" s="1" t="s">
        <v>3577</v>
      </c>
    </row>
    <row r="1790" spans="1:2" ht="15.75">
      <c r="A1790" s="1" t="s">
        <v>3578</v>
      </c>
      <c r="B1790" s="1" t="s">
        <v>3579</v>
      </c>
    </row>
    <row r="1791" spans="1:2" ht="15.75">
      <c r="A1791" s="1" t="s">
        <v>3580</v>
      </c>
      <c r="B1791" s="1" t="s">
        <v>3581</v>
      </c>
    </row>
    <row r="1792" spans="1:2" ht="15.75">
      <c r="A1792" s="1" t="s">
        <v>3582</v>
      </c>
      <c r="B1792" s="1" t="s">
        <v>3583</v>
      </c>
    </row>
    <row r="1793" spans="1:2" ht="15.75">
      <c r="A1793" s="1" t="s">
        <v>3584</v>
      </c>
      <c r="B1793" s="1" t="s">
        <v>3585</v>
      </c>
    </row>
    <row r="1794" spans="1:2" ht="15.75">
      <c r="A1794" s="1" t="s">
        <v>3586</v>
      </c>
      <c r="B1794" s="1" t="s">
        <v>3587</v>
      </c>
    </row>
    <row r="1795" spans="1:2" ht="15.75">
      <c r="A1795" s="1" t="s">
        <v>3588</v>
      </c>
      <c r="B1795" s="1" t="s">
        <v>3589</v>
      </c>
    </row>
    <row r="1796" spans="1:2" ht="15.75">
      <c r="A1796" s="1" t="s">
        <v>3590</v>
      </c>
      <c r="B1796" s="1" t="s">
        <v>3591</v>
      </c>
    </row>
    <row r="1797" spans="1:2" ht="15.75">
      <c r="A1797" s="1" t="s">
        <v>3592</v>
      </c>
      <c r="B1797" s="1" t="s">
        <v>3593</v>
      </c>
    </row>
    <row r="1798" spans="1:2" ht="15.75">
      <c r="A1798" s="1" t="s">
        <v>3594</v>
      </c>
      <c r="B1798" s="1" t="s">
        <v>3595</v>
      </c>
    </row>
    <row r="1799" spans="1:2" ht="15.75">
      <c r="A1799" s="1" t="s">
        <v>3596</v>
      </c>
      <c r="B1799" s="1" t="s">
        <v>3597</v>
      </c>
    </row>
    <row r="1800" spans="1:2" ht="15.75">
      <c r="A1800" s="1" t="s">
        <v>3598</v>
      </c>
      <c r="B1800" s="1" t="s">
        <v>3599</v>
      </c>
    </row>
    <row r="1801" spans="1:2" ht="15.75">
      <c r="A1801" s="1" t="s">
        <v>3600</v>
      </c>
      <c r="B1801" s="1" t="s">
        <v>3601</v>
      </c>
    </row>
    <row r="1802" spans="1:2" ht="15.75">
      <c r="A1802" s="1" t="s">
        <v>3602</v>
      </c>
      <c r="B1802" s="1" t="s">
        <v>3603</v>
      </c>
    </row>
    <row r="1803" spans="1:2" ht="15.75">
      <c r="A1803" s="1" t="s">
        <v>3604</v>
      </c>
      <c r="B1803" s="1" t="s">
        <v>3605</v>
      </c>
    </row>
    <row r="1804" spans="1:2" ht="15.75">
      <c r="A1804" s="1" t="s">
        <v>3606</v>
      </c>
      <c r="B1804" s="1" t="s">
        <v>3607</v>
      </c>
    </row>
    <row r="1805" spans="1:2" ht="15.75">
      <c r="A1805" s="1" t="s">
        <v>3608</v>
      </c>
      <c r="B1805" s="1" t="s">
        <v>3609</v>
      </c>
    </row>
    <row r="1806" spans="1:2" ht="15.75">
      <c r="A1806" s="1" t="s">
        <v>3610</v>
      </c>
      <c r="B1806" s="1" t="s">
        <v>3611</v>
      </c>
    </row>
    <row r="1807" spans="1:2" ht="15.75">
      <c r="A1807" s="1" t="s">
        <v>3612</v>
      </c>
      <c r="B1807" s="1" t="s">
        <v>3613</v>
      </c>
    </row>
    <row r="1808" spans="1:2" ht="15.75">
      <c r="A1808" s="1" t="s">
        <v>3614</v>
      </c>
      <c r="B1808" s="1" t="s">
        <v>3615</v>
      </c>
    </row>
    <row r="1809" spans="1:2" ht="15.75">
      <c r="A1809" s="1" t="s">
        <v>3616</v>
      </c>
      <c r="B1809" s="1" t="s">
        <v>3617</v>
      </c>
    </row>
    <row r="1810" spans="1:2" ht="15.75">
      <c r="A1810" s="1" t="s">
        <v>3618</v>
      </c>
      <c r="B1810" s="1" t="s">
        <v>3619</v>
      </c>
    </row>
    <row r="1811" spans="1:2" ht="15.75">
      <c r="A1811" s="1" t="s">
        <v>3620</v>
      </c>
      <c r="B1811" s="1" t="s">
        <v>3621</v>
      </c>
    </row>
    <row r="1812" spans="1:2" ht="15.75">
      <c r="A1812" s="1" t="s">
        <v>3622</v>
      </c>
      <c r="B1812" s="1" t="s">
        <v>3623</v>
      </c>
    </row>
    <row r="1813" spans="1:2" ht="15.75">
      <c r="A1813" s="1" t="s">
        <v>3624</v>
      </c>
      <c r="B1813" s="1" t="s">
        <v>3625</v>
      </c>
    </row>
    <row r="1814" spans="1:2" ht="15.75">
      <c r="A1814" s="1" t="s">
        <v>3626</v>
      </c>
      <c r="B1814" s="1" t="s">
        <v>3627</v>
      </c>
    </row>
    <row r="1815" spans="1:2" ht="15.75">
      <c r="A1815" s="1" t="s">
        <v>3628</v>
      </c>
      <c r="B1815" s="1" t="s">
        <v>3629</v>
      </c>
    </row>
    <row r="1816" spans="1:2" ht="15.75">
      <c r="A1816" s="1" t="s">
        <v>3630</v>
      </c>
      <c r="B1816" s="1" t="s">
        <v>3631</v>
      </c>
    </row>
    <row r="1817" spans="1:2" ht="15.75">
      <c r="A1817" s="1" t="s">
        <v>3632</v>
      </c>
      <c r="B1817" s="1" t="s">
        <v>3633</v>
      </c>
    </row>
    <row r="1818" spans="1:2" ht="15.75">
      <c r="A1818" s="1" t="s">
        <v>3634</v>
      </c>
      <c r="B1818" s="1" t="s">
        <v>3635</v>
      </c>
    </row>
    <row r="1819" spans="1:2" ht="15.75">
      <c r="A1819" s="1" t="s">
        <v>3636</v>
      </c>
      <c r="B1819" s="1" t="s">
        <v>3637</v>
      </c>
    </row>
    <row r="1820" spans="1:2" ht="15.75">
      <c r="A1820" s="1" t="s">
        <v>3638</v>
      </c>
      <c r="B1820" s="1" t="s">
        <v>3639</v>
      </c>
    </row>
    <row r="1821" spans="1:2" ht="15.75">
      <c r="A1821" s="1" t="s">
        <v>3640</v>
      </c>
      <c r="B1821" s="1" t="s">
        <v>3641</v>
      </c>
    </row>
    <row r="1822" spans="1:2" ht="15.75">
      <c r="A1822" s="1" t="s">
        <v>3642</v>
      </c>
      <c r="B1822" s="1" t="s">
        <v>3643</v>
      </c>
    </row>
    <row r="1823" spans="1:2" ht="15.75">
      <c r="A1823" s="1" t="s">
        <v>3644</v>
      </c>
      <c r="B1823" s="1" t="s">
        <v>3645</v>
      </c>
    </row>
    <row r="1824" spans="1:2" ht="15.75">
      <c r="A1824" s="1" t="s">
        <v>3646</v>
      </c>
      <c r="B1824" s="1" t="s">
        <v>3647</v>
      </c>
    </row>
    <row r="1825" spans="1:2" ht="15.75">
      <c r="A1825" s="1" t="s">
        <v>3648</v>
      </c>
      <c r="B1825" s="1" t="s">
        <v>3649</v>
      </c>
    </row>
    <row r="1826" spans="1:2" ht="15.75">
      <c r="A1826" s="1" t="s">
        <v>3650</v>
      </c>
      <c r="B1826" s="1" t="s">
        <v>3651</v>
      </c>
    </row>
    <row r="1827" spans="1:2" ht="15.75">
      <c r="A1827" s="1" t="s">
        <v>3652</v>
      </c>
      <c r="B1827" s="1" t="s">
        <v>3653</v>
      </c>
    </row>
    <row r="1828" spans="1:2" ht="15.75">
      <c r="A1828" s="1" t="s">
        <v>3654</v>
      </c>
      <c r="B1828" s="1" t="s">
        <v>3655</v>
      </c>
    </row>
    <row r="1829" spans="1:2" ht="15.75">
      <c r="A1829" s="1" t="s">
        <v>3656</v>
      </c>
      <c r="B1829" s="1" t="s">
        <v>3657</v>
      </c>
    </row>
    <row r="1830" spans="1:2" ht="15.75">
      <c r="A1830" s="1" t="s">
        <v>3658</v>
      </c>
      <c r="B1830" s="1" t="s">
        <v>3659</v>
      </c>
    </row>
    <row r="1831" spans="1:2" ht="15.75">
      <c r="A1831" s="1" t="s">
        <v>3660</v>
      </c>
      <c r="B1831" s="1" t="s">
        <v>3661</v>
      </c>
    </row>
    <row r="1832" spans="1:2" ht="15.75">
      <c r="A1832" s="1" t="s">
        <v>3662</v>
      </c>
      <c r="B1832" s="1" t="s">
        <v>3663</v>
      </c>
    </row>
    <row r="1833" spans="1:2" ht="15.75">
      <c r="A1833" s="1" t="s">
        <v>3664</v>
      </c>
      <c r="B1833" s="1" t="s">
        <v>3665</v>
      </c>
    </row>
    <row r="1834" spans="1:2" ht="15.75">
      <c r="A1834" s="1" t="s">
        <v>3666</v>
      </c>
      <c r="B1834" s="1" t="s">
        <v>3667</v>
      </c>
    </row>
    <row r="1835" spans="1:2" ht="15.75">
      <c r="A1835" s="1" t="s">
        <v>3668</v>
      </c>
      <c r="B1835" s="1" t="s">
        <v>3669</v>
      </c>
    </row>
    <row r="1836" spans="1:2" ht="15.75">
      <c r="A1836" s="1" t="s">
        <v>3670</v>
      </c>
      <c r="B1836" s="1" t="s">
        <v>3671</v>
      </c>
    </row>
    <row r="1837" spans="1:2" ht="15.75">
      <c r="A1837" s="1" t="s">
        <v>3672</v>
      </c>
      <c r="B1837" s="1" t="s">
        <v>3673</v>
      </c>
    </row>
    <row r="1838" spans="1:2" ht="15.75">
      <c r="A1838" s="1" t="s">
        <v>3674</v>
      </c>
      <c r="B1838" s="1" t="s">
        <v>3675</v>
      </c>
    </row>
    <row r="1839" spans="1:2" ht="15.75">
      <c r="A1839" s="1" t="s">
        <v>3676</v>
      </c>
      <c r="B1839" s="1" t="s">
        <v>3677</v>
      </c>
    </row>
    <row r="1840" spans="1:2" ht="15.75">
      <c r="A1840" s="1" t="s">
        <v>3678</v>
      </c>
      <c r="B1840" s="1" t="s">
        <v>3679</v>
      </c>
    </row>
    <row r="1841" spans="1:2" ht="15.75">
      <c r="A1841" s="1" t="s">
        <v>3680</v>
      </c>
      <c r="B1841" s="1" t="s">
        <v>3681</v>
      </c>
    </row>
    <row r="1842" spans="1:2" ht="15.75">
      <c r="A1842" s="1" t="s">
        <v>3682</v>
      </c>
      <c r="B1842" s="1" t="s">
        <v>3683</v>
      </c>
    </row>
    <row r="1843" spans="1:2" ht="15.75">
      <c r="A1843" s="1" t="s">
        <v>3684</v>
      </c>
      <c r="B1843" s="1" t="s">
        <v>3685</v>
      </c>
    </row>
    <row r="1844" spans="1:2" ht="15.75">
      <c r="A1844" s="1" t="s">
        <v>3686</v>
      </c>
      <c r="B1844" s="1" t="s">
        <v>3687</v>
      </c>
    </row>
    <row r="1845" spans="1:2" ht="15.75">
      <c r="A1845" s="1" t="s">
        <v>3688</v>
      </c>
      <c r="B1845" s="1" t="s">
        <v>3689</v>
      </c>
    </row>
    <row r="1846" spans="1:2" ht="15.75">
      <c r="A1846" s="1" t="s">
        <v>3690</v>
      </c>
      <c r="B1846" s="1" t="s">
        <v>3691</v>
      </c>
    </row>
    <row r="1847" spans="1:2" ht="15.75">
      <c r="A1847" s="1" t="s">
        <v>3692</v>
      </c>
      <c r="B1847" s="1" t="s">
        <v>3693</v>
      </c>
    </row>
    <row r="1848" spans="1:2" ht="15.75">
      <c r="A1848" s="1" t="s">
        <v>3694</v>
      </c>
      <c r="B1848" s="1" t="s">
        <v>3695</v>
      </c>
    </row>
    <row r="1849" spans="1:2" ht="15.75">
      <c r="A1849" s="1" t="s">
        <v>3696</v>
      </c>
      <c r="B1849" s="1" t="s">
        <v>3697</v>
      </c>
    </row>
    <row r="1850" spans="1:2" ht="15.75">
      <c r="A1850" s="1" t="s">
        <v>3698</v>
      </c>
      <c r="B1850" s="1" t="s">
        <v>3699</v>
      </c>
    </row>
    <row r="1851" spans="1:2" ht="15.75">
      <c r="A1851" s="1" t="s">
        <v>3700</v>
      </c>
      <c r="B1851" s="1" t="s">
        <v>3701</v>
      </c>
    </row>
    <row r="1852" spans="1:2" ht="15.75">
      <c r="A1852" s="1" t="s">
        <v>3702</v>
      </c>
      <c r="B1852" s="1" t="s">
        <v>3703</v>
      </c>
    </row>
    <row r="1853" spans="1:2" ht="15.75">
      <c r="A1853" s="1" t="s">
        <v>3704</v>
      </c>
      <c r="B1853" s="1" t="s">
        <v>3705</v>
      </c>
    </row>
    <row r="1854" spans="1:2" ht="15.75">
      <c r="A1854" s="1" t="s">
        <v>3706</v>
      </c>
      <c r="B1854" s="1" t="s">
        <v>3707</v>
      </c>
    </row>
    <row r="1855" spans="1:2" ht="15.75">
      <c r="A1855" s="1" t="s">
        <v>3708</v>
      </c>
      <c r="B1855" s="1" t="s">
        <v>3709</v>
      </c>
    </row>
    <row r="1856" spans="1:2" ht="15.75">
      <c r="A1856" s="1" t="s">
        <v>3710</v>
      </c>
      <c r="B1856" s="1" t="s">
        <v>3711</v>
      </c>
    </row>
    <row r="1857" spans="1:2" ht="15.75">
      <c r="A1857" s="1" t="s">
        <v>3712</v>
      </c>
      <c r="B1857" s="1" t="s">
        <v>3713</v>
      </c>
    </row>
    <row r="1858" spans="1:2" ht="15.75">
      <c r="A1858" s="1" t="s">
        <v>3714</v>
      </c>
      <c r="B1858" s="1" t="s">
        <v>3715</v>
      </c>
    </row>
    <row r="1859" spans="1:2" ht="15.75">
      <c r="A1859" s="1" t="s">
        <v>3716</v>
      </c>
      <c r="B1859" s="1" t="s">
        <v>3717</v>
      </c>
    </row>
    <row r="1860" spans="1:2" ht="15.75">
      <c r="A1860" s="1" t="s">
        <v>3718</v>
      </c>
      <c r="B1860" s="1" t="s">
        <v>3719</v>
      </c>
    </row>
    <row r="1861" spans="1:2" ht="15.75">
      <c r="A1861" s="1" t="s">
        <v>3720</v>
      </c>
      <c r="B1861" s="1" t="s">
        <v>3721</v>
      </c>
    </row>
    <row r="1862" spans="1:2" ht="15.75">
      <c r="A1862" s="1" t="s">
        <v>3722</v>
      </c>
      <c r="B1862" s="1" t="s">
        <v>3723</v>
      </c>
    </row>
    <row r="1863" spans="1:2" ht="15.75">
      <c r="A1863" s="1" t="s">
        <v>3724</v>
      </c>
      <c r="B1863" s="1" t="s">
        <v>3725</v>
      </c>
    </row>
    <row r="1864" spans="1:2" ht="15.75">
      <c r="A1864" s="1" t="s">
        <v>3726</v>
      </c>
      <c r="B1864" s="1" t="s">
        <v>3727</v>
      </c>
    </row>
    <row r="1865" spans="1:2" ht="15.75">
      <c r="A1865" s="1" t="s">
        <v>3728</v>
      </c>
      <c r="B1865" s="1" t="s">
        <v>3729</v>
      </c>
    </row>
    <row r="1866" spans="1:2" ht="15.75">
      <c r="A1866" s="1" t="s">
        <v>3730</v>
      </c>
      <c r="B1866" s="1" t="s">
        <v>3731</v>
      </c>
    </row>
    <row r="1867" spans="1:2" ht="15.75">
      <c r="A1867" s="1" t="s">
        <v>3732</v>
      </c>
      <c r="B1867" s="1" t="s">
        <v>3733</v>
      </c>
    </row>
    <row r="1868" spans="1:2" ht="15.75">
      <c r="A1868" s="1" t="s">
        <v>3734</v>
      </c>
      <c r="B1868" s="1" t="s">
        <v>3735</v>
      </c>
    </row>
    <row r="1869" spans="1:2" ht="15.75">
      <c r="A1869" s="1" t="s">
        <v>3736</v>
      </c>
      <c r="B1869" s="1" t="s">
        <v>3737</v>
      </c>
    </row>
    <row r="1870" spans="1:2" ht="15.75">
      <c r="A1870" s="1" t="s">
        <v>3738</v>
      </c>
      <c r="B1870" s="1" t="s">
        <v>3739</v>
      </c>
    </row>
    <row r="1871" spans="1:2" ht="15.75">
      <c r="A1871" s="1" t="s">
        <v>3740</v>
      </c>
      <c r="B1871" s="1" t="s">
        <v>3741</v>
      </c>
    </row>
    <row r="1872" spans="1:2" ht="15.75">
      <c r="A1872" s="1" t="s">
        <v>3742</v>
      </c>
      <c r="B1872" s="1" t="s">
        <v>3743</v>
      </c>
    </row>
    <row r="1873" spans="1:2" ht="15.75">
      <c r="A1873" s="1" t="s">
        <v>3744</v>
      </c>
      <c r="B1873" s="1" t="s">
        <v>3745</v>
      </c>
    </row>
    <row r="1874" spans="1:2" ht="15.75">
      <c r="A1874" s="1" t="s">
        <v>3746</v>
      </c>
      <c r="B1874" s="1" t="s">
        <v>3747</v>
      </c>
    </row>
    <row r="1875" spans="1:2" ht="15.75">
      <c r="A1875" s="1" t="s">
        <v>3748</v>
      </c>
      <c r="B1875" s="1" t="s">
        <v>3749</v>
      </c>
    </row>
    <row r="1876" spans="1:2" ht="15.75">
      <c r="A1876" s="1" t="s">
        <v>3750</v>
      </c>
      <c r="B1876" s="1" t="s">
        <v>3751</v>
      </c>
    </row>
    <row r="1877" spans="1:2" ht="15.75">
      <c r="A1877" s="1" t="s">
        <v>3752</v>
      </c>
      <c r="B1877" s="1" t="s">
        <v>3753</v>
      </c>
    </row>
    <row r="1878" spans="1:2" ht="15.75">
      <c r="A1878" s="1" t="s">
        <v>3754</v>
      </c>
      <c r="B1878" s="1" t="s">
        <v>3755</v>
      </c>
    </row>
    <row r="1879" spans="1:2" ht="15.75">
      <c r="A1879" s="1" t="s">
        <v>3756</v>
      </c>
      <c r="B1879" s="1" t="s">
        <v>3757</v>
      </c>
    </row>
    <row r="1880" spans="1:2" ht="15.75">
      <c r="A1880" s="1" t="s">
        <v>3758</v>
      </c>
      <c r="B1880" s="1" t="s">
        <v>3759</v>
      </c>
    </row>
    <row r="1881" spans="1:2" ht="15.75">
      <c r="A1881" s="1" t="s">
        <v>3760</v>
      </c>
      <c r="B1881" s="1" t="s">
        <v>3761</v>
      </c>
    </row>
    <row r="1882" spans="1:2" ht="15.75">
      <c r="A1882" s="1" t="s">
        <v>3762</v>
      </c>
      <c r="B1882" s="1" t="s">
        <v>3763</v>
      </c>
    </row>
    <row r="1883" spans="1:2" ht="15.75">
      <c r="A1883" s="1" t="s">
        <v>3764</v>
      </c>
      <c r="B1883" s="1" t="s">
        <v>3765</v>
      </c>
    </row>
    <row r="1884" spans="1:2" ht="15.75">
      <c r="A1884" s="1" t="s">
        <v>3766</v>
      </c>
      <c r="B1884" s="1" t="s">
        <v>3767</v>
      </c>
    </row>
    <row r="1885" spans="1:2" ht="15.75">
      <c r="A1885" s="1" t="s">
        <v>3768</v>
      </c>
      <c r="B1885" s="1" t="s">
        <v>3769</v>
      </c>
    </row>
    <row r="1886" spans="1:2" ht="15.75">
      <c r="A1886" s="1" t="s">
        <v>3770</v>
      </c>
      <c r="B1886" s="1" t="s">
        <v>3771</v>
      </c>
    </row>
    <row r="1887" spans="1:2" ht="15.75">
      <c r="A1887" s="1" t="s">
        <v>3772</v>
      </c>
      <c r="B1887" s="1" t="s">
        <v>3773</v>
      </c>
    </row>
    <row r="1888" spans="1:2" ht="15.75">
      <c r="A1888" s="1" t="s">
        <v>3774</v>
      </c>
      <c r="B1888" s="1" t="s">
        <v>3775</v>
      </c>
    </row>
    <row r="1889" spans="1:2" ht="15.75">
      <c r="A1889" s="1" t="s">
        <v>3776</v>
      </c>
      <c r="B1889" s="1" t="s">
        <v>3777</v>
      </c>
    </row>
    <row r="1890" spans="1:2" ht="15.75">
      <c r="A1890" s="1" t="s">
        <v>3778</v>
      </c>
      <c r="B1890" s="1" t="s">
        <v>3779</v>
      </c>
    </row>
    <row r="1891" spans="1:2" ht="15.75">
      <c r="A1891" s="1" t="s">
        <v>3780</v>
      </c>
      <c r="B1891" s="1" t="s">
        <v>3781</v>
      </c>
    </row>
    <row r="1892" spans="1:2" ht="15.75">
      <c r="A1892" s="1" t="s">
        <v>3782</v>
      </c>
      <c r="B1892" s="1" t="s">
        <v>3783</v>
      </c>
    </row>
    <row r="1893" spans="1:2" ht="15.75">
      <c r="A1893" s="1" t="s">
        <v>3784</v>
      </c>
      <c r="B1893" s="1" t="s">
        <v>3785</v>
      </c>
    </row>
    <row r="1894" spans="1:2" ht="15.75">
      <c r="A1894" s="1" t="s">
        <v>3786</v>
      </c>
      <c r="B1894" s="1" t="s">
        <v>3787</v>
      </c>
    </row>
    <row r="1895" spans="1:2" ht="15.75">
      <c r="A1895" s="1" t="s">
        <v>3788</v>
      </c>
      <c r="B1895" s="1" t="s">
        <v>3789</v>
      </c>
    </row>
    <row r="1896" spans="1:2" ht="15.75">
      <c r="A1896" s="1" t="s">
        <v>3790</v>
      </c>
      <c r="B1896" s="1" t="s">
        <v>3791</v>
      </c>
    </row>
    <row r="1897" spans="1:2" ht="15.75">
      <c r="A1897" s="1" t="s">
        <v>3792</v>
      </c>
      <c r="B1897" s="1" t="s">
        <v>3793</v>
      </c>
    </row>
    <row r="1898" spans="1:2" ht="15.75">
      <c r="A1898" s="1" t="s">
        <v>3794</v>
      </c>
      <c r="B1898" s="1" t="s">
        <v>3795</v>
      </c>
    </row>
    <row r="1899" spans="1:2" ht="15.75">
      <c r="A1899" s="1" t="s">
        <v>3796</v>
      </c>
      <c r="B1899" s="1" t="s">
        <v>3797</v>
      </c>
    </row>
    <row r="1900" spans="1:2" ht="15.75">
      <c r="A1900" s="1" t="s">
        <v>3798</v>
      </c>
      <c r="B1900" s="1" t="s">
        <v>3799</v>
      </c>
    </row>
    <row r="1901" spans="1:2" ht="15.75">
      <c r="A1901" s="1" t="s">
        <v>3800</v>
      </c>
      <c r="B1901" s="1" t="s">
        <v>3801</v>
      </c>
    </row>
    <row r="1902" spans="1:2" ht="15.75">
      <c r="A1902" s="1" t="s">
        <v>3802</v>
      </c>
      <c r="B1902" s="1" t="s">
        <v>3803</v>
      </c>
    </row>
    <row r="1903" spans="1:2" ht="15.75">
      <c r="A1903" s="1" t="s">
        <v>3804</v>
      </c>
      <c r="B1903" s="1" t="s">
        <v>3805</v>
      </c>
    </row>
    <row r="1904" spans="1:2" ht="15.75">
      <c r="A1904" s="1" t="s">
        <v>3806</v>
      </c>
      <c r="B1904" s="1" t="s">
        <v>3807</v>
      </c>
    </row>
    <row r="1905" spans="1:2" ht="15.75">
      <c r="A1905" s="1" t="s">
        <v>3808</v>
      </c>
      <c r="B1905" s="1" t="s">
        <v>3809</v>
      </c>
    </row>
    <row r="1906" spans="1:2" ht="15.75">
      <c r="A1906" s="1" t="s">
        <v>3810</v>
      </c>
      <c r="B1906" s="1" t="s">
        <v>3811</v>
      </c>
    </row>
    <row r="1907" spans="1:2" ht="15.75">
      <c r="A1907" s="1" t="s">
        <v>3812</v>
      </c>
      <c r="B1907" s="1" t="s">
        <v>3813</v>
      </c>
    </row>
    <row r="1908" spans="1:2" ht="15.75">
      <c r="A1908" s="1" t="s">
        <v>3814</v>
      </c>
      <c r="B1908" s="1" t="s">
        <v>3815</v>
      </c>
    </row>
    <row r="1909" spans="1:2" ht="15.75">
      <c r="A1909" s="1" t="s">
        <v>3816</v>
      </c>
      <c r="B1909" s="1" t="s">
        <v>3817</v>
      </c>
    </row>
    <row r="1910" spans="1:2" ht="15.75">
      <c r="A1910" s="1" t="s">
        <v>3818</v>
      </c>
      <c r="B1910" s="1" t="s">
        <v>3819</v>
      </c>
    </row>
    <row r="1911" spans="1:2" ht="15.75">
      <c r="A1911" s="1" t="s">
        <v>3820</v>
      </c>
      <c r="B1911" s="1" t="s">
        <v>3821</v>
      </c>
    </row>
    <row r="1912" spans="1:2" ht="15.75">
      <c r="A1912" s="1" t="s">
        <v>3822</v>
      </c>
      <c r="B1912" s="1" t="s">
        <v>3823</v>
      </c>
    </row>
    <row r="1913" spans="1:2" ht="15.75">
      <c r="A1913" s="1" t="s">
        <v>3824</v>
      </c>
      <c r="B1913" s="1" t="s">
        <v>3825</v>
      </c>
    </row>
    <row r="1914" spans="1:2" ht="15.75">
      <c r="A1914" s="1" t="s">
        <v>3826</v>
      </c>
      <c r="B1914" s="1" t="s">
        <v>3827</v>
      </c>
    </row>
    <row r="1915" spans="1:2" ht="15.75">
      <c r="A1915" s="1" t="s">
        <v>3828</v>
      </c>
      <c r="B1915" s="1" t="s">
        <v>3829</v>
      </c>
    </row>
    <row r="1916" spans="1:2" ht="15.75">
      <c r="A1916" s="1" t="s">
        <v>3830</v>
      </c>
      <c r="B1916" s="1" t="s">
        <v>3831</v>
      </c>
    </row>
    <row r="1917" spans="1:2" ht="15.75">
      <c r="A1917" s="1" t="s">
        <v>3832</v>
      </c>
      <c r="B1917" s="1" t="s">
        <v>3833</v>
      </c>
    </row>
    <row r="1918" spans="1:2" ht="15.75">
      <c r="A1918" s="1" t="s">
        <v>3834</v>
      </c>
      <c r="B1918" s="1" t="s">
        <v>3835</v>
      </c>
    </row>
    <row r="1919" spans="1:2" ht="15.75">
      <c r="A1919" s="1" t="s">
        <v>3836</v>
      </c>
      <c r="B1919" s="1" t="s">
        <v>3837</v>
      </c>
    </row>
    <row r="1920" spans="1:2" ht="15.75">
      <c r="A1920" s="1" t="s">
        <v>3838</v>
      </c>
      <c r="B1920" s="1" t="s">
        <v>3839</v>
      </c>
    </row>
    <row r="1921" spans="1:2" ht="15.75">
      <c r="A1921" s="1" t="s">
        <v>3840</v>
      </c>
      <c r="B1921" s="1" t="s">
        <v>3841</v>
      </c>
    </row>
    <row r="1922" spans="1:2" ht="15.75">
      <c r="A1922" s="1" t="s">
        <v>3842</v>
      </c>
      <c r="B1922" s="1" t="s">
        <v>3843</v>
      </c>
    </row>
    <row r="1923" spans="1:2" ht="15.75">
      <c r="A1923" s="1" t="s">
        <v>3844</v>
      </c>
      <c r="B1923" s="1" t="s">
        <v>3845</v>
      </c>
    </row>
    <row r="1924" spans="1:2" ht="15.75">
      <c r="A1924" s="1" t="s">
        <v>3846</v>
      </c>
      <c r="B1924" s="1" t="s">
        <v>3847</v>
      </c>
    </row>
    <row r="1925" spans="1:2" ht="15.75">
      <c r="A1925" s="1" t="s">
        <v>3848</v>
      </c>
      <c r="B1925" s="1" t="s">
        <v>3849</v>
      </c>
    </row>
    <row r="1926" spans="1:2" ht="15.75">
      <c r="A1926" s="1" t="s">
        <v>3850</v>
      </c>
      <c r="B1926" s="1" t="s">
        <v>3851</v>
      </c>
    </row>
    <row r="1927" spans="1:2" ht="15.75">
      <c r="A1927" s="1" t="s">
        <v>3852</v>
      </c>
      <c r="B1927" s="1" t="s">
        <v>3853</v>
      </c>
    </row>
    <row r="1928" spans="1:2" ht="15.75">
      <c r="A1928" s="1" t="s">
        <v>3854</v>
      </c>
      <c r="B1928" s="1" t="s">
        <v>3855</v>
      </c>
    </row>
    <row r="1929" spans="1:2" ht="15.75">
      <c r="A1929" s="1" t="s">
        <v>3856</v>
      </c>
      <c r="B1929" s="1" t="s">
        <v>3857</v>
      </c>
    </row>
    <row r="1930" spans="1:2" ht="15.75">
      <c r="A1930" s="1" t="s">
        <v>3858</v>
      </c>
      <c r="B1930" s="1" t="s">
        <v>3859</v>
      </c>
    </row>
    <row r="1931" spans="1:2" ht="15.75">
      <c r="A1931" s="1" t="s">
        <v>3860</v>
      </c>
      <c r="B1931" s="1" t="s">
        <v>3861</v>
      </c>
    </row>
    <row r="1932" spans="1:2" ht="15.75">
      <c r="A1932" s="1" t="s">
        <v>3862</v>
      </c>
      <c r="B1932" s="1" t="s">
        <v>3863</v>
      </c>
    </row>
    <row r="1933" spans="1:2" ht="15.75">
      <c r="A1933" s="1" t="s">
        <v>3864</v>
      </c>
      <c r="B1933" s="1" t="s">
        <v>3865</v>
      </c>
    </row>
    <row r="1934" spans="1:2" ht="15.75">
      <c r="A1934" s="1" t="s">
        <v>3866</v>
      </c>
      <c r="B1934" s="1" t="s">
        <v>3867</v>
      </c>
    </row>
    <row r="1935" spans="1:2" ht="15.75">
      <c r="A1935" s="1" t="s">
        <v>3868</v>
      </c>
      <c r="B1935" s="1" t="s">
        <v>3869</v>
      </c>
    </row>
    <row r="1936" spans="1:2" ht="15.75">
      <c r="A1936" s="1" t="s">
        <v>3870</v>
      </c>
      <c r="B1936" s="1" t="s">
        <v>3871</v>
      </c>
    </row>
    <row r="1937" spans="1:2" ht="15.75">
      <c r="A1937" s="1" t="s">
        <v>3872</v>
      </c>
      <c r="B1937" s="1" t="s">
        <v>3873</v>
      </c>
    </row>
    <row r="1938" spans="1:2" ht="15.75">
      <c r="A1938" s="1" t="s">
        <v>3874</v>
      </c>
      <c r="B1938" s="1" t="s">
        <v>3875</v>
      </c>
    </row>
    <row r="1939" spans="1:2" ht="15.75">
      <c r="A1939" s="1" t="s">
        <v>3876</v>
      </c>
      <c r="B1939" s="1" t="s">
        <v>3877</v>
      </c>
    </row>
    <row r="1940" spans="1:2" ht="15.75">
      <c r="A1940" s="1" t="s">
        <v>3878</v>
      </c>
      <c r="B1940" s="1" t="s">
        <v>3879</v>
      </c>
    </row>
    <row r="1941" spans="1:2" ht="15.75">
      <c r="A1941" s="1" t="s">
        <v>3880</v>
      </c>
      <c r="B1941" s="1" t="s">
        <v>3881</v>
      </c>
    </row>
    <row r="1942" spans="1:2" ht="15.75">
      <c r="A1942" s="1" t="s">
        <v>3882</v>
      </c>
      <c r="B1942" s="1" t="s">
        <v>3883</v>
      </c>
    </row>
    <row r="1943" spans="1:2" ht="15.75">
      <c r="A1943" s="1" t="s">
        <v>3884</v>
      </c>
      <c r="B1943" s="1" t="s">
        <v>3885</v>
      </c>
    </row>
    <row r="1944" spans="1:2" ht="15.75">
      <c r="A1944" s="1" t="s">
        <v>3886</v>
      </c>
      <c r="B1944" s="1" t="s">
        <v>3887</v>
      </c>
    </row>
    <row r="1945" spans="1:2" ht="15.75">
      <c r="A1945" s="1" t="s">
        <v>3888</v>
      </c>
      <c r="B1945" s="1" t="s">
        <v>3889</v>
      </c>
    </row>
    <row r="1946" spans="1:2" ht="15.75">
      <c r="A1946" s="1" t="s">
        <v>3890</v>
      </c>
      <c r="B1946" s="1" t="s">
        <v>3891</v>
      </c>
    </row>
    <row r="1947" spans="1:2" ht="15.75">
      <c r="A1947" s="1" t="s">
        <v>3892</v>
      </c>
      <c r="B1947" s="1" t="s">
        <v>3893</v>
      </c>
    </row>
    <row r="1948" spans="1:2" ht="15.75">
      <c r="A1948" s="1" t="s">
        <v>3894</v>
      </c>
      <c r="B1948" s="1" t="s">
        <v>3895</v>
      </c>
    </row>
    <row r="1949" spans="1:2" ht="15.75">
      <c r="A1949" s="1" t="s">
        <v>3896</v>
      </c>
      <c r="B1949" s="1" t="s">
        <v>3897</v>
      </c>
    </row>
    <row r="1950" spans="1:2" ht="15.75">
      <c r="A1950" s="1" t="s">
        <v>3898</v>
      </c>
      <c r="B1950" s="1" t="s">
        <v>3899</v>
      </c>
    </row>
    <row r="1951" spans="1:2" ht="15.75">
      <c r="A1951" s="1" t="s">
        <v>3900</v>
      </c>
      <c r="B1951" s="1" t="s">
        <v>3901</v>
      </c>
    </row>
    <row r="1952" spans="1:2" ht="15.75">
      <c r="A1952" s="1" t="s">
        <v>3902</v>
      </c>
      <c r="B1952" s="1" t="s">
        <v>3903</v>
      </c>
    </row>
    <row r="1953" spans="1:2" ht="15.75">
      <c r="A1953" s="1" t="s">
        <v>3904</v>
      </c>
      <c r="B1953" s="1" t="s">
        <v>3905</v>
      </c>
    </row>
    <row r="1954" spans="1:2" ht="15.75">
      <c r="A1954" s="1" t="s">
        <v>3906</v>
      </c>
      <c r="B1954" s="1" t="s">
        <v>3907</v>
      </c>
    </row>
    <row r="1955" spans="1:2" ht="15.75">
      <c r="A1955" s="1" t="s">
        <v>3908</v>
      </c>
      <c r="B1955" s="1" t="s">
        <v>3909</v>
      </c>
    </row>
    <row r="1956" spans="1:2" ht="15.75">
      <c r="A1956" s="1" t="s">
        <v>3910</v>
      </c>
      <c r="B1956" s="1" t="s">
        <v>3911</v>
      </c>
    </row>
    <row r="1957" spans="1:2" ht="15.75">
      <c r="A1957" s="1" t="s">
        <v>3912</v>
      </c>
      <c r="B1957" s="1" t="s">
        <v>3913</v>
      </c>
    </row>
    <row r="1958" spans="1:2" ht="15.75">
      <c r="A1958" s="1" t="s">
        <v>3914</v>
      </c>
      <c r="B1958" s="1" t="s">
        <v>3915</v>
      </c>
    </row>
    <row r="1959" spans="1:2" ht="15.75">
      <c r="A1959" s="1" t="s">
        <v>3916</v>
      </c>
      <c r="B1959" s="1" t="s">
        <v>3917</v>
      </c>
    </row>
    <row r="1960" spans="1:2" ht="15.75">
      <c r="A1960" s="1" t="s">
        <v>3918</v>
      </c>
      <c r="B1960" s="1" t="s">
        <v>3919</v>
      </c>
    </row>
    <row r="1961" spans="1:2" ht="15.75">
      <c r="A1961" s="1" t="s">
        <v>3920</v>
      </c>
      <c r="B1961" s="1" t="s">
        <v>3921</v>
      </c>
    </row>
    <row r="1962" spans="1:2" ht="15.75">
      <c r="A1962" s="1" t="s">
        <v>3922</v>
      </c>
      <c r="B1962" s="1" t="s">
        <v>3923</v>
      </c>
    </row>
    <row r="1963" spans="1:2" ht="15.75">
      <c r="A1963" s="1" t="s">
        <v>3924</v>
      </c>
      <c r="B1963" s="1" t="s">
        <v>3925</v>
      </c>
    </row>
    <row r="1964" spans="1:2" ht="15.75">
      <c r="A1964" s="1" t="s">
        <v>3926</v>
      </c>
      <c r="B1964" s="1" t="s">
        <v>3927</v>
      </c>
    </row>
    <row r="1965" spans="1:2" ht="15.75">
      <c r="A1965" s="1" t="s">
        <v>3928</v>
      </c>
      <c r="B1965" s="1" t="s">
        <v>3929</v>
      </c>
    </row>
    <row r="1966" spans="1:2" ht="15.75">
      <c r="A1966" s="1" t="s">
        <v>3930</v>
      </c>
      <c r="B1966" s="1" t="s">
        <v>3931</v>
      </c>
    </row>
    <row r="1967" spans="1:2" ht="15.75">
      <c r="A1967" s="1" t="s">
        <v>3932</v>
      </c>
      <c r="B1967" s="1" t="s">
        <v>3933</v>
      </c>
    </row>
    <row r="1968" spans="1:2" ht="15.75">
      <c r="A1968" s="1" t="s">
        <v>3934</v>
      </c>
      <c r="B1968" s="1" t="s">
        <v>3935</v>
      </c>
    </row>
    <row r="1969" spans="1:2" ht="15.75">
      <c r="A1969" s="1" t="s">
        <v>3936</v>
      </c>
      <c r="B1969" s="1" t="s">
        <v>3937</v>
      </c>
    </row>
    <row r="1970" spans="1:2" ht="15.75">
      <c r="A1970" s="1" t="s">
        <v>3938</v>
      </c>
      <c r="B1970" s="1" t="s">
        <v>3939</v>
      </c>
    </row>
    <row r="1971" spans="1:2" ht="15.75">
      <c r="A1971" s="1" t="s">
        <v>3940</v>
      </c>
      <c r="B1971" s="1" t="s">
        <v>3941</v>
      </c>
    </row>
    <row r="1972" spans="1:2" ht="15.75">
      <c r="A1972" s="1" t="s">
        <v>3942</v>
      </c>
      <c r="B1972" s="1" t="s">
        <v>3943</v>
      </c>
    </row>
    <row r="1973" spans="1:2" ht="15.75">
      <c r="A1973" s="1" t="s">
        <v>3944</v>
      </c>
      <c r="B1973" s="1" t="s">
        <v>3945</v>
      </c>
    </row>
    <row r="1974" spans="1:2" ht="15.75">
      <c r="A1974" s="1" t="s">
        <v>3946</v>
      </c>
      <c r="B1974" s="1" t="s">
        <v>3947</v>
      </c>
    </row>
    <row r="1975" spans="1:2" ht="15.75">
      <c r="A1975" s="1" t="s">
        <v>3948</v>
      </c>
      <c r="B1975" s="1" t="s">
        <v>3949</v>
      </c>
    </row>
    <row r="1976" spans="1:2" ht="15.75">
      <c r="A1976" s="1" t="s">
        <v>3950</v>
      </c>
      <c r="B1976" s="1" t="s">
        <v>3951</v>
      </c>
    </row>
    <row r="1977" spans="1:2" ht="15.75">
      <c r="A1977" s="1" t="s">
        <v>3952</v>
      </c>
      <c r="B1977" s="1" t="s">
        <v>3953</v>
      </c>
    </row>
    <row r="1978" spans="1:2" ht="15.75">
      <c r="A1978" s="1" t="s">
        <v>3954</v>
      </c>
      <c r="B1978" s="1" t="s">
        <v>3955</v>
      </c>
    </row>
    <row r="1979" spans="1:2" ht="15.75">
      <c r="A1979" s="1" t="s">
        <v>3956</v>
      </c>
      <c r="B1979" s="1" t="s">
        <v>3957</v>
      </c>
    </row>
    <row r="1980" spans="1:2" ht="15.75">
      <c r="A1980" s="1" t="s">
        <v>3958</v>
      </c>
      <c r="B1980" s="1" t="s">
        <v>3959</v>
      </c>
    </row>
    <row r="1981" spans="1:2" ht="15.75">
      <c r="A1981" s="1" t="s">
        <v>3960</v>
      </c>
      <c r="B1981" s="1" t="s">
        <v>3961</v>
      </c>
    </row>
    <row r="1982" spans="1:2" ht="15.75">
      <c r="A1982" s="1" t="s">
        <v>3962</v>
      </c>
      <c r="B1982" s="1" t="s">
        <v>3963</v>
      </c>
    </row>
    <row r="1983" spans="1:2" ht="15.75">
      <c r="A1983" s="1" t="s">
        <v>3964</v>
      </c>
      <c r="B1983" s="1" t="s">
        <v>3965</v>
      </c>
    </row>
    <row r="1984" spans="1:2" ht="15.75">
      <c r="A1984" s="1" t="s">
        <v>3966</v>
      </c>
      <c r="B1984" s="1" t="s">
        <v>3967</v>
      </c>
    </row>
    <row r="1985" spans="1:2" ht="15.75">
      <c r="A1985" s="1" t="s">
        <v>3968</v>
      </c>
      <c r="B1985" s="1" t="s">
        <v>3969</v>
      </c>
    </row>
    <row r="1986" spans="1:2" ht="15.75">
      <c r="A1986" s="1" t="s">
        <v>3970</v>
      </c>
      <c r="B1986" s="1" t="s">
        <v>3971</v>
      </c>
    </row>
    <row r="1987" spans="1:2" ht="15.75">
      <c r="A1987" s="1" t="s">
        <v>3972</v>
      </c>
      <c r="B1987" s="1" t="s">
        <v>3973</v>
      </c>
    </row>
    <row r="1988" spans="1:2" ht="15.75">
      <c r="A1988" s="1" t="s">
        <v>3974</v>
      </c>
      <c r="B1988" s="1" t="s">
        <v>3975</v>
      </c>
    </row>
    <row r="1989" spans="1:2" ht="15.75">
      <c r="A1989" s="1" t="s">
        <v>3976</v>
      </c>
      <c r="B1989" s="1" t="s">
        <v>3977</v>
      </c>
    </row>
    <row r="1990" spans="1:2" ht="15.75">
      <c r="A1990" s="1" t="s">
        <v>3978</v>
      </c>
      <c r="B1990" s="1" t="s">
        <v>3979</v>
      </c>
    </row>
    <row r="1991" spans="1:2" ht="15.75">
      <c r="A1991" s="1" t="s">
        <v>3980</v>
      </c>
      <c r="B1991" s="1" t="s">
        <v>3981</v>
      </c>
    </row>
    <row r="1992" spans="1:2" ht="15.75">
      <c r="A1992" s="1" t="s">
        <v>3982</v>
      </c>
      <c r="B1992" s="1" t="s">
        <v>3983</v>
      </c>
    </row>
    <row r="1993" spans="1:2" ht="15.75">
      <c r="A1993" s="1" t="s">
        <v>3984</v>
      </c>
      <c r="B1993" s="1" t="s">
        <v>3985</v>
      </c>
    </row>
    <row r="1994" spans="1:2" ht="15.75">
      <c r="A1994" s="1" t="s">
        <v>3986</v>
      </c>
      <c r="B1994" s="1" t="s">
        <v>3987</v>
      </c>
    </row>
    <row r="1995" spans="1:2" ht="15.75">
      <c r="A1995" s="1" t="s">
        <v>3988</v>
      </c>
      <c r="B1995" s="1" t="s">
        <v>3989</v>
      </c>
    </row>
    <row r="1996" spans="1:2" ht="15.75">
      <c r="A1996" s="1" t="s">
        <v>3990</v>
      </c>
      <c r="B1996" s="1" t="s">
        <v>3991</v>
      </c>
    </row>
    <row r="1997" spans="1:2" ht="15.75">
      <c r="A1997" s="1" t="s">
        <v>3992</v>
      </c>
      <c r="B1997" s="1" t="s">
        <v>3993</v>
      </c>
    </row>
    <row r="1998" spans="1:2" ht="15.75">
      <c r="A1998" s="1" t="s">
        <v>3994</v>
      </c>
      <c r="B1998" s="1" t="s">
        <v>3995</v>
      </c>
    </row>
    <row r="1999" spans="1:2" ht="15.75">
      <c r="A1999" s="1" t="s">
        <v>3996</v>
      </c>
      <c r="B1999" s="1" t="s">
        <v>3997</v>
      </c>
    </row>
    <row r="2000" spans="1:2" ht="15.75">
      <c r="A2000" s="1" t="s">
        <v>3998</v>
      </c>
      <c r="B2000" s="1" t="s">
        <v>3999</v>
      </c>
    </row>
    <row r="2001" spans="1:2" ht="15.75">
      <c r="A2001" s="1" t="s">
        <v>4000</v>
      </c>
      <c r="B2001" s="1" t="s">
        <v>4001</v>
      </c>
    </row>
    <row r="2002" spans="1:2" ht="15.75">
      <c r="A2002" s="1" t="s">
        <v>4002</v>
      </c>
      <c r="B2002" s="1" t="s">
        <v>4003</v>
      </c>
    </row>
    <row r="2003" spans="1:2" ht="15.75">
      <c r="A2003" s="1" t="s">
        <v>4004</v>
      </c>
      <c r="B2003" s="1" t="s">
        <v>4005</v>
      </c>
    </row>
    <row r="2004" spans="1:2" ht="15.75">
      <c r="A2004" s="1" t="s">
        <v>4006</v>
      </c>
      <c r="B2004" s="1" t="s">
        <v>4007</v>
      </c>
    </row>
    <row r="2005" spans="1:2" ht="15.75">
      <c r="A2005" s="1" t="s">
        <v>4008</v>
      </c>
      <c r="B2005" s="1" t="s">
        <v>4009</v>
      </c>
    </row>
    <row r="2006" spans="1:2" ht="15.75">
      <c r="A2006" s="1" t="s">
        <v>4010</v>
      </c>
      <c r="B2006" s="1" t="s">
        <v>4011</v>
      </c>
    </row>
    <row r="2007" spans="1:2" ht="15.75">
      <c r="A2007" s="1" t="s">
        <v>4012</v>
      </c>
      <c r="B2007" s="1" t="s">
        <v>4013</v>
      </c>
    </row>
    <row r="2008" spans="1:2" ht="15.75">
      <c r="A2008" s="1" t="s">
        <v>4014</v>
      </c>
      <c r="B2008" s="1" t="s">
        <v>4015</v>
      </c>
    </row>
    <row r="2009" spans="1:2" ht="15.75">
      <c r="A2009" s="1" t="s">
        <v>4016</v>
      </c>
      <c r="B2009" s="1" t="s">
        <v>4017</v>
      </c>
    </row>
    <row r="2010" spans="1:2" ht="15.75">
      <c r="A2010" s="1" t="s">
        <v>4018</v>
      </c>
      <c r="B2010" s="1" t="s">
        <v>4019</v>
      </c>
    </row>
    <row r="2011" spans="1:2" ht="15.75">
      <c r="A2011" s="1" t="s">
        <v>4020</v>
      </c>
      <c r="B2011" s="1" t="s">
        <v>4021</v>
      </c>
    </row>
    <row r="2012" spans="1:2" ht="15.75">
      <c r="A2012" s="1" t="s">
        <v>4022</v>
      </c>
      <c r="B2012" s="1" t="s">
        <v>4023</v>
      </c>
    </row>
    <row r="2013" spans="1:2" ht="15.75">
      <c r="A2013" s="1" t="s">
        <v>4024</v>
      </c>
      <c r="B2013" s="1" t="s">
        <v>4025</v>
      </c>
    </row>
    <row r="2014" spans="1:2" ht="15.75">
      <c r="A2014" s="1" t="s">
        <v>4026</v>
      </c>
      <c r="B2014" s="1" t="s">
        <v>4027</v>
      </c>
    </row>
    <row r="2015" spans="1:2" ht="15.75">
      <c r="A2015" s="1" t="s">
        <v>4028</v>
      </c>
      <c r="B2015" s="1" t="s">
        <v>4029</v>
      </c>
    </row>
    <row r="2016" spans="1:2" ht="15.75">
      <c r="A2016" s="1" t="s">
        <v>4030</v>
      </c>
      <c r="B2016" s="1" t="s">
        <v>4031</v>
      </c>
    </row>
    <row r="2017" spans="1:2" ht="15.75">
      <c r="A2017" s="1" t="s">
        <v>4032</v>
      </c>
      <c r="B2017" s="1" t="s">
        <v>4033</v>
      </c>
    </row>
    <row r="2018" spans="1:2" ht="15.75">
      <c r="A2018" s="1" t="s">
        <v>4034</v>
      </c>
      <c r="B2018" s="1" t="s">
        <v>4035</v>
      </c>
    </row>
    <row r="2019" spans="1:2" ht="15.75">
      <c r="A2019" s="1" t="s">
        <v>4036</v>
      </c>
      <c r="B2019" s="1" t="s">
        <v>4037</v>
      </c>
    </row>
    <row r="2020" spans="1:2" ht="15.75">
      <c r="A2020" s="1" t="s">
        <v>4038</v>
      </c>
      <c r="B2020" s="1" t="s">
        <v>4039</v>
      </c>
    </row>
    <row r="2021" spans="1:2" ht="15.75">
      <c r="A2021" s="1" t="s">
        <v>4040</v>
      </c>
      <c r="B2021" s="1" t="s">
        <v>4041</v>
      </c>
    </row>
    <row r="2022" spans="1:2" ht="15.75">
      <c r="A2022" s="1" t="s">
        <v>4042</v>
      </c>
      <c r="B2022" s="1" t="s">
        <v>4043</v>
      </c>
    </row>
    <row r="2023" spans="1:2" ht="15.75">
      <c r="A2023" s="1" t="s">
        <v>4044</v>
      </c>
      <c r="B2023" s="1" t="s">
        <v>4045</v>
      </c>
    </row>
    <row r="2024" spans="1:2" ht="15.75">
      <c r="A2024" s="1" t="s">
        <v>4046</v>
      </c>
      <c r="B2024" s="1" t="s">
        <v>4047</v>
      </c>
    </row>
    <row r="2025" spans="1:2" ht="15.75">
      <c r="A2025" s="1" t="s">
        <v>4048</v>
      </c>
      <c r="B2025" s="1" t="s">
        <v>4049</v>
      </c>
    </row>
    <row r="2026" spans="1:2" ht="15.75">
      <c r="A2026" s="1" t="s">
        <v>4050</v>
      </c>
      <c r="B2026" s="1" t="s">
        <v>4051</v>
      </c>
    </row>
    <row r="2027" spans="1:2" ht="15.75">
      <c r="A2027" s="1" t="s">
        <v>4052</v>
      </c>
      <c r="B2027" s="1" t="s">
        <v>4053</v>
      </c>
    </row>
    <row r="2028" spans="1:2" ht="15.75">
      <c r="A2028" s="1" t="s">
        <v>4054</v>
      </c>
      <c r="B2028" s="1" t="s">
        <v>4055</v>
      </c>
    </row>
    <row r="2029" spans="1:2" ht="15.75">
      <c r="A2029" s="1" t="s">
        <v>4056</v>
      </c>
      <c r="B2029" s="1" t="s">
        <v>4057</v>
      </c>
    </row>
    <row r="2030" spans="1:2" ht="15.75">
      <c r="A2030" s="1" t="s">
        <v>4058</v>
      </c>
      <c r="B2030" s="1" t="s">
        <v>4059</v>
      </c>
    </row>
    <row r="2031" spans="1:2" ht="15.75">
      <c r="A2031" s="1" t="s">
        <v>4060</v>
      </c>
      <c r="B2031" s="1" t="s">
        <v>4061</v>
      </c>
    </row>
    <row r="2032" spans="1:2" ht="15.75">
      <c r="A2032" s="1" t="s">
        <v>4062</v>
      </c>
      <c r="B2032" s="1" t="s">
        <v>4063</v>
      </c>
    </row>
    <row r="2033" spans="1:2" ht="15.75">
      <c r="A2033" s="1" t="s">
        <v>4064</v>
      </c>
      <c r="B2033" s="1" t="s">
        <v>4065</v>
      </c>
    </row>
    <row r="2034" spans="1:2" ht="15.75">
      <c r="A2034" s="1" t="s">
        <v>4066</v>
      </c>
      <c r="B2034" s="1" t="s">
        <v>4067</v>
      </c>
    </row>
    <row r="2035" spans="1:2" ht="15.75">
      <c r="A2035" s="1" t="s">
        <v>4068</v>
      </c>
      <c r="B2035" s="1" t="s">
        <v>4069</v>
      </c>
    </row>
    <row r="2036" spans="1:2" ht="15.75">
      <c r="A2036" s="1" t="s">
        <v>4070</v>
      </c>
      <c r="B2036" s="1" t="s">
        <v>4071</v>
      </c>
    </row>
    <row r="2037" spans="1:2" ht="15.75">
      <c r="A2037" s="1" t="s">
        <v>4072</v>
      </c>
      <c r="B2037" s="1" t="s">
        <v>4073</v>
      </c>
    </row>
    <row r="2038" spans="1:2" ht="15.75">
      <c r="A2038" s="1" t="s">
        <v>4074</v>
      </c>
      <c r="B2038" s="1" t="s">
        <v>4075</v>
      </c>
    </row>
    <row r="2039" spans="1:2" ht="15.75">
      <c r="A2039" s="1" t="s">
        <v>4076</v>
      </c>
      <c r="B2039" s="1" t="s">
        <v>4077</v>
      </c>
    </row>
    <row r="2040" spans="1:2" ht="15.75">
      <c r="A2040" s="1" t="s">
        <v>4078</v>
      </c>
      <c r="B2040" s="1" t="s">
        <v>4079</v>
      </c>
    </row>
    <row r="2041" spans="1:2" ht="15.75">
      <c r="A2041" s="1" t="s">
        <v>4080</v>
      </c>
      <c r="B2041" s="1" t="s">
        <v>4081</v>
      </c>
    </row>
    <row r="2042" spans="1:2" ht="15.75">
      <c r="A2042" s="1" t="s">
        <v>4082</v>
      </c>
      <c r="B2042" s="1" t="s">
        <v>4083</v>
      </c>
    </row>
    <row r="2043" spans="1:2" ht="15.75">
      <c r="A2043" s="1" t="s">
        <v>4084</v>
      </c>
      <c r="B2043" s="1" t="s">
        <v>4085</v>
      </c>
    </row>
    <row r="2044" spans="1:2" ht="15.75">
      <c r="A2044" s="1" t="s">
        <v>4086</v>
      </c>
      <c r="B2044" s="1" t="s">
        <v>4087</v>
      </c>
    </row>
    <row r="2045" spans="1:2" ht="15.75">
      <c r="A2045" s="1" t="s">
        <v>4088</v>
      </c>
      <c r="B2045" s="1" t="s">
        <v>4089</v>
      </c>
    </row>
    <row r="2046" spans="1:2" ht="15.75">
      <c r="A2046" s="1" t="s">
        <v>4090</v>
      </c>
      <c r="B2046" s="1" t="s">
        <v>4091</v>
      </c>
    </row>
    <row r="2047" spans="1:2" ht="15.75">
      <c r="A2047" s="1" t="s">
        <v>4092</v>
      </c>
      <c r="B2047" s="1" t="s">
        <v>4093</v>
      </c>
    </row>
    <row r="2048" spans="1:2" ht="15.75">
      <c r="A2048" s="1" t="s">
        <v>4094</v>
      </c>
      <c r="B2048" s="1" t="s">
        <v>4095</v>
      </c>
    </row>
    <row r="2049" spans="1:2" ht="15.75">
      <c r="A2049" s="1" t="s">
        <v>4096</v>
      </c>
      <c r="B2049" s="1" t="s">
        <v>4097</v>
      </c>
    </row>
    <row r="2050" spans="1:2" ht="15.75">
      <c r="A2050" s="1" t="s">
        <v>4098</v>
      </c>
      <c r="B2050" s="1" t="s">
        <v>4099</v>
      </c>
    </row>
    <row r="2051" spans="1:2" ht="15.75">
      <c r="A2051" s="1" t="s">
        <v>4100</v>
      </c>
      <c r="B2051" s="1" t="s">
        <v>4101</v>
      </c>
    </row>
    <row r="2052" spans="1:2" ht="15.75">
      <c r="A2052" s="1" t="s">
        <v>4102</v>
      </c>
      <c r="B2052" s="1" t="s">
        <v>4103</v>
      </c>
    </row>
    <row r="2053" spans="1:2" ht="15.75">
      <c r="A2053" s="1" t="s">
        <v>4104</v>
      </c>
      <c r="B2053" s="1" t="s">
        <v>4105</v>
      </c>
    </row>
    <row r="2054" spans="1:2" ht="15.75">
      <c r="A2054" s="1" t="s">
        <v>4106</v>
      </c>
      <c r="B2054" s="1" t="s">
        <v>4107</v>
      </c>
    </row>
    <row r="2055" spans="1:2" ht="15.75">
      <c r="A2055" s="1" t="s">
        <v>4108</v>
      </c>
      <c r="B2055" s="1" t="s">
        <v>4109</v>
      </c>
    </row>
    <row r="2056" spans="1:2" ht="15.75">
      <c r="A2056" s="1" t="s">
        <v>4110</v>
      </c>
      <c r="B2056" s="1" t="s">
        <v>4111</v>
      </c>
    </row>
    <row r="2057" spans="1:2" ht="15.75">
      <c r="A2057" s="1" t="s">
        <v>4112</v>
      </c>
      <c r="B2057" s="1" t="s">
        <v>4113</v>
      </c>
    </row>
    <row r="2058" spans="1:2" ht="15.75">
      <c r="A2058" s="1" t="s">
        <v>4114</v>
      </c>
      <c r="B2058" s="1" t="s">
        <v>4115</v>
      </c>
    </row>
    <row r="2059" spans="1:2" ht="15.75">
      <c r="A2059" s="1" t="s">
        <v>4116</v>
      </c>
      <c r="B2059" s="1" t="s">
        <v>4117</v>
      </c>
    </row>
    <row r="2060" spans="1:2" ht="15.75">
      <c r="A2060" s="1" t="s">
        <v>4118</v>
      </c>
      <c r="B2060" s="1" t="s">
        <v>4119</v>
      </c>
    </row>
    <row r="2061" spans="1:2" ht="15.75">
      <c r="A2061" s="1" t="s">
        <v>4120</v>
      </c>
      <c r="B2061" s="1" t="s">
        <v>4121</v>
      </c>
    </row>
    <row r="2062" spans="1:2" ht="15.75">
      <c r="A2062" s="1" t="s">
        <v>4122</v>
      </c>
      <c r="B2062" s="1" t="s">
        <v>4123</v>
      </c>
    </row>
    <row r="2063" spans="1:2" ht="15.75">
      <c r="A2063" s="1" t="s">
        <v>4124</v>
      </c>
      <c r="B2063" s="1" t="s">
        <v>4125</v>
      </c>
    </row>
    <row r="2064" spans="1:2" ht="15.75">
      <c r="A2064" s="1" t="s">
        <v>4126</v>
      </c>
      <c r="B2064" s="1" t="s">
        <v>4127</v>
      </c>
    </row>
    <row r="2065" spans="1:2" ht="15.75">
      <c r="A2065" s="1" t="s">
        <v>4128</v>
      </c>
      <c r="B2065" s="1" t="s">
        <v>4129</v>
      </c>
    </row>
    <row r="2066" spans="1:2" ht="15.75">
      <c r="A2066" s="1" t="s">
        <v>4130</v>
      </c>
      <c r="B2066" s="1" t="s">
        <v>4131</v>
      </c>
    </row>
    <row r="2067" spans="1:2" ht="15.75">
      <c r="A2067" s="1" t="s">
        <v>4132</v>
      </c>
      <c r="B2067" s="1" t="s">
        <v>4133</v>
      </c>
    </row>
    <row r="2068" spans="1:2" ht="15.75">
      <c r="A2068" s="1" t="s">
        <v>4134</v>
      </c>
      <c r="B2068" s="1" t="s">
        <v>4135</v>
      </c>
    </row>
    <row r="2069" spans="1:2" ht="15.75">
      <c r="A2069" s="1" t="s">
        <v>4136</v>
      </c>
      <c r="B2069" s="1" t="s">
        <v>4137</v>
      </c>
    </row>
    <row r="2070" spans="1:2" ht="15.75">
      <c r="A2070" s="1" t="s">
        <v>4138</v>
      </c>
      <c r="B2070" s="1" t="s">
        <v>4139</v>
      </c>
    </row>
    <row r="2071" spans="1:2" ht="15.75">
      <c r="A2071" s="1" t="s">
        <v>4140</v>
      </c>
      <c r="B2071" s="1" t="s">
        <v>4141</v>
      </c>
    </row>
    <row r="2072" spans="1:2" ht="15.75">
      <c r="A2072" s="1" t="s">
        <v>4142</v>
      </c>
      <c r="B2072" s="1" t="s">
        <v>4143</v>
      </c>
    </row>
    <row r="2073" spans="1:2" ht="15.75">
      <c r="A2073" s="1" t="s">
        <v>4144</v>
      </c>
      <c r="B2073" s="1" t="s">
        <v>4145</v>
      </c>
    </row>
    <row r="2074" spans="1:2" ht="15.75">
      <c r="A2074" s="1" t="s">
        <v>4146</v>
      </c>
      <c r="B2074" s="1" t="s">
        <v>4147</v>
      </c>
    </row>
    <row r="2075" spans="1:2" ht="15.75">
      <c r="A2075" s="1" t="s">
        <v>4148</v>
      </c>
      <c r="B2075" s="1" t="s">
        <v>4149</v>
      </c>
    </row>
    <row r="2076" spans="1:2" ht="15.75">
      <c r="A2076" s="1" t="s">
        <v>4150</v>
      </c>
      <c r="B2076" s="1" t="s">
        <v>4151</v>
      </c>
    </row>
    <row r="2077" spans="1:2" ht="15.75">
      <c r="A2077" s="1" t="s">
        <v>4152</v>
      </c>
      <c r="B2077" s="1" t="s">
        <v>4153</v>
      </c>
    </row>
    <row r="2078" spans="1:2" ht="15.75">
      <c r="A2078" s="1" t="s">
        <v>4154</v>
      </c>
      <c r="B2078" s="1" t="s">
        <v>4155</v>
      </c>
    </row>
    <row r="2079" spans="1:2" ht="15.75">
      <c r="A2079" s="1" t="s">
        <v>4156</v>
      </c>
      <c r="B2079" s="1" t="s">
        <v>4157</v>
      </c>
    </row>
    <row r="2080" spans="1:2" ht="15.75">
      <c r="A2080" s="1" t="s">
        <v>4158</v>
      </c>
      <c r="B2080" s="1" t="s">
        <v>4159</v>
      </c>
    </row>
    <row r="2081" spans="1:2" ht="15.75">
      <c r="A2081" s="1" t="s">
        <v>4160</v>
      </c>
      <c r="B2081" s="1" t="s">
        <v>4161</v>
      </c>
    </row>
    <row r="2082" spans="1:2" ht="15.75">
      <c r="A2082" s="1" t="s">
        <v>4162</v>
      </c>
      <c r="B2082" s="1" t="s">
        <v>4163</v>
      </c>
    </row>
    <row r="2083" spans="1:2" ht="15.75">
      <c r="A2083" s="1" t="s">
        <v>4164</v>
      </c>
      <c r="B2083" s="1" t="s">
        <v>4165</v>
      </c>
    </row>
    <row r="2084" spans="1:2" ht="15.75">
      <c r="A2084" s="1" t="s">
        <v>4166</v>
      </c>
      <c r="B2084" s="1" t="s">
        <v>4167</v>
      </c>
    </row>
    <row r="2085" spans="1:2" ht="15.75">
      <c r="A2085" s="1" t="s">
        <v>4168</v>
      </c>
      <c r="B2085" s="1" t="s">
        <v>4169</v>
      </c>
    </row>
    <row r="2086" spans="1:2" ht="15.75">
      <c r="A2086" s="1" t="s">
        <v>4170</v>
      </c>
      <c r="B2086" s="1" t="s">
        <v>4171</v>
      </c>
    </row>
    <row r="2087" spans="1:2" ht="15.75">
      <c r="A2087" s="1" t="s">
        <v>4172</v>
      </c>
      <c r="B2087" s="1" t="s">
        <v>4173</v>
      </c>
    </row>
    <row r="2088" spans="1:2" ht="15.75">
      <c r="A2088" s="1" t="s">
        <v>4174</v>
      </c>
      <c r="B2088" s="1" t="s">
        <v>4175</v>
      </c>
    </row>
    <row r="2089" spans="1:2" ht="15.75">
      <c r="A2089" s="1" t="s">
        <v>4176</v>
      </c>
      <c r="B2089" s="1" t="s">
        <v>4177</v>
      </c>
    </row>
    <row r="2090" spans="1:2" ht="15.75">
      <c r="A2090" s="1" t="s">
        <v>4178</v>
      </c>
      <c r="B2090" s="1" t="s">
        <v>4179</v>
      </c>
    </row>
    <row r="2091" spans="1:2" ht="15.75">
      <c r="A2091" s="1" t="s">
        <v>4180</v>
      </c>
      <c r="B2091" s="1" t="s">
        <v>4181</v>
      </c>
    </row>
    <row r="2092" spans="1:2" ht="15.75">
      <c r="A2092" s="1" t="s">
        <v>4182</v>
      </c>
      <c r="B2092" s="1" t="s">
        <v>4183</v>
      </c>
    </row>
    <row r="2093" spans="1:2" ht="15.75">
      <c r="A2093" s="1" t="s">
        <v>4184</v>
      </c>
      <c r="B2093" s="1" t="s">
        <v>4185</v>
      </c>
    </row>
    <row r="2094" spans="1:2" ht="15.75">
      <c r="A2094" s="1" t="s">
        <v>4186</v>
      </c>
      <c r="B2094" s="1" t="s">
        <v>4187</v>
      </c>
    </row>
    <row r="2095" spans="1:2" ht="15.75">
      <c r="A2095" s="1" t="s">
        <v>4188</v>
      </c>
      <c r="B2095" s="1" t="s">
        <v>4189</v>
      </c>
    </row>
    <row r="2096" spans="1:2" ht="15.75">
      <c r="A2096" s="1" t="s">
        <v>4190</v>
      </c>
      <c r="B2096" s="1" t="s">
        <v>4191</v>
      </c>
    </row>
    <row r="2097" spans="1:2" ht="15.75">
      <c r="A2097" s="1" t="s">
        <v>4192</v>
      </c>
      <c r="B2097" s="1" t="s">
        <v>4193</v>
      </c>
    </row>
    <row r="2098" spans="1:2" ht="15.75">
      <c r="A2098" s="1" t="s">
        <v>4194</v>
      </c>
      <c r="B2098" s="1" t="s">
        <v>4195</v>
      </c>
    </row>
    <row r="2099" spans="1:2" ht="15.75">
      <c r="A2099" s="1" t="s">
        <v>4196</v>
      </c>
      <c r="B2099" s="1" t="s">
        <v>4197</v>
      </c>
    </row>
    <row r="2100" spans="1:2" ht="15.75">
      <c r="A2100" s="1" t="s">
        <v>4198</v>
      </c>
      <c r="B2100" s="1" t="s">
        <v>4199</v>
      </c>
    </row>
    <row r="2101" spans="1:2" ht="15.75">
      <c r="A2101" s="1" t="s">
        <v>4200</v>
      </c>
      <c r="B2101" s="1" t="s">
        <v>4201</v>
      </c>
    </row>
    <row r="2102" spans="1:2" ht="15.75">
      <c r="A2102" s="1" t="s">
        <v>4202</v>
      </c>
      <c r="B2102" s="1" t="s">
        <v>4203</v>
      </c>
    </row>
    <row r="2103" spans="1:2" ht="15.75">
      <c r="A2103" s="1" t="s">
        <v>4204</v>
      </c>
      <c r="B2103" s="1" t="s">
        <v>4205</v>
      </c>
    </row>
    <row r="2104" spans="1:2" ht="15.75">
      <c r="A2104" s="1" t="s">
        <v>4206</v>
      </c>
      <c r="B2104" s="1" t="s">
        <v>4207</v>
      </c>
    </row>
    <row r="2105" spans="1:2" ht="15.75">
      <c r="A2105" s="1" t="s">
        <v>4208</v>
      </c>
      <c r="B2105" s="1" t="s">
        <v>4209</v>
      </c>
    </row>
    <row r="2106" spans="1:2" ht="15.75">
      <c r="A2106" s="1" t="s">
        <v>4210</v>
      </c>
      <c r="B2106" s="1" t="s">
        <v>4211</v>
      </c>
    </row>
    <row r="2107" spans="1:2" ht="15.75">
      <c r="A2107" s="1" t="s">
        <v>4212</v>
      </c>
      <c r="B2107" s="1" t="s">
        <v>4213</v>
      </c>
    </row>
    <row r="2108" spans="1:2" ht="15.75">
      <c r="A2108" s="1" t="s">
        <v>4214</v>
      </c>
      <c r="B2108" s="1" t="s">
        <v>4215</v>
      </c>
    </row>
    <row r="2109" spans="1:2" ht="15.75">
      <c r="A2109" s="1" t="s">
        <v>4216</v>
      </c>
      <c r="B2109" s="1" t="s">
        <v>4217</v>
      </c>
    </row>
    <row r="2110" spans="1:2" ht="15.75">
      <c r="A2110" s="1" t="s">
        <v>4218</v>
      </c>
      <c r="B2110" s="1" t="s">
        <v>4219</v>
      </c>
    </row>
    <row r="2111" spans="1:2" ht="15.75">
      <c r="A2111" s="1" t="s">
        <v>4220</v>
      </c>
      <c r="B2111" s="1" t="s">
        <v>4221</v>
      </c>
    </row>
    <row r="2112" spans="1:2" ht="15.75">
      <c r="A2112" s="1" t="s">
        <v>4222</v>
      </c>
      <c r="B2112" s="1" t="s">
        <v>4223</v>
      </c>
    </row>
    <row r="2113" spans="1:2" ht="15.75">
      <c r="A2113" s="1" t="s">
        <v>4224</v>
      </c>
      <c r="B2113" s="1" t="s">
        <v>4225</v>
      </c>
    </row>
    <row r="2114" spans="1:2" ht="15.75">
      <c r="A2114" s="1" t="s">
        <v>4226</v>
      </c>
      <c r="B2114" s="1" t="s">
        <v>4227</v>
      </c>
    </row>
    <row r="2115" spans="1:2" ht="15.75">
      <c r="A2115" s="1" t="s">
        <v>4228</v>
      </c>
      <c r="B2115" s="1" t="s">
        <v>4229</v>
      </c>
    </row>
    <row r="2116" spans="1:2" ht="15.75">
      <c r="A2116" s="1" t="s">
        <v>4230</v>
      </c>
      <c r="B2116" s="1" t="s">
        <v>4231</v>
      </c>
    </row>
    <row r="2117" spans="1:2" ht="15.75">
      <c r="A2117" s="1" t="s">
        <v>4232</v>
      </c>
      <c r="B2117" s="1" t="s">
        <v>4233</v>
      </c>
    </row>
    <row r="2118" spans="1:2" ht="15.75">
      <c r="A2118" s="1" t="s">
        <v>4234</v>
      </c>
      <c r="B2118" s="1" t="s">
        <v>4235</v>
      </c>
    </row>
    <row r="2119" spans="1:2" ht="15.75">
      <c r="A2119" s="1" t="s">
        <v>4236</v>
      </c>
      <c r="B2119" s="1" t="s">
        <v>4237</v>
      </c>
    </row>
    <row r="2120" spans="1:2" ht="15.75">
      <c r="A2120" s="1" t="s">
        <v>4238</v>
      </c>
      <c r="B2120" s="1" t="s">
        <v>4239</v>
      </c>
    </row>
    <row r="2121" spans="1:2" ht="15.75">
      <c r="A2121" s="1" t="s">
        <v>4240</v>
      </c>
      <c r="B2121" s="1" t="s">
        <v>4241</v>
      </c>
    </row>
    <row r="2122" spans="1:2" ht="15.75">
      <c r="A2122" s="1" t="s">
        <v>4242</v>
      </c>
      <c r="B2122" s="1" t="s">
        <v>4243</v>
      </c>
    </row>
    <row r="2123" spans="1:2" ht="15.75">
      <c r="A2123" s="1" t="s">
        <v>4244</v>
      </c>
      <c r="B2123" s="1" t="s">
        <v>4245</v>
      </c>
    </row>
    <row r="2124" spans="1:2" ht="15.75">
      <c r="A2124" s="1" t="s">
        <v>4246</v>
      </c>
      <c r="B2124" s="1" t="s">
        <v>4247</v>
      </c>
    </row>
    <row r="2125" spans="1:2" ht="15.75">
      <c r="A2125" s="1" t="s">
        <v>4248</v>
      </c>
      <c r="B2125" s="1" t="s">
        <v>4249</v>
      </c>
    </row>
    <row r="2126" spans="1:2" ht="15.75">
      <c r="A2126" s="1" t="s">
        <v>4250</v>
      </c>
      <c r="B2126" s="1" t="s">
        <v>4251</v>
      </c>
    </row>
    <row r="2127" spans="1:2" ht="15.75">
      <c r="A2127" s="1" t="s">
        <v>4252</v>
      </c>
      <c r="B2127" s="1" t="s">
        <v>4253</v>
      </c>
    </row>
    <row r="2128" spans="1:2" ht="15.75">
      <c r="A2128" s="1" t="s">
        <v>4254</v>
      </c>
      <c r="B2128" s="1" t="s">
        <v>4255</v>
      </c>
    </row>
    <row r="2129" spans="1:2" ht="15.75">
      <c r="A2129" s="1" t="s">
        <v>4256</v>
      </c>
      <c r="B2129" s="1" t="s">
        <v>4257</v>
      </c>
    </row>
    <row r="2130" spans="1:2" ht="15.75">
      <c r="A2130" s="1" t="s">
        <v>4258</v>
      </c>
      <c r="B2130" s="1" t="s">
        <v>4259</v>
      </c>
    </row>
    <row r="2131" spans="1:2" ht="15.75">
      <c r="A2131" s="1" t="s">
        <v>4260</v>
      </c>
      <c r="B2131" s="1" t="s">
        <v>4261</v>
      </c>
    </row>
    <row r="2132" spans="1:2" ht="15.75">
      <c r="A2132" s="1" t="s">
        <v>4262</v>
      </c>
      <c r="B2132" s="1" t="s">
        <v>4263</v>
      </c>
    </row>
    <row r="2133" spans="1:2" ht="15.75">
      <c r="A2133" s="1" t="s">
        <v>4264</v>
      </c>
      <c r="B2133" s="1" t="s">
        <v>4265</v>
      </c>
    </row>
    <row r="2134" spans="1:2" ht="15.75">
      <c r="A2134" s="1" t="s">
        <v>4266</v>
      </c>
      <c r="B2134" s="1" t="s">
        <v>4267</v>
      </c>
    </row>
    <row r="2135" spans="1:2" ht="15.75">
      <c r="A2135" s="1" t="s">
        <v>4268</v>
      </c>
      <c r="B2135" s="1" t="s">
        <v>4269</v>
      </c>
    </row>
    <row r="2136" spans="1:2" ht="15.75">
      <c r="A2136" s="1" t="s">
        <v>4270</v>
      </c>
      <c r="B2136" s="1" t="s">
        <v>4271</v>
      </c>
    </row>
    <row r="2137" spans="1:2" ht="15.75">
      <c r="A2137" s="1" t="s">
        <v>4272</v>
      </c>
      <c r="B2137" s="1" t="s">
        <v>4273</v>
      </c>
    </row>
    <row r="2138" spans="1:2" ht="15.75">
      <c r="A2138" s="1" t="s">
        <v>4274</v>
      </c>
      <c r="B2138" s="1" t="s">
        <v>4275</v>
      </c>
    </row>
    <row r="2139" spans="1:2" ht="15.75">
      <c r="A2139" s="1" t="s">
        <v>4276</v>
      </c>
      <c r="B2139" s="1" t="s">
        <v>4277</v>
      </c>
    </row>
    <row r="2140" spans="1:2" ht="15.75">
      <c r="A2140" s="1" t="s">
        <v>4278</v>
      </c>
      <c r="B2140" s="1" t="s">
        <v>4279</v>
      </c>
    </row>
    <row r="2141" spans="1:2" ht="15.75">
      <c r="A2141" s="1" t="s">
        <v>4280</v>
      </c>
      <c r="B2141" s="1" t="s">
        <v>4281</v>
      </c>
    </row>
    <row r="2142" spans="1:2" ht="15.75">
      <c r="A2142" s="1" t="s">
        <v>4282</v>
      </c>
      <c r="B2142" s="1" t="s">
        <v>4283</v>
      </c>
    </row>
    <row r="2143" spans="1:2" ht="15.75">
      <c r="A2143" s="1" t="s">
        <v>4284</v>
      </c>
      <c r="B2143" s="1" t="s">
        <v>4285</v>
      </c>
    </row>
    <row r="2144" spans="1:2" ht="15.75">
      <c r="A2144" s="1" t="s">
        <v>4286</v>
      </c>
      <c r="B2144" s="1" t="s">
        <v>4287</v>
      </c>
    </row>
    <row r="2145" spans="1:2" ht="15.75">
      <c r="A2145" s="1" t="s">
        <v>4288</v>
      </c>
      <c r="B2145" s="1" t="s">
        <v>4289</v>
      </c>
    </row>
    <row r="2146" spans="1:2" ht="15.75">
      <c r="A2146" s="1" t="s">
        <v>4290</v>
      </c>
      <c r="B2146" s="1" t="s">
        <v>4291</v>
      </c>
    </row>
    <row r="2147" spans="1:2" ht="15.75">
      <c r="A2147" s="1" t="s">
        <v>4292</v>
      </c>
      <c r="B2147" s="1" t="s">
        <v>4293</v>
      </c>
    </row>
    <row r="2148" spans="1:2" ht="15.75">
      <c r="A2148" s="1" t="s">
        <v>4294</v>
      </c>
      <c r="B2148" s="1" t="s">
        <v>4295</v>
      </c>
    </row>
    <row r="2149" spans="1:2" ht="15.75">
      <c r="A2149" s="1" t="s">
        <v>4296</v>
      </c>
      <c r="B2149" s="1" t="s">
        <v>4297</v>
      </c>
    </row>
    <row r="2150" spans="1:2" ht="15.75">
      <c r="A2150" s="1" t="s">
        <v>4298</v>
      </c>
      <c r="B2150" s="1" t="s">
        <v>4299</v>
      </c>
    </row>
    <row r="2151" spans="1:2" ht="15.75">
      <c r="A2151" s="1" t="s">
        <v>4300</v>
      </c>
      <c r="B2151" s="1" t="s">
        <v>4301</v>
      </c>
    </row>
    <row r="2152" spans="1:2" ht="15.75">
      <c r="A2152" s="1" t="s">
        <v>4302</v>
      </c>
      <c r="B2152" s="1" t="s">
        <v>4303</v>
      </c>
    </row>
    <row r="2153" spans="1:2" ht="15.75">
      <c r="A2153" s="1" t="s">
        <v>4304</v>
      </c>
      <c r="B2153" s="1" t="s">
        <v>4305</v>
      </c>
    </row>
    <row r="2154" spans="1:2" ht="15.75">
      <c r="A2154" s="1" t="s">
        <v>4306</v>
      </c>
      <c r="B2154" s="1" t="s">
        <v>4307</v>
      </c>
    </row>
    <row r="2155" spans="1:2" ht="15.75">
      <c r="A2155" s="1" t="s">
        <v>4308</v>
      </c>
      <c r="B2155" s="1" t="s">
        <v>4309</v>
      </c>
    </row>
    <row r="2156" spans="1:2" ht="15.75">
      <c r="A2156" s="1" t="s">
        <v>4310</v>
      </c>
      <c r="B2156" s="1" t="s">
        <v>4311</v>
      </c>
    </row>
    <row r="2157" spans="1:2" ht="15.75">
      <c r="A2157" s="1" t="s">
        <v>4312</v>
      </c>
      <c r="B2157" s="1" t="s">
        <v>4313</v>
      </c>
    </row>
    <row r="2158" spans="1:2" ht="15.75">
      <c r="A2158" s="1" t="s">
        <v>4314</v>
      </c>
      <c r="B2158" s="1" t="s">
        <v>4315</v>
      </c>
    </row>
    <row r="2159" spans="1:2" ht="15.75">
      <c r="A2159" s="1" t="s">
        <v>4316</v>
      </c>
      <c r="B2159" s="1" t="s">
        <v>4317</v>
      </c>
    </row>
    <row r="2160" spans="1:2" ht="15.75">
      <c r="A2160" s="1" t="s">
        <v>4318</v>
      </c>
      <c r="B2160" s="1" t="s">
        <v>4319</v>
      </c>
    </row>
    <row r="2161" spans="1:2" ht="15.75">
      <c r="A2161" s="1" t="s">
        <v>4320</v>
      </c>
      <c r="B2161" s="1" t="s">
        <v>4321</v>
      </c>
    </row>
    <row r="2162" spans="1:2" ht="15.75">
      <c r="A2162" s="1" t="s">
        <v>4322</v>
      </c>
      <c r="B2162" s="1" t="s">
        <v>4323</v>
      </c>
    </row>
    <row r="2163" spans="1:2" ht="15.75">
      <c r="A2163" s="1" t="s">
        <v>4324</v>
      </c>
      <c r="B2163" s="1" t="s">
        <v>4325</v>
      </c>
    </row>
    <row r="2164" spans="1:2" ht="15.75">
      <c r="A2164" s="1" t="s">
        <v>4326</v>
      </c>
      <c r="B2164" s="1" t="s">
        <v>4327</v>
      </c>
    </row>
    <row r="2165" spans="1:2" ht="15.75">
      <c r="A2165" s="1" t="s">
        <v>4328</v>
      </c>
      <c r="B2165" s="1" t="s">
        <v>4329</v>
      </c>
    </row>
    <row r="2166" spans="1:2" ht="15.75">
      <c r="A2166" s="1" t="s">
        <v>4330</v>
      </c>
      <c r="B2166" s="1" t="s">
        <v>4331</v>
      </c>
    </row>
    <row r="2167" spans="1:2" ht="15.75">
      <c r="A2167" s="1" t="s">
        <v>4332</v>
      </c>
      <c r="B2167" s="1" t="s">
        <v>4333</v>
      </c>
    </row>
    <row r="2168" spans="1:2" ht="15.75">
      <c r="A2168" s="1" t="s">
        <v>4334</v>
      </c>
      <c r="B2168" s="1" t="s">
        <v>4335</v>
      </c>
    </row>
    <row r="2169" spans="1:2" ht="15.75">
      <c r="A2169" s="1" t="s">
        <v>4336</v>
      </c>
      <c r="B2169" s="1" t="s">
        <v>4337</v>
      </c>
    </row>
    <row r="2170" spans="1:2" ht="15.75">
      <c r="A2170" s="1" t="s">
        <v>4338</v>
      </c>
      <c r="B2170" s="1" t="s">
        <v>4339</v>
      </c>
    </row>
    <row r="2171" spans="1:2" ht="15.75">
      <c r="A2171" s="1" t="s">
        <v>4340</v>
      </c>
      <c r="B2171" s="1" t="s">
        <v>4341</v>
      </c>
    </row>
    <row r="2172" spans="1:2" ht="15.75">
      <c r="A2172" s="1" t="s">
        <v>4342</v>
      </c>
      <c r="B2172" s="1" t="s">
        <v>4343</v>
      </c>
    </row>
    <row r="2173" spans="1:2" ht="15.75">
      <c r="A2173" s="1" t="s">
        <v>4344</v>
      </c>
      <c r="B2173" s="1" t="s">
        <v>4345</v>
      </c>
    </row>
    <row r="2174" spans="1:2" ht="15.75">
      <c r="A2174" s="1" t="s">
        <v>4346</v>
      </c>
      <c r="B2174" s="1" t="s">
        <v>4347</v>
      </c>
    </row>
    <row r="2175" spans="1:2" ht="15.75">
      <c r="A2175" s="1" t="s">
        <v>4348</v>
      </c>
      <c r="B2175" s="1" t="s">
        <v>4349</v>
      </c>
    </row>
    <row r="2176" spans="1:2" ht="15.75">
      <c r="A2176" s="1" t="s">
        <v>4350</v>
      </c>
      <c r="B2176" s="1" t="s">
        <v>4351</v>
      </c>
    </row>
    <row r="2177" spans="1:2" ht="15.75">
      <c r="A2177" s="1" t="s">
        <v>4352</v>
      </c>
      <c r="B2177" s="1" t="s">
        <v>4353</v>
      </c>
    </row>
    <row r="2178" spans="1:2" ht="15.75">
      <c r="A2178" s="1" t="s">
        <v>4354</v>
      </c>
      <c r="B2178" s="1" t="s">
        <v>4355</v>
      </c>
    </row>
    <row r="2179" spans="1:2" ht="15.75">
      <c r="A2179" s="1" t="s">
        <v>4356</v>
      </c>
      <c r="B2179" s="1" t="s">
        <v>4357</v>
      </c>
    </row>
    <row r="2180" spans="1:2" ht="15.75">
      <c r="A2180" s="1" t="s">
        <v>4358</v>
      </c>
      <c r="B2180" s="1" t="s">
        <v>4359</v>
      </c>
    </row>
    <row r="2181" spans="1:2" ht="15.75">
      <c r="A2181" s="1" t="s">
        <v>4360</v>
      </c>
      <c r="B2181" s="1" t="s">
        <v>4361</v>
      </c>
    </row>
    <row r="2182" spans="1:2" ht="15.75">
      <c r="A2182" s="1" t="s">
        <v>4362</v>
      </c>
      <c r="B2182" s="1" t="s">
        <v>4363</v>
      </c>
    </row>
    <row r="2183" spans="1:2" ht="15.75">
      <c r="A2183" s="1" t="s">
        <v>4364</v>
      </c>
      <c r="B2183" s="1" t="s">
        <v>4365</v>
      </c>
    </row>
    <row r="2184" spans="1:2" ht="15.75">
      <c r="A2184" s="1" t="s">
        <v>4366</v>
      </c>
      <c r="B2184" s="1" t="s">
        <v>4367</v>
      </c>
    </row>
    <row r="2185" spans="1:2" ht="15.75">
      <c r="A2185" s="1" t="s">
        <v>4368</v>
      </c>
      <c r="B2185" s="1" t="s">
        <v>4369</v>
      </c>
    </row>
    <row r="2186" spans="1:2" ht="15.75">
      <c r="A2186" s="1" t="s">
        <v>4370</v>
      </c>
      <c r="B2186" s="1" t="s">
        <v>4371</v>
      </c>
    </row>
    <row r="2187" spans="1:2" ht="15.75">
      <c r="A2187" s="1" t="s">
        <v>4372</v>
      </c>
      <c r="B2187" s="1" t="s">
        <v>4373</v>
      </c>
    </row>
    <row r="2188" spans="1:2" ht="15.75">
      <c r="A2188" s="1" t="s">
        <v>4374</v>
      </c>
      <c r="B2188" s="1" t="s">
        <v>4375</v>
      </c>
    </row>
    <row r="2189" spans="1:2" ht="15.75">
      <c r="A2189" s="1" t="s">
        <v>4376</v>
      </c>
      <c r="B2189" s="1" t="s">
        <v>4377</v>
      </c>
    </row>
    <row r="2190" spans="1:2" ht="15.75">
      <c r="A2190" s="1" t="s">
        <v>4378</v>
      </c>
      <c r="B2190" s="1" t="s">
        <v>4379</v>
      </c>
    </row>
    <row r="2191" spans="1:2" ht="15.75">
      <c r="A2191" s="1" t="s">
        <v>4380</v>
      </c>
      <c r="B2191" s="1" t="s">
        <v>4381</v>
      </c>
    </row>
    <row r="2192" spans="1:2" ht="15.75">
      <c r="A2192" s="1" t="s">
        <v>4382</v>
      </c>
      <c r="B2192" s="1" t="s">
        <v>4383</v>
      </c>
    </row>
    <row r="2193" spans="1:2" ht="15.75">
      <c r="A2193" s="1" t="s">
        <v>4384</v>
      </c>
      <c r="B2193" s="1" t="s">
        <v>4385</v>
      </c>
    </row>
    <row r="2194" spans="1:2" ht="15.75">
      <c r="A2194" s="1" t="s">
        <v>4386</v>
      </c>
      <c r="B2194" s="1" t="s">
        <v>4387</v>
      </c>
    </row>
    <row r="2195" spans="1:2" ht="15.75">
      <c r="A2195" s="1" t="s">
        <v>4388</v>
      </c>
      <c r="B2195" s="1" t="s">
        <v>4389</v>
      </c>
    </row>
    <row r="2196" spans="1:2" ht="15.75">
      <c r="A2196" s="1" t="s">
        <v>4390</v>
      </c>
      <c r="B2196" s="1" t="s">
        <v>4391</v>
      </c>
    </row>
    <row r="2197" spans="1:2" ht="15.75">
      <c r="A2197" s="1" t="s">
        <v>4392</v>
      </c>
      <c r="B2197" s="1" t="s">
        <v>4393</v>
      </c>
    </row>
    <row r="2198" spans="1:2" ht="15.75">
      <c r="A2198" s="1" t="s">
        <v>4394</v>
      </c>
      <c r="B2198" s="1" t="s">
        <v>4395</v>
      </c>
    </row>
    <row r="2199" spans="1:2" ht="15.75">
      <c r="A2199" s="1" t="s">
        <v>4396</v>
      </c>
      <c r="B2199" s="1" t="s">
        <v>4397</v>
      </c>
    </row>
    <row r="2200" spans="1:2" ht="15.75">
      <c r="A2200" s="1" t="s">
        <v>4398</v>
      </c>
      <c r="B2200" s="1" t="s">
        <v>4399</v>
      </c>
    </row>
    <row r="2201" spans="1:2" ht="15.75">
      <c r="A2201" s="1" t="s">
        <v>4400</v>
      </c>
      <c r="B2201" s="1" t="s">
        <v>4401</v>
      </c>
    </row>
    <row r="2202" spans="1:2" ht="15.75">
      <c r="A2202" s="1" t="s">
        <v>4402</v>
      </c>
      <c r="B2202" s="1" t="s">
        <v>4403</v>
      </c>
    </row>
    <row r="2203" spans="1:2" ht="15.75">
      <c r="A2203" s="1" t="s">
        <v>4404</v>
      </c>
      <c r="B2203" s="1" t="s">
        <v>4405</v>
      </c>
    </row>
    <row r="2204" spans="1:2" ht="15.75">
      <c r="A2204" s="1" t="s">
        <v>4406</v>
      </c>
      <c r="B2204" s="1" t="s">
        <v>4407</v>
      </c>
    </row>
    <row r="2205" spans="1:2" ht="15.75">
      <c r="A2205" s="1" t="s">
        <v>4408</v>
      </c>
      <c r="B2205" s="1" t="s">
        <v>4409</v>
      </c>
    </row>
    <row r="2206" spans="1:2" ht="15.75">
      <c r="A2206" s="1" t="s">
        <v>4410</v>
      </c>
      <c r="B2206" s="1" t="s">
        <v>4411</v>
      </c>
    </row>
    <row r="2207" spans="1:2" ht="15.75">
      <c r="A2207" s="1" t="s">
        <v>4412</v>
      </c>
      <c r="B2207" s="1" t="s">
        <v>4413</v>
      </c>
    </row>
    <row r="2208" spans="1:2" ht="15.75">
      <c r="A2208" s="1" t="s">
        <v>4414</v>
      </c>
      <c r="B2208" s="1" t="s">
        <v>4415</v>
      </c>
    </row>
    <row r="2209" spans="1:2" ht="15.75">
      <c r="A2209" s="1" t="s">
        <v>4416</v>
      </c>
      <c r="B2209" s="1" t="s">
        <v>4417</v>
      </c>
    </row>
    <row r="2210" spans="1:2" ht="15.75">
      <c r="A2210" s="1" t="s">
        <v>4418</v>
      </c>
      <c r="B2210" s="1" t="s">
        <v>4419</v>
      </c>
    </row>
    <row r="2211" spans="1:2" ht="15.75">
      <c r="A2211" s="1" t="s">
        <v>4420</v>
      </c>
      <c r="B2211" s="1" t="s">
        <v>4421</v>
      </c>
    </row>
    <row r="2212" spans="1:2" ht="15.75">
      <c r="A2212" s="1" t="s">
        <v>4422</v>
      </c>
      <c r="B2212" s="1" t="s">
        <v>4423</v>
      </c>
    </row>
    <row r="2213" spans="1:2" ht="15.75">
      <c r="A2213" s="1" t="s">
        <v>4424</v>
      </c>
      <c r="B2213" s="1" t="s">
        <v>4425</v>
      </c>
    </row>
    <row r="2214" spans="1:2" ht="15.75">
      <c r="A2214" s="1" t="s">
        <v>4426</v>
      </c>
      <c r="B2214" s="1" t="s">
        <v>4427</v>
      </c>
    </row>
    <row r="2215" spans="1:2" ht="15.75">
      <c r="A2215" s="1" t="s">
        <v>4428</v>
      </c>
      <c r="B2215" s="1" t="s">
        <v>4429</v>
      </c>
    </row>
    <row r="2216" spans="1:2" ht="15.75">
      <c r="A2216" s="1" t="s">
        <v>4430</v>
      </c>
      <c r="B2216" s="1" t="s">
        <v>4431</v>
      </c>
    </row>
    <row r="2217" spans="1:2" ht="15.75">
      <c r="A2217" s="1" t="s">
        <v>4432</v>
      </c>
      <c r="B2217" s="1" t="s">
        <v>4433</v>
      </c>
    </row>
    <row r="2218" spans="1:2" ht="15.75">
      <c r="A2218" s="1" t="s">
        <v>4434</v>
      </c>
      <c r="B2218" s="1" t="s">
        <v>4435</v>
      </c>
    </row>
    <row r="2219" spans="1:2" ht="15.75">
      <c r="A2219" s="1" t="s">
        <v>4436</v>
      </c>
      <c r="B2219" s="1" t="s">
        <v>4437</v>
      </c>
    </row>
    <row r="2220" spans="1:2" ht="15.75">
      <c r="A2220" s="1" t="s">
        <v>4438</v>
      </c>
      <c r="B2220" s="1" t="s">
        <v>4439</v>
      </c>
    </row>
    <row r="2221" spans="1:2" ht="15.75">
      <c r="A2221" s="1" t="s">
        <v>4440</v>
      </c>
      <c r="B2221" s="1" t="s">
        <v>4441</v>
      </c>
    </row>
    <row r="2222" spans="1:2" ht="15.75">
      <c r="A2222" s="1" t="s">
        <v>4442</v>
      </c>
      <c r="B2222" s="1" t="s">
        <v>4443</v>
      </c>
    </row>
    <row r="2223" spans="1:2" ht="15.75">
      <c r="A2223" s="1" t="s">
        <v>4444</v>
      </c>
      <c r="B2223" s="1" t="s">
        <v>4445</v>
      </c>
    </row>
    <row r="2224" spans="1:2" ht="15.75">
      <c r="A2224" s="1" t="s">
        <v>4446</v>
      </c>
      <c r="B2224" s="1" t="s">
        <v>4447</v>
      </c>
    </row>
    <row r="2225" spans="1:2" ht="15.75">
      <c r="A2225" s="1" t="s">
        <v>4448</v>
      </c>
      <c r="B2225" s="1" t="s">
        <v>4449</v>
      </c>
    </row>
    <row r="2226" spans="1:2" ht="15.75">
      <c r="A2226" s="1" t="s">
        <v>4450</v>
      </c>
      <c r="B2226" s="1" t="s">
        <v>4451</v>
      </c>
    </row>
    <row r="2227" spans="1:2" ht="15.75">
      <c r="A2227" s="1" t="s">
        <v>4452</v>
      </c>
      <c r="B2227" s="1" t="s">
        <v>4453</v>
      </c>
    </row>
    <row r="2228" spans="1:2" ht="15.75">
      <c r="A2228" s="1" t="s">
        <v>4454</v>
      </c>
      <c r="B2228" s="1" t="s">
        <v>4455</v>
      </c>
    </row>
    <row r="2229" spans="1:2" ht="15.75">
      <c r="A2229" s="1" t="s">
        <v>4456</v>
      </c>
      <c r="B2229" s="1" t="s">
        <v>4457</v>
      </c>
    </row>
    <row r="2230" spans="1:2" ht="15.75">
      <c r="A2230" s="1" t="s">
        <v>4458</v>
      </c>
      <c r="B2230" s="1" t="s">
        <v>4459</v>
      </c>
    </row>
    <row r="2231" spans="1:2" ht="15.75">
      <c r="A2231" s="1" t="s">
        <v>4460</v>
      </c>
      <c r="B2231" s="1" t="s">
        <v>4461</v>
      </c>
    </row>
    <row r="2232" spans="1:2" ht="15.75">
      <c r="A2232" s="1" t="s">
        <v>4462</v>
      </c>
      <c r="B2232" s="1" t="s">
        <v>4463</v>
      </c>
    </row>
    <row r="2233" spans="1:2" ht="15.75">
      <c r="A2233" s="1" t="s">
        <v>4464</v>
      </c>
      <c r="B2233" s="1" t="s">
        <v>4465</v>
      </c>
    </row>
    <row r="2234" spans="1:2" ht="15.75">
      <c r="A2234" s="1" t="s">
        <v>4466</v>
      </c>
      <c r="B2234" s="1" t="s">
        <v>4467</v>
      </c>
    </row>
    <row r="2235" spans="1:2" ht="15.75">
      <c r="A2235" s="1" t="s">
        <v>4468</v>
      </c>
      <c r="B2235" s="1" t="s">
        <v>4469</v>
      </c>
    </row>
    <row r="2236" spans="1:2" ht="15.75">
      <c r="A2236" s="1" t="s">
        <v>4470</v>
      </c>
      <c r="B2236" s="1" t="s">
        <v>4471</v>
      </c>
    </row>
    <row r="2237" spans="1:2" ht="15.75">
      <c r="A2237" s="1" t="s">
        <v>4472</v>
      </c>
      <c r="B2237" s="1" t="s">
        <v>4473</v>
      </c>
    </row>
    <row r="2238" spans="1:2" ht="15.75">
      <c r="A2238" s="1" t="s">
        <v>4474</v>
      </c>
      <c r="B2238" s="1" t="s">
        <v>4475</v>
      </c>
    </row>
    <row r="2239" spans="1:2" ht="15.75">
      <c r="A2239" s="1" t="s">
        <v>4476</v>
      </c>
      <c r="B2239" s="1" t="s">
        <v>4477</v>
      </c>
    </row>
    <row r="2240" spans="1:2" ht="15.75">
      <c r="A2240" s="1" t="s">
        <v>4478</v>
      </c>
      <c r="B2240" s="1" t="s">
        <v>4479</v>
      </c>
    </row>
    <row r="2241" spans="1:2" ht="15.75">
      <c r="A2241" s="1" t="s">
        <v>4480</v>
      </c>
      <c r="B2241" s="1" t="s">
        <v>4481</v>
      </c>
    </row>
    <row r="2242" spans="1:2" ht="15.75">
      <c r="A2242" s="1" t="s">
        <v>4482</v>
      </c>
      <c r="B2242" s="1" t="s">
        <v>4483</v>
      </c>
    </row>
    <row r="2243" spans="1:2" ht="15.75">
      <c r="A2243" s="1" t="s">
        <v>4484</v>
      </c>
      <c r="B2243" s="1" t="s">
        <v>4485</v>
      </c>
    </row>
    <row r="2244" spans="1:2" ht="15.75">
      <c r="A2244" s="1" t="s">
        <v>4486</v>
      </c>
      <c r="B2244" s="1" t="s">
        <v>4487</v>
      </c>
    </row>
    <row r="2245" spans="1:2" ht="15.75">
      <c r="A2245" s="1" t="s">
        <v>4488</v>
      </c>
      <c r="B2245" s="1" t="s">
        <v>4489</v>
      </c>
    </row>
    <row r="2246" spans="1:2" ht="15.75">
      <c r="A2246" s="1" t="s">
        <v>4490</v>
      </c>
      <c r="B2246" s="1" t="s">
        <v>4491</v>
      </c>
    </row>
    <row r="2247" spans="1:2" ht="15.75">
      <c r="A2247" s="1" t="s">
        <v>4492</v>
      </c>
      <c r="B2247" s="1" t="s">
        <v>4493</v>
      </c>
    </row>
    <row r="2248" spans="1:2" ht="15.75">
      <c r="A2248" s="1" t="s">
        <v>4494</v>
      </c>
      <c r="B2248" s="1" t="s">
        <v>4495</v>
      </c>
    </row>
    <row r="2249" spans="1:2" ht="15.75">
      <c r="A2249" s="1" t="s">
        <v>4496</v>
      </c>
      <c r="B2249" s="1" t="s">
        <v>4497</v>
      </c>
    </row>
    <row r="2250" spans="1:2" ht="15.75">
      <c r="A2250" s="1" t="s">
        <v>4498</v>
      </c>
      <c r="B2250" s="1" t="s">
        <v>4499</v>
      </c>
    </row>
    <row r="2251" spans="1:2" ht="15.75">
      <c r="A2251" s="1" t="s">
        <v>4500</v>
      </c>
      <c r="B2251" s="1" t="s">
        <v>4501</v>
      </c>
    </row>
    <row r="2252" spans="1:2" ht="15.75">
      <c r="A2252" s="1" t="s">
        <v>4502</v>
      </c>
      <c r="B2252" s="1" t="s">
        <v>4503</v>
      </c>
    </row>
    <row r="2253" spans="1:2" ht="15.75">
      <c r="A2253" s="1" t="s">
        <v>4504</v>
      </c>
      <c r="B2253" s="1" t="s">
        <v>4505</v>
      </c>
    </row>
    <row r="2254" spans="1:2" ht="15.75">
      <c r="A2254" s="1" t="s">
        <v>4506</v>
      </c>
      <c r="B2254" s="1" t="s">
        <v>4507</v>
      </c>
    </row>
    <row r="2255" spans="1:2" ht="15.75">
      <c r="A2255" s="1" t="s">
        <v>4508</v>
      </c>
      <c r="B2255" s="1" t="s">
        <v>4509</v>
      </c>
    </row>
    <row r="2256" spans="1:2" ht="15.75">
      <c r="A2256" s="1" t="s">
        <v>4510</v>
      </c>
      <c r="B2256" s="1" t="s">
        <v>4511</v>
      </c>
    </row>
    <row r="2257" spans="1:2" ht="15.75">
      <c r="A2257" s="1" t="s">
        <v>4512</v>
      </c>
      <c r="B2257" s="1" t="s">
        <v>4513</v>
      </c>
    </row>
    <row r="2258" spans="1:2" ht="15.75">
      <c r="A2258" s="1" t="s">
        <v>4514</v>
      </c>
      <c r="B2258" s="1" t="s">
        <v>4515</v>
      </c>
    </row>
    <row r="2259" spans="1:2" ht="15.75">
      <c r="A2259" s="1" t="s">
        <v>4516</v>
      </c>
      <c r="B2259" s="1" t="s">
        <v>4517</v>
      </c>
    </row>
    <row r="2260" spans="1:2" ht="15.75">
      <c r="A2260" s="1" t="s">
        <v>4518</v>
      </c>
      <c r="B2260" s="1" t="s">
        <v>4519</v>
      </c>
    </row>
    <row r="2261" spans="1:2" ht="15.75">
      <c r="A2261" s="1" t="s">
        <v>4520</v>
      </c>
      <c r="B2261" s="1" t="s">
        <v>4521</v>
      </c>
    </row>
    <row r="2262" spans="1:2" ht="15.75">
      <c r="A2262" s="1" t="s">
        <v>4522</v>
      </c>
      <c r="B2262" s="1" t="s">
        <v>4523</v>
      </c>
    </row>
    <row r="2263" spans="1:2" ht="15.75">
      <c r="A2263" s="1" t="s">
        <v>4524</v>
      </c>
      <c r="B2263" s="1" t="s">
        <v>4525</v>
      </c>
    </row>
    <row r="2264" spans="1:2" ht="15.75">
      <c r="A2264" s="1" t="s">
        <v>4526</v>
      </c>
      <c r="B2264" s="1" t="s">
        <v>4527</v>
      </c>
    </row>
    <row r="2265" spans="1:2" ht="15.75">
      <c r="A2265" s="1" t="s">
        <v>4528</v>
      </c>
      <c r="B2265" s="1" t="s">
        <v>4529</v>
      </c>
    </row>
    <row r="2266" spans="1:2" ht="15.75">
      <c r="A2266" s="1" t="s">
        <v>4530</v>
      </c>
      <c r="B2266" s="1" t="s">
        <v>4531</v>
      </c>
    </row>
    <row r="2267" spans="1:2" ht="15.75">
      <c r="A2267" s="1" t="s">
        <v>4532</v>
      </c>
      <c r="B2267" s="1" t="s">
        <v>4533</v>
      </c>
    </row>
    <row r="2268" spans="1:2" ht="15.75">
      <c r="A2268" s="1" t="s">
        <v>4534</v>
      </c>
      <c r="B2268" s="1" t="s">
        <v>4535</v>
      </c>
    </row>
    <row r="2269" spans="1:2" ht="15.75">
      <c r="A2269" s="1" t="s">
        <v>4536</v>
      </c>
      <c r="B2269" s="1" t="s">
        <v>4537</v>
      </c>
    </row>
    <row r="2270" spans="1:2" ht="15.75">
      <c r="A2270" s="1" t="s">
        <v>4538</v>
      </c>
      <c r="B2270" s="1" t="s">
        <v>4539</v>
      </c>
    </row>
    <row r="2271" spans="1:2" ht="15.75">
      <c r="A2271" s="1" t="s">
        <v>4540</v>
      </c>
      <c r="B2271" s="1" t="s">
        <v>4541</v>
      </c>
    </row>
    <row r="2272" spans="1:2" ht="15.75">
      <c r="A2272" s="1" t="s">
        <v>4542</v>
      </c>
      <c r="B2272" s="1" t="s">
        <v>4543</v>
      </c>
    </row>
    <row r="2273" spans="1:2" ht="15.75">
      <c r="A2273" s="1" t="s">
        <v>4544</v>
      </c>
      <c r="B2273" s="1" t="s">
        <v>4545</v>
      </c>
    </row>
    <row r="2274" spans="1:2" ht="15.75">
      <c r="A2274" s="1" t="s">
        <v>4546</v>
      </c>
      <c r="B2274" s="1" t="s">
        <v>4547</v>
      </c>
    </row>
    <row r="2275" spans="1:2" ht="15.75">
      <c r="A2275" s="1" t="s">
        <v>4548</v>
      </c>
      <c r="B2275" s="1" t="s">
        <v>4549</v>
      </c>
    </row>
    <row r="2276" spans="1:2" ht="15.75">
      <c r="A2276" s="1" t="s">
        <v>4550</v>
      </c>
      <c r="B2276" s="1" t="s">
        <v>4551</v>
      </c>
    </row>
    <row r="2277" spans="1:2" ht="15.75">
      <c r="A2277" s="1" t="s">
        <v>4552</v>
      </c>
      <c r="B2277" s="1" t="s">
        <v>4553</v>
      </c>
    </row>
    <row r="2278" spans="1:2" ht="15.75">
      <c r="A2278" s="1" t="s">
        <v>4554</v>
      </c>
      <c r="B2278" s="1" t="s">
        <v>4555</v>
      </c>
    </row>
    <row r="2279" spans="1:2" ht="15.75">
      <c r="A2279" s="1" t="s">
        <v>4556</v>
      </c>
      <c r="B2279" s="1" t="s">
        <v>4557</v>
      </c>
    </row>
    <row r="2280" spans="1:2" ht="15.75">
      <c r="A2280" s="1" t="s">
        <v>4558</v>
      </c>
      <c r="B2280" s="1" t="s">
        <v>4559</v>
      </c>
    </row>
    <row r="2281" spans="1:2" ht="15.75">
      <c r="A2281" s="1" t="s">
        <v>4560</v>
      </c>
      <c r="B2281" s="1" t="s">
        <v>4561</v>
      </c>
    </row>
    <row r="2282" spans="1:2" ht="15.75">
      <c r="A2282" s="1" t="s">
        <v>4562</v>
      </c>
      <c r="B2282" s="1" t="s">
        <v>4563</v>
      </c>
    </row>
    <row r="2283" spans="1:2" ht="15.75">
      <c r="A2283" s="1" t="s">
        <v>4564</v>
      </c>
      <c r="B2283" s="1" t="s">
        <v>4565</v>
      </c>
    </row>
    <row r="2284" spans="1:2" ht="15.75">
      <c r="A2284" s="1" t="s">
        <v>4566</v>
      </c>
      <c r="B2284" s="1" t="s">
        <v>4567</v>
      </c>
    </row>
    <row r="2285" spans="1:2" ht="15.75">
      <c r="A2285" s="1" t="s">
        <v>4568</v>
      </c>
      <c r="B2285" s="1" t="s">
        <v>4569</v>
      </c>
    </row>
    <row r="2286" spans="1:2" ht="15.75">
      <c r="A2286" s="1" t="s">
        <v>4570</v>
      </c>
      <c r="B2286" s="1" t="s">
        <v>4571</v>
      </c>
    </row>
    <row r="2287" spans="1:2" ht="15.75">
      <c r="A2287" s="1" t="s">
        <v>4572</v>
      </c>
      <c r="B2287" s="1" t="s">
        <v>4573</v>
      </c>
    </row>
    <row r="2288" spans="1:2" ht="15.75">
      <c r="A2288" s="1" t="s">
        <v>4574</v>
      </c>
      <c r="B2288" s="1" t="s">
        <v>4575</v>
      </c>
    </row>
    <row r="2289" spans="1:2" ht="15.75">
      <c r="A2289" s="1" t="s">
        <v>4576</v>
      </c>
      <c r="B2289" s="1" t="s">
        <v>4577</v>
      </c>
    </row>
    <row r="2290" spans="1:2" ht="15.75">
      <c r="A2290" s="1" t="s">
        <v>4578</v>
      </c>
      <c r="B2290" s="1" t="s">
        <v>4579</v>
      </c>
    </row>
    <row r="2291" spans="1:2" ht="15.75">
      <c r="A2291" s="1" t="s">
        <v>4580</v>
      </c>
      <c r="B2291" s="1" t="s">
        <v>4581</v>
      </c>
    </row>
    <row r="2292" spans="1:2" ht="15.75">
      <c r="A2292" s="1" t="s">
        <v>4582</v>
      </c>
      <c r="B2292" s="1" t="s">
        <v>4583</v>
      </c>
    </row>
    <row r="2293" spans="1:2" ht="15.75">
      <c r="A2293" s="1" t="s">
        <v>4584</v>
      </c>
      <c r="B2293" s="1" t="s">
        <v>4585</v>
      </c>
    </row>
    <row r="2294" spans="1:2" ht="15.75">
      <c r="A2294" s="1" t="s">
        <v>4586</v>
      </c>
      <c r="B2294" s="1" t="s">
        <v>4587</v>
      </c>
    </row>
    <row r="2295" spans="1:2" ht="15.75">
      <c r="A2295" s="1" t="s">
        <v>4588</v>
      </c>
      <c r="B2295" s="1" t="s">
        <v>4589</v>
      </c>
    </row>
    <row r="2296" spans="1:2" ht="15.75">
      <c r="A2296" s="1" t="s">
        <v>4590</v>
      </c>
      <c r="B2296" s="1" t="s">
        <v>4591</v>
      </c>
    </row>
    <row r="2297" spans="1:2" ht="15.75">
      <c r="A2297" s="1" t="s">
        <v>4592</v>
      </c>
      <c r="B2297" s="1" t="s">
        <v>4593</v>
      </c>
    </row>
    <row r="2298" spans="1:2" ht="15.75">
      <c r="A2298" s="1" t="s">
        <v>4594</v>
      </c>
      <c r="B2298" s="1" t="s">
        <v>4595</v>
      </c>
    </row>
    <row r="2299" spans="1:2" ht="15.75">
      <c r="A2299" s="1" t="s">
        <v>4596</v>
      </c>
      <c r="B2299" s="1" t="s">
        <v>4597</v>
      </c>
    </row>
    <row r="2300" spans="1:2" ht="15.75">
      <c r="A2300" s="1" t="s">
        <v>4598</v>
      </c>
      <c r="B2300" s="1" t="s">
        <v>4599</v>
      </c>
    </row>
    <row r="2301" spans="1:2" ht="15.75">
      <c r="A2301" s="1" t="s">
        <v>4600</v>
      </c>
      <c r="B2301" s="1" t="s">
        <v>4601</v>
      </c>
    </row>
    <row r="2302" spans="1:2" ht="15.75">
      <c r="A2302" s="1" t="s">
        <v>4602</v>
      </c>
      <c r="B2302" s="1" t="s">
        <v>4603</v>
      </c>
    </row>
    <row r="2303" spans="1:2" ht="15.75">
      <c r="A2303" s="1" t="s">
        <v>4604</v>
      </c>
      <c r="B2303" s="1" t="s">
        <v>4605</v>
      </c>
    </row>
    <row r="2304" spans="1:2" ht="15.75">
      <c r="A2304" s="1" t="s">
        <v>4606</v>
      </c>
      <c r="B2304" s="1" t="s">
        <v>4607</v>
      </c>
    </row>
    <row r="2305" spans="1:2" ht="15.75">
      <c r="A2305" s="1" t="s">
        <v>4608</v>
      </c>
      <c r="B2305" s="1" t="s">
        <v>4609</v>
      </c>
    </row>
    <row r="2306" spans="1:2" ht="15.75">
      <c r="A2306" s="1" t="s">
        <v>4610</v>
      </c>
      <c r="B2306" s="1" t="s">
        <v>4611</v>
      </c>
    </row>
    <row r="2307" spans="1:2" ht="15.75">
      <c r="A2307" s="1" t="s">
        <v>4612</v>
      </c>
      <c r="B2307" s="1" t="s">
        <v>4613</v>
      </c>
    </row>
    <row r="2308" spans="1:2" ht="15.75">
      <c r="A2308" s="1" t="s">
        <v>4614</v>
      </c>
      <c r="B2308" s="1" t="s">
        <v>4615</v>
      </c>
    </row>
    <row r="2309" spans="1:2" ht="15.75">
      <c r="A2309" s="1" t="s">
        <v>4616</v>
      </c>
      <c r="B2309" s="1" t="s">
        <v>4617</v>
      </c>
    </row>
    <row r="2310" spans="1:2" ht="15.75">
      <c r="A2310" s="1" t="s">
        <v>4618</v>
      </c>
      <c r="B2310" s="1" t="s">
        <v>4619</v>
      </c>
    </row>
    <row r="2311" spans="1:2" ht="15.75">
      <c r="A2311" s="1" t="s">
        <v>4620</v>
      </c>
      <c r="B2311" s="1" t="s">
        <v>4621</v>
      </c>
    </row>
    <row r="2312" spans="1:2" ht="15.75">
      <c r="A2312" s="1" t="s">
        <v>4622</v>
      </c>
      <c r="B2312" s="1" t="s">
        <v>4623</v>
      </c>
    </row>
    <row r="2313" spans="1:2" ht="15.75">
      <c r="A2313" s="1" t="s">
        <v>4624</v>
      </c>
      <c r="B2313" s="1" t="s">
        <v>4625</v>
      </c>
    </row>
    <row r="2314" spans="1:2" ht="15.75">
      <c r="A2314" s="1" t="s">
        <v>4626</v>
      </c>
      <c r="B2314" s="1" t="s">
        <v>4627</v>
      </c>
    </row>
    <row r="2315" spans="1:2" ht="15.75">
      <c r="A2315" s="1" t="s">
        <v>4628</v>
      </c>
      <c r="B2315" s="1" t="s">
        <v>4629</v>
      </c>
    </row>
    <row r="2316" spans="1:2" ht="15.75">
      <c r="A2316" s="1" t="s">
        <v>4630</v>
      </c>
      <c r="B2316" s="1" t="s">
        <v>4631</v>
      </c>
    </row>
    <row r="2317" spans="1:2" ht="15.75">
      <c r="A2317" s="1" t="s">
        <v>4632</v>
      </c>
      <c r="B2317" s="1" t="s">
        <v>4633</v>
      </c>
    </row>
    <row r="2318" spans="1:2" ht="15.75">
      <c r="A2318" s="1" t="s">
        <v>4634</v>
      </c>
      <c r="B2318" s="1" t="s">
        <v>4635</v>
      </c>
    </row>
    <row r="2319" spans="1:2" ht="15.75">
      <c r="A2319" s="1" t="s">
        <v>4636</v>
      </c>
      <c r="B2319" s="1" t="s">
        <v>4637</v>
      </c>
    </row>
    <row r="2320" spans="1:2" ht="15.75">
      <c r="A2320" s="1" t="s">
        <v>4638</v>
      </c>
      <c r="B2320" s="1" t="s">
        <v>4639</v>
      </c>
    </row>
    <row r="2321" spans="1:2" ht="15.75">
      <c r="A2321" s="1" t="s">
        <v>4640</v>
      </c>
      <c r="B2321" s="1" t="s">
        <v>4641</v>
      </c>
    </row>
    <row r="2322" spans="1:2" ht="15.75">
      <c r="A2322" s="1" t="s">
        <v>4642</v>
      </c>
      <c r="B2322" s="1" t="s">
        <v>4643</v>
      </c>
    </row>
    <row r="2323" spans="1:2" ht="15.75">
      <c r="A2323" s="1" t="s">
        <v>4644</v>
      </c>
      <c r="B2323" s="1" t="s">
        <v>4645</v>
      </c>
    </row>
    <row r="2324" spans="1:2" ht="15.75">
      <c r="A2324" s="1" t="s">
        <v>4646</v>
      </c>
      <c r="B2324" s="1" t="s">
        <v>4647</v>
      </c>
    </row>
    <row r="2325" spans="1:2" ht="15.75">
      <c r="A2325" s="1" t="s">
        <v>4648</v>
      </c>
      <c r="B2325" s="1" t="s">
        <v>4649</v>
      </c>
    </row>
    <row r="2326" spans="1:2" ht="15.75">
      <c r="A2326" s="1" t="s">
        <v>4650</v>
      </c>
      <c r="B2326" s="1" t="s">
        <v>4651</v>
      </c>
    </row>
    <row r="2327" spans="1:2" ht="15.75">
      <c r="A2327" s="1" t="s">
        <v>4652</v>
      </c>
      <c r="B2327" s="1" t="s">
        <v>4653</v>
      </c>
    </row>
    <row r="2328" spans="1:2" ht="15.75">
      <c r="A2328" s="1" t="s">
        <v>4654</v>
      </c>
      <c r="B2328" s="1" t="s">
        <v>4655</v>
      </c>
    </row>
    <row r="2329" spans="1:2" ht="15.75">
      <c r="A2329" s="1" t="s">
        <v>4656</v>
      </c>
      <c r="B2329" s="1" t="s">
        <v>4657</v>
      </c>
    </row>
    <row r="2330" spans="1:2" ht="15.75">
      <c r="A2330" s="1" t="s">
        <v>4658</v>
      </c>
      <c r="B2330" s="1" t="s">
        <v>4659</v>
      </c>
    </row>
    <row r="2331" spans="1:2" ht="15.75">
      <c r="A2331" s="1" t="s">
        <v>4660</v>
      </c>
      <c r="B2331" s="1" t="s">
        <v>4661</v>
      </c>
    </row>
    <row r="2332" spans="1:2" ht="15.75">
      <c r="A2332" s="1" t="s">
        <v>4662</v>
      </c>
      <c r="B2332" s="1" t="s">
        <v>4663</v>
      </c>
    </row>
    <row r="2333" spans="1:2" ht="15.75">
      <c r="A2333" s="1" t="s">
        <v>4664</v>
      </c>
      <c r="B2333" s="1" t="s">
        <v>4665</v>
      </c>
    </row>
    <row r="2334" spans="1:2" ht="15.75">
      <c r="A2334" s="1" t="s">
        <v>4666</v>
      </c>
      <c r="B2334" s="1" t="s">
        <v>4667</v>
      </c>
    </row>
    <row r="2335" spans="1:2" ht="15.75">
      <c r="A2335" s="1" t="s">
        <v>4668</v>
      </c>
      <c r="B2335" s="1" t="s">
        <v>4669</v>
      </c>
    </row>
    <row r="2336" spans="1:2" ht="15.75">
      <c r="A2336" s="1" t="s">
        <v>4670</v>
      </c>
      <c r="B2336" s="1" t="s">
        <v>4671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36"/>
  <sheetViews>
    <sheetView topLeftCell="F2328" workbookViewId="0">
      <selection sqref="A1:J2336"/>
    </sheetView>
  </sheetViews>
  <sheetFormatPr defaultRowHeight="15"/>
  <cols>
    <col min="1" max="1" width="11.85546875" bestFit="1" customWidth="1"/>
    <col min="4" max="4" width="11.7109375" bestFit="1" customWidth="1"/>
    <col min="5" max="5" width="15.140625" bestFit="1" customWidth="1"/>
    <col min="6" max="6" width="13.7109375" bestFit="1" customWidth="1"/>
    <col min="7" max="7" width="24.28515625" bestFit="1" customWidth="1"/>
    <col min="9" max="11" width="12.42578125" customWidth="1"/>
  </cols>
  <sheetData>
    <row r="1" spans="1:11" ht="18.95" customHeight="1">
      <c r="A1" s="4" t="s">
        <v>4672</v>
      </c>
      <c r="B1" s="4" t="s">
        <v>4673</v>
      </c>
      <c r="C1" s="4" t="s">
        <v>4674</v>
      </c>
      <c r="D1" s="4" t="s">
        <v>4675</v>
      </c>
      <c r="E1" s="4" t="s">
        <v>4676</v>
      </c>
      <c r="F1" s="4" t="s">
        <v>4677</v>
      </c>
      <c r="G1" s="7" t="s">
        <v>4678</v>
      </c>
      <c r="H1" s="4" t="s">
        <v>4679</v>
      </c>
      <c r="I1" s="8" t="s">
        <v>4680</v>
      </c>
      <c r="J1" s="8" t="s">
        <v>4681</v>
      </c>
      <c r="K1" s="9"/>
    </row>
    <row r="2" spans="1:11">
      <c r="A2" t="s">
        <v>2</v>
      </c>
      <c r="B2">
        <v>47.41</v>
      </c>
      <c r="C2">
        <v>7.47</v>
      </c>
      <c r="D2" t="s">
        <v>4682</v>
      </c>
      <c r="E2" t="s">
        <v>4682</v>
      </c>
      <c r="F2" t="s">
        <v>4682</v>
      </c>
      <c r="G2">
        <v>0</v>
      </c>
      <c r="H2" t="s">
        <v>4683</v>
      </c>
      <c r="I2" t="str" cm="1">
        <f t="array" ref="I2">_xlfn.IFS(B2&lt;18.5, "Underweight", B2&lt;=24.9, "Normal Weight", B2&lt;=29.9, "Overweight", TRUE, "Obesity")</f>
        <v>Obesity</v>
      </c>
      <c r="J2" t="str" cm="1">
        <f t="array" ref="J2">_xlfn.IFS(C2&lt;5.7, "Normal", C2&lt;=6.4, "Prediabetes", TRUE, "Diabetes")</f>
        <v>Diabetes</v>
      </c>
    </row>
    <row r="3" spans="1:11">
      <c r="A3" t="s">
        <v>4</v>
      </c>
      <c r="B3">
        <v>30.36</v>
      </c>
      <c r="C3">
        <v>5.77</v>
      </c>
      <c r="D3" t="s">
        <v>4682</v>
      </c>
      <c r="E3" t="s">
        <v>4682</v>
      </c>
      <c r="F3" t="s">
        <v>4682</v>
      </c>
      <c r="G3">
        <v>0</v>
      </c>
      <c r="H3" t="s">
        <v>4683</v>
      </c>
      <c r="I3" t="str" cm="1">
        <f t="array" ref="I3">_xlfn.IFS(B3&lt;18.5, "Underweight", B3&lt;=24.9, "Normal Weight", B3&lt;=29.9, "Overweight", TRUE, "Obesity")</f>
        <v>Obesity</v>
      </c>
      <c r="J3" t="str" cm="1">
        <f t="array" ref="J3">_xlfn.IFS(C3&lt;5.7, "Normal", C3&lt;=6.4, "Prediabetes", TRUE, "Diabetes")</f>
        <v>Prediabetes</v>
      </c>
    </row>
    <row r="4" spans="1:11">
      <c r="A4" t="s">
        <v>6</v>
      </c>
      <c r="B4">
        <v>34.484999999999999</v>
      </c>
      <c r="C4">
        <v>11.87</v>
      </c>
      <c r="D4" t="s">
        <v>4683</v>
      </c>
      <c r="E4" t="s">
        <v>4682</v>
      </c>
      <c r="F4" t="s">
        <v>4682</v>
      </c>
      <c r="G4">
        <v>2</v>
      </c>
      <c r="H4" t="s">
        <v>4683</v>
      </c>
      <c r="I4" t="str" cm="1">
        <f t="array" ref="I4">_xlfn.IFS(B4&lt;18.5, "Underweight", B4&lt;=24.9, "Normal Weight", B4&lt;=29.9, "Overweight", TRUE, "Obesity")</f>
        <v>Obesity</v>
      </c>
      <c r="J4" t="str" cm="1">
        <f t="array" ref="J4">_xlfn.IFS(C4&lt;5.7, "Normal", C4&lt;=6.4, "Prediabetes", TRUE, "Diabetes")</f>
        <v>Diabetes</v>
      </c>
    </row>
    <row r="5" spans="1:11">
      <c r="A5" t="s">
        <v>8</v>
      </c>
      <c r="B5">
        <v>38.094999999999999</v>
      </c>
      <c r="C5">
        <v>6.05</v>
      </c>
      <c r="D5" t="s">
        <v>4682</v>
      </c>
      <c r="E5" t="s">
        <v>4682</v>
      </c>
      <c r="F5" t="s">
        <v>4682</v>
      </c>
      <c r="G5">
        <v>0</v>
      </c>
      <c r="H5" t="s">
        <v>4683</v>
      </c>
      <c r="I5" t="str" cm="1">
        <f t="array" ref="I5">_xlfn.IFS(B5&lt;18.5, "Underweight", B5&lt;=24.9, "Normal Weight", B5&lt;=29.9, "Overweight", TRUE, "Obesity")</f>
        <v>Obesity</v>
      </c>
      <c r="J5" t="str" cm="1">
        <f t="array" ref="J5">_xlfn.IFS(C5&lt;5.7, "Normal", C5&lt;=6.4, "Prediabetes", TRUE, "Diabetes")</f>
        <v>Prediabetes</v>
      </c>
    </row>
    <row r="6" spans="1:11">
      <c r="A6" t="s">
        <v>10</v>
      </c>
      <c r="B6">
        <v>35.53</v>
      </c>
      <c r="C6">
        <v>5.45</v>
      </c>
      <c r="D6" t="s">
        <v>4682</v>
      </c>
      <c r="E6" t="s">
        <v>4682</v>
      </c>
      <c r="F6" t="s">
        <v>4682</v>
      </c>
      <c r="G6">
        <v>0</v>
      </c>
      <c r="H6" t="s">
        <v>4683</v>
      </c>
      <c r="I6" t="str" cm="1">
        <f t="array" ref="I6">_xlfn.IFS(B6&lt;18.5, "Underweight", B6&lt;=24.9, "Normal Weight", B6&lt;=29.9, "Overweight", TRUE, "Obesity")</f>
        <v>Obesity</v>
      </c>
      <c r="J6" t="str" cm="1">
        <f t="array" ref="J6">_xlfn.IFS(C6&lt;5.7, "Normal", C6&lt;=6.4, "Prediabetes", TRUE, "Diabetes")</f>
        <v>Normal</v>
      </c>
    </row>
    <row r="7" spans="1:11">
      <c r="A7" t="s">
        <v>12</v>
      </c>
      <c r="B7">
        <v>32.799999999999997</v>
      </c>
      <c r="C7">
        <v>6.59</v>
      </c>
      <c r="D7" t="s">
        <v>4682</v>
      </c>
      <c r="E7" t="s">
        <v>4682</v>
      </c>
      <c r="F7" t="s">
        <v>4682</v>
      </c>
      <c r="G7">
        <v>0</v>
      </c>
      <c r="H7" t="s">
        <v>4683</v>
      </c>
      <c r="I7" t="str" cm="1">
        <f t="array" ref="I7">_xlfn.IFS(B7&lt;18.5, "Underweight", B7&lt;=24.9, "Normal Weight", B7&lt;=29.9, "Overweight", TRUE, "Obesity")</f>
        <v>Obesity</v>
      </c>
      <c r="J7" t="str" cm="1">
        <f t="array" ref="J7">_xlfn.IFS(C7&lt;5.7, "Normal", C7&lt;=6.4, "Prediabetes", TRUE, "Diabetes")</f>
        <v>Diabetes</v>
      </c>
    </row>
    <row r="8" spans="1:11">
      <c r="A8" t="s">
        <v>14</v>
      </c>
      <c r="B8">
        <v>36.4</v>
      </c>
      <c r="C8">
        <v>6.07</v>
      </c>
      <c r="D8" t="s">
        <v>4682</v>
      </c>
      <c r="E8" t="s">
        <v>4682</v>
      </c>
      <c r="F8" t="s">
        <v>4682</v>
      </c>
      <c r="G8">
        <v>0</v>
      </c>
      <c r="H8" t="s">
        <v>4683</v>
      </c>
      <c r="I8" t="str" cm="1">
        <f t="array" ref="I8">_xlfn.IFS(B8&lt;18.5, "Underweight", B8&lt;=24.9, "Normal Weight", B8&lt;=29.9, "Overweight", TRUE, "Obesity")</f>
        <v>Obesity</v>
      </c>
      <c r="J8" t="str" cm="1">
        <f t="array" ref="J8">_xlfn.IFS(C8&lt;5.7, "Normal", C8&lt;=6.4, "Prediabetes", TRUE, "Diabetes")</f>
        <v>Prediabetes</v>
      </c>
    </row>
    <row r="9" spans="1:11">
      <c r="A9" t="s">
        <v>16</v>
      </c>
      <c r="B9">
        <v>36.96</v>
      </c>
      <c r="C9">
        <v>7.93</v>
      </c>
      <c r="D9" t="s">
        <v>4682</v>
      </c>
      <c r="E9" t="s">
        <v>4682</v>
      </c>
      <c r="F9" t="s">
        <v>4682</v>
      </c>
      <c r="G9">
        <v>3</v>
      </c>
      <c r="H9" t="s">
        <v>4683</v>
      </c>
      <c r="I9" t="str" cm="1">
        <f t="array" ref="I9">_xlfn.IFS(B9&lt;18.5, "Underweight", B9&lt;=24.9, "Normal Weight", B9&lt;=29.9, "Overweight", TRUE, "Obesity")</f>
        <v>Obesity</v>
      </c>
      <c r="J9" t="str" cm="1">
        <f t="array" ref="J9">_xlfn.IFS(C9&lt;5.7, "Normal", C9&lt;=6.4, "Prediabetes", TRUE, "Diabetes")</f>
        <v>Diabetes</v>
      </c>
    </row>
    <row r="10" spans="1:11">
      <c r="A10" t="s">
        <v>18</v>
      </c>
      <c r="B10">
        <v>41.14</v>
      </c>
      <c r="C10">
        <v>9.58</v>
      </c>
      <c r="D10" t="s">
        <v>4683</v>
      </c>
      <c r="E10" t="s">
        <v>4682</v>
      </c>
      <c r="F10" t="s">
        <v>4684</v>
      </c>
      <c r="G10">
        <v>1</v>
      </c>
      <c r="H10" t="s">
        <v>4683</v>
      </c>
      <c r="I10" t="str" cm="1">
        <f t="array" ref="I10">_xlfn.IFS(B10&lt;18.5, "Underweight", B10&lt;=24.9, "Normal Weight", B10&lt;=29.9, "Overweight", TRUE, "Obesity")</f>
        <v>Obesity</v>
      </c>
      <c r="J10" t="str" cm="1">
        <f t="array" ref="J10">_xlfn.IFS(C10&lt;5.7, "Normal", C10&lt;=6.4, "Prediabetes", TRUE, "Diabetes")</f>
        <v>Diabetes</v>
      </c>
    </row>
    <row r="11" spans="1:11">
      <c r="A11" t="s">
        <v>20</v>
      </c>
      <c r="B11">
        <v>38.06</v>
      </c>
      <c r="C11">
        <v>10.79</v>
      </c>
      <c r="D11" t="s">
        <v>4682</v>
      </c>
      <c r="E11" t="s">
        <v>4682</v>
      </c>
      <c r="F11" t="s">
        <v>4682</v>
      </c>
      <c r="G11">
        <v>0</v>
      </c>
      <c r="H11" t="s">
        <v>4683</v>
      </c>
      <c r="I11" t="str" cm="1">
        <f t="array" ref="I11">_xlfn.IFS(B11&lt;18.5, "Underweight", B11&lt;=24.9, "Normal Weight", B11&lt;=29.9, "Overweight", TRUE, "Obesity")</f>
        <v>Obesity</v>
      </c>
      <c r="J11" t="str" cm="1">
        <f t="array" ref="J11">_xlfn.IFS(C11&lt;5.7, "Normal", C11&lt;=6.4, "Prediabetes", TRUE, "Diabetes")</f>
        <v>Diabetes</v>
      </c>
    </row>
    <row r="12" spans="1:11">
      <c r="A12" t="s">
        <v>22</v>
      </c>
      <c r="B12">
        <v>37.700000000000003</v>
      </c>
      <c r="C12">
        <v>5.96</v>
      </c>
      <c r="D12" t="s">
        <v>4683</v>
      </c>
      <c r="E12" t="s">
        <v>4682</v>
      </c>
      <c r="F12" t="s">
        <v>4682</v>
      </c>
      <c r="G12">
        <v>2</v>
      </c>
      <c r="H12" t="s">
        <v>4683</v>
      </c>
      <c r="I12" t="str" cm="1">
        <f t="array" ref="I12">_xlfn.IFS(B12&lt;18.5, "Underweight", B12&lt;=24.9, "Normal Weight", B12&lt;=29.9, "Overweight", TRUE, "Obesity")</f>
        <v>Obesity</v>
      </c>
      <c r="J12" t="str" cm="1">
        <f t="array" ref="J12">_xlfn.IFS(C12&lt;5.7, "Normal", C12&lt;=6.4, "Prediabetes", TRUE, "Diabetes")</f>
        <v>Prediabetes</v>
      </c>
    </row>
    <row r="13" spans="1:11">
      <c r="A13" t="s">
        <v>24</v>
      </c>
      <c r="B13">
        <v>42.13</v>
      </c>
      <c r="C13">
        <v>11.9</v>
      </c>
      <c r="D13" t="s">
        <v>4682</v>
      </c>
      <c r="E13" t="s">
        <v>4682</v>
      </c>
      <c r="F13" t="s">
        <v>4682</v>
      </c>
      <c r="G13">
        <v>0</v>
      </c>
      <c r="H13" t="s">
        <v>4683</v>
      </c>
      <c r="I13" t="str" cm="1">
        <f t="array" ref="I13">_xlfn.IFS(B13&lt;18.5, "Underweight", B13&lt;=24.9, "Normal Weight", B13&lt;=29.9, "Overweight", TRUE, "Obesity")</f>
        <v>Obesity</v>
      </c>
      <c r="J13" t="str" cm="1">
        <f t="array" ref="J13">_xlfn.IFS(C13&lt;5.7, "Normal", C13&lt;=6.4, "Prediabetes", TRUE, "Diabetes")</f>
        <v>Diabetes</v>
      </c>
    </row>
    <row r="14" spans="1:11">
      <c r="A14" t="s">
        <v>26</v>
      </c>
      <c r="B14">
        <v>40.92</v>
      </c>
      <c r="C14">
        <v>8.41</v>
      </c>
      <c r="D14" t="s">
        <v>4682</v>
      </c>
      <c r="E14" t="s">
        <v>4682</v>
      </c>
      <c r="F14" t="s">
        <v>4682</v>
      </c>
      <c r="G14">
        <v>0</v>
      </c>
      <c r="H14" t="s">
        <v>4683</v>
      </c>
      <c r="I14" t="str" cm="1">
        <f t="array" ref="I14">_xlfn.IFS(B14&lt;18.5, "Underweight", B14&lt;=24.9, "Normal Weight", B14&lt;=29.9, "Overweight", TRUE, "Obesity")</f>
        <v>Obesity</v>
      </c>
      <c r="J14" t="str" cm="1">
        <f t="array" ref="J14">_xlfn.IFS(C14&lt;5.7, "Normal", C14&lt;=6.4, "Prediabetes", TRUE, "Diabetes")</f>
        <v>Diabetes</v>
      </c>
    </row>
    <row r="15" spans="1:11">
      <c r="A15" t="s">
        <v>28</v>
      </c>
      <c r="B15">
        <v>40.564999999999998</v>
      </c>
      <c r="C15">
        <v>7.02</v>
      </c>
      <c r="D15" t="s">
        <v>4682</v>
      </c>
      <c r="E15" t="s">
        <v>4682</v>
      </c>
      <c r="F15" t="s">
        <v>4682</v>
      </c>
      <c r="G15">
        <v>0</v>
      </c>
      <c r="H15" t="s">
        <v>4683</v>
      </c>
      <c r="I15" t="str" cm="1">
        <f t="array" ref="I15">_xlfn.IFS(B15&lt;18.5, "Underweight", B15&lt;=24.9, "Normal Weight", B15&lt;=29.9, "Overweight", TRUE, "Obesity")</f>
        <v>Obesity</v>
      </c>
      <c r="J15" t="str" cm="1">
        <f t="array" ref="J15">_xlfn.IFS(C15&lt;5.7, "Normal", C15&lt;=6.4, "Prediabetes", TRUE, "Diabetes")</f>
        <v>Diabetes</v>
      </c>
    </row>
    <row r="16" spans="1:11">
      <c r="A16" t="s">
        <v>30</v>
      </c>
      <c r="B16">
        <v>36.384999999999998</v>
      </c>
      <c r="C16">
        <v>7.59</v>
      </c>
      <c r="D16" t="s">
        <v>4683</v>
      </c>
      <c r="E16" t="s">
        <v>4682</v>
      </c>
      <c r="F16" t="s">
        <v>4682</v>
      </c>
      <c r="G16">
        <v>2</v>
      </c>
      <c r="H16" t="s">
        <v>4683</v>
      </c>
      <c r="I16" t="str" cm="1">
        <f t="array" ref="I16">_xlfn.IFS(B16&lt;18.5, "Underweight", B16&lt;=24.9, "Normal Weight", B16&lt;=29.9, "Overweight", TRUE, "Obesity")</f>
        <v>Obesity</v>
      </c>
      <c r="J16" t="str" cm="1">
        <f t="array" ref="J16">_xlfn.IFS(C16&lt;5.7, "Normal", C16&lt;=6.4, "Prediabetes", TRUE, "Diabetes")</f>
        <v>Diabetes</v>
      </c>
    </row>
    <row r="17" spans="1:10">
      <c r="A17" t="s">
        <v>32</v>
      </c>
      <c r="B17">
        <v>39.9</v>
      </c>
      <c r="C17">
        <v>11.32</v>
      </c>
      <c r="D17" t="s">
        <v>4682</v>
      </c>
      <c r="E17" t="s">
        <v>4682</v>
      </c>
      <c r="F17" t="s">
        <v>4682</v>
      </c>
      <c r="G17">
        <v>0</v>
      </c>
      <c r="H17" t="s">
        <v>4683</v>
      </c>
      <c r="I17" t="str" cm="1">
        <f t="array" ref="I17">_xlfn.IFS(B17&lt;18.5, "Underweight", B17&lt;=24.9, "Normal Weight", B17&lt;=29.9, "Overweight", TRUE, "Obesity")</f>
        <v>Obesity</v>
      </c>
      <c r="J17" t="str" cm="1">
        <f t="array" ref="J17">_xlfn.IFS(C17&lt;5.7, "Normal", C17&lt;=6.4, "Prediabetes", TRUE, "Diabetes")</f>
        <v>Diabetes</v>
      </c>
    </row>
    <row r="18" spans="1:10">
      <c r="A18" t="s">
        <v>34</v>
      </c>
      <c r="B18">
        <v>33.799999999999997</v>
      </c>
      <c r="C18">
        <v>7.67</v>
      </c>
      <c r="D18" t="s">
        <v>4682</v>
      </c>
      <c r="E18" t="s">
        <v>4682</v>
      </c>
      <c r="F18" t="s">
        <v>4682</v>
      </c>
      <c r="G18">
        <v>3</v>
      </c>
      <c r="H18" t="s">
        <v>4683</v>
      </c>
      <c r="I18" t="str" cm="1">
        <f t="array" ref="I18">_xlfn.IFS(B18&lt;18.5, "Underweight", B18&lt;=24.9, "Normal Weight", B18&lt;=29.9, "Overweight", TRUE, "Obesity")</f>
        <v>Obesity</v>
      </c>
      <c r="J18" t="str" cm="1">
        <f t="array" ref="J18">_xlfn.IFS(C18&lt;5.7, "Normal", C18&lt;=6.4, "Prediabetes", TRUE, "Diabetes")</f>
        <v>Diabetes</v>
      </c>
    </row>
    <row r="19" spans="1:10">
      <c r="A19" t="s">
        <v>36</v>
      </c>
      <c r="B19">
        <v>36.765000000000001</v>
      </c>
      <c r="C19">
        <v>7.29</v>
      </c>
      <c r="D19" t="s">
        <v>4683</v>
      </c>
      <c r="E19" t="s">
        <v>4682</v>
      </c>
      <c r="F19" t="s">
        <v>4684</v>
      </c>
      <c r="G19">
        <v>1</v>
      </c>
      <c r="H19" t="s">
        <v>4683</v>
      </c>
      <c r="I19" t="str" cm="1">
        <f t="array" ref="I19">_xlfn.IFS(B19&lt;18.5, "Underweight", B19&lt;=24.9, "Normal Weight", B19&lt;=29.9, "Overweight", TRUE, "Obesity")</f>
        <v>Obesity</v>
      </c>
      <c r="J19" t="str" cm="1">
        <f t="array" ref="J19">_xlfn.IFS(C19&lt;5.7, "Normal", C19&lt;=6.4, "Prediabetes", TRUE, "Diabetes")</f>
        <v>Diabetes</v>
      </c>
    </row>
    <row r="20" spans="1:10">
      <c r="A20" t="s">
        <v>38</v>
      </c>
      <c r="B20">
        <v>36.954999999999998</v>
      </c>
      <c r="C20">
        <v>4.72</v>
      </c>
      <c r="D20" t="s">
        <v>4683</v>
      </c>
      <c r="E20" t="s">
        <v>4682</v>
      </c>
      <c r="F20" t="s">
        <v>4682</v>
      </c>
      <c r="G20">
        <v>1</v>
      </c>
      <c r="H20" t="s">
        <v>4683</v>
      </c>
      <c r="I20" t="str" cm="1">
        <f t="array" ref="I20">_xlfn.IFS(B20&lt;18.5, "Underweight", B20&lt;=24.9, "Normal Weight", B20&lt;=29.9, "Overweight", TRUE, "Obesity")</f>
        <v>Obesity</v>
      </c>
      <c r="J20" t="str" cm="1">
        <f t="array" ref="J20">_xlfn.IFS(C20&lt;5.7, "Normal", C20&lt;=6.4, "Prediabetes", TRUE, "Diabetes")</f>
        <v>Normal</v>
      </c>
    </row>
    <row r="21" spans="1:10">
      <c r="A21" t="s">
        <v>40</v>
      </c>
      <c r="B21">
        <v>42.9</v>
      </c>
      <c r="C21">
        <v>11.41</v>
      </c>
      <c r="D21" t="s">
        <v>4682</v>
      </c>
      <c r="E21" t="s">
        <v>4682</v>
      </c>
      <c r="F21" t="s">
        <v>4682</v>
      </c>
      <c r="G21">
        <v>0</v>
      </c>
      <c r="H21" t="s">
        <v>4683</v>
      </c>
      <c r="I21" t="str" cm="1">
        <f t="array" ref="I21">_xlfn.IFS(B21&lt;18.5, "Underweight", B21&lt;=24.9, "Normal Weight", B21&lt;=29.9, "Overweight", TRUE, "Obesity")</f>
        <v>Obesity</v>
      </c>
      <c r="J21" t="str" cm="1">
        <f t="array" ref="J21">_xlfn.IFS(C21&lt;5.7, "Normal", C21&lt;=6.4, "Prediabetes", TRUE, "Diabetes")</f>
        <v>Diabetes</v>
      </c>
    </row>
    <row r="22" spans="1:10">
      <c r="A22" t="s">
        <v>42</v>
      </c>
      <c r="B22">
        <v>36.299999999999997</v>
      </c>
      <c r="C22">
        <v>11.5</v>
      </c>
      <c r="D22" t="s">
        <v>4683</v>
      </c>
      <c r="E22" t="s">
        <v>4682</v>
      </c>
      <c r="F22" t="s">
        <v>4682</v>
      </c>
      <c r="G22">
        <v>2</v>
      </c>
      <c r="H22" t="s">
        <v>4683</v>
      </c>
      <c r="I22" t="str" cm="1">
        <f t="array" ref="I22">_xlfn.IFS(B22&lt;18.5, "Underweight", B22&lt;=24.9, "Normal Weight", B22&lt;=29.9, "Overweight", TRUE, "Obesity")</f>
        <v>Obesity</v>
      </c>
      <c r="J22" t="str" cm="1">
        <f t="array" ref="J22">_xlfn.IFS(C22&lt;5.7, "Normal", C22&lt;=6.4, "Prediabetes", TRUE, "Diabetes")</f>
        <v>Diabetes</v>
      </c>
    </row>
    <row r="23" spans="1:10">
      <c r="A23" t="s">
        <v>44</v>
      </c>
      <c r="B23">
        <v>32.200000000000003</v>
      </c>
      <c r="C23">
        <v>6.22</v>
      </c>
      <c r="D23" t="s">
        <v>4683</v>
      </c>
      <c r="E23" t="s">
        <v>4682</v>
      </c>
      <c r="F23" t="s">
        <v>4682</v>
      </c>
      <c r="G23">
        <v>2</v>
      </c>
      <c r="H23" t="s">
        <v>4683</v>
      </c>
      <c r="I23" t="str" cm="1">
        <f t="array" ref="I23">_xlfn.IFS(B23&lt;18.5, "Underweight", B23&lt;=24.9, "Normal Weight", B23&lt;=29.9, "Overweight", TRUE, "Obesity")</f>
        <v>Obesity</v>
      </c>
      <c r="J23" t="str" cm="1">
        <f t="array" ref="J23">_xlfn.IFS(C23&lt;5.7, "Normal", C23&lt;=6.4, "Prediabetes", TRUE, "Diabetes")</f>
        <v>Prediabetes</v>
      </c>
    </row>
    <row r="24" spans="1:10">
      <c r="A24" t="s">
        <v>46</v>
      </c>
      <c r="B24">
        <v>31.3</v>
      </c>
      <c r="C24">
        <v>11.38</v>
      </c>
      <c r="D24" t="s">
        <v>4682</v>
      </c>
      <c r="E24" t="s">
        <v>4682</v>
      </c>
      <c r="F24" t="s">
        <v>4682</v>
      </c>
      <c r="G24">
        <v>3</v>
      </c>
      <c r="H24" t="s">
        <v>4683</v>
      </c>
      <c r="I24" t="str" cm="1">
        <f t="array" ref="I24">_xlfn.IFS(B24&lt;18.5, "Underweight", B24&lt;=24.9, "Normal Weight", B24&lt;=29.9, "Overweight", TRUE, "Obesity")</f>
        <v>Obesity</v>
      </c>
      <c r="J24" t="str" cm="1">
        <f t="array" ref="J24">_xlfn.IFS(C24&lt;5.7, "Normal", C24&lt;=6.4, "Prediabetes", TRUE, "Diabetes")</f>
        <v>Diabetes</v>
      </c>
    </row>
    <row r="25" spans="1:10">
      <c r="A25" t="s">
        <v>48</v>
      </c>
      <c r="B25">
        <v>41.8</v>
      </c>
      <c r="C25">
        <v>7.89</v>
      </c>
      <c r="D25" t="s">
        <v>4683</v>
      </c>
      <c r="E25" t="s">
        <v>4682</v>
      </c>
      <c r="F25" t="s">
        <v>4682</v>
      </c>
      <c r="G25">
        <v>2</v>
      </c>
      <c r="H25" t="s">
        <v>4683</v>
      </c>
      <c r="I25" t="str" cm="1">
        <f t="array" ref="I25">_xlfn.IFS(B25&lt;18.5, "Underweight", B25&lt;=24.9, "Normal Weight", B25&lt;=29.9, "Overweight", TRUE, "Obesity")</f>
        <v>Obesity</v>
      </c>
      <c r="J25" t="str" cm="1">
        <f t="array" ref="J25">_xlfn.IFS(C25&lt;5.7, "Normal", C25&lt;=6.4, "Prediabetes", TRUE, "Diabetes")</f>
        <v>Diabetes</v>
      </c>
    </row>
    <row r="26" spans="1:10">
      <c r="A26" t="s">
        <v>50</v>
      </c>
      <c r="B26">
        <v>35.090000000000003</v>
      </c>
      <c r="C26">
        <v>4.38</v>
      </c>
      <c r="D26" t="s">
        <v>4683</v>
      </c>
      <c r="E26" t="s">
        <v>4682</v>
      </c>
      <c r="F26" t="s">
        <v>4682</v>
      </c>
      <c r="G26">
        <v>2</v>
      </c>
      <c r="H26" t="s">
        <v>4683</v>
      </c>
      <c r="I26" t="str" cm="1">
        <f t="array" ref="I26">_xlfn.IFS(B26&lt;18.5, "Underweight", B26&lt;=24.9, "Normal Weight", B26&lt;=29.9, "Overweight", TRUE, "Obesity")</f>
        <v>Obesity</v>
      </c>
      <c r="J26" t="str" cm="1">
        <f t="array" ref="J26">_xlfn.IFS(C26&lt;5.7, "Normal", C26&lt;=6.4, "Prediabetes", TRUE, "Diabetes")</f>
        <v>Normal</v>
      </c>
    </row>
    <row r="27" spans="1:10">
      <c r="A27" t="s">
        <v>52</v>
      </c>
      <c r="B27">
        <v>33.880000000000003</v>
      </c>
      <c r="C27">
        <v>7.01</v>
      </c>
      <c r="D27" t="s">
        <v>4682</v>
      </c>
      <c r="E27" t="s">
        <v>4682</v>
      </c>
      <c r="F27" t="s">
        <v>4682</v>
      </c>
      <c r="G27">
        <v>3</v>
      </c>
      <c r="H27" t="s">
        <v>4683</v>
      </c>
      <c r="I27" t="str" cm="1">
        <f t="array" ref="I27">_xlfn.IFS(B27&lt;18.5, "Underweight", B27&lt;=24.9, "Normal Weight", B27&lt;=29.9, "Overweight", TRUE, "Obesity")</f>
        <v>Obesity</v>
      </c>
      <c r="J27" t="str" cm="1">
        <f t="array" ref="J27">_xlfn.IFS(C27&lt;5.7, "Normal", C27&lt;=6.4, "Prediabetes", TRUE, "Diabetes")</f>
        <v>Diabetes</v>
      </c>
    </row>
    <row r="28" spans="1:10">
      <c r="A28" t="s">
        <v>54</v>
      </c>
      <c r="B28">
        <v>30.875</v>
      </c>
      <c r="C28">
        <v>11.88</v>
      </c>
      <c r="D28" t="s">
        <v>4682</v>
      </c>
      <c r="E28" t="s">
        <v>4682</v>
      </c>
      <c r="F28" t="s">
        <v>4682</v>
      </c>
      <c r="G28">
        <v>0</v>
      </c>
      <c r="H28" t="s">
        <v>4683</v>
      </c>
      <c r="I28" t="str" cm="1">
        <f t="array" ref="I28">_xlfn.IFS(B28&lt;18.5, "Underweight", B28&lt;=24.9, "Normal Weight", B28&lt;=29.9, "Overweight", TRUE, "Obesity")</f>
        <v>Obesity</v>
      </c>
      <c r="J28" t="str" cm="1">
        <f t="array" ref="J28">_xlfn.IFS(C28&lt;5.7, "Normal", C28&lt;=6.4, "Prediabetes", TRUE, "Diabetes")</f>
        <v>Diabetes</v>
      </c>
    </row>
    <row r="29" spans="1:10">
      <c r="A29" t="s">
        <v>56</v>
      </c>
      <c r="B29">
        <v>36.86</v>
      </c>
      <c r="C29">
        <v>5.19</v>
      </c>
      <c r="D29" t="s">
        <v>4683</v>
      </c>
      <c r="E29" t="s">
        <v>4682</v>
      </c>
      <c r="F29" t="s">
        <v>4684</v>
      </c>
      <c r="G29">
        <v>1</v>
      </c>
      <c r="H29" t="s">
        <v>4683</v>
      </c>
      <c r="I29" t="str" cm="1">
        <f t="array" ref="I29">_xlfn.IFS(B29&lt;18.5, "Underweight", B29&lt;=24.9, "Normal Weight", B29&lt;=29.9, "Overweight", TRUE, "Obesity")</f>
        <v>Obesity</v>
      </c>
      <c r="J29" t="str" cm="1">
        <f t="array" ref="J29">_xlfn.IFS(C29&lt;5.7, "Normal", C29&lt;=6.4, "Prediabetes", TRUE, "Diabetes")</f>
        <v>Normal</v>
      </c>
    </row>
    <row r="30" spans="1:10">
      <c r="A30" t="s">
        <v>58</v>
      </c>
      <c r="B30">
        <v>35.86</v>
      </c>
      <c r="C30">
        <v>6.74</v>
      </c>
      <c r="D30" t="s">
        <v>4683</v>
      </c>
      <c r="E30" t="s">
        <v>4682</v>
      </c>
      <c r="F30" t="s">
        <v>4682</v>
      </c>
      <c r="G30">
        <v>2</v>
      </c>
      <c r="H30" t="s">
        <v>4683</v>
      </c>
      <c r="I30" t="str" cm="1">
        <f t="array" ref="I30">_xlfn.IFS(B30&lt;18.5, "Underweight", B30&lt;=24.9, "Normal Weight", B30&lt;=29.9, "Overweight", TRUE, "Obesity")</f>
        <v>Obesity</v>
      </c>
      <c r="J30" t="str" cm="1">
        <f t="array" ref="J30">_xlfn.IFS(C30&lt;5.7, "Normal", C30&lt;=6.4, "Prediabetes", TRUE, "Diabetes")</f>
        <v>Diabetes</v>
      </c>
    </row>
    <row r="31" spans="1:10">
      <c r="A31" t="s">
        <v>60</v>
      </c>
      <c r="B31">
        <v>37.049999999999997</v>
      </c>
      <c r="C31">
        <v>8.44</v>
      </c>
      <c r="D31" t="s">
        <v>4682</v>
      </c>
      <c r="E31" t="s">
        <v>4682</v>
      </c>
      <c r="F31" t="s">
        <v>4682</v>
      </c>
      <c r="G31">
        <v>0</v>
      </c>
      <c r="H31" t="s">
        <v>4683</v>
      </c>
      <c r="I31" t="str" cm="1">
        <f t="array" ref="I31">_xlfn.IFS(B31&lt;18.5, "Underweight", B31&lt;=24.9, "Normal Weight", B31&lt;=29.9, "Overweight", TRUE, "Obesity")</f>
        <v>Obesity</v>
      </c>
      <c r="J31" t="str" cm="1">
        <f t="array" ref="J31">_xlfn.IFS(C31&lt;5.7, "Normal", C31&lt;=6.4, "Prediabetes", TRUE, "Diabetes")</f>
        <v>Diabetes</v>
      </c>
    </row>
    <row r="32" spans="1:10">
      <c r="A32" t="s">
        <v>62</v>
      </c>
      <c r="B32">
        <v>43.89</v>
      </c>
      <c r="C32">
        <v>8.7100000000000009</v>
      </c>
      <c r="D32" t="s">
        <v>4682</v>
      </c>
      <c r="E32" t="s">
        <v>4682</v>
      </c>
      <c r="F32" t="s">
        <v>4682</v>
      </c>
      <c r="G32">
        <v>0</v>
      </c>
      <c r="H32" t="s">
        <v>4683</v>
      </c>
      <c r="I32" t="str" cm="1">
        <f t="array" ref="I32">_xlfn.IFS(B32&lt;18.5, "Underweight", B32&lt;=24.9, "Normal Weight", B32&lt;=29.9, "Overweight", TRUE, "Obesity")</f>
        <v>Obesity</v>
      </c>
      <c r="J32" t="str" cm="1">
        <f t="array" ref="J32">_xlfn.IFS(C32&lt;5.7, "Normal", C32&lt;=6.4, "Prediabetes", TRUE, "Diabetes")</f>
        <v>Diabetes</v>
      </c>
    </row>
    <row r="33" spans="1:10">
      <c r="A33" t="s">
        <v>64</v>
      </c>
      <c r="B33">
        <v>42.35</v>
      </c>
      <c r="C33">
        <v>5.08</v>
      </c>
      <c r="D33" t="s">
        <v>4683</v>
      </c>
      <c r="E33" t="s">
        <v>4682</v>
      </c>
      <c r="F33" t="s">
        <v>4682</v>
      </c>
      <c r="G33">
        <v>0</v>
      </c>
      <c r="H33" t="s">
        <v>4683</v>
      </c>
      <c r="I33" t="str" cm="1">
        <f t="array" ref="I33">_xlfn.IFS(B33&lt;18.5, "Underweight", B33&lt;=24.9, "Normal Weight", B33&lt;=29.9, "Overweight", TRUE, "Obesity")</f>
        <v>Obesity</v>
      </c>
      <c r="J33" t="str" cm="1">
        <f t="array" ref="J33">_xlfn.IFS(C33&lt;5.7, "Normal", C33&lt;=6.4, "Prediabetes", TRUE, "Diabetes")</f>
        <v>Normal</v>
      </c>
    </row>
    <row r="34" spans="1:10">
      <c r="A34" t="s">
        <v>66</v>
      </c>
      <c r="B34">
        <v>31.35</v>
      </c>
      <c r="C34">
        <v>6.86</v>
      </c>
      <c r="D34" t="s">
        <v>4682</v>
      </c>
      <c r="E34" t="s">
        <v>4682</v>
      </c>
      <c r="F34" t="s">
        <v>4682</v>
      </c>
      <c r="G34">
        <v>0</v>
      </c>
      <c r="H34" t="s">
        <v>4683</v>
      </c>
      <c r="I34" t="str" cm="1">
        <f t="array" ref="I34">_xlfn.IFS(B34&lt;18.5, "Underweight", B34&lt;=24.9, "Normal Weight", B34&lt;=29.9, "Overweight", TRUE, "Obesity")</f>
        <v>Obesity</v>
      </c>
      <c r="J34" t="str" cm="1">
        <f t="array" ref="J34">_xlfn.IFS(C34&lt;5.7, "Normal", C34&lt;=6.4, "Prediabetes", TRUE, "Diabetes")</f>
        <v>Diabetes</v>
      </c>
    </row>
    <row r="35" spans="1:10">
      <c r="A35" t="s">
        <v>68</v>
      </c>
      <c r="B35">
        <v>47.6</v>
      </c>
      <c r="C35">
        <v>5.95</v>
      </c>
      <c r="D35" t="s">
        <v>4683</v>
      </c>
      <c r="E35" t="s">
        <v>4682</v>
      </c>
      <c r="F35" t="s">
        <v>4682</v>
      </c>
      <c r="G35">
        <v>0</v>
      </c>
      <c r="H35" t="s">
        <v>4683</v>
      </c>
      <c r="I35" t="str" cm="1">
        <f t="array" ref="I35">_xlfn.IFS(B35&lt;18.5, "Underweight", B35&lt;=24.9, "Normal Weight", B35&lt;=29.9, "Overweight", TRUE, "Obesity")</f>
        <v>Obesity</v>
      </c>
      <c r="J35" t="str" cm="1">
        <f t="array" ref="J35">_xlfn.IFS(C35&lt;5.7, "Normal", C35&lt;=6.4, "Prediabetes", TRUE, "Diabetes")</f>
        <v>Prediabetes</v>
      </c>
    </row>
    <row r="36" spans="1:10">
      <c r="A36" t="s">
        <v>70</v>
      </c>
      <c r="B36">
        <v>46.2</v>
      </c>
      <c r="C36">
        <v>6.09</v>
      </c>
      <c r="D36" t="s">
        <v>4682</v>
      </c>
      <c r="E36" t="s">
        <v>4682</v>
      </c>
      <c r="F36" t="s">
        <v>4684</v>
      </c>
      <c r="G36">
        <v>1</v>
      </c>
      <c r="H36" t="s">
        <v>4683</v>
      </c>
      <c r="I36" t="str" cm="1">
        <f t="array" ref="I36">_xlfn.IFS(B36&lt;18.5, "Underweight", B36&lt;=24.9, "Normal Weight", B36&lt;=29.9, "Overweight", TRUE, "Obesity")</f>
        <v>Obesity</v>
      </c>
      <c r="J36" t="str" cm="1">
        <f t="array" ref="J36">_xlfn.IFS(C36&lt;5.7, "Normal", C36&lt;=6.4, "Prediabetes", TRUE, "Diabetes")</f>
        <v>Prediabetes</v>
      </c>
    </row>
    <row r="37" spans="1:10">
      <c r="A37" t="s">
        <v>72</v>
      </c>
      <c r="B37">
        <v>32.015000000000001</v>
      </c>
      <c r="C37">
        <v>11.75</v>
      </c>
      <c r="D37" t="s">
        <v>4682</v>
      </c>
      <c r="E37" t="s">
        <v>4682</v>
      </c>
      <c r="F37" t="s">
        <v>4682</v>
      </c>
      <c r="G37">
        <v>0</v>
      </c>
      <c r="H37" t="s">
        <v>4683</v>
      </c>
      <c r="I37" t="str" cm="1">
        <f t="array" ref="I37">_xlfn.IFS(B37&lt;18.5, "Underweight", B37&lt;=24.9, "Normal Weight", B37&lt;=29.9, "Overweight", TRUE, "Obesity")</f>
        <v>Obesity</v>
      </c>
      <c r="J37" t="str" cm="1">
        <f t="array" ref="J37">_xlfn.IFS(C37&lt;5.7, "Normal", C37&lt;=6.4, "Prediabetes", TRUE, "Diabetes")</f>
        <v>Diabetes</v>
      </c>
    </row>
    <row r="38" spans="1:10">
      <c r="A38" t="s">
        <v>74</v>
      </c>
      <c r="B38">
        <v>40.564999999999998</v>
      </c>
      <c r="C38">
        <v>7.37</v>
      </c>
      <c r="D38" t="s">
        <v>4682</v>
      </c>
      <c r="E38" t="s">
        <v>4682</v>
      </c>
      <c r="F38" t="s">
        <v>4682</v>
      </c>
      <c r="G38">
        <v>0</v>
      </c>
      <c r="H38" t="s">
        <v>4683</v>
      </c>
      <c r="I38" t="str" cm="1">
        <f t="array" ref="I38">_xlfn.IFS(B38&lt;18.5, "Underweight", B38&lt;=24.9, "Normal Weight", B38&lt;=29.9, "Overweight", TRUE, "Obesity")</f>
        <v>Obesity</v>
      </c>
      <c r="J38" t="str" cm="1">
        <f t="array" ref="J38">_xlfn.IFS(C38&lt;5.7, "Normal", C38&lt;=6.4, "Prediabetes", TRUE, "Diabetes")</f>
        <v>Diabetes</v>
      </c>
    </row>
    <row r="39" spans="1:10">
      <c r="A39" t="s">
        <v>76</v>
      </c>
      <c r="B39">
        <v>32.450000000000003</v>
      </c>
      <c r="C39">
        <v>11.91</v>
      </c>
      <c r="D39" t="s">
        <v>4682</v>
      </c>
      <c r="E39" t="s">
        <v>4682</v>
      </c>
      <c r="F39" t="s">
        <v>4682</v>
      </c>
      <c r="G39">
        <v>0</v>
      </c>
      <c r="H39" t="s">
        <v>4683</v>
      </c>
      <c r="I39" t="str" cm="1">
        <f t="array" ref="I39">_xlfn.IFS(B39&lt;18.5, "Underweight", B39&lt;=24.9, "Normal Weight", B39&lt;=29.9, "Overweight", TRUE, "Obesity")</f>
        <v>Obesity</v>
      </c>
      <c r="J39" t="str" cm="1">
        <f t="array" ref="J39">_xlfn.IFS(C39&lt;5.7, "Normal", C39&lt;=6.4, "Prediabetes", TRUE, "Diabetes")</f>
        <v>Diabetes</v>
      </c>
    </row>
    <row r="40" spans="1:10">
      <c r="A40" t="s">
        <v>78</v>
      </c>
      <c r="B40">
        <v>34.96</v>
      </c>
      <c r="C40">
        <v>6.52</v>
      </c>
      <c r="D40" t="s">
        <v>4682</v>
      </c>
      <c r="E40" t="s">
        <v>4682</v>
      </c>
      <c r="F40" t="s">
        <v>4682</v>
      </c>
      <c r="G40">
        <v>0</v>
      </c>
      <c r="H40" t="s">
        <v>4683</v>
      </c>
      <c r="I40" t="str" cm="1">
        <f t="array" ref="I40">_xlfn.IFS(B40&lt;18.5, "Underweight", B40&lt;=24.9, "Normal Weight", B40&lt;=29.9, "Overweight", TRUE, "Obesity")</f>
        <v>Obesity</v>
      </c>
      <c r="J40" t="str" cm="1">
        <f t="array" ref="J40">_xlfn.IFS(C40&lt;5.7, "Normal", C40&lt;=6.4, "Prediabetes", TRUE, "Diabetes")</f>
        <v>Diabetes</v>
      </c>
    </row>
    <row r="41" spans="1:10">
      <c r="A41" t="s">
        <v>80</v>
      </c>
      <c r="B41">
        <v>35.5</v>
      </c>
      <c r="C41">
        <v>5.14</v>
      </c>
      <c r="D41" t="s">
        <v>4682</v>
      </c>
      <c r="E41" t="s">
        <v>4682</v>
      </c>
      <c r="F41" t="s">
        <v>4684</v>
      </c>
      <c r="G41">
        <v>1</v>
      </c>
      <c r="H41" t="s">
        <v>4683</v>
      </c>
      <c r="I41" t="str" cm="1">
        <f t="array" ref="I41">_xlfn.IFS(B41&lt;18.5, "Underweight", B41&lt;=24.9, "Normal Weight", B41&lt;=29.9, "Overweight", TRUE, "Obesity")</f>
        <v>Obesity</v>
      </c>
      <c r="J41" t="str" cm="1">
        <f t="array" ref="J41">_xlfn.IFS(C41&lt;5.7, "Normal", C41&lt;=6.4, "Prediabetes", TRUE, "Diabetes")</f>
        <v>Normal</v>
      </c>
    </row>
    <row r="42" spans="1:10">
      <c r="A42" t="s">
        <v>82</v>
      </c>
      <c r="B42">
        <v>52.58</v>
      </c>
      <c r="C42">
        <v>4.1900000000000004</v>
      </c>
      <c r="D42" t="s">
        <v>4682</v>
      </c>
      <c r="E42" t="s">
        <v>4683</v>
      </c>
      <c r="F42" t="s">
        <v>4682</v>
      </c>
      <c r="G42">
        <v>1</v>
      </c>
      <c r="H42" t="s">
        <v>4683</v>
      </c>
      <c r="I42" t="str" cm="1">
        <f t="array" ref="I42">_xlfn.IFS(B42&lt;18.5, "Underweight", B42&lt;=24.9, "Normal Weight", B42&lt;=29.9, "Overweight", TRUE, "Obesity")</f>
        <v>Obesity</v>
      </c>
      <c r="J42" t="str" cm="1">
        <f t="array" ref="J42">_xlfn.IFS(C42&lt;5.7, "Normal", C42&lt;=6.4, "Prediabetes", TRUE, "Diabetes")</f>
        <v>Normal</v>
      </c>
    </row>
    <row r="43" spans="1:10">
      <c r="A43" t="s">
        <v>84</v>
      </c>
      <c r="B43">
        <v>35.200000000000003</v>
      </c>
      <c r="C43">
        <v>11.68</v>
      </c>
      <c r="D43" t="s">
        <v>4683</v>
      </c>
      <c r="E43" t="s">
        <v>4682</v>
      </c>
      <c r="F43" t="s">
        <v>4682</v>
      </c>
      <c r="G43">
        <v>0</v>
      </c>
      <c r="H43" t="s">
        <v>4683</v>
      </c>
      <c r="I43" t="str" cm="1">
        <f t="array" ref="I43">_xlfn.IFS(B43&lt;18.5, "Underweight", B43&lt;=24.9, "Normal Weight", B43&lt;=29.9, "Overweight", TRUE, "Obesity")</f>
        <v>Obesity</v>
      </c>
      <c r="J43" t="str" cm="1">
        <f t="array" ref="J43">_xlfn.IFS(C43&lt;5.7, "Normal", C43&lt;=6.4, "Prediabetes", TRUE, "Diabetes")</f>
        <v>Diabetes</v>
      </c>
    </row>
    <row r="44" spans="1:10">
      <c r="A44" t="s">
        <v>86</v>
      </c>
      <c r="B44">
        <v>38.06</v>
      </c>
      <c r="C44">
        <v>6.98</v>
      </c>
      <c r="D44" t="s">
        <v>4682</v>
      </c>
      <c r="E44" t="s">
        <v>4682</v>
      </c>
      <c r="F44" t="s">
        <v>4682</v>
      </c>
      <c r="G44">
        <v>0</v>
      </c>
      <c r="H44" t="s">
        <v>4683</v>
      </c>
      <c r="I44" t="str" cm="1">
        <f t="array" ref="I44">_xlfn.IFS(B44&lt;18.5, "Underweight", B44&lt;=24.9, "Normal Weight", B44&lt;=29.9, "Overweight", TRUE, "Obesity")</f>
        <v>Obesity</v>
      </c>
      <c r="J44" t="str" cm="1">
        <f t="array" ref="J44">_xlfn.IFS(C44&lt;5.7, "Normal", C44&lt;=6.4, "Prediabetes", TRUE, "Diabetes")</f>
        <v>Diabetes</v>
      </c>
    </row>
    <row r="45" spans="1:10">
      <c r="A45" t="s">
        <v>88</v>
      </c>
      <c r="B45">
        <v>34.21</v>
      </c>
      <c r="C45">
        <v>8.34</v>
      </c>
      <c r="D45" t="s">
        <v>4682</v>
      </c>
      <c r="E45" t="s">
        <v>4682</v>
      </c>
      <c r="F45" t="s">
        <v>4682</v>
      </c>
      <c r="G45">
        <v>0</v>
      </c>
      <c r="H45" t="s">
        <v>4683</v>
      </c>
      <c r="I45" t="str" cm="1">
        <f t="array" ref="I45">_xlfn.IFS(B45&lt;18.5, "Underweight", B45&lt;=24.9, "Normal Weight", B45&lt;=29.9, "Overweight", TRUE, "Obesity")</f>
        <v>Obesity</v>
      </c>
      <c r="J45" t="str" cm="1">
        <f t="array" ref="J45">_xlfn.IFS(C45&lt;5.7, "Normal", C45&lt;=6.4, "Prediabetes", TRUE, "Diabetes")</f>
        <v>Diabetes</v>
      </c>
    </row>
    <row r="46" spans="1:10">
      <c r="A46" t="s">
        <v>90</v>
      </c>
      <c r="B46">
        <v>38.94</v>
      </c>
      <c r="C46">
        <v>8.49</v>
      </c>
      <c r="D46" t="s">
        <v>4683</v>
      </c>
      <c r="E46" t="s">
        <v>4682</v>
      </c>
      <c r="F46" t="s">
        <v>4682</v>
      </c>
      <c r="G46">
        <v>1</v>
      </c>
      <c r="H46" t="s">
        <v>4683</v>
      </c>
      <c r="I46" t="str" cm="1">
        <f t="array" ref="I46">_xlfn.IFS(B46&lt;18.5, "Underweight", B46&lt;=24.9, "Normal Weight", B46&lt;=29.9, "Overweight", TRUE, "Obesity")</f>
        <v>Obesity</v>
      </c>
      <c r="J46" t="str" cm="1">
        <f t="array" ref="J46">_xlfn.IFS(C46&lt;5.7, "Normal", C46&lt;=6.4, "Prediabetes", TRUE, "Diabetes")</f>
        <v>Diabetes</v>
      </c>
    </row>
    <row r="47" spans="1:10">
      <c r="A47" t="s">
        <v>92</v>
      </c>
      <c r="B47">
        <v>30.21</v>
      </c>
      <c r="C47">
        <v>5.34</v>
      </c>
      <c r="D47" t="s">
        <v>4683</v>
      </c>
      <c r="E47" t="s">
        <v>4682</v>
      </c>
      <c r="F47" t="s">
        <v>4682</v>
      </c>
      <c r="G47">
        <v>1</v>
      </c>
      <c r="H47" t="s">
        <v>4683</v>
      </c>
      <c r="I47" t="str" cm="1">
        <f t="array" ref="I47">_xlfn.IFS(B47&lt;18.5, "Underweight", B47&lt;=24.9, "Normal Weight", B47&lt;=29.9, "Overweight", TRUE, "Obesity")</f>
        <v>Obesity</v>
      </c>
      <c r="J47" t="str" cm="1">
        <f t="array" ref="J47">_xlfn.IFS(C47&lt;5.7, "Normal", C47&lt;=6.4, "Prediabetes", TRUE, "Diabetes")</f>
        <v>Normal</v>
      </c>
    </row>
    <row r="48" spans="1:10">
      <c r="A48" t="s">
        <v>94</v>
      </c>
      <c r="B48">
        <v>33.630000000000003</v>
      </c>
      <c r="C48">
        <v>4.43</v>
      </c>
      <c r="D48" t="s">
        <v>4683</v>
      </c>
      <c r="E48" t="s">
        <v>4682</v>
      </c>
      <c r="F48" t="s">
        <v>4682</v>
      </c>
      <c r="G48">
        <v>2</v>
      </c>
      <c r="H48" t="s">
        <v>4683</v>
      </c>
      <c r="I48" t="str" cm="1">
        <f t="array" ref="I48">_xlfn.IFS(B48&lt;18.5, "Underweight", B48&lt;=24.9, "Normal Weight", B48&lt;=29.9, "Overweight", TRUE, "Obesity")</f>
        <v>Obesity</v>
      </c>
      <c r="J48" t="str" cm="1">
        <f t="array" ref="J48">_xlfn.IFS(C48&lt;5.7, "Normal", C48&lt;=6.4, "Prediabetes", TRUE, "Diabetes")</f>
        <v>Normal</v>
      </c>
    </row>
    <row r="49" spans="1:10">
      <c r="A49" t="s">
        <v>96</v>
      </c>
      <c r="B49">
        <v>40.369999999999997</v>
      </c>
      <c r="C49">
        <v>4.47</v>
      </c>
      <c r="D49" t="s">
        <v>4682</v>
      </c>
      <c r="E49" t="s">
        <v>4682</v>
      </c>
      <c r="F49" t="s">
        <v>4682</v>
      </c>
      <c r="G49">
        <v>0</v>
      </c>
      <c r="H49" t="s">
        <v>4683</v>
      </c>
      <c r="I49" t="str" cm="1">
        <f t="array" ref="I49">_xlfn.IFS(B49&lt;18.5, "Underweight", B49&lt;=24.9, "Normal Weight", B49&lt;=29.9, "Overweight", TRUE, "Obesity")</f>
        <v>Obesity</v>
      </c>
      <c r="J49" t="str" cm="1">
        <f t="array" ref="J49">_xlfn.IFS(C49&lt;5.7, "Normal", C49&lt;=6.4, "Prediabetes", TRUE, "Diabetes")</f>
        <v>Normal</v>
      </c>
    </row>
    <row r="50" spans="1:10">
      <c r="A50" t="s">
        <v>98</v>
      </c>
      <c r="B50">
        <v>53.09</v>
      </c>
      <c r="C50">
        <v>4.82</v>
      </c>
      <c r="D50" t="s">
        <v>4683</v>
      </c>
      <c r="E50" t="s">
        <v>4682</v>
      </c>
      <c r="F50" t="s">
        <v>4682</v>
      </c>
      <c r="G50">
        <v>2</v>
      </c>
      <c r="H50" t="s">
        <v>4683</v>
      </c>
      <c r="I50" t="str" cm="1">
        <f t="array" ref="I50">_xlfn.IFS(B50&lt;18.5, "Underweight", B50&lt;=24.9, "Normal Weight", B50&lt;=29.9, "Overweight", TRUE, "Obesity")</f>
        <v>Obesity</v>
      </c>
      <c r="J50" t="str" cm="1">
        <f t="array" ref="J50">_xlfn.IFS(C50&lt;5.7, "Normal", C50&lt;=6.4, "Prediabetes", TRUE, "Diabetes")</f>
        <v>Normal</v>
      </c>
    </row>
    <row r="51" spans="1:10">
      <c r="A51" t="s">
        <v>100</v>
      </c>
      <c r="B51">
        <v>31.79</v>
      </c>
      <c r="C51">
        <v>5.51</v>
      </c>
      <c r="D51" t="s">
        <v>4683</v>
      </c>
      <c r="E51" t="s">
        <v>4682</v>
      </c>
      <c r="F51" t="s">
        <v>4682</v>
      </c>
      <c r="G51">
        <v>2</v>
      </c>
      <c r="H51" t="s">
        <v>4683</v>
      </c>
      <c r="I51" t="str" cm="1">
        <f t="array" ref="I51">_xlfn.IFS(B51&lt;18.5, "Underweight", B51&lt;=24.9, "Normal Weight", B51&lt;=29.9, "Overweight", TRUE, "Obesity")</f>
        <v>Obesity</v>
      </c>
      <c r="J51" t="str" cm="1">
        <f t="array" ref="J51">_xlfn.IFS(C51&lt;5.7, "Normal", C51&lt;=6.4, "Prediabetes", TRUE, "Diabetes")</f>
        <v>Normal</v>
      </c>
    </row>
    <row r="52" spans="1:10">
      <c r="A52" t="s">
        <v>102</v>
      </c>
      <c r="B52">
        <v>41.895000000000003</v>
      </c>
      <c r="C52">
        <v>10.87</v>
      </c>
      <c r="D52" t="s">
        <v>4683</v>
      </c>
      <c r="E52" t="s">
        <v>4682</v>
      </c>
      <c r="F52" t="s">
        <v>4682</v>
      </c>
      <c r="G52">
        <v>1</v>
      </c>
      <c r="H52" t="s">
        <v>4683</v>
      </c>
      <c r="I52" t="str" cm="1">
        <f t="array" ref="I52">_xlfn.IFS(B52&lt;18.5, "Underweight", B52&lt;=24.9, "Normal Weight", B52&lt;=29.9, "Overweight", TRUE, "Obesity")</f>
        <v>Obesity</v>
      </c>
      <c r="J52" t="str" cm="1">
        <f t="array" ref="J52">_xlfn.IFS(C52&lt;5.7, "Normal", C52&lt;=6.4, "Prediabetes", TRUE, "Diabetes")</f>
        <v>Diabetes</v>
      </c>
    </row>
    <row r="53" spans="1:10">
      <c r="A53" t="s">
        <v>104</v>
      </c>
      <c r="B53">
        <v>31.16</v>
      </c>
      <c r="C53">
        <v>9.34</v>
      </c>
      <c r="D53" t="s">
        <v>4682</v>
      </c>
      <c r="E53" t="s">
        <v>4682</v>
      </c>
      <c r="F53" t="s">
        <v>4682</v>
      </c>
      <c r="G53">
        <v>0</v>
      </c>
      <c r="H53" t="s">
        <v>4683</v>
      </c>
      <c r="I53" t="str" cm="1">
        <f t="array" ref="I53">_xlfn.IFS(B53&lt;18.5, "Underweight", B53&lt;=24.9, "Normal Weight", B53&lt;=29.9, "Overweight", TRUE, "Obesity")</f>
        <v>Obesity</v>
      </c>
      <c r="J53" t="str" cm="1">
        <f t="array" ref="J53">_xlfn.IFS(C53&lt;5.7, "Normal", C53&lt;=6.4, "Prediabetes", TRUE, "Diabetes")</f>
        <v>Diabetes</v>
      </c>
    </row>
    <row r="54" spans="1:10">
      <c r="A54" t="s">
        <v>106</v>
      </c>
      <c r="B54">
        <v>34.104999999999997</v>
      </c>
      <c r="C54">
        <v>5.03</v>
      </c>
      <c r="D54" t="s">
        <v>4683</v>
      </c>
      <c r="E54" t="s">
        <v>4682</v>
      </c>
      <c r="F54" t="s">
        <v>4684</v>
      </c>
      <c r="G54">
        <v>1</v>
      </c>
      <c r="H54" t="s">
        <v>4683</v>
      </c>
      <c r="I54" t="str" cm="1">
        <f t="array" ref="I54">_xlfn.IFS(B54&lt;18.5, "Underweight", B54&lt;=24.9, "Normal Weight", B54&lt;=29.9, "Overweight", TRUE, "Obesity")</f>
        <v>Obesity</v>
      </c>
      <c r="J54" t="str" cm="1">
        <f t="array" ref="J54">_xlfn.IFS(C54&lt;5.7, "Normal", C54&lt;=6.4, "Prediabetes", TRUE, "Diabetes")</f>
        <v>Normal</v>
      </c>
    </row>
    <row r="55" spans="1:10">
      <c r="A55" t="s">
        <v>108</v>
      </c>
      <c r="B55">
        <v>51.93</v>
      </c>
      <c r="C55">
        <v>11.05</v>
      </c>
      <c r="D55" t="s">
        <v>4682</v>
      </c>
      <c r="E55" t="s">
        <v>4682</v>
      </c>
      <c r="F55" t="s">
        <v>4682</v>
      </c>
      <c r="G55">
        <v>0</v>
      </c>
      <c r="H55" t="s">
        <v>4683</v>
      </c>
      <c r="I55" t="str" cm="1">
        <f t="array" ref="I55">_xlfn.IFS(B55&lt;18.5, "Underweight", B55&lt;=24.9, "Normal Weight", B55&lt;=29.9, "Overweight", TRUE, "Obesity")</f>
        <v>Obesity</v>
      </c>
      <c r="J55" t="str" cm="1">
        <f t="array" ref="J55">_xlfn.IFS(C55&lt;5.7, "Normal", C55&lt;=6.4, "Prediabetes", TRUE, "Diabetes")</f>
        <v>Diabetes</v>
      </c>
    </row>
    <row r="56" spans="1:10">
      <c r="A56" t="s">
        <v>110</v>
      </c>
      <c r="B56">
        <v>38.950000000000003</v>
      </c>
      <c r="C56">
        <v>11.95</v>
      </c>
      <c r="D56" t="s">
        <v>4682</v>
      </c>
      <c r="E56" t="s">
        <v>4682</v>
      </c>
      <c r="F56" t="s">
        <v>4682</v>
      </c>
      <c r="G56">
        <v>0</v>
      </c>
      <c r="H56" t="s">
        <v>4683</v>
      </c>
      <c r="I56" t="str" cm="1">
        <f t="array" ref="I56">_xlfn.IFS(B56&lt;18.5, "Underweight", B56&lt;=24.9, "Normal Weight", B56&lt;=29.9, "Overweight", TRUE, "Obesity")</f>
        <v>Obesity</v>
      </c>
      <c r="J56" t="str" cm="1">
        <f t="array" ref="J56">_xlfn.IFS(C56&lt;5.7, "Normal", C56&lt;=6.4, "Prediabetes", TRUE, "Diabetes")</f>
        <v>Diabetes</v>
      </c>
    </row>
    <row r="57" spans="1:10">
      <c r="A57" t="s">
        <v>112</v>
      </c>
      <c r="B57">
        <v>36.630000000000003</v>
      </c>
      <c r="C57">
        <v>7.72</v>
      </c>
      <c r="D57" t="s">
        <v>4683</v>
      </c>
      <c r="E57" t="s">
        <v>4682</v>
      </c>
      <c r="F57" t="s">
        <v>4682</v>
      </c>
      <c r="G57">
        <v>1</v>
      </c>
      <c r="H57" t="s">
        <v>4683</v>
      </c>
      <c r="I57" t="str" cm="1">
        <f t="array" ref="I57">_xlfn.IFS(B57&lt;18.5, "Underweight", B57&lt;=24.9, "Normal Weight", B57&lt;=29.9, "Overweight", TRUE, "Obesity")</f>
        <v>Obesity</v>
      </c>
      <c r="J57" t="str" cm="1">
        <f t="array" ref="J57">_xlfn.IFS(C57&lt;5.7, "Normal", C57&lt;=6.4, "Prediabetes", TRUE, "Diabetes")</f>
        <v>Diabetes</v>
      </c>
    </row>
    <row r="58" spans="1:10">
      <c r="A58" t="s">
        <v>114</v>
      </c>
      <c r="B58">
        <v>34.200000000000003</v>
      </c>
      <c r="C58">
        <v>5.75</v>
      </c>
      <c r="D58" t="s">
        <v>4682</v>
      </c>
      <c r="E58" t="s">
        <v>4682</v>
      </c>
      <c r="F58" t="s">
        <v>4682</v>
      </c>
      <c r="G58">
        <v>2</v>
      </c>
      <c r="H58" t="s">
        <v>4683</v>
      </c>
      <c r="I58" t="str" cm="1">
        <f t="array" ref="I58">_xlfn.IFS(B58&lt;18.5, "Underweight", B58&lt;=24.9, "Normal Weight", B58&lt;=29.9, "Overweight", TRUE, "Obesity")</f>
        <v>Obesity</v>
      </c>
      <c r="J58" t="str" cm="1">
        <f t="array" ref="J58">_xlfn.IFS(C58&lt;5.7, "Normal", C58&lt;=6.4, "Prediabetes", TRUE, "Diabetes")</f>
        <v>Prediabetes</v>
      </c>
    </row>
    <row r="59" spans="1:10">
      <c r="A59" t="s">
        <v>116</v>
      </c>
      <c r="B59">
        <v>50.63</v>
      </c>
      <c r="C59">
        <v>11.89</v>
      </c>
      <c r="D59" t="s">
        <v>4682</v>
      </c>
      <c r="E59" t="s">
        <v>4682</v>
      </c>
      <c r="F59" t="s">
        <v>4682</v>
      </c>
      <c r="G59">
        <v>0</v>
      </c>
      <c r="H59" t="s">
        <v>4683</v>
      </c>
      <c r="I59" t="str" cm="1">
        <f t="array" ref="I59">_xlfn.IFS(B59&lt;18.5, "Underweight", B59&lt;=24.9, "Normal Weight", B59&lt;=29.9, "Overweight", TRUE, "Obesity")</f>
        <v>Obesity</v>
      </c>
      <c r="J59" t="str" cm="1">
        <f t="array" ref="J59">_xlfn.IFS(C59&lt;5.7, "Normal", C59&lt;=6.4, "Prediabetes", TRUE, "Diabetes")</f>
        <v>Diabetes</v>
      </c>
    </row>
    <row r="60" spans="1:10">
      <c r="A60" t="s">
        <v>118</v>
      </c>
      <c r="B60">
        <v>36.479999999999997</v>
      </c>
      <c r="C60">
        <v>6.2</v>
      </c>
      <c r="D60" t="s">
        <v>4682</v>
      </c>
      <c r="E60" t="s">
        <v>4682</v>
      </c>
      <c r="F60" t="s">
        <v>4682</v>
      </c>
      <c r="G60">
        <v>0</v>
      </c>
      <c r="H60" t="s">
        <v>4683</v>
      </c>
      <c r="I60" t="str" cm="1">
        <f t="array" ref="I60">_xlfn.IFS(B60&lt;18.5, "Underweight", B60&lt;=24.9, "Normal Weight", B60&lt;=29.9, "Overweight", TRUE, "Obesity")</f>
        <v>Obesity</v>
      </c>
      <c r="J60" t="str" cm="1">
        <f t="array" ref="J60">_xlfn.IFS(C60&lt;5.7, "Normal", C60&lt;=6.4, "Prediabetes", TRUE, "Diabetes")</f>
        <v>Prediabetes</v>
      </c>
    </row>
    <row r="61" spans="1:10">
      <c r="A61" t="s">
        <v>120</v>
      </c>
      <c r="B61">
        <v>54.82</v>
      </c>
      <c r="C61">
        <v>10.61</v>
      </c>
      <c r="D61" t="s">
        <v>4682</v>
      </c>
      <c r="E61" t="s">
        <v>4682</v>
      </c>
      <c r="F61" t="s">
        <v>4682</v>
      </c>
      <c r="G61">
        <v>0</v>
      </c>
      <c r="H61" t="s">
        <v>4683</v>
      </c>
      <c r="I61" t="str" cm="1">
        <f t="array" ref="I61">_xlfn.IFS(B61&lt;18.5, "Underweight", B61&lt;=24.9, "Normal Weight", B61&lt;=29.9, "Overweight", TRUE, "Obesity")</f>
        <v>Obesity</v>
      </c>
      <c r="J61" t="str" cm="1">
        <f t="array" ref="J61">_xlfn.IFS(C61&lt;5.7, "Normal", C61&lt;=6.4, "Prediabetes", TRUE, "Diabetes")</f>
        <v>Diabetes</v>
      </c>
    </row>
    <row r="62" spans="1:10">
      <c r="A62" t="s">
        <v>122</v>
      </c>
      <c r="B62">
        <v>38.06</v>
      </c>
      <c r="C62">
        <v>6.04</v>
      </c>
      <c r="D62" t="s">
        <v>4682</v>
      </c>
      <c r="E62" t="s">
        <v>4682</v>
      </c>
      <c r="F62" t="s">
        <v>4684</v>
      </c>
      <c r="G62">
        <v>1</v>
      </c>
      <c r="H62" t="s">
        <v>4683</v>
      </c>
      <c r="I62" t="str" cm="1">
        <f t="array" ref="I62">_xlfn.IFS(B62&lt;18.5, "Underweight", B62&lt;=24.9, "Normal Weight", B62&lt;=29.9, "Overweight", TRUE, "Obesity")</f>
        <v>Obesity</v>
      </c>
      <c r="J62" t="str" cm="1">
        <f t="array" ref="J62">_xlfn.IFS(C62&lt;5.7, "Normal", C62&lt;=6.4, "Prediabetes", TRUE, "Diabetes")</f>
        <v>Prediabetes</v>
      </c>
    </row>
    <row r="63" spans="1:10">
      <c r="A63" t="s">
        <v>124</v>
      </c>
      <c r="B63">
        <v>51.48</v>
      </c>
      <c r="C63">
        <v>9.33</v>
      </c>
      <c r="D63" t="s">
        <v>4683</v>
      </c>
      <c r="E63" t="s">
        <v>4682</v>
      </c>
      <c r="F63" t="s">
        <v>4682</v>
      </c>
      <c r="G63">
        <v>0</v>
      </c>
      <c r="H63" t="s">
        <v>4683</v>
      </c>
      <c r="I63" t="str" cm="1">
        <f t="array" ref="I63">_xlfn.IFS(B63&lt;18.5, "Underweight", B63&lt;=24.9, "Normal Weight", B63&lt;=29.9, "Overweight", TRUE, "Obesity")</f>
        <v>Obesity</v>
      </c>
      <c r="J63" t="str" cm="1">
        <f t="array" ref="J63">_xlfn.IFS(C63&lt;5.7, "Normal", C63&lt;=6.4, "Prediabetes", TRUE, "Diabetes")</f>
        <v>Diabetes</v>
      </c>
    </row>
    <row r="64" spans="1:10">
      <c r="A64" t="s">
        <v>126</v>
      </c>
      <c r="B64">
        <v>52.06</v>
      </c>
      <c r="C64">
        <v>11.47</v>
      </c>
      <c r="D64" t="s">
        <v>4682</v>
      </c>
      <c r="E64" t="s">
        <v>4682</v>
      </c>
      <c r="F64" t="s">
        <v>4682</v>
      </c>
      <c r="G64">
        <v>0</v>
      </c>
      <c r="H64" t="s">
        <v>4683</v>
      </c>
      <c r="I64" t="str" cm="1">
        <f t="array" ref="I64">_xlfn.IFS(B64&lt;18.5, "Underweight", B64&lt;=24.9, "Normal Weight", B64&lt;=29.9, "Overweight", TRUE, "Obesity")</f>
        <v>Obesity</v>
      </c>
      <c r="J64" t="str" cm="1">
        <f t="array" ref="J64">_xlfn.IFS(C64&lt;5.7, "Normal", C64&lt;=6.4, "Prediabetes", TRUE, "Diabetes")</f>
        <v>Diabetes</v>
      </c>
    </row>
    <row r="65" spans="1:10">
      <c r="A65" t="s">
        <v>128</v>
      </c>
      <c r="B65">
        <v>30.684999999999999</v>
      </c>
      <c r="C65">
        <v>7.02</v>
      </c>
      <c r="D65" t="s">
        <v>4683</v>
      </c>
      <c r="E65" t="s">
        <v>4682</v>
      </c>
      <c r="F65" t="s">
        <v>4682</v>
      </c>
      <c r="G65">
        <v>0</v>
      </c>
      <c r="H65" t="s">
        <v>4683</v>
      </c>
      <c r="I65" t="str" cm="1">
        <f t="array" ref="I65">_xlfn.IFS(B65&lt;18.5, "Underweight", B65&lt;=24.9, "Normal Weight", B65&lt;=29.9, "Overweight", TRUE, "Obesity")</f>
        <v>Obesity</v>
      </c>
      <c r="J65" t="str" cm="1">
        <f t="array" ref="J65">_xlfn.IFS(C65&lt;5.7, "Normal", C65&lt;=6.4, "Prediabetes", TRUE, "Diabetes")</f>
        <v>Diabetes</v>
      </c>
    </row>
    <row r="66" spans="1:10">
      <c r="A66" t="s">
        <v>130</v>
      </c>
      <c r="B66">
        <v>36.08</v>
      </c>
      <c r="C66">
        <v>8.8000000000000007</v>
      </c>
      <c r="D66" t="s">
        <v>4683</v>
      </c>
      <c r="E66" t="s">
        <v>4682</v>
      </c>
      <c r="F66" t="s">
        <v>4682</v>
      </c>
      <c r="G66">
        <v>1</v>
      </c>
      <c r="H66" t="s">
        <v>4683</v>
      </c>
      <c r="I66" t="str" cm="1">
        <f t="array" ref="I66">_xlfn.IFS(B66&lt;18.5, "Underweight", B66&lt;=24.9, "Normal Weight", B66&lt;=29.9, "Overweight", TRUE, "Obesity")</f>
        <v>Obesity</v>
      </c>
      <c r="J66" t="str" cm="1">
        <f t="array" ref="J66">_xlfn.IFS(C66&lt;5.7, "Normal", C66&lt;=6.4, "Prediabetes", TRUE, "Diabetes")</f>
        <v>Diabetes</v>
      </c>
    </row>
    <row r="67" spans="1:10">
      <c r="A67" t="s">
        <v>132</v>
      </c>
      <c r="B67">
        <v>54.99</v>
      </c>
      <c r="C67">
        <v>8.68</v>
      </c>
      <c r="D67" t="s">
        <v>4682</v>
      </c>
      <c r="E67" t="s">
        <v>4682</v>
      </c>
      <c r="F67" t="s">
        <v>4682</v>
      </c>
      <c r="G67">
        <v>2</v>
      </c>
      <c r="H67" t="s">
        <v>4683</v>
      </c>
      <c r="I67" t="str" cm="1">
        <f t="array" ref="I67">_xlfn.IFS(B67&lt;18.5, "Underweight", B67&lt;=24.9, "Normal Weight", B67&lt;=29.9, "Overweight", TRUE, "Obesity")</f>
        <v>Obesity</v>
      </c>
      <c r="J67" t="str" cm="1">
        <f t="array" ref="J67">_xlfn.IFS(C67&lt;5.7, "Normal", C67&lt;=6.4, "Prediabetes", TRUE, "Diabetes")</f>
        <v>Diabetes</v>
      </c>
    </row>
    <row r="68" spans="1:10">
      <c r="A68" t="s">
        <v>134</v>
      </c>
      <c r="B68">
        <v>35.97</v>
      </c>
      <c r="C68">
        <v>6.12</v>
      </c>
      <c r="D68" t="s">
        <v>4682</v>
      </c>
      <c r="E68" t="s">
        <v>4682</v>
      </c>
      <c r="F68" t="s">
        <v>4684</v>
      </c>
      <c r="G68">
        <v>1</v>
      </c>
      <c r="H68" t="s">
        <v>4683</v>
      </c>
      <c r="I68" t="str" cm="1">
        <f t="array" ref="I68">_xlfn.IFS(B68&lt;18.5, "Underweight", B68&lt;=24.9, "Normal Weight", B68&lt;=29.9, "Overweight", TRUE, "Obesity")</f>
        <v>Obesity</v>
      </c>
      <c r="J68" t="str" cm="1">
        <f t="array" ref="J68">_xlfn.IFS(C68&lt;5.7, "Normal", C68&lt;=6.4, "Prediabetes", TRUE, "Diabetes")</f>
        <v>Prediabetes</v>
      </c>
    </row>
    <row r="69" spans="1:10">
      <c r="A69" t="s">
        <v>136</v>
      </c>
      <c r="B69">
        <v>45.54</v>
      </c>
      <c r="C69">
        <v>5.4</v>
      </c>
      <c r="D69" t="s">
        <v>4683</v>
      </c>
      <c r="E69" t="s">
        <v>4682</v>
      </c>
      <c r="F69" t="s">
        <v>4684</v>
      </c>
      <c r="G69">
        <v>1</v>
      </c>
      <c r="H69" t="s">
        <v>4683</v>
      </c>
      <c r="I69" t="str" cm="1">
        <f t="array" ref="I69">_xlfn.IFS(B69&lt;18.5, "Underweight", B69&lt;=24.9, "Normal Weight", B69&lt;=29.9, "Overweight", TRUE, "Obesity")</f>
        <v>Obesity</v>
      </c>
      <c r="J69" t="str" cm="1">
        <f t="array" ref="J69">_xlfn.IFS(C69&lt;5.7, "Normal", C69&lt;=6.4, "Prediabetes", TRUE, "Diabetes")</f>
        <v>Normal</v>
      </c>
    </row>
    <row r="70" spans="1:10">
      <c r="A70" t="s">
        <v>138</v>
      </c>
      <c r="B70">
        <v>35.53</v>
      </c>
      <c r="C70">
        <v>4.3600000000000003</v>
      </c>
      <c r="D70" t="s">
        <v>4683</v>
      </c>
      <c r="E70" t="s">
        <v>4682</v>
      </c>
      <c r="F70" t="s">
        <v>4682</v>
      </c>
      <c r="G70">
        <v>0</v>
      </c>
      <c r="H70" t="s">
        <v>4683</v>
      </c>
      <c r="I70" t="str" cm="1">
        <f t="array" ref="I70">_xlfn.IFS(B70&lt;18.5, "Underweight", B70&lt;=24.9, "Normal Weight", B70&lt;=29.9, "Overweight", TRUE, "Obesity")</f>
        <v>Obesity</v>
      </c>
      <c r="J70" t="str" cm="1">
        <f t="array" ref="J70">_xlfn.IFS(C70&lt;5.7, "Normal", C70&lt;=6.4, "Prediabetes", TRUE, "Diabetes")</f>
        <v>Normal</v>
      </c>
    </row>
    <row r="71" spans="1:10">
      <c r="A71" t="s">
        <v>140</v>
      </c>
      <c r="B71">
        <v>30.8</v>
      </c>
      <c r="C71">
        <v>9.77</v>
      </c>
      <c r="D71" t="s">
        <v>4682</v>
      </c>
      <c r="E71" t="s">
        <v>4682</v>
      </c>
      <c r="F71" t="s">
        <v>4682</v>
      </c>
      <c r="G71">
        <v>0</v>
      </c>
      <c r="H71" t="s">
        <v>4683</v>
      </c>
      <c r="I71" t="str" cm="1">
        <f t="array" ref="I71">_xlfn.IFS(B71&lt;18.5, "Underweight", B71&lt;=24.9, "Normal Weight", B71&lt;=29.9, "Overweight", TRUE, "Obesity")</f>
        <v>Obesity</v>
      </c>
      <c r="J71" t="str" cm="1">
        <f t="array" ref="J71">_xlfn.IFS(C71&lt;5.7, "Normal", C71&lt;=6.4, "Prediabetes", TRUE, "Diabetes")</f>
        <v>Diabetes</v>
      </c>
    </row>
    <row r="72" spans="1:10">
      <c r="A72" t="s">
        <v>142</v>
      </c>
      <c r="B72">
        <v>38.39</v>
      </c>
      <c r="C72">
        <v>4.25</v>
      </c>
      <c r="D72" t="s">
        <v>4682</v>
      </c>
      <c r="E72" t="s">
        <v>4682</v>
      </c>
      <c r="F72" t="s">
        <v>4682</v>
      </c>
      <c r="G72">
        <v>1</v>
      </c>
      <c r="H72" t="s">
        <v>4683</v>
      </c>
      <c r="I72" t="str" cm="1">
        <f t="array" ref="I72">_xlfn.IFS(B72&lt;18.5, "Underweight", B72&lt;=24.9, "Normal Weight", B72&lt;=29.9, "Overweight", TRUE, "Obesity")</f>
        <v>Obesity</v>
      </c>
      <c r="J72" t="str" cm="1">
        <f t="array" ref="J72">_xlfn.IFS(C72&lt;5.7, "Normal", C72&lt;=6.4, "Prediabetes", TRUE, "Diabetes")</f>
        <v>Normal</v>
      </c>
    </row>
    <row r="73" spans="1:10">
      <c r="A73" t="s">
        <v>144</v>
      </c>
      <c r="B73">
        <v>32.299999999999997</v>
      </c>
      <c r="C73">
        <v>4.76</v>
      </c>
      <c r="D73" t="s">
        <v>4682</v>
      </c>
      <c r="E73" t="s">
        <v>4682</v>
      </c>
      <c r="F73" t="s">
        <v>4682</v>
      </c>
      <c r="G73">
        <v>2</v>
      </c>
      <c r="H73" t="s">
        <v>4683</v>
      </c>
      <c r="I73" t="str" cm="1">
        <f t="array" ref="I73">_xlfn.IFS(B73&lt;18.5, "Underweight", B73&lt;=24.9, "Normal Weight", B73&lt;=29.9, "Overweight", TRUE, "Obesity")</f>
        <v>Obesity</v>
      </c>
      <c r="J73" t="str" cm="1">
        <f t="array" ref="J73">_xlfn.IFS(C73&lt;5.7, "Normal", C73&lt;=6.4, "Prediabetes", TRUE, "Diabetes")</f>
        <v>Normal</v>
      </c>
    </row>
    <row r="74" spans="1:10">
      <c r="A74" t="s">
        <v>146</v>
      </c>
      <c r="B74">
        <v>48.8</v>
      </c>
      <c r="C74">
        <v>6.22</v>
      </c>
      <c r="D74" t="s">
        <v>4683</v>
      </c>
      <c r="E74" t="s">
        <v>4682</v>
      </c>
      <c r="F74" t="s">
        <v>4682</v>
      </c>
      <c r="G74">
        <v>2</v>
      </c>
      <c r="H74" t="s">
        <v>4683</v>
      </c>
      <c r="I74" t="str" cm="1">
        <f t="array" ref="I74">_xlfn.IFS(B74&lt;18.5, "Underweight", B74&lt;=24.9, "Normal Weight", B74&lt;=29.9, "Overweight", TRUE, "Obesity")</f>
        <v>Obesity</v>
      </c>
      <c r="J74" t="str" cm="1">
        <f t="array" ref="J74">_xlfn.IFS(C74&lt;5.7, "Normal", C74&lt;=6.4, "Prediabetes", TRUE, "Diabetes")</f>
        <v>Prediabetes</v>
      </c>
    </row>
    <row r="75" spans="1:10">
      <c r="A75" t="s">
        <v>148</v>
      </c>
      <c r="B75">
        <v>45.5</v>
      </c>
      <c r="C75">
        <v>7.96</v>
      </c>
      <c r="D75" t="s">
        <v>4682</v>
      </c>
      <c r="E75" t="s">
        <v>4682</v>
      </c>
      <c r="F75" t="s">
        <v>4682</v>
      </c>
      <c r="G75">
        <v>0</v>
      </c>
      <c r="H75" t="s">
        <v>4683</v>
      </c>
      <c r="I75" t="str" cm="1">
        <f t="array" ref="I75">_xlfn.IFS(B75&lt;18.5, "Underweight", B75&lt;=24.9, "Normal Weight", B75&lt;=29.9, "Overweight", TRUE, "Obesity")</f>
        <v>Obesity</v>
      </c>
      <c r="J75" t="str" cm="1">
        <f t="array" ref="J75">_xlfn.IFS(C75&lt;5.7, "Normal", C75&lt;=6.4, "Prediabetes", TRUE, "Diabetes")</f>
        <v>Diabetes</v>
      </c>
    </row>
    <row r="76" spans="1:10">
      <c r="A76" t="s">
        <v>150</v>
      </c>
      <c r="B76">
        <v>53.61</v>
      </c>
      <c r="C76">
        <v>10.92</v>
      </c>
      <c r="D76" t="s">
        <v>4683</v>
      </c>
      <c r="E76" t="s">
        <v>4682</v>
      </c>
      <c r="F76" t="s">
        <v>4682</v>
      </c>
      <c r="G76">
        <v>1</v>
      </c>
      <c r="H76" t="s">
        <v>4683</v>
      </c>
      <c r="I76" t="str" cm="1">
        <f t="array" ref="I76">_xlfn.IFS(B76&lt;18.5, "Underweight", B76&lt;=24.9, "Normal Weight", B76&lt;=29.9, "Overweight", TRUE, "Obesity")</f>
        <v>Obesity</v>
      </c>
      <c r="J76" t="str" cm="1">
        <f t="array" ref="J76">_xlfn.IFS(C76&lt;5.7, "Normal", C76&lt;=6.4, "Prediabetes", TRUE, "Diabetes")</f>
        <v>Diabetes</v>
      </c>
    </row>
    <row r="77" spans="1:10">
      <c r="A77" t="s">
        <v>152</v>
      </c>
      <c r="B77">
        <v>36.19</v>
      </c>
      <c r="C77">
        <v>11.51</v>
      </c>
      <c r="D77" t="s">
        <v>4683</v>
      </c>
      <c r="E77" t="s">
        <v>4682</v>
      </c>
      <c r="F77" t="s">
        <v>4682</v>
      </c>
      <c r="G77">
        <v>1</v>
      </c>
      <c r="H77" t="s">
        <v>4683</v>
      </c>
      <c r="I77" t="str" cm="1">
        <f t="array" ref="I77">_xlfn.IFS(B77&lt;18.5, "Underweight", B77&lt;=24.9, "Normal Weight", B77&lt;=29.9, "Overweight", TRUE, "Obesity")</f>
        <v>Obesity</v>
      </c>
      <c r="J77" t="str" cm="1">
        <f t="array" ref="J77">_xlfn.IFS(C77&lt;5.7, "Normal", C77&lt;=6.4, "Prediabetes", TRUE, "Diabetes")</f>
        <v>Diabetes</v>
      </c>
    </row>
    <row r="78" spans="1:10">
      <c r="A78" t="s">
        <v>154</v>
      </c>
      <c r="B78">
        <v>34.6</v>
      </c>
      <c r="C78">
        <v>5.99</v>
      </c>
      <c r="D78" t="s">
        <v>4683</v>
      </c>
      <c r="E78" t="s">
        <v>4682</v>
      </c>
      <c r="F78" t="s">
        <v>4682</v>
      </c>
      <c r="G78">
        <v>0</v>
      </c>
      <c r="H78" t="s">
        <v>4683</v>
      </c>
      <c r="I78" t="str" cm="1">
        <f t="array" ref="I78">_xlfn.IFS(B78&lt;18.5, "Underweight", B78&lt;=24.9, "Normal Weight", B78&lt;=29.9, "Overweight", TRUE, "Obesity")</f>
        <v>Obesity</v>
      </c>
      <c r="J78" t="str" cm="1">
        <f t="array" ref="J78">_xlfn.IFS(C78&lt;5.7, "Normal", C78&lt;=6.4, "Prediabetes", TRUE, "Diabetes")</f>
        <v>Prediabetes</v>
      </c>
    </row>
    <row r="79" spans="1:10">
      <c r="A79" t="s">
        <v>156</v>
      </c>
      <c r="B79">
        <v>54.12</v>
      </c>
      <c r="C79">
        <v>11.57</v>
      </c>
      <c r="D79" t="s">
        <v>4682</v>
      </c>
      <c r="E79" t="s">
        <v>4682</v>
      </c>
      <c r="F79" t="s">
        <v>4682</v>
      </c>
      <c r="G79">
        <v>0</v>
      </c>
      <c r="H79" t="s">
        <v>4683</v>
      </c>
      <c r="I79" t="str" cm="1">
        <f t="array" ref="I79">_xlfn.IFS(B79&lt;18.5, "Underweight", B79&lt;=24.9, "Normal Weight", B79&lt;=29.9, "Overweight", TRUE, "Obesity")</f>
        <v>Obesity</v>
      </c>
      <c r="J79" t="str" cm="1">
        <f t="array" ref="J79">_xlfn.IFS(C79&lt;5.7, "Normal", C79&lt;=6.4, "Prediabetes", TRUE, "Diabetes")</f>
        <v>Diabetes</v>
      </c>
    </row>
    <row r="80" spans="1:10">
      <c r="A80" t="s">
        <v>158</v>
      </c>
      <c r="B80">
        <v>48.82</v>
      </c>
      <c r="C80">
        <v>6.67</v>
      </c>
      <c r="D80" t="s">
        <v>4683</v>
      </c>
      <c r="E80" t="s">
        <v>4682</v>
      </c>
      <c r="F80" t="s">
        <v>4682</v>
      </c>
      <c r="G80">
        <v>0</v>
      </c>
      <c r="H80" t="s">
        <v>4683</v>
      </c>
      <c r="I80" t="str" cm="1">
        <f t="array" ref="I80">_xlfn.IFS(B80&lt;18.5, "Underweight", B80&lt;=24.9, "Normal Weight", B80&lt;=29.9, "Overweight", TRUE, "Obesity")</f>
        <v>Obesity</v>
      </c>
      <c r="J80" t="str" cm="1">
        <f t="array" ref="J80">_xlfn.IFS(C80&lt;5.7, "Normal", C80&lt;=6.4, "Prediabetes", TRUE, "Diabetes")</f>
        <v>Diabetes</v>
      </c>
    </row>
    <row r="81" spans="1:10">
      <c r="A81" t="s">
        <v>160</v>
      </c>
      <c r="B81">
        <v>51.01</v>
      </c>
      <c r="C81">
        <v>9.1999999999999993</v>
      </c>
      <c r="D81" t="s">
        <v>4682</v>
      </c>
      <c r="E81" t="s">
        <v>4682</v>
      </c>
      <c r="F81" t="s">
        <v>4682</v>
      </c>
      <c r="G81">
        <v>0</v>
      </c>
      <c r="H81" t="s">
        <v>4683</v>
      </c>
      <c r="I81" t="str" cm="1">
        <f t="array" ref="I81">_xlfn.IFS(B81&lt;18.5, "Underweight", B81&lt;=24.9, "Normal Weight", B81&lt;=29.9, "Overweight", TRUE, "Obesity")</f>
        <v>Obesity</v>
      </c>
      <c r="J81" t="str" cm="1">
        <f t="array" ref="J81">_xlfn.IFS(C81&lt;5.7, "Normal", C81&lt;=6.4, "Prediabetes", TRUE, "Diabetes")</f>
        <v>Diabetes</v>
      </c>
    </row>
    <row r="82" spans="1:10">
      <c r="A82" t="s">
        <v>162</v>
      </c>
      <c r="B82">
        <v>45.65</v>
      </c>
      <c r="C82">
        <v>5.1100000000000003</v>
      </c>
      <c r="D82" t="s">
        <v>4683</v>
      </c>
      <c r="E82" t="s">
        <v>4682</v>
      </c>
      <c r="F82" t="s">
        <v>4682</v>
      </c>
      <c r="G82">
        <v>1</v>
      </c>
      <c r="H82" t="s">
        <v>4683</v>
      </c>
      <c r="I82" t="str" cm="1">
        <f t="array" ref="I82">_xlfn.IFS(B82&lt;18.5, "Underweight", B82&lt;=24.9, "Normal Weight", B82&lt;=29.9, "Overweight", TRUE, "Obesity")</f>
        <v>Obesity</v>
      </c>
      <c r="J82" t="str" cm="1">
        <f t="array" ref="J82">_xlfn.IFS(C82&lt;5.7, "Normal", C82&lt;=6.4, "Prediabetes", TRUE, "Diabetes")</f>
        <v>Normal</v>
      </c>
    </row>
    <row r="83" spans="1:10">
      <c r="A83" t="s">
        <v>164</v>
      </c>
      <c r="B83">
        <v>52.9</v>
      </c>
      <c r="C83">
        <v>5.34</v>
      </c>
      <c r="D83" t="s">
        <v>4682</v>
      </c>
      <c r="E83" t="s">
        <v>4682</v>
      </c>
      <c r="F83" t="s">
        <v>4682</v>
      </c>
      <c r="G83">
        <v>0</v>
      </c>
      <c r="H83" t="s">
        <v>4683</v>
      </c>
      <c r="I83" t="str" cm="1">
        <f t="array" ref="I83">_xlfn.IFS(B83&lt;18.5, "Underweight", B83&lt;=24.9, "Normal Weight", B83&lt;=29.9, "Overweight", TRUE, "Obesity")</f>
        <v>Obesity</v>
      </c>
      <c r="J83" t="str" cm="1">
        <f t="array" ref="J83">_xlfn.IFS(C83&lt;5.7, "Normal", C83&lt;=6.4, "Prediabetes", TRUE, "Diabetes")</f>
        <v>Normal</v>
      </c>
    </row>
    <row r="84" spans="1:10">
      <c r="A84" t="s">
        <v>166</v>
      </c>
      <c r="B84">
        <v>45.41</v>
      </c>
      <c r="C84">
        <v>4.03</v>
      </c>
      <c r="D84" t="s">
        <v>4683</v>
      </c>
      <c r="E84" t="s">
        <v>4682</v>
      </c>
      <c r="F84" t="s">
        <v>4682</v>
      </c>
      <c r="G84">
        <v>1</v>
      </c>
      <c r="H84" t="s">
        <v>4683</v>
      </c>
      <c r="I84" t="str" cm="1">
        <f t="array" ref="I84">_xlfn.IFS(B84&lt;18.5, "Underweight", B84&lt;=24.9, "Normal Weight", B84&lt;=29.9, "Overweight", TRUE, "Obesity")</f>
        <v>Obesity</v>
      </c>
      <c r="J84" t="str" cm="1">
        <f t="array" ref="J84">_xlfn.IFS(C84&lt;5.7, "Normal", C84&lt;=6.4, "Prediabetes", TRUE, "Diabetes")</f>
        <v>Normal</v>
      </c>
    </row>
    <row r="85" spans="1:10">
      <c r="A85" t="s">
        <v>168</v>
      </c>
      <c r="B85">
        <v>49.41</v>
      </c>
      <c r="C85">
        <v>4.2300000000000004</v>
      </c>
      <c r="D85" t="s">
        <v>4683</v>
      </c>
      <c r="E85" t="s">
        <v>4682</v>
      </c>
      <c r="F85" t="s">
        <v>4684</v>
      </c>
      <c r="G85">
        <v>1</v>
      </c>
      <c r="H85" t="s">
        <v>4683</v>
      </c>
      <c r="I85" t="str" cm="1">
        <f t="array" ref="I85">_xlfn.IFS(B85&lt;18.5, "Underweight", B85&lt;=24.9, "Normal Weight", B85&lt;=29.9, "Overweight", TRUE, "Obesity")</f>
        <v>Obesity</v>
      </c>
      <c r="J85" t="str" cm="1">
        <f t="array" ref="J85">_xlfn.IFS(C85&lt;5.7, "Normal", C85&lt;=6.4, "Prediabetes", TRUE, "Diabetes")</f>
        <v>Normal</v>
      </c>
    </row>
    <row r="86" spans="1:10">
      <c r="A86" t="s">
        <v>170</v>
      </c>
      <c r="B86">
        <v>31.824999999999999</v>
      </c>
      <c r="C86">
        <v>4.0599999999999996</v>
      </c>
      <c r="D86" t="s">
        <v>4682</v>
      </c>
      <c r="E86" t="s">
        <v>4682</v>
      </c>
      <c r="F86" t="s">
        <v>4682</v>
      </c>
      <c r="G86">
        <v>2</v>
      </c>
      <c r="H86" t="s">
        <v>4683</v>
      </c>
      <c r="I86" t="str" cm="1">
        <f t="array" ref="I86">_xlfn.IFS(B86&lt;18.5, "Underweight", B86&lt;=24.9, "Normal Weight", B86&lt;=29.9, "Overweight", TRUE, "Obesity")</f>
        <v>Obesity</v>
      </c>
      <c r="J86" t="str" cm="1">
        <f t="array" ref="J86">_xlfn.IFS(C86&lt;5.7, "Normal", C86&lt;=6.4, "Prediabetes", TRUE, "Diabetes")</f>
        <v>Normal</v>
      </c>
    </row>
    <row r="87" spans="1:10">
      <c r="A87" t="s">
        <v>172</v>
      </c>
      <c r="B87">
        <v>51.28</v>
      </c>
      <c r="C87">
        <v>4.68</v>
      </c>
      <c r="D87" t="s">
        <v>4682</v>
      </c>
      <c r="E87" t="s">
        <v>4682</v>
      </c>
      <c r="F87" t="s">
        <v>4682</v>
      </c>
      <c r="G87">
        <v>2</v>
      </c>
      <c r="H87" t="s">
        <v>4683</v>
      </c>
      <c r="I87" t="str" cm="1">
        <f t="array" ref="I87">_xlfn.IFS(B87&lt;18.5, "Underweight", B87&lt;=24.9, "Normal Weight", B87&lt;=29.9, "Overweight", TRUE, "Obesity")</f>
        <v>Obesity</v>
      </c>
      <c r="J87" t="str" cm="1">
        <f t="array" ref="J87">_xlfn.IFS(C87&lt;5.7, "Normal", C87&lt;=6.4, "Prediabetes", TRUE, "Diabetes")</f>
        <v>Normal</v>
      </c>
    </row>
    <row r="88" spans="1:10">
      <c r="A88" t="s">
        <v>174</v>
      </c>
      <c r="B88">
        <v>34.96</v>
      </c>
      <c r="C88">
        <v>4.34</v>
      </c>
      <c r="D88" t="s">
        <v>4682</v>
      </c>
      <c r="E88" t="s">
        <v>4682</v>
      </c>
      <c r="F88" t="s">
        <v>4684</v>
      </c>
      <c r="G88">
        <v>1</v>
      </c>
      <c r="H88" t="s">
        <v>4683</v>
      </c>
      <c r="I88" t="str" cm="1">
        <f t="array" ref="I88">_xlfn.IFS(B88&lt;18.5, "Underweight", B88&lt;=24.9, "Normal Weight", B88&lt;=29.9, "Overweight", TRUE, "Obesity")</f>
        <v>Obesity</v>
      </c>
      <c r="J88" t="str" cm="1">
        <f t="array" ref="J88">_xlfn.IFS(C88&lt;5.7, "Normal", C88&lt;=6.4, "Prediabetes", TRUE, "Diabetes")</f>
        <v>Normal</v>
      </c>
    </row>
    <row r="89" spans="1:10">
      <c r="A89" t="s">
        <v>176</v>
      </c>
      <c r="B89">
        <v>33.11</v>
      </c>
      <c r="C89">
        <v>10.51</v>
      </c>
      <c r="D89" t="s">
        <v>4682</v>
      </c>
      <c r="E89" t="s">
        <v>4682</v>
      </c>
      <c r="F89" t="s">
        <v>4682</v>
      </c>
      <c r="G89">
        <v>0</v>
      </c>
      <c r="H89" t="s">
        <v>4683</v>
      </c>
      <c r="I89" t="str" cm="1">
        <f t="array" ref="I89">_xlfn.IFS(B89&lt;18.5, "Underweight", B89&lt;=24.9, "Normal Weight", B89&lt;=29.9, "Overweight", TRUE, "Obesity")</f>
        <v>Obesity</v>
      </c>
      <c r="J89" t="str" cm="1">
        <f t="array" ref="J89">_xlfn.IFS(C89&lt;5.7, "Normal", C89&lt;=6.4, "Prediabetes", TRUE, "Diabetes")</f>
        <v>Diabetes</v>
      </c>
    </row>
    <row r="90" spans="1:10">
      <c r="A90" t="s">
        <v>178</v>
      </c>
      <c r="B90">
        <v>54.74</v>
      </c>
      <c r="C90">
        <v>5.84</v>
      </c>
      <c r="D90" t="s">
        <v>4683</v>
      </c>
      <c r="E90" t="s">
        <v>4682</v>
      </c>
      <c r="F90" t="s">
        <v>4684</v>
      </c>
      <c r="G90">
        <v>1</v>
      </c>
      <c r="H90" t="s">
        <v>4683</v>
      </c>
      <c r="I90" t="str" cm="1">
        <f t="array" ref="I90">_xlfn.IFS(B90&lt;18.5, "Underweight", B90&lt;=24.9, "Normal Weight", B90&lt;=29.9, "Overweight", TRUE, "Obesity")</f>
        <v>Obesity</v>
      </c>
      <c r="J90" t="str" cm="1">
        <f t="array" ref="J90">_xlfn.IFS(C90&lt;5.7, "Normal", C90&lt;=6.4, "Prediabetes", TRUE, "Diabetes")</f>
        <v>Prediabetes</v>
      </c>
    </row>
    <row r="91" spans="1:10">
      <c r="A91" t="s">
        <v>180</v>
      </c>
      <c r="B91">
        <v>32.56</v>
      </c>
      <c r="C91">
        <v>5.41</v>
      </c>
      <c r="D91" t="s">
        <v>4682</v>
      </c>
      <c r="E91" t="s">
        <v>4682</v>
      </c>
      <c r="F91" t="s">
        <v>4684</v>
      </c>
      <c r="G91">
        <v>1</v>
      </c>
      <c r="H91" t="s">
        <v>4683</v>
      </c>
      <c r="I91" t="str" cm="1">
        <f t="array" ref="I91">_xlfn.IFS(B91&lt;18.5, "Underweight", B91&lt;=24.9, "Normal Weight", B91&lt;=29.9, "Overweight", TRUE, "Obesity")</f>
        <v>Obesity</v>
      </c>
      <c r="J91" t="str" cm="1">
        <f t="array" ref="J91">_xlfn.IFS(C91&lt;5.7, "Normal", C91&lt;=6.4, "Prediabetes", TRUE, "Diabetes")</f>
        <v>Normal</v>
      </c>
    </row>
    <row r="92" spans="1:10">
      <c r="A92" t="s">
        <v>182</v>
      </c>
      <c r="B92">
        <v>39.049999999999997</v>
      </c>
      <c r="C92">
        <v>6.06</v>
      </c>
      <c r="D92" t="s">
        <v>4682</v>
      </c>
      <c r="E92" t="s">
        <v>4682</v>
      </c>
      <c r="F92" t="s">
        <v>4682</v>
      </c>
      <c r="G92">
        <v>1</v>
      </c>
      <c r="H92" t="s">
        <v>4683</v>
      </c>
      <c r="I92" t="str" cm="1">
        <f t="array" ref="I92">_xlfn.IFS(B92&lt;18.5, "Underweight", B92&lt;=24.9, "Normal Weight", B92&lt;=29.9, "Overweight", TRUE, "Obesity")</f>
        <v>Obesity</v>
      </c>
      <c r="J92" t="str" cm="1">
        <f t="array" ref="J92">_xlfn.IFS(C92&lt;5.7, "Normal", C92&lt;=6.4, "Prediabetes", TRUE, "Diabetes")</f>
        <v>Prediabetes</v>
      </c>
    </row>
    <row r="93" spans="1:10">
      <c r="A93" t="s">
        <v>184</v>
      </c>
      <c r="B93">
        <v>42.75</v>
      </c>
      <c r="C93">
        <v>4.22</v>
      </c>
      <c r="D93" t="s">
        <v>4682</v>
      </c>
      <c r="E93" t="s">
        <v>4682</v>
      </c>
      <c r="F93" t="s">
        <v>4682</v>
      </c>
      <c r="G93">
        <v>0</v>
      </c>
      <c r="H93" t="s">
        <v>4683</v>
      </c>
      <c r="I93" t="str" cm="1">
        <f t="array" ref="I93">_xlfn.IFS(B93&lt;18.5, "Underweight", B93&lt;=24.9, "Normal Weight", B93&lt;=29.9, "Overweight", TRUE, "Obesity")</f>
        <v>Obesity</v>
      </c>
      <c r="J93" t="str" cm="1">
        <f t="array" ref="J93">_xlfn.IFS(C93&lt;5.7, "Normal", C93&lt;=6.4, "Prediabetes", TRUE, "Diabetes")</f>
        <v>Normal</v>
      </c>
    </row>
    <row r="94" spans="1:10">
      <c r="A94" t="s">
        <v>186</v>
      </c>
      <c r="B94">
        <v>50.58</v>
      </c>
      <c r="C94">
        <v>5.12</v>
      </c>
      <c r="D94" t="s">
        <v>4682</v>
      </c>
      <c r="E94" t="s">
        <v>4682</v>
      </c>
      <c r="F94" t="s">
        <v>4682</v>
      </c>
      <c r="G94">
        <v>2</v>
      </c>
      <c r="H94" t="s">
        <v>4683</v>
      </c>
      <c r="I94" t="str" cm="1">
        <f t="array" ref="I94">_xlfn.IFS(B94&lt;18.5, "Underweight", B94&lt;=24.9, "Normal Weight", B94&lt;=29.9, "Overweight", TRUE, "Obesity")</f>
        <v>Obesity</v>
      </c>
      <c r="J94" t="str" cm="1">
        <f t="array" ref="J94">_xlfn.IFS(C94&lt;5.7, "Normal", C94&lt;=6.4, "Prediabetes", TRUE, "Diabetes")</f>
        <v>Normal</v>
      </c>
    </row>
    <row r="95" spans="1:10">
      <c r="A95" t="s">
        <v>188</v>
      </c>
      <c r="B95">
        <v>30.495000000000001</v>
      </c>
      <c r="C95">
        <v>4.57</v>
      </c>
      <c r="D95" t="s">
        <v>4683</v>
      </c>
      <c r="E95" t="s">
        <v>4682</v>
      </c>
      <c r="F95" t="s">
        <v>4682</v>
      </c>
      <c r="G95">
        <v>0</v>
      </c>
      <c r="H95" t="s">
        <v>4683</v>
      </c>
      <c r="I95" t="str" cm="1">
        <f t="array" ref="I95">_xlfn.IFS(B95&lt;18.5, "Underweight", B95&lt;=24.9, "Normal Weight", B95&lt;=29.9, "Overweight", TRUE, "Obesity")</f>
        <v>Obesity</v>
      </c>
      <c r="J95" t="str" cm="1">
        <f t="array" ref="J95">_xlfn.IFS(C95&lt;5.7, "Normal", C95&lt;=6.4, "Prediabetes", TRUE, "Diabetes")</f>
        <v>Normal</v>
      </c>
    </row>
    <row r="96" spans="1:10">
      <c r="A96" t="s">
        <v>190</v>
      </c>
      <c r="B96">
        <v>48.31</v>
      </c>
      <c r="C96">
        <v>9.58</v>
      </c>
      <c r="D96" t="s">
        <v>4683</v>
      </c>
      <c r="E96" t="s">
        <v>4682</v>
      </c>
      <c r="F96" t="s">
        <v>4682</v>
      </c>
      <c r="G96">
        <v>2</v>
      </c>
      <c r="H96" t="s">
        <v>4683</v>
      </c>
      <c r="I96" t="str" cm="1">
        <f t="array" ref="I96">_xlfn.IFS(B96&lt;18.5, "Underweight", B96&lt;=24.9, "Normal Weight", B96&lt;=29.9, "Overweight", TRUE, "Obesity")</f>
        <v>Obesity</v>
      </c>
      <c r="J96" t="str" cm="1">
        <f t="array" ref="J96">_xlfn.IFS(C96&lt;5.7, "Normal", C96&lt;=6.4, "Prediabetes", TRUE, "Diabetes")</f>
        <v>Diabetes</v>
      </c>
    </row>
    <row r="97" spans="1:10">
      <c r="A97" t="s">
        <v>192</v>
      </c>
      <c r="B97">
        <v>48.99</v>
      </c>
      <c r="C97">
        <v>9.7799999999999994</v>
      </c>
      <c r="D97" t="s">
        <v>4683</v>
      </c>
      <c r="E97" t="s">
        <v>4682</v>
      </c>
      <c r="F97" t="s">
        <v>4682</v>
      </c>
      <c r="G97">
        <v>1</v>
      </c>
      <c r="H97" t="s">
        <v>4683</v>
      </c>
      <c r="I97" t="str" cm="1">
        <f t="array" ref="I97">_xlfn.IFS(B97&lt;18.5, "Underweight", B97&lt;=24.9, "Normal Weight", B97&lt;=29.9, "Overweight", TRUE, "Obesity")</f>
        <v>Obesity</v>
      </c>
      <c r="J97" t="str" cm="1">
        <f t="array" ref="J97">_xlfn.IFS(C97&lt;5.7, "Normal", C97&lt;=6.4, "Prediabetes", TRUE, "Diabetes")</f>
        <v>Diabetes</v>
      </c>
    </row>
    <row r="98" spans="1:10">
      <c r="A98" t="s">
        <v>194</v>
      </c>
      <c r="B98">
        <v>38.39</v>
      </c>
      <c r="C98">
        <v>4.1100000000000003</v>
      </c>
      <c r="D98" t="s">
        <v>4683</v>
      </c>
      <c r="E98" t="s">
        <v>4682</v>
      </c>
      <c r="F98" t="s">
        <v>4682</v>
      </c>
      <c r="G98">
        <v>0</v>
      </c>
      <c r="H98" t="s">
        <v>4683</v>
      </c>
      <c r="I98" t="str" cm="1">
        <f t="array" ref="I98">_xlfn.IFS(B98&lt;18.5, "Underweight", B98&lt;=24.9, "Normal Weight", B98&lt;=29.9, "Overweight", TRUE, "Obesity")</f>
        <v>Obesity</v>
      </c>
      <c r="J98" t="str" cm="1">
        <f t="array" ref="J98">_xlfn.IFS(C98&lt;5.7, "Normal", C98&lt;=6.4, "Prediabetes", TRUE, "Diabetes")</f>
        <v>Normal</v>
      </c>
    </row>
    <row r="99" spans="1:10">
      <c r="A99" t="s">
        <v>196</v>
      </c>
      <c r="B99">
        <v>44.34</v>
      </c>
      <c r="C99">
        <v>4.0199999999999996</v>
      </c>
      <c r="D99" t="s">
        <v>4683</v>
      </c>
      <c r="E99" t="s">
        <v>4682</v>
      </c>
      <c r="F99" t="s">
        <v>4682</v>
      </c>
      <c r="G99">
        <v>2</v>
      </c>
      <c r="H99" t="s">
        <v>4683</v>
      </c>
      <c r="I99" t="str" cm="1">
        <f t="array" ref="I99">_xlfn.IFS(B99&lt;18.5, "Underweight", B99&lt;=24.9, "Normal Weight", B99&lt;=29.9, "Overweight", TRUE, "Obesity")</f>
        <v>Obesity</v>
      </c>
      <c r="J99" t="str" cm="1">
        <f t="array" ref="J99">_xlfn.IFS(C99&lt;5.7, "Normal", C99&lt;=6.4, "Prediabetes", TRUE, "Diabetes")</f>
        <v>Normal</v>
      </c>
    </row>
    <row r="100" spans="1:10">
      <c r="A100" t="s">
        <v>198</v>
      </c>
      <c r="B100">
        <v>41.51</v>
      </c>
      <c r="C100">
        <v>6.92</v>
      </c>
      <c r="D100" t="s">
        <v>4682</v>
      </c>
      <c r="E100" t="s">
        <v>4682</v>
      </c>
      <c r="F100" t="s">
        <v>4682</v>
      </c>
      <c r="G100">
        <v>0</v>
      </c>
      <c r="H100" t="s">
        <v>4683</v>
      </c>
      <c r="I100" t="str" cm="1">
        <f t="array" ref="I100">_xlfn.IFS(B100&lt;18.5, "Underweight", B100&lt;=24.9, "Normal Weight", B100&lt;=29.9, "Overweight", TRUE, "Obesity")</f>
        <v>Obesity</v>
      </c>
      <c r="J100" t="str" cm="1">
        <f t="array" ref="J100">_xlfn.IFS(C100&lt;5.7, "Normal", C100&lt;=6.4, "Prediabetes", TRUE, "Diabetes")</f>
        <v>Diabetes</v>
      </c>
    </row>
    <row r="101" spans="1:10">
      <c r="A101" t="s">
        <v>200</v>
      </c>
      <c r="B101">
        <v>48.2</v>
      </c>
      <c r="C101">
        <v>4.84</v>
      </c>
      <c r="D101" t="s">
        <v>4682</v>
      </c>
      <c r="E101" t="s">
        <v>4682</v>
      </c>
      <c r="F101" t="s">
        <v>4682</v>
      </c>
      <c r="G101">
        <v>0</v>
      </c>
      <c r="H101" t="s">
        <v>4683</v>
      </c>
      <c r="I101" t="str" cm="1">
        <f t="array" ref="I101">_xlfn.IFS(B101&lt;18.5, "Underweight", B101&lt;=24.9, "Normal Weight", B101&lt;=29.9, "Overweight", TRUE, "Obesity")</f>
        <v>Obesity</v>
      </c>
      <c r="J101" t="str" cm="1">
        <f t="array" ref="J101">_xlfn.IFS(C101&lt;5.7, "Normal", C101&lt;=6.4, "Prediabetes", TRUE, "Diabetes")</f>
        <v>Normal</v>
      </c>
    </row>
    <row r="102" spans="1:10">
      <c r="A102" t="s">
        <v>202</v>
      </c>
      <c r="B102">
        <v>35.75</v>
      </c>
      <c r="C102">
        <v>8</v>
      </c>
      <c r="D102" t="s">
        <v>4683</v>
      </c>
      <c r="E102" t="s">
        <v>4682</v>
      </c>
      <c r="F102" t="s">
        <v>4682</v>
      </c>
      <c r="G102">
        <v>0</v>
      </c>
      <c r="H102" t="s">
        <v>4683</v>
      </c>
      <c r="I102" t="str" cm="1">
        <f t="array" ref="I102">_xlfn.IFS(B102&lt;18.5, "Underweight", B102&lt;=24.9, "Normal Weight", B102&lt;=29.9, "Overweight", TRUE, "Obesity")</f>
        <v>Obesity</v>
      </c>
      <c r="J102" t="str" cm="1">
        <f t="array" ref="J102">_xlfn.IFS(C102&lt;5.7, "Normal", C102&lt;=6.4, "Prediabetes", TRUE, "Diabetes")</f>
        <v>Diabetes</v>
      </c>
    </row>
    <row r="103" spans="1:10">
      <c r="A103" t="s">
        <v>204</v>
      </c>
      <c r="B103">
        <v>53.81</v>
      </c>
      <c r="C103">
        <v>8.77</v>
      </c>
      <c r="D103" t="s">
        <v>4683</v>
      </c>
      <c r="E103" t="s">
        <v>4682</v>
      </c>
      <c r="F103" t="s">
        <v>4682</v>
      </c>
      <c r="G103">
        <v>0</v>
      </c>
      <c r="H103" t="s">
        <v>4683</v>
      </c>
      <c r="I103" t="str" cm="1">
        <f t="array" ref="I103">_xlfn.IFS(B103&lt;18.5, "Underweight", B103&lt;=24.9, "Normal Weight", B103&lt;=29.9, "Overweight", TRUE, "Obesity")</f>
        <v>Obesity</v>
      </c>
      <c r="J103" t="str" cm="1">
        <f t="array" ref="J103">_xlfn.IFS(C103&lt;5.7, "Normal", C103&lt;=6.4, "Prediabetes", TRUE, "Diabetes")</f>
        <v>Diabetes</v>
      </c>
    </row>
    <row r="104" spans="1:10">
      <c r="A104" t="s">
        <v>206</v>
      </c>
      <c r="B104">
        <v>49.48</v>
      </c>
      <c r="C104">
        <v>4.96</v>
      </c>
      <c r="D104" t="s">
        <v>4682</v>
      </c>
      <c r="E104" t="s">
        <v>4682</v>
      </c>
      <c r="F104" t="s">
        <v>4684</v>
      </c>
      <c r="G104">
        <v>1</v>
      </c>
      <c r="H104" t="s">
        <v>4683</v>
      </c>
      <c r="I104" t="str" cm="1">
        <f t="array" ref="I104">_xlfn.IFS(B104&lt;18.5, "Underweight", B104&lt;=24.9, "Normal Weight", B104&lt;=29.9, "Overweight", TRUE, "Obesity")</f>
        <v>Obesity</v>
      </c>
      <c r="J104" t="str" cm="1">
        <f t="array" ref="J104">_xlfn.IFS(C104&lt;5.7, "Normal", C104&lt;=6.4, "Prediabetes", TRUE, "Diabetes")</f>
        <v>Normal</v>
      </c>
    </row>
    <row r="105" spans="1:10">
      <c r="A105" t="s">
        <v>208</v>
      </c>
      <c r="B105">
        <v>34.1</v>
      </c>
      <c r="C105">
        <v>4.43</v>
      </c>
      <c r="D105" t="s">
        <v>4683</v>
      </c>
      <c r="E105" t="s">
        <v>4682</v>
      </c>
      <c r="F105" t="s">
        <v>4682</v>
      </c>
      <c r="G105">
        <v>0</v>
      </c>
      <c r="H105" t="s">
        <v>4683</v>
      </c>
      <c r="I105" t="str" cm="1">
        <f t="array" ref="I105">_xlfn.IFS(B105&lt;18.5, "Underweight", B105&lt;=24.9, "Normal Weight", B105&lt;=29.9, "Overweight", TRUE, "Obesity")</f>
        <v>Obesity</v>
      </c>
      <c r="J105" t="str" cm="1">
        <f t="array" ref="J105">_xlfn.IFS(C105&lt;5.7, "Normal", C105&lt;=6.4, "Prediabetes", TRUE, "Diabetes")</f>
        <v>Normal</v>
      </c>
    </row>
    <row r="106" spans="1:10">
      <c r="A106" t="s">
        <v>210</v>
      </c>
      <c r="B106">
        <v>35.299999999999997</v>
      </c>
      <c r="C106">
        <v>5.82</v>
      </c>
      <c r="D106" t="s">
        <v>4683</v>
      </c>
      <c r="E106" t="s">
        <v>4682</v>
      </c>
      <c r="F106" t="s">
        <v>4684</v>
      </c>
      <c r="G106">
        <v>1</v>
      </c>
      <c r="H106" t="s">
        <v>4683</v>
      </c>
      <c r="I106" t="str" cm="1">
        <f t="array" ref="I106">_xlfn.IFS(B106&lt;18.5, "Underweight", B106&lt;=24.9, "Normal Weight", B106&lt;=29.9, "Overweight", TRUE, "Obesity")</f>
        <v>Obesity</v>
      </c>
      <c r="J106" t="str" cm="1">
        <f t="array" ref="J106">_xlfn.IFS(C106&lt;5.7, "Normal", C106&lt;=6.4, "Prediabetes", TRUE, "Diabetes")</f>
        <v>Prediabetes</v>
      </c>
    </row>
    <row r="107" spans="1:10">
      <c r="A107" t="s">
        <v>212</v>
      </c>
      <c r="B107">
        <v>43.83</v>
      </c>
      <c r="C107">
        <v>6.03</v>
      </c>
      <c r="D107" t="s">
        <v>4683</v>
      </c>
      <c r="E107" t="s">
        <v>4682</v>
      </c>
      <c r="F107" t="s">
        <v>4682</v>
      </c>
      <c r="G107">
        <v>2</v>
      </c>
      <c r="H107" t="s">
        <v>4683</v>
      </c>
      <c r="I107" t="str" cm="1">
        <f t="array" ref="I107">_xlfn.IFS(B107&lt;18.5, "Underweight", B107&lt;=24.9, "Normal Weight", B107&lt;=29.9, "Overweight", TRUE, "Obesity")</f>
        <v>Obesity</v>
      </c>
      <c r="J107" t="str" cm="1">
        <f t="array" ref="J107">_xlfn.IFS(C107&lt;5.7, "Normal", C107&lt;=6.4, "Prediabetes", TRUE, "Diabetes")</f>
        <v>Prediabetes</v>
      </c>
    </row>
    <row r="108" spans="1:10">
      <c r="A108" t="s">
        <v>214</v>
      </c>
      <c r="B108">
        <v>50.07</v>
      </c>
      <c r="C108">
        <v>9.27</v>
      </c>
      <c r="D108" t="s">
        <v>4682</v>
      </c>
      <c r="E108" t="s">
        <v>4682</v>
      </c>
      <c r="F108" t="s">
        <v>4682</v>
      </c>
      <c r="G108">
        <v>0</v>
      </c>
      <c r="H108" t="s">
        <v>4683</v>
      </c>
      <c r="I108" t="str" cm="1">
        <f t="array" ref="I108">_xlfn.IFS(B108&lt;18.5, "Underweight", B108&lt;=24.9, "Normal Weight", B108&lt;=29.9, "Overweight", TRUE, "Obesity")</f>
        <v>Obesity</v>
      </c>
      <c r="J108" t="str" cm="1">
        <f t="array" ref="J108">_xlfn.IFS(C108&lt;5.7, "Normal", C108&lt;=6.4, "Prediabetes", TRUE, "Diabetes")</f>
        <v>Diabetes</v>
      </c>
    </row>
    <row r="109" spans="1:10">
      <c r="A109" t="s">
        <v>216</v>
      </c>
      <c r="B109">
        <v>32.774999999999999</v>
      </c>
      <c r="C109">
        <v>5.53</v>
      </c>
      <c r="D109" t="s">
        <v>4682</v>
      </c>
      <c r="E109" t="s">
        <v>4682</v>
      </c>
      <c r="F109" t="s">
        <v>4682</v>
      </c>
      <c r="G109">
        <v>0</v>
      </c>
      <c r="H109" t="s">
        <v>4683</v>
      </c>
      <c r="I109" t="str" cm="1">
        <f t="array" ref="I109">_xlfn.IFS(B109&lt;18.5, "Underweight", B109&lt;=24.9, "Normal Weight", B109&lt;=29.9, "Overweight", TRUE, "Obesity")</f>
        <v>Obesity</v>
      </c>
      <c r="J109" t="str" cm="1">
        <f t="array" ref="J109">_xlfn.IFS(C109&lt;5.7, "Normal", C109&lt;=6.4, "Prediabetes", TRUE, "Diabetes")</f>
        <v>Normal</v>
      </c>
    </row>
    <row r="110" spans="1:10">
      <c r="A110" t="s">
        <v>218</v>
      </c>
      <c r="B110">
        <v>34.104999999999997</v>
      </c>
      <c r="C110">
        <v>5.07</v>
      </c>
      <c r="D110" t="s">
        <v>4682</v>
      </c>
      <c r="E110" t="s">
        <v>4682</v>
      </c>
      <c r="F110" t="s">
        <v>4682</v>
      </c>
      <c r="G110">
        <v>1</v>
      </c>
      <c r="H110" t="s">
        <v>4683</v>
      </c>
      <c r="I110" t="str" cm="1">
        <f t="array" ref="I110">_xlfn.IFS(B110&lt;18.5, "Underweight", B110&lt;=24.9, "Normal Weight", B110&lt;=29.9, "Overweight", TRUE, "Obesity")</f>
        <v>Obesity</v>
      </c>
      <c r="J110" t="str" cm="1">
        <f t="array" ref="J110">_xlfn.IFS(C110&lt;5.7, "Normal", C110&lt;=6.4, "Prediabetes", TRUE, "Diabetes")</f>
        <v>Normal</v>
      </c>
    </row>
    <row r="111" spans="1:10">
      <c r="A111" t="s">
        <v>220</v>
      </c>
      <c r="B111">
        <v>48.93</v>
      </c>
      <c r="C111">
        <v>11.17</v>
      </c>
      <c r="D111" t="s">
        <v>4683</v>
      </c>
      <c r="E111" t="s">
        <v>4682</v>
      </c>
      <c r="F111" t="s">
        <v>4682</v>
      </c>
      <c r="G111">
        <v>1</v>
      </c>
      <c r="H111" t="s">
        <v>4683</v>
      </c>
      <c r="I111" t="str" cm="1">
        <f t="array" ref="I111">_xlfn.IFS(B111&lt;18.5, "Underweight", B111&lt;=24.9, "Normal Weight", B111&lt;=29.9, "Overweight", TRUE, "Obesity")</f>
        <v>Obesity</v>
      </c>
      <c r="J111" t="str" cm="1">
        <f t="array" ref="J111">_xlfn.IFS(C111&lt;5.7, "Normal", C111&lt;=6.4, "Prediabetes", TRUE, "Diabetes")</f>
        <v>Diabetes</v>
      </c>
    </row>
    <row r="112" spans="1:10">
      <c r="A112" t="s">
        <v>222</v>
      </c>
      <c r="B112">
        <v>37.07</v>
      </c>
      <c r="C112">
        <v>6.14</v>
      </c>
      <c r="D112" t="s">
        <v>4683</v>
      </c>
      <c r="E112" t="s">
        <v>4682</v>
      </c>
      <c r="F112" t="s">
        <v>4682</v>
      </c>
      <c r="G112">
        <v>0</v>
      </c>
      <c r="H112" t="s">
        <v>4683</v>
      </c>
      <c r="I112" t="str" cm="1">
        <f t="array" ref="I112">_xlfn.IFS(B112&lt;18.5, "Underweight", B112&lt;=24.9, "Normal Weight", B112&lt;=29.9, "Overweight", TRUE, "Obesity")</f>
        <v>Obesity</v>
      </c>
      <c r="J112" t="str" cm="1">
        <f t="array" ref="J112">_xlfn.IFS(C112&lt;5.7, "Normal", C112&lt;=6.4, "Prediabetes", TRUE, "Diabetes")</f>
        <v>Prediabetes</v>
      </c>
    </row>
    <row r="113" spans="1:10">
      <c r="A113" t="s">
        <v>224</v>
      </c>
      <c r="B113">
        <v>51.51</v>
      </c>
      <c r="C113">
        <v>6.26</v>
      </c>
      <c r="D113" t="s">
        <v>4683</v>
      </c>
      <c r="E113" t="s">
        <v>4682</v>
      </c>
      <c r="F113" t="s">
        <v>4684</v>
      </c>
      <c r="G113">
        <v>1</v>
      </c>
      <c r="H113" t="s">
        <v>4683</v>
      </c>
      <c r="I113" t="str" cm="1">
        <f t="array" ref="I113">_xlfn.IFS(B113&lt;18.5, "Underweight", B113&lt;=24.9, "Normal Weight", B113&lt;=29.9, "Overweight", TRUE, "Obesity")</f>
        <v>Obesity</v>
      </c>
      <c r="J113" t="str" cm="1">
        <f t="array" ref="J113">_xlfn.IFS(C113&lt;5.7, "Normal", C113&lt;=6.4, "Prediabetes", TRUE, "Diabetes")</f>
        <v>Prediabetes</v>
      </c>
    </row>
    <row r="114" spans="1:10">
      <c r="A114" t="s">
        <v>226</v>
      </c>
      <c r="B114">
        <v>34.799999999999997</v>
      </c>
      <c r="C114">
        <v>4.72</v>
      </c>
      <c r="D114" t="s">
        <v>4683</v>
      </c>
      <c r="E114" t="s">
        <v>4682</v>
      </c>
      <c r="F114" t="s">
        <v>4682</v>
      </c>
      <c r="G114">
        <v>0</v>
      </c>
      <c r="H114" t="s">
        <v>4683</v>
      </c>
      <c r="I114" t="str" cm="1">
        <f t="array" ref="I114">_xlfn.IFS(B114&lt;18.5, "Underweight", B114&lt;=24.9, "Normal Weight", B114&lt;=29.9, "Overweight", TRUE, "Obesity")</f>
        <v>Obesity</v>
      </c>
      <c r="J114" t="str" cm="1">
        <f t="array" ref="J114">_xlfn.IFS(C114&lt;5.7, "Normal", C114&lt;=6.4, "Prediabetes", TRUE, "Diabetes")</f>
        <v>Normal</v>
      </c>
    </row>
    <row r="115" spans="1:10">
      <c r="A115" t="s">
        <v>228</v>
      </c>
      <c r="B115">
        <v>36.67</v>
      </c>
      <c r="C115">
        <v>5.18</v>
      </c>
      <c r="D115" t="s">
        <v>4682</v>
      </c>
      <c r="E115" t="s">
        <v>4682</v>
      </c>
      <c r="F115" t="s">
        <v>4682</v>
      </c>
      <c r="G115">
        <v>1</v>
      </c>
      <c r="H115" t="s">
        <v>4683</v>
      </c>
      <c r="I115" t="str" cm="1">
        <f t="array" ref="I115">_xlfn.IFS(B115&lt;18.5, "Underweight", B115&lt;=24.9, "Normal Weight", B115&lt;=29.9, "Overweight", TRUE, "Obesity")</f>
        <v>Obesity</v>
      </c>
      <c r="J115" t="str" cm="1">
        <f t="array" ref="J115">_xlfn.IFS(C115&lt;5.7, "Normal", C115&lt;=6.4, "Prediabetes", TRUE, "Diabetes")</f>
        <v>Normal</v>
      </c>
    </row>
    <row r="116" spans="1:10">
      <c r="A116" t="s">
        <v>230</v>
      </c>
      <c r="B116">
        <v>30.9</v>
      </c>
      <c r="C116">
        <v>9.4</v>
      </c>
      <c r="D116" t="s">
        <v>4682</v>
      </c>
      <c r="E116" t="s">
        <v>4682</v>
      </c>
      <c r="F116" t="s">
        <v>4682</v>
      </c>
      <c r="G116">
        <v>2</v>
      </c>
      <c r="H116" t="s">
        <v>4683</v>
      </c>
      <c r="I116" t="str" cm="1">
        <f t="array" ref="I116">_xlfn.IFS(B116&lt;18.5, "Underweight", B116&lt;=24.9, "Normal Weight", B116&lt;=29.9, "Overweight", TRUE, "Obesity")</f>
        <v>Obesity</v>
      </c>
      <c r="J116" t="str" cm="1">
        <f t="array" ref="J116">_xlfn.IFS(C116&lt;5.7, "Normal", C116&lt;=6.4, "Prediabetes", TRUE, "Diabetes")</f>
        <v>Diabetes</v>
      </c>
    </row>
    <row r="117" spans="1:10">
      <c r="A117" t="s">
        <v>232</v>
      </c>
      <c r="B117">
        <v>30.495000000000001</v>
      </c>
      <c r="C117">
        <v>6.29</v>
      </c>
      <c r="D117" t="s">
        <v>4682</v>
      </c>
      <c r="E117" t="s">
        <v>4682</v>
      </c>
      <c r="F117" t="s">
        <v>4682</v>
      </c>
      <c r="G117">
        <v>0</v>
      </c>
      <c r="H117" t="s">
        <v>4683</v>
      </c>
      <c r="I117" t="str" cm="1">
        <f t="array" ref="I117">_xlfn.IFS(B117&lt;18.5, "Underweight", B117&lt;=24.9, "Normal Weight", B117&lt;=29.9, "Overweight", TRUE, "Obesity")</f>
        <v>Obesity</v>
      </c>
      <c r="J117" t="str" cm="1">
        <f t="array" ref="J117">_xlfn.IFS(C117&lt;5.7, "Normal", C117&lt;=6.4, "Prediabetes", TRUE, "Diabetes")</f>
        <v>Prediabetes</v>
      </c>
    </row>
    <row r="118" spans="1:10">
      <c r="A118" t="s">
        <v>234</v>
      </c>
      <c r="B118">
        <v>44.88</v>
      </c>
      <c r="C118">
        <v>6.04</v>
      </c>
      <c r="D118" t="s">
        <v>4682</v>
      </c>
      <c r="E118" t="s">
        <v>4682</v>
      </c>
      <c r="F118" t="s">
        <v>4684</v>
      </c>
      <c r="G118">
        <v>1</v>
      </c>
      <c r="H118" t="s">
        <v>4683</v>
      </c>
      <c r="I118" t="str" cm="1">
        <f t="array" ref="I118">_xlfn.IFS(B118&lt;18.5, "Underweight", B118&lt;=24.9, "Normal Weight", B118&lt;=29.9, "Overweight", TRUE, "Obesity")</f>
        <v>Obesity</v>
      </c>
      <c r="J118" t="str" cm="1">
        <f t="array" ref="J118">_xlfn.IFS(C118&lt;5.7, "Normal", C118&lt;=6.4, "Prediabetes", TRUE, "Diabetes")</f>
        <v>Prediabetes</v>
      </c>
    </row>
    <row r="119" spans="1:10">
      <c r="A119" t="s">
        <v>236</v>
      </c>
      <c r="B119">
        <v>44.32</v>
      </c>
      <c r="C119">
        <v>10.55</v>
      </c>
      <c r="D119" t="s">
        <v>4682</v>
      </c>
      <c r="E119" t="s">
        <v>4682</v>
      </c>
      <c r="F119" t="s">
        <v>4682</v>
      </c>
      <c r="G119">
        <v>0</v>
      </c>
      <c r="H119" t="s">
        <v>4683</v>
      </c>
      <c r="I119" t="str" cm="1">
        <f t="array" ref="I119">_xlfn.IFS(B119&lt;18.5, "Underweight", B119&lt;=24.9, "Normal Weight", B119&lt;=29.9, "Overweight", TRUE, "Obesity")</f>
        <v>Obesity</v>
      </c>
      <c r="J119" t="str" cm="1">
        <f t="array" ref="J119">_xlfn.IFS(C119&lt;5.7, "Normal", C119&lt;=6.4, "Prediabetes", TRUE, "Diabetes")</f>
        <v>Diabetes</v>
      </c>
    </row>
    <row r="120" spans="1:10">
      <c r="A120" t="s">
        <v>238</v>
      </c>
      <c r="B120">
        <v>46.39</v>
      </c>
      <c r="C120">
        <v>5.09</v>
      </c>
      <c r="D120" t="s">
        <v>4682</v>
      </c>
      <c r="E120" t="s">
        <v>4682</v>
      </c>
      <c r="F120" t="s">
        <v>4682</v>
      </c>
      <c r="G120">
        <v>0</v>
      </c>
      <c r="H120" t="s">
        <v>4683</v>
      </c>
      <c r="I120" t="str" cm="1">
        <f t="array" ref="I120">_xlfn.IFS(B120&lt;18.5, "Underweight", B120&lt;=24.9, "Normal Weight", B120&lt;=29.9, "Overweight", TRUE, "Obesity")</f>
        <v>Obesity</v>
      </c>
      <c r="J120" t="str" cm="1">
        <f t="array" ref="J120">_xlfn.IFS(C120&lt;5.7, "Normal", C120&lt;=6.4, "Prediabetes", TRUE, "Diabetes")</f>
        <v>Normal</v>
      </c>
    </row>
    <row r="121" spans="1:10">
      <c r="A121" t="s">
        <v>240</v>
      </c>
      <c r="B121">
        <v>42.13</v>
      </c>
      <c r="C121">
        <v>5.2</v>
      </c>
      <c r="D121" t="s">
        <v>4683</v>
      </c>
      <c r="E121" t="s">
        <v>4682</v>
      </c>
      <c r="F121" t="s">
        <v>4682</v>
      </c>
      <c r="G121">
        <v>1</v>
      </c>
      <c r="H121" t="s">
        <v>4683</v>
      </c>
      <c r="I121" t="str" cm="1">
        <f t="array" ref="I121">_xlfn.IFS(B121&lt;18.5, "Underweight", B121&lt;=24.9, "Normal Weight", B121&lt;=29.9, "Overweight", TRUE, "Obesity")</f>
        <v>Obesity</v>
      </c>
      <c r="J121" t="str" cm="1">
        <f t="array" ref="J121">_xlfn.IFS(C121&lt;5.7, "Normal", C121&lt;=6.4, "Prediabetes", TRUE, "Diabetes")</f>
        <v>Normal</v>
      </c>
    </row>
    <row r="122" spans="1:10">
      <c r="A122" t="s">
        <v>242</v>
      </c>
      <c r="B122">
        <v>30.78</v>
      </c>
      <c r="C122">
        <v>8.4499999999999993</v>
      </c>
      <c r="D122" t="s">
        <v>4683</v>
      </c>
      <c r="E122" t="s">
        <v>4682</v>
      </c>
      <c r="F122" t="s">
        <v>4682</v>
      </c>
      <c r="G122">
        <v>0</v>
      </c>
      <c r="H122" t="s">
        <v>4683</v>
      </c>
      <c r="I122" t="str" cm="1">
        <f t="array" ref="I122">_xlfn.IFS(B122&lt;18.5, "Underweight", B122&lt;=24.9, "Normal Weight", B122&lt;=29.9, "Overweight", TRUE, "Obesity")</f>
        <v>Obesity</v>
      </c>
      <c r="J122" t="str" cm="1">
        <f t="array" ref="J122">_xlfn.IFS(C122&lt;5.7, "Normal", C122&lt;=6.4, "Prediabetes", TRUE, "Diabetes")</f>
        <v>Diabetes</v>
      </c>
    </row>
    <row r="123" spans="1:10">
      <c r="A123" t="s">
        <v>244</v>
      </c>
      <c r="B123">
        <v>31.35</v>
      </c>
      <c r="C123">
        <v>9.5399999999999991</v>
      </c>
      <c r="D123" t="s">
        <v>4682</v>
      </c>
      <c r="E123" t="s">
        <v>4682</v>
      </c>
      <c r="F123" t="s">
        <v>4682</v>
      </c>
      <c r="G123">
        <v>0</v>
      </c>
      <c r="H123" t="s">
        <v>4683</v>
      </c>
      <c r="I123" t="str" cm="1">
        <f t="array" ref="I123">_xlfn.IFS(B123&lt;18.5, "Underweight", B123&lt;=24.9, "Normal Weight", B123&lt;=29.9, "Overweight", TRUE, "Obesity")</f>
        <v>Obesity</v>
      </c>
      <c r="J123" t="str" cm="1">
        <f t="array" ref="J123">_xlfn.IFS(C123&lt;5.7, "Normal", C123&lt;=6.4, "Prediabetes", TRUE, "Diabetes")</f>
        <v>Diabetes</v>
      </c>
    </row>
    <row r="124" spans="1:10">
      <c r="A124" t="s">
        <v>246</v>
      </c>
      <c r="B124">
        <v>41.46</v>
      </c>
      <c r="C124">
        <v>4.99</v>
      </c>
      <c r="D124" t="s">
        <v>4683</v>
      </c>
      <c r="E124" t="s">
        <v>4682</v>
      </c>
      <c r="F124" t="s">
        <v>4682</v>
      </c>
      <c r="G124">
        <v>2</v>
      </c>
      <c r="H124" t="s">
        <v>4683</v>
      </c>
      <c r="I124" t="str" cm="1">
        <f t="array" ref="I124">_xlfn.IFS(B124&lt;18.5, "Underweight", B124&lt;=24.9, "Normal Weight", B124&lt;=29.9, "Overweight", TRUE, "Obesity")</f>
        <v>Obesity</v>
      </c>
      <c r="J124" t="str" cm="1">
        <f t="array" ref="J124">_xlfn.IFS(C124&lt;5.7, "Normal", C124&lt;=6.4, "Prediabetes", TRUE, "Diabetes")</f>
        <v>Normal</v>
      </c>
    </row>
    <row r="125" spans="1:10">
      <c r="A125" t="s">
        <v>248</v>
      </c>
      <c r="B125">
        <v>48</v>
      </c>
      <c r="C125">
        <v>10.54</v>
      </c>
      <c r="D125" t="s">
        <v>4682</v>
      </c>
      <c r="E125" t="s">
        <v>4682</v>
      </c>
      <c r="F125" t="s">
        <v>4682</v>
      </c>
      <c r="G125">
        <v>0</v>
      </c>
      <c r="H125" t="s">
        <v>4683</v>
      </c>
      <c r="I125" t="str" cm="1">
        <f t="array" ref="I125">_xlfn.IFS(B125&lt;18.5, "Underweight", B125&lt;=24.9, "Normal Weight", B125&lt;=29.9, "Overweight", TRUE, "Obesity")</f>
        <v>Obesity</v>
      </c>
      <c r="J125" t="str" cm="1">
        <f t="array" ref="J125">_xlfn.IFS(C125&lt;5.7, "Normal", C125&lt;=6.4, "Prediabetes", TRUE, "Diabetes")</f>
        <v>Diabetes</v>
      </c>
    </row>
    <row r="126" spans="1:10">
      <c r="A126" t="s">
        <v>250</v>
      </c>
      <c r="B126">
        <v>49.13</v>
      </c>
      <c r="C126">
        <v>4.54</v>
      </c>
      <c r="D126" t="s">
        <v>4682</v>
      </c>
      <c r="E126" t="s">
        <v>4682</v>
      </c>
      <c r="F126" t="s">
        <v>4682</v>
      </c>
      <c r="G126">
        <v>0</v>
      </c>
      <c r="H126" t="s">
        <v>4683</v>
      </c>
      <c r="I126" t="str" cm="1">
        <f t="array" ref="I126">_xlfn.IFS(B126&lt;18.5, "Underweight", B126&lt;=24.9, "Normal Weight", B126&lt;=29.9, "Overweight", TRUE, "Obesity")</f>
        <v>Obesity</v>
      </c>
      <c r="J126" t="str" cm="1">
        <f t="array" ref="J126">_xlfn.IFS(C126&lt;5.7, "Normal", C126&lt;=6.4, "Prediabetes", TRUE, "Diabetes")</f>
        <v>Normal</v>
      </c>
    </row>
    <row r="127" spans="1:10">
      <c r="A127" t="s">
        <v>252</v>
      </c>
      <c r="B127">
        <v>37.799999999999997</v>
      </c>
      <c r="C127">
        <v>6.29</v>
      </c>
      <c r="D127" t="s">
        <v>4682</v>
      </c>
      <c r="E127" t="s">
        <v>4682</v>
      </c>
      <c r="F127" t="s">
        <v>4682</v>
      </c>
      <c r="G127">
        <v>1</v>
      </c>
      <c r="H127" t="s">
        <v>4683</v>
      </c>
      <c r="I127" t="str" cm="1">
        <f t="array" ref="I127">_xlfn.IFS(B127&lt;18.5, "Underweight", B127&lt;=24.9, "Normal Weight", B127&lt;=29.9, "Overweight", TRUE, "Obesity")</f>
        <v>Obesity</v>
      </c>
      <c r="J127" t="str" cm="1">
        <f t="array" ref="J127">_xlfn.IFS(C127&lt;5.7, "Normal", C127&lt;=6.4, "Prediabetes", TRUE, "Diabetes")</f>
        <v>Prediabetes</v>
      </c>
    </row>
    <row r="128" spans="1:10">
      <c r="A128" t="s">
        <v>254</v>
      </c>
      <c r="B128">
        <v>38.299999999999997</v>
      </c>
      <c r="C128">
        <v>9.51</v>
      </c>
      <c r="D128" t="s">
        <v>4682</v>
      </c>
      <c r="E128" t="s">
        <v>4682</v>
      </c>
      <c r="F128" t="s">
        <v>4682</v>
      </c>
      <c r="G128">
        <v>0</v>
      </c>
      <c r="H128" t="s">
        <v>4683</v>
      </c>
      <c r="I128" t="str" cm="1">
        <f t="array" ref="I128">_xlfn.IFS(B128&lt;18.5, "Underweight", B128&lt;=24.9, "Normal Weight", B128&lt;=29.9, "Overweight", TRUE, "Obesity")</f>
        <v>Obesity</v>
      </c>
      <c r="J128" t="str" cm="1">
        <f t="array" ref="J128">_xlfn.IFS(C128&lt;5.7, "Normal", C128&lt;=6.4, "Prediabetes", TRUE, "Diabetes")</f>
        <v>Diabetes</v>
      </c>
    </row>
    <row r="129" spans="1:10">
      <c r="A129" t="s">
        <v>256</v>
      </c>
      <c r="B129">
        <v>32.774999999999999</v>
      </c>
      <c r="C129">
        <v>4.72</v>
      </c>
      <c r="D129" t="s">
        <v>4682</v>
      </c>
      <c r="E129" t="s">
        <v>4682</v>
      </c>
      <c r="F129" t="s">
        <v>4682</v>
      </c>
      <c r="G129">
        <v>0</v>
      </c>
      <c r="H129" t="s">
        <v>4683</v>
      </c>
      <c r="I129" t="str" cm="1">
        <f t="array" ref="I129">_xlfn.IFS(B129&lt;18.5, "Underweight", B129&lt;=24.9, "Normal Weight", B129&lt;=29.9, "Overweight", TRUE, "Obesity")</f>
        <v>Obesity</v>
      </c>
      <c r="J129" t="str" cm="1">
        <f t="array" ref="J129">_xlfn.IFS(C129&lt;5.7, "Normal", C129&lt;=6.4, "Prediabetes", TRUE, "Diabetes")</f>
        <v>Normal</v>
      </c>
    </row>
    <row r="130" spans="1:10">
      <c r="A130" t="s">
        <v>258</v>
      </c>
      <c r="B130">
        <v>34.200000000000003</v>
      </c>
      <c r="C130">
        <v>5.91</v>
      </c>
      <c r="D130" t="s">
        <v>4683</v>
      </c>
      <c r="E130" t="s">
        <v>4682</v>
      </c>
      <c r="F130" t="s">
        <v>4682</v>
      </c>
      <c r="G130">
        <v>0</v>
      </c>
      <c r="H130" t="s">
        <v>4683</v>
      </c>
      <c r="I130" t="str" cm="1">
        <f t="array" ref="I130">_xlfn.IFS(B130&lt;18.5, "Underweight", B130&lt;=24.9, "Normal Weight", B130&lt;=29.9, "Overweight", TRUE, "Obesity")</f>
        <v>Obesity</v>
      </c>
      <c r="J130" t="str" cm="1">
        <f t="array" ref="J130">_xlfn.IFS(C130&lt;5.7, "Normal", C130&lt;=6.4, "Prediabetes", TRUE, "Diabetes")</f>
        <v>Prediabetes</v>
      </c>
    </row>
    <row r="131" spans="1:10">
      <c r="A131" t="s">
        <v>260</v>
      </c>
      <c r="B131">
        <v>30.2</v>
      </c>
      <c r="C131">
        <v>9.58</v>
      </c>
      <c r="D131" t="s">
        <v>4682</v>
      </c>
      <c r="E131" t="s">
        <v>4682</v>
      </c>
      <c r="F131" t="s">
        <v>4682</v>
      </c>
      <c r="G131">
        <v>0</v>
      </c>
      <c r="H131" t="s">
        <v>4683</v>
      </c>
      <c r="I131" t="str" cm="1">
        <f t="array" ref="I131">_xlfn.IFS(B131&lt;18.5, "Underweight", B131&lt;=24.9, "Normal Weight", B131&lt;=29.9, "Overweight", TRUE, "Obesity")</f>
        <v>Obesity</v>
      </c>
      <c r="J131" t="str" cm="1">
        <f t="array" ref="J131">_xlfn.IFS(C131&lt;5.7, "Normal", C131&lt;=6.4, "Prediabetes", TRUE, "Diabetes")</f>
        <v>Diabetes</v>
      </c>
    </row>
    <row r="132" spans="1:10">
      <c r="A132" t="s">
        <v>262</v>
      </c>
      <c r="B132">
        <v>48.32</v>
      </c>
      <c r="C132">
        <v>5.77</v>
      </c>
      <c r="D132" t="s">
        <v>4682</v>
      </c>
      <c r="E132" t="s">
        <v>4682</v>
      </c>
      <c r="F132" t="s">
        <v>4682</v>
      </c>
      <c r="G132">
        <v>0</v>
      </c>
      <c r="H132" t="s">
        <v>4683</v>
      </c>
      <c r="I132" t="str" cm="1">
        <f t="array" ref="I132">_xlfn.IFS(B132&lt;18.5, "Underweight", B132&lt;=24.9, "Normal Weight", B132&lt;=29.9, "Overweight", TRUE, "Obesity")</f>
        <v>Obesity</v>
      </c>
      <c r="J132" t="str" cm="1">
        <f t="array" ref="J132">_xlfn.IFS(C132&lt;5.7, "Normal", C132&lt;=6.4, "Prediabetes", TRUE, "Diabetes")</f>
        <v>Prediabetes</v>
      </c>
    </row>
    <row r="133" spans="1:10">
      <c r="A133" t="s">
        <v>264</v>
      </c>
      <c r="B133">
        <v>44.86</v>
      </c>
      <c r="C133">
        <v>4.38</v>
      </c>
      <c r="D133" t="s">
        <v>4683</v>
      </c>
      <c r="E133" t="s">
        <v>4682</v>
      </c>
      <c r="F133" t="s">
        <v>4682</v>
      </c>
      <c r="G133">
        <v>0</v>
      </c>
      <c r="H133" t="s">
        <v>4683</v>
      </c>
      <c r="I133" t="str" cm="1">
        <f t="array" ref="I133">_xlfn.IFS(B133&lt;18.5, "Underweight", B133&lt;=24.9, "Normal Weight", B133&lt;=29.9, "Overweight", TRUE, "Obesity")</f>
        <v>Obesity</v>
      </c>
      <c r="J133" t="str" cm="1">
        <f t="array" ref="J133">_xlfn.IFS(C133&lt;5.7, "Normal", C133&lt;=6.4, "Prediabetes", TRUE, "Diabetes")</f>
        <v>Normal</v>
      </c>
    </row>
    <row r="134" spans="1:10">
      <c r="A134" t="s">
        <v>266</v>
      </c>
      <c r="B134">
        <v>52.15</v>
      </c>
      <c r="C134">
        <v>5.65</v>
      </c>
      <c r="D134" t="s">
        <v>4682</v>
      </c>
      <c r="E134" t="s">
        <v>4682</v>
      </c>
      <c r="F134" t="s">
        <v>4682</v>
      </c>
      <c r="G134">
        <v>1</v>
      </c>
      <c r="H134" t="s">
        <v>4683</v>
      </c>
      <c r="I134" t="str" cm="1">
        <f t="array" ref="I134">_xlfn.IFS(B134&lt;18.5, "Underweight", B134&lt;=24.9, "Normal Weight", B134&lt;=29.9, "Overweight", TRUE, "Obesity")</f>
        <v>Obesity</v>
      </c>
      <c r="J134" t="str" cm="1">
        <f t="array" ref="J134">_xlfn.IFS(C134&lt;5.7, "Normal", C134&lt;=6.4, "Prediabetes", TRUE, "Diabetes")</f>
        <v>Normal</v>
      </c>
    </row>
    <row r="135" spans="1:10">
      <c r="A135" t="s">
        <v>268</v>
      </c>
      <c r="B135">
        <v>41.12</v>
      </c>
      <c r="C135">
        <v>7.54</v>
      </c>
      <c r="D135" t="s">
        <v>4683</v>
      </c>
      <c r="E135" t="s">
        <v>4682</v>
      </c>
      <c r="F135" t="s">
        <v>4682</v>
      </c>
      <c r="G135">
        <v>0</v>
      </c>
      <c r="H135" t="s">
        <v>4683</v>
      </c>
      <c r="I135" t="str" cm="1">
        <f t="array" ref="I135">_xlfn.IFS(B135&lt;18.5, "Underweight", B135&lt;=24.9, "Normal Weight", B135&lt;=29.9, "Overweight", TRUE, "Obesity")</f>
        <v>Obesity</v>
      </c>
      <c r="J135" t="str" cm="1">
        <f t="array" ref="J135">_xlfn.IFS(C135&lt;5.7, "Normal", C135&lt;=6.4, "Prediabetes", TRUE, "Diabetes")</f>
        <v>Diabetes</v>
      </c>
    </row>
    <row r="136" spans="1:10">
      <c r="A136" t="s">
        <v>270</v>
      </c>
      <c r="B136">
        <v>38.39</v>
      </c>
      <c r="C136">
        <v>5.1100000000000003</v>
      </c>
      <c r="D136" t="s">
        <v>4683</v>
      </c>
      <c r="E136" t="s">
        <v>4682</v>
      </c>
      <c r="F136" t="s">
        <v>4682</v>
      </c>
      <c r="G136">
        <v>1</v>
      </c>
      <c r="H136" t="s">
        <v>4683</v>
      </c>
      <c r="I136" t="str" cm="1">
        <f t="array" ref="I136">_xlfn.IFS(B136&lt;18.5, "Underweight", B136&lt;=24.9, "Normal Weight", B136&lt;=29.9, "Overweight", TRUE, "Obesity")</f>
        <v>Obesity</v>
      </c>
      <c r="J136" t="str" cm="1">
        <f t="array" ref="J136">_xlfn.IFS(C136&lt;5.7, "Normal", C136&lt;=6.4, "Prediabetes", TRUE, "Diabetes")</f>
        <v>Normal</v>
      </c>
    </row>
    <row r="137" spans="1:10">
      <c r="A137" t="s">
        <v>272</v>
      </c>
      <c r="B137">
        <v>46.85</v>
      </c>
      <c r="C137">
        <v>4.25</v>
      </c>
      <c r="D137" t="s">
        <v>4682</v>
      </c>
      <c r="E137" t="s">
        <v>4682</v>
      </c>
      <c r="F137" t="s">
        <v>4684</v>
      </c>
      <c r="G137">
        <v>1</v>
      </c>
      <c r="H137" t="s">
        <v>4683</v>
      </c>
      <c r="I137" t="str" cm="1">
        <f t="array" ref="I137">_xlfn.IFS(B137&lt;18.5, "Underweight", B137&lt;=24.9, "Normal Weight", B137&lt;=29.9, "Overweight", TRUE, "Obesity")</f>
        <v>Obesity</v>
      </c>
      <c r="J137" t="str" cm="1">
        <f t="array" ref="J137">_xlfn.IFS(C137&lt;5.7, "Normal", C137&lt;=6.4, "Prediabetes", TRUE, "Diabetes")</f>
        <v>Normal</v>
      </c>
    </row>
    <row r="138" spans="1:10">
      <c r="A138" t="s">
        <v>274</v>
      </c>
      <c r="B138">
        <v>42.24</v>
      </c>
      <c r="C138">
        <v>5.55</v>
      </c>
      <c r="D138" t="s">
        <v>4682</v>
      </c>
      <c r="E138" t="s">
        <v>4683</v>
      </c>
      <c r="F138" t="s">
        <v>4682</v>
      </c>
      <c r="G138">
        <v>1</v>
      </c>
      <c r="H138" t="s">
        <v>4683</v>
      </c>
      <c r="I138" t="str" cm="1">
        <f t="array" ref="I138">_xlfn.IFS(B138&lt;18.5, "Underweight", B138&lt;=24.9, "Normal Weight", B138&lt;=29.9, "Overweight", TRUE, "Obesity")</f>
        <v>Obesity</v>
      </c>
      <c r="J138" t="str" cm="1">
        <f t="array" ref="J138">_xlfn.IFS(C138&lt;5.7, "Normal", C138&lt;=6.4, "Prediabetes", TRUE, "Diabetes")</f>
        <v>Normal</v>
      </c>
    </row>
    <row r="139" spans="1:10">
      <c r="A139" t="s">
        <v>276</v>
      </c>
      <c r="B139">
        <v>34.39</v>
      </c>
      <c r="C139">
        <v>5.78</v>
      </c>
      <c r="D139" t="s">
        <v>4682</v>
      </c>
      <c r="E139" t="s">
        <v>4682</v>
      </c>
      <c r="F139" t="s">
        <v>4682</v>
      </c>
      <c r="G139">
        <v>0</v>
      </c>
      <c r="H139" t="s">
        <v>4683</v>
      </c>
      <c r="I139" t="str" cm="1">
        <f t="array" ref="I139">_xlfn.IFS(B139&lt;18.5, "Underweight", B139&lt;=24.9, "Normal Weight", B139&lt;=29.9, "Overweight", TRUE, "Obesity")</f>
        <v>Obesity</v>
      </c>
      <c r="J139" t="str" cm="1">
        <f t="array" ref="J139">_xlfn.IFS(C139&lt;5.7, "Normal", C139&lt;=6.4, "Prediabetes", TRUE, "Diabetes")</f>
        <v>Prediabetes</v>
      </c>
    </row>
    <row r="140" spans="1:10">
      <c r="A140" t="s">
        <v>278</v>
      </c>
      <c r="B140">
        <v>42.89</v>
      </c>
      <c r="C140">
        <v>5.28</v>
      </c>
      <c r="D140" t="s">
        <v>4683</v>
      </c>
      <c r="E140" t="s">
        <v>4682</v>
      </c>
      <c r="F140" t="s">
        <v>4682</v>
      </c>
      <c r="G140">
        <v>0</v>
      </c>
      <c r="H140" t="s">
        <v>4683</v>
      </c>
      <c r="I140" t="str" cm="1">
        <f t="array" ref="I140">_xlfn.IFS(B140&lt;18.5, "Underweight", B140&lt;=24.9, "Normal Weight", B140&lt;=29.9, "Overweight", TRUE, "Obesity")</f>
        <v>Obesity</v>
      </c>
      <c r="J140" t="str" cm="1">
        <f t="array" ref="J140">_xlfn.IFS(C140&lt;5.7, "Normal", C140&lt;=6.4, "Prediabetes", TRUE, "Diabetes")</f>
        <v>Normal</v>
      </c>
    </row>
    <row r="141" spans="1:10">
      <c r="A141" t="s">
        <v>280</v>
      </c>
      <c r="B141">
        <v>36.299999999999997</v>
      </c>
      <c r="C141">
        <v>5.39</v>
      </c>
      <c r="D141" t="s">
        <v>4682</v>
      </c>
      <c r="E141" t="s">
        <v>4682</v>
      </c>
      <c r="F141" t="s">
        <v>4682</v>
      </c>
      <c r="G141">
        <v>0</v>
      </c>
      <c r="H141" t="s">
        <v>4683</v>
      </c>
      <c r="I141" t="str" cm="1">
        <f t="array" ref="I141">_xlfn.IFS(B141&lt;18.5, "Underweight", B141&lt;=24.9, "Normal Weight", B141&lt;=29.9, "Overweight", TRUE, "Obesity")</f>
        <v>Obesity</v>
      </c>
      <c r="J141" t="str" cm="1">
        <f t="array" ref="J141">_xlfn.IFS(C141&lt;5.7, "Normal", C141&lt;=6.4, "Prediabetes", TRUE, "Diabetes")</f>
        <v>Normal</v>
      </c>
    </row>
    <row r="142" spans="1:10">
      <c r="A142" t="s">
        <v>282</v>
      </c>
      <c r="B142">
        <v>35.200000000000003</v>
      </c>
      <c r="C142">
        <v>8.01</v>
      </c>
      <c r="D142" t="s">
        <v>4683</v>
      </c>
      <c r="E142" t="s">
        <v>4682</v>
      </c>
      <c r="F142" t="s">
        <v>4682</v>
      </c>
      <c r="G142">
        <v>1</v>
      </c>
      <c r="H142" t="s">
        <v>4683</v>
      </c>
      <c r="I142" t="str" cm="1">
        <f t="array" ref="I142">_xlfn.IFS(B142&lt;18.5, "Underweight", B142&lt;=24.9, "Normal Weight", B142&lt;=29.9, "Overweight", TRUE, "Obesity")</f>
        <v>Obesity</v>
      </c>
      <c r="J142" t="str" cm="1">
        <f t="array" ref="J142">_xlfn.IFS(C142&lt;5.7, "Normal", C142&lt;=6.4, "Prediabetes", TRUE, "Diabetes")</f>
        <v>Diabetes</v>
      </c>
    </row>
    <row r="143" spans="1:10">
      <c r="A143" t="s">
        <v>284</v>
      </c>
      <c r="B143">
        <v>53.62</v>
      </c>
      <c r="C143">
        <v>5.21</v>
      </c>
      <c r="D143" t="s">
        <v>4682</v>
      </c>
      <c r="E143" t="s">
        <v>4682</v>
      </c>
      <c r="F143" t="s">
        <v>4682</v>
      </c>
      <c r="G143">
        <v>0</v>
      </c>
      <c r="H143" t="s">
        <v>4683</v>
      </c>
      <c r="I143" t="str" cm="1">
        <f t="array" ref="I143">_xlfn.IFS(B143&lt;18.5, "Underweight", B143&lt;=24.9, "Normal Weight", B143&lt;=29.9, "Overweight", TRUE, "Obesity")</f>
        <v>Obesity</v>
      </c>
      <c r="J143" t="str" cm="1">
        <f t="array" ref="J143">_xlfn.IFS(C143&lt;5.7, "Normal", C143&lt;=6.4, "Prediabetes", TRUE, "Diabetes")</f>
        <v>Normal</v>
      </c>
    </row>
    <row r="144" spans="1:10">
      <c r="A144" t="s">
        <v>286</v>
      </c>
      <c r="B144">
        <v>36.67</v>
      </c>
      <c r="C144">
        <v>6.27</v>
      </c>
      <c r="D144" t="s">
        <v>4682</v>
      </c>
      <c r="E144" t="s">
        <v>4682</v>
      </c>
      <c r="F144" t="s">
        <v>4682</v>
      </c>
      <c r="G144">
        <v>0</v>
      </c>
      <c r="H144" t="s">
        <v>4683</v>
      </c>
      <c r="I144" t="str" cm="1">
        <f t="array" ref="I144">_xlfn.IFS(B144&lt;18.5, "Underweight", B144&lt;=24.9, "Normal Weight", B144&lt;=29.9, "Overweight", TRUE, "Obesity")</f>
        <v>Obesity</v>
      </c>
      <c r="J144" t="str" cm="1">
        <f t="array" ref="J144">_xlfn.IFS(C144&lt;5.7, "Normal", C144&lt;=6.4, "Prediabetes", TRUE, "Diabetes")</f>
        <v>Prediabetes</v>
      </c>
    </row>
    <row r="145" spans="1:10">
      <c r="A145" t="s">
        <v>288</v>
      </c>
      <c r="B145">
        <v>33.4</v>
      </c>
      <c r="C145">
        <v>10.73</v>
      </c>
      <c r="D145" t="s">
        <v>4683</v>
      </c>
      <c r="E145" t="s">
        <v>4682</v>
      </c>
      <c r="F145" t="s">
        <v>4682</v>
      </c>
      <c r="G145">
        <v>1</v>
      </c>
      <c r="H145" t="s">
        <v>4683</v>
      </c>
      <c r="I145" t="str" cm="1">
        <f t="array" ref="I145">_xlfn.IFS(B145&lt;18.5, "Underweight", B145&lt;=24.9, "Normal Weight", B145&lt;=29.9, "Overweight", TRUE, "Obesity")</f>
        <v>Obesity</v>
      </c>
      <c r="J145" t="str" cm="1">
        <f t="array" ref="J145">_xlfn.IFS(C145&lt;5.7, "Normal", C145&lt;=6.4, "Prediabetes", TRUE, "Diabetes")</f>
        <v>Diabetes</v>
      </c>
    </row>
    <row r="146" spans="1:10">
      <c r="A146" t="s">
        <v>290</v>
      </c>
      <c r="B146">
        <v>42.71</v>
      </c>
      <c r="C146">
        <v>10.52</v>
      </c>
      <c r="D146" t="s">
        <v>4682</v>
      </c>
      <c r="E146" t="s">
        <v>4682</v>
      </c>
      <c r="F146" t="s">
        <v>4682</v>
      </c>
      <c r="G146">
        <v>0</v>
      </c>
      <c r="H146" t="s">
        <v>4683</v>
      </c>
      <c r="I146" t="str" cm="1">
        <f t="array" ref="I146">_xlfn.IFS(B146&lt;18.5, "Underweight", B146&lt;=24.9, "Normal Weight", B146&lt;=29.9, "Overweight", TRUE, "Obesity")</f>
        <v>Obesity</v>
      </c>
      <c r="J146" t="str" cm="1">
        <f t="array" ref="J146">_xlfn.IFS(C146&lt;5.7, "Normal", C146&lt;=6.4, "Prediabetes", TRUE, "Diabetes")</f>
        <v>Diabetes</v>
      </c>
    </row>
    <row r="147" spans="1:10">
      <c r="A147" t="s">
        <v>292</v>
      </c>
      <c r="B147">
        <v>41.52</v>
      </c>
      <c r="C147">
        <v>11.82</v>
      </c>
      <c r="D147" t="s">
        <v>4683</v>
      </c>
      <c r="E147" t="s">
        <v>4682</v>
      </c>
      <c r="F147" t="s">
        <v>4682</v>
      </c>
      <c r="G147">
        <v>2</v>
      </c>
      <c r="H147" t="s">
        <v>4683</v>
      </c>
      <c r="I147" t="str" cm="1">
        <f t="array" ref="I147">_xlfn.IFS(B147&lt;18.5, "Underweight", B147&lt;=24.9, "Normal Weight", B147&lt;=29.9, "Overweight", TRUE, "Obesity")</f>
        <v>Obesity</v>
      </c>
      <c r="J147" t="str" cm="1">
        <f t="array" ref="J147">_xlfn.IFS(C147&lt;5.7, "Normal", C147&lt;=6.4, "Prediabetes", TRUE, "Diabetes")</f>
        <v>Diabetes</v>
      </c>
    </row>
    <row r="148" spans="1:10">
      <c r="A148" t="s">
        <v>294</v>
      </c>
      <c r="B148">
        <v>39.4</v>
      </c>
      <c r="C148">
        <v>6.76</v>
      </c>
      <c r="D148" t="s">
        <v>4682</v>
      </c>
      <c r="E148" t="s">
        <v>4682</v>
      </c>
      <c r="F148" t="s">
        <v>4682</v>
      </c>
      <c r="G148">
        <v>0</v>
      </c>
      <c r="H148" t="s">
        <v>4683</v>
      </c>
      <c r="I148" t="str" cm="1">
        <f t="array" ref="I148">_xlfn.IFS(B148&lt;18.5, "Underweight", B148&lt;=24.9, "Normal Weight", B148&lt;=29.9, "Overweight", TRUE, "Obesity")</f>
        <v>Obesity</v>
      </c>
      <c r="J148" t="str" cm="1">
        <f t="array" ref="J148">_xlfn.IFS(C148&lt;5.7, "Normal", C148&lt;=6.4, "Prediabetes", TRUE, "Diabetes")</f>
        <v>Diabetes</v>
      </c>
    </row>
    <row r="149" spans="1:10">
      <c r="A149" t="s">
        <v>296</v>
      </c>
      <c r="B149">
        <v>46.45</v>
      </c>
      <c r="C149">
        <v>5.62</v>
      </c>
      <c r="D149" t="s">
        <v>4682</v>
      </c>
      <c r="E149" t="s">
        <v>4682</v>
      </c>
      <c r="F149" t="s">
        <v>4682</v>
      </c>
      <c r="G149">
        <v>0</v>
      </c>
      <c r="H149" t="s">
        <v>4683</v>
      </c>
      <c r="I149" t="str" cm="1">
        <f t="array" ref="I149">_xlfn.IFS(B149&lt;18.5, "Underweight", B149&lt;=24.9, "Normal Weight", B149&lt;=29.9, "Overweight", TRUE, "Obesity")</f>
        <v>Obesity</v>
      </c>
      <c r="J149" t="str" cm="1">
        <f t="array" ref="J149">_xlfn.IFS(C149&lt;5.7, "Normal", C149&lt;=6.4, "Prediabetes", TRUE, "Diabetes")</f>
        <v>Normal</v>
      </c>
    </row>
    <row r="150" spans="1:10">
      <c r="A150" t="s">
        <v>298</v>
      </c>
      <c r="B150">
        <v>35.75</v>
      </c>
      <c r="C150">
        <v>4.1900000000000004</v>
      </c>
      <c r="D150" t="s">
        <v>4682</v>
      </c>
      <c r="E150" t="s">
        <v>4682</v>
      </c>
      <c r="F150" t="s">
        <v>4682</v>
      </c>
      <c r="G150">
        <v>0</v>
      </c>
      <c r="H150" t="s">
        <v>4683</v>
      </c>
      <c r="I150" t="str" cm="1">
        <f t="array" ref="I150">_xlfn.IFS(B150&lt;18.5, "Underweight", B150&lt;=24.9, "Normal Weight", B150&lt;=29.9, "Overweight", TRUE, "Obesity")</f>
        <v>Obesity</v>
      </c>
      <c r="J150" t="str" cm="1">
        <f t="array" ref="J150">_xlfn.IFS(C150&lt;5.7, "Normal", C150&lt;=6.4, "Prediabetes", TRUE, "Diabetes")</f>
        <v>Normal</v>
      </c>
    </row>
    <row r="151" spans="1:10">
      <c r="A151" t="s">
        <v>300</v>
      </c>
      <c r="B151">
        <v>26.07</v>
      </c>
      <c r="C151">
        <v>5.32</v>
      </c>
      <c r="D151" t="s">
        <v>4682</v>
      </c>
      <c r="E151" t="s">
        <v>4682</v>
      </c>
      <c r="F151" t="s">
        <v>4682</v>
      </c>
      <c r="G151">
        <v>0</v>
      </c>
      <c r="H151" t="s">
        <v>4683</v>
      </c>
      <c r="I151" t="str" cm="1">
        <f t="array" ref="I151">_xlfn.IFS(B151&lt;18.5, "Underweight", B151&lt;=24.9, "Normal Weight", B151&lt;=29.9, "Overweight", TRUE, "Obesity")</f>
        <v>Overweight</v>
      </c>
      <c r="J151" t="str" cm="1">
        <f t="array" ref="J151">_xlfn.IFS(C151&lt;5.7, "Normal", C151&lt;=6.4, "Prediabetes", TRUE, "Diabetes")</f>
        <v>Normal</v>
      </c>
    </row>
    <row r="152" spans="1:10">
      <c r="A152" t="s">
        <v>302</v>
      </c>
      <c r="B152">
        <v>36.54</v>
      </c>
      <c r="C152">
        <v>4.46</v>
      </c>
      <c r="D152" t="s">
        <v>4683</v>
      </c>
      <c r="E152" t="s">
        <v>4682</v>
      </c>
      <c r="F152" t="s">
        <v>4682</v>
      </c>
      <c r="G152">
        <v>1</v>
      </c>
      <c r="H152" t="s">
        <v>4683</v>
      </c>
      <c r="I152" t="str" cm="1">
        <f t="array" ref="I152">_xlfn.IFS(B152&lt;18.5, "Underweight", B152&lt;=24.9, "Normal Weight", B152&lt;=29.9, "Overweight", TRUE, "Obesity")</f>
        <v>Obesity</v>
      </c>
      <c r="J152" t="str" cm="1">
        <f t="array" ref="J152">_xlfn.IFS(C152&lt;5.7, "Normal", C152&lt;=6.4, "Prediabetes", TRUE, "Diabetes")</f>
        <v>Normal</v>
      </c>
    </row>
    <row r="153" spans="1:10">
      <c r="A153" t="s">
        <v>304</v>
      </c>
      <c r="B153">
        <v>51.64</v>
      </c>
      <c r="C153">
        <v>5.65</v>
      </c>
      <c r="D153" t="s">
        <v>4682</v>
      </c>
      <c r="E153" t="s">
        <v>4682</v>
      </c>
      <c r="F153" t="s">
        <v>4682</v>
      </c>
      <c r="G153">
        <v>0</v>
      </c>
      <c r="H153" t="s">
        <v>4683</v>
      </c>
      <c r="I153" t="str" cm="1">
        <f t="array" ref="I153">_xlfn.IFS(B153&lt;18.5, "Underweight", B153&lt;=24.9, "Normal Weight", B153&lt;=29.9, "Overweight", TRUE, "Obesity")</f>
        <v>Obesity</v>
      </c>
      <c r="J153" t="str" cm="1">
        <f t="array" ref="J153">_xlfn.IFS(C153&lt;5.7, "Normal", C153&lt;=6.4, "Prediabetes", TRUE, "Diabetes")</f>
        <v>Normal</v>
      </c>
    </row>
    <row r="154" spans="1:10">
      <c r="A154" t="s">
        <v>306</v>
      </c>
      <c r="B154">
        <v>42.83</v>
      </c>
      <c r="C154">
        <v>6.04</v>
      </c>
      <c r="D154" t="s">
        <v>4682</v>
      </c>
      <c r="E154" t="s">
        <v>4682</v>
      </c>
      <c r="F154" t="s">
        <v>4682</v>
      </c>
      <c r="G154">
        <v>2</v>
      </c>
      <c r="H154" t="s">
        <v>4683</v>
      </c>
      <c r="I154" t="str" cm="1">
        <f t="array" ref="I154">_xlfn.IFS(B154&lt;18.5, "Underweight", B154&lt;=24.9, "Normal Weight", B154&lt;=29.9, "Overweight", TRUE, "Obesity")</f>
        <v>Obesity</v>
      </c>
      <c r="J154" t="str" cm="1">
        <f t="array" ref="J154">_xlfn.IFS(C154&lt;5.7, "Normal", C154&lt;=6.4, "Prediabetes", TRUE, "Diabetes")</f>
        <v>Prediabetes</v>
      </c>
    </row>
    <row r="155" spans="1:10">
      <c r="A155" t="s">
        <v>308</v>
      </c>
      <c r="B155">
        <v>40.15</v>
      </c>
      <c r="C155">
        <v>5.76</v>
      </c>
      <c r="D155" t="s">
        <v>4682</v>
      </c>
      <c r="E155" t="s">
        <v>4682</v>
      </c>
      <c r="F155" t="s">
        <v>4682</v>
      </c>
      <c r="G155">
        <v>1</v>
      </c>
      <c r="H155" t="s">
        <v>4683</v>
      </c>
      <c r="I155" t="str" cm="1">
        <f t="array" ref="I155">_xlfn.IFS(B155&lt;18.5, "Underweight", B155&lt;=24.9, "Normal Weight", B155&lt;=29.9, "Overweight", TRUE, "Obesity")</f>
        <v>Obesity</v>
      </c>
      <c r="J155" t="str" cm="1">
        <f t="array" ref="J155">_xlfn.IFS(C155&lt;5.7, "Normal", C155&lt;=6.4, "Prediabetes", TRUE, "Diabetes")</f>
        <v>Prediabetes</v>
      </c>
    </row>
    <row r="156" spans="1:10">
      <c r="A156" t="s">
        <v>310</v>
      </c>
      <c r="B156">
        <v>27.8</v>
      </c>
      <c r="C156">
        <v>4.3600000000000003</v>
      </c>
      <c r="D156" t="s">
        <v>4682</v>
      </c>
      <c r="E156" t="s">
        <v>4682</v>
      </c>
      <c r="F156" t="s">
        <v>4684</v>
      </c>
      <c r="G156">
        <v>1</v>
      </c>
      <c r="H156" t="s">
        <v>4683</v>
      </c>
      <c r="I156" t="str" cm="1">
        <f t="array" ref="I156">_xlfn.IFS(B156&lt;18.5, "Underweight", B156&lt;=24.9, "Normal Weight", B156&lt;=29.9, "Overweight", TRUE, "Obesity")</f>
        <v>Overweight</v>
      </c>
      <c r="J156" t="str" cm="1">
        <f t="array" ref="J156">_xlfn.IFS(C156&lt;5.7, "Normal", C156&lt;=6.4, "Prediabetes", TRUE, "Diabetes")</f>
        <v>Normal</v>
      </c>
    </row>
    <row r="157" spans="1:10">
      <c r="A157" t="s">
        <v>312</v>
      </c>
      <c r="B157">
        <v>45.81</v>
      </c>
      <c r="C157">
        <v>4.76</v>
      </c>
      <c r="D157" t="s">
        <v>4683</v>
      </c>
      <c r="E157" t="s">
        <v>4682</v>
      </c>
      <c r="F157" t="s">
        <v>4684</v>
      </c>
      <c r="G157">
        <v>1</v>
      </c>
      <c r="H157" t="s">
        <v>4683</v>
      </c>
      <c r="I157" t="str" cm="1">
        <f t="array" ref="I157">_xlfn.IFS(B157&lt;18.5, "Underweight", B157&lt;=24.9, "Normal Weight", B157&lt;=29.9, "Overweight", TRUE, "Obesity")</f>
        <v>Obesity</v>
      </c>
      <c r="J157" t="str" cm="1">
        <f t="array" ref="J157">_xlfn.IFS(C157&lt;5.7, "Normal", C157&lt;=6.4, "Prediabetes", TRUE, "Diabetes")</f>
        <v>Normal</v>
      </c>
    </row>
    <row r="158" spans="1:10">
      <c r="A158" t="s">
        <v>314</v>
      </c>
      <c r="B158">
        <v>34.43</v>
      </c>
      <c r="C158">
        <v>10.82</v>
      </c>
      <c r="D158" t="s">
        <v>4683</v>
      </c>
      <c r="E158" t="s">
        <v>4682</v>
      </c>
      <c r="F158" t="s">
        <v>4682</v>
      </c>
      <c r="G158">
        <v>1</v>
      </c>
      <c r="H158" t="s">
        <v>4683</v>
      </c>
      <c r="I158" t="str" cm="1">
        <f t="array" ref="I158">_xlfn.IFS(B158&lt;18.5, "Underweight", B158&lt;=24.9, "Normal Weight", B158&lt;=29.9, "Overweight", TRUE, "Obesity")</f>
        <v>Obesity</v>
      </c>
      <c r="J158" t="str" cm="1">
        <f t="array" ref="J158">_xlfn.IFS(C158&lt;5.7, "Normal", C158&lt;=6.4, "Prediabetes", TRUE, "Diabetes")</f>
        <v>Diabetes</v>
      </c>
    </row>
    <row r="159" spans="1:10">
      <c r="A159" t="s">
        <v>316</v>
      </c>
      <c r="B159">
        <v>41.33</v>
      </c>
      <c r="C159">
        <v>4.01</v>
      </c>
      <c r="D159" t="s">
        <v>4683</v>
      </c>
      <c r="E159" t="s">
        <v>4682</v>
      </c>
      <c r="F159" t="s">
        <v>4682</v>
      </c>
      <c r="G159">
        <v>0</v>
      </c>
      <c r="H159" t="s">
        <v>4683</v>
      </c>
      <c r="I159" t="str" cm="1">
        <f t="array" ref="I159">_xlfn.IFS(B159&lt;18.5, "Underweight", B159&lt;=24.9, "Normal Weight", B159&lt;=29.9, "Overweight", TRUE, "Obesity")</f>
        <v>Obesity</v>
      </c>
      <c r="J159" t="str" cm="1">
        <f t="array" ref="J159">_xlfn.IFS(C159&lt;5.7, "Normal", C159&lt;=6.4, "Prediabetes", TRUE, "Diabetes")</f>
        <v>Normal</v>
      </c>
    </row>
    <row r="160" spans="1:10">
      <c r="A160" t="s">
        <v>318</v>
      </c>
      <c r="B160">
        <v>31.92</v>
      </c>
      <c r="C160">
        <v>5.12</v>
      </c>
      <c r="D160" t="s">
        <v>4683</v>
      </c>
      <c r="E160" t="s">
        <v>4682</v>
      </c>
      <c r="F160" t="s">
        <v>4682</v>
      </c>
      <c r="G160">
        <v>1</v>
      </c>
      <c r="H160" t="s">
        <v>4683</v>
      </c>
      <c r="I160" t="str" cm="1">
        <f t="array" ref="I160">_xlfn.IFS(B160&lt;18.5, "Underweight", B160&lt;=24.9, "Normal Weight", B160&lt;=29.9, "Overweight", TRUE, "Obesity")</f>
        <v>Obesity</v>
      </c>
      <c r="J160" t="str" cm="1">
        <f t="array" ref="J160">_xlfn.IFS(C160&lt;5.7, "Normal", C160&lt;=6.4, "Prediabetes", TRUE, "Diabetes")</f>
        <v>Normal</v>
      </c>
    </row>
    <row r="161" spans="1:10">
      <c r="A161" t="s">
        <v>320</v>
      </c>
      <c r="B161">
        <v>39.799999999999997</v>
      </c>
      <c r="C161">
        <v>10.54</v>
      </c>
      <c r="D161" t="s">
        <v>4683</v>
      </c>
      <c r="E161" t="s">
        <v>4682</v>
      </c>
      <c r="F161" t="s">
        <v>4682</v>
      </c>
      <c r="G161">
        <v>2</v>
      </c>
      <c r="H161" t="s">
        <v>4683</v>
      </c>
      <c r="I161" t="str" cm="1">
        <f t="array" ref="I161">_xlfn.IFS(B161&lt;18.5, "Underweight", B161&lt;=24.9, "Normal Weight", B161&lt;=29.9, "Overweight", TRUE, "Obesity")</f>
        <v>Obesity</v>
      </c>
      <c r="J161" t="str" cm="1">
        <f t="array" ref="J161">_xlfn.IFS(C161&lt;5.7, "Normal", C161&lt;=6.4, "Prediabetes", TRUE, "Diabetes")</f>
        <v>Diabetes</v>
      </c>
    </row>
    <row r="162" spans="1:10">
      <c r="A162" t="s">
        <v>322</v>
      </c>
      <c r="B162">
        <v>42.82</v>
      </c>
      <c r="C162">
        <v>4.21</v>
      </c>
      <c r="D162" t="s">
        <v>4682</v>
      </c>
      <c r="E162" t="s">
        <v>4682</v>
      </c>
      <c r="F162" t="s">
        <v>4682</v>
      </c>
      <c r="G162">
        <v>0</v>
      </c>
      <c r="H162" t="s">
        <v>4683</v>
      </c>
      <c r="I162" t="str" cm="1">
        <f t="array" ref="I162">_xlfn.IFS(B162&lt;18.5, "Underweight", B162&lt;=24.9, "Normal Weight", B162&lt;=29.9, "Overweight", TRUE, "Obesity")</f>
        <v>Obesity</v>
      </c>
      <c r="J162" t="str" cm="1">
        <f t="array" ref="J162">_xlfn.IFS(C162&lt;5.7, "Normal", C162&lt;=6.4, "Prediabetes", TRUE, "Diabetes")</f>
        <v>Normal</v>
      </c>
    </row>
    <row r="163" spans="1:10">
      <c r="A163" t="s">
        <v>324</v>
      </c>
      <c r="B163">
        <v>33.630000000000003</v>
      </c>
      <c r="C163">
        <v>5.42</v>
      </c>
      <c r="D163" t="s">
        <v>4682</v>
      </c>
      <c r="E163" t="s">
        <v>4682</v>
      </c>
      <c r="F163" t="s">
        <v>4682</v>
      </c>
      <c r="G163">
        <v>0</v>
      </c>
      <c r="H163" t="s">
        <v>4683</v>
      </c>
      <c r="I163" t="str" cm="1">
        <f t="array" ref="I163">_xlfn.IFS(B163&lt;18.5, "Underweight", B163&lt;=24.9, "Normal Weight", B163&lt;=29.9, "Overweight", TRUE, "Obesity")</f>
        <v>Obesity</v>
      </c>
      <c r="J163" t="str" cm="1">
        <f t="array" ref="J163">_xlfn.IFS(C163&lt;5.7, "Normal", C163&lt;=6.4, "Prediabetes", TRUE, "Diabetes")</f>
        <v>Normal</v>
      </c>
    </row>
    <row r="164" spans="1:10">
      <c r="A164" t="s">
        <v>326</v>
      </c>
      <c r="B164">
        <v>37.07</v>
      </c>
      <c r="C164">
        <v>4.28</v>
      </c>
      <c r="D164" t="s">
        <v>4682</v>
      </c>
      <c r="E164" t="s">
        <v>4683</v>
      </c>
      <c r="F164" t="s">
        <v>4682</v>
      </c>
      <c r="G164">
        <v>1</v>
      </c>
      <c r="H164" t="s">
        <v>4683</v>
      </c>
      <c r="I164" t="str" cm="1">
        <f t="array" ref="I164">_xlfn.IFS(B164&lt;18.5, "Underweight", B164&lt;=24.9, "Normal Weight", B164&lt;=29.9, "Overweight", TRUE, "Obesity")</f>
        <v>Obesity</v>
      </c>
      <c r="J164" t="str" cm="1">
        <f t="array" ref="J164">_xlfn.IFS(C164&lt;5.7, "Normal", C164&lt;=6.4, "Prediabetes", TRUE, "Diabetes")</f>
        <v>Normal</v>
      </c>
    </row>
    <row r="165" spans="1:10">
      <c r="A165" t="s">
        <v>328</v>
      </c>
      <c r="B165">
        <v>35.625</v>
      </c>
      <c r="C165">
        <v>8.9</v>
      </c>
      <c r="D165" t="s">
        <v>4682</v>
      </c>
      <c r="E165" t="s">
        <v>4682</v>
      </c>
      <c r="F165" t="s">
        <v>4682</v>
      </c>
      <c r="G165">
        <v>0</v>
      </c>
      <c r="H165" t="s">
        <v>4683</v>
      </c>
      <c r="I165" t="str" cm="1">
        <f t="array" ref="I165">_xlfn.IFS(B165&lt;18.5, "Underweight", B165&lt;=24.9, "Normal Weight", B165&lt;=29.9, "Overweight", TRUE, "Obesity")</f>
        <v>Obesity</v>
      </c>
      <c r="J165" t="str" cm="1">
        <f t="array" ref="J165">_xlfn.IFS(C165&lt;5.7, "Normal", C165&lt;=6.4, "Prediabetes", TRUE, "Diabetes")</f>
        <v>Diabetes</v>
      </c>
    </row>
    <row r="166" spans="1:10">
      <c r="A166" t="s">
        <v>330</v>
      </c>
      <c r="B166">
        <v>42.69</v>
      </c>
      <c r="C166">
        <v>4.8899999999999997</v>
      </c>
      <c r="D166" t="s">
        <v>4682</v>
      </c>
      <c r="E166" t="s">
        <v>4682</v>
      </c>
      <c r="F166" t="s">
        <v>4684</v>
      </c>
      <c r="G166">
        <v>1</v>
      </c>
      <c r="H166" t="s">
        <v>4683</v>
      </c>
      <c r="I166" t="str" cm="1">
        <f t="array" ref="I166">_xlfn.IFS(B166&lt;18.5, "Underweight", B166&lt;=24.9, "Normal Weight", B166&lt;=29.9, "Overweight", TRUE, "Obesity")</f>
        <v>Obesity</v>
      </c>
      <c r="J166" t="str" cm="1">
        <f t="array" ref="J166">_xlfn.IFS(C166&lt;5.7, "Normal", C166&lt;=6.4, "Prediabetes", TRUE, "Diabetes")</f>
        <v>Normal</v>
      </c>
    </row>
    <row r="167" spans="1:10">
      <c r="A167" t="s">
        <v>332</v>
      </c>
      <c r="B167">
        <v>37.869999999999997</v>
      </c>
      <c r="C167">
        <v>4.29</v>
      </c>
      <c r="D167" t="s">
        <v>4683</v>
      </c>
      <c r="E167" t="s">
        <v>4682</v>
      </c>
      <c r="F167" t="s">
        <v>4684</v>
      </c>
      <c r="G167">
        <v>1</v>
      </c>
      <c r="H167" t="s">
        <v>4683</v>
      </c>
      <c r="I167" t="str" cm="1">
        <f t="array" ref="I167">_xlfn.IFS(B167&lt;18.5, "Underweight", B167&lt;=24.9, "Normal Weight", B167&lt;=29.9, "Overweight", TRUE, "Obesity")</f>
        <v>Obesity</v>
      </c>
      <c r="J167" t="str" cm="1">
        <f t="array" ref="J167">_xlfn.IFS(C167&lt;5.7, "Normal", C167&lt;=6.4, "Prediabetes", TRUE, "Diabetes")</f>
        <v>Normal</v>
      </c>
    </row>
    <row r="168" spans="1:10">
      <c r="A168" t="s">
        <v>334</v>
      </c>
      <c r="B168">
        <v>40.61</v>
      </c>
      <c r="C168">
        <v>8</v>
      </c>
      <c r="D168" t="s">
        <v>4683</v>
      </c>
      <c r="E168" t="s">
        <v>4682</v>
      </c>
      <c r="F168" t="s">
        <v>4682</v>
      </c>
      <c r="G168">
        <v>1</v>
      </c>
      <c r="H168" t="s">
        <v>4683</v>
      </c>
      <c r="I168" t="str" cm="1">
        <f t="array" ref="I168">_xlfn.IFS(B168&lt;18.5, "Underweight", B168&lt;=24.9, "Normal Weight", B168&lt;=29.9, "Overweight", TRUE, "Obesity")</f>
        <v>Obesity</v>
      </c>
      <c r="J168" t="str" cm="1">
        <f t="array" ref="J168">_xlfn.IFS(C168&lt;5.7, "Normal", C168&lt;=6.4, "Prediabetes", TRUE, "Diabetes")</f>
        <v>Diabetes</v>
      </c>
    </row>
    <row r="169" spans="1:10">
      <c r="A169" t="s">
        <v>336</v>
      </c>
      <c r="B169">
        <v>30.78</v>
      </c>
      <c r="C169">
        <v>4.67</v>
      </c>
      <c r="D169" t="s">
        <v>4683</v>
      </c>
      <c r="E169" t="s">
        <v>4682</v>
      </c>
      <c r="F169" t="s">
        <v>4682</v>
      </c>
      <c r="G169">
        <v>0</v>
      </c>
      <c r="H169" t="s">
        <v>4683</v>
      </c>
      <c r="I169" t="str" cm="1">
        <f t="array" ref="I169">_xlfn.IFS(B169&lt;18.5, "Underweight", B169&lt;=24.9, "Normal Weight", B169&lt;=29.9, "Overweight", TRUE, "Obesity")</f>
        <v>Obesity</v>
      </c>
      <c r="J169" t="str" cm="1">
        <f t="array" ref="J169">_xlfn.IFS(C169&lt;5.7, "Normal", C169&lt;=6.4, "Prediabetes", TRUE, "Diabetes")</f>
        <v>Normal</v>
      </c>
    </row>
    <row r="170" spans="1:10">
      <c r="A170" t="s">
        <v>338</v>
      </c>
      <c r="B170">
        <v>49.49</v>
      </c>
      <c r="C170">
        <v>4.5</v>
      </c>
      <c r="D170" t="s">
        <v>4682</v>
      </c>
      <c r="E170" t="s">
        <v>4682</v>
      </c>
      <c r="F170" t="s">
        <v>4682</v>
      </c>
      <c r="G170">
        <v>0</v>
      </c>
      <c r="H170" t="s">
        <v>4683</v>
      </c>
      <c r="I170" t="str" cm="1">
        <f t="array" ref="I170">_xlfn.IFS(B170&lt;18.5, "Underweight", B170&lt;=24.9, "Normal Weight", B170&lt;=29.9, "Overweight", TRUE, "Obesity")</f>
        <v>Obesity</v>
      </c>
      <c r="J170" t="str" cm="1">
        <f t="array" ref="J170">_xlfn.IFS(C170&lt;5.7, "Normal", C170&lt;=6.4, "Prediabetes", TRUE, "Diabetes")</f>
        <v>Normal</v>
      </c>
    </row>
    <row r="171" spans="1:10">
      <c r="A171" t="s">
        <v>340</v>
      </c>
      <c r="B171">
        <v>37.619999999999997</v>
      </c>
      <c r="C171">
        <v>6.32</v>
      </c>
      <c r="D171" t="s">
        <v>4683</v>
      </c>
      <c r="E171" t="s">
        <v>4683</v>
      </c>
      <c r="F171" t="s">
        <v>4682</v>
      </c>
      <c r="G171">
        <v>2</v>
      </c>
      <c r="H171" t="s">
        <v>4683</v>
      </c>
      <c r="I171" t="str" cm="1">
        <f t="array" ref="I171">_xlfn.IFS(B171&lt;18.5, "Underweight", B171&lt;=24.9, "Normal Weight", B171&lt;=29.9, "Overweight", TRUE, "Obesity")</f>
        <v>Obesity</v>
      </c>
      <c r="J171" t="str" cm="1">
        <f t="array" ref="J171">_xlfn.IFS(C171&lt;5.7, "Normal", C171&lt;=6.4, "Prediabetes", TRUE, "Diabetes")</f>
        <v>Prediabetes</v>
      </c>
    </row>
    <row r="172" spans="1:10">
      <c r="A172" t="s">
        <v>342</v>
      </c>
      <c r="B172">
        <v>36.08</v>
      </c>
      <c r="C172">
        <v>6.1</v>
      </c>
      <c r="D172" t="s">
        <v>4683</v>
      </c>
      <c r="E172" t="s">
        <v>4682</v>
      </c>
      <c r="F172" t="s">
        <v>4682</v>
      </c>
      <c r="G172">
        <v>1</v>
      </c>
      <c r="H172" t="s">
        <v>4683</v>
      </c>
      <c r="I172" t="str" cm="1">
        <f t="array" ref="I172">_xlfn.IFS(B172&lt;18.5, "Underweight", B172&lt;=24.9, "Normal Weight", B172&lt;=29.9, "Overweight", TRUE, "Obesity")</f>
        <v>Obesity</v>
      </c>
      <c r="J172" t="str" cm="1">
        <f t="array" ref="J172">_xlfn.IFS(C172&lt;5.7, "Normal", C172&lt;=6.4, "Prediabetes", TRUE, "Diabetes")</f>
        <v>Prediabetes</v>
      </c>
    </row>
    <row r="173" spans="1:10">
      <c r="A173" t="s">
        <v>344</v>
      </c>
      <c r="B173">
        <v>33.5</v>
      </c>
      <c r="C173">
        <v>5.4</v>
      </c>
      <c r="D173" t="s">
        <v>4682</v>
      </c>
      <c r="E173" t="s">
        <v>4682</v>
      </c>
      <c r="F173" t="s">
        <v>4682</v>
      </c>
      <c r="G173">
        <v>0</v>
      </c>
      <c r="H173" t="s">
        <v>4683</v>
      </c>
      <c r="I173" t="str" cm="1">
        <f t="array" ref="I173">_xlfn.IFS(B173&lt;18.5, "Underweight", B173&lt;=24.9, "Normal Weight", B173&lt;=29.9, "Overweight", TRUE, "Obesity")</f>
        <v>Obesity</v>
      </c>
      <c r="J173" t="str" cm="1">
        <f t="array" ref="J173">_xlfn.IFS(C173&lt;5.7, "Normal", C173&lt;=6.4, "Prediabetes", TRUE, "Diabetes")</f>
        <v>Normal</v>
      </c>
    </row>
    <row r="174" spans="1:10">
      <c r="A174" t="s">
        <v>346</v>
      </c>
      <c r="B174">
        <v>47.46</v>
      </c>
      <c r="C174">
        <v>6.24</v>
      </c>
      <c r="D174" t="s">
        <v>4683</v>
      </c>
      <c r="E174" t="s">
        <v>4682</v>
      </c>
      <c r="F174" t="s">
        <v>4682</v>
      </c>
      <c r="G174">
        <v>1</v>
      </c>
      <c r="H174" t="s">
        <v>4683</v>
      </c>
      <c r="I174" t="str" cm="1">
        <f t="array" ref="I174">_xlfn.IFS(B174&lt;18.5, "Underweight", B174&lt;=24.9, "Normal Weight", B174&lt;=29.9, "Overweight", TRUE, "Obesity")</f>
        <v>Obesity</v>
      </c>
      <c r="J174" t="str" cm="1">
        <f t="array" ref="J174">_xlfn.IFS(C174&lt;5.7, "Normal", C174&lt;=6.4, "Prediabetes", TRUE, "Diabetes")</f>
        <v>Prediabetes</v>
      </c>
    </row>
    <row r="175" spans="1:10">
      <c r="A175" t="s">
        <v>348</v>
      </c>
      <c r="B175">
        <v>49.24</v>
      </c>
      <c r="C175">
        <v>4.45</v>
      </c>
      <c r="D175" t="s">
        <v>4682</v>
      </c>
      <c r="E175" t="s">
        <v>4682</v>
      </c>
      <c r="F175" t="s">
        <v>4682</v>
      </c>
      <c r="G175">
        <v>0</v>
      </c>
      <c r="H175" t="s">
        <v>4683</v>
      </c>
      <c r="I175" t="str" cm="1">
        <f t="array" ref="I175">_xlfn.IFS(B175&lt;18.5, "Underweight", B175&lt;=24.9, "Normal Weight", B175&lt;=29.9, "Overweight", TRUE, "Obesity")</f>
        <v>Obesity</v>
      </c>
      <c r="J175" t="str" cm="1">
        <f t="array" ref="J175">_xlfn.IFS(C175&lt;5.7, "Normal", C175&lt;=6.4, "Prediabetes", TRUE, "Diabetes")</f>
        <v>Normal</v>
      </c>
    </row>
    <row r="176" spans="1:10">
      <c r="A176" t="s">
        <v>350</v>
      </c>
      <c r="B176">
        <v>54.4</v>
      </c>
      <c r="C176">
        <v>5.22</v>
      </c>
      <c r="D176" t="s">
        <v>4682</v>
      </c>
      <c r="E176" t="s">
        <v>4682</v>
      </c>
      <c r="F176" t="s">
        <v>4682</v>
      </c>
      <c r="G176">
        <v>1</v>
      </c>
      <c r="H176" t="s">
        <v>4683</v>
      </c>
      <c r="I176" t="str" cm="1">
        <f t="array" ref="I176">_xlfn.IFS(B176&lt;18.5, "Underweight", B176&lt;=24.9, "Normal Weight", B176&lt;=29.9, "Overweight", TRUE, "Obesity")</f>
        <v>Obesity</v>
      </c>
      <c r="J176" t="str" cm="1">
        <f t="array" ref="J176">_xlfn.IFS(C176&lt;5.7, "Normal", C176&lt;=6.4, "Prediabetes", TRUE, "Diabetes")</f>
        <v>Normal</v>
      </c>
    </row>
    <row r="177" spans="1:10">
      <c r="A177" t="s">
        <v>352</v>
      </c>
      <c r="B177">
        <v>35.53</v>
      </c>
      <c r="C177">
        <v>4.6100000000000003</v>
      </c>
      <c r="D177" t="s">
        <v>4682</v>
      </c>
      <c r="E177" t="s">
        <v>4682</v>
      </c>
      <c r="F177" t="s">
        <v>4682</v>
      </c>
      <c r="G177">
        <v>1</v>
      </c>
      <c r="H177" t="s">
        <v>4683</v>
      </c>
      <c r="I177" t="str" cm="1">
        <f t="array" ref="I177">_xlfn.IFS(B177&lt;18.5, "Underweight", B177&lt;=24.9, "Normal Weight", B177&lt;=29.9, "Overweight", TRUE, "Obesity")</f>
        <v>Obesity</v>
      </c>
      <c r="J177" t="str" cm="1">
        <f t="array" ref="J177">_xlfn.IFS(C177&lt;5.7, "Normal", C177&lt;=6.4, "Prediabetes", TRUE, "Diabetes")</f>
        <v>Normal</v>
      </c>
    </row>
    <row r="178" spans="1:10">
      <c r="A178" t="s">
        <v>354</v>
      </c>
      <c r="B178">
        <v>39.729999999999997</v>
      </c>
      <c r="C178">
        <v>6.24</v>
      </c>
      <c r="D178" t="s">
        <v>4682</v>
      </c>
      <c r="E178" t="s">
        <v>4682</v>
      </c>
      <c r="F178" t="s">
        <v>4682</v>
      </c>
      <c r="G178">
        <v>0</v>
      </c>
      <c r="H178" t="s">
        <v>4683</v>
      </c>
      <c r="I178" t="str" cm="1">
        <f t="array" ref="I178">_xlfn.IFS(B178&lt;18.5, "Underweight", B178&lt;=24.9, "Normal Weight", B178&lt;=29.9, "Overweight", TRUE, "Obesity")</f>
        <v>Obesity</v>
      </c>
      <c r="J178" t="str" cm="1">
        <f t="array" ref="J178">_xlfn.IFS(C178&lt;5.7, "Normal", C178&lt;=6.4, "Prediabetes", TRUE, "Diabetes")</f>
        <v>Prediabetes</v>
      </c>
    </row>
    <row r="179" spans="1:10">
      <c r="A179" t="s">
        <v>356</v>
      </c>
      <c r="B179">
        <v>35.68</v>
      </c>
      <c r="C179">
        <v>10.039999999999999</v>
      </c>
      <c r="D179" t="s">
        <v>4682</v>
      </c>
      <c r="E179" t="s">
        <v>4682</v>
      </c>
      <c r="F179" t="s">
        <v>4682</v>
      </c>
      <c r="G179">
        <v>0</v>
      </c>
      <c r="H179" t="s">
        <v>4683</v>
      </c>
      <c r="I179" t="str" cm="1">
        <f t="array" ref="I179">_xlfn.IFS(B179&lt;18.5, "Underweight", B179&lt;=24.9, "Normal Weight", B179&lt;=29.9, "Overweight", TRUE, "Obesity")</f>
        <v>Obesity</v>
      </c>
      <c r="J179" t="str" cm="1">
        <f t="array" ref="J179">_xlfn.IFS(C179&lt;5.7, "Normal", C179&lt;=6.4, "Prediabetes", TRUE, "Diabetes")</f>
        <v>Diabetes</v>
      </c>
    </row>
    <row r="180" spans="1:10">
      <c r="A180" t="s">
        <v>358</v>
      </c>
      <c r="B180">
        <v>48.86</v>
      </c>
      <c r="C180">
        <v>6.09</v>
      </c>
      <c r="D180" t="s">
        <v>4682</v>
      </c>
      <c r="E180" t="s">
        <v>4682</v>
      </c>
      <c r="F180" t="s">
        <v>4682</v>
      </c>
      <c r="G180">
        <v>0</v>
      </c>
      <c r="H180" t="s">
        <v>4683</v>
      </c>
      <c r="I180" t="str" cm="1">
        <f t="array" ref="I180">_xlfn.IFS(B180&lt;18.5, "Underweight", B180&lt;=24.9, "Normal Weight", B180&lt;=29.9, "Overweight", TRUE, "Obesity")</f>
        <v>Obesity</v>
      </c>
      <c r="J180" t="str" cm="1">
        <f t="array" ref="J180">_xlfn.IFS(C180&lt;5.7, "Normal", C180&lt;=6.4, "Prediabetes", TRUE, "Diabetes")</f>
        <v>Prediabetes</v>
      </c>
    </row>
    <row r="181" spans="1:10">
      <c r="A181" t="s">
        <v>360</v>
      </c>
      <c r="B181">
        <v>34.799999999999997</v>
      </c>
      <c r="C181">
        <v>11.4</v>
      </c>
      <c r="D181" t="s">
        <v>4683</v>
      </c>
      <c r="E181" t="s">
        <v>4682</v>
      </c>
      <c r="F181" t="s">
        <v>4684</v>
      </c>
      <c r="G181">
        <v>1</v>
      </c>
      <c r="H181" t="s">
        <v>4682</v>
      </c>
      <c r="I181" t="str" cm="1">
        <f t="array" ref="I181">_xlfn.IFS(B181&lt;18.5, "Underweight", B181&lt;=24.9, "Normal Weight", B181&lt;=29.9, "Overweight", TRUE, "Obesity")</f>
        <v>Obesity</v>
      </c>
      <c r="J181" t="str" cm="1">
        <f t="array" ref="J181">_xlfn.IFS(C181&lt;5.7, "Normal", C181&lt;=6.4, "Prediabetes", TRUE, "Diabetes")</f>
        <v>Diabetes</v>
      </c>
    </row>
    <row r="182" spans="1:10">
      <c r="A182" t="s">
        <v>362</v>
      </c>
      <c r="B182">
        <v>32.49</v>
      </c>
      <c r="C182">
        <v>4.29</v>
      </c>
      <c r="D182" t="s">
        <v>4682</v>
      </c>
      <c r="E182" t="s">
        <v>4682</v>
      </c>
      <c r="F182" t="s">
        <v>4684</v>
      </c>
      <c r="G182">
        <v>1</v>
      </c>
      <c r="H182" t="s">
        <v>4683</v>
      </c>
      <c r="I182" t="str" cm="1">
        <f t="array" ref="I182">_xlfn.IFS(B182&lt;18.5, "Underweight", B182&lt;=24.9, "Normal Weight", B182&lt;=29.9, "Overweight", TRUE, "Obesity")</f>
        <v>Obesity</v>
      </c>
      <c r="J182" t="str" cm="1">
        <f t="array" ref="J182">_xlfn.IFS(C182&lt;5.7, "Normal", C182&lt;=6.4, "Prediabetes", TRUE, "Diabetes")</f>
        <v>Normal</v>
      </c>
    </row>
    <row r="183" spans="1:10">
      <c r="A183" t="s">
        <v>364</v>
      </c>
      <c r="B183">
        <v>39</v>
      </c>
      <c r="C183">
        <v>5.7</v>
      </c>
      <c r="D183" t="s">
        <v>4682</v>
      </c>
      <c r="E183" t="s">
        <v>4682</v>
      </c>
      <c r="F183" t="s">
        <v>4682</v>
      </c>
      <c r="G183">
        <v>2</v>
      </c>
      <c r="H183" t="s">
        <v>4683</v>
      </c>
      <c r="I183" t="str" cm="1">
        <f t="array" ref="I183">_xlfn.IFS(B183&lt;18.5, "Underweight", B183&lt;=24.9, "Normal Weight", B183&lt;=29.9, "Overweight", TRUE, "Obesity")</f>
        <v>Obesity</v>
      </c>
      <c r="J183" t="str" cm="1">
        <f t="array" ref="J183">_xlfn.IFS(C183&lt;5.7, "Normal", C183&lt;=6.4, "Prediabetes", TRUE, "Diabetes")</f>
        <v>Prediabetes</v>
      </c>
    </row>
    <row r="184" spans="1:10">
      <c r="A184" t="s">
        <v>366</v>
      </c>
      <c r="B184">
        <v>35.299999999999997</v>
      </c>
      <c r="C184">
        <v>6.09</v>
      </c>
      <c r="D184" t="s">
        <v>4682</v>
      </c>
      <c r="E184" t="s">
        <v>4682</v>
      </c>
      <c r="F184" t="s">
        <v>4682</v>
      </c>
      <c r="G184">
        <v>1</v>
      </c>
      <c r="H184" t="s">
        <v>4683</v>
      </c>
      <c r="I184" t="str" cm="1">
        <f t="array" ref="I184">_xlfn.IFS(B184&lt;18.5, "Underweight", B184&lt;=24.9, "Normal Weight", B184&lt;=29.9, "Overweight", TRUE, "Obesity")</f>
        <v>Obesity</v>
      </c>
      <c r="J184" t="str" cm="1">
        <f t="array" ref="J184">_xlfn.IFS(C184&lt;5.7, "Normal", C184&lt;=6.4, "Prediabetes", TRUE, "Diabetes")</f>
        <v>Prediabetes</v>
      </c>
    </row>
    <row r="185" spans="1:10">
      <c r="A185" t="s">
        <v>368</v>
      </c>
      <c r="B185">
        <v>33.42</v>
      </c>
      <c r="C185">
        <v>10.67</v>
      </c>
      <c r="D185" t="s">
        <v>4682</v>
      </c>
      <c r="E185" t="s">
        <v>4682</v>
      </c>
      <c r="F185" t="s">
        <v>4682</v>
      </c>
      <c r="G185">
        <v>0</v>
      </c>
      <c r="H185" t="s">
        <v>4683</v>
      </c>
      <c r="I185" t="str" cm="1">
        <f t="array" ref="I185">_xlfn.IFS(B185&lt;18.5, "Underweight", B185&lt;=24.9, "Normal Weight", B185&lt;=29.9, "Overweight", TRUE, "Obesity")</f>
        <v>Obesity</v>
      </c>
      <c r="J185" t="str" cm="1">
        <f t="array" ref="J185">_xlfn.IFS(C185&lt;5.7, "Normal", C185&lt;=6.4, "Prediabetes", TRUE, "Diabetes")</f>
        <v>Diabetes</v>
      </c>
    </row>
    <row r="186" spans="1:10">
      <c r="A186" t="s">
        <v>370</v>
      </c>
      <c r="B186">
        <v>37.18</v>
      </c>
      <c r="C186">
        <v>6.75</v>
      </c>
      <c r="D186" t="s">
        <v>4683</v>
      </c>
      <c r="E186" t="s">
        <v>4682</v>
      </c>
      <c r="F186" t="s">
        <v>4682</v>
      </c>
      <c r="G186">
        <v>2</v>
      </c>
      <c r="H186" t="s">
        <v>4683</v>
      </c>
      <c r="I186" t="str" cm="1">
        <f t="array" ref="I186">_xlfn.IFS(B186&lt;18.5, "Underweight", B186&lt;=24.9, "Normal Weight", B186&lt;=29.9, "Overweight", TRUE, "Obesity")</f>
        <v>Obesity</v>
      </c>
      <c r="J186" t="str" cm="1">
        <f t="array" ref="J186">_xlfn.IFS(C186&lt;5.7, "Normal", C186&lt;=6.4, "Prediabetes", TRUE, "Diabetes")</f>
        <v>Diabetes</v>
      </c>
    </row>
    <row r="187" spans="1:10">
      <c r="A187" t="s">
        <v>372</v>
      </c>
      <c r="B187">
        <v>33.33</v>
      </c>
      <c r="C187">
        <v>9.26</v>
      </c>
      <c r="D187" t="s">
        <v>4683</v>
      </c>
      <c r="E187" t="s">
        <v>4682</v>
      </c>
      <c r="F187" t="s">
        <v>4682</v>
      </c>
      <c r="G187">
        <v>2</v>
      </c>
      <c r="H187" t="s">
        <v>4682</v>
      </c>
      <c r="I187" t="str" cm="1">
        <f t="array" ref="I187">_xlfn.IFS(B187&lt;18.5, "Underweight", B187&lt;=24.9, "Normal Weight", B187&lt;=29.9, "Overweight", TRUE, "Obesity")</f>
        <v>Obesity</v>
      </c>
      <c r="J187" t="str" cm="1">
        <f t="array" ref="J187">_xlfn.IFS(C187&lt;5.7, "Normal", C187&lt;=6.4, "Prediabetes", TRUE, "Diabetes")</f>
        <v>Diabetes</v>
      </c>
    </row>
    <row r="188" spans="1:10">
      <c r="A188" t="s">
        <v>374</v>
      </c>
      <c r="B188">
        <v>53.21</v>
      </c>
      <c r="C188">
        <v>4.2699999999999996</v>
      </c>
      <c r="D188" t="s">
        <v>4682</v>
      </c>
      <c r="E188" t="s">
        <v>4682</v>
      </c>
      <c r="F188" t="s">
        <v>4682</v>
      </c>
      <c r="G188">
        <v>1</v>
      </c>
      <c r="H188" t="s">
        <v>4683</v>
      </c>
      <c r="I188" t="str" cm="1">
        <f t="array" ref="I188">_xlfn.IFS(B188&lt;18.5, "Underweight", B188&lt;=24.9, "Normal Weight", B188&lt;=29.9, "Overweight", TRUE, "Obesity")</f>
        <v>Obesity</v>
      </c>
      <c r="J188" t="str" cm="1">
        <f t="array" ref="J188">_xlfn.IFS(C188&lt;5.7, "Normal", C188&lt;=6.4, "Prediabetes", TRUE, "Diabetes")</f>
        <v>Normal</v>
      </c>
    </row>
    <row r="189" spans="1:10">
      <c r="A189" t="s">
        <v>376</v>
      </c>
      <c r="B189">
        <v>38.729999999999997</v>
      </c>
      <c r="C189">
        <v>11.51</v>
      </c>
      <c r="D189" t="s">
        <v>4682</v>
      </c>
      <c r="E189" t="s">
        <v>4682</v>
      </c>
      <c r="F189" t="s">
        <v>4682</v>
      </c>
      <c r="G189">
        <v>2</v>
      </c>
      <c r="H189" t="s">
        <v>4683</v>
      </c>
      <c r="I189" t="str" cm="1">
        <f t="array" ref="I189">_xlfn.IFS(B189&lt;18.5, "Underweight", B189&lt;=24.9, "Normal Weight", B189&lt;=29.9, "Overweight", TRUE, "Obesity")</f>
        <v>Obesity</v>
      </c>
      <c r="J189" t="str" cm="1">
        <f t="array" ref="J189">_xlfn.IFS(C189&lt;5.7, "Normal", C189&lt;=6.4, "Prediabetes", TRUE, "Diabetes")</f>
        <v>Diabetes</v>
      </c>
    </row>
    <row r="190" spans="1:10">
      <c r="A190" t="s">
        <v>378</v>
      </c>
      <c r="B190">
        <v>29.73</v>
      </c>
      <c r="C190">
        <v>7.22</v>
      </c>
      <c r="D190" t="s">
        <v>4682</v>
      </c>
      <c r="E190" t="s">
        <v>4682</v>
      </c>
      <c r="F190" t="s">
        <v>4682</v>
      </c>
      <c r="G190">
        <v>0</v>
      </c>
      <c r="H190" t="s">
        <v>4683</v>
      </c>
      <c r="I190" t="str" cm="1">
        <f t="array" ref="I190">_xlfn.IFS(B190&lt;18.5, "Underweight", B190&lt;=24.9, "Normal Weight", B190&lt;=29.9, "Overweight", TRUE, "Obesity")</f>
        <v>Overweight</v>
      </c>
      <c r="J190" t="str" cm="1">
        <f t="array" ref="J190">_xlfn.IFS(C190&lt;5.7, "Normal", C190&lt;=6.4, "Prediabetes", TRUE, "Diabetes")</f>
        <v>Diabetes</v>
      </c>
    </row>
    <row r="191" spans="1:10">
      <c r="A191" t="s">
        <v>380</v>
      </c>
      <c r="B191">
        <v>34.700000000000003</v>
      </c>
      <c r="C191">
        <v>4.37</v>
      </c>
      <c r="D191" t="s">
        <v>4682</v>
      </c>
      <c r="E191" t="s">
        <v>4682</v>
      </c>
      <c r="F191" t="s">
        <v>4684</v>
      </c>
      <c r="G191">
        <v>1</v>
      </c>
      <c r="H191" t="s">
        <v>4683</v>
      </c>
      <c r="I191" t="str" cm="1">
        <f t="array" ref="I191">_xlfn.IFS(B191&lt;18.5, "Underweight", B191&lt;=24.9, "Normal Weight", B191&lt;=29.9, "Overweight", TRUE, "Obesity")</f>
        <v>Obesity</v>
      </c>
      <c r="J191" t="str" cm="1">
        <f t="array" ref="J191">_xlfn.IFS(C191&lt;5.7, "Normal", C191&lt;=6.4, "Prediabetes", TRUE, "Diabetes")</f>
        <v>Normal</v>
      </c>
    </row>
    <row r="192" spans="1:10">
      <c r="A192" t="s">
        <v>382</v>
      </c>
      <c r="B192">
        <v>38.28</v>
      </c>
      <c r="C192">
        <v>11.56</v>
      </c>
      <c r="D192" t="s">
        <v>4683</v>
      </c>
      <c r="E192" t="s">
        <v>4682</v>
      </c>
      <c r="F192" t="s">
        <v>4682</v>
      </c>
      <c r="G192">
        <v>1</v>
      </c>
      <c r="H192" t="s">
        <v>4683</v>
      </c>
      <c r="I192" t="str" cm="1">
        <f t="array" ref="I192">_xlfn.IFS(B192&lt;18.5, "Underweight", B192&lt;=24.9, "Normal Weight", B192&lt;=29.9, "Overweight", TRUE, "Obesity")</f>
        <v>Obesity</v>
      </c>
      <c r="J192" t="str" cm="1">
        <f t="array" ref="J192">_xlfn.IFS(C192&lt;5.7, "Normal", C192&lt;=6.4, "Prediabetes", TRUE, "Diabetes")</f>
        <v>Diabetes</v>
      </c>
    </row>
    <row r="193" spans="1:10">
      <c r="A193" t="s">
        <v>384</v>
      </c>
      <c r="B193">
        <v>33.57</v>
      </c>
      <c r="C193">
        <v>8.82</v>
      </c>
      <c r="D193" t="s">
        <v>4683</v>
      </c>
      <c r="E193" t="s">
        <v>4682</v>
      </c>
      <c r="F193" t="s">
        <v>4682</v>
      </c>
      <c r="G193">
        <v>0</v>
      </c>
      <c r="H193" t="s">
        <v>4683</v>
      </c>
      <c r="I193" t="str" cm="1">
        <f t="array" ref="I193">_xlfn.IFS(B193&lt;18.5, "Underweight", B193&lt;=24.9, "Normal Weight", B193&lt;=29.9, "Overweight", TRUE, "Obesity")</f>
        <v>Obesity</v>
      </c>
      <c r="J193" t="str" cm="1">
        <f t="array" ref="J193">_xlfn.IFS(C193&lt;5.7, "Normal", C193&lt;=6.4, "Prediabetes", TRUE, "Diabetes")</f>
        <v>Diabetes</v>
      </c>
    </row>
    <row r="194" spans="1:10">
      <c r="A194" t="s">
        <v>386</v>
      </c>
      <c r="B194">
        <v>52.06</v>
      </c>
      <c r="C194">
        <v>4.6900000000000004</v>
      </c>
      <c r="D194" t="s">
        <v>4682</v>
      </c>
      <c r="E194" t="s">
        <v>4682</v>
      </c>
      <c r="F194" t="s">
        <v>4682</v>
      </c>
      <c r="G194">
        <v>1</v>
      </c>
      <c r="H194" t="s">
        <v>4683</v>
      </c>
      <c r="I194" t="str" cm="1">
        <f t="array" ref="I194">_xlfn.IFS(B194&lt;18.5, "Underweight", B194&lt;=24.9, "Normal Weight", B194&lt;=29.9, "Overweight", TRUE, "Obesity")</f>
        <v>Obesity</v>
      </c>
      <c r="J194" t="str" cm="1">
        <f t="array" ref="J194">_xlfn.IFS(C194&lt;5.7, "Normal", C194&lt;=6.4, "Prediabetes", TRUE, "Diabetes")</f>
        <v>Normal</v>
      </c>
    </row>
    <row r="195" spans="1:10">
      <c r="A195" t="s">
        <v>388</v>
      </c>
      <c r="B195">
        <v>38.17</v>
      </c>
      <c r="C195">
        <v>4.53</v>
      </c>
      <c r="D195" t="s">
        <v>4682</v>
      </c>
      <c r="E195" t="s">
        <v>4683</v>
      </c>
      <c r="F195" t="s">
        <v>4682</v>
      </c>
      <c r="G195">
        <v>1</v>
      </c>
      <c r="H195" t="s">
        <v>4683</v>
      </c>
      <c r="I195" t="str" cm="1">
        <f t="array" ref="I195">_xlfn.IFS(B195&lt;18.5, "Underweight", B195&lt;=24.9, "Normal Weight", B195&lt;=29.9, "Overweight", TRUE, "Obesity")</f>
        <v>Obesity</v>
      </c>
      <c r="J195" t="str" cm="1">
        <f t="array" ref="J195">_xlfn.IFS(C195&lt;5.7, "Normal", C195&lt;=6.4, "Prediabetes", TRUE, "Diabetes")</f>
        <v>Normal</v>
      </c>
    </row>
    <row r="196" spans="1:10">
      <c r="A196" t="s">
        <v>390</v>
      </c>
      <c r="B196">
        <v>36.954999999999998</v>
      </c>
      <c r="C196">
        <v>5.84</v>
      </c>
      <c r="D196" t="s">
        <v>4682</v>
      </c>
      <c r="E196" t="s">
        <v>4682</v>
      </c>
      <c r="F196" t="s">
        <v>4684</v>
      </c>
      <c r="G196">
        <v>1</v>
      </c>
      <c r="H196" t="s">
        <v>4683</v>
      </c>
      <c r="I196" t="str" cm="1">
        <f t="array" ref="I196">_xlfn.IFS(B196&lt;18.5, "Underweight", B196&lt;=24.9, "Normal Weight", B196&lt;=29.9, "Overweight", TRUE, "Obesity")</f>
        <v>Obesity</v>
      </c>
      <c r="J196" t="str" cm="1">
        <f t="array" ref="J196">_xlfn.IFS(C196&lt;5.7, "Normal", C196&lt;=6.4, "Prediabetes", TRUE, "Diabetes")</f>
        <v>Prediabetes</v>
      </c>
    </row>
    <row r="197" spans="1:10">
      <c r="A197" t="s">
        <v>392</v>
      </c>
      <c r="B197">
        <v>34.4</v>
      </c>
      <c r="C197">
        <v>4.9000000000000004</v>
      </c>
      <c r="D197" t="s">
        <v>4682</v>
      </c>
      <c r="E197" t="s">
        <v>4682</v>
      </c>
      <c r="F197" t="s">
        <v>4684</v>
      </c>
      <c r="G197">
        <v>1</v>
      </c>
      <c r="H197" t="s">
        <v>4683</v>
      </c>
      <c r="I197" t="str" cm="1">
        <f t="array" ref="I197">_xlfn.IFS(B197&lt;18.5, "Underweight", B197&lt;=24.9, "Normal Weight", B197&lt;=29.9, "Overweight", TRUE, "Obesity")</f>
        <v>Obesity</v>
      </c>
      <c r="J197" t="str" cm="1">
        <f t="array" ref="J197">_xlfn.IFS(C197&lt;5.7, "Normal", C197&lt;=6.4, "Prediabetes", TRUE, "Diabetes")</f>
        <v>Normal</v>
      </c>
    </row>
    <row r="198" spans="1:10">
      <c r="A198" t="s">
        <v>394</v>
      </c>
      <c r="B198">
        <v>31.73</v>
      </c>
      <c r="C198">
        <v>4.3</v>
      </c>
      <c r="D198" t="s">
        <v>4682</v>
      </c>
      <c r="E198" t="s">
        <v>4682</v>
      </c>
      <c r="F198" t="s">
        <v>4682</v>
      </c>
      <c r="G198">
        <v>0</v>
      </c>
      <c r="H198" t="s">
        <v>4683</v>
      </c>
      <c r="I198" t="str" cm="1">
        <f t="array" ref="I198">_xlfn.IFS(B198&lt;18.5, "Underweight", B198&lt;=24.9, "Normal Weight", B198&lt;=29.9, "Overweight", TRUE, "Obesity")</f>
        <v>Obesity</v>
      </c>
      <c r="J198" t="str" cm="1">
        <f t="array" ref="J198">_xlfn.IFS(C198&lt;5.7, "Normal", C198&lt;=6.4, "Prediabetes", TRUE, "Diabetes")</f>
        <v>Normal</v>
      </c>
    </row>
    <row r="199" spans="1:10">
      <c r="A199" t="s">
        <v>396</v>
      </c>
      <c r="B199">
        <v>36.64</v>
      </c>
      <c r="C199">
        <v>11.34</v>
      </c>
      <c r="D199" t="s">
        <v>4682</v>
      </c>
      <c r="E199" t="s">
        <v>4682</v>
      </c>
      <c r="F199" t="s">
        <v>4682</v>
      </c>
      <c r="G199">
        <v>0</v>
      </c>
      <c r="H199" t="s">
        <v>4683</v>
      </c>
      <c r="I199" t="str" cm="1">
        <f t="array" ref="I199">_xlfn.IFS(B199&lt;18.5, "Underweight", B199&lt;=24.9, "Normal Weight", B199&lt;=29.9, "Overweight", TRUE, "Obesity")</f>
        <v>Obesity</v>
      </c>
      <c r="J199" t="str" cm="1">
        <f t="array" ref="J199">_xlfn.IFS(C199&lt;5.7, "Normal", C199&lt;=6.4, "Prediabetes", TRUE, "Diabetes")</f>
        <v>Diabetes</v>
      </c>
    </row>
    <row r="200" spans="1:10">
      <c r="A200" t="s">
        <v>398</v>
      </c>
      <c r="B200">
        <v>36.85</v>
      </c>
      <c r="C200">
        <v>5.88</v>
      </c>
      <c r="D200" t="s">
        <v>4682</v>
      </c>
      <c r="E200" t="s">
        <v>4683</v>
      </c>
      <c r="F200" t="s">
        <v>4682</v>
      </c>
      <c r="G200">
        <v>1</v>
      </c>
      <c r="H200" t="s">
        <v>4683</v>
      </c>
      <c r="I200" t="str" cm="1">
        <f t="array" ref="I200">_xlfn.IFS(B200&lt;18.5, "Underweight", B200&lt;=24.9, "Normal Weight", B200&lt;=29.9, "Overweight", TRUE, "Obesity")</f>
        <v>Obesity</v>
      </c>
      <c r="J200" t="str" cm="1">
        <f t="array" ref="J200">_xlfn.IFS(C200&lt;5.7, "Normal", C200&lt;=6.4, "Prediabetes", TRUE, "Diabetes")</f>
        <v>Prediabetes</v>
      </c>
    </row>
    <row r="201" spans="1:10">
      <c r="A201" t="s">
        <v>400</v>
      </c>
      <c r="B201">
        <v>33.33</v>
      </c>
      <c r="C201">
        <v>5.01</v>
      </c>
      <c r="D201" t="s">
        <v>4683</v>
      </c>
      <c r="E201" t="s">
        <v>4682</v>
      </c>
      <c r="F201" t="s">
        <v>4684</v>
      </c>
      <c r="G201">
        <v>1</v>
      </c>
      <c r="H201" t="s">
        <v>4683</v>
      </c>
      <c r="I201" t="str" cm="1">
        <f t="array" ref="I201">_xlfn.IFS(B201&lt;18.5, "Underweight", B201&lt;=24.9, "Normal Weight", B201&lt;=29.9, "Overweight", TRUE, "Obesity")</f>
        <v>Obesity</v>
      </c>
      <c r="J201" t="str" cm="1">
        <f t="array" ref="J201">_xlfn.IFS(C201&lt;5.7, "Normal", C201&lt;=6.4, "Prediabetes", TRUE, "Diabetes")</f>
        <v>Normal</v>
      </c>
    </row>
    <row r="202" spans="1:10">
      <c r="A202" t="s">
        <v>402</v>
      </c>
      <c r="B202">
        <v>39.14</v>
      </c>
      <c r="C202">
        <v>4.4000000000000004</v>
      </c>
      <c r="D202" t="s">
        <v>4682</v>
      </c>
      <c r="E202" t="s">
        <v>4682</v>
      </c>
      <c r="F202" t="s">
        <v>4684</v>
      </c>
      <c r="G202">
        <v>1</v>
      </c>
      <c r="H202" t="s">
        <v>4683</v>
      </c>
      <c r="I202" t="str" cm="1">
        <f t="array" ref="I202">_xlfn.IFS(B202&lt;18.5, "Underweight", B202&lt;=24.9, "Normal Weight", B202&lt;=29.9, "Overweight", TRUE, "Obesity")</f>
        <v>Obesity</v>
      </c>
      <c r="J202" t="str" cm="1">
        <f t="array" ref="J202">_xlfn.IFS(C202&lt;5.7, "Normal", C202&lt;=6.4, "Prediabetes", TRUE, "Diabetes")</f>
        <v>Normal</v>
      </c>
    </row>
    <row r="203" spans="1:10">
      <c r="A203" t="s">
        <v>404</v>
      </c>
      <c r="B203">
        <v>32.9</v>
      </c>
      <c r="C203">
        <v>6.26</v>
      </c>
      <c r="D203" t="s">
        <v>4683</v>
      </c>
      <c r="E203" t="s">
        <v>4682</v>
      </c>
      <c r="F203" t="s">
        <v>4682</v>
      </c>
      <c r="G203">
        <v>0</v>
      </c>
      <c r="H203" t="s">
        <v>4683</v>
      </c>
      <c r="I203" t="str" cm="1">
        <f t="array" ref="I203">_xlfn.IFS(B203&lt;18.5, "Underweight", B203&lt;=24.9, "Normal Weight", B203&lt;=29.9, "Overweight", TRUE, "Obesity")</f>
        <v>Obesity</v>
      </c>
      <c r="J203" t="str" cm="1">
        <f t="array" ref="J203">_xlfn.IFS(C203&lt;5.7, "Normal", C203&lt;=6.4, "Prediabetes", TRUE, "Diabetes")</f>
        <v>Prediabetes</v>
      </c>
    </row>
    <row r="204" spans="1:10">
      <c r="A204" t="s">
        <v>406</v>
      </c>
      <c r="B204">
        <v>29.78</v>
      </c>
      <c r="C204">
        <v>10.27</v>
      </c>
      <c r="D204" t="s">
        <v>4683</v>
      </c>
      <c r="E204" t="s">
        <v>4682</v>
      </c>
      <c r="F204" t="s">
        <v>4684</v>
      </c>
      <c r="G204">
        <v>1</v>
      </c>
      <c r="H204" t="s">
        <v>4683</v>
      </c>
      <c r="I204" t="str" cm="1">
        <f t="array" ref="I204">_xlfn.IFS(B204&lt;18.5, "Underweight", B204&lt;=24.9, "Normal Weight", B204&lt;=29.9, "Overweight", TRUE, "Obesity")</f>
        <v>Overweight</v>
      </c>
      <c r="J204" t="str" cm="1">
        <f t="array" ref="J204">_xlfn.IFS(C204&lt;5.7, "Normal", C204&lt;=6.4, "Prediabetes", TRUE, "Diabetes")</f>
        <v>Diabetes</v>
      </c>
    </row>
    <row r="205" spans="1:10">
      <c r="A205" t="s">
        <v>408</v>
      </c>
      <c r="B205">
        <v>32.78</v>
      </c>
      <c r="C205">
        <v>5.27</v>
      </c>
      <c r="D205" t="s">
        <v>4682</v>
      </c>
      <c r="E205" t="s">
        <v>4682</v>
      </c>
      <c r="F205" t="s">
        <v>4682</v>
      </c>
      <c r="G205">
        <v>0</v>
      </c>
      <c r="H205" t="s">
        <v>4683</v>
      </c>
      <c r="I205" t="str" cm="1">
        <f t="array" ref="I205">_xlfn.IFS(B205&lt;18.5, "Underweight", B205&lt;=24.9, "Normal Weight", B205&lt;=29.9, "Overweight", TRUE, "Obesity")</f>
        <v>Obesity</v>
      </c>
      <c r="J205" t="str" cm="1">
        <f t="array" ref="J205">_xlfn.IFS(C205&lt;5.7, "Normal", C205&lt;=6.4, "Prediabetes", TRUE, "Diabetes")</f>
        <v>Normal</v>
      </c>
    </row>
    <row r="206" spans="1:10">
      <c r="A206" t="s">
        <v>410</v>
      </c>
      <c r="B206">
        <v>41.65</v>
      </c>
      <c r="C206">
        <v>10.73</v>
      </c>
      <c r="D206" t="s">
        <v>4683</v>
      </c>
      <c r="E206" t="s">
        <v>4682</v>
      </c>
      <c r="F206" t="s">
        <v>4682</v>
      </c>
      <c r="G206">
        <v>0</v>
      </c>
      <c r="H206" t="s">
        <v>4683</v>
      </c>
      <c r="I206" t="str" cm="1">
        <f t="array" ref="I206">_xlfn.IFS(B206&lt;18.5, "Underweight", B206&lt;=24.9, "Normal Weight", B206&lt;=29.9, "Overweight", TRUE, "Obesity")</f>
        <v>Obesity</v>
      </c>
      <c r="J206" t="str" cm="1">
        <f t="array" ref="J206">_xlfn.IFS(C206&lt;5.7, "Normal", C206&lt;=6.4, "Prediabetes", TRUE, "Diabetes")</f>
        <v>Diabetes</v>
      </c>
    </row>
    <row r="207" spans="1:10">
      <c r="A207" t="s">
        <v>412</v>
      </c>
      <c r="B207">
        <v>50.79</v>
      </c>
      <c r="C207">
        <v>4.45</v>
      </c>
      <c r="D207" t="s">
        <v>4682</v>
      </c>
      <c r="E207" t="s">
        <v>4682</v>
      </c>
      <c r="F207" t="s">
        <v>4682</v>
      </c>
      <c r="G207">
        <v>1</v>
      </c>
      <c r="H207" t="s">
        <v>4683</v>
      </c>
      <c r="I207" t="str" cm="1">
        <f t="array" ref="I207">_xlfn.IFS(B207&lt;18.5, "Underweight", B207&lt;=24.9, "Normal Weight", B207&lt;=29.9, "Overweight", TRUE, "Obesity")</f>
        <v>Obesity</v>
      </c>
      <c r="J207" t="str" cm="1">
        <f t="array" ref="J207">_xlfn.IFS(C207&lt;5.7, "Normal", C207&lt;=6.4, "Prediabetes", TRUE, "Diabetes")</f>
        <v>Normal</v>
      </c>
    </row>
    <row r="208" spans="1:10">
      <c r="A208" t="s">
        <v>414</v>
      </c>
      <c r="B208">
        <v>35.43</v>
      </c>
      <c r="C208">
        <v>5.25</v>
      </c>
      <c r="D208" t="s">
        <v>4683</v>
      </c>
      <c r="E208" t="s">
        <v>4682</v>
      </c>
      <c r="F208" t="s">
        <v>4682</v>
      </c>
      <c r="G208">
        <v>0</v>
      </c>
      <c r="H208" t="s">
        <v>4683</v>
      </c>
      <c r="I208" t="str" cm="1">
        <f t="array" ref="I208">_xlfn.IFS(B208&lt;18.5, "Underweight", B208&lt;=24.9, "Normal Weight", B208&lt;=29.9, "Overweight", TRUE, "Obesity")</f>
        <v>Obesity</v>
      </c>
      <c r="J208" t="str" cm="1">
        <f t="array" ref="J208">_xlfn.IFS(C208&lt;5.7, "Normal", C208&lt;=6.4, "Prediabetes", TRUE, "Diabetes")</f>
        <v>Normal</v>
      </c>
    </row>
    <row r="209" spans="1:10">
      <c r="A209" t="s">
        <v>416</v>
      </c>
      <c r="B209">
        <v>35.25</v>
      </c>
      <c r="C209">
        <v>9.51</v>
      </c>
      <c r="D209" t="s">
        <v>4682</v>
      </c>
      <c r="E209" t="s">
        <v>4682</v>
      </c>
      <c r="F209" t="s">
        <v>4682</v>
      </c>
      <c r="G209">
        <v>0</v>
      </c>
      <c r="H209" t="s">
        <v>4683</v>
      </c>
      <c r="I209" t="str" cm="1">
        <f t="array" ref="I209">_xlfn.IFS(B209&lt;18.5, "Underweight", B209&lt;=24.9, "Normal Weight", B209&lt;=29.9, "Overweight", TRUE, "Obesity")</f>
        <v>Obesity</v>
      </c>
      <c r="J209" t="str" cm="1">
        <f t="array" ref="J209">_xlfn.IFS(C209&lt;5.7, "Normal", C209&lt;=6.4, "Prediabetes", TRUE, "Diabetes")</f>
        <v>Diabetes</v>
      </c>
    </row>
    <row r="210" spans="1:10">
      <c r="A210" t="s">
        <v>418</v>
      </c>
      <c r="B210">
        <v>36.85</v>
      </c>
      <c r="C210">
        <v>11.12</v>
      </c>
      <c r="D210" t="s">
        <v>4682</v>
      </c>
      <c r="E210" t="s">
        <v>4682</v>
      </c>
      <c r="F210" t="s">
        <v>4682</v>
      </c>
      <c r="G210">
        <v>0</v>
      </c>
      <c r="H210" t="s">
        <v>4683</v>
      </c>
      <c r="I210" t="str" cm="1">
        <f t="array" ref="I210">_xlfn.IFS(B210&lt;18.5, "Underweight", B210&lt;=24.9, "Normal Weight", B210&lt;=29.9, "Overweight", TRUE, "Obesity")</f>
        <v>Obesity</v>
      </c>
      <c r="J210" t="str" cm="1">
        <f t="array" ref="J210">_xlfn.IFS(C210&lt;5.7, "Normal", C210&lt;=6.4, "Prediabetes", TRUE, "Diabetes")</f>
        <v>Diabetes</v>
      </c>
    </row>
    <row r="211" spans="1:10">
      <c r="A211" t="s">
        <v>420</v>
      </c>
      <c r="B211">
        <v>31.02</v>
      </c>
      <c r="C211">
        <v>4.5599999999999996</v>
      </c>
      <c r="D211" t="s">
        <v>4682</v>
      </c>
      <c r="E211" t="s">
        <v>4683</v>
      </c>
      <c r="F211" t="s">
        <v>4682</v>
      </c>
      <c r="G211">
        <v>1</v>
      </c>
      <c r="H211" t="s">
        <v>4683</v>
      </c>
      <c r="I211" t="str" cm="1">
        <f t="array" ref="I211">_xlfn.IFS(B211&lt;18.5, "Underweight", B211&lt;=24.9, "Normal Weight", B211&lt;=29.9, "Overweight", TRUE, "Obesity")</f>
        <v>Obesity</v>
      </c>
      <c r="J211" t="str" cm="1">
        <f t="array" ref="J211">_xlfn.IFS(C211&lt;5.7, "Normal", C211&lt;=6.4, "Prediabetes", TRUE, "Diabetes")</f>
        <v>Normal</v>
      </c>
    </row>
    <row r="212" spans="1:10">
      <c r="A212" t="s">
        <v>422</v>
      </c>
      <c r="B212">
        <v>35.6</v>
      </c>
      <c r="C212">
        <v>4.0199999999999996</v>
      </c>
      <c r="D212" t="s">
        <v>4683</v>
      </c>
      <c r="E212" t="s">
        <v>4683</v>
      </c>
      <c r="F212" t="s">
        <v>4682</v>
      </c>
      <c r="G212">
        <v>2</v>
      </c>
      <c r="H212" t="s">
        <v>4683</v>
      </c>
      <c r="I212" t="str" cm="1">
        <f t="array" ref="I212">_xlfn.IFS(B212&lt;18.5, "Underweight", B212&lt;=24.9, "Normal Weight", B212&lt;=29.9, "Overweight", TRUE, "Obesity")</f>
        <v>Obesity</v>
      </c>
      <c r="J212" t="str" cm="1">
        <f t="array" ref="J212">_xlfn.IFS(C212&lt;5.7, "Normal", C212&lt;=6.4, "Prediabetes", TRUE, "Diabetes")</f>
        <v>Normal</v>
      </c>
    </row>
    <row r="213" spans="1:10">
      <c r="A213" t="s">
        <v>424</v>
      </c>
      <c r="B213">
        <v>34.39</v>
      </c>
      <c r="C213">
        <v>8.7200000000000006</v>
      </c>
      <c r="D213" t="s">
        <v>4682</v>
      </c>
      <c r="E213" t="s">
        <v>4682</v>
      </c>
      <c r="F213" t="s">
        <v>4682</v>
      </c>
      <c r="G213">
        <v>0</v>
      </c>
      <c r="H213" t="s">
        <v>4683</v>
      </c>
      <c r="I213" t="str" cm="1">
        <f t="array" ref="I213">_xlfn.IFS(B213&lt;18.5, "Underweight", B213&lt;=24.9, "Normal Weight", B213&lt;=29.9, "Overweight", TRUE, "Obesity")</f>
        <v>Obesity</v>
      </c>
      <c r="J213" t="str" cm="1">
        <f t="array" ref="J213">_xlfn.IFS(C213&lt;5.7, "Normal", C213&lt;=6.4, "Prediabetes", TRUE, "Diabetes")</f>
        <v>Diabetes</v>
      </c>
    </row>
    <row r="214" spans="1:10">
      <c r="A214" t="s">
        <v>426</v>
      </c>
      <c r="B214">
        <v>29.06</v>
      </c>
      <c r="C214">
        <v>6.25</v>
      </c>
      <c r="D214" t="s">
        <v>4683</v>
      </c>
      <c r="E214" t="s">
        <v>4682</v>
      </c>
      <c r="F214" t="s">
        <v>4682</v>
      </c>
      <c r="G214">
        <v>1</v>
      </c>
      <c r="H214" t="s">
        <v>4683</v>
      </c>
      <c r="I214" t="str" cm="1">
        <f t="array" ref="I214">_xlfn.IFS(B214&lt;18.5, "Underweight", B214&lt;=24.9, "Normal Weight", B214&lt;=29.9, "Overweight", TRUE, "Obesity")</f>
        <v>Overweight</v>
      </c>
      <c r="J214" t="str" cm="1">
        <f t="array" ref="J214">_xlfn.IFS(C214&lt;5.7, "Normal", C214&lt;=6.4, "Prediabetes", TRUE, "Diabetes")</f>
        <v>Prediabetes</v>
      </c>
    </row>
    <row r="215" spans="1:10">
      <c r="A215" t="s">
        <v>428</v>
      </c>
      <c r="B215">
        <v>35.799999999999997</v>
      </c>
      <c r="C215">
        <v>7.32</v>
      </c>
      <c r="D215" t="s">
        <v>4682</v>
      </c>
      <c r="E215" t="s">
        <v>4682</v>
      </c>
      <c r="F215" t="s">
        <v>4682</v>
      </c>
      <c r="G215">
        <v>2</v>
      </c>
      <c r="H215" t="s">
        <v>4683</v>
      </c>
      <c r="I215" t="str" cm="1">
        <f t="array" ref="I215">_xlfn.IFS(B215&lt;18.5, "Underweight", B215&lt;=24.9, "Normal Weight", B215&lt;=29.9, "Overweight", TRUE, "Obesity")</f>
        <v>Obesity</v>
      </c>
      <c r="J215" t="str" cm="1">
        <f t="array" ref="J215">_xlfn.IFS(C215&lt;5.7, "Normal", C215&lt;=6.4, "Prediabetes", TRUE, "Diabetes")</f>
        <v>Diabetes</v>
      </c>
    </row>
    <row r="216" spans="1:10">
      <c r="A216" t="s">
        <v>430</v>
      </c>
      <c r="B216">
        <v>49.8</v>
      </c>
      <c r="C216">
        <v>4.24</v>
      </c>
      <c r="D216" t="s">
        <v>4682</v>
      </c>
      <c r="E216" t="s">
        <v>4682</v>
      </c>
      <c r="F216" t="s">
        <v>4682</v>
      </c>
      <c r="G216">
        <v>1</v>
      </c>
      <c r="H216" t="s">
        <v>4683</v>
      </c>
      <c r="I216" t="str" cm="1">
        <f t="array" ref="I216">_xlfn.IFS(B216&lt;18.5, "Underweight", B216&lt;=24.9, "Normal Weight", B216&lt;=29.9, "Overweight", TRUE, "Obesity")</f>
        <v>Obesity</v>
      </c>
      <c r="J216" t="str" cm="1">
        <f t="array" ref="J216">_xlfn.IFS(C216&lt;5.7, "Normal", C216&lt;=6.4, "Prediabetes", TRUE, "Diabetes")</f>
        <v>Normal</v>
      </c>
    </row>
    <row r="217" spans="1:10">
      <c r="A217" t="s">
        <v>432</v>
      </c>
      <c r="B217">
        <v>35.71</v>
      </c>
      <c r="C217">
        <v>6.84</v>
      </c>
      <c r="D217" t="s">
        <v>4682</v>
      </c>
      <c r="E217" t="s">
        <v>4682</v>
      </c>
      <c r="F217" t="s">
        <v>4682</v>
      </c>
      <c r="G217">
        <v>2</v>
      </c>
      <c r="H217" t="s">
        <v>4683</v>
      </c>
      <c r="I217" t="str" cm="1">
        <f t="array" ref="I217">_xlfn.IFS(B217&lt;18.5, "Underweight", B217&lt;=24.9, "Normal Weight", B217&lt;=29.9, "Overweight", TRUE, "Obesity")</f>
        <v>Obesity</v>
      </c>
      <c r="J217" t="str" cm="1">
        <f t="array" ref="J217">_xlfn.IFS(C217&lt;5.7, "Normal", C217&lt;=6.4, "Prediabetes", TRUE, "Diabetes")</f>
        <v>Diabetes</v>
      </c>
    </row>
    <row r="218" spans="1:10">
      <c r="A218" t="s">
        <v>434</v>
      </c>
      <c r="B218">
        <v>30.8</v>
      </c>
      <c r="C218">
        <v>5.23</v>
      </c>
      <c r="D218" t="s">
        <v>4683</v>
      </c>
      <c r="E218" t="s">
        <v>4682</v>
      </c>
      <c r="F218" t="s">
        <v>4682</v>
      </c>
      <c r="G218">
        <v>1</v>
      </c>
      <c r="H218" t="s">
        <v>4683</v>
      </c>
      <c r="I218" t="str" cm="1">
        <f t="array" ref="I218">_xlfn.IFS(B218&lt;18.5, "Underweight", B218&lt;=24.9, "Normal Weight", B218&lt;=29.9, "Overweight", TRUE, "Obesity")</f>
        <v>Obesity</v>
      </c>
      <c r="J218" t="str" cm="1">
        <f t="array" ref="J218">_xlfn.IFS(C218&lt;5.7, "Normal", C218&lt;=6.4, "Prediabetes", TRUE, "Diabetes")</f>
        <v>Normal</v>
      </c>
    </row>
    <row r="219" spans="1:10">
      <c r="A219" t="s">
        <v>436</v>
      </c>
      <c r="B219">
        <v>33.69</v>
      </c>
      <c r="C219">
        <v>9.68</v>
      </c>
      <c r="D219" t="s">
        <v>4682</v>
      </c>
      <c r="E219" t="s">
        <v>4682</v>
      </c>
      <c r="F219" t="s">
        <v>4682</v>
      </c>
      <c r="G219">
        <v>0</v>
      </c>
      <c r="H219" t="s">
        <v>4683</v>
      </c>
      <c r="I219" t="str" cm="1">
        <f t="array" ref="I219">_xlfn.IFS(B219&lt;18.5, "Underweight", B219&lt;=24.9, "Normal Weight", B219&lt;=29.9, "Overweight", TRUE, "Obesity")</f>
        <v>Obesity</v>
      </c>
      <c r="J219" t="str" cm="1">
        <f t="array" ref="J219">_xlfn.IFS(C219&lt;5.7, "Normal", C219&lt;=6.4, "Prediabetes", TRUE, "Diabetes")</f>
        <v>Diabetes</v>
      </c>
    </row>
    <row r="220" spans="1:10">
      <c r="A220" t="s">
        <v>438</v>
      </c>
      <c r="B220">
        <v>42.27</v>
      </c>
      <c r="C220">
        <v>6.05</v>
      </c>
      <c r="D220" t="s">
        <v>4683</v>
      </c>
      <c r="E220" t="s">
        <v>4682</v>
      </c>
      <c r="F220" t="s">
        <v>4682</v>
      </c>
      <c r="G220">
        <v>1</v>
      </c>
      <c r="H220" t="s">
        <v>4683</v>
      </c>
      <c r="I220" t="str" cm="1">
        <f t="array" ref="I220">_xlfn.IFS(B220&lt;18.5, "Underweight", B220&lt;=24.9, "Normal Weight", B220&lt;=29.9, "Overweight", TRUE, "Obesity")</f>
        <v>Obesity</v>
      </c>
      <c r="J220" t="str" cm="1">
        <f t="array" ref="J220">_xlfn.IFS(C220&lt;5.7, "Normal", C220&lt;=6.4, "Prediabetes", TRUE, "Diabetes")</f>
        <v>Prediabetes</v>
      </c>
    </row>
    <row r="221" spans="1:10">
      <c r="A221" t="s">
        <v>440</v>
      </c>
      <c r="B221">
        <v>53.25</v>
      </c>
      <c r="C221">
        <v>6.11</v>
      </c>
      <c r="D221" t="s">
        <v>4683</v>
      </c>
      <c r="E221" t="s">
        <v>4682</v>
      </c>
      <c r="F221" t="s">
        <v>4684</v>
      </c>
      <c r="G221">
        <v>1</v>
      </c>
      <c r="H221" t="s">
        <v>4683</v>
      </c>
      <c r="I221" t="str" cm="1">
        <f t="array" ref="I221">_xlfn.IFS(B221&lt;18.5, "Underweight", B221&lt;=24.9, "Normal Weight", B221&lt;=29.9, "Overweight", TRUE, "Obesity")</f>
        <v>Obesity</v>
      </c>
      <c r="J221" t="str" cm="1">
        <f t="array" ref="J221">_xlfn.IFS(C221&lt;5.7, "Normal", C221&lt;=6.4, "Prediabetes", TRUE, "Diabetes")</f>
        <v>Prediabetes</v>
      </c>
    </row>
    <row r="222" spans="1:10">
      <c r="A222" t="s">
        <v>442</v>
      </c>
      <c r="B222">
        <v>26.8</v>
      </c>
      <c r="C222">
        <v>10.93</v>
      </c>
      <c r="D222" t="s">
        <v>4683</v>
      </c>
      <c r="E222" t="s">
        <v>4682</v>
      </c>
      <c r="F222" t="s">
        <v>4682</v>
      </c>
      <c r="G222">
        <v>0</v>
      </c>
      <c r="H222" t="s">
        <v>4682</v>
      </c>
      <c r="I222" t="str" cm="1">
        <f t="array" ref="I222">_xlfn.IFS(B222&lt;18.5, "Underweight", B222&lt;=24.9, "Normal Weight", B222&lt;=29.9, "Overweight", TRUE, "Obesity")</f>
        <v>Overweight</v>
      </c>
      <c r="J222" t="str" cm="1">
        <f t="array" ref="J222">_xlfn.IFS(C222&lt;5.7, "Normal", C222&lt;=6.4, "Prediabetes", TRUE, "Diabetes")</f>
        <v>Diabetes</v>
      </c>
    </row>
    <row r="223" spans="1:10">
      <c r="A223" t="s">
        <v>444</v>
      </c>
      <c r="B223">
        <v>28.5</v>
      </c>
      <c r="C223">
        <v>5.12</v>
      </c>
      <c r="D223" t="s">
        <v>4682</v>
      </c>
      <c r="E223" t="s">
        <v>4682</v>
      </c>
      <c r="F223" t="s">
        <v>4682</v>
      </c>
      <c r="G223">
        <v>1</v>
      </c>
      <c r="H223" t="s">
        <v>4683</v>
      </c>
      <c r="I223" t="str" cm="1">
        <f t="array" ref="I223">_xlfn.IFS(B223&lt;18.5, "Underweight", B223&lt;=24.9, "Normal Weight", B223&lt;=29.9, "Overweight", TRUE, "Obesity")</f>
        <v>Overweight</v>
      </c>
      <c r="J223" t="str" cm="1">
        <f t="array" ref="J223">_xlfn.IFS(C223&lt;5.7, "Normal", C223&lt;=6.4, "Prediabetes", TRUE, "Diabetes")</f>
        <v>Normal</v>
      </c>
    </row>
    <row r="224" spans="1:10">
      <c r="A224" t="s">
        <v>446</v>
      </c>
      <c r="B224">
        <v>22.895</v>
      </c>
      <c r="C224">
        <v>5.72</v>
      </c>
      <c r="D224" t="s">
        <v>4682</v>
      </c>
      <c r="E224" t="s">
        <v>4682</v>
      </c>
      <c r="F224" t="s">
        <v>4682</v>
      </c>
      <c r="G224">
        <v>0</v>
      </c>
      <c r="H224" t="s">
        <v>4683</v>
      </c>
      <c r="I224" t="str" cm="1">
        <f t="array" ref="I224">_xlfn.IFS(B224&lt;18.5, "Underweight", B224&lt;=24.9, "Normal Weight", B224&lt;=29.9, "Overweight", TRUE, "Obesity")</f>
        <v>Normal Weight</v>
      </c>
      <c r="J224" t="str" cm="1">
        <f t="array" ref="J224">_xlfn.IFS(C224&lt;5.7, "Normal", C224&lt;=6.4, "Prediabetes", TRUE, "Diabetes")</f>
        <v>Prediabetes</v>
      </c>
    </row>
    <row r="225" spans="1:10">
      <c r="A225" t="s">
        <v>448</v>
      </c>
      <c r="B225">
        <v>34.06</v>
      </c>
      <c r="C225">
        <v>11.83</v>
      </c>
      <c r="D225" t="s">
        <v>4683</v>
      </c>
      <c r="E225" t="s">
        <v>4682</v>
      </c>
      <c r="F225" t="s">
        <v>4682</v>
      </c>
      <c r="G225">
        <v>1</v>
      </c>
      <c r="H225" t="s">
        <v>4683</v>
      </c>
      <c r="I225" t="str" cm="1">
        <f t="array" ref="I225">_xlfn.IFS(B225&lt;18.5, "Underweight", B225&lt;=24.9, "Normal Weight", B225&lt;=29.9, "Overweight", TRUE, "Obesity")</f>
        <v>Obesity</v>
      </c>
      <c r="J225" t="str" cm="1">
        <f t="array" ref="J225">_xlfn.IFS(C225&lt;5.7, "Normal", C225&lt;=6.4, "Prediabetes", TRUE, "Diabetes")</f>
        <v>Diabetes</v>
      </c>
    </row>
    <row r="226" spans="1:10">
      <c r="A226" t="s">
        <v>450</v>
      </c>
      <c r="B226">
        <v>36.409999999999997</v>
      </c>
      <c r="C226">
        <v>4.55</v>
      </c>
      <c r="D226" t="s">
        <v>4682</v>
      </c>
      <c r="E226" t="s">
        <v>4682</v>
      </c>
      <c r="F226" t="s">
        <v>4682</v>
      </c>
      <c r="G226">
        <v>0</v>
      </c>
      <c r="H226" t="s">
        <v>4683</v>
      </c>
      <c r="I226" t="str" cm="1">
        <f t="array" ref="I226">_xlfn.IFS(B226&lt;18.5, "Underweight", B226&lt;=24.9, "Normal Weight", B226&lt;=29.9, "Overweight", TRUE, "Obesity")</f>
        <v>Obesity</v>
      </c>
      <c r="J226" t="str" cm="1">
        <f t="array" ref="J226">_xlfn.IFS(C226&lt;5.7, "Normal", C226&lt;=6.4, "Prediabetes", TRUE, "Diabetes")</f>
        <v>Normal</v>
      </c>
    </row>
    <row r="227" spans="1:10">
      <c r="A227" t="s">
        <v>452</v>
      </c>
      <c r="B227">
        <v>52.3</v>
      </c>
      <c r="C227">
        <v>4.87</v>
      </c>
      <c r="D227" t="s">
        <v>4683</v>
      </c>
      <c r="E227" t="s">
        <v>4682</v>
      </c>
      <c r="F227" t="s">
        <v>4684</v>
      </c>
      <c r="G227">
        <v>1</v>
      </c>
      <c r="H227" t="s">
        <v>4683</v>
      </c>
      <c r="I227" t="str" cm="1">
        <f t="array" ref="I227">_xlfn.IFS(B227&lt;18.5, "Underweight", B227&lt;=24.9, "Normal Weight", B227&lt;=29.9, "Overweight", TRUE, "Obesity")</f>
        <v>Obesity</v>
      </c>
      <c r="J227" t="str" cm="1">
        <f t="array" ref="J227">_xlfn.IFS(C227&lt;5.7, "Normal", C227&lt;=6.4, "Prediabetes", TRUE, "Diabetes")</f>
        <v>Normal</v>
      </c>
    </row>
    <row r="228" spans="1:10">
      <c r="A228" t="s">
        <v>454</v>
      </c>
      <c r="B228">
        <v>52.66</v>
      </c>
      <c r="C228">
        <v>4.45</v>
      </c>
      <c r="D228" t="s">
        <v>4682</v>
      </c>
      <c r="E228" t="s">
        <v>4682</v>
      </c>
      <c r="F228" t="s">
        <v>4682</v>
      </c>
      <c r="G228">
        <v>1</v>
      </c>
      <c r="H228" t="s">
        <v>4683</v>
      </c>
      <c r="I228" t="str" cm="1">
        <f t="array" ref="I228">_xlfn.IFS(B228&lt;18.5, "Underweight", B228&lt;=24.9, "Normal Weight", B228&lt;=29.9, "Overweight", TRUE, "Obesity")</f>
        <v>Obesity</v>
      </c>
      <c r="J228" t="str" cm="1">
        <f t="array" ref="J228">_xlfn.IFS(C228&lt;5.7, "Normal", C228&lt;=6.4, "Prediabetes", TRUE, "Diabetes")</f>
        <v>Normal</v>
      </c>
    </row>
    <row r="229" spans="1:10">
      <c r="A229" t="s">
        <v>456</v>
      </c>
      <c r="B229">
        <v>29.57</v>
      </c>
      <c r="C229">
        <v>9.42</v>
      </c>
      <c r="D229" t="s">
        <v>4683</v>
      </c>
      <c r="E229" t="s">
        <v>4682</v>
      </c>
      <c r="F229" t="s">
        <v>4682</v>
      </c>
      <c r="G229">
        <v>0</v>
      </c>
      <c r="H229" t="s">
        <v>4683</v>
      </c>
      <c r="I229" t="str" cm="1">
        <f t="array" ref="I229">_xlfn.IFS(B229&lt;18.5, "Underweight", B229&lt;=24.9, "Normal Weight", B229&lt;=29.9, "Overweight", TRUE, "Obesity")</f>
        <v>Overweight</v>
      </c>
      <c r="J229" t="str" cm="1">
        <f t="array" ref="J229">_xlfn.IFS(C229&lt;5.7, "Normal", C229&lt;=6.4, "Prediabetes", TRUE, "Diabetes")</f>
        <v>Diabetes</v>
      </c>
    </row>
    <row r="230" spans="1:10">
      <c r="A230" t="s">
        <v>458</v>
      </c>
      <c r="B230">
        <v>36.99</v>
      </c>
      <c r="C230">
        <v>5.37</v>
      </c>
      <c r="D230" t="s">
        <v>4683</v>
      </c>
      <c r="E230" t="s">
        <v>4682</v>
      </c>
      <c r="F230" t="s">
        <v>4684</v>
      </c>
      <c r="G230">
        <v>1</v>
      </c>
      <c r="H230" t="s">
        <v>4683</v>
      </c>
      <c r="I230" t="str" cm="1">
        <f t="array" ref="I230">_xlfn.IFS(B230&lt;18.5, "Underweight", B230&lt;=24.9, "Normal Weight", B230&lt;=29.9, "Overweight", TRUE, "Obesity")</f>
        <v>Obesity</v>
      </c>
      <c r="J230" t="str" cm="1">
        <f t="array" ref="J230">_xlfn.IFS(C230&lt;5.7, "Normal", C230&lt;=6.4, "Prediabetes", TRUE, "Diabetes")</f>
        <v>Normal</v>
      </c>
    </row>
    <row r="231" spans="1:10">
      <c r="A231" t="s">
        <v>460</v>
      </c>
      <c r="B231">
        <v>31.4</v>
      </c>
      <c r="C231">
        <v>4.5999999999999996</v>
      </c>
      <c r="D231" t="s">
        <v>4683</v>
      </c>
      <c r="E231" t="s">
        <v>4682</v>
      </c>
      <c r="F231" t="s">
        <v>4682</v>
      </c>
      <c r="G231">
        <v>1</v>
      </c>
      <c r="H231" t="s">
        <v>4683</v>
      </c>
      <c r="I231" t="str" cm="1">
        <f t="array" ref="I231">_xlfn.IFS(B231&lt;18.5, "Underweight", B231&lt;=24.9, "Normal Weight", B231&lt;=29.9, "Overweight", TRUE, "Obesity")</f>
        <v>Obesity</v>
      </c>
      <c r="J231" t="str" cm="1">
        <f t="array" ref="J231">_xlfn.IFS(C231&lt;5.7, "Normal", C231&lt;=6.4, "Prediabetes", TRUE, "Diabetes")</f>
        <v>Normal</v>
      </c>
    </row>
    <row r="232" spans="1:10">
      <c r="A232" t="s">
        <v>462</v>
      </c>
      <c r="B232">
        <v>34.9</v>
      </c>
      <c r="C232">
        <v>6.22</v>
      </c>
      <c r="D232" t="s">
        <v>4682</v>
      </c>
      <c r="E232" t="s">
        <v>4682</v>
      </c>
      <c r="F232" t="s">
        <v>4684</v>
      </c>
      <c r="G232">
        <v>1</v>
      </c>
      <c r="H232" t="s">
        <v>4683</v>
      </c>
      <c r="I232" t="str" cm="1">
        <f t="array" ref="I232">_xlfn.IFS(B232&lt;18.5, "Underweight", B232&lt;=24.9, "Normal Weight", B232&lt;=29.9, "Overweight", TRUE, "Obesity")</f>
        <v>Obesity</v>
      </c>
      <c r="J232" t="str" cm="1">
        <f t="array" ref="J232">_xlfn.IFS(C232&lt;5.7, "Normal", C232&lt;=6.4, "Prediabetes", TRUE, "Diabetes")</f>
        <v>Prediabetes</v>
      </c>
    </row>
    <row r="233" spans="1:10">
      <c r="A233" t="s">
        <v>464</v>
      </c>
      <c r="B233">
        <v>31.13</v>
      </c>
      <c r="C233">
        <v>4.5199999999999996</v>
      </c>
      <c r="D233" t="s">
        <v>4683</v>
      </c>
      <c r="E233" t="s">
        <v>4682</v>
      </c>
      <c r="F233" t="s">
        <v>4682</v>
      </c>
      <c r="G233">
        <v>1</v>
      </c>
      <c r="H233" t="s">
        <v>4683</v>
      </c>
      <c r="I233" t="str" cm="1">
        <f t="array" ref="I233">_xlfn.IFS(B233&lt;18.5, "Underweight", B233&lt;=24.9, "Normal Weight", B233&lt;=29.9, "Overweight", TRUE, "Obesity")</f>
        <v>Obesity</v>
      </c>
      <c r="J233" t="str" cm="1">
        <f t="array" ref="J233">_xlfn.IFS(C233&lt;5.7, "Normal", C233&lt;=6.4, "Prediabetes", TRUE, "Diabetes")</f>
        <v>Normal</v>
      </c>
    </row>
    <row r="234" spans="1:10">
      <c r="A234" t="s">
        <v>466</v>
      </c>
      <c r="B234">
        <v>34.799999999999997</v>
      </c>
      <c r="C234">
        <v>6.18</v>
      </c>
      <c r="D234" t="s">
        <v>4682</v>
      </c>
      <c r="E234" t="s">
        <v>4682</v>
      </c>
      <c r="F234" t="s">
        <v>4684</v>
      </c>
      <c r="G234">
        <v>1</v>
      </c>
      <c r="H234" t="s">
        <v>4683</v>
      </c>
      <c r="I234" t="str" cm="1">
        <f t="array" ref="I234">_xlfn.IFS(B234&lt;18.5, "Underweight", B234&lt;=24.9, "Normal Weight", B234&lt;=29.9, "Overweight", TRUE, "Obesity")</f>
        <v>Obesity</v>
      </c>
      <c r="J234" t="str" cm="1">
        <f t="array" ref="J234">_xlfn.IFS(C234&lt;5.7, "Normal", C234&lt;=6.4, "Prediabetes", TRUE, "Diabetes")</f>
        <v>Prediabetes</v>
      </c>
    </row>
    <row r="235" spans="1:10">
      <c r="A235" t="s">
        <v>468</v>
      </c>
      <c r="B235">
        <v>31.68</v>
      </c>
      <c r="C235">
        <v>4.4000000000000004</v>
      </c>
      <c r="D235" t="s">
        <v>4682</v>
      </c>
      <c r="E235" t="s">
        <v>4682</v>
      </c>
      <c r="F235" t="s">
        <v>4682</v>
      </c>
      <c r="G235">
        <v>0</v>
      </c>
      <c r="H235" t="s">
        <v>4683</v>
      </c>
      <c r="I235" t="str" cm="1">
        <f t="array" ref="I235">_xlfn.IFS(B235&lt;18.5, "Underweight", B235&lt;=24.9, "Normal Weight", B235&lt;=29.9, "Overweight", TRUE, "Obesity")</f>
        <v>Obesity</v>
      </c>
      <c r="J235" t="str" cm="1">
        <f t="array" ref="J235">_xlfn.IFS(C235&lt;5.7, "Normal", C235&lt;=6.4, "Prediabetes", TRUE, "Diabetes")</f>
        <v>Normal</v>
      </c>
    </row>
    <row r="236" spans="1:10">
      <c r="A236" t="s">
        <v>470</v>
      </c>
      <c r="B236">
        <v>33.534999999999997</v>
      </c>
      <c r="C236">
        <v>6.23</v>
      </c>
      <c r="D236" t="s">
        <v>4682</v>
      </c>
      <c r="E236" t="s">
        <v>4683</v>
      </c>
      <c r="F236" t="s">
        <v>4682</v>
      </c>
      <c r="G236">
        <v>1</v>
      </c>
      <c r="H236" t="s">
        <v>4683</v>
      </c>
      <c r="I236" t="str" cm="1">
        <f t="array" ref="I236">_xlfn.IFS(B236&lt;18.5, "Underweight", B236&lt;=24.9, "Normal Weight", B236&lt;=29.9, "Overweight", TRUE, "Obesity")</f>
        <v>Obesity</v>
      </c>
      <c r="J236" t="str" cm="1">
        <f t="array" ref="J236">_xlfn.IFS(C236&lt;5.7, "Normal", C236&lt;=6.4, "Prediabetes", TRUE, "Diabetes")</f>
        <v>Prediabetes</v>
      </c>
    </row>
    <row r="237" spans="1:10">
      <c r="A237" t="s">
        <v>472</v>
      </c>
      <c r="B237">
        <v>31.92</v>
      </c>
      <c r="C237">
        <v>5.33</v>
      </c>
      <c r="D237" t="s">
        <v>4683</v>
      </c>
      <c r="E237" t="s">
        <v>4682</v>
      </c>
      <c r="F237" t="s">
        <v>4682</v>
      </c>
      <c r="G237">
        <v>0</v>
      </c>
      <c r="H237" t="s">
        <v>4683</v>
      </c>
      <c r="I237" t="str" cm="1">
        <f t="array" ref="I237">_xlfn.IFS(B237&lt;18.5, "Underweight", B237&lt;=24.9, "Normal Weight", B237&lt;=29.9, "Overweight", TRUE, "Obesity")</f>
        <v>Obesity</v>
      </c>
      <c r="J237" t="str" cm="1">
        <f t="array" ref="J237">_xlfn.IFS(C237&lt;5.7, "Normal", C237&lt;=6.4, "Prediabetes", TRUE, "Diabetes")</f>
        <v>Normal</v>
      </c>
    </row>
    <row r="238" spans="1:10">
      <c r="A238" t="s">
        <v>474</v>
      </c>
      <c r="B238">
        <v>32.700000000000003</v>
      </c>
      <c r="C238">
        <v>4.09</v>
      </c>
      <c r="D238" t="s">
        <v>4682</v>
      </c>
      <c r="E238" t="s">
        <v>4682</v>
      </c>
      <c r="F238" t="s">
        <v>4682</v>
      </c>
      <c r="G238">
        <v>1</v>
      </c>
      <c r="H238" t="s">
        <v>4683</v>
      </c>
      <c r="I238" t="str" cm="1">
        <f t="array" ref="I238">_xlfn.IFS(B238&lt;18.5, "Underweight", B238&lt;=24.9, "Normal Weight", B238&lt;=29.9, "Overweight", TRUE, "Obesity")</f>
        <v>Obesity</v>
      </c>
      <c r="J238" t="str" cm="1">
        <f t="array" ref="J238">_xlfn.IFS(C238&lt;5.7, "Normal", C238&lt;=6.4, "Prediabetes", TRUE, "Diabetes")</f>
        <v>Normal</v>
      </c>
    </row>
    <row r="239" spans="1:10">
      <c r="A239" t="s">
        <v>476</v>
      </c>
      <c r="B239">
        <v>41.25</v>
      </c>
      <c r="C239">
        <v>5.19</v>
      </c>
      <c r="D239" t="s">
        <v>4682</v>
      </c>
      <c r="E239" t="s">
        <v>4682</v>
      </c>
      <c r="F239" t="s">
        <v>4682</v>
      </c>
      <c r="G239">
        <v>0</v>
      </c>
      <c r="H239" t="s">
        <v>4683</v>
      </c>
      <c r="I239" t="str" cm="1">
        <f t="array" ref="I239">_xlfn.IFS(B239&lt;18.5, "Underweight", B239&lt;=24.9, "Normal Weight", B239&lt;=29.9, "Overweight", TRUE, "Obesity")</f>
        <v>Obesity</v>
      </c>
      <c r="J239" t="str" cm="1">
        <f t="array" ref="J239">_xlfn.IFS(C239&lt;5.7, "Normal", C239&lt;=6.4, "Prediabetes", TRUE, "Diabetes")</f>
        <v>Normal</v>
      </c>
    </row>
    <row r="240" spans="1:10">
      <c r="A240" t="s">
        <v>478</v>
      </c>
      <c r="B240">
        <v>33.11</v>
      </c>
      <c r="C240">
        <v>4.12</v>
      </c>
      <c r="D240" t="s">
        <v>4682</v>
      </c>
      <c r="E240" t="s">
        <v>4682</v>
      </c>
      <c r="F240" t="s">
        <v>4684</v>
      </c>
      <c r="G240">
        <v>1</v>
      </c>
      <c r="H240" t="s">
        <v>4683</v>
      </c>
      <c r="I240" t="str" cm="1">
        <f t="array" ref="I240">_xlfn.IFS(B240&lt;18.5, "Underweight", B240&lt;=24.9, "Normal Weight", B240&lt;=29.9, "Overweight", TRUE, "Obesity")</f>
        <v>Obesity</v>
      </c>
      <c r="J240" t="str" cm="1">
        <f t="array" ref="J240">_xlfn.IFS(C240&lt;5.7, "Normal", C240&lt;=6.4, "Prediabetes", TRUE, "Diabetes")</f>
        <v>Normal</v>
      </c>
    </row>
    <row r="241" spans="1:10">
      <c r="A241" t="s">
        <v>480</v>
      </c>
      <c r="B241">
        <v>36.159999999999997</v>
      </c>
      <c r="C241">
        <v>5.0999999999999996</v>
      </c>
      <c r="D241" t="s">
        <v>4682</v>
      </c>
      <c r="E241" t="s">
        <v>4682</v>
      </c>
      <c r="F241" t="s">
        <v>4682</v>
      </c>
      <c r="G241">
        <v>1</v>
      </c>
      <c r="H241" t="s">
        <v>4683</v>
      </c>
      <c r="I241" t="str" cm="1">
        <f t="array" ref="I241">_xlfn.IFS(B241&lt;18.5, "Underweight", B241&lt;=24.9, "Normal Weight", B241&lt;=29.9, "Overweight", TRUE, "Obesity")</f>
        <v>Obesity</v>
      </c>
      <c r="J241" t="str" cm="1">
        <f t="array" ref="J241">_xlfn.IFS(C241&lt;5.7, "Normal", C241&lt;=6.4, "Prediabetes", TRUE, "Diabetes")</f>
        <v>Normal</v>
      </c>
    </row>
    <row r="242" spans="1:10">
      <c r="A242" t="s">
        <v>482</v>
      </c>
      <c r="B242">
        <v>33.72</v>
      </c>
      <c r="C242">
        <v>6.21</v>
      </c>
      <c r="D242" t="s">
        <v>4683</v>
      </c>
      <c r="E242" t="s">
        <v>4682</v>
      </c>
      <c r="F242" t="s">
        <v>4684</v>
      </c>
      <c r="G242">
        <v>1</v>
      </c>
      <c r="H242" t="s">
        <v>4683</v>
      </c>
      <c r="I242" t="str" cm="1">
        <f t="array" ref="I242">_xlfn.IFS(B242&lt;18.5, "Underweight", B242&lt;=24.9, "Normal Weight", B242&lt;=29.9, "Overweight", TRUE, "Obesity")</f>
        <v>Obesity</v>
      </c>
      <c r="J242" t="str" cm="1">
        <f t="array" ref="J242">_xlfn.IFS(C242&lt;5.7, "Normal", C242&lt;=6.4, "Prediabetes", TRUE, "Diabetes")</f>
        <v>Prediabetes</v>
      </c>
    </row>
    <row r="243" spans="1:10">
      <c r="A243" t="s">
        <v>484</v>
      </c>
      <c r="B243">
        <v>37.74</v>
      </c>
      <c r="C243">
        <v>9.5299999999999994</v>
      </c>
      <c r="D243" t="s">
        <v>4683</v>
      </c>
      <c r="E243" t="s">
        <v>4682</v>
      </c>
      <c r="F243" t="s">
        <v>4682</v>
      </c>
      <c r="G243">
        <v>1</v>
      </c>
      <c r="H243" t="s">
        <v>4683</v>
      </c>
      <c r="I243" t="str" cm="1">
        <f t="array" ref="I243">_xlfn.IFS(B243&lt;18.5, "Underweight", B243&lt;=24.9, "Normal Weight", B243&lt;=29.9, "Overweight", TRUE, "Obesity")</f>
        <v>Obesity</v>
      </c>
      <c r="J243" t="str" cm="1">
        <f t="array" ref="J243">_xlfn.IFS(C243&lt;5.7, "Normal", C243&lt;=6.4, "Prediabetes", TRUE, "Diabetes")</f>
        <v>Diabetes</v>
      </c>
    </row>
    <row r="244" spans="1:10">
      <c r="A244" t="s">
        <v>486</v>
      </c>
      <c r="B244">
        <v>48.75</v>
      </c>
      <c r="C244">
        <v>4.6399999999999997</v>
      </c>
      <c r="D244" t="s">
        <v>4683</v>
      </c>
      <c r="E244" t="s">
        <v>4682</v>
      </c>
      <c r="F244" t="s">
        <v>4682</v>
      </c>
      <c r="G244">
        <v>1</v>
      </c>
      <c r="H244" t="s">
        <v>4683</v>
      </c>
      <c r="I244" t="str" cm="1">
        <f t="array" ref="I244">_xlfn.IFS(B244&lt;18.5, "Underweight", B244&lt;=24.9, "Normal Weight", B244&lt;=29.9, "Overweight", TRUE, "Obesity")</f>
        <v>Obesity</v>
      </c>
      <c r="J244" t="str" cm="1">
        <f t="array" ref="J244">_xlfn.IFS(C244&lt;5.7, "Normal", C244&lt;=6.4, "Prediabetes", TRUE, "Diabetes")</f>
        <v>Normal</v>
      </c>
    </row>
    <row r="245" spans="1:10">
      <c r="A245" t="s">
        <v>488</v>
      </c>
      <c r="B245">
        <v>31.065000000000001</v>
      </c>
      <c r="C245">
        <v>5.05</v>
      </c>
      <c r="D245" t="s">
        <v>4682</v>
      </c>
      <c r="E245" t="s">
        <v>4682</v>
      </c>
      <c r="F245" t="s">
        <v>4682</v>
      </c>
      <c r="G245">
        <v>1</v>
      </c>
      <c r="H245" t="s">
        <v>4683</v>
      </c>
      <c r="I245" t="str" cm="1">
        <f t="array" ref="I245">_xlfn.IFS(B245&lt;18.5, "Underweight", B245&lt;=24.9, "Normal Weight", B245&lt;=29.9, "Overweight", TRUE, "Obesity")</f>
        <v>Obesity</v>
      </c>
      <c r="J245" t="str" cm="1">
        <f t="array" ref="J245">_xlfn.IFS(C245&lt;5.7, "Normal", C245&lt;=6.4, "Prediabetes", TRUE, "Diabetes")</f>
        <v>Normal</v>
      </c>
    </row>
    <row r="246" spans="1:10">
      <c r="A246" t="s">
        <v>490</v>
      </c>
      <c r="B246">
        <v>23.55</v>
      </c>
      <c r="C246">
        <v>10.38</v>
      </c>
      <c r="D246" t="s">
        <v>4682</v>
      </c>
      <c r="E246" t="s">
        <v>4682</v>
      </c>
      <c r="F246" t="s">
        <v>4682</v>
      </c>
      <c r="G246">
        <v>0</v>
      </c>
      <c r="H246" t="s">
        <v>4683</v>
      </c>
      <c r="I246" t="str" cm="1">
        <f t="array" ref="I246">_xlfn.IFS(B246&lt;18.5, "Underweight", B246&lt;=24.9, "Normal Weight", B246&lt;=29.9, "Overweight", TRUE, "Obesity")</f>
        <v>Normal Weight</v>
      </c>
      <c r="J246" t="str" cm="1">
        <f t="array" ref="J246">_xlfn.IFS(C246&lt;5.7, "Normal", C246&lt;=6.4, "Prediabetes", TRUE, "Diabetes")</f>
        <v>Diabetes</v>
      </c>
    </row>
    <row r="247" spans="1:10">
      <c r="A247" t="s">
        <v>492</v>
      </c>
      <c r="B247">
        <v>30.18</v>
      </c>
      <c r="C247">
        <v>8.31</v>
      </c>
      <c r="D247" t="s">
        <v>4683</v>
      </c>
      <c r="E247" t="s">
        <v>4682</v>
      </c>
      <c r="F247" t="s">
        <v>4682</v>
      </c>
      <c r="G247">
        <v>1</v>
      </c>
      <c r="H247" t="s">
        <v>4683</v>
      </c>
      <c r="I247" t="str" cm="1">
        <f t="array" ref="I247">_xlfn.IFS(B247&lt;18.5, "Underweight", B247&lt;=24.9, "Normal Weight", B247&lt;=29.9, "Overweight", TRUE, "Obesity")</f>
        <v>Obesity</v>
      </c>
      <c r="J247" t="str" cm="1">
        <f t="array" ref="J247">_xlfn.IFS(C247&lt;5.7, "Normal", C247&lt;=6.4, "Prediabetes", TRUE, "Diabetes")</f>
        <v>Diabetes</v>
      </c>
    </row>
    <row r="248" spans="1:10">
      <c r="A248" t="s">
        <v>494</v>
      </c>
      <c r="B248">
        <v>29.94</v>
      </c>
      <c r="C248">
        <v>7.59</v>
      </c>
      <c r="D248" t="s">
        <v>4682</v>
      </c>
      <c r="E248" t="s">
        <v>4682</v>
      </c>
      <c r="F248" t="s">
        <v>4682</v>
      </c>
      <c r="G248">
        <v>0</v>
      </c>
      <c r="H248" t="s">
        <v>4683</v>
      </c>
      <c r="I248" t="str" cm="1">
        <f t="array" ref="I248">_xlfn.IFS(B248&lt;18.5, "Underweight", B248&lt;=24.9, "Normal Weight", B248&lt;=29.9, "Overweight", TRUE, "Obesity")</f>
        <v>Obesity</v>
      </c>
      <c r="J248" t="str" cm="1">
        <f t="array" ref="J248">_xlfn.IFS(C248&lt;5.7, "Normal", C248&lt;=6.4, "Prediabetes", TRUE, "Diabetes")</f>
        <v>Diabetes</v>
      </c>
    </row>
    <row r="249" spans="1:10">
      <c r="A249" t="s">
        <v>496</v>
      </c>
      <c r="B249">
        <v>31.4</v>
      </c>
      <c r="C249">
        <v>5.49</v>
      </c>
      <c r="D249" t="s">
        <v>4682</v>
      </c>
      <c r="E249" t="s">
        <v>4682</v>
      </c>
      <c r="F249" t="s">
        <v>4682</v>
      </c>
      <c r="G249">
        <v>0</v>
      </c>
      <c r="H249" t="s">
        <v>4683</v>
      </c>
      <c r="I249" t="str" cm="1">
        <f t="array" ref="I249">_xlfn.IFS(B249&lt;18.5, "Underweight", B249&lt;=24.9, "Normal Weight", B249&lt;=29.9, "Overweight", TRUE, "Obesity")</f>
        <v>Obesity</v>
      </c>
      <c r="J249" t="str" cm="1">
        <f t="array" ref="J249">_xlfn.IFS(C249&lt;5.7, "Normal", C249&lt;=6.4, "Prediabetes", TRUE, "Diabetes")</f>
        <v>Normal</v>
      </c>
    </row>
    <row r="250" spans="1:10">
      <c r="A250" t="s">
        <v>498</v>
      </c>
      <c r="B250">
        <v>53.06</v>
      </c>
      <c r="C250">
        <v>11.68</v>
      </c>
      <c r="D250" t="s">
        <v>4682</v>
      </c>
      <c r="E250" t="s">
        <v>4682</v>
      </c>
      <c r="F250" t="s">
        <v>4682</v>
      </c>
      <c r="G250">
        <v>0</v>
      </c>
      <c r="H250" t="s">
        <v>4683</v>
      </c>
      <c r="I250" t="str" cm="1">
        <f t="array" ref="I250">_xlfn.IFS(B250&lt;18.5, "Underweight", B250&lt;=24.9, "Normal Weight", B250&lt;=29.9, "Overweight", TRUE, "Obesity")</f>
        <v>Obesity</v>
      </c>
      <c r="J250" t="str" cm="1">
        <f t="array" ref="J250">_xlfn.IFS(C250&lt;5.7, "Normal", C250&lt;=6.4, "Prediabetes", TRUE, "Diabetes")</f>
        <v>Diabetes</v>
      </c>
    </row>
    <row r="251" spans="1:10">
      <c r="A251" t="s">
        <v>500</v>
      </c>
      <c r="B251">
        <v>30.25</v>
      </c>
      <c r="C251">
        <v>4.1900000000000004</v>
      </c>
      <c r="D251" t="s">
        <v>4682</v>
      </c>
      <c r="E251" t="s">
        <v>4682</v>
      </c>
      <c r="F251" t="s">
        <v>4682</v>
      </c>
      <c r="G251">
        <v>2</v>
      </c>
      <c r="H251" t="s">
        <v>4683</v>
      </c>
      <c r="I251" t="str" cm="1">
        <f t="array" ref="I251">_xlfn.IFS(B251&lt;18.5, "Underweight", B251&lt;=24.9, "Normal Weight", B251&lt;=29.9, "Overweight", TRUE, "Obesity")</f>
        <v>Obesity</v>
      </c>
      <c r="J251" t="str" cm="1">
        <f t="array" ref="J251">_xlfn.IFS(C251&lt;5.7, "Normal", C251&lt;=6.4, "Prediabetes", TRUE, "Diabetes")</f>
        <v>Normal</v>
      </c>
    </row>
    <row r="252" spans="1:10">
      <c r="A252" t="s">
        <v>502</v>
      </c>
      <c r="B252">
        <v>46.68</v>
      </c>
      <c r="C252">
        <v>4.01</v>
      </c>
      <c r="D252" t="s">
        <v>4682</v>
      </c>
      <c r="E252" t="s">
        <v>4682</v>
      </c>
      <c r="F252" t="s">
        <v>4682</v>
      </c>
      <c r="G252">
        <v>0</v>
      </c>
      <c r="H252" t="s">
        <v>4683</v>
      </c>
      <c r="I252" t="str" cm="1">
        <f t="array" ref="I252">_xlfn.IFS(B252&lt;18.5, "Underweight", B252&lt;=24.9, "Normal Weight", B252&lt;=29.9, "Overweight", TRUE, "Obesity")</f>
        <v>Obesity</v>
      </c>
      <c r="J252" t="str" cm="1">
        <f t="array" ref="J252">_xlfn.IFS(C252&lt;5.7, "Normal", C252&lt;=6.4, "Prediabetes", TRUE, "Diabetes")</f>
        <v>Normal</v>
      </c>
    </row>
    <row r="253" spans="1:10">
      <c r="A253" t="s">
        <v>504</v>
      </c>
      <c r="B253">
        <v>30.4</v>
      </c>
      <c r="C253">
        <v>5.91</v>
      </c>
      <c r="D253" t="s">
        <v>4682</v>
      </c>
      <c r="E253" t="s">
        <v>4683</v>
      </c>
      <c r="F253" t="s">
        <v>4682</v>
      </c>
      <c r="G253">
        <v>2</v>
      </c>
      <c r="H253" t="s">
        <v>4683</v>
      </c>
      <c r="I253" t="str" cm="1">
        <f t="array" ref="I253">_xlfn.IFS(B253&lt;18.5, "Underweight", B253&lt;=24.9, "Normal Weight", B253&lt;=29.9, "Overweight", TRUE, "Obesity")</f>
        <v>Obesity</v>
      </c>
      <c r="J253" t="str" cm="1">
        <f t="array" ref="J253">_xlfn.IFS(C253&lt;5.7, "Normal", C253&lt;=6.4, "Prediabetes", TRUE, "Diabetes")</f>
        <v>Prediabetes</v>
      </c>
    </row>
    <row r="254" spans="1:10">
      <c r="A254" t="s">
        <v>506</v>
      </c>
      <c r="B254">
        <v>30.2</v>
      </c>
      <c r="C254">
        <v>4.47</v>
      </c>
      <c r="D254" t="s">
        <v>4683</v>
      </c>
      <c r="E254" t="s">
        <v>4682</v>
      </c>
      <c r="F254" t="s">
        <v>4684</v>
      </c>
      <c r="G254">
        <v>1</v>
      </c>
      <c r="H254" t="s">
        <v>4683</v>
      </c>
      <c r="I254" t="str" cm="1">
        <f t="array" ref="I254">_xlfn.IFS(B254&lt;18.5, "Underweight", B254&lt;=24.9, "Normal Weight", B254&lt;=29.9, "Overweight", TRUE, "Obesity")</f>
        <v>Obesity</v>
      </c>
      <c r="J254" t="str" cm="1">
        <f t="array" ref="J254">_xlfn.IFS(C254&lt;5.7, "Normal", C254&lt;=6.4, "Prediabetes", TRUE, "Diabetes")</f>
        <v>Normal</v>
      </c>
    </row>
    <row r="255" spans="1:10">
      <c r="A255" t="s">
        <v>508</v>
      </c>
      <c r="B255">
        <v>51.18</v>
      </c>
      <c r="C255">
        <v>4.5599999999999996</v>
      </c>
      <c r="D255" t="s">
        <v>4683</v>
      </c>
      <c r="E255" t="s">
        <v>4683</v>
      </c>
      <c r="F255" t="s">
        <v>4682</v>
      </c>
      <c r="G255">
        <v>2</v>
      </c>
      <c r="H255" t="s">
        <v>4683</v>
      </c>
      <c r="I255" t="str" cm="1">
        <f t="array" ref="I255">_xlfn.IFS(B255&lt;18.5, "Underweight", B255&lt;=24.9, "Normal Weight", B255&lt;=29.9, "Overweight", TRUE, "Obesity")</f>
        <v>Obesity</v>
      </c>
      <c r="J255" t="str" cm="1">
        <f t="array" ref="J255">_xlfn.IFS(C255&lt;5.7, "Normal", C255&lt;=6.4, "Prediabetes", TRUE, "Diabetes")</f>
        <v>Normal</v>
      </c>
    </row>
    <row r="256" spans="1:10">
      <c r="A256" t="s">
        <v>510</v>
      </c>
      <c r="B256">
        <v>22.18</v>
      </c>
      <c r="C256">
        <v>9.9</v>
      </c>
      <c r="D256" t="s">
        <v>4682</v>
      </c>
      <c r="E256" t="s">
        <v>4682</v>
      </c>
      <c r="F256" t="s">
        <v>4682</v>
      </c>
      <c r="G256">
        <v>0</v>
      </c>
      <c r="H256" t="s">
        <v>4683</v>
      </c>
      <c r="I256" t="str" cm="1">
        <f t="array" ref="I256">_xlfn.IFS(B256&lt;18.5, "Underweight", B256&lt;=24.9, "Normal Weight", B256&lt;=29.9, "Overweight", TRUE, "Obesity")</f>
        <v>Normal Weight</v>
      </c>
      <c r="J256" t="str" cm="1">
        <f t="array" ref="J256">_xlfn.IFS(C256&lt;5.7, "Normal", C256&lt;=6.4, "Prediabetes", TRUE, "Diabetes")</f>
        <v>Diabetes</v>
      </c>
    </row>
    <row r="257" spans="1:10">
      <c r="A257" t="s">
        <v>512</v>
      </c>
      <c r="B257">
        <v>31.92</v>
      </c>
      <c r="C257">
        <v>5.1100000000000003</v>
      </c>
      <c r="D257" t="s">
        <v>4682</v>
      </c>
      <c r="E257" t="s">
        <v>4682</v>
      </c>
      <c r="F257" t="s">
        <v>4684</v>
      </c>
      <c r="G257">
        <v>1</v>
      </c>
      <c r="H257" t="s">
        <v>4683</v>
      </c>
      <c r="I257" t="str" cm="1">
        <f t="array" ref="I257">_xlfn.IFS(B257&lt;18.5, "Underweight", B257&lt;=24.9, "Normal Weight", B257&lt;=29.9, "Overweight", TRUE, "Obesity")</f>
        <v>Obesity</v>
      </c>
      <c r="J257" t="str" cm="1">
        <f t="array" ref="J257">_xlfn.IFS(C257&lt;5.7, "Normal", C257&lt;=6.4, "Prediabetes", TRUE, "Diabetes")</f>
        <v>Normal</v>
      </c>
    </row>
    <row r="258" spans="1:10">
      <c r="A258" t="s">
        <v>514</v>
      </c>
      <c r="B258">
        <v>31.73</v>
      </c>
      <c r="C258">
        <v>5.73</v>
      </c>
      <c r="D258" t="s">
        <v>4682</v>
      </c>
      <c r="E258" t="s">
        <v>4683</v>
      </c>
      <c r="F258" t="s">
        <v>4682</v>
      </c>
      <c r="G258">
        <v>1</v>
      </c>
      <c r="H258" t="s">
        <v>4683</v>
      </c>
      <c r="I258" t="str" cm="1">
        <f t="array" ref="I258">_xlfn.IFS(B258&lt;18.5, "Underweight", B258&lt;=24.9, "Normal Weight", B258&lt;=29.9, "Overweight", TRUE, "Obesity")</f>
        <v>Obesity</v>
      </c>
      <c r="J258" t="str" cm="1">
        <f t="array" ref="J258">_xlfn.IFS(C258&lt;5.7, "Normal", C258&lt;=6.4, "Prediabetes", TRUE, "Diabetes")</f>
        <v>Prediabetes</v>
      </c>
    </row>
    <row r="259" spans="1:10">
      <c r="A259" t="s">
        <v>516</v>
      </c>
      <c r="B259">
        <v>45.52</v>
      </c>
      <c r="C259">
        <v>6.04</v>
      </c>
      <c r="D259" t="s">
        <v>4682</v>
      </c>
      <c r="E259" t="s">
        <v>4682</v>
      </c>
      <c r="F259" t="s">
        <v>4684</v>
      </c>
      <c r="G259">
        <v>1</v>
      </c>
      <c r="H259" t="s">
        <v>4683</v>
      </c>
      <c r="I259" t="str" cm="1">
        <f t="array" ref="I259">_xlfn.IFS(B259&lt;18.5, "Underweight", B259&lt;=24.9, "Normal Weight", B259&lt;=29.9, "Overweight", TRUE, "Obesity")</f>
        <v>Obesity</v>
      </c>
      <c r="J259" t="str" cm="1">
        <f t="array" ref="J259">_xlfn.IFS(C259&lt;5.7, "Normal", C259&lt;=6.4, "Prediabetes", TRUE, "Diabetes")</f>
        <v>Prediabetes</v>
      </c>
    </row>
    <row r="260" spans="1:10">
      <c r="A260" t="s">
        <v>518</v>
      </c>
      <c r="B260">
        <v>52.81</v>
      </c>
      <c r="C260">
        <v>5.19</v>
      </c>
      <c r="D260" t="s">
        <v>4682</v>
      </c>
      <c r="E260" t="s">
        <v>4682</v>
      </c>
      <c r="F260" t="s">
        <v>4684</v>
      </c>
      <c r="G260">
        <v>1</v>
      </c>
      <c r="H260" t="s">
        <v>4683</v>
      </c>
      <c r="I260" t="str" cm="1">
        <f t="array" ref="I260">_xlfn.IFS(B260&lt;18.5, "Underweight", B260&lt;=24.9, "Normal Weight", B260&lt;=29.9, "Overweight", TRUE, "Obesity")</f>
        <v>Obesity</v>
      </c>
      <c r="J260" t="str" cm="1">
        <f t="array" ref="J260">_xlfn.IFS(C260&lt;5.7, "Normal", C260&lt;=6.4, "Prediabetes", TRUE, "Diabetes")</f>
        <v>Normal</v>
      </c>
    </row>
    <row r="261" spans="1:10">
      <c r="A261" t="s">
        <v>520</v>
      </c>
      <c r="B261">
        <v>33.58</v>
      </c>
      <c r="C261">
        <v>5.56</v>
      </c>
      <c r="D261" t="s">
        <v>4682</v>
      </c>
      <c r="E261" t="s">
        <v>4682</v>
      </c>
      <c r="F261" t="s">
        <v>4682</v>
      </c>
      <c r="G261">
        <v>1</v>
      </c>
      <c r="H261" t="s">
        <v>4683</v>
      </c>
      <c r="I261" t="str" cm="1">
        <f t="array" ref="I261">_xlfn.IFS(B261&lt;18.5, "Underweight", B261&lt;=24.9, "Normal Weight", B261&lt;=29.9, "Overweight", TRUE, "Obesity")</f>
        <v>Obesity</v>
      </c>
      <c r="J261" t="str" cm="1">
        <f t="array" ref="J261">_xlfn.IFS(C261&lt;5.7, "Normal", C261&lt;=6.4, "Prediabetes", TRUE, "Diabetes")</f>
        <v>Normal</v>
      </c>
    </row>
    <row r="262" spans="1:10">
      <c r="A262" t="s">
        <v>522</v>
      </c>
      <c r="B262">
        <v>30.684999999999999</v>
      </c>
      <c r="C262">
        <v>8.23</v>
      </c>
      <c r="D262" t="s">
        <v>4682</v>
      </c>
      <c r="E262" t="s">
        <v>4682</v>
      </c>
      <c r="F262" t="s">
        <v>4682</v>
      </c>
      <c r="G262">
        <v>0</v>
      </c>
      <c r="H262" t="s">
        <v>4683</v>
      </c>
      <c r="I262" t="str" cm="1">
        <f t="array" ref="I262">_xlfn.IFS(B262&lt;18.5, "Underweight", B262&lt;=24.9, "Normal Weight", B262&lt;=29.9, "Overweight", TRUE, "Obesity")</f>
        <v>Obesity</v>
      </c>
      <c r="J262" t="str" cm="1">
        <f t="array" ref="J262">_xlfn.IFS(C262&lt;5.7, "Normal", C262&lt;=6.4, "Prediabetes", TRUE, "Diabetes")</f>
        <v>Diabetes</v>
      </c>
    </row>
    <row r="263" spans="1:10">
      <c r="A263" t="s">
        <v>524</v>
      </c>
      <c r="B263">
        <v>37.524999999999999</v>
      </c>
      <c r="C263">
        <v>9.0299999999999994</v>
      </c>
      <c r="D263" t="s">
        <v>4683</v>
      </c>
      <c r="E263" t="s">
        <v>4682</v>
      </c>
      <c r="F263" t="s">
        <v>4682</v>
      </c>
      <c r="G263">
        <v>2</v>
      </c>
      <c r="H263" t="s">
        <v>4682</v>
      </c>
      <c r="I263" t="str" cm="1">
        <f t="array" ref="I263">_xlfn.IFS(B263&lt;18.5, "Underweight", B263&lt;=24.9, "Normal Weight", B263&lt;=29.9, "Overweight", TRUE, "Obesity")</f>
        <v>Obesity</v>
      </c>
      <c r="J263" t="str" cm="1">
        <f t="array" ref="J263">_xlfn.IFS(C263&lt;5.7, "Normal", C263&lt;=6.4, "Prediabetes", TRUE, "Diabetes")</f>
        <v>Diabetes</v>
      </c>
    </row>
    <row r="264" spans="1:10">
      <c r="A264" t="s">
        <v>526</v>
      </c>
      <c r="B264">
        <v>34.5</v>
      </c>
      <c r="C264">
        <v>4.07</v>
      </c>
      <c r="D264" t="s">
        <v>4683</v>
      </c>
      <c r="E264" t="s">
        <v>4682</v>
      </c>
      <c r="F264" t="s">
        <v>4682</v>
      </c>
      <c r="G264">
        <v>0</v>
      </c>
      <c r="H264" t="s">
        <v>4683</v>
      </c>
      <c r="I264" t="str" cm="1">
        <f t="array" ref="I264">_xlfn.IFS(B264&lt;18.5, "Underweight", B264&lt;=24.9, "Normal Weight", B264&lt;=29.9, "Overweight", TRUE, "Obesity")</f>
        <v>Obesity</v>
      </c>
      <c r="J264" t="str" cm="1">
        <f t="array" ref="J264">_xlfn.IFS(C264&lt;5.7, "Normal", C264&lt;=6.4, "Prediabetes", TRUE, "Diabetes")</f>
        <v>Normal</v>
      </c>
    </row>
    <row r="265" spans="1:10">
      <c r="A265" t="s">
        <v>528</v>
      </c>
      <c r="B265">
        <v>28.16</v>
      </c>
      <c r="C265">
        <v>5.77</v>
      </c>
      <c r="D265" t="s">
        <v>4682</v>
      </c>
      <c r="E265" t="s">
        <v>4682</v>
      </c>
      <c r="F265" t="s">
        <v>4682</v>
      </c>
      <c r="G265">
        <v>2</v>
      </c>
      <c r="H265" t="s">
        <v>4683</v>
      </c>
      <c r="I265" t="str" cm="1">
        <f t="array" ref="I265">_xlfn.IFS(B265&lt;18.5, "Underweight", B265&lt;=24.9, "Normal Weight", B265&lt;=29.9, "Overweight", TRUE, "Obesity")</f>
        <v>Overweight</v>
      </c>
      <c r="J265" t="str" cm="1">
        <f t="array" ref="J265">_xlfn.IFS(C265&lt;5.7, "Normal", C265&lt;=6.4, "Prediabetes", TRUE, "Diabetes")</f>
        <v>Prediabetes</v>
      </c>
    </row>
    <row r="266" spans="1:10">
      <c r="A266" t="s">
        <v>530</v>
      </c>
      <c r="B266">
        <v>30.02</v>
      </c>
      <c r="C266">
        <v>5.98</v>
      </c>
      <c r="D266" t="s">
        <v>4682</v>
      </c>
      <c r="E266" t="s">
        <v>4682</v>
      </c>
      <c r="F266" t="s">
        <v>4684</v>
      </c>
      <c r="G266">
        <v>1</v>
      </c>
      <c r="H266" t="s">
        <v>4683</v>
      </c>
      <c r="I266" t="str" cm="1">
        <f t="array" ref="I266">_xlfn.IFS(B266&lt;18.5, "Underweight", B266&lt;=24.9, "Normal Weight", B266&lt;=29.9, "Overweight", TRUE, "Obesity")</f>
        <v>Obesity</v>
      </c>
      <c r="J266" t="str" cm="1">
        <f t="array" ref="J266">_xlfn.IFS(C266&lt;5.7, "Normal", C266&lt;=6.4, "Prediabetes", TRUE, "Diabetes")</f>
        <v>Prediabetes</v>
      </c>
    </row>
    <row r="267" spans="1:10">
      <c r="A267" t="s">
        <v>532</v>
      </c>
      <c r="B267">
        <v>37.82</v>
      </c>
      <c r="C267">
        <v>6.01</v>
      </c>
      <c r="D267" t="s">
        <v>4682</v>
      </c>
      <c r="E267" t="s">
        <v>4682</v>
      </c>
      <c r="F267" t="s">
        <v>4682</v>
      </c>
      <c r="G267">
        <v>0</v>
      </c>
      <c r="H267" t="s">
        <v>4683</v>
      </c>
      <c r="I267" t="str" cm="1">
        <f t="array" ref="I267">_xlfn.IFS(B267&lt;18.5, "Underweight", B267&lt;=24.9, "Normal Weight", B267&lt;=29.9, "Overweight", TRUE, "Obesity")</f>
        <v>Obesity</v>
      </c>
      <c r="J267" t="str" cm="1">
        <f t="array" ref="J267">_xlfn.IFS(C267&lt;5.7, "Normal", C267&lt;=6.4, "Prediabetes", TRUE, "Diabetes")</f>
        <v>Prediabetes</v>
      </c>
    </row>
    <row r="268" spans="1:10">
      <c r="A268" t="s">
        <v>534</v>
      </c>
      <c r="B268">
        <v>33.14</v>
      </c>
      <c r="C268">
        <v>5.67</v>
      </c>
      <c r="D268" t="s">
        <v>4683</v>
      </c>
      <c r="E268" t="s">
        <v>4682</v>
      </c>
      <c r="F268" t="s">
        <v>4682</v>
      </c>
      <c r="G268">
        <v>0</v>
      </c>
      <c r="H268" t="s">
        <v>4683</v>
      </c>
      <c r="I268" t="str" cm="1">
        <f t="array" ref="I268">_xlfn.IFS(B268&lt;18.5, "Underweight", B268&lt;=24.9, "Normal Weight", B268&lt;=29.9, "Overweight", TRUE, "Obesity")</f>
        <v>Obesity</v>
      </c>
      <c r="J268" t="str" cm="1">
        <f t="array" ref="J268">_xlfn.IFS(C268&lt;5.7, "Normal", C268&lt;=6.4, "Prediabetes", TRUE, "Diabetes")</f>
        <v>Normal</v>
      </c>
    </row>
    <row r="269" spans="1:10">
      <c r="A269" t="s">
        <v>536</v>
      </c>
      <c r="B269">
        <v>25.14</v>
      </c>
      <c r="C269">
        <v>6.02</v>
      </c>
      <c r="D269" t="s">
        <v>4683</v>
      </c>
      <c r="E269" t="s">
        <v>4682</v>
      </c>
      <c r="F269" t="s">
        <v>4684</v>
      </c>
      <c r="G269">
        <v>1</v>
      </c>
      <c r="H269" t="s">
        <v>4683</v>
      </c>
      <c r="I269" t="str" cm="1">
        <f t="array" ref="I269">_xlfn.IFS(B269&lt;18.5, "Underweight", B269&lt;=24.9, "Normal Weight", B269&lt;=29.9, "Overweight", TRUE, "Obesity")</f>
        <v>Overweight</v>
      </c>
      <c r="J269" t="str" cm="1">
        <f t="array" ref="J269">_xlfn.IFS(C269&lt;5.7, "Normal", C269&lt;=6.4, "Prediabetes", TRUE, "Diabetes")</f>
        <v>Prediabetes</v>
      </c>
    </row>
    <row r="270" spans="1:10">
      <c r="A270" t="s">
        <v>538</v>
      </c>
      <c r="B270">
        <v>20.18</v>
      </c>
      <c r="C270">
        <v>11.19</v>
      </c>
      <c r="D270" t="s">
        <v>4682</v>
      </c>
      <c r="E270" t="s">
        <v>4682</v>
      </c>
      <c r="F270" t="s">
        <v>4682</v>
      </c>
      <c r="G270">
        <v>0</v>
      </c>
      <c r="H270" t="s">
        <v>4683</v>
      </c>
      <c r="I270" t="str" cm="1">
        <f t="array" ref="I270">_xlfn.IFS(B270&lt;18.5, "Underweight", B270&lt;=24.9, "Normal Weight", B270&lt;=29.9, "Overweight", TRUE, "Obesity")</f>
        <v>Normal Weight</v>
      </c>
      <c r="J270" t="str" cm="1">
        <f t="array" ref="J270">_xlfn.IFS(C270&lt;5.7, "Normal", C270&lt;=6.4, "Prediabetes", TRUE, "Diabetes")</f>
        <v>Diabetes</v>
      </c>
    </row>
    <row r="271" spans="1:10">
      <c r="A271" t="s">
        <v>540</v>
      </c>
      <c r="B271">
        <v>44.36</v>
      </c>
      <c r="C271">
        <v>5.1100000000000003</v>
      </c>
      <c r="D271" t="s">
        <v>4682</v>
      </c>
      <c r="E271" t="s">
        <v>4682</v>
      </c>
      <c r="F271" t="s">
        <v>4682</v>
      </c>
      <c r="G271">
        <v>0</v>
      </c>
      <c r="H271" t="s">
        <v>4683</v>
      </c>
      <c r="I271" t="str" cm="1">
        <f t="array" ref="I271">_xlfn.IFS(B271&lt;18.5, "Underweight", B271&lt;=24.9, "Normal Weight", B271&lt;=29.9, "Overweight", TRUE, "Obesity")</f>
        <v>Obesity</v>
      </c>
      <c r="J271" t="str" cm="1">
        <f t="array" ref="J271">_xlfn.IFS(C271&lt;5.7, "Normal", C271&lt;=6.4, "Prediabetes", TRUE, "Diabetes")</f>
        <v>Normal</v>
      </c>
    </row>
    <row r="272" spans="1:10">
      <c r="A272" t="s">
        <v>542</v>
      </c>
      <c r="B272">
        <v>23.82</v>
      </c>
      <c r="C272">
        <v>10.85</v>
      </c>
      <c r="D272" t="s">
        <v>4683</v>
      </c>
      <c r="E272" t="s">
        <v>4682</v>
      </c>
      <c r="F272" t="s">
        <v>4682</v>
      </c>
      <c r="G272">
        <v>0</v>
      </c>
      <c r="H272" t="s">
        <v>4683</v>
      </c>
      <c r="I272" t="str" cm="1">
        <f t="array" ref="I272">_xlfn.IFS(B272&lt;18.5, "Underweight", B272&lt;=24.9, "Normal Weight", B272&lt;=29.9, "Overweight", TRUE, "Obesity")</f>
        <v>Normal Weight</v>
      </c>
      <c r="J272" t="str" cm="1">
        <f t="array" ref="J272">_xlfn.IFS(C272&lt;5.7, "Normal", C272&lt;=6.4, "Prediabetes", TRUE, "Diabetes")</f>
        <v>Diabetes</v>
      </c>
    </row>
    <row r="273" spans="1:10">
      <c r="A273" t="s">
        <v>544</v>
      </c>
      <c r="B273">
        <v>45</v>
      </c>
      <c r="C273">
        <v>5.24</v>
      </c>
      <c r="D273" t="s">
        <v>4683</v>
      </c>
      <c r="E273" t="s">
        <v>4682</v>
      </c>
      <c r="F273" t="s">
        <v>4682</v>
      </c>
      <c r="G273">
        <v>1</v>
      </c>
      <c r="H273" t="s">
        <v>4683</v>
      </c>
      <c r="I273" t="str" cm="1">
        <f t="array" ref="I273">_xlfn.IFS(B273&lt;18.5, "Underweight", B273&lt;=24.9, "Normal Weight", B273&lt;=29.9, "Overweight", TRUE, "Obesity")</f>
        <v>Obesity</v>
      </c>
      <c r="J273" t="str" cm="1">
        <f t="array" ref="J273">_xlfn.IFS(C273&lt;5.7, "Normal", C273&lt;=6.4, "Prediabetes", TRUE, "Diabetes")</f>
        <v>Normal</v>
      </c>
    </row>
    <row r="274" spans="1:10">
      <c r="A274" t="s">
        <v>546</v>
      </c>
      <c r="B274">
        <v>26.62</v>
      </c>
      <c r="C274">
        <v>10.08</v>
      </c>
      <c r="D274" t="s">
        <v>4682</v>
      </c>
      <c r="E274" t="s">
        <v>4682</v>
      </c>
      <c r="F274" t="s">
        <v>4682</v>
      </c>
      <c r="G274">
        <v>0</v>
      </c>
      <c r="H274" t="s">
        <v>4683</v>
      </c>
      <c r="I274" t="str" cm="1">
        <f t="array" ref="I274">_xlfn.IFS(B274&lt;18.5, "Underweight", B274&lt;=24.9, "Normal Weight", B274&lt;=29.9, "Overweight", TRUE, "Obesity")</f>
        <v>Overweight</v>
      </c>
      <c r="J274" t="str" cm="1">
        <f t="array" ref="J274">_xlfn.IFS(C274&lt;5.7, "Normal", C274&lt;=6.4, "Prediabetes", TRUE, "Diabetes")</f>
        <v>Diabetes</v>
      </c>
    </row>
    <row r="275" spans="1:10">
      <c r="A275" t="s">
        <v>548</v>
      </c>
      <c r="B275">
        <v>32.67</v>
      </c>
      <c r="C275">
        <v>10.97</v>
      </c>
      <c r="D275" t="s">
        <v>4683</v>
      </c>
      <c r="E275" t="s">
        <v>4682</v>
      </c>
      <c r="F275" t="s">
        <v>4682</v>
      </c>
      <c r="G275">
        <v>0</v>
      </c>
      <c r="H275" t="s">
        <v>4683</v>
      </c>
      <c r="I275" t="str" cm="1">
        <f t="array" ref="I275">_xlfn.IFS(B275&lt;18.5, "Underweight", B275&lt;=24.9, "Normal Weight", B275&lt;=29.9, "Overweight", TRUE, "Obesity")</f>
        <v>Obesity</v>
      </c>
      <c r="J275" t="str" cm="1">
        <f t="array" ref="J275">_xlfn.IFS(C275&lt;5.7, "Normal", C275&lt;=6.4, "Prediabetes", TRUE, "Diabetes")</f>
        <v>Diabetes</v>
      </c>
    </row>
    <row r="276" spans="1:10">
      <c r="A276" t="s">
        <v>550</v>
      </c>
      <c r="B276">
        <v>44.44</v>
      </c>
      <c r="C276">
        <v>4.9000000000000004</v>
      </c>
      <c r="D276" t="s">
        <v>4683</v>
      </c>
      <c r="E276" t="s">
        <v>4682</v>
      </c>
      <c r="F276" t="s">
        <v>4682</v>
      </c>
      <c r="G276">
        <v>1</v>
      </c>
      <c r="H276" t="s">
        <v>4683</v>
      </c>
      <c r="I276" t="str" cm="1">
        <f t="array" ref="I276">_xlfn.IFS(B276&lt;18.5, "Underweight", B276&lt;=24.9, "Normal Weight", B276&lt;=29.9, "Overweight", TRUE, "Obesity")</f>
        <v>Obesity</v>
      </c>
      <c r="J276" t="str" cm="1">
        <f t="array" ref="J276">_xlfn.IFS(C276&lt;5.7, "Normal", C276&lt;=6.4, "Prediabetes", TRUE, "Diabetes")</f>
        <v>Normal</v>
      </c>
    </row>
    <row r="277" spans="1:10">
      <c r="A277" t="s">
        <v>552</v>
      </c>
      <c r="B277">
        <v>28.31</v>
      </c>
      <c r="C277">
        <v>5.33</v>
      </c>
      <c r="D277" t="s">
        <v>4682</v>
      </c>
      <c r="E277" t="s">
        <v>4682</v>
      </c>
      <c r="F277" t="s">
        <v>4682</v>
      </c>
      <c r="G277">
        <v>0</v>
      </c>
      <c r="H277" t="s">
        <v>4683</v>
      </c>
      <c r="I277" t="str" cm="1">
        <f t="array" ref="I277">_xlfn.IFS(B277&lt;18.5, "Underweight", B277&lt;=24.9, "Normal Weight", B277&lt;=29.9, "Overweight", TRUE, "Obesity")</f>
        <v>Overweight</v>
      </c>
      <c r="J277" t="str" cm="1">
        <f t="array" ref="J277">_xlfn.IFS(C277&lt;5.7, "Normal", C277&lt;=6.4, "Prediabetes", TRUE, "Diabetes")</f>
        <v>Normal</v>
      </c>
    </row>
    <row r="278" spans="1:10">
      <c r="A278" t="s">
        <v>554</v>
      </c>
      <c r="B278">
        <v>25.05</v>
      </c>
      <c r="C278">
        <v>4.6100000000000003</v>
      </c>
      <c r="D278" t="s">
        <v>4682</v>
      </c>
      <c r="E278" t="s">
        <v>4682</v>
      </c>
      <c r="F278" t="s">
        <v>4682</v>
      </c>
      <c r="G278">
        <v>2</v>
      </c>
      <c r="H278" t="s">
        <v>4683</v>
      </c>
      <c r="I278" t="str" cm="1">
        <f t="array" ref="I278">_xlfn.IFS(B278&lt;18.5, "Underweight", B278&lt;=24.9, "Normal Weight", B278&lt;=29.9, "Overweight", TRUE, "Obesity")</f>
        <v>Overweight</v>
      </c>
      <c r="J278" t="str" cm="1">
        <f t="array" ref="J278">_xlfn.IFS(C278&lt;5.7, "Normal", C278&lt;=6.4, "Prediabetes", TRUE, "Diabetes")</f>
        <v>Normal</v>
      </c>
    </row>
    <row r="279" spans="1:10">
      <c r="A279" t="s">
        <v>556</v>
      </c>
      <c r="B279">
        <v>28.34</v>
      </c>
      <c r="C279">
        <v>8.18</v>
      </c>
      <c r="D279" t="s">
        <v>4682</v>
      </c>
      <c r="E279" t="s">
        <v>4682</v>
      </c>
      <c r="F279" t="s">
        <v>4682</v>
      </c>
      <c r="G279">
        <v>0</v>
      </c>
      <c r="H279" t="s">
        <v>4683</v>
      </c>
      <c r="I279" t="str" cm="1">
        <f t="array" ref="I279">_xlfn.IFS(B279&lt;18.5, "Underweight", B279&lt;=24.9, "Normal Weight", B279&lt;=29.9, "Overweight", TRUE, "Obesity")</f>
        <v>Overweight</v>
      </c>
      <c r="J279" t="str" cm="1">
        <f t="array" ref="J279">_xlfn.IFS(C279&lt;5.7, "Normal", C279&lt;=6.4, "Prediabetes", TRUE, "Diabetes")</f>
        <v>Diabetes</v>
      </c>
    </row>
    <row r="280" spans="1:10">
      <c r="A280" t="s">
        <v>558</v>
      </c>
      <c r="B280">
        <v>17.765000000000001</v>
      </c>
      <c r="C280">
        <v>5.62</v>
      </c>
      <c r="D280" t="s">
        <v>4682</v>
      </c>
      <c r="E280" t="s">
        <v>4682</v>
      </c>
      <c r="F280" t="s">
        <v>4682</v>
      </c>
      <c r="G280">
        <v>0</v>
      </c>
      <c r="H280" t="s">
        <v>4683</v>
      </c>
      <c r="I280" t="str" cm="1">
        <f t="array" ref="I280">_xlfn.IFS(B280&lt;18.5, "Underweight", B280&lt;=24.9, "Normal Weight", B280&lt;=29.9, "Overweight", TRUE, "Obesity")</f>
        <v>Underweight</v>
      </c>
      <c r="J280" t="str" cm="1">
        <f t="array" ref="J280">_xlfn.IFS(C280&lt;5.7, "Normal", C280&lt;=6.4, "Prediabetes", TRUE, "Diabetes")</f>
        <v>Normal</v>
      </c>
    </row>
    <row r="281" spans="1:10">
      <c r="A281" t="s">
        <v>560</v>
      </c>
      <c r="B281">
        <v>36.119999999999997</v>
      </c>
      <c r="C281">
        <v>5.82</v>
      </c>
      <c r="D281" t="s">
        <v>4682</v>
      </c>
      <c r="E281" t="s">
        <v>4682</v>
      </c>
      <c r="F281" t="s">
        <v>4682</v>
      </c>
      <c r="G281">
        <v>0</v>
      </c>
      <c r="H281" t="s">
        <v>4683</v>
      </c>
      <c r="I281" t="str" cm="1">
        <f t="array" ref="I281">_xlfn.IFS(B281&lt;18.5, "Underweight", B281&lt;=24.9, "Normal Weight", B281&lt;=29.9, "Overweight", TRUE, "Obesity")</f>
        <v>Obesity</v>
      </c>
      <c r="J281" t="str" cm="1">
        <f t="array" ref="J281">_xlfn.IFS(C281&lt;5.7, "Normal", C281&lt;=6.4, "Prediabetes", TRUE, "Diabetes")</f>
        <v>Prediabetes</v>
      </c>
    </row>
    <row r="282" spans="1:10">
      <c r="A282" t="s">
        <v>562</v>
      </c>
      <c r="B282">
        <v>23.19</v>
      </c>
      <c r="C282">
        <v>7.66</v>
      </c>
      <c r="D282" t="s">
        <v>4682</v>
      </c>
      <c r="E282" t="s">
        <v>4682</v>
      </c>
      <c r="F282" t="s">
        <v>4682</v>
      </c>
      <c r="G282">
        <v>0</v>
      </c>
      <c r="H282" t="s">
        <v>4683</v>
      </c>
      <c r="I282" t="str" cm="1">
        <f t="array" ref="I282">_xlfn.IFS(B282&lt;18.5, "Underweight", B282&lt;=24.9, "Normal Weight", B282&lt;=29.9, "Overweight", TRUE, "Obesity")</f>
        <v>Normal Weight</v>
      </c>
      <c r="J282" t="str" cm="1">
        <f t="array" ref="J282">_xlfn.IFS(C282&lt;5.7, "Normal", C282&lt;=6.4, "Prediabetes", TRUE, "Diabetes")</f>
        <v>Diabetes</v>
      </c>
    </row>
    <row r="283" spans="1:10">
      <c r="A283" t="s">
        <v>564</v>
      </c>
      <c r="B283">
        <v>35.99</v>
      </c>
      <c r="C283">
        <v>4.2300000000000004</v>
      </c>
      <c r="D283" t="s">
        <v>4682</v>
      </c>
      <c r="E283" t="s">
        <v>4682</v>
      </c>
      <c r="F283" t="s">
        <v>4682</v>
      </c>
      <c r="G283">
        <v>0</v>
      </c>
      <c r="H283" t="s">
        <v>4683</v>
      </c>
      <c r="I283" t="str" cm="1">
        <f t="array" ref="I283">_xlfn.IFS(B283&lt;18.5, "Underweight", B283&lt;=24.9, "Normal Weight", B283&lt;=29.9, "Overweight", TRUE, "Obesity")</f>
        <v>Obesity</v>
      </c>
      <c r="J283" t="str" cm="1">
        <f t="array" ref="J283">_xlfn.IFS(C283&lt;5.7, "Normal", C283&lt;=6.4, "Prediabetes", TRUE, "Diabetes")</f>
        <v>Normal</v>
      </c>
    </row>
    <row r="284" spans="1:10">
      <c r="A284" t="s">
        <v>566</v>
      </c>
      <c r="B284">
        <v>30.25</v>
      </c>
      <c r="C284">
        <v>5.58</v>
      </c>
      <c r="D284" t="s">
        <v>4682</v>
      </c>
      <c r="E284" t="s">
        <v>4682</v>
      </c>
      <c r="F284" t="s">
        <v>4684</v>
      </c>
      <c r="G284">
        <v>1</v>
      </c>
      <c r="H284" t="s">
        <v>4683</v>
      </c>
      <c r="I284" t="str" cm="1">
        <f t="array" ref="I284">_xlfn.IFS(B284&lt;18.5, "Underweight", B284&lt;=24.9, "Normal Weight", B284&lt;=29.9, "Overweight", TRUE, "Obesity")</f>
        <v>Obesity</v>
      </c>
      <c r="J284" t="str" cm="1">
        <f t="array" ref="J284">_xlfn.IFS(C284&lt;5.7, "Normal", C284&lt;=6.4, "Prediabetes", TRUE, "Diabetes")</f>
        <v>Normal</v>
      </c>
    </row>
    <row r="285" spans="1:10">
      <c r="A285" t="s">
        <v>568</v>
      </c>
      <c r="B285">
        <v>26.24</v>
      </c>
      <c r="C285">
        <v>6.26</v>
      </c>
      <c r="D285" t="s">
        <v>4683</v>
      </c>
      <c r="E285" t="s">
        <v>4682</v>
      </c>
      <c r="F285" t="s">
        <v>4682</v>
      </c>
      <c r="G285">
        <v>0</v>
      </c>
      <c r="H285" t="s">
        <v>4683</v>
      </c>
      <c r="I285" t="str" cm="1">
        <f t="array" ref="I285">_xlfn.IFS(B285&lt;18.5, "Underweight", B285&lt;=24.9, "Normal Weight", B285&lt;=29.9, "Overweight", TRUE, "Obesity")</f>
        <v>Overweight</v>
      </c>
      <c r="J285" t="str" cm="1">
        <f t="array" ref="J285">_xlfn.IFS(C285&lt;5.7, "Normal", C285&lt;=6.4, "Prediabetes", TRUE, "Diabetes")</f>
        <v>Prediabetes</v>
      </c>
    </row>
    <row r="286" spans="1:10">
      <c r="A286" t="s">
        <v>570</v>
      </c>
      <c r="B286">
        <v>31.36</v>
      </c>
      <c r="C286">
        <v>10.6</v>
      </c>
      <c r="D286" t="s">
        <v>4683</v>
      </c>
      <c r="E286" t="s">
        <v>4682</v>
      </c>
      <c r="F286" t="s">
        <v>4682</v>
      </c>
      <c r="G286">
        <v>0</v>
      </c>
      <c r="H286" t="s">
        <v>4683</v>
      </c>
      <c r="I286" t="str" cm="1">
        <f t="array" ref="I286">_xlfn.IFS(B286&lt;18.5, "Underweight", B286&lt;=24.9, "Normal Weight", B286&lt;=29.9, "Overweight", TRUE, "Obesity")</f>
        <v>Obesity</v>
      </c>
      <c r="J286" t="str" cm="1">
        <f t="array" ref="J286">_xlfn.IFS(C286&lt;5.7, "Normal", C286&lt;=6.4, "Prediabetes", TRUE, "Diabetes")</f>
        <v>Diabetes</v>
      </c>
    </row>
    <row r="287" spans="1:10">
      <c r="A287" t="s">
        <v>572</v>
      </c>
      <c r="B287">
        <v>25.69</v>
      </c>
      <c r="C287">
        <v>4.78</v>
      </c>
      <c r="D287" t="s">
        <v>4683</v>
      </c>
      <c r="E287" t="s">
        <v>4682</v>
      </c>
      <c r="F287" t="s">
        <v>4682</v>
      </c>
      <c r="G287">
        <v>0</v>
      </c>
      <c r="H287" t="s">
        <v>4683</v>
      </c>
      <c r="I287" t="str" cm="1">
        <f t="array" ref="I287">_xlfn.IFS(B287&lt;18.5, "Underweight", B287&lt;=24.9, "Normal Weight", B287&lt;=29.9, "Overweight", TRUE, "Obesity")</f>
        <v>Overweight</v>
      </c>
      <c r="J287" t="str" cm="1">
        <f t="array" ref="J287">_xlfn.IFS(C287&lt;5.7, "Normal", C287&lt;=6.4, "Prediabetes", TRUE, "Diabetes")</f>
        <v>Normal</v>
      </c>
    </row>
    <row r="288" spans="1:10">
      <c r="A288" t="s">
        <v>574</v>
      </c>
      <c r="B288">
        <v>25.46</v>
      </c>
      <c r="C288">
        <v>6.03</v>
      </c>
      <c r="D288" t="s">
        <v>4682</v>
      </c>
      <c r="E288" t="s">
        <v>4682</v>
      </c>
      <c r="F288" t="s">
        <v>4682</v>
      </c>
      <c r="G288">
        <v>2</v>
      </c>
      <c r="H288" t="s">
        <v>4683</v>
      </c>
      <c r="I288" t="str" cm="1">
        <f t="array" ref="I288">_xlfn.IFS(B288&lt;18.5, "Underweight", B288&lt;=24.9, "Normal Weight", B288&lt;=29.9, "Overweight", TRUE, "Obesity")</f>
        <v>Overweight</v>
      </c>
      <c r="J288" t="str" cm="1">
        <f t="array" ref="J288">_xlfn.IFS(C288&lt;5.7, "Normal", C288&lt;=6.4, "Prediabetes", TRUE, "Diabetes")</f>
        <v>Prediabetes</v>
      </c>
    </row>
    <row r="289" spans="1:10">
      <c r="A289" t="s">
        <v>576</v>
      </c>
      <c r="B289">
        <v>31.83</v>
      </c>
      <c r="C289">
        <v>11.55</v>
      </c>
      <c r="D289" t="s">
        <v>4683</v>
      </c>
      <c r="E289" t="s">
        <v>4682</v>
      </c>
      <c r="F289" t="s">
        <v>4682</v>
      </c>
      <c r="G289">
        <v>1</v>
      </c>
      <c r="H289" t="s">
        <v>4683</v>
      </c>
      <c r="I289" t="str" cm="1">
        <f t="array" ref="I289">_xlfn.IFS(B289&lt;18.5, "Underweight", B289&lt;=24.9, "Normal Weight", B289&lt;=29.9, "Overweight", TRUE, "Obesity")</f>
        <v>Obesity</v>
      </c>
      <c r="J289" t="str" cm="1">
        <f t="array" ref="J289">_xlfn.IFS(C289&lt;5.7, "Normal", C289&lt;=6.4, "Prediabetes", TRUE, "Diabetes")</f>
        <v>Diabetes</v>
      </c>
    </row>
    <row r="290" spans="1:10">
      <c r="A290" t="s">
        <v>578</v>
      </c>
      <c r="B290">
        <v>24.43</v>
      </c>
      <c r="C290">
        <v>7.59</v>
      </c>
      <c r="D290" t="s">
        <v>4683</v>
      </c>
      <c r="E290" t="s">
        <v>4682</v>
      </c>
      <c r="F290" t="s">
        <v>4682</v>
      </c>
      <c r="G290">
        <v>1</v>
      </c>
      <c r="H290" t="s">
        <v>4683</v>
      </c>
      <c r="I290" t="str" cm="1">
        <f t="array" ref="I290">_xlfn.IFS(B290&lt;18.5, "Underweight", B290&lt;=24.9, "Normal Weight", B290&lt;=29.9, "Overweight", TRUE, "Obesity")</f>
        <v>Normal Weight</v>
      </c>
      <c r="J290" t="str" cm="1">
        <f t="array" ref="J290">_xlfn.IFS(C290&lt;5.7, "Normal", C290&lt;=6.4, "Prediabetes", TRUE, "Diabetes")</f>
        <v>Diabetes</v>
      </c>
    </row>
    <row r="291" spans="1:10">
      <c r="A291" t="s">
        <v>580</v>
      </c>
      <c r="B291">
        <v>41.9</v>
      </c>
      <c r="C291">
        <v>4.26</v>
      </c>
      <c r="D291" t="s">
        <v>4682</v>
      </c>
      <c r="E291" t="s">
        <v>4682</v>
      </c>
      <c r="F291" t="s">
        <v>4682</v>
      </c>
      <c r="G291">
        <v>0</v>
      </c>
      <c r="H291" t="s">
        <v>4683</v>
      </c>
      <c r="I291" t="str" cm="1">
        <f t="array" ref="I291">_xlfn.IFS(B291&lt;18.5, "Underweight", B291&lt;=24.9, "Normal Weight", B291&lt;=29.9, "Overweight", TRUE, "Obesity")</f>
        <v>Obesity</v>
      </c>
      <c r="J291" t="str" cm="1">
        <f t="array" ref="J291">_xlfn.IFS(C291&lt;5.7, "Normal", C291&lt;=6.4, "Prediabetes", TRUE, "Diabetes")</f>
        <v>Normal</v>
      </c>
    </row>
    <row r="292" spans="1:10">
      <c r="A292" t="s">
        <v>582</v>
      </c>
      <c r="B292">
        <v>22.88</v>
      </c>
      <c r="C292">
        <v>5.9</v>
      </c>
      <c r="D292" t="s">
        <v>4683</v>
      </c>
      <c r="E292" t="s">
        <v>4682</v>
      </c>
      <c r="F292" t="s">
        <v>4684</v>
      </c>
      <c r="G292">
        <v>1</v>
      </c>
      <c r="H292" t="s">
        <v>4683</v>
      </c>
      <c r="I292" t="str" cm="1">
        <f t="array" ref="I292">_xlfn.IFS(B292&lt;18.5, "Underweight", B292&lt;=24.9, "Normal Weight", B292&lt;=29.9, "Overweight", TRUE, "Obesity")</f>
        <v>Normal Weight</v>
      </c>
      <c r="J292" t="str" cm="1">
        <f t="array" ref="J292">_xlfn.IFS(C292&lt;5.7, "Normal", C292&lt;=6.4, "Prediabetes", TRUE, "Diabetes")</f>
        <v>Prediabetes</v>
      </c>
    </row>
    <row r="293" spans="1:10">
      <c r="A293" t="s">
        <v>584</v>
      </c>
      <c r="B293">
        <v>29.734999999999999</v>
      </c>
      <c r="C293">
        <v>7.79</v>
      </c>
      <c r="D293" t="s">
        <v>4682</v>
      </c>
      <c r="E293" t="s">
        <v>4682</v>
      </c>
      <c r="F293" t="s">
        <v>4682</v>
      </c>
      <c r="G293">
        <v>0</v>
      </c>
      <c r="H293" t="s">
        <v>4682</v>
      </c>
      <c r="I293" t="str" cm="1">
        <f t="array" ref="I293">_xlfn.IFS(B293&lt;18.5, "Underweight", B293&lt;=24.9, "Normal Weight", B293&lt;=29.9, "Overweight", TRUE, "Obesity")</f>
        <v>Overweight</v>
      </c>
      <c r="J293" t="str" cm="1">
        <f t="array" ref="J293">_xlfn.IFS(C293&lt;5.7, "Normal", C293&lt;=6.4, "Prediabetes", TRUE, "Diabetes")</f>
        <v>Diabetes</v>
      </c>
    </row>
    <row r="294" spans="1:10">
      <c r="A294" t="s">
        <v>586</v>
      </c>
      <c r="B294">
        <v>40.74</v>
      </c>
      <c r="C294">
        <v>5.28</v>
      </c>
      <c r="D294" t="s">
        <v>4682</v>
      </c>
      <c r="E294" t="s">
        <v>4682</v>
      </c>
      <c r="F294" t="s">
        <v>4684</v>
      </c>
      <c r="G294">
        <v>1</v>
      </c>
      <c r="H294" t="s">
        <v>4683</v>
      </c>
      <c r="I294" t="str" cm="1">
        <f t="array" ref="I294">_xlfn.IFS(B294&lt;18.5, "Underweight", B294&lt;=24.9, "Normal Weight", B294&lt;=29.9, "Overweight", TRUE, "Obesity")</f>
        <v>Obesity</v>
      </c>
      <c r="J294" t="str" cm="1">
        <f t="array" ref="J294">_xlfn.IFS(C294&lt;5.7, "Normal", C294&lt;=6.4, "Prediabetes", TRUE, "Diabetes")</f>
        <v>Normal</v>
      </c>
    </row>
    <row r="295" spans="1:10">
      <c r="A295" t="s">
        <v>588</v>
      </c>
      <c r="B295">
        <v>24.14</v>
      </c>
      <c r="C295">
        <v>5.87</v>
      </c>
      <c r="D295" t="s">
        <v>4682</v>
      </c>
      <c r="E295" t="s">
        <v>4682</v>
      </c>
      <c r="F295" t="s">
        <v>4682</v>
      </c>
      <c r="G295">
        <v>2</v>
      </c>
      <c r="H295" t="s">
        <v>4683</v>
      </c>
      <c r="I295" t="str" cm="1">
        <f t="array" ref="I295">_xlfn.IFS(B295&lt;18.5, "Underweight", B295&lt;=24.9, "Normal Weight", B295&lt;=29.9, "Overweight", TRUE, "Obesity")</f>
        <v>Normal Weight</v>
      </c>
      <c r="J295" t="str" cm="1">
        <f t="array" ref="J295">_xlfn.IFS(C295&lt;5.7, "Normal", C295&lt;=6.4, "Prediabetes", TRUE, "Diabetes")</f>
        <v>Prediabetes</v>
      </c>
    </row>
    <row r="296" spans="1:10">
      <c r="A296" t="s">
        <v>590</v>
      </c>
      <c r="B296">
        <v>25.15</v>
      </c>
      <c r="C296">
        <v>9.08</v>
      </c>
      <c r="D296" t="s">
        <v>4683</v>
      </c>
      <c r="E296" t="s">
        <v>4682</v>
      </c>
      <c r="F296" t="s">
        <v>4682</v>
      </c>
      <c r="G296">
        <v>1</v>
      </c>
      <c r="H296" t="s">
        <v>4683</v>
      </c>
      <c r="I296" t="str" cm="1">
        <f t="array" ref="I296">_xlfn.IFS(B296&lt;18.5, "Underweight", B296&lt;=24.9, "Normal Weight", B296&lt;=29.9, "Overweight", TRUE, "Obesity")</f>
        <v>Overweight</v>
      </c>
      <c r="J296" t="str" cm="1">
        <f t="array" ref="J296">_xlfn.IFS(C296&lt;5.7, "Normal", C296&lt;=6.4, "Prediabetes", TRUE, "Diabetes")</f>
        <v>Diabetes</v>
      </c>
    </row>
    <row r="297" spans="1:10">
      <c r="A297" t="s">
        <v>592</v>
      </c>
      <c r="B297">
        <v>28.71</v>
      </c>
      <c r="C297">
        <v>5.2</v>
      </c>
      <c r="D297" t="s">
        <v>4682</v>
      </c>
      <c r="E297" t="s">
        <v>4682</v>
      </c>
      <c r="F297" t="s">
        <v>4682</v>
      </c>
      <c r="G297">
        <v>1</v>
      </c>
      <c r="H297" t="s">
        <v>4683</v>
      </c>
      <c r="I297" t="str" cm="1">
        <f t="array" ref="I297">_xlfn.IFS(B297&lt;18.5, "Underweight", B297&lt;=24.9, "Normal Weight", B297&lt;=29.9, "Overweight", TRUE, "Obesity")</f>
        <v>Overweight</v>
      </c>
      <c r="J297" t="str" cm="1">
        <f t="array" ref="J297">_xlfn.IFS(C297&lt;5.7, "Normal", C297&lt;=6.4, "Prediabetes", TRUE, "Diabetes")</f>
        <v>Normal</v>
      </c>
    </row>
    <row r="298" spans="1:10">
      <c r="A298" t="s">
        <v>594</v>
      </c>
      <c r="B298">
        <v>23</v>
      </c>
      <c r="C298">
        <v>5.48</v>
      </c>
      <c r="D298" t="s">
        <v>4682</v>
      </c>
      <c r="E298" t="s">
        <v>4682</v>
      </c>
      <c r="F298" t="s">
        <v>4682</v>
      </c>
      <c r="G298">
        <v>0</v>
      </c>
      <c r="H298" t="s">
        <v>4683</v>
      </c>
      <c r="I298" t="str" cm="1">
        <f t="array" ref="I298">_xlfn.IFS(B298&lt;18.5, "Underweight", B298&lt;=24.9, "Normal Weight", B298&lt;=29.9, "Overweight", TRUE, "Obesity")</f>
        <v>Normal Weight</v>
      </c>
      <c r="J298" t="str" cm="1">
        <f t="array" ref="J298">_xlfn.IFS(C298&lt;5.7, "Normal", C298&lt;=6.4, "Prediabetes", TRUE, "Diabetes")</f>
        <v>Normal</v>
      </c>
    </row>
    <row r="299" spans="1:10">
      <c r="A299" t="s">
        <v>596</v>
      </c>
      <c r="B299">
        <v>36.86</v>
      </c>
      <c r="C299">
        <v>11.95</v>
      </c>
      <c r="D299" t="s">
        <v>4682</v>
      </c>
      <c r="E299" t="s">
        <v>4682</v>
      </c>
      <c r="F299" t="s">
        <v>4682</v>
      </c>
      <c r="G299">
        <v>0</v>
      </c>
      <c r="H299" t="s">
        <v>4682</v>
      </c>
      <c r="I299" t="str" cm="1">
        <f t="array" ref="I299">_xlfn.IFS(B299&lt;18.5, "Underweight", B299&lt;=24.9, "Normal Weight", B299&lt;=29.9, "Overweight", TRUE, "Obesity")</f>
        <v>Obesity</v>
      </c>
      <c r="J299" t="str" cm="1">
        <f t="array" ref="J299">_xlfn.IFS(C299&lt;5.7, "Normal", C299&lt;=6.4, "Prediabetes", TRUE, "Diabetes")</f>
        <v>Diabetes</v>
      </c>
    </row>
    <row r="300" spans="1:10">
      <c r="A300" t="s">
        <v>598</v>
      </c>
      <c r="B300">
        <v>24.25</v>
      </c>
      <c r="C300">
        <v>8.6999999999999993</v>
      </c>
      <c r="D300" t="s">
        <v>4683</v>
      </c>
      <c r="E300" t="s">
        <v>4682</v>
      </c>
      <c r="F300" t="s">
        <v>4682</v>
      </c>
      <c r="G300">
        <v>1</v>
      </c>
      <c r="H300" t="s">
        <v>4683</v>
      </c>
      <c r="I300" t="str" cm="1">
        <f t="array" ref="I300">_xlfn.IFS(B300&lt;18.5, "Underweight", B300&lt;=24.9, "Normal Weight", B300&lt;=29.9, "Overweight", TRUE, "Obesity")</f>
        <v>Normal Weight</v>
      </c>
      <c r="J300" t="str" cm="1">
        <f t="array" ref="J300">_xlfn.IFS(C300&lt;5.7, "Normal", C300&lt;=6.4, "Prediabetes", TRUE, "Diabetes")</f>
        <v>Diabetes</v>
      </c>
    </row>
    <row r="301" spans="1:10">
      <c r="A301" t="s">
        <v>600</v>
      </c>
      <c r="B301">
        <v>23.85</v>
      </c>
      <c r="C301">
        <v>7.84</v>
      </c>
      <c r="D301" t="s">
        <v>4682</v>
      </c>
      <c r="E301" t="s">
        <v>4682</v>
      </c>
      <c r="F301" t="s">
        <v>4682</v>
      </c>
      <c r="G301">
        <v>0</v>
      </c>
      <c r="H301" t="s">
        <v>4683</v>
      </c>
      <c r="I301" t="str" cm="1">
        <f t="array" ref="I301">_xlfn.IFS(B301&lt;18.5, "Underweight", B301&lt;=24.9, "Normal Weight", B301&lt;=29.9, "Overweight", TRUE, "Obesity")</f>
        <v>Normal Weight</v>
      </c>
      <c r="J301" t="str" cm="1">
        <f t="array" ref="J301">_xlfn.IFS(C301&lt;5.7, "Normal", C301&lt;=6.4, "Prediabetes", TRUE, "Diabetes")</f>
        <v>Diabetes</v>
      </c>
    </row>
    <row r="302" spans="1:10">
      <c r="A302" t="s">
        <v>602</v>
      </c>
      <c r="B302">
        <v>40.020000000000003</v>
      </c>
      <c r="C302">
        <v>5.19</v>
      </c>
      <c r="D302" t="s">
        <v>4683</v>
      </c>
      <c r="E302" t="s">
        <v>4682</v>
      </c>
      <c r="F302" t="s">
        <v>4682</v>
      </c>
      <c r="G302">
        <v>1</v>
      </c>
      <c r="H302" t="s">
        <v>4683</v>
      </c>
      <c r="I302" t="str" cm="1">
        <f t="array" ref="I302">_xlfn.IFS(B302&lt;18.5, "Underweight", B302&lt;=24.9, "Normal Weight", B302&lt;=29.9, "Overweight", TRUE, "Obesity")</f>
        <v>Obesity</v>
      </c>
      <c r="J302" t="str" cm="1">
        <f t="array" ref="J302">_xlfn.IFS(C302&lt;5.7, "Normal", C302&lt;=6.4, "Prediabetes", TRUE, "Diabetes")</f>
        <v>Normal</v>
      </c>
    </row>
    <row r="303" spans="1:10">
      <c r="A303" t="s">
        <v>604</v>
      </c>
      <c r="B303">
        <v>19.170000000000002</v>
      </c>
      <c r="C303">
        <v>8.41</v>
      </c>
      <c r="D303" t="s">
        <v>4682</v>
      </c>
      <c r="E303" t="s">
        <v>4682</v>
      </c>
      <c r="F303" t="s">
        <v>4682</v>
      </c>
      <c r="G303">
        <v>0</v>
      </c>
      <c r="H303" t="s">
        <v>4683</v>
      </c>
      <c r="I303" t="str" cm="1">
        <f t="array" ref="I303">_xlfn.IFS(B303&lt;18.5, "Underweight", B303&lt;=24.9, "Normal Weight", B303&lt;=29.9, "Overweight", TRUE, "Obesity")</f>
        <v>Normal Weight</v>
      </c>
      <c r="J303" t="str" cm="1">
        <f t="array" ref="J303">_xlfn.IFS(C303&lt;5.7, "Normal", C303&lt;=6.4, "Prediabetes", TRUE, "Diabetes")</f>
        <v>Diabetes</v>
      </c>
    </row>
    <row r="304" spans="1:10">
      <c r="A304" t="s">
        <v>606</v>
      </c>
      <c r="B304">
        <v>43.53</v>
      </c>
      <c r="C304">
        <v>5.86</v>
      </c>
      <c r="D304" t="s">
        <v>4683</v>
      </c>
      <c r="E304" t="s">
        <v>4683</v>
      </c>
      <c r="F304" t="s">
        <v>4682</v>
      </c>
      <c r="G304">
        <v>2</v>
      </c>
      <c r="H304" t="s">
        <v>4683</v>
      </c>
      <c r="I304" t="str" cm="1">
        <f t="array" ref="I304">_xlfn.IFS(B304&lt;18.5, "Underweight", B304&lt;=24.9, "Normal Weight", B304&lt;=29.9, "Overweight", TRUE, "Obesity")</f>
        <v>Obesity</v>
      </c>
      <c r="J304" t="str" cm="1">
        <f t="array" ref="J304">_xlfn.IFS(C304&lt;5.7, "Normal", C304&lt;=6.4, "Prediabetes", TRUE, "Diabetes")</f>
        <v>Prediabetes</v>
      </c>
    </row>
    <row r="305" spans="1:10">
      <c r="A305" t="s">
        <v>608</v>
      </c>
      <c r="B305">
        <v>46.06</v>
      </c>
      <c r="C305">
        <v>4.18</v>
      </c>
      <c r="D305" t="s">
        <v>4682</v>
      </c>
      <c r="E305" t="s">
        <v>4683</v>
      </c>
      <c r="F305" t="s">
        <v>4682</v>
      </c>
      <c r="G305">
        <v>1</v>
      </c>
      <c r="H305" t="s">
        <v>4683</v>
      </c>
      <c r="I305" t="str" cm="1">
        <f t="array" ref="I305">_xlfn.IFS(B305&lt;18.5, "Underweight", B305&lt;=24.9, "Normal Weight", B305&lt;=29.9, "Overweight", TRUE, "Obesity")</f>
        <v>Obesity</v>
      </c>
      <c r="J305" t="str" cm="1">
        <f t="array" ref="J305">_xlfn.IFS(C305&lt;5.7, "Normal", C305&lt;=6.4, "Prediabetes", TRUE, "Diabetes")</f>
        <v>Normal</v>
      </c>
    </row>
    <row r="306" spans="1:10">
      <c r="A306" t="s">
        <v>610</v>
      </c>
      <c r="B306">
        <v>29.92</v>
      </c>
      <c r="C306">
        <v>11.99</v>
      </c>
      <c r="D306" t="s">
        <v>4683</v>
      </c>
      <c r="E306" t="s">
        <v>4682</v>
      </c>
      <c r="F306" t="s">
        <v>4682</v>
      </c>
      <c r="G306">
        <v>2</v>
      </c>
      <c r="H306" t="s">
        <v>4683</v>
      </c>
      <c r="I306" t="str" cm="1">
        <f t="array" ref="I306">_xlfn.IFS(B306&lt;18.5, "Underweight", B306&lt;=24.9, "Normal Weight", B306&lt;=29.9, "Overweight", TRUE, "Obesity")</f>
        <v>Obesity</v>
      </c>
      <c r="J306" t="str" cm="1">
        <f t="array" ref="J306">_xlfn.IFS(C306&lt;5.7, "Normal", C306&lt;=6.4, "Prediabetes", TRUE, "Diabetes")</f>
        <v>Diabetes</v>
      </c>
    </row>
    <row r="307" spans="1:10">
      <c r="A307" t="s">
        <v>612</v>
      </c>
      <c r="B307">
        <v>28.46</v>
      </c>
      <c r="C307">
        <v>4.8499999999999996</v>
      </c>
      <c r="D307" t="s">
        <v>4683</v>
      </c>
      <c r="E307" t="s">
        <v>4682</v>
      </c>
      <c r="F307" t="s">
        <v>4682</v>
      </c>
      <c r="G307">
        <v>1</v>
      </c>
      <c r="H307" t="s">
        <v>4683</v>
      </c>
      <c r="I307" t="str" cm="1">
        <f t="array" ref="I307">_xlfn.IFS(B307&lt;18.5, "Underweight", B307&lt;=24.9, "Normal Weight", B307&lt;=29.9, "Overweight", TRUE, "Obesity")</f>
        <v>Overweight</v>
      </c>
      <c r="J307" t="str" cm="1">
        <f t="array" ref="J307">_xlfn.IFS(C307&lt;5.7, "Normal", C307&lt;=6.4, "Prediabetes", TRUE, "Diabetes")</f>
        <v>Normal</v>
      </c>
    </row>
    <row r="308" spans="1:10">
      <c r="A308" t="s">
        <v>614</v>
      </c>
      <c r="B308">
        <v>24.56</v>
      </c>
      <c r="C308">
        <v>6.18</v>
      </c>
      <c r="D308" t="s">
        <v>4683</v>
      </c>
      <c r="E308" t="s">
        <v>4682</v>
      </c>
      <c r="F308" t="s">
        <v>4684</v>
      </c>
      <c r="G308">
        <v>1</v>
      </c>
      <c r="H308" t="s">
        <v>4683</v>
      </c>
      <c r="I308" t="str" cm="1">
        <f t="array" ref="I308">_xlfn.IFS(B308&lt;18.5, "Underweight", B308&lt;=24.9, "Normal Weight", B308&lt;=29.9, "Overweight", TRUE, "Obesity")</f>
        <v>Normal Weight</v>
      </c>
      <c r="J308" t="str" cm="1">
        <f t="array" ref="J308">_xlfn.IFS(C308&lt;5.7, "Normal", C308&lt;=6.4, "Prediabetes", TRUE, "Diabetes")</f>
        <v>Prediabetes</v>
      </c>
    </row>
    <row r="309" spans="1:10">
      <c r="A309" t="s">
        <v>616</v>
      </c>
      <c r="B309">
        <v>41.19</v>
      </c>
      <c r="C309">
        <v>6.37</v>
      </c>
      <c r="D309" t="s">
        <v>4682</v>
      </c>
      <c r="E309" t="s">
        <v>4682</v>
      </c>
      <c r="F309" t="s">
        <v>4682</v>
      </c>
      <c r="G309">
        <v>0</v>
      </c>
      <c r="H309" t="s">
        <v>4683</v>
      </c>
      <c r="I309" t="str" cm="1">
        <f t="array" ref="I309">_xlfn.IFS(B309&lt;18.5, "Underweight", B309&lt;=24.9, "Normal Weight", B309&lt;=29.9, "Overweight", TRUE, "Obesity")</f>
        <v>Obesity</v>
      </c>
      <c r="J309" t="str" cm="1">
        <f t="array" ref="J309">_xlfn.IFS(C309&lt;5.7, "Normal", C309&lt;=6.4, "Prediabetes", TRUE, "Diabetes")</f>
        <v>Prediabetes</v>
      </c>
    </row>
    <row r="310" spans="1:10">
      <c r="A310" t="s">
        <v>618</v>
      </c>
      <c r="B310">
        <v>18.63</v>
      </c>
      <c r="C310">
        <v>9.81</v>
      </c>
      <c r="D310" t="s">
        <v>4683</v>
      </c>
      <c r="E310" t="s">
        <v>4682</v>
      </c>
      <c r="F310" t="s">
        <v>4682</v>
      </c>
      <c r="G310">
        <v>2</v>
      </c>
      <c r="H310" t="s">
        <v>4683</v>
      </c>
      <c r="I310" t="str" cm="1">
        <f t="array" ref="I310">_xlfn.IFS(B310&lt;18.5, "Underweight", B310&lt;=24.9, "Normal Weight", B310&lt;=29.9, "Overweight", TRUE, "Obesity")</f>
        <v>Normal Weight</v>
      </c>
      <c r="J310" t="str" cm="1">
        <f t="array" ref="J310">_xlfn.IFS(C310&lt;5.7, "Normal", C310&lt;=6.4, "Prediabetes", TRUE, "Diabetes")</f>
        <v>Diabetes</v>
      </c>
    </row>
    <row r="311" spans="1:10">
      <c r="A311" t="s">
        <v>620</v>
      </c>
      <c r="B311">
        <v>26.26</v>
      </c>
      <c r="C311">
        <v>11.8</v>
      </c>
      <c r="D311" t="s">
        <v>4683</v>
      </c>
      <c r="E311" t="s">
        <v>4682</v>
      </c>
      <c r="F311" t="s">
        <v>4682</v>
      </c>
      <c r="G311">
        <v>1</v>
      </c>
      <c r="H311" t="s">
        <v>4683</v>
      </c>
      <c r="I311" t="str" cm="1">
        <f t="array" ref="I311">_xlfn.IFS(B311&lt;18.5, "Underweight", B311&lt;=24.9, "Normal Weight", B311&lt;=29.9, "Overweight", TRUE, "Obesity")</f>
        <v>Overweight</v>
      </c>
      <c r="J311" t="str" cm="1">
        <f t="array" ref="J311">_xlfn.IFS(C311&lt;5.7, "Normal", C311&lt;=6.4, "Prediabetes", TRUE, "Diabetes")</f>
        <v>Diabetes</v>
      </c>
    </row>
    <row r="312" spans="1:10">
      <c r="A312" t="s">
        <v>622</v>
      </c>
      <c r="B312">
        <v>22.37</v>
      </c>
      <c r="C312">
        <v>5.86</v>
      </c>
      <c r="D312" t="s">
        <v>4683</v>
      </c>
      <c r="E312" t="s">
        <v>4682</v>
      </c>
      <c r="F312" t="s">
        <v>4684</v>
      </c>
      <c r="G312">
        <v>1</v>
      </c>
      <c r="H312" t="s">
        <v>4683</v>
      </c>
      <c r="I312" t="str" cm="1">
        <f t="array" ref="I312">_xlfn.IFS(B312&lt;18.5, "Underweight", B312&lt;=24.9, "Normal Weight", B312&lt;=29.9, "Overweight", TRUE, "Obesity")</f>
        <v>Normal Weight</v>
      </c>
      <c r="J312" t="str" cm="1">
        <f t="array" ref="J312">_xlfn.IFS(C312&lt;5.7, "Normal", C312&lt;=6.4, "Prediabetes", TRUE, "Diabetes")</f>
        <v>Prediabetes</v>
      </c>
    </row>
    <row r="313" spans="1:10">
      <c r="A313" t="s">
        <v>624</v>
      </c>
      <c r="B313">
        <v>39.619999999999997</v>
      </c>
      <c r="C313">
        <v>4.28</v>
      </c>
      <c r="D313" t="s">
        <v>4682</v>
      </c>
      <c r="E313" t="s">
        <v>4682</v>
      </c>
      <c r="F313" t="s">
        <v>4682</v>
      </c>
      <c r="G313">
        <v>1</v>
      </c>
      <c r="H313" t="s">
        <v>4683</v>
      </c>
      <c r="I313" t="str" cm="1">
        <f t="array" ref="I313">_xlfn.IFS(B313&lt;18.5, "Underweight", B313&lt;=24.9, "Normal Weight", B313&lt;=29.9, "Overweight", TRUE, "Obesity")</f>
        <v>Obesity</v>
      </c>
      <c r="J313" t="str" cm="1">
        <f t="array" ref="J313">_xlfn.IFS(C313&lt;5.7, "Normal", C313&lt;=6.4, "Prediabetes", TRUE, "Diabetes")</f>
        <v>Normal</v>
      </c>
    </row>
    <row r="314" spans="1:10">
      <c r="A314" t="s">
        <v>626</v>
      </c>
      <c r="B314">
        <v>18.329999999999998</v>
      </c>
      <c r="C314">
        <v>4.16</v>
      </c>
      <c r="D314" t="s">
        <v>4683</v>
      </c>
      <c r="E314" t="s">
        <v>4682</v>
      </c>
      <c r="F314" t="s">
        <v>4682</v>
      </c>
      <c r="G314">
        <v>0</v>
      </c>
      <c r="H314" t="s">
        <v>4683</v>
      </c>
      <c r="I314" t="str" cm="1">
        <f t="array" ref="I314">_xlfn.IFS(B314&lt;18.5, "Underweight", B314&lt;=24.9, "Normal Weight", B314&lt;=29.9, "Overweight", TRUE, "Obesity")</f>
        <v>Underweight</v>
      </c>
      <c r="J314" t="str" cm="1">
        <f t="array" ref="J314">_xlfn.IFS(C314&lt;5.7, "Normal", C314&lt;=6.4, "Prediabetes", TRUE, "Diabetes")</f>
        <v>Normal</v>
      </c>
    </row>
    <row r="315" spans="1:10">
      <c r="A315" t="s">
        <v>628</v>
      </c>
      <c r="B315">
        <v>17.11</v>
      </c>
      <c r="C315">
        <v>4.9800000000000004</v>
      </c>
      <c r="D315" t="s">
        <v>4683</v>
      </c>
      <c r="E315" t="s">
        <v>4682</v>
      </c>
      <c r="F315" t="s">
        <v>4684</v>
      </c>
      <c r="G315">
        <v>1</v>
      </c>
      <c r="H315" t="s">
        <v>4683</v>
      </c>
      <c r="I315" t="str" cm="1">
        <f t="array" ref="I315">_xlfn.IFS(B315&lt;18.5, "Underweight", B315&lt;=24.9, "Normal Weight", B315&lt;=29.9, "Overweight", TRUE, "Obesity")</f>
        <v>Underweight</v>
      </c>
      <c r="J315" t="str" cm="1">
        <f t="array" ref="J315">_xlfn.IFS(C315&lt;5.7, "Normal", C315&lt;=6.4, "Prediabetes", TRUE, "Diabetes")</f>
        <v>Normal</v>
      </c>
    </row>
    <row r="316" spans="1:10">
      <c r="A316" t="s">
        <v>630</v>
      </c>
      <c r="B316">
        <v>43.5</v>
      </c>
      <c r="C316">
        <v>6.38</v>
      </c>
      <c r="D316" t="s">
        <v>4682</v>
      </c>
      <c r="E316" t="s">
        <v>4683</v>
      </c>
      <c r="F316" t="s">
        <v>4682</v>
      </c>
      <c r="G316">
        <v>1</v>
      </c>
      <c r="H316" t="s">
        <v>4683</v>
      </c>
      <c r="I316" t="str" cm="1">
        <f t="array" ref="I316">_xlfn.IFS(B316&lt;18.5, "Underweight", B316&lt;=24.9, "Normal Weight", B316&lt;=29.9, "Overweight", TRUE, "Obesity")</f>
        <v>Obesity</v>
      </c>
      <c r="J316" t="str" cm="1">
        <f t="array" ref="J316">_xlfn.IFS(C316&lt;5.7, "Normal", C316&lt;=6.4, "Prediabetes", TRUE, "Diabetes")</f>
        <v>Prediabetes</v>
      </c>
    </row>
    <row r="317" spans="1:10">
      <c r="A317" t="s">
        <v>632</v>
      </c>
      <c r="B317">
        <v>25.364999999999998</v>
      </c>
      <c r="C317">
        <v>5.19</v>
      </c>
      <c r="D317" t="s">
        <v>4682</v>
      </c>
      <c r="E317" t="s">
        <v>4682</v>
      </c>
      <c r="F317" t="s">
        <v>4682</v>
      </c>
      <c r="G317">
        <v>2</v>
      </c>
      <c r="H317" t="s">
        <v>4682</v>
      </c>
      <c r="I317" t="str" cm="1">
        <f t="array" ref="I317">_xlfn.IFS(B317&lt;18.5, "Underweight", B317&lt;=24.9, "Normal Weight", B317&lt;=29.9, "Overweight", TRUE, "Obesity")</f>
        <v>Overweight</v>
      </c>
      <c r="J317" t="str" cm="1">
        <f t="array" ref="J317">_xlfn.IFS(C317&lt;5.7, "Normal", C317&lt;=6.4, "Prediabetes", TRUE, "Diabetes")</f>
        <v>Normal</v>
      </c>
    </row>
    <row r="318" spans="1:10">
      <c r="A318" t="s">
        <v>634</v>
      </c>
      <c r="B318">
        <v>28.594999999999999</v>
      </c>
      <c r="C318">
        <v>10.210000000000001</v>
      </c>
      <c r="D318" t="s">
        <v>4682</v>
      </c>
      <c r="E318" t="s">
        <v>4682</v>
      </c>
      <c r="F318" t="s">
        <v>4682</v>
      </c>
      <c r="G318">
        <v>0</v>
      </c>
      <c r="H318" t="s">
        <v>4682</v>
      </c>
      <c r="I318" t="str" cm="1">
        <f t="array" ref="I318">_xlfn.IFS(B318&lt;18.5, "Underweight", B318&lt;=24.9, "Normal Weight", B318&lt;=29.9, "Overweight", TRUE, "Obesity")</f>
        <v>Overweight</v>
      </c>
      <c r="J318" t="str" cm="1">
        <f t="array" ref="J318">_xlfn.IFS(C318&lt;5.7, "Normal", C318&lt;=6.4, "Prediabetes", TRUE, "Diabetes")</f>
        <v>Diabetes</v>
      </c>
    </row>
    <row r="319" spans="1:10">
      <c r="A319" t="s">
        <v>636</v>
      </c>
      <c r="B319">
        <v>29.83</v>
      </c>
      <c r="C319">
        <v>9.6999999999999993</v>
      </c>
      <c r="D319" t="s">
        <v>4683</v>
      </c>
      <c r="E319" t="s">
        <v>4682</v>
      </c>
      <c r="F319" t="s">
        <v>4684</v>
      </c>
      <c r="G319">
        <v>1</v>
      </c>
      <c r="H319" t="s">
        <v>4683</v>
      </c>
      <c r="I319" t="str" cm="1">
        <f t="array" ref="I319">_xlfn.IFS(B319&lt;18.5, "Underweight", B319&lt;=24.9, "Normal Weight", B319&lt;=29.9, "Overweight", TRUE, "Obesity")</f>
        <v>Overweight</v>
      </c>
      <c r="J319" t="str" cm="1">
        <f t="array" ref="J319">_xlfn.IFS(C319&lt;5.7, "Normal", C319&lt;=6.4, "Prediabetes", TRUE, "Diabetes")</f>
        <v>Diabetes</v>
      </c>
    </row>
    <row r="320" spans="1:10">
      <c r="A320" t="s">
        <v>638</v>
      </c>
      <c r="B320">
        <v>24.7</v>
      </c>
      <c r="C320">
        <v>10.25</v>
      </c>
      <c r="D320" t="s">
        <v>4682</v>
      </c>
      <c r="E320" t="s">
        <v>4682</v>
      </c>
      <c r="F320" t="s">
        <v>4682</v>
      </c>
      <c r="G320">
        <v>3</v>
      </c>
      <c r="H320" t="s">
        <v>4682</v>
      </c>
      <c r="I320" t="str" cm="1">
        <f t="array" ref="I320">_xlfn.IFS(B320&lt;18.5, "Underweight", B320&lt;=24.9, "Normal Weight", B320&lt;=29.9, "Overweight", TRUE, "Obesity")</f>
        <v>Normal Weight</v>
      </c>
      <c r="J320" t="str" cm="1">
        <f t="array" ref="J320">_xlfn.IFS(C320&lt;5.7, "Normal", C320&lt;=6.4, "Prediabetes", TRUE, "Diabetes")</f>
        <v>Diabetes</v>
      </c>
    </row>
    <row r="321" spans="1:10">
      <c r="A321" t="s">
        <v>640</v>
      </c>
      <c r="B321">
        <v>17.940000000000001</v>
      </c>
      <c r="C321">
        <v>9.77</v>
      </c>
      <c r="D321" t="s">
        <v>4682</v>
      </c>
      <c r="E321" t="s">
        <v>4682</v>
      </c>
      <c r="F321" t="s">
        <v>4682</v>
      </c>
      <c r="G321">
        <v>0</v>
      </c>
      <c r="H321" t="s">
        <v>4683</v>
      </c>
      <c r="I321" t="str" cm="1">
        <f t="array" ref="I321">_xlfn.IFS(B321&lt;18.5, "Underweight", B321&lt;=24.9, "Normal Weight", B321&lt;=29.9, "Overweight", TRUE, "Obesity")</f>
        <v>Underweight</v>
      </c>
      <c r="J321" t="str" cm="1">
        <f t="array" ref="J321">_xlfn.IFS(C321&lt;5.7, "Normal", C321&lt;=6.4, "Prediabetes", TRUE, "Diabetes")</f>
        <v>Diabetes</v>
      </c>
    </row>
    <row r="322" spans="1:10">
      <c r="A322" t="s">
        <v>642</v>
      </c>
      <c r="B322">
        <v>21.08</v>
      </c>
      <c r="C322">
        <v>4.83</v>
      </c>
      <c r="D322" t="s">
        <v>4682</v>
      </c>
      <c r="E322" t="s">
        <v>4682</v>
      </c>
      <c r="F322" t="s">
        <v>4684</v>
      </c>
      <c r="G322">
        <v>1</v>
      </c>
      <c r="H322" t="s">
        <v>4683</v>
      </c>
      <c r="I322" t="str" cm="1">
        <f t="array" ref="I322">_xlfn.IFS(B322&lt;18.5, "Underweight", B322&lt;=24.9, "Normal Weight", B322&lt;=29.9, "Overweight", TRUE, "Obesity")</f>
        <v>Normal Weight</v>
      </c>
      <c r="J322" t="str" cm="1">
        <f t="array" ref="J322">_xlfn.IFS(C322&lt;5.7, "Normal", C322&lt;=6.4, "Prediabetes", TRUE, "Diabetes")</f>
        <v>Normal</v>
      </c>
    </row>
    <row r="323" spans="1:10">
      <c r="A323" t="s">
        <v>644</v>
      </c>
      <c r="B323">
        <v>37.715000000000003</v>
      </c>
      <c r="C323">
        <v>10.86</v>
      </c>
      <c r="D323" t="s">
        <v>4683</v>
      </c>
      <c r="E323" t="s">
        <v>4682</v>
      </c>
      <c r="F323" t="s">
        <v>4682</v>
      </c>
      <c r="G323">
        <v>0</v>
      </c>
      <c r="H323" t="s">
        <v>4682</v>
      </c>
      <c r="I323" t="str" cm="1">
        <f t="array" ref="I323">_xlfn.IFS(B323&lt;18.5, "Underweight", B323&lt;=24.9, "Normal Weight", B323&lt;=29.9, "Overweight", TRUE, "Obesity")</f>
        <v>Obesity</v>
      </c>
      <c r="J323" t="str" cm="1">
        <f t="array" ref="J323">_xlfn.IFS(C323&lt;5.7, "Normal", C323&lt;=6.4, "Prediabetes", TRUE, "Diabetes")</f>
        <v>Diabetes</v>
      </c>
    </row>
    <row r="324" spans="1:10">
      <c r="A324" t="s">
        <v>646</v>
      </c>
      <c r="B324">
        <v>22.39</v>
      </c>
      <c r="C324">
        <v>9.5299999999999994</v>
      </c>
      <c r="D324" t="s">
        <v>4683</v>
      </c>
      <c r="E324" t="s">
        <v>4682</v>
      </c>
      <c r="F324" t="s">
        <v>4682</v>
      </c>
      <c r="G324">
        <v>0</v>
      </c>
      <c r="H324" t="s">
        <v>4683</v>
      </c>
      <c r="I324" t="str" cm="1">
        <f t="array" ref="I324">_xlfn.IFS(B324&lt;18.5, "Underweight", B324&lt;=24.9, "Normal Weight", B324&lt;=29.9, "Overweight", TRUE, "Obesity")</f>
        <v>Normal Weight</v>
      </c>
      <c r="J324" t="str" cm="1">
        <f t="array" ref="J324">_xlfn.IFS(C324&lt;5.7, "Normal", C324&lt;=6.4, "Prediabetes", TRUE, "Diabetes")</f>
        <v>Diabetes</v>
      </c>
    </row>
    <row r="325" spans="1:10">
      <c r="A325" t="s">
        <v>648</v>
      </c>
      <c r="B325">
        <v>28.78</v>
      </c>
      <c r="C325">
        <v>5.68</v>
      </c>
      <c r="D325" t="s">
        <v>4682</v>
      </c>
      <c r="E325" t="s">
        <v>4682</v>
      </c>
      <c r="F325" t="s">
        <v>4682</v>
      </c>
      <c r="G325">
        <v>0</v>
      </c>
      <c r="H325" t="s">
        <v>4683</v>
      </c>
      <c r="I325" t="str" cm="1">
        <f t="array" ref="I325">_xlfn.IFS(B325&lt;18.5, "Underweight", B325&lt;=24.9, "Normal Weight", B325&lt;=29.9, "Overweight", TRUE, "Obesity")</f>
        <v>Overweight</v>
      </c>
      <c r="J325" t="str" cm="1">
        <f t="array" ref="J325">_xlfn.IFS(C325&lt;5.7, "Normal", C325&lt;=6.4, "Prediabetes", TRUE, "Diabetes")</f>
        <v>Normal</v>
      </c>
    </row>
    <row r="326" spans="1:10">
      <c r="A326" t="s">
        <v>650</v>
      </c>
      <c r="B326">
        <v>18.329999999999998</v>
      </c>
      <c r="C326">
        <v>5.57</v>
      </c>
      <c r="D326" t="s">
        <v>4683</v>
      </c>
      <c r="E326" t="s">
        <v>4682</v>
      </c>
      <c r="F326" t="s">
        <v>4682</v>
      </c>
      <c r="G326">
        <v>0</v>
      </c>
      <c r="H326" t="s">
        <v>4683</v>
      </c>
      <c r="I326" t="str" cm="1">
        <f t="array" ref="I326">_xlfn.IFS(B326&lt;18.5, "Underweight", B326&lt;=24.9, "Normal Weight", B326&lt;=29.9, "Overweight", TRUE, "Obesity")</f>
        <v>Underweight</v>
      </c>
      <c r="J326" t="str" cm="1">
        <f t="array" ref="J326">_xlfn.IFS(C326&lt;5.7, "Normal", C326&lt;=6.4, "Prediabetes", TRUE, "Diabetes")</f>
        <v>Normal</v>
      </c>
    </row>
    <row r="327" spans="1:10">
      <c r="A327" t="s">
        <v>652</v>
      </c>
      <c r="B327">
        <v>26.39</v>
      </c>
      <c r="C327">
        <v>4.58</v>
      </c>
      <c r="D327" t="s">
        <v>4683</v>
      </c>
      <c r="E327" t="s">
        <v>4682</v>
      </c>
      <c r="F327" t="s">
        <v>4682</v>
      </c>
      <c r="G327">
        <v>1</v>
      </c>
      <c r="H327" t="s">
        <v>4683</v>
      </c>
      <c r="I327" t="str" cm="1">
        <f t="array" ref="I327">_xlfn.IFS(B327&lt;18.5, "Underweight", B327&lt;=24.9, "Normal Weight", B327&lt;=29.9, "Overweight", TRUE, "Obesity")</f>
        <v>Overweight</v>
      </c>
      <c r="J327" t="str" cm="1">
        <f t="array" ref="J327">_xlfn.IFS(C327&lt;5.7, "Normal", C327&lt;=6.4, "Prediabetes", TRUE, "Diabetes")</f>
        <v>Normal</v>
      </c>
    </row>
    <row r="328" spans="1:10">
      <c r="A328" t="s">
        <v>654</v>
      </c>
      <c r="B328">
        <v>19.260000000000002</v>
      </c>
      <c r="C328">
        <v>8.9600000000000009</v>
      </c>
      <c r="D328" t="s">
        <v>4683</v>
      </c>
      <c r="E328" t="s">
        <v>4682</v>
      </c>
      <c r="F328" t="s">
        <v>4682</v>
      </c>
      <c r="G328">
        <v>1</v>
      </c>
      <c r="H328" t="s">
        <v>4683</v>
      </c>
      <c r="I328" t="str" cm="1">
        <f t="array" ref="I328">_xlfn.IFS(B328&lt;18.5, "Underweight", B328&lt;=24.9, "Normal Weight", B328&lt;=29.9, "Overweight", TRUE, "Obesity")</f>
        <v>Normal Weight</v>
      </c>
      <c r="J328" t="str" cm="1">
        <f t="array" ref="J328">_xlfn.IFS(C328&lt;5.7, "Normal", C328&lt;=6.4, "Prediabetes", TRUE, "Diabetes")</f>
        <v>Diabetes</v>
      </c>
    </row>
    <row r="329" spans="1:10">
      <c r="A329" t="s">
        <v>656</v>
      </c>
      <c r="B329">
        <v>26.92</v>
      </c>
      <c r="C329">
        <v>6.09</v>
      </c>
      <c r="D329" t="s">
        <v>4682</v>
      </c>
      <c r="E329" t="s">
        <v>4682</v>
      </c>
      <c r="F329" t="s">
        <v>4682</v>
      </c>
      <c r="G329">
        <v>0</v>
      </c>
      <c r="H329" t="s">
        <v>4683</v>
      </c>
      <c r="I329" t="str" cm="1">
        <f t="array" ref="I329">_xlfn.IFS(B329&lt;18.5, "Underweight", B329&lt;=24.9, "Normal Weight", B329&lt;=29.9, "Overweight", TRUE, "Obesity")</f>
        <v>Overweight</v>
      </c>
      <c r="J329" t="str" cm="1">
        <f t="array" ref="J329">_xlfn.IFS(C329&lt;5.7, "Normal", C329&lt;=6.4, "Prediabetes", TRUE, "Diabetes")</f>
        <v>Prediabetes</v>
      </c>
    </row>
    <row r="330" spans="1:10">
      <c r="A330" t="s">
        <v>658</v>
      </c>
      <c r="B330">
        <v>19.73</v>
      </c>
      <c r="C330">
        <v>4.3600000000000003</v>
      </c>
      <c r="D330" t="s">
        <v>4682</v>
      </c>
      <c r="E330" t="s">
        <v>4682</v>
      </c>
      <c r="F330" t="s">
        <v>4682</v>
      </c>
      <c r="G330">
        <v>0</v>
      </c>
      <c r="H330" t="s">
        <v>4683</v>
      </c>
      <c r="I330" t="str" cm="1">
        <f t="array" ref="I330">_xlfn.IFS(B330&lt;18.5, "Underweight", B330&lt;=24.9, "Normal Weight", B330&lt;=29.9, "Overweight", TRUE, "Obesity")</f>
        <v>Normal Weight</v>
      </c>
      <c r="J330" t="str" cm="1">
        <f t="array" ref="J330">_xlfn.IFS(C330&lt;5.7, "Normal", C330&lt;=6.4, "Prediabetes", TRUE, "Diabetes")</f>
        <v>Normal</v>
      </c>
    </row>
    <row r="331" spans="1:10">
      <c r="A331" t="s">
        <v>660</v>
      </c>
      <c r="B331">
        <v>23.56</v>
      </c>
      <c r="C331">
        <v>11.74</v>
      </c>
      <c r="D331" t="s">
        <v>4683</v>
      </c>
      <c r="E331" t="s">
        <v>4682</v>
      </c>
      <c r="F331" t="s">
        <v>4682</v>
      </c>
      <c r="G331">
        <v>0</v>
      </c>
      <c r="H331" t="s">
        <v>4683</v>
      </c>
      <c r="I331" t="str" cm="1">
        <f t="array" ref="I331">_xlfn.IFS(B331&lt;18.5, "Underweight", B331&lt;=24.9, "Normal Weight", B331&lt;=29.9, "Overweight", TRUE, "Obesity")</f>
        <v>Normal Weight</v>
      </c>
      <c r="J331" t="str" cm="1">
        <f t="array" ref="J331">_xlfn.IFS(C331&lt;5.7, "Normal", C331&lt;=6.4, "Prediabetes", TRUE, "Diabetes")</f>
        <v>Diabetes</v>
      </c>
    </row>
    <row r="332" spans="1:10">
      <c r="A332" t="s">
        <v>662</v>
      </c>
      <c r="B332">
        <v>37.67</v>
      </c>
      <c r="C332">
        <v>5.89</v>
      </c>
      <c r="D332" t="s">
        <v>4682</v>
      </c>
      <c r="E332" t="s">
        <v>4682</v>
      </c>
      <c r="F332" t="s">
        <v>4682</v>
      </c>
      <c r="G332">
        <v>1</v>
      </c>
      <c r="H332" t="s">
        <v>4683</v>
      </c>
      <c r="I332" t="str" cm="1">
        <f t="array" ref="I332">_xlfn.IFS(B332&lt;18.5, "Underweight", B332&lt;=24.9, "Normal Weight", B332&lt;=29.9, "Overweight", TRUE, "Obesity")</f>
        <v>Obesity</v>
      </c>
      <c r="J332" t="str" cm="1">
        <f t="array" ref="J332">_xlfn.IFS(C332&lt;5.7, "Normal", C332&lt;=6.4, "Prediabetes", TRUE, "Diabetes")</f>
        <v>Prediabetes</v>
      </c>
    </row>
    <row r="333" spans="1:10">
      <c r="A333" t="s">
        <v>664</v>
      </c>
      <c r="B333">
        <v>18.73</v>
      </c>
      <c r="C333">
        <v>10.64</v>
      </c>
      <c r="D333" t="s">
        <v>4682</v>
      </c>
      <c r="E333" t="s">
        <v>4682</v>
      </c>
      <c r="F333" t="s">
        <v>4682</v>
      </c>
      <c r="G333">
        <v>2</v>
      </c>
      <c r="H333" t="s">
        <v>4683</v>
      </c>
      <c r="I333" t="str" cm="1">
        <f t="array" ref="I333">_xlfn.IFS(B333&lt;18.5, "Underweight", B333&lt;=24.9, "Normal Weight", B333&lt;=29.9, "Overweight", TRUE, "Obesity")</f>
        <v>Normal Weight</v>
      </c>
      <c r="J333" t="str" cm="1">
        <f t="array" ref="J333">_xlfn.IFS(C333&lt;5.7, "Normal", C333&lt;=6.4, "Prediabetes", TRUE, "Diabetes")</f>
        <v>Diabetes</v>
      </c>
    </row>
    <row r="334" spans="1:10">
      <c r="A334" t="s">
        <v>666</v>
      </c>
      <c r="B334">
        <v>33.090000000000003</v>
      </c>
      <c r="C334">
        <v>6.06</v>
      </c>
      <c r="D334" t="s">
        <v>4682</v>
      </c>
      <c r="E334" t="s">
        <v>4682</v>
      </c>
      <c r="F334" t="s">
        <v>4684</v>
      </c>
      <c r="G334">
        <v>1</v>
      </c>
      <c r="H334" t="s">
        <v>4683</v>
      </c>
      <c r="I334" t="str" cm="1">
        <f t="array" ref="I334">_xlfn.IFS(B334&lt;18.5, "Underweight", B334&lt;=24.9, "Normal Weight", B334&lt;=29.9, "Overweight", TRUE, "Obesity")</f>
        <v>Obesity</v>
      </c>
      <c r="J334" t="str" cm="1">
        <f t="array" ref="J334">_xlfn.IFS(C334&lt;5.7, "Normal", C334&lt;=6.4, "Prediabetes", TRUE, "Diabetes")</f>
        <v>Prediabetes</v>
      </c>
    </row>
    <row r="335" spans="1:10">
      <c r="A335" t="s">
        <v>668</v>
      </c>
      <c r="B335">
        <v>18.329999999999998</v>
      </c>
      <c r="C335">
        <v>7.46</v>
      </c>
      <c r="D335" t="s">
        <v>4683</v>
      </c>
      <c r="E335" t="s">
        <v>4682</v>
      </c>
      <c r="F335" t="s">
        <v>4682</v>
      </c>
      <c r="G335">
        <v>1</v>
      </c>
      <c r="H335" t="s">
        <v>4683</v>
      </c>
      <c r="I335" t="str" cm="1">
        <f t="array" ref="I335">_xlfn.IFS(B335&lt;18.5, "Underweight", B335&lt;=24.9, "Normal Weight", B335&lt;=29.9, "Overweight", TRUE, "Obesity")</f>
        <v>Underweight</v>
      </c>
      <c r="J335" t="str" cm="1">
        <f t="array" ref="J335">_xlfn.IFS(C335&lt;5.7, "Normal", C335&lt;=6.4, "Prediabetes", TRUE, "Diabetes")</f>
        <v>Diabetes</v>
      </c>
    </row>
    <row r="336" spans="1:10">
      <c r="A336" t="s">
        <v>670</v>
      </c>
      <c r="B336">
        <v>27.74</v>
      </c>
      <c r="C336">
        <v>4.68</v>
      </c>
      <c r="D336" t="s">
        <v>4683</v>
      </c>
      <c r="E336" t="s">
        <v>4682</v>
      </c>
      <c r="F336" t="s">
        <v>4682</v>
      </c>
      <c r="G336">
        <v>2</v>
      </c>
      <c r="H336" t="s">
        <v>4683</v>
      </c>
      <c r="I336" t="str" cm="1">
        <f t="array" ref="I336">_xlfn.IFS(B336&lt;18.5, "Underweight", B336&lt;=24.9, "Normal Weight", B336&lt;=29.9, "Overweight", TRUE, "Obesity")</f>
        <v>Overweight</v>
      </c>
      <c r="J336" t="str" cm="1">
        <f t="array" ref="J336">_xlfn.IFS(C336&lt;5.7, "Normal", C336&lt;=6.4, "Prediabetes", TRUE, "Diabetes")</f>
        <v>Normal</v>
      </c>
    </row>
    <row r="337" spans="1:10">
      <c r="A337" t="s">
        <v>672</v>
      </c>
      <c r="B337">
        <v>24.2</v>
      </c>
      <c r="C337">
        <v>6.15</v>
      </c>
      <c r="D337" t="s">
        <v>4682</v>
      </c>
      <c r="E337" t="s">
        <v>4682</v>
      </c>
      <c r="F337" t="s">
        <v>4682</v>
      </c>
      <c r="G337">
        <v>1</v>
      </c>
      <c r="H337" t="s">
        <v>4683</v>
      </c>
      <c r="I337" t="str" cm="1">
        <f t="array" ref="I337">_xlfn.IFS(B337&lt;18.5, "Underweight", B337&lt;=24.9, "Normal Weight", B337&lt;=29.9, "Overweight", TRUE, "Obesity")</f>
        <v>Normal Weight</v>
      </c>
      <c r="J337" t="str" cm="1">
        <f t="array" ref="J337">_xlfn.IFS(C337&lt;5.7, "Normal", C337&lt;=6.4, "Prediabetes", TRUE, "Diabetes")</f>
        <v>Prediabetes</v>
      </c>
    </row>
    <row r="338" spans="1:10">
      <c r="A338" t="s">
        <v>674</v>
      </c>
      <c r="B338">
        <v>22.03</v>
      </c>
      <c r="C338">
        <v>4.28</v>
      </c>
      <c r="D338" t="s">
        <v>4683</v>
      </c>
      <c r="E338" t="s">
        <v>4682</v>
      </c>
      <c r="F338" t="s">
        <v>4682</v>
      </c>
      <c r="G338">
        <v>0</v>
      </c>
      <c r="H338" t="s">
        <v>4683</v>
      </c>
      <c r="I338" t="str" cm="1">
        <f t="array" ref="I338">_xlfn.IFS(B338&lt;18.5, "Underweight", B338&lt;=24.9, "Normal Weight", B338&lt;=29.9, "Overweight", TRUE, "Obesity")</f>
        <v>Normal Weight</v>
      </c>
      <c r="J338" t="str" cm="1">
        <f t="array" ref="J338">_xlfn.IFS(C338&lt;5.7, "Normal", C338&lt;=6.4, "Prediabetes", TRUE, "Diabetes")</f>
        <v>Normal</v>
      </c>
    </row>
    <row r="339" spans="1:10">
      <c r="A339" t="s">
        <v>676</v>
      </c>
      <c r="B339">
        <v>26.885000000000002</v>
      </c>
      <c r="C339">
        <v>9.86</v>
      </c>
      <c r="D339" t="s">
        <v>4682</v>
      </c>
      <c r="E339" t="s">
        <v>4682</v>
      </c>
      <c r="F339" t="s">
        <v>4682</v>
      </c>
      <c r="G339">
        <v>3</v>
      </c>
      <c r="H339" t="s">
        <v>4683</v>
      </c>
      <c r="I339" t="str" cm="1">
        <f t="array" ref="I339">_xlfn.IFS(B339&lt;18.5, "Underweight", B339&lt;=24.9, "Normal Weight", B339&lt;=29.9, "Overweight", TRUE, "Obesity")</f>
        <v>Overweight</v>
      </c>
      <c r="J339" t="str" cm="1">
        <f t="array" ref="J339">_xlfn.IFS(C339&lt;5.7, "Normal", C339&lt;=6.4, "Prediabetes", TRUE, "Diabetes")</f>
        <v>Diabetes</v>
      </c>
    </row>
    <row r="340" spans="1:10">
      <c r="A340" t="s">
        <v>678</v>
      </c>
      <c r="B340">
        <v>16.36</v>
      </c>
      <c r="C340">
        <v>11.19</v>
      </c>
      <c r="D340" t="s">
        <v>4682</v>
      </c>
      <c r="E340" t="s">
        <v>4682</v>
      </c>
      <c r="F340" t="s">
        <v>4682</v>
      </c>
      <c r="G340">
        <v>0</v>
      </c>
      <c r="H340" t="s">
        <v>4683</v>
      </c>
      <c r="I340" t="str" cm="1">
        <f t="array" ref="I340">_xlfn.IFS(B340&lt;18.5, "Underweight", B340&lt;=24.9, "Normal Weight", B340&lt;=29.9, "Overweight", TRUE, "Obesity")</f>
        <v>Underweight</v>
      </c>
      <c r="J340" t="str" cm="1">
        <f t="array" ref="J340">_xlfn.IFS(C340&lt;5.7, "Normal", C340&lt;=6.4, "Prediabetes", TRUE, "Diabetes")</f>
        <v>Diabetes</v>
      </c>
    </row>
    <row r="341" spans="1:10">
      <c r="A341" t="s">
        <v>680</v>
      </c>
      <c r="B341">
        <v>32.299999999999997</v>
      </c>
      <c r="C341">
        <v>4.8899999999999997</v>
      </c>
      <c r="D341" t="s">
        <v>4683</v>
      </c>
      <c r="E341" t="s">
        <v>4682</v>
      </c>
      <c r="F341" t="s">
        <v>4684</v>
      </c>
      <c r="G341">
        <v>1</v>
      </c>
      <c r="H341" t="s">
        <v>4682</v>
      </c>
      <c r="I341" t="str" cm="1">
        <f t="array" ref="I341">_xlfn.IFS(B341&lt;18.5, "Underweight", B341&lt;=24.9, "Normal Weight", B341&lt;=29.9, "Overweight", TRUE, "Obesity")</f>
        <v>Obesity</v>
      </c>
      <c r="J341" t="str" cm="1">
        <f t="array" ref="J341">_xlfn.IFS(C341&lt;5.7, "Normal", C341&lt;=6.4, "Prediabetes", TRUE, "Diabetes")</f>
        <v>Normal</v>
      </c>
    </row>
    <row r="342" spans="1:10">
      <c r="A342" t="s">
        <v>682</v>
      </c>
      <c r="B342">
        <v>16.05</v>
      </c>
      <c r="C342">
        <v>4.3499999999999996</v>
      </c>
      <c r="D342" t="s">
        <v>4683</v>
      </c>
      <c r="E342" t="s">
        <v>4682</v>
      </c>
      <c r="F342" t="s">
        <v>4682</v>
      </c>
      <c r="G342">
        <v>0</v>
      </c>
      <c r="H342" t="s">
        <v>4683</v>
      </c>
      <c r="I342" t="str" cm="1">
        <f t="array" ref="I342">_xlfn.IFS(B342&lt;18.5, "Underweight", B342&lt;=24.9, "Normal Weight", B342&lt;=29.9, "Overweight", TRUE, "Obesity")</f>
        <v>Underweight</v>
      </c>
      <c r="J342" t="str" cm="1">
        <f t="array" ref="J342">_xlfn.IFS(C342&lt;5.7, "Normal", C342&lt;=6.4, "Prediabetes", TRUE, "Diabetes")</f>
        <v>Normal</v>
      </c>
    </row>
    <row r="343" spans="1:10">
      <c r="A343" t="s">
        <v>684</v>
      </c>
      <c r="B343">
        <v>29.07</v>
      </c>
      <c r="C343">
        <v>8.66</v>
      </c>
      <c r="D343" t="s">
        <v>4683</v>
      </c>
      <c r="E343" t="s">
        <v>4682</v>
      </c>
      <c r="F343" t="s">
        <v>4682</v>
      </c>
      <c r="G343">
        <v>2</v>
      </c>
      <c r="H343" t="s">
        <v>4683</v>
      </c>
      <c r="I343" t="str" cm="1">
        <f t="array" ref="I343">_xlfn.IFS(B343&lt;18.5, "Underweight", B343&lt;=24.9, "Normal Weight", B343&lt;=29.9, "Overweight", TRUE, "Obesity")</f>
        <v>Overweight</v>
      </c>
      <c r="J343" t="str" cm="1">
        <f t="array" ref="J343">_xlfn.IFS(C343&lt;5.7, "Normal", C343&lt;=6.4, "Prediabetes", TRUE, "Diabetes")</f>
        <v>Diabetes</v>
      </c>
    </row>
    <row r="344" spans="1:10">
      <c r="A344" t="s">
        <v>686</v>
      </c>
      <c r="B344">
        <v>17.43</v>
      </c>
      <c r="C344">
        <v>8.64</v>
      </c>
      <c r="D344" t="s">
        <v>4682</v>
      </c>
      <c r="E344" t="s">
        <v>4682</v>
      </c>
      <c r="F344" t="s">
        <v>4682</v>
      </c>
      <c r="G344">
        <v>0</v>
      </c>
      <c r="H344" t="s">
        <v>4683</v>
      </c>
      <c r="I344" t="str" cm="1">
        <f t="array" ref="I344">_xlfn.IFS(B344&lt;18.5, "Underweight", B344&lt;=24.9, "Normal Weight", B344&lt;=29.9, "Overweight", TRUE, "Obesity")</f>
        <v>Underweight</v>
      </c>
      <c r="J344" t="str" cm="1">
        <f t="array" ref="J344">_xlfn.IFS(C344&lt;5.7, "Normal", C344&lt;=6.4, "Prediabetes", TRUE, "Diabetes")</f>
        <v>Diabetes</v>
      </c>
    </row>
    <row r="345" spans="1:10">
      <c r="A345" t="s">
        <v>688</v>
      </c>
      <c r="B345">
        <v>19.329999999999998</v>
      </c>
      <c r="C345">
        <v>4.2699999999999996</v>
      </c>
      <c r="D345" t="s">
        <v>4682</v>
      </c>
      <c r="E345" t="s">
        <v>4682</v>
      </c>
      <c r="F345" t="s">
        <v>4682</v>
      </c>
      <c r="G345">
        <v>0</v>
      </c>
      <c r="H345" t="s">
        <v>4683</v>
      </c>
      <c r="I345" t="str" cm="1">
        <f t="array" ref="I345">_xlfn.IFS(B345&lt;18.5, "Underweight", B345&lt;=24.9, "Normal Weight", B345&lt;=29.9, "Overweight", TRUE, "Obesity")</f>
        <v>Normal Weight</v>
      </c>
      <c r="J345" t="str" cm="1">
        <f t="array" ref="J345">_xlfn.IFS(C345&lt;5.7, "Normal", C345&lt;=6.4, "Prediabetes", TRUE, "Diabetes")</f>
        <v>Normal</v>
      </c>
    </row>
    <row r="346" spans="1:10">
      <c r="A346" t="s">
        <v>690</v>
      </c>
      <c r="B346">
        <v>30.52</v>
      </c>
      <c r="C346">
        <v>4.21</v>
      </c>
      <c r="D346" t="s">
        <v>4682</v>
      </c>
      <c r="E346" t="s">
        <v>4682</v>
      </c>
      <c r="F346" t="s">
        <v>4682</v>
      </c>
      <c r="G346">
        <v>1</v>
      </c>
      <c r="H346" t="s">
        <v>4683</v>
      </c>
      <c r="I346" t="str" cm="1">
        <f t="array" ref="I346">_xlfn.IFS(B346&lt;18.5, "Underweight", B346&lt;=24.9, "Normal Weight", B346&lt;=29.9, "Overweight", TRUE, "Obesity")</f>
        <v>Obesity</v>
      </c>
      <c r="J346" t="str" cm="1">
        <f t="array" ref="J346">_xlfn.IFS(C346&lt;5.7, "Normal", C346&lt;=6.4, "Prediabetes", TRUE, "Diabetes")</f>
        <v>Normal</v>
      </c>
    </row>
    <row r="347" spans="1:10">
      <c r="A347" t="s">
        <v>692</v>
      </c>
      <c r="B347">
        <v>39.21</v>
      </c>
      <c r="C347">
        <v>5.04</v>
      </c>
      <c r="D347" t="s">
        <v>4682</v>
      </c>
      <c r="E347" t="s">
        <v>4682</v>
      </c>
      <c r="F347" t="s">
        <v>4684</v>
      </c>
      <c r="G347">
        <v>1</v>
      </c>
      <c r="H347" t="s">
        <v>4683</v>
      </c>
      <c r="I347" t="str" cm="1">
        <f t="array" ref="I347">_xlfn.IFS(B347&lt;18.5, "Underweight", B347&lt;=24.9, "Normal Weight", B347&lt;=29.9, "Overweight", TRUE, "Obesity")</f>
        <v>Obesity</v>
      </c>
      <c r="J347" t="str" cm="1">
        <f t="array" ref="J347">_xlfn.IFS(C347&lt;5.7, "Normal", C347&lt;=6.4, "Prediabetes", TRUE, "Diabetes")</f>
        <v>Normal</v>
      </c>
    </row>
    <row r="348" spans="1:10">
      <c r="A348" t="s">
        <v>694</v>
      </c>
      <c r="B348">
        <v>26.98</v>
      </c>
      <c r="C348">
        <v>5.21</v>
      </c>
      <c r="D348" t="s">
        <v>4683</v>
      </c>
      <c r="E348" t="s">
        <v>4682</v>
      </c>
      <c r="F348" t="s">
        <v>4682</v>
      </c>
      <c r="G348">
        <v>2</v>
      </c>
      <c r="H348" t="s">
        <v>4683</v>
      </c>
      <c r="I348" t="str" cm="1">
        <f t="array" ref="I348">_xlfn.IFS(B348&lt;18.5, "Underweight", B348&lt;=24.9, "Normal Weight", B348&lt;=29.9, "Overweight", TRUE, "Obesity")</f>
        <v>Overweight</v>
      </c>
      <c r="J348" t="str" cm="1">
        <f t="array" ref="J348">_xlfn.IFS(C348&lt;5.7, "Normal", C348&lt;=6.4, "Prediabetes", TRUE, "Diabetes")</f>
        <v>Normal</v>
      </c>
    </row>
    <row r="349" spans="1:10">
      <c r="A349" t="s">
        <v>696</v>
      </c>
      <c r="B349">
        <v>25.84</v>
      </c>
      <c r="C349">
        <v>8.83</v>
      </c>
      <c r="D349" t="s">
        <v>4682</v>
      </c>
      <c r="E349" t="s">
        <v>4682</v>
      </c>
      <c r="F349" t="s">
        <v>4682</v>
      </c>
      <c r="G349">
        <v>0</v>
      </c>
      <c r="H349" t="s">
        <v>4682</v>
      </c>
      <c r="I349" t="str" cm="1">
        <f t="array" ref="I349">_xlfn.IFS(B349&lt;18.5, "Underweight", B349&lt;=24.9, "Normal Weight", B349&lt;=29.9, "Overweight", TRUE, "Obesity")</f>
        <v>Overweight</v>
      </c>
      <c r="J349" t="str" cm="1">
        <f t="array" ref="J349">_xlfn.IFS(C349&lt;5.7, "Normal", C349&lt;=6.4, "Prediabetes", TRUE, "Diabetes")</f>
        <v>Diabetes</v>
      </c>
    </row>
    <row r="350" spans="1:10">
      <c r="A350" t="s">
        <v>698</v>
      </c>
      <c r="B350">
        <v>28.31</v>
      </c>
      <c r="C350">
        <v>8.4700000000000006</v>
      </c>
      <c r="D350" t="s">
        <v>4683</v>
      </c>
      <c r="E350" t="s">
        <v>4682</v>
      </c>
      <c r="F350" t="s">
        <v>4682</v>
      </c>
      <c r="G350">
        <v>2</v>
      </c>
      <c r="H350" t="s">
        <v>4683</v>
      </c>
      <c r="I350" t="str" cm="1">
        <f t="array" ref="I350">_xlfn.IFS(B350&lt;18.5, "Underweight", B350&lt;=24.9, "Normal Weight", B350&lt;=29.9, "Overweight", TRUE, "Obesity")</f>
        <v>Overweight</v>
      </c>
      <c r="J350" t="str" cm="1">
        <f t="array" ref="J350">_xlfn.IFS(C350&lt;5.7, "Normal", C350&lt;=6.4, "Prediabetes", TRUE, "Diabetes")</f>
        <v>Diabetes</v>
      </c>
    </row>
    <row r="351" spans="1:10">
      <c r="A351" t="s">
        <v>700</v>
      </c>
      <c r="B351">
        <v>23.94</v>
      </c>
      <c r="C351">
        <v>4.2</v>
      </c>
      <c r="D351" t="s">
        <v>4682</v>
      </c>
      <c r="E351" t="s">
        <v>4682</v>
      </c>
      <c r="F351" t="s">
        <v>4682</v>
      </c>
      <c r="G351">
        <v>0</v>
      </c>
      <c r="H351" t="s">
        <v>4683</v>
      </c>
      <c r="I351" t="str" cm="1">
        <f t="array" ref="I351">_xlfn.IFS(B351&lt;18.5, "Underweight", B351&lt;=24.9, "Normal Weight", B351&lt;=29.9, "Overweight", TRUE, "Obesity")</f>
        <v>Normal Weight</v>
      </c>
      <c r="J351" t="str" cm="1">
        <f t="array" ref="J351">_xlfn.IFS(C351&lt;5.7, "Normal", C351&lt;=6.4, "Prediabetes", TRUE, "Diabetes")</f>
        <v>Normal</v>
      </c>
    </row>
    <row r="352" spans="1:10">
      <c r="A352" t="s">
        <v>702</v>
      </c>
      <c r="B352">
        <v>20.03</v>
      </c>
      <c r="C352">
        <v>6.14</v>
      </c>
      <c r="D352" t="s">
        <v>4683</v>
      </c>
      <c r="E352" t="s">
        <v>4682</v>
      </c>
      <c r="F352" t="s">
        <v>4682</v>
      </c>
      <c r="G352">
        <v>0</v>
      </c>
      <c r="H352" t="s">
        <v>4683</v>
      </c>
      <c r="I352" t="str" cm="1">
        <f t="array" ref="I352">_xlfn.IFS(B352&lt;18.5, "Underweight", B352&lt;=24.9, "Normal Weight", B352&lt;=29.9, "Overweight", TRUE, "Obesity")</f>
        <v>Normal Weight</v>
      </c>
      <c r="J352" t="str" cm="1">
        <f t="array" ref="J352">_xlfn.IFS(C352&lt;5.7, "Normal", C352&lt;=6.4, "Prediabetes", TRUE, "Diabetes")</f>
        <v>Prediabetes</v>
      </c>
    </row>
    <row r="353" spans="1:10">
      <c r="A353" t="s">
        <v>704</v>
      </c>
      <c r="B353">
        <v>41.42</v>
      </c>
      <c r="C353">
        <v>6.07</v>
      </c>
      <c r="D353" t="s">
        <v>4682</v>
      </c>
      <c r="E353" t="s">
        <v>4682</v>
      </c>
      <c r="F353" t="s">
        <v>4682</v>
      </c>
      <c r="G353">
        <v>0</v>
      </c>
      <c r="H353" t="s">
        <v>4682</v>
      </c>
      <c r="I353" t="str" cm="1">
        <f t="array" ref="I353">_xlfn.IFS(B353&lt;18.5, "Underweight", B353&lt;=24.9, "Normal Weight", B353&lt;=29.9, "Overweight", TRUE, "Obesity")</f>
        <v>Obesity</v>
      </c>
      <c r="J353" t="str" cm="1">
        <f t="array" ref="J353">_xlfn.IFS(C353&lt;5.7, "Normal", C353&lt;=6.4, "Prediabetes", TRUE, "Diabetes")</f>
        <v>Prediabetes</v>
      </c>
    </row>
    <row r="354" spans="1:10">
      <c r="A354" t="s">
        <v>706</v>
      </c>
      <c r="B354">
        <v>36.67</v>
      </c>
      <c r="C354">
        <v>10.210000000000001</v>
      </c>
      <c r="D354" t="s">
        <v>4682</v>
      </c>
      <c r="E354" t="s">
        <v>4682</v>
      </c>
      <c r="F354" t="s">
        <v>4682</v>
      </c>
      <c r="G354">
        <v>0</v>
      </c>
      <c r="H354" t="s">
        <v>4682</v>
      </c>
      <c r="I354" t="str" cm="1">
        <f t="array" ref="I354">_xlfn.IFS(B354&lt;18.5, "Underweight", B354&lt;=24.9, "Normal Weight", B354&lt;=29.9, "Overweight", TRUE, "Obesity")</f>
        <v>Obesity</v>
      </c>
      <c r="J354" t="str" cm="1">
        <f t="array" ref="J354">_xlfn.IFS(C354&lt;5.7, "Normal", C354&lt;=6.4, "Prediabetes", TRUE, "Diabetes")</f>
        <v>Diabetes</v>
      </c>
    </row>
    <row r="355" spans="1:10">
      <c r="A355" t="s">
        <v>708</v>
      </c>
      <c r="B355">
        <v>27.645</v>
      </c>
      <c r="C355">
        <v>4.6900000000000004</v>
      </c>
      <c r="D355" t="s">
        <v>4682</v>
      </c>
      <c r="E355" t="s">
        <v>4682</v>
      </c>
      <c r="F355" t="s">
        <v>4682</v>
      </c>
      <c r="G355">
        <v>0</v>
      </c>
      <c r="H355" t="s">
        <v>4682</v>
      </c>
      <c r="I355" t="str" cm="1">
        <f t="array" ref="I355">_xlfn.IFS(B355&lt;18.5, "Underweight", B355&lt;=24.9, "Normal Weight", B355&lt;=29.9, "Overweight", TRUE, "Obesity")</f>
        <v>Overweight</v>
      </c>
      <c r="J355" t="str" cm="1">
        <f t="array" ref="J355">_xlfn.IFS(C355&lt;5.7, "Normal", C355&lt;=6.4, "Prediabetes", TRUE, "Diabetes")</f>
        <v>Normal</v>
      </c>
    </row>
    <row r="356" spans="1:10">
      <c r="A356" t="s">
        <v>710</v>
      </c>
      <c r="B356">
        <v>22.72</v>
      </c>
      <c r="C356">
        <v>5.71</v>
      </c>
      <c r="D356" t="s">
        <v>4682</v>
      </c>
      <c r="E356" t="s">
        <v>4682</v>
      </c>
      <c r="F356" t="s">
        <v>4682</v>
      </c>
      <c r="G356">
        <v>0</v>
      </c>
      <c r="H356" t="s">
        <v>4683</v>
      </c>
      <c r="I356" t="str" cm="1">
        <f t="array" ref="I356">_xlfn.IFS(B356&lt;18.5, "Underweight", B356&lt;=24.9, "Normal Weight", B356&lt;=29.9, "Overweight", TRUE, "Obesity")</f>
        <v>Normal Weight</v>
      </c>
      <c r="J356" t="str" cm="1">
        <f t="array" ref="J356">_xlfn.IFS(C356&lt;5.7, "Normal", C356&lt;=6.4, "Prediabetes", TRUE, "Diabetes")</f>
        <v>Prediabetes</v>
      </c>
    </row>
    <row r="357" spans="1:10">
      <c r="A357" t="s">
        <v>712</v>
      </c>
      <c r="B357">
        <v>36.520000000000003</v>
      </c>
      <c r="C357">
        <v>9.07</v>
      </c>
      <c r="D357" t="s">
        <v>4683</v>
      </c>
      <c r="E357" t="s">
        <v>4682</v>
      </c>
      <c r="F357" t="s">
        <v>4684</v>
      </c>
      <c r="G357">
        <v>1</v>
      </c>
      <c r="H357" t="s">
        <v>4682</v>
      </c>
      <c r="I357" t="str" cm="1">
        <f t="array" ref="I357">_xlfn.IFS(B357&lt;18.5, "Underweight", B357&lt;=24.9, "Normal Weight", B357&lt;=29.9, "Overweight", TRUE, "Obesity")</f>
        <v>Obesity</v>
      </c>
      <c r="J357" t="str" cm="1">
        <f t="array" ref="J357">_xlfn.IFS(C357&lt;5.7, "Normal", C357&lt;=6.4, "Prediabetes", TRUE, "Diabetes")</f>
        <v>Diabetes</v>
      </c>
    </row>
    <row r="358" spans="1:10">
      <c r="A358" t="s">
        <v>714</v>
      </c>
      <c r="B358">
        <v>33.96</v>
      </c>
      <c r="C358">
        <v>4.99</v>
      </c>
      <c r="D358" t="s">
        <v>4682</v>
      </c>
      <c r="E358" t="s">
        <v>4682</v>
      </c>
      <c r="F358" t="s">
        <v>4682</v>
      </c>
      <c r="G358">
        <v>0</v>
      </c>
      <c r="H358" t="s">
        <v>4683</v>
      </c>
      <c r="I358" t="str" cm="1">
        <f t="array" ref="I358">_xlfn.IFS(B358&lt;18.5, "Underweight", B358&lt;=24.9, "Normal Weight", B358&lt;=29.9, "Overweight", TRUE, "Obesity")</f>
        <v>Obesity</v>
      </c>
      <c r="J358" t="str" cm="1">
        <f t="array" ref="J358">_xlfn.IFS(C358&lt;5.7, "Normal", C358&lt;=6.4, "Prediabetes", TRUE, "Diabetes")</f>
        <v>Normal</v>
      </c>
    </row>
    <row r="359" spans="1:10">
      <c r="A359" t="s">
        <v>716</v>
      </c>
      <c r="B359">
        <v>26.695</v>
      </c>
      <c r="C359">
        <v>8.31</v>
      </c>
      <c r="D359" t="s">
        <v>4682</v>
      </c>
      <c r="E359" t="s">
        <v>4682</v>
      </c>
      <c r="F359" t="s">
        <v>4682</v>
      </c>
      <c r="G359">
        <v>0</v>
      </c>
      <c r="H359" t="s">
        <v>4683</v>
      </c>
      <c r="I359" t="str" cm="1">
        <f t="array" ref="I359">_xlfn.IFS(B359&lt;18.5, "Underweight", B359&lt;=24.9, "Normal Weight", B359&lt;=29.9, "Overweight", TRUE, "Obesity")</f>
        <v>Overweight</v>
      </c>
      <c r="J359" t="str" cm="1">
        <f t="array" ref="J359">_xlfn.IFS(C359&lt;5.7, "Normal", C359&lt;=6.4, "Prediabetes", TRUE, "Diabetes")</f>
        <v>Diabetes</v>
      </c>
    </row>
    <row r="360" spans="1:10">
      <c r="A360" t="s">
        <v>718</v>
      </c>
      <c r="B360">
        <v>18.45</v>
      </c>
      <c r="C360">
        <v>5.07</v>
      </c>
      <c r="D360" t="s">
        <v>4683</v>
      </c>
      <c r="E360" t="s">
        <v>4682</v>
      </c>
      <c r="F360" t="s">
        <v>4682</v>
      </c>
      <c r="G360">
        <v>0</v>
      </c>
      <c r="H360" t="s">
        <v>4683</v>
      </c>
      <c r="I360" t="str" cm="1">
        <f t="array" ref="I360">_xlfn.IFS(B360&lt;18.5, "Underweight", B360&lt;=24.9, "Normal Weight", B360&lt;=29.9, "Overweight", TRUE, "Obesity")</f>
        <v>Underweight</v>
      </c>
      <c r="J360" t="str" cm="1">
        <f t="array" ref="J360">_xlfn.IFS(C360&lt;5.7, "Normal", C360&lt;=6.4, "Prediabetes", TRUE, "Diabetes")</f>
        <v>Normal</v>
      </c>
    </row>
    <row r="361" spans="1:10">
      <c r="A361" t="s">
        <v>720</v>
      </c>
      <c r="B361">
        <v>33.18</v>
      </c>
      <c r="C361">
        <v>4.79</v>
      </c>
      <c r="D361" t="s">
        <v>4682</v>
      </c>
      <c r="E361" t="s">
        <v>4682</v>
      </c>
      <c r="F361" t="s">
        <v>4682</v>
      </c>
      <c r="G361">
        <v>0</v>
      </c>
      <c r="H361" t="s">
        <v>4683</v>
      </c>
      <c r="I361" t="str" cm="1">
        <f t="array" ref="I361">_xlfn.IFS(B361&lt;18.5, "Underweight", B361&lt;=24.9, "Normal Weight", B361&lt;=29.9, "Overweight", TRUE, "Obesity")</f>
        <v>Obesity</v>
      </c>
      <c r="J361" t="str" cm="1">
        <f t="array" ref="J361">_xlfn.IFS(C361&lt;5.7, "Normal", C361&lt;=6.4, "Prediabetes", TRUE, "Diabetes")</f>
        <v>Normal</v>
      </c>
    </row>
    <row r="362" spans="1:10">
      <c r="A362" t="s">
        <v>722</v>
      </c>
      <c r="B362">
        <v>36.1</v>
      </c>
      <c r="C362">
        <v>11.39</v>
      </c>
      <c r="D362" t="s">
        <v>4683</v>
      </c>
      <c r="E362" t="s">
        <v>4682</v>
      </c>
      <c r="F362" t="s">
        <v>4682</v>
      </c>
      <c r="G362">
        <v>2</v>
      </c>
      <c r="H362" t="s">
        <v>4682</v>
      </c>
      <c r="I362" t="str" cm="1">
        <f t="array" ref="I362">_xlfn.IFS(B362&lt;18.5, "Underweight", B362&lt;=24.9, "Normal Weight", B362&lt;=29.9, "Overweight", TRUE, "Obesity")</f>
        <v>Obesity</v>
      </c>
      <c r="J362" t="str" cm="1">
        <f t="array" ref="J362">_xlfn.IFS(C362&lt;5.7, "Normal", C362&lt;=6.4, "Prediabetes", TRUE, "Diabetes")</f>
        <v>Diabetes</v>
      </c>
    </row>
    <row r="363" spans="1:10">
      <c r="A363" t="s">
        <v>724</v>
      </c>
      <c r="B363">
        <v>22.77</v>
      </c>
      <c r="C363">
        <v>6</v>
      </c>
      <c r="D363" t="s">
        <v>4682</v>
      </c>
      <c r="E363" t="s">
        <v>4682</v>
      </c>
      <c r="F363" t="s">
        <v>4682</v>
      </c>
      <c r="G363">
        <v>0</v>
      </c>
      <c r="H363" t="s">
        <v>4683</v>
      </c>
      <c r="I363" t="str" cm="1">
        <f t="array" ref="I363">_xlfn.IFS(B363&lt;18.5, "Underweight", B363&lt;=24.9, "Normal Weight", B363&lt;=29.9, "Overweight", TRUE, "Obesity")</f>
        <v>Normal Weight</v>
      </c>
      <c r="J363" t="str" cm="1">
        <f t="array" ref="J363">_xlfn.IFS(C363&lt;5.7, "Normal", C363&lt;=6.4, "Prediabetes", TRUE, "Diabetes")</f>
        <v>Prediabetes</v>
      </c>
    </row>
    <row r="364" spans="1:10">
      <c r="A364" t="s">
        <v>726</v>
      </c>
      <c r="B364">
        <v>21.24</v>
      </c>
      <c r="C364">
        <v>5.13</v>
      </c>
      <c r="D364" t="s">
        <v>4682</v>
      </c>
      <c r="E364" t="s">
        <v>4682</v>
      </c>
      <c r="F364" t="s">
        <v>4682</v>
      </c>
      <c r="G364">
        <v>0</v>
      </c>
      <c r="H364" t="s">
        <v>4683</v>
      </c>
      <c r="I364" t="str" cm="1">
        <f t="array" ref="I364">_xlfn.IFS(B364&lt;18.5, "Underweight", B364&lt;=24.9, "Normal Weight", B364&lt;=29.9, "Overweight", TRUE, "Obesity")</f>
        <v>Normal Weight</v>
      </c>
      <c r="J364" t="str" cm="1">
        <f t="array" ref="J364">_xlfn.IFS(C364&lt;5.7, "Normal", C364&lt;=6.4, "Prediabetes", TRUE, "Diabetes")</f>
        <v>Normal</v>
      </c>
    </row>
    <row r="365" spans="1:10">
      <c r="A365" t="s">
        <v>728</v>
      </c>
      <c r="B365">
        <v>17.600000000000001</v>
      </c>
      <c r="C365">
        <v>5.26</v>
      </c>
      <c r="D365" t="s">
        <v>4683</v>
      </c>
      <c r="E365" t="s">
        <v>4682</v>
      </c>
      <c r="F365" t="s">
        <v>4682</v>
      </c>
      <c r="G365">
        <v>0</v>
      </c>
      <c r="H365" t="s">
        <v>4683</v>
      </c>
      <c r="I365" t="str" cm="1">
        <f t="array" ref="I365">_xlfn.IFS(B365&lt;18.5, "Underweight", B365&lt;=24.9, "Normal Weight", B365&lt;=29.9, "Overweight", TRUE, "Obesity")</f>
        <v>Underweight</v>
      </c>
      <c r="J365" t="str" cm="1">
        <f t="array" ref="J365">_xlfn.IFS(C365&lt;5.7, "Normal", C365&lt;=6.4, "Prediabetes", TRUE, "Diabetes")</f>
        <v>Normal</v>
      </c>
    </row>
    <row r="366" spans="1:10">
      <c r="A366" t="s">
        <v>730</v>
      </c>
      <c r="B366">
        <v>26.29</v>
      </c>
      <c r="C366">
        <v>6.84</v>
      </c>
      <c r="D366" t="s">
        <v>4682</v>
      </c>
      <c r="E366" t="s">
        <v>4682</v>
      </c>
      <c r="F366" t="s">
        <v>4682</v>
      </c>
      <c r="G366">
        <v>0</v>
      </c>
      <c r="H366" t="s">
        <v>4683</v>
      </c>
      <c r="I366" t="str" cm="1">
        <f t="array" ref="I366">_xlfn.IFS(B366&lt;18.5, "Underweight", B366&lt;=24.9, "Normal Weight", B366&lt;=29.9, "Overweight", TRUE, "Obesity")</f>
        <v>Overweight</v>
      </c>
      <c r="J366" t="str" cm="1">
        <f t="array" ref="J366">_xlfn.IFS(C366&lt;5.7, "Normal", C366&lt;=6.4, "Prediabetes", TRUE, "Diabetes")</f>
        <v>Diabetes</v>
      </c>
    </row>
    <row r="367" spans="1:10">
      <c r="A367" t="s">
        <v>732</v>
      </c>
      <c r="B367">
        <v>35.31</v>
      </c>
      <c r="C367">
        <v>9.0399999999999991</v>
      </c>
      <c r="D367" t="s">
        <v>4682</v>
      </c>
      <c r="E367" t="s">
        <v>4682</v>
      </c>
      <c r="F367" t="s">
        <v>4682</v>
      </c>
      <c r="G367">
        <v>0</v>
      </c>
      <c r="H367" t="s">
        <v>4682</v>
      </c>
      <c r="I367" t="str" cm="1">
        <f t="array" ref="I367">_xlfn.IFS(B367&lt;18.5, "Underweight", B367&lt;=24.9, "Normal Weight", B367&lt;=29.9, "Overweight", TRUE, "Obesity")</f>
        <v>Obesity</v>
      </c>
      <c r="J367" t="str" cm="1">
        <f t="array" ref="J367">_xlfn.IFS(C367&lt;5.7, "Normal", C367&lt;=6.4, "Prediabetes", TRUE, "Diabetes")</f>
        <v>Diabetes</v>
      </c>
    </row>
    <row r="368" spans="1:10">
      <c r="A368" t="s">
        <v>734</v>
      </c>
      <c r="B368">
        <v>27.04</v>
      </c>
      <c r="C368">
        <v>4.0999999999999996</v>
      </c>
      <c r="D368" t="s">
        <v>4682</v>
      </c>
      <c r="E368" t="s">
        <v>4682</v>
      </c>
      <c r="F368" t="s">
        <v>4682</v>
      </c>
      <c r="G368">
        <v>1</v>
      </c>
      <c r="H368" t="s">
        <v>4683</v>
      </c>
      <c r="I368" t="str" cm="1">
        <f t="array" ref="I368">_xlfn.IFS(B368&lt;18.5, "Underweight", B368&lt;=24.9, "Normal Weight", B368&lt;=29.9, "Overweight", TRUE, "Obesity")</f>
        <v>Overweight</v>
      </c>
      <c r="J368" t="str" cm="1">
        <f t="array" ref="J368">_xlfn.IFS(C368&lt;5.7, "Normal", C368&lt;=6.4, "Prediabetes", TRUE, "Diabetes")</f>
        <v>Normal</v>
      </c>
    </row>
    <row r="369" spans="1:10">
      <c r="A369" t="s">
        <v>736</v>
      </c>
      <c r="B369">
        <v>30.23</v>
      </c>
      <c r="C369">
        <v>4.2300000000000004</v>
      </c>
      <c r="D369" t="s">
        <v>4683</v>
      </c>
      <c r="E369" t="s">
        <v>4682</v>
      </c>
      <c r="F369" t="s">
        <v>4684</v>
      </c>
      <c r="G369">
        <v>1</v>
      </c>
      <c r="H369" t="s">
        <v>4683</v>
      </c>
      <c r="I369" t="str" cm="1">
        <f t="array" ref="I369">_xlfn.IFS(B369&lt;18.5, "Underweight", B369&lt;=24.9, "Normal Weight", B369&lt;=29.9, "Overweight", TRUE, "Obesity")</f>
        <v>Obesity</v>
      </c>
      <c r="J369" t="str" cm="1">
        <f t="array" ref="J369">_xlfn.IFS(C369&lt;5.7, "Normal", C369&lt;=6.4, "Prediabetes", TRUE, "Diabetes")</f>
        <v>Normal</v>
      </c>
    </row>
    <row r="370" spans="1:10">
      <c r="A370" t="s">
        <v>738</v>
      </c>
      <c r="B370">
        <v>30.6</v>
      </c>
      <c r="C370">
        <v>6.48</v>
      </c>
      <c r="D370" t="s">
        <v>4683</v>
      </c>
      <c r="E370" t="s">
        <v>4682</v>
      </c>
      <c r="F370" t="s">
        <v>4684</v>
      </c>
      <c r="G370">
        <v>1</v>
      </c>
      <c r="H370" t="s">
        <v>4683</v>
      </c>
      <c r="I370" t="str" cm="1">
        <f t="array" ref="I370">_xlfn.IFS(B370&lt;18.5, "Underweight", B370&lt;=24.9, "Normal Weight", B370&lt;=29.9, "Overweight", TRUE, "Obesity")</f>
        <v>Obesity</v>
      </c>
      <c r="J370" t="str" cm="1">
        <f t="array" ref="J370">_xlfn.IFS(C370&lt;5.7, "Normal", C370&lt;=6.4, "Prediabetes", TRUE, "Diabetes")</f>
        <v>Diabetes</v>
      </c>
    </row>
    <row r="371" spans="1:10">
      <c r="A371" t="s">
        <v>740</v>
      </c>
      <c r="B371">
        <v>26.8</v>
      </c>
      <c r="C371">
        <v>5.53</v>
      </c>
      <c r="D371" t="s">
        <v>4682</v>
      </c>
      <c r="E371" t="s">
        <v>4682</v>
      </c>
      <c r="F371" t="s">
        <v>4682</v>
      </c>
      <c r="G371">
        <v>1</v>
      </c>
      <c r="H371" t="s">
        <v>4683</v>
      </c>
      <c r="I371" t="str" cm="1">
        <f t="array" ref="I371">_xlfn.IFS(B371&lt;18.5, "Underweight", B371&lt;=24.9, "Normal Weight", B371&lt;=29.9, "Overweight", TRUE, "Obesity")</f>
        <v>Overweight</v>
      </c>
      <c r="J371" t="str" cm="1">
        <f t="array" ref="J371">_xlfn.IFS(C371&lt;5.7, "Normal", C371&lt;=6.4, "Prediabetes", TRUE, "Diabetes")</f>
        <v>Normal</v>
      </c>
    </row>
    <row r="372" spans="1:10">
      <c r="A372" t="s">
        <v>742</v>
      </c>
      <c r="B372">
        <v>16.86</v>
      </c>
      <c r="C372">
        <v>4.07</v>
      </c>
      <c r="D372" t="s">
        <v>4683</v>
      </c>
      <c r="E372" t="s">
        <v>4682</v>
      </c>
      <c r="F372" t="s">
        <v>4682</v>
      </c>
      <c r="G372">
        <v>0</v>
      </c>
      <c r="H372" t="s">
        <v>4683</v>
      </c>
      <c r="I372" t="str" cm="1">
        <f t="array" ref="I372">_xlfn.IFS(B372&lt;18.5, "Underweight", B372&lt;=24.9, "Normal Weight", B372&lt;=29.9, "Overweight", TRUE, "Obesity")</f>
        <v>Underweight</v>
      </c>
      <c r="J372" t="str" cm="1">
        <f t="array" ref="J372">_xlfn.IFS(C372&lt;5.7, "Normal", C372&lt;=6.4, "Prediabetes", TRUE, "Diabetes")</f>
        <v>Normal</v>
      </c>
    </row>
    <row r="373" spans="1:10">
      <c r="A373" t="s">
        <v>744</v>
      </c>
      <c r="B373">
        <v>16.3</v>
      </c>
      <c r="C373">
        <v>5.51</v>
      </c>
      <c r="D373" t="s">
        <v>4682</v>
      </c>
      <c r="E373" t="s">
        <v>4682</v>
      </c>
      <c r="F373" t="s">
        <v>4682</v>
      </c>
      <c r="G373">
        <v>1</v>
      </c>
      <c r="H373" t="s">
        <v>4683</v>
      </c>
      <c r="I373" t="str" cm="1">
        <f t="array" ref="I373">_xlfn.IFS(B373&lt;18.5, "Underweight", B373&lt;=24.9, "Normal Weight", B373&lt;=29.9, "Overweight", TRUE, "Obesity")</f>
        <v>Underweight</v>
      </c>
      <c r="J373" t="str" cm="1">
        <f t="array" ref="J373">_xlfn.IFS(C373&lt;5.7, "Normal", C373&lt;=6.4, "Prediabetes", TRUE, "Diabetes")</f>
        <v>Normal</v>
      </c>
    </row>
    <row r="374" spans="1:10">
      <c r="A374" t="s">
        <v>746</v>
      </c>
      <c r="B374">
        <v>29.81</v>
      </c>
      <c r="C374">
        <v>11.66</v>
      </c>
      <c r="D374" t="s">
        <v>4682</v>
      </c>
      <c r="E374" t="s">
        <v>4682</v>
      </c>
      <c r="F374" t="s">
        <v>4682</v>
      </c>
      <c r="G374">
        <v>0</v>
      </c>
      <c r="H374" t="s">
        <v>4683</v>
      </c>
      <c r="I374" t="str" cm="1">
        <f t="array" ref="I374">_xlfn.IFS(B374&lt;18.5, "Underweight", B374&lt;=24.9, "Normal Weight", B374&lt;=29.9, "Overweight", TRUE, "Obesity")</f>
        <v>Overweight</v>
      </c>
      <c r="J374" t="str" cm="1">
        <f t="array" ref="J374">_xlfn.IFS(C374&lt;5.7, "Normal", C374&lt;=6.4, "Prediabetes", TRUE, "Diabetes")</f>
        <v>Diabetes</v>
      </c>
    </row>
    <row r="375" spans="1:10">
      <c r="A375" t="s">
        <v>748</v>
      </c>
      <c r="B375">
        <v>16.329999999999998</v>
      </c>
      <c r="C375">
        <v>7.26</v>
      </c>
      <c r="D375" t="s">
        <v>4683</v>
      </c>
      <c r="E375" t="s">
        <v>4682</v>
      </c>
      <c r="F375" t="s">
        <v>4682</v>
      </c>
      <c r="G375">
        <v>0</v>
      </c>
      <c r="H375" t="s">
        <v>4683</v>
      </c>
      <c r="I375" t="str" cm="1">
        <f t="array" ref="I375">_xlfn.IFS(B375&lt;18.5, "Underweight", B375&lt;=24.9, "Normal Weight", B375&lt;=29.9, "Overweight", TRUE, "Obesity")</f>
        <v>Underweight</v>
      </c>
      <c r="J375" t="str" cm="1">
        <f t="array" ref="J375">_xlfn.IFS(C375&lt;5.7, "Normal", C375&lt;=6.4, "Prediabetes", TRUE, "Diabetes")</f>
        <v>Diabetes</v>
      </c>
    </row>
    <row r="376" spans="1:10">
      <c r="A376" t="s">
        <v>750</v>
      </c>
      <c r="B376">
        <v>16.37</v>
      </c>
      <c r="C376">
        <v>4.79</v>
      </c>
      <c r="D376" t="s">
        <v>4683</v>
      </c>
      <c r="E376" t="s">
        <v>4682</v>
      </c>
      <c r="F376" t="s">
        <v>4682</v>
      </c>
      <c r="G376">
        <v>0</v>
      </c>
      <c r="H376" t="s">
        <v>4683</v>
      </c>
      <c r="I376" t="str" cm="1">
        <f t="array" ref="I376">_xlfn.IFS(B376&lt;18.5, "Underweight", B376&lt;=24.9, "Normal Weight", B376&lt;=29.9, "Overweight", TRUE, "Obesity")</f>
        <v>Underweight</v>
      </c>
      <c r="J376" t="str" cm="1">
        <f t="array" ref="J376">_xlfn.IFS(C376&lt;5.7, "Normal", C376&lt;=6.4, "Prediabetes", TRUE, "Diabetes")</f>
        <v>Normal</v>
      </c>
    </row>
    <row r="377" spans="1:10">
      <c r="A377" t="s">
        <v>752</v>
      </c>
      <c r="B377">
        <v>22.42</v>
      </c>
      <c r="C377">
        <v>4.68</v>
      </c>
      <c r="D377" t="s">
        <v>4683</v>
      </c>
      <c r="E377" t="s">
        <v>4682</v>
      </c>
      <c r="F377" t="s">
        <v>4682</v>
      </c>
      <c r="G377">
        <v>1</v>
      </c>
      <c r="H377" t="s">
        <v>4682</v>
      </c>
      <c r="I377" t="str" cm="1">
        <f t="array" ref="I377">_xlfn.IFS(B377&lt;18.5, "Underweight", B377&lt;=24.9, "Normal Weight", B377&lt;=29.9, "Overweight", TRUE, "Obesity")</f>
        <v>Normal Weight</v>
      </c>
      <c r="J377" t="str" cm="1">
        <f t="array" ref="J377">_xlfn.IFS(C377&lt;5.7, "Normal", C377&lt;=6.4, "Prediabetes", TRUE, "Diabetes")</f>
        <v>Normal</v>
      </c>
    </row>
    <row r="378" spans="1:10">
      <c r="A378" t="s">
        <v>754</v>
      </c>
      <c r="B378">
        <v>31.35</v>
      </c>
      <c r="C378">
        <v>4.33</v>
      </c>
      <c r="D378" t="s">
        <v>4683</v>
      </c>
      <c r="E378" t="s">
        <v>4682</v>
      </c>
      <c r="F378" t="s">
        <v>4684</v>
      </c>
      <c r="G378">
        <v>1</v>
      </c>
      <c r="H378" t="s">
        <v>4682</v>
      </c>
      <c r="I378" t="str" cm="1">
        <f t="array" ref="I378">_xlfn.IFS(B378&lt;18.5, "Underweight", B378&lt;=24.9, "Normal Weight", B378&lt;=29.9, "Overweight", TRUE, "Obesity")</f>
        <v>Obesity</v>
      </c>
      <c r="J378" t="str" cm="1">
        <f t="array" ref="J378">_xlfn.IFS(C378&lt;5.7, "Normal", C378&lt;=6.4, "Prediabetes", TRUE, "Diabetes")</f>
        <v>Normal</v>
      </c>
    </row>
    <row r="379" spans="1:10">
      <c r="A379" t="s">
        <v>756</v>
      </c>
      <c r="B379">
        <v>31.9</v>
      </c>
      <c r="C379">
        <v>11.89</v>
      </c>
      <c r="D379" t="s">
        <v>4682</v>
      </c>
      <c r="E379" t="s">
        <v>4682</v>
      </c>
      <c r="F379" t="s">
        <v>4682</v>
      </c>
      <c r="G379">
        <v>0</v>
      </c>
      <c r="H379" t="s">
        <v>4682</v>
      </c>
      <c r="I379" t="str" cm="1">
        <f t="array" ref="I379">_xlfn.IFS(B379&lt;18.5, "Underweight", B379&lt;=24.9, "Normal Weight", B379&lt;=29.9, "Overweight", TRUE, "Obesity")</f>
        <v>Obesity</v>
      </c>
      <c r="J379" t="str" cm="1">
        <f t="array" ref="J379">_xlfn.IFS(C379&lt;5.7, "Normal", C379&lt;=6.4, "Prediabetes", TRUE, "Diabetes")</f>
        <v>Diabetes</v>
      </c>
    </row>
    <row r="380" spans="1:10">
      <c r="A380" t="s">
        <v>758</v>
      </c>
      <c r="B380">
        <v>30.6</v>
      </c>
      <c r="C380">
        <v>5.24</v>
      </c>
      <c r="D380" t="s">
        <v>4682</v>
      </c>
      <c r="E380" t="s">
        <v>4682</v>
      </c>
      <c r="F380" t="s">
        <v>4682</v>
      </c>
      <c r="G380">
        <v>0</v>
      </c>
      <c r="H380" t="s">
        <v>4683</v>
      </c>
      <c r="I380" t="str" cm="1">
        <f t="array" ref="I380">_xlfn.IFS(B380&lt;18.5, "Underweight", B380&lt;=24.9, "Normal Weight", B380&lt;=29.9, "Overweight", TRUE, "Obesity")</f>
        <v>Obesity</v>
      </c>
      <c r="J380" t="str" cm="1">
        <f t="array" ref="J380">_xlfn.IFS(C380&lt;5.7, "Normal", C380&lt;=6.4, "Prediabetes", TRUE, "Diabetes")</f>
        <v>Normal</v>
      </c>
    </row>
    <row r="381" spans="1:10">
      <c r="A381" t="s">
        <v>760</v>
      </c>
      <c r="B381">
        <v>28.975000000000001</v>
      </c>
      <c r="C381">
        <v>7.63</v>
      </c>
      <c r="D381" t="s">
        <v>4682</v>
      </c>
      <c r="E381" t="s">
        <v>4682</v>
      </c>
      <c r="F381" t="s">
        <v>4682</v>
      </c>
      <c r="G381">
        <v>0</v>
      </c>
      <c r="H381" t="s">
        <v>4683</v>
      </c>
      <c r="I381" t="str" cm="1">
        <f t="array" ref="I381">_xlfn.IFS(B381&lt;18.5, "Underweight", B381&lt;=24.9, "Normal Weight", B381&lt;=29.9, "Overweight", TRUE, "Obesity")</f>
        <v>Overweight</v>
      </c>
      <c r="J381" t="str" cm="1">
        <f t="array" ref="J381">_xlfn.IFS(C381&lt;5.7, "Normal", C381&lt;=6.4, "Prediabetes", TRUE, "Diabetes")</f>
        <v>Diabetes</v>
      </c>
    </row>
    <row r="382" spans="1:10">
      <c r="A382" t="s">
        <v>762</v>
      </c>
      <c r="B382">
        <v>24.86</v>
      </c>
      <c r="C382">
        <v>8.92</v>
      </c>
      <c r="D382" t="s">
        <v>4683</v>
      </c>
      <c r="E382" t="s">
        <v>4682</v>
      </c>
      <c r="F382" t="s">
        <v>4682</v>
      </c>
      <c r="G382">
        <v>2</v>
      </c>
      <c r="H382" t="s">
        <v>4682</v>
      </c>
      <c r="I382" t="str" cm="1">
        <f t="array" ref="I382">_xlfn.IFS(B382&lt;18.5, "Underweight", B382&lt;=24.9, "Normal Weight", B382&lt;=29.9, "Overweight", TRUE, "Obesity")</f>
        <v>Normal Weight</v>
      </c>
      <c r="J382" t="str" cm="1">
        <f t="array" ref="J382">_xlfn.IFS(C382&lt;5.7, "Normal", C382&lt;=6.4, "Prediabetes", TRUE, "Diabetes")</f>
        <v>Diabetes</v>
      </c>
    </row>
    <row r="383" spans="1:10">
      <c r="A383" t="s">
        <v>764</v>
      </c>
      <c r="B383">
        <v>19.54</v>
      </c>
      <c r="C383">
        <v>5.37</v>
      </c>
      <c r="D383" t="s">
        <v>4682</v>
      </c>
      <c r="E383" t="s">
        <v>4682</v>
      </c>
      <c r="F383" t="s">
        <v>4682</v>
      </c>
      <c r="G383">
        <v>0</v>
      </c>
      <c r="H383" t="s">
        <v>4683</v>
      </c>
      <c r="I383" t="str" cm="1">
        <f t="array" ref="I383">_xlfn.IFS(B383&lt;18.5, "Underweight", B383&lt;=24.9, "Normal Weight", B383&lt;=29.9, "Overweight", TRUE, "Obesity")</f>
        <v>Normal Weight</v>
      </c>
      <c r="J383" t="str" cm="1">
        <f t="array" ref="J383">_xlfn.IFS(C383&lt;5.7, "Normal", C383&lt;=6.4, "Prediabetes", TRUE, "Diabetes")</f>
        <v>Normal</v>
      </c>
    </row>
    <row r="384" spans="1:10">
      <c r="A384" t="s">
        <v>766</v>
      </c>
      <c r="B384">
        <v>26.74</v>
      </c>
      <c r="C384">
        <v>4.3099999999999996</v>
      </c>
      <c r="D384" t="s">
        <v>4682</v>
      </c>
      <c r="E384" t="s">
        <v>4682</v>
      </c>
      <c r="F384" t="s">
        <v>4682</v>
      </c>
      <c r="G384">
        <v>0</v>
      </c>
      <c r="H384" t="s">
        <v>4683</v>
      </c>
      <c r="I384" t="str" cm="1">
        <f t="array" ref="I384">_xlfn.IFS(B384&lt;18.5, "Underweight", B384&lt;=24.9, "Normal Weight", B384&lt;=29.9, "Overweight", TRUE, "Obesity")</f>
        <v>Overweight</v>
      </c>
      <c r="J384" t="str" cm="1">
        <f t="array" ref="J384">_xlfn.IFS(C384&lt;5.7, "Normal", C384&lt;=6.4, "Prediabetes", TRUE, "Diabetes")</f>
        <v>Normal</v>
      </c>
    </row>
    <row r="385" spans="1:10">
      <c r="A385" t="s">
        <v>768</v>
      </c>
      <c r="B385">
        <v>22.99</v>
      </c>
      <c r="C385">
        <v>10.46</v>
      </c>
      <c r="D385" t="s">
        <v>4682</v>
      </c>
      <c r="E385" t="s">
        <v>4682</v>
      </c>
      <c r="F385" t="s">
        <v>4682</v>
      </c>
      <c r="G385">
        <v>3</v>
      </c>
      <c r="H385" t="s">
        <v>4683</v>
      </c>
      <c r="I385" t="str" cm="1">
        <f t="array" ref="I385">_xlfn.IFS(B385&lt;18.5, "Underweight", B385&lt;=24.9, "Normal Weight", B385&lt;=29.9, "Overweight", TRUE, "Obesity")</f>
        <v>Normal Weight</v>
      </c>
      <c r="J385" t="str" cm="1">
        <f t="array" ref="J385">_xlfn.IFS(C385&lt;5.7, "Normal", C385&lt;=6.4, "Prediabetes", TRUE, "Diabetes")</f>
        <v>Diabetes</v>
      </c>
    </row>
    <row r="386" spans="1:10">
      <c r="A386" t="s">
        <v>770</v>
      </c>
      <c r="B386">
        <v>31.46</v>
      </c>
      <c r="C386">
        <v>7.39</v>
      </c>
      <c r="D386" t="s">
        <v>4682</v>
      </c>
      <c r="E386" t="s">
        <v>4682</v>
      </c>
      <c r="F386" t="s">
        <v>4682</v>
      </c>
      <c r="G386">
        <v>0</v>
      </c>
      <c r="H386" t="s">
        <v>4682</v>
      </c>
      <c r="I386" t="str" cm="1">
        <f t="array" ref="I386">_xlfn.IFS(B386&lt;18.5, "Underweight", B386&lt;=24.9, "Normal Weight", B386&lt;=29.9, "Overweight", TRUE, "Obesity")</f>
        <v>Obesity</v>
      </c>
      <c r="J386" t="str" cm="1">
        <f t="array" ref="J386">_xlfn.IFS(C386&lt;5.7, "Normal", C386&lt;=6.4, "Prediabetes", TRUE, "Diabetes")</f>
        <v>Diabetes</v>
      </c>
    </row>
    <row r="387" spans="1:10">
      <c r="A387" t="s">
        <v>772</v>
      </c>
      <c r="B387">
        <v>30.86</v>
      </c>
      <c r="C387">
        <v>6.18</v>
      </c>
      <c r="D387" t="s">
        <v>4682</v>
      </c>
      <c r="E387" t="s">
        <v>4683</v>
      </c>
      <c r="F387" t="s">
        <v>4682</v>
      </c>
      <c r="G387">
        <v>2</v>
      </c>
      <c r="H387" t="s">
        <v>4683</v>
      </c>
      <c r="I387" t="str" cm="1">
        <f t="array" ref="I387">_xlfn.IFS(B387&lt;18.5, "Underweight", B387&lt;=24.9, "Normal Weight", B387&lt;=29.9, "Overweight", TRUE, "Obesity")</f>
        <v>Obesity</v>
      </c>
      <c r="J387" t="str" cm="1">
        <f t="array" ref="J387">_xlfn.IFS(C387&lt;5.7, "Normal", C387&lt;=6.4, "Prediabetes", TRUE, "Diabetes")</f>
        <v>Prediabetes</v>
      </c>
    </row>
    <row r="388" spans="1:10">
      <c r="A388" t="s">
        <v>774</v>
      </c>
      <c r="B388">
        <v>31.96</v>
      </c>
      <c r="C388">
        <v>8.86</v>
      </c>
      <c r="D388" t="s">
        <v>4682</v>
      </c>
      <c r="E388" t="s">
        <v>4682</v>
      </c>
      <c r="F388" t="s">
        <v>4682</v>
      </c>
      <c r="G388">
        <v>0</v>
      </c>
      <c r="H388" t="s">
        <v>4683</v>
      </c>
      <c r="I388" t="str" cm="1">
        <f t="array" ref="I388">_xlfn.IFS(B388&lt;18.5, "Underweight", B388&lt;=24.9, "Normal Weight", B388&lt;=29.9, "Overweight", TRUE, "Obesity")</f>
        <v>Obesity</v>
      </c>
      <c r="J388" t="str" cm="1">
        <f t="array" ref="J388">_xlfn.IFS(C388&lt;5.7, "Normal", C388&lt;=6.4, "Prediabetes", TRUE, "Diabetes")</f>
        <v>Diabetes</v>
      </c>
    </row>
    <row r="389" spans="1:10">
      <c r="A389" t="s">
        <v>776</v>
      </c>
      <c r="B389">
        <v>23.76</v>
      </c>
      <c r="C389">
        <v>10.96</v>
      </c>
      <c r="D389" t="s">
        <v>4682</v>
      </c>
      <c r="E389" t="s">
        <v>4682</v>
      </c>
      <c r="F389" t="s">
        <v>4682</v>
      </c>
      <c r="G389">
        <v>3</v>
      </c>
      <c r="H389" t="s">
        <v>4683</v>
      </c>
      <c r="I389" t="str" cm="1">
        <f t="array" ref="I389">_xlfn.IFS(B389&lt;18.5, "Underweight", B389&lt;=24.9, "Normal Weight", B389&lt;=29.9, "Overweight", TRUE, "Obesity")</f>
        <v>Normal Weight</v>
      </c>
      <c r="J389" t="str" cm="1">
        <f t="array" ref="J389">_xlfn.IFS(C389&lt;5.7, "Normal", C389&lt;=6.4, "Prediabetes", TRUE, "Diabetes")</f>
        <v>Diabetes</v>
      </c>
    </row>
    <row r="390" spans="1:10">
      <c r="A390" t="s">
        <v>778</v>
      </c>
      <c r="B390">
        <v>19.38</v>
      </c>
      <c r="C390">
        <v>6.28</v>
      </c>
      <c r="D390" t="s">
        <v>4682</v>
      </c>
      <c r="E390" t="s">
        <v>4682</v>
      </c>
      <c r="F390" t="s">
        <v>4682</v>
      </c>
      <c r="G390">
        <v>0</v>
      </c>
      <c r="H390" t="s">
        <v>4683</v>
      </c>
      <c r="I390" t="str" cm="1">
        <f t="array" ref="I390">_xlfn.IFS(B390&lt;18.5, "Underweight", B390&lt;=24.9, "Normal Weight", B390&lt;=29.9, "Overweight", TRUE, "Obesity")</f>
        <v>Normal Weight</v>
      </c>
      <c r="J390" t="str" cm="1">
        <f t="array" ref="J390">_xlfn.IFS(C390&lt;5.7, "Normal", C390&lt;=6.4, "Prediabetes", TRUE, "Diabetes")</f>
        <v>Prediabetes</v>
      </c>
    </row>
    <row r="391" spans="1:10">
      <c r="A391" t="s">
        <v>780</v>
      </c>
      <c r="B391">
        <v>16.21</v>
      </c>
      <c r="C391">
        <v>6.29</v>
      </c>
      <c r="D391" t="s">
        <v>4683</v>
      </c>
      <c r="E391" t="s">
        <v>4682</v>
      </c>
      <c r="F391" t="s">
        <v>4682</v>
      </c>
      <c r="G391">
        <v>1</v>
      </c>
      <c r="H391" t="s">
        <v>4683</v>
      </c>
      <c r="I391" t="str" cm="1">
        <f t="array" ref="I391">_xlfn.IFS(B391&lt;18.5, "Underweight", B391&lt;=24.9, "Normal Weight", B391&lt;=29.9, "Overweight", TRUE, "Obesity")</f>
        <v>Underweight</v>
      </c>
      <c r="J391" t="str" cm="1">
        <f t="array" ref="J391">_xlfn.IFS(C391&lt;5.7, "Normal", C391&lt;=6.4, "Prediabetes", TRUE, "Diabetes")</f>
        <v>Prediabetes</v>
      </c>
    </row>
    <row r="392" spans="1:10">
      <c r="A392" t="s">
        <v>782</v>
      </c>
      <c r="B392">
        <v>32.54</v>
      </c>
      <c r="C392">
        <v>4.0199999999999996</v>
      </c>
      <c r="D392" t="s">
        <v>4682</v>
      </c>
      <c r="E392" t="s">
        <v>4683</v>
      </c>
      <c r="F392" t="s">
        <v>4682</v>
      </c>
      <c r="G392">
        <v>1</v>
      </c>
      <c r="H392" t="s">
        <v>4683</v>
      </c>
      <c r="I392" t="str" cm="1">
        <f t="array" ref="I392">_xlfn.IFS(B392&lt;18.5, "Underweight", B392&lt;=24.9, "Normal Weight", B392&lt;=29.9, "Overweight", TRUE, "Obesity")</f>
        <v>Obesity</v>
      </c>
      <c r="J392" t="str" cm="1">
        <f t="array" ref="J392">_xlfn.IFS(C392&lt;5.7, "Normal", C392&lt;=6.4, "Prediabetes", TRUE, "Diabetes")</f>
        <v>Normal</v>
      </c>
    </row>
    <row r="393" spans="1:10">
      <c r="A393" t="s">
        <v>784</v>
      </c>
      <c r="B393">
        <v>36.765000000000001</v>
      </c>
      <c r="C393">
        <v>11.95</v>
      </c>
      <c r="D393" t="s">
        <v>4683</v>
      </c>
      <c r="E393" t="s">
        <v>4682</v>
      </c>
      <c r="F393" t="s">
        <v>4682</v>
      </c>
      <c r="G393">
        <v>2</v>
      </c>
      <c r="H393" t="s">
        <v>4682</v>
      </c>
      <c r="I393" t="str" cm="1">
        <f t="array" ref="I393">_xlfn.IFS(B393&lt;18.5, "Underweight", B393&lt;=24.9, "Normal Weight", B393&lt;=29.9, "Overweight", TRUE, "Obesity")</f>
        <v>Obesity</v>
      </c>
      <c r="J393" t="str" cm="1">
        <f t="array" ref="J393">_xlfn.IFS(C393&lt;5.7, "Normal", C393&lt;=6.4, "Prediabetes", TRUE, "Diabetes")</f>
        <v>Diabetes</v>
      </c>
    </row>
    <row r="394" spans="1:10">
      <c r="A394" t="s">
        <v>786</v>
      </c>
      <c r="B394">
        <v>35.909999999999997</v>
      </c>
      <c r="C394">
        <v>8.7100000000000009</v>
      </c>
      <c r="D394" t="s">
        <v>4682</v>
      </c>
      <c r="E394" t="s">
        <v>4682</v>
      </c>
      <c r="F394" t="s">
        <v>4682</v>
      </c>
      <c r="G394">
        <v>0</v>
      </c>
      <c r="H394" t="s">
        <v>4682</v>
      </c>
      <c r="I394" t="str" cm="1">
        <f t="array" ref="I394">_xlfn.IFS(B394&lt;18.5, "Underweight", B394&lt;=24.9, "Normal Weight", B394&lt;=29.9, "Overweight", TRUE, "Obesity")</f>
        <v>Obesity</v>
      </c>
      <c r="J394" t="str" cm="1">
        <f t="array" ref="J394">_xlfn.IFS(C394&lt;5.7, "Normal", C394&lt;=6.4, "Prediabetes", TRUE, "Diabetes")</f>
        <v>Diabetes</v>
      </c>
    </row>
    <row r="395" spans="1:10">
      <c r="A395" t="s">
        <v>788</v>
      </c>
      <c r="B395">
        <v>32.06</v>
      </c>
      <c r="C395">
        <v>4.67</v>
      </c>
      <c r="D395" t="s">
        <v>4682</v>
      </c>
      <c r="E395" t="s">
        <v>4683</v>
      </c>
      <c r="F395" t="s">
        <v>4682</v>
      </c>
      <c r="G395">
        <v>1</v>
      </c>
      <c r="H395" t="s">
        <v>4683</v>
      </c>
      <c r="I395" t="str" cm="1">
        <f t="array" ref="I395">_xlfn.IFS(B395&lt;18.5, "Underweight", B395&lt;=24.9, "Normal Weight", B395&lt;=29.9, "Overweight", TRUE, "Obesity")</f>
        <v>Obesity</v>
      </c>
      <c r="J395" t="str" cm="1">
        <f t="array" ref="J395">_xlfn.IFS(C395&lt;5.7, "Normal", C395&lt;=6.4, "Prediabetes", TRUE, "Diabetes")</f>
        <v>Normal</v>
      </c>
    </row>
    <row r="396" spans="1:10">
      <c r="A396" t="s">
        <v>790</v>
      </c>
      <c r="B396">
        <v>24.1</v>
      </c>
      <c r="C396">
        <v>11.14</v>
      </c>
      <c r="D396" t="s">
        <v>4683</v>
      </c>
      <c r="E396" t="s">
        <v>4682</v>
      </c>
      <c r="F396" t="s">
        <v>4682</v>
      </c>
      <c r="G396">
        <v>1</v>
      </c>
      <c r="H396" t="s">
        <v>4682</v>
      </c>
      <c r="I396" t="str" cm="1">
        <f t="array" ref="I396">_xlfn.IFS(B396&lt;18.5, "Underweight", B396&lt;=24.9, "Normal Weight", B396&lt;=29.9, "Overweight", TRUE, "Obesity")</f>
        <v>Normal Weight</v>
      </c>
      <c r="J396" t="str" cm="1">
        <f t="array" ref="J396">_xlfn.IFS(C396&lt;5.7, "Normal", C396&lt;=6.4, "Prediabetes", TRUE, "Diabetes")</f>
        <v>Diabetes</v>
      </c>
    </row>
    <row r="397" spans="1:10">
      <c r="A397" t="s">
        <v>792</v>
      </c>
      <c r="B397">
        <v>27.1</v>
      </c>
      <c r="C397">
        <v>9.0500000000000007</v>
      </c>
      <c r="D397" t="s">
        <v>4682</v>
      </c>
      <c r="E397" t="s">
        <v>4682</v>
      </c>
      <c r="F397" t="s">
        <v>4682</v>
      </c>
      <c r="G397">
        <v>2</v>
      </c>
      <c r="H397" t="s">
        <v>4682</v>
      </c>
      <c r="I397" t="str" cm="1">
        <f t="array" ref="I397">_xlfn.IFS(B397&lt;18.5, "Underweight", B397&lt;=24.9, "Normal Weight", B397&lt;=29.9, "Overweight", TRUE, "Obesity")</f>
        <v>Overweight</v>
      </c>
      <c r="J397" t="str" cm="1">
        <f t="array" ref="J397">_xlfn.IFS(C397&lt;5.7, "Normal", C397&lt;=6.4, "Prediabetes", TRUE, "Diabetes")</f>
        <v>Diabetes</v>
      </c>
    </row>
    <row r="398" spans="1:10">
      <c r="A398" t="s">
        <v>794</v>
      </c>
      <c r="B398">
        <v>24.42</v>
      </c>
      <c r="C398">
        <v>11.31</v>
      </c>
      <c r="D398" t="s">
        <v>4682</v>
      </c>
      <c r="E398" t="s">
        <v>4682</v>
      </c>
      <c r="F398" t="s">
        <v>4682</v>
      </c>
      <c r="G398">
        <v>0</v>
      </c>
      <c r="H398" t="s">
        <v>4683</v>
      </c>
      <c r="I398" t="str" cm="1">
        <f t="array" ref="I398">_xlfn.IFS(B398&lt;18.5, "Underweight", B398&lt;=24.9, "Normal Weight", B398&lt;=29.9, "Overweight", TRUE, "Obesity")</f>
        <v>Normal Weight</v>
      </c>
      <c r="J398" t="str" cm="1">
        <f t="array" ref="J398">_xlfn.IFS(C398&lt;5.7, "Normal", C398&lt;=6.4, "Prediabetes", TRUE, "Diabetes")</f>
        <v>Diabetes</v>
      </c>
    </row>
    <row r="399" spans="1:10">
      <c r="A399" t="s">
        <v>796</v>
      </c>
      <c r="B399">
        <v>26.695</v>
      </c>
      <c r="C399">
        <v>4.68</v>
      </c>
      <c r="D399" t="s">
        <v>4683</v>
      </c>
      <c r="E399" t="s">
        <v>4682</v>
      </c>
      <c r="F399" t="s">
        <v>4682</v>
      </c>
      <c r="G399">
        <v>2</v>
      </c>
      <c r="H399" t="s">
        <v>4683</v>
      </c>
      <c r="I399" t="str" cm="1">
        <f t="array" ref="I399">_xlfn.IFS(B399&lt;18.5, "Underweight", B399&lt;=24.9, "Normal Weight", B399&lt;=29.9, "Overweight", TRUE, "Obesity")</f>
        <v>Overweight</v>
      </c>
      <c r="J399" t="str" cm="1">
        <f t="array" ref="J399">_xlfn.IFS(C399&lt;5.7, "Normal", C399&lt;=6.4, "Prediabetes", TRUE, "Diabetes")</f>
        <v>Normal</v>
      </c>
    </row>
    <row r="400" spans="1:10">
      <c r="A400" t="s">
        <v>798</v>
      </c>
      <c r="B400">
        <v>27.79</v>
      </c>
      <c r="C400">
        <v>6.05</v>
      </c>
      <c r="D400" t="s">
        <v>4683</v>
      </c>
      <c r="E400" t="s">
        <v>4683</v>
      </c>
      <c r="F400" t="s">
        <v>4682</v>
      </c>
      <c r="G400">
        <v>1</v>
      </c>
      <c r="H400" t="s">
        <v>4683</v>
      </c>
      <c r="I400" t="str" cm="1">
        <f t="array" ref="I400">_xlfn.IFS(B400&lt;18.5, "Underweight", B400&lt;=24.9, "Normal Weight", B400&lt;=29.9, "Overweight", TRUE, "Obesity")</f>
        <v>Overweight</v>
      </c>
      <c r="J400" t="str" cm="1">
        <f t="array" ref="J400">_xlfn.IFS(C400&lt;5.7, "Normal", C400&lt;=6.4, "Prediabetes", TRUE, "Diabetes")</f>
        <v>Prediabetes</v>
      </c>
    </row>
    <row r="401" spans="1:10">
      <c r="A401" t="s">
        <v>800</v>
      </c>
      <c r="B401">
        <v>32.68</v>
      </c>
      <c r="C401">
        <v>4.68</v>
      </c>
      <c r="D401" t="s">
        <v>4683</v>
      </c>
      <c r="E401" t="s">
        <v>4682</v>
      </c>
      <c r="F401" t="s">
        <v>4682</v>
      </c>
      <c r="G401">
        <v>0</v>
      </c>
      <c r="H401" t="s">
        <v>4682</v>
      </c>
      <c r="I401" t="str" cm="1">
        <f t="array" ref="I401">_xlfn.IFS(B401&lt;18.5, "Underweight", B401&lt;=24.9, "Normal Weight", B401&lt;=29.9, "Overweight", TRUE, "Obesity")</f>
        <v>Obesity</v>
      </c>
      <c r="J401" t="str" cm="1">
        <f t="array" ref="J401">_xlfn.IFS(C401&lt;5.7, "Normal", C401&lt;=6.4, "Prediabetes", TRUE, "Diabetes")</f>
        <v>Normal</v>
      </c>
    </row>
    <row r="402" spans="1:10">
      <c r="A402" t="s">
        <v>802</v>
      </c>
      <c r="B402">
        <v>26.4</v>
      </c>
      <c r="C402">
        <v>9.5</v>
      </c>
      <c r="D402" t="s">
        <v>4683</v>
      </c>
      <c r="E402" t="s">
        <v>4682</v>
      </c>
      <c r="F402" t="s">
        <v>4682</v>
      </c>
      <c r="G402">
        <v>2</v>
      </c>
      <c r="H402" t="s">
        <v>4682</v>
      </c>
      <c r="I402" t="str" cm="1">
        <f t="array" ref="I402">_xlfn.IFS(B402&lt;18.5, "Underweight", B402&lt;=24.9, "Normal Weight", B402&lt;=29.9, "Overweight", TRUE, "Obesity")</f>
        <v>Overweight</v>
      </c>
      <c r="J402" t="str" cm="1">
        <f t="array" ref="J402">_xlfn.IFS(C402&lt;5.7, "Normal", C402&lt;=6.4, "Prediabetes", TRUE, "Diabetes")</f>
        <v>Diabetes</v>
      </c>
    </row>
    <row r="403" spans="1:10">
      <c r="A403" t="s">
        <v>804</v>
      </c>
      <c r="B403">
        <v>23.655000000000001</v>
      </c>
      <c r="C403">
        <v>10.84</v>
      </c>
      <c r="D403" t="s">
        <v>4683</v>
      </c>
      <c r="E403" t="s">
        <v>4682</v>
      </c>
      <c r="F403" t="s">
        <v>4684</v>
      </c>
      <c r="G403">
        <v>1</v>
      </c>
      <c r="H403" t="s">
        <v>4683</v>
      </c>
      <c r="I403" t="str" cm="1">
        <f t="array" ref="I403">_xlfn.IFS(B403&lt;18.5, "Underweight", B403&lt;=24.9, "Normal Weight", B403&lt;=29.9, "Overweight", TRUE, "Obesity")</f>
        <v>Normal Weight</v>
      </c>
      <c r="J403" t="str" cm="1">
        <f t="array" ref="J403">_xlfn.IFS(C403&lt;5.7, "Normal", C403&lt;=6.4, "Prediabetes", TRUE, "Diabetes")</f>
        <v>Diabetes</v>
      </c>
    </row>
    <row r="404" spans="1:10">
      <c r="A404" t="s">
        <v>806</v>
      </c>
      <c r="B404">
        <v>27.36</v>
      </c>
      <c r="C404">
        <v>5.88</v>
      </c>
      <c r="D404" t="s">
        <v>4682</v>
      </c>
      <c r="E404" t="s">
        <v>4682</v>
      </c>
      <c r="F404" t="s">
        <v>4682</v>
      </c>
      <c r="G404">
        <v>2</v>
      </c>
      <c r="H404" t="s">
        <v>4682</v>
      </c>
      <c r="I404" t="str" cm="1">
        <f t="array" ref="I404">_xlfn.IFS(B404&lt;18.5, "Underweight", B404&lt;=24.9, "Normal Weight", B404&lt;=29.9, "Overweight", TRUE, "Obesity")</f>
        <v>Overweight</v>
      </c>
      <c r="J404" t="str" cm="1">
        <f t="array" ref="J404">_xlfn.IFS(C404&lt;5.7, "Normal", C404&lt;=6.4, "Prediabetes", TRUE, "Diabetes")</f>
        <v>Prediabetes</v>
      </c>
    </row>
    <row r="405" spans="1:10">
      <c r="A405" t="s">
        <v>808</v>
      </c>
      <c r="B405">
        <v>27.82</v>
      </c>
      <c r="C405">
        <v>5.24</v>
      </c>
      <c r="D405" t="s">
        <v>4683</v>
      </c>
      <c r="E405" t="s">
        <v>4682</v>
      </c>
      <c r="F405" t="s">
        <v>4682</v>
      </c>
      <c r="G405">
        <v>0</v>
      </c>
      <c r="H405" t="s">
        <v>4683</v>
      </c>
      <c r="I405" t="str" cm="1">
        <f t="array" ref="I405">_xlfn.IFS(B405&lt;18.5, "Underweight", B405&lt;=24.9, "Normal Weight", B405&lt;=29.9, "Overweight", TRUE, "Obesity")</f>
        <v>Overweight</v>
      </c>
      <c r="J405" t="str" cm="1">
        <f t="array" ref="J405">_xlfn.IFS(C405&lt;5.7, "Normal", C405&lt;=6.4, "Prediabetes", TRUE, "Diabetes")</f>
        <v>Normal</v>
      </c>
    </row>
    <row r="406" spans="1:10">
      <c r="A406" t="s">
        <v>810</v>
      </c>
      <c r="B406">
        <v>25.46</v>
      </c>
      <c r="C406">
        <v>11.75</v>
      </c>
      <c r="D406" t="s">
        <v>4682</v>
      </c>
      <c r="E406" t="s">
        <v>4682</v>
      </c>
      <c r="F406" t="s">
        <v>4682</v>
      </c>
      <c r="G406">
        <v>0</v>
      </c>
      <c r="H406" t="s">
        <v>4682</v>
      </c>
      <c r="I406" t="str" cm="1">
        <f t="array" ref="I406">_xlfn.IFS(B406&lt;18.5, "Underweight", B406&lt;=24.9, "Normal Weight", B406&lt;=29.9, "Overweight", TRUE, "Obesity")</f>
        <v>Overweight</v>
      </c>
      <c r="J406" t="str" cm="1">
        <f t="array" ref="J406">_xlfn.IFS(C406&lt;5.7, "Normal", C406&lt;=6.4, "Prediabetes", TRUE, "Diabetes")</f>
        <v>Diabetes</v>
      </c>
    </row>
    <row r="407" spans="1:10">
      <c r="A407" t="s">
        <v>812</v>
      </c>
      <c r="B407">
        <v>25.1</v>
      </c>
      <c r="C407">
        <v>6.97</v>
      </c>
      <c r="D407" t="s">
        <v>4682</v>
      </c>
      <c r="E407" t="s">
        <v>4682</v>
      </c>
      <c r="F407" t="s">
        <v>4682</v>
      </c>
      <c r="G407">
        <v>0</v>
      </c>
      <c r="H407" t="s">
        <v>4683</v>
      </c>
      <c r="I407" t="str" cm="1">
        <f t="array" ref="I407">_xlfn.IFS(B407&lt;18.5, "Underweight", B407&lt;=24.9, "Normal Weight", B407&lt;=29.9, "Overweight", TRUE, "Obesity")</f>
        <v>Overweight</v>
      </c>
      <c r="J407" t="str" cm="1">
        <f t="array" ref="J407">_xlfn.IFS(C407&lt;5.7, "Normal", C407&lt;=6.4, "Prediabetes", TRUE, "Diabetes")</f>
        <v>Diabetes</v>
      </c>
    </row>
    <row r="408" spans="1:10">
      <c r="A408" t="s">
        <v>814</v>
      </c>
      <c r="B408">
        <v>32.11</v>
      </c>
      <c r="C408">
        <v>4.76</v>
      </c>
      <c r="D408" t="s">
        <v>4682</v>
      </c>
      <c r="E408" t="s">
        <v>4682</v>
      </c>
      <c r="F408" t="s">
        <v>4682</v>
      </c>
      <c r="G408">
        <v>2</v>
      </c>
      <c r="H408" t="s">
        <v>4682</v>
      </c>
      <c r="I408" t="str" cm="1">
        <f t="array" ref="I408">_xlfn.IFS(B408&lt;18.5, "Underweight", B408&lt;=24.9, "Normal Weight", B408&lt;=29.9, "Overweight", TRUE, "Obesity")</f>
        <v>Obesity</v>
      </c>
      <c r="J408" t="str" cm="1">
        <f t="array" ref="J408">_xlfn.IFS(C408&lt;5.7, "Normal", C408&lt;=6.4, "Prediabetes", TRUE, "Diabetes")</f>
        <v>Normal</v>
      </c>
    </row>
    <row r="409" spans="1:10">
      <c r="A409" t="s">
        <v>816</v>
      </c>
      <c r="B409">
        <v>29.8</v>
      </c>
      <c r="C409">
        <v>8.24</v>
      </c>
      <c r="D409" t="s">
        <v>4683</v>
      </c>
      <c r="E409" t="s">
        <v>4682</v>
      </c>
      <c r="F409" t="s">
        <v>4682</v>
      </c>
      <c r="G409">
        <v>1</v>
      </c>
      <c r="H409" t="s">
        <v>4683</v>
      </c>
      <c r="I409" t="str" cm="1">
        <f t="array" ref="I409">_xlfn.IFS(B409&lt;18.5, "Underweight", B409&lt;=24.9, "Normal Weight", B409&lt;=29.9, "Overweight", TRUE, "Obesity")</f>
        <v>Overweight</v>
      </c>
      <c r="J409" t="str" cm="1">
        <f t="array" ref="J409">_xlfn.IFS(C409&lt;5.7, "Normal", C409&lt;=6.4, "Prediabetes", TRUE, "Diabetes")</f>
        <v>Diabetes</v>
      </c>
    </row>
    <row r="410" spans="1:10">
      <c r="A410" t="s">
        <v>818</v>
      </c>
      <c r="B410">
        <v>24.01</v>
      </c>
      <c r="C410">
        <v>4.76</v>
      </c>
      <c r="D410" t="s">
        <v>4682</v>
      </c>
      <c r="E410" t="s">
        <v>4682</v>
      </c>
      <c r="F410" t="s">
        <v>4682</v>
      </c>
      <c r="G410">
        <v>1</v>
      </c>
      <c r="H410" t="s">
        <v>4683</v>
      </c>
      <c r="I410" t="str" cm="1">
        <f t="array" ref="I410">_xlfn.IFS(B410&lt;18.5, "Underweight", B410&lt;=24.9, "Normal Weight", B410&lt;=29.9, "Overweight", TRUE, "Obesity")</f>
        <v>Normal Weight</v>
      </c>
      <c r="J410" t="str" cm="1">
        <f t="array" ref="J410">_xlfn.IFS(C410&lt;5.7, "Normal", C410&lt;=6.4, "Prediabetes", TRUE, "Diabetes")</f>
        <v>Normal</v>
      </c>
    </row>
    <row r="411" spans="1:10">
      <c r="A411" t="s">
        <v>820</v>
      </c>
      <c r="B411">
        <v>23.21</v>
      </c>
      <c r="C411">
        <v>6.03</v>
      </c>
      <c r="D411" t="s">
        <v>4682</v>
      </c>
      <c r="E411" t="s">
        <v>4682</v>
      </c>
      <c r="F411" t="s">
        <v>4682</v>
      </c>
      <c r="G411">
        <v>1</v>
      </c>
      <c r="H411" t="s">
        <v>4682</v>
      </c>
      <c r="I411" t="str" cm="1">
        <f t="array" ref="I411">_xlfn.IFS(B411&lt;18.5, "Underweight", B411&lt;=24.9, "Normal Weight", B411&lt;=29.9, "Overweight", TRUE, "Obesity")</f>
        <v>Normal Weight</v>
      </c>
      <c r="J411" t="str" cm="1">
        <f t="array" ref="J411">_xlfn.IFS(C411&lt;5.7, "Normal", C411&lt;=6.4, "Prediabetes", TRUE, "Diabetes")</f>
        <v>Prediabetes</v>
      </c>
    </row>
    <row r="412" spans="1:10">
      <c r="A412" t="s">
        <v>822</v>
      </c>
      <c r="B412">
        <v>21.2</v>
      </c>
      <c r="C412">
        <v>4.07</v>
      </c>
      <c r="D412" t="s">
        <v>4683</v>
      </c>
      <c r="E412" t="s">
        <v>4682</v>
      </c>
      <c r="F412" t="s">
        <v>4682</v>
      </c>
      <c r="G412">
        <v>1</v>
      </c>
      <c r="H412" t="s">
        <v>4683</v>
      </c>
      <c r="I412" t="str" cm="1">
        <f t="array" ref="I412">_xlfn.IFS(B412&lt;18.5, "Underweight", B412&lt;=24.9, "Normal Weight", B412&lt;=29.9, "Overweight", TRUE, "Obesity")</f>
        <v>Normal Weight</v>
      </c>
      <c r="J412" t="str" cm="1">
        <f t="array" ref="J412">_xlfn.IFS(C412&lt;5.7, "Normal", C412&lt;=6.4, "Prediabetes", TRUE, "Diabetes")</f>
        <v>Normal</v>
      </c>
    </row>
    <row r="413" spans="1:10">
      <c r="A413" t="s">
        <v>824</v>
      </c>
      <c r="B413">
        <v>28.215</v>
      </c>
      <c r="C413">
        <v>8.26</v>
      </c>
      <c r="D413" t="s">
        <v>4683</v>
      </c>
      <c r="E413" t="s">
        <v>4682</v>
      </c>
      <c r="F413" t="s">
        <v>4682</v>
      </c>
      <c r="G413">
        <v>1</v>
      </c>
      <c r="H413" t="s">
        <v>4683</v>
      </c>
      <c r="I413" t="str" cm="1">
        <f t="array" ref="I413">_xlfn.IFS(B413&lt;18.5, "Underweight", B413&lt;=24.9, "Normal Weight", B413&lt;=29.9, "Overweight", TRUE, "Obesity")</f>
        <v>Overweight</v>
      </c>
      <c r="J413" t="str" cm="1">
        <f t="array" ref="J413">_xlfn.IFS(C413&lt;5.7, "Normal", C413&lt;=6.4, "Prediabetes", TRUE, "Diabetes")</f>
        <v>Diabetes</v>
      </c>
    </row>
    <row r="414" spans="1:10">
      <c r="A414" t="s">
        <v>826</v>
      </c>
      <c r="B414">
        <v>38.094999999999999</v>
      </c>
      <c r="C414">
        <v>4.76</v>
      </c>
      <c r="D414" t="s">
        <v>4682</v>
      </c>
      <c r="E414" t="s">
        <v>4682</v>
      </c>
      <c r="F414" t="s">
        <v>4682</v>
      </c>
      <c r="G414">
        <v>1</v>
      </c>
      <c r="H414" t="s">
        <v>4682</v>
      </c>
      <c r="I414" t="str" cm="1">
        <f t="array" ref="I414">_xlfn.IFS(B414&lt;18.5, "Underweight", B414&lt;=24.9, "Normal Weight", B414&lt;=29.9, "Overweight", TRUE, "Obesity")</f>
        <v>Obesity</v>
      </c>
      <c r="J414" t="str" cm="1">
        <f t="array" ref="J414">_xlfn.IFS(C414&lt;5.7, "Normal", C414&lt;=6.4, "Prediabetes", TRUE, "Diabetes")</f>
        <v>Normal</v>
      </c>
    </row>
    <row r="415" spans="1:10">
      <c r="A415" t="s">
        <v>828</v>
      </c>
      <c r="B415">
        <v>22.61</v>
      </c>
      <c r="C415">
        <v>6.13</v>
      </c>
      <c r="D415" t="s">
        <v>4683</v>
      </c>
      <c r="E415" t="s">
        <v>4682</v>
      </c>
      <c r="F415" t="s">
        <v>4684</v>
      </c>
      <c r="G415">
        <v>1</v>
      </c>
      <c r="H415" t="s">
        <v>4683</v>
      </c>
      <c r="I415" t="str" cm="1">
        <f t="array" ref="I415">_xlfn.IFS(B415&lt;18.5, "Underweight", B415&lt;=24.9, "Normal Weight", B415&lt;=29.9, "Overweight", TRUE, "Obesity")</f>
        <v>Normal Weight</v>
      </c>
      <c r="J415" t="str" cm="1">
        <f t="array" ref="J415">_xlfn.IFS(C415&lt;5.7, "Normal", C415&lt;=6.4, "Prediabetes", TRUE, "Diabetes")</f>
        <v>Prediabetes</v>
      </c>
    </row>
    <row r="416" spans="1:10">
      <c r="A416" t="s">
        <v>830</v>
      </c>
      <c r="B416">
        <v>24.32</v>
      </c>
      <c r="C416">
        <v>10.47</v>
      </c>
      <c r="D416" t="s">
        <v>4683</v>
      </c>
      <c r="E416" t="s">
        <v>4682</v>
      </c>
      <c r="F416" t="s">
        <v>4682</v>
      </c>
      <c r="G416">
        <v>2</v>
      </c>
      <c r="H416" t="s">
        <v>4683</v>
      </c>
      <c r="I416" t="str" cm="1">
        <f t="array" ref="I416">_xlfn.IFS(B416&lt;18.5, "Underweight", B416&lt;=24.9, "Normal Weight", B416&lt;=29.9, "Overweight", TRUE, "Obesity")</f>
        <v>Normal Weight</v>
      </c>
      <c r="J416" t="str" cm="1">
        <f t="array" ref="J416">_xlfn.IFS(C416&lt;5.7, "Normal", C416&lt;=6.4, "Prediabetes", TRUE, "Diabetes")</f>
        <v>Diabetes</v>
      </c>
    </row>
    <row r="417" spans="1:10">
      <c r="A417" t="s">
        <v>832</v>
      </c>
      <c r="B417">
        <v>20.96</v>
      </c>
      <c r="C417">
        <v>4.04</v>
      </c>
      <c r="D417" t="s">
        <v>4683</v>
      </c>
      <c r="E417" t="s">
        <v>4682</v>
      </c>
      <c r="F417" t="s">
        <v>4682</v>
      </c>
      <c r="G417">
        <v>1</v>
      </c>
      <c r="H417" t="s">
        <v>4683</v>
      </c>
      <c r="I417" t="str" cm="1">
        <f t="array" ref="I417">_xlfn.IFS(B417&lt;18.5, "Underweight", B417&lt;=24.9, "Normal Weight", B417&lt;=29.9, "Overweight", TRUE, "Obesity")</f>
        <v>Normal Weight</v>
      </c>
      <c r="J417" t="str" cm="1">
        <f t="array" ref="J417">_xlfn.IFS(C417&lt;5.7, "Normal", C417&lt;=6.4, "Prediabetes", TRUE, "Diabetes")</f>
        <v>Normal</v>
      </c>
    </row>
    <row r="418" spans="1:10">
      <c r="A418" t="s">
        <v>834</v>
      </c>
      <c r="B418">
        <v>19.68</v>
      </c>
      <c r="C418">
        <v>5.74</v>
      </c>
      <c r="D418" t="s">
        <v>4682</v>
      </c>
      <c r="E418" t="s">
        <v>4682</v>
      </c>
      <c r="F418" t="s">
        <v>4682</v>
      </c>
      <c r="G418">
        <v>0</v>
      </c>
      <c r="H418" t="s">
        <v>4683</v>
      </c>
      <c r="I418" t="str" cm="1">
        <f t="array" ref="I418">_xlfn.IFS(B418&lt;18.5, "Underweight", B418&lt;=24.9, "Normal Weight", B418&lt;=29.9, "Overweight", TRUE, "Obesity")</f>
        <v>Normal Weight</v>
      </c>
      <c r="J418" t="str" cm="1">
        <f t="array" ref="J418">_xlfn.IFS(C418&lt;5.7, "Normal", C418&lt;=6.4, "Prediabetes", TRUE, "Diabetes")</f>
        <v>Prediabetes</v>
      </c>
    </row>
    <row r="419" spans="1:10">
      <c r="A419" t="s">
        <v>836</v>
      </c>
      <c r="B419">
        <v>18.100000000000001</v>
      </c>
      <c r="C419">
        <v>6.33</v>
      </c>
      <c r="D419" t="s">
        <v>4682</v>
      </c>
      <c r="E419" t="s">
        <v>4682</v>
      </c>
      <c r="F419" t="s">
        <v>4682</v>
      </c>
      <c r="G419">
        <v>1</v>
      </c>
      <c r="H419" t="s">
        <v>4683</v>
      </c>
      <c r="I419" t="str" cm="1">
        <f t="array" ref="I419">_xlfn.IFS(B419&lt;18.5, "Underweight", B419&lt;=24.9, "Normal Weight", B419&lt;=29.9, "Overweight", TRUE, "Obesity")</f>
        <v>Underweight</v>
      </c>
      <c r="J419" t="str" cm="1">
        <f t="array" ref="J419">_xlfn.IFS(C419&lt;5.7, "Normal", C419&lt;=6.4, "Prediabetes", TRUE, "Diabetes")</f>
        <v>Prediabetes</v>
      </c>
    </row>
    <row r="420" spans="1:10">
      <c r="A420" t="s">
        <v>838</v>
      </c>
      <c r="B420">
        <v>29.64</v>
      </c>
      <c r="C420">
        <v>4.28</v>
      </c>
      <c r="D420" t="s">
        <v>4683</v>
      </c>
      <c r="E420" t="s">
        <v>4682</v>
      </c>
      <c r="F420" t="s">
        <v>4682</v>
      </c>
      <c r="G420">
        <v>0</v>
      </c>
      <c r="H420" t="s">
        <v>4682</v>
      </c>
      <c r="I420" t="str" cm="1">
        <f t="array" ref="I420">_xlfn.IFS(B420&lt;18.5, "Underweight", B420&lt;=24.9, "Normal Weight", B420&lt;=29.9, "Overweight", TRUE, "Obesity")</f>
        <v>Overweight</v>
      </c>
      <c r="J420" t="str" cm="1">
        <f t="array" ref="J420">_xlfn.IFS(C420&lt;5.7, "Normal", C420&lt;=6.4, "Prediabetes", TRUE, "Diabetes")</f>
        <v>Normal</v>
      </c>
    </row>
    <row r="421" spans="1:10">
      <c r="A421" t="s">
        <v>840</v>
      </c>
      <c r="B421">
        <v>25.3</v>
      </c>
      <c r="C421">
        <v>9.4700000000000006</v>
      </c>
      <c r="D421" t="s">
        <v>4683</v>
      </c>
      <c r="E421" t="s">
        <v>4682</v>
      </c>
      <c r="F421" t="s">
        <v>4682</v>
      </c>
      <c r="G421">
        <v>2</v>
      </c>
      <c r="H421" t="s">
        <v>4683</v>
      </c>
      <c r="I421" t="str" cm="1">
        <f t="array" ref="I421">_xlfn.IFS(B421&lt;18.5, "Underweight", B421&lt;=24.9, "Normal Weight", B421&lt;=29.9, "Overweight", TRUE, "Obesity")</f>
        <v>Overweight</v>
      </c>
      <c r="J421" t="str" cm="1">
        <f t="array" ref="J421">_xlfn.IFS(C421&lt;5.7, "Normal", C421&lt;=6.4, "Prediabetes", TRUE, "Diabetes")</f>
        <v>Diabetes</v>
      </c>
    </row>
    <row r="422" spans="1:10">
      <c r="A422" t="s">
        <v>842</v>
      </c>
      <c r="B422">
        <v>27.6</v>
      </c>
      <c r="C422">
        <v>4.8499999999999996</v>
      </c>
      <c r="D422" t="s">
        <v>4683</v>
      </c>
      <c r="E422" t="s">
        <v>4682</v>
      </c>
      <c r="F422" t="s">
        <v>4682</v>
      </c>
      <c r="G422">
        <v>0</v>
      </c>
      <c r="H422" t="s">
        <v>4682</v>
      </c>
      <c r="I422" t="str" cm="1">
        <f t="array" ref="I422">_xlfn.IFS(B422&lt;18.5, "Underweight", B422&lt;=24.9, "Normal Weight", B422&lt;=29.9, "Overweight", TRUE, "Obesity")</f>
        <v>Overweight</v>
      </c>
      <c r="J422" t="str" cm="1">
        <f t="array" ref="J422">_xlfn.IFS(C422&lt;5.7, "Normal", C422&lt;=6.4, "Prediabetes", TRUE, "Diabetes")</f>
        <v>Normal</v>
      </c>
    </row>
    <row r="423" spans="1:10">
      <c r="A423" t="s">
        <v>844</v>
      </c>
      <c r="B423">
        <v>27.645</v>
      </c>
      <c r="C423">
        <v>11.03</v>
      </c>
      <c r="D423" t="s">
        <v>4683</v>
      </c>
      <c r="E423" t="s">
        <v>4682</v>
      </c>
      <c r="F423" t="s">
        <v>4682</v>
      </c>
      <c r="G423">
        <v>1</v>
      </c>
      <c r="H423" t="s">
        <v>4683</v>
      </c>
      <c r="I423" t="str" cm="1">
        <f t="array" ref="I423">_xlfn.IFS(B423&lt;18.5, "Underweight", B423&lt;=24.9, "Normal Weight", B423&lt;=29.9, "Overweight", TRUE, "Obesity")</f>
        <v>Overweight</v>
      </c>
      <c r="J423" t="str" cm="1">
        <f t="array" ref="J423">_xlfn.IFS(C423&lt;5.7, "Normal", C423&lt;=6.4, "Prediabetes", TRUE, "Diabetes")</f>
        <v>Diabetes</v>
      </c>
    </row>
    <row r="424" spans="1:10">
      <c r="A424" t="s">
        <v>846</v>
      </c>
      <c r="B424">
        <v>27.6</v>
      </c>
      <c r="C424">
        <v>5.22</v>
      </c>
      <c r="D424" t="s">
        <v>4682</v>
      </c>
      <c r="E424" t="s">
        <v>4682</v>
      </c>
      <c r="F424" t="s">
        <v>4682</v>
      </c>
      <c r="G424">
        <v>2</v>
      </c>
      <c r="H424" t="s">
        <v>4683</v>
      </c>
      <c r="I424" t="str" cm="1">
        <f t="array" ref="I424">_xlfn.IFS(B424&lt;18.5, "Underweight", B424&lt;=24.9, "Normal Weight", B424&lt;=29.9, "Overweight", TRUE, "Obesity")</f>
        <v>Overweight</v>
      </c>
      <c r="J424" t="str" cm="1">
        <f t="array" ref="J424">_xlfn.IFS(C424&lt;5.7, "Normal", C424&lt;=6.4, "Prediabetes", TRUE, "Diabetes")</f>
        <v>Normal</v>
      </c>
    </row>
    <row r="425" spans="1:10">
      <c r="A425" t="s">
        <v>848</v>
      </c>
      <c r="B425">
        <v>25.08</v>
      </c>
      <c r="C425">
        <v>9.52</v>
      </c>
      <c r="D425" t="s">
        <v>4683</v>
      </c>
      <c r="E425" t="s">
        <v>4682</v>
      </c>
      <c r="F425" t="s">
        <v>4682</v>
      </c>
      <c r="G425">
        <v>2</v>
      </c>
      <c r="H425" t="s">
        <v>4682</v>
      </c>
      <c r="I425" t="str" cm="1">
        <f t="array" ref="I425">_xlfn.IFS(B425&lt;18.5, "Underweight", B425&lt;=24.9, "Normal Weight", B425&lt;=29.9, "Overweight", TRUE, "Obesity")</f>
        <v>Overweight</v>
      </c>
      <c r="J425" t="str" cm="1">
        <f t="array" ref="J425">_xlfn.IFS(C425&lt;5.7, "Normal", C425&lt;=6.4, "Prediabetes", TRUE, "Diabetes")</f>
        <v>Diabetes</v>
      </c>
    </row>
    <row r="426" spans="1:10">
      <c r="A426" t="s">
        <v>850</v>
      </c>
      <c r="B426">
        <v>30.02</v>
      </c>
      <c r="C426">
        <v>11.09</v>
      </c>
      <c r="D426" t="s">
        <v>4682</v>
      </c>
      <c r="E426" t="s">
        <v>4682</v>
      </c>
      <c r="F426" t="s">
        <v>4682</v>
      </c>
      <c r="G426">
        <v>0</v>
      </c>
      <c r="H426" t="s">
        <v>4682</v>
      </c>
      <c r="I426" t="str" cm="1">
        <f t="array" ref="I426">_xlfn.IFS(B426&lt;18.5, "Underweight", B426&lt;=24.9, "Normal Weight", B426&lt;=29.9, "Overweight", TRUE, "Obesity")</f>
        <v>Obesity</v>
      </c>
      <c r="J426" t="str" cm="1">
        <f t="array" ref="J426">_xlfn.IFS(C426&lt;5.7, "Normal", C426&lt;=6.4, "Prediabetes", TRUE, "Diabetes")</f>
        <v>Diabetes</v>
      </c>
    </row>
    <row r="427" spans="1:10">
      <c r="A427" t="s">
        <v>852</v>
      </c>
      <c r="B427">
        <v>27.36</v>
      </c>
      <c r="C427">
        <v>9.4499999999999993</v>
      </c>
      <c r="D427" t="s">
        <v>4683</v>
      </c>
      <c r="E427" t="s">
        <v>4682</v>
      </c>
      <c r="F427" t="s">
        <v>4682</v>
      </c>
      <c r="G427">
        <v>2</v>
      </c>
      <c r="H427" t="s">
        <v>4683</v>
      </c>
      <c r="I427" t="str" cm="1">
        <f t="array" ref="I427">_xlfn.IFS(B427&lt;18.5, "Underweight", B427&lt;=24.9, "Normal Weight", B427&lt;=29.9, "Overweight", TRUE, "Obesity")</f>
        <v>Overweight</v>
      </c>
      <c r="J427" t="str" cm="1">
        <f t="array" ref="J427">_xlfn.IFS(C427&lt;5.7, "Normal", C427&lt;=6.4, "Prediabetes", TRUE, "Diabetes")</f>
        <v>Diabetes</v>
      </c>
    </row>
    <row r="428" spans="1:10">
      <c r="A428" t="s">
        <v>854</v>
      </c>
      <c r="B428">
        <v>22.2</v>
      </c>
      <c r="C428">
        <v>5.51</v>
      </c>
      <c r="D428" t="s">
        <v>4682</v>
      </c>
      <c r="E428" t="s">
        <v>4682</v>
      </c>
      <c r="F428" t="s">
        <v>4682</v>
      </c>
      <c r="G428">
        <v>0</v>
      </c>
      <c r="H428" t="s">
        <v>4683</v>
      </c>
      <c r="I428" t="str" cm="1">
        <f t="array" ref="I428">_xlfn.IFS(B428&lt;18.5, "Underweight", B428&lt;=24.9, "Normal Weight", B428&lt;=29.9, "Overweight", TRUE, "Obesity")</f>
        <v>Normal Weight</v>
      </c>
      <c r="J428" t="str" cm="1">
        <f t="array" ref="J428">_xlfn.IFS(C428&lt;5.7, "Normal", C428&lt;=6.4, "Prediabetes", TRUE, "Diabetes")</f>
        <v>Normal</v>
      </c>
    </row>
    <row r="429" spans="1:10">
      <c r="A429" t="s">
        <v>856</v>
      </c>
      <c r="B429">
        <v>25.71</v>
      </c>
      <c r="C429">
        <v>4.18</v>
      </c>
      <c r="D429" t="s">
        <v>4682</v>
      </c>
      <c r="E429" t="s">
        <v>4683</v>
      </c>
      <c r="F429" t="s">
        <v>4682</v>
      </c>
      <c r="G429">
        <v>1</v>
      </c>
      <c r="H429" t="s">
        <v>4683</v>
      </c>
      <c r="I429" t="str" cm="1">
        <f t="array" ref="I429">_xlfn.IFS(B429&lt;18.5, "Underweight", B429&lt;=24.9, "Normal Weight", B429&lt;=29.9, "Overweight", TRUE, "Obesity")</f>
        <v>Overweight</v>
      </c>
      <c r="J429" t="str" cm="1">
        <f t="array" ref="J429">_xlfn.IFS(C429&lt;5.7, "Normal", C429&lt;=6.4, "Prediabetes", TRUE, "Diabetes")</f>
        <v>Normal</v>
      </c>
    </row>
    <row r="430" spans="1:10">
      <c r="A430" t="s">
        <v>858</v>
      </c>
      <c r="B430">
        <v>41.91</v>
      </c>
      <c r="C430">
        <v>5.98</v>
      </c>
      <c r="D430" t="s">
        <v>4683</v>
      </c>
      <c r="E430" t="s">
        <v>4682</v>
      </c>
      <c r="F430" t="s">
        <v>4682</v>
      </c>
      <c r="G430">
        <v>1</v>
      </c>
      <c r="H430" t="s">
        <v>4682</v>
      </c>
      <c r="I430" t="str" cm="1">
        <f t="array" ref="I430">_xlfn.IFS(B430&lt;18.5, "Underweight", B430&lt;=24.9, "Normal Weight", B430&lt;=29.9, "Overweight", TRUE, "Obesity")</f>
        <v>Obesity</v>
      </c>
      <c r="J430" t="str" cm="1">
        <f t="array" ref="J430">_xlfn.IFS(C430&lt;5.7, "Normal", C430&lt;=6.4, "Prediabetes", TRUE, "Diabetes")</f>
        <v>Prediabetes</v>
      </c>
    </row>
    <row r="431" spans="1:10">
      <c r="A431" t="s">
        <v>860</v>
      </c>
      <c r="B431">
        <v>25.85</v>
      </c>
      <c r="C431">
        <v>10.16</v>
      </c>
      <c r="D431" t="s">
        <v>4682</v>
      </c>
      <c r="E431" t="s">
        <v>4682</v>
      </c>
      <c r="F431" t="s">
        <v>4682</v>
      </c>
      <c r="G431">
        <v>0</v>
      </c>
      <c r="H431" t="s">
        <v>4683</v>
      </c>
      <c r="I431" t="str" cm="1">
        <f t="array" ref="I431">_xlfn.IFS(B431&lt;18.5, "Underweight", B431&lt;=24.9, "Normal Weight", B431&lt;=29.9, "Overweight", TRUE, "Obesity")</f>
        <v>Overweight</v>
      </c>
      <c r="J431" t="str" cm="1">
        <f t="array" ref="J431">_xlfn.IFS(C431&lt;5.7, "Normal", C431&lt;=6.4, "Prediabetes", TRUE, "Diabetes")</f>
        <v>Diabetes</v>
      </c>
    </row>
    <row r="432" spans="1:10">
      <c r="A432" t="s">
        <v>862</v>
      </c>
      <c r="B432">
        <v>23.844999999999999</v>
      </c>
      <c r="C432">
        <v>11.71</v>
      </c>
      <c r="D432" t="s">
        <v>4682</v>
      </c>
      <c r="E432" t="s">
        <v>4682</v>
      </c>
      <c r="F432" t="s">
        <v>4682</v>
      </c>
      <c r="G432">
        <v>2</v>
      </c>
      <c r="H432" t="s">
        <v>4683</v>
      </c>
      <c r="I432" t="str" cm="1">
        <f t="array" ref="I432">_xlfn.IFS(B432&lt;18.5, "Underweight", B432&lt;=24.9, "Normal Weight", B432&lt;=29.9, "Overweight", TRUE, "Obesity")</f>
        <v>Normal Weight</v>
      </c>
      <c r="J432" t="str" cm="1">
        <f t="array" ref="J432">_xlfn.IFS(C432&lt;5.7, "Normal", C432&lt;=6.4, "Prediabetes", TRUE, "Diabetes")</f>
        <v>Diabetes</v>
      </c>
    </row>
    <row r="433" spans="1:10">
      <c r="A433" t="s">
        <v>864</v>
      </c>
      <c r="B433">
        <v>30.59</v>
      </c>
      <c r="C433">
        <v>5.23</v>
      </c>
      <c r="D433" t="s">
        <v>4682</v>
      </c>
      <c r="E433" t="s">
        <v>4682</v>
      </c>
      <c r="F433" t="s">
        <v>4684</v>
      </c>
      <c r="G433">
        <v>1</v>
      </c>
      <c r="H433" t="s">
        <v>4682</v>
      </c>
      <c r="I433" t="str" cm="1">
        <f t="array" ref="I433">_xlfn.IFS(B433&lt;18.5, "Underweight", B433&lt;=24.9, "Normal Weight", B433&lt;=29.9, "Overweight", TRUE, "Obesity")</f>
        <v>Obesity</v>
      </c>
      <c r="J433" t="str" cm="1">
        <f t="array" ref="J433">_xlfn.IFS(C433&lt;5.7, "Normal", C433&lt;=6.4, "Prediabetes", TRUE, "Diabetes")</f>
        <v>Normal</v>
      </c>
    </row>
    <row r="434" spans="1:10">
      <c r="A434" t="s">
        <v>866</v>
      </c>
      <c r="B434">
        <v>24.795000000000002</v>
      </c>
      <c r="C434">
        <v>6.85</v>
      </c>
      <c r="D434" t="s">
        <v>4682</v>
      </c>
      <c r="E434" t="s">
        <v>4682</v>
      </c>
      <c r="F434" t="s">
        <v>4682</v>
      </c>
      <c r="G434">
        <v>0</v>
      </c>
      <c r="H434" t="s">
        <v>4683</v>
      </c>
      <c r="I434" t="str" cm="1">
        <f t="array" ref="I434">_xlfn.IFS(B434&lt;18.5, "Underweight", B434&lt;=24.9, "Normal Weight", B434&lt;=29.9, "Overweight", TRUE, "Obesity")</f>
        <v>Normal Weight</v>
      </c>
      <c r="J434" t="str" cm="1">
        <f t="array" ref="J434">_xlfn.IFS(C434&lt;5.7, "Normal", C434&lt;=6.4, "Prediabetes", TRUE, "Diabetes")</f>
        <v>Diabetes</v>
      </c>
    </row>
    <row r="435" spans="1:10">
      <c r="A435" t="s">
        <v>868</v>
      </c>
      <c r="B435">
        <v>24.13</v>
      </c>
      <c r="C435">
        <v>7.05</v>
      </c>
      <c r="D435" t="s">
        <v>4683</v>
      </c>
      <c r="E435" t="s">
        <v>4682</v>
      </c>
      <c r="F435" t="s">
        <v>4682</v>
      </c>
      <c r="G435">
        <v>2</v>
      </c>
      <c r="H435" t="s">
        <v>4683</v>
      </c>
      <c r="I435" t="str" cm="1">
        <f t="array" ref="I435">_xlfn.IFS(B435&lt;18.5, "Underweight", B435&lt;=24.9, "Normal Weight", B435&lt;=29.9, "Overweight", TRUE, "Obesity")</f>
        <v>Normal Weight</v>
      </c>
      <c r="J435" t="str" cm="1">
        <f t="array" ref="J435">_xlfn.IFS(C435&lt;5.7, "Normal", C435&lt;=6.4, "Prediabetes", TRUE, "Diabetes")</f>
        <v>Diabetes</v>
      </c>
    </row>
    <row r="436" spans="1:10">
      <c r="A436" t="s">
        <v>870</v>
      </c>
      <c r="B436">
        <v>25.84</v>
      </c>
      <c r="C436">
        <v>11.64</v>
      </c>
      <c r="D436" t="s">
        <v>4682</v>
      </c>
      <c r="E436" t="s">
        <v>4682</v>
      </c>
      <c r="F436" t="s">
        <v>4682</v>
      </c>
      <c r="G436">
        <v>2</v>
      </c>
      <c r="H436" t="s">
        <v>4683</v>
      </c>
      <c r="I436" t="str" cm="1">
        <f t="array" ref="I436">_xlfn.IFS(B436&lt;18.5, "Underweight", B436&lt;=24.9, "Normal Weight", B436&lt;=29.9, "Overweight", TRUE, "Obesity")</f>
        <v>Overweight</v>
      </c>
      <c r="J436" t="str" cm="1">
        <f t="array" ref="J436">_xlfn.IFS(C436&lt;5.7, "Normal", C436&lt;=6.4, "Prediabetes", TRUE, "Diabetes")</f>
        <v>Diabetes</v>
      </c>
    </row>
    <row r="437" spans="1:10">
      <c r="A437" t="s">
        <v>872</v>
      </c>
      <c r="B437">
        <v>28</v>
      </c>
      <c r="C437">
        <v>10.52</v>
      </c>
      <c r="D437" t="s">
        <v>4682</v>
      </c>
      <c r="E437" t="s">
        <v>4682</v>
      </c>
      <c r="F437" t="s">
        <v>4682</v>
      </c>
      <c r="G437">
        <v>0</v>
      </c>
      <c r="H437" t="s">
        <v>4683</v>
      </c>
      <c r="I437" t="str" cm="1">
        <f t="array" ref="I437">_xlfn.IFS(B437&lt;18.5, "Underweight", B437&lt;=24.9, "Normal Weight", B437&lt;=29.9, "Overweight", TRUE, "Obesity")</f>
        <v>Overweight</v>
      </c>
      <c r="J437" t="str" cm="1">
        <f t="array" ref="J437">_xlfn.IFS(C437&lt;5.7, "Normal", C437&lt;=6.4, "Prediabetes", TRUE, "Diabetes")</f>
        <v>Diabetes</v>
      </c>
    </row>
    <row r="438" spans="1:10">
      <c r="A438" t="s">
        <v>874</v>
      </c>
      <c r="B438">
        <v>34.1</v>
      </c>
      <c r="C438">
        <v>4.01</v>
      </c>
      <c r="D438" t="s">
        <v>4683</v>
      </c>
      <c r="E438" t="s">
        <v>4682</v>
      </c>
      <c r="F438" t="s">
        <v>4684</v>
      </c>
      <c r="G438">
        <v>1</v>
      </c>
      <c r="H438" t="s">
        <v>4682</v>
      </c>
      <c r="I438" t="str" cm="1">
        <f t="array" ref="I438">_xlfn.IFS(B438&lt;18.5, "Underweight", B438&lt;=24.9, "Normal Weight", B438&lt;=29.9, "Overweight", TRUE, "Obesity")</f>
        <v>Obesity</v>
      </c>
      <c r="J438" t="str" cm="1">
        <f t="array" ref="J438">_xlfn.IFS(C438&lt;5.7, "Normal", C438&lt;=6.4, "Prediabetes", TRUE, "Diabetes")</f>
        <v>Normal</v>
      </c>
    </row>
    <row r="439" spans="1:10">
      <c r="A439" t="s">
        <v>876</v>
      </c>
      <c r="B439">
        <v>26.125</v>
      </c>
      <c r="C439">
        <v>8.56</v>
      </c>
      <c r="D439" t="s">
        <v>4683</v>
      </c>
      <c r="E439" t="s">
        <v>4682</v>
      </c>
      <c r="F439" t="s">
        <v>4682</v>
      </c>
      <c r="G439">
        <v>1</v>
      </c>
      <c r="H439" t="s">
        <v>4683</v>
      </c>
      <c r="I439" t="str" cm="1">
        <f t="array" ref="I439">_xlfn.IFS(B439&lt;18.5, "Underweight", B439&lt;=24.9, "Normal Weight", B439&lt;=29.9, "Overweight", TRUE, "Obesity")</f>
        <v>Overweight</v>
      </c>
      <c r="J439" t="str" cm="1">
        <f t="array" ref="J439">_xlfn.IFS(C439&lt;5.7, "Normal", C439&lt;=6.4, "Prediabetes", TRUE, "Diabetes")</f>
        <v>Diabetes</v>
      </c>
    </row>
    <row r="440" spans="1:10">
      <c r="A440" t="s">
        <v>878</v>
      </c>
      <c r="B440">
        <v>25.6</v>
      </c>
      <c r="C440">
        <v>10.5</v>
      </c>
      <c r="D440" t="s">
        <v>4682</v>
      </c>
      <c r="E440" t="s">
        <v>4682</v>
      </c>
      <c r="F440" t="s">
        <v>4682</v>
      </c>
      <c r="G440">
        <v>2</v>
      </c>
      <c r="H440" t="s">
        <v>4683</v>
      </c>
      <c r="I440" t="str" cm="1">
        <f t="array" ref="I440">_xlfn.IFS(B440&lt;18.5, "Underweight", B440&lt;=24.9, "Normal Weight", B440&lt;=29.9, "Overweight", TRUE, "Obesity")</f>
        <v>Overweight</v>
      </c>
      <c r="J440" t="str" cm="1">
        <f t="array" ref="J440">_xlfn.IFS(C440&lt;5.7, "Normal", C440&lt;=6.4, "Prediabetes", TRUE, "Diabetes")</f>
        <v>Diabetes</v>
      </c>
    </row>
    <row r="441" spans="1:10">
      <c r="A441" t="s">
        <v>880</v>
      </c>
      <c r="B441">
        <v>24.32</v>
      </c>
      <c r="C441">
        <v>6.39</v>
      </c>
      <c r="D441" t="s">
        <v>4682</v>
      </c>
      <c r="E441" t="s">
        <v>4682</v>
      </c>
      <c r="F441" t="s">
        <v>4682</v>
      </c>
      <c r="G441">
        <v>0</v>
      </c>
      <c r="H441" t="s">
        <v>4682</v>
      </c>
      <c r="I441" t="str" cm="1">
        <f t="array" ref="I441">_xlfn.IFS(B441&lt;18.5, "Underweight", B441&lt;=24.9, "Normal Weight", B441&lt;=29.9, "Overweight", TRUE, "Obesity")</f>
        <v>Normal Weight</v>
      </c>
      <c r="J441" t="str" cm="1">
        <f t="array" ref="J441">_xlfn.IFS(C441&lt;5.7, "Normal", C441&lt;=6.4, "Prediabetes", TRUE, "Diabetes")</f>
        <v>Prediabetes</v>
      </c>
    </row>
    <row r="442" spans="1:10">
      <c r="A442" t="s">
        <v>882</v>
      </c>
      <c r="B442">
        <v>22.88</v>
      </c>
      <c r="C442">
        <v>5.71</v>
      </c>
      <c r="D442" t="s">
        <v>4683</v>
      </c>
      <c r="E442" t="s">
        <v>4682</v>
      </c>
      <c r="F442" t="s">
        <v>4684</v>
      </c>
      <c r="G442">
        <v>1</v>
      </c>
      <c r="H442" t="s">
        <v>4683</v>
      </c>
      <c r="I442" t="str" cm="1">
        <f t="array" ref="I442">_xlfn.IFS(B442&lt;18.5, "Underweight", B442&lt;=24.9, "Normal Weight", B442&lt;=29.9, "Overweight", TRUE, "Obesity")</f>
        <v>Normal Weight</v>
      </c>
      <c r="J442" t="str" cm="1">
        <f t="array" ref="J442">_xlfn.IFS(C442&lt;5.7, "Normal", C442&lt;=6.4, "Prediabetes", TRUE, "Diabetes")</f>
        <v>Prediabetes</v>
      </c>
    </row>
    <row r="443" spans="1:10">
      <c r="A443" t="s">
        <v>884</v>
      </c>
      <c r="B443">
        <v>24.984999999999999</v>
      </c>
      <c r="C443">
        <v>4.43</v>
      </c>
      <c r="D443" t="s">
        <v>4683</v>
      </c>
      <c r="E443" t="s">
        <v>4682</v>
      </c>
      <c r="F443" t="s">
        <v>4684</v>
      </c>
      <c r="G443">
        <v>1</v>
      </c>
      <c r="H443" t="s">
        <v>4682</v>
      </c>
      <c r="I443" t="str" cm="1">
        <f t="array" ref="I443">_xlfn.IFS(B443&lt;18.5, "Underweight", B443&lt;=24.9, "Normal Weight", B443&lt;=29.9, "Overweight", TRUE, "Obesity")</f>
        <v>Overweight</v>
      </c>
      <c r="J443" t="str" cm="1">
        <f t="array" ref="J443">_xlfn.IFS(C443&lt;5.7, "Normal", C443&lt;=6.4, "Prediabetes", TRUE, "Diabetes")</f>
        <v>Normal</v>
      </c>
    </row>
    <row r="444" spans="1:10">
      <c r="A444" t="s">
        <v>886</v>
      </c>
      <c r="B444">
        <v>33.1</v>
      </c>
      <c r="C444">
        <v>5.52</v>
      </c>
      <c r="D444" t="s">
        <v>4682</v>
      </c>
      <c r="E444" t="s">
        <v>4682</v>
      </c>
      <c r="F444" t="s">
        <v>4684</v>
      </c>
      <c r="G444">
        <v>1</v>
      </c>
      <c r="H444" t="s">
        <v>4682</v>
      </c>
      <c r="I444" t="str" cm="1">
        <f t="array" ref="I444">_xlfn.IFS(B444&lt;18.5, "Underweight", B444&lt;=24.9, "Normal Weight", B444&lt;=29.9, "Overweight", TRUE, "Obesity")</f>
        <v>Obesity</v>
      </c>
      <c r="J444" t="str" cm="1">
        <f t="array" ref="J444">_xlfn.IFS(C444&lt;5.7, "Normal", C444&lt;=6.4, "Prediabetes", TRUE, "Diabetes")</f>
        <v>Normal</v>
      </c>
    </row>
    <row r="445" spans="1:10">
      <c r="A445" t="s">
        <v>888</v>
      </c>
      <c r="B445">
        <v>27.83</v>
      </c>
      <c r="C445">
        <v>9.1999999999999993</v>
      </c>
      <c r="D445" t="s">
        <v>4683</v>
      </c>
      <c r="E445" t="s">
        <v>4682</v>
      </c>
      <c r="F445" t="s">
        <v>4682</v>
      </c>
      <c r="G445">
        <v>1</v>
      </c>
      <c r="H445" t="s">
        <v>4683</v>
      </c>
      <c r="I445" t="str" cm="1">
        <f t="array" ref="I445">_xlfn.IFS(B445&lt;18.5, "Underweight", B445&lt;=24.9, "Normal Weight", B445&lt;=29.9, "Overweight", TRUE, "Obesity")</f>
        <v>Overweight</v>
      </c>
      <c r="J445" t="str" cm="1">
        <f t="array" ref="J445">_xlfn.IFS(C445&lt;5.7, "Normal", C445&lt;=6.4, "Prediabetes", TRUE, "Diabetes")</f>
        <v>Diabetes</v>
      </c>
    </row>
    <row r="446" spans="1:10">
      <c r="A446" t="s">
        <v>890</v>
      </c>
      <c r="B446">
        <v>30.875</v>
      </c>
      <c r="C446">
        <v>10.97</v>
      </c>
      <c r="D446" t="s">
        <v>4683</v>
      </c>
      <c r="E446" t="s">
        <v>4682</v>
      </c>
      <c r="F446" t="s">
        <v>4682</v>
      </c>
      <c r="G446">
        <v>2</v>
      </c>
      <c r="H446" t="s">
        <v>4682</v>
      </c>
      <c r="I446" t="str" cm="1">
        <f t="array" ref="I446">_xlfn.IFS(B446&lt;18.5, "Underweight", B446&lt;=24.9, "Normal Weight", B446&lt;=29.9, "Overweight", TRUE, "Obesity")</f>
        <v>Obesity</v>
      </c>
      <c r="J446" t="str" cm="1">
        <f t="array" ref="J446">_xlfn.IFS(C446&lt;5.7, "Normal", C446&lt;=6.4, "Prediabetes", TRUE, "Diabetes")</f>
        <v>Diabetes</v>
      </c>
    </row>
    <row r="447" spans="1:10">
      <c r="A447" t="s">
        <v>892</v>
      </c>
      <c r="B447">
        <v>27.265000000000001</v>
      </c>
      <c r="C447">
        <v>4.25</v>
      </c>
      <c r="D447" t="s">
        <v>4682</v>
      </c>
      <c r="E447" t="s">
        <v>4682</v>
      </c>
      <c r="F447" t="s">
        <v>4684</v>
      </c>
      <c r="G447">
        <v>1</v>
      </c>
      <c r="H447" t="s">
        <v>4682</v>
      </c>
      <c r="I447" t="str" cm="1">
        <f t="array" ref="I447">_xlfn.IFS(B447&lt;18.5, "Underweight", B447&lt;=24.9, "Normal Weight", B447&lt;=29.9, "Overweight", TRUE, "Obesity")</f>
        <v>Overweight</v>
      </c>
      <c r="J447" t="str" cm="1">
        <f t="array" ref="J447">_xlfn.IFS(C447&lt;5.7, "Normal", C447&lt;=6.4, "Prediabetes", TRUE, "Diabetes")</f>
        <v>Normal</v>
      </c>
    </row>
    <row r="448" spans="1:10">
      <c r="A448" t="s">
        <v>894</v>
      </c>
      <c r="B448">
        <v>26.7</v>
      </c>
      <c r="C448">
        <v>5.23</v>
      </c>
      <c r="D448" t="s">
        <v>4682</v>
      </c>
      <c r="E448" t="s">
        <v>4682</v>
      </c>
      <c r="F448" t="s">
        <v>4684</v>
      </c>
      <c r="G448">
        <v>1</v>
      </c>
      <c r="H448" t="s">
        <v>4683</v>
      </c>
      <c r="I448" t="str" cm="1">
        <f t="array" ref="I448">_xlfn.IFS(B448&lt;18.5, "Underweight", B448&lt;=24.9, "Normal Weight", B448&lt;=29.9, "Overweight", TRUE, "Obesity")</f>
        <v>Overweight</v>
      </c>
      <c r="J448" t="str" cm="1">
        <f t="array" ref="J448">_xlfn.IFS(C448&lt;5.7, "Normal", C448&lt;=6.4, "Prediabetes", TRUE, "Diabetes")</f>
        <v>Normal</v>
      </c>
    </row>
    <row r="449" spans="1:10">
      <c r="A449" t="s">
        <v>896</v>
      </c>
      <c r="B449">
        <v>29.925000000000001</v>
      </c>
      <c r="C449">
        <v>5.96</v>
      </c>
      <c r="D449" t="s">
        <v>4683</v>
      </c>
      <c r="E449" t="s">
        <v>4682</v>
      </c>
      <c r="F449" t="s">
        <v>4684</v>
      </c>
      <c r="G449">
        <v>1</v>
      </c>
      <c r="H449" t="s">
        <v>4683</v>
      </c>
      <c r="I449" t="str" cm="1">
        <f t="array" ref="I449">_xlfn.IFS(B449&lt;18.5, "Underweight", B449&lt;=24.9, "Normal Weight", B449&lt;=29.9, "Overweight", TRUE, "Obesity")</f>
        <v>Obesity</v>
      </c>
      <c r="J449" t="str" cm="1">
        <f t="array" ref="J449">_xlfn.IFS(C449&lt;5.7, "Normal", C449&lt;=6.4, "Prediabetes", TRUE, "Diabetes")</f>
        <v>Prediabetes</v>
      </c>
    </row>
    <row r="450" spans="1:10">
      <c r="A450" t="s">
        <v>898</v>
      </c>
      <c r="B450">
        <v>19.95</v>
      </c>
      <c r="C450">
        <v>4.29</v>
      </c>
      <c r="D450" t="s">
        <v>4683</v>
      </c>
      <c r="E450" t="s">
        <v>4682</v>
      </c>
      <c r="F450" t="s">
        <v>4682</v>
      </c>
      <c r="G450">
        <v>2</v>
      </c>
      <c r="H450" t="s">
        <v>4683</v>
      </c>
      <c r="I450" t="str" cm="1">
        <f t="array" ref="I450">_xlfn.IFS(B450&lt;18.5, "Underweight", B450&lt;=24.9, "Normal Weight", B450&lt;=29.9, "Overweight", TRUE, "Obesity")</f>
        <v>Normal Weight</v>
      </c>
      <c r="J450" t="str" cm="1">
        <f t="array" ref="J450">_xlfn.IFS(C450&lt;5.7, "Normal", C450&lt;=6.4, "Prediabetes", TRUE, "Diabetes")</f>
        <v>Normal</v>
      </c>
    </row>
    <row r="451" spans="1:10">
      <c r="A451" t="s">
        <v>900</v>
      </c>
      <c r="B451">
        <v>24.225000000000001</v>
      </c>
      <c r="C451">
        <v>4.09</v>
      </c>
      <c r="D451" t="s">
        <v>4682</v>
      </c>
      <c r="E451" t="s">
        <v>4682</v>
      </c>
      <c r="F451" t="s">
        <v>4682</v>
      </c>
      <c r="G451">
        <v>0</v>
      </c>
      <c r="H451" t="s">
        <v>4682</v>
      </c>
      <c r="I451" t="str" cm="1">
        <f t="array" ref="I451">_xlfn.IFS(B451&lt;18.5, "Underweight", B451&lt;=24.9, "Normal Weight", B451&lt;=29.9, "Overweight", TRUE, "Obesity")</f>
        <v>Normal Weight</v>
      </c>
      <c r="J451" t="str" cm="1">
        <f t="array" ref="J451">_xlfn.IFS(C451&lt;5.7, "Normal", C451&lt;=6.4, "Prediabetes", TRUE, "Diabetes")</f>
        <v>Normal</v>
      </c>
    </row>
    <row r="452" spans="1:10">
      <c r="A452" t="s">
        <v>902</v>
      </c>
      <c r="B452">
        <v>28.12</v>
      </c>
      <c r="C452">
        <v>4.88</v>
      </c>
      <c r="D452" t="s">
        <v>4682</v>
      </c>
      <c r="E452" t="s">
        <v>4682</v>
      </c>
      <c r="F452" t="s">
        <v>4682</v>
      </c>
      <c r="G452">
        <v>0</v>
      </c>
      <c r="H452" t="s">
        <v>4683</v>
      </c>
      <c r="I452" t="str" cm="1">
        <f t="array" ref="I452">_xlfn.IFS(B452&lt;18.5, "Underweight", B452&lt;=24.9, "Normal Weight", B452&lt;=29.9, "Overweight", TRUE, "Obesity")</f>
        <v>Overweight</v>
      </c>
      <c r="J452" t="str" cm="1">
        <f t="array" ref="J452">_xlfn.IFS(C452&lt;5.7, "Normal", C452&lt;=6.4, "Prediabetes", TRUE, "Diabetes")</f>
        <v>Normal</v>
      </c>
    </row>
    <row r="453" spans="1:10">
      <c r="A453" t="s">
        <v>904</v>
      </c>
      <c r="B453">
        <v>23.21</v>
      </c>
      <c r="C453">
        <v>6.76</v>
      </c>
      <c r="D453" t="s">
        <v>4682</v>
      </c>
      <c r="E453" t="s">
        <v>4682</v>
      </c>
      <c r="F453" t="s">
        <v>4682</v>
      </c>
      <c r="G453">
        <v>0</v>
      </c>
      <c r="H453" t="s">
        <v>4683</v>
      </c>
      <c r="I453" t="str" cm="1">
        <f t="array" ref="I453">_xlfn.IFS(B453&lt;18.5, "Underweight", B453&lt;=24.9, "Normal Weight", B453&lt;=29.9, "Overweight", TRUE, "Obesity")</f>
        <v>Normal Weight</v>
      </c>
      <c r="J453" t="str" cm="1">
        <f t="array" ref="J453">_xlfn.IFS(C453&lt;5.7, "Normal", C453&lt;=6.4, "Prediabetes", TRUE, "Diabetes")</f>
        <v>Diabetes</v>
      </c>
    </row>
    <row r="454" spans="1:10">
      <c r="A454" t="s">
        <v>906</v>
      </c>
      <c r="B454">
        <v>23.98</v>
      </c>
      <c r="C454">
        <v>10.67</v>
      </c>
      <c r="D454" t="s">
        <v>4682</v>
      </c>
      <c r="E454" t="s">
        <v>4682</v>
      </c>
      <c r="F454" t="s">
        <v>4682</v>
      </c>
      <c r="G454">
        <v>0</v>
      </c>
      <c r="H454" t="s">
        <v>4682</v>
      </c>
      <c r="I454" t="str" cm="1">
        <f t="array" ref="I454">_xlfn.IFS(B454&lt;18.5, "Underweight", B454&lt;=24.9, "Normal Weight", B454&lt;=29.9, "Overweight", TRUE, "Obesity")</f>
        <v>Normal Weight</v>
      </c>
      <c r="J454" t="str" cm="1">
        <f t="array" ref="J454">_xlfn.IFS(C454&lt;5.7, "Normal", C454&lt;=6.4, "Prediabetes", TRUE, "Diabetes")</f>
        <v>Diabetes</v>
      </c>
    </row>
    <row r="455" spans="1:10">
      <c r="A455" t="s">
        <v>908</v>
      </c>
      <c r="B455">
        <v>30</v>
      </c>
      <c r="C455">
        <v>6.21</v>
      </c>
      <c r="D455" t="s">
        <v>4682</v>
      </c>
      <c r="E455" t="s">
        <v>4682</v>
      </c>
      <c r="F455" t="s">
        <v>4682</v>
      </c>
      <c r="G455">
        <v>0</v>
      </c>
      <c r="H455" t="s">
        <v>4683</v>
      </c>
      <c r="I455" t="str" cm="1">
        <f t="array" ref="I455">_xlfn.IFS(B455&lt;18.5, "Underweight", B455&lt;=24.9, "Normal Weight", B455&lt;=29.9, "Overweight", TRUE, "Obesity")</f>
        <v>Obesity</v>
      </c>
      <c r="J455" t="str" cm="1">
        <f t="array" ref="J455">_xlfn.IFS(C455&lt;5.7, "Normal", C455&lt;=6.4, "Prediabetes", TRUE, "Diabetes")</f>
        <v>Prediabetes</v>
      </c>
    </row>
    <row r="456" spans="1:10">
      <c r="A456" t="s">
        <v>910</v>
      </c>
      <c r="B456">
        <v>17.350000000000001</v>
      </c>
      <c r="C456">
        <v>5.03</v>
      </c>
      <c r="D456" t="s">
        <v>4683</v>
      </c>
      <c r="E456" t="s">
        <v>4682</v>
      </c>
      <c r="F456" t="s">
        <v>4682</v>
      </c>
      <c r="G456">
        <v>0</v>
      </c>
      <c r="H456" t="s">
        <v>4683</v>
      </c>
      <c r="I456" t="str" cm="1">
        <f t="array" ref="I456">_xlfn.IFS(B456&lt;18.5, "Underweight", B456&lt;=24.9, "Normal Weight", B456&lt;=29.9, "Overweight", TRUE, "Obesity")</f>
        <v>Underweight</v>
      </c>
      <c r="J456" t="str" cm="1">
        <f t="array" ref="J456">_xlfn.IFS(C456&lt;5.7, "Normal", C456&lt;=6.4, "Prediabetes", TRUE, "Diabetes")</f>
        <v>Normal</v>
      </c>
    </row>
    <row r="457" spans="1:10">
      <c r="A457" t="s">
        <v>912</v>
      </c>
      <c r="B457">
        <v>22.704999999999998</v>
      </c>
      <c r="C457">
        <v>5.27</v>
      </c>
      <c r="D457" t="s">
        <v>4682</v>
      </c>
      <c r="E457" t="s">
        <v>4682</v>
      </c>
      <c r="F457" t="s">
        <v>4682</v>
      </c>
      <c r="G457">
        <v>0</v>
      </c>
      <c r="H457" t="s">
        <v>4682</v>
      </c>
      <c r="I457" t="str" cm="1">
        <f t="array" ref="I457">_xlfn.IFS(B457&lt;18.5, "Underweight", B457&lt;=24.9, "Normal Weight", B457&lt;=29.9, "Overweight", TRUE, "Obesity")</f>
        <v>Normal Weight</v>
      </c>
      <c r="J457" t="str" cm="1">
        <f t="array" ref="J457">_xlfn.IFS(C457&lt;5.7, "Normal", C457&lt;=6.4, "Prediabetes", TRUE, "Diabetes")</f>
        <v>Normal</v>
      </c>
    </row>
    <row r="458" spans="1:10">
      <c r="A458" t="s">
        <v>914</v>
      </c>
      <c r="B458">
        <v>25.41</v>
      </c>
      <c r="C458">
        <v>10.53</v>
      </c>
      <c r="D458" t="s">
        <v>4683</v>
      </c>
      <c r="E458" t="s">
        <v>4682</v>
      </c>
      <c r="F458" t="s">
        <v>4682</v>
      </c>
      <c r="G458">
        <v>1</v>
      </c>
      <c r="H458" t="s">
        <v>4683</v>
      </c>
      <c r="I458" t="str" cm="1">
        <f t="array" ref="I458">_xlfn.IFS(B458&lt;18.5, "Underweight", B458&lt;=24.9, "Normal Weight", B458&lt;=29.9, "Overweight", TRUE, "Obesity")</f>
        <v>Overweight</v>
      </c>
      <c r="J458" t="str" cm="1">
        <f t="array" ref="J458">_xlfn.IFS(C458&lt;5.7, "Normal", C458&lt;=6.4, "Prediabetes", TRUE, "Diabetes")</f>
        <v>Diabetes</v>
      </c>
    </row>
    <row r="459" spans="1:10">
      <c r="A459" t="s">
        <v>916</v>
      </c>
      <c r="B459">
        <v>18.23</v>
      </c>
      <c r="C459">
        <v>5.78</v>
      </c>
      <c r="D459" t="s">
        <v>4682</v>
      </c>
      <c r="E459" t="s">
        <v>4682</v>
      </c>
      <c r="F459" t="s">
        <v>4684</v>
      </c>
      <c r="G459">
        <v>1</v>
      </c>
      <c r="H459" t="s">
        <v>4683</v>
      </c>
      <c r="I459" t="str" cm="1">
        <f t="array" ref="I459">_xlfn.IFS(B459&lt;18.5, "Underweight", B459&lt;=24.9, "Normal Weight", B459&lt;=29.9, "Overweight", TRUE, "Obesity")</f>
        <v>Underweight</v>
      </c>
      <c r="J459" t="str" cm="1">
        <f t="array" ref="J459">_xlfn.IFS(C459&lt;5.7, "Normal", C459&lt;=6.4, "Prediabetes", TRUE, "Diabetes")</f>
        <v>Prediabetes</v>
      </c>
    </row>
    <row r="460" spans="1:10">
      <c r="A460" t="s">
        <v>918</v>
      </c>
      <c r="B460">
        <v>24.7</v>
      </c>
      <c r="C460">
        <v>4.3600000000000003</v>
      </c>
      <c r="D460" t="s">
        <v>4682</v>
      </c>
      <c r="E460" t="s">
        <v>4682</v>
      </c>
      <c r="F460" t="s">
        <v>4684</v>
      </c>
      <c r="G460">
        <v>1</v>
      </c>
      <c r="H460" t="s">
        <v>4683</v>
      </c>
      <c r="I460" t="str" cm="1">
        <f t="array" ref="I460">_xlfn.IFS(B460&lt;18.5, "Underweight", B460&lt;=24.9, "Normal Weight", B460&lt;=29.9, "Overweight", TRUE, "Obesity")</f>
        <v>Normal Weight</v>
      </c>
      <c r="J460" t="str" cm="1">
        <f t="array" ref="J460">_xlfn.IFS(C460&lt;5.7, "Normal", C460&lt;=6.4, "Prediabetes", TRUE, "Diabetes")</f>
        <v>Normal</v>
      </c>
    </row>
    <row r="461" spans="1:10">
      <c r="A461" t="s">
        <v>920</v>
      </c>
      <c r="B461">
        <v>37.4</v>
      </c>
      <c r="C461">
        <v>9.7200000000000006</v>
      </c>
      <c r="D461" t="s">
        <v>4683</v>
      </c>
      <c r="E461" t="s">
        <v>4682</v>
      </c>
      <c r="F461" t="s">
        <v>4684</v>
      </c>
      <c r="G461">
        <v>1</v>
      </c>
      <c r="H461" t="s">
        <v>4682</v>
      </c>
      <c r="I461" t="str" cm="1">
        <f t="array" ref="I461">_xlfn.IFS(B461&lt;18.5, "Underweight", B461&lt;=24.9, "Normal Weight", B461&lt;=29.9, "Overweight", TRUE, "Obesity")</f>
        <v>Obesity</v>
      </c>
      <c r="J461" t="str" cm="1">
        <f t="array" ref="J461">_xlfn.IFS(C461&lt;5.7, "Normal", C461&lt;=6.4, "Prediabetes", TRUE, "Diabetes")</f>
        <v>Diabetes</v>
      </c>
    </row>
    <row r="462" spans="1:10">
      <c r="A462" t="s">
        <v>922</v>
      </c>
      <c r="B462">
        <v>26.885000000000002</v>
      </c>
      <c r="C462">
        <v>5.18</v>
      </c>
      <c r="D462" t="s">
        <v>4682</v>
      </c>
      <c r="E462" t="s">
        <v>4682</v>
      </c>
      <c r="F462" t="s">
        <v>4684</v>
      </c>
      <c r="G462">
        <v>1</v>
      </c>
      <c r="H462" t="s">
        <v>4683</v>
      </c>
      <c r="I462" t="str" cm="1">
        <f t="array" ref="I462">_xlfn.IFS(B462&lt;18.5, "Underweight", B462&lt;=24.9, "Normal Weight", B462&lt;=29.9, "Overweight", TRUE, "Obesity")</f>
        <v>Overweight</v>
      </c>
      <c r="J462" t="str" cm="1">
        <f t="array" ref="J462">_xlfn.IFS(C462&lt;5.7, "Normal", C462&lt;=6.4, "Prediabetes", TRUE, "Diabetes")</f>
        <v>Normal</v>
      </c>
    </row>
    <row r="463" spans="1:10">
      <c r="A463" t="s">
        <v>924</v>
      </c>
      <c r="B463">
        <v>25.27</v>
      </c>
      <c r="C463">
        <v>5.29</v>
      </c>
      <c r="D463" t="s">
        <v>4682</v>
      </c>
      <c r="E463" t="s">
        <v>4682</v>
      </c>
      <c r="F463" t="s">
        <v>4684</v>
      </c>
      <c r="G463">
        <v>1</v>
      </c>
      <c r="H463" t="s">
        <v>4683</v>
      </c>
      <c r="I463" t="str" cm="1">
        <f t="array" ref="I463">_xlfn.IFS(B463&lt;18.5, "Underweight", B463&lt;=24.9, "Normal Weight", B463&lt;=29.9, "Overweight", TRUE, "Obesity")</f>
        <v>Overweight</v>
      </c>
      <c r="J463" t="str" cm="1">
        <f t="array" ref="J463">_xlfn.IFS(C463&lt;5.7, "Normal", C463&lt;=6.4, "Prediabetes", TRUE, "Diabetes")</f>
        <v>Normal</v>
      </c>
    </row>
    <row r="464" spans="1:10">
      <c r="A464" t="s">
        <v>926</v>
      </c>
      <c r="B464">
        <v>23.655000000000001</v>
      </c>
      <c r="C464">
        <v>4.8600000000000003</v>
      </c>
      <c r="D464" t="s">
        <v>4683</v>
      </c>
      <c r="E464" t="s">
        <v>4682</v>
      </c>
      <c r="F464" t="s">
        <v>4682</v>
      </c>
      <c r="G464">
        <v>0</v>
      </c>
      <c r="H464" t="s">
        <v>4683</v>
      </c>
      <c r="I464" t="str" cm="1">
        <f t="array" ref="I464">_xlfn.IFS(B464&lt;18.5, "Underweight", B464&lt;=24.9, "Normal Weight", B464&lt;=29.9, "Overweight", TRUE, "Obesity")</f>
        <v>Normal Weight</v>
      </c>
      <c r="J464" t="str" cm="1">
        <f t="array" ref="J464">_xlfn.IFS(C464&lt;5.7, "Normal", C464&lt;=6.4, "Prediabetes", TRUE, "Diabetes")</f>
        <v>Normal</v>
      </c>
    </row>
    <row r="465" spans="1:10">
      <c r="A465" t="s">
        <v>928</v>
      </c>
      <c r="B465">
        <v>55.05</v>
      </c>
      <c r="C465">
        <v>7.66</v>
      </c>
      <c r="D465" t="s">
        <v>4682</v>
      </c>
      <c r="E465" t="s">
        <v>4682</v>
      </c>
      <c r="F465" t="s">
        <v>4682</v>
      </c>
      <c r="G465">
        <v>0</v>
      </c>
      <c r="H465" t="s">
        <v>4682</v>
      </c>
      <c r="I465" t="str" cm="1">
        <f t="array" ref="I465">_xlfn.IFS(B465&lt;18.5, "Underweight", B465&lt;=24.9, "Normal Weight", B465&lt;=29.9, "Overweight", TRUE, "Obesity")</f>
        <v>Obesity</v>
      </c>
      <c r="J465" t="str" cm="1">
        <f t="array" ref="J465">_xlfn.IFS(C465&lt;5.7, "Normal", C465&lt;=6.4, "Prediabetes", TRUE, "Diabetes")</f>
        <v>Diabetes</v>
      </c>
    </row>
    <row r="466" spans="1:10">
      <c r="A466" t="s">
        <v>930</v>
      </c>
      <c r="B466">
        <v>24.89</v>
      </c>
      <c r="C466">
        <v>6.1</v>
      </c>
      <c r="D466" t="s">
        <v>4683</v>
      </c>
      <c r="E466" t="s">
        <v>4682</v>
      </c>
      <c r="F466" t="s">
        <v>4684</v>
      </c>
      <c r="G466">
        <v>1</v>
      </c>
      <c r="H466" t="s">
        <v>4683</v>
      </c>
      <c r="I466" t="str" cm="1">
        <f t="array" ref="I466">_xlfn.IFS(B466&lt;18.5, "Underweight", B466&lt;=24.9, "Normal Weight", B466&lt;=29.9, "Overweight", TRUE, "Obesity")</f>
        <v>Normal Weight</v>
      </c>
      <c r="J466" t="str" cm="1">
        <f t="array" ref="J466">_xlfn.IFS(C466&lt;5.7, "Normal", C466&lt;=6.4, "Prediabetes", TRUE, "Diabetes")</f>
        <v>Prediabetes</v>
      </c>
    </row>
    <row r="467" spans="1:10">
      <c r="A467" t="s">
        <v>932</v>
      </c>
      <c r="B467">
        <v>18.715</v>
      </c>
      <c r="C467">
        <v>4.4400000000000004</v>
      </c>
      <c r="D467" t="s">
        <v>4682</v>
      </c>
      <c r="E467" t="s">
        <v>4682</v>
      </c>
      <c r="F467" t="s">
        <v>4682</v>
      </c>
      <c r="G467">
        <v>0</v>
      </c>
      <c r="H467" t="s">
        <v>4682</v>
      </c>
      <c r="I467" t="str" cm="1">
        <f t="array" ref="I467">_xlfn.IFS(B467&lt;18.5, "Underweight", B467&lt;=24.9, "Normal Weight", B467&lt;=29.9, "Overweight", TRUE, "Obesity")</f>
        <v>Normal Weight</v>
      </c>
      <c r="J467" t="str" cm="1">
        <f t="array" ref="J467">_xlfn.IFS(C467&lt;5.7, "Normal", C467&lt;=6.4, "Prediabetes", TRUE, "Diabetes")</f>
        <v>Normal</v>
      </c>
    </row>
    <row r="468" spans="1:10">
      <c r="A468" t="s">
        <v>934</v>
      </c>
      <c r="B468">
        <v>28.12</v>
      </c>
      <c r="C468">
        <v>6.15</v>
      </c>
      <c r="D468" t="s">
        <v>4682</v>
      </c>
      <c r="E468" t="s">
        <v>4682</v>
      </c>
      <c r="F468" t="s">
        <v>4682</v>
      </c>
      <c r="G468">
        <v>0</v>
      </c>
      <c r="H468" t="s">
        <v>4683</v>
      </c>
      <c r="I468" t="str" cm="1">
        <f t="array" ref="I468">_xlfn.IFS(B468&lt;18.5, "Underweight", B468&lt;=24.9, "Normal Weight", B468&lt;=29.9, "Overweight", TRUE, "Obesity")</f>
        <v>Overweight</v>
      </c>
      <c r="J468" t="str" cm="1">
        <f t="array" ref="J468">_xlfn.IFS(C468&lt;5.7, "Normal", C468&lt;=6.4, "Prediabetes", TRUE, "Diabetes")</f>
        <v>Prediabetes</v>
      </c>
    </row>
    <row r="469" spans="1:10">
      <c r="A469" t="s">
        <v>936</v>
      </c>
      <c r="B469">
        <v>26.6</v>
      </c>
      <c r="C469">
        <v>4.53</v>
      </c>
      <c r="D469" t="s">
        <v>4682</v>
      </c>
      <c r="E469" t="s">
        <v>4682</v>
      </c>
      <c r="F469" t="s">
        <v>4682</v>
      </c>
      <c r="G469">
        <v>0</v>
      </c>
      <c r="H469" t="s">
        <v>4683</v>
      </c>
      <c r="I469" t="str" cm="1">
        <f t="array" ref="I469">_xlfn.IFS(B469&lt;18.5, "Underweight", B469&lt;=24.9, "Normal Weight", B469&lt;=29.9, "Overweight", TRUE, "Obesity")</f>
        <v>Overweight</v>
      </c>
      <c r="J469" t="str" cm="1">
        <f t="array" ref="J469">_xlfn.IFS(C469&lt;5.7, "Normal", C469&lt;=6.4, "Prediabetes", TRUE, "Diabetes")</f>
        <v>Normal</v>
      </c>
    </row>
    <row r="470" spans="1:10">
      <c r="A470" t="s">
        <v>938</v>
      </c>
      <c r="B470">
        <v>30.114999999999998</v>
      </c>
      <c r="C470">
        <v>5.48</v>
      </c>
      <c r="D470" t="s">
        <v>4682</v>
      </c>
      <c r="E470" t="s">
        <v>4683</v>
      </c>
      <c r="F470" t="s">
        <v>4682</v>
      </c>
      <c r="G470">
        <v>1</v>
      </c>
      <c r="H470" t="s">
        <v>4682</v>
      </c>
      <c r="I470" t="str" cm="1">
        <f t="array" ref="I470">_xlfn.IFS(B470&lt;18.5, "Underweight", B470&lt;=24.9, "Normal Weight", B470&lt;=29.9, "Overweight", TRUE, "Obesity")</f>
        <v>Obesity</v>
      </c>
      <c r="J470" t="str" cm="1">
        <f t="array" ref="J470">_xlfn.IFS(C470&lt;5.7, "Normal", C470&lt;=6.4, "Prediabetes", TRUE, "Diabetes")</f>
        <v>Normal</v>
      </c>
    </row>
    <row r="471" spans="1:10">
      <c r="A471" t="s">
        <v>940</v>
      </c>
      <c r="B471">
        <v>24.605</v>
      </c>
      <c r="C471">
        <v>5.48</v>
      </c>
      <c r="D471" t="s">
        <v>4682</v>
      </c>
      <c r="E471" t="s">
        <v>4682</v>
      </c>
      <c r="F471" t="s">
        <v>4682</v>
      </c>
      <c r="G471">
        <v>0</v>
      </c>
      <c r="H471" t="s">
        <v>4683</v>
      </c>
      <c r="I471" t="str" cm="1">
        <f t="array" ref="I471">_xlfn.IFS(B471&lt;18.5, "Underweight", B471&lt;=24.9, "Normal Weight", B471&lt;=29.9, "Overweight", TRUE, "Obesity")</f>
        <v>Normal Weight</v>
      </c>
      <c r="J471" t="str" cm="1">
        <f t="array" ref="J471">_xlfn.IFS(C471&lt;5.7, "Normal", C471&lt;=6.4, "Prediabetes", TRUE, "Diabetes")</f>
        <v>Normal</v>
      </c>
    </row>
    <row r="472" spans="1:10">
      <c r="A472" t="s">
        <v>942</v>
      </c>
      <c r="B472">
        <v>29.6</v>
      </c>
      <c r="C472">
        <v>8.1</v>
      </c>
      <c r="D472" t="s">
        <v>4682</v>
      </c>
      <c r="E472" t="s">
        <v>4682</v>
      </c>
      <c r="F472" t="s">
        <v>4682</v>
      </c>
      <c r="G472">
        <v>0</v>
      </c>
      <c r="H472" t="s">
        <v>4682</v>
      </c>
      <c r="I472" t="str" cm="1">
        <f t="array" ref="I472">_xlfn.IFS(B472&lt;18.5, "Underweight", B472&lt;=24.9, "Normal Weight", B472&lt;=29.9, "Overweight", TRUE, "Obesity")</f>
        <v>Overweight</v>
      </c>
      <c r="J472" t="str" cm="1">
        <f t="array" ref="J472">_xlfn.IFS(C472&lt;5.7, "Normal", C472&lt;=6.4, "Prediabetes", TRUE, "Diabetes")</f>
        <v>Diabetes</v>
      </c>
    </row>
    <row r="473" spans="1:10">
      <c r="A473" t="s">
        <v>944</v>
      </c>
      <c r="B473">
        <v>24.42</v>
      </c>
      <c r="C473">
        <v>7.16</v>
      </c>
      <c r="D473" t="s">
        <v>4682</v>
      </c>
      <c r="E473" t="s">
        <v>4682</v>
      </c>
      <c r="F473" t="s">
        <v>4682</v>
      </c>
      <c r="G473">
        <v>0</v>
      </c>
      <c r="H473" t="s">
        <v>4683</v>
      </c>
      <c r="I473" t="str" cm="1">
        <f t="array" ref="I473">_xlfn.IFS(B473&lt;18.5, "Underweight", B473&lt;=24.9, "Normal Weight", B473&lt;=29.9, "Overweight", TRUE, "Obesity")</f>
        <v>Normal Weight</v>
      </c>
      <c r="J473" t="str" cm="1">
        <f t="array" ref="J473">_xlfn.IFS(C473&lt;5.7, "Normal", C473&lt;=6.4, "Prediabetes", TRUE, "Diabetes")</f>
        <v>Diabetes</v>
      </c>
    </row>
    <row r="474" spans="1:10">
      <c r="A474" t="s">
        <v>946</v>
      </c>
      <c r="B474">
        <v>20.9</v>
      </c>
      <c r="C474">
        <v>4.55</v>
      </c>
      <c r="D474" t="s">
        <v>4683</v>
      </c>
      <c r="E474" t="s">
        <v>4682</v>
      </c>
      <c r="F474" t="s">
        <v>4684</v>
      </c>
      <c r="G474">
        <v>1</v>
      </c>
      <c r="H474" t="s">
        <v>4683</v>
      </c>
      <c r="I474" t="str" cm="1">
        <f t="array" ref="I474">_xlfn.IFS(B474&lt;18.5, "Underweight", B474&lt;=24.9, "Normal Weight", B474&lt;=29.9, "Overweight", TRUE, "Obesity")</f>
        <v>Normal Weight</v>
      </c>
      <c r="J474" t="str" cm="1">
        <f t="array" ref="J474">_xlfn.IFS(C474&lt;5.7, "Normal", C474&lt;=6.4, "Prediabetes", TRUE, "Diabetes")</f>
        <v>Normal</v>
      </c>
    </row>
    <row r="475" spans="1:10">
      <c r="A475" t="s">
        <v>948</v>
      </c>
      <c r="B475">
        <v>22.895</v>
      </c>
      <c r="C475">
        <v>6.03</v>
      </c>
      <c r="D475" t="s">
        <v>4682</v>
      </c>
      <c r="E475" t="s">
        <v>4682</v>
      </c>
      <c r="F475" t="s">
        <v>4682</v>
      </c>
      <c r="G475">
        <v>0</v>
      </c>
      <c r="H475" t="s">
        <v>4683</v>
      </c>
      <c r="I475" t="str" cm="1">
        <f t="array" ref="I475">_xlfn.IFS(B475&lt;18.5, "Underweight", B475&lt;=24.9, "Normal Weight", B475&lt;=29.9, "Overweight", TRUE, "Obesity")</f>
        <v>Normal Weight</v>
      </c>
      <c r="J475" t="str" cm="1">
        <f t="array" ref="J475">_xlfn.IFS(C475&lt;5.7, "Normal", C475&lt;=6.4, "Prediabetes", TRUE, "Diabetes")</f>
        <v>Prediabetes</v>
      </c>
    </row>
    <row r="476" spans="1:10">
      <c r="A476" t="s">
        <v>950</v>
      </c>
      <c r="B476">
        <v>28.3</v>
      </c>
      <c r="C476">
        <v>5.47</v>
      </c>
      <c r="D476" t="s">
        <v>4683</v>
      </c>
      <c r="E476" t="s">
        <v>4682</v>
      </c>
      <c r="F476" t="s">
        <v>4684</v>
      </c>
      <c r="G476">
        <v>1</v>
      </c>
      <c r="H476" t="s">
        <v>4683</v>
      </c>
      <c r="I476" t="str" cm="1">
        <f t="array" ref="I476">_xlfn.IFS(B476&lt;18.5, "Underweight", B476&lt;=24.9, "Normal Weight", B476&lt;=29.9, "Overweight", TRUE, "Obesity")</f>
        <v>Overweight</v>
      </c>
      <c r="J476" t="str" cm="1">
        <f t="array" ref="J476">_xlfn.IFS(C476&lt;5.7, "Normal", C476&lt;=6.4, "Prediabetes", TRUE, "Diabetes")</f>
        <v>Normal</v>
      </c>
    </row>
    <row r="477" spans="1:10">
      <c r="A477" t="s">
        <v>952</v>
      </c>
      <c r="B477">
        <v>54.3</v>
      </c>
      <c r="C477">
        <v>4.1500000000000004</v>
      </c>
      <c r="D477" t="s">
        <v>4683</v>
      </c>
      <c r="E477" t="s">
        <v>4682</v>
      </c>
      <c r="F477" t="s">
        <v>4682</v>
      </c>
      <c r="G477">
        <v>1</v>
      </c>
      <c r="H477" t="s">
        <v>4682</v>
      </c>
      <c r="I477" t="str" cm="1">
        <f t="array" ref="I477">_xlfn.IFS(B477&lt;18.5, "Underweight", B477&lt;=24.9, "Normal Weight", B477&lt;=29.9, "Overweight", TRUE, "Obesity")</f>
        <v>Obesity</v>
      </c>
      <c r="J477" t="str" cm="1">
        <f t="array" ref="J477">_xlfn.IFS(C477&lt;5.7, "Normal", C477&lt;=6.4, "Prediabetes", TRUE, "Diabetes")</f>
        <v>Normal</v>
      </c>
    </row>
    <row r="478" spans="1:10">
      <c r="A478" t="s">
        <v>954</v>
      </c>
      <c r="B478">
        <v>33.344999999999999</v>
      </c>
      <c r="C478">
        <v>11.32</v>
      </c>
      <c r="D478" t="s">
        <v>4683</v>
      </c>
      <c r="E478" t="s">
        <v>4682</v>
      </c>
      <c r="F478" t="s">
        <v>4682</v>
      </c>
      <c r="G478">
        <v>1</v>
      </c>
      <c r="H478" t="s">
        <v>4682</v>
      </c>
      <c r="I478" t="str" cm="1">
        <f t="array" ref="I478">_xlfn.IFS(B478&lt;18.5, "Underweight", B478&lt;=24.9, "Normal Weight", B478&lt;=29.9, "Overweight", TRUE, "Obesity")</f>
        <v>Obesity</v>
      </c>
      <c r="J478" t="str" cm="1">
        <f t="array" ref="J478">_xlfn.IFS(C478&lt;5.7, "Normal", C478&lt;=6.4, "Prediabetes", TRUE, "Diabetes")</f>
        <v>Diabetes</v>
      </c>
    </row>
    <row r="479" spans="1:10">
      <c r="A479" t="s">
        <v>956</v>
      </c>
      <c r="B479">
        <v>33</v>
      </c>
      <c r="C479">
        <v>9.51</v>
      </c>
      <c r="D479" t="s">
        <v>4683</v>
      </c>
      <c r="E479" t="s">
        <v>4682</v>
      </c>
      <c r="F479" t="s">
        <v>4682</v>
      </c>
      <c r="G479">
        <v>0</v>
      </c>
      <c r="H479" t="s">
        <v>4682</v>
      </c>
      <c r="I479" t="str" cm="1">
        <f t="array" ref="I479">_xlfn.IFS(B479&lt;18.5, "Underweight", B479&lt;=24.9, "Normal Weight", B479&lt;=29.9, "Overweight", TRUE, "Obesity")</f>
        <v>Obesity</v>
      </c>
      <c r="J479" t="str" cm="1">
        <f t="array" ref="J479">_xlfn.IFS(C479&lt;5.7, "Normal", C479&lt;=6.4, "Prediabetes", TRUE, "Diabetes")</f>
        <v>Diabetes</v>
      </c>
    </row>
    <row r="480" spans="1:10">
      <c r="A480" t="s">
        <v>958</v>
      </c>
      <c r="B480">
        <v>28.024999999999999</v>
      </c>
      <c r="C480">
        <v>7.67</v>
      </c>
      <c r="D480" t="s">
        <v>4683</v>
      </c>
      <c r="E480" t="s">
        <v>4682</v>
      </c>
      <c r="F480" t="s">
        <v>4682</v>
      </c>
      <c r="G480">
        <v>1</v>
      </c>
      <c r="H480" t="s">
        <v>4683</v>
      </c>
      <c r="I480" t="str" cm="1">
        <f t="array" ref="I480">_xlfn.IFS(B480&lt;18.5, "Underweight", B480&lt;=24.9, "Normal Weight", B480&lt;=29.9, "Overweight", TRUE, "Obesity")</f>
        <v>Overweight</v>
      </c>
      <c r="J480" t="str" cm="1">
        <f t="array" ref="J480">_xlfn.IFS(C480&lt;5.7, "Normal", C480&lt;=6.4, "Prediabetes", TRUE, "Diabetes")</f>
        <v>Diabetes</v>
      </c>
    </row>
    <row r="481" spans="1:10">
      <c r="A481" t="s">
        <v>960</v>
      </c>
      <c r="B481">
        <v>28.69</v>
      </c>
      <c r="C481">
        <v>6.23</v>
      </c>
      <c r="D481" t="s">
        <v>4682</v>
      </c>
      <c r="E481" t="s">
        <v>4682</v>
      </c>
      <c r="F481" t="s">
        <v>4682</v>
      </c>
      <c r="G481">
        <v>1</v>
      </c>
      <c r="H481" t="s">
        <v>4683</v>
      </c>
      <c r="I481" t="str" cm="1">
        <f t="array" ref="I481">_xlfn.IFS(B481&lt;18.5, "Underweight", B481&lt;=24.9, "Normal Weight", B481&lt;=29.9, "Overweight", TRUE, "Obesity")</f>
        <v>Overweight</v>
      </c>
      <c r="J481" t="str" cm="1">
        <f t="array" ref="J481">_xlfn.IFS(C481&lt;5.7, "Normal", C481&lt;=6.4, "Prediabetes", TRUE, "Diabetes")</f>
        <v>Prediabetes</v>
      </c>
    </row>
    <row r="482" spans="1:10">
      <c r="A482" t="s">
        <v>962</v>
      </c>
      <c r="B482">
        <v>40.28</v>
      </c>
      <c r="C482">
        <v>8.9</v>
      </c>
      <c r="D482" t="s">
        <v>4682</v>
      </c>
      <c r="E482" t="s">
        <v>4682</v>
      </c>
      <c r="F482" t="s">
        <v>4682</v>
      </c>
      <c r="G482">
        <v>0</v>
      </c>
      <c r="H482" t="s">
        <v>4682</v>
      </c>
      <c r="I482" t="str" cm="1">
        <f t="array" ref="I482">_xlfn.IFS(B482&lt;18.5, "Underweight", B482&lt;=24.9, "Normal Weight", B482&lt;=29.9, "Overweight", TRUE, "Obesity")</f>
        <v>Obesity</v>
      </c>
      <c r="J482" t="str" cm="1">
        <f t="array" ref="J482">_xlfn.IFS(C482&lt;5.7, "Normal", C482&lt;=6.4, "Prediabetes", TRUE, "Diabetes")</f>
        <v>Diabetes</v>
      </c>
    </row>
    <row r="483" spans="1:10">
      <c r="A483" t="s">
        <v>964</v>
      </c>
      <c r="B483">
        <v>37.299999999999997</v>
      </c>
      <c r="C483">
        <v>7.79</v>
      </c>
      <c r="D483" t="s">
        <v>4683</v>
      </c>
      <c r="E483" t="s">
        <v>4682</v>
      </c>
      <c r="F483" t="s">
        <v>4682</v>
      </c>
      <c r="G483">
        <v>0</v>
      </c>
      <c r="H483" t="s">
        <v>4682</v>
      </c>
      <c r="I483" t="str" cm="1">
        <f t="array" ref="I483">_xlfn.IFS(B483&lt;18.5, "Underweight", B483&lt;=24.9, "Normal Weight", B483&lt;=29.9, "Overweight", TRUE, "Obesity")</f>
        <v>Obesity</v>
      </c>
      <c r="J483" t="str" cm="1">
        <f t="array" ref="J483">_xlfn.IFS(C483&lt;5.7, "Normal", C483&lt;=6.4, "Prediabetes", TRUE, "Diabetes")</f>
        <v>Diabetes</v>
      </c>
    </row>
    <row r="484" spans="1:10">
      <c r="A484" t="s">
        <v>966</v>
      </c>
      <c r="B484">
        <v>54.47</v>
      </c>
      <c r="C484">
        <v>4.49</v>
      </c>
      <c r="D484" t="s">
        <v>4683</v>
      </c>
      <c r="E484" t="s">
        <v>4682</v>
      </c>
      <c r="F484" t="s">
        <v>4682</v>
      </c>
      <c r="G484">
        <v>2</v>
      </c>
      <c r="H484" t="s">
        <v>4682</v>
      </c>
      <c r="I484" t="str" cm="1">
        <f t="array" ref="I484">_xlfn.IFS(B484&lt;18.5, "Underweight", B484&lt;=24.9, "Normal Weight", B484&lt;=29.9, "Overweight", TRUE, "Obesity")</f>
        <v>Obesity</v>
      </c>
      <c r="J484" t="str" cm="1">
        <f t="array" ref="J484">_xlfn.IFS(C484&lt;5.7, "Normal", C484&lt;=6.4, "Prediabetes", TRUE, "Diabetes")</f>
        <v>Normal</v>
      </c>
    </row>
    <row r="485" spans="1:10">
      <c r="A485" t="s">
        <v>968</v>
      </c>
      <c r="B485">
        <v>38.06</v>
      </c>
      <c r="C485">
        <v>5.24</v>
      </c>
      <c r="D485" t="s">
        <v>4683</v>
      </c>
      <c r="E485" t="s">
        <v>4682</v>
      </c>
      <c r="F485" t="s">
        <v>4684</v>
      </c>
      <c r="G485">
        <v>1</v>
      </c>
      <c r="H485" t="s">
        <v>4682</v>
      </c>
      <c r="I485" t="str" cm="1">
        <f t="array" ref="I485">_xlfn.IFS(B485&lt;18.5, "Underweight", B485&lt;=24.9, "Normal Weight", B485&lt;=29.9, "Overweight", TRUE, "Obesity")</f>
        <v>Obesity</v>
      </c>
      <c r="J485" t="str" cm="1">
        <f t="array" ref="J485">_xlfn.IFS(C485&lt;5.7, "Normal", C485&lt;=6.4, "Prediabetes", TRUE, "Diabetes")</f>
        <v>Normal</v>
      </c>
    </row>
    <row r="486" spans="1:10">
      <c r="A486" t="s">
        <v>970</v>
      </c>
      <c r="B486">
        <v>51.47</v>
      </c>
      <c r="C486">
        <v>9.6</v>
      </c>
      <c r="D486" t="s">
        <v>4682</v>
      </c>
      <c r="E486" t="s">
        <v>4682</v>
      </c>
      <c r="F486" t="s">
        <v>4682</v>
      </c>
      <c r="G486">
        <v>0</v>
      </c>
      <c r="H486" t="s">
        <v>4682</v>
      </c>
      <c r="I486" t="str" cm="1">
        <f t="array" ref="I486">_xlfn.IFS(B486&lt;18.5, "Underweight", B486&lt;=24.9, "Normal Weight", B486&lt;=29.9, "Overweight", TRUE, "Obesity")</f>
        <v>Obesity</v>
      </c>
      <c r="J486" t="str" cm="1">
        <f t="array" ref="J486">_xlfn.IFS(C486&lt;5.7, "Normal", C486&lt;=6.4, "Prediabetes", TRUE, "Diabetes")</f>
        <v>Diabetes</v>
      </c>
    </row>
    <row r="487" spans="1:10">
      <c r="A487" t="s">
        <v>972</v>
      </c>
      <c r="B487">
        <v>29.8</v>
      </c>
      <c r="C487">
        <v>5.78</v>
      </c>
      <c r="D487" t="s">
        <v>4683</v>
      </c>
      <c r="E487" t="s">
        <v>4682</v>
      </c>
      <c r="F487" t="s">
        <v>4682</v>
      </c>
      <c r="G487">
        <v>0</v>
      </c>
      <c r="H487" t="s">
        <v>4682</v>
      </c>
      <c r="I487" t="str" cm="1">
        <f t="array" ref="I487">_xlfn.IFS(B487&lt;18.5, "Underweight", B487&lt;=24.9, "Normal Weight", B487&lt;=29.9, "Overweight", TRUE, "Obesity")</f>
        <v>Overweight</v>
      </c>
      <c r="J487" t="str" cm="1">
        <f t="array" ref="J487">_xlfn.IFS(C487&lt;5.7, "Normal", C487&lt;=6.4, "Prediabetes", TRUE, "Diabetes")</f>
        <v>Prediabetes</v>
      </c>
    </row>
    <row r="488" spans="1:10">
      <c r="A488" t="s">
        <v>974</v>
      </c>
      <c r="B488">
        <v>49.77</v>
      </c>
      <c r="C488">
        <v>7.02</v>
      </c>
      <c r="D488" t="s">
        <v>4682</v>
      </c>
      <c r="E488" t="s">
        <v>4682</v>
      </c>
      <c r="F488" t="s">
        <v>4682</v>
      </c>
      <c r="G488">
        <v>0</v>
      </c>
      <c r="H488" t="s">
        <v>4682</v>
      </c>
      <c r="I488" t="str" cm="1">
        <f t="array" ref="I488">_xlfn.IFS(B488&lt;18.5, "Underweight", B488&lt;=24.9, "Normal Weight", B488&lt;=29.9, "Overweight", TRUE, "Obesity")</f>
        <v>Obesity</v>
      </c>
      <c r="J488" t="str" cm="1">
        <f t="array" ref="J488">_xlfn.IFS(C488&lt;5.7, "Normal", C488&lt;=6.4, "Prediabetes", TRUE, "Diabetes")</f>
        <v>Diabetes</v>
      </c>
    </row>
    <row r="489" spans="1:10">
      <c r="A489" t="s">
        <v>976</v>
      </c>
      <c r="B489">
        <v>25.555</v>
      </c>
      <c r="C489">
        <v>4.09</v>
      </c>
      <c r="D489" t="s">
        <v>4683</v>
      </c>
      <c r="E489" t="s">
        <v>4682</v>
      </c>
      <c r="F489" t="s">
        <v>4682</v>
      </c>
      <c r="G489">
        <v>0</v>
      </c>
      <c r="H489" t="s">
        <v>4683</v>
      </c>
      <c r="I489" t="str" cm="1">
        <f t="array" ref="I489">_xlfn.IFS(B489&lt;18.5, "Underweight", B489&lt;=24.9, "Normal Weight", B489&lt;=29.9, "Overweight", TRUE, "Obesity")</f>
        <v>Overweight</v>
      </c>
      <c r="J489" t="str" cm="1">
        <f t="array" ref="J489">_xlfn.IFS(C489&lt;5.7, "Normal", C489&lt;=6.4, "Prediabetes", TRUE, "Diabetes")</f>
        <v>Normal</v>
      </c>
    </row>
    <row r="490" spans="1:10">
      <c r="A490" t="s">
        <v>978</v>
      </c>
      <c r="B490">
        <v>29.64</v>
      </c>
      <c r="C490">
        <v>4.93</v>
      </c>
      <c r="D490" t="s">
        <v>4682</v>
      </c>
      <c r="E490" t="s">
        <v>4682</v>
      </c>
      <c r="F490" t="s">
        <v>4684</v>
      </c>
      <c r="G490">
        <v>1</v>
      </c>
      <c r="H490" t="s">
        <v>4682</v>
      </c>
      <c r="I490" t="str" cm="1">
        <f t="array" ref="I490">_xlfn.IFS(B490&lt;18.5, "Underweight", B490&lt;=24.9, "Normal Weight", B490&lt;=29.9, "Overweight", TRUE, "Obesity")</f>
        <v>Overweight</v>
      </c>
      <c r="J490" t="str" cm="1">
        <f t="array" ref="J490">_xlfn.IFS(C490&lt;5.7, "Normal", C490&lt;=6.4, "Prediabetes", TRUE, "Diabetes")</f>
        <v>Normal</v>
      </c>
    </row>
    <row r="491" spans="1:10">
      <c r="A491" t="s">
        <v>980</v>
      </c>
      <c r="B491">
        <v>53.93</v>
      </c>
      <c r="C491">
        <v>5.34</v>
      </c>
      <c r="D491" t="s">
        <v>4683</v>
      </c>
      <c r="E491" t="s">
        <v>4682</v>
      </c>
      <c r="F491" t="s">
        <v>4682</v>
      </c>
      <c r="G491">
        <v>2</v>
      </c>
      <c r="H491" t="s">
        <v>4682</v>
      </c>
      <c r="I491" t="str" cm="1">
        <f t="array" ref="I491">_xlfn.IFS(B491&lt;18.5, "Underweight", B491&lt;=24.9, "Normal Weight", B491&lt;=29.9, "Overweight", TRUE, "Obesity")</f>
        <v>Obesity</v>
      </c>
      <c r="J491" t="str" cm="1">
        <f t="array" ref="J491">_xlfn.IFS(C491&lt;5.7, "Normal", C491&lt;=6.4, "Prediabetes", TRUE, "Diabetes")</f>
        <v>Normal</v>
      </c>
    </row>
    <row r="492" spans="1:10">
      <c r="A492" t="s">
        <v>982</v>
      </c>
      <c r="B492">
        <v>28.024999999999999</v>
      </c>
      <c r="C492">
        <v>5.65</v>
      </c>
      <c r="D492" t="s">
        <v>4682</v>
      </c>
      <c r="E492" t="s">
        <v>4682</v>
      </c>
      <c r="F492" t="s">
        <v>4682</v>
      </c>
      <c r="G492">
        <v>1</v>
      </c>
      <c r="H492" t="s">
        <v>4683</v>
      </c>
      <c r="I492" t="str" cm="1">
        <f t="array" ref="I492">_xlfn.IFS(B492&lt;18.5, "Underweight", B492&lt;=24.9, "Normal Weight", B492&lt;=29.9, "Overweight", TRUE, "Obesity")</f>
        <v>Overweight</v>
      </c>
      <c r="J492" t="str" cm="1">
        <f t="array" ref="J492">_xlfn.IFS(C492&lt;5.7, "Normal", C492&lt;=6.4, "Prediabetes", TRUE, "Diabetes")</f>
        <v>Normal</v>
      </c>
    </row>
    <row r="493" spans="1:10">
      <c r="A493" t="s">
        <v>984</v>
      </c>
      <c r="B493">
        <v>27.5</v>
      </c>
      <c r="C493">
        <v>4.49</v>
      </c>
      <c r="D493" t="s">
        <v>4682</v>
      </c>
      <c r="E493" t="s">
        <v>4682</v>
      </c>
      <c r="F493" t="s">
        <v>4682</v>
      </c>
      <c r="G493">
        <v>0</v>
      </c>
      <c r="H493" t="s">
        <v>4682</v>
      </c>
      <c r="I493" t="str" cm="1">
        <f t="array" ref="I493">_xlfn.IFS(B493&lt;18.5, "Underweight", B493&lt;=24.9, "Normal Weight", B493&lt;=29.9, "Overweight", TRUE, "Obesity")</f>
        <v>Overweight</v>
      </c>
      <c r="J493" t="str" cm="1">
        <f t="array" ref="J493">_xlfn.IFS(C493&lt;5.7, "Normal", C493&lt;=6.4, "Prediabetes", TRUE, "Diabetes")</f>
        <v>Normal</v>
      </c>
    </row>
    <row r="494" spans="1:10">
      <c r="A494" t="s">
        <v>986</v>
      </c>
      <c r="B494">
        <v>21.8</v>
      </c>
      <c r="C494">
        <v>10.55</v>
      </c>
      <c r="D494" t="s">
        <v>4682</v>
      </c>
      <c r="E494" t="s">
        <v>4682</v>
      </c>
      <c r="F494" t="s">
        <v>4682</v>
      </c>
      <c r="G494">
        <v>0</v>
      </c>
      <c r="H494" t="s">
        <v>4683</v>
      </c>
      <c r="I494" t="str" cm="1">
        <f t="array" ref="I494">_xlfn.IFS(B494&lt;18.5, "Underweight", B494&lt;=24.9, "Normal Weight", B494&lt;=29.9, "Overweight", TRUE, "Obesity")</f>
        <v>Normal Weight</v>
      </c>
      <c r="J494" t="str" cm="1">
        <f t="array" ref="J494">_xlfn.IFS(C494&lt;5.7, "Normal", C494&lt;=6.4, "Prediabetes", TRUE, "Diabetes")</f>
        <v>Diabetes</v>
      </c>
    </row>
    <row r="495" spans="1:10">
      <c r="A495" t="s">
        <v>988</v>
      </c>
      <c r="B495">
        <v>26.41</v>
      </c>
      <c r="C495">
        <v>4.92</v>
      </c>
      <c r="D495" t="s">
        <v>4683</v>
      </c>
      <c r="E495" t="s">
        <v>4682</v>
      </c>
      <c r="F495" t="s">
        <v>4684</v>
      </c>
      <c r="G495">
        <v>1</v>
      </c>
      <c r="H495" t="s">
        <v>4683</v>
      </c>
      <c r="I495" t="str" cm="1">
        <f t="array" ref="I495">_xlfn.IFS(B495&lt;18.5, "Underweight", B495&lt;=24.9, "Normal Weight", B495&lt;=29.9, "Overweight", TRUE, "Obesity")</f>
        <v>Overweight</v>
      </c>
      <c r="J495" t="str" cm="1">
        <f t="array" ref="J495">_xlfn.IFS(C495&lt;5.7, "Normal", C495&lt;=6.4, "Prediabetes", TRUE, "Diabetes")</f>
        <v>Normal</v>
      </c>
    </row>
    <row r="496" spans="1:10">
      <c r="A496" t="s">
        <v>990</v>
      </c>
      <c r="B496">
        <v>27.835000000000001</v>
      </c>
      <c r="C496">
        <v>5.9</v>
      </c>
      <c r="D496" t="s">
        <v>4683</v>
      </c>
      <c r="E496" t="s">
        <v>4682</v>
      </c>
      <c r="F496" t="s">
        <v>4682</v>
      </c>
      <c r="G496">
        <v>1</v>
      </c>
      <c r="H496" t="s">
        <v>4683</v>
      </c>
      <c r="I496" t="str" cm="1">
        <f t="array" ref="I496">_xlfn.IFS(B496&lt;18.5, "Underweight", B496&lt;=24.9, "Normal Weight", B496&lt;=29.9, "Overweight", TRUE, "Obesity")</f>
        <v>Overweight</v>
      </c>
      <c r="J496" t="str" cm="1">
        <f t="array" ref="J496">_xlfn.IFS(C496&lt;5.7, "Normal", C496&lt;=6.4, "Prediabetes", TRUE, "Diabetes")</f>
        <v>Prediabetes</v>
      </c>
    </row>
    <row r="497" spans="1:10">
      <c r="A497" t="s">
        <v>992</v>
      </c>
      <c r="B497">
        <v>51.74</v>
      </c>
      <c r="C497">
        <v>4.9800000000000004</v>
      </c>
      <c r="D497" t="s">
        <v>4683</v>
      </c>
      <c r="E497" t="s">
        <v>4682</v>
      </c>
      <c r="F497" t="s">
        <v>4682</v>
      </c>
      <c r="G497">
        <v>2</v>
      </c>
      <c r="H497" t="s">
        <v>4682</v>
      </c>
      <c r="I497" t="str" cm="1">
        <f t="array" ref="I497">_xlfn.IFS(B497&lt;18.5, "Underweight", B497&lt;=24.9, "Normal Weight", B497&lt;=29.9, "Overweight", TRUE, "Obesity")</f>
        <v>Obesity</v>
      </c>
      <c r="J497" t="str" cm="1">
        <f t="array" ref="J497">_xlfn.IFS(C497&lt;5.7, "Normal", C497&lt;=6.4, "Prediabetes", TRUE, "Diabetes")</f>
        <v>Normal</v>
      </c>
    </row>
    <row r="498" spans="1:10">
      <c r="A498" t="s">
        <v>994</v>
      </c>
      <c r="B498">
        <v>23.37</v>
      </c>
      <c r="C498">
        <v>5.8</v>
      </c>
      <c r="D498" t="s">
        <v>4682</v>
      </c>
      <c r="E498" t="s">
        <v>4682</v>
      </c>
      <c r="F498" t="s">
        <v>4682</v>
      </c>
      <c r="G498">
        <v>0</v>
      </c>
      <c r="H498" t="s">
        <v>4683</v>
      </c>
      <c r="I498" t="str" cm="1">
        <f t="array" ref="I498">_xlfn.IFS(B498&lt;18.5, "Underweight", B498&lt;=24.9, "Normal Weight", B498&lt;=29.9, "Overweight", TRUE, "Obesity")</f>
        <v>Normal Weight</v>
      </c>
      <c r="J498" t="str" cm="1">
        <f t="array" ref="J498">_xlfn.IFS(C498&lt;5.7, "Normal", C498&lt;=6.4, "Prediabetes", TRUE, "Diabetes")</f>
        <v>Prediabetes</v>
      </c>
    </row>
    <row r="499" spans="1:10">
      <c r="A499" t="s">
        <v>996</v>
      </c>
      <c r="B499">
        <v>29.7</v>
      </c>
      <c r="C499">
        <v>6.21</v>
      </c>
      <c r="D499" t="s">
        <v>4683</v>
      </c>
      <c r="E499" t="s">
        <v>4682</v>
      </c>
      <c r="F499" t="s">
        <v>4684</v>
      </c>
      <c r="G499">
        <v>1</v>
      </c>
      <c r="H499" t="s">
        <v>4683</v>
      </c>
      <c r="I499" t="str" cm="1">
        <f t="array" ref="I499">_xlfn.IFS(B499&lt;18.5, "Underweight", B499&lt;=24.9, "Normal Weight", B499&lt;=29.9, "Overweight", TRUE, "Obesity")</f>
        <v>Overweight</v>
      </c>
      <c r="J499" t="str" cm="1">
        <f t="array" ref="J499">_xlfn.IFS(C499&lt;5.7, "Normal", C499&lt;=6.4, "Prediabetes", TRUE, "Diabetes")</f>
        <v>Prediabetes</v>
      </c>
    </row>
    <row r="500" spans="1:10">
      <c r="A500" t="s">
        <v>998</v>
      </c>
      <c r="B500">
        <v>20.045000000000002</v>
      </c>
      <c r="C500">
        <v>6.17</v>
      </c>
      <c r="D500" t="s">
        <v>4682</v>
      </c>
      <c r="E500" t="s">
        <v>4682</v>
      </c>
      <c r="F500" t="s">
        <v>4684</v>
      </c>
      <c r="G500">
        <v>1</v>
      </c>
      <c r="H500" t="s">
        <v>4683</v>
      </c>
      <c r="I500" t="str" cm="1">
        <f t="array" ref="I500">_xlfn.IFS(B500&lt;18.5, "Underweight", B500&lt;=24.9, "Normal Weight", B500&lt;=29.9, "Overweight", TRUE, "Obesity")</f>
        <v>Normal Weight</v>
      </c>
      <c r="J500" t="str" cm="1">
        <f t="array" ref="J500">_xlfn.IFS(C500&lt;5.7, "Normal", C500&lt;=6.4, "Prediabetes", TRUE, "Diabetes")</f>
        <v>Prediabetes</v>
      </c>
    </row>
    <row r="501" spans="1:10">
      <c r="A501" t="s">
        <v>1000</v>
      </c>
      <c r="B501">
        <v>27.83</v>
      </c>
      <c r="C501">
        <v>5.36</v>
      </c>
      <c r="D501" t="s">
        <v>4682</v>
      </c>
      <c r="E501" t="s">
        <v>4682</v>
      </c>
      <c r="F501" t="s">
        <v>4682</v>
      </c>
      <c r="G501">
        <v>2</v>
      </c>
      <c r="H501" t="s">
        <v>4682</v>
      </c>
      <c r="I501" t="str" cm="1">
        <f t="array" ref="I501">_xlfn.IFS(B501&lt;18.5, "Underweight", B501&lt;=24.9, "Normal Weight", B501&lt;=29.9, "Overweight", TRUE, "Obesity")</f>
        <v>Overweight</v>
      </c>
      <c r="J501" t="str" cm="1">
        <f t="array" ref="J501">_xlfn.IFS(C501&lt;5.7, "Normal", C501&lt;=6.4, "Prediabetes", TRUE, "Diabetes")</f>
        <v>Normal</v>
      </c>
    </row>
    <row r="502" spans="1:10">
      <c r="A502" t="s">
        <v>1002</v>
      </c>
      <c r="B502">
        <v>28.93</v>
      </c>
      <c r="C502">
        <v>5.2</v>
      </c>
      <c r="D502" t="s">
        <v>4682</v>
      </c>
      <c r="E502" t="s">
        <v>4682</v>
      </c>
      <c r="F502" t="s">
        <v>4682</v>
      </c>
      <c r="G502">
        <v>0</v>
      </c>
      <c r="H502" t="s">
        <v>4683</v>
      </c>
      <c r="I502" t="str" cm="1">
        <f t="array" ref="I502">_xlfn.IFS(B502&lt;18.5, "Underweight", B502&lt;=24.9, "Normal Weight", B502&lt;=29.9, "Overweight", TRUE, "Obesity")</f>
        <v>Overweight</v>
      </c>
      <c r="J502" t="str" cm="1">
        <f t="array" ref="J502">_xlfn.IFS(C502&lt;5.7, "Normal", C502&lt;=6.4, "Prediabetes", TRUE, "Diabetes")</f>
        <v>Normal</v>
      </c>
    </row>
    <row r="503" spans="1:10">
      <c r="A503" t="s">
        <v>1004</v>
      </c>
      <c r="B503">
        <v>33.82</v>
      </c>
      <c r="C503">
        <v>5.42</v>
      </c>
      <c r="D503" t="s">
        <v>4682</v>
      </c>
      <c r="E503" t="s">
        <v>4682</v>
      </c>
      <c r="F503" t="s">
        <v>4682</v>
      </c>
      <c r="G503">
        <v>0</v>
      </c>
      <c r="H503" t="s">
        <v>4682</v>
      </c>
      <c r="I503" t="str" cm="1">
        <f t="array" ref="I503">_xlfn.IFS(B503&lt;18.5, "Underweight", B503&lt;=24.9, "Normal Weight", B503&lt;=29.9, "Overweight", TRUE, "Obesity")</f>
        <v>Obesity</v>
      </c>
      <c r="J503" t="str" cm="1">
        <f t="array" ref="J503">_xlfn.IFS(C503&lt;5.7, "Normal", C503&lt;=6.4, "Prediabetes", TRUE, "Diabetes")</f>
        <v>Normal</v>
      </c>
    </row>
    <row r="504" spans="1:10">
      <c r="A504" t="s">
        <v>1006</v>
      </c>
      <c r="B504">
        <v>20.234999999999999</v>
      </c>
      <c r="C504">
        <v>6.84</v>
      </c>
      <c r="D504" t="s">
        <v>4682</v>
      </c>
      <c r="E504" t="s">
        <v>4682</v>
      </c>
      <c r="F504" t="s">
        <v>4682</v>
      </c>
      <c r="G504">
        <v>0</v>
      </c>
      <c r="H504" t="s">
        <v>4683</v>
      </c>
      <c r="I504" t="str" cm="1">
        <f t="array" ref="I504">_xlfn.IFS(B504&lt;18.5, "Underweight", B504&lt;=24.9, "Normal Weight", B504&lt;=29.9, "Overweight", TRUE, "Obesity")</f>
        <v>Normal Weight</v>
      </c>
      <c r="J504" t="str" cm="1">
        <f t="array" ref="J504">_xlfn.IFS(C504&lt;5.7, "Normal", C504&lt;=6.4, "Prediabetes", TRUE, "Diabetes")</f>
        <v>Diabetes</v>
      </c>
    </row>
    <row r="505" spans="1:10">
      <c r="A505" t="s">
        <v>1008</v>
      </c>
      <c r="B505">
        <v>49.2</v>
      </c>
      <c r="C505">
        <v>10.9</v>
      </c>
      <c r="D505" t="s">
        <v>4683</v>
      </c>
      <c r="E505" t="s">
        <v>4682</v>
      </c>
      <c r="F505" t="s">
        <v>4684</v>
      </c>
      <c r="G505">
        <v>1</v>
      </c>
      <c r="H505" t="s">
        <v>4682</v>
      </c>
      <c r="I505" t="str" cm="1">
        <f t="array" ref="I505">_xlfn.IFS(B505&lt;18.5, "Underweight", B505&lt;=24.9, "Normal Weight", B505&lt;=29.9, "Overweight", TRUE, "Obesity")</f>
        <v>Obesity</v>
      </c>
      <c r="J505" t="str" cm="1">
        <f t="array" ref="J505">_xlfn.IFS(C505&lt;5.7, "Normal", C505&lt;=6.4, "Prediabetes", TRUE, "Diabetes")</f>
        <v>Diabetes</v>
      </c>
    </row>
    <row r="506" spans="1:10">
      <c r="A506" t="s">
        <v>1010</v>
      </c>
      <c r="B506">
        <v>26.4</v>
      </c>
      <c r="C506">
        <v>4.87</v>
      </c>
      <c r="D506" t="s">
        <v>4683</v>
      </c>
      <c r="E506" t="s">
        <v>4682</v>
      </c>
      <c r="F506" t="s">
        <v>4682</v>
      </c>
      <c r="G506">
        <v>0</v>
      </c>
      <c r="H506" t="s">
        <v>4683</v>
      </c>
      <c r="I506" t="str" cm="1">
        <f t="array" ref="I506">_xlfn.IFS(B506&lt;18.5, "Underweight", B506&lt;=24.9, "Normal Weight", B506&lt;=29.9, "Overweight", TRUE, "Obesity")</f>
        <v>Overweight</v>
      </c>
      <c r="J506" t="str" cm="1">
        <f t="array" ref="J506">_xlfn.IFS(C506&lt;5.7, "Normal", C506&lt;=6.4, "Prediabetes", TRUE, "Diabetes")</f>
        <v>Normal</v>
      </c>
    </row>
    <row r="507" spans="1:10">
      <c r="A507" t="s">
        <v>1012</v>
      </c>
      <c r="B507">
        <v>28.38</v>
      </c>
      <c r="C507">
        <v>6.07</v>
      </c>
      <c r="D507" t="s">
        <v>4682</v>
      </c>
      <c r="E507" t="s">
        <v>4682</v>
      </c>
      <c r="F507" t="s">
        <v>4682</v>
      </c>
      <c r="G507">
        <v>1</v>
      </c>
      <c r="H507" t="s">
        <v>4683</v>
      </c>
      <c r="I507" t="str" cm="1">
        <f t="array" ref="I507">_xlfn.IFS(B507&lt;18.5, "Underweight", B507&lt;=24.9, "Normal Weight", B507&lt;=29.9, "Overweight", TRUE, "Obesity")</f>
        <v>Overweight</v>
      </c>
      <c r="J507" t="str" cm="1">
        <f t="array" ref="J507">_xlfn.IFS(C507&lt;5.7, "Normal", C507&lt;=6.4, "Prediabetes", TRUE, "Diabetes")</f>
        <v>Prediabetes</v>
      </c>
    </row>
    <row r="508" spans="1:10">
      <c r="A508" t="s">
        <v>1014</v>
      </c>
      <c r="B508">
        <v>24.64</v>
      </c>
      <c r="C508">
        <v>4.33</v>
      </c>
      <c r="D508" t="s">
        <v>4682</v>
      </c>
      <c r="E508" t="s">
        <v>4682</v>
      </c>
      <c r="F508" t="s">
        <v>4682</v>
      </c>
      <c r="G508">
        <v>0</v>
      </c>
      <c r="H508" t="s">
        <v>4683</v>
      </c>
      <c r="I508" t="str" cm="1">
        <f t="array" ref="I508">_xlfn.IFS(B508&lt;18.5, "Underweight", B508&lt;=24.9, "Normal Weight", B508&lt;=29.9, "Overweight", TRUE, "Obesity")</f>
        <v>Normal Weight</v>
      </c>
      <c r="J508" t="str" cm="1">
        <f t="array" ref="J508">_xlfn.IFS(C508&lt;5.7, "Normal", C508&lt;=6.4, "Prediabetes", TRUE, "Diabetes")</f>
        <v>Normal</v>
      </c>
    </row>
    <row r="509" spans="1:10">
      <c r="A509" t="s">
        <v>1016</v>
      </c>
      <c r="B509">
        <v>39.71</v>
      </c>
      <c r="C509">
        <v>5.83</v>
      </c>
      <c r="D509" t="s">
        <v>4682</v>
      </c>
      <c r="E509" t="s">
        <v>4682</v>
      </c>
      <c r="F509" t="s">
        <v>4682</v>
      </c>
      <c r="G509">
        <v>1</v>
      </c>
      <c r="H509" t="s">
        <v>4682</v>
      </c>
      <c r="I509" t="str" cm="1">
        <f t="array" ref="I509">_xlfn.IFS(B509&lt;18.5, "Underweight", B509&lt;=24.9, "Normal Weight", B509&lt;=29.9, "Overweight", TRUE, "Obesity")</f>
        <v>Obesity</v>
      </c>
      <c r="J509" t="str" cm="1">
        <f t="array" ref="J509">_xlfn.IFS(C509&lt;5.7, "Normal", C509&lt;=6.4, "Prediabetes", TRUE, "Diabetes")</f>
        <v>Prediabetes</v>
      </c>
    </row>
    <row r="510" spans="1:10">
      <c r="A510" t="s">
        <v>1018</v>
      </c>
      <c r="B510">
        <v>22.22</v>
      </c>
      <c r="C510">
        <v>5.5</v>
      </c>
      <c r="D510" t="s">
        <v>4682</v>
      </c>
      <c r="E510" t="s">
        <v>4682</v>
      </c>
      <c r="F510" t="s">
        <v>4682</v>
      </c>
      <c r="G510">
        <v>0</v>
      </c>
      <c r="H510" t="s">
        <v>4683</v>
      </c>
      <c r="I510" t="str" cm="1">
        <f t="array" ref="I510">_xlfn.IFS(B510&lt;18.5, "Underweight", B510&lt;=24.9, "Normal Weight", B510&lt;=29.9, "Overweight", TRUE, "Obesity")</f>
        <v>Normal Weight</v>
      </c>
      <c r="J510" t="str" cm="1">
        <f t="array" ref="J510">_xlfn.IFS(C510&lt;5.7, "Normal", C510&lt;=6.4, "Prediabetes", TRUE, "Diabetes")</f>
        <v>Normal</v>
      </c>
    </row>
    <row r="511" spans="1:10">
      <c r="A511" t="s">
        <v>1020</v>
      </c>
      <c r="B511">
        <v>33.344999999999999</v>
      </c>
      <c r="C511">
        <v>4.79</v>
      </c>
      <c r="D511" t="s">
        <v>4682</v>
      </c>
      <c r="E511" t="s">
        <v>4682</v>
      </c>
      <c r="F511" t="s">
        <v>4684</v>
      </c>
      <c r="G511">
        <v>1</v>
      </c>
      <c r="H511" t="s">
        <v>4682</v>
      </c>
      <c r="I511" t="str" cm="1">
        <f t="array" ref="I511">_xlfn.IFS(B511&lt;18.5, "Underweight", B511&lt;=24.9, "Normal Weight", B511&lt;=29.9, "Overweight", TRUE, "Obesity")</f>
        <v>Obesity</v>
      </c>
      <c r="J511" t="str" cm="1">
        <f t="array" ref="J511">_xlfn.IFS(C511&lt;5.7, "Normal", C511&lt;=6.4, "Prediabetes", TRUE, "Diabetes")</f>
        <v>Normal</v>
      </c>
    </row>
    <row r="512" spans="1:10">
      <c r="A512" t="s">
        <v>1022</v>
      </c>
      <c r="B512">
        <v>24.42</v>
      </c>
      <c r="C512">
        <v>5.81</v>
      </c>
      <c r="D512" t="s">
        <v>4682</v>
      </c>
      <c r="E512" t="s">
        <v>4682</v>
      </c>
      <c r="F512" t="s">
        <v>4682</v>
      </c>
      <c r="G512">
        <v>1</v>
      </c>
      <c r="H512" t="s">
        <v>4683</v>
      </c>
      <c r="I512" t="str" cm="1">
        <f t="array" ref="I512">_xlfn.IFS(B512&lt;18.5, "Underweight", B512&lt;=24.9, "Normal Weight", B512&lt;=29.9, "Overweight", TRUE, "Obesity")</f>
        <v>Normal Weight</v>
      </c>
      <c r="J512" t="str" cm="1">
        <f t="array" ref="J512">_xlfn.IFS(C512&lt;5.7, "Normal", C512&lt;=6.4, "Prediabetes", TRUE, "Diabetes")</f>
        <v>Prediabetes</v>
      </c>
    </row>
    <row r="513" spans="1:10">
      <c r="A513" t="s">
        <v>1024</v>
      </c>
      <c r="B513">
        <v>29.81</v>
      </c>
      <c r="C513">
        <v>5.58</v>
      </c>
      <c r="D513" t="s">
        <v>4682</v>
      </c>
      <c r="E513" t="s">
        <v>4682</v>
      </c>
      <c r="F513" t="s">
        <v>4682</v>
      </c>
      <c r="G513">
        <v>0</v>
      </c>
      <c r="H513" t="s">
        <v>4683</v>
      </c>
      <c r="I513" t="str" cm="1">
        <f t="array" ref="I513">_xlfn.IFS(B513&lt;18.5, "Underweight", B513&lt;=24.9, "Normal Weight", B513&lt;=29.9, "Overweight", TRUE, "Obesity")</f>
        <v>Overweight</v>
      </c>
      <c r="J513" t="str" cm="1">
        <f t="array" ref="J513">_xlfn.IFS(C513&lt;5.7, "Normal", C513&lt;=6.4, "Prediabetes", TRUE, "Diabetes")</f>
        <v>Normal</v>
      </c>
    </row>
    <row r="514" spans="1:10">
      <c r="A514" t="s">
        <v>1026</v>
      </c>
      <c r="B514">
        <v>51.18</v>
      </c>
      <c r="C514">
        <v>4.4000000000000004</v>
      </c>
      <c r="D514" t="s">
        <v>4683</v>
      </c>
      <c r="E514" t="s">
        <v>4682</v>
      </c>
      <c r="F514" t="s">
        <v>4682</v>
      </c>
      <c r="G514">
        <v>2</v>
      </c>
      <c r="H514" t="s">
        <v>4682</v>
      </c>
      <c r="I514" t="str" cm="1">
        <f t="array" ref="I514">_xlfn.IFS(B514&lt;18.5, "Underweight", B514&lt;=24.9, "Normal Weight", B514&lt;=29.9, "Overweight", TRUE, "Obesity")</f>
        <v>Obesity</v>
      </c>
      <c r="J514" t="str" cm="1">
        <f t="array" ref="J514">_xlfn.IFS(C514&lt;5.7, "Normal", C514&lt;=6.4, "Prediabetes", TRUE, "Diabetes")</f>
        <v>Normal</v>
      </c>
    </row>
    <row r="515" spans="1:10">
      <c r="A515" t="s">
        <v>1028</v>
      </c>
      <c r="B515">
        <v>51.37</v>
      </c>
      <c r="C515">
        <v>8.18</v>
      </c>
      <c r="D515" t="s">
        <v>4683</v>
      </c>
      <c r="E515" t="s">
        <v>4682</v>
      </c>
      <c r="F515" t="s">
        <v>4682</v>
      </c>
      <c r="G515">
        <v>0</v>
      </c>
      <c r="H515" t="s">
        <v>4682</v>
      </c>
      <c r="I515" t="str" cm="1">
        <f t="array" ref="I515">_xlfn.IFS(B515&lt;18.5, "Underweight", B515&lt;=24.9, "Normal Weight", B515&lt;=29.9, "Overweight", TRUE, "Obesity")</f>
        <v>Obesity</v>
      </c>
      <c r="J515" t="str" cm="1">
        <f t="array" ref="J515">_xlfn.IFS(C515&lt;5.7, "Normal", C515&lt;=6.4, "Prediabetes", TRUE, "Diabetes")</f>
        <v>Diabetes</v>
      </c>
    </row>
    <row r="516" spans="1:10">
      <c r="A516" t="s">
        <v>1030</v>
      </c>
      <c r="B516">
        <v>36.19</v>
      </c>
      <c r="C516">
        <v>5.52</v>
      </c>
      <c r="D516" t="s">
        <v>4683</v>
      </c>
      <c r="E516" t="s">
        <v>4682</v>
      </c>
      <c r="F516" t="s">
        <v>4682</v>
      </c>
      <c r="G516">
        <v>0</v>
      </c>
      <c r="H516" t="s">
        <v>4682</v>
      </c>
      <c r="I516" t="str" cm="1">
        <f t="array" ref="I516">_xlfn.IFS(B516&lt;18.5, "Underweight", B516&lt;=24.9, "Normal Weight", B516&lt;=29.9, "Overweight", TRUE, "Obesity")</f>
        <v>Obesity</v>
      </c>
      <c r="J516" t="str" cm="1">
        <f t="array" ref="J516">_xlfn.IFS(C516&lt;5.7, "Normal", C516&lt;=6.4, "Prediabetes", TRUE, "Diabetes")</f>
        <v>Normal</v>
      </c>
    </row>
    <row r="517" spans="1:10">
      <c r="A517" t="s">
        <v>1032</v>
      </c>
      <c r="B517">
        <v>25.9</v>
      </c>
      <c r="C517">
        <v>4.84</v>
      </c>
      <c r="D517" t="s">
        <v>4682</v>
      </c>
      <c r="E517" t="s">
        <v>4682</v>
      </c>
      <c r="F517" t="s">
        <v>4682</v>
      </c>
      <c r="G517">
        <v>0</v>
      </c>
      <c r="H517" t="s">
        <v>4683</v>
      </c>
      <c r="I517" t="str" cm="1">
        <f t="array" ref="I517">_xlfn.IFS(B517&lt;18.5, "Underweight", B517&lt;=24.9, "Normal Weight", B517&lt;=29.9, "Overweight", TRUE, "Obesity")</f>
        <v>Overweight</v>
      </c>
      <c r="J517" t="str" cm="1">
        <f t="array" ref="J517">_xlfn.IFS(C517&lt;5.7, "Normal", C517&lt;=6.4, "Prediabetes", TRUE, "Diabetes")</f>
        <v>Normal</v>
      </c>
    </row>
    <row r="518" spans="1:10">
      <c r="A518" t="s">
        <v>1034</v>
      </c>
      <c r="B518">
        <v>35.72</v>
      </c>
      <c r="C518">
        <v>4.08</v>
      </c>
      <c r="D518" t="s">
        <v>4682</v>
      </c>
      <c r="E518" t="s">
        <v>4682</v>
      </c>
      <c r="F518" t="s">
        <v>4684</v>
      </c>
      <c r="G518">
        <v>1</v>
      </c>
      <c r="H518" t="s">
        <v>4682</v>
      </c>
      <c r="I518" t="str" cm="1">
        <f t="array" ref="I518">_xlfn.IFS(B518&lt;18.5, "Underweight", B518&lt;=24.9, "Normal Weight", B518&lt;=29.9, "Overweight", TRUE, "Obesity")</f>
        <v>Obesity</v>
      </c>
      <c r="J518" t="str" cm="1">
        <f t="array" ref="J518">_xlfn.IFS(C518&lt;5.7, "Normal", C518&lt;=6.4, "Prediabetes", TRUE, "Diabetes")</f>
        <v>Normal</v>
      </c>
    </row>
    <row r="519" spans="1:10">
      <c r="A519" t="s">
        <v>1036</v>
      </c>
      <c r="B519">
        <v>27.94</v>
      </c>
      <c r="C519">
        <v>4.4800000000000004</v>
      </c>
      <c r="D519" t="s">
        <v>4682</v>
      </c>
      <c r="E519" t="s">
        <v>4682</v>
      </c>
      <c r="F519" t="s">
        <v>4684</v>
      </c>
      <c r="G519">
        <v>1</v>
      </c>
      <c r="H519" t="s">
        <v>4683</v>
      </c>
      <c r="I519" t="str" cm="1">
        <f t="array" ref="I519">_xlfn.IFS(B519&lt;18.5, "Underweight", B519&lt;=24.9, "Normal Weight", B519&lt;=29.9, "Overweight", TRUE, "Obesity")</f>
        <v>Overweight</v>
      </c>
      <c r="J519" t="str" cm="1">
        <f t="array" ref="J519">_xlfn.IFS(C519&lt;5.7, "Normal", C519&lt;=6.4, "Prediabetes", TRUE, "Diabetes")</f>
        <v>Normal</v>
      </c>
    </row>
    <row r="520" spans="1:10">
      <c r="A520" t="s">
        <v>1038</v>
      </c>
      <c r="B520">
        <v>27.1</v>
      </c>
      <c r="C520">
        <v>5.73</v>
      </c>
      <c r="D520" t="s">
        <v>4682</v>
      </c>
      <c r="E520" t="s">
        <v>4682</v>
      </c>
      <c r="F520" t="s">
        <v>4682</v>
      </c>
      <c r="G520">
        <v>0</v>
      </c>
      <c r="H520" t="s">
        <v>4683</v>
      </c>
      <c r="I520" t="str" cm="1">
        <f t="array" ref="I520">_xlfn.IFS(B520&lt;18.5, "Underweight", B520&lt;=24.9, "Normal Weight", B520&lt;=29.9, "Overweight", TRUE, "Obesity")</f>
        <v>Overweight</v>
      </c>
      <c r="J520" t="str" cm="1">
        <f t="array" ref="J520">_xlfn.IFS(C520&lt;5.7, "Normal", C520&lt;=6.4, "Prediabetes", TRUE, "Diabetes")</f>
        <v>Prediabetes</v>
      </c>
    </row>
    <row r="521" spans="1:10">
      <c r="A521" t="s">
        <v>1040</v>
      </c>
      <c r="B521">
        <v>18.3</v>
      </c>
      <c r="C521">
        <v>5.46</v>
      </c>
      <c r="D521" t="s">
        <v>4683</v>
      </c>
      <c r="E521" t="s">
        <v>4682</v>
      </c>
      <c r="F521" t="s">
        <v>4684</v>
      </c>
      <c r="G521">
        <v>1</v>
      </c>
      <c r="H521" t="s">
        <v>4683</v>
      </c>
      <c r="I521" t="str" cm="1">
        <f t="array" ref="I521">_xlfn.IFS(B521&lt;18.5, "Underweight", B521&lt;=24.9, "Normal Weight", B521&lt;=29.9, "Overweight", TRUE, "Obesity")</f>
        <v>Underweight</v>
      </c>
      <c r="J521" t="str" cm="1">
        <f t="array" ref="J521">_xlfn.IFS(C521&lt;5.7, "Normal", C521&lt;=6.4, "Prediabetes", TRUE, "Diabetes")</f>
        <v>Normal</v>
      </c>
    </row>
    <row r="522" spans="1:10">
      <c r="A522" t="s">
        <v>1042</v>
      </c>
      <c r="B522">
        <v>25.3</v>
      </c>
      <c r="C522">
        <v>5.0199999999999996</v>
      </c>
      <c r="D522" t="s">
        <v>4683</v>
      </c>
      <c r="E522" t="s">
        <v>4682</v>
      </c>
      <c r="F522" t="s">
        <v>4682</v>
      </c>
      <c r="G522">
        <v>1</v>
      </c>
      <c r="H522" t="s">
        <v>4683</v>
      </c>
      <c r="I522" t="str" cm="1">
        <f t="array" ref="I522">_xlfn.IFS(B522&lt;18.5, "Underweight", B522&lt;=24.9, "Normal Weight", B522&lt;=29.9, "Overweight", TRUE, "Obesity")</f>
        <v>Overweight</v>
      </c>
      <c r="J522" t="str" cm="1">
        <f t="array" ref="J522">_xlfn.IFS(C522&lt;5.7, "Normal", C522&lt;=6.4, "Prediabetes", TRUE, "Diabetes")</f>
        <v>Normal</v>
      </c>
    </row>
    <row r="523" spans="1:10">
      <c r="A523" t="s">
        <v>1044</v>
      </c>
      <c r="B523">
        <v>38.83</v>
      </c>
      <c r="C523">
        <v>6.36</v>
      </c>
      <c r="D523" t="s">
        <v>4682</v>
      </c>
      <c r="E523" t="s">
        <v>4682</v>
      </c>
      <c r="F523" t="s">
        <v>4682</v>
      </c>
      <c r="G523">
        <v>1</v>
      </c>
      <c r="H523" t="s">
        <v>4682</v>
      </c>
      <c r="I523" t="str" cm="1">
        <f t="array" ref="I523">_xlfn.IFS(B523&lt;18.5, "Underweight", B523&lt;=24.9, "Normal Weight", B523&lt;=29.9, "Overweight", TRUE, "Obesity")</f>
        <v>Obesity</v>
      </c>
      <c r="J523" t="str" cm="1">
        <f t="array" ref="J523">_xlfn.IFS(C523&lt;5.7, "Normal", C523&lt;=6.4, "Prediabetes", TRUE, "Diabetes")</f>
        <v>Prediabetes</v>
      </c>
    </row>
    <row r="524" spans="1:10">
      <c r="A524" t="s">
        <v>1046</v>
      </c>
      <c r="B524">
        <v>27.6</v>
      </c>
      <c r="C524">
        <v>5.36</v>
      </c>
      <c r="D524" t="s">
        <v>4682</v>
      </c>
      <c r="E524" t="s">
        <v>4682</v>
      </c>
      <c r="F524" t="s">
        <v>4682</v>
      </c>
      <c r="G524">
        <v>1</v>
      </c>
      <c r="H524" t="s">
        <v>4682</v>
      </c>
      <c r="I524" t="str" cm="1">
        <f t="array" ref="I524">_xlfn.IFS(B524&lt;18.5, "Underweight", B524&lt;=24.9, "Normal Weight", B524&lt;=29.9, "Overweight", TRUE, "Obesity")</f>
        <v>Overweight</v>
      </c>
      <c r="J524" t="str" cm="1">
        <f t="array" ref="J524">_xlfn.IFS(C524&lt;5.7, "Normal", C524&lt;=6.4, "Prediabetes", TRUE, "Diabetes")</f>
        <v>Normal</v>
      </c>
    </row>
    <row r="525" spans="1:10">
      <c r="A525" t="s">
        <v>1048</v>
      </c>
      <c r="B525">
        <v>46.4</v>
      </c>
      <c r="C525">
        <v>8.3699999999999992</v>
      </c>
      <c r="D525" t="s">
        <v>4683</v>
      </c>
      <c r="E525" t="s">
        <v>4682</v>
      </c>
      <c r="F525" t="s">
        <v>4684</v>
      </c>
      <c r="G525">
        <v>1</v>
      </c>
      <c r="H525" t="s">
        <v>4682</v>
      </c>
      <c r="I525" t="str" cm="1">
        <f t="array" ref="I525">_xlfn.IFS(B525&lt;18.5, "Underweight", B525&lt;=24.9, "Normal Weight", B525&lt;=29.9, "Overweight", TRUE, "Obesity")</f>
        <v>Obesity</v>
      </c>
      <c r="J525" t="str" cm="1">
        <f t="array" ref="J525">_xlfn.IFS(C525&lt;5.7, "Normal", C525&lt;=6.4, "Prediabetes", TRUE, "Diabetes")</f>
        <v>Diabetes</v>
      </c>
    </row>
    <row r="526" spans="1:10">
      <c r="A526" t="s">
        <v>1050</v>
      </c>
      <c r="B526">
        <v>51.92</v>
      </c>
      <c r="C526">
        <v>5.18</v>
      </c>
      <c r="D526" t="s">
        <v>4683</v>
      </c>
      <c r="E526" t="s">
        <v>4682</v>
      </c>
      <c r="F526" t="s">
        <v>4684</v>
      </c>
      <c r="G526">
        <v>1</v>
      </c>
      <c r="H526" t="s">
        <v>4682</v>
      </c>
      <c r="I526" t="str" cm="1">
        <f t="array" ref="I526">_xlfn.IFS(B526&lt;18.5, "Underweight", B526&lt;=24.9, "Normal Weight", B526&lt;=29.9, "Overweight", TRUE, "Obesity")</f>
        <v>Obesity</v>
      </c>
      <c r="J526" t="str" cm="1">
        <f t="array" ref="J526">_xlfn.IFS(C526&lt;5.7, "Normal", C526&lt;=6.4, "Prediabetes", TRUE, "Diabetes")</f>
        <v>Normal</v>
      </c>
    </row>
    <row r="527" spans="1:10">
      <c r="A527" t="s">
        <v>1052</v>
      </c>
      <c r="B527">
        <v>32.395000000000003</v>
      </c>
      <c r="C527">
        <v>5.68</v>
      </c>
      <c r="D527" t="s">
        <v>4683</v>
      </c>
      <c r="E527" t="s">
        <v>4682</v>
      </c>
      <c r="F527" t="s">
        <v>4682</v>
      </c>
      <c r="G527">
        <v>1</v>
      </c>
      <c r="H527" t="s">
        <v>4682</v>
      </c>
      <c r="I527" t="str" cm="1">
        <f t="array" ref="I527">_xlfn.IFS(B527&lt;18.5, "Underweight", B527&lt;=24.9, "Normal Weight", B527&lt;=29.9, "Overweight", TRUE, "Obesity")</f>
        <v>Obesity</v>
      </c>
      <c r="J527" t="str" cm="1">
        <f t="array" ref="J527">_xlfn.IFS(C527&lt;5.7, "Normal", C527&lt;=6.4, "Prediabetes", TRUE, "Diabetes")</f>
        <v>Normal</v>
      </c>
    </row>
    <row r="528" spans="1:10">
      <c r="A528" t="s">
        <v>1054</v>
      </c>
      <c r="B528">
        <v>46.19</v>
      </c>
      <c r="C528">
        <v>7.31</v>
      </c>
      <c r="D528" t="s">
        <v>4683</v>
      </c>
      <c r="E528" t="s">
        <v>4682</v>
      </c>
      <c r="F528" t="s">
        <v>4684</v>
      </c>
      <c r="G528">
        <v>1</v>
      </c>
      <c r="H528" t="s">
        <v>4682</v>
      </c>
      <c r="I528" t="str" cm="1">
        <f t="array" ref="I528">_xlfn.IFS(B528&lt;18.5, "Underweight", B528&lt;=24.9, "Normal Weight", B528&lt;=29.9, "Overweight", TRUE, "Obesity")</f>
        <v>Obesity</v>
      </c>
      <c r="J528" t="str" cm="1">
        <f t="array" ref="J528">_xlfn.IFS(C528&lt;5.7, "Normal", C528&lt;=6.4, "Prediabetes", TRUE, "Diabetes")</f>
        <v>Diabetes</v>
      </c>
    </row>
    <row r="529" spans="1:10">
      <c r="A529" t="s">
        <v>1056</v>
      </c>
      <c r="B529">
        <v>27.93</v>
      </c>
      <c r="C529">
        <v>4.67</v>
      </c>
      <c r="D529" t="s">
        <v>4682</v>
      </c>
      <c r="E529" t="s">
        <v>4682</v>
      </c>
      <c r="F529" t="s">
        <v>4684</v>
      </c>
      <c r="G529">
        <v>1</v>
      </c>
      <c r="H529" t="s">
        <v>4682</v>
      </c>
      <c r="I529" t="str" cm="1">
        <f t="array" ref="I529">_xlfn.IFS(B529&lt;18.5, "Underweight", B529&lt;=24.9, "Normal Weight", B529&lt;=29.9, "Overweight", TRUE, "Obesity")</f>
        <v>Overweight</v>
      </c>
      <c r="J529" t="str" cm="1">
        <f t="array" ref="J529">_xlfn.IFS(C529&lt;5.7, "Normal", C529&lt;=6.4, "Prediabetes", TRUE, "Diabetes")</f>
        <v>Normal</v>
      </c>
    </row>
    <row r="530" spans="1:10">
      <c r="A530" t="s">
        <v>1058</v>
      </c>
      <c r="B530">
        <v>45.62</v>
      </c>
      <c r="C530">
        <v>6.87</v>
      </c>
      <c r="D530" t="s">
        <v>4682</v>
      </c>
      <c r="E530" t="s">
        <v>4682</v>
      </c>
      <c r="F530" t="s">
        <v>4682</v>
      </c>
      <c r="G530">
        <v>0</v>
      </c>
      <c r="H530" t="s">
        <v>4682</v>
      </c>
      <c r="I530" t="str" cm="1">
        <f t="array" ref="I530">_xlfn.IFS(B530&lt;18.5, "Underweight", B530&lt;=24.9, "Normal Weight", B530&lt;=29.9, "Overweight", TRUE, "Obesity")</f>
        <v>Obesity</v>
      </c>
      <c r="J530" t="str" cm="1">
        <f t="array" ref="J530">_xlfn.IFS(C530&lt;5.7, "Normal", C530&lt;=6.4, "Prediabetes", TRUE, "Diabetes")</f>
        <v>Diabetes</v>
      </c>
    </row>
    <row r="531" spans="1:10">
      <c r="A531" t="s">
        <v>1060</v>
      </c>
      <c r="B531">
        <v>35.31</v>
      </c>
      <c r="C531">
        <v>5.87</v>
      </c>
      <c r="D531" t="s">
        <v>4682</v>
      </c>
      <c r="E531" t="s">
        <v>4682</v>
      </c>
      <c r="F531" t="s">
        <v>4684</v>
      </c>
      <c r="G531">
        <v>1</v>
      </c>
      <c r="H531" t="s">
        <v>4682</v>
      </c>
      <c r="I531" t="str" cm="1">
        <f t="array" ref="I531">_xlfn.IFS(B531&lt;18.5, "Underweight", B531&lt;=24.9, "Normal Weight", B531&lt;=29.9, "Overweight", TRUE, "Obesity")</f>
        <v>Obesity</v>
      </c>
      <c r="J531" t="str" cm="1">
        <f t="array" ref="J531">_xlfn.IFS(C531&lt;5.7, "Normal", C531&lt;=6.4, "Prediabetes", TRUE, "Diabetes")</f>
        <v>Prediabetes</v>
      </c>
    </row>
    <row r="532" spans="1:10">
      <c r="A532" t="s">
        <v>1062</v>
      </c>
      <c r="B532">
        <v>30.4</v>
      </c>
      <c r="C532">
        <v>4.07</v>
      </c>
      <c r="D532" t="s">
        <v>4683</v>
      </c>
      <c r="E532" t="s">
        <v>4682</v>
      </c>
      <c r="F532" t="s">
        <v>4682</v>
      </c>
      <c r="G532">
        <v>1</v>
      </c>
      <c r="H532" t="s">
        <v>4682</v>
      </c>
      <c r="I532" t="str" cm="1">
        <f t="array" ref="I532">_xlfn.IFS(B532&lt;18.5, "Underweight", B532&lt;=24.9, "Normal Weight", B532&lt;=29.9, "Overweight", TRUE, "Obesity")</f>
        <v>Obesity</v>
      </c>
      <c r="J532" t="str" cm="1">
        <f t="array" ref="J532">_xlfn.IFS(C532&lt;5.7, "Normal", C532&lt;=6.4, "Prediabetes", TRUE, "Diabetes")</f>
        <v>Normal</v>
      </c>
    </row>
    <row r="533" spans="1:10">
      <c r="A533" t="s">
        <v>1064</v>
      </c>
      <c r="B533">
        <v>20.13</v>
      </c>
      <c r="C533">
        <v>6.47</v>
      </c>
      <c r="D533" t="s">
        <v>4682</v>
      </c>
      <c r="E533" t="s">
        <v>4682</v>
      </c>
      <c r="F533" t="s">
        <v>4684</v>
      </c>
      <c r="G533">
        <v>1</v>
      </c>
      <c r="H533" t="s">
        <v>4683</v>
      </c>
      <c r="I533" t="str" cm="1">
        <f t="array" ref="I533">_xlfn.IFS(B533&lt;18.5, "Underweight", B533&lt;=24.9, "Normal Weight", B533&lt;=29.9, "Overweight", TRUE, "Obesity")</f>
        <v>Normal Weight</v>
      </c>
      <c r="J533" t="str" cm="1">
        <f t="array" ref="J533">_xlfn.IFS(C533&lt;5.7, "Normal", C533&lt;=6.4, "Prediabetes", TRUE, "Diabetes")</f>
        <v>Diabetes</v>
      </c>
    </row>
    <row r="534" spans="1:10">
      <c r="A534" t="s">
        <v>1066</v>
      </c>
      <c r="B534">
        <v>23.655000000000001</v>
      </c>
      <c r="C534">
        <v>5.14</v>
      </c>
      <c r="D534" t="s">
        <v>4682</v>
      </c>
      <c r="E534" t="s">
        <v>4682</v>
      </c>
      <c r="F534" t="s">
        <v>4682</v>
      </c>
      <c r="G534">
        <v>1</v>
      </c>
      <c r="H534" t="s">
        <v>4683</v>
      </c>
      <c r="I534" t="str" cm="1">
        <f t="array" ref="I534">_xlfn.IFS(B534&lt;18.5, "Underweight", B534&lt;=24.9, "Normal Weight", B534&lt;=29.9, "Overweight", TRUE, "Obesity")</f>
        <v>Normal Weight</v>
      </c>
      <c r="J534" t="str" cm="1">
        <f t="array" ref="J534">_xlfn.IFS(C534&lt;5.7, "Normal", C534&lt;=6.4, "Prediabetes", TRUE, "Diabetes")</f>
        <v>Normal</v>
      </c>
    </row>
    <row r="535" spans="1:10">
      <c r="A535" t="s">
        <v>1068</v>
      </c>
      <c r="B535">
        <v>49.05</v>
      </c>
      <c r="C535">
        <v>9.77</v>
      </c>
      <c r="D535" t="s">
        <v>4683</v>
      </c>
      <c r="E535" t="s">
        <v>4682</v>
      </c>
      <c r="F535" t="s">
        <v>4682</v>
      </c>
      <c r="G535">
        <v>0</v>
      </c>
      <c r="H535" t="s">
        <v>4682</v>
      </c>
      <c r="I535" t="str" cm="1">
        <f t="array" ref="I535">_xlfn.IFS(B535&lt;18.5, "Underweight", B535&lt;=24.9, "Normal Weight", B535&lt;=29.9, "Overweight", TRUE, "Obesity")</f>
        <v>Obesity</v>
      </c>
      <c r="J535" t="str" cm="1">
        <f t="array" ref="J535">_xlfn.IFS(C535&lt;5.7, "Normal", C535&lt;=6.4, "Prediabetes", TRUE, "Diabetes")</f>
        <v>Diabetes</v>
      </c>
    </row>
    <row r="536" spans="1:10">
      <c r="A536" t="s">
        <v>1070</v>
      </c>
      <c r="B536">
        <v>51.94</v>
      </c>
      <c r="C536">
        <v>8.8000000000000007</v>
      </c>
      <c r="D536" t="s">
        <v>4683</v>
      </c>
      <c r="E536" t="s">
        <v>4682</v>
      </c>
      <c r="F536" t="s">
        <v>4682</v>
      </c>
      <c r="G536">
        <v>2</v>
      </c>
      <c r="H536" t="s">
        <v>4682</v>
      </c>
      <c r="I536" t="str" cm="1">
        <f t="array" ref="I536">_xlfn.IFS(B536&lt;18.5, "Underweight", B536&lt;=24.9, "Normal Weight", B536&lt;=29.9, "Overweight", TRUE, "Obesity")</f>
        <v>Obesity</v>
      </c>
      <c r="J536" t="str" cm="1">
        <f t="array" ref="J536">_xlfn.IFS(C536&lt;5.7, "Normal", C536&lt;=6.4, "Prediabetes", TRUE, "Diabetes")</f>
        <v>Diabetes</v>
      </c>
    </row>
    <row r="537" spans="1:10">
      <c r="A537" t="s">
        <v>1072</v>
      </c>
      <c r="B537">
        <v>29.83</v>
      </c>
      <c r="C537">
        <v>5.84</v>
      </c>
      <c r="D537" t="s">
        <v>4682</v>
      </c>
      <c r="E537" t="s">
        <v>4682</v>
      </c>
      <c r="F537" t="s">
        <v>4682</v>
      </c>
      <c r="G537">
        <v>1</v>
      </c>
      <c r="H537" t="s">
        <v>4683</v>
      </c>
      <c r="I537" t="str" cm="1">
        <f t="array" ref="I537">_xlfn.IFS(B537&lt;18.5, "Underweight", B537&lt;=24.9, "Normal Weight", B537&lt;=29.9, "Overweight", TRUE, "Obesity")</f>
        <v>Overweight</v>
      </c>
      <c r="J537" t="str" cm="1">
        <f t="array" ref="J537">_xlfn.IFS(C537&lt;5.7, "Normal", C537&lt;=6.4, "Prediabetes", TRUE, "Diabetes")</f>
        <v>Prediabetes</v>
      </c>
    </row>
    <row r="538" spans="1:10">
      <c r="A538" t="s">
        <v>1074</v>
      </c>
      <c r="B538">
        <v>22.6</v>
      </c>
      <c r="C538">
        <v>10.43</v>
      </c>
      <c r="D538" t="s">
        <v>4683</v>
      </c>
      <c r="E538" t="s">
        <v>4682</v>
      </c>
      <c r="F538" t="s">
        <v>4682</v>
      </c>
      <c r="G538">
        <v>1</v>
      </c>
      <c r="H538" t="s">
        <v>4683</v>
      </c>
      <c r="I538" t="str" cm="1">
        <f t="array" ref="I538">_xlfn.IFS(B538&lt;18.5, "Underweight", B538&lt;=24.9, "Normal Weight", B538&lt;=29.9, "Overweight", TRUE, "Obesity")</f>
        <v>Normal Weight</v>
      </c>
      <c r="J538" t="str" cm="1">
        <f t="array" ref="J538">_xlfn.IFS(C538&lt;5.7, "Normal", C538&lt;=6.4, "Prediabetes", TRUE, "Diabetes")</f>
        <v>Diabetes</v>
      </c>
    </row>
    <row r="539" spans="1:10">
      <c r="A539" t="s">
        <v>1076</v>
      </c>
      <c r="B539">
        <v>46.69</v>
      </c>
      <c r="C539">
        <v>4.25</v>
      </c>
      <c r="D539" t="s">
        <v>4683</v>
      </c>
      <c r="E539" t="s">
        <v>4682</v>
      </c>
      <c r="F539" t="s">
        <v>4682</v>
      </c>
      <c r="G539">
        <v>1</v>
      </c>
      <c r="H539" t="s">
        <v>4682</v>
      </c>
      <c r="I539" t="str" cm="1">
        <f t="array" ref="I539">_xlfn.IFS(B539&lt;18.5, "Underweight", B539&lt;=24.9, "Normal Weight", B539&lt;=29.9, "Overweight", TRUE, "Obesity")</f>
        <v>Obesity</v>
      </c>
      <c r="J539" t="str" cm="1">
        <f t="array" ref="J539">_xlfn.IFS(C539&lt;5.7, "Normal", C539&lt;=6.4, "Prediabetes", TRUE, "Diabetes")</f>
        <v>Normal</v>
      </c>
    </row>
    <row r="540" spans="1:10">
      <c r="A540" t="s">
        <v>1078</v>
      </c>
      <c r="B540">
        <v>28.49</v>
      </c>
      <c r="C540">
        <v>4.8899999999999997</v>
      </c>
      <c r="D540" t="s">
        <v>4682</v>
      </c>
      <c r="E540" t="s">
        <v>4682</v>
      </c>
      <c r="F540" t="s">
        <v>4682</v>
      </c>
      <c r="G540">
        <v>0</v>
      </c>
      <c r="H540" t="s">
        <v>4683</v>
      </c>
      <c r="I540" t="str" cm="1">
        <f t="array" ref="I540">_xlfn.IFS(B540&lt;18.5, "Underweight", B540&lt;=24.9, "Normal Weight", B540&lt;=29.9, "Overweight", TRUE, "Obesity")</f>
        <v>Overweight</v>
      </c>
      <c r="J540" t="str" cm="1">
        <f t="array" ref="J540">_xlfn.IFS(C540&lt;5.7, "Normal", C540&lt;=6.4, "Prediabetes", TRUE, "Diabetes")</f>
        <v>Normal</v>
      </c>
    </row>
    <row r="541" spans="1:10">
      <c r="A541" t="s">
        <v>1080</v>
      </c>
      <c r="B541">
        <v>28.5</v>
      </c>
      <c r="C541">
        <v>5.55</v>
      </c>
      <c r="D541" t="s">
        <v>4683</v>
      </c>
      <c r="E541" t="s">
        <v>4682</v>
      </c>
      <c r="F541" t="s">
        <v>4682</v>
      </c>
      <c r="G541">
        <v>1</v>
      </c>
      <c r="H541" t="s">
        <v>4683</v>
      </c>
      <c r="I541" t="str" cm="1">
        <f t="array" ref="I541">_xlfn.IFS(B541&lt;18.5, "Underweight", B541&lt;=24.9, "Normal Weight", B541&lt;=29.9, "Overweight", TRUE, "Obesity")</f>
        <v>Overweight</v>
      </c>
      <c r="J541" t="str" cm="1">
        <f t="array" ref="J541">_xlfn.IFS(C541&lt;5.7, "Normal", C541&lt;=6.4, "Prediabetes", TRUE, "Diabetes")</f>
        <v>Normal</v>
      </c>
    </row>
    <row r="542" spans="1:10">
      <c r="A542" t="s">
        <v>1082</v>
      </c>
      <c r="B542">
        <v>24.4</v>
      </c>
      <c r="C542">
        <v>4.5199999999999996</v>
      </c>
      <c r="D542" t="s">
        <v>4682</v>
      </c>
      <c r="E542" t="s">
        <v>4682</v>
      </c>
      <c r="F542" t="s">
        <v>4682</v>
      </c>
      <c r="G542">
        <v>1</v>
      </c>
      <c r="H542" t="s">
        <v>4683</v>
      </c>
      <c r="I542" t="str" cm="1">
        <f t="array" ref="I542">_xlfn.IFS(B542&lt;18.5, "Underweight", B542&lt;=24.9, "Normal Weight", B542&lt;=29.9, "Overweight", TRUE, "Obesity")</f>
        <v>Normal Weight</v>
      </c>
      <c r="J542" t="str" cm="1">
        <f t="array" ref="J542">_xlfn.IFS(C542&lt;5.7, "Normal", C542&lt;=6.4, "Prediabetes", TRUE, "Diabetes")</f>
        <v>Normal</v>
      </c>
    </row>
    <row r="543" spans="1:10">
      <c r="A543" t="s">
        <v>1084</v>
      </c>
      <c r="B543">
        <v>29.15</v>
      </c>
      <c r="C543">
        <v>4.45</v>
      </c>
      <c r="D543" t="s">
        <v>4683</v>
      </c>
      <c r="E543" t="s">
        <v>4682</v>
      </c>
      <c r="F543" t="s">
        <v>4682</v>
      </c>
      <c r="G543">
        <v>1</v>
      </c>
      <c r="H543" t="s">
        <v>4683</v>
      </c>
      <c r="I543" t="str" cm="1">
        <f t="array" ref="I543">_xlfn.IFS(B543&lt;18.5, "Underweight", B543&lt;=24.9, "Normal Weight", B543&lt;=29.9, "Overweight", TRUE, "Obesity")</f>
        <v>Overweight</v>
      </c>
      <c r="J543" t="str" cm="1">
        <f t="array" ref="J543">_xlfn.IFS(C543&lt;5.7, "Normal", C543&lt;=6.4, "Prediabetes", TRUE, "Diabetes")</f>
        <v>Normal</v>
      </c>
    </row>
    <row r="544" spans="1:10">
      <c r="A544" t="s">
        <v>1086</v>
      </c>
      <c r="B544">
        <v>27.28</v>
      </c>
      <c r="C544">
        <v>4.72</v>
      </c>
      <c r="D544" t="s">
        <v>4682</v>
      </c>
      <c r="E544" t="s">
        <v>4683</v>
      </c>
      <c r="F544" t="s">
        <v>4682</v>
      </c>
      <c r="G544">
        <v>1</v>
      </c>
      <c r="H544" t="s">
        <v>4683</v>
      </c>
      <c r="I544" t="str" cm="1">
        <f t="array" ref="I544">_xlfn.IFS(B544&lt;18.5, "Underweight", B544&lt;=24.9, "Normal Weight", B544&lt;=29.9, "Overweight", TRUE, "Obesity")</f>
        <v>Overweight</v>
      </c>
      <c r="J544" t="str" cm="1">
        <f t="array" ref="J544">_xlfn.IFS(C544&lt;5.7, "Normal", C544&lt;=6.4, "Prediabetes", TRUE, "Diabetes")</f>
        <v>Normal</v>
      </c>
    </row>
    <row r="545" spans="1:10">
      <c r="A545" t="s">
        <v>1088</v>
      </c>
      <c r="B545">
        <v>32.229999999999997</v>
      </c>
      <c r="C545">
        <v>4.6500000000000004</v>
      </c>
      <c r="D545" t="s">
        <v>4683</v>
      </c>
      <c r="E545" t="s">
        <v>4682</v>
      </c>
      <c r="F545" t="s">
        <v>4684</v>
      </c>
      <c r="G545">
        <v>1</v>
      </c>
      <c r="H545" t="s">
        <v>4682</v>
      </c>
      <c r="I545" t="str" cm="1">
        <f t="array" ref="I545">_xlfn.IFS(B545&lt;18.5, "Underweight", B545&lt;=24.9, "Normal Weight", B545&lt;=29.9, "Overweight", TRUE, "Obesity")</f>
        <v>Obesity</v>
      </c>
      <c r="J545" t="str" cm="1">
        <f t="array" ref="J545">_xlfn.IFS(C545&lt;5.7, "Normal", C545&lt;=6.4, "Prediabetes", TRUE, "Diabetes")</f>
        <v>Normal</v>
      </c>
    </row>
    <row r="546" spans="1:10">
      <c r="A546" t="s">
        <v>1090</v>
      </c>
      <c r="B546">
        <v>44.2</v>
      </c>
      <c r="C546">
        <v>11.34</v>
      </c>
      <c r="D546" t="s">
        <v>4683</v>
      </c>
      <c r="E546" t="s">
        <v>4682</v>
      </c>
      <c r="F546" t="s">
        <v>4684</v>
      </c>
      <c r="G546">
        <v>1</v>
      </c>
      <c r="H546" t="s">
        <v>4682</v>
      </c>
      <c r="I546" t="str" cm="1">
        <f t="array" ref="I546">_xlfn.IFS(B546&lt;18.5, "Underweight", B546&lt;=24.9, "Normal Weight", B546&lt;=29.9, "Overweight", TRUE, "Obesity")</f>
        <v>Obesity</v>
      </c>
      <c r="J546" t="str" cm="1">
        <f t="array" ref="J546">_xlfn.IFS(C546&lt;5.7, "Normal", C546&lt;=6.4, "Prediabetes", TRUE, "Diabetes")</f>
        <v>Diabetes</v>
      </c>
    </row>
    <row r="547" spans="1:10">
      <c r="A547" t="s">
        <v>1092</v>
      </c>
      <c r="B547">
        <v>29.734999999999999</v>
      </c>
      <c r="C547">
        <v>4.53</v>
      </c>
      <c r="D547" t="s">
        <v>4682</v>
      </c>
      <c r="E547" t="s">
        <v>4682</v>
      </c>
      <c r="F547" t="s">
        <v>4684</v>
      </c>
      <c r="G547">
        <v>1</v>
      </c>
      <c r="H547" t="s">
        <v>4682</v>
      </c>
      <c r="I547" t="str" cm="1">
        <f t="array" ref="I547">_xlfn.IFS(B547&lt;18.5, "Underweight", B547&lt;=24.9, "Normal Weight", B547&lt;=29.9, "Overweight", TRUE, "Obesity")</f>
        <v>Overweight</v>
      </c>
      <c r="J547" t="str" cm="1">
        <f t="array" ref="J547">_xlfn.IFS(C547&lt;5.7, "Normal", C547&lt;=6.4, "Prediabetes", TRUE, "Diabetes")</f>
        <v>Normal</v>
      </c>
    </row>
    <row r="548" spans="1:10">
      <c r="A548" t="s">
        <v>1094</v>
      </c>
      <c r="B548">
        <v>28.31</v>
      </c>
      <c r="C548">
        <v>6.35</v>
      </c>
      <c r="D548" t="s">
        <v>4682</v>
      </c>
      <c r="E548" t="s">
        <v>4682</v>
      </c>
      <c r="F548" t="s">
        <v>4682</v>
      </c>
      <c r="G548">
        <v>0</v>
      </c>
      <c r="H548" t="s">
        <v>4683</v>
      </c>
      <c r="I548" t="str" cm="1">
        <f t="array" ref="I548">_xlfn.IFS(B548&lt;18.5, "Underweight", B548&lt;=24.9, "Normal Weight", B548&lt;=29.9, "Overweight", TRUE, "Obesity")</f>
        <v>Overweight</v>
      </c>
      <c r="J548" t="str" cm="1">
        <f t="array" ref="J548">_xlfn.IFS(C548&lt;5.7, "Normal", C548&lt;=6.4, "Prediabetes", TRUE, "Diabetes")</f>
        <v>Prediabetes</v>
      </c>
    </row>
    <row r="549" spans="1:10">
      <c r="A549" t="s">
        <v>1096</v>
      </c>
      <c r="B549">
        <v>46.62</v>
      </c>
      <c r="C549">
        <v>8.51</v>
      </c>
      <c r="D549" t="s">
        <v>4682</v>
      </c>
      <c r="E549" t="s">
        <v>4682</v>
      </c>
      <c r="F549" t="s">
        <v>4682</v>
      </c>
      <c r="G549">
        <v>0</v>
      </c>
      <c r="H549" t="s">
        <v>4682</v>
      </c>
      <c r="I549" t="str" cm="1">
        <f t="array" ref="I549">_xlfn.IFS(B549&lt;18.5, "Underweight", B549&lt;=24.9, "Normal Weight", B549&lt;=29.9, "Overweight", TRUE, "Obesity")</f>
        <v>Obesity</v>
      </c>
      <c r="J549" t="str" cm="1">
        <f t="array" ref="J549">_xlfn.IFS(C549&lt;5.7, "Normal", C549&lt;=6.4, "Prediabetes", TRUE, "Diabetes")</f>
        <v>Diabetes</v>
      </c>
    </row>
    <row r="550" spans="1:10">
      <c r="A550" t="s">
        <v>1098</v>
      </c>
      <c r="B550">
        <v>51.75</v>
      </c>
      <c r="C550">
        <v>8.59</v>
      </c>
      <c r="D550" t="s">
        <v>4683</v>
      </c>
      <c r="E550" t="s">
        <v>4682</v>
      </c>
      <c r="F550" t="s">
        <v>4682</v>
      </c>
      <c r="G550">
        <v>1</v>
      </c>
      <c r="H550" t="s">
        <v>4682</v>
      </c>
      <c r="I550" t="str" cm="1">
        <f t="array" ref="I550">_xlfn.IFS(B550&lt;18.5, "Underweight", B550&lt;=24.9, "Normal Weight", B550&lt;=29.9, "Overweight", TRUE, "Obesity")</f>
        <v>Obesity</v>
      </c>
      <c r="J550" t="str" cm="1">
        <f t="array" ref="J550">_xlfn.IFS(C550&lt;5.7, "Normal", C550&lt;=6.4, "Prediabetes", TRUE, "Diabetes")</f>
        <v>Diabetes</v>
      </c>
    </row>
    <row r="551" spans="1:10">
      <c r="A551" t="s">
        <v>1100</v>
      </c>
      <c r="B551">
        <v>25.7</v>
      </c>
      <c r="C551">
        <v>4.13</v>
      </c>
      <c r="D551" t="s">
        <v>4683</v>
      </c>
      <c r="E551" t="s">
        <v>4682</v>
      </c>
      <c r="F551" t="s">
        <v>4682</v>
      </c>
      <c r="G551">
        <v>0</v>
      </c>
      <c r="H551" t="s">
        <v>4683</v>
      </c>
      <c r="I551" t="str" cm="1">
        <f t="array" ref="I551">_xlfn.IFS(B551&lt;18.5, "Underweight", B551&lt;=24.9, "Normal Weight", B551&lt;=29.9, "Overweight", TRUE, "Obesity")</f>
        <v>Overweight</v>
      </c>
      <c r="J551" t="str" cm="1">
        <f t="array" ref="J551">_xlfn.IFS(C551&lt;5.7, "Normal", C551&lt;=6.4, "Prediabetes", TRUE, "Diabetes")</f>
        <v>Normal</v>
      </c>
    </row>
    <row r="552" spans="1:10">
      <c r="A552" t="s">
        <v>1102</v>
      </c>
      <c r="B552">
        <v>31.79</v>
      </c>
      <c r="C552">
        <v>4.55</v>
      </c>
      <c r="D552" t="s">
        <v>4682</v>
      </c>
      <c r="E552" t="s">
        <v>4682</v>
      </c>
      <c r="F552" t="s">
        <v>4682</v>
      </c>
      <c r="G552">
        <v>0</v>
      </c>
      <c r="H552" t="s">
        <v>4682</v>
      </c>
      <c r="I552" t="str" cm="1">
        <f t="array" ref="I552">_xlfn.IFS(B552&lt;18.5, "Underweight", B552&lt;=24.9, "Normal Weight", B552&lt;=29.9, "Overweight", TRUE, "Obesity")</f>
        <v>Obesity</v>
      </c>
      <c r="J552" t="str" cm="1">
        <f t="array" ref="J552">_xlfn.IFS(C552&lt;5.7, "Normal", C552&lt;=6.4, "Prediabetes", TRUE, "Diabetes")</f>
        <v>Normal</v>
      </c>
    </row>
    <row r="553" spans="1:10">
      <c r="A553" t="s">
        <v>1104</v>
      </c>
      <c r="B553">
        <v>24.795000000000002</v>
      </c>
      <c r="C553">
        <v>4.5199999999999996</v>
      </c>
      <c r="D553" t="s">
        <v>4682</v>
      </c>
      <c r="E553" t="s">
        <v>4682</v>
      </c>
      <c r="F553" t="s">
        <v>4682</v>
      </c>
      <c r="G553">
        <v>0</v>
      </c>
      <c r="H553" t="s">
        <v>4683</v>
      </c>
      <c r="I553" t="str" cm="1">
        <f t="array" ref="I553">_xlfn.IFS(B553&lt;18.5, "Underweight", B553&lt;=24.9, "Normal Weight", B553&lt;=29.9, "Overweight", TRUE, "Obesity")</f>
        <v>Normal Weight</v>
      </c>
      <c r="J553" t="str" cm="1">
        <f t="array" ref="J553">_xlfn.IFS(C553&lt;5.7, "Normal", C553&lt;=6.4, "Prediabetes", TRUE, "Diabetes")</f>
        <v>Normal</v>
      </c>
    </row>
    <row r="554" spans="1:10">
      <c r="A554" t="s">
        <v>1106</v>
      </c>
      <c r="B554">
        <v>53.98</v>
      </c>
      <c r="C554">
        <v>5.07</v>
      </c>
      <c r="D554" t="s">
        <v>4682</v>
      </c>
      <c r="E554" t="s">
        <v>4682</v>
      </c>
      <c r="F554" t="s">
        <v>4684</v>
      </c>
      <c r="G554">
        <v>1</v>
      </c>
      <c r="H554" t="s">
        <v>4682</v>
      </c>
      <c r="I554" t="str" cm="1">
        <f t="array" ref="I554">_xlfn.IFS(B554&lt;18.5, "Underweight", B554&lt;=24.9, "Normal Weight", B554&lt;=29.9, "Overweight", TRUE, "Obesity")</f>
        <v>Obesity</v>
      </c>
      <c r="J554" t="str" cm="1">
        <f t="array" ref="J554">_xlfn.IFS(C554&lt;5.7, "Normal", C554&lt;=6.4, "Prediabetes", TRUE, "Diabetes")</f>
        <v>Normal</v>
      </c>
    </row>
    <row r="555" spans="1:10">
      <c r="A555" t="s">
        <v>1108</v>
      </c>
      <c r="B555">
        <v>41.325000000000003</v>
      </c>
      <c r="C555">
        <v>4.04</v>
      </c>
      <c r="D555" t="s">
        <v>4683</v>
      </c>
      <c r="E555" t="s">
        <v>4682</v>
      </c>
      <c r="F555" t="s">
        <v>4684</v>
      </c>
      <c r="G555">
        <v>1</v>
      </c>
      <c r="H555" t="s">
        <v>4682</v>
      </c>
      <c r="I555" t="str" cm="1">
        <f t="array" ref="I555">_xlfn.IFS(B555&lt;18.5, "Underweight", B555&lt;=24.9, "Normal Weight", B555&lt;=29.9, "Overweight", TRUE, "Obesity")</f>
        <v>Obesity</v>
      </c>
      <c r="J555" t="str" cm="1">
        <f t="array" ref="J555">_xlfn.IFS(C555&lt;5.7, "Normal", C555&lt;=6.4, "Prediabetes", TRUE, "Diabetes")</f>
        <v>Normal</v>
      </c>
    </row>
    <row r="556" spans="1:10">
      <c r="A556" t="s">
        <v>1110</v>
      </c>
      <c r="B556">
        <v>51.65</v>
      </c>
      <c r="C556">
        <v>5.3</v>
      </c>
      <c r="D556" t="s">
        <v>4683</v>
      </c>
      <c r="E556" t="s">
        <v>4682</v>
      </c>
      <c r="F556" t="s">
        <v>4682</v>
      </c>
      <c r="G556">
        <v>0</v>
      </c>
      <c r="H556" t="s">
        <v>4682</v>
      </c>
      <c r="I556" t="str" cm="1">
        <f t="array" ref="I556">_xlfn.IFS(B556&lt;18.5, "Underweight", B556&lt;=24.9, "Normal Weight", B556&lt;=29.9, "Overweight", TRUE, "Obesity")</f>
        <v>Obesity</v>
      </c>
      <c r="J556" t="str" cm="1">
        <f t="array" ref="J556">_xlfn.IFS(C556&lt;5.7, "Normal", C556&lt;=6.4, "Prediabetes", TRUE, "Diabetes")</f>
        <v>Normal</v>
      </c>
    </row>
    <row r="557" spans="1:10">
      <c r="A557" t="s">
        <v>1112</v>
      </c>
      <c r="B557">
        <v>44.52</v>
      </c>
      <c r="C557">
        <v>8.64</v>
      </c>
      <c r="D557" t="s">
        <v>4683</v>
      </c>
      <c r="E557" t="s">
        <v>4682</v>
      </c>
      <c r="F557" t="s">
        <v>4684</v>
      </c>
      <c r="G557">
        <v>1</v>
      </c>
      <c r="H557" t="s">
        <v>4682</v>
      </c>
      <c r="I557" t="str" cm="1">
        <f t="array" ref="I557">_xlfn.IFS(B557&lt;18.5, "Underweight", B557&lt;=24.9, "Normal Weight", B557&lt;=29.9, "Overweight", TRUE, "Obesity")</f>
        <v>Obesity</v>
      </c>
      <c r="J557" t="str" cm="1">
        <f t="array" ref="J557">_xlfn.IFS(C557&lt;5.7, "Normal", C557&lt;=6.4, "Prediabetes", TRUE, "Diabetes")</f>
        <v>Diabetes</v>
      </c>
    </row>
    <row r="558" spans="1:10">
      <c r="A558" t="s">
        <v>1114</v>
      </c>
      <c r="B558">
        <v>53.29</v>
      </c>
      <c r="C558">
        <v>4.03</v>
      </c>
      <c r="D558" t="s">
        <v>4682</v>
      </c>
      <c r="E558" t="s">
        <v>4682</v>
      </c>
      <c r="F558" t="s">
        <v>4684</v>
      </c>
      <c r="G558">
        <v>1</v>
      </c>
      <c r="H558" t="s">
        <v>4682</v>
      </c>
      <c r="I558" t="str" cm="1">
        <f t="array" ref="I558">_xlfn.IFS(B558&lt;18.5, "Underweight", B558&lt;=24.9, "Normal Weight", B558&lt;=29.9, "Overweight", TRUE, "Obesity")</f>
        <v>Obesity</v>
      </c>
      <c r="J558" t="str" cm="1">
        <f t="array" ref="J558">_xlfn.IFS(C558&lt;5.7, "Normal", C558&lt;=6.4, "Prediabetes", TRUE, "Diabetes")</f>
        <v>Normal</v>
      </c>
    </row>
    <row r="559" spans="1:10">
      <c r="A559" t="s">
        <v>1116</v>
      </c>
      <c r="B559">
        <v>46.63</v>
      </c>
      <c r="C559">
        <v>4.26</v>
      </c>
      <c r="D559" t="s">
        <v>4683</v>
      </c>
      <c r="E559" t="s">
        <v>4682</v>
      </c>
      <c r="F559" t="s">
        <v>4682</v>
      </c>
      <c r="G559">
        <v>2</v>
      </c>
      <c r="H559" t="s">
        <v>4682</v>
      </c>
      <c r="I559" t="str" cm="1">
        <f t="array" ref="I559">_xlfn.IFS(B559&lt;18.5, "Underweight", B559&lt;=24.9, "Normal Weight", B559&lt;=29.9, "Overweight", TRUE, "Obesity")</f>
        <v>Obesity</v>
      </c>
      <c r="J559" t="str" cm="1">
        <f t="array" ref="J559">_xlfn.IFS(C559&lt;5.7, "Normal", C559&lt;=6.4, "Prediabetes", TRUE, "Diabetes")</f>
        <v>Normal</v>
      </c>
    </row>
    <row r="560" spans="1:10">
      <c r="A560" t="s">
        <v>1118</v>
      </c>
      <c r="B560">
        <v>28.88</v>
      </c>
      <c r="C560">
        <v>5.35</v>
      </c>
      <c r="D560" t="s">
        <v>4682</v>
      </c>
      <c r="E560" t="s">
        <v>4682</v>
      </c>
      <c r="F560" t="s">
        <v>4684</v>
      </c>
      <c r="G560">
        <v>1</v>
      </c>
      <c r="H560" t="s">
        <v>4683</v>
      </c>
      <c r="I560" t="str" cm="1">
        <f t="array" ref="I560">_xlfn.IFS(B560&lt;18.5, "Underweight", B560&lt;=24.9, "Normal Weight", B560&lt;=29.9, "Overweight", TRUE, "Obesity")</f>
        <v>Overweight</v>
      </c>
      <c r="J560" t="str" cm="1">
        <f t="array" ref="J560">_xlfn.IFS(C560&lt;5.7, "Normal", C560&lt;=6.4, "Prediabetes", TRUE, "Diabetes")</f>
        <v>Normal</v>
      </c>
    </row>
    <row r="561" spans="1:10">
      <c r="A561" t="s">
        <v>1120</v>
      </c>
      <c r="B561">
        <v>23.98</v>
      </c>
      <c r="C561">
        <v>4.9000000000000004</v>
      </c>
      <c r="D561" t="s">
        <v>4682</v>
      </c>
      <c r="E561" t="s">
        <v>4682</v>
      </c>
      <c r="F561" t="s">
        <v>4682</v>
      </c>
      <c r="G561">
        <v>0</v>
      </c>
      <c r="H561" t="s">
        <v>4685</v>
      </c>
      <c r="I561" t="str" cm="1">
        <f t="array" ref="I561">_xlfn.IFS(B561&lt;18.5, "Underweight", B561&lt;=24.9, "Normal Weight", B561&lt;=29.9, "Overweight", TRUE, "Obesity")</f>
        <v>Normal Weight</v>
      </c>
      <c r="J561" t="str" cm="1">
        <f t="array" ref="J561">_xlfn.IFS(C561&lt;5.7, "Normal", C561&lt;=6.4, "Prediabetes", TRUE, "Diabetes")</f>
        <v>Normal</v>
      </c>
    </row>
    <row r="562" spans="1:10">
      <c r="A562" t="s">
        <v>1122</v>
      </c>
      <c r="B562">
        <v>23.65</v>
      </c>
      <c r="C562">
        <v>4.5</v>
      </c>
      <c r="D562" t="s">
        <v>4682</v>
      </c>
      <c r="E562" t="s">
        <v>4682</v>
      </c>
      <c r="F562" t="s">
        <v>4682</v>
      </c>
      <c r="G562">
        <v>0</v>
      </c>
      <c r="H562" t="s">
        <v>4682</v>
      </c>
      <c r="I562" t="str" cm="1">
        <f t="array" ref="I562">_xlfn.IFS(B562&lt;18.5, "Underweight", B562&lt;=24.9, "Normal Weight", B562&lt;=29.9, "Overweight", TRUE, "Obesity")</f>
        <v>Normal Weight</v>
      </c>
      <c r="J562" t="str" cm="1">
        <f t="array" ref="J562">_xlfn.IFS(C562&lt;5.7, "Normal", C562&lt;=6.4, "Prediabetes", TRUE, "Diabetes")</f>
        <v>Normal</v>
      </c>
    </row>
    <row r="563" spans="1:10">
      <c r="A563" t="s">
        <v>1124</v>
      </c>
      <c r="B563">
        <v>49.09</v>
      </c>
      <c r="C563">
        <v>8.3800000000000008</v>
      </c>
      <c r="D563" t="s">
        <v>4683</v>
      </c>
      <c r="E563" t="s">
        <v>4682</v>
      </c>
      <c r="F563" t="s">
        <v>4682</v>
      </c>
      <c r="G563">
        <v>2</v>
      </c>
      <c r="H563" t="s">
        <v>4682</v>
      </c>
      <c r="I563" t="str" cm="1">
        <f t="array" ref="I563">_xlfn.IFS(B563&lt;18.5, "Underweight", B563&lt;=24.9, "Normal Weight", B563&lt;=29.9, "Overweight", TRUE, "Obesity")</f>
        <v>Obesity</v>
      </c>
      <c r="J563" t="str" cm="1">
        <f t="array" ref="J563">_xlfn.IFS(C563&lt;5.7, "Normal", C563&lt;=6.4, "Prediabetes", TRUE, "Diabetes")</f>
        <v>Diabetes</v>
      </c>
    </row>
    <row r="564" spans="1:10">
      <c r="A564" t="s">
        <v>1126</v>
      </c>
      <c r="B564">
        <v>28.024999999999999</v>
      </c>
      <c r="C564">
        <v>7.03</v>
      </c>
      <c r="D564" t="s">
        <v>4682</v>
      </c>
      <c r="E564" t="s">
        <v>4682</v>
      </c>
      <c r="F564" t="s">
        <v>4682</v>
      </c>
      <c r="G564">
        <v>0</v>
      </c>
      <c r="H564" t="s">
        <v>4683</v>
      </c>
      <c r="I564" t="str" cm="1">
        <f t="array" ref="I564">_xlfn.IFS(B564&lt;18.5, "Underweight", B564&lt;=24.9, "Normal Weight", B564&lt;=29.9, "Overweight", TRUE, "Obesity")</f>
        <v>Overweight</v>
      </c>
      <c r="J564" t="str" cm="1">
        <f t="array" ref="J564">_xlfn.IFS(C564&lt;5.7, "Normal", C564&lt;=6.4, "Prediabetes", TRUE, "Diabetes")</f>
        <v>Diabetes</v>
      </c>
    </row>
    <row r="565" spans="1:10">
      <c r="A565" t="s">
        <v>1128</v>
      </c>
      <c r="B565">
        <v>43.32</v>
      </c>
      <c r="C565">
        <v>8.75</v>
      </c>
      <c r="D565" t="s">
        <v>4683</v>
      </c>
      <c r="E565" t="s">
        <v>4682</v>
      </c>
      <c r="F565" t="s">
        <v>4684</v>
      </c>
      <c r="G565">
        <v>1</v>
      </c>
      <c r="H565" t="s">
        <v>4682</v>
      </c>
      <c r="I565" t="str" cm="1">
        <f t="array" ref="I565">_xlfn.IFS(B565&lt;18.5, "Underweight", B565&lt;=24.9, "Normal Weight", B565&lt;=29.9, "Overweight", TRUE, "Obesity")</f>
        <v>Obesity</v>
      </c>
      <c r="J565" t="str" cm="1">
        <f t="array" ref="J565">_xlfn.IFS(C565&lt;5.7, "Normal", C565&lt;=6.4, "Prediabetes", TRUE, "Diabetes")</f>
        <v>Diabetes</v>
      </c>
    </row>
    <row r="566" spans="1:10">
      <c r="A566" t="s">
        <v>1130</v>
      </c>
      <c r="B566">
        <v>45.92</v>
      </c>
      <c r="C566">
        <v>9.51</v>
      </c>
      <c r="D566" t="s">
        <v>4682</v>
      </c>
      <c r="E566" t="s">
        <v>4682</v>
      </c>
      <c r="F566" t="s">
        <v>4682</v>
      </c>
      <c r="G566">
        <v>0</v>
      </c>
      <c r="H566" t="s">
        <v>4682</v>
      </c>
      <c r="I566" t="str" cm="1">
        <f t="array" ref="I566">_xlfn.IFS(B566&lt;18.5, "Underweight", B566&lt;=24.9, "Normal Weight", B566&lt;=29.9, "Overweight", TRUE, "Obesity")</f>
        <v>Obesity</v>
      </c>
      <c r="J566" t="str" cm="1">
        <f t="array" ref="J566">_xlfn.IFS(C566&lt;5.7, "Normal", C566&lt;=6.4, "Prediabetes", TRUE, "Diabetes")</f>
        <v>Diabetes</v>
      </c>
    </row>
    <row r="567" spans="1:10">
      <c r="A567" t="s">
        <v>1132</v>
      </c>
      <c r="B567">
        <v>44.03</v>
      </c>
      <c r="C567">
        <v>9.36</v>
      </c>
      <c r="D567" t="s">
        <v>4682</v>
      </c>
      <c r="E567" t="s">
        <v>4682</v>
      </c>
      <c r="F567" t="s">
        <v>4682</v>
      </c>
      <c r="G567">
        <v>0</v>
      </c>
      <c r="H567" t="s">
        <v>4682</v>
      </c>
      <c r="I567" t="str" cm="1">
        <f t="array" ref="I567">_xlfn.IFS(B567&lt;18.5, "Underweight", B567&lt;=24.9, "Normal Weight", B567&lt;=29.9, "Overweight", TRUE, "Obesity")</f>
        <v>Obesity</v>
      </c>
      <c r="J567" t="str" cm="1">
        <f t="array" ref="J567">_xlfn.IFS(C567&lt;5.7, "Normal", C567&lt;=6.4, "Prediabetes", TRUE, "Diabetes")</f>
        <v>Diabetes</v>
      </c>
    </row>
    <row r="568" spans="1:10">
      <c r="A568" t="s">
        <v>1134</v>
      </c>
      <c r="B568">
        <v>24.6</v>
      </c>
      <c r="C568">
        <v>4.8099999999999996</v>
      </c>
      <c r="D568" t="s">
        <v>4682</v>
      </c>
      <c r="E568" t="s">
        <v>4682</v>
      </c>
      <c r="F568" t="s">
        <v>4682</v>
      </c>
      <c r="G568">
        <v>0</v>
      </c>
      <c r="H568" t="s">
        <v>4683</v>
      </c>
      <c r="I568" t="str" cm="1">
        <f t="array" ref="I568">_xlfn.IFS(B568&lt;18.5, "Underweight", B568&lt;=24.9, "Normal Weight", B568&lt;=29.9, "Overweight", TRUE, "Obesity")</f>
        <v>Normal Weight</v>
      </c>
      <c r="J568" t="str" cm="1">
        <f t="array" ref="J568">_xlfn.IFS(C568&lt;5.7, "Normal", C568&lt;=6.4, "Prediabetes", TRUE, "Diabetes")</f>
        <v>Normal</v>
      </c>
    </row>
    <row r="569" spans="1:10">
      <c r="A569" t="s">
        <v>1136</v>
      </c>
      <c r="B569">
        <v>49.15</v>
      </c>
      <c r="C569">
        <v>8.08</v>
      </c>
      <c r="D569" t="s">
        <v>4682</v>
      </c>
      <c r="E569" t="s">
        <v>4682</v>
      </c>
      <c r="F569" t="s">
        <v>4682</v>
      </c>
      <c r="G569">
        <v>0</v>
      </c>
      <c r="H569" t="s">
        <v>4682</v>
      </c>
      <c r="I569" t="str" cm="1">
        <f t="array" ref="I569">_xlfn.IFS(B569&lt;18.5, "Underweight", B569&lt;=24.9, "Normal Weight", B569&lt;=29.9, "Overweight", TRUE, "Obesity")</f>
        <v>Obesity</v>
      </c>
      <c r="J569" t="str" cm="1">
        <f t="array" ref="J569">_xlfn.IFS(C569&lt;5.7, "Normal", C569&lt;=6.4, "Prediabetes", TRUE, "Diabetes")</f>
        <v>Diabetes</v>
      </c>
    </row>
    <row r="570" spans="1:10">
      <c r="A570" t="s">
        <v>1138</v>
      </c>
      <c r="B570">
        <v>28.31</v>
      </c>
      <c r="C570">
        <v>6.29</v>
      </c>
      <c r="D570" t="s">
        <v>4682</v>
      </c>
      <c r="E570" t="s">
        <v>4682</v>
      </c>
      <c r="F570" t="s">
        <v>4684</v>
      </c>
      <c r="G570">
        <v>1</v>
      </c>
      <c r="H570" t="s">
        <v>4683</v>
      </c>
      <c r="I570" t="str" cm="1">
        <f t="array" ref="I570">_xlfn.IFS(B570&lt;18.5, "Underweight", B570&lt;=24.9, "Normal Weight", B570&lt;=29.9, "Overweight", TRUE, "Obesity")</f>
        <v>Overweight</v>
      </c>
      <c r="J570" t="str" cm="1">
        <f t="array" ref="J570">_xlfn.IFS(C570&lt;5.7, "Normal", C570&lt;=6.4, "Prediabetes", TRUE, "Diabetes")</f>
        <v>Prediabetes</v>
      </c>
    </row>
    <row r="571" spans="1:10">
      <c r="A571" t="s">
        <v>1140</v>
      </c>
      <c r="B571">
        <v>22.99</v>
      </c>
      <c r="C571">
        <v>6.29</v>
      </c>
      <c r="D571" t="s">
        <v>4682</v>
      </c>
      <c r="E571" t="s">
        <v>4682</v>
      </c>
      <c r="F571" t="s">
        <v>4682</v>
      </c>
      <c r="G571">
        <v>1</v>
      </c>
      <c r="H571" t="s">
        <v>4683</v>
      </c>
      <c r="I571" t="str" cm="1">
        <f t="array" ref="I571">_xlfn.IFS(B571&lt;18.5, "Underweight", B571&lt;=24.9, "Normal Weight", B571&lt;=29.9, "Overweight", TRUE, "Obesity")</f>
        <v>Normal Weight</v>
      </c>
      <c r="J571" t="str" cm="1">
        <f t="array" ref="J571">_xlfn.IFS(C571&lt;5.7, "Normal", C571&lt;=6.4, "Prediabetes", TRUE, "Diabetes")</f>
        <v>Prediabetes</v>
      </c>
    </row>
    <row r="572" spans="1:10">
      <c r="A572" t="s">
        <v>1142</v>
      </c>
      <c r="B572">
        <v>29.07</v>
      </c>
      <c r="C572">
        <v>5.12</v>
      </c>
      <c r="D572" t="s">
        <v>4682</v>
      </c>
      <c r="E572" t="s">
        <v>4682</v>
      </c>
      <c r="F572" t="s">
        <v>4684</v>
      </c>
      <c r="G572">
        <v>1</v>
      </c>
      <c r="H572" t="s">
        <v>4683</v>
      </c>
      <c r="I572" t="str" cm="1">
        <f t="array" ref="I572">_xlfn.IFS(B572&lt;18.5, "Underweight", B572&lt;=24.9, "Normal Weight", B572&lt;=29.9, "Overweight", TRUE, "Obesity")</f>
        <v>Overweight</v>
      </c>
      <c r="J572" t="str" cm="1">
        <f t="array" ref="J572">_xlfn.IFS(C572&lt;5.7, "Normal", C572&lt;=6.4, "Prediabetes", TRUE, "Diabetes")</f>
        <v>Normal</v>
      </c>
    </row>
    <row r="573" spans="1:10">
      <c r="A573" t="s">
        <v>1144</v>
      </c>
      <c r="B573">
        <v>42.02</v>
      </c>
      <c r="C573">
        <v>9.9499999999999993</v>
      </c>
      <c r="D573" t="s">
        <v>4683</v>
      </c>
      <c r="E573" t="s">
        <v>4682</v>
      </c>
      <c r="F573" t="s">
        <v>4684</v>
      </c>
      <c r="G573">
        <v>1</v>
      </c>
      <c r="H573" t="s">
        <v>4682</v>
      </c>
      <c r="I573" t="str" cm="1">
        <f t="array" ref="I573">_xlfn.IFS(B573&lt;18.5, "Underweight", B573&lt;=24.9, "Normal Weight", B573&lt;=29.9, "Overweight", TRUE, "Obesity")</f>
        <v>Obesity</v>
      </c>
      <c r="J573" t="str" cm="1">
        <f t="array" ref="J573">_xlfn.IFS(C573&lt;5.7, "Normal", C573&lt;=6.4, "Prediabetes", TRUE, "Diabetes")</f>
        <v>Diabetes</v>
      </c>
    </row>
    <row r="574" spans="1:10">
      <c r="A574" t="s">
        <v>1146</v>
      </c>
      <c r="B574">
        <v>49.07</v>
      </c>
      <c r="C574">
        <v>9.08</v>
      </c>
      <c r="D574" t="s">
        <v>4683</v>
      </c>
      <c r="E574" t="s">
        <v>4682</v>
      </c>
      <c r="F574" t="s">
        <v>4682</v>
      </c>
      <c r="G574">
        <v>1</v>
      </c>
      <c r="H574" t="s">
        <v>4682</v>
      </c>
      <c r="I574" t="str" cm="1">
        <f t="array" ref="I574">_xlfn.IFS(B574&lt;18.5, "Underweight", B574&lt;=24.9, "Normal Weight", B574&lt;=29.9, "Overweight", TRUE, "Obesity")</f>
        <v>Obesity</v>
      </c>
      <c r="J574" t="str" cm="1">
        <f t="array" ref="J574">_xlfn.IFS(C574&lt;5.7, "Normal", C574&lt;=6.4, "Prediabetes", TRUE, "Diabetes")</f>
        <v>Diabetes</v>
      </c>
    </row>
    <row r="575" spans="1:10">
      <c r="A575" t="s">
        <v>1148</v>
      </c>
      <c r="B575">
        <v>19.8</v>
      </c>
      <c r="C575">
        <v>4.82</v>
      </c>
      <c r="D575" t="s">
        <v>4682</v>
      </c>
      <c r="E575" t="s">
        <v>4682</v>
      </c>
      <c r="F575" t="s">
        <v>4682</v>
      </c>
      <c r="G575">
        <v>0</v>
      </c>
      <c r="H575" t="s">
        <v>4683</v>
      </c>
      <c r="I575" t="str" cm="1">
        <f t="array" ref="I575">_xlfn.IFS(B575&lt;18.5, "Underweight", B575&lt;=24.9, "Normal Weight", B575&lt;=29.9, "Overweight", TRUE, "Obesity")</f>
        <v>Normal Weight</v>
      </c>
      <c r="J575" t="str" cm="1">
        <f t="array" ref="J575">_xlfn.IFS(C575&lt;5.7, "Normal", C575&lt;=6.4, "Prediabetes", TRUE, "Diabetes")</f>
        <v>Normal</v>
      </c>
    </row>
    <row r="576" spans="1:10">
      <c r="A576" t="s">
        <v>1150</v>
      </c>
      <c r="B576">
        <v>27.36</v>
      </c>
      <c r="C576">
        <v>4.6500000000000004</v>
      </c>
      <c r="D576" t="s">
        <v>4682</v>
      </c>
      <c r="E576" t="s">
        <v>4683</v>
      </c>
      <c r="F576" t="s">
        <v>4682</v>
      </c>
      <c r="G576">
        <v>1</v>
      </c>
      <c r="H576" t="s">
        <v>4683</v>
      </c>
      <c r="I576" t="str" cm="1">
        <f t="array" ref="I576">_xlfn.IFS(B576&lt;18.5, "Underweight", B576&lt;=24.9, "Normal Weight", B576&lt;=29.9, "Overweight", TRUE, "Obesity")</f>
        <v>Overweight</v>
      </c>
      <c r="J576" t="str" cm="1">
        <f t="array" ref="J576">_xlfn.IFS(C576&lt;5.7, "Normal", C576&lt;=6.4, "Prediabetes", TRUE, "Diabetes")</f>
        <v>Normal</v>
      </c>
    </row>
    <row r="577" spans="1:10">
      <c r="A577" t="s">
        <v>1152</v>
      </c>
      <c r="B577">
        <v>42.95</v>
      </c>
      <c r="C577">
        <v>5.16</v>
      </c>
      <c r="D577" t="s">
        <v>4683</v>
      </c>
      <c r="E577" t="s">
        <v>4682</v>
      </c>
      <c r="F577" t="s">
        <v>4682</v>
      </c>
      <c r="G577">
        <v>1</v>
      </c>
      <c r="H577" t="s">
        <v>4682</v>
      </c>
      <c r="I577" t="str" cm="1">
        <f t="array" ref="I577">_xlfn.IFS(B577&lt;18.5, "Underweight", B577&lt;=24.9, "Normal Weight", B577&lt;=29.9, "Overweight", TRUE, "Obesity")</f>
        <v>Obesity</v>
      </c>
      <c r="J577" t="str" cm="1">
        <f t="array" ref="J577">_xlfn.IFS(C577&lt;5.7, "Normal", C577&lt;=6.4, "Prediabetes", TRUE, "Diabetes")</f>
        <v>Normal</v>
      </c>
    </row>
    <row r="578" spans="1:10">
      <c r="A578" t="s">
        <v>1154</v>
      </c>
      <c r="B578">
        <v>42.66</v>
      </c>
      <c r="C578">
        <v>10.44</v>
      </c>
      <c r="D578" t="s">
        <v>4682</v>
      </c>
      <c r="E578" t="s">
        <v>4682</v>
      </c>
      <c r="F578" t="s">
        <v>4682</v>
      </c>
      <c r="G578">
        <v>0</v>
      </c>
      <c r="H578" t="s">
        <v>4682</v>
      </c>
      <c r="I578" t="str" cm="1">
        <f t="array" ref="I578">_xlfn.IFS(B578&lt;18.5, "Underweight", B578&lt;=24.9, "Normal Weight", B578&lt;=29.9, "Overweight", TRUE, "Obesity")</f>
        <v>Obesity</v>
      </c>
      <c r="J578" t="str" cm="1">
        <f t="array" ref="J578">_xlfn.IFS(C578&lt;5.7, "Normal", C578&lt;=6.4, "Prediabetes", TRUE, "Diabetes")</f>
        <v>Diabetes</v>
      </c>
    </row>
    <row r="579" spans="1:10">
      <c r="A579" t="s">
        <v>1156</v>
      </c>
      <c r="B579">
        <v>33.630000000000003</v>
      </c>
      <c r="C579">
        <v>5.69</v>
      </c>
      <c r="D579" t="s">
        <v>4682</v>
      </c>
      <c r="E579" t="s">
        <v>4682</v>
      </c>
      <c r="F579" t="s">
        <v>4682</v>
      </c>
      <c r="G579">
        <v>1</v>
      </c>
      <c r="H579" t="s">
        <v>4682</v>
      </c>
      <c r="I579" t="str" cm="1">
        <f t="array" ref="I579">_xlfn.IFS(B579&lt;18.5, "Underweight", B579&lt;=24.9, "Normal Weight", B579&lt;=29.9, "Overweight", TRUE, "Obesity")</f>
        <v>Obesity</v>
      </c>
      <c r="J579" t="str" cm="1">
        <f t="array" ref="J579">_xlfn.IFS(C579&lt;5.7, "Normal", C579&lt;=6.4, "Prediabetes", TRUE, "Diabetes")</f>
        <v>Normal</v>
      </c>
    </row>
    <row r="580" spans="1:10">
      <c r="A580" t="s">
        <v>1158</v>
      </c>
      <c r="B580">
        <v>26.84</v>
      </c>
      <c r="C580">
        <v>6.5</v>
      </c>
      <c r="D580" t="s">
        <v>4682</v>
      </c>
      <c r="E580" t="s">
        <v>4682</v>
      </c>
      <c r="F580" t="s">
        <v>4682</v>
      </c>
      <c r="G580">
        <v>0</v>
      </c>
      <c r="H580" t="s">
        <v>4683</v>
      </c>
      <c r="I580" t="str" cm="1">
        <f t="array" ref="I580">_xlfn.IFS(B580&lt;18.5, "Underweight", B580&lt;=24.9, "Normal Weight", B580&lt;=29.9, "Overweight", TRUE, "Obesity")</f>
        <v>Overweight</v>
      </c>
      <c r="J580" t="str" cm="1">
        <f t="array" ref="J580">_xlfn.IFS(C580&lt;5.7, "Normal", C580&lt;=6.4, "Prediabetes", TRUE, "Diabetes")</f>
        <v>Diabetes</v>
      </c>
    </row>
    <row r="581" spans="1:10">
      <c r="A581" t="s">
        <v>1160</v>
      </c>
      <c r="B581">
        <v>28.3</v>
      </c>
      <c r="C581">
        <v>5.73</v>
      </c>
      <c r="D581" t="s">
        <v>4682</v>
      </c>
      <c r="E581" t="s">
        <v>4682</v>
      </c>
      <c r="F581" t="s">
        <v>4684</v>
      </c>
      <c r="G581">
        <v>1</v>
      </c>
      <c r="H581" t="s">
        <v>4683</v>
      </c>
      <c r="I581" t="str" cm="1">
        <f t="array" ref="I581">_xlfn.IFS(B581&lt;18.5, "Underweight", B581&lt;=24.9, "Normal Weight", B581&lt;=29.9, "Overweight", TRUE, "Obesity")</f>
        <v>Overweight</v>
      </c>
      <c r="J581" t="str" cm="1">
        <f t="array" ref="J581">_xlfn.IFS(C581&lt;5.7, "Normal", C581&lt;=6.4, "Prediabetes", TRUE, "Diabetes")</f>
        <v>Prediabetes</v>
      </c>
    </row>
    <row r="582" spans="1:10">
      <c r="A582" t="s">
        <v>1162</v>
      </c>
      <c r="B582">
        <v>27.06</v>
      </c>
      <c r="C582">
        <v>5.74</v>
      </c>
      <c r="D582" t="s">
        <v>4683</v>
      </c>
      <c r="E582" t="s">
        <v>4682</v>
      </c>
      <c r="F582" t="s">
        <v>4682</v>
      </c>
      <c r="G582">
        <v>0</v>
      </c>
      <c r="H582" t="s">
        <v>4683</v>
      </c>
      <c r="I582" t="str" cm="1">
        <f t="array" ref="I582">_xlfn.IFS(B582&lt;18.5, "Underweight", B582&lt;=24.9, "Normal Weight", B582&lt;=29.9, "Overweight", TRUE, "Obesity")</f>
        <v>Overweight</v>
      </c>
      <c r="J582" t="str" cm="1">
        <f t="array" ref="J582">_xlfn.IFS(C582&lt;5.7, "Normal", C582&lt;=6.4, "Prediabetes", TRUE, "Diabetes")</f>
        <v>Prediabetes</v>
      </c>
    </row>
    <row r="583" spans="1:10">
      <c r="A583" t="s">
        <v>1164</v>
      </c>
      <c r="B583">
        <v>47.13</v>
      </c>
      <c r="C583">
        <v>8.6999999999999993</v>
      </c>
      <c r="D583" t="s">
        <v>4682</v>
      </c>
      <c r="E583" t="s">
        <v>4682</v>
      </c>
      <c r="F583" t="s">
        <v>4682</v>
      </c>
      <c r="G583">
        <v>0</v>
      </c>
      <c r="H583" t="s">
        <v>4682</v>
      </c>
      <c r="I583" t="str" cm="1">
        <f t="array" ref="I583">_xlfn.IFS(B583&lt;18.5, "Underweight", B583&lt;=24.9, "Normal Weight", B583&lt;=29.9, "Overweight", TRUE, "Obesity")</f>
        <v>Obesity</v>
      </c>
      <c r="J583" t="str" cm="1">
        <f t="array" ref="J583">_xlfn.IFS(C583&lt;5.7, "Normal", C583&lt;=6.4, "Prediabetes", TRUE, "Diabetes")</f>
        <v>Diabetes</v>
      </c>
    </row>
    <row r="584" spans="1:10">
      <c r="A584" t="s">
        <v>1166</v>
      </c>
      <c r="B584">
        <v>51.72</v>
      </c>
      <c r="C584">
        <v>5.09</v>
      </c>
      <c r="D584" t="s">
        <v>4682</v>
      </c>
      <c r="E584" t="s">
        <v>4682</v>
      </c>
      <c r="F584" t="s">
        <v>4682</v>
      </c>
      <c r="G584">
        <v>0</v>
      </c>
      <c r="H584" t="s">
        <v>4682</v>
      </c>
      <c r="I584" t="str" cm="1">
        <f t="array" ref="I584">_xlfn.IFS(B584&lt;18.5, "Underweight", B584&lt;=24.9, "Normal Weight", B584&lt;=29.9, "Overweight", TRUE, "Obesity")</f>
        <v>Obesity</v>
      </c>
      <c r="J584" t="str" cm="1">
        <f t="array" ref="J584">_xlfn.IFS(C584&lt;5.7, "Normal", C584&lt;=6.4, "Prediabetes", TRUE, "Diabetes")</f>
        <v>Normal</v>
      </c>
    </row>
    <row r="585" spans="1:10">
      <c r="A585" t="s">
        <v>1168</v>
      </c>
      <c r="B585">
        <v>48.59</v>
      </c>
      <c r="C585">
        <v>5.57</v>
      </c>
      <c r="D585" t="s">
        <v>4682</v>
      </c>
      <c r="E585" t="s">
        <v>4682</v>
      </c>
      <c r="F585" t="s">
        <v>4682</v>
      </c>
      <c r="G585">
        <v>0</v>
      </c>
      <c r="H585" t="s">
        <v>4682</v>
      </c>
      <c r="I585" t="str" cm="1">
        <f t="array" ref="I585">_xlfn.IFS(B585&lt;18.5, "Underweight", B585&lt;=24.9, "Normal Weight", B585&lt;=29.9, "Overweight", TRUE, "Obesity")</f>
        <v>Obesity</v>
      </c>
      <c r="J585" t="str" cm="1">
        <f t="array" ref="J585">_xlfn.IFS(C585&lt;5.7, "Normal", C585&lt;=6.4, "Prediabetes", TRUE, "Diabetes")</f>
        <v>Normal</v>
      </c>
    </row>
    <row r="586" spans="1:10">
      <c r="A586" t="s">
        <v>1170</v>
      </c>
      <c r="B586">
        <v>45.18</v>
      </c>
      <c r="C586">
        <v>10.87</v>
      </c>
      <c r="D586" t="s">
        <v>4682</v>
      </c>
      <c r="E586" t="s">
        <v>4682</v>
      </c>
      <c r="F586" t="s">
        <v>4682</v>
      </c>
      <c r="G586">
        <v>0</v>
      </c>
      <c r="H586" t="s">
        <v>4682</v>
      </c>
      <c r="I586" t="str" cm="1">
        <f t="array" ref="I586">_xlfn.IFS(B586&lt;18.5, "Underweight", B586&lt;=24.9, "Normal Weight", B586&lt;=29.9, "Overweight", TRUE, "Obesity")</f>
        <v>Obesity</v>
      </c>
      <c r="J586" t="str" cm="1">
        <f t="array" ref="J586">_xlfn.IFS(C586&lt;5.7, "Normal", C586&lt;=6.4, "Prediabetes", TRUE, "Diabetes")</f>
        <v>Diabetes</v>
      </c>
    </row>
    <row r="587" spans="1:10">
      <c r="A587" t="s">
        <v>1172</v>
      </c>
      <c r="B587">
        <v>27.9</v>
      </c>
      <c r="C587">
        <v>6.02</v>
      </c>
      <c r="D587" t="s">
        <v>4682</v>
      </c>
      <c r="E587" t="s">
        <v>4682</v>
      </c>
      <c r="F587" t="s">
        <v>4684</v>
      </c>
      <c r="G587">
        <v>1</v>
      </c>
      <c r="H587" t="s">
        <v>4683</v>
      </c>
      <c r="I587" t="str" cm="1">
        <f t="array" ref="I587">_xlfn.IFS(B587&lt;18.5, "Underweight", B587&lt;=24.9, "Normal Weight", B587&lt;=29.9, "Overweight", TRUE, "Obesity")</f>
        <v>Overweight</v>
      </c>
      <c r="J587" t="str" cm="1">
        <f t="array" ref="J587">_xlfn.IFS(C587&lt;5.7, "Normal", C587&lt;=6.4, "Prediabetes", TRUE, "Diabetes")</f>
        <v>Prediabetes</v>
      </c>
    </row>
    <row r="588" spans="1:10">
      <c r="A588" t="s">
        <v>1174</v>
      </c>
      <c r="B588">
        <v>51.33</v>
      </c>
      <c r="C588">
        <v>7</v>
      </c>
      <c r="D588" t="s">
        <v>4682</v>
      </c>
      <c r="E588" t="s">
        <v>4682</v>
      </c>
      <c r="F588" t="s">
        <v>4682</v>
      </c>
      <c r="G588">
        <v>0</v>
      </c>
      <c r="H588" t="s">
        <v>4682</v>
      </c>
      <c r="I588" t="str" cm="1">
        <f t="array" ref="I588">_xlfn.IFS(B588&lt;18.5, "Underweight", B588&lt;=24.9, "Normal Weight", B588&lt;=29.9, "Overweight", TRUE, "Obesity")</f>
        <v>Obesity</v>
      </c>
      <c r="J588" t="str" cm="1">
        <f t="array" ref="J588">_xlfn.IFS(C588&lt;5.7, "Normal", C588&lt;=6.4, "Prediabetes", TRUE, "Diabetes")</f>
        <v>Diabetes</v>
      </c>
    </row>
    <row r="589" spans="1:10">
      <c r="A589" t="s">
        <v>1176</v>
      </c>
      <c r="B589">
        <v>30.59</v>
      </c>
      <c r="C589">
        <v>5.56</v>
      </c>
      <c r="D589" t="s">
        <v>4683</v>
      </c>
      <c r="E589" t="s">
        <v>4682</v>
      </c>
      <c r="F589" t="s">
        <v>4682</v>
      </c>
      <c r="G589">
        <v>1</v>
      </c>
      <c r="H589" t="s">
        <v>4682</v>
      </c>
      <c r="I589" t="str" cm="1">
        <f t="array" ref="I589">_xlfn.IFS(B589&lt;18.5, "Underweight", B589&lt;=24.9, "Normal Weight", B589&lt;=29.9, "Overweight", TRUE, "Obesity")</f>
        <v>Obesity</v>
      </c>
      <c r="J589" t="str" cm="1">
        <f t="array" ref="J589">_xlfn.IFS(C589&lt;5.7, "Normal", C589&lt;=6.4, "Prediabetes", TRUE, "Diabetes")</f>
        <v>Normal</v>
      </c>
    </row>
    <row r="590" spans="1:10">
      <c r="A590" t="s">
        <v>1178</v>
      </c>
      <c r="B590">
        <v>39.229999999999997</v>
      </c>
      <c r="C590">
        <v>8.4499999999999993</v>
      </c>
      <c r="D590" t="s">
        <v>4682</v>
      </c>
      <c r="E590" t="s">
        <v>4682</v>
      </c>
      <c r="F590" t="s">
        <v>4682</v>
      </c>
      <c r="G590">
        <v>0</v>
      </c>
      <c r="H590" t="s">
        <v>4682</v>
      </c>
      <c r="I590" t="str" cm="1">
        <f t="array" ref="I590">_xlfn.IFS(B590&lt;18.5, "Underweight", B590&lt;=24.9, "Normal Weight", B590&lt;=29.9, "Overweight", TRUE, "Obesity")</f>
        <v>Obesity</v>
      </c>
      <c r="J590" t="str" cm="1">
        <f t="array" ref="J590">_xlfn.IFS(C590&lt;5.7, "Normal", C590&lt;=6.4, "Prediabetes", TRUE, "Diabetes")</f>
        <v>Diabetes</v>
      </c>
    </row>
    <row r="591" spans="1:10">
      <c r="A591" t="s">
        <v>1180</v>
      </c>
      <c r="B591">
        <v>19.094999999999999</v>
      </c>
      <c r="C591">
        <v>6.19</v>
      </c>
      <c r="D591" t="s">
        <v>4682</v>
      </c>
      <c r="E591" t="s">
        <v>4682</v>
      </c>
      <c r="F591" t="s">
        <v>4682</v>
      </c>
      <c r="G591">
        <v>0</v>
      </c>
      <c r="H591" t="s">
        <v>4683</v>
      </c>
      <c r="I591" t="str" cm="1">
        <f t="array" ref="I591">_xlfn.IFS(B591&lt;18.5, "Underweight", B591&lt;=24.9, "Normal Weight", B591&lt;=29.9, "Overweight", TRUE, "Obesity")</f>
        <v>Normal Weight</v>
      </c>
      <c r="J591" t="str" cm="1">
        <f t="array" ref="J591">_xlfn.IFS(C591&lt;5.7, "Normal", C591&lt;=6.4, "Prediabetes", TRUE, "Diabetes")</f>
        <v>Prediabetes</v>
      </c>
    </row>
    <row r="592" spans="1:10">
      <c r="A592" t="s">
        <v>1182</v>
      </c>
      <c r="B592">
        <v>49.72</v>
      </c>
      <c r="C592">
        <v>7.71</v>
      </c>
      <c r="D592" t="s">
        <v>4682</v>
      </c>
      <c r="E592" t="s">
        <v>4682</v>
      </c>
      <c r="F592" t="s">
        <v>4682</v>
      </c>
      <c r="G592">
        <v>0</v>
      </c>
      <c r="H592" t="s">
        <v>4682</v>
      </c>
      <c r="I592" t="str" cm="1">
        <f t="array" ref="I592">_xlfn.IFS(B592&lt;18.5, "Underweight", B592&lt;=24.9, "Normal Weight", B592&lt;=29.9, "Overweight", TRUE, "Obesity")</f>
        <v>Obesity</v>
      </c>
      <c r="J592" t="str" cm="1">
        <f t="array" ref="J592">_xlfn.IFS(C592&lt;5.7, "Normal", C592&lt;=6.4, "Prediabetes", TRUE, "Diabetes")</f>
        <v>Diabetes</v>
      </c>
    </row>
    <row r="593" spans="1:10">
      <c r="A593" t="s">
        <v>1184</v>
      </c>
      <c r="B593">
        <v>21.754999999999999</v>
      </c>
      <c r="C593">
        <v>4.63</v>
      </c>
      <c r="D593" t="s">
        <v>4682</v>
      </c>
      <c r="E593" t="s">
        <v>4682</v>
      </c>
      <c r="F593" t="s">
        <v>4684</v>
      </c>
      <c r="G593">
        <v>1</v>
      </c>
      <c r="H593" t="s">
        <v>4683</v>
      </c>
      <c r="I593" t="str" cm="1">
        <f t="array" ref="I593">_xlfn.IFS(B593&lt;18.5, "Underweight", B593&lt;=24.9, "Normal Weight", B593&lt;=29.9, "Overweight", TRUE, "Obesity")</f>
        <v>Normal Weight</v>
      </c>
      <c r="J593" t="str" cm="1">
        <f t="array" ref="J593">_xlfn.IFS(C593&lt;5.7, "Normal", C593&lt;=6.4, "Prediabetes", TRUE, "Diabetes")</f>
        <v>Normal</v>
      </c>
    </row>
    <row r="594" spans="1:10">
      <c r="A594" t="s">
        <v>1186</v>
      </c>
      <c r="B594">
        <v>48.39</v>
      </c>
      <c r="C594">
        <v>4.6100000000000003</v>
      </c>
      <c r="D594" t="s">
        <v>4682</v>
      </c>
      <c r="E594" t="s">
        <v>4682</v>
      </c>
      <c r="F594" t="s">
        <v>4682</v>
      </c>
      <c r="G594">
        <v>0</v>
      </c>
      <c r="H594" t="s">
        <v>4682</v>
      </c>
      <c r="I594" t="str" cm="1">
        <f t="array" ref="I594">_xlfn.IFS(B594&lt;18.5, "Underweight", B594&lt;=24.9, "Normal Weight", B594&lt;=29.9, "Overweight", TRUE, "Obesity")</f>
        <v>Obesity</v>
      </c>
      <c r="J594" t="str" cm="1">
        <f t="array" ref="J594">_xlfn.IFS(C594&lt;5.7, "Normal", C594&lt;=6.4, "Prediabetes", TRUE, "Diabetes")</f>
        <v>Normal</v>
      </c>
    </row>
    <row r="595" spans="1:10">
      <c r="A595" t="s">
        <v>1188</v>
      </c>
      <c r="B595">
        <v>47.15</v>
      </c>
      <c r="C595">
        <v>9.5299999999999994</v>
      </c>
      <c r="D595" t="s">
        <v>4683</v>
      </c>
      <c r="E595" t="s">
        <v>4682</v>
      </c>
      <c r="F595" t="s">
        <v>4682</v>
      </c>
      <c r="G595">
        <v>1</v>
      </c>
      <c r="H595" t="s">
        <v>4682</v>
      </c>
      <c r="I595" t="str" cm="1">
        <f t="array" ref="I595">_xlfn.IFS(B595&lt;18.5, "Underweight", B595&lt;=24.9, "Normal Weight", B595&lt;=29.9, "Overweight", TRUE, "Obesity")</f>
        <v>Obesity</v>
      </c>
      <c r="J595" t="str" cm="1">
        <f t="array" ref="J595">_xlfn.IFS(C595&lt;5.7, "Normal", C595&lt;=6.4, "Prediabetes", TRUE, "Diabetes")</f>
        <v>Diabetes</v>
      </c>
    </row>
    <row r="596" spans="1:10">
      <c r="A596" t="s">
        <v>1190</v>
      </c>
      <c r="B596">
        <v>47.59</v>
      </c>
      <c r="C596">
        <v>11.43</v>
      </c>
      <c r="D596" t="s">
        <v>4683</v>
      </c>
      <c r="E596" t="s">
        <v>4682</v>
      </c>
      <c r="F596" t="s">
        <v>4682</v>
      </c>
      <c r="G596">
        <v>2</v>
      </c>
      <c r="H596" t="s">
        <v>4682</v>
      </c>
      <c r="I596" t="str" cm="1">
        <f t="array" ref="I596">_xlfn.IFS(B596&lt;18.5, "Underweight", B596&lt;=24.9, "Normal Weight", B596&lt;=29.9, "Overweight", TRUE, "Obesity")</f>
        <v>Obesity</v>
      </c>
      <c r="J596" t="str" cm="1">
        <f t="array" ref="J596">_xlfn.IFS(C596&lt;5.7, "Normal", C596&lt;=6.4, "Prediabetes", TRUE, "Diabetes")</f>
        <v>Diabetes</v>
      </c>
    </row>
    <row r="597" spans="1:10">
      <c r="A597" t="s">
        <v>1192</v>
      </c>
      <c r="B597">
        <v>39.81</v>
      </c>
      <c r="C597">
        <v>7.65</v>
      </c>
      <c r="D597" t="s">
        <v>4683</v>
      </c>
      <c r="E597" t="s">
        <v>4682</v>
      </c>
      <c r="F597" t="s">
        <v>4684</v>
      </c>
      <c r="G597">
        <v>1</v>
      </c>
      <c r="H597" t="s">
        <v>4682</v>
      </c>
      <c r="I597" t="str" cm="1">
        <f t="array" ref="I597">_xlfn.IFS(B597&lt;18.5, "Underweight", B597&lt;=24.9, "Normal Weight", B597&lt;=29.9, "Overweight", TRUE, "Obesity")</f>
        <v>Obesity</v>
      </c>
      <c r="J597" t="str" cm="1">
        <f t="array" ref="J597">_xlfn.IFS(C597&lt;5.7, "Normal", C597&lt;=6.4, "Prediabetes", TRUE, "Diabetes")</f>
        <v>Diabetes</v>
      </c>
    </row>
    <row r="598" spans="1:10">
      <c r="A598" t="s">
        <v>1194</v>
      </c>
      <c r="B598">
        <v>31.02</v>
      </c>
      <c r="C598">
        <v>5.87</v>
      </c>
      <c r="D598" t="s">
        <v>4683</v>
      </c>
      <c r="E598" t="s">
        <v>4682</v>
      </c>
      <c r="F598" t="s">
        <v>4682</v>
      </c>
      <c r="G598">
        <v>0</v>
      </c>
      <c r="H598" t="s">
        <v>4682</v>
      </c>
      <c r="I598" t="str" cm="1">
        <f t="array" ref="I598">_xlfn.IFS(B598&lt;18.5, "Underweight", B598&lt;=24.9, "Normal Weight", B598&lt;=29.9, "Overweight", TRUE, "Obesity")</f>
        <v>Obesity</v>
      </c>
      <c r="J598" t="str" cm="1">
        <f t="array" ref="J598">_xlfn.IFS(C598&lt;5.7, "Normal", C598&lt;=6.4, "Prediabetes", TRUE, "Diabetes")</f>
        <v>Prediabetes</v>
      </c>
    </row>
    <row r="599" spans="1:10">
      <c r="A599" t="s">
        <v>1196</v>
      </c>
      <c r="B599">
        <v>24.75</v>
      </c>
      <c r="C599">
        <v>4.3600000000000003</v>
      </c>
      <c r="D599" t="s">
        <v>4683</v>
      </c>
      <c r="E599" t="s">
        <v>4682</v>
      </c>
      <c r="F599" t="s">
        <v>4682</v>
      </c>
      <c r="G599">
        <v>1</v>
      </c>
      <c r="H599" t="s">
        <v>4683</v>
      </c>
      <c r="I599" t="str" cm="1">
        <f t="array" ref="I599">_xlfn.IFS(B599&lt;18.5, "Underweight", B599&lt;=24.9, "Normal Weight", B599&lt;=29.9, "Overweight", TRUE, "Obesity")</f>
        <v>Normal Weight</v>
      </c>
      <c r="J599" t="str" cm="1">
        <f t="array" ref="J599">_xlfn.IFS(C599&lt;5.7, "Normal", C599&lt;=6.4, "Prediabetes", TRUE, "Diabetes")</f>
        <v>Normal</v>
      </c>
    </row>
    <row r="600" spans="1:10">
      <c r="A600" t="s">
        <v>1198</v>
      </c>
      <c r="B600">
        <v>30.114999999999998</v>
      </c>
      <c r="C600">
        <v>10.119999999999999</v>
      </c>
      <c r="D600" t="s">
        <v>4682</v>
      </c>
      <c r="E600" t="s">
        <v>4682</v>
      </c>
      <c r="F600" t="s">
        <v>4682</v>
      </c>
      <c r="G600">
        <v>3</v>
      </c>
      <c r="H600" t="s">
        <v>4682</v>
      </c>
      <c r="I600" t="str" cm="1">
        <f t="array" ref="I600">_xlfn.IFS(B600&lt;18.5, "Underweight", B600&lt;=24.9, "Normal Weight", B600&lt;=29.9, "Overweight", TRUE, "Obesity")</f>
        <v>Obesity</v>
      </c>
      <c r="J600" t="str" cm="1">
        <f t="array" ref="J600">_xlfn.IFS(C600&lt;5.7, "Normal", C600&lt;=6.4, "Prediabetes", TRUE, "Diabetes")</f>
        <v>Diabetes</v>
      </c>
    </row>
    <row r="601" spans="1:10">
      <c r="A601" t="s">
        <v>1200</v>
      </c>
      <c r="B601">
        <v>26.03</v>
      </c>
      <c r="C601">
        <v>4.01</v>
      </c>
      <c r="D601" t="s">
        <v>4682</v>
      </c>
      <c r="E601" t="s">
        <v>4682</v>
      </c>
      <c r="F601" t="s">
        <v>4684</v>
      </c>
      <c r="G601">
        <v>1</v>
      </c>
      <c r="H601" t="s">
        <v>4683</v>
      </c>
      <c r="I601" t="str" cm="1">
        <f t="array" ref="I601">_xlfn.IFS(B601&lt;18.5, "Underweight", B601&lt;=24.9, "Normal Weight", B601&lt;=29.9, "Overweight", TRUE, "Obesity")</f>
        <v>Overweight</v>
      </c>
      <c r="J601" t="str" cm="1">
        <f t="array" ref="J601">_xlfn.IFS(C601&lt;5.7, "Normal", C601&lt;=6.4, "Prediabetes", TRUE, "Diabetes")</f>
        <v>Normal</v>
      </c>
    </row>
    <row r="602" spans="1:10">
      <c r="A602" t="s">
        <v>1202</v>
      </c>
      <c r="B602">
        <v>20.045000000000002</v>
      </c>
      <c r="C602">
        <v>4.7699999999999996</v>
      </c>
      <c r="D602" t="s">
        <v>4683</v>
      </c>
      <c r="E602" t="s">
        <v>4682</v>
      </c>
      <c r="F602" t="s">
        <v>4682</v>
      </c>
      <c r="G602">
        <v>1</v>
      </c>
      <c r="H602" t="s">
        <v>4683</v>
      </c>
      <c r="I602" t="str" cm="1">
        <f t="array" ref="I602">_xlfn.IFS(B602&lt;18.5, "Underweight", B602&lt;=24.9, "Normal Weight", B602&lt;=29.9, "Overweight", TRUE, "Obesity")</f>
        <v>Normal Weight</v>
      </c>
      <c r="J602" t="str" cm="1">
        <f t="array" ref="J602">_xlfn.IFS(C602&lt;5.7, "Normal", C602&lt;=6.4, "Prediabetes", TRUE, "Diabetes")</f>
        <v>Normal</v>
      </c>
    </row>
    <row r="603" spans="1:10">
      <c r="A603" t="s">
        <v>1204</v>
      </c>
      <c r="B603">
        <v>40.24</v>
      </c>
      <c r="C603">
        <v>6.83</v>
      </c>
      <c r="D603" t="s">
        <v>4682</v>
      </c>
      <c r="E603" t="s">
        <v>4682</v>
      </c>
      <c r="F603" t="s">
        <v>4682</v>
      </c>
      <c r="G603">
        <v>0</v>
      </c>
      <c r="H603" t="s">
        <v>4682</v>
      </c>
      <c r="I603" t="str" cm="1">
        <f t="array" ref="I603">_xlfn.IFS(B603&lt;18.5, "Underweight", B603&lt;=24.9, "Normal Weight", B603&lt;=29.9, "Overweight", TRUE, "Obesity")</f>
        <v>Obesity</v>
      </c>
      <c r="J603" t="str" cm="1">
        <f t="array" ref="J603">_xlfn.IFS(C603&lt;5.7, "Normal", C603&lt;=6.4, "Prediabetes", TRUE, "Diabetes")</f>
        <v>Diabetes</v>
      </c>
    </row>
    <row r="604" spans="1:10">
      <c r="A604" t="s">
        <v>1206</v>
      </c>
      <c r="B604">
        <v>43.15</v>
      </c>
      <c r="C604">
        <v>6.14</v>
      </c>
      <c r="D604" t="s">
        <v>4683</v>
      </c>
      <c r="E604" t="s">
        <v>4682</v>
      </c>
      <c r="F604" t="s">
        <v>4684</v>
      </c>
      <c r="G604">
        <v>1</v>
      </c>
      <c r="H604" t="s">
        <v>4682</v>
      </c>
      <c r="I604" t="str" cm="1">
        <f t="array" ref="I604">_xlfn.IFS(B604&lt;18.5, "Underweight", B604&lt;=24.9, "Normal Weight", B604&lt;=29.9, "Overweight", TRUE, "Obesity")</f>
        <v>Obesity</v>
      </c>
      <c r="J604" t="str" cm="1">
        <f t="array" ref="J604">_xlfn.IFS(C604&lt;5.7, "Normal", C604&lt;=6.4, "Prediabetes", TRUE, "Diabetes")</f>
        <v>Prediabetes</v>
      </c>
    </row>
    <row r="605" spans="1:10">
      <c r="A605" t="s">
        <v>1208</v>
      </c>
      <c r="B605">
        <v>27.7</v>
      </c>
      <c r="C605">
        <v>5.6</v>
      </c>
      <c r="D605" t="s">
        <v>4682</v>
      </c>
      <c r="E605" t="s">
        <v>4682</v>
      </c>
      <c r="F605" t="s">
        <v>4684</v>
      </c>
      <c r="G605">
        <v>1</v>
      </c>
      <c r="H605" t="s">
        <v>4683</v>
      </c>
      <c r="I605" t="str" cm="1">
        <f t="array" ref="I605">_xlfn.IFS(B605&lt;18.5, "Underweight", B605&lt;=24.9, "Normal Weight", B605&lt;=29.9, "Overweight", TRUE, "Obesity")</f>
        <v>Overweight</v>
      </c>
      <c r="J605" t="str" cm="1">
        <f t="array" ref="J605">_xlfn.IFS(C605&lt;5.7, "Normal", C605&lt;=6.4, "Prediabetes", TRUE, "Diabetes")</f>
        <v>Normal</v>
      </c>
    </row>
    <row r="606" spans="1:10">
      <c r="A606" t="s">
        <v>1210</v>
      </c>
      <c r="B606">
        <v>45.68</v>
      </c>
      <c r="C606">
        <v>4.8</v>
      </c>
      <c r="D606" t="s">
        <v>4682</v>
      </c>
      <c r="E606" t="s">
        <v>4682</v>
      </c>
      <c r="F606" t="s">
        <v>4682</v>
      </c>
      <c r="G606">
        <v>2</v>
      </c>
      <c r="H606" t="s">
        <v>4682</v>
      </c>
      <c r="I606" t="str" cm="1">
        <f t="array" ref="I606">_xlfn.IFS(B606&lt;18.5, "Underweight", B606&lt;=24.9, "Normal Weight", B606&lt;=29.9, "Overweight", TRUE, "Obesity")</f>
        <v>Obesity</v>
      </c>
      <c r="J606" t="str" cm="1">
        <f t="array" ref="J606">_xlfn.IFS(C606&lt;5.7, "Normal", C606&lt;=6.4, "Prediabetes", TRUE, "Diabetes")</f>
        <v>Normal</v>
      </c>
    </row>
    <row r="607" spans="1:10">
      <c r="A607" t="s">
        <v>1212</v>
      </c>
      <c r="B607">
        <v>27.3</v>
      </c>
      <c r="C607">
        <v>11.89</v>
      </c>
      <c r="D607" t="s">
        <v>4682</v>
      </c>
      <c r="E607" t="s">
        <v>4682</v>
      </c>
      <c r="F607" t="s">
        <v>4682</v>
      </c>
      <c r="G607">
        <v>0</v>
      </c>
      <c r="H607" t="s">
        <v>4683</v>
      </c>
      <c r="I607" t="str" cm="1">
        <f t="array" ref="I607">_xlfn.IFS(B607&lt;18.5, "Underweight", B607&lt;=24.9, "Normal Weight", B607&lt;=29.9, "Overweight", TRUE, "Obesity")</f>
        <v>Overweight</v>
      </c>
      <c r="J607" t="str" cm="1">
        <f t="array" ref="J607">_xlfn.IFS(C607&lt;5.7, "Normal", C607&lt;=6.4, "Prediabetes", TRUE, "Diabetes")</f>
        <v>Diabetes</v>
      </c>
    </row>
    <row r="608" spans="1:10">
      <c r="A608" t="s">
        <v>1214</v>
      </c>
      <c r="B608">
        <v>54.45</v>
      </c>
      <c r="C608">
        <v>4.7300000000000004</v>
      </c>
      <c r="D608" t="s">
        <v>4683</v>
      </c>
      <c r="E608" t="s">
        <v>4682</v>
      </c>
      <c r="F608" t="s">
        <v>4682</v>
      </c>
      <c r="G608">
        <v>1</v>
      </c>
      <c r="H608" t="s">
        <v>4682</v>
      </c>
      <c r="I608" t="str" cm="1">
        <f t="array" ref="I608">_xlfn.IFS(B608&lt;18.5, "Underweight", B608&lt;=24.9, "Normal Weight", B608&lt;=29.9, "Overweight", TRUE, "Obesity")</f>
        <v>Obesity</v>
      </c>
      <c r="J608" t="str" cm="1">
        <f t="array" ref="J608">_xlfn.IFS(C608&lt;5.7, "Normal", C608&lt;=6.4, "Prediabetes", TRUE, "Diabetes")</f>
        <v>Normal</v>
      </c>
    </row>
    <row r="609" spans="1:10">
      <c r="A609" t="s">
        <v>1216</v>
      </c>
      <c r="B609">
        <v>54.43</v>
      </c>
      <c r="C609">
        <v>4.6100000000000003</v>
      </c>
      <c r="D609" t="s">
        <v>4683</v>
      </c>
      <c r="E609" t="s">
        <v>4682</v>
      </c>
      <c r="F609" t="s">
        <v>4682</v>
      </c>
      <c r="G609">
        <v>1</v>
      </c>
      <c r="H609" t="s">
        <v>4682</v>
      </c>
      <c r="I609" t="str" cm="1">
        <f t="array" ref="I609">_xlfn.IFS(B609&lt;18.5, "Underweight", B609&lt;=24.9, "Normal Weight", B609&lt;=29.9, "Overweight", TRUE, "Obesity")</f>
        <v>Obesity</v>
      </c>
      <c r="J609" t="str" cm="1">
        <f t="array" ref="J609">_xlfn.IFS(C609&lt;5.7, "Normal", C609&lt;=6.4, "Prediabetes", TRUE, "Diabetes")</f>
        <v>Normal</v>
      </c>
    </row>
    <row r="610" spans="1:10">
      <c r="A610" t="s">
        <v>1218</v>
      </c>
      <c r="B610">
        <v>48.01</v>
      </c>
      <c r="C610">
        <v>7.3</v>
      </c>
      <c r="D610" t="s">
        <v>4682</v>
      </c>
      <c r="E610" t="s">
        <v>4682</v>
      </c>
      <c r="F610" t="s">
        <v>4682</v>
      </c>
      <c r="G610">
        <v>0</v>
      </c>
      <c r="H610" t="s">
        <v>4682</v>
      </c>
      <c r="I610" t="str" cm="1">
        <f t="array" ref="I610">_xlfn.IFS(B610&lt;18.5, "Underweight", B610&lt;=24.9, "Normal Weight", B610&lt;=29.9, "Overweight", TRUE, "Obesity")</f>
        <v>Obesity</v>
      </c>
      <c r="J610" t="str" cm="1">
        <f t="array" ref="J610">_xlfn.IFS(C610&lt;5.7, "Normal", C610&lt;=6.4, "Prediabetes", TRUE, "Diabetes")</f>
        <v>Diabetes</v>
      </c>
    </row>
    <row r="611" spans="1:10">
      <c r="A611" t="s">
        <v>1220</v>
      </c>
      <c r="B611">
        <v>48.32</v>
      </c>
      <c r="C611">
        <v>5.88</v>
      </c>
      <c r="D611" t="s">
        <v>4682</v>
      </c>
      <c r="E611" t="s">
        <v>4682</v>
      </c>
      <c r="F611" t="s">
        <v>4682</v>
      </c>
      <c r="G611">
        <v>0</v>
      </c>
      <c r="H611" t="s">
        <v>4682</v>
      </c>
      <c r="I611" t="str" cm="1">
        <f t="array" ref="I611">_xlfn.IFS(B611&lt;18.5, "Underweight", B611&lt;=24.9, "Normal Weight", B611&lt;=29.9, "Overweight", TRUE, "Obesity")</f>
        <v>Obesity</v>
      </c>
      <c r="J611" t="str" cm="1">
        <f t="array" ref="J611">_xlfn.IFS(C611&lt;5.7, "Normal", C611&lt;=6.4, "Prediabetes", TRUE, "Diabetes")</f>
        <v>Prediabetes</v>
      </c>
    </row>
    <row r="612" spans="1:10">
      <c r="A612" t="s">
        <v>1222</v>
      </c>
      <c r="B612">
        <v>22.895</v>
      </c>
      <c r="C612">
        <v>4.0599999999999996</v>
      </c>
      <c r="D612" t="s">
        <v>4682</v>
      </c>
      <c r="E612" t="s">
        <v>4682</v>
      </c>
      <c r="F612" t="s">
        <v>4684</v>
      </c>
      <c r="G612">
        <v>1</v>
      </c>
      <c r="H612" t="s">
        <v>4683</v>
      </c>
      <c r="I612" t="str" cm="1">
        <f t="array" ref="I612">_xlfn.IFS(B612&lt;18.5, "Underweight", B612&lt;=24.9, "Normal Weight", B612&lt;=29.9, "Overweight", TRUE, "Obesity")</f>
        <v>Normal Weight</v>
      </c>
      <c r="J612" t="str" cm="1">
        <f t="array" ref="J612">_xlfn.IFS(C612&lt;5.7, "Normal", C612&lt;=6.4, "Prediabetes", TRUE, "Diabetes")</f>
        <v>Normal</v>
      </c>
    </row>
    <row r="613" spans="1:10">
      <c r="A613" t="s">
        <v>1224</v>
      </c>
      <c r="B613">
        <v>54.85</v>
      </c>
      <c r="C613">
        <v>4.9000000000000004</v>
      </c>
      <c r="D613" t="s">
        <v>4682</v>
      </c>
      <c r="E613" t="s">
        <v>4682</v>
      </c>
      <c r="F613" t="s">
        <v>4682</v>
      </c>
      <c r="G613">
        <v>1</v>
      </c>
      <c r="H613" t="s">
        <v>4682</v>
      </c>
      <c r="I613" t="str" cm="1">
        <f t="array" ref="I613">_xlfn.IFS(B613&lt;18.5, "Underweight", B613&lt;=24.9, "Normal Weight", B613&lt;=29.9, "Overweight", TRUE, "Obesity")</f>
        <v>Obesity</v>
      </c>
      <c r="J613" t="str" cm="1">
        <f t="array" ref="J613">_xlfn.IFS(C613&lt;5.7, "Normal", C613&lt;=6.4, "Prediabetes", TRUE, "Diabetes")</f>
        <v>Normal</v>
      </c>
    </row>
    <row r="614" spans="1:10">
      <c r="A614" t="s">
        <v>1226</v>
      </c>
      <c r="B614">
        <v>21.85</v>
      </c>
      <c r="C614">
        <v>5.52</v>
      </c>
      <c r="D614" t="s">
        <v>4682</v>
      </c>
      <c r="E614" t="s">
        <v>4682</v>
      </c>
      <c r="F614" t="s">
        <v>4684</v>
      </c>
      <c r="G614">
        <v>1</v>
      </c>
      <c r="H614" t="s">
        <v>4683</v>
      </c>
      <c r="I614" t="str" cm="1">
        <f t="array" ref="I614">_xlfn.IFS(B614&lt;18.5, "Underweight", B614&lt;=24.9, "Normal Weight", B614&lt;=29.9, "Overweight", TRUE, "Obesity")</f>
        <v>Normal Weight</v>
      </c>
      <c r="J614" t="str" cm="1">
        <f t="array" ref="J614">_xlfn.IFS(C614&lt;5.7, "Normal", C614&lt;=6.4, "Prediabetes", TRUE, "Diabetes")</f>
        <v>Normal</v>
      </c>
    </row>
    <row r="615" spans="1:10">
      <c r="A615" t="s">
        <v>1228</v>
      </c>
      <c r="B615">
        <v>51.86</v>
      </c>
      <c r="C615">
        <v>5.2</v>
      </c>
      <c r="D615" t="s">
        <v>4683</v>
      </c>
      <c r="E615" t="s">
        <v>4682</v>
      </c>
      <c r="F615" t="s">
        <v>4682</v>
      </c>
      <c r="G615">
        <v>0</v>
      </c>
      <c r="H615" t="s">
        <v>4682</v>
      </c>
      <c r="I615" t="str" cm="1">
        <f t="array" ref="I615">_xlfn.IFS(B615&lt;18.5, "Underweight", B615&lt;=24.9, "Normal Weight", B615&lt;=29.9, "Overweight", TRUE, "Obesity")</f>
        <v>Obesity</v>
      </c>
      <c r="J615" t="str" cm="1">
        <f t="array" ref="J615">_xlfn.IFS(C615&lt;5.7, "Normal", C615&lt;=6.4, "Prediabetes", TRUE, "Diabetes")</f>
        <v>Normal</v>
      </c>
    </row>
    <row r="616" spans="1:10">
      <c r="A616" t="s">
        <v>1230</v>
      </c>
      <c r="B616">
        <v>39.049999999999997</v>
      </c>
      <c r="C616">
        <v>7.59</v>
      </c>
      <c r="D616" t="s">
        <v>4682</v>
      </c>
      <c r="E616" t="s">
        <v>4682</v>
      </c>
      <c r="F616" t="s">
        <v>4682</v>
      </c>
      <c r="G616">
        <v>3</v>
      </c>
      <c r="H616" t="s">
        <v>4682</v>
      </c>
      <c r="I616" t="str" cm="1">
        <f t="array" ref="I616">_xlfn.IFS(B616&lt;18.5, "Underweight", B616&lt;=24.9, "Normal Weight", B616&lt;=29.9, "Overweight", TRUE, "Obesity")</f>
        <v>Obesity</v>
      </c>
      <c r="J616" t="str" cm="1">
        <f t="array" ref="J616">_xlfn.IFS(C616&lt;5.7, "Normal", C616&lt;=6.4, "Prediabetes", TRUE, "Diabetes")</f>
        <v>Diabetes</v>
      </c>
    </row>
    <row r="617" spans="1:10">
      <c r="A617" t="s">
        <v>1232</v>
      </c>
      <c r="B617">
        <v>31.824999999999999</v>
      </c>
      <c r="C617">
        <v>8.2799999999999994</v>
      </c>
      <c r="D617" t="s">
        <v>4682</v>
      </c>
      <c r="E617" t="s">
        <v>4682</v>
      </c>
      <c r="F617" t="s">
        <v>4682</v>
      </c>
      <c r="G617">
        <v>3</v>
      </c>
      <c r="H617" t="s">
        <v>4682</v>
      </c>
      <c r="I617" t="str" cm="1">
        <f t="array" ref="I617">_xlfn.IFS(B617&lt;18.5, "Underweight", B617&lt;=24.9, "Normal Weight", B617&lt;=29.9, "Overweight", TRUE, "Obesity")</f>
        <v>Obesity</v>
      </c>
      <c r="J617" t="str" cm="1">
        <f t="array" ref="J617">_xlfn.IFS(C617&lt;5.7, "Normal", C617&lt;=6.4, "Prediabetes", TRUE, "Diabetes")</f>
        <v>Diabetes</v>
      </c>
    </row>
    <row r="618" spans="1:10">
      <c r="A618" t="s">
        <v>1234</v>
      </c>
      <c r="B618">
        <v>46.43</v>
      </c>
      <c r="C618">
        <v>6.72</v>
      </c>
      <c r="D618" t="s">
        <v>4682</v>
      </c>
      <c r="E618" t="s">
        <v>4682</v>
      </c>
      <c r="F618" t="s">
        <v>4682</v>
      </c>
      <c r="G618">
        <v>0</v>
      </c>
      <c r="H618" t="s">
        <v>4682</v>
      </c>
      <c r="I618" t="str" cm="1">
        <f t="array" ref="I618">_xlfn.IFS(B618&lt;18.5, "Underweight", B618&lt;=24.9, "Normal Weight", B618&lt;=29.9, "Overweight", TRUE, "Obesity")</f>
        <v>Obesity</v>
      </c>
      <c r="J618" t="str" cm="1">
        <f t="array" ref="J618">_xlfn.IFS(C618&lt;5.7, "Normal", C618&lt;=6.4, "Prediabetes", TRUE, "Diabetes")</f>
        <v>Diabetes</v>
      </c>
    </row>
    <row r="619" spans="1:10">
      <c r="A619" t="s">
        <v>1236</v>
      </c>
      <c r="B619">
        <v>53.63</v>
      </c>
      <c r="C619">
        <v>5.47</v>
      </c>
      <c r="D619" t="s">
        <v>4683</v>
      </c>
      <c r="E619" t="s">
        <v>4682</v>
      </c>
      <c r="F619" t="s">
        <v>4682</v>
      </c>
      <c r="G619">
        <v>1</v>
      </c>
      <c r="H619" t="s">
        <v>4682</v>
      </c>
      <c r="I619" t="str" cm="1">
        <f t="array" ref="I619">_xlfn.IFS(B619&lt;18.5, "Underweight", B619&lt;=24.9, "Normal Weight", B619&lt;=29.9, "Overweight", TRUE, "Obesity")</f>
        <v>Obesity</v>
      </c>
      <c r="J619" t="str" cm="1">
        <f t="array" ref="J619">_xlfn.IFS(C619&lt;5.7, "Normal", C619&lt;=6.4, "Prediabetes", TRUE, "Diabetes")</f>
        <v>Normal</v>
      </c>
    </row>
    <row r="620" spans="1:10">
      <c r="A620" t="s">
        <v>1238</v>
      </c>
      <c r="B620">
        <v>48.7</v>
      </c>
      <c r="C620">
        <v>4.71</v>
      </c>
      <c r="D620" t="s">
        <v>4682</v>
      </c>
      <c r="E620" t="s">
        <v>4682</v>
      </c>
      <c r="F620" t="s">
        <v>4682</v>
      </c>
      <c r="G620">
        <v>0</v>
      </c>
      <c r="H620" t="s">
        <v>4682</v>
      </c>
      <c r="I620" t="str" cm="1">
        <f t="array" ref="I620">_xlfn.IFS(B620&lt;18.5, "Underweight", B620&lt;=24.9, "Normal Weight", B620&lt;=29.9, "Overweight", TRUE, "Obesity")</f>
        <v>Obesity</v>
      </c>
      <c r="J620" t="str" cm="1">
        <f t="array" ref="J620">_xlfn.IFS(C620&lt;5.7, "Normal", C620&lt;=6.4, "Prediabetes", TRUE, "Diabetes")</f>
        <v>Normal</v>
      </c>
    </row>
    <row r="621" spans="1:10">
      <c r="A621" t="s">
        <v>1240</v>
      </c>
      <c r="B621">
        <v>48.81</v>
      </c>
      <c r="C621">
        <v>5.49</v>
      </c>
      <c r="D621" t="s">
        <v>4682</v>
      </c>
      <c r="E621" t="s">
        <v>4682</v>
      </c>
      <c r="F621" t="s">
        <v>4682</v>
      </c>
      <c r="G621">
        <v>0</v>
      </c>
      <c r="H621" t="s">
        <v>4682</v>
      </c>
      <c r="I621" t="str" cm="1">
        <f t="array" ref="I621">_xlfn.IFS(B621&lt;18.5, "Underweight", B621&lt;=24.9, "Normal Weight", B621&lt;=29.9, "Overweight", TRUE, "Obesity")</f>
        <v>Obesity</v>
      </c>
      <c r="J621" t="str" cm="1">
        <f t="array" ref="J621">_xlfn.IFS(C621&lt;5.7, "Normal", C621&lt;=6.4, "Prediabetes", TRUE, "Diabetes")</f>
        <v>Normal</v>
      </c>
    </row>
    <row r="622" spans="1:10">
      <c r="A622" t="s">
        <v>1242</v>
      </c>
      <c r="B622">
        <v>47.53</v>
      </c>
      <c r="C622">
        <v>4.72</v>
      </c>
      <c r="D622" t="s">
        <v>4682</v>
      </c>
      <c r="E622" t="s">
        <v>4682</v>
      </c>
      <c r="F622" t="s">
        <v>4682</v>
      </c>
      <c r="G622">
        <v>0</v>
      </c>
      <c r="H622" t="s">
        <v>4682</v>
      </c>
      <c r="I622" t="str" cm="1">
        <f t="array" ref="I622">_xlfn.IFS(B622&lt;18.5, "Underweight", B622&lt;=24.9, "Normal Weight", B622&lt;=29.9, "Overweight", TRUE, "Obesity")</f>
        <v>Obesity</v>
      </c>
      <c r="J622" t="str" cm="1">
        <f t="array" ref="J622">_xlfn.IFS(C622&lt;5.7, "Normal", C622&lt;=6.4, "Prediabetes", TRUE, "Diabetes")</f>
        <v>Normal</v>
      </c>
    </row>
    <row r="623" spans="1:10">
      <c r="A623" t="s">
        <v>1244</v>
      </c>
      <c r="B623">
        <v>36.85</v>
      </c>
      <c r="C623">
        <v>6.7</v>
      </c>
      <c r="D623" t="s">
        <v>4682</v>
      </c>
      <c r="E623" t="s">
        <v>4682</v>
      </c>
      <c r="F623" t="s">
        <v>4682</v>
      </c>
      <c r="G623">
        <v>0</v>
      </c>
      <c r="H623" t="s">
        <v>4682</v>
      </c>
      <c r="I623" t="str" cm="1">
        <f t="array" ref="I623">_xlfn.IFS(B623&lt;18.5, "Underweight", B623&lt;=24.9, "Normal Weight", B623&lt;=29.9, "Overweight", TRUE, "Obesity")</f>
        <v>Obesity</v>
      </c>
      <c r="J623" t="str" cm="1">
        <f t="array" ref="J623">_xlfn.IFS(C623&lt;5.7, "Normal", C623&lt;=6.4, "Prediabetes", TRUE, "Diabetes")</f>
        <v>Diabetes</v>
      </c>
    </row>
    <row r="624" spans="1:10">
      <c r="A624" t="s">
        <v>1246</v>
      </c>
      <c r="B624">
        <v>29.3</v>
      </c>
      <c r="C624">
        <v>5.5</v>
      </c>
      <c r="D624" t="s">
        <v>4682</v>
      </c>
      <c r="E624" t="s">
        <v>4682</v>
      </c>
      <c r="F624" t="s">
        <v>4682</v>
      </c>
      <c r="G624">
        <v>0</v>
      </c>
      <c r="H624" t="s">
        <v>4682</v>
      </c>
      <c r="I624" t="str" cm="1">
        <f t="array" ref="I624">_xlfn.IFS(B624&lt;18.5, "Underweight", B624&lt;=24.9, "Normal Weight", B624&lt;=29.9, "Overweight", TRUE, "Obesity")</f>
        <v>Overweight</v>
      </c>
      <c r="J624" t="str" cm="1">
        <f t="array" ref="J624">_xlfn.IFS(C624&lt;5.7, "Normal", C624&lt;=6.4, "Prediabetes", TRUE, "Diabetes")</f>
        <v>Normal</v>
      </c>
    </row>
    <row r="625" spans="1:10">
      <c r="A625" t="s">
        <v>1248</v>
      </c>
      <c r="B625">
        <v>19.3</v>
      </c>
      <c r="C625">
        <v>4.46</v>
      </c>
      <c r="D625" t="s">
        <v>4682</v>
      </c>
      <c r="E625" t="s">
        <v>4682</v>
      </c>
      <c r="F625" t="s">
        <v>4682</v>
      </c>
      <c r="G625">
        <v>1</v>
      </c>
      <c r="H625" t="s">
        <v>4683</v>
      </c>
      <c r="I625" t="str" cm="1">
        <f t="array" ref="I625">_xlfn.IFS(B625&lt;18.5, "Underweight", B625&lt;=24.9, "Normal Weight", B625&lt;=29.9, "Overweight", TRUE, "Obesity")</f>
        <v>Normal Weight</v>
      </c>
      <c r="J625" t="str" cm="1">
        <f t="array" ref="J625">_xlfn.IFS(C625&lt;5.7, "Normal", C625&lt;=6.4, "Prediabetes", TRUE, "Diabetes")</f>
        <v>Normal</v>
      </c>
    </row>
    <row r="626" spans="1:10">
      <c r="A626" t="s">
        <v>1250</v>
      </c>
      <c r="B626">
        <v>24.13</v>
      </c>
      <c r="C626">
        <v>5.29</v>
      </c>
      <c r="D626" t="s">
        <v>4683</v>
      </c>
      <c r="E626" t="s">
        <v>4682</v>
      </c>
      <c r="F626" t="s">
        <v>4684</v>
      </c>
      <c r="G626">
        <v>1</v>
      </c>
      <c r="H626" t="s">
        <v>4683</v>
      </c>
      <c r="I626" t="str" cm="1">
        <f t="array" ref="I626">_xlfn.IFS(B626&lt;18.5, "Underweight", B626&lt;=24.9, "Normal Weight", B626&lt;=29.9, "Overweight", TRUE, "Obesity")</f>
        <v>Normal Weight</v>
      </c>
      <c r="J626" t="str" cm="1">
        <f t="array" ref="J626">_xlfn.IFS(C626&lt;5.7, "Normal", C626&lt;=6.4, "Prediabetes", TRUE, "Diabetes")</f>
        <v>Normal</v>
      </c>
    </row>
    <row r="627" spans="1:10">
      <c r="A627" t="s">
        <v>1252</v>
      </c>
      <c r="B627">
        <v>46.7</v>
      </c>
      <c r="C627">
        <v>10.99</v>
      </c>
      <c r="D627" t="s">
        <v>4682</v>
      </c>
      <c r="E627" t="s">
        <v>4682</v>
      </c>
      <c r="F627" t="s">
        <v>4682</v>
      </c>
      <c r="G627">
        <v>0</v>
      </c>
      <c r="H627" t="s">
        <v>4682</v>
      </c>
      <c r="I627" t="str" cm="1">
        <f t="array" ref="I627">_xlfn.IFS(B627&lt;18.5, "Underweight", B627&lt;=24.9, "Normal Weight", B627&lt;=29.9, "Overweight", TRUE, "Obesity")</f>
        <v>Obesity</v>
      </c>
      <c r="J627" t="str" cm="1">
        <f t="array" ref="J627">_xlfn.IFS(C627&lt;5.7, "Normal", C627&lt;=6.4, "Prediabetes", TRUE, "Diabetes")</f>
        <v>Diabetes</v>
      </c>
    </row>
    <row r="628" spans="1:10">
      <c r="A628" t="s">
        <v>1254</v>
      </c>
      <c r="B628">
        <v>45.27</v>
      </c>
      <c r="C628">
        <v>5.2</v>
      </c>
      <c r="D628" t="s">
        <v>4683</v>
      </c>
      <c r="E628" t="s">
        <v>4682</v>
      </c>
      <c r="F628" t="s">
        <v>4682</v>
      </c>
      <c r="G628">
        <v>0</v>
      </c>
      <c r="H628" t="s">
        <v>4682</v>
      </c>
      <c r="I628" t="str" cm="1">
        <f t="array" ref="I628">_xlfn.IFS(B628&lt;18.5, "Underweight", B628&lt;=24.9, "Normal Weight", B628&lt;=29.9, "Overweight", TRUE, "Obesity")</f>
        <v>Obesity</v>
      </c>
      <c r="J628" t="str" cm="1">
        <f t="array" ref="J628">_xlfn.IFS(C628&lt;5.7, "Normal", C628&lt;=6.4, "Prediabetes", TRUE, "Diabetes")</f>
        <v>Normal</v>
      </c>
    </row>
    <row r="629" spans="1:10">
      <c r="A629" t="s">
        <v>1256</v>
      </c>
      <c r="B629">
        <v>44.29</v>
      </c>
      <c r="C629">
        <v>9.66</v>
      </c>
      <c r="D629" t="s">
        <v>4682</v>
      </c>
      <c r="E629" t="s">
        <v>4682</v>
      </c>
      <c r="F629" t="s">
        <v>4682</v>
      </c>
      <c r="G629">
        <v>2</v>
      </c>
      <c r="H629" t="s">
        <v>4682</v>
      </c>
      <c r="I629" t="str" cm="1">
        <f t="array" ref="I629">_xlfn.IFS(B629&lt;18.5, "Underweight", B629&lt;=24.9, "Normal Weight", B629&lt;=29.9, "Overweight", TRUE, "Obesity")</f>
        <v>Obesity</v>
      </c>
      <c r="J629" t="str" cm="1">
        <f t="array" ref="J629">_xlfn.IFS(C629&lt;5.7, "Normal", C629&lt;=6.4, "Prediabetes", TRUE, "Diabetes")</f>
        <v>Diabetes</v>
      </c>
    </row>
    <row r="630" spans="1:10">
      <c r="A630" t="s">
        <v>1258</v>
      </c>
      <c r="B630">
        <v>54.59</v>
      </c>
      <c r="C630">
        <v>4.22</v>
      </c>
      <c r="D630" t="s">
        <v>4683</v>
      </c>
      <c r="E630" t="s">
        <v>4682</v>
      </c>
      <c r="F630" t="s">
        <v>4682</v>
      </c>
      <c r="G630">
        <v>1</v>
      </c>
      <c r="H630" t="s">
        <v>4682</v>
      </c>
      <c r="I630" t="str" cm="1">
        <f t="array" ref="I630">_xlfn.IFS(B630&lt;18.5, "Underweight", B630&lt;=24.9, "Normal Weight", B630&lt;=29.9, "Overweight", TRUE, "Obesity")</f>
        <v>Obesity</v>
      </c>
      <c r="J630" t="str" cm="1">
        <f t="array" ref="J630">_xlfn.IFS(C630&lt;5.7, "Normal", C630&lt;=6.4, "Prediabetes", TRUE, "Diabetes")</f>
        <v>Normal</v>
      </c>
    </row>
    <row r="631" spans="1:10">
      <c r="A631" t="s">
        <v>1260</v>
      </c>
      <c r="B631">
        <v>32.965000000000003</v>
      </c>
      <c r="C631">
        <v>11.78</v>
      </c>
      <c r="D631" t="s">
        <v>4682</v>
      </c>
      <c r="E631" t="s">
        <v>4682</v>
      </c>
      <c r="F631" t="s">
        <v>4682</v>
      </c>
      <c r="G631">
        <v>0</v>
      </c>
      <c r="H631" t="s">
        <v>4682</v>
      </c>
      <c r="I631" t="str" cm="1">
        <f t="array" ref="I631">_xlfn.IFS(B631&lt;18.5, "Underweight", B631&lt;=24.9, "Normal Weight", B631&lt;=29.9, "Overweight", TRUE, "Obesity")</f>
        <v>Obesity</v>
      </c>
      <c r="J631" t="str" cm="1">
        <f t="array" ref="J631">_xlfn.IFS(C631&lt;5.7, "Normal", C631&lt;=6.4, "Prediabetes", TRUE, "Diabetes")</f>
        <v>Diabetes</v>
      </c>
    </row>
    <row r="632" spans="1:10">
      <c r="A632" t="s">
        <v>1262</v>
      </c>
      <c r="B632">
        <v>38.049999999999997</v>
      </c>
      <c r="C632">
        <v>9.6199999999999992</v>
      </c>
      <c r="D632" t="s">
        <v>4682</v>
      </c>
      <c r="E632" t="s">
        <v>4682</v>
      </c>
      <c r="F632" t="s">
        <v>4682</v>
      </c>
      <c r="G632">
        <v>0</v>
      </c>
      <c r="H632" t="s">
        <v>4682</v>
      </c>
      <c r="I632" t="str" cm="1">
        <f t="array" ref="I632">_xlfn.IFS(B632&lt;18.5, "Underweight", B632&lt;=24.9, "Normal Weight", B632&lt;=29.9, "Overweight", TRUE, "Obesity")</f>
        <v>Obesity</v>
      </c>
      <c r="J632" t="str" cm="1">
        <f t="array" ref="J632">_xlfn.IFS(C632&lt;5.7, "Normal", C632&lt;=6.4, "Prediabetes", TRUE, "Diabetes")</f>
        <v>Diabetes</v>
      </c>
    </row>
    <row r="633" spans="1:10">
      <c r="A633" t="s">
        <v>1264</v>
      </c>
      <c r="B633">
        <v>46.14</v>
      </c>
      <c r="C633">
        <v>10.78</v>
      </c>
      <c r="D633" t="s">
        <v>4682</v>
      </c>
      <c r="E633" t="s">
        <v>4682</v>
      </c>
      <c r="F633" t="s">
        <v>4682</v>
      </c>
      <c r="G633">
        <v>0</v>
      </c>
      <c r="H633" t="s">
        <v>4682</v>
      </c>
      <c r="I633" t="str" cm="1">
        <f t="array" ref="I633">_xlfn.IFS(B633&lt;18.5, "Underweight", B633&lt;=24.9, "Normal Weight", B633&lt;=29.9, "Overweight", TRUE, "Obesity")</f>
        <v>Obesity</v>
      </c>
      <c r="J633" t="str" cm="1">
        <f t="array" ref="J633">_xlfn.IFS(C633&lt;5.7, "Normal", C633&lt;=6.4, "Prediabetes", TRUE, "Diabetes")</f>
        <v>Diabetes</v>
      </c>
    </row>
    <row r="634" spans="1:10">
      <c r="A634" t="s">
        <v>1266</v>
      </c>
      <c r="B634">
        <v>41.325000000000003</v>
      </c>
      <c r="C634">
        <v>5.1100000000000003</v>
      </c>
      <c r="D634" t="s">
        <v>4683</v>
      </c>
      <c r="E634" t="s">
        <v>4682</v>
      </c>
      <c r="F634" t="s">
        <v>4682</v>
      </c>
      <c r="G634">
        <v>2</v>
      </c>
      <c r="H634" t="s">
        <v>4682</v>
      </c>
      <c r="I634" t="str" cm="1">
        <f t="array" ref="I634">_xlfn.IFS(B634&lt;18.5, "Underweight", B634&lt;=24.9, "Normal Weight", B634&lt;=29.9, "Overweight", TRUE, "Obesity")</f>
        <v>Obesity</v>
      </c>
      <c r="J634" t="str" cm="1">
        <f t="array" ref="J634">_xlfn.IFS(C634&lt;5.7, "Normal", C634&lt;=6.4, "Prediabetes", TRUE, "Diabetes")</f>
        <v>Normal</v>
      </c>
    </row>
    <row r="635" spans="1:10">
      <c r="A635" t="s">
        <v>1268</v>
      </c>
      <c r="B635">
        <v>44.64</v>
      </c>
      <c r="C635">
        <v>7.18</v>
      </c>
      <c r="D635" t="s">
        <v>4682</v>
      </c>
      <c r="E635" t="s">
        <v>4682</v>
      </c>
      <c r="F635" t="s">
        <v>4682</v>
      </c>
      <c r="G635">
        <v>0</v>
      </c>
      <c r="H635" t="s">
        <v>4682</v>
      </c>
      <c r="I635" t="str" cm="1">
        <f t="array" ref="I635">_xlfn.IFS(B635&lt;18.5, "Underweight", B635&lt;=24.9, "Normal Weight", B635&lt;=29.9, "Overweight", TRUE, "Obesity")</f>
        <v>Obesity</v>
      </c>
      <c r="J635" t="str" cm="1">
        <f t="array" ref="J635">_xlfn.IFS(C635&lt;5.7, "Normal", C635&lt;=6.4, "Prediabetes", TRUE, "Diabetes")</f>
        <v>Diabetes</v>
      </c>
    </row>
    <row r="636" spans="1:10">
      <c r="A636" t="s">
        <v>1270</v>
      </c>
      <c r="B636">
        <v>25.175000000000001</v>
      </c>
      <c r="C636">
        <v>4.96</v>
      </c>
      <c r="D636" t="s">
        <v>4682</v>
      </c>
      <c r="E636" t="s">
        <v>4683</v>
      </c>
      <c r="F636" t="s">
        <v>4682</v>
      </c>
      <c r="G636">
        <v>1</v>
      </c>
      <c r="H636" t="s">
        <v>4685</v>
      </c>
      <c r="I636" t="str" cm="1">
        <f t="array" ref="I636">_xlfn.IFS(B636&lt;18.5, "Underweight", B636&lt;=24.9, "Normal Weight", B636&lt;=29.9, "Overweight", TRUE, "Obesity")</f>
        <v>Overweight</v>
      </c>
      <c r="J636" t="str" cm="1">
        <f t="array" ref="J636">_xlfn.IFS(C636&lt;5.7, "Normal", C636&lt;=6.4, "Prediabetes", TRUE, "Diabetes")</f>
        <v>Normal</v>
      </c>
    </row>
    <row r="637" spans="1:10">
      <c r="A637" t="s">
        <v>1272</v>
      </c>
      <c r="B637">
        <v>43.11</v>
      </c>
      <c r="C637">
        <v>4.67</v>
      </c>
      <c r="D637" t="s">
        <v>4683</v>
      </c>
      <c r="E637" t="s">
        <v>4682</v>
      </c>
      <c r="F637" t="s">
        <v>4682</v>
      </c>
      <c r="G637">
        <v>0</v>
      </c>
      <c r="H637" t="s">
        <v>4682</v>
      </c>
      <c r="I637" t="str" cm="1">
        <f t="array" ref="I637">_xlfn.IFS(B637&lt;18.5, "Underweight", B637&lt;=24.9, "Normal Weight", B637&lt;=29.9, "Overweight", TRUE, "Obesity")</f>
        <v>Obesity</v>
      </c>
      <c r="J637" t="str" cm="1">
        <f t="array" ref="J637">_xlfn.IFS(C637&lt;5.7, "Normal", C637&lt;=6.4, "Prediabetes", TRUE, "Diabetes")</f>
        <v>Normal</v>
      </c>
    </row>
    <row r="638" spans="1:10">
      <c r="A638" t="s">
        <v>1274</v>
      </c>
      <c r="B638">
        <v>53.32</v>
      </c>
      <c r="C638">
        <v>5.0599999999999996</v>
      </c>
      <c r="D638" t="s">
        <v>4682</v>
      </c>
      <c r="E638" t="s">
        <v>4682</v>
      </c>
      <c r="F638" t="s">
        <v>4682</v>
      </c>
      <c r="G638">
        <v>0</v>
      </c>
      <c r="H638" t="s">
        <v>4682</v>
      </c>
      <c r="I638" t="str" cm="1">
        <f t="array" ref="I638">_xlfn.IFS(B638&lt;18.5, "Underweight", B638&lt;=24.9, "Normal Weight", B638&lt;=29.9, "Overweight", TRUE, "Obesity")</f>
        <v>Obesity</v>
      </c>
      <c r="J638" t="str" cm="1">
        <f t="array" ref="J638">_xlfn.IFS(C638&lt;5.7, "Normal", C638&lt;=6.4, "Prediabetes", TRUE, "Diabetes")</f>
        <v>Normal</v>
      </c>
    </row>
    <row r="639" spans="1:10">
      <c r="A639" t="s">
        <v>1276</v>
      </c>
      <c r="B639">
        <v>38.04</v>
      </c>
      <c r="C639">
        <v>5.0199999999999996</v>
      </c>
      <c r="D639" t="s">
        <v>4683</v>
      </c>
      <c r="E639" t="s">
        <v>4682</v>
      </c>
      <c r="F639" t="s">
        <v>4682</v>
      </c>
      <c r="G639">
        <v>1</v>
      </c>
      <c r="H639" t="s">
        <v>4682</v>
      </c>
      <c r="I639" t="str" cm="1">
        <f t="array" ref="I639">_xlfn.IFS(B639&lt;18.5, "Underweight", B639&lt;=24.9, "Normal Weight", B639&lt;=29.9, "Overweight", TRUE, "Obesity")</f>
        <v>Obesity</v>
      </c>
      <c r="J639" t="str" cm="1">
        <f t="array" ref="J639">_xlfn.IFS(C639&lt;5.7, "Normal", C639&lt;=6.4, "Prediabetes", TRUE, "Diabetes")</f>
        <v>Normal</v>
      </c>
    </row>
    <row r="640" spans="1:10">
      <c r="A640" t="s">
        <v>1278</v>
      </c>
      <c r="B640">
        <v>37.9</v>
      </c>
      <c r="C640">
        <v>7.76</v>
      </c>
      <c r="D640" t="s">
        <v>4682</v>
      </c>
      <c r="E640" t="s">
        <v>4682</v>
      </c>
      <c r="F640" t="s">
        <v>4682</v>
      </c>
      <c r="G640">
        <v>0</v>
      </c>
      <c r="H640" t="s">
        <v>4682</v>
      </c>
      <c r="I640" t="str" cm="1">
        <f t="array" ref="I640">_xlfn.IFS(B640&lt;18.5, "Underweight", B640&lt;=24.9, "Normal Weight", B640&lt;=29.9, "Overweight", TRUE, "Obesity")</f>
        <v>Obesity</v>
      </c>
      <c r="J640" t="str" cm="1">
        <f t="array" ref="J640">_xlfn.IFS(C640&lt;5.7, "Normal", C640&lt;=6.4, "Prediabetes", TRUE, "Diabetes")</f>
        <v>Diabetes</v>
      </c>
    </row>
    <row r="641" spans="1:10">
      <c r="A641" t="s">
        <v>1280</v>
      </c>
      <c r="B641">
        <v>39.6</v>
      </c>
      <c r="C641">
        <v>9.32</v>
      </c>
      <c r="D641" t="s">
        <v>4682</v>
      </c>
      <c r="E641" t="s">
        <v>4682</v>
      </c>
      <c r="F641" t="s">
        <v>4682</v>
      </c>
      <c r="G641">
        <v>0</v>
      </c>
      <c r="H641" t="s">
        <v>4682</v>
      </c>
      <c r="I641" t="str" cm="1">
        <f t="array" ref="I641">_xlfn.IFS(B641&lt;18.5, "Underweight", B641&lt;=24.9, "Normal Weight", B641&lt;=29.9, "Overweight", TRUE, "Obesity")</f>
        <v>Obesity</v>
      </c>
      <c r="J641" t="str" cm="1">
        <f t="array" ref="J641">_xlfn.IFS(C641&lt;5.7, "Normal", C641&lt;=6.4, "Prediabetes", TRUE, "Diabetes")</f>
        <v>Diabetes</v>
      </c>
    </row>
    <row r="642" spans="1:10">
      <c r="A642" t="s">
        <v>1282</v>
      </c>
      <c r="B642">
        <v>50.92</v>
      </c>
      <c r="C642">
        <v>5.31</v>
      </c>
      <c r="D642" t="s">
        <v>4683</v>
      </c>
      <c r="E642" t="s">
        <v>4682</v>
      </c>
      <c r="F642" t="s">
        <v>4682</v>
      </c>
      <c r="G642">
        <v>1</v>
      </c>
      <c r="H642" t="s">
        <v>4682</v>
      </c>
      <c r="I642" t="str" cm="1">
        <f t="array" ref="I642">_xlfn.IFS(B642&lt;18.5, "Underweight", B642&lt;=24.9, "Normal Weight", B642&lt;=29.9, "Overweight", TRUE, "Obesity")</f>
        <v>Obesity</v>
      </c>
      <c r="J642" t="str" cm="1">
        <f t="array" ref="J642">_xlfn.IFS(C642&lt;5.7, "Normal", C642&lt;=6.4, "Prediabetes", TRUE, "Diabetes")</f>
        <v>Normal</v>
      </c>
    </row>
    <row r="643" spans="1:10">
      <c r="A643" t="s">
        <v>1284</v>
      </c>
      <c r="B643">
        <v>21.85</v>
      </c>
      <c r="C643">
        <v>5.56</v>
      </c>
      <c r="D643" t="s">
        <v>4683</v>
      </c>
      <c r="E643" t="s">
        <v>4682</v>
      </c>
      <c r="F643" t="s">
        <v>4682</v>
      </c>
      <c r="G643">
        <v>0</v>
      </c>
      <c r="H643" t="s">
        <v>4683</v>
      </c>
      <c r="I643" t="str" cm="1">
        <f t="array" ref="I643">_xlfn.IFS(B643&lt;18.5, "Underweight", B643&lt;=24.9, "Normal Weight", B643&lt;=29.9, "Overweight", TRUE, "Obesity")</f>
        <v>Normal Weight</v>
      </c>
      <c r="J643" t="str" cm="1">
        <f t="array" ref="J643">_xlfn.IFS(C643&lt;5.7, "Normal", C643&lt;=6.4, "Prediabetes", TRUE, "Diabetes")</f>
        <v>Normal</v>
      </c>
    </row>
    <row r="644" spans="1:10">
      <c r="A644" t="s">
        <v>1286</v>
      </c>
      <c r="B644">
        <v>36.08</v>
      </c>
      <c r="C644">
        <v>7.11</v>
      </c>
      <c r="D644" t="s">
        <v>4683</v>
      </c>
      <c r="E644" t="s">
        <v>4682</v>
      </c>
      <c r="F644" t="s">
        <v>4684</v>
      </c>
      <c r="G644">
        <v>1</v>
      </c>
      <c r="H644" t="s">
        <v>4682</v>
      </c>
      <c r="I644" t="str" cm="1">
        <f t="array" ref="I644">_xlfn.IFS(B644&lt;18.5, "Underweight", B644&lt;=24.9, "Normal Weight", B644&lt;=29.9, "Overweight", TRUE, "Obesity")</f>
        <v>Obesity</v>
      </c>
      <c r="J644" t="str" cm="1">
        <f t="array" ref="J644">_xlfn.IFS(C644&lt;5.7, "Normal", C644&lt;=6.4, "Prediabetes", TRUE, "Diabetes")</f>
        <v>Diabetes</v>
      </c>
    </row>
    <row r="645" spans="1:10">
      <c r="A645" t="s">
        <v>1288</v>
      </c>
      <c r="B645">
        <v>40.44</v>
      </c>
      <c r="C645">
        <v>5.13</v>
      </c>
      <c r="D645" t="s">
        <v>4683</v>
      </c>
      <c r="E645" t="s">
        <v>4682</v>
      </c>
      <c r="F645" t="s">
        <v>4684</v>
      </c>
      <c r="G645">
        <v>1</v>
      </c>
      <c r="H645" t="s">
        <v>4682</v>
      </c>
      <c r="I645" t="str" cm="1">
        <f t="array" ref="I645">_xlfn.IFS(B645&lt;18.5, "Underweight", B645&lt;=24.9, "Normal Weight", B645&lt;=29.9, "Overweight", TRUE, "Obesity")</f>
        <v>Obesity</v>
      </c>
      <c r="J645" t="str" cm="1">
        <f t="array" ref="J645">_xlfn.IFS(C645&lt;5.7, "Normal", C645&lt;=6.4, "Prediabetes", TRUE, "Diabetes")</f>
        <v>Normal</v>
      </c>
    </row>
    <row r="646" spans="1:10">
      <c r="A646" t="s">
        <v>1290</v>
      </c>
      <c r="B646">
        <v>38.094999999999999</v>
      </c>
      <c r="C646">
        <v>10.199999999999999</v>
      </c>
      <c r="D646" t="s">
        <v>4682</v>
      </c>
      <c r="E646" t="s">
        <v>4682</v>
      </c>
      <c r="F646" t="s">
        <v>4682</v>
      </c>
      <c r="G646">
        <v>0</v>
      </c>
      <c r="H646" t="s">
        <v>4682</v>
      </c>
      <c r="I646" t="str" cm="1">
        <f t="array" ref="I646">_xlfn.IFS(B646&lt;18.5, "Underweight", B646&lt;=24.9, "Normal Weight", B646&lt;=29.9, "Overweight", TRUE, "Obesity")</f>
        <v>Obesity</v>
      </c>
      <c r="J646" t="str" cm="1">
        <f t="array" ref="J646">_xlfn.IFS(C646&lt;5.7, "Normal", C646&lt;=6.4, "Prediabetes", TRUE, "Diabetes")</f>
        <v>Diabetes</v>
      </c>
    </row>
    <row r="647" spans="1:10">
      <c r="A647" t="s">
        <v>1292</v>
      </c>
      <c r="B647">
        <v>44.95</v>
      </c>
      <c r="C647">
        <v>10.4</v>
      </c>
      <c r="D647" t="s">
        <v>4682</v>
      </c>
      <c r="E647" t="s">
        <v>4682</v>
      </c>
      <c r="F647" t="s">
        <v>4682</v>
      </c>
      <c r="G647">
        <v>0</v>
      </c>
      <c r="H647" t="s">
        <v>4682</v>
      </c>
      <c r="I647" t="str" cm="1">
        <f t="array" ref="I647">_xlfn.IFS(B647&lt;18.5, "Underweight", B647&lt;=24.9, "Normal Weight", B647&lt;=29.9, "Overweight", TRUE, "Obesity")</f>
        <v>Obesity</v>
      </c>
      <c r="J647" t="str" cm="1">
        <f t="array" ref="J647">_xlfn.IFS(C647&lt;5.7, "Normal", C647&lt;=6.4, "Prediabetes", TRUE, "Diabetes")</f>
        <v>Diabetes</v>
      </c>
    </row>
    <row r="648" spans="1:10">
      <c r="A648" t="s">
        <v>1294</v>
      </c>
      <c r="B648">
        <v>35.54</v>
      </c>
      <c r="C648">
        <v>10.67</v>
      </c>
      <c r="D648" t="s">
        <v>4682</v>
      </c>
      <c r="E648" t="s">
        <v>4682</v>
      </c>
      <c r="F648" t="s">
        <v>4682</v>
      </c>
      <c r="G648">
        <v>0</v>
      </c>
      <c r="H648" t="s">
        <v>4682</v>
      </c>
      <c r="I648" t="str" cm="1">
        <f t="array" ref="I648">_xlfn.IFS(B648&lt;18.5, "Underweight", B648&lt;=24.9, "Normal Weight", B648&lt;=29.9, "Overweight", TRUE, "Obesity")</f>
        <v>Obesity</v>
      </c>
      <c r="J648" t="str" cm="1">
        <f t="array" ref="J648">_xlfn.IFS(C648&lt;5.7, "Normal", C648&lt;=6.4, "Prediabetes", TRUE, "Diabetes")</f>
        <v>Diabetes</v>
      </c>
    </row>
    <row r="649" spans="1:10">
      <c r="A649" t="s">
        <v>1296</v>
      </c>
      <c r="B649">
        <v>39.799999999999997</v>
      </c>
      <c r="C649">
        <v>4.6500000000000004</v>
      </c>
      <c r="D649" t="s">
        <v>4683</v>
      </c>
      <c r="E649" t="s">
        <v>4682</v>
      </c>
      <c r="F649" t="s">
        <v>4682</v>
      </c>
      <c r="G649">
        <v>2</v>
      </c>
      <c r="H649" t="s">
        <v>4682</v>
      </c>
      <c r="I649" t="str" cm="1">
        <f t="array" ref="I649">_xlfn.IFS(B649&lt;18.5, "Underweight", B649&lt;=24.9, "Normal Weight", B649&lt;=29.9, "Overweight", TRUE, "Obesity")</f>
        <v>Obesity</v>
      </c>
      <c r="J649" t="str" cm="1">
        <f t="array" ref="J649">_xlfn.IFS(C649&lt;5.7, "Normal", C649&lt;=6.4, "Prediabetes", TRUE, "Diabetes")</f>
        <v>Normal</v>
      </c>
    </row>
    <row r="650" spans="1:10">
      <c r="A650" t="s">
        <v>1298</v>
      </c>
      <c r="B650">
        <v>33.659999999999997</v>
      </c>
      <c r="C650">
        <v>5.65</v>
      </c>
      <c r="D650" t="s">
        <v>4683</v>
      </c>
      <c r="E650" t="s">
        <v>4682</v>
      </c>
      <c r="F650" t="s">
        <v>4682</v>
      </c>
      <c r="G650">
        <v>2</v>
      </c>
      <c r="H650" t="s">
        <v>4682</v>
      </c>
      <c r="I650" t="str" cm="1">
        <f t="array" ref="I650">_xlfn.IFS(B650&lt;18.5, "Underweight", B650&lt;=24.9, "Normal Weight", B650&lt;=29.9, "Overweight", TRUE, "Obesity")</f>
        <v>Obesity</v>
      </c>
      <c r="J650" t="str" cm="1">
        <f t="array" ref="J650">_xlfn.IFS(C650&lt;5.7, "Normal", C650&lt;=6.4, "Prediabetes", TRUE, "Diabetes")</f>
        <v>Normal</v>
      </c>
    </row>
    <row r="651" spans="1:10">
      <c r="A651" t="s">
        <v>1300</v>
      </c>
      <c r="B651">
        <v>35.5</v>
      </c>
      <c r="C651">
        <v>11.97</v>
      </c>
      <c r="D651" t="s">
        <v>4682</v>
      </c>
      <c r="E651" t="s">
        <v>4682</v>
      </c>
      <c r="F651" t="s">
        <v>4682</v>
      </c>
      <c r="G651">
        <v>0</v>
      </c>
      <c r="H651" t="s">
        <v>4682</v>
      </c>
      <c r="I651" t="str" cm="1">
        <f t="array" ref="I651">_xlfn.IFS(B651&lt;18.5, "Underweight", B651&lt;=24.9, "Normal Weight", B651&lt;=29.9, "Overweight", TRUE, "Obesity")</f>
        <v>Obesity</v>
      </c>
      <c r="J651" t="str" cm="1">
        <f t="array" ref="J651">_xlfn.IFS(C651&lt;5.7, "Normal", C651&lt;=6.4, "Prediabetes", TRUE, "Diabetes")</f>
        <v>Diabetes</v>
      </c>
    </row>
    <row r="652" spans="1:10">
      <c r="A652" t="s">
        <v>1302</v>
      </c>
      <c r="B652">
        <v>41.63</v>
      </c>
      <c r="C652">
        <v>6.71</v>
      </c>
      <c r="D652" t="s">
        <v>4682</v>
      </c>
      <c r="E652" t="s">
        <v>4682</v>
      </c>
      <c r="F652" t="s">
        <v>4682</v>
      </c>
      <c r="G652">
        <v>0</v>
      </c>
      <c r="H652" t="s">
        <v>4682</v>
      </c>
      <c r="I652" t="str" cm="1">
        <f t="array" ref="I652">_xlfn.IFS(B652&lt;18.5, "Underweight", B652&lt;=24.9, "Normal Weight", B652&lt;=29.9, "Overweight", TRUE, "Obesity")</f>
        <v>Obesity</v>
      </c>
      <c r="J652" t="str" cm="1">
        <f t="array" ref="J652">_xlfn.IFS(C652&lt;5.7, "Normal", C652&lt;=6.4, "Prediabetes", TRUE, "Diabetes")</f>
        <v>Diabetes</v>
      </c>
    </row>
    <row r="653" spans="1:10">
      <c r="A653" t="s">
        <v>1304</v>
      </c>
      <c r="B653">
        <v>46.49</v>
      </c>
      <c r="C653">
        <v>11.92</v>
      </c>
      <c r="D653" t="s">
        <v>4682</v>
      </c>
      <c r="E653" t="s">
        <v>4682</v>
      </c>
      <c r="F653" t="s">
        <v>4682</v>
      </c>
      <c r="G653">
        <v>0</v>
      </c>
      <c r="H653" t="s">
        <v>4682</v>
      </c>
      <c r="I653" t="str" cm="1">
        <f t="array" ref="I653">_xlfn.IFS(B653&lt;18.5, "Underweight", B653&lt;=24.9, "Normal Weight", B653&lt;=29.9, "Overweight", TRUE, "Obesity")</f>
        <v>Obesity</v>
      </c>
      <c r="J653" t="str" cm="1">
        <f t="array" ref="J653">_xlfn.IFS(C653&lt;5.7, "Normal", C653&lt;=6.4, "Prediabetes", TRUE, "Diabetes")</f>
        <v>Diabetes</v>
      </c>
    </row>
    <row r="654" spans="1:10">
      <c r="A654" t="s">
        <v>1306</v>
      </c>
      <c r="B654">
        <v>43.29</v>
      </c>
      <c r="C654">
        <v>5.35</v>
      </c>
      <c r="D654" t="s">
        <v>4682</v>
      </c>
      <c r="E654" t="s">
        <v>4682</v>
      </c>
      <c r="F654" t="s">
        <v>4682</v>
      </c>
      <c r="G654">
        <v>2</v>
      </c>
      <c r="H654" t="s">
        <v>4682</v>
      </c>
      <c r="I654" t="str" cm="1">
        <f t="array" ref="I654">_xlfn.IFS(B654&lt;18.5, "Underweight", B654&lt;=24.9, "Normal Weight", B654&lt;=29.9, "Overweight", TRUE, "Obesity")</f>
        <v>Obesity</v>
      </c>
      <c r="J654" t="str" cm="1">
        <f t="array" ref="J654">_xlfn.IFS(C654&lt;5.7, "Normal", C654&lt;=6.4, "Prediabetes", TRUE, "Diabetes")</f>
        <v>Normal</v>
      </c>
    </row>
    <row r="655" spans="1:10">
      <c r="A655" t="s">
        <v>1308</v>
      </c>
      <c r="B655">
        <v>43.08</v>
      </c>
      <c r="C655">
        <v>8.9600000000000009</v>
      </c>
      <c r="D655" t="s">
        <v>4683</v>
      </c>
      <c r="E655" t="s">
        <v>4682</v>
      </c>
      <c r="F655" t="s">
        <v>4682</v>
      </c>
      <c r="G655">
        <v>1</v>
      </c>
      <c r="H655" t="s">
        <v>4682</v>
      </c>
      <c r="I655" t="str" cm="1">
        <f t="array" ref="I655">_xlfn.IFS(B655&lt;18.5, "Underweight", B655&lt;=24.9, "Normal Weight", B655&lt;=29.9, "Overweight", TRUE, "Obesity")</f>
        <v>Obesity</v>
      </c>
      <c r="J655" t="str" cm="1">
        <f t="array" ref="J655">_xlfn.IFS(C655&lt;5.7, "Normal", C655&lt;=6.4, "Prediabetes", TRUE, "Diabetes")</f>
        <v>Diabetes</v>
      </c>
    </row>
    <row r="656" spans="1:10">
      <c r="A656" t="s">
        <v>1310</v>
      </c>
      <c r="B656">
        <v>39.07</v>
      </c>
      <c r="C656">
        <v>11.93</v>
      </c>
      <c r="D656" t="s">
        <v>4682</v>
      </c>
      <c r="E656" t="s">
        <v>4682</v>
      </c>
      <c r="F656" t="s">
        <v>4682</v>
      </c>
      <c r="G656">
        <v>0</v>
      </c>
      <c r="H656" t="s">
        <v>4682</v>
      </c>
      <c r="I656" t="str" cm="1">
        <f t="array" ref="I656">_xlfn.IFS(B656&lt;18.5, "Underweight", B656&lt;=24.9, "Normal Weight", B656&lt;=29.9, "Overweight", TRUE, "Obesity")</f>
        <v>Obesity</v>
      </c>
      <c r="J656" t="str" cm="1">
        <f t="array" ref="J656">_xlfn.IFS(C656&lt;5.7, "Normal", C656&lt;=6.4, "Prediabetes", TRUE, "Diabetes")</f>
        <v>Diabetes</v>
      </c>
    </row>
    <row r="657" spans="1:10">
      <c r="A657" t="s">
        <v>1312</v>
      </c>
      <c r="B657">
        <v>41.3</v>
      </c>
      <c r="C657">
        <v>9.59</v>
      </c>
      <c r="D657" t="s">
        <v>4682</v>
      </c>
      <c r="E657" t="s">
        <v>4682</v>
      </c>
      <c r="F657" t="s">
        <v>4682</v>
      </c>
      <c r="G657">
        <v>0</v>
      </c>
      <c r="H657" t="s">
        <v>4682</v>
      </c>
      <c r="I657" t="str" cm="1">
        <f t="array" ref="I657">_xlfn.IFS(B657&lt;18.5, "Underweight", B657&lt;=24.9, "Normal Weight", B657&lt;=29.9, "Overweight", TRUE, "Obesity")</f>
        <v>Obesity</v>
      </c>
      <c r="J657" t="str" cm="1">
        <f t="array" ref="J657">_xlfn.IFS(C657&lt;5.7, "Normal", C657&lt;=6.4, "Prediabetes", TRUE, "Diabetes")</f>
        <v>Diabetes</v>
      </c>
    </row>
    <row r="658" spans="1:10">
      <c r="A658" t="s">
        <v>1314</v>
      </c>
      <c r="B658">
        <v>42.95</v>
      </c>
      <c r="C658">
        <v>11.88</v>
      </c>
      <c r="D658" t="s">
        <v>4683</v>
      </c>
      <c r="E658" t="s">
        <v>4682</v>
      </c>
      <c r="F658" t="s">
        <v>4682</v>
      </c>
      <c r="G658">
        <v>2</v>
      </c>
      <c r="H658" t="s">
        <v>4682</v>
      </c>
      <c r="I658" t="str" cm="1">
        <f t="array" ref="I658">_xlfn.IFS(B658&lt;18.5, "Underweight", B658&lt;=24.9, "Normal Weight", B658&lt;=29.9, "Overweight", TRUE, "Obesity")</f>
        <v>Obesity</v>
      </c>
      <c r="J658" t="str" cm="1">
        <f t="array" ref="J658">_xlfn.IFS(C658&lt;5.7, "Normal", C658&lt;=6.4, "Prediabetes", TRUE, "Diabetes")</f>
        <v>Diabetes</v>
      </c>
    </row>
    <row r="659" spans="1:10">
      <c r="A659" t="s">
        <v>1316</v>
      </c>
      <c r="B659">
        <v>46.96</v>
      </c>
      <c r="C659">
        <v>4.6399999999999997</v>
      </c>
      <c r="D659" t="s">
        <v>4682</v>
      </c>
      <c r="E659" t="s">
        <v>4682</v>
      </c>
      <c r="F659" t="s">
        <v>4684</v>
      </c>
      <c r="G659">
        <v>1</v>
      </c>
      <c r="H659" t="s">
        <v>4682</v>
      </c>
      <c r="I659" t="str" cm="1">
        <f t="array" ref="I659">_xlfn.IFS(B659&lt;18.5, "Underweight", B659&lt;=24.9, "Normal Weight", B659&lt;=29.9, "Overweight", TRUE, "Obesity")</f>
        <v>Obesity</v>
      </c>
      <c r="J659" t="str" cm="1">
        <f t="array" ref="J659">_xlfn.IFS(C659&lt;5.7, "Normal", C659&lt;=6.4, "Prediabetes", TRUE, "Diabetes")</f>
        <v>Normal</v>
      </c>
    </row>
    <row r="660" spans="1:10">
      <c r="A660" t="s">
        <v>1318</v>
      </c>
      <c r="B660">
        <v>30.495000000000001</v>
      </c>
      <c r="C660">
        <v>9.5299999999999994</v>
      </c>
      <c r="D660" t="s">
        <v>4682</v>
      </c>
      <c r="E660" t="s">
        <v>4682</v>
      </c>
      <c r="F660" t="s">
        <v>4682</v>
      </c>
      <c r="G660">
        <v>0</v>
      </c>
      <c r="H660" t="s">
        <v>4682</v>
      </c>
      <c r="I660" t="str" cm="1">
        <f t="array" ref="I660">_xlfn.IFS(B660&lt;18.5, "Underweight", B660&lt;=24.9, "Normal Weight", B660&lt;=29.9, "Overweight", TRUE, "Obesity")</f>
        <v>Obesity</v>
      </c>
      <c r="J660" t="str" cm="1">
        <f t="array" ref="J660">_xlfn.IFS(C660&lt;5.7, "Normal", C660&lt;=6.4, "Prediabetes", TRUE, "Diabetes")</f>
        <v>Diabetes</v>
      </c>
    </row>
    <row r="661" spans="1:10">
      <c r="A661" t="s">
        <v>1320</v>
      </c>
      <c r="B661">
        <v>17.954999999999998</v>
      </c>
      <c r="C661">
        <v>5.29</v>
      </c>
      <c r="D661" t="s">
        <v>4683</v>
      </c>
      <c r="E661" t="s">
        <v>4682</v>
      </c>
      <c r="F661" t="s">
        <v>4682</v>
      </c>
      <c r="G661">
        <v>1</v>
      </c>
      <c r="H661" t="s">
        <v>4683</v>
      </c>
      <c r="I661" t="str" cm="1">
        <f t="array" ref="I661">_xlfn.IFS(B661&lt;18.5, "Underweight", B661&lt;=24.9, "Normal Weight", B661&lt;=29.9, "Overweight", TRUE, "Obesity")</f>
        <v>Underweight</v>
      </c>
      <c r="J661" t="str" cm="1">
        <f t="array" ref="J661">_xlfn.IFS(C661&lt;5.7, "Normal", C661&lt;=6.4, "Prediabetes", TRUE, "Diabetes")</f>
        <v>Normal</v>
      </c>
    </row>
    <row r="662" spans="1:10">
      <c r="A662" t="s">
        <v>1322</v>
      </c>
      <c r="B662">
        <v>25.6</v>
      </c>
      <c r="C662">
        <v>10.95</v>
      </c>
      <c r="D662" t="s">
        <v>4682</v>
      </c>
      <c r="E662" t="s">
        <v>4682</v>
      </c>
      <c r="F662" t="s">
        <v>4682</v>
      </c>
      <c r="G662">
        <v>3</v>
      </c>
      <c r="H662" t="s">
        <v>4682</v>
      </c>
      <c r="I662" t="str" cm="1">
        <f t="array" ref="I662">_xlfn.IFS(B662&lt;18.5, "Underweight", B662&lt;=24.9, "Normal Weight", B662&lt;=29.9, "Overweight", TRUE, "Obesity")</f>
        <v>Overweight</v>
      </c>
      <c r="J662" t="str" cm="1">
        <f t="array" ref="J662">_xlfn.IFS(C662&lt;5.7, "Normal", C662&lt;=6.4, "Prediabetes", TRUE, "Diabetes")</f>
        <v>Diabetes</v>
      </c>
    </row>
    <row r="663" spans="1:10">
      <c r="A663" t="s">
        <v>1324</v>
      </c>
      <c r="B663">
        <v>34.21</v>
      </c>
      <c r="C663">
        <v>9.17</v>
      </c>
      <c r="D663" t="s">
        <v>4682</v>
      </c>
      <c r="E663" t="s">
        <v>4682</v>
      </c>
      <c r="F663" t="s">
        <v>4682</v>
      </c>
      <c r="G663">
        <v>0</v>
      </c>
      <c r="H663" t="s">
        <v>4682</v>
      </c>
      <c r="I663" t="str" cm="1">
        <f t="array" ref="I663">_xlfn.IFS(B663&lt;18.5, "Underweight", B663&lt;=24.9, "Normal Weight", B663&lt;=29.9, "Overweight", TRUE, "Obesity")</f>
        <v>Obesity</v>
      </c>
      <c r="J663" t="str" cm="1">
        <f t="array" ref="J663">_xlfn.IFS(C663&lt;5.7, "Normal", C663&lt;=6.4, "Prediabetes", TRUE, "Diabetes")</f>
        <v>Diabetes</v>
      </c>
    </row>
    <row r="664" spans="1:10">
      <c r="A664" t="s">
        <v>1326</v>
      </c>
      <c r="B664">
        <v>39.74</v>
      </c>
      <c r="C664">
        <v>7.39</v>
      </c>
      <c r="D664" t="s">
        <v>4682</v>
      </c>
      <c r="E664" t="s">
        <v>4682</v>
      </c>
      <c r="F664" t="s">
        <v>4682</v>
      </c>
      <c r="G664">
        <v>0</v>
      </c>
      <c r="H664" t="s">
        <v>4682</v>
      </c>
      <c r="I664" t="str" cm="1">
        <f t="array" ref="I664">_xlfn.IFS(B664&lt;18.5, "Underweight", B664&lt;=24.9, "Normal Weight", B664&lt;=29.9, "Overweight", TRUE, "Obesity")</f>
        <v>Obesity</v>
      </c>
      <c r="J664" t="str" cm="1">
        <f t="array" ref="J664">_xlfn.IFS(C664&lt;5.7, "Normal", C664&lt;=6.4, "Prediabetes", TRUE, "Diabetes")</f>
        <v>Diabetes</v>
      </c>
    </row>
    <row r="665" spans="1:10">
      <c r="A665" t="s">
        <v>1328</v>
      </c>
      <c r="B665">
        <v>49.53</v>
      </c>
      <c r="C665">
        <v>9.1300000000000008</v>
      </c>
      <c r="D665" t="s">
        <v>4683</v>
      </c>
      <c r="E665" t="s">
        <v>4682</v>
      </c>
      <c r="F665" t="s">
        <v>4682</v>
      </c>
      <c r="G665">
        <v>0</v>
      </c>
      <c r="H665" t="s">
        <v>4682</v>
      </c>
      <c r="I665" t="str" cm="1">
        <f t="array" ref="I665">_xlfn.IFS(B665&lt;18.5, "Underweight", B665&lt;=24.9, "Normal Weight", B665&lt;=29.9, "Overweight", TRUE, "Obesity")</f>
        <v>Obesity</v>
      </c>
      <c r="J665" t="str" cm="1">
        <f t="array" ref="J665">_xlfn.IFS(C665&lt;5.7, "Normal", C665&lt;=6.4, "Prediabetes", TRUE, "Diabetes")</f>
        <v>Diabetes</v>
      </c>
    </row>
    <row r="666" spans="1:10">
      <c r="A666" t="s">
        <v>1330</v>
      </c>
      <c r="B666">
        <v>39.33</v>
      </c>
      <c r="C666">
        <v>10.4</v>
      </c>
      <c r="D666" t="s">
        <v>4682</v>
      </c>
      <c r="E666" t="s">
        <v>4682</v>
      </c>
      <c r="F666" t="s">
        <v>4682</v>
      </c>
      <c r="G666">
        <v>3</v>
      </c>
      <c r="H666" t="s">
        <v>4682</v>
      </c>
      <c r="I666" t="str" cm="1">
        <f t="array" ref="I666">_xlfn.IFS(B666&lt;18.5, "Underweight", B666&lt;=24.9, "Normal Weight", B666&lt;=29.9, "Overweight", TRUE, "Obesity")</f>
        <v>Obesity</v>
      </c>
      <c r="J666" t="str" cm="1">
        <f t="array" ref="J666">_xlfn.IFS(C666&lt;5.7, "Normal", C666&lt;=6.4, "Prediabetes", TRUE, "Diabetes")</f>
        <v>Diabetes</v>
      </c>
    </row>
    <row r="667" spans="1:10">
      <c r="A667" t="s">
        <v>1332</v>
      </c>
      <c r="B667">
        <v>39.979999999999997</v>
      </c>
      <c r="C667">
        <v>9.4600000000000009</v>
      </c>
      <c r="D667" t="s">
        <v>4683</v>
      </c>
      <c r="E667" t="s">
        <v>4682</v>
      </c>
      <c r="F667" t="s">
        <v>4682</v>
      </c>
      <c r="G667">
        <v>2</v>
      </c>
      <c r="H667" t="s">
        <v>4682</v>
      </c>
      <c r="I667" t="str" cm="1">
        <f t="array" ref="I667">_xlfn.IFS(B667&lt;18.5, "Underweight", B667&lt;=24.9, "Normal Weight", B667&lt;=29.9, "Overweight", TRUE, "Obesity")</f>
        <v>Obesity</v>
      </c>
      <c r="J667" t="str" cm="1">
        <f t="array" ref="J667">_xlfn.IFS(C667&lt;5.7, "Normal", C667&lt;=6.4, "Prediabetes", TRUE, "Diabetes")</f>
        <v>Diabetes</v>
      </c>
    </row>
    <row r="668" spans="1:10">
      <c r="A668" t="s">
        <v>1334</v>
      </c>
      <c r="B668">
        <v>46.51</v>
      </c>
      <c r="C668">
        <v>8.69</v>
      </c>
      <c r="D668" t="s">
        <v>4683</v>
      </c>
      <c r="E668" t="s">
        <v>4682</v>
      </c>
      <c r="F668" t="s">
        <v>4682</v>
      </c>
      <c r="G668">
        <v>0</v>
      </c>
      <c r="H668" t="s">
        <v>4682</v>
      </c>
      <c r="I668" t="str" cm="1">
        <f t="array" ref="I668">_xlfn.IFS(B668&lt;18.5, "Underweight", B668&lt;=24.9, "Normal Weight", B668&lt;=29.9, "Overweight", TRUE, "Obesity")</f>
        <v>Obesity</v>
      </c>
      <c r="J668" t="str" cm="1">
        <f t="array" ref="J668">_xlfn.IFS(C668&lt;5.7, "Normal", C668&lt;=6.4, "Prediabetes", TRUE, "Diabetes")</f>
        <v>Diabetes</v>
      </c>
    </row>
    <row r="669" spans="1:10">
      <c r="A669" t="s">
        <v>1336</v>
      </c>
      <c r="B669">
        <v>43.58</v>
      </c>
      <c r="C669">
        <v>4.2300000000000004</v>
      </c>
      <c r="D669" t="s">
        <v>4682</v>
      </c>
      <c r="E669" t="s">
        <v>4682</v>
      </c>
      <c r="F669" t="s">
        <v>4684</v>
      </c>
      <c r="G669">
        <v>1</v>
      </c>
      <c r="H669" t="s">
        <v>4682</v>
      </c>
      <c r="I669" t="str" cm="1">
        <f t="array" ref="I669">_xlfn.IFS(B669&lt;18.5, "Underweight", B669&lt;=24.9, "Normal Weight", B669&lt;=29.9, "Overweight", TRUE, "Obesity")</f>
        <v>Obesity</v>
      </c>
      <c r="J669" t="str" cm="1">
        <f t="array" ref="J669">_xlfn.IFS(C669&lt;5.7, "Normal", C669&lt;=6.4, "Prediabetes", TRUE, "Diabetes")</f>
        <v>Normal</v>
      </c>
    </row>
    <row r="670" spans="1:10">
      <c r="A670" t="s">
        <v>1338</v>
      </c>
      <c r="B670">
        <v>42.28</v>
      </c>
      <c r="C670">
        <v>9.16</v>
      </c>
      <c r="D670" t="s">
        <v>4683</v>
      </c>
      <c r="E670" t="s">
        <v>4682</v>
      </c>
      <c r="F670" t="s">
        <v>4682</v>
      </c>
      <c r="G670">
        <v>1</v>
      </c>
      <c r="H670" t="s">
        <v>4682</v>
      </c>
      <c r="I670" t="str" cm="1">
        <f t="array" ref="I670">_xlfn.IFS(B670&lt;18.5, "Underweight", B670&lt;=24.9, "Normal Weight", B670&lt;=29.9, "Overweight", TRUE, "Obesity")</f>
        <v>Obesity</v>
      </c>
      <c r="J670" t="str" cm="1">
        <f t="array" ref="J670">_xlfn.IFS(C670&lt;5.7, "Normal", C670&lt;=6.4, "Prediabetes", TRUE, "Diabetes")</f>
        <v>Diabetes</v>
      </c>
    </row>
    <row r="671" spans="1:10">
      <c r="A671" t="s">
        <v>1340</v>
      </c>
      <c r="B671">
        <v>35.520000000000003</v>
      </c>
      <c r="C671">
        <v>8.26</v>
      </c>
      <c r="D671" t="s">
        <v>4682</v>
      </c>
      <c r="E671" t="s">
        <v>4682</v>
      </c>
      <c r="F671" t="s">
        <v>4682</v>
      </c>
      <c r="G671">
        <v>0</v>
      </c>
      <c r="H671" t="s">
        <v>4682</v>
      </c>
      <c r="I671" t="str" cm="1">
        <f t="array" ref="I671">_xlfn.IFS(B671&lt;18.5, "Underweight", B671&lt;=24.9, "Normal Weight", B671&lt;=29.9, "Overweight", TRUE, "Obesity")</f>
        <v>Obesity</v>
      </c>
      <c r="J671" t="str" cm="1">
        <f t="array" ref="J671">_xlfn.IFS(C671&lt;5.7, "Normal", C671&lt;=6.4, "Prediabetes", TRUE, "Diabetes")</f>
        <v>Diabetes</v>
      </c>
    </row>
    <row r="672" spans="1:10">
      <c r="A672" t="s">
        <v>1342</v>
      </c>
      <c r="B672">
        <v>33.6</v>
      </c>
      <c r="C672">
        <v>11.25</v>
      </c>
      <c r="D672" t="s">
        <v>4682</v>
      </c>
      <c r="E672" t="s">
        <v>4682</v>
      </c>
      <c r="F672" t="s">
        <v>4682</v>
      </c>
      <c r="G672">
        <v>0</v>
      </c>
      <c r="H672" t="s">
        <v>4682</v>
      </c>
      <c r="I672" t="str" cm="1">
        <f t="array" ref="I672">_xlfn.IFS(B672&lt;18.5, "Underweight", B672&lt;=24.9, "Normal Weight", B672&lt;=29.9, "Overweight", TRUE, "Obesity")</f>
        <v>Obesity</v>
      </c>
      <c r="J672" t="str" cm="1">
        <f t="array" ref="J672">_xlfn.IFS(C672&lt;5.7, "Normal", C672&lt;=6.4, "Prediabetes", TRUE, "Diabetes")</f>
        <v>Diabetes</v>
      </c>
    </row>
    <row r="673" spans="1:10">
      <c r="A673" t="s">
        <v>1344</v>
      </c>
      <c r="B673">
        <v>22.42</v>
      </c>
      <c r="C673">
        <v>6.74</v>
      </c>
      <c r="D673" t="s">
        <v>4682</v>
      </c>
      <c r="E673" t="s">
        <v>4682</v>
      </c>
      <c r="F673" t="s">
        <v>4682</v>
      </c>
      <c r="G673">
        <v>0</v>
      </c>
      <c r="H673" t="s">
        <v>4683</v>
      </c>
      <c r="I673" t="str" cm="1">
        <f t="array" ref="I673">_xlfn.IFS(B673&lt;18.5, "Underweight", B673&lt;=24.9, "Normal Weight", B673&lt;=29.9, "Overweight", TRUE, "Obesity")</f>
        <v>Normal Weight</v>
      </c>
      <c r="J673" t="str" cm="1">
        <f t="array" ref="J673">_xlfn.IFS(C673&lt;5.7, "Normal", C673&lt;=6.4, "Prediabetes", TRUE, "Diabetes")</f>
        <v>Diabetes</v>
      </c>
    </row>
    <row r="674" spans="1:10">
      <c r="A674" t="s">
        <v>1346</v>
      </c>
      <c r="B674">
        <v>46.86</v>
      </c>
      <c r="C674">
        <v>4.87</v>
      </c>
      <c r="D674" t="s">
        <v>4682</v>
      </c>
      <c r="E674" t="s">
        <v>4682</v>
      </c>
      <c r="F674" t="s">
        <v>4682</v>
      </c>
      <c r="G674">
        <v>0</v>
      </c>
      <c r="H674" t="s">
        <v>4682</v>
      </c>
      <c r="I674" t="str" cm="1">
        <f t="array" ref="I674">_xlfn.IFS(B674&lt;18.5, "Underweight", B674&lt;=24.9, "Normal Weight", B674&lt;=29.9, "Overweight", TRUE, "Obesity")</f>
        <v>Obesity</v>
      </c>
      <c r="J674" t="str" cm="1">
        <f t="array" ref="J674">_xlfn.IFS(C674&lt;5.7, "Normal", C674&lt;=6.4, "Prediabetes", TRUE, "Diabetes")</f>
        <v>Normal</v>
      </c>
    </row>
    <row r="675" spans="1:10">
      <c r="A675" t="s">
        <v>1348</v>
      </c>
      <c r="B675">
        <v>32.965000000000003</v>
      </c>
      <c r="C675">
        <v>6.68</v>
      </c>
      <c r="D675" t="s">
        <v>4682</v>
      </c>
      <c r="E675" t="s">
        <v>4682</v>
      </c>
      <c r="F675" t="s">
        <v>4682</v>
      </c>
      <c r="G675">
        <v>3</v>
      </c>
      <c r="H675" t="s">
        <v>4682</v>
      </c>
      <c r="I675" t="str" cm="1">
        <f t="array" ref="I675">_xlfn.IFS(B675&lt;18.5, "Underweight", B675&lt;=24.9, "Normal Weight", B675&lt;=29.9, "Overweight", TRUE, "Obesity")</f>
        <v>Obesity</v>
      </c>
      <c r="J675" t="str" cm="1">
        <f t="array" ref="J675">_xlfn.IFS(C675&lt;5.7, "Normal", C675&lt;=6.4, "Prediabetes", TRUE, "Diabetes")</f>
        <v>Diabetes</v>
      </c>
    </row>
    <row r="676" spans="1:10">
      <c r="A676" t="s">
        <v>1350</v>
      </c>
      <c r="B676">
        <v>39.340000000000003</v>
      </c>
      <c r="C676">
        <v>5.0199999999999996</v>
      </c>
      <c r="D676" t="s">
        <v>4683</v>
      </c>
      <c r="E676" t="s">
        <v>4682</v>
      </c>
      <c r="F676" t="s">
        <v>4684</v>
      </c>
      <c r="G676">
        <v>1</v>
      </c>
      <c r="H676" t="s">
        <v>4682</v>
      </c>
      <c r="I676" t="str" cm="1">
        <f t="array" ref="I676">_xlfn.IFS(B676&lt;18.5, "Underweight", B676&lt;=24.9, "Normal Weight", B676&lt;=29.9, "Overweight", TRUE, "Obesity")</f>
        <v>Obesity</v>
      </c>
      <c r="J676" t="str" cm="1">
        <f t="array" ref="J676">_xlfn.IFS(C676&lt;5.7, "Normal", C676&lt;=6.4, "Prediabetes", TRUE, "Diabetes")</f>
        <v>Normal</v>
      </c>
    </row>
    <row r="677" spans="1:10">
      <c r="A677" t="s">
        <v>1352</v>
      </c>
      <c r="B677">
        <v>47</v>
      </c>
      <c r="C677">
        <v>10.64</v>
      </c>
      <c r="D677" t="s">
        <v>4683</v>
      </c>
      <c r="E677" t="s">
        <v>4682</v>
      </c>
      <c r="F677" t="s">
        <v>4682</v>
      </c>
      <c r="G677">
        <v>0</v>
      </c>
      <c r="H677" t="s">
        <v>4682</v>
      </c>
      <c r="I677" t="str" cm="1">
        <f t="array" ref="I677">_xlfn.IFS(B677&lt;18.5, "Underweight", B677&lt;=24.9, "Normal Weight", B677&lt;=29.9, "Overweight", TRUE, "Obesity")</f>
        <v>Obesity</v>
      </c>
      <c r="J677" t="str" cm="1">
        <f t="array" ref="J677">_xlfn.IFS(C677&lt;5.7, "Normal", C677&lt;=6.4, "Prediabetes", TRUE, "Diabetes")</f>
        <v>Diabetes</v>
      </c>
    </row>
    <row r="678" spans="1:10">
      <c r="A678" t="s">
        <v>1354</v>
      </c>
      <c r="B678">
        <v>36.71</v>
      </c>
      <c r="C678">
        <v>8.74</v>
      </c>
      <c r="D678" t="s">
        <v>4683</v>
      </c>
      <c r="E678" t="s">
        <v>4682</v>
      </c>
      <c r="F678" t="s">
        <v>4682</v>
      </c>
      <c r="G678">
        <v>0</v>
      </c>
      <c r="H678" t="s">
        <v>4682</v>
      </c>
      <c r="I678" t="str" cm="1">
        <f t="array" ref="I678">_xlfn.IFS(B678&lt;18.5, "Underweight", B678&lt;=24.9, "Normal Weight", B678&lt;=29.9, "Overweight", TRUE, "Obesity")</f>
        <v>Obesity</v>
      </c>
      <c r="J678" t="str" cm="1">
        <f t="array" ref="J678">_xlfn.IFS(C678&lt;5.7, "Normal", C678&lt;=6.4, "Prediabetes", TRUE, "Diabetes")</f>
        <v>Diabetes</v>
      </c>
    </row>
    <row r="679" spans="1:10">
      <c r="A679" t="s">
        <v>1356</v>
      </c>
      <c r="B679">
        <v>53.48</v>
      </c>
      <c r="C679">
        <v>5.64</v>
      </c>
      <c r="D679" t="s">
        <v>4682</v>
      </c>
      <c r="E679" t="s">
        <v>4682</v>
      </c>
      <c r="F679" t="s">
        <v>4682</v>
      </c>
      <c r="G679">
        <v>0</v>
      </c>
      <c r="H679" t="s">
        <v>4682</v>
      </c>
      <c r="I679" t="str" cm="1">
        <f t="array" ref="I679">_xlfn.IFS(B679&lt;18.5, "Underweight", B679&lt;=24.9, "Normal Weight", B679&lt;=29.9, "Overweight", TRUE, "Obesity")</f>
        <v>Obesity</v>
      </c>
      <c r="J679" t="str" cm="1">
        <f t="array" ref="J679">_xlfn.IFS(C679&lt;5.7, "Normal", C679&lt;=6.4, "Prediabetes", TRUE, "Diabetes")</f>
        <v>Normal</v>
      </c>
    </row>
    <row r="680" spans="1:10">
      <c r="A680" t="s">
        <v>1358</v>
      </c>
      <c r="B680">
        <v>35.5</v>
      </c>
      <c r="C680">
        <v>10.37</v>
      </c>
      <c r="D680" t="s">
        <v>4682</v>
      </c>
      <c r="E680" t="s">
        <v>4682</v>
      </c>
      <c r="F680" t="s">
        <v>4682</v>
      </c>
      <c r="G680">
        <v>0</v>
      </c>
      <c r="H680" t="s">
        <v>4682</v>
      </c>
      <c r="I680" t="str" cm="1">
        <f t="array" ref="I680">_xlfn.IFS(B680&lt;18.5, "Underweight", B680&lt;=24.9, "Normal Weight", B680&lt;=29.9, "Overweight", TRUE, "Obesity")</f>
        <v>Obesity</v>
      </c>
      <c r="J680" t="str" cm="1">
        <f t="array" ref="J680">_xlfn.IFS(C680&lt;5.7, "Normal", C680&lt;=6.4, "Prediabetes", TRUE, "Diabetes")</f>
        <v>Diabetes</v>
      </c>
    </row>
    <row r="681" spans="1:10">
      <c r="A681" t="s">
        <v>1360</v>
      </c>
      <c r="B681">
        <v>36.979999999999997</v>
      </c>
      <c r="C681">
        <v>9.56</v>
      </c>
      <c r="D681" t="s">
        <v>4683</v>
      </c>
      <c r="E681" t="s">
        <v>4682</v>
      </c>
      <c r="F681" t="s">
        <v>4682</v>
      </c>
      <c r="G681">
        <v>0</v>
      </c>
      <c r="H681" t="s">
        <v>4682</v>
      </c>
      <c r="I681" t="str" cm="1">
        <f t="array" ref="I681">_xlfn.IFS(B681&lt;18.5, "Underweight", B681&lt;=24.9, "Normal Weight", B681&lt;=29.9, "Overweight", TRUE, "Obesity")</f>
        <v>Obesity</v>
      </c>
      <c r="J681" t="str" cm="1">
        <f t="array" ref="J681">_xlfn.IFS(C681&lt;5.7, "Normal", C681&lt;=6.4, "Prediabetes", TRUE, "Diabetes")</f>
        <v>Diabetes</v>
      </c>
    </row>
    <row r="682" spans="1:10">
      <c r="A682" t="s">
        <v>1362</v>
      </c>
      <c r="B682">
        <v>32.395000000000003</v>
      </c>
      <c r="C682">
        <v>8.23</v>
      </c>
      <c r="D682" t="s">
        <v>4683</v>
      </c>
      <c r="E682" t="s">
        <v>4682</v>
      </c>
      <c r="F682" t="s">
        <v>4684</v>
      </c>
      <c r="G682">
        <v>1</v>
      </c>
      <c r="H682" t="s">
        <v>4682</v>
      </c>
      <c r="I682" t="str" cm="1">
        <f t="array" ref="I682">_xlfn.IFS(B682&lt;18.5, "Underweight", B682&lt;=24.9, "Normal Weight", B682&lt;=29.9, "Overweight", TRUE, "Obesity")</f>
        <v>Obesity</v>
      </c>
      <c r="J682" t="str" cm="1">
        <f t="array" ref="J682">_xlfn.IFS(C682&lt;5.7, "Normal", C682&lt;=6.4, "Prediabetes", TRUE, "Diabetes")</f>
        <v>Diabetes</v>
      </c>
    </row>
    <row r="683" spans="1:10">
      <c r="A683" t="s">
        <v>1364</v>
      </c>
      <c r="B683">
        <v>32.729999999999997</v>
      </c>
      <c r="C683">
        <v>7.03</v>
      </c>
      <c r="D683" t="s">
        <v>4682</v>
      </c>
      <c r="E683" t="s">
        <v>4682</v>
      </c>
      <c r="F683" t="s">
        <v>4682</v>
      </c>
      <c r="G683">
        <v>0</v>
      </c>
      <c r="H683" t="s">
        <v>4682</v>
      </c>
      <c r="I683" t="str" cm="1">
        <f t="array" ref="I683">_xlfn.IFS(B683&lt;18.5, "Underweight", B683&lt;=24.9, "Normal Weight", B683&lt;=29.9, "Overweight", TRUE, "Obesity")</f>
        <v>Obesity</v>
      </c>
      <c r="J683" t="str" cm="1">
        <f t="array" ref="J683">_xlfn.IFS(C683&lt;5.7, "Normal", C683&lt;=6.4, "Prediabetes", TRUE, "Diabetes")</f>
        <v>Diabetes</v>
      </c>
    </row>
    <row r="684" spans="1:10">
      <c r="A684" t="s">
        <v>1366</v>
      </c>
      <c r="B684">
        <v>20.52</v>
      </c>
      <c r="C684">
        <v>5.45</v>
      </c>
      <c r="D684" t="s">
        <v>4682</v>
      </c>
      <c r="E684" t="s">
        <v>4682</v>
      </c>
      <c r="F684" t="s">
        <v>4682</v>
      </c>
      <c r="G684">
        <v>1</v>
      </c>
      <c r="H684" t="s">
        <v>4683</v>
      </c>
      <c r="I684" t="str" cm="1">
        <f t="array" ref="I684">_xlfn.IFS(B684&lt;18.5, "Underweight", B684&lt;=24.9, "Normal Weight", B684&lt;=29.9, "Overweight", TRUE, "Obesity")</f>
        <v>Normal Weight</v>
      </c>
      <c r="J684" t="str" cm="1">
        <f t="array" ref="J684">_xlfn.IFS(C684&lt;5.7, "Normal", C684&lt;=6.4, "Prediabetes", TRUE, "Diabetes")</f>
        <v>Normal</v>
      </c>
    </row>
    <row r="685" spans="1:10">
      <c r="A685" t="s">
        <v>1368</v>
      </c>
      <c r="B685">
        <v>51.72</v>
      </c>
      <c r="C685">
        <v>5.76</v>
      </c>
      <c r="D685" t="s">
        <v>4682</v>
      </c>
      <c r="E685" t="s">
        <v>4682</v>
      </c>
      <c r="F685" t="s">
        <v>4682</v>
      </c>
      <c r="G685">
        <v>0</v>
      </c>
      <c r="H685" t="s">
        <v>4682</v>
      </c>
      <c r="I685" t="str" cm="1">
        <f t="array" ref="I685">_xlfn.IFS(B685&lt;18.5, "Underweight", B685&lt;=24.9, "Normal Weight", B685&lt;=29.9, "Overweight", TRUE, "Obesity")</f>
        <v>Obesity</v>
      </c>
      <c r="J685" t="str" cm="1">
        <f t="array" ref="J685">_xlfn.IFS(C685&lt;5.7, "Normal", C685&lt;=6.4, "Prediabetes", TRUE, "Diabetes")</f>
        <v>Prediabetes</v>
      </c>
    </row>
    <row r="686" spans="1:10">
      <c r="A686" t="s">
        <v>1370</v>
      </c>
      <c r="B686">
        <v>50.2</v>
      </c>
      <c r="C686">
        <v>5.4</v>
      </c>
      <c r="D686" t="s">
        <v>4682</v>
      </c>
      <c r="E686" t="s">
        <v>4682</v>
      </c>
      <c r="F686" t="s">
        <v>4682</v>
      </c>
      <c r="G686">
        <v>0</v>
      </c>
      <c r="H686" t="s">
        <v>4682</v>
      </c>
      <c r="I686" t="str" cm="1">
        <f t="array" ref="I686">_xlfn.IFS(B686&lt;18.5, "Underweight", B686&lt;=24.9, "Normal Weight", B686&lt;=29.9, "Overweight", TRUE, "Obesity")</f>
        <v>Obesity</v>
      </c>
      <c r="J686" t="str" cm="1">
        <f t="array" ref="J686">_xlfn.IFS(C686&lt;5.7, "Normal", C686&lt;=6.4, "Prediabetes", TRUE, "Diabetes")</f>
        <v>Normal</v>
      </c>
    </row>
    <row r="687" spans="1:10">
      <c r="A687" t="s">
        <v>1372</v>
      </c>
      <c r="B687">
        <v>25.52</v>
      </c>
      <c r="C687">
        <v>6.35</v>
      </c>
      <c r="D687" t="s">
        <v>4682</v>
      </c>
      <c r="E687" t="s">
        <v>4682</v>
      </c>
      <c r="F687" t="s">
        <v>4684</v>
      </c>
      <c r="G687">
        <v>1</v>
      </c>
      <c r="H687" t="s">
        <v>4682</v>
      </c>
      <c r="I687" t="str" cm="1">
        <f t="array" ref="I687">_xlfn.IFS(B687&lt;18.5, "Underweight", B687&lt;=24.9, "Normal Weight", B687&lt;=29.9, "Overweight", TRUE, "Obesity")</f>
        <v>Overweight</v>
      </c>
      <c r="J687" t="str" cm="1">
        <f t="array" ref="J687">_xlfn.IFS(C687&lt;5.7, "Normal", C687&lt;=6.4, "Prediabetes", TRUE, "Diabetes")</f>
        <v>Prediabetes</v>
      </c>
    </row>
    <row r="688" spans="1:10">
      <c r="A688" t="s">
        <v>1374</v>
      </c>
      <c r="B688">
        <v>35.200000000000003</v>
      </c>
      <c r="C688">
        <v>6.26</v>
      </c>
      <c r="D688" t="s">
        <v>4683</v>
      </c>
      <c r="E688" t="s">
        <v>4682</v>
      </c>
      <c r="F688" t="s">
        <v>4682</v>
      </c>
      <c r="G688">
        <v>2</v>
      </c>
      <c r="H688" t="s">
        <v>4682</v>
      </c>
      <c r="I688" t="str" cm="1">
        <f t="array" ref="I688">_xlfn.IFS(B688&lt;18.5, "Underweight", B688&lt;=24.9, "Normal Weight", B688&lt;=29.9, "Overweight", TRUE, "Obesity")</f>
        <v>Obesity</v>
      </c>
      <c r="J688" t="str" cm="1">
        <f t="array" ref="J688">_xlfn.IFS(C688&lt;5.7, "Normal", C688&lt;=6.4, "Prediabetes", TRUE, "Diabetes")</f>
        <v>Prediabetes</v>
      </c>
    </row>
    <row r="689" spans="1:10">
      <c r="A689" t="s">
        <v>1376</v>
      </c>
      <c r="B689">
        <v>41.26</v>
      </c>
      <c r="C689">
        <v>5.97</v>
      </c>
      <c r="D689" t="s">
        <v>4683</v>
      </c>
      <c r="E689" t="s">
        <v>4682</v>
      </c>
      <c r="F689" t="s">
        <v>4682</v>
      </c>
      <c r="G689">
        <v>0</v>
      </c>
      <c r="H689" t="s">
        <v>4682</v>
      </c>
      <c r="I689" t="str" cm="1">
        <f t="array" ref="I689">_xlfn.IFS(B689&lt;18.5, "Underweight", B689&lt;=24.9, "Normal Weight", B689&lt;=29.9, "Overweight", TRUE, "Obesity")</f>
        <v>Obesity</v>
      </c>
      <c r="J689" t="str" cm="1">
        <f t="array" ref="J689">_xlfn.IFS(C689&lt;5.7, "Normal", C689&lt;=6.4, "Prediabetes", TRUE, "Diabetes")</f>
        <v>Prediabetes</v>
      </c>
    </row>
    <row r="690" spans="1:10">
      <c r="A690" t="s">
        <v>1378</v>
      </c>
      <c r="B690">
        <v>17.195</v>
      </c>
      <c r="C690">
        <v>5.29</v>
      </c>
      <c r="D690" t="s">
        <v>4683</v>
      </c>
      <c r="E690" t="s">
        <v>4682</v>
      </c>
      <c r="F690" t="s">
        <v>4682</v>
      </c>
      <c r="G690">
        <v>0</v>
      </c>
      <c r="H690" t="s">
        <v>4683</v>
      </c>
      <c r="I690" t="str" cm="1">
        <f t="array" ref="I690">_xlfn.IFS(B690&lt;18.5, "Underweight", B690&lt;=24.9, "Normal Weight", B690&lt;=29.9, "Overweight", TRUE, "Obesity")</f>
        <v>Underweight</v>
      </c>
      <c r="J690" t="str" cm="1">
        <f t="array" ref="J690">_xlfn.IFS(C690&lt;5.7, "Normal", C690&lt;=6.4, "Prediabetes", TRUE, "Diabetes")</f>
        <v>Normal</v>
      </c>
    </row>
    <row r="691" spans="1:10">
      <c r="A691" t="s">
        <v>1380</v>
      </c>
      <c r="B691">
        <v>23.085000000000001</v>
      </c>
      <c r="C691">
        <v>4.2699999999999996</v>
      </c>
      <c r="D691" t="s">
        <v>4683</v>
      </c>
      <c r="E691" t="s">
        <v>4682</v>
      </c>
      <c r="F691" t="s">
        <v>4682</v>
      </c>
      <c r="G691">
        <v>2</v>
      </c>
      <c r="H691" t="s">
        <v>4682</v>
      </c>
      <c r="I691" t="str" cm="1">
        <f t="array" ref="I691">_xlfn.IFS(B691&lt;18.5, "Underweight", B691&lt;=24.9, "Normal Weight", B691&lt;=29.9, "Overweight", TRUE, "Obesity")</f>
        <v>Normal Weight</v>
      </c>
      <c r="J691" t="str" cm="1">
        <f t="array" ref="J691">_xlfn.IFS(C691&lt;5.7, "Normal", C691&lt;=6.4, "Prediabetes", TRUE, "Diabetes")</f>
        <v>Normal</v>
      </c>
    </row>
    <row r="692" spans="1:10">
      <c r="A692" t="s">
        <v>1382</v>
      </c>
      <c r="B692">
        <v>21.66</v>
      </c>
      <c r="C692">
        <v>5.2</v>
      </c>
      <c r="D692" t="s">
        <v>4683</v>
      </c>
      <c r="E692" t="s">
        <v>4682</v>
      </c>
      <c r="F692" t="s">
        <v>4682</v>
      </c>
      <c r="G692">
        <v>2</v>
      </c>
      <c r="H692" t="s">
        <v>4682</v>
      </c>
      <c r="I692" t="str" cm="1">
        <f t="array" ref="I692">_xlfn.IFS(B692&lt;18.5, "Underweight", B692&lt;=24.9, "Normal Weight", B692&lt;=29.9, "Overweight", TRUE, "Obesity")</f>
        <v>Normal Weight</v>
      </c>
      <c r="J692" t="str" cm="1">
        <f t="array" ref="J692">_xlfn.IFS(C692&lt;5.7, "Normal", C692&lt;=6.4, "Prediabetes", TRUE, "Diabetes")</f>
        <v>Normal</v>
      </c>
    </row>
    <row r="693" spans="1:10">
      <c r="A693" t="s">
        <v>1384</v>
      </c>
      <c r="B693">
        <v>36.47</v>
      </c>
      <c r="C693">
        <v>8.23</v>
      </c>
      <c r="D693" t="s">
        <v>4683</v>
      </c>
      <c r="E693" t="s">
        <v>4682</v>
      </c>
      <c r="F693" t="s">
        <v>4682</v>
      </c>
      <c r="G693">
        <v>0</v>
      </c>
      <c r="H693" t="s">
        <v>4682</v>
      </c>
      <c r="I693" t="str" cm="1">
        <f t="array" ref="I693">_xlfn.IFS(B693&lt;18.5, "Underweight", B693&lt;=24.9, "Normal Weight", B693&lt;=29.9, "Overweight", TRUE, "Obesity")</f>
        <v>Obesity</v>
      </c>
      <c r="J693" t="str" cm="1">
        <f t="array" ref="J693">_xlfn.IFS(C693&lt;5.7, "Normal", C693&lt;=6.4, "Prediabetes", TRUE, "Diabetes")</f>
        <v>Diabetes</v>
      </c>
    </row>
    <row r="694" spans="1:10">
      <c r="A694" t="s">
        <v>1386</v>
      </c>
      <c r="B694">
        <v>36.08</v>
      </c>
      <c r="C694">
        <v>10.33</v>
      </c>
      <c r="D694" t="s">
        <v>4683</v>
      </c>
      <c r="E694" t="s">
        <v>4682</v>
      </c>
      <c r="F694" t="s">
        <v>4682</v>
      </c>
      <c r="G694">
        <v>0</v>
      </c>
      <c r="H694" t="s">
        <v>4682</v>
      </c>
      <c r="I694" t="str" cm="1">
        <f t="array" ref="I694">_xlfn.IFS(B694&lt;18.5, "Underweight", B694&lt;=24.9, "Normal Weight", B694&lt;=29.9, "Overweight", TRUE, "Obesity")</f>
        <v>Obesity</v>
      </c>
      <c r="J694" t="str" cm="1">
        <f t="array" ref="J694">_xlfn.IFS(C694&lt;5.7, "Normal", C694&lt;=6.4, "Prediabetes", TRUE, "Diabetes")</f>
        <v>Diabetes</v>
      </c>
    </row>
    <row r="695" spans="1:10">
      <c r="A695" t="s">
        <v>1388</v>
      </c>
      <c r="B695">
        <v>23.18</v>
      </c>
      <c r="C695">
        <v>6.13</v>
      </c>
      <c r="D695" t="s">
        <v>4682</v>
      </c>
      <c r="E695" t="s">
        <v>4682</v>
      </c>
      <c r="F695" t="s">
        <v>4682</v>
      </c>
      <c r="G695">
        <v>0</v>
      </c>
      <c r="H695" t="s">
        <v>4682</v>
      </c>
      <c r="I695" t="str" cm="1">
        <f t="array" ref="I695">_xlfn.IFS(B695&lt;18.5, "Underweight", B695&lt;=24.9, "Normal Weight", B695&lt;=29.9, "Overweight", TRUE, "Obesity")</f>
        <v>Normal Weight</v>
      </c>
      <c r="J695" t="str" cm="1">
        <f t="array" ref="J695">_xlfn.IFS(C695&lt;5.7, "Normal", C695&lt;=6.4, "Prediabetes", TRUE, "Diabetes")</f>
        <v>Prediabetes</v>
      </c>
    </row>
    <row r="696" spans="1:10">
      <c r="A696" t="s">
        <v>1390</v>
      </c>
      <c r="B696">
        <v>39.159999999999997</v>
      </c>
      <c r="C696">
        <v>8.08</v>
      </c>
      <c r="D696" t="s">
        <v>4682</v>
      </c>
      <c r="E696" t="s">
        <v>4682</v>
      </c>
      <c r="F696" t="s">
        <v>4682</v>
      </c>
      <c r="G696">
        <v>3</v>
      </c>
      <c r="H696" t="s">
        <v>4682</v>
      </c>
      <c r="I696" t="str" cm="1">
        <f t="array" ref="I696">_xlfn.IFS(B696&lt;18.5, "Underweight", B696&lt;=24.9, "Normal Weight", B696&lt;=29.9, "Overweight", TRUE, "Obesity")</f>
        <v>Obesity</v>
      </c>
      <c r="J696" t="str" cm="1">
        <f t="array" ref="J696">_xlfn.IFS(C696&lt;5.7, "Normal", C696&lt;=6.4, "Prediabetes", TRUE, "Diabetes")</f>
        <v>Diabetes</v>
      </c>
    </row>
    <row r="697" spans="1:10">
      <c r="A697" t="s">
        <v>1392</v>
      </c>
      <c r="B697">
        <v>38.19</v>
      </c>
      <c r="C697">
        <v>10.49</v>
      </c>
      <c r="D697" t="s">
        <v>4682</v>
      </c>
      <c r="E697" t="s">
        <v>4682</v>
      </c>
      <c r="F697" t="s">
        <v>4682</v>
      </c>
      <c r="G697">
        <v>3</v>
      </c>
      <c r="H697" t="s">
        <v>4682</v>
      </c>
      <c r="I697" t="str" cm="1">
        <f t="array" ref="I697">_xlfn.IFS(B697&lt;18.5, "Underweight", B697&lt;=24.9, "Normal Weight", B697&lt;=29.9, "Overweight", TRUE, "Obesity")</f>
        <v>Obesity</v>
      </c>
      <c r="J697" t="str" cm="1">
        <f t="array" ref="J697">_xlfn.IFS(C697&lt;5.7, "Normal", C697&lt;=6.4, "Prediabetes", TRUE, "Diabetes")</f>
        <v>Diabetes</v>
      </c>
    </row>
    <row r="698" spans="1:10">
      <c r="A698" t="s">
        <v>1394</v>
      </c>
      <c r="B698">
        <v>26.41</v>
      </c>
      <c r="C698">
        <v>8.11</v>
      </c>
      <c r="D698" t="s">
        <v>4682</v>
      </c>
      <c r="E698" t="s">
        <v>4682</v>
      </c>
      <c r="F698" t="s">
        <v>4682</v>
      </c>
      <c r="G698">
        <v>3</v>
      </c>
      <c r="H698" t="s">
        <v>4682</v>
      </c>
      <c r="I698" t="str" cm="1">
        <f t="array" ref="I698">_xlfn.IFS(B698&lt;18.5, "Underweight", B698&lt;=24.9, "Normal Weight", B698&lt;=29.9, "Overweight", TRUE, "Obesity")</f>
        <v>Overweight</v>
      </c>
      <c r="J698" t="str" cm="1">
        <f t="array" ref="J698">_xlfn.IFS(C698&lt;5.7, "Normal", C698&lt;=6.4, "Prediabetes", TRUE, "Diabetes")</f>
        <v>Diabetes</v>
      </c>
    </row>
    <row r="699" spans="1:10">
      <c r="A699" t="s">
        <v>1396</v>
      </c>
      <c r="B699">
        <v>28.785</v>
      </c>
      <c r="C699">
        <v>6.6</v>
      </c>
      <c r="D699" t="s">
        <v>4682</v>
      </c>
      <c r="E699" t="s">
        <v>4682</v>
      </c>
      <c r="F699" t="s">
        <v>4682</v>
      </c>
      <c r="G699">
        <v>0</v>
      </c>
      <c r="H699" t="s">
        <v>4682</v>
      </c>
      <c r="I699" t="str" cm="1">
        <f t="array" ref="I699">_xlfn.IFS(B699&lt;18.5, "Underweight", B699&lt;=24.9, "Normal Weight", B699&lt;=29.9, "Overweight", TRUE, "Obesity")</f>
        <v>Overweight</v>
      </c>
      <c r="J699" t="str" cm="1">
        <f t="array" ref="J699">_xlfn.IFS(C699&lt;5.7, "Normal", C699&lt;=6.4, "Prediabetes", TRUE, "Diabetes")</f>
        <v>Diabetes</v>
      </c>
    </row>
    <row r="700" spans="1:10">
      <c r="A700" t="s">
        <v>1398</v>
      </c>
      <c r="B700">
        <v>26.695</v>
      </c>
      <c r="C700">
        <v>10.14</v>
      </c>
      <c r="D700" t="s">
        <v>4683</v>
      </c>
      <c r="E700" t="s">
        <v>4682</v>
      </c>
      <c r="F700" t="s">
        <v>4684</v>
      </c>
      <c r="G700">
        <v>1</v>
      </c>
      <c r="H700" t="s">
        <v>4682</v>
      </c>
      <c r="I700" t="str" cm="1">
        <f t="array" ref="I700">_xlfn.IFS(B700&lt;18.5, "Underweight", B700&lt;=24.9, "Normal Weight", B700&lt;=29.9, "Overweight", TRUE, "Obesity")</f>
        <v>Overweight</v>
      </c>
      <c r="J700" t="str" cm="1">
        <f t="array" ref="J700">_xlfn.IFS(C700&lt;5.7, "Normal", C700&lt;=6.4, "Prediabetes", TRUE, "Diabetes")</f>
        <v>Diabetes</v>
      </c>
    </row>
    <row r="701" spans="1:10">
      <c r="A701" t="s">
        <v>1400</v>
      </c>
      <c r="B701">
        <v>32.799999999999997</v>
      </c>
      <c r="C701">
        <v>6.06</v>
      </c>
      <c r="D701" t="s">
        <v>4683</v>
      </c>
      <c r="E701" t="s">
        <v>4682</v>
      </c>
      <c r="F701" t="s">
        <v>4682</v>
      </c>
      <c r="G701">
        <v>1</v>
      </c>
      <c r="H701" t="s">
        <v>4682</v>
      </c>
      <c r="I701" t="str" cm="1">
        <f t="array" ref="I701">_xlfn.IFS(B701&lt;18.5, "Underweight", B701&lt;=24.9, "Normal Weight", B701&lt;=29.9, "Overweight", TRUE, "Obesity")</f>
        <v>Obesity</v>
      </c>
      <c r="J701" t="str" cm="1">
        <f t="array" ref="J701">_xlfn.IFS(C701&lt;5.7, "Normal", C701&lt;=6.4, "Prediabetes", TRUE, "Diabetes")</f>
        <v>Prediabetes</v>
      </c>
    </row>
    <row r="702" spans="1:10">
      <c r="A702" t="s">
        <v>1402</v>
      </c>
      <c r="B702">
        <v>35.869999999999997</v>
      </c>
      <c r="C702">
        <v>9.91</v>
      </c>
      <c r="D702" t="s">
        <v>4683</v>
      </c>
      <c r="E702" t="s">
        <v>4682</v>
      </c>
      <c r="F702" t="s">
        <v>4682</v>
      </c>
      <c r="G702">
        <v>0</v>
      </c>
      <c r="H702" t="s">
        <v>4682</v>
      </c>
      <c r="I702" t="str" cm="1">
        <f t="array" ref="I702">_xlfn.IFS(B702&lt;18.5, "Underweight", B702&lt;=24.9, "Normal Weight", B702&lt;=29.9, "Overweight", TRUE, "Obesity")</f>
        <v>Obesity</v>
      </c>
      <c r="J702" t="str" cm="1">
        <f t="array" ref="J702">_xlfn.IFS(C702&lt;5.7, "Normal", C702&lt;=6.4, "Prediabetes", TRUE, "Diabetes")</f>
        <v>Diabetes</v>
      </c>
    </row>
    <row r="703" spans="1:10">
      <c r="A703" t="s">
        <v>1404</v>
      </c>
      <c r="B703">
        <v>21.66</v>
      </c>
      <c r="C703">
        <v>4.1399999999999997</v>
      </c>
      <c r="D703" t="s">
        <v>4683</v>
      </c>
      <c r="E703" t="s">
        <v>4682</v>
      </c>
      <c r="F703" t="s">
        <v>4682</v>
      </c>
      <c r="G703">
        <v>2</v>
      </c>
      <c r="H703" t="s">
        <v>4682</v>
      </c>
      <c r="I703" t="str" cm="1">
        <f t="array" ref="I703">_xlfn.IFS(B703&lt;18.5, "Underweight", B703&lt;=24.9, "Normal Weight", B703&lt;=29.9, "Overweight", TRUE, "Obesity")</f>
        <v>Normal Weight</v>
      </c>
      <c r="J703" t="str" cm="1">
        <f t="array" ref="J703">_xlfn.IFS(C703&lt;5.7, "Normal", C703&lt;=6.4, "Prediabetes", TRUE, "Diabetes")</f>
        <v>Normal</v>
      </c>
    </row>
    <row r="704" spans="1:10">
      <c r="A704" t="s">
        <v>1406</v>
      </c>
      <c r="B704">
        <v>37.72</v>
      </c>
      <c r="C704">
        <v>4.38</v>
      </c>
      <c r="D704" t="s">
        <v>4683</v>
      </c>
      <c r="E704" t="s">
        <v>4682</v>
      </c>
      <c r="F704" t="s">
        <v>4684</v>
      </c>
      <c r="G704">
        <v>1</v>
      </c>
      <c r="H704" t="s">
        <v>4682</v>
      </c>
      <c r="I704" t="str" cm="1">
        <f t="array" ref="I704">_xlfn.IFS(B704&lt;18.5, "Underweight", B704&lt;=24.9, "Normal Weight", B704&lt;=29.9, "Overweight", TRUE, "Obesity")</f>
        <v>Obesity</v>
      </c>
      <c r="J704" t="str" cm="1">
        <f t="array" ref="J704">_xlfn.IFS(C704&lt;5.7, "Normal", C704&lt;=6.4, "Prediabetes", TRUE, "Diabetes")</f>
        <v>Normal</v>
      </c>
    </row>
    <row r="705" spans="1:10">
      <c r="A705" t="s">
        <v>1408</v>
      </c>
      <c r="B705">
        <v>39.700000000000003</v>
      </c>
      <c r="C705">
        <v>9.83</v>
      </c>
      <c r="D705" t="s">
        <v>4682</v>
      </c>
      <c r="E705" t="s">
        <v>4682</v>
      </c>
      <c r="F705" t="s">
        <v>4682</v>
      </c>
      <c r="G705">
        <v>3</v>
      </c>
      <c r="H705" t="s">
        <v>4682</v>
      </c>
      <c r="I705" t="str" cm="1">
        <f t="array" ref="I705">_xlfn.IFS(B705&lt;18.5, "Underweight", B705&lt;=24.9, "Normal Weight", B705&lt;=29.9, "Overweight", TRUE, "Obesity")</f>
        <v>Obesity</v>
      </c>
      <c r="J705" t="str" cm="1">
        <f t="array" ref="J705">_xlfn.IFS(C705&lt;5.7, "Normal", C705&lt;=6.4, "Prediabetes", TRUE, "Diabetes")</f>
        <v>Diabetes</v>
      </c>
    </row>
    <row r="706" spans="1:10">
      <c r="A706" t="s">
        <v>1410</v>
      </c>
      <c r="B706">
        <v>35.97</v>
      </c>
      <c r="C706">
        <v>11.08</v>
      </c>
      <c r="D706" t="s">
        <v>4682</v>
      </c>
      <c r="E706" t="s">
        <v>4682</v>
      </c>
      <c r="F706" t="s">
        <v>4682</v>
      </c>
      <c r="G706">
        <v>3</v>
      </c>
      <c r="H706" t="s">
        <v>4682</v>
      </c>
      <c r="I706" t="str" cm="1">
        <f t="array" ref="I706">_xlfn.IFS(B706&lt;18.5, "Underweight", B706&lt;=24.9, "Normal Weight", B706&lt;=29.9, "Overweight", TRUE, "Obesity")</f>
        <v>Obesity</v>
      </c>
      <c r="J706" t="str" cm="1">
        <f t="array" ref="J706">_xlfn.IFS(C706&lt;5.7, "Normal", C706&lt;=6.4, "Prediabetes", TRUE, "Diabetes")</f>
        <v>Diabetes</v>
      </c>
    </row>
    <row r="707" spans="1:10">
      <c r="A707" t="s">
        <v>1412</v>
      </c>
      <c r="B707">
        <v>37.85</v>
      </c>
      <c r="C707">
        <v>11.01</v>
      </c>
      <c r="D707" t="s">
        <v>4682</v>
      </c>
      <c r="E707" t="s">
        <v>4682</v>
      </c>
      <c r="F707" t="s">
        <v>4682</v>
      </c>
      <c r="G707">
        <v>0</v>
      </c>
      <c r="H707" t="s">
        <v>4682</v>
      </c>
      <c r="I707" t="str" cm="1">
        <f t="array" ref="I707">_xlfn.IFS(B707&lt;18.5, "Underweight", B707&lt;=24.9, "Normal Weight", B707&lt;=29.9, "Overweight", TRUE, "Obesity")</f>
        <v>Obesity</v>
      </c>
      <c r="J707" t="str" cm="1">
        <f t="array" ref="J707">_xlfn.IFS(C707&lt;5.7, "Normal", C707&lt;=6.4, "Prediabetes", TRUE, "Diabetes")</f>
        <v>Diabetes</v>
      </c>
    </row>
    <row r="708" spans="1:10">
      <c r="A708" t="s">
        <v>1414</v>
      </c>
      <c r="B708">
        <v>21.66</v>
      </c>
      <c r="C708">
        <v>4.37</v>
      </c>
      <c r="D708" t="s">
        <v>4682</v>
      </c>
      <c r="E708" t="s">
        <v>4683</v>
      </c>
      <c r="F708" t="s">
        <v>4682</v>
      </c>
      <c r="G708">
        <v>1</v>
      </c>
      <c r="H708" t="s">
        <v>4683</v>
      </c>
      <c r="I708" t="str" cm="1">
        <f t="array" ref="I708">_xlfn.IFS(B708&lt;18.5, "Underweight", B708&lt;=24.9, "Normal Weight", B708&lt;=29.9, "Overweight", TRUE, "Obesity")</f>
        <v>Normal Weight</v>
      </c>
      <c r="J708" t="str" cm="1">
        <f t="array" ref="J708">_xlfn.IFS(C708&lt;5.7, "Normal", C708&lt;=6.4, "Prediabetes", TRUE, "Diabetes")</f>
        <v>Normal</v>
      </c>
    </row>
    <row r="709" spans="1:10">
      <c r="A709" t="s">
        <v>1416</v>
      </c>
      <c r="B709">
        <v>39.369999999999997</v>
      </c>
      <c r="C709">
        <v>5.91</v>
      </c>
      <c r="D709" t="s">
        <v>4682</v>
      </c>
      <c r="E709" t="s">
        <v>4682</v>
      </c>
      <c r="F709" t="s">
        <v>4682</v>
      </c>
      <c r="G709">
        <v>2</v>
      </c>
      <c r="H709" t="s">
        <v>4682</v>
      </c>
      <c r="I709" t="str" cm="1">
        <f t="array" ref="I709">_xlfn.IFS(B709&lt;18.5, "Underweight", B709&lt;=24.9, "Normal Weight", B709&lt;=29.9, "Overweight", TRUE, "Obesity")</f>
        <v>Obesity</v>
      </c>
      <c r="J709" t="str" cm="1">
        <f t="array" ref="J709">_xlfn.IFS(C709&lt;5.7, "Normal", C709&lt;=6.4, "Prediabetes", TRUE, "Diabetes")</f>
        <v>Prediabetes</v>
      </c>
    </row>
    <row r="710" spans="1:10">
      <c r="A710" t="s">
        <v>1418</v>
      </c>
      <c r="B710">
        <v>40.880000000000003</v>
      </c>
      <c r="C710">
        <v>7.65</v>
      </c>
      <c r="D710" t="s">
        <v>4682</v>
      </c>
      <c r="E710" t="s">
        <v>4682</v>
      </c>
      <c r="F710" t="s">
        <v>4682</v>
      </c>
      <c r="G710">
        <v>0</v>
      </c>
      <c r="H710" t="s">
        <v>4682</v>
      </c>
      <c r="I710" t="str" cm="1">
        <f t="array" ref="I710">_xlfn.IFS(B710&lt;18.5, "Underweight", B710&lt;=24.9, "Normal Weight", B710&lt;=29.9, "Overweight", TRUE, "Obesity")</f>
        <v>Obesity</v>
      </c>
      <c r="J710" t="str" cm="1">
        <f t="array" ref="J710">_xlfn.IFS(C710&lt;5.7, "Normal", C710&lt;=6.4, "Prediabetes", TRUE, "Diabetes")</f>
        <v>Diabetes</v>
      </c>
    </row>
    <row r="711" spans="1:10">
      <c r="A711" t="s">
        <v>1420</v>
      </c>
      <c r="B711">
        <v>26.22</v>
      </c>
      <c r="C711">
        <v>5.37</v>
      </c>
      <c r="D711" t="s">
        <v>4683</v>
      </c>
      <c r="E711" t="s">
        <v>4682</v>
      </c>
      <c r="F711" t="s">
        <v>4682</v>
      </c>
      <c r="G711">
        <v>2</v>
      </c>
      <c r="H711" t="s">
        <v>4682</v>
      </c>
      <c r="I711" t="str" cm="1">
        <f t="array" ref="I711">_xlfn.IFS(B711&lt;18.5, "Underweight", B711&lt;=24.9, "Normal Weight", B711&lt;=29.9, "Overweight", TRUE, "Obesity")</f>
        <v>Overweight</v>
      </c>
      <c r="J711" t="str" cm="1">
        <f t="array" ref="J711">_xlfn.IFS(C711&lt;5.7, "Normal", C711&lt;=6.4, "Prediabetes", TRUE, "Diabetes")</f>
        <v>Normal</v>
      </c>
    </row>
    <row r="712" spans="1:10">
      <c r="A712" t="s">
        <v>1422</v>
      </c>
      <c r="B712">
        <v>25.08</v>
      </c>
      <c r="C712">
        <v>5.75</v>
      </c>
      <c r="D712" t="s">
        <v>4683</v>
      </c>
      <c r="E712" t="s">
        <v>4682</v>
      </c>
      <c r="F712" t="s">
        <v>4682</v>
      </c>
      <c r="G712">
        <v>2</v>
      </c>
      <c r="H712" t="s">
        <v>4682</v>
      </c>
      <c r="I712" t="str" cm="1">
        <f t="array" ref="I712">_xlfn.IFS(B712&lt;18.5, "Underweight", B712&lt;=24.9, "Normal Weight", B712&lt;=29.9, "Overweight", TRUE, "Obesity")</f>
        <v>Overweight</v>
      </c>
      <c r="J712" t="str" cm="1">
        <f t="array" ref="J712">_xlfn.IFS(C712&lt;5.7, "Normal", C712&lt;=6.4, "Prediabetes", TRUE, "Diabetes")</f>
        <v>Prediabetes</v>
      </c>
    </row>
    <row r="713" spans="1:10">
      <c r="A713" t="s">
        <v>1424</v>
      </c>
      <c r="B713">
        <v>39.1</v>
      </c>
      <c r="C713">
        <v>6.79</v>
      </c>
      <c r="D713" t="s">
        <v>4683</v>
      </c>
      <c r="E713" t="s">
        <v>4682</v>
      </c>
      <c r="F713" t="s">
        <v>4682</v>
      </c>
      <c r="G713">
        <v>2</v>
      </c>
      <c r="H713" t="s">
        <v>4682</v>
      </c>
      <c r="I713" t="str" cm="1">
        <f t="array" ref="I713">_xlfn.IFS(B713&lt;18.5, "Underweight", B713&lt;=24.9, "Normal Weight", B713&lt;=29.9, "Overweight", TRUE, "Obesity")</f>
        <v>Obesity</v>
      </c>
      <c r="J713" t="str" cm="1">
        <f t="array" ref="J713">_xlfn.IFS(C713&lt;5.7, "Normal", C713&lt;=6.4, "Prediabetes", TRUE, "Diabetes")</f>
        <v>Diabetes</v>
      </c>
    </row>
    <row r="714" spans="1:10">
      <c r="A714" t="s">
        <v>1426</v>
      </c>
      <c r="B714">
        <v>37.905000000000001</v>
      </c>
      <c r="C714">
        <v>7.03</v>
      </c>
      <c r="D714" t="s">
        <v>4682</v>
      </c>
      <c r="E714" t="s">
        <v>4682</v>
      </c>
      <c r="F714" t="s">
        <v>4682</v>
      </c>
      <c r="G714">
        <v>3</v>
      </c>
      <c r="H714" t="s">
        <v>4682</v>
      </c>
      <c r="I714" t="str" cm="1">
        <f t="array" ref="I714">_xlfn.IFS(B714&lt;18.5, "Underweight", B714&lt;=24.9, "Normal Weight", B714&lt;=29.9, "Overweight", TRUE, "Obesity")</f>
        <v>Obesity</v>
      </c>
      <c r="J714" t="str" cm="1">
        <f t="array" ref="J714">_xlfn.IFS(C714&lt;5.7, "Normal", C714&lt;=6.4, "Prediabetes", TRUE, "Diabetes")</f>
        <v>Diabetes</v>
      </c>
    </row>
    <row r="715" spans="1:10">
      <c r="A715" t="s">
        <v>1428</v>
      </c>
      <c r="B715">
        <v>43.35</v>
      </c>
      <c r="C715">
        <v>5.41</v>
      </c>
      <c r="D715" t="s">
        <v>4683</v>
      </c>
      <c r="E715" t="s">
        <v>4682</v>
      </c>
      <c r="F715" t="s">
        <v>4684</v>
      </c>
      <c r="G715">
        <v>1</v>
      </c>
      <c r="H715" t="s">
        <v>4682</v>
      </c>
      <c r="I715" t="str" cm="1">
        <f t="array" ref="I715">_xlfn.IFS(B715&lt;18.5, "Underweight", B715&lt;=24.9, "Normal Weight", B715&lt;=29.9, "Overweight", TRUE, "Obesity")</f>
        <v>Obesity</v>
      </c>
      <c r="J715" t="str" cm="1">
        <f t="array" ref="J715">_xlfn.IFS(C715&lt;5.7, "Normal", C715&lt;=6.4, "Prediabetes", TRUE, "Diabetes")</f>
        <v>Normal</v>
      </c>
    </row>
    <row r="716" spans="1:10">
      <c r="A716" t="s">
        <v>1430</v>
      </c>
      <c r="B716">
        <v>36.15</v>
      </c>
      <c r="C716">
        <v>8.0500000000000007</v>
      </c>
      <c r="D716" t="s">
        <v>4682</v>
      </c>
      <c r="E716" t="s">
        <v>4682</v>
      </c>
      <c r="F716" t="s">
        <v>4682</v>
      </c>
      <c r="G716">
        <v>0</v>
      </c>
      <c r="H716" t="s">
        <v>4682</v>
      </c>
      <c r="I716" t="str" cm="1">
        <f t="array" ref="I716">_xlfn.IFS(B716&lt;18.5, "Underweight", B716&lt;=24.9, "Normal Weight", B716&lt;=29.9, "Overweight", TRUE, "Obesity")</f>
        <v>Obesity</v>
      </c>
      <c r="J716" t="str" cm="1">
        <f t="array" ref="J716">_xlfn.IFS(C716&lt;5.7, "Normal", C716&lt;=6.4, "Prediabetes", TRUE, "Diabetes")</f>
        <v>Diabetes</v>
      </c>
    </row>
    <row r="717" spans="1:10">
      <c r="A717" t="s">
        <v>1432</v>
      </c>
      <c r="B717">
        <v>44.98</v>
      </c>
      <c r="C717">
        <v>5.94</v>
      </c>
      <c r="D717" t="s">
        <v>4682</v>
      </c>
      <c r="E717" t="s">
        <v>4682</v>
      </c>
      <c r="F717" t="s">
        <v>4682</v>
      </c>
      <c r="G717">
        <v>1</v>
      </c>
      <c r="H717" t="s">
        <v>4682</v>
      </c>
      <c r="I717" t="str" cm="1">
        <f t="array" ref="I717">_xlfn.IFS(B717&lt;18.5, "Underweight", B717&lt;=24.9, "Normal Weight", B717&lt;=29.9, "Overweight", TRUE, "Obesity")</f>
        <v>Obesity</v>
      </c>
      <c r="J717" t="str" cm="1">
        <f t="array" ref="J717">_xlfn.IFS(C717&lt;5.7, "Normal", C717&lt;=6.4, "Prediabetes", TRUE, "Diabetes")</f>
        <v>Prediabetes</v>
      </c>
    </row>
    <row r="718" spans="1:10">
      <c r="A718" t="s">
        <v>1434</v>
      </c>
      <c r="B718">
        <v>38.28</v>
      </c>
      <c r="C718">
        <v>5.51</v>
      </c>
      <c r="D718" t="s">
        <v>4682</v>
      </c>
      <c r="E718" t="s">
        <v>4683</v>
      </c>
      <c r="F718" t="s">
        <v>4682</v>
      </c>
      <c r="G718">
        <v>1</v>
      </c>
      <c r="H718" t="s">
        <v>4682</v>
      </c>
      <c r="I718" t="str" cm="1">
        <f t="array" ref="I718">_xlfn.IFS(B718&lt;18.5, "Underweight", B718&lt;=24.9, "Normal Weight", B718&lt;=29.9, "Overweight", TRUE, "Obesity")</f>
        <v>Obesity</v>
      </c>
      <c r="J718" t="str" cm="1">
        <f t="array" ref="J718">_xlfn.IFS(C718&lt;5.7, "Normal", C718&lt;=6.4, "Prediabetes", TRUE, "Diabetes")</f>
        <v>Normal</v>
      </c>
    </row>
    <row r="719" spans="1:10">
      <c r="A719" t="s">
        <v>1436</v>
      </c>
      <c r="B719">
        <v>32.299999999999997</v>
      </c>
      <c r="C719">
        <v>6.55</v>
      </c>
      <c r="D719" t="s">
        <v>4683</v>
      </c>
      <c r="E719" t="s">
        <v>4682</v>
      </c>
      <c r="F719" t="s">
        <v>4682</v>
      </c>
      <c r="G719">
        <v>2</v>
      </c>
      <c r="H719" t="s">
        <v>4682</v>
      </c>
      <c r="I719" t="str" cm="1">
        <f t="array" ref="I719">_xlfn.IFS(B719&lt;18.5, "Underweight", B719&lt;=24.9, "Normal Weight", B719&lt;=29.9, "Overweight", TRUE, "Obesity")</f>
        <v>Obesity</v>
      </c>
      <c r="J719" t="str" cm="1">
        <f t="array" ref="J719">_xlfn.IFS(C719&lt;5.7, "Normal", C719&lt;=6.4, "Prediabetes", TRUE, "Diabetes")</f>
        <v>Diabetes</v>
      </c>
    </row>
    <row r="720" spans="1:10">
      <c r="A720" t="s">
        <v>1438</v>
      </c>
      <c r="B720">
        <v>39.51</v>
      </c>
      <c r="C720">
        <v>5.79</v>
      </c>
      <c r="D720" t="s">
        <v>4683</v>
      </c>
      <c r="E720" t="s">
        <v>4682</v>
      </c>
      <c r="F720" t="s">
        <v>4682</v>
      </c>
      <c r="G720">
        <v>0</v>
      </c>
      <c r="H720" t="s">
        <v>4682</v>
      </c>
      <c r="I720" t="str" cm="1">
        <f t="array" ref="I720">_xlfn.IFS(B720&lt;18.5, "Underweight", B720&lt;=24.9, "Normal Weight", B720&lt;=29.9, "Overweight", TRUE, "Obesity")</f>
        <v>Obesity</v>
      </c>
      <c r="J720" t="str" cm="1">
        <f t="array" ref="J720">_xlfn.IFS(C720&lt;5.7, "Normal", C720&lt;=6.4, "Prediabetes", TRUE, "Diabetes")</f>
        <v>Prediabetes</v>
      </c>
    </row>
    <row r="721" spans="1:10">
      <c r="A721" t="s">
        <v>1440</v>
      </c>
      <c r="B721">
        <v>50.46</v>
      </c>
      <c r="C721">
        <v>4.5599999999999996</v>
      </c>
      <c r="D721" t="s">
        <v>4682</v>
      </c>
      <c r="E721" t="s">
        <v>4682</v>
      </c>
      <c r="F721" t="s">
        <v>4682</v>
      </c>
      <c r="G721">
        <v>0</v>
      </c>
      <c r="H721" t="s">
        <v>4682</v>
      </c>
      <c r="I721" t="str" cm="1">
        <f t="array" ref="I721">_xlfn.IFS(B721&lt;18.5, "Underweight", B721&lt;=24.9, "Normal Weight", B721&lt;=29.9, "Overweight", TRUE, "Obesity")</f>
        <v>Obesity</v>
      </c>
      <c r="J721" t="str" cm="1">
        <f t="array" ref="J721">_xlfn.IFS(C721&lt;5.7, "Normal", C721&lt;=6.4, "Prediabetes", TRUE, "Diabetes")</f>
        <v>Normal</v>
      </c>
    </row>
    <row r="722" spans="1:10">
      <c r="A722" t="s">
        <v>1442</v>
      </c>
      <c r="B722">
        <v>31.73</v>
      </c>
      <c r="C722">
        <v>7</v>
      </c>
      <c r="D722" t="s">
        <v>4682</v>
      </c>
      <c r="E722" t="s">
        <v>4682</v>
      </c>
      <c r="F722" t="s">
        <v>4682</v>
      </c>
      <c r="G722">
        <v>0</v>
      </c>
      <c r="H722" t="s">
        <v>4682</v>
      </c>
      <c r="I722" t="str" cm="1">
        <f t="array" ref="I722">_xlfn.IFS(B722&lt;18.5, "Underweight", B722&lt;=24.9, "Normal Weight", B722&lt;=29.9, "Overweight", TRUE, "Obesity")</f>
        <v>Obesity</v>
      </c>
      <c r="J722" t="str" cm="1">
        <f t="array" ref="J722">_xlfn.IFS(C722&lt;5.7, "Normal", C722&lt;=6.4, "Prediabetes", TRUE, "Diabetes")</f>
        <v>Diabetes</v>
      </c>
    </row>
    <row r="723" spans="1:10">
      <c r="A723" t="s">
        <v>1444</v>
      </c>
      <c r="B723">
        <v>32.1</v>
      </c>
      <c r="C723">
        <v>6.57</v>
      </c>
      <c r="D723" t="s">
        <v>4683</v>
      </c>
      <c r="E723" t="s">
        <v>4682</v>
      </c>
      <c r="F723" t="s">
        <v>4684</v>
      </c>
      <c r="G723">
        <v>1</v>
      </c>
      <c r="H723" t="s">
        <v>4682</v>
      </c>
      <c r="I723" t="str" cm="1">
        <f t="array" ref="I723">_xlfn.IFS(B723&lt;18.5, "Underweight", B723&lt;=24.9, "Normal Weight", B723&lt;=29.9, "Overweight", TRUE, "Obesity")</f>
        <v>Obesity</v>
      </c>
      <c r="J723" t="str" cm="1">
        <f t="array" ref="J723">_xlfn.IFS(C723&lt;5.7, "Normal", C723&lt;=6.4, "Prediabetes", TRUE, "Diabetes")</f>
        <v>Diabetes</v>
      </c>
    </row>
    <row r="724" spans="1:10">
      <c r="A724" t="s">
        <v>1446</v>
      </c>
      <c r="B724">
        <v>27.83</v>
      </c>
      <c r="C724">
        <v>11.61</v>
      </c>
      <c r="D724" t="s">
        <v>4683</v>
      </c>
      <c r="E724" t="s">
        <v>4682</v>
      </c>
      <c r="F724" t="s">
        <v>4684</v>
      </c>
      <c r="G724">
        <v>1</v>
      </c>
      <c r="H724" t="s">
        <v>4682</v>
      </c>
      <c r="I724" t="str" cm="1">
        <f t="array" ref="I724">_xlfn.IFS(B724&lt;18.5, "Underweight", B724&lt;=24.9, "Normal Weight", B724&lt;=29.9, "Overweight", TRUE, "Obesity")</f>
        <v>Overweight</v>
      </c>
      <c r="J724" t="str" cm="1">
        <f t="array" ref="J724">_xlfn.IFS(C724&lt;5.7, "Normal", C724&lt;=6.4, "Prediabetes", TRUE, "Diabetes")</f>
        <v>Diabetes</v>
      </c>
    </row>
    <row r="725" spans="1:10">
      <c r="A725" t="s">
        <v>1448</v>
      </c>
      <c r="B725">
        <v>27.72</v>
      </c>
      <c r="C725">
        <v>8.16</v>
      </c>
      <c r="D725" t="s">
        <v>4683</v>
      </c>
      <c r="E725" t="s">
        <v>4682</v>
      </c>
      <c r="F725" t="s">
        <v>4684</v>
      </c>
      <c r="G725">
        <v>1</v>
      </c>
      <c r="H725" t="s">
        <v>4682</v>
      </c>
      <c r="I725" t="str" cm="1">
        <f t="array" ref="I725">_xlfn.IFS(B725&lt;18.5, "Underweight", B725&lt;=24.9, "Normal Weight", B725&lt;=29.9, "Overweight", TRUE, "Obesity")</f>
        <v>Overweight</v>
      </c>
      <c r="J725" t="str" cm="1">
        <f t="array" ref="J725">_xlfn.IFS(C725&lt;5.7, "Normal", C725&lt;=6.4, "Prediabetes", TRUE, "Diabetes")</f>
        <v>Diabetes</v>
      </c>
    </row>
    <row r="726" spans="1:10">
      <c r="A726" t="s">
        <v>1450</v>
      </c>
      <c r="B726">
        <v>36.765000000000001</v>
      </c>
      <c r="C726">
        <v>4.4800000000000004</v>
      </c>
      <c r="D726" t="s">
        <v>4683</v>
      </c>
      <c r="E726" t="s">
        <v>4682</v>
      </c>
      <c r="F726" t="s">
        <v>4682</v>
      </c>
      <c r="G726">
        <v>2</v>
      </c>
      <c r="H726" t="s">
        <v>4682</v>
      </c>
      <c r="I726" t="str" cm="1">
        <f t="array" ref="I726">_xlfn.IFS(B726&lt;18.5, "Underweight", B726&lt;=24.9, "Normal Weight", B726&lt;=29.9, "Overweight", TRUE, "Obesity")</f>
        <v>Obesity</v>
      </c>
      <c r="J726" t="str" cm="1">
        <f t="array" ref="J726">_xlfn.IFS(C726&lt;5.7, "Normal", C726&lt;=6.4, "Prediabetes", TRUE, "Diabetes")</f>
        <v>Normal</v>
      </c>
    </row>
    <row r="727" spans="1:10">
      <c r="A727" t="s">
        <v>1452</v>
      </c>
      <c r="B727">
        <v>48.36</v>
      </c>
      <c r="C727">
        <v>4.08</v>
      </c>
      <c r="D727" t="s">
        <v>4682</v>
      </c>
      <c r="E727" t="s">
        <v>4682</v>
      </c>
      <c r="F727" t="s">
        <v>4682</v>
      </c>
      <c r="G727">
        <v>0</v>
      </c>
      <c r="H727" t="s">
        <v>4682</v>
      </c>
      <c r="I727" t="str" cm="1">
        <f t="array" ref="I727">_xlfn.IFS(B727&lt;18.5, "Underweight", B727&lt;=24.9, "Normal Weight", B727&lt;=29.9, "Overweight", TRUE, "Obesity")</f>
        <v>Obesity</v>
      </c>
      <c r="J727" t="str" cm="1">
        <f t="array" ref="J727">_xlfn.IFS(C727&lt;5.7, "Normal", C727&lt;=6.4, "Prediabetes", TRUE, "Diabetes")</f>
        <v>Normal</v>
      </c>
    </row>
    <row r="728" spans="1:10">
      <c r="A728" t="s">
        <v>1454</v>
      </c>
      <c r="B728">
        <v>31.445</v>
      </c>
      <c r="C728">
        <v>4.4000000000000004</v>
      </c>
      <c r="D728" t="s">
        <v>4683</v>
      </c>
      <c r="E728" t="s">
        <v>4682</v>
      </c>
      <c r="F728" t="s">
        <v>4682</v>
      </c>
      <c r="G728">
        <v>2</v>
      </c>
      <c r="H728" t="s">
        <v>4682</v>
      </c>
      <c r="I728" t="str" cm="1">
        <f t="array" ref="I728">_xlfn.IFS(B728&lt;18.5, "Underweight", B728&lt;=24.9, "Normal Weight", B728&lt;=29.9, "Overweight", TRUE, "Obesity")</f>
        <v>Obesity</v>
      </c>
      <c r="J728" t="str" cm="1">
        <f t="array" ref="J728">_xlfn.IFS(C728&lt;5.7, "Normal", C728&lt;=6.4, "Prediabetes", TRUE, "Diabetes")</f>
        <v>Normal</v>
      </c>
    </row>
    <row r="729" spans="1:10">
      <c r="A729" t="s">
        <v>1456</v>
      </c>
      <c r="B729">
        <v>27.55</v>
      </c>
      <c r="C729">
        <v>9.02</v>
      </c>
      <c r="D729" t="s">
        <v>4682</v>
      </c>
      <c r="E729" t="s">
        <v>4682</v>
      </c>
      <c r="F729" t="s">
        <v>4682</v>
      </c>
      <c r="G729">
        <v>0</v>
      </c>
      <c r="H729" t="s">
        <v>4682</v>
      </c>
      <c r="I729" t="str" cm="1">
        <f t="array" ref="I729">_xlfn.IFS(B729&lt;18.5, "Underweight", B729&lt;=24.9, "Normal Weight", B729&lt;=29.9, "Overweight", TRUE, "Obesity")</f>
        <v>Overweight</v>
      </c>
      <c r="J729" t="str" cm="1">
        <f t="array" ref="J729">_xlfn.IFS(C729&lt;5.7, "Normal", C729&lt;=6.4, "Prediabetes", TRUE, "Diabetes")</f>
        <v>Diabetes</v>
      </c>
    </row>
    <row r="730" spans="1:10">
      <c r="A730" t="s">
        <v>1458</v>
      </c>
      <c r="B730">
        <v>33.11</v>
      </c>
      <c r="C730">
        <v>8.06</v>
      </c>
      <c r="D730" t="s">
        <v>4682</v>
      </c>
      <c r="E730" t="s">
        <v>4682</v>
      </c>
      <c r="F730" t="s">
        <v>4682</v>
      </c>
      <c r="G730">
        <v>0</v>
      </c>
      <c r="H730" t="s">
        <v>4682</v>
      </c>
      <c r="I730" t="str" cm="1">
        <f t="array" ref="I730">_xlfn.IFS(B730&lt;18.5, "Underweight", B730&lt;=24.9, "Normal Weight", B730&lt;=29.9, "Overweight", TRUE, "Obesity")</f>
        <v>Obesity</v>
      </c>
      <c r="J730" t="str" cm="1">
        <f t="array" ref="J730">_xlfn.IFS(C730&lt;5.7, "Normal", C730&lt;=6.4, "Prediabetes", TRUE, "Diabetes")</f>
        <v>Diabetes</v>
      </c>
    </row>
    <row r="731" spans="1:10">
      <c r="A731" t="s">
        <v>1460</v>
      </c>
      <c r="B731">
        <v>36.85</v>
      </c>
      <c r="C731">
        <v>6.21</v>
      </c>
      <c r="D731" t="s">
        <v>4683</v>
      </c>
      <c r="E731" t="s">
        <v>4682</v>
      </c>
      <c r="F731" t="s">
        <v>4682</v>
      </c>
      <c r="G731">
        <v>2</v>
      </c>
      <c r="H731" t="s">
        <v>4682</v>
      </c>
      <c r="I731" t="str" cm="1">
        <f t="array" ref="I731">_xlfn.IFS(B731&lt;18.5, "Underweight", B731&lt;=24.9, "Normal Weight", B731&lt;=29.9, "Overweight", TRUE, "Obesity")</f>
        <v>Obesity</v>
      </c>
      <c r="J731" t="str" cm="1">
        <f t="array" ref="J731">_xlfn.IFS(C731&lt;5.7, "Normal", C731&lt;=6.4, "Prediabetes", TRUE, "Diabetes")</f>
        <v>Prediabetes</v>
      </c>
    </row>
    <row r="732" spans="1:10">
      <c r="A732" t="s">
        <v>1462</v>
      </c>
      <c r="B732">
        <v>36.299999999999997</v>
      </c>
      <c r="C732">
        <v>5.79</v>
      </c>
      <c r="D732" t="s">
        <v>4683</v>
      </c>
      <c r="E732" t="s">
        <v>4682</v>
      </c>
      <c r="F732" t="s">
        <v>4682</v>
      </c>
      <c r="G732">
        <v>2</v>
      </c>
      <c r="H732" t="s">
        <v>4682</v>
      </c>
      <c r="I732" t="str" cm="1">
        <f t="array" ref="I732">_xlfn.IFS(B732&lt;18.5, "Underweight", B732&lt;=24.9, "Normal Weight", B732&lt;=29.9, "Overweight", TRUE, "Obesity")</f>
        <v>Obesity</v>
      </c>
      <c r="J732" t="str" cm="1">
        <f t="array" ref="J732">_xlfn.IFS(C732&lt;5.7, "Normal", C732&lt;=6.4, "Prediabetes", TRUE, "Diabetes")</f>
        <v>Prediabetes</v>
      </c>
    </row>
    <row r="733" spans="1:10">
      <c r="A733" t="s">
        <v>1464</v>
      </c>
      <c r="B733">
        <v>45.34</v>
      </c>
      <c r="C733">
        <v>5.69</v>
      </c>
      <c r="D733" t="s">
        <v>4683</v>
      </c>
      <c r="E733" t="s">
        <v>4682</v>
      </c>
      <c r="F733" t="s">
        <v>4682</v>
      </c>
      <c r="G733">
        <v>0</v>
      </c>
      <c r="H733" t="s">
        <v>4682</v>
      </c>
      <c r="I733" t="str" cm="1">
        <f t="array" ref="I733">_xlfn.IFS(B733&lt;18.5, "Underweight", B733&lt;=24.9, "Normal Weight", B733&lt;=29.9, "Overweight", TRUE, "Obesity")</f>
        <v>Obesity</v>
      </c>
      <c r="J733" t="str" cm="1">
        <f t="array" ref="J733">_xlfn.IFS(C733&lt;5.7, "Normal", C733&lt;=6.4, "Prediabetes", TRUE, "Diabetes")</f>
        <v>Normal</v>
      </c>
    </row>
    <row r="734" spans="1:10">
      <c r="A734" t="s">
        <v>1466</v>
      </c>
      <c r="B734">
        <v>31.8</v>
      </c>
      <c r="C734">
        <v>5.36</v>
      </c>
      <c r="D734" t="s">
        <v>4683</v>
      </c>
      <c r="E734" t="s">
        <v>4682</v>
      </c>
      <c r="F734" t="s">
        <v>4682</v>
      </c>
      <c r="G734">
        <v>2</v>
      </c>
      <c r="H734" t="s">
        <v>4682</v>
      </c>
      <c r="I734" t="str" cm="1">
        <f t="array" ref="I734">_xlfn.IFS(B734&lt;18.5, "Underweight", B734&lt;=24.9, "Normal Weight", B734&lt;=29.9, "Overweight", TRUE, "Obesity")</f>
        <v>Obesity</v>
      </c>
      <c r="J734" t="str" cm="1">
        <f t="array" ref="J734">_xlfn.IFS(C734&lt;5.7, "Normal", C734&lt;=6.4, "Prediabetes", TRUE, "Diabetes")</f>
        <v>Normal</v>
      </c>
    </row>
    <row r="735" spans="1:10">
      <c r="A735" t="s">
        <v>1468</v>
      </c>
      <c r="B735">
        <v>41.02</v>
      </c>
      <c r="C735">
        <v>11.37</v>
      </c>
      <c r="D735" t="s">
        <v>4682</v>
      </c>
      <c r="E735" t="s">
        <v>4682</v>
      </c>
      <c r="F735" t="s">
        <v>4682</v>
      </c>
      <c r="G735">
        <v>0</v>
      </c>
      <c r="H735" t="s">
        <v>4682</v>
      </c>
      <c r="I735" t="str" cm="1">
        <f t="array" ref="I735">_xlfn.IFS(B735&lt;18.5, "Underweight", B735&lt;=24.9, "Normal Weight", B735&lt;=29.9, "Overweight", TRUE, "Obesity")</f>
        <v>Obesity</v>
      </c>
      <c r="J735" t="str" cm="1">
        <f t="array" ref="J735">_xlfn.IFS(C735&lt;5.7, "Normal", C735&lt;=6.4, "Prediabetes", TRUE, "Diabetes")</f>
        <v>Diabetes</v>
      </c>
    </row>
    <row r="736" spans="1:10">
      <c r="A736" t="s">
        <v>1470</v>
      </c>
      <c r="B736">
        <v>32.68</v>
      </c>
      <c r="C736">
        <v>11.87</v>
      </c>
      <c r="D736" t="s">
        <v>4682</v>
      </c>
      <c r="E736" t="s">
        <v>4682</v>
      </c>
      <c r="F736" t="s">
        <v>4682</v>
      </c>
      <c r="G736">
        <v>0</v>
      </c>
      <c r="H736" t="s">
        <v>4682</v>
      </c>
      <c r="I736" t="str" cm="1">
        <f t="array" ref="I736">_xlfn.IFS(B736&lt;18.5, "Underweight", B736&lt;=24.9, "Normal Weight", B736&lt;=29.9, "Overweight", TRUE, "Obesity")</f>
        <v>Obesity</v>
      </c>
      <c r="J736" t="str" cm="1">
        <f t="array" ref="J736">_xlfn.IFS(C736&lt;5.7, "Normal", C736&lt;=6.4, "Prediabetes", TRUE, "Diabetes")</f>
        <v>Diabetes</v>
      </c>
    </row>
    <row r="737" spans="1:10">
      <c r="A737" t="s">
        <v>1472</v>
      </c>
      <c r="B737">
        <v>21.7</v>
      </c>
      <c r="C737">
        <v>4.9000000000000004</v>
      </c>
      <c r="D737" t="s">
        <v>4682</v>
      </c>
      <c r="E737" t="s">
        <v>4682</v>
      </c>
      <c r="F737" t="s">
        <v>4684</v>
      </c>
      <c r="G737">
        <v>1</v>
      </c>
      <c r="H737" t="s">
        <v>4683</v>
      </c>
      <c r="I737" t="str" cm="1">
        <f t="array" ref="I737">_xlfn.IFS(B737&lt;18.5, "Underweight", B737&lt;=24.9, "Normal Weight", B737&lt;=29.9, "Overweight", TRUE, "Obesity")</f>
        <v>Normal Weight</v>
      </c>
      <c r="J737" t="str" cm="1">
        <f t="array" ref="J737">_xlfn.IFS(C737&lt;5.7, "Normal", C737&lt;=6.4, "Prediabetes", TRUE, "Diabetes")</f>
        <v>Normal</v>
      </c>
    </row>
    <row r="738" spans="1:10">
      <c r="A738" t="s">
        <v>1474</v>
      </c>
      <c r="B738">
        <v>40.479999999999997</v>
      </c>
      <c r="C738">
        <v>6.7</v>
      </c>
      <c r="D738" t="s">
        <v>4682</v>
      </c>
      <c r="E738" t="s">
        <v>4682</v>
      </c>
      <c r="F738" t="s">
        <v>4682</v>
      </c>
      <c r="G738">
        <v>3</v>
      </c>
      <c r="H738" t="s">
        <v>4682</v>
      </c>
      <c r="I738" t="str" cm="1">
        <f t="array" ref="I738">_xlfn.IFS(B738&lt;18.5, "Underweight", B738&lt;=24.9, "Normal Weight", B738&lt;=29.9, "Overweight", TRUE, "Obesity")</f>
        <v>Obesity</v>
      </c>
      <c r="J738" t="str" cm="1">
        <f t="array" ref="J738">_xlfn.IFS(C738&lt;5.7, "Normal", C738&lt;=6.4, "Prediabetes", TRUE, "Diabetes")</f>
        <v>Diabetes</v>
      </c>
    </row>
    <row r="739" spans="1:10">
      <c r="A739" t="s">
        <v>1476</v>
      </c>
      <c r="B739">
        <v>34.5</v>
      </c>
      <c r="C739">
        <v>10.3</v>
      </c>
      <c r="D739" t="s">
        <v>4682</v>
      </c>
      <c r="E739" t="s">
        <v>4682</v>
      </c>
      <c r="F739" t="s">
        <v>4682</v>
      </c>
      <c r="G739">
        <v>3</v>
      </c>
      <c r="H739" t="s">
        <v>4682</v>
      </c>
      <c r="I739" t="str" cm="1">
        <f t="array" ref="I739">_xlfn.IFS(B739&lt;18.5, "Underweight", B739&lt;=24.9, "Normal Weight", B739&lt;=29.9, "Overweight", TRUE, "Obesity")</f>
        <v>Obesity</v>
      </c>
      <c r="J739" t="str" cm="1">
        <f t="array" ref="J739">_xlfn.IFS(C739&lt;5.7, "Normal", C739&lt;=6.4, "Prediabetes", TRUE, "Diabetes")</f>
        <v>Diabetes</v>
      </c>
    </row>
    <row r="740" spans="1:10">
      <c r="A740" t="s">
        <v>1478</v>
      </c>
      <c r="B740">
        <v>45.9</v>
      </c>
      <c r="C740">
        <v>11.14</v>
      </c>
      <c r="D740" t="s">
        <v>4683</v>
      </c>
      <c r="E740" t="s">
        <v>4682</v>
      </c>
      <c r="F740" t="s">
        <v>4682</v>
      </c>
      <c r="G740">
        <v>1</v>
      </c>
      <c r="H740" t="s">
        <v>4682</v>
      </c>
      <c r="I740" t="str" cm="1">
        <f t="array" ref="I740">_xlfn.IFS(B740&lt;18.5, "Underweight", B740&lt;=24.9, "Normal Weight", B740&lt;=29.9, "Overweight", TRUE, "Obesity")</f>
        <v>Obesity</v>
      </c>
      <c r="J740" t="str" cm="1">
        <f t="array" ref="J740">_xlfn.IFS(C740&lt;5.7, "Normal", C740&lt;=6.4, "Prediabetes", TRUE, "Diabetes")</f>
        <v>Diabetes</v>
      </c>
    </row>
    <row r="741" spans="1:10">
      <c r="A741" t="s">
        <v>1480</v>
      </c>
      <c r="B741">
        <v>33.479999999999997</v>
      </c>
      <c r="C741">
        <v>4.74</v>
      </c>
      <c r="D741" t="s">
        <v>4683</v>
      </c>
      <c r="E741" t="s">
        <v>4682</v>
      </c>
      <c r="F741" t="s">
        <v>4682</v>
      </c>
      <c r="G741">
        <v>2</v>
      </c>
      <c r="H741" t="s">
        <v>4682</v>
      </c>
      <c r="I741" t="str" cm="1">
        <f t="array" ref="I741">_xlfn.IFS(B741&lt;18.5, "Underweight", B741&lt;=24.9, "Normal Weight", B741&lt;=29.9, "Overweight", TRUE, "Obesity")</f>
        <v>Obesity</v>
      </c>
      <c r="J741" t="str" cm="1">
        <f t="array" ref="J741">_xlfn.IFS(C741&lt;5.7, "Normal", C741&lt;=6.4, "Prediabetes", TRUE, "Diabetes")</f>
        <v>Normal</v>
      </c>
    </row>
    <row r="742" spans="1:10">
      <c r="A742" t="s">
        <v>1482</v>
      </c>
      <c r="B742">
        <v>28.31</v>
      </c>
      <c r="C742">
        <v>5.96</v>
      </c>
      <c r="D742" t="s">
        <v>4683</v>
      </c>
      <c r="E742" t="s">
        <v>4682</v>
      </c>
      <c r="F742" t="s">
        <v>4682</v>
      </c>
      <c r="G742">
        <v>2</v>
      </c>
      <c r="H742" t="s">
        <v>4682</v>
      </c>
      <c r="I742" t="str" cm="1">
        <f t="array" ref="I742">_xlfn.IFS(B742&lt;18.5, "Underweight", B742&lt;=24.9, "Normal Weight", B742&lt;=29.9, "Overweight", TRUE, "Obesity")</f>
        <v>Overweight</v>
      </c>
      <c r="J742" t="str" cm="1">
        <f t="array" ref="J742">_xlfn.IFS(C742&lt;5.7, "Normal", C742&lt;=6.4, "Prediabetes", TRUE, "Diabetes")</f>
        <v>Prediabetes</v>
      </c>
    </row>
    <row r="743" spans="1:10">
      <c r="A743" t="s">
        <v>1484</v>
      </c>
      <c r="B743">
        <v>21.565000000000001</v>
      </c>
      <c r="C743">
        <v>4.95</v>
      </c>
      <c r="D743" t="s">
        <v>4682</v>
      </c>
      <c r="E743" t="s">
        <v>4683</v>
      </c>
      <c r="F743" t="s">
        <v>4682</v>
      </c>
      <c r="G743">
        <v>1</v>
      </c>
      <c r="H743" t="s">
        <v>4683</v>
      </c>
      <c r="I743" t="str" cm="1">
        <f t="array" ref="I743">_xlfn.IFS(B743&lt;18.5, "Underweight", B743&lt;=24.9, "Normal Weight", B743&lt;=29.9, "Overweight", TRUE, "Obesity")</f>
        <v>Normal Weight</v>
      </c>
      <c r="J743" t="str" cm="1">
        <f t="array" ref="J743">_xlfn.IFS(C743&lt;5.7, "Normal", C743&lt;=6.4, "Prediabetes", TRUE, "Diabetes")</f>
        <v>Normal</v>
      </c>
    </row>
    <row r="744" spans="1:10">
      <c r="A744" t="s">
        <v>1486</v>
      </c>
      <c r="B744">
        <v>35.590000000000003</v>
      </c>
      <c r="C744">
        <v>5.21</v>
      </c>
      <c r="D744" t="s">
        <v>4683</v>
      </c>
      <c r="E744" t="s">
        <v>4682</v>
      </c>
      <c r="F744" t="s">
        <v>4684</v>
      </c>
      <c r="G744">
        <v>1</v>
      </c>
      <c r="H744" t="s">
        <v>4682</v>
      </c>
      <c r="I744" t="str" cm="1">
        <f t="array" ref="I744">_xlfn.IFS(B744&lt;18.5, "Underweight", B744&lt;=24.9, "Normal Weight", B744&lt;=29.9, "Overweight", TRUE, "Obesity")</f>
        <v>Obesity</v>
      </c>
      <c r="J744" t="str" cm="1">
        <f t="array" ref="J744">_xlfn.IFS(C744&lt;5.7, "Normal", C744&lt;=6.4, "Prediabetes", TRUE, "Diabetes")</f>
        <v>Normal</v>
      </c>
    </row>
    <row r="745" spans="1:10">
      <c r="A745" t="s">
        <v>1488</v>
      </c>
      <c r="B745">
        <v>43.44</v>
      </c>
      <c r="C745">
        <v>4.8600000000000003</v>
      </c>
      <c r="D745" t="s">
        <v>4683</v>
      </c>
      <c r="E745" t="s">
        <v>4682</v>
      </c>
      <c r="F745" t="s">
        <v>4682</v>
      </c>
      <c r="G745">
        <v>0</v>
      </c>
      <c r="H745" t="s">
        <v>4682</v>
      </c>
      <c r="I745" t="str" cm="1">
        <f t="array" ref="I745">_xlfn.IFS(B745&lt;18.5, "Underweight", B745&lt;=24.9, "Normal Weight", B745&lt;=29.9, "Overweight", TRUE, "Obesity")</f>
        <v>Obesity</v>
      </c>
      <c r="J745" t="str" cm="1">
        <f t="array" ref="J745">_xlfn.IFS(C745&lt;5.7, "Normal", C745&lt;=6.4, "Prediabetes", TRUE, "Diabetes")</f>
        <v>Normal</v>
      </c>
    </row>
    <row r="746" spans="1:10">
      <c r="A746" t="s">
        <v>1490</v>
      </c>
      <c r="B746">
        <v>21.754999999999999</v>
      </c>
      <c r="C746">
        <v>7.79</v>
      </c>
      <c r="D746" t="s">
        <v>4683</v>
      </c>
      <c r="E746" t="s">
        <v>4682</v>
      </c>
      <c r="F746" t="s">
        <v>4682</v>
      </c>
      <c r="G746">
        <v>0</v>
      </c>
      <c r="H746" t="s">
        <v>4682</v>
      </c>
      <c r="I746" t="str" cm="1">
        <f t="array" ref="I746">_xlfn.IFS(B746&lt;18.5, "Underweight", B746&lt;=24.9, "Normal Weight", B746&lt;=29.9, "Overweight", TRUE, "Obesity")</f>
        <v>Normal Weight</v>
      </c>
      <c r="J746" t="str" cm="1">
        <f t="array" ref="J746">_xlfn.IFS(C746&lt;5.7, "Normal", C746&lt;=6.4, "Prediabetes", TRUE, "Diabetes")</f>
        <v>Diabetes</v>
      </c>
    </row>
    <row r="747" spans="1:10">
      <c r="A747" t="s">
        <v>1492</v>
      </c>
      <c r="B747">
        <v>44.55</v>
      </c>
      <c r="C747">
        <v>7.12</v>
      </c>
      <c r="D747" t="s">
        <v>4683</v>
      </c>
      <c r="E747" t="s">
        <v>4682</v>
      </c>
      <c r="F747" t="s">
        <v>4682</v>
      </c>
      <c r="G747">
        <v>1</v>
      </c>
      <c r="H747" t="s">
        <v>4682</v>
      </c>
      <c r="I747" t="str" cm="1">
        <f t="array" ref="I747">_xlfn.IFS(B747&lt;18.5, "Underweight", B747&lt;=24.9, "Normal Weight", B747&lt;=29.9, "Overweight", TRUE, "Obesity")</f>
        <v>Obesity</v>
      </c>
      <c r="J747" t="str" cm="1">
        <f t="array" ref="J747">_xlfn.IFS(C747&lt;5.7, "Normal", C747&lt;=6.4, "Prediabetes", TRUE, "Diabetes")</f>
        <v>Diabetes</v>
      </c>
    </row>
    <row r="748" spans="1:10">
      <c r="A748" t="s">
        <v>1494</v>
      </c>
      <c r="B748">
        <v>43.32</v>
      </c>
      <c r="C748">
        <v>4.67</v>
      </c>
      <c r="D748" t="s">
        <v>4683</v>
      </c>
      <c r="E748" t="s">
        <v>4682</v>
      </c>
      <c r="F748" t="s">
        <v>4682</v>
      </c>
      <c r="G748">
        <v>0</v>
      </c>
      <c r="H748" t="s">
        <v>4682</v>
      </c>
      <c r="I748" t="str" cm="1">
        <f t="array" ref="I748">_xlfn.IFS(B748&lt;18.5, "Underweight", B748&lt;=24.9, "Normal Weight", B748&lt;=29.9, "Overweight", TRUE, "Obesity")</f>
        <v>Obesity</v>
      </c>
      <c r="J748" t="str" cm="1">
        <f t="array" ref="J748">_xlfn.IFS(C748&lt;5.7, "Normal", C748&lt;=6.4, "Prediabetes", TRUE, "Diabetes")</f>
        <v>Normal</v>
      </c>
    </row>
    <row r="749" spans="1:10">
      <c r="A749" t="s">
        <v>1496</v>
      </c>
      <c r="B749">
        <v>31.23</v>
      </c>
      <c r="C749">
        <v>9.1199999999999992</v>
      </c>
      <c r="D749" t="s">
        <v>4683</v>
      </c>
      <c r="E749" t="s">
        <v>4682</v>
      </c>
      <c r="F749" t="s">
        <v>4684</v>
      </c>
      <c r="G749">
        <v>1</v>
      </c>
      <c r="H749" t="s">
        <v>4682</v>
      </c>
      <c r="I749" t="str" cm="1">
        <f t="array" ref="I749">_xlfn.IFS(B749&lt;18.5, "Underweight", B749&lt;=24.9, "Normal Weight", B749&lt;=29.9, "Overweight", TRUE, "Obesity")</f>
        <v>Obesity</v>
      </c>
      <c r="J749" t="str" cm="1">
        <f t="array" ref="J749">_xlfn.IFS(C749&lt;5.7, "Normal", C749&lt;=6.4, "Prediabetes", TRUE, "Diabetes")</f>
        <v>Diabetes</v>
      </c>
    </row>
    <row r="750" spans="1:10">
      <c r="A750" t="s">
        <v>1498</v>
      </c>
      <c r="B750">
        <v>42.81</v>
      </c>
      <c r="C750">
        <v>4.1500000000000004</v>
      </c>
      <c r="D750" t="s">
        <v>4682</v>
      </c>
      <c r="E750" t="s">
        <v>4682</v>
      </c>
      <c r="F750" t="s">
        <v>4682</v>
      </c>
      <c r="G750">
        <v>1</v>
      </c>
      <c r="H750" t="s">
        <v>4682</v>
      </c>
      <c r="I750" t="str" cm="1">
        <f t="array" ref="I750">_xlfn.IFS(B750&lt;18.5, "Underweight", B750&lt;=24.9, "Normal Weight", B750&lt;=29.9, "Overweight", TRUE, "Obesity")</f>
        <v>Obesity</v>
      </c>
      <c r="J750" t="str" cm="1">
        <f t="array" ref="J750">_xlfn.IFS(C750&lt;5.7, "Normal", C750&lt;=6.4, "Prediabetes", TRUE, "Diabetes")</f>
        <v>Normal</v>
      </c>
    </row>
    <row r="751" spans="1:10">
      <c r="A751" t="s">
        <v>1500</v>
      </c>
      <c r="B751">
        <v>35.909999999999997</v>
      </c>
      <c r="C751">
        <v>6.72</v>
      </c>
      <c r="D751" t="s">
        <v>4683</v>
      </c>
      <c r="E751" t="s">
        <v>4682</v>
      </c>
      <c r="F751" t="s">
        <v>4682</v>
      </c>
      <c r="G751">
        <v>2</v>
      </c>
      <c r="H751" t="s">
        <v>4682</v>
      </c>
      <c r="I751" t="str" cm="1">
        <f t="array" ref="I751">_xlfn.IFS(B751&lt;18.5, "Underweight", B751&lt;=24.9, "Normal Weight", B751&lt;=29.9, "Overweight", TRUE, "Obesity")</f>
        <v>Obesity</v>
      </c>
      <c r="J751" t="str" cm="1">
        <f t="array" ref="J751">_xlfn.IFS(C751&lt;5.7, "Normal", C751&lt;=6.4, "Prediabetes", TRUE, "Diabetes")</f>
        <v>Diabetes</v>
      </c>
    </row>
    <row r="752" spans="1:10">
      <c r="A752" t="s">
        <v>1502</v>
      </c>
      <c r="B752">
        <v>36.65</v>
      </c>
      <c r="C752">
        <v>5.01</v>
      </c>
      <c r="D752" t="s">
        <v>4683</v>
      </c>
      <c r="E752" t="s">
        <v>4682</v>
      </c>
      <c r="F752" t="s">
        <v>4684</v>
      </c>
      <c r="G752">
        <v>1</v>
      </c>
      <c r="H752" t="s">
        <v>4682</v>
      </c>
      <c r="I752" t="str" cm="1">
        <f t="array" ref="I752">_xlfn.IFS(B752&lt;18.5, "Underweight", B752&lt;=24.9, "Normal Weight", B752&lt;=29.9, "Overweight", TRUE, "Obesity")</f>
        <v>Obesity</v>
      </c>
      <c r="J752" t="str" cm="1">
        <f t="array" ref="J752">_xlfn.IFS(C752&lt;5.7, "Normal", C752&lt;=6.4, "Prediabetes", TRUE, "Diabetes")</f>
        <v>Normal</v>
      </c>
    </row>
    <row r="753" spans="1:10">
      <c r="A753" t="s">
        <v>1504</v>
      </c>
      <c r="B753">
        <v>22.04</v>
      </c>
      <c r="C753">
        <v>10.9</v>
      </c>
      <c r="D753" t="s">
        <v>4683</v>
      </c>
      <c r="E753" t="s">
        <v>4682</v>
      </c>
      <c r="F753" t="s">
        <v>4682</v>
      </c>
      <c r="G753">
        <v>2</v>
      </c>
      <c r="H753" t="s">
        <v>4682</v>
      </c>
      <c r="I753" t="str" cm="1">
        <f t="array" ref="I753">_xlfn.IFS(B753&lt;18.5, "Underweight", B753&lt;=24.9, "Normal Weight", B753&lt;=29.9, "Overweight", TRUE, "Obesity")</f>
        <v>Normal Weight</v>
      </c>
      <c r="J753" t="str" cm="1">
        <f t="array" ref="J753">_xlfn.IFS(C753&lt;5.7, "Normal", C753&lt;=6.4, "Prediabetes", TRUE, "Diabetes")</f>
        <v>Diabetes</v>
      </c>
    </row>
    <row r="754" spans="1:10">
      <c r="A754" t="s">
        <v>1506</v>
      </c>
      <c r="B754">
        <v>31.824999999999999</v>
      </c>
      <c r="C754">
        <v>5.52</v>
      </c>
      <c r="D754" t="s">
        <v>4683</v>
      </c>
      <c r="E754" t="s">
        <v>4682</v>
      </c>
      <c r="F754" t="s">
        <v>4682</v>
      </c>
      <c r="G754">
        <v>1</v>
      </c>
      <c r="H754" t="s">
        <v>4682</v>
      </c>
      <c r="I754" t="str" cm="1">
        <f t="array" ref="I754">_xlfn.IFS(B754&lt;18.5, "Underweight", B754&lt;=24.9, "Normal Weight", B754&lt;=29.9, "Overweight", TRUE, "Obesity")</f>
        <v>Obesity</v>
      </c>
      <c r="J754" t="str" cm="1">
        <f t="array" ref="J754">_xlfn.IFS(C754&lt;5.7, "Normal", C754&lt;=6.4, "Prediabetes", TRUE, "Diabetes")</f>
        <v>Normal</v>
      </c>
    </row>
    <row r="755" spans="1:10">
      <c r="A755" t="s">
        <v>1508</v>
      </c>
      <c r="B755">
        <v>53.58</v>
      </c>
      <c r="C755">
        <v>4.55</v>
      </c>
      <c r="D755" t="s">
        <v>4682</v>
      </c>
      <c r="E755" t="s">
        <v>4682</v>
      </c>
      <c r="F755" t="s">
        <v>4682</v>
      </c>
      <c r="G755">
        <v>1</v>
      </c>
      <c r="H755" t="s">
        <v>4682</v>
      </c>
      <c r="I755" t="str" cm="1">
        <f t="array" ref="I755">_xlfn.IFS(B755&lt;18.5, "Underweight", B755&lt;=24.9, "Normal Weight", B755&lt;=29.9, "Overweight", TRUE, "Obesity")</f>
        <v>Obesity</v>
      </c>
      <c r="J755" t="str" cm="1">
        <f t="array" ref="J755">_xlfn.IFS(C755&lt;5.7, "Normal", C755&lt;=6.4, "Prediabetes", TRUE, "Diabetes")</f>
        <v>Normal</v>
      </c>
    </row>
    <row r="756" spans="1:10">
      <c r="A756" t="s">
        <v>1510</v>
      </c>
      <c r="B756">
        <v>34.299999999999997</v>
      </c>
      <c r="C756">
        <v>11.76</v>
      </c>
      <c r="D756" t="s">
        <v>4682</v>
      </c>
      <c r="E756" t="s">
        <v>4682</v>
      </c>
      <c r="F756" t="s">
        <v>4682</v>
      </c>
      <c r="G756">
        <v>0</v>
      </c>
      <c r="H756" t="s">
        <v>4682</v>
      </c>
      <c r="I756" t="str" cm="1">
        <f t="array" ref="I756">_xlfn.IFS(B756&lt;18.5, "Underweight", B756&lt;=24.9, "Normal Weight", B756&lt;=29.9, "Overweight", TRUE, "Obesity")</f>
        <v>Obesity</v>
      </c>
      <c r="J756" t="str" cm="1">
        <f t="array" ref="J756">_xlfn.IFS(C756&lt;5.7, "Normal", C756&lt;=6.4, "Prediabetes", TRUE, "Diabetes")</f>
        <v>Diabetes</v>
      </c>
    </row>
    <row r="757" spans="1:10">
      <c r="A757" t="s">
        <v>1512</v>
      </c>
      <c r="B757">
        <v>32.11</v>
      </c>
      <c r="C757">
        <v>7.06</v>
      </c>
      <c r="D757" t="s">
        <v>4682</v>
      </c>
      <c r="E757" t="s">
        <v>4682</v>
      </c>
      <c r="F757" t="s">
        <v>4682</v>
      </c>
      <c r="G757">
        <v>0</v>
      </c>
      <c r="H757" t="s">
        <v>4682</v>
      </c>
      <c r="I757" t="str" cm="1">
        <f t="array" ref="I757">_xlfn.IFS(B757&lt;18.5, "Underweight", B757&lt;=24.9, "Normal Weight", B757&lt;=29.9, "Overweight", TRUE, "Obesity")</f>
        <v>Obesity</v>
      </c>
      <c r="J757" t="str" cm="1">
        <f t="array" ref="J757">_xlfn.IFS(C757&lt;5.7, "Normal", C757&lt;=6.4, "Prediabetes", TRUE, "Diabetes")</f>
        <v>Diabetes</v>
      </c>
    </row>
    <row r="758" spans="1:10">
      <c r="A758" t="s">
        <v>1514</v>
      </c>
      <c r="B758">
        <v>31.78</v>
      </c>
      <c r="C758">
        <v>11.35</v>
      </c>
      <c r="D758" t="s">
        <v>4683</v>
      </c>
      <c r="E758" t="s">
        <v>4682</v>
      </c>
      <c r="F758" t="s">
        <v>4684</v>
      </c>
      <c r="G758">
        <v>1</v>
      </c>
      <c r="H758" t="s">
        <v>4682</v>
      </c>
      <c r="I758" t="str" cm="1">
        <f t="array" ref="I758">_xlfn.IFS(B758&lt;18.5, "Underweight", B758&lt;=24.9, "Normal Weight", B758&lt;=29.9, "Overweight", TRUE, "Obesity")</f>
        <v>Obesity</v>
      </c>
      <c r="J758" t="str" cm="1">
        <f t="array" ref="J758">_xlfn.IFS(C758&lt;5.7, "Normal", C758&lt;=6.4, "Prediabetes", TRUE, "Diabetes")</f>
        <v>Diabetes</v>
      </c>
    </row>
    <row r="759" spans="1:10">
      <c r="A759" t="s">
        <v>1516</v>
      </c>
      <c r="B759">
        <v>46.89</v>
      </c>
      <c r="C759">
        <v>5.52</v>
      </c>
      <c r="D759" t="s">
        <v>4682</v>
      </c>
      <c r="E759" t="s">
        <v>4682</v>
      </c>
      <c r="F759" t="s">
        <v>4682</v>
      </c>
      <c r="G759">
        <v>0</v>
      </c>
      <c r="H759" t="s">
        <v>4682</v>
      </c>
      <c r="I759" t="str" cm="1">
        <f t="array" ref="I759">_xlfn.IFS(B759&lt;18.5, "Underweight", B759&lt;=24.9, "Normal Weight", B759&lt;=29.9, "Overweight", TRUE, "Obesity")</f>
        <v>Obesity</v>
      </c>
      <c r="J759" t="str" cm="1">
        <f t="array" ref="J759">_xlfn.IFS(C759&lt;5.7, "Normal", C759&lt;=6.4, "Prediabetes", TRUE, "Diabetes")</f>
        <v>Normal</v>
      </c>
    </row>
    <row r="760" spans="1:10">
      <c r="A760" t="s">
        <v>1518</v>
      </c>
      <c r="B760">
        <v>39.35</v>
      </c>
      <c r="C760">
        <v>7.86</v>
      </c>
      <c r="D760" t="s">
        <v>4683</v>
      </c>
      <c r="E760" t="s">
        <v>4682</v>
      </c>
      <c r="F760" t="s">
        <v>4682</v>
      </c>
      <c r="G760">
        <v>1</v>
      </c>
      <c r="H760" t="s">
        <v>4682</v>
      </c>
      <c r="I760" t="str" cm="1">
        <f t="array" ref="I760">_xlfn.IFS(B760&lt;18.5, "Underweight", B760&lt;=24.9, "Normal Weight", B760&lt;=29.9, "Overweight", TRUE, "Obesity")</f>
        <v>Obesity</v>
      </c>
      <c r="J760" t="str" cm="1">
        <f t="array" ref="J760">_xlfn.IFS(C760&lt;5.7, "Normal", C760&lt;=6.4, "Prediabetes", TRUE, "Diabetes")</f>
        <v>Diabetes</v>
      </c>
    </row>
    <row r="761" spans="1:10">
      <c r="A761" t="s">
        <v>1520</v>
      </c>
      <c r="B761">
        <v>39.200000000000003</v>
      </c>
      <c r="C761">
        <v>11.38</v>
      </c>
      <c r="D761" t="s">
        <v>4682</v>
      </c>
      <c r="E761" t="s">
        <v>4682</v>
      </c>
      <c r="F761" t="s">
        <v>4682</v>
      </c>
      <c r="G761">
        <v>0</v>
      </c>
      <c r="H761" t="s">
        <v>4682</v>
      </c>
      <c r="I761" t="str" cm="1">
        <f t="array" ref="I761">_xlfn.IFS(B761&lt;18.5, "Underweight", B761&lt;=24.9, "Normal Weight", B761&lt;=29.9, "Overweight", TRUE, "Obesity")</f>
        <v>Obesity</v>
      </c>
      <c r="J761" t="str" cm="1">
        <f t="array" ref="J761">_xlfn.IFS(C761&lt;5.7, "Normal", C761&lt;=6.4, "Prediabetes", TRUE, "Diabetes")</f>
        <v>Diabetes</v>
      </c>
    </row>
    <row r="762" spans="1:10">
      <c r="A762" t="s">
        <v>1522</v>
      </c>
      <c r="B762">
        <v>39.159999999999997</v>
      </c>
      <c r="C762">
        <v>10.48</v>
      </c>
      <c r="D762" t="s">
        <v>4682</v>
      </c>
      <c r="E762" t="s">
        <v>4682</v>
      </c>
      <c r="F762" t="s">
        <v>4682</v>
      </c>
      <c r="G762">
        <v>0</v>
      </c>
      <c r="H762" t="s">
        <v>4682</v>
      </c>
      <c r="I762" t="str" cm="1">
        <f t="array" ref="I762">_xlfn.IFS(B762&lt;18.5, "Underweight", B762&lt;=24.9, "Normal Weight", B762&lt;=29.9, "Overweight", TRUE, "Obesity")</f>
        <v>Obesity</v>
      </c>
      <c r="J762" t="str" cm="1">
        <f t="array" ref="J762">_xlfn.IFS(C762&lt;5.7, "Normal", C762&lt;=6.4, "Prediabetes", TRUE, "Diabetes")</f>
        <v>Diabetes</v>
      </c>
    </row>
    <row r="763" spans="1:10">
      <c r="A763" t="s">
        <v>1524</v>
      </c>
      <c r="B763">
        <v>44.1</v>
      </c>
      <c r="C763">
        <v>5.04</v>
      </c>
      <c r="D763" t="s">
        <v>4683</v>
      </c>
      <c r="E763" t="s">
        <v>4682</v>
      </c>
      <c r="F763" t="s">
        <v>4682</v>
      </c>
      <c r="G763">
        <v>0</v>
      </c>
      <c r="H763" t="s">
        <v>4682</v>
      </c>
      <c r="I763" t="str" cm="1">
        <f t="array" ref="I763">_xlfn.IFS(B763&lt;18.5, "Underweight", B763&lt;=24.9, "Normal Weight", B763&lt;=29.9, "Overweight", TRUE, "Obesity")</f>
        <v>Obesity</v>
      </c>
      <c r="J763" t="str" cm="1">
        <f t="array" ref="J763">_xlfn.IFS(C763&lt;5.7, "Normal", C763&lt;=6.4, "Prediabetes", TRUE, "Diabetes")</f>
        <v>Normal</v>
      </c>
    </row>
    <row r="764" spans="1:10">
      <c r="A764" t="s">
        <v>1526</v>
      </c>
      <c r="B764">
        <v>33.200000000000003</v>
      </c>
      <c r="C764">
        <v>9.06</v>
      </c>
      <c r="D764" t="s">
        <v>4682</v>
      </c>
      <c r="E764" t="s">
        <v>4682</v>
      </c>
      <c r="F764" t="s">
        <v>4682</v>
      </c>
      <c r="G764">
        <v>0</v>
      </c>
      <c r="H764" t="s">
        <v>4682</v>
      </c>
      <c r="I764" t="str" cm="1">
        <f t="array" ref="I764">_xlfn.IFS(B764&lt;18.5, "Underweight", B764&lt;=24.9, "Normal Weight", B764&lt;=29.9, "Overweight", TRUE, "Obesity")</f>
        <v>Obesity</v>
      </c>
      <c r="J764" t="str" cm="1">
        <f t="array" ref="J764">_xlfn.IFS(C764&lt;5.7, "Normal", C764&lt;=6.4, "Prediabetes", TRUE, "Diabetes")</f>
        <v>Diabetes</v>
      </c>
    </row>
    <row r="765" spans="1:10">
      <c r="A765" t="s">
        <v>1528</v>
      </c>
      <c r="B765">
        <v>29.92</v>
      </c>
      <c r="C765">
        <v>11.07</v>
      </c>
      <c r="D765" t="s">
        <v>4682</v>
      </c>
      <c r="E765" t="s">
        <v>4682</v>
      </c>
      <c r="F765" t="s">
        <v>4682</v>
      </c>
      <c r="G765">
        <v>0</v>
      </c>
      <c r="H765" t="s">
        <v>4682</v>
      </c>
      <c r="I765" t="str" cm="1">
        <f t="array" ref="I765">_xlfn.IFS(B765&lt;18.5, "Underweight", B765&lt;=24.9, "Normal Weight", B765&lt;=29.9, "Overweight", TRUE, "Obesity")</f>
        <v>Obesity</v>
      </c>
      <c r="J765" t="str" cm="1">
        <f t="array" ref="J765">_xlfn.IFS(C765&lt;5.7, "Normal", C765&lt;=6.4, "Prediabetes", TRUE, "Diabetes")</f>
        <v>Diabetes</v>
      </c>
    </row>
    <row r="766" spans="1:10">
      <c r="A766" t="s">
        <v>1530</v>
      </c>
      <c r="B766">
        <v>25</v>
      </c>
      <c r="C766">
        <v>10.45</v>
      </c>
      <c r="D766" t="s">
        <v>4682</v>
      </c>
      <c r="E766" t="s">
        <v>4682</v>
      </c>
      <c r="F766" t="s">
        <v>4682</v>
      </c>
      <c r="G766">
        <v>0</v>
      </c>
      <c r="H766" t="s">
        <v>4682</v>
      </c>
      <c r="I766" t="str" cm="1">
        <f t="array" ref="I766">_xlfn.IFS(B766&lt;18.5, "Underweight", B766&lt;=24.9, "Normal Weight", B766&lt;=29.9, "Overweight", TRUE, "Obesity")</f>
        <v>Overweight</v>
      </c>
      <c r="J766" t="str" cm="1">
        <f t="array" ref="J766">_xlfn.IFS(C766&lt;5.7, "Normal", C766&lt;=6.4, "Prediabetes", TRUE, "Diabetes")</f>
        <v>Diabetes</v>
      </c>
    </row>
    <row r="767" spans="1:10">
      <c r="A767" t="s">
        <v>1532</v>
      </c>
      <c r="B767">
        <v>38.869999999999997</v>
      </c>
      <c r="C767">
        <v>8.6300000000000008</v>
      </c>
      <c r="D767" t="s">
        <v>4683</v>
      </c>
      <c r="E767" t="s">
        <v>4682</v>
      </c>
      <c r="F767" t="s">
        <v>4682</v>
      </c>
      <c r="G767">
        <v>1</v>
      </c>
      <c r="H767" t="s">
        <v>4682</v>
      </c>
      <c r="I767" t="str" cm="1">
        <f t="array" ref="I767">_xlfn.IFS(B767&lt;18.5, "Underweight", B767&lt;=24.9, "Normal Weight", B767&lt;=29.9, "Overweight", TRUE, "Obesity")</f>
        <v>Obesity</v>
      </c>
      <c r="J767" t="str" cm="1">
        <f t="array" ref="J767">_xlfn.IFS(C767&lt;5.7, "Normal", C767&lt;=6.4, "Prediabetes", TRUE, "Diabetes")</f>
        <v>Diabetes</v>
      </c>
    </row>
    <row r="768" spans="1:10">
      <c r="A768" t="s">
        <v>1534</v>
      </c>
      <c r="B768">
        <v>32.299999999999997</v>
      </c>
      <c r="C768">
        <v>5.28</v>
      </c>
      <c r="D768" t="s">
        <v>4683</v>
      </c>
      <c r="E768" t="s">
        <v>4682</v>
      </c>
      <c r="F768" t="s">
        <v>4682</v>
      </c>
      <c r="G768">
        <v>2</v>
      </c>
      <c r="H768" t="s">
        <v>4682</v>
      </c>
      <c r="I768" t="str" cm="1">
        <f t="array" ref="I768">_xlfn.IFS(B768&lt;18.5, "Underweight", B768&lt;=24.9, "Normal Weight", B768&lt;=29.9, "Overweight", TRUE, "Obesity")</f>
        <v>Obesity</v>
      </c>
      <c r="J768" t="str" cm="1">
        <f t="array" ref="J768">_xlfn.IFS(C768&lt;5.7, "Normal", C768&lt;=6.4, "Prediabetes", TRUE, "Diabetes")</f>
        <v>Normal</v>
      </c>
    </row>
    <row r="769" spans="1:10">
      <c r="A769" t="s">
        <v>1536</v>
      </c>
      <c r="B769">
        <v>31.16</v>
      </c>
      <c r="C769">
        <v>7.49</v>
      </c>
      <c r="D769" t="s">
        <v>4683</v>
      </c>
      <c r="E769" t="s">
        <v>4682</v>
      </c>
      <c r="F769" t="s">
        <v>4682</v>
      </c>
      <c r="G769">
        <v>2</v>
      </c>
      <c r="H769" t="s">
        <v>4682</v>
      </c>
      <c r="I769" t="str" cm="1">
        <f t="array" ref="I769">_xlfn.IFS(B769&lt;18.5, "Underweight", B769&lt;=24.9, "Normal Weight", B769&lt;=29.9, "Overweight", TRUE, "Obesity")</f>
        <v>Obesity</v>
      </c>
      <c r="J769" t="str" cm="1">
        <f t="array" ref="J769">_xlfn.IFS(C769&lt;5.7, "Normal", C769&lt;=6.4, "Prediabetes", TRUE, "Diabetes")</f>
        <v>Diabetes</v>
      </c>
    </row>
    <row r="770" spans="1:10">
      <c r="A770" t="s">
        <v>1538</v>
      </c>
      <c r="B770">
        <v>54.59</v>
      </c>
      <c r="C770">
        <v>4.2699999999999996</v>
      </c>
      <c r="D770" t="s">
        <v>4682</v>
      </c>
      <c r="E770" t="s">
        <v>4682</v>
      </c>
      <c r="F770" t="s">
        <v>4682</v>
      </c>
      <c r="G770">
        <v>0</v>
      </c>
      <c r="H770" t="s">
        <v>4682</v>
      </c>
      <c r="I770" t="str" cm="1">
        <f t="array" ref="I770">_xlfn.IFS(B770&lt;18.5, "Underweight", B770&lt;=24.9, "Normal Weight", B770&lt;=29.9, "Overweight", TRUE, "Obesity")</f>
        <v>Obesity</v>
      </c>
      <c r="J770" t="str" cm="1">
        <f t="array" ref="J770">_xlfn.IFS(C770&lt;5.7, "Normal", C770&lt;=6.4, "Prediabetes", TRUE, "Diabetes")</f>
        <v>Normal</v>
      </c>
    </row>
    <row r="771" spans="1:10">
      <c r="A771" t="s">
        <v>1540</v>
      </c>
      <c r="B771">
        <v>21.09</v>
      </c>
      <c r="C771">
        <v>9.2200000000000006</v>
      </c>
      <c r="D771" t="s">
        <v>4683</v>
      </c>
      <c r="E771" t="s">
        <v>4682</v>
      </c>
      <c r="F771" t="s">
        <v>4682</v>
      </c>
      <c r="G771">
        <v>2</v>
      </c>
      <c r="H771" t="s">
        <v>4682</v>
      </c>
      <c r="I771" t="str" cm="1">
        <f t="array" ref="I771">_xlfn.IFS(B771&lt;18.5, "Underweight", B771&lt;=24.9, "Normal Weight", B771&lt;=29.9, "Overweight", TRUE, "Obesity")</f>
        <v>Normal Weight</v>
      </c>
      <c r="J771" t="str" cm="1">
        <f t="array" ref="J771">_xlfn.IFS(C771&lt;5.7, "Normal", C771&lt;=6.4, "Prediabetes", TRUE, "Diabetes")</f>
        <v>Diabetes</v>
      </c>
    </row>
    <row r="772" spans="1:10">
      <c r="A772" t="s">
        <v>1542</v>
      </c>
      <c r="B772">
        <v>52.41</v>
      </c>
      <c r="C772">
        <v>5.99</v>
      </c>
      <c r="D772" t="s">
        <v>4682</v>
      </c>
      <c r="E772" t="s">
        <v>4682</v>
      </c>
      <c r="F772" t="s">
        <v>4682</v>
      </c>
      <c r="G772">
        <v>1</v>
      </c>
      <c r="H772" t="s">
        <v>4682</v>
      </c>
      <c r="I772" t="str" cm="1">
        <f t="array" ref="I772">_xlfn.IFS(B772&lt;18.5, "Underweight", B772&lt;=24.9, "Normal Weight", B772&lt;=29.9, "Overweight", TRUE, "Obesity")</f>
        <v>Obesity</v>
      </c>
      <c r="J772" t="str" cm="1">
        <f t="array" ref="J772">_xlfn.IFS(C772&lt;5.7, "Normal", C772&lt;=6.4, "Prediabetes", TRUE, "Diabetes")</f>
        <v>Prediabetes</v>
      </c>
    </row>
    <row r="773" spans="1:10">
      <c r="A773" t="s">
        <v>1544</v>
      </c>
      <c r="B773">
        <v>41.47</v>
      </c>
      <c r="C773">
        <v>5.86</v>
      </c>
      <c r="D773" t="s">
        <v>4683</v>
      </c>
      <c r="E773" t="s">
        <v>4682</v>
      </c>
      <c r="F773" t="s">
        <v>4682</v>
      </c>
      <c r="G773">
        <v>2</v>
      </c>
      <c r="H773" t="s">
        <v>4682</v>
      </c>
      <c r="I773" t="str" cm="1">
        <f t="array" ref="I773">_xlfn.IFS(B773&lt;18.5, "Underweight", B773&lt;=24.9, "Normal Weight", B773&lt;=29.9, "Overweight", TRUE, "Obesity")</f>
        <v>Obesity</v>
      </c>
      <c r="J773" t="str" cm="1">
        <f t="array" ref="J773">_xlfn.IFS(C773&lt;5.7, "Normal", C773&lt;=6.4, "Prediabetes", TRUE, "Diabetes")</f>
        <v>Prediabetes</v>
      </c>
    </row>
    <row r="774" spans="1:10">
      <c r="A774" t="s">
        <v>1546</v>
      </c>
      <c r="B774">
        <v>33.1</v>
      </c>
      <c r="C774">
        <v>5.19</v>
      </c>
      <c r="D774" t="s">
        <v>4683</v>
      </c>
      <c r="E774" t="s">
        <v>4682</v>
      </c>
      <c r="F774" t="s">
        <v>4682</v>
      </c>
      <c r="G774">
        <v>2</v>
      </c>
      <c r="H774" t="s">
        <v>4682</v>
      </c>
      <c r="I774" t="str" cm="1">
        <f t="array" ref="I774">_xlfn.IFS(B774&lt;18.5, "Underweight", B774&lt;=24.9, "Normal Weight", B774&lt;=29.9, "Overweight", TRUE, "Obesity")</f>
        <v>Obesity</v>
      </c>
      <c r="J774" t="str" cm="1">
        <f t="array" ref="J774">_xlfn.IFS(C774&lt;5.7, "Normal", C774&lt;=6.4, "Prediabetes", TRUE, "Diabetes")</f>
        <v>Normal</v>
      </c>
    </row>
    <row r="775" spans="1:10">
      <c r="A775" t="s">
        <v>1548</v>
      </c>
      <c r="B775">
        <v>30.8</v>
      </c>
      <c r="C775">
        <v>4.37</v>
      </c>
      <c r="D775" t="s">
        <v>4683</v>
      </c>
      <c r="E775" t="s">
        <v>4682</v>
      </c>
      <c r="F775" t="s">
        <v>4682</v>
      </c>
      <c r="G775">
        <v>2</v>
      </c>
      <c r="H775" t="s">
        <v>4682</v>
      </c>
      <c r="I775" t="str" cm="1">
        <f t="array" ref="I775">_xlfn.IFS(B775&lt;18.5, "Underweight", B775&lt;=24.9, "Normal Weight", B775&lt;=29.9, "Overweight", TRUE, "Obesity")</f>
        <v>Obesity</v>
      </c>
      <c r="J775" t="str" cm="1">
        <f t="array" ref="J775">_xlfn.IFS(C775&lt;5.7, "Normal", C775&lt;=6.4, "Prediabetes", TRUE, "Diabetes")</f>
        <v>Normal</v>
      </c>
    </row>
    <row r="776" spans="1:10">
      <c r="A776" t="s">
        <v>1550</v>
      </c>
      <c r="B776">
        <v>42.06</v>
      </c>
      <c r="C776">
        <v>5.32</v>
      </c>
      <c r="D776" t="s">
        <v>4682</v>
      </c>
      <c r="E776" t="s">
        <v>4682</v>
      </c>
      <c r="F776" t="s">
        <v>4682</v>
      </c>
      <c r="G776">
        <v>1</v>
      </c>
      <c r="H776" t="s">
        <v>4682</v>
      </c>
      <c r="I776" t="str" cm="1">
        <f t="array" ref="I776">_xlfn.IFS(B776&lt;18.5, "Underweight", B776&lt;=24.9, "Normal Weight", B776&lt;=29.9, "Overweight", TRUE, "Obesity")</f>
        <v>Obesity</v>
      </c>
      <c r="J776" t="str" cm="1">
        <f t="array" ref="J776">_xlfn.IFS(C776&lt;5.7, "Normal", C776&lt;=6.4, "Prediabetes", TRUE, "Diabetes")</f>
        <v>Normal</v>
      </c>
    </row>
    <row r="777" spans="1:10">
      <c r="A777" t="s">
        <v>1552</v>
      </c>
      <c r="B777">
        <v>39.270000000000003</v>
      </c>
      <c r="C777">
        <v>5.64</v>
      </c>
      <c r="D777" t="s">
        <v>4682</v>
      </c>
      <c r="E777" t="s">
        <v>4682</v>
      </c>
      <c r="F777" t="s">
        <v>4684</v>
      </c>
      <c r="G777">
        <v>1</v>
      </c>
      <c r="H777" t="s">
        <v>4682</v>
      </c>
      <c r="I777" t="str" cm="1">
        <f t="array" ref="I777">_xlfn.IFS(B777&lt;18.5, "Underweight", B777&lt;=24.9, "Normal Weight", B777&lt;=29.9, "Overweight", TRUE, "Obesity")</f>
        <v>Obesity</v>
      </c>
      <c r="J777" t="str" cm="1">
        <f t="array" ref="J777">_xlfn.IFS(C777&lt;5.7, "Normal", C777&lt;=6.4, "Prediabetes", TRUE, "Diabetes")</f>
        <v>Normal</v>
      </c>
    </row>
    <row r="778" spans="1:10">
      <c r="A778" t="s">
        <v>1554</v>
      </c>
      <c r="B778">
        <v>30.71</v>
      </c>
      <c r="C778">
        <v>5.59</v>
      </c>
      <c r="D778" t="s">
        <v>4683</v>
      </c>
      <c r="E778" t="s">
        <v>4682</v>
      </c>
      <c r="F778" t="s">
        <v>4682</v>
      </c>
      <c r="G778">
        <v>1</v>
      </c>
      <c r="H778" t="s">
        <v>4682</v>
      </c>
      <c r="I778" t="str" cm="1">
        <f t="array" ref="I778">_xlfn.IFS(B778&lt;18.5, "Underweight", B778&lt;=24.9, "Normal Weight", B778&lt;=29.9, "Overweight", TRUE, "Obesity")</f>
        <v>Obesity</v>
      </c>
      <c r="J778" t="str" cm="1">
        <f t="array" ref="J778">_xlfn.IFS(C778&lt;5.7, "Normal", C778&lt;=6.4, "Prediabetes", TRUE, "Diabetes")</f>
        <v>Normal</v>
      </c>
    </row>
    <row r="779" spans="1:10">
      <c r="A779" t="s">
        <v>1556</v>
      </c>
      <c r="B779">
        <v>47.19</v>
      </c>
      <c r="C779">
        <v>5.29</v>
      </c>
      <c r="D779" t="s">
        <v>4682</v>
      </c>
      <c r="E779" t="s">
        <v>4682</v>
      </c>
      <c r="F779" t="s">
        <v>4682</v>
      </c>
      <c r="G779">
        <v>0</v>
      </c>
      <c r="H779" t="s">
        <v>4682</v>
      </c>
      <c r="I779" t="str" cm="1">
        <f t="array" ref="I779">_xlfn.IFS(B779&lt;18.5, "Underweight", B779&lt;=24.9, "Normal Weight", B779&lt;=29.9, "Overweight", TRUE, "Obesity")</f>
        <v>Obesity</v>
      </c>
      <c r="J779" t="str" cm="1">
        <f t="array" ref="J779">_xlfn.IFS(C779&lt;5.7, "Normal", C779&lt;=6.4, "Prediabetes", TRUE, "Diabetes")</f>
        <v>Normal</v>
      </c>
    </row>
    <row r="780" spans="1:10">
      <c r="A780" t="s">
        <v>1558</v>
      </c>
      <c r="B780">
        <v>30.02</v>
      </c>
      <c r="C780">
        <v>6.65</v>
      </c>
      <c r="D780" t="s">
        <v>4682</v>
      </c>
      <c r="E780" t="s">
        <v>4682</v>
      </c>
      <c r="F780" t="s">
        <v>4682</v>
      </c>
      <c r="G780">
        <v>0</v>
      </c>
      <c r="H780" t="s">
        <v>4682</v>
      </c>
      <c r="I780" t="str" cm="1">
        <f t="array" ref="I780">_xlfn.IFS(B780&lt;18.5, "Underweight", B780&lt;=24.9, "Normal Weight", B780&lt;=29.9, "Overweight", TRUE, "Obesity")</f>
        <v>Obesity</v>
      </c>
      <c r="J780" t="str" cm="1">
        <f t="array" ref="J780">_xlfn.IFS(C780&lt;5.7, "Normal", C780&lt;=6.4, "Prediabetes", TRUE, "Diabetes")</f>
        <v>Diabetes</v>
      </c>
    </row>
    <row r="781" spans="1:10">
      <c r="A781" t="s">
        <v>1560</v>
      </c>
      <c r="B781">
        <v>37.909999999999997</v>
      </c>
      <c r="C781">
        <v>5.68</v>
      </c>
      <c r="D781" t="s">
        <v>4683</v>
      </c>
      <c r="E781" t="s">
        <v>4682</v>
      </c>
      <c r="F781" t="s">
        <v>4682</v>
      </c>
      <c r="G781">
        <v>0</v>
      </c>
      <c r="H781" t="s">
        <v>4682</v>
      </c>
      <c r="I781" t="str" cm="1">
        <f t="array" ref="I781">_xlfn.IFS(B781&lt;18.5, "Underweight", B781&lt;=24.9, "Normal Weight", B781&lt;=29.9, "Overweight", TRUE, "Obesity")</f>
        <v>Obesity</v>
      </c>
      <c r="J781" t="str" cm="1">
        <f t="array" ref="J781">_xlfn.IFS(C781&lt;5.7, "Normal", C781&lt;=6.4, "Prediabetes", TRUE, "Diabetes")</f>
        <v>Normal</v>
      </c>
    </row>
    <row r="782" spans="1:10">
      <c r="A782" t="s">
        <v>1562</v>
      </c>
      <c r="B782">
        <v>54.61</v>
      </c>
      <c r="C782">
        <v>4.49</v>
      </c>
      <c r="D782" t="s">
        <v>4682</v>
      </c>
      <c r="E782" t="s">
        <v>4682</v>
      </c>
      <c r="F782" t="s">
        <v>4682</v>
      </c>
      <c r="G782">
        <v>0</v>
      </c>
      <c r="H782" t="s">
        <v>4682</v>
      </c>
      <c r="I782" t="str" cm="1">
        <f t="array" ref="I782">_xlfn.IFS(B782&lt;18.5, "Underweight", B782&lt;=24.9, "Normal Weight", B782&lt;=29.9, "Overweight", TRUE, "Obesity")</f>
        <v>Obesity</v>
      </c>
      <c r="J782" t="str" cm="1">
        <f t="array" ref="J782">_xlfn.IFS(C782&lt;5.7, "Normal", C782&lt;=6.4, "Prediabetes", TRUE, "Diabetes")</f>
        <v>Normal</v>
      </c>
    </row>
    <row r="783" spans="1:10">
      <c r="A783" t="s">
        <v>1564</v>
      </c>
      <c r="B783">
        <v>36.005000000000003</v>
      </c>
      <c r="C783">
        <v>6.9</v>
      </c>
      <c r="D783" t="s">
        <v>4682</v>
      </c>
      <c r="E783" t="s">
        <v>4682</v>
      </c>
      <c r="F783" t="s">
        <v>4682</v>
      </c>
      <c r="G783">
        <v>0</v>
      </c>
      <c r="H783" t="s">
        <v>4682</v>
      </c>
      <c r="I783" t="str" cm="1">
        <f t="array" ref="I783">_xlfn.IFS(B783&lt;18.5, "Underweight", B783&lt;=24.9, "Normal Weight", B783&lt;=29.9, "Overweight", TRUE, "Obesity")</f>
        <v>Obesity</v>
      </c>
      <c r="J783" t="str" cm="1">
        <f t="array" ref="J783">_xlfn.IFS(C783&lt;5.7, "Normal", C783&lt;=6.4, "Prediabetes", TRUE, "Diabetes")</f>
        <v>Diabetes</v>
      </c>
    </row>
    <row r="784" spans="1:10">
      <c r="A784" t="s">
        <v>1566</v>
      </c>
      <c r="B784">
        <v>28.7</v>
      </c>
      <c r="C784">
        <v>11.52</v>
      </c>
      <c r="D784" t="s">
        <v>4682</v>
      </c>
      <c r="E784" t="s">
        <v>4682</v>
      </c>
      <c r="F784" t="s">
        <v>4682</v>
      </c>
      <c r="G784">
        <v>0</v>
      </c>
      <c r="H784" t="s">
        <v>4682</v>
      </c>
      <c r="I784" t="str" cm="1">
        <f t="array" ref="I784">_xlfn.IFS(B784&lt;18.5, "Underweight", B784&lt;=24.9, "Normal Weight", B784&lt;=29.9, "Overweight", TRUE, "Obesity")</f>
        <v>Overweight</v>
      </c>
      <c r="J784" t="str" cm="1">
        <f t="array" ref="J784">_xlfn.IFS(C784&lt;5.7, "Normal", C784&lt;=6.4, "Prediabetes", TRUE, "Diabetes")</f>
        <v>Diabetes</v>
      </c>
    </row>
    <row r="785" spans="1:10">
      <c r="A785" t="s">
        <v>1568</v>
      </c>
      <c r="B785">
        <v>34.295000000000002</v>
      </c>
      <c r="C785">
        <v>11.24</v>
      </c>
      <c r="D785" t="s">
        <v>4682</v>
      </c>
      <c r="E785" t="s">
        <v>4682</v>
      </c>
      <c r="F785" t="s">
        <v>4682</v>
      </c>
      <c r="G785">
        <v>0</v>
      </c>
      <c r="H785" t="s">
        <v>4682</v>
      </c>
      <c r="I785" t="str" cm="1">
        <f t="array" ref="I785">_xlfn.IFS(B785&lt;18.5, "Underweight", B785&lt;=24.9, "Normal Weight", B785&lt;=29.9, "Overweight", TRUE, "Obesity")</f>
        <v>Obesity</v>
      </c>
      <c r="J785" t="str" cm="1">
        <f t="array" ref="J785">_xlfn.IFS(C785&lt;5.7, "Normal", C785&lt;=6.4, "Prediabetes", TRUE, "Diabetes")</f>
        <v>Diabetes</v>
      </c>
    </row>
    <row r="786" spans="1:10">
      <c r="A786" t="s">
        <v>1570</v>
      </c>
      <c r="B786">
        <v>27.55</v>
      </c>
      <c r="C786">
        <v>10.98</v>
      </c>
      <c r="D786" t="s">
        <v>4682</v>
      </c>
      <c r="E786" t="s">
        <v>4682</v>
      </c>
      <c r="F786" t="s">
        <v>4682</v>
      </c>
      <c r="G786">
        <v>0</v>
      </c>
      <c r="H786" t="s">
        <v>4682</v>
      </c>
      <c r="I786" t="str" cm="1">
        <f t="array" ref="I786">_xlfn.IFS(B786&lt;18.5, "Underweight", B786&lt;=24.9, "Normal Weight", B786&lt;=29.9, "Overweight", TRUE, "Obesity")</f>
        <v>Overweight</v>
      </c>
      <c r="J786" t="str" cm="1">
        <f t="array" ref="J786">_xlfn.IFS(C786&lt;5.7, "Normal", C786&lt;=6.4, "Prediabetes", TRUE, "Diabetes")</f>
        <v>Diabetes</v>
      </c>
    </row>
    <row r="787" spans="1:10">
      <c r="A787" t="s">
        <v>1572</v>
      </c>
      <c r="B787">
        <v>40.700000000000003</v>
      </c>
      <c r="C787">
        <v>5.42</v>
      </c>
      <c r="D787" t="s">
        <v>4682</v>
      </c>
      <c r="E787" t="s">
        <v>4682</v>
      </c>
      <c r="F787" t="s">
        <v>4682</v>
      </c>
      <c r="G787">
        <v>0</v>
      </c>
      <c r="H787" t="s">
        <v>4682</v>
      </c>
      <c r="I787" t="str" cm="1">
        <f t="array" ref="I787">_xlfn.IFS(B787&lt;18.5, "Underweight", B787&lt;=24.9, "Normal Weight", B787&lt;=29.9, "Overweight", TRUE, "Obesity")</f>
        <v>Obesity</v>
      </c>
      <c r="J787" t="str" cm="1">
        <f t="array" ref="J787">_xlfn.IFS(C787&lt;5.7, "Normal", C787&lt;=6.4, "Prediabetes", TRUE, "Diabetes")</f>
        <v>Normal</v>
      </c>
    </row>
    <row r="788" spans="1:10">
      <c r="A788" t="s">
        <v>1574</v>
      </c>
      <c r="B788">
        <v>18.335000000000001</v>
      </c>
      <c r="C788">
        <v>10.97</v>
      </c>
      <c r="D788" t="s">
        <v>4682</v>
      </c>
      <c r="E788" t="s">
        <v>4682</v>
      </c>
      <c r="F788" t="s">
        <v>4682</v>
      </c>
      <c r="G788">
        <v>0</v>
      </c>
      <c r="H788" t="s">
        <v>4682</v>
      </c>
      <c r="I788" t="str" cm="1">
        <f t="array" ref="I788">_xlfn.IFS(B788&lt;18.5, "Underweight", B788&lt;=24.9, "Normal Weight", B788&lt;=29.9, "Overweight", TRUE, "Obesity")</f>
        <v>Underweight</v>
      </c>
      <c r="J788" t="str" cm="1">
        <f t="array" ref="J788">_xlfn.IFS(C788&lt;5.7, "Normal", C788&lt;=6.4, "Prediabetes", TRUE, "Diabetes")</f>
        <v>Diabetes</v>
      </c>
    </row>
    <row r="789" spans="1:10">
      <c r="A789" t="s">
        <v>1576</v>
      </c>
      <c r="B789">
        <v>33.914999999999999</v>
      </c>
      <c r="C789">
        <v>9.56</v>
      </c>
      <c r="D789" t="s">
        <v>4683</v>
      </c>
      <c r="E789" t="s">
        <v>4682</v>
      </c>
      <c r="F789" t="s">
        <v>4682</v>
      </c>
      <c r="G789">
        <v>2</v>
      </c>
      <c r="H789" t="s">
        <v>4682</v>
      </c>
      <c r="I789" t="str" cm="1">
        <f t="array" ref="I789">_xlfn.IFS(B789&lt;18.5, "Underweight", B789&lt;=24.9, "Normal Weight", B789&lt;=29.9, "Overweight", TRUE, "Obesity")</f>
        <v>Obesity</v>
      </c>
      <c r="J789" t="str" cm="1">
        <f t="array" ref="J789">_xlfn.IFS(C789&lt;5.7, "Normal", C789&lt;=6.4, "Prediabetes", TRUE, "Diabetes")</f>
        <v>Diabetes</v>
      </c>
    </row>
    <row r="790" spans="1:10">
      <c r="A790" t="s">
        <v>1578</v>
      </c>
      <c r="B790">
        <v>33.534999999999997</v>
      </c>
      <c r="C790">
        <v>9.4</v>
      </c>
      <c r="D790" t="s">
        <v>4683</v>
      </c>
      <c r="E790" t="s">
        <v>4682</v>
      </c>
      <c r="F790" t="s">
        <v>4682</v>
      </c>
      <c r="G790">
        <v>2</v>
      </c>
      <c r="H790" t="s">
        <v>4682</v>
      </c>
      <c r="I790" t="str" cm="1">
        <f t="array" ref="I790">_xlfn.IFS(B790&lt;18.5, "Underweight", B790&lt;=24.9, "Normal Weight", B790&lt;=29.9, "Overweight", TRUE, "Obesity")</f>
        <v>Obesity</v>
      </c>
      <c r="J790" t="str" cm="1">
        <f t="array" ref="J790">_xlfn.IFS(C790&lt;5.7, "Normal", C790&lt;=6.4, "Prediabetes", TRUE, "Diabetes")</f>
        <v>Diabetes</v>
      </c>
    </row>
    <row r="791" spans="1:10">
      <c r="A791" t="s">
        <v>1580</v>
      </c>
      <c r="B791">
        <v>23.655000000000001</v>
      </c>
      <c r="C791">
        <v>8.48</v>
      </c>
      <c r="D791" t="s">
        <v>4683</v>
      </c>
      <c r="E791" t="s">
        <v>4682</v>
      </c>
      <c r="F791" t="s">
        <v>4682</v>
      </c>
      <c r="G791">
        <v>2</v>
      </c>
      <c r="H791" t="s">
        <v>4682</v>
      </c>
      <c r="I791" t="str" cm="1">
        <f t="array" ref="I791">_xlfn.IFS(B791&lt;18.5, "Underweight", B791&lt;=24.9, "Normal Weight", B791&lt;=29.9, "Overweight", TRUE, "Obesity")</f>
        <v>Normal Weight</v>
      </c>
      <c r="J791" t="str" cm="1">
        <f t="array" ref="J791">_xlfn.IFS(C791&lt;5.7, "Normal", C791&lt;=6.4, "Prediabetes", TRUE, "Diabetes")</f>
        <v>Diabetes</v>
      </c>
    </row>
    <row r="792" spans="1:10">
      <c r="A792" t="s">
        <v>1582</v>
      </c>
      <c r="B792">
        <v>28</v>
      </c>
      <c r="C792">
        <v>5.57</v>
      </c>
      <c r="D792" t="s">
        <v>4682</v>
      </c>
      <c r="E792" t="s">
        <v>4682</v>
      </c>
      <c r="F792" t="s">
        <v>4682</v>
      </c>
      <c r="G792">
        <v>0</v>
      </c>
      <c r="H792" t="s">
        <v>4682</v>
      </c>
      <c r="I792" t="str" cm="1">
        <f t="array" ref="I792">_xlfn.IFS(B792&lt;18.5, "Underweight", B792&lt;=24.9, "Normal Weight", B792&lt;=29.9, "Overweight", TRUE, "Obesity")</f>
        <v>Overweight</v>
      </c>
      <c r="J792" t="str" cm="1">
        <f t="array" ref="J792">_xlfn.IFS(C792&lt;5.7, "Normal", C792&lt;=6.4, "Prediabetes", TRUE, "Diabetes")</f>
        <v>Normal</v>
      </c>
    </row>
    <row r="793" spans="1:10">
      <c r="A793" t="s">
        <v>1584</v>
      </c>
      <c r="B793">
        <v>30.23</v>
      </c>
      <c r="C793">
        <v>6.94</v>
      </c>
      <c r="D793" t="s">
        <v>4683</v>
      </c>
      <c r="E793" t="s">
        <v>4682</v>
      </c>
      <c r="F793" t="s">
        <v>4684</v>
      </c>
      <c r="G793">
        <v>1</v>
      </c>
      <c r="H793" t="s">
        <v>4682</v>
      </c>
      <c r="I793" t="str" cm="1">
        <f t="array" ref="I793">_xlfn.IFS(B793&lt;18.5, "Underweight", B793&lt;=24.9, "Normal Weight", B793&lt;=29.9, "Overweight", TRUE, "Obesity")</f>
        <v>Obesity</v>
      </c>
      <c r="J793" t="str" cm="1">
        <f t="array" ref="J793">_xlfn.IFS(C793&lt;5.7, "Normal", C793&lt;=6.4, "Prediabetes", TRUE, "Diabetes")</f>
        <v>Diabetes</v>
      </c>
    </row>
    <row r="794" spans="1:10">
      <c r="A794" t="s">
        <v>1586</v>
      </c>
      <c r="B794">
        <v>51.14</v>
      </c>
      <c r="C794">
        <v>4.05</v>
      </c>
      <c r="D794" t="s">
        <v>4682</v>
      </c>
      <c r="E794" t="s">
        <v>4682</v>
      </c>
      <c r="F794" t="s">
        <v>4682</v>
      </c>
      <c r="G794">
        <v>1</v>
      </c>
      <c r="H794" t="s">
        <v>4682</v>
      </c>
      <c r="I794" t="str" cm="1">
        <f t="array" ref="I794">_xlfn.IFS(B794&lt;18.5, "Underweight", B794&lt;=24.9, "Normal Weight", B794&lt;=29.9, "Overweight", TRUE, "Obesity")</f>
        <v>Obesity</v>
      </c>
      <c r="J794" t="str" cm="1">
        <f t="array" ref="J794">_xlfn.IFS(C794&lt;5.7, "Normal", C794&lt;=6.4, "Prediabetes", TRUE, "Diabetes")</f>
        <v>Normal</v>
      </c>
    </row>
    <row r="795" spans="1:10">
      <c r="A795" t="s">
        <v>1588</v>
      </c>
      <c r="B795">
        <v>24.32</v>
      </c>
      <c r="C795">
        <v>10.220000000000001</v>
      </c>
      <c r="D795" t="s">
        <v>4682</v>
      </c>
      <c r="E795" t="s">
        <v>4682</v>
      </c>
      <c r="F795" t="s">
        <v>4682</v>
      </c>
      <c r="G795">
        <v>0</v>
      </c>
      <c r="H795" t="s">
        <v>4682</v>
      </c>
      <c r="I795" t="str" cm="1">
        <f t="array" ref="I795">_xlfn.IFS(B795&lt;18.5, "Underweight", B795&lt;=24.9, "Normal Weight", B795&lt;=29.9, "Overweight", TRUE, "Obesity")</f>
        <v>Normal Weight</v>
      </c>
      <c r="J795" t="str" cm="1">
        <f t="array" ref="J795">_xlfn.IFS(C795&lt;5.7, "Normal", C795&lt;=6.4, "Prediabetes", TRUE, "Diabetes")</f>
        <v>Diabetes</v>
      </c>
    </row>
    <row r="796" spans="1:10">
      <c r="A796" t="s">
        <v>1590</v>
      </c>
      <c r="B796">
        <v>38.06</v>
      </c>
      <c r="C796">
        <v>9.24</v>
      </c>
      <c r="D796" t="s">
        <v>4682</v>
      </c>
      <c r="E796" t="s">
        <v>4682</v>
      </c>
      <c r="F796" t="s">
        <v>4682</v>
      </c>
      <c r="G796">
        <v>0</v>
      </c>
      <c r="H796" t="s">
        <v>4682</v>
      </c>
      <c r="I796" t="str" cm="1">
        <f t="array" ref="I796">_xlfn.IFS(B796&lt;18.5, "Underweight", B796&lt;=24.9, "Normal Weight", B796&lt;=29.9, "Overweight", TRUE, "Obesity")</f>
        <v>Obesity</v>
      </c>
      <c r="J796" t="str" cm="1">
        <f t="array" ref="J796">_xlfn.IFS(C796&lt;5.7, "Normal", C796&lt;=6.4, "Prediabetes", TRUE, "Diabetes")</f>
        <v>Diabetes</v>
      </c>
    </row>
    <row r="797" spans="1:10">
      <c r="A797" t="s">
        <v>1592</v>
      </c>
      <c r="B797">
        <v>37.700000000000003</v>
      </c>
      <c r="C797">
        <v>8.6</v>
      </c>
      <c r="D797" t="s">
        <v>4682</v>
      </c>
      <c r="E797" t="s">
        <v>4682</v>
      </c>
      <c r="F797" t="s">
        <v>4682</v>
      </c>
      <c r="G797">
        <v>0</v>
      </c>
      <c r="H797" t="s">
        <v>4682</v>
      </c>
      <c r="I797" t="str" cm="1">
        <f t="array" ref="I797">_xlfn.IFS(B797&lt;18.5, "Underweight", B797&lt;=24.9, "Normal Weight", B797&lt;=29.9, "Overweight", TRUE, "Obesity")</f>
        <v>Obesity</v>
      </c>
      <c r="J797" t="str" cm="1">
        <f t="array" ref="J797">_xlfn.IFS(C797&lt;5.7, "Normal", C797&lt;=6.4, "Prediabetes", TRUE, "Diabetes")</f>
        <v>Diabetes</v>
      </c>
    </row>
    <row r="798" spans="1:10">
      <c r="A798" t="s">
        <v>1594</v>
      </c>
      <c r="B798">
        <v>44</v>
      </c>
      <c r="C798">
        <v>9.32</v>
      </c>
      <c r="D798" t="s">
        <v>4683</v>
      </c>
      <c r="E798" t="s">
        <v>4682</v>
      </c>
      <c r="F798" t="s">
        <v>4682</v>
      </c>
      <c r="G798">
        <v>2</v>
      </c>
      <c r="H798" t="s">
        <v>4682</v>
      </c>
      <c r="I798" t="str" cm="1">
        <f t="array" ref="I798">_xlfn.IFS(B798&lt;18.5, "Underweight", B798&lt;=24.9, "Normal Weight", B798&lt;=29.9, "Overweight", TRUE, "Obesity")</f>
        <v>Obesity</v>
      </c>
      <c r="J798" t="str" cm="1">
        <f t="array" ref="J798">_xlfn.IFS(C798&lt;5.7, "Normal", C798&lt;=6.4, "Prediabetes", TRUE, "Diabetes")</f>
        <v>Diabetes</v>
      </c>
    </row>
    <row r="799" spans="1:10">
      <c r="A799" t="s">
        <v>1596</v>
      </c>
      <c r="B799">
        <v>41.45</v>
      </c>
      <c r="C799">
        <v>6.12</v>
      </c>
      <c r="D799" t="s">
        <v>4683</v>
      </c>
      <c r="E799" t="s">
        <v>4682</v>
      </c>
      <c r="F799" t="s">
        <v>4682</v>
      </c>
      <c r="G799">
        <v>0</v>
      </c>
      <c r="H799" t="s">
        <v>4682</v>
      </c>
      <c r="I799" t="str" cm="1">
        <f t="array" ref="I799">_xlfn.IFS(B799&lt;18.5, "Underweight", B799&lt;=24.9, "Normal Weight", B799&lt;=29.9, "Overweight", TRUE, "Obesity")</f>
        <v>Obesity</v>
      </c>
      <c r="J799" t="str" cm="1">
        <f t="array" ref="J799">_xlfn.IFS(C799&lt;5.7, "Normal", C799&lt;=6.4, "Prediabetes", TRUE, "Diabetes")</f>
        <v>Prediabetes</v>
      </c>
    </row>
    <row r="800" spans="1:10">
      <c r="A800" t="s">
        <v>1598</v>
      </c>
      <c r="B800">
        <v>25.364999999999998</v>
      </c>
      <c r="C800">
        <v>9.19</v>
      </c>
      <c r="D800" t="s">
        <v>4683</v>
      </c>
      <c r="E800" t="s">
        <v>4682</v>
      </c>
      <c r="F800" t="s">
        <v>4682</v>
      </c>
      <c r="G800">
        <v>0</v>
      </c>
      <c r="H800" t="s">
        <v>4682</v>
      </c>
      <c r="I800" t="str" cm="1">
        <f t="array" ref="I800">_xlfn.IFS(B800&lt;18.5, "Underweight", B800&lt;=24.9, "Normal Weight", B800&lt;=29.9, "Overweight", TRUE, "Obesity")</f>
        <v>Overweight</v>
      </c>
      <c r="J800" t="str" cm="1">
        <f t="array" ref="J800">_xlfn.IFS(C800&lt;5.7, "Normal", C800&lt;=6.4, "Prediabetes", TRUE, "Diabetes")</f>
        <v>Diabetes</v>
      </c>
    </row>
    <row r="801" spans="1:10">
      <c r="A801" t="s">
        <v>1600</v>
      </c>
      <c r="B801">
        <v>34.56</v>
      </c>
      <c r="C801">
        <v>5.84</v>
      </c>
      <c r="D801" t="s">
        <v>4683</v>
      </c>
      <c r="E801" t="s">
        <v>4682</v>
      </c>
      <c r="F801" t="s">
        <v>4684</v>
      </c>
      <c r="G801">
        <v>1</v>
      </c>
      <c r="H801" t="s">
        <v>4682</v>
      </c>
      <c r="I801" t="str" cm="1">
        <f t="array" ref="I801">_xlfn.IFS(B801&lt;18.5, "Underweight", B801&lt;=24.9, "Normal Weight", B801&lt;=29.9, "Overweight", TRUE, "Obesity")</f>
        <v>Obesity</v>
      </c>
      <c r="J801" t="str" cm="1">
        <f t="array" ref="J801">_xlfn.IFS(C801&lt;5.7, "Normal", C801&lt;=6.4, "Prediabetes", TRUE, "Diabetes")</f>
        <v>Prediabetes</v>
      </c>
    </row>
    <row r="802" spans="1:10">
      <c r="A802" t="s">
        <v>1602</v>
      </c>
      <c r="B802">
        <v>28.2</v>
      </c>
      <c r="C802">
        <v>7.19</v>
      </c>
      <c r="D802" t="s">
        <v>4683</v>
      </c>
      <c r="E802" t="s">
        <v>4682</v>
      </c>
      <c r="F802" t="s">
        <v>4682</v>
      </c>
      <c r="G802">
        <v>2</v>
      </c>
      <c r="H802" t="s">
        <v>4682</v>
      </c>
      <c r="I802" t="str" cm="1">
        <f t="array" ref="I802">_xlfn.IFS(B802&lt;18.5, "Underweight", B802&lt;=24.9, "Normal Weight", B802&lt;=29.9, "Overweight", TRUE, "Obesity")</f>
        <v>Overweight</v>
      </c>
      <c r="J802" t="str" cm="1">
        <f t="array" ref="J802">_xlfn.IFS(C802&lt;5.7, "Normal", C802&lt;=6.4, "Prediabetes", TRUE, "Diabetes")</f>
        <v>Diabetes</v>
      </c>
    </row>
    <row r="803" spans="1:10">
      <c r="A803" t="s">
        <v>1604</v>
      </c>
      <c r="B803">
        <v>30.43</v>
      </c>
      <c r="C803">
        <v>9.39</v>
      </c>
      <c r="D803" t="s">
        <v>4682</v>
      </c>
      <c r="E803" t="s">
        <v>4682</v>
      </c>
      <c r="F803" t="s">
        <v>4682</v>
      </c>
      <c r="G803">
        <v>0</v>
      </c>
      <c r="H803" t="s">
        <v>4682</v>
      </c>
      <c r="I803" t="str" cm="1">
        <f t="array" ref="I803">_xlfn.IFS(B803&lt;18.5, "Underweight", B803&lt;=24.9, "Normal Weight", B803&lt;=29.9, "Overweight", TRUE, "Obesity")</f>
        <v>Obesity</v>
      </c>
      <c r="J803" t="str" cm="1">
        <f t="array" ref="J803">_xlfn.IFS(C803&lt;5.7, "Normal", C803&lt;=6.4, "Prediabetes", TRUE, "Diabetes")</f>
        <v>Diabetes</v>
      </c>
    </row>
    <row r="804" spans="1:10">
      <c r="A804" t="s">
        <v>1606</v>
      </c>
      <c r="B804">
        <v>32.395000000000003</v>
      </c>
      <c r="C804">
        <v>4.2699999999999996</v>
      </c>
      <c r="D804" t="s">
        <v>4683</v>
      </c>
      <c r="E804" t="s">
        <v>4682</v>
      </c>
      <c r="F804" t="s">
        <v>4682</v>
      </c>
      <c r="G804">
        <v>1</v>
      </c>
      <c r="H804" t="s">
        <v>4682</v>
      </c>
      <c r="I804" t="str" cm="1">
        <f t="array" ref="I804">_xlfn.IFS(B804&lt;18.5, "Underweight", B804&lt;=24.9, "Normal Weight", B804&lt;=29.9, "Overweight", TRUE, "Obesity")</f>
        <v>Obesity</v>
      </c>
      <c r="J804" t="str" cm="1">
        <f t="array" ref="J804">_xlfn.IFS(C804&lt;5.7, "Normal", C804&lt;=6.4, "Prediabetes", TRUE, "Diabetes")</f>
        <v>Normal</v>
      </c>
    </row>
    <row r="805" spans="1:10">
      <c r="A805" t="s">
        <v>1608</v>
      </c>
      <c r="B805">
        <v>24.035</v>
      </c>
      <c r="C805">
        <v>11.71</v>
      </c>
      <c r="D805" t="s">
        <v>4682</v>
      </c>
      <c r="E805" t="s">
        <v>4682</v>
      </c>
      <c r="F805" t="s">
        <v>4682</v>
      </c>
      <c r="G805">
        <v>0</v>
      </c>
      <c r="H805" t="s">
        <v>4682</v>
      </c>
      <c r="I805" t="str" cm="1">
        <f t="array" ref="I805">_xlfn.IFS(B805&lt;18.5, "Underweight", B805&lt;=24.9, "Normal Weight", B805&lt;=29.9, "Overweight", TRUE, "Obesity")</f>
        <v>Normal Weight</v>
      </c>
      <c r="J805" t="str" cm="1">
        <f t="array" ref="J805">_xlfn.IFS(C805&lt;5.7, "Normal", C805&lt;=6.4, "Prediabetes", TRUE, "Diabetes")</f>
        <v>Diabetes</v>
      </c>
    </row>
    <row r="806" spans="1:10">
      <c r="A806" t="s">
        <v>1610</v>
      </c>
      <c r="B806">
        <v>37.119999999999997</v>
      </c>
      <c r="C806">
        <v>5.29</v>
      </c>
      <c r="D806" t="s">
        <v>4682</v>
      </c>
      <c r="E806" t="s">
        <v>4682</v>
      </c>
      <c r="F806" t="s">
        <v>4682</v>
      </c>
      <c r="G806">
        <v>2</v>
      </c>
      <c r="H806" t="s">
        <v>4682</v>
      </c>
      <c r="I806" t="str" cm="1">
        <f t="array" ref="I806">_xlfn.IFS(B806&lt;18.5, "Underweight", B806&lt;=24.9, "Normal Weight", B806&lt;=29.9, "Overweight", TRUE, "Obesity")</f>
        <v>Obesity</v>
      </c>
      <c r="J806" t="str" cm="1">
        <f t="array" ref="J806">_xlfn.IFS(C806&lt;5.7, "Normal", C806&lt;=6.4, "Prediabetes", TRUE, "Diabetes")</f>
        <v>Normal</v>
      </c>
    </row>
    <row r="807" spans="1:10">
      <c r="A807" t="s">
        <v>1612</v>
      </c>
      <c r="B807">
        <v>34.840000000000003</v>
      </c>
      <c r="C807">
        <v>6</v>
      </c>
      <c r="D807" t="s">
        <v>4683</v>
      </c>
      <c r="E807" t="s">
        <v>4682</v>
      </c>
      <c r="F807" t="s">
        <v>4684</v>
      </c>
      <c r="G807">
        <v>1</v>
      </c>
      <c r="H807" t="s">
        <v>4682</v>
      </c>
      <c r="I807" t="str" cm="1">
        <f t="array" ref="I807">_xlfn.IFS(B807&lt;18.5, "Underweight", B807&lt;=24.9, "Normal Weight", B807&lt;=29.9, "Overweight", TRUE, "Obesity")</f>
        <v>Obesity</v>
      </c>
      <c r="J807" t="str" cm="1">
        <f t="array" ref="J807">_xlfn.IFS(C807&lt;5.7, "Normal", C807&lt;=6.4, "Prediabetes", TRUE, "Diabetes")</f>
        <v>Prediabetes</v>
      </c>
    </row>
    <row r="808" spans="1:10">
      <c r="A808" t="s">
        <v>1614</v>
      </c>
      <c r="B808">
        <v>29.53</v>
      </c>
      <c r="C808">
        <v>10.64</v>
      </c>
      <c r="D808" t="s">
        <v>4682</v>
      </c>
      <c r="E808" t="s">
        <v>4682</v>
      </c>
      <c r="F808" t="s">
        <v>4682</v>
      </c>
      <c r="G808">
        <v>0</v>
      </c>
      <c r="H808" t="s">
        <v>4682</v>
      </c>
      <c r="I808" t="str" cm="1">
        <f t="array" ref="I808">_xlfn.IFS(B808&lt;18.5, "Underweight", B808&lt;=24.9, "Normal Weight", B808&lt;=29.9, "Overweight", TRUE, "Obesity")</f>
        <v>Overweight</v>
      </c>
      <c r="J808" t="str" cm="1">
        <f t="array" ref="J808">_xlfn.IFS(C808&lt;5.7, "Normal", C808&lt;=6.4, "Prediabetes", TRUE, "Diabetes")</f>
        <v>Diabetes</v>
      </c>
    </row>
    <row r="809" spans="1:10">
      <c r="A809" t="s">
        <v>1616</v>
      </c>
      <c r="B809">
        <v>42.51</v>
      </c>
      <c r="C809">
        <v>8.2100000000000009</v>
      </c>
      <c r="D809" t="s">
        <v>4683</v>
      </c>
      <c r="E809" t="s">
        <v>4682</v>
      </c>
      <c r="F809" t="s">
        <v>4682</v>
      </c>
      <c r="G809">
        <v>0</v>
      </c>
      <c r="H809" t="s">
        <v>4682</v>
      </c>
      <c r="I809" t="str" cm="1">
        <f t="array" ref="I809">_xlfn.IFS(B809&lt;18.5, "Underweight", B809&lt;=24.9, "Normal Weight", B809&lt;=29.9, "Overweight", TRUE, "Obesity")</f>
        <v>Obesity</v>
      </c>
      <c r="J809" t="str" cm="1">
        <f t="array" ref="J809">_xlfn.IFS(C809&lt;5.7, "Normal", C809&lt;=6.4, "Prediabetes", TRUE, "Diabetes")</f>
        <v>Diabetes</v>
      </c>
    </row>
    <row r="810" spans="1:10">
      <c r="A810" t="s">
        <v>1618</v>
      </c>
      <c r="B810">
        <v>38.14</v>
      </c>
      <c r="C810">
        <v>5.58</v>
      </c>
      <c r="D810" t="s">
        <v>4682</v>
      </c>
      <c r="E810" t="s">
        <v>4682</v>
      </c>
      <c r="F810" t="s">
        <v>4684</v>
      </c>
      <c r="G810">
        <v>1</v>
      </c>
      <c r="H810" t="s">
        <v>4682</v>
      </c>
      <c r="I810" t="str" cm="1">
        <f t="array" ref="I810">_xlfn.IFS(B810&lt;18.5, "Underweight", B810&lt;=24.9, "Normal Weight", B810&lt;=29.9, "Overweight", TRUE, "Obesity")</f>
        <v>Obesity</v>
      </c>
      <c r="J810" t="str" cm="1">
        <f t="array" ref="J810">_xlfn.IFS(C810&lt;5.7, "Normal", C810&lt;=6.4, "Prediabetes", TRUE, "Diabetes")</f>
        <v>Normal</v>
      </c>
    </row>
    <row r="811" spans="1:10">
      <c r="A811" t="s">
        <v>1620</v>
      </c>
      <c r="B811">
        <v>39.93</v>
      </c>
      <c r="C811">
        <v>8.75</v>
      </c>
      <c r="D811" t="s">
        <v>4682</v>
      </c>
      <c r="E811" t="s">
        <v>4682</v>
      </c>
      <c r="F811" t="s">
        <v>4682</v>
      </c>
      <c r="G811">
        <v>0</v>
      </c>
      <c r="H811" t="s">
        <v>4682</v>
      </c>
      <c r="I811" t="str" cm="1">
        <f t="array" ref="I811">_xlfn.IFS(B811&lt;18.5, "Underweight", B811&lt;=24.9, "Normal Weight", B811&lt;=29.9, "Overweight", TRUE, "Obesity")</f>
        <v>Obesity</v>
      </c>
      <c r="J811" t="str" cm="1">
        <f t="array" ref="J811">_xlfn.IFS(C811&lt;5.7, "Normal", C811&lt;=6.4, "Prediabetes", TRUE, "Diabetes")</f>
        <v>Diabetes</v>
      </c>
    </row>
    <row r="812" spans="1:10">
      <c r="A812" t="s">
        <v>1622</v>
      </c>
      <c r="B812">
        <v>38.83</v>
      </c>
      <c r="C812">
        <v>11.86</v>
      </c>
      <c r="D812" t="s">
        <v>4682</v>
      </c>
      <c r="E812" t="s">
        <v>4682</v>
      </c>
      <c r="F812" t="s">
        <v>4682</v>
      </c>
      <c r="G812">
        <v>0</v>
      </c>
      <c r="H812" t="s">
        <v>4682</v>
      </c>
      <c r="I812" t="str" cm="1">
        <f t="array" ref="I812">_xlfn.IFS(B812&lt;18.5, "Underweight", B812&lt;=24.9, "Normal Weight", B812&lt;=29.9, "Overweight", TRUE, "Obesity")</f>
        <v>Obesity</v>
      </c>
      <c r="J812" t="str" cm="1">
        <f t="array" ref="J812">_xlfn.IFS(C812&lt;5.7, "Normal", C812&lt;=6.4, "Prediabetes", TRUE, "Diabetes")</f>
        <v>Diabetes</v>
      </c>
    </row>
    <row r="813" spans="1:10">
      <c r="A813" t="s">
        <v>1624</v>
      </c>
      <c r="B813">
        <v>37.4</v>
      </c>
      <c r="C813">
        <v>11.46</v>
      </c>
      <c r="D813" t="s">
        <v>4682</v>
      </c>
      <c r="E813" t="s">
        <v>4682</v>
      </c>
      <c r="F813" t="s">
        <v>4682</v>
      </c>
      <c r="G813">
        <v>0</v>
      </c>
      <c r="H813" t="s">
        <v>4682</v>
      </c>
      <c r="I813" t="str" cm="1">
        <f t="array" ref="I813">_xlfn.IFS(B813&lt;18.5, "Underweight", B813&lt;=24.9, "Normal Weight", B813&lt;=29.9, "Overweight", TRUE, "Obesity")</f>
        <v>Obesity</v>
      </c>
      <c r="J813" t="str" cm="1">
        <f t="array" ref="J813">_xlfn.IFS(C813&lt;5.7, "Normal", C813&lt;=6.4, "Prediabetes", TRUE, "Diabetes")</f>
        <v>Diabetes</v>
      </c>
    </row>
    <row r="814" spans="1:10">
      <c r="A814" t="s">
        <v>1626</v>
      </c>
      <c r="B814">
        <v>21.4</v>
      </c>
      <c r="C814">
        <v>9.0299999999999994</v>
      </c>
      <c r="D814" t="s">
        <v>4682</v>
      </c>
      <c r="E814" t="s">
        <v>4682</v>
      </c>
      <c r="F814" t="s">
        <v>4682</v>
      </c>
      <c r="G814">
        <v>0</v>
      </c>
      <c r="H814" t="s">
        <v>4682</v>
      </c>
      <c r="I814" t="str" cm="1">
        <f t="array" ref="I814">_xlfn.IFS(B814&lt;18.5, "Underweight", B814&lt;=24.9, "Normal Weight", B814&lt;=29.9, "Overweight", TRUE, "Obesity")</f>
        <v>Normal Weight</v>
      </c>
      <c r="J814" t="str" cm="1">
        <f t="array" ref="J814">_xlfn.IFS(C814&lt;5.7, "Normal", C814&lt;=6.4, "Prediabetes", TRUE, "Diabetes")</f>
        <v>Diabetes</v>
      </c>
    </row>
    <row r="815" spans="1:10">
      <c r="A815" t="s">
        <v>1628</v>
      </c>
      <c r="B815">
        <v>38.380000000000003</v>
      </c>
      <c r="C815">
        <v>8.26</v>
      </c>
      <c r="D815" t="s">
        <v>4683</v>
      </c>
      <c r="E815" t="s">
        <v>4682</v>
      </c>
      <c r="F815" t="s">
        <v>4682</v>
      </c>
      <c r="G815">
        <v>2</v>
      </c>
      <c r="H815" t="s">
        <v>4682</v>
      </c>
      <c r="I815" t="str" cm="1">
        <f t="array" ref="I815">_xlfn.IFS(B815&lt;18.5, "Underweight", B815&lt;=24.9, "Normal Weight", B815&lt;=29.9, "Overweight", TRUE, "Obesity")</f>
        <v>Obesity</v>
      </c>
      <c r="J815" t="str" cm="1">
        <f t="array" ref="J815">_xlfn.IFS(C815&lt;5.7, "Normal", C815&lt;=6.4, "Prediabetes", TRUE, "Diabetes")</f>
        <v>Diabetes</v>
      </c>
    </row>
    <row r="816" spans="1:10">
      <c r="A816" t="s">
        <v>1630</v>
      </c>
      <c r="B816">
        <v>33.659999999999997</v>
      </c>
      <c r="C816">
        <v>5.42</v>
      </c>
      <c r="D816" t="s">
        <v>4683</v>
      </c>
      <c r="E816" t="s">
        <v>4682</v>
      </c>
      <c r="F816" t="s">
        <v>4682</v>
      </c>
      <c r="G816">
        <v>2</v>
      </c>
      <c r="H816" t="s">
        <v>4682</v>
      </c>
      <c r="I816" t="str" cm="1">
        <f t="array" ref="I816">_xlfn.IFS(B816&lt;18.5, "Underweight", B816&lt;=24.9, "Normal Weight", B816&lt;=29.9, "Overweight", TRUE, "Obesity")</f>
        <v>Obesity</v>
      </c>
      <c r="J816" t="str" cm="1">
        <f t="array" ref="J816">_xlfn.IFS(C816&lt;5.7, "Normal", C816&lt;=6.4, "Prediabetes", TRUE, "Diabetes")</f>
        <v>Normal</v>
      </c>
    </row>
    <row r="817" spans="1:10">
      <c r="A817" t="s">
        <v>1632</v>
      </c>
      <c r="B817">
        <v>31.79</v>
      </c>
      <c r="C817">
        <v>11.33</v>
      </c>
      <c r="D817" t="s">
        <v>4683</v>
      </c>
      <c r="E817" t="s">
        <v>4682</v>
      </c>
      <c r="F817" t="s">
        <v>4684</v>
      </c>
      <c r="G817">
        <v>1</v>
      </c>
      <c r="H817" t="s">
        <v>4682</v>
      </c>
      <c r="I817" t="str" cm="1">
        <f t="array" ref="I817">_xlfn.IFS(B817&lt;18.5, "Underweight", B817&lt;=24.9, "Normal Weight", B817&lt;=29.9, "Overweight", TRUE, "Obesity")</f>
        <v>Obesity</v>
      </c>
      <c r="J817" t="str" cm="1">
        <f t="array" ref="J817">_xlfn.IFS(C817&lt;5.7, "Normal", C817&lt;=6.4, "Prediabetes", TRUE, "Diabetes")</f>
        <v>Diabetes</v>
      </c>
    </row>
    <row r="818" spans="1:10">
      <c r="A818" t="s">
        <v>1634</v>
      </c>
      <c r="B818">
        <v>29.7</v>
      </c>
      <c r="C818">
        <v>7.69</v>
      </c>
      <c r="D818" t="s">
        <v>4683</v>
      </c>
      <c r="E818" t="s">
        <v>4682</v>
      </c>
      <c r="F818" t="s">
        <v>4684</v>
      </c>
      <c r="G818">
        <v>1</v>
      </c>
      <c r="H818" t="s">
        <v>4682</v>
      </c>
      <c r="I818" t="str" cm="1">
        <f t="array" ref="I818">_xlfn.IFS(B818&lt;18.5, "Underweight", B818&lt;=24.9, "Normal Weight", B818&lt;=29.9, "Overweight", TRUE, "Obesity")</f>
        <v>Overweight</v>
      </c>
      <c r="J818" t="str" cm="1">
        <f t="array" ref="J818">_xlfn.IFS(C818&lt;5.7, "Normal", C818&lt;=6.4, "Prediabetes", TRUE, "Diabetes")</f>
        <v>Diabetes</v>
      </c>
    </row>
    <row r="819" spans="1:10">
      <c r="A819" t="s">
        <v>1636</v>
      </c>
      <c r="B819">
        <v>25.46</v>
      </c>
      <c r="C819">
        <v>8.77</v>
      </c>
      <c r="D819" t="s">
        <v>4683</v>
      </c>
      <c r="E819" t="s">
        <v>4682</v>
      </c>
      <c r="F819" t="s">
        <v>4684</v>
      </c>
      <c r="G819">
        <v>1</v>
      </c>
      <c r="H819" t="s">
        <v>4682</v>
      </c>
      <c r="I819" t="str" cm="1">
        <f t="array" ref="I819">_xlfn.IFS(B819&lt;18.5, "Underweight", B819&lt;=24.9, "Normal Weight", B819&lt;=29.9, "Overweight", TRUE, "Obesity")</f>
        <v>Overweight</v>
      </c>
      <c r="J819" t="str" cm="1">
        <f t="array" ref="J819">_xlfn.IFS(C819&lt;5.7, "Normal", C819&lt;=6.4, "Prediabetes", TRUE, "Diabetes")</f>
        <v>Diabetes</v>
      </c>
    </row>
    <row r="820" spans="1:10">
      <c r="A820" t="s">
        <v>1638</v>
      </c>
      <c r="B820">
        <v>39.14</v>
      </c>
      <c r="C820">
        <v>4.91</v>
      </c>
      <c r="D820" t="s">
        <v>4682</v>
      </c>
      <c r="E820" t="s">
        <v>4683</v>
      </c>
      <c r="F820" t="s">
        <v>4682</v>
      </c>
      <c r="G820">
        <v>1</v>
      </c>
      <c r="H820" t="s">
        <v>4682</v>
      </c>
      <c r="I820" t="str" cm="1">
        <f t="array" ref="I820">_xlfn.IFS(B820&lt;18.5, "Underweight", B820&lt;=24.9, "Normal Weight", B820&lt;=29.9, "Overweight", TRUE, "Obesity")</f>
        <v>Obesity</v>
      </c>
      <c r="J820" t="str" cm="1">
        <f t="array" ref="J820">_xlfn.IFS(C820&lt;5.7, "Normal", C820&lt;=6.4, "Prediabetes", TRUE, "Diabetes")</f>
        <v>Normal</v>
      </c>
    </row>
    <row r="821" spans="1:10">
      <c r="A821" t="s">
        <v>1640</v>
      </c>
      <c r="B821">
        <v>41.2</v>
      </c>
      <c r="C821">
        <v>4.95</v>
      </c>
      <c r="D821" t="s">
        <v>4682</v>
      </c>
      <c r="E821" t="s">
        <v>4682</v>
      </c>
      <c r="F821" t="s">
        <v>4682</v>
      </c>
      <c r="G821">
        <v>1</v>
      </c>
      <c r="H821" t="s">
        <v>4682</v>
      </c>
      <c r="I821" t="str" cm="1">
        <f t="array" ref="I821">_xlfn.IFS(B821&lt;18.5, "Underweight", B821&lt;=24.9, "Normal Weight", B821&lt;=29.9, "Overweight", TRUE, "Obesity")</f>
        <v>Obesity</v>
      </c>
      <c r="J821" t="str" cm="1">
        <f t="array" ref="J821">_xlfn.IFS(C821&lt;5.7, "Normal", C821&lt;=6.4, "Prediabetes", TRUE, "Diabetes")</f>
        <v>Normal</v>
      </c>
    </row>
    <row r="822" spans="1:10">
      <c r="A822" t="s">
        <v>1642</v>
      </c>
      <c r="B822">
        <v>28.81</v>
      </c>
      <c r="C822">
        <v>10.8</v>
      </c>
      <c r="D822" t="s">
        <v>4683</v>
      </c>
      <c r="E822" t="s">
        <v>4682</v>
      </c>
      <c r="F822" t="s">
        <v>4684</v>
      </c>
      <c r="G822">
        <v>1</v>
      </c>
      <c r="H822" t="s">
        <v>4682</v>
      </c>
      <c r="I822" t="str" cm="1">
        <f t="array" ref="I822">_xlfn.IFS(B822&lt;18.5, "Underweight", B822&lt;=24.9, "Normal Weight", B822&lt;=29.9, "Overweight", TRUE, "Obesity")</f>
        <v>Overweight</v>
      </c>
      <c r="J822" t="str" cm="1">
        <f t="array" ref="J822">_xlfn.IFS(C822&lt;5.7, "Normal", C822&lt;=6.4, "Prediabetes", TRUE, "Diabetes")</f>
        <v>Diabetes</v>
      </c>
    </row>
    <row r="823" spans="1:10">
      <c r="A823" t="s">
        <v>1644</v>
      </c>
      <c r="B823">
        <v>37.409999999999997</v>
      </c>
      <c r="C823">
        <v>7.21</v>
      </c>
      <c r="D823" t="s">
        <v>4682</v>
      </c>
      <c r="E823" t="s">
        <v>4682</v>
      </c>
      <c r="F823" t="s">
        <v>4682</v>
      </c>
      <c r="G823">
        <v>2</v>
      </c>
      <c r="H823" t="s">
        <v>4682</v>
      </c>
      <c r="I823" t="str" cm="1">
        <f t="array" ref="I823">_xlfn.IFS(B823&lt;18.5, "Underweight", B823&lt;=24.9, "Normal Weight", B823&lt;=29.9, "Overweight", TRUE, "Obesity")</f>
        <v>Obesity</v>
      </c>
      <c r="J823" t="str" cm="1">
        <f t="array" ref="J823">_xlfn.IFS(C823&lt;5.7, "Normal", C823&lt;=6.4, "Prediabetes", TRUE, "Diabetes")</f>
        <v>Diabetes</v>
      </c>
    </row>
    <row r="824" spans="1:10">
      <c r="A824" t="s">
        <v>1646</v>
      </c>
      <c r="B824">
        <v>52.54</v>
      </c>
      <c r="C824">
        <v>5.12</v>
      </c>
      <c r="D824" t="s">
        <v>4682</v>
      </c>
      <c r="E824" t="s">
        <v>4682</v>
      </c>
      <c r="F824" t="s">
        <v>4684</v>
      </c>
      <c r="G824">
        <v>1</v>
      </c>
      <c r="H824" t="s">
        <v>4682</v>
      </c>
      <c r="I824" t="str" cm="1">
        <f t="array" ref="I824">_xlfn.IFS(B824&lt;18.5, "Underweight", B824&lt;=24.9, "Normal Weight", B824&lt;=29.9, "Overweight", TRUE, "Obesity")</f>
        <v>Obesity</v>
      </c>
      <c r="J824" t="str" cm="1">
        <f t="array" ref="J824">_xlfn.IFS(C824&lt;5.7, "Normal", C824&lt;=6.4, "Prediabetes", TRUE, "Diabetes")</f>
        <v>Normal</v>
      </c>
    </row>
    <row r="825" spans="1:10">
      <c r="A825" t="s">
        <v>1648</v>
      </c>
      <c r="B825">
        <v>17.29</v>
      </c>
      <c r="C825">
        <v>4.62</v>
      </c>
      <c r="D825" t="s">
        <v>4682</v>
      </c>
      <c r="E825" t="s">
        <v>4683</v>
      </c>
      <c r="F825" t="s">
        <v>4682</v>
      </c>
      <c r="G825">
        <v>1</v>
      </c>
      <c r="H825" t="s">
        <v>4683</v>
      </c>
      <c r="I825" t="str" cm="1">
        <f t="array" ref="I825">_xlfn.IFS(B825&lt;18.5, "Underweight", B825&lt;=24.9, "Normal Weight", B825&lt;=29.9, "Overweight", TRUE, "Obesity")</f>
        <v>Underweight</v>
      </c>
      <c r="J825" t="str" cm="1">
        <f t="array" ref="J825">_xlfn.IFS(C825&lt;5.7, "Normal", C825&lt;=6.4, "Prediabetes", TRUE, "Diabetes")</f>
        <v>Normal</v>
      </c>
    </row>
    <row r="826" spans="1:10">
      <c r="A826" t="s">
        <v>1650</v>
      </c>
      <c r="B826">
        <v>31.74</v>
      </c>
      <c r="C826">
        <v>7.68</v>
      </c>
      <c r="D826" t="s">
        <v>4683</v>
      </c>
      <c r="E826" t="s">
        <v>4682</v>
      </c>
      <c r="F826" t="s">
        <v>4682</v>
      </c>
      <c r="G826">
        <v>0</v>
      </c>
      <c r="H826" t="s">
        <v>4682</v>
      </c>
      <c r="I826" t="str" cm="1">
        <f t="array" ref="I826">_xlfn.IFS(B826&lt;18.5, "Underweight", B826&lt;=24.9, "Normal Weight", B826&lt;=29.9, "Overweight", TRUE, "Obesity")</f>
        <v>Obesity</v>
      </c>
      <c r="J826" t="str" cm="1">
        <f t="array" ref="J826">_xlfn.IFS(C826&lt;5.7, "Normal", C826&lt;=6.4, "Prediabetes", TRUE, "Diabetes")</f>
        <v>Diabetes</v>
      </c>
    </row>
    <row r="827" spans="1:10">
      <c r="A827" t="s">
        <v>1652</v>
      </c>
      <c r="B827">
        <v>26.504999999999999</v>
      </c>
      <c r="C827">
        <v>6.79</v>
      </c>
      <c r="D827" t="s">
        <v>4683</v>
      </c>
      <c r="E827" t="s">
        <v>4682</v>
      </c>
      <c r="F827" t="s">
        <v>4684</v>
      </c>
      <c r="G827">
        <v>1</v>
      </c>
      <c r="H827" t="s">
        <v>4682</v>
      </c>
      <c r="I827" t="str" cm="1">
        <f t="array" ref="I827">_xlfn.IFS(B827&lt;18.5, "Underweight", B827&lt;=24.9, "Normal Weight", B827&lt;=29.9, "Overweight", TRUE, "Obesity")</f>
        <v>Overweight</v>
      </c>
      <c r="J827" t="str" cm="1">
        <f t="array" ref="J827">_xlfn.IFS(C827&lt;5.7, "Normal", C827&lt;=6.4, "Prediabetes", TRUE, "Diabetes")</f>
        <v>Diabetes</v>
      </c>
    </row>
    <row r="828" spans="1:10">
      <c r="A828" t="s">
        <v>1654</v>
      </c>
      <c r="B828">
        <v>36.479999999999997</v>
      </c>
      <c r="C828">
        <v>11.09</v>
      </c>
      <c r="D828" t="s">
        <v>4682</v>
      </c>
      <c r="E828" t="s">
        <v>4682</v>
      </c>
      <c r="F828" t="s">
        <v>4682</v>
      </c>
      <c r="G828">
        <v>0</v>
      </c>
      <c r="H828" t="s">
        <v>4682</v>
      </c>
      <c r="I828" t="str" cm="1">
        <f t="array" ref="I828">_xlfn.IFS(B828&lt;18.5, "Underweight", B828&lt;=24.9, "Normal Weight", B828&lt;=29.9, "Overweight", TRUE, "Obesity")</f>
        <v>Obesity</v>
      </c>
      <c r="J828" t="str" cm="1">
        <f t="array" ref="J828">_xlfn.IFS(C828&lt;5.7, "Normal", C828&lt;=6.4, "Prediabetes", TRUE, "Diabetes")</f>
        <v>Diabetes</v>
      </c>
    </row>
    <row r="829" spans="1:10">
      <c r="A829" t="s">
        <v>1656</v>
      </c>
      <c r="B829">
        <v>39.159999999999997</v>
      </c>
      <c r="C829">
        <v>5.24</v>
      </c>
      <c r="D829" t="s">
        <v>4683</v>
      </c>
      <c r="E829" t="s">
        <v>4682</v>
      </c>
      <c r="F829" t="s">
        <v>4684</v>
      </c>
      <c r="G829">
        <v>1</v>
      </c>
      <c r="H829" t="s">
        <v>4682</v>
      </c>
      <c r="I829" t="str" cm="1">
        <f t="array" ref="I829">_xlfn.IFS(B829&lt;18.5, "Underweight", B829&lt;=24.9, "Normal Weight", B829&lt;=29.9, "Overweight", TRUE, "Obesity")</f>
        <v>Obesity</v>
      </c>
      <c r="J829" t="str" cm="1">
        <f t="array" ref="J829">_xlfn.IFS(C829&lt;5.7, "Normal", C829&lt;=6.4, "Prediabetes", TRUE, "Diabetes")</f>
        <v>Normal</v>
      </c>
    </row>
    <row r="830" spans="1:10">
      <c r="A830" t="s">
        <v>1658</v>
      </c>
      <c r="B830">
        <v>28.22</v>
      </c>
      <c r="C830">
        <v>7.51</v>
      </c>
      <c r="D830" t="s">
        <v>4683</v>
      </c>
      <c r="E830" t="s">
        <v>4682</v>
      </c>
      <c r="F830" t="s">
        <v>4684</v>
      </c>
      <c r="G830">
        <v>1</v>
      </c>
      <c r="H830" t="s">
        <v>4682</v>
      </c>
      <c r="I830" t="str" cm="1">
        <f t="array" ref="I830">_xlfn.IFS(B830&lt;18.5, "Underweight", B830&lt;=24.9, "Normal Weight", B830&lt;=29.9, "Overweight", TRUE, "Obesity")</f>
        <v>Overweight</v>
      </c>
      <c r="J830" t="str" cm="1">
        <f t="array" ref="J830">_xlfn.IFS(C830&lt;5.7, "Normal", C830&lt;=6.4, "Prediabetes", TRUE, "Diabetes")</f>
        <v>Diabetes</v>
      </c>
    </row>
    <row r="831" spans="1:10">
      <c r="A831" t="s">
        <v>1660</v>
      </c>
      <c r="B831">
        <v>35</v>
      </c>
      <c r="C831">
        <v>4.13</v>
      </c>
      <c r="D831" t="s">
        <v>4682</v>
      </c>
      <c r="E831" t="s">
        <v>4682</v>
      </c>
      <c r="F831" t="s">
        <v>4682</v>
      </c>
      <c r="G831">
        <v>2</v>
      </c>
      <c r="H831" t="s">
        <v>4682</v>
      </c>
      <c r="I831" t="str" cm="1">
        <f t="array" ref="I831">_xlfn.IFS(B831&lt;18.5, "Underweight", B831&lt;=24.9, "Normal Weight", B831&lt;=29.9, "Overweight", TRUE, "Obesity")</f>
        <v>Obesity</v>
      </c>
      <c r="J831" t="str" cm="1">
        <f t="array" ref="J831">_xlfn.IFS(C831&lt;5.7, "Normal", C831&lt;=6.4, "Prediabetes", TRUE, "Diabetes")</f>
        <v>Normal</v>
      </c>
    </row>
    <row r="832" spans="1:10">
      <c r="A832" t="s">
        <v>1662</v>
      </c>
      <c r="B832">
        <v>36.24</v>
      </c>
      <c r="C832">
        <v>8.3800000000000008</v>
      </c>
      <c r="D832" t="s">
        <v>4683</v>
      </c>
      <c r="E832" t="s">
        <v>4682</v>
      </c>
      <c r="F832" t="s">
        <v>4682</v>
      </c>
      <c r="G832">
        <v>1</v>
      </c>
      <c r="H832" t="s">
        <v>4682</v>
      </c>
      <c r="I832" t="str" cm="1">
        <f t="array" ref="I832">_xlfn.IFS(B832&lt;18.5, "Underweight", B832&lt;=24.9, "Normal Weight", B832&lt;=29.9, "Overweight", TRUE, "Obesity")</f>
        <v>Obesity</v>
      </c>
      <c r="J832" t="str" cm="1">
        <f t="array" ref="J832">_xlfn.IFS(C832&lt;5.7, "Normal", C832&lt;=6.4, "Prediabetes", TRUE, "Diabetes")</f>
        <v>Diabetes</v>
      </c>
    </row>
    <row r="833" spans="1:10">
      <c r="A833" t="s">
        <v>1664</v>
      </c>
      <c r="B833">
        <v>36.954999999999998</v>
      </c>
      <c r="C833">
        <v>8.07</v>
      </c>
      <c r="D833" t="s">
        <v>4682</v>
      </c>
      <c r="E833" t="s">
        <v>4682</v>
      </c>
      <c r="F833" t="s">
        <v>4682</v>
      </c>
      <c r="G833">
        <v>0</v>
      </c>
      <c r="H833" t="s">
        <v>4682</v>
      </c>
      <c r="I833" t="str" cm="1">
        <f t="array" ref="I833">_xlfn.IFS(B833&lt;18.5, "Underweight", B833&lt;=24.9, "Normal Weight", B833&lt;=29.9, "Overweight", TRUE, "Obesity")</f>
        <v>Obesity</v>
      </c>
      <c r="J833" t="str" cm="1">
        <f t="array" ref="J833">_xlfn.IFS(C833&lt;5.7, "Normal", C833&lt;=6.4, "Prediabetes", TRUE, "Diabetes")</f>
        <v>Diabetes</v>
      </c>
    </row>
    <row r="834" spans="1:10">
      <c r="A834" t="s">
        <v>1666</v>
      </c>
      <c r="B834">
        <v>29.64</v>
      </c>
      <c r="C834">
        <v>8.9499999999999993</v>
      </c>
      <c r="D834" t="s">
        <v>4682</v>
      </c>
      <c r="E834" t="s">
        <v>4682</v>
      </c>
      <c r="F834" t="s">
        <v>4682</v>
      </c>
      <c r="G834">
        <v>0</v>
      </c>
      <c r="H834" t="s">
        <v>4682</v>
      </c>
      <c r="I834" t="str" cm="1">
        <f t="array" ref="I834">_xlfn.IFS(B834&lt;18.5, "Underweight", B834&lt;=24.9, "Normal Weight", B834&lt;=29.9, "Overweight", TRUE, "Obesity")</f>
        <v>Overweight</v>
      </c>
      <c r="J834" t="str" cm="1">
        <f t="array" ref="J834">_xlfn.IFS(C834&lt;5.7, "Normal", C834&lt;=6.4, "Prediabetes", TRUE, "Diabetes")</f>
        <v>Diabetes</v>
      </c>
    </row>
    <row r="835" spans="1:10">
      <c r="A835" t="s">
        <v>1668</v>
      </c>
      <c r="B835">
        <v>42.74</v>
      </c>
      <c r="C835">
        <v>6.31</v>
      </c>
      <c r="D835" t="s">
        <v>4683</v>
      </c>
      <c r="E835" t="s">
        <v>4682</v>
      </c>
      <c r="F835" t="s">
        <v>4682</v>
      </c>
      <c r="G835">
        <v>1</v>
      </c>
      <c r="H835" t="s">
        <v>4682</v>
      </c>
      <c r="I835" t="str" cm="1">
        <f t="array" ref="I835">_xlfn.IFS(B835&lt;18.5, "Underweight", B835&lt;=24.9, "Normal Weight", B835&lt;=29.9, "Overweight", TRUE, "Obesity")</f>
        <v>Obesity</v>
      </c>
      <c r="J835" t="str" cm="1">
        <f t="array" ref="J835">_xlfn.IFS(C835&lt;5.7, "Normal", C835&lt;=6.4, "Prediabetes", TRUE, "Diabetes")</f>
        <v>Prediabetes</v>
      </c>
    </row>
    <row r="836" spans="1:10">
      <c r="A836" t="s">
        <v>1670</v>
      </c>
      <c r="B836">
        <v>36.130000000000003</v>
      </c>
      <c r="C836">
        <v>7.19</v>
      </c>
      <c r="D836" t="s">
        <v>4683</v>
      </c>
      <c r="E836" t="s">
        <v>4682</v>
      </c>
      <c r="F836" t="s">
        <v>4682</v>
      </c>
      <c r="G836">
        <v>2</v>
      </c>
      <c r="H836" t="s">
        <v>4682</v>
      </c>
      <c r="I836" t="str" cm="1">
        <f t="array" ref="I836">_xlfn.IFS(B836&lt;18.5, "Underweight", B836&lt;=24.9, "Normal Weight", B836&lt;=29.9, "Overweight", TRUE, "Obesity")</f>
        <v>Obesity</v>
      </c>
      <c r="J836" t="str" cm="1">
        <f t="array" ref="J836">_xlfn.IFS(C836&lt;5.7, "Normal", C836&lt;=6.4, "Prediabetes", TRUE, "Diabetes")</f>
        <v>Diabetes</v>
      </c>
    </row>
    <row r="837" spans="1:10">
      <c r="A837" t="s">
        <v>1672</v>
      </c>
      <c r="B837">
        <v>31.55</v>
      </c>
      <c r="C837">
        <v>6.11</v>
      </c>
      <c r="D837" t="s">
        <v>4683</v>
      </c>
      <c r="E837" t="s">
        <v>4682</v>
      </c>
      <c r="F837" t="s">
        <v>4682</v>
      </c>
      <c r="G837">
        <v>1</v>
      </c>
      <c r="H837" t="s">
        <v>4682</v>
      </c>
      <c r="I837" t="str" cm="1">
        <f t="array" ref="I837">_xlfn.IFS(B837&lt;18.5, "Underweight", B837&lt;=24.9, "Normal Weight", B837&lt;=29.9, "Overweight", TRUE, "Obesity")</f>
        <v>Obesity</v>
      </c>
      <c r="J837" t="str" cm="1">
        <f t="array" ref="J837">_xlfn.IFS(C837&lt;5.7, "Normal", C837&lt;=6.4, "Prediabetes", TRUE, "Diabetes")</f>
        <v>Prediabetes</v>
      </c>
    </row>
    <row r="838" spans="1:10">
      <c r="A838" t="s">
        <v>1674</v>
      </c>
      <c r="B838">
        <v>52.75</v>
      </c>
      <c r="C838">
        <v>6.02</v>
      </c>
      <c r="D838" t="s">
        <v>4682</v>
      </c>
      <c r="E838" t="s">
        <v>4682</v>
      </c>
      <c r="F838" t="s">
        <v>4682</v>
      </c>
      <c r="G838">
        <v>1</v>
      </c>
      <c r="H838" t="s">
        <v>4682</v>
      </c>
      <c r="I838" t="str" cm="1">
        <f t="array" ref="I838">_xlfn.IFS(B838&lt;18.5, "Underweight", B838&lt;=24.9, "Normal Weight", B838&lt;=29.9, "Overweight", TRUE, "Obesity")</f>
        <v>Obesity</v>
      </c>
      <c r="J838" t="str" cm="1">
        <f t="array" ref="J838">_xlfn.IFS(C838&lt;5.7, "Normal", C838&lt;=6.4, "Prediabetes", TRUE, "Diabetes")</f>
        <v>Prediabetes</v>
      </c>
    </row>
    <row r="839" spans="1:10">
      <c r="A839" t="s">
        <v>1676</v>
      </c>
      <c r="B839">
        <v>36.67</v>
      </c>
      <c r="C839">
        <v>11.86</v>
      </c>
      <c r="D839" t="s">
        <v>4682</v>
      </c>
      <c r="E839" t="s">
        <v>4682</v>
      </c>
      <c r="F839" t="s">
        <v>4682</v>
      </c>
      <c r="G839">
        <v>0</v>
      </c>
      <c r="H839" t="s">
        <v>4682</v>
      </c>
      <c r="I839" t="str" cm="1">
        <f t="array" ref="I839">_xlfn.IFS(B839&lt;18.5, "Underweight", B839&lt;=24.9, "Normal Weight", B839&lt;=29.9, "Overweight", TRUE, "Obesity")</f>
        <v>Obesity</v>
      </c>
      <c r="J839" t="str" cm="1">
        <f t="array" ref="J839">_xlfn.IFS(C839&lt;5.7, "Normal", C839&lt;=6.4, "Prediabetes", TRUE, "Diabetes")</f>
        <v>Diabetes</v>
      </c>
    </row>
    <row r="840" spans="1:10">
      <c r="A840" t="s">
        <v>1678</v>
      </c>
      <c r="B840">
        <v>38.06</v>
      </c>
      <c r="C840">
        <v>8.25</v>
      </c>
      <c r="D840" t="s">
        <v>4682</v>
      </c>
      <c r="E840" t="s">
        <v>4682</v>
      </c>
      <c r="F840" t="s">
        <v>4682</v>
      </c>
      <c r="G840">
        <v>0</v>
      </c>
      <c r="H840" t="s">
        <v>4682</v>
      </c>
      <c r="I840" t="str" cm="1">
        <f t="array" ref="I840">_xlfn.IFS(B840&lt;18.5, "Underweight", B840&lt;=24.9, "Normal Weight", B840&lt;=29.9, "Overweight", TRUE, "Obesity")</f>
        <v>Obesity</v>
      </c>
      <c r="J840" t="str" cm="1">
        <f t="array" ref="J840">_xlfn.IFS(C840&lt;5.7, "Normal", C840&lt;=6.4, "Prediabetes", TRUE, "Diabetes")</f>
        <v>Diabetes</v>
      </c>
    </row>
    <row r="841" spans="1:10">
      <c r="A841" t="s">
        <v>1680</v>
      </c>
      <c r="B841">
        <v>38</v>
      </c>
      <c r="C841">
        <v>8.1300000000000008</v>
      </c>
      <c r="D841" t="s">
        <v>4682</v>
      </c>
      <c r="E841" t="s">
        <v>4682</v>
      </c>
      <c r="F841" t="s">
        <v>4682</v>
      </c>
      <c r="G841">
        <v>0</v>
      </c>
      <c r="H841" t="s">
        <v>4682</v>
      </c>
      <c r="I841" t="str" cm="1">
        <f t="array" ref="I841">_xlfn.IFS(B841&lt;18.5, "Underweight", B841&lt;=24.9, "Normal Weight", B841&lt;=29.9, "Overweight", TRUE, "Obesity")</f>
        <v>Obesity</v>
      </c>
      <c r="J841" t="str" cm="1">
        <f t="array" ref="J841">_xlfn.IFS(C841&lt;5.7, "Normal", C841&lt;=6.4, "Prediabetes", TRUE, "Diabetes")</f>
        <v>Diabetes</v>
      </c>
    </row>
    <row r="842" spans="1:10">
      <c r="A842" t="s">
        <v>1682</v>
      </c>
      <c r="B842">
        <v>35.1</v>
      </c>
      <c r="C842">
        <v>10.1</v>
      </c>
      <c r="D842" t="s">
        <v>4682</v>
      </c>
      <c r="E842" t="s">
        <v>4682</v>
      </c>
      <c r="F842" t="s">
        <v>4682</v>
      </c>
      <c r="G842">
        <v>0</v>
      </c>
      <c r="H842" t="s">
        <v>4682</v>
      </c>
      <c r="I842" t="str" cm="1">
        <f t="array" ref="I842">_xlfn.IFS(B842&lt;18.5, "Underweight", B842&lt;=24.9, "Normal Weight", B842&lt;=29.9, "Overweight", TRUE, "Obesity")</f>
        <v>Obesity</v>
      </c>
      <c r="J842" t="str" cm="1">
        <f t="array" ref="J842">_xlfn.IFS(C842&lt;5.7, "Normal", C842&lt;=6.4, "Prediabetes", TRUE, "Diabetes")</f>
        <v>Diabetes</v>
      </c>
    </row>
    <row r="843" spans="1:10">
      <c r="A843" t="s">
        <v>1684</v>
      </c>
      <c r="B843">
        <v>33.82</v>
      </c>
      <c r="C843">
        <v>5.89</v>
      </c>
      <c r="D843" t="s">
        <v>4683</v>
      </c>
      <c r="E843" t="s">
        <v>4682</v>
      </c>
      <c r="F843" t="s">
        <v>4682</v>
      </c>
      <c r="G843">
        <v>2</v>
      </c>
      <c r="H843" t="s">
        <v>4682</v>
      </c>
      <c r="I843" t="str" cm="1">
        <f t="array" ref="I843">_xlfn.IFS(B843&lt;18.5, "Underweight", B843&lt;=24.9, "Normal Weight", B843&lt;=29.9, "Overweight", TRUE, "Obesity")</f>
        <v>Obesity</v>
      </c>
      <c r="J843" t="str" cm="1">
        <f t="array" ref="J843">_xlfn.IFS(C843&lt;5.7, "Normal", C843&lt;=6.4, "Prediabetes", TRUE, "Diabetes")</f>
        <v>Prediabetes</v>
      </c>
    </row>
    <row r="844" spans="1:10">
      <c r="A844" t="s">
        <v>1686</v>
      </c>
      <c r="B844">
        <v>37.43</v>
      </c>
      <c r="C844">
        <v>4.97</v>
      </c>
      <c r="D844" t="s">
        <v>4682</v>
      </c>
      <c r="E844" t="s">
        <v>4682</v>
      </c>
      <c r="F844" t="s">
        <v>4682</v>
      </c>
      <c r="G844">
        <v>2</v>
      </c>
      <c r="H844" t="s">
        <v>4682</v>
      </c>
      <c r="I844" t="str" cm="1">
        <f t="array" ref="I844">_xlfn.IFS(B844&lt;18.5, "Underweight", B844&lt;=24.9, "Normal Weight", B844&lt;=29.9, "Overweight", TRUE, "Obesity")</f>
        <v>Obesity</v>
      </c>
      <c r="J844" t="str" cm="1">
        <f t="array" ref="J844">_xlfn.IFS(C844&lt;5.7, "Normal", C844&lt;=6.4, "Prediabetes", TRUE, "Diabetes")</f>
        <v>Normal</v>
      </c>
    </row>
    <row r="845" spans="1:10">
      <c r="A845" t="s">
        <v>1688</v>
      </c>
      <c r="B845">
        <v>30.5</v>
      </c>
      <c r="C845">
        <v>9.9</v>
      </c>
      <c r="D845" t="s">
        <v>4682</v>
      </c>
      <c r="E845" t="s">
        <v>4682</v>
      </c>
      <c r="F845" t="s">
        <v>4682</v>
      </c>
      <c r="G845">
        <v>0</v>
      </c>
      <c r="H845" t="s">
        <v>4682</v>
      </c>
      <c r="I845" t="str" cm="1">
        <f t="array" ref="I845">_xlfn.IFS(B845&lt;18.5, "Underweight", B845&lt;=24.9, "Normal Weight", B845&lt;=29.9, "Overweight", TRUE, "Obesity")</f>
        <v>Obesity</v>
      </c>
      <c r="J845" t="str" cm="1">
        <f t="array" ref="J845">_xlfn.IFS(C845&lt;5.7, "Normal", C845&lt;=6.4, "Prediabetes", TRUE, "Diabetes")</f>
        <v>Diabetes</v>
      </c>
    </row>
    <row r="846" spans="1:10">
      <c r="A846" t="s">
        <v>1690</v>
      </c>
      <c r="B846">
        <v>24.53</v>
      </c>
      <c r="C846">
        <v>9.0500000000000007</v>
      </c>
      <c r="D846" t="s">
        <v>4682</v>
      </c>
      <c r="E846" t="s">
        <v>4682</v>
      </c>
      <c r="F846" t="s">
        <v>4682</v>
      </c>
      <c r="G846">
        <v>0</v>
      </c>
      <c r="H846" t="s">
        <v>4682</v>
      </c>
      <c r="I846" t="str" cm="1">
        <f t="array" ref="I846">_xlfn.IFS(B846&lt;18.5, "Underweight", B846&lt;=24.9, "Normal Weight", B846&lt;=29.9, "Overweight", TRUE, "Obesity")</f>
        <v>Normal Weight</v>
      </c>
      <c r="J846" t="str" cm="1">
        <f t="array" ref="J846">_xlfn.IFS(C846&lt;5.7, "Normal", C846&lt;=6.4, "Prediabetes", TRUE, "Diabetes")</f>
        <v>Diabetes</v>
      </c>
    </row>
    <row r="847" spans="1:10">
      <c r="A847" t="s">
        <v>1692</v>
      </c>
      <c r="B847">
        <v>25.74</v>
      </c>
      <c r="C847">
        <v>10.93</v>
      </c>
      <c r="D847" t="s">
        <v>4682</v>
      </c>
      <c r="E847" t="s">
        <v>4682</v>
      </c>
      <c r="F847" t="s">
        <v>4682</v>
      </c>
      <c r="G847">
        <v>0</v>
      </c>
      <c r="H847" t="s">
        <v>4682</v>
      </c>
      <c r="I847" t="str" cm="1">
        <f t="array" ref="I847">_xlfn.IFS(B847&lt;18.5, "Underweight", B847&lt;=24.9, "Normal Weight", B847&lt;=29.9, "Overweight", TRUE, "Obesity")</f>
        <v>Overweight</v>
      </c>
      <c r="J847" t="str" cm="1">
        <f t="array" ref="J847">_xlfn.IFS(C847&lt;5.7, "Normal", C847&lt;=6.4, "Prediabetes", TRUE, "Diabetes")</f>
        <v>Diabetes</v>
      </c>
    </row>
    <row r="848" spans="1:10">
      <c r="A848" t="s">
        <v>1694</v>
      </c>
      <c r="B848">
        <v>34.08</v>
      </c>
      <c r="C848">
        <v>7.58</v>
      </c>
      <c r="D848" t="s">
        <v>4683</v>
      </c>
      <c r="E848" t="s">
        <v>4682</v>
      </c>
      <c r="F848" t="s">
        <v>4682</v>
      </c>
      <c r="G848">
        <v>2</v>
      </c>
      <c r="H848" t="s">
        <v>4682</v>
      </c>
      <c r="I848" t="str" cm="1">
        <f t="array" ref="I848">_xlfn.IFS(B848&lt;18.5, "Underweight", B848&lt;=24.9, "Normal Weight", B848&lt;=29.9, "Overweight", TRUE, "Obesity")</f>
        <v>Obesity</v>
      </c>
      <c r="J848" t="str" cm="1">
        <f t="array" ref="J848">_xlfn.IFS(C848&lt;5.7, "Normal", C848&lt;=6.4, "Prediabetes", TRUE, "Diabetes")</f>
        <v>Diabetes</v>
      </c>
    </row>
    <row r="849" spans="1:10">
      <c r="A849" t="s">
        <v>1696</v>
      </c>
      <c r="B849">
        <v>31.35</v>
      </c>
      <c r="C849">
        <v>11</v>
      </c>
      <c r="D849" t="s">
        <v>4683</v>
      </c>
      <c r="E849" t="s">
        <v>4682</v>
      </c>
      <c r="F849" t="s">
        <v>4684</v>
      </c>
      <c r="G849">
        <v>1</v>
      </c>
      <c r="H849" t="s">
        <v>4682</v>
      </c>
      <c r="I849" t="str" cm="1">
        <f t="array" ref="I849">_xlfn.IFS(B849&lt;18.5, "Underweight", B849&lt;=24.9, "Normal Weight", B849&lt;=29.9, "Overweight", TRUE, "Obesity")</f>
        <v>Obesity</v>
      </c>
      <c r="J849" t="str" cm="1">
        <f t="array" ref="J849">_xlfn.IFS(C849&lt;5.7, "Normal", C849&lt;=6.4, "Prediabetes", TRUE, "Diabetes")</f>
        <v>Diabetes</v>
      </c>
    </row>
    <row r="850" spans="1:10">
      <c r="A850" t="s">
        <v>1698</v>
      </c>
      <c r="B850">
        <v>26.79</v>
      </c>
      <c r="C850">
        <v>5.0599999999999996</v>
      </c>
      <c r="D850" t="s">
        <v>4682</v>
      </c>
      <c r="E850" t="s">
        <v>4682</v>
      </c>
      <c r="F850" t="s">
        <v>4682</v>
      </c>
      <c r="G850">
        <v>1</v>
      </c>
      <c r="H850" t="s">
        <v>4682</v>
      </c>
      <c r="I850" t="str" cm="1">
        <f t="array" ref="I850">_xlfn.IFS(B850&lt;18.5, "Underweight", B850&lt;=24.9, "Normal Weight", B850&lt;=29.9, "Overweight", TRUE, "Obesity")</f>
        <v>Overweight</v>
      </c>
      <c r="J850" t="str" cm="1">
        <f t="array" ref="J850">_xlfn.IFS(C850&lt;5.7, "Normal", C850&lt;=6.4, "Prediabetes", TRUE, "Diabetes")</f>
        <v>Normal</v>
      </c>
    </row>
    <row r="851" spans="1:10">
      <c r="A851" t="s">
        <v>1700</v>
      </c>
      <c r="B851">
        <v>42.78</v>
      </c>
      <c r="C851">
        <v>6.11</v>
      </c>
      <c r="D851" t="s">
        <v>4683</v>
      </c>
      <c r="E851" t="s">
        <v>4682</v>
      </c>
      <c r="F851" t="s">
        <v>4682</v>
      </c>
      <c r="G851">
        <v>1</v>
      </c>
      <c r="H851" t="s">
        <v>4682</v>
      </c>
      <c r="I851" t="str" cm="1">
        <f t="array" ref="I851">_xlfn.IFS(B851&lt;18.5, "Underweight", B851&lt;=24.9, "Normal Weight", B851&lt;=29.9, "Overweight", TRUE, "Obesity")</f>
        <v>Obesity</v>
      </c>
      <c r="J851" t="str" cm="1">
        <f t="array" ref="J851">_xlfn.IFS(C851&lt;5.7, "Normal", C851&lt;=6.4, "Prediabetes", TRUE, "Diabetes")</f>
        <v>Prediabetes</v>
      </c>
    </row>
    <row r="852" spans="1:10">
      <c r="A852" t="s">
        <v>1702</v>
      </c>
      <c r="B852">
        <v>46.75</v>
      </c>
      <c r="C852">
        <v>6.66</v>
      </c>
      <c r="D852" t="s">
        <v>4683</v>
      </c>
      <c r="E852" t="s">
        <v>4682</v>
      </c>
      <c r="F852" t="s">
        <v>4682</v>
      </c>
      <c r="G852">
        <v>2</v>
      </c>
      <c r="H852" t="s">
        <v>4682</v>
      </c>
      <c r="I852" t="str" cm="1">
        <f t="array" ref="I852">_xlfn.IFS(B852&lt;18.5, "Underweight", B852&lt;=24.9, "Normal Weight", B852&lt;=29.9, "Overweight", TRUE, "Obesity")</f>
        <v>Obesity</v>
      </c>
      <c r="J852" t="str" cm="1">
        <f t="array" ref="J852">_xlfn.IFS(C852&lt;5.7, "Normal", C852&lt;=6.4, "Prediabetes", TRUE, "Diabetes")</f>
        <v>Diabetes</v>
      </c>
    </row>
    <row r="853" spans="1:10">
      <c r="A853" t="s">
        <v>1704</v>
      </c>
      <c r="B853">
        <v>32.15</v>
      </c>
      <c r="C853">
        <v>4.0199999999999996</v>
      </c>
      <c r="D853" t="s">
        <v>4683</v>
      </c>
      <c r="E853" t="s">
        <v>4682</v>
      </c>
      <c r="F853" t="s">
        <v>4684</v>
      </c>
      <c r="G853">
        <v>1</v>
      </c>
      <c r="H853" t="s">
        <v>4682</v>
      </c>
      <c r="I853" t="str" cm="1">
        <f t="array" ref="I853">_xlfn.IFS(B853&lt;18.5, "Underweight", B853&lt;=24.9, "Normal Weight", B853&lt;=29.9, "Overweight", TRUE, "Obesity")</f>
        <v>Obesity</v>
      </c>
      <c r="J853" t="str" cm="1">
        <f t="array" ref="J853">_xlfn.IFS(C853&lt;5.7, "Normal", C853&lt;=6.4, "Prediabetes", TRUE, "Diabetes")</f>
        <v>Normal</v>
      </c>
    </row>
    <row r="854" spans="1:10">
      <c r="A854" t="s">
        <v>1706</v>
      </c>
      <c r="B854">
        <v>43.4</v>
      </c>
      <c r="C854">
        <v>8.81</v>
      </c>
      <c r="D854" t="s">
        <v>4683</v>
      </c>
      <c r="E854" t="s">
        <v>4682</v>
      </c>
      <c r="F854" t="s">
        <v>4682</v>
      </c>
      <c r="G854">
        <v>2</v>
      </c>
      <c r="H854" t="s">
        <v>4682</v>
      </c>
      <c r="I854" t="str" cm="1">
        <f t="array" ref="I854">_xlfn.IFS(B854&lt;18.5, "Underweight", B854&lt;=24.9, "Normal Weight", B854&lt;=29.9, "Overweight", TRUE, "Obesity")</f>
        <v>Obesity</v>
      </c>
      <c r="J854" t="str" cm="1">
        <f t="array" ref="J854">_xlfn.IFS(C854&lt;5.7, "Normal", C854&lt;=6.4, "Prediabetes", TRUE, "Diabetes")</f>
        <v>Diabetes</v>
      </c>
    </row>
    <row r="855" spans="1:10">
      <c r="A855" t="s">
        <v>1708</v>
      </c>
      <c r="B855">
        <v>31.57</v>
      </c>
      <c r="C855">
        <v>7.92</v>
      </c>
      <c r="D855" t="s">
        <v>4683</v>
      </c>
      <c r="E855" t="s">
        <v>4682</v>
      </c>
      <c r="F855" t="s">
        <v>4682</v>
      </c>
      <c r="G855">
        <v>2</v>
      </c>
      <c r="H855" t="s">
        <v>4682</v>
      </c>
      <c r="I855" t="str" cm="1">
        <f t="array" ref="I855">_xlfn.IFS(B855&lt;18.5, "Underweight", B855&lt;=24.9, "Normal Weight", B855&lt;=29.9, "Overweight", TRUE, "Obesity")</f>
        <v>Obesity</v>
      </c>
      <c r="J855" t="str" cm="1">
        <f t="array" ref="J855">_xlfn.IFS(C855&lt;5.7, "Normal", C855&lt;=6.4, "Prediabetes", TRUE, "Diabetes")</f>
        <v>Diabetes</v>
      </c>
    </row>
    <row r="856" spans="1:10">
      <c r="A856" t="s">
        <v>1710</v>
      </c>
      <c r="B856">
        <v>24.32</v>
      </c>
      <c r="C856">
        <v>7.48</v>
      </c>
      <c r="D856" t="s">
        <v>4682</v>
      </c>
      <c r="E856" t="s">
        <v>4682</v>
      </c>
      <c r="F856" t="s">
        <v>4682</v>
      </c>
      <c r="G856">
        <v>0</v>
      </c>
      <c r="H856" t="s">
        <v>4682</v>
      </c>
      <c r="I856" t="str" cm="1">
        <f t="array" ref="I856">_xlfn.IFS(B856&lt;18.5, "Underweight", B856&lt;=24.9, "Normal Weight", B856&lt;=29.9, "Overweight", TRUE, "Obesity")</f>
        <v>Normal Weight</v>
      </c>
      <c r="J856" t="str" cm="1">
        <f t="array" ref="J856">_xlfn.IFS(C856&lt;5.7, "Normal", C856&lt;=6.4, "Prediabetes", TRUE, "Diabetes")</f>
        <v>Diabetes</v>
      </c>
    </row>
    <row r="857" spans="1:10">
      <c r="A857" t="s">
        <v>1712</v>
      </c>
      <c r="B857">
        <v>31.07</v>
      </c>
      <c r="C857">
        <v>4.62</v>
      </c>
      <c r="D857" t="s">
        <v>4683</v>
      </c>
      <c r="E857" t="s">
        <v>4682</v>
      </c>
      <c r="F857" t="s">
        <v>4682</v>
      </c>
      <c r="G857">
        <v>2</v>
      </c>
      <c r="H857" t="s">
        <v>4682</v>
      </c>
      <c r="I857" t="str" cm="1">
        <f t="array" ref="I857">_xlfn.IFS(B857&lt;18.5, "Underweight", B857&lt;=24.9, "Normal Weight", B857&lt;=29.9, "Overweight", TRUE, "Obesity")</f>
        <v>Obesity</v>
      </c>
      <c r="J857" t="str" cm="1">
        <f t="array" ref="J857">_xlfn.IFS(C857&lt;5.7, "Normal", C857&lt;=6.4, "Prediabetes", TRUE, "Diabetes")</f>
        <v>Normal</v>
      </c>
    </row>
    <row r="858" spans="1:10">
      <c r="A858" t="s">
        <v>1714</v>
      </c>
      <c r="B858">
        <v>35.814999999999998</v>
      </c>
      <c r="C858">
        <v>8.4700000000000006</v>
      </c>
      <c r="D858" t="s">
        <v>4682</v>
      </c>
      <c r="E858" t="s">
        <v>4682</v>
      </c>
      <c r="F858" t="s">
        <v>4682</v>
      </c>
      <c r="G858">
        <v>0</v>
      </c>
      <c r="H858" t="s">
        <v>4682</v>
      </c>
      <c r="I858" t="str" cm="1">
        <f t="array" ref="I858">_xlfn.IFS(B858&lt;18.5, "Underweight", B858&lt;=24.9, "Normal Weight", B858&lt;=29.9, "Overweight", TRUE, "Obesity")</f>
        <v>Obesity</v>
      </c>
      <c r="J858" t="str" cm="1">
        <f t="array" ref="J858">_xlfn.IFS(C858&lt;5.7, "Normal", C858&lt;=6.4, "Prediabetes", TRUE, "Diabetes")</f>
        <v>Diabetes</v>
      </c>
    </row>
    <row r="859" spans="1:10">
      <c r="A859" t="s">
        <v>1716</v>
      </c>
      <c r="B859">
        <v>40.81</v>
      </c>
      <c r="C859">
        <v>10.58</v>
      </c>
      <c r="D859" t="s">
        <v>4683</v>
      </c>
      <c r="E859" t="s">
        <v>4682</v>
      </c>
      <c r="F859" t="s">
        <v>4682</v>
      </c>
      <c r="G859">
        <v>0</v>
      </c>
      <c r="H859" t="s">
        <v>4682</v>
      </c>
      <c r="I859" t="str" cm="1">
        <f t="array" ref="I859">_xlfn.IFS(B859&lt;18.5, "Underweight", B859&lt;=24.9, "Normal Weight", B859&lt;=29.9, "Overweight", TRUE, "Obesity")</f>
        <v>Obesity</v>
      </c>
      <c r="J859" t="str" cm="1">
        <f t="array" ref="J859">_xlfn.IFS(C859&lt;5.7, "Normal", C859&lt;=6.4, "Prediabetes", TRUE, "Diabetes")</f>
        <v>Diabetes</v>
      </c>
    </row>
    <row r="860" spans="1:10">
      <c r="A860" t="s">
        <v>1718</v>
      </c>
      <c r="B860">
        <v>24.605</v>
      </c>
      <c r="C860">
        <v>7.48</v>
      </c>
      <c r="D860" t="s">
        <v>4682</v>
      </c>
      <c r="E860" t="s">
        <v>4682</v>
      </c>
      <c r="F860" t="s">
        <v>4682</v>
      </c>
      <c r="G860">
        <v>0</v>
      </c>
      <c r="H860" t="s">
        <v>4682</v>
      </c>
      <c r="I860" t="str" cm="1">
        <f t="array" ref="I860">_xlfn.IFS(B860&lt;18.5, "Underweight", B860&lt;=24.9, "Normal Weight", B860&lt;=29.9, "Overweight", TRUE, "Obesity")</f>
        <v>Normal Weight</v>
      </c>
      <c r="J860" t="str" cm="1">
        <f t="array" ref="J860">_xlfn.IFS(C860&lt;5.7, "Normal", C860&lt;=6.4, "Prediabetes", TRUE, "Diabetes")</f>
        <v>Diabetes</v>
      </c>
    </row>
    <row r="861" spans="1:10">
      <c r="A861" t="s">
        <v>1720</v>
      </c>
      <c r="B861">
        <v>21.47</v>
      </c>
      <c r="C861">
        <v>7.82</v>
      </c>
      <c r="D861" t="s">
        <v>4682</v>
      </c>
      <c r="E861" t="s">
        <v>4682</v>
      </c>
      <c r="F861" t="s">
        <v>4682</v>
      </c>
      <c r="G861">
        <v>0</v>
      </c>
      <c r="H861" t="s">
        <v>4682</v>
      </c>
      <c r="I861" t="str" cm="1">
        <f t="array" ref="I861">_xlfn.IFS(B861&lt;18.5, "Underweight", B861&lt;=24.9, "Normal Weight", B861&lt;=29.9, "Overweight", TRUE, "Obesity")</f>
        <v>Normal Weight</v>
      </c>
      <c r="J861" t="str" cm="1">
        <f t="array" ref="J861">_xlfn.IFS(C861&lt;5.7, "Normal", C861&lt;=6.4, "Prediabetes", TRUE, "Diabetes")</f>
        <v>Diabetes</v>
      </c>
    </row>
    <row r="862" spans="1:10">
      <c r="A862" t="s">
        <v>1722</v>
      </c>
      <c r="B862">
        <v>52.89</v>
      </c>
      <c r="C862">
        <v>4.96</v>
      </c>
      <c r="D862" t="s">
        <v>4683</v>
      </c>
      <c r="E862" t="s">
        <v>4682</v>
      </c>
      <c r="F862" t="s">
        <v>4682</v>
      </c>
      <c r="G862">
        <v>1</v>
      </c>
      <c r="H862" t="s">
        <v>4682</v>
      </c>
      <c r="I862" t="str" cm="1">
        <f t="array" ref="I862">_xlfn.IFS(B862&lt;18.5, "Underweight", B862&lt;=24.9, "Normal Weight", B862&lt;=29.9, "Overweight", TRUE, "Obesity")</f>
        <v>Obesity</v>
      </c>
      <c r="J862" t="str" cm="1">
        <f t="array" ref="J862">_xlfn.IFS(C862&lt;5.7, "Normal", C862&lt;=6.4, "Prediabetes", TRUE, "Diabetes")</f>
        <v>Normal</v>
      </c>
    </row>
    <row r="863" spans="1:10">
      <c r="A863" t="s">
        <v>1724</v>
      </c>
      <c r="B863">
        <v>32.965000000000003</v>
      </c>
      <c r="C863">
        <v>6.15</v>
      </c>
      <c r="D863" t="s">
        <v>4683</v>
      </c>
      <c r="E863" t="s">
        <v>4682</v>
      </c>
      <c r="F863" t="s">
        <v>4682</v>
      </c>
      <c r="G863">
        <v>1</v>
      </c>
      <c r="H863" t="s">
        <v>4682</v>
      </c>
      <c r="I863" t="str" cm="1">
        <f t="array" ref="I863">_xlfn.IFS(B863&lt;18.5, "Underweight", B863&lt;=24.9, "Normal Weight", B863&lt;=29.9, "Overweight", TRUE, "Obesity")</f>
        <v>Obesity</v>
      </c>
      <c r="J863" t="str" cm="1">
        <f t="array" ref="J863">_xlfn.IFS(C863&lt;5.7, "Normal", C863&lt;=6.4, "Prediabetes", TRUE, "Diabetes")</f>
        <v>Prediabetes</v>
      </c>
    </row>
    <row r="864" spans="1:10">
      <c r="A864" t="s">
        <v>1726</v>
      </c>
      <c r="B864">
        <v>36.799999999999997</v>
      </c>
      <c r="C864">
        <v>4.62</v>
      </c>
      <c r="D864" t="s">
        <v>4682</v>
      </c>
      <c r="E864" t="s">
        <v>4682</v>
      </c>
      <c r="F864" t="s">
        <v>4684</v>
      </c>
      <c r="G864">
        <v>1</v>
      </c>
      <c r="H864" t="s">
        <v>4682</v>
      </c>
      <c r="I864" t="str" cm="1">
        <f t="array" ref="I864">_xlfn.IFS(B864&lt;18.5, "Underweight", B864&lt;=24.9, "Normal Weight", B864&lt;=29.9, "Overweight", TRUE, "Obesity")</f>
        <v>Obesity</v>
      </c>
      <c r="J864" t="str" cm="1">
        <f t="array" ref="J864">_xlfn.IFS(C864&lt;5.7, "Normal", C864&lt;=6.4, "Prediabetes", TRUE, "Diabetes")</f>
        <v>Normal</v>
      </c>
    </row>
    <row r="865" spans="1:10">
      <c r="A865" t="s">
        <v>1728</v>
      </c>
      <c r="B865">
        <v>34.299999999999997</v>
      </c>
      <c r="C865">
        <v>4.87</v>
      </c>
      <c r="D865" t="s">
        <v>4682</v>
      </c>
      <c r="E865" t="s">
        <v>4682</v>
      </c>
      <c r="F865" t="s">
        <v>4682</v>
      </c>
      <c r="G865">
        <v>2</v>
      </c>
      <c r="H865" t="s">
        <v>4682</v>
      </c>
      <c r="I865" t="str" cm="1">
        <f t="array" ref="I865">_xlfn.IFS(B865&lt;18.5, "Underweight", B865&lt;=24.9, "Normal Weight", B865&lt;=29.9, "Overweight", TRUE, "Obesity")</f>
        <v>Obesity</v>
      </c>
      <c r="J865" t="str" cm="1">
        <f t="array" ref="J865">_xlfn.IFS(C865&lt;5.7, "Normal", C865&lt;=6.4, "Prediabetes", TRUE, "Diabetes")</f>
        <v>Normal</v>
      </c>
    </row>
    <row r="866" spans="1:10">
      <c r="A866" t="s">
        <v>1730</v>
      </c>
      <c r="B866">
        <v>35.244999999999997</v>
      </c>
      <c r="C866">
        <v>4.63</v>
      </c>
      <c r="D866" t="s">
        <v>4682</v>
      </c>
      <c r="E866" t="s">
        <v>4682</v>
      </c>
      <c r="F866" t="s">
        <v>4682</v>
      </c>
      <c r="G866">
        <v>0</v>
      </c>
      <c r="H866" t="s">
        <v>4682</v>
      </c>
      <c r="I866" t="str" cm="1">
        <f t="array" ref="I866">_xlfn.IFS(B866&lt;18.5, "Underweight", B866&lt;=24.9, "Normal Weight", B866&lt;=29.9, "Overweight", TRUE, "Obesity")</f>
        <v>Obesity</v>
      </c>
      <c r="J866" t="str" cm="1">
        <f t="array" ref="J866">_xlfn.IFS(C866&lt;5.7, "Normal", C866&lt;=6.4, "Prediabetes", TRUE, "Diabetes")</f>
        <v>Normal</v>
      </c>
    </row>
    <row r="867" spans="1:10">
      <c r="A867" t="s">
        <v>1732</v>
      </c>
      <c r="B867">
        <v>26.23</v>
      </c>
      <c r="C867">
        <v>11.93</v>
      </c>
      <c r="D867" t="s">
        <v>4682</v>
      </c>
      <c r="E867" t="s">
        <v>4682</v>
      </c>
      <c r="F867" t="s">
        <v>4682</v>
      </c>
      <c r="G867">
        <v>0</v>
      </c>
      <c r="H867" t="s">
        <v>4682</v>
      </c>
      <c r="I867" t="str" cm="1">
        <f t="array" ref="I867">_xlfn.IFS(B867&lt;18.5, "Underweight", B867&lt;=24.9, "Normal Weight", B867&lt;=29.9, "Overweight", TRUE, "Obesity")</f>
        <v>Overweight</v>
      </c>
      <c r="J867" t="str" cm="1">
        <f t="array" ref="J867">_xlfn.IFS(C867&lt;5.7, "Normal", C867&lt;=6.4, "Prediabetes", TRUE, "Diabetes")</f>
        <v>Diabetes</v>
      </c>
    </row>
    <row r="868" spans="1:10">
      <c r="A868" t="s">
        <v>1734</v>
      </c>
      <c r="B868">
        <v>36.1</v>
      </c>
      <c r="C868">
        <v>5.65</v>
      </c>
      <c r="D868" t="s">
        <v>4683</v>
      </c>
      <c r="E868" t="s">
        <v>4682</v>
      </c>
      <c r="F868" t="s">
        <v>4682</v>
      </c>
      <c r="G868">
        <v>2</v>
      </c>
      <c r="H868" t="s">
        <v>4682</v>
      </c>
      <c r="I868" t="str" cm="1">
        <f t="array" ref="I868">_xlfn.IFS(B868&lt;18.5, "Underweight", B868&lt;=24.9, "Normal Weight", B868&lt;=29.9, "Overweight", TRUE, "Obesity")</f>
        <v>Obesity</v>
      </c>
      <c r="J868" t="str" cm="1">
        <f t="array" ref="J868">_xlfn.IFS(C868&lt;5.7, "Normal", C868&lt;=6.4, "Prediabetes", TRUE, "Diabetes")</f>
        <v>Normal</v>
      </c>
    </row>
    <row r="869" spans="1:10">
      <c r="A869" t="s">
        <v>1736</v>
      </c>
      <c r="B869">
        <v>37.1</v>
      </c>
      <c r="C869">
        <v>11.21</v>
      </c>
      <c r="D869" t="s">
        <v>4683</v>
      </c>
      <c r="E869" t="s">
        <v>4682</v>
      </c>
      <c r="F869" t="s">
        <v>4684</v>
      </c>
      <c r="G869">
        <v>1</v>
      </c>
      <c r="H869" t="s">
        <v>4682</v>
      </c>
      <c r="I869" t="str" cm="1">
        <f t="array" ref="I869">_xlfn.IFS(B869&lt;18.5, "Underweight", B869&lt;=24.9, "Normal Weight", B869&lt;=29.9, "Overweight", TRUE, "Obesity")</f>
        <v>Obesity</v>
      </c>
      <c r="J869" t="str" cm="1">
        <f t="array" ref="J869">_xlfn.IFS(C869&lt;5.7, "Normal", C869&lt;=6.4, "Prediabetes", TRUE, "Diabetes")</f>
        <v>Diabetes</v>
      </c>
    </row>
    <row r="870" spans="1:10">
      <c r="A870" t="s">
        <v>1738</v>
      </c>
      <c r="B870">
        <v>27.5</v>
      </c>
      <c r="C870">
        <v>10.62</v>
      </c>
      <c r="D870" t="s">
        <v>4683</v>
      </c>
      <c r="E870" t="s">
        <v>4682</v>
      </c>
      <c r="F870" t="s">
        <v>4684</v>
      </c>
      <c r="G870">
        <v>1</v>
      </c>
      <c r="H870" t="s">
        <v>4682</v>
      </c>
      <c r="I870" t="str" cm="1">
        <f t="array" ref="I870">_xlfn.IFS(B870&lt;18.5, "Underweight", B870&lt;=24.9, "Normal Weight", B870&lt;=29.9, "Overweight", TRUE, "Obesity")</f>
        <v>Overweight</v>
      </c>
      <c r="J870" t="str" cm="1">
        <f t="array" ref="J870">_xlfn.IFS(C870&lt;5.7, "Normal", C870&lt;=6.4, "Prediabetes", TRUE, "Diabetes")</f>
        <v>Diabetes</v>
      </c>
    </row>
    <row r="871" spans="1:10">
      <c r="A871" t="s">
        <v>1740</v>
      </c>
      <c r="B871">
        <v>24.7</v>
      </c>
      <c r="C871">
        <v>10.7</v>
      </c>
      <c r="D871" t="s">
        <v>4683</v>
      </c>
      <c r="E871" t="s">
        <v>4682</v>
      </c>
      <c r="F871" t="s">
        <v>4684</v>
      </c>
      <c r="G871">
        <v>1</v>
      </c>
      <c r="H871" t="s">
        <v>4682</v>
      </c>
      <c r="I871" t="str" cm="1">
        <f t="array" ref="I871">_xlfn.IFS(B871&lt;18.5, "Underweight", B871&lt;=24.9, "Normal Weight", B871&lt;=29.9, "Overweight", TRUE, "Obesity")</f>
        <v>Normal Weight</v>
      </c>
      <c r="J871" t="str" cm="1">
        <f t="array" ref="J871">_xlfn.IFS(C871&lt;5.7, "Normal", C871&lt;=6.4, "Prediabetes", TRUE, "Diabetes")</f>
        <v>Diabetes</v>
      </c>
    </row>
    <row r="872" spans="1:10">
      <c r="A872" t="s">
        <v>1742</v>
      </c>
      <c r="B872">
        <v>26.78</v>
      </c>
      <c r="C872">
        <v>10.02</v>
      </c>
      <c r="D872" t="s">
        <v>4683</v>
      </c>
      <c r="E872" t="s">
        <v>4682</v>
      </c>
      <c r="F872" t="s">
        <v>4684</v>
      </c>
      <c r="G872">
        <v>1</v>
      </c>
      <c r="H872" t="s">
        <v>4682</v>
      </c>
      <c r="I872" t="str" cm="1">
        <f t="array" ref="I872">_xlfn.IFS(B872&lt;18.5, "Underweight", B872&lt;=24.9, "Normal Weight", B872&lt;=29.9, "Overweight", TRUE, "Obesity")</f>
        <v>Overweight</v>
      </c>
      <c r="J872" t="str" cm="1">
        <f t="array" ref="J872">_xlfn.IFS(C872&lt;5.7, "Normal", C872&lt;=6.4, "Prediabetes", TRUE, "Diabetes")</f>
        <v>Diabetes</v>
      </c>
    </row>
    <row r="873" spans="1:10">
      <c r="A873" t="s">
        <v>1744</v>
      </c>
      <c r="B873">
        <v>45.8</v>
      </c>
      <c r="C873">
        <v>4.8499999999999996</v>
      </c>
      <c r="D873" t="s">
        <v>4682</v>
      </c>
      <c r="E873" t="s">
        <v>4682</v>
      </c>
      <c r="F873" t="s">
        <v>4682</v>
      </c>
      <c r="G873">
        <v>0</v>
      </c>
      <c r="H873" t="s">
        <v>4682</v>
      </c>
      <c r="I873" t="str" cm="1">
        <f t="array" ref="I873">_xlfn.IFS(B873&lt;18.5, "Underweight", B873&lt;=24.9, "Normal Weight", B873&lt;=29.9, "Overweight", TRUE, "Obesity")</f>
        <v>Obesity</v>
      </c>
      <c r="J873" t="str" cm="1">
        <f t="array" ref="J873">_xlfn.IFS(C873&lt;5.7, "Normal", C873&lt;=6.4, "Prediabetes", TRUE, "Diabetes")</f>
        <v>Normal</v>
      </c>
    </row>
    <row r="874" spans="1:10">
      <c r="A874" t="s">
        <v>1746</v>
      </c>
      <c r="B874">
        <v>29</v>
      </c>
      <c r="C874">
        <v>4.3899999999999997</v>
      </c>
      <c r="D874" t="s">
        <v>4683</v>
      </c>
      <c r="E874" t="s">
        <v>4682</v>
      </c>
      <c r="F874" t="s">
        <v>4682</v>
      </c>
      <c r="G874">
        <v>2</v>
      </c>
      <c r="H874" t="s">
        <v>4682</v>
      </c>
      <c r="I874" t="str" cm="1">
        <f t="array" ref="I874">_xlfn.IFS(B874&lt;18.5, "Underweight", B874&lt;=24.9, "Normal Weight", B874&lt;=29.9, "Overweight", TRUE, "Obesity")</f>
        <v>Overweight</v>
      </c>
      <c r="J874" t="str" cm="1">
        <f t="array" ref="J874">_xlfn.IFS(C874&lt;5.7, "Normal", C874&lt;=6.4, "Prediabetes", TRUE, "Diabetes")</f>
        <v>Normal</v>
      </c>
    </row>
    <row r="875" spans="1:10">
      <c r="A875" t="s">
        <v>1748</v>
      </c>
      <c r="B875">
        <v>33.534999999999997</v>
      </c>
      <c r="C875">
        <v>8.24</v>
      </c>
      <c r="D875" t="s">
        <v>4683</v>
      </c>
      <c r="E875" t="s">
        <v>4682</v>
      </c>
      <c r="F875" t="s">
        <v>4682</v>
      </c>
      <c r="G875">
        <v>0</v>
      </c>
      <c r="H875" t="s">
        <v>4682</v>
      </c>
      <c r="I875" t="str" cm="1">
        <f t="array" ref="I875">_xlfn.IFS(B875&lt;18.5, "Underweight", B875&lt;=24.9, "Normal Weight", B875&lt;=29.9, "Overweight", TRUE, "Obesity")</f>
        <v>Obesity</v>
      </c>
      <c r="J875" t="str" cm="1">
        <f t="array" ref="J875">_xlfn.IFS(C875&lt;5.7, "Normal", C875&lt;=6.4, "Prediabetes", TRUE, "Diabetes")</f>
        <v>Diabetes</v>
      </c>
    </row>
    <row r="876" spans="1:10">
      <c r="A876" t="s">
        <v>1750</v>
      </c>
      <c r="B876">
        <v>32.774999999999999</v>
      </c>
      <c r="C876">
        <v>9.77</v>
      </c>
      <c r="D876" t="s">
        <v>4683</v>
      </c>
      <c r="E876" t="s">
        <v>4682</v>
      </c>
      <c r="F876" t="s">
        <v>4682</v>
      </c>
      <c r="G876">
        <v>0</v>
      </c>
      <c r="H876" t="s">
        <v>4682</v>
      </c>
      <c r="I876" t="str" cm="1">
        <f t="array" ref="I876">_xlfn.IFS(B876&lt;18.5, "Underweight", B876&lt;=24.9, "Normal Weight", B876&lt;=29.9, "Overweight", TRUE, "Obesity")</f>
        <v>Obesity</v>
      </c>
      <c r="J876" t="str" cm="1">
        <f t="array" ref="J876">_xlfn.IFS(C876&lt;5.7, "Normal", C876&lt;=6.4, "Prediabetes", TRUE, "Diabetes")</f>
        <v>Diabetes</v>
      </c>
    </row>
    <row r="877" spans="1:10">
      <c r="A877" t="s">
        <v>1752</v>
      </c>
      <c r="B877">
        <v>37.51</v>
      </c>
      <c r="C877">
        <v>5.5</v>
      </c>
      <c r="D877" t="s">
        <v>4683</v>
      </c>
      <c r="E877" t="s">
        <v>4682</v>
      </c>
      <c r="F877" t="s">
        <v>4682</v>
      </c>
      <c r="G877">
        <v>2</v>
      </c>
      <c r="H877" t="s">
        <v>4682</v>
      </c>
      <c r="I877" t="str" cm="1">
        <f t="array" ref="I877">_xlfn.IFS(B877&lt;18.5, "Underweight", B877&lt;=24.9, "Normal Weight", B877&lt;=29.9, "Overweight", TRUE, "Obesity")</f>
        <v>Obesity</v>
      </c>
      <c r="J877" t="str" cm="1">
        <f t="array" ref="J877">_xlfn.IFS(C877&lt;5.7, "Normal", C877&lt;=6.4, "Prediabetes", TRUE, "Diabetes")</f>
        <v>Normal</v>
      </c>
    </row>
    <row r="878" spans="1:10">
      <c r="A878" t="s">
        <v>1754</v>
      </c>
      <c r="B878">
        <v>39.86</v>
      </c>
      <c r="C878">
        <v>11.84</v>
      </c>
      <c r="D878" t="s">
        <v>4683</v>
      </c>
      <c r="E878" t="s">
        <v>4682</v>
      </c>
      <c r="F878" t="s">
        <v>4682</v>
      </c>
      <c r="G878">
        <v>1</v>
      </c>
      <c r="H878" t="s">
        <v>4682</v>
      </c>
      <c r="I878" t="str" cm="1">
        <f t="array" ref="I878">_xlfn.IFS(B878&lt;18.5, "Underweight", B878&lt;=24.9, "Normal Weight", B878&lt;=29.9, "Overweight", TRUE, "Obesity")</f>
        <v>Obesity</v>
      </c>
      <c r="J878" t="str" cm="1">
        <f t="array" ref="J878">_xlfn.IFS(C878&lt;5.7, "Normal", C878&lt;=6.4, "Prediabetes", TRUE, "Diabetes")</f>
        <v>Diabetes</v>
      </c>
    </row>
    <row r="879" spans="1:10">
      <c r="A879" t="s">
        <v>1756</v>
      </c>
      <c r="B879">
        <v>42.13</v>
      </c>
      <c r="C879">
        <v>4.66</v>
      </c>
      <c r="D879" t="s">
        <v>4682</v>
      </c>
      <c r="E879" t="s">
        <v>4682</v>
      </c>
      <c r="F879" t="s">
        <v>4682</v>
      </c>
      <c r="G879">
        <v>0</v>
      </c>
      <c r="H879" t="s">
        <v>4682</v>
      </c>
      <c r="I879" t="str" cm="1">
        <f t="array" ref="I879">_xlfn.IFS(B879&lt;18.5, "Underweight", B879&lt;=24.9, "Normal Weight", B879&lt;=29.9, "Overweight", TRUE, "Obesity")</f>
        <v>Obesity</v>
      </c>
      <c r="J879" t="str" cm="1">
        <f t="array" ref="J879">_xlfn.IFS(C879&lt;5.7, "Normal", C879&lt;=6.4, "Prediabetes", TRUE, "Diabetes")</f>
        <v>Normal</v>
      </c>
    </row>
    <row r="880" spans="1:10">
      <c r="A880" t="s">
        <v>1758</v>
      </c>
      <c r="B880">
        <v>35.99</v>
      </c>
      <c r="C880">
        <v>11.11</v>
      </c>
      <c r="D880" t="s">
        <v>4682</v>
      </c>
      <c r="E880" t="s">
        <v>4682</v>
      </c>
      <c r="F880" t="s">
        <v>4682</v>
      </c>
      <c r="G880">
        <v>0</v>
      </c>
      <c r="H880" t="s">
        <v>4682</v>
      </c>
      <c r="I880" t="str" cm="1">
        <f t="array" ref="I880">_xlfn.IFS(B880&lt;18.5, "Underweight", B880&lt;=24.9, "Normal Weight", B880&lt;=29.9, "Overweight", TRUE, "Obesity")</f>
        <v>Obesity</v>
      </c>
      <c r="J880" t="str" cm="1">
        <f t="array" ref="J880">_xlfn.IFS(C880&lt;5.7, "Normal", C880&lt;=6.4, "Prediabetes", TRUE, "Diabetes")</f>
        <v>Diabetes</v>
      </c>
    </row>
    <row r="881" spans="1:10">
      <c r="A881" t="s">
        <v>1760</v>
      </c>
      <c r="B881">
        <v>35.200000000000003</v>
      </c>
      <c r="C881">
        <v>7.72</v>
      </c>
      <c r="D881" t="s">
        <v>4683</v>
      </c>
      <c r="E881" t="s">
        <v>4682</v>
      </c>
      <c r="F881" t="s">
        <v>4684</v>
      </c>
      <c r="G881">
        <v>1</v>
      </c>
      <c r="H881" t="s">
        <v>4682</v>
      </c>
      <c r="I881" t="str" cm="1">
        <f t="array" ref="I881">_xlfn.IFS(B881&lt;18.5, "Underweight", B881&lt;=24.9, "Normal Weight", B881&lt;=29.9, "Overweight", TRUE, "Obesity")</f>
        <v>Obesity</v>
      </c>
      <c r="J881" t="str" cm="1">
        <f t="array" ref="J881">_xlfn.IFS(C881&lt;5.7, "Normal", C881&lt;=6.4, "Prediabetes", TRUE, "Diabetes")</f>
        <v>Diabetes</v>
      </c>
    </row>
    <row r="882" spans="1:10">
      <c r="A882" t="s">
        <v>1762</v>
      </c>
      <c r="B882">
        <v>29.91</v>
      </c>
      <c r="C882">
        <v>5.55</v>
      </c>
      <c r="D882" t="s">
        <v>4683</v>
      </c>
      <c r="E882" t="s">
        <v>4682</v>
      </c>
      <c r="F882" t="s">
        <v>4682</v>
      </c>
      <c r="G882">
        <v>2</v>
      </c>
      <c r="H882" t="s">
        <v>4682</v>
      </c>
      <c r="I882" t="str" cm="1">
        <f t="array" ref="I882">_xlfn.IFS(B882&lt;18.5, "Underweight", B882&lt;=24.9, "Normal Weight", B882&lt;=29.9, "Overweight", TRUE, "Obesity")</f>
        <v>Obesity</v>
      </c>
      <c r="J882" t="str" cm="1">
        <f t="array" ref="J882">_xlfn.IFS(C882&lt;5.7, "Normal", C882&lt;=6.4, "Prediabetes", TRUE, "Diabetes")</f>
        <v>Normal</v>
      </c>
    </row>
    <row r="883" spans="1:10">
      <c r="A883" t="s">
        <v>1764</v>
      </c>
      <c r="B883">
        <v>36.479999999999997</v>
      </c>
      <c r="C883">
        <v>5.05</v>
      </c>
      <c r="D883" t="s">
        <v>4683</v>
      </c>
      <c r="E883" t="s">
        <v>4682</v>
      </c>
      <c r="F883" t="s">
        <v>4682</v>
      </c>
      <c r="G883">
        <v>1</v>
      </c>
      <c r="H883" t="s">
        <v>4682</v>
      </c>
      <c r="I883" t="str" cm="1">
        <f t="array" ref="I883">_xlfn.IFS(B883&lt;18.5, "Underweight", B883&lt;=24.9, "Normal Weight", B883&lt;=29.9, "Overweight", TRUE, "Obesity")</f>
        <v>Obesity</v>
      </c>
      <c r="J883" t="str" cm="1">
        <f t="array" ref="J883">_xlfn.IFS(C883&lt;5.7, "Normal", C883&lt;=6.4, "Prediabetes", TRUE, "Diabetes")</f>
        <v>Normal</v>
      </c>
    </row>
    <row r="884" spans="1:10">
      <c r="A884" t="s">
        <v>1766</v>
      </c>
      <c r="B884">
        <v>27.5</v>
      </c>
      <c r="C884">
        <v>8.69</v>
      </c>
      <c r="D884" t="s">
        <v>4683</v>
      </c>
      <c r="E884" t="s">
        <v>4682</v>
      </c>
      <c r="F884" t="s">
        <v>4684</v>
      </c>
      <c r="G884">
        <v>1</v>
      </c>
      <c r="H884" t="s">
        <v>4682</v>
      </c>
      <c r="I884" t="str" cm="1">
        <f t="array" ref="I884">_xlfn.IFS(B884&lt;18.5, "Underweight", B884&lt;=24.9, "Normal Weight", B884&lt;=29.9, "Overweight", TRUE, "Obesity")</f>
        <v>Overweight</v>
      </c>
      <c r="J884" t="str" cm="1">
        <f t="array" ref="J884">_xlfn.IFS(C884&lt;5.7, "Normal", C884&lt;=6.4, "Prediabetes", TRUE, "Diabetes")</f>
        <v>Diabetes</v>
      </c>
    </row>
    <row r="885" spans="1:10">
      <c r="A885" t="s">
        <v>1768</v>
      </c>
      <c r="B885">
        <v>33.44</v>
      </c>
      <c r="C885">
        <v>5.9</v>
      </c>
      <c r="D885" t="s">
        <v>4683</v>
      </c>
      <c r="E885" t="s">
        <v>4682</v>
      </c>
      <c r="F885" t="s">
        <v>4682</v>
      </c>
      <c r="G885">
        <v>1</v>
      </c>
      <c r="H885" t="s">
        <v>4682</v>
      </c>
      <c r="I885" t="str" cm="1">
        <f t="array" ref="I885">_xlfn.IFS(B885&lt;18.5, "Underweight", B885&lt;=24.9, "Normal Weight", B885&lt;=29.9, "Overweight", TRUE, "Obesity")</f>
        <v>Obesity</v>
      </c>
      <c r="J885" t="str" cm="1">
        <f t="array" ref="J885">_xlfn.IFS(C885&lt;5.7, "Normal", C885&lt;=6.4, "Prediabetes", TRUE, "Diabetes")</f>
        <v>Prediabetes</v>
      </c>
    </row>
    <row r="886" spans="1:10">
      <c r="A886" t="s">
        <v>1770</v>
      </c>
      <c r="B886">
        <v>28.215</v>
      </c>
      <c r="C886">
        <v>6.29</v>
      </c>
      <c r="D886" t="s">
        <v>4683</v>
      </c>
      <c r="E886" t="s">
        <v>4682</v>
      </c>
      <c r="F886" t="s">
        <v>4682</v>
      </c>
      <c r="G886">
        <v>1</v>
      </c>
      <c r="H886" t="s">
        <v>4682</v>
      </c>
      <c r="I886" t="str" cm="1">
        <f t="array" ref="I886">_xlfn.IFS(B886&lt;18.5, "Underweight", B886&lt;=24.9, "Normal Weight", B886&lt;=29.9, "Overweight", TRUE, "Obesity")</f>
        <v>Overweight</v>
      </c>
      <c r="J886" t="str" cm="1">
        <f t="array" ref="J886">_xlfn.IFS(C886&lt;5.7, "Normal", C886&lt;=6.4, "Prediabetes", TRUE, "Diabetes")</f>
        <v>Prediabetes</v>
      </c>
    </row>
    <row r="887" spans="1:10">
      <c r="A887" t="s">
        <v>1772</v>
      </c>
      <c r="B887">
        <v>27.17</v>
      </c>
      <c r="C887">
        <v>5.84</v>
      </c>
      <c r="D887" t="s">
        <v>4683</v>
      </c>
      <c r="E887" t="s">
        <v>4682</v>
      </c>
      <c r="F887" t="s">
        <v>4682</v>
      </c>
      <c r="G887">
        <v>1</v>
      </c>
      <c r="H887" t="s">
        <v>4682</v>
      </c>
      <c r="I887" t="str" cm="1">
        <f t="array" ref="I887">_xlfn.IFS(B887&lt;18.5, "Underweight", B887&lt;=24.9, "Normal Weight", B887&lt;=29.9, "Overweight", TRUE, "Obesity")</f>
        <v>Overweight</v>
      </c>
      <c r="J887" t="str" cm="1">
        <f t="array" ref="J887">_xlfn.IFS(C887&lt;5.7, "Normal", C887&lt;=6.4, "Prediabetes", TRUE, "Diabetes")</f>
        <v>Prediabetes</v>
      </c>
    </row>
    <row r="888" spans="1:10">
      <c r="A888" t="s">
        <v>1774</v>
      </c>
      <c r="B888">
        <v>35.380000000000003</v>
      </c>
      <c r="C888">
        <v>6.12</v>
      </c>
      <c r="D888" t="s">
        <v>4682</v>
      </c>
      <c r="E888" t="s">
        <v>4682</v>
      </c>
      <c r="F888" t="s">
        <v>4682</v>
      </c>
      <c r="G888">
        <v>0</v>
      </c>
      <c r="H888" t="s">
        <v>4682</v>
      </c>
      <c r="I888" t="str" cm="1">
        <f t="array" ref="I888">_xlfn.IFS(B888&lt;18.5, "Underweight", B888&lt;=24.9, "Normal Weight", B888&lt;=29.9, "Overweight", TRUE, "Obesity")</f>
        <v>Obesity</v>
      </c>
      <c r="J888" t="str" cm="1">
        <f t="array" ref="J888">_xlfn.IFS(C888&lt;5.7, "Normal", C888&lt;=6.4, "Prediabetes", TRUE, "Diabetes")</f>
        <v>Prediabetes</v>
      </c>
    </row>
    <row r="889" spans="1:10">
      <c r="A889" t="s">
        <v>1776</v>
      </c>
      <c r="B889">
        <v>43.48</v>
      </c>
      <c r="C889">
        <v>6.24</v>
      </c>
      <c r="D889" t="s">
        <v>4682</v>
      </c>
      <c r="E889" t="s">
        <v>4682</v>
      </c>
      <c r="F889" t="s">
        <v>4682</v>
      </c>
      <c r="G889">
        <v>0</v>
      </c>
      <c r="H889" t="s">
        <v>4682</v>
      </c>
      <c r="I889" t="str" cm="1">
        <f t="array" ref="I889">_xlfn.IFS(B889&lt;18.5, "Underweight", B889&lt;=24.9, "Normal Weight", B889&lt;=29.9, "Overweight", TRUE, "Obesity")</f>
        <v>Obesity</v>
      </c>
      <c r="J889" t="str" cm="1">
        <f t="array" ref="J889">_xlfn.IFS(C889&lt;5.7, "Normal", C889&lt;=6.4, "Prediabetes", TRUE, "Diabetes")</f>
        <v>Prediabetes</v>
      </c>
    </row>
    <row r="890" spans="1:10">
      <c r="A890" t="s">
        <v>1778</v>
      </c>
      <c r="B890">
        <v>41.73</v>
      </c>
      <c r="C890">
        <v>6.25</v>
      </c>
      <c r="D890" t="s">
        <v>4682</v>
      </c>
      <c r="E890" t="s">
        <v>4682</v>
      </c>
      <c r="F890" t="s">
        <v>4682</v>
      </c>
      <c r="G890">
        <v>1</v>
      </c>
      <c r="H890" t="s">
        <v>4682</v>
      </c>
      <c r="I890" t="str" cm="1">
        <f t="array" ref="I890">_xlfn.IFS(B890&lt;18.5, "Underweight", B890&lt;=24.9, "Normal Weight", B890&lt;=29.9, "Overweight", TRUE, "Obesity")</f>
        <v>Obesity</v>
      </c>
      <c r="J890" t="str" cm="1">
        <f t="array" ref="J890">_xlfn.IFS(C890&lt;5.7, "Normal", C890&lt;=6.4, "Prediabetes", TRUE, "Diabetes")</f>
        <v>Prediabetes</v>
      </c>
    </row>
    <row r="891" spans="1:10">
      <c r="A891" t="s">
        <v>1780</v>
      </c>
      <c r="B891">
        <v>28.9</v>
      </c>
      <c r="C891">
        <v>11.96</v>
      </c>
      <c r="D891" t="s">
        <v>4682</v>
      </c>
      <c r="E891" t="s">
        <v>4682</v>
      </c>
      <c r="F891" t="s">
        <v>4682</v>
      </c>
      <c r="G891">
        <v>0</v>
      </c>
      <c r="H891" t="s">
        <v>4682</v>
      </c>
      <c r="I891" t="str" cm="1">
        <f t="array" ref="I891">_xlfn.IFS(B891&lt;18.5, "Underweight", B891&lt;=24.9, "Normal Weight", B891&lt;=29.9, "Overweight", TRUE, "Obesity")</f>
        <v>Overweight</v>
      </c>
      <c r="J891" t="str" cm="1">
        <f t="array" ref="J891">_xlfn.IFS(C891&lt;5.7, "Normal", C891&lt;=6.4, "Prediabetes", TRUE, "Diabetes")</f>
        <v>Diabetes</v>
      </c>
    </row>
    <row r="892" spans="1:10">
      <c r="A892" t="s">
        <v>1782</v>
      </c>
      <c r="B892">
        <v>25.74</v>
      </c>
      <c r="C892">
        <v>7.69</v>
      </c>
      <c r="D892" t="s">
        <v>4682</v>
      </c>
      <c r="E892" t="s">
        <v>4682</v>
      </c>
      <c r="F892" t="s">
        <v>4682</v>
      </c>
      <c r="G892">
        <v>0</v>
      </c>
      <c r="H892" t="s">
        <v>4682</v>
      </c>
      <c r="I892" t="str" cm="1">
        <f t="array" ref="I892">_xlfn.IFS(B892&lt;18.5, "Underweight", B892&lt;=24.9, "Normal Weight", B892&lt;=29.9, "Overweight", TRUE, "Obesity")</f>
        <v>Overweight</v>
      </c>
      <c r="J892" t="str" cm="1">
        <f t="array" ref="J892">_xlfn.IFS(C892&lt;5.7, "Normal", C892&lt;=6.4, "Prediabetes", TRUE, "Diabetes")</f>
        <v>Diabetes</v>
      </c>
    </row>
    <row r="893" spans="1:10">
      <c r="A893" t="s">
        <v>1784</v>
      </c>
      <c r="B893">
        <v>36.06</v>
      </c>
      <c r="C893">
        <v>8.83</v>
      </c>
      <c r="D893" t="s">
        <v>4682</v>
      </c>
      <c r="E893" t="s">
        <v>4682</v>
      </c>
      <c r="F893" t="s">
        <v>4682</v>
      </c>
      <c r="G893">
        <v>0</v>
      </c>
      <c r="H893" t="s">
        <v>4682</v>
      </c>
      <c r="I893" t="str" cm="1">
        <f t="array" ref="I893">_xlfn.IFS(B893&lt;18.5, "Underweight", B893&lt;=24.9, "Normal Weight", B893&lt;=29.9, "Overweight", TRUE, "Obesity")</f>
        <v>Obesity</v>
      </c>
      <c r="J893" t="str" cm="1">
        <f t="array" ref="J893">_xlfn.IFS(C893&lt;5.7, "Normal", C893&lt;=6.4, "Prediabetes", TRUE, "Diabetes")</f>
        <v>Diabetes</v>
      </c>
    </row>
    <row r="894" spans="1:10">
      <c r="A894" t="s">
        <v>1786</v>
      </c>
      <c r="B894">
        <v>43.28</v>
      </c>
      <c r="C894">
        <v>4.41</v>
      </c>
      <c r="D894" t="s">
        <v>4682</v>
      </c>
      <c r="E894" t="s">
        <v>4682</v>
      </c>
      <c r="F894" t="s">
        <v>4682</v>
      </c>
      <c r="G894">
        <v>0</v>
      </c>
      <c r="H894" t="s">
        <v>4682</v>
      </c>
      <c r="I894" t="str" cm="1">
        <f t="array" ref="I894">_xlfn.IFS(B894&lt;18.5, "Underweight", B894&lt;=24.9, "Normal Weight", B894&lt;=29.9, "Overweight", TRUE, "Obesity")</f>
        <v>Obesity</v>
      </c>
      <c r="J894" t="str" cm="1">
        <f t="array" ref="J894">_xlfn.IFS(C894&lt;5.7, "Normal", C894&lt;=6.4, "Prediabetes", TRUE, "Diabetes")</f>
        <v>Normal</v>
      </c>
    </row>
    <row r="895" spans="1:10">
      <c r="A895" t="s">
        <v>1788</v>
      </c>
      <c r="B895">
        <v>28.785</v>
      </c>
      <c r="C895">
        <v>9.1</v>
      </c>
      <c r="D895" t="s">
        <v>4683</v>
      </c>
      <c r="E895" t="s">
        <v>4682</v>
      </c>
      <c r="F895" t="s">
        <v>4684</v>
      </c>
      <c r="G895">
        <v>1</v>
      </c>
      <c r="H895" t="s">
        <v>4682</v>
      </c>
      <c r="I895" t="str" cm="1">
        <f t="array" ref="I895">_xlfn.IFS(B895&lt;18.5, "Underweight", B895&lt;=24.9, "Normal Weight", B895&lt;=29.9, "Overweight", TRUE, "Obesity")</f>
        <v>Overweight</v>
      </c>
      <c r="J895" t="str" cm="1">
        <f t="array" ref="J895">_xlfn.IFS(C895&lt;5.7, "Normal", C895&lt;=6.4, "Prediabetes", TRUE, "Diabetes")</f>
        <v>Diabetes</v>
      </c>
    </row>
    <row r="896" spans="1:10">
      <c r="A896" t="s">
        <v>1790</v>
      </c>
      <c r="B896">
        <v>25.46</v>
      </c>
      <c r="C896">
        <v>11.52</v>
      </c>
      <c r="D896" t="s">
        <v>4683</v>
      </c>
      <c r="E896" t="s">
        <v>4682</v>
      </c>
      <c r="F896" t="s">
        <v>4684</v>
      </c>
      <c r="G896">
        <v>1</v>
      </c>
      <c r="H896" t="s">
        <v>4682</v>
      </c>
      <c r="I896" t="str" cm="1">
        <f t="array" ref="I896">_xlfn.IFS(B896&lt;18.5, "Underweight", B896&lt;=24.9, "Normal Weight", B896&lt;=29.9, "Overweight", TRUE, "Obesity")</f>
        <v>Overweight</v>
      </c>
      <c r="J896" t="str" cm="1">
        <f t="array" ref="J896">_xlfn.IFS(C896&lt;5.7, "Normal", C896&lt;=6.4, "Prediabetes", TRUE, "Diabetes")</f>
        <v>Diabetes</v>
      </c>
    </row>
    <row r="897" spans="1:10">
      <c r="A897" t="s">
        <v>1792</v>
      </c>
      <c r="B897">
        <v>30.8</v>
      </c>
      <c r="C897">
        <v>10.95</v>
      </c>
      <c r="D897" t="s">
        <v>4682</v>
      </c>
      <c r="E897" t="s">
        <v>4682</v>
      </c>
      <c r="F897" t="s">
        <v>4682</v>
      </c>
      <c r="G897">
        <v>0</v>
      </c>
      <c r="H897" t="s">
        <v>4682</v>
      </c>
      <c r="I897" t="str" cm="1">
        <f t="array" ref="I897">_xlfn.IFS(B897&lt;18.5, "Underweight", B897&lt;=24.9, "Normal Weight", B897&lt;=29.9, "Overweight", TRUE, "Obesity")</f>
        <v>Obesity</v>
      </c>
      <c r="J897" t="str" cm="1">
        <f t="array" ref="J897">_xlfn.IFS(C897&lt;5.7, "Normal", C897&lt;=6.4, "Prediabetes", TRUE, "Diabetes")</f>
        <v>Diabetes</v>
      </c>
    </row>
    <row r="898" spans="1:10">
      <c r="A898" t="s">
        <v>1794</v>
      </c>
      <c r="B898">
        <v>28.88</v>
      </c>
      <c r="C898">
        <v>11.5</v>
      </c>
      <c r="D898" t="s">
        <v>4682</v>
      </c>
      <c r="E898" t="s">
        <v>4682</v>
      </c>
      <c r="F898" t="s">
        <v>4682</v>
      </c>
      <c r="G898">
        <v>0</v>
      </c>
      <c r="H898" t="s">
        <v>4682</v>
      </c>
      <c r="I898" t="str" cm="1">
        <f t="array" ref="I898">_xlfn.IFS(B898&lt;18.5, "Underweight", B898&lt;=24.9, "Normal Weight", B898&lt;=29.9, "Overweight", TRUE, "Obesity")</f>
        <v>Overweight</v>
      </c>
      <c r="J898" t="str" cm="1">
        <f t="array" ref="J898">_xlfn.IFS(C898&lt;5.7, "Normal", C898&lt;=6.4, "Prediabetes", TRUE, "Diabetes")</f>
        <v>Diabetes</v>
      </c>
    </row>
    <row r="899" spans="1:10">
      <c r="A899" t="s">
        <v>1796</v>
      </c>
      <c r="B899">
        <v>23</v>
      </c>
      <c r="C899">
        <v>9.8800000000000008</v>
      </c>
      <c r="D899" t="s">
        <v>4682</v>
      </c>
      <c r="E899" t="s">
        <v>4682</v>
      </c>
      <c r="F899" t="s">
        <v>4682</v>
      </c>
      <c r="G899">
        <v>0</v>
      </c>
      <c r="H899" t="s">
        <v>4682</v>
      </c>
      <c r="I899" t="str" cm="1">
        <f t="array" ref="I899">_xlfn.IFS(B899&lt;18.5, "Underweight", B899&lt;=24.9, "Normal Weight", B899&lt;=29.9, "Overweight", TRUE, "Obesity")</f>
        <v>Normal Weight</v>
      </c>
      <c r="J899" t="str" cm="1">
        <f t="array" ref="J899">_xlfn.IFS(C899&lt;5.7, "Normal", C899&lt;=6.4, "Prediabetes", TRUE, "Diabetes")</f>
        <v>Diabetes</v>
      </c>
    </row>
    <row r="900" spans="1:10">
      <c r="A900" t="s">
        <v>1798</v>
      </c>
      <c r="B900">
        <v>38.25</v>
      </c>
      <c r="C900">
        <v>6.2</v>
      </c>
      <c r="D900" t="s">
        <v>4682</v>
      </c>
      <c r="E900" t="s">
        <v>4682</v>
      </c>
      <c r="F900" t="s">
        <v>4682</v>
      </c>
      <c r="G900">
        <v>1</v>
      </c>
      <c r="H900" t="s">
        <v>4682</v>
      </c>
      <c r="I900" t="str" cm="1">
        <f t="array" ref="I900">_xlfn.IFS(B900&lt;18.5, "Underweight", B900&lt;=24.9, "Normal Weight", B900&lt;=29.9, "Overweight", TRUE, "Obesity")</f>
        <v>Obesity</v>
      </c>
      <c r="J900" t="str" cm="1">
        <f t="array" ref="J900">_xlfn.IFS(C900&lt;5.7, "Normal", C900&lt;=6.4, "Prediabetes", TRUE, "Diabetes")</f>
        <v>Prediabetes</v>
      </c>
    </row>
    <row r="901" spans="1:10">
      <c r="A901" t="s">
        <v>1800</v>
      </c>
      <c r="B901">
        <v>39.25</v>
      </c>
      <c r="C901">
        <v>8.41</v>
      </c>
      <c r="D901" t="s">
        <v>4683</v>
      </c>
      <c r="E901" t="s">
        <v>4682</v>
      </c>
      <c r="F901" t="s">
        <v>4682</v>
      </c>
      <c r="G901">
        <v>1</v>
      </c>
      <c r="H901" t="s">
        <v>4682</v>
      </c>
      <c r="I901" t="str" cm="1">
        <f t="array" ref="I901">_xlfn.IFS(B901&lt;18.5, "Underweight", B901&lt;=24.9, "Normal Weight", B901&lt;=29.9, "Overweight", TRUE, "Obesity")</f>
        <v>Obesity</v>
      </c>
      <c r="J901" t="str" cm="1">
        <f t="array" ref="J901">_xlfn.IFS(C901&lt;5.7, "Normal", C901&lt;=6.4, "Prediabetes", TRUE, "Diabetes")</f>
        <v>Diabetes</v>
      </c>
    </row>
    <row r="902" spans="1:10">
      <c r="A902" t="s">
        <v>1802</v>
      </c>
      <c r="B902">
        <v>26.6</v>
      </c>
      <c r="C902">
        <v>5.07</v>
      </c>
      <c r="D902" t="s">
        <v>4683</v>
      </c>
      <c r="E902" t="s">
        <v>4682</v>
      </c>
      <c r="F902" t="s">
        <v>4682</v>
      </c>
      <c r="G902">
        <v>2</v>
      </c>
      <c r="H902" t="s">
        <v>4682</v>
      </c>
      <c r="I902" t="str" cm="1">
        <f t="array" ref="I902">_xlfn.IFS(B902&lt;18.5, "Underweight", B902&lt;=24.9, "Normal Weight", B902&lt;=29.9, "Overweight", TRUE, "Obesity")</f>
        <v>Overweight</v>
      </c>
      <c r="J902" t="str" cm="1">
        <f t="array" ref="J902">_xlfn.IFS(C902&lt;5.7, "Normal", C902&lt;=6.4, "Prediabetes", TRUE, "Diabetes")</f>
        <v>Normal</v>
      </c>
    </row>
    <row r="903" spans="1:10">
      <c r="A903" t="s">
        <v>1804</v>
      </c>
      <c r="B903">
        <v>35.700000000000003</v>
      </c>
      <c r="C903">
        <v>4.0599999999999996</v>
      </c>
      <c r="D903" t="s">
        <v>4682</v>
      </c>
      <c r="E903" t="s">
        <v>4682</v>
      </c>
      <c r="F903" t="s">
        <v>4684</v>
      </c>
      <c r="G903">
        <v>1</v>
      </c>
      <c r="H903" t="s">
        <v>4682</v>
      </c>
      <c r="I903" t="str" cm="1">
        <f t="array" ref="I903">_xlfn.IFS(B903&lt;18.5, "Underweight", B903&lt;=24.9, "Normal Weight", B903&lt;=29.9, "Overweight", TRUE, "Obesity")</f>
        <v>Obesity</v>
      </c>
      <c r="J903" t="str" cm="1">
        <f t="array" ref="J903">_xlfn.IFS(C903&lt;5.7, "Normal", C903&lt;=6.4, "Prediabetes", TRUE, "Diabetes")</f>
        <v>Normal</v>
      </c>
    </row>
    <row r="904" spans="1:10">
      <c r="A904" t="s">
        <v>1806</v>
      </c>
      <c r="B904">
        <v>20.100000000000001</v>
      </c>
      <c r="C904">
        <v>10.52</v>
      </c>
      <c r="D904" t="s">
        <v>4682</v>
      </c>
      <c r="E904" t="s">
        <v>4682</v>
      </c>
      <c r="F904" t="s">
        <v>4682</v>
      </c>
      <c r="G904">
        <v>0</v>
      </c>
      <c r="H904" t="s">
        <v>4682</v>
      </c>
      <c r="I904" t="str" cm="1">
        <f t="array" ref="I904">_xlfn.IFS(B904&lt;18.5, "Underweight", B904&lt;=24.9, "Normal Weight", B904&lt;=29.9, "Overweight", TRUE, "Obesity")</f>
        <v>Normal Weight</v>
      </c>
      <c r="J904" t="str" cm="1">
        <f t="array" ref="J904">_xlfn.IFS(C904&lt;5.7, "Normal", C904&lt;=6.4, "Prediabetes", TRUE, "Diabetes")</f>
        <v>Diabetes</v>
      </c>
    </row>
    <row r="905" spans="1:10">
      <c r="A905" t="s">
        <v>1808</v>
      </c>
      <c r="B905">
        <v>22.23</v>
      </c>
      <c r="C905">
        <v>9.65</v>
      </c>
      <c r="D905" t="s">
        <v>4682</v>
      </c>
      <c r="E905" t="s">
        <v>4682</v>
      </c>
      <c r="F905" t="s">
        <v>4682</v>
      </c>
      <c r="G905">
        <v>0</v>
      </c>
      <c r="H905" t="s">
        <v>4682</v>
      </c>
      <c r="I905" t="str" cm="1">
        <f t="array" ref="I905">_xlfn.IFS(B905&lt;18.5, "Underweight", B905&lt;=24.9, "Normal Weight", B905&lt;=29.9, "Overweight", TRUE, "Obesity")</f>
        <v>Normal Weight</v>
      </c>
      <c r="J905" t="str" cm="1">
        <f t="array" ref="J905">_xlfn.IFS(C905&lt;5.7, "Normal", C905&lt;=6.4, "Prediabetes", TRUE, "Diabetes")</f>
        <v>Diabetes</v>
      </c>
    </row>
    <row r="906" spans="1:10">
      <c r="A906" t="s">
        <v>1810</v>
      </c>
      <c r="B906">
        <v>36.47</v>
      </c>
      <c r="C906">
        <v>6.21</v>
      </c>
      <c r="D906" t="s">
        <v>4682</v>
      </c>
      <c r="E906" t="s">
        <v>4682</v>
      </c>
      <c r="F906" t="s">
        <v>4682</v>
      </c>
      <c r="G906">
        <v>0</v>
      </c>
      <c r="H906" t="s">
        <v>4682</v>
      </c>
      <c r="I906" t="str" cm="1">
        <f t="array" ref="I906">_xlfn.IFS(B906&lt;18.5, "Underweight", B906&lt;=24.9, "Normal Weight", B906&lt;=29.9, "Overweight", TRUE, "Obesity")</f>
        <v>Obesity</v>
      </c>
      <c r="J906" t="str" cm="1">
        <f t="array" ref="J906">_xlfn.IFS(C906&lt;5.7, "Normal", C906&lt;=6.4, "Prediabetes", TRUE, "Diabetes")</f>
        <v>Prediabetes</v>
      </c>
    </row>
    <row r="907" spans="1:10">
      <c r="A907" t="s">
        <v>1812</v>
      </c>
      <c r="B907">
        <v>49.64</v>
      </c>
      <c r="C907">
        <v>4.76</v>
      </c>
      <c r="D907" t="s">
        <v>4682</v>
      </c>
      <c r="E907" t="s">
        <v>4682</v>
      </c>
      <c r="F907" t="s">
        <v>4684</v>
      </c>
      <c r="G907">
        <v>1</v>
      </c>
      <c r="H907" t="s">
        <v>4682</v>
      </c>
      <c r="I907" t="str" cm="1">
        <f t="array" ref="I907">_xlfn.IFS(B907&lt;18.5, "Underweight", B907&lt;=24.9, "Normal Weight", B907&lt;=29.9, "Overweight", TRUE, "Obesity")</f>
        <v>Obesity</v>
      </c>
      <c r="J907" t="str" cm="1">
        <f t="array" ref="J907">_xlfn.IFS(C907&lt;5.7, "Normal", C907&lt;=6.4, "Prediabetes", TRUE, "Diabetes")</f>
        <v>Normal</v>
      </c>
    </row>
    <row r="908" spans="1:10">
      <c r="A908" t="s">
        <v>1814</v>
      </c>
      <c r="B908">
        <v>36.799999999999997</v>
      </c>
      <c r="C908">
        <v>5.73</v>
      </c>
      <c r="D908" t="s">
        <v>4683</v>
      </c>
      <c r="E908" t="s">
        <v>4682</v>
      </c>
      <c r="F908" t="s">
        <v>4684</v>
      </c>
      <c r="G908">
        <v>1</v>
      </c>
      <c r="H908" t="s">
        <v>4682</v>
      </c>
      <c r="I908" t="str" cm="1">
        <f t="array" ref="I908">_xlfn.IFS(B908&lt;18.5, "Underweight", B908&lt;=24.9, "Normal Weight", B908&lt;=29.9, "Overweight", TRUE, "Obesity")</f>
        <v>Obesity</v>
      </c>
      <c r="J908" t="str" cm="1">
        <f t="array" ref="J908">_xlfn.IFS(C908&lt;5.7, "Normal", C908&lt;=6.4, "Prediabetes", TRUE, "Diabetes")</f>
        <v>Prediabetes</v>
      </c>
    </row>
    <row r="909" spans="1:10">
      <c r="A909" t="s">
        <v>1816</v>
      </c>
      <c r="B909">
        <v>33.880000000000003</v>
      </c>
      <c r="C909">
        <v>10.78</v>
      </c>
      <c r="D909" t="s">
        <v>4683</v>
      </c>
      <c r="E909" t="s">
        <v>4682</v>
      </c>
      <c r="F909" t="s">
        <v>4682</v>
      </c>
      <c r="G909">
        <v>0</v>
      </c>
      <c r="H909" t="s">
        <v>4682</v>
      </c>
      <c r="I909" t="str" cm="1">
        <f t="array" ref="I909">_xlfn.IFS(B909&lt;18.5, "Underweight", B909&lt;=24.9, "Normal Weight", B909&lt;=29.9, "Overweight", TRUE, "Obesity")</f>
        <v>Obesity</v>
      </c>
      <c r="J909" t="str" cm="1">
        <f t="array" ref="J909">_xlfn.IFS(C909&lt;5.7, "Normal", C909&lt;=6.4, "Prediabetes", TRUE, "Diabetes")</f>
        <v>Diabetes</v>
      </c>
    </row>
    <row r="910" spans="1:10">
      <c r="A910" t="s">
        <v>1818</v>
      </c>
      <c r="B910">
        <v>32.01</v>
      </c>
      <c r="C910">
        <v>5.08</v>
      </c>
      <c r="D910" t="s">
        <v>4683</v>
      </c>
      <c r="E910" t="s">
        <v>4682</v>
      </c>
      <c r="F910" t="s">
        <v>4682</v>
      </c>
      <c r="G910">
        <v>1</v>
      </c>
      <c r="H910" t="s">
        <v>4682</v>
      </c>
      <c r="I910" t="str" cm="1">
        <f t="array" ref="I910">_xlfn.IFS(B910&lt;18.5, "Underweight", B910&lt;=24.9, "Normal Weight", B910&lt;=29.9, "Overweight", TRUE, "Obesity")</f>
        <v>Obesity</v>
      </c>
      <c r="J910" t="str" cm="1">
        <f t="array" ref="J910">_xlfn.IFS(C910&lt;5.7, "Normal", C910&lt;=6.4, "Prediabetes", TRUE, "Diabetes")</f>
        <v>Normal</v>
      </c>
    </row>
    <row r="911" spans="1:10">
      <c r="A911" t="s">
        <v>1820</v>
      </c>
      <c r="B911">
        <v>33.630000000000003</v>
      </c>
      <c r="C911">
        <v>11.39</v>
      </c>
      <c r="D911" t="s">
        <v>4682</v>
      </c>
      <c r="E911" t="s">
        <v>4682</v>
      </c>
      <c r="F911" t="s">
        <v>4682</v>
      </c>
      <c r="G911">
        <v>0</v>
      </c>
      <c r="H911" t="s">
        <v>4682</v>
      </c>
      <c r="I911" t="str" cm="1">
        <f t="array" ref="I911">_xlfn.IFS(B911&lt;18.5, "Underweight", B911&lt;=24.9, "Normal Weight", B911&lt;=29.9, "Overweight", TRUE, "Obesity")</f>
        <v>Obesity</v>
      </c>
      <c r="J911" t="str" cm="1">
        <f t="array" ref="J911">_xlfn.IFS(C911&lt;5.7, "Normal", C911&lt;=6.4, "Prediabetes", TRUE, "Diabetes")</f>
        <v>Diabetes</v>
      </c>
    </row>
    <row r="912" spans="1:10">
      <c r="A912" t="s">
        <v>1822</v>
      </c>
      <c r="B912">
        <v>34.865000000000002</v>
      </c>
      <c r="C912">
        <v>5.35</v>
      </c>
      <c r="D912" t="s">
        <v>4683</v>
      </c>
      <c r="E912" t="s">
        <v>4682</v>
      </c>
      <c r="F912" t="s">
        <v>4682</v>
      </c>
      <c r="G912">
        <v>1</v>
      </c>
      <c r="H912" t="s">
        <v>4682</v>
      </c>
      <c r="I912" t="str" cm="1">
        <f t="array" ref="I912">_xlfn.IFS(B912&lt;18.5, "Underweight", B912&lt;=24.9, "Normal Weight", B912&lt;=29.9, "Overweight", TRUE, "Obesity")</f>
        <v>Obesity</v>
      </c>
      <c r="J912" t="str" cm="1">
        <f t="array" ref="J912">_xlfn.IFS(C912&lt;5.7, "Normal", C912&lt;=6.4, "Prediabetes", TRUE, "Diabetes")</f>
        <v>Normal</v>
      </c>
    </row>
    <row r="913" spans="1:10">
      <c r="A913" t="s">
        <v>1824</v>
      </c>
      <c r="B913">
        <v>43.11</v>
      </c>
      <c r="C913">
        <v>5.6</v>
      </c>
      <c r="D913" t="s">
        <v>4682</v>
      </c>
      <c r="E913" t="s">
        <v>4682</v>
      </c>
      <c r="F913" t="s">
        <v>4682</v>
      </c>
      <c r="G913">
        <v>0</v>
      </c>
      <c r="H913" t="s">
        <v>4682</v>
      </c>
      <c r="I913" t="str" cm="1">
        <f t="array" ref="I913">_xlfn.IFS(B913&lt;18.5, "Underweight", B913&lt;=24.9, "Normal Weight", B913&lt;=29.9, "Overweight", TRUE, "Obesity")</f>
        <v>Obesity</v>
      </c>
      <c r="J913" t="str" cm="1">
        <f t="array" ref="J913">_xlfn.IFS(C913&lt;5.7, "Normal", C913&lt;=6.4, "Prediabetes", TRUE, "Diabetes")</f>
        <v>Normal</v>
      </c>
    </row>
    <row r="914" spans="1:10">
      <c r="A914" t="s">
        <v>1826</v>
      </c>
      <c r="B914">
        <v>30.305</v>
      </c>
      <c r="C914">
        <v>4.2699999999999996</v>
      </c>
      <c r="D914" t="s">
        <v>4683</v>
      </c>
      <c r="E914" t="s">
        <v>4682</v>
      </c>
      <c r="F914" t="s">
        <v>4682</v>
      </c>
      <c r="G914">
        <v>1</v>
      </c>
      <c r="H914" t="s">
        <v>4682</v>
      </c>
      <c r="I914" t="str" cm="1">
        <f t="array" ref="I914">_xlfn.IFS(B914&lt;18.5, "Underweight", B914&lt;=24.9, "Normal Weight", B914&lt;=29.9, "Overweight", TRUE, "Obesity")</f>
        <v>Obesity</v>
      </c>
      <c r="J914" t="str" cm="1">
        <f t="array" ref="J914">_xlfn.IFS(C914&lt;5.7, "Normal", C914&lt;=6.4, "Prediabetes", TRUE, "Diabetes")</f>
        <v>Normal</v>
      </c>
    </row>
    <row r="915" spans="1:10">
      <c r="A915" t="s">
        <v>1828</v>
      </c>
      <c r="B915">
        <v>25.175000000000001</v>
      </c>
      <c r="C915">
        <v>5.57</v>
      </c>
      <c r="D915" t="s">
        <v>4683</v>
      </c>
      <c r="E915" t="s">
        <v>4682</v>
      </c>
      <c r="F915" t="s">
        <v>4682</v>
      </c>
      <c r="G915">
        <v>1</v>
      </c>
      <c r="H915" t="s">
        <v>4682</v>
      </c>
      <c r="I915" t="str" cm="1">
        <f t="array" ref="I915">_xlfn.IFS(B915&lt;18.5, "Underweight", B915&lt;=24.9, "Normal Weight", B915&lt;=29.9, "Overweight", TRUE, "Obesity")</f>
        <v>Overweight</v>
      </c>
      <c r="J915" t="str" cm="1">
        <f t="array" ref="J915">_xlfn.IFS(C915&lt;5.7, "Normal", C915&lt;=6.4, "Prediabetes", TRUE, "Diabetes")</f>
        <v>Normal</v>
      </c>
    </row>
    <row r="916" spans="1:10">
      <c r="A916" t="s">
        <v>1830</v>
      </c>
      <c r="B916">
        <v>26.8</v>
      </c>
      <c r="C916">
        <v>5.68</v>
      </c>
      <c r="D916" t="s">
        <v>4683</v>
      </c>
      <c r="E916" t="s">
        <v>4682</v>
      </c>
      <c r="F916" t="s">
        <v>4682</v>
      </c>
      <c r="G916">
        <v>1</v>
      </c>
      <c r="H916" t="s">
        <v>4682</v>
      </c>
      <c r="I916" t="str" cm="1">
        <f t="array" ref="I916">_xlfn.IFS(B916&lt;18.5, "Underweight", B916&lt;=24.9, "Normal Weight", B916&lt;=29.9, "Overweight", TRUE, "Obesity")</f>
        <v>Overweight</v>
      </c>
      <c r="J916" t="str" cm="1">
        <f t="array" ref="J916">_xlfn.IFS(C916&lt;5.7, "Normal", C916&lt;=6.4, "Prediabetes", TRUE, "Diabetes")</f>
        <v>Normal</v>
      </c>
    </row>
    <row r="917" spans="1:10">
      <c r="A917" t="s">
        <v>1832</v>
      </c>
      <c r="B917">
        <v>21.78</v>
      </c>
      <c r="C917">
        <v>5.3</v>
      </c>
      <c r="D917" t="s">
        <v>4682</v>
      </c>
      <c r="E917" t="s">
        <v>4683</v>
      </c>
      <c r="F917" t="s">
        <v>4682</v>
      </c>
      <c r="G917">
        <v>1</v>
      </c>
      <c r="H917" t="s">
        <v>4682</v>
      </c>
      <c r="I917" t="str" cm="1">
        <f t="array" ref="I917">_xlfn.IFS(B917&lt;18.5, "Underweight", B917&lt;=24.9, "Normal Weight", B917&lt;=29.9, "Overweight", TRUE, "Obesity")</f>
        <v>Normal Weight</v>
      </c>
      <c r="J917" t="str" cm="1">
        <f t="array" ref="J917">_xlfn.IFS(C917&lt;5.7, "Normal", C917&lt;=6.4, "Prediabetes", TRUE, "Diabetes")</f>
        <v>Normal</v>
      </c>
    </row>
    <row r="918" spans="1:10">
      <c r="A918" t="s">
        <v>1834</v>
      </c>
      <c r="B918">
        <v>30.14</v>
      </c>
      <c r="C918">
        <v>9.4499999999999993</v>
      </c>
      <c r="D918" t="s">
        <v>4683</v>
      </c>
      <c r="E918" t="s">
        <v>4682</v>
      </c>
      <c r="F918" t="s">
        <v>4682</v>
      </c>
      <c r="G918">
        <v>0</v>
      </c>
      <c r="H918" t="s">
        <v>4682</v>
      </c>
      <c r="I918" t="str" cm="1">
        <f t="array" ref="I918">_xlfn.IFS(B918&lt;18.5, "Underweight", B918&lt;=24.9, "Normal Weight", B918&lt;=29.9, "Overweight", TRUE, "Obesity")</f>
        <v>Obesity</v>
      </c>
      <c r="J918" t="str" cm="1">
        <f t="array" ref="J918">_xlfn.IFS(C918&lt;5.7, "Normal", C918&lt;=6.4, "Prediabetes", TRUE, "Diabetes")</f>
        <v>Diabetes</v>
      </c>
    </row>
    <row r="919" spans="1:10">
      <c r="A919" t="s">
        <v>1836</v>
      </c>
      <c r="B919">
        <v>29.7</v>
      </c>
      <c r="C919">
        <v>6.79</v>
      </c>
      <c r="D919" t="s">
        <v>4683</v>
      </c>
      <c r="E919" t="s">
        <v>4682</v>
      </c>
      <c r="F919" t="s">
        <v>4682</v>
      </c>
      <c r="G919">
        <v>0</v>
      </c>
      <c r="H919" t="s">
        <v>4682</v>
      </c>
      <c r="I919" t="str" cm="1">
        <f t="array" ref="I919">_xlfn.IFS(B919&lt;18.5, "Underweight", B919&lt;=24.9, "Normal Weight", B919&lt;=29.9, "Overweight", TRUE, "Obesity")</f>
        <v>Overweight</v>
      </c>
      <c r="J919" t="str" cm="1">
        <f t="array" ref="J919">_xlfn.IFS(C919&lt;5.7, "Normal", C919&lt;=6.4, "Prediabetes", TRUE, "Diabetes")</f>
        <v>Diabetes</v>
      </c>
    </row>
    <row r="920" spans="1:10">
      <c r="A920" t="s">
        <v>1838</v>
      </c>
      <c r="B920">
        <v>32.395000000000003</v>
      </c>
      <c r="C920">
        <v>11.1</v>
      </c>
      <c r="D920" t="s">
        <v>4683</v>
      </c>
      <c r="E920" t="s">
        <v>4682</v>
      </c>
      <c r="F920" t="s">
        <v>4682</v>
      </c>
      <c r="G920">
        <v>0</v>
      </c>
      <c r="H920" t="s">
        <v>4682</v>
      </c>
      <c r="I920" t="str" cm="1">
        <f t="array" ref="I920">_xlfn.IFS(B920&lt;18.5, "Underweight", B920&lt;=24.9, "Normal Weight", B920&lt;=29.9, "Overweight", TRUE, "Obesity")</f>
        <v>Obesity</v>
      </c>
      <c r="J920" t="str" cm="1">
        <f t="array" ref="J920">_xlfn.IFS(C920&lt;5.7, "Normal", C920&lt;=6.4, "Prediabetes", TRUE, "Diabetes")</f>
        <v>Diabetes</v>
      </c>
    </row>
    <row r="921" spans="1:10">
      <c r="A921" t="s">
        <v>1840</v>
      </c>
      <c r="B921">
        <v>36.64</v>
      </c>
      <c r="C921">
        <v>7.26</v>
      </c>
      <c r="D921" t="s">
        <v>4682</v>
      </c>
      <c r="E921" t="s">
        <v>4682</v>
      </c>
      <c r="F921" t="s">
        <v>4682</v>
      </c>
      <c r="G921">
        <v>0</v>
      </c>
      <c r="H921" t="s">
        <v>4682</v>
      </c>
      <c r="I921" t="str" cm="1">
        <f t="array" ref="I921">_xlfn.IFS(B921&lt;18.5, "Underweight", B921&lt;=24.9, "Normal Weight", B921&lt;=29.9, "Overweight", TRUE, "Obesity")</f>
        <v>Obesity</v>
      </c>
      <c r="J921" t="str" cm="1">
        <f t="array" ref="J921">_xlfn.IFS(C921&lt;5.7, "Normal", C921&lt;=6.4, "Prediabetes", TRUE, "Diabetes")</f>
        <v>Diabetes</v>
      </c>
    </row>
    <row r="922" spans="1:10">
      <c r="A922" t="s">
        <v>1842</v>
      </c>
      <c r="B922">
        <v>39.049999999999997</v>
      </c>
      <c r="C922">
        <v>5.27</v>
      </c>
      <c r="D922" t="s">
        <v>4683</v>
      </c>
      <c r="E922" t="s">
        <v>4682</v>
      </c>
      <c r="F922" t="s">
        <v>4682</v>
      </c>
      <c r="G922">
        <v>1</v>
      </c>
      <c r="H922" t="s">
        <v>4682</v>
      </c>
      <c r="I922" t="str" cm="1">
        <f t="array" ref="I922">_xlfn.IFS(B922&lt;18.5, "Underweight", B922&lt;=24.9, "Normal Weight", B922&lt;=29.9, "Overweight", TRUE, "Obesity")</f>
        <v>Obesity</v>
      </c>
      <c r="J922" t="str" cm="1">
        <f t="array" ref="J922">_xlfn.IFS(C922&lt;5.7, "Normal", C922&lt;=6.4, "Prediabetes", TRUE, "Diabetes")</f>
        <v>Normal</v>
      </c>
    </row>
    <row r="923" spans="1:10">
      <c r="A923" t="s">
        <v>1844</v>
      </c>
      <c r="B923">
        <v>33.1</v>
      </c>
      <c r="C923">
        <v>5.46</v>
      </c>
      <c r="D923" t="s">
        <v>4683</v>
      </c>
      <c r="E923" t="s">
        <v>4682</v>
      </c>
      <c r="F923" t="s">
        <v>4682</v>
      </c>
      <c r="G923">
        <v>1</v>
      </c>
      <c r="H923" t="s">
        <v>4682</v>
      </c>
      <c r="I923" t="str" cm="1">
        <f t="array" ref="I923">_xlfn.IFS(B923&lt;18.5, "Underweight", B923&lt;=24.9, "Normal Weight", B923&lt;=29.9, "Overweight", TRUE, "Obesity")</f>
        <v>Obesity</v>
      </c>
      <c r="J923" t="str" cm="1">
        <f t="array" ref="J923">_xlfn.IFS(C923&lt;5.7, "Normal", C923&lt;=6.4, "Prediabetes", TRUE, "Diabetes")</f>
        <v>Normal</v>
      </c>
    </row>
    <row r="924" spans="1:10">
      <c r="A924" t="s">
        <v>1846</v>
      </c>
      <c r="B924">
        <v>31.824999999999999</v>
      </c>
      <c r="C924">
        <v>8.1300000000000008</v>
      </c>
      <c r="D924" t="s">
        <v>4682</v>
      </c>
      <c r="E924" t="s">
        <v>4682</v>
      </c>
      <c r="F924" t="s">
        <v>4682</v>
      </c>
      <c r="G924">
        <v>0</v>
      </c>
      <c r="H924" t="s">
        <v>4682</v>
      </c>
      <c r="I924" t="str" cm="1">
        <f t="array" ref="I924">_xlfn.IFS(B924&lt;18.5, "Underweight", B924&lt;=24.9, "Normal Weight", B924&lt;=29.9, "Overweight", TRUE, "Obesity")</f>
        <v>Obesity</v>
      </c>
      <c r="J924" t="str" cm="1">
        <f t="array" ref="J924">_xlfn.IFS(C924&lt;5.7, "Normal", C924&lt;=6.4, "Prediabetes", TRUE, "Diabetes")</f>
        <v>Diabetes</v>
      </c>
    </row>
    <row r="925" spans="1:10">
      <c r="A925" t="s">
        <v>1848</v>
      </c>
      <c r="B925">
        <v>29</v>
      </c>
      <c r="C925">
        <v>4.25</v>
      </c>
      <c r="D925" t="s">
        <v>4683</v>
      </c>
      <c r="E925" t="s">
        <v>4682</v>
      </c>
      <c r="F925" t="s">
        <v>4682</v>
      </c>
      <c r="G925">
        <v>1</v>
      </c>
      <c r="H925" t="s">
        <v>4682</v>
      </c>
      <c r="I925" t="str" cm="1">
        <f t="array" ref="I925">_xlfn.IFS(B925&lt;18.5, "Underweight", B925&lt;=24.9, "Normal Weight", B925&lt;=29.9, "Overweight", TRUE, "Obesity")</f>
        <v>Overweight</v>
      </c>
      <c r="J925" t="str" cm="1">
        <f t="array" ref="J925">_xlfn.IFS(C925&lt;5.7, "Normal", C925&lt;=6.4, "Prediabetes", TRUE, "Diabetes")</f>
        <v>Normal</v>
      </c>
    </row>
    <row r="926" spans="1:10">
      <c r="A926" t="s">
        <v>1850</v>
      </c>
      <c r="B926">
        <v>30.495000000000001</v>
      </c>
      <c r="C926">
        <v>8.68</v>
      </c>
      <c r="D926" t="s">
        <v>4682</v>
      </c>
      <c r="E926" t="s">
        <v>4682</v>
      </c>
      <c r="F926" t="s">
        <v>4682</v>
      </c>
      <c r="G926">
        <v>0</v>
      </c>
      <c r="H926" t="s">
        <v>4682</v>
      </c>
      <c r="I926" t="str" cm="1">
        <f t="array" ref="I926">_xlfn.IFS(B926&lt;18.5, "Underweight", B926&lt;=24.9, "Normal Weight", B926&lt;=29.9, "Overweight", TRUE, "Obesity")</f>
        <v>Obesity</v>
      </c>
      <c r="J926" t="str" cm="1">
        <f t="array" ref="J926">_xlfn.IFS(C926&lt;5.7, "Normal", C926&lt;=6.4, "Prediabetes", TRUE, "Diabetes")</f>
        <v>Diabetes</v>
      </c>
    </row>
    <row r="927" spans="1:10">
      <c r="A927" t="s">
        <v>1852</v>
      </c>
      <c r="B927">
        <v>25.2</v>
      </c>
      <c r="C927">
        <v>6.25</v>
      </c>
      <c r="D927" t="s">
        <v>4683</v>
      </c>
      <c r="E927" t="s">
        <v>4682</v>
      </c>
      <c r="F927" t="s">
        <v>4682</v>
      </c>
      <c r="G927">
        <v>1</v>
      </c>
      <c r="H927" t="s">
        <v>4682</v>
      </c>
      <c r="I927" t="str" cm="1">
        <f t="array" ref="I927">_xlfn.IFS(B927&lt;18.5, "Underweight", B927&lt;=24.9, "Normal Weight", B927&lt;=29.9, "Overweight", TRUE, "Obesity")</f>
        <v>Overweight</v>
      </c>
      <c r="J927" t="str" cm="1">
        <f t="array" ref="J927">_xlfn.IFS(C927&lt;5.7, "Normal", C927&lt;=6.4, "Prediabetes", TRUE, "Diabetes")</f>
        <v>Prediabetes</v>
      </c>
    </row>
    <row r="928" spans="1:10">
      <c r="A928" t="s">
        <v>1854</v>
      </c>
      <c r="B928">
        <v>22.77</v>
      </c>
      <c r="C928">
        <v>4.47</v>
      </c>
      <c r="D928" t="s">
        <v>4683</v>
      </c>
      <c r="E928" t="s">
        <v>4682</v>
      </c>
      <c r="F928" t="s">
        <v>4682</v>
      </c>
      <c r="G928">
        <v>1</v>
      </c>
      <c r="H928" t="s">
        <v>4682</v>
      </c>
      <c r="I928" t="str" cm="1">
        <f t="array" ref="I928">_xlfn.IFS(B928&lt;18.5, "Underweight", B928&lt;=24.9, "Normal Weight", B928&lt;=29.9, "Overweight", TRUE, "Obesity")</f>
        <v>Normal Weight</v>
      </c>
      <c r="J928" t="str" cm="1">
        <f t="array" ref="J928">_xlfn.IFS(C928&lt;5.7, "Normal", C928&lt;=6.4, "Prediabetes", TRUE, "Diabetes")</f>
        <v>Normal</v>
      </c>
    </row>
    <row r="929" spans="1:10">
      <c r="A929" t="s">
        <v>1856</v>
      </c>
      <c r="B929">
        <v>23.18</v>
      </c>
      <c r="C929">
        <v>8.31</v>
      </c>
      <c r="D929" t="s">
        <v>4682</v>
      </c>
      <c r="E929" t="s">
        <v>4682</v>
      </c>
      <c r="F929" t="s">
        <v>4682</v>
      </c>
      <c r="G929">
        <v>0</v>
      </c>
      <c r="H929" t="s">
        <v>4682</v>
      </c>
      <c r="I929" t="str" cm="1">
        <f t="array" ref="I929">_xlfn.IFS(B929&lt;18.5, "Underweight", B929&lt;=24.9, "Normal Weight", B929&lt;=29.9, "Overweight", TRUE, "Obesity")</f>
        <v>Normal Weight</v>
      </c>
      <c r="J929" t="str" cm="1">
        <f t="array" ref="J929">_xlfn.IFS(C929&lt;5.7, "Normal", C929&lt;=6.4, "Prediabetes", TRUE, "Diabetes")</f>
        <v>Diabetes</v>
      </c>
    </row>
    <row r="930" spans="1:10">
      <c r="A930" t="s">
        <v>1858</v>
      </c>
      <c r="B930">
        <v>35.409999999999997</v>
      </c>
      <c r="C930">
        <v>5.68</v>
      </c>
      <c r="D930" t="s">
        <v>4682</v>
      </c>
      <c r="E930" t="s">
        <v>4682</v>
      </c>
      <c r="F930" t="s">
        <v>4682</v>
      </c>
      <c r="G930">
        <v>0</v>
      </c>
      <c r="H930" t="s">
        <v>4682</v>
      </c>
      <c r="I930" t="str" cm="1">
        <f t="array" ref="I930">_xlfn.IFS(B930&lt;18.5, "Underweight", B930&lt;=24.9, "Normal Weight", B930&lt;=29.9, "Overweight", TRUE, "Obesity")</f>
        <v>Obesity</v>
      </c>
      <c r="J930" t="str" cm="1">
        <f t="array" ref="J930">_xlfn.IFS(C930&lt;5.7, "Normal", C930&lt;=6.4, "Prediabetes", TRUE, "Diabetes")</f>
        <v>Normal</v>
      </c>
    </row>
    <row r="931" spans="1:10">
      <c r="A931" t="s">
        <v>1860</v>
      </c>
      <c r="B931">
        <v>32.11</v>
      </c>
      <c r="C931">
        <v>4.75</v>
      </c>
      <c r="D931" t="s">
        <v>4683</v>
      </c>
      <c r="E931" t="s">
        <v>4682</v>
      </c>
      <c r="F931" t="s">
        <v>4682</v>
      </c>
      <c r="G931">
        <v>2</v>
      </c>
      <c r="H931" t="s">
        <v>4682</v>
      </c>
      <c r="I931" t="str" cm="1">
        <f t="array" ref="I931">_xlfn.IFS(B931&lt;18.5, "Underweight", B931&lt;=24.9, "Normal Weight", B931&lt;=29.9, "Overweight", TRUE, "Obesity")</f>
        <v>Obesity</v>
      </c>
      <c r="J931" t="str" cm="1">
        <f t="array" ref="J931">_xlfn.IFS(C931&lt;5.7, "Normal", C931&lt;=6.4, "Prediabetes", TRUE, "Diabetes")</f>
        <v>Normal</v>
      </c>
    </row>
    <row r="932" spans="1:10">
      <c r="A932" t="s">
        <v>1862</v>
      </c>
      <c r="B932">
        <v>34.479999999999997</v>
      </c>
      <c r="C932">
        <v>6.31</v>
      </c>
      <c r="D932" t="s">
        <v>4682</v>
      </c>
      <c r="E932" t="s">
        <v>4682</v>
      </c>
      <c r="F932" t="s">
        <v>4684</v>
      </c>
      <c r="G932">
        <v>1</v>
      </c>
      <c r="H932" t="s">
        <v>4682</v>
      </c>
      <c r="I932" t="str" cm="1">
        <f t="array" ref="I932">_xlfn.IFS(B932&lt;18.5, "Underweight", B932&lt;=24.9, "Normal Weight", B932&lt;=29.9, "Overweight", TRUE, "Obesity")</f>
        <v>Obesity</v>
      </c>
      <c r="J932" t="str" cm="1">
        <f t="array" ref="J932">_xlfn.IFS(C932&lt;5.7, "Normal", C932&lt;=6.4, "Prediabetes", TRUE, "Diabetes")</f>
        <v>Prediabetes</v>
      </c>
    </row>
    <row r="933" spans="1:10">
      <c r="A933" t="s">
        <v>1864</v>
      </c>
      <c r="B933">
        <v>34.39</v>
      </c>
      <c r="C933">
        <v>6.28</v>
      </c>
      <c r="D933" t="s">
        <v>4683</v>
      </c>
      <c r="E933" t="s">
        <v>4682</v>
      </c>
      <c r="F933" t="s">
        <v>4682</v>
      </c>
      <c r="G933">
        <v>1</v>
      </c>
      <c r="H933" t="s">
        <v>4682</v>
      </c>
      <c r="I933" t="str" cm="1">
        <f t="array" ref="I933">_xlfn.IFS(B933&lt;18.5, "Underweight", B933&lt;=24.9, "Normal Weight", B933&lt;=29.9, "Overweight", TRUE, "Obesity")</f>
        <v>Obesity</v>
      </c>
      <c r="J933" t="str" cm="1">
        <f t="array" ref="J933">_xlfn.IFS(C933&lt;5.7, "Normal", C933&lt;=6.4, "Prediabetes", TRUE, "Diabetes")</f>
        <v>Prediabetes</v>
      </c>
    </row>
    <row r="934" spans="1:10">
      <c r="A934" t="s">
        <v>1866</v>
      </c>
      <c r="B934">
        <v>26.4</v>
      </c>
      <c r="C934">
        <v>9.2899999999999991</v>
      </c>
      <c r="D934" t="s">
        <v>4683</v>
      </c>
      <c r="E934" t="s">
        <v>4682</v>
      </c>
      <c r="F934" t="s">
        <v>4684</v>
      </c>
      <c r="G934">
        <v>1</v>
      </c>
      <c r="H934" t="s">
        <v>4682</v>
      </c>
      <c r="I934" t="str" cm="1">
        <f t="array" ref="I934">_xlfn.IFS(B934&lt;18.5, "Underweight", B934&lt;=24.9, "Normal Weight", B934&lt;=29.9, "Overweight", TRUE, "Obesity")</f>
        <v>Overweight</v>
      </c>
      <c r="J934" t="str" cm="1">
        <f t="array" ref="J934">_xlfn.IFS(C934&lt;5.7, "Normal", C934&lt;=6.4, "Prediabetes", TRUE, "Diabetes")</f>
        <v>Diabetes</v>
      </c>
    </row>
    <row r="935" spans="1:10">
      <c r="A935" t="s">
        <v>1868</v>
      </c>
      <c r="B935">
        <v>28.1</v>
      </c>
      <c r="C935">
        <v>5.79</v>
      </c>
      <c r="D935" t="s">
        <v>4683</v>
      </c>
      <c r="E935" t="s">
        <v>4682</v>
      </c>
      <c r="F935" t="s">
        <v>4684</v>
      </c>
      <c r="G935">
        <v>1</v>
      </c>
      <c r="H935" t="s">
        <v>4682</v>
      </c>
      <c r="I935" t="str" cm="1">
        <f t="array" ref="I935">_xlfn.IFS(B935&lt;18.5, "Underweight", B935&lt;=24.9, "Normal Weight", B935&lt;=29.9, "Overweight", TRUE, "Obesity")</f>
        <v>Overweight</v>
      </c>
      <c r="J935" t="str" cm="1">
        <f t="array" ref="J935">_xlfn.IFS(C935&lt;5.7, "Normal", C935&lt;=6.4, "Prediabetes", TRUE, "Diabetes")</f>
        <v>Prediabetes</v>
      </c>
    </row>
    <row r="936" spans="1:10">
      <c r="A936" t="s">
        <v>1870</v>
      </c>
      <c r="B936">
        <v>27</v>
      </c>
      <c r="C936">
        <v>4.54</v>
      </c>
      <c r="D936" t="s">
        <v>4683</v>
      </c>
      <c r="E936" t="s">
        <v>4682</v>
      </c>
      <c r="F936" t="s">
        <v>4682</v>
      </c>
      <c r="G936">
        <v>1</v>
      </c>
      <c r="H936" t="s">
        <v>4682</v>
      </c>
      <c r="I936" t="str" cm="1">
        <f t="array" ref="I936">_xlfn.IFS(B936&lt;18.5, "Underweight", B936&lt;=24.9, "Normal Weight", B936&lt;=29.9, "Overweight", TRUE, "Obesity")</f>
        <v>Overweight</v>
      </c>
      <c r="J936" t="str" cm="1">
        <f t="array" ref="J936">_xlfn.IFS(C936&lt;5.7, "Normal", C936&lt;=6.4, "Prediabetes", TRUE, "Diabetes")</f>
        <v>Normal</v>
      </c>
    </row>
    <row r="937" spans="1:10">
      <c r="A937" t="s">
        <v>1872</v>
      </c>
      <c r="B937">
        <v>28.594999999999999</v>
      </c>
      <c r="C937">
        <v>4.68</v>
      </c>
      <c r="D937" t="s">
        <v>4683</v>
      </c>
      <c r="E937" t="s">
        <v>4682</v>
      </c>
      <c r="F937" t="s">
        <v>4682</v>
      </c>
      <c r="G937">
        <v>1</v>
      </c>
      <c r="H937" t="s">
        <v>4682</v>
      </c>
      <c r="I937" t="str" cm="1">
        <f t="array" ref="I937">_xlfn.IFS(B937&lt;18.5, "Underweight", B937&lt;=24.9, "Normal Weight", B937&lt;=29.9, "Overweight", TRUE, "Obesity")</f>
        <v>Overweight</v>
      </c>
      <c r="J937" t="str" cm="1">
        <f t="array" ref="J937">_xlfn.IFS(C937&lt;5.7, "Normal", C937&lt;=6.4, "Prediabetes", TRUE, "Diabetes")</f>
        <v>Normal</v>
      </c>
    </row>
    <row r="938" spans="1:10">
      <c r="A938" t="s">
        <v>1874</v>
      </c>
      <c r="B938">
        <v>36.799999999999997</v>
      </c>
      <c r="C938">
        <v>5.88</v>
      </c>
      <c r="D938" t="s">
        <v>4682</v>
      </c>
      <c r="E938" t="s">
        <v>4682</v>
      </c>
      <c r="F938" t="s">
        <v>4682</v>
      </c>
      <c r="G938">
        <v>1</v>
      </c>
      <c r="H938" t="s">
        <v>4682</v>
      </c>
      <c r="I938" t="str" cm="1">
        <f t="array" ref="I938">_xlfn.IFS(B938&lt;18.5, "Underweight", B938&lt;=24.9, "Normal Weight", B938&lt;=29.9, "Overweight", TRUE, "Obesity")</f>
        <v>Obesity</v>
      </c>
      <c r="J938" t="str" cm="1">
        <f t="array" ref="J938">_xlfn.IFS(C938&lt;5.7, "Normal", C938&lt;=6.4, "Prediabetes", TRUE, "Diabetes")</f>
        <v>Prediabetes</v>
      </c>
    </row>
    <row r="939" spans="1:10">
      <c r="A939" t="s">
        <v>1876</v>
      </c>
      <c r="B939">
        <v>23.75</v>
      </c>
      <c r="C939">
        <v>5.42</v>
      </c>
      <c r="D939" t="s">
        <v>4683</v>
      </c>
      <c r="E939" t="s">
        <v>4682</v>
      </c>
      <c r="F939" t="s">
        <v>4684</v>
      </c>
      <c r="G939">
        <v>1</v>
      </c>
      <c r="H939" t="s">
        <v>4682</v>
      </c>
      <c r="I939" t="str" cm="1">
        <f t="array" ref="I939">_xlfn.IFS(B939&lt;18.5, "Underweight", B939&lt;=24.9, "Normal Weight", B939&lt;=29.9, "Overweight", TRUE, "Obesity")</f>
        <v>Normal Weight</v>
      </c>
      <c r="J939" t="str" cm="1">
        <f t="array" ref="J939">_xlfn.IFS(C939&lt;5.7, "Normal", C939&lt;=6.4, "Prediabetes", TRUE, "Diabetes")</f>
        <v>Normal</v>
      </c>
    </row>
    <row r="940" spans="1:10">
      <c r="A940" t="s">
        <v>1878</v>
      </c>
      <c r="B940">
        <v>35.619999999999997</v>
      </c>
      <c r="C940">
        <v>4.16</v>
      </c>
      <c r="D940" t="s">
        <v>4682</v>
      </c>
      <c r="E940" t="s">
        <v>4682</v>
      </c>
      <c r="F940" t="s">
        <v>4682</v>
      </c>
      <c r="G940">
        <v>0</v>
      </c>
      <c r="H940" t="s">
        <v>4682</v>
      </c>
      <c r="I940" t="str" cm="1">
        <f t="array" ref="I940">_xlfn.IFS(B940&lt;18.5, "Underweight", B940&lt;=24.9, "Normal Weight", B940&lt;=29.9, "Overweight", TRUE, "Obesity")</f>
        <v>Obesity</v>
      </c>
      <c r="J940" t="str" cm="1">
        <f t="array" ref="J940">_xlfn.IFS(C940&lt;5.7, "Normal", C940&lt;=6.4, "Prediabetes", TRUE, "Diabetes")</f>
        <v>Normal</v>
      </c>
    </row>
    <row r="941" spans="1:10">
      <c r="A941" t="s">
        <v>1880</v>
      </c>
      <c r="B941">
        <v>30.69</v>
      </c>
      <c r="C941">
        <v>7.05</v>
      </c>
      <c r="D941" t="s">
        <v>4683</v>
      </c>
      <c r="E941" t="s">
        <v>4682</v>
      </c>
      <c r="F941" t="s">
        <v>4682</v>
      </c>
      <c r="G941">
        <v>2</v>
      </c>
      <c r="H941" t="s">
        <v>4682</v>
      </c>
      <c r="I941" t="str" cm="1">
        <f t="array" ref="I941">_xlfn.IFS(B941&lt;18.5, "Underweight", B941&lt;=24.9, "Normal Weight", B941&lt;=29.9, "Overweight", TRUE, "Obesity")</f>
        <v>Obesity</v>
      </c>
      <c r="J941" t="str" cm="1">
        <f t="array" ref="J941">_xlfn.IFS(C941&lt;5.7, "Normal", C941&lt;=6.4, "Prediabetes", TRUE, "Diabetes")</f>
        <v>Diabetes</v>
      </c>
    </row>
    <row r="942" spans="1:10">
      <c r="A942" t="s">
        <v>1882</v>
      </c>
      <c r="B942">
        <v>35.799999999999997</v>
      </c>
      <c r="C942">
        <v>5.63</v>
      </c>
      <c r="D942" t="s">
        <v>4683</v>
      </c>
      <c r="E942" t="s">
        <v>4682</v>
      </c>
      <c r="F942" t="s">
        <v>4682</v>
      </c>
      <c r="G942">
        <v>2</v>
      </c>
      <c r="H942" t="s">
        <v>4682</v>
      </c>
      <c r="I942" t="str" cm="1">
        <f t="array" ref="I942">_xlfn.IFS(B942&lt;18.5, "Underweight", B942&lt;=24.9, "Normal Weight", B942&lt;=29.9, "Overweight", TRUE, "Obesity")</f>
        <v>Obesity</v>
      </c>
      <c r="J942" t="str" cm="1">
        <f t="array" ref="J942">_xlfn.IFS(C942&lt;5.7, "Normal", C942&lt;=6.4, "Prediabetes", TRUE, "Diabetes")</f>
        <v>Normal</v>
      </c>
    </row>
    <row r="943" spans="1:10">
      <c r="A943" t="s">
        <v>1884</v>
      </c>
      <c r="B943">
        <v>28.785</v>
      </c>
      <c r="C943">
        <v>4.24</v>
      </c>
      <c r="D943" t="s">
        <v>4683</v>
      </c>
      <c r="E943" t="s">
        <v>4682</v>
      </c>
      <c r="F943" t="s">
        <v>4682</v>
      </c>
      <c r="G943">
        <v>2</v>
      </c>
      <c r="H943" t="s">
        <v>4682</v>
      </c>
      <c r="I943" t="str" cm="1">
        <f t="array" ref="I943">_xlfn.IFS(B943&lt;18.5, "Underweight", B943&lt;=24.9, "Normal Weight", B943&lt;=29.9, "Overweight", TRUE, "Obesity")</f>
        <v>Overweight</v>
      </c>
      <c r="J943" t="str" cm="1">
        <f t="array" ref="J943">_xlfn.IFS(C943&lt;5.7, "Normal", C943&lt;=6.4, "Prediabetes", TRUE, "Diabetes")</f>
        <v>Normal</v>
      </c>
    </row>
    <row r="944" spans="1:10">
      <c r="A944" t="s">
        <v>1886</v>
      </c>
      <c r="B944">
        <v>28.594999999999999</v>
      </c>
      <c r="C944">
        <v>4.96</v>
      </c>
      <c r="D944" t="s">
        <v>4683</v>
      </c>
      <c r="E944" t="s">
        <v>4682</v>
      </c>
      <c r="F944" t="s">
        <v>4682</v>
      </c>
      <c r="G944">
        <v>2</v>
      </c>
      <c r="H944" t="s">
        <v>4682</v>
      </c>
      <c r="I944" t="str" cm="1">
        <f t="array" ref="I944">_xlfn.IFS(B944&lt;18.5, "Underweight", B944&lt;=24.9, "Normal Weight", B944&lt;=29.9, "Overweight", TRUE, "Obesity")</f>
        <v>Overweight</v>
      </c>
      <c r="J944" t="str" cm="1">
        <f t="array" ref="J944">_xlfn.IFS(C944&lt;5.7, "Normal", C944&lt;=6.4, "Prediabetes", TRUE, "Diabetes")</f>
        <v>Normal</v>
      </c>
    </row>
    <row r="945" spans="1:10">
      <c r="A945" t="s">
        <v>1888</v>
      </c>
      <c r="B945">
        <v>48.75</v>
      </c>
      <c r="C945">
        <v>4.34</v>
      </c>
      <c r="D945" t="s">
        <v>4682</v>
      </c>
      <c r="E945" t="s">
        <v>4682</v>
      </c>
      <c r="F945" t="s">
        <v>4682</v>
      </c>
      <c r="G945">
        <v>0</v>
      </c>
      <c r="H945" t="s">
        <v>4682</v>
      </c>
      <c r="I945" t="str" cm="1">
        <f t="array" ref="I945">_xlfn.IFS(B945&lt;18.5, "Underweight", B945&lt;=24.9, "Normal Weight", B945&lt;=29.9, "Overweight", TRUE, "Obesity")</f>
        <v>Obesity</v>
      </c>
      <c r="J945" t="str" cm="1">
        <f t="array" ref="J945">_xlfn.IFS(C945&lt;5.7, "Normal", C945&lt;=6.4, "Prediabetes", TRUE, "Diabetes")</f>
        <v>Normal</v>
      </c>
    </row>
    <row r="946" spans="1:10">
      <c r="A946" t="s">
        <v>1890</v>
      </c>
      <c r="B946">
        <v>28.31</v>
      </c>
      <c r="C946">
        <v>5.43</v>
      </c>
      <c r="D946" t="s">
        <v>4683</v>
      </c>
      <c r="E946" t="s">
        <v>4682</v>
      </c>
      <c r="F946" t="s">
        <v>4682</v>
      </c>
      <c r="G946">
        <v>2</v>
      </c>
      <c r="H946" t="s">
        <v>4682</v>
      </c>
      <c r="I946" t="str" cm="1">
        <f t="array" ref="I946">_xlfn.IFS(B946&lt;18.5, "Underweight", B946&lt;=24.9, "Normal Weight", B946&lt;=29.9, "Overweight", TRUE, "Obesity")</f>
        <v>Overweight</v>
      </c>
      <c r="J946" t="str" cm="1">
        <f t="array" ref="J946">_xlfn.IFS(C946&lt;5.7, "Normal", C946&lt;=6.4, "Prediabetes", TRUE, "Diabetes")</f>
        <v>Normal</v>
      </c>
    </row>
    <row r="947" spans="1:10">
      <c r="A947" t="s">
        <v>1892</v>
      </c>
      <c r="B947">
        <v>38.39</v>
      </c>
      <c r="C947">
        <v>8.33</v>
      </c>
      <c r="D947" t="s">
        <v>4683</v>
      </c>
      <c r="E947" t="s">
        <v>4682</v>
      </c>
      <c r="F947" t="s">
        <v>4682</v>
      </c>
      <c r="G947">
        <v>1</v>
      </c>
      <c r="H947" t="s">
        <v>4682</v>
      </c>
      <c r="I947" t="str" cm="1">
        <f t="array" ref="I947">_xlfn.IFS(B947&lt;18.5, "Underweight", B947&lt;=24.9, "Normal Weight", B947&lt;=29.9, "Overweight", TRUE, "Obesity")</f>
        <v>Obesity</v>
      </c>
      <c r="J947" t="str" cm="1">
        <f t="array" ref="J947">_xlfn.IFS(C947&lt;5.7, "Normal", C947&lt;=6.4, "Prediabetes", TRUE, "Diabetes")</f>
        <v>Diabetes</v>
      </c>
    </row>
    <row r="948" spans="1:10">
      <c r="A948" t="s">
        <v>1894</v>
      </c>
      <c r="B948">
        <v>25.87</v>
      </c>
      <c r="C948">
        <v>5.63</v>
      </c>
      <c r="D948" t="s">
        <v>4683</v>
      </c>
      <c r="E948" t="s">
        <v>4682</v>
      </c>
      <c r="F948" t="s">
        <v>4682</v>
      </c>
      <c r="G948">
        <v>1</v>
      </c>
      <c r="H948" t="s">
        <v>4682</v>
      </c>
      <c r="I948" t="str" cm="1">
        <f t="array" ref="I948">_xlfn.IFS(B948&lt;18.5, "Underweight", B948&lt;=24.9, "Normal Weight", B948&lt;=29.9, "Overweight", TRUE, "Obesity")</f>
        <v>Overweight</v>
      </c>
      <c r="J948" t="str" cm="1">
        <f t="array" ref="J948">_xlfn.IFS(C948&lt;5.7, "Normal", C948&lt;=6.4, "Prediabetes", TRUE, "Diabetes")</f>
        <v>Normal</v>
      </c>
    </row>
    <row r="949" spans="1:10">
      <c r="A949" t="s">
        <v>1896</v>
      </c>
      <c r="B949">
        <v>43.7</v>
      </c>
      <c r="C949">
        <v>7.23</v>
      </c>
      <c r="D949" t="s">
        <v>4682</v>
      </c>
      <c r="E949" t="s">
        <v>4682</v>
      </c>
      <c r="F949" t="s">
        <v>4682</v>
      </c>
      <c r="G949">
        <v>0</v>
      </c>
      <c r="H949" t="s">
        <v>4682</v>
      </c>
      <c r="I949" t="str" cm="1">
        <f t="array" ref="I949">_xlfn.IFS(B949&lt;18.5, "Underweight", B949&lt;=24.9, "Normal Weight", B949&lt;=29.9, "Overweight", TRUE, "Obesity")</f>
        <v>Obesity</v>
      </c>
      <c r="J949" t="str" cm="1">
        <f t="array" ref="J949">_xlfn.IFS(C949&lt;5.7, "Normal", C949&lt;=6.4, "Prediabetes", TRUE, "Diabetes")</f>
        <v>Diabetes</v>
      </c>
    </row>
    <row r="950" spans="1:10">
      <c r="A950" t="s">
        <v>1898</v>
      </c>
      <c r="B950">
        <v>40.945</v>
      </c>
      <c r="C950">
        <v>10.57</v>
      </c>
      <c r="D950" t="s">
        <v>4682</v>
      </c>
      <c r="E950" t="s">
        <v>4682</v>
      </c>
      <c r="F950" t="s">
        <v>4682</v>
      </c>
      <c r="G950">
        <v>0</v>
      </c>
      <c r="H950" t="s">
        <v>4682</v>
      </c>
      <c r="I950" t="str" cm="1">
        <f t="array" ref="I950">_xlfn.IFS(B950&lt;18.5, "Underweight", B950&lt;=24.9, "Normal Weight", B950&lt;=29.9, "Overweight", TRUE, "Obesity")</f>
        <v>Obesity</v>
      </c>
      <c r="J950" t="str" cm="1">
        <f t="array" ref="J950">_xlfn.IFS(C950&lt;5.7, "Normal", C950&lt;=6.4, "Prediabetes", TRUE, "Diabetes")</f>
        <v>Diabetes</v>
      </c>
    </row>
    <row r="951" spans="1:10">
      <c r="A951" t="s">
        <v>1900</v>
      </c>
      <c r="B951">
        <v>27.94</v>
      </c>
      <c r="C951">
        <v>7.92</v>
      </c>
      <c r="D951" t="s">
        <v>4682</v>
      </c>
      <c r="E951" t="s">
        <v>4682</v>
      </c>
      <c r="F951" t="s">
        <v>4682</v>
      </c>
      <c r="G951">
        <v>0</v>
      </c>
      <c r="H951" t="s">
        <v>4682</v>
      </c>
      <c r="I951" t="str" cm="1">
        <f t="array" ref="I951">_xlfn.IFS(B951&lt;18.5, "Underweight", B951&lt;=24.9, "Normal Weight", B951&lt;=29.9, "Overweight", TRUE, "Obesity")</f>
        <v>Overweight</v>
      </c>
      <c r="J951" t="str" cm="1">
        <f t="array" ref="J951">_xlfn.IFS(C951&lt;5.7, "Normal", C951&lt;=6.4, "Prediabetes", TRUE, "Diabetes")</f>
        <v>Diabetes</v>
      </c>
    </row>
    <row r="952" spans="1:10">
      <c r="A952" t="s">
        <v>1902</v>
      </c>
      <c r="B952">
        <v>31.9</v>
      </c>
      <c r="C952">
        <v>10.119999999999999</v>
      </c>
      <c r="D952" t="s">
        <v>4682</v>
      </c>
      <c r="E952" t="s">
        <v>4682</v>
      </c>
      <c r="F952" t="s">
        <v>4682</v>
      </c>
      <c r="G952">
        <v>2</v>
      </c>
      <c r="H952" t="s">
        <v>4682</v>
      </c>
      <c r="I952" t="str" cm="1">
        <f t="array" ref="I952">_xlfn.IFS(B952&lt;18.5, "Underweight", B952&lt;=24.9, "Normal Weight", B952&lt;=29.9, "Overweight", TRUE, "Obesity")</f>
        <v>Obesity</v>
      </c>
      <c r="J952" t="str" cm="1">
        <f t="array" ref="J952">_xlfn.IFS(C952&lt;5.7, "Normal", C952&lt;=6.4, "Prediabetes", TRUE, "Diabetes")</f>
        <v>Diabetes</v>
      </c>
    </row>
    <row r="953" spans="1:10">
      <c r="A953" t="s">
        <v>1904</v>
      </c>
      <c r="B953">
        <v>31.64</v>
      </c>
      <c r="C953">
        <v>7.91</v>
      </c>
      <c r="D953" t="s">
        <v>4682</v>
      </c>
      <c r="E953" t="s">
        <v>4682</v>
      </c>
      <c r="F953" t="s">
        <v>4682</v>
      </c>
      <c r="G953">
        <v>0</v>
      </c>
      <c r="H953" t="s">
        <v>4682</v>
      </c>
      <c r="I953" t="str" cm="1">
        <f t="array" ref="I953">_xlfn.IFS(B953&lt;18.5, "Underweight", B953&lt;=24.9, "Normal Weight", B953&lt;=29.9, "Overweight", TRUE, "Obesity")</f>
        <v>Obesity</v>
      </c>
      <c r="J953" t="str" cm="1">
        <f t="array" ref="J953">_xlfn.IFS(C953&lt;5.7, "Normal", C953&lt;=6.4, "Prediabetes", TRUE, "Diabetes")</f>
        <v>Diabetes</v>
      </c>
    </row>
    <row r="954" spans="1:10">
      <c r="A954" t="s">
        <v>1906</v>
      </c>
      <c r="B954">
        <v>46.7</v>
      </c>
      <c r="C954">
        <v>10.9</v>
      </c>
      <c r="D954" t="s">
        <v>4682</v>
      </c>
      <c r="E954" t="s">
        <v>4682</v>
      </c>
      <c r="F954" t="s">
        <v>4682</v>
      </c>
      <c r="G954">
        <v>0</v>
      </c>
      <c r="H954" t="s">
        <v>4682</v>
      </c>
      <c r="I954" t="str" cm="1">
        <f t="array" ref="I954">_xlfn.IFS(B954&lt;18.5, "Underweight", B954&lt;=24.9, "Normal Weight", B954&lt;=29.9, "Overweight", TRUE, "Obesity")</f>
        <v>Obesity</v>
      </c>
      <c r="J954" t="str" cm="1">
        <f t="array" ref="J954">_xlfn.IFS(C954&lt;5.7, "Normal", C954&lt;=6.4, "Prediabetes", TRUE, "Diabetes")</f>
        <v>Diabetes</v>
      </c>
    </row>
    <row r="955" spans="1:10">
      <c r="A955" t="s">
        <v>1908</v>
      </c>
      <c r="B955">
        <v>18.335000000000001</v>
      </c>
      <c r="C955">
        <v>11.83</v>
      </c>
      <c r="D955" t="s">
        <v>4682</v>
      </c>
      <c r="E955" t="s">
        <v>4682</v>
      </c>
      <c r="F955" t="s">
        <v>4682</v>
      </c>
      <c r="G955">
        <v>0</v>
      </c>
      <c r="H955" t="s">
        <v>4682</v>
      </c>
      <c r="I955" t="str" cm="1">
        <f t="array" ref="I955">_xlfn.IFS(B955&lt;18.5, "Underweight", B955&lt;=24.9, "Normal Weight", B955&lt;=29.9, "Overweight", TRUE, "Obesity")</f>
        <v>Underweight</v>
      </c>
      <c r="J955" t="str" cm="1">
        <f t="array" ref="J955">_xlfn.IFS(C955&lt;5.7, "Normal", C955&lt;=6.4, "Prediabetes", TRUE, "Diabetes")</f>
        <v>Diabetes</v>
      </c>
    </row>
    <row r="956" spans="1:10">
      <c r="A956" t="s">
        <v>1910</v>
      </c>
      <c r="B956">
        <v>31.24</v>
      </c>
      <c r="C956">
        <v>7.42</v>
      </c>
      <c r="D956" t="s">
        <v>4683</v>
      </c>
      <c r="E956" t="s">
        <v>4682</v>
      </c>
      <c r="F956" t="s">
        <v>4682</v>
      </c>
      <c r="G956">
        <v>2</v>
      </c>
      <c r="H956" t="s">
        <v>4682</v>
      </c>
      <c r="I956" t="str" cm="1">
        <f t="array" ref="I956">_xlfn.IFS(B956&lt;18.5, "Underweight", B956&lt;=24.9, "Normal Weight", B956&lt;=29.9, "Overweight", TRUE, "Obesity")</f>
        <v>Obesity</v>
      </c>
      <c r="J956" t="str" cm="1">
        <f t="array" ref="J956">_xlfn.IFS(C956&lt;5.7, "Normal", C956&lt;=6.4, "Prediabetes", TRUE, "Diabetes")</f>
        <v>Diabetes</v>
      </c>
    </row>
    <row r="957" spans="1:10">
      <c r="A957" t="s">
        <v>1912</v>
      </c>
      <c r="B957">
        <v>39.22</v>
      </c>
      <c r="C957">
        <v>5.62</v>
      </c>
      <c r="D957" t="s">
        <v>4683</v>
      </c>
      <c r="E957" t="s">
        <v>4682</v>
      </c>
      <c r="F957" t="s">
        <v>4682</v>
      </c>
      <c r="G957">
        <v>1</v>
      </c>
      <c r="H957" t="s">
        <v>4682</v>
      </c>
      <c r="I957" t="str" cm="1">
        <f t="array" ref="I957">_xlfn.IFS(B957&lt;18.5, "Underweight", B957&lt;=24.9, "Normal Weight", B957&lt;=29.9, "Overweight", TRUE, "Obesity")</f>
        <v>Obesity</v>
      </c>
      <c r="J957" t="str" cm="1">
        <f t="array" ref="J957">_xlfn.IFS(C957&lt;5.7, "Normal", C957&lt;=6.4, "Prediabetes", TRUE, "Diabetes")</f>
        <v>Normal</v>
      </c>
    </row>
    <row r="958" spans="1:10">
      <c r="A958" t="s">
        <v>1914</v>
      </c>
      <c r="B958">
        <v>24.414999999999999</v>
      </c>
      <c r="C958">
        <v>7.16</v>
      </c>
      <c r="D958" t="s">
        <v>4682</v>
      </c>
      <c r="E958" t="s">
        <v>4682</v>
      </c>
      <c r="F958" t="s">
        <v>4682</v>
      </c>
      <c r="G958">
        <v>0</v>
      </c>
      <c r="H958" t="s">
        <v>4682</v>
      </c>
      <c r="I958" t="str" cm="1">
        <f t="array" ref="I958">_xlfn.IFS(B958&lt;18.5, "Underweight", B958&lt;=24.9, "Normal Weight", B958&lt;=29.9, "Overweight", TRUE, "Obesity")</f>
        <v>Normal Weight</v>
      </c>
      <c r="J958" t="str" cm="1">
        <f t="array" ref="J958">_xlfn.IFS(C958&lt;5.7, "Normal", C958&lt;=6.4, "Prediabetes", TRUE, "Diabetes")</f>
        <v>Diabetes</v>
      </c>
    </row>
    <row r="959" spans="1:10">
      <c r="A959" t="s">
        <v>1916</v>
      </c>
      <c r="B959">
        <v>32.299999999999997</v>
      </c>
      <c r="C959">
        <v>9.89</v>
      </c>
      <c r="D959" t="s">
        <v>4682</v>
      </c>
      <c r="E959" t="s">
        <v>4682</v>
      </c>
      <c r="F959" t="s">
        <v>4682</v>
      </c>
      <c r="G959">
        <v>0</v>
      </c>
      <c r="H959" t="s">
        <v>4682</v>
      </c>
      <c r="I959" t="str" cm="1">
        <f t="array" ref="I959">_xlfn.IFS(B959&lt;18.5, "Underweight", B959&lt;=24.9, "Normal Weight", B959&lt;=29.9, "Overweight", TRUE, "Obesity")</f>
        <v>Obesity</v>
      </c>
      <c r="J959" t="str" cm="1">
        <f t="array" ref="J959">_xlfn.IFS(C959&lt;5.7, "Normal", C959&lt;=6.4, "Prediabetes", TRUE, "Diabetes")</f>
        <v>Diabetes</v>
      </c>
    </row>
    <row r="960" spans="1:10">
      <c r="A960" t="s">
        <v>1918</v>
      </c>
      <c r="B960">
        <v>39.94</v>
      </c>
      <c r="C960">
        <v>5.14</v>
      </c>
      <c r="D960" t="s">
        <v>4682</v>
      </c>
      <c r="E960" t="s">
        <v>4682</v>
      </c>
      <c r="F960" t="s">
        <v>4682</v>
      </c>
      <c r="G960">
        <v>0</v>
      </c>
      <c r="H960" t="s">
        <v>4682</v>
      </c>
      <c r="I960" t="str" cm="1">
        <f t="array" ref="I960">_xlfn.IFS(B960&lt;18.5, "Underweight", B960&lt;=24.9, "Normal Weight", B960&lt;=29.9, "Overweight", TRUE, "Obesity")</f>
        <v>Obesity</v>
      </c>
      <c r="J960" t="str" cm="1">
        <f t="array" ref="J960">_xlfn.IFS(C960&lt;5.7, "Normal", C960&lt;=6.4, "Prediabetes", TRUE, "Diabetes")</f>
        <v>Normal</v>
      </c>
    </row>
    <row r="961" spans="1:10">
      <c r="A961" t="s">
        <v>1920</v>
      </c>
      <c r="B961">
        <v>30</v>
      </c>
      <c r="C961">
        <v>5.61</v>
      </c>
      <c r="D961" t="s">
        <v>4683</v>
      </c>
      <c r="E961" t="s">
        <v>4682</v>
      </c>
      <c r="F961" t="s">
        <v>4684</v>
      </c>
      <c r="G961">
        <v>1</v>
      </c>
      <c r="H961" t="s">
        <v>4682</v>
      </c>
      <c r="I961" t="str" cm="1">
        <f t="array" ref="I961">_xlfn.IFS(B961&lt;18.5, "Underweight", B961&lt;=24.9, "Normal Weight", B961&lt;=29.9, "Overweight", TRUE, "Obesity")</f>
        <v>Obesity</v>
      </c>
      <c r="J961" t="str" cm="1">
        <f t="array" ref="J961">_xlfn.IFS(C961&lt;5.7, "Normal", C961&lt;=6.4, "Prediabetes", TRUE, "Diabetes")</f>
        <v>Normal</v>
      </c>
    </row>
    <row r="962" spans="1:10">
      <c r="A962" t="s">
        <v>1922</v>
      </c>
      <c r="B962">
        <v>35.340000000000003</v>
      </c>
      <c r="C962">
        <v>5.51</v>
      </c>
      <c r="D962" t="s">
        <v>4683</v>
      </c>
      <c r="E962" t="s">
        <v>4682</v>
      </c>
      <c r="F962" t="s">
        <v>4684</v>
      </c>
      <c r="G962">
        <v>1</v>
      </c>
      <c r="H962" t="s">
        <v>4682</v>
      </c>
      <c r="I962" t="str" cm="1">
        <f t="array" ref="I962">_xlfn.IFS(B962&lt;18.5, "Underweight", B962&lt;=24.9, "Normal Weight", B962&lt;=29.9, "Overweight", TRUE, "Obesity")</f>
        <v>Obesity</v>
      </c>
      <c r="J962" t="str" cm="1">
        <f t="array" ref="J962">_xlfn.IFS(C962&lt;5.7, "Normal", C962&lt;=6.4, "Prediabetes", TRUE, "Diabetes")</f>
        <v>Normal</v>
      </c>
    </row>
    <row r="963" spans="1:10">
      <c r="A963" t="s">
        <v>1924</v>
      </c>
      <c r="B963">
        <v>32.204999999999998</v>
      </c>
      <c r="C963">
        <v>8.3800000000000008</v>
      </c>
      <c r="D963" t="s">
        <v>4683</v>
      </c>
      <c r="E963" t="s">
        <v>4682</v>
      </c>
      <c r="F963" t="s">
        <v>4682</v>
      </c>
      <c r="G963">
        <v>2</v>
      </c>
      <c r="H963" t="s">
        <v>4682</v>
      </c>
      <c r="I963" t="str" cm="1">
        <f t="array" ref="I963">_xlfn.IFS(B963&lt;18.5, "Underweight", B963&lt;=24.9, "Normal Weight", B963&lt;=29.9, "Overweight", TRUE, "Obesity")</f>
        <v>Obesity</v>
      </c>
      <c r="J963" t="str" cm="1">
        <f t="array" ref="J963">_xlfn.IFS(C963&lt;5.7, "Normal", C963&lt;=6.4, "Prediabetes", TRUE, "Diabetes")</f>
        <v>Diabetes</v>
      </c>
    </row>
    <row r="964" spans="1:10">
      <c r="A964" t="s">
        <v>1926</v>
      </c>
      <c r="B964">
        <v>33.880000000000003</v>
      </c>
      <c r="C964">
        <v>4.68</v>
      </c>
      <c r="D964" t="s">
        <v>4682</v>
      </c>
      <c r="E964" t="s">
        <v>4683</v>
      </c>
      <c r="F964" t="s">
        <v>4682</v>
      </c>
      <c r="G964">
        <v>1</v>
      </c>
      <c r="H964" t="s">
        <v>4682</v>
      </c>
      <c r="I964" t="str" cm="1">
        <f t="array" ref="I964">_xlfn.IFS(B964&lt;18.5, "Underweight", B964&lt;=24.9, "Normal Weight", B964&lt;=29.9, "Overweight", TRUE, "Obesity")</f>
        <v>Obesity</v>
      </c>
      <c r="J964" t="str" cm="1">
        <f t="array" ref="J964">_xlfn.IFS(C964&lt;5.7, "Normal", C964&lt;=6.4, "Prediabetes", TRUE, "Diabetes")</f>
        <v>Normal</v>
      </c>
    </row>
    <row r="965" spans="1:10">
      <c r="A965" t="s">
        <v>1928</v>
      </c>
      <c r="B965">
        <v>26.63</v>
      </c>
      <c r="C965">
        <v>4.3600000000000003</v>
      </c>
      <c r="D965" t="s">
        <v>4683</v>
      </c>
      <c r="E965" t="s">
        <v>4682</v>
      </c>
      <c r="F965" t="s">
        <v>4682</v>
      </c>
      <c r="G965">
        <v>2</v>
      </c>
      <c r="H965" t="s">
        <v>4682</v>
      </c>
      <c r="I965" t="str" cm="1">
        <f t="array" ref="I965">_xlfn.IFS(B965&lt;18.5, "Underweight", B965&lt;=24.9, "Normal Weight", B965&lt;=29.9, "Overweight", TRUE, "Obesity")</f>
        <v>Overweight</v>
      </c>
      <c r="J965" t="str" cm="1">
        <f t="array" ref="J965">_xlfn.IFS(C965&lt;5.7, "Normal", C965&lt;=6.4, "Prediabetes", TRUE, "Diabetes")</f>
        <v>Normal</v>
      </c>
    </row>
    <row r="966" spans="1:10">
      <c r="A966" t="s">
        <v>1930</v>
      </c>
      <c r="B966">
        <v>28.7</v>
      </c>
      <c r="C966">
        <v>7.74</v>
      </c>
      <c r="D966" t="s">
        <v>4682</v>
      </c>
      <c r="E966" t="s">
        <v>4682</v>
      </c>
      <c r="F966" t="s">
        <v>4682</v>
      </c>
      <c r="G966">
        <v>0</v>
      </c>
      <c r="H966" t="s">
        <v>4682</v>
      </c>
      <c r="I966" t="str" cm="1">
        <f t="array" ref="I966">_xlfn.IFS(B966&lt;18.5, "Underweight", B966&lt;=24.9, "Normal Weight", B966&lt;=29.9, "Overweight", TRUE, "Obesity")</f>
        <v>Overweight</v>
      </c>
      <c r="J966" t="str" cm="1">
        <f t="array" ref="J966">_xlfn.IFS(C966&lt;5.7, "Normal", C966&lt;=6.4, "Prediabetes", TRUE, "Diabetes")</f>
        <v>Diabetes</v>
      </c>
    </row>
    <row r="967" spans="1:10">
      <c r="A967" t="s">
        <v>1932</v>
      </c>
      <c r="B967">
        <v>25.65</v>
      </c>
      <c r="C967">
        <v>4.05</v>
      </c>
      <c r="D967" t="s">
        <v>4683</v>
      </c>
      <c r="E967" t="s">
        <v>4682</v>
      </c>
      <c r="F967" t="s">
        <v>4682</v>
      </c>
      <c r="G967">
        <v>2</v>
      </c>
      <c r="H967" t="s">
        <v>4682</v>
      </c>
      <c r="I967" t="str" cm="1">
        <f t="array" ref="I967">_xlfn.IFS(B967&lt;18.5, "Underweight", B967&lt;=24.9, "Normal Weight", B967&lt;=29.9, "Overweight", TRUE, "Obesity")</f>
        <v>Overweight</v>
      </c>
      <c r="J967" t="str" cm="1">
        <f t="array" ref="J967">_xlfn.IFS(C967&lt;5.7, "Normal", C967&lt;=6.4, "Prediabetes", TRUE, "Diabetes")</f>
        <v>Normal</v>
      </c>
    </row>
    <row r="968" spans="1:10">
      <c r="A968" t="s">
        <v>1934</v>
      </c>
      <c r="B968">
        <v>36.384999999999998</v>
      </c>
      <c r="C968">
        <v>11.49</v>
      </c>
      <c r="D968" t="s">
        <v>4682</v>
      </c>
      <c r="E968" t="s">
        <v>4682</v>
      </c>
      <c r="F968" t="s">
        <v>4682</v>
      </c>
      <c r="G968">
        <v>0</v>
      </c>
      <c r="H968" t="s">
        <v>4682</v>
      </c>
      <c r="I968" t="str" cm="1">
        <f t="array" ref="I968">_xlfn.IFS(B968&lt;18.5, "Underweight", B968&lt;=24.9, "Normal Weight", B968&lt;=29.9, "Overweight", TRUE, "Obesity")</f>
        <v>Obesity</v>
      </c>
      <c r="J968" t="str" cm="1">
        <f t="array" ref="J968">_xlfn.IFS(C968&lt;5.7, "Normal", C968&lt;=6.4, "Prediabetes", TRUE, "Diabetes")</f>
        <v>Diabetes</v>
      </c>
    </row>
    <row r="969" spans="1:10">
      <c r="A969" t="s">
        <v>1936</v>
      </c>
      <c r="B969">
        <v>34.69</v>
      </c>
      <c r="C969">
        <v>5.65</v>
      </c>
      <c r="D969" t="s">
        <v>4682</v>
      </c>
      <c r="E969" t="s">
        <v>4682</v>
      </c>
      <c r="F969" t="s">
        <v>4682</v>
      </c>
      <c r="G969">
        <v>0</v>
      </c>
      <c r="H969" t="s">
        <v>4682</v>
      </c>
      <c r="I969" t="str" cm="1">
        <f t="array" ref="I969">_xlfn.IFS(B969&lt;18.5, "Underweight", B969&lt;=24.9, "Normal Weight", B969&lt;=29.9, "Overweight", TRUE, "Obesity")</f>
        <v>Obesity</v>
      </c>
      <c r="J969" t="str" cm="1">
        <f t="array" ref="J969">_xlfn.IFS(C969&lt;5.7, "Normal", C969&lt;=6.4, "Prediabetes", TRUE, "Diabetes")</f>
        <v>Normal</v>
      </c>
    </row>
    <row r="970" spans="1:10">
      <c r="A970" t="s">
        <v>1938</v>
      </c>
      <c r="B970">
        <v>37.68</v>
      </c>
      <c r="C970">
        <v>4.29</v>
      </c>
      <c r="D970" t="s">
        <v>4683</v>
      </c>
      <c r="E970" t="s">
        <v>4682</v>
      </c>
      <c r="F970" t="s">
        <v>4682</v>
      </c>
      <c r="G970">
        <v>0</v>
      </c>
      <c r="H970" t="s">
        <v>4682</v>
      </c>
      <c r="I970" t="str" cm="1">
        <f t="array" ref="I970">_xlfn.IFS(B970&lt;18.5, "Underweight", B970&lt;=24.9, "Normal Weight", B970&lt;=29.9, "Overweight", TRUE, "Obesity")</f>
        <v>Obesity</v>
      </c>
      <c r="J970" t="str" cm="1">
        <f t="array" ref="J970">_xlfn.IFS(C970&lt;5.7, "Normal", C970&lt;=6.4, "Prediabetes", TRUE, "Diabetes")</f>
        <v>Normal</v>
      </c>
    </row>
    <row r="971" spans="1:10">
      <c r="A971" t="s">
        <v>1940</v>
      </c>
      <c r="B971">
        <v>35.49</v>
      </c>
      <c r="C971">
        <v>4.74</v>
      </c>
      <c r="D971" t="s">
        <v>4683</v>
      </c>
      <c r="E971" t="s">
        <v>4682</v>
      </c>
      <c r="F971" t="s">
        <v>4684</v>
      </c>
      <c r="G971">
        <v>1</v>
      </c>
      <c r="H971" t="s">
        <v>4682</v>
      </c>
      <c r="I971" t="str" cm="1">
        <f t="array" ref="I971">_xlfn.IFS(B971&lt;18.5, "Underweight", B971&lt;=24.9, "Normal Weight", B971&lt;=29.9, "Overweight", TRUE, "Obesity")</f>
        <v>Obesity</v>
      </c>
      <c r="J971" t="str" cm="1">
        <f t="array" ref="J971">_xlfn.IFS(C971&lt;5.7, "Normal", C971&lt;=6.4, "Prediabetes", TRUE, "Diabetes")</f>
        <v>Normal</v>
      </c>
    </row>
    <row r="972" spans="1:10">
      <c r="A972" t="s">
        <v>1942</v>
      </c>
      <c r="B972">
        <v>44.7</v>
      </c>
      <c r="C972">
        <v>7.6</v>
      </c>
      <c r="D972" t="s">
        <v>4683</v>
      </c>
      <c r="E972" t="s">
        <v>4682</v>
      </c>
      <c r="F972" t="s">
        <v>4682</v>
      </c>
      <c r="G972">
        <v>2</v>
      </c>
      <c r="H972" t="s">
        <v>4682</v>
      </c>
      <c r="I972" t="str" cm="1">
        <f t="array" ref="I972">_xlfn.IFS(B972&lt;18.5, "Underweight", B972&lt;=24.9, "Normal Weight", B972&lt;=29.9, "Overweight", TRUE, "Obesity")</f>
        <v>Obesity</v>
      </c>
      <c r="J972" t="str" cm="1">
        <f t="array" ref="J972">_xlfn.IFS(C972&lt;5.7, "Normal", C972&lt;=6.4, "Prediabetes", TRUE, "Diabetes")</f>
        <v>Diabetes</v>
      </c>
    </row>
    <row r="973" spans="1:10">
      <c r="A973" t="s">
        <v>1944</v>
      </c>
      <c r="B973">
        <v>38.380000000000003</v>
      </c>
      <c r="C973">
        <v>8.5</v>
      </c>
      <c r="D973" t="s">
        <v>4683</v>
      </c>
      <c r="E973" t="s">
        <v>4682</v>
      </c>
      <c r="F973" t="s">
        <v>4682</v>
      </c>
      <c r="G973">
        <v>2</v>
      </c>
      <c r="H973" t="s">
        <v>4682</v>
      </c>
      <c r="I973" t="str" cm="1">
        <f t="array" ref="I973">_xlfn.IFS(B973&lt;18.5, "Underweight", B973&lt;=24.9, "Normal Weight", B973&lt;=29.9, "Overweight", TRUE, "Obesity")</f>
        <v>Obesity</v>
      </c>
      <c r="J973" t="str" cm="1">
        <f t="array" ref="J973">_xlfn.IFS(C973&lt;5.7, "Normal", C973&lt;=6.4, "Prediabetes", TRUE, "Diabetes")</f>
        <v>Diabetes</v>
      </c>
    </row>
    <row r="974" spans="1:10">
      <c r="A974" t="s">
        <v>1946</v>
      </c>
      <c r="B974">
        <v>35.244999999999997</v>
      </c>
      <c r="C974">
        <v>11.22</v>
      </c>
      <c r="D974" t="s">
        <v>4683</v>
      </c>
      <c r="E974" t="s">
        <v>4682</v>
      </c>
      <c r="F974" t="s">
        <v>4682</v>
      </c>
      <c r="G974">
        <v>0</v>
      </c>
      <c r="H974" t="s">
        <v>4682</v>
      </c>
      <c r="I974" t="str" cm="1">
        <f t="array" ref="I974">_xlfn.IFS(B974&lt;18.5, "Underweight", B974&lt;=24.9, "Normal Weight", B974&lt;=29.9, "Overweight", TRUE, "Obesity")</f>
        <v>Obesity</v>
      </c>
      <c r="J974" t="str" cm="1">
        <f t="array" ref="J974">_xlfn.IFS(C974&lt;5.7, "Normal", C974&lt;=6.4, "Prediabetes", TRUE, "Diabetes")</f>
        <v>Diabetes</v>
      </c>
    </row>
    <row r="975" spans="1:10">
      <c r="A975" t="s">
        <v>1948</v>
      </c>
      <c r="B975">
        <v>49.84</v>
      </c>
      <c r="C975">
        <v>5.0999999999999996</v>
      </c>
      <c r="D975" t="s">
        <v>4683</v>
      </c>
      <c r="E975" t="s">
        <v>4682</v>
      </c>
      <c r="F975" t="s">
        <v>4684</v>
      </c>
      <c r="G975">
        <v>1</v>
      </c>
      <c r="H975" t="s">
        <v>4682</v>
      </c>
      <c r="I975" t="str" cm="1">
        <f t="array" ref="I975">_xlfn.IFS(B975&lt;18.5, "Underweight", B975&lt;=24.9, "Normal Weight", B975&lt;=29.9, "Overweight", TRUE, "Obesity")</f>
        <v>Obesity</v>
      </c>
      <c r="J975" t="str" cm="1">
        <f t="array" ref="J975">_xlfn.IFS(C975&lt;5.7, "Normal", C975&lt;=6.4, "Prediabetes", TRUE, "Diabetes")</f>
        <v>Normal</v>
      </c>
    </row>
    <row r="976" spans="1:10">
      <c r="A976" t="s">
        <v>1950</v>
      </c>
      <c r="B976">
        <v>49.06</v>
      </c>
      <c r="C976">
        <v>5.43</v>
      </c>
      <c r="D976" t="s">
        <v>4683</v>
      </c>
      <c r="E976" t="s">
        <v>4682</v>
      </c>
      <c r="F976" t="s">
        <v>4682</v>
      </c>
      <c r="G976">
        <v>1</v>
      </c>
      <c r="H976" t="s">
        <v>4682</v>
      </c>
      <c r="I976" t="str" cm="1">
        <f t="array" ref="I976">_xlfn.IFS(B976&lt;18.5, "Underweight", B976&lt;=24.9, "Normal Weight", B976&lt;=29.9, "Overweight", TRUE, "Obesity")</f>
        <v>Obesity</v>
      </c>
      <c r="J976" t="str" cm="1">
        <f t="array" ref="J976">_xlfn.IFS(C976&lt;5.7, "Normal", C976&lt;=6.4, "Prediabetes", TRUE, "Diabetes")</f>
        <v>Normal</v>
      </c>
    </row>
    <row r="977" spans="1:10">
      <c r="A977" t="s">
        <v>1952</v>
      </c>
      <c r="B977">
        <v>30.88</v>
      </c>
      <c r="C977">
        <v>5.82</v>
      </c>
      <c r="D977" t="s">
        <v>4682</v>
      </c>
      <c r="E977" t="s">
        <v>4682</v>
      </c>
      <c r="F977" t="s">
        <v>4682</v>
      </c>
      <c r="G977">
        <v>2</v>
      </c>
      <c r="H977" t="s">
        <v>4682</v>
      </c>
      <c r="I977" t="str" cm="1">
        <f t="array" ref="I977">_xlfn.IFS(B977&lt;18.5, "Underweight", B977&lt;=24.9, "Normal Weight", B977&lt;=29.9, "Overweight", TRUE, "Obesity")</f>
        <v>Obesity</v>
      </c>
      <c r="J977" t="str" cm="1">
        <f t="array" ref="J977">_xlfn.IFS(C977&lt;5.7, "Normal", C977&lt;=6.4, "Prediabetes", TRUE, "Diabetes")</f>
        <v>Prediabetes</v>
      </c>
    </row>
    <row r="978" spans="1:10">
      <c r="A978" t="s">
        <v>1954</v>
      </c>
      <c r="B978">
        <v>33.35</v>
      </c>
      <c r="C978">
        <v>6.05</v>
      </c>
      <c r="D978" t="s">
        <v>4682</v>
      </c>
      <c r="E978" t="s">
        <v>4682</v>
      </c>
      <c r="F978" t="s">
        <v>4684</v>
      </c>
      <c r="G978">
        <v>1</v>
      </c>
      <c r="H978" t="s">
        <v>4682</v>
      </c>
      <c r="I978" t="str" cm="1">
        <f t="array" ref="I978">_xlfn.IFS(B978&lt;18.5, "Underweight", B978&lt;=24.9, "Normal Weight", B978&lt;=29.9, "Overweight", TRUE, "Obesity")</f>
        <v>Obesity</v>
      </c>
      <c r="J978" t="str" cm="1">
        <f t="array" ref="J978">_xlfn.IFS(C978&lt;5.7, "Normal", C978&lt;=6.4, "Prediabetes", TRUE, "Diabetes")</f>
        <v>Prediabetes</v>
      </c>
    </row>
    <row r="979" spans="1:10">
      <c r="A979" t="s">
        <v>1956</v>
      </c>
      <c r="B979">
        <v>38</v>
      </c>
      <c r="C979">
        <v>6.38</v>
      </c>
      <c r="D979" t="s">
        <v>4683</v>
      </c>
      <c r="E979" t="s">
        <v>4682</v>
      </c>
      <c r="F979" t="s">
        <v>4682</v>
      </c>
      <c r="G979">
        <v>1</v>
      </c>
      <c r="H979" t="s">
        <v>4682</v>
      </c>
      <c r="I979" t="str" cm="1">
        <f t="array" ref="I979">_xlfn.IFS(B979&lt;18.5, "Underweight", B979&lt;=24.9, "Normal Weight", B979&lt;=29.9, "Overweight", TRUE, "Obesity")</f>
        <v>Obesity</v>
      </c>
      <c r="J979" t="str" cm="1">
        <f t="array" ref="J979">_xlfn.IFS(C979&lt;5.7, "Normal", C979&lt;=6.4, "Prediabetes", TRUE, "Diabetes")</f>
        <v>Prediabetes</v>
      </c>
    </row>
    <row r="980" spans="1:10">
      <c r="A980" t="s">
        <v>1958</v>
      </c>
      <c r="B980">
        <v>36.08</v>
      </c>
      <c r="C980">
        <v>5.73</v>
      </c>
      <c r="D980" t="s">
        <v>4683</v>
      </c>
      <c r="E980" t="s">
        <v>4682</v>
      </c>
      <c r="F980" t="s">
        <v>4682</v>
      </c>
      <c r="G980">
        <v>1</v>
      </c>
      <c r="H980" t="s">
        <v>4682</v>
      </c>
      <c r="I980" t="str" cm="1">
        <f t="array" ref="I980">_xlfn.IFS(B980&lt;18.5, "Underweight", B980&lt;=24.9, "Normal Weight", B980&lt;=29.9, "Overweight", TRUE, "Obesity")</f>
        <v>Obesity</v>
      </c>
      <c r="J980" t="str" cm="1">
        <f t="array" ref="J980">_xlfn.IFS(C980&lt;5.7, "Normal", C980&lt;=6.4, "Prediabetes", TRUE, "Diabetes")</f>
        <v>Prediabetes</v>
      </c>
    </row>
    <row r="981" spans="1:10">
      <c r="A981" t="s">
        <v>1960</v>
      </c>
      <c r="B981">
        <v>35.700000000000003</v>
      </c>
      <c r="C981">
        <v>5.47</v>
      </c>
      <c r="D981" t="s">
        <v>4683</v>
      </c>
      <c r="E981" t="s">
        <v>4682</v>
      </c>
      <c r="F981" t="s">
        <v>4682</v>
      </c>
      <c r="G981">
        <v>1</v>
      </c>
      <c r="H981" t="s">
        <v>4682</v>
      </c>
      <c r="I981" t="str" cm="1">
        <f t="array" ref="I981">_xlfn.IFS(B981&lt;18.5, "Underweight", B981&lt;=24.9, "Normal Weight", B981&lt;=29.9, "Overweight", TRUE, "Obesity")</f>
        <v>Obesity</v>
      </c>
      <c r="J981" t="str" cm="1">
        <f t="array" ref="J981">_xlfn.IFS(C981&lt;5.7, "Normal", C981&lt;=6.4, "Prediabetes", TRUE, "Diabetes")</f>
        <v>Normal</v>
      </c>
    </row>
    <row r="982" spans="1:10">
      <c r="A982" t="s">
        <v>1962</v>
      </c>
      <c r="B982">
        <v>34.01</v>
      </c>
      <c r="C982">
        <v>11.3</v>
      </c>
      <c r="D982" t="s">
        <v>4682</v>
      </c>
      <c r="E982" t="s">
        <v>4682</v>
      </c>
      <c r="F982" t="s">
        <v>4682</v>
      </c>
      <c r="G982">
        <v>0</v>
      </c>
      <c r="H982" t="s">
        <v>4682</v>
      </c>
      <c r="I982" t="str" cm="1">
        <f t="array" ref="I982">_xlfn.IFS(B982&lt;18.5, "Underweight", B982&lt;=24.9, "Normal Weight", B982&lt;=29.9, "Overweight", TRUE, "Obesity")</f>
        <v>Obesity</v>
      </c>
      <c r="J982" t="str" cm="1">
        <f t="array" ref="J982">_xlfn.IFS(C982&lt;5.7, "Normal", C982&lt;=6.4, "Prediabetes", TRUE, "Diabetes")</f>
        <v>Diabetes</v>
      </c>
    </row>
    <row r="983" spans="1:10">
      <c r="A983" t="s">
        <v>1964</v>
      </c>
      <c r="B983">
        <v>31.54</v>
      </c>
      <c r="C983">
        <v>6.72</v>
      </c>
      <c r="D983" t="s">
        <v>4682</v>
      </c>
      <c r="E983" t="s">
        <v>4682</v>
      </c>
      <c r="F983" t="s">
        <v>4682</v>
      </c>
      <c r="G983">
        <v>0</v>
      </c>
      <c r="H983" t="s">
        <v>4682</v>
      </c>
      <c r="I983" t="str" cm="1">
        <f t="array" ref="I983">_xlfn.IFS(B983&lt;18.5, "Underweight", B983&lt;=24.9, "Normal Weight", B983&lt;=29.9, "Overweight", TRUE, "Obesity")</f>
        <v>Obesity</v>
      </c>
      <c r="J983" t="str" cm="1">
        <f t="array" ref="J983">_xlfn.IFS(C983&lt;5.7, "Normal", C983&lt;=6.4, "Prediabetes", TRUE, "Diabetes")</f>
        <v>Diabetes</v>
      </c>
    </row>
    <row r="984" spans="1:10">
      <c r="A984" t="s">
        <v>1966</v>
      </c>
      <c r="B984">
        <v>23.3</v>
      </c>
      <c r="C984">
        <v>5.36</v>
      </c>
      <c r="D984" t="s">
        <v>4683</v>
      </c>
      <c r="E984" t="s">
        <v>4682</v>
      </c>
      <c r="F984" t="s">
        <v>4682</v>
      </c>
      <c r="G984">
        <v>1</v>
      </c>
      <c r="H984" t="s">
        <v>4682</v>
      </c>
      <c r="I984" t="str" cm="1">
        <f t="array" ref="I984">_xlfn.IFS(B984&lt;18.5, "Underweight", B984&lt;=24.9, "Normal Weight", B984&lt;=29.9, "Overweight", TRUE, "Obesity")</f>
        <v>Normal Weight</v>
      </c>
      <c r="J984" t="str" cm="1">
        <f t="array" ref="J984">_xlfn.IFS(C984&lt;5.7, "Normal", C984&lt;=6.4, "Prediabetes", TRUE, "Diabetes")</f>
        <v>Normal</v>
      </c>
    </row>
    <row r="985" spans="1:10">
      <c r="A985" t="s">
        <v>1968</v>
      </c>
      <c r="B985">
        <v>27.75</v>
      </c>
      <c r="C985">
        <v>9.8800000000000008</v>
      </c>
      <c r="D985" t="s">
        <v>4682</v>
      </c>
      <c r="E985" t="s">
        <v>4682</v>
      </c>
      <c r="F985" t="s">
        <v>4682</v>
      </c>
      <c r="G985">
        <v>0</v>
      </c>
      <c r="H985" t="s">
        <v>4682</v>
      </c>
      <c r="I985" t="str" cm="1">
        <f t="array" ref="I985">_xlfn.IFS(B985&lt;18.5, "Underweight", B985&lt;=24.9, "Normal Weight", B985&lt;=29.9, "Overweight", TRUE, "Obesity")</f>
        <v>Overweight</v>
      </c>
      <c r="J985" t="str" cm="1">
        <f t="array" ref="J985">_xlfn.IFS(C985&lt;5.7, "Normal", C985&lt;=6.4, "Prediabetes", TRUE, "Diabetes")</f>
        <v>Diabetes</v>
      </c>
    </row>
    <row r="986" spans="1:10">
      <c r="A986" t="s">
        <v>1970</v>
      </c>
      <c r="B986">
        <v>42.46</v>
      </c>
      <c r="C986">
        <v>4.1100000000000003</v>
      </c>
      <c r="D986" t="s">
        <v>4682</v>
      </c>
      <c r="E986" t="s">
        <v>4682</v>
      </c>
      <c r="F986" t="s">
        <v>4682</v>
      </c>
      <c r="G986">
        <v>0</v>
      </c>
      <c r="H986" t="s">
        <v>4682</v>
      </c>
      <c r="I986" t="str" cm="1">
        <f t="array" ref="I986">_xlfn.IFS(B986&lt;18.5, "Underweight", B986&lt;=24.9, "Normal Weight", B986&lt;=29.9, "Overweight", TRUE, "Obesity")</f>
        <v>Obesity</v>
      </c>
      <c r="J986" t="str" cm="1">
        <f t="array" ref="J986">_xlfn.IFS(C986&lt;5.7, "Normal", C986&lt;=6.4, "Prediabetes", TRUE, "Diabetes")</f>
        <v>Normal</v>
      </c>
    </row>
    <row r="987" spans="1:10">
      <c r="A987" t="s">
        <v>1972</v>
      </c>
      <c r="B987">
        <v>54.47</v>
      </c>
      <c r="C987">
        <v>7.48</v>
      </c>
      <c r="D987" t="s">
        <v>4682</v>
      </c>
      <c r="E987" t="s">
        <v>4682</v>
      </c>
      <c r="F987" t="s">
        <v>4682</v>
      </c>
      <c r="G987">
        <v>0</v>
      </c>
      <c r="H987" t="s">
        <v>4682</v>
      </c>
      <c r="I987" t="str" cm="1">
        <f t="array" ref="I987">_xlfn.IFS(B987&lt;18.5, "Underweight", B987&lt;=24.9, "Normal Weight", B987&lt;=29.9, "Overweight", TRUE, "Obesity")</f>
        <v>Obesity</v>
      </c>
      <c r="J987" t="str" cm="1">
        <f t="array" ref="J987">_xlfn.IFS(C987&lt;5.7, "Normal", C987&lt;=6.4, "Prediabetes", TRUE, "Diabetes")</f>
        <v>Diabetes</v>
      </c>
    </row>
    <row r="988" spans="1:10">
      <c r="A988" t="s">
        <v>1974</v>
      </c>
      <c r="B988">
        <v>24.93</v>
      </c>
      <c r="C988">
        <v>9.18</v>
      </c>
      <c r="D988" t="s">
        <v>4683</v>
      </c>
      <c r="E988" t="s">
        <v>4682</v>
      </c>
      <c r="F988" t="s">
        <v>4684</v>
      </c>
      <c r="G988">
        <v>1</v>
      </c>
      <c r="H988" t="s">
        <v>4682</v>
      </c>
      <c r="I988" t="str" cm="1">
        <f t="array" ref="I988">_xlfn.IFS(B988&lt;18.5, "Underweight", B988&lt;=24.9, "Normal Weight", B988&lt;=29.9, "Overweight", TRUE, "Obesity")</f>
        <v>Overweight</v>
      </c>
      <c r="J988" t="str" cm="1">
        <f t="array" ref="J988">_xlfn.IFS(C988&lt;5.7, "Normal", C988&lt;=6.4, "Prediabetes", TRUE, "Diabetes")</f>
        <v>Diabetes</v>
      </c>
    </row>
    <row r="989" spans="1:10">
      <c r="A989" t="s">
        <v>1976</v>
      </c>
      <c r="B989">
        <v>48.12</v>
      </c>
      <c r="C989">
        <v>4.51</v>
      </c>
      <c r="D989" t="s">
        <v>4683</v>
      </c>
      <c r="E989" t="s">
        <v>4682</v>
      </c>
      <c r="F989" t="s">
        <v>4682</v>
      </c>
      <c r="G989">
        <v>1</v>
      </c>
      <c r="H989" t="s">
        <v>4682</v>
      </c>
      <c r="I989" t="str" cm="1">
        <f t="array" ref="I989">_xlfn.IFS(B989&lt;18.5, "Underweight", B989&lt;=24.9, "Normal Weight", B989&lt;=29.9, "Overweight", TRUE, "Obesity")</f>
        <v>Obesity</v>
      </c>
      <c r="J989" t="str" cm="1">
        <f t="array" ref="J989">_xlfn.IFS(C989&lt;5.7, "Normal", C989&lt;=6.4, "Prediabetes", TRUE, "Diabetes")</f>
        <v>Normal</v>
      </c>
    </row>
    <row r="990" spans="1:10">
      <c r="A990" t="s">
        <v>1978</v>
      </c>
      <c r="B990">
        <v>24.91</v>
      </c>
      <c r="C990">
        <v>7.33</v>
      </c>
      <c r="D990" t="s">
        <v>4683</v>
      </c>
      <c r="E990" t="s">
        <v>4682</v>
      </c>
      <c r="F990" t="s">
        <v>4684</v>
      </c>
      <c r="G990">
        <v>1</v>
      </c>
      <c r="H990" t="s">
        <v>4682</v>
      </c>
      <c r="I990" t="str" cm="1">
        <f t="array" ref="I990">_xlfn.IFS(B990&lt;18.5, "Underweight", B990&lt;=24.9, "Normal Weight", B990&lt;=29.9, "Overweight", TRUE, "Obesity")</f>
        <v>Overweight</v>
      </c>
      <c r="J990" t="str" cm="1">
        <f t="array" ref="J990">_xlfn.IFS(C990&lt;5.7, "Normal", C990&lt;=6.4, "Prediabetes", TRUE, "Diabetes")</f>
        <v>Diabetes</v>
      </c>
    </row>
    <row r="991" spans="1:10">
      <c r="A991" t="s">
        <v>1980</v>
      </c>
      <c r="B991">
        <v>27.645</v>
      </c>
      <c r="C991">
        <v>10.56</v>
      </c>
      <c r="D991" t="s">
        <v>4682</v>
      </c>
      <c r="E991" t="s">
        <v>4682</v>
      </c>
      <c r="F991" t="s">
        <v>4682</v>
      </c>
      <c r="G991">
        <v>0</v>
      </c>
      <c r="H991" t="s">
        <v>4682</v>
      </c>
      <c r="I991" t="str" cm="1">
        <f t="array" ref="I991">_xlfn.IFS(B991&lt;18.5, "Underweight", B991&lt;=24.9, "Normal Weight", B991&lt;=29.9, "Overweight", TRUE, "Obesity")</f>
        <v>Overweight</v>
      </c>
      <c r="J991" t="str" cm="1">
        <f t="array" ref="J991">_xlfn.IFS(C991&lt;5.7, "Normal", C991&lt;=6.4, "Prediabetes", TRUE, "Diabetes")</f>
        <v>Diabetes</v>
      </c>
    </row>
    <row r="992" spans="1:10">
      <c r="A992" t="s">
        <v>1982</v>
      </c>
      <c r="B992">
        <v>33.700000000000003</v>
      </c>
      <c r="C992">
        <v>4.01</v>
      </c>
      <c r="D992" t="s">
        <v>4682</v>
      </c>
      <c r="E992" t="s">
        <v>4682</v>
      </c>
      <c r="F992" t="s">
        <v>4682</v>
      </c>
      <c r="G992">
        <v>2</v>
      </c>
      <c r="H992" t="s">
        <v>4682</v>
      </c>
      <c r="I992" t="str" cm="1">
        <f t="array" ref="I992">_xlfn.IFS(B992&lt;18.5, "Underweight", B992&lt;=24.9, "Normal Weight", B992&lt;=29.9, "Overweight", TRUE, "Obesity")</f>
        <v>Obesity</v>
      </c>
      <c r="J992" t="str" cm="1">
        <f t="array" ref="J992">_xlfn.IFS(C992&lt;5.7, "Normal", C992&lt;=6.4, "Prediabetes", TRUE, "Diabetes")</f>
        <v>Normal</v>
      </c>
    </row>
    <row r="993" spans="1:10">
      <c r="A993" t="s">
        <v>1984</v>
      </c>
      <c r="B993">
        <v>38.93</v>
      </c>
      <c r="C993">
        <v>5.64</v>
      </c>
      <c r="D993" t="s">
        <v>4683</v>
      </c>
      <c r="E993" t="s">
        <v>4682</v>
      </c>
      <c r="F993" t="s">
        <v>4682</v>
      </c>
      <c r="G993">
        <v>1</v>
      </c>
      <c r="H993" t="s">
        <v>4682</v>
      </c>
      <c r="I993" t="str" cm="1">
        <f t="array" ref="I993">_xlfn.IFS(B993&lt;18.5, "Underweight", B993&lt;=24.9, "Normal Weight", B993&lt;=29.9, "Overweight", TRUE, "Obesity")</f>
        <v>Obesity</v>
      </c>
      <c r="J993" t="str" cm="1">
        <f t="array" ref="J993">_xlfn.IFS(C993&lt;5.7, "Normal", C993&lt;=6.4, "Prediabetes", TRUE, "Diabetes")</f>
        <v>Normal</v>
      </c>
    </row>
    <row r="994" spans="1:10">
      <c r="A994" t="s">
        <v>1986</v>
      </c>
      <c r="B994">
        <v>32.774999999999999</v>
      </c>
      <c r="C994">
        <v>8.02</v>
      </c>
      <c r="D994" t="s">
        <v>4683</v>
      </c>
      <c r="E994" t="s">
        <v>4682</v>
      </c>
      <c r="F994" t="s">
        <v>4682</v>
      </c>
      <c r="G994">
        <v>2</v>
      </c>
      <c r="H994" t="s">
        <v>4682</v>
      </c>
      <c r="I994" t="str" cm="1">
        <f t="array" ref="I994">_xlfn.IFS(B994&lt;18.5, "Underweight", B994&lt;=24.9, "Normal Weight", B994&lt;=29.9, "Overweight", TRUE, "Obesity")</f>
        <v>Obesity</v>
      </c>
      <c r="J994" t="str" cm="1">
        <f t="array" ref="J994">_xlfn.IFS(C994&lt;5.7, "Normal", C994&lt;=6.4, "Prediabetes", TRUE, "Diabetes")</f>
        <v>Diabetes</v>
      </c>
    </row>
    <row r="995" spans="1:10">
      <c r="A995" t="s">
        <v>1988</v>
      </c>
      <c r="B995">
        <v>29.83</v>
      </c>
      <c r="C995">
        <v>7.2</v>
      </c>
      <c r="D995" t="s">
        <v>4683</v>
      </c>
      <c r="E995" t="s">
        <v>4682</v>
      </c>
      <c r="F995" t="s">
        <v>4682</v>
      </c>
      <c r="G995">
        <v>0</v>
      </c>
      <c r="H995" t="s">
        <v>4682</v>
      </c>
      <c r="I995" t="str" cm="1">
        <f t="array" ref="I995">_xlfn.IFS(B995&lt;18.5, "Underweight", B995&lt;=24.9, "Normal Weight", B995&lt;=29.9, "Overweight", TRUE, "Obesity")</f>
        <v>Overweight</v>
      </c>
      <c r="J995" t="str" cm="1">
        <f t="array" ref="J995">_xlfn.IFS(C995&lt;5.7, "Normal", C995&lt;=6.4, "Prediabetes", TRUE, "Diabetes")</f>
        <v>Diabetes</v>
      </c>
    </row>
    <row r="996" spans="1:10">
      <c r="A996" t="s">
        <v>1990</v>
      </c>
      <c r="B996">
        <v>28.31</v>
      </c>
      <c r="C996">
        <v>4.55</v>
      </c>
      <c r="D996" t="s">
        <v>4682</v>
      </c>
      <c r="E996" t="s">
        <v>4683</v>
      </c>
      <c r="F996" t="s">
        <v>4682</v>
      </c>
      <c r="G996">
        <v>1</v>
      </c>
      <c r="H996" t="s">
        <v>4682</v>
      </c>
      <c r="I996" t="str" cm="1">
        <f t="array" ref="I996">_xlfn.IFS(B996&lt;18.5, "Underweight", B996&lt;=24.9, "Normal Weight", B996&lt;=29.9, "Overweight", TRUE, "Obesity")</f>
        <v>Overweight</v>
      </c>
      <c r="J996" t="str" cm="1">
        <f t="array" ref="J996">_xlfn.IFS(C996&lt;5.7, "Normal", C996&lt;=6.4, "Prediabetes", TRUE, "Diabetes")</f>
        <v>Normal</v>
      </c>
    </row>
    <row r="997" spans="1:10">
      <c r="A997" t="s">
        <v>1992</v>
      </c>
      <c r="B997">
        <v>29.79</v>
      </c>
      <c r="C997">
        <v>9.0299999999999994</v>
      </c>
      <c r="D997" t="s">
        <v>4682</v>
      </c>
      <c r="E997" t="s">
        <v>4682</v>
      </c>
      <c r="F997" t="s">
        <v>4682</v>
      </c>
      <c r="G997">
        <v>0</v>
      </c>
      <c r="H997" t="s">
        <v>4682</v>
      </c>
      <c r="I997" t="str" cm="1">
        <f t="array" ref="I997">_xlfn.IFS(B997&lt;18.5, "Underweight", B997&lt;=24.9, "Normal Weight", B997&lt;=29.9, "Overweight", TRUE, "Obesity")</f>
        <v>Overweight</v>
      </c>
      <c r="J997" t="str" cm="1">
        <f t="array" ref="J997">_xlfn.IFS(C997&lt;5.7, "Normal", C997&lt;=6.4, "Prediabetes", TRUE, "Diabetes")</f>
        <v>Diabetes</v>
      </c>
    </row>
    <row r="998" spans="1:10">
      <c r="A998" t="s">
        <v>1994</v>
      </c>
      <c r="B998">
        <v>36.6</v>
      </c>
      <c r="C998">
        <v>5.2</v>
      </c>
      <c r="D998" t="s">
        <v>4683</v>
      </c>
      <c r="E998" t="s">
        <v>4682</v>
      </c>
      <c r="F998" t="s">
        <v>4684</v>
      </c>
      <c r="G998">
        <v>1</v>
      </c>
      <c r="H998" t="s">
        <v>4682</v>
      </c>
      <c r="I998" t="str" cm="1">
        <f t="array" ref="I998">_xlfn.IFS(B998&lt;18.5, "Underweight", B998&lt;=24.9, "Normal Weight", B998&lt;=29.9, "Overweight", TRUE, "Obesity")</f>
        <v>Obesity</v>
      </c>
      <c r="J998" t="str" cm="1">
        <f t="array" ref="J998">_xlfn.IFS(C998&lt;5.7, "Normal", C998&lt;=6.4, "Prediabetes", TRUE, "Diabetes")</f>
        <v>Normal</v>
      </c>
    </row>
    <row r="999" spans="1:10">
      <c r="A999" t="s">
        <v>1996</v>
      </c>
      <c r="B999">
        <v>35.93</v>
      </c>
      <c r="C999">
        <v>8.3000000000000007</v>
      </c>
      <c r="D999" t="s">
        <v>4683</v>
      </c>
      <c r="E999" t="s">
        <v>4682</v>
      </c>
      <c r="F999" t="s">
        <v>4682</v>
      </c>
      <c r="G999">
        <v>0</v>
      </c>
      <c r="H999" t="s">
        <v>4682</v>
      </c>
      <c r="I999" t="str" cm="1">
        <f t="array" ref="I999">_xlfn.IFS(B999&lt;18.5, "Underweight", B999&lt;=24.9, "Normal Weight", B999&lt;=29.9, "Overweight", TRUE, "Obesity")</f>
        <v>Obesity</v>
      </c>
      <c r="J999" t="str" cm="1">
        <f t="array" ref="J999">_xlfn.IFS(C999&lt;5.7, "Normal", C999&lt;=6.4, "Prediabetes", TRUE, "Diabetes")</f>
        <v>Diabetes</v>
      </c>
    </row>
    <row r="1000" spans="1:10">
      <c r="A1000" t="s">
        <v>1998</v>
      </c>
      <c r="B1000">
        <v>28.6</v>
      </c>
      <c r="C1000">
        <v>5.56</v>
      </c>
      <c r="D1000" t="s">
        <v>4683</v>
      </c>
      <c r="E1000" t="s">
        <v>4682</v>
      </c>
      <c r="F1000" t="s">
        <v>4684</v>
      </c>
      <c r="G1000">
        <v>1</v>
      </c>
      <c r="H1000" t="s">
        <v>4682</v>
      </c>
      <c r="I1000" t="str" cm="1">
        <f t="array" ref="I1000">_xlfn.IFS(B1000&lt;18.5, "Underweight", B1000&lt;=24.9, "Normal Weight", B1000&lt;=29.9, "Overweight", TRUE, "Obesity")</f>
        <v>Overweight</v>
      </c>
      <c r="J1000" t="str" cm="1">
        <f t="array" ref="J1000">_xlfn.IFS(C1000&lt;5.7, "Normal", C1000&lt;=6.4, "Prediabetes", TRUE, "Diabetes")</f>
        <v>Normal</v>
      </c>
    </row>
    <row r="1001" spans="1:10">
      <c r="A1001" t="s">
        <v>2000</v>
      </c>
      <c r="B1001">
        <v>39.17</v>
      </c>
      <c r="C1001">
        <v>4.1500000000000004</v>
      </c>
      <c r="D1001" t="s">
        <v>4682</v>
      </c>
      <c r="E1001" t="s">
        <v>4682</v>
      </c>
      <c r="F1001" t="s">
        <v>4682</v>
      </c>
      <c r="G1001">
        <v>0</v>
      </c>
      <c r="H1001" t="s">
        <v>4682</v>
      </c>
      <c r="I1001" t="str" cm="1">
        <f t="array" ref="I1001">_xlfn.IFS(B1001&lt;18.5, "Underweight", B1001&lt;=24.9, "Normal Weight", B1001&lt;=29.9, "Overweight", TRUE, "Obesity")</f>
        <v>Obesity</v>
      </c>
      <c r="J1001" t="str" cm="1">
        <f t="array" ref="J1001">_xlfn.IFS(C1001&lt;5.7, "Normal", C1001&lt;=6.4, "Prediabetes", TRUE, "Diabetes")</f>
        <v>Normal</v>
      </c>
    </row>
    <row r="1002" spans="1:10">
      <c r="A1002" t="s">
        <v>2002</v>
      </c>
      <c r="B1002">
        <v>26.41</v>
      </c>
      <c r="C1002">
        <v>5.99</v>
      </c>
      <c r="D1002" t="s">
        <v>4683</v>
      </c>
      <c r="E1002" t="s">
        <v>4682</v>
      </c>
      <c r="F1002" t="s">
        <v>4684</v>
      </c>
      <c r="G1002">
        <v>1</v>
      </c>
      <c r="H1002" t="s">
        <v>4682</v>
      </c>
      <c r="I1002" t="str" cm="1">
        <f t="array" ref="I1002">_xlfn.IFS(B1002&lt;18.5, "Underweight", B1002&lt;=24.9, "Normal Weight", B1002&lt;=29.9, "Overweight", TRUE, "Obesity")</f>
        <v>Overweight</v>
      </c>
      <c r="J1002" t="str" cm="1">
        <f t="array" ref="J1002">_xlfn.IFS(C1002&lt;5.7, "Normal", C1002&lt;=6.4, "Prediabetes", TRUE, "Diabetes")</f>
        <v>Prediabetes</v>
      </c>
    </row>
    <row r="1003" spans="1:10">
      <c r="A1003" t="s">
        <v>2004</v>
      </c>
      <c r="B1003">
        <v>30.63</v>
      </c>
      <c r="C1003">
        <v>5.8</v>
      </c>
      <c r="D1003" t="s">
        <v>4683</v>
      </c>
      <c r="E1003" t="s">
        <v>4682</v>
      </c>
      <c r="F1003" t="s">
        <v>4682</v>
      </c>
      <c r="G1003">
        <v>0</v>
      </c>
      <c r="H1003" t="s">
        <v>4682</v>
      </c>
      <c r="I1003" t="str" cm="1">
        <f t="array" ref="I1003">_xlfn.IFS(B1003&lt;18.5, "Underweight", B1003&lt;=24.9, "Normal Weight", B1003&lt;=29.9, "Overweight", TRUE, "Obesity")</f>
        <v>Obesity</v>
      </c>
      <c r="J1003" t="str" cm="1">
        <f t="array" ref="J1003">_xlfn.IFS(C1003&lt;5.7, "Normal", C1003&lt;=6.4, "Prediabetes", TRUE, "Diabetes")</f>
        <v>Prediabetes</v>
      </c>
    </row>
    <row r="1004" spans="1:10">
      <c r="A1004" t="s">
        <v>2006</v>
      </c>
      <c r="B1004">
        <v>31.73</v>
      </c>
      <c r="C1004">
        <v>7.32</v>
      </c>
      <c r="D1004" t="s">
        <v>4683</v>
      </c>
      <c r="E1004" t="s">
        <v>4682</v>
      </c>
      <c r="F1004" t="s">
        <v>4682</v>
      </c>
      <c r="G1004">
        <v>2</v>
      </c>
      <c r="H1004" t="s">
        <v>4682</v>
      </c>
      <c r="I1004" t="str" cm="1">
        <f t="array" ref="I1004">_xlfn.IFS(B1004&lt;18.5, "Underweight", B1004&lt;=24.9, "Normal Weight", B1004&lt;=29.9, "Overweight", TRUE, "Obesity")</f>
        <v>Obesity</v>
      </c>
      <c r="J1004" t="str" cm="1">
        <f t="array" ref="J1004">_xlfn.IFS(C1004&lt;5.7, "Normal", C1004&lt;=6.4, "Prediabetes", TRUE, "Diabetes")</f>
        <v>Diabetes</v>
      </c>
    </row>
    <row r="1005" spans="1:10">
      <c r="A1005" t="s">
        <v>2008</v>
      </c>
      <c r="B1005">
        <v>30.7</v>
      </c>
      <c r="C1005">
        <v>5.16</v>
      </c>
      <c r="D1005" t="s">
        <v>4682</v>
      </c>
      <c r="E1005" t="s">
        <v>4682</v>
      </c>
      <c r="F1005" t="s">
        <v>4682</v>
      </c>
      <c r="G1005">
        <v>2</v>
      </c>
      <c r="H1005" t="s">
        <v>4682</v>
      </c>
      <c r="I1005" t="str" cm="1">
        <f t="array" ref="I1005">_xlfn.IFS(B1005&lt;18.5, "Underweight", B1005&lt;=24.9, "Normal Weight", B1005&lt;=29.9, "Overweight", TRUE, "Obesity")</f>
        <v>Obesity</v>
      </c>
      <c r="J1005" t="str" cm="1">
        <f t="array" ref="J1005">_xlfn.IFS(C1005&lt;5.7, "Normal", C1005&lt;=6.4, "Prediabetes", TRUE, "Diabetes")</f>
        <v>Normal</v>
      </c>
    </row>
    <row r="1006" spans="1:10">
      <c r="A1006" t="s">
        <v>2010</v>
      </c>
      <c r="B1006">
        <v>25.934999999999999</v>
      </c>
      <c r="C1006">
        <v>5.96</v>
      </c>
      <c r="D1006" t="s">
        <v>4683</v>
      </c>
      <c r="E1006" t="s">
        <v>4682</v>
      </c>
      <c r="F1006" t="s">
        <v>4682</v>
      </c>
      <c r="G1006">
        <v>2</v>
      </c>
      <c r="H1006" t="s">
        <v>4682</v>
      </c>
      <c r="I1006" t="str" cm="1">
        <f t="array" ref="I1006">_xlfn.IFS(B1006&lt;18.5, "Underweight", B1006&lt;=24.9, "Normal Weight", B1006&lt;=29.9, "Overweight", TRUE, "Obesity")</f>
        <v>Overweight</v>
      </c>
      <c r="J1006" t="str" cm="1">
        <f t="array" ref="J1006">_xlfn.IFS(C1006&lt;5.7, "Normal", C1006&lt;=6.4, "Prediabetes", TRUE, "Diabetes")</f>
        <v>Prediabetes</v>
      </c>
    </row>
    <row r="1007" spans="1:10">
      <c r="A1007" t="s">
        <v>2012</v>
      </c>
      <c r="B1007">
        <v>35.9</v>
      </c>
      <c r="C1007">
        <v>4.8499999999999996</v>
      </c>
      <c r="D1007" t="s">
        <v>4683</v>
      </c>
      <c r="E1007" t="s">
        <v>4682</v>
      </c>
      <c r="F1007" t="s">
        <v>4684</v>
      </c>
      <c r="G1007">
        <v>1</v>
      </c>
      <c r="H1007" t="s">
        <v>4682</v>
      </c>
      <c r="I1007" t="str" cm="1">
        <f t="array" ref="I1007">_xlfn.IFS(B1007&lt;18.5, "Underweight", B1007&lt;=24.9, "Normal Weight", B1007&lt;=29.9, "Overweight", TRUE, "Obesity")</f>
        <v>Obesity</v>
      </c>
      <c r="J1007" t="str" cm="1">
        <f t="array" ref="J1007">_xlfn.IFS(C1007&lt;5.7, "Normal", C1007&lt;=6.4, "Prediabetes", TRUE, "Diabetes")</f>
        <v>Normal</v>
      </c>
    </row>
    <row r="1008" spans="1:10">
      <c r="A1008" t="s">
        <v>2014</v>
      </c>
      <c r="B1008">
        <v>26.7</v>
      </c>
      <c r="C1008">
        <v>5.09</v>
      </c>
      <c r="D1008" t="s">
        <v>4683</v>
      </c>
      <c r="E1008" t="s">
        <v>4682</v>
      </c>
      <c r="F1008" t="s">
        <v>4684</v>
      </c>
      <c r="G1008">
        <v>1</v>
      </c>
      <c r="H1008" t="s">
        <v>4682</v>
      </c>
      <c r="I1008" t="str" cm="1">
        <f t="array" ref="I1008">_xlfn.IFS(B1008&lt;18.5, "Underweight", B1008&lt;=24.9, "Normal Weight", B1008&lt;=29.9, "Overweight", TRUE, "Obesity")</f>
        <v>Overweight</v>
      </c>
      <c r="J1008" t="str" cm="1">
        <f t="array" ref="J1008">_xlfn.IFS(C1008&lt;5.7, "Normal", C1008&lt;=6.4, "Prediabetes", TRUE, "Diabetes")</f>
        <v>Normal</v>
      </c>
    </row>
    <row r="1009" spans="1:10">
      <c r="A1009" t="s">
        <v>2016</v>
      </c>
      <c r="B1009">
        <v>33.71</v>
      </c>
      <c r="C1009">
        <v>4.9400000000000004</v>
      </c>
      <c r="D1009" t="s">
        <v>4682</v>
      </c>
      <c r="E1009" t="s">
        <v>4682</v>
      </c>
      <c r="F1009" t="s">
        <v>4682</v>
      </c>
      <c r="G1009">
        <v>0</v>
      </c>
      <c r="H1009" t="s">
        <v>4682</v>
      </c>
      <c r="I1009" t="str" cm="1">
        <f t="array" ref="I1009">_xlfn.IFS(B1009&lt;18.5, "Underweight", B1009&lt;=24.9, "Normal Weight", B1009&lt;=29.9, "Overweight", TRUE, "Obesity")</f>
        <v>Obesity</v>
      </c>
      <c r="J1009" t="str" cm="1">
        <f t="array" ref="J1009">_xlfn.IFS(C1009&lt;5.7, "Normal", C1009&lt;=6.4, "Prediabetes", TRUE, "Diabetes")</f>
        <v>Normal</v>
      </c>
    </row>
    <row r="1010" spans="1:10">
      <c r="A1010" t="s">
        <v>2018</v>
      </c>
      <c r="B1010">
        <v>41.91</v>
      </c>
      <c r="C1010">
        <v>4.92</v>
      </c>
      <c r="D1010" t="s">
        <v>4683</v>
      </c>
      <c r="E1010" t="s">
        <v>4682</v>
      </c>
      <c r="F1010" t="s">
        <v>4682</v>
      </c>
      <c r="G1010">
        <v>2</v>
      </c>
      <c r="H1010" t="s">
        <v>4682</v>
      </c>
      <c r="I1010" t="str" cm="1">
        <f t="array" ref="I1010">_xlfn.IFS(B1010&lt;18.5, "Underweight", B1010&lt;=24.9, "Normal Weight", B1010&lt;=29.9, "Overweight", TRUE, "Obesity")</f>
        <v>Obesity</v>
      </c>
      <c r="J1010" t="str" cm="1">
        <f t="array" ref="J1010">_xlfn.IFS(C1010&lt;5.7, "Normal", C1010&lt;=6.4, "Prediabetes", TRUE, "Diabetes")</f>
        <v>Normal</v>
      </c>
    </row>
    <row r="1011" spans="1:10">
      <c r="A1011" t="s">
        <v>2020</v>
      </c>
      <c r="B1011">
        <v>39.82</v>
      </c>
      <c r="C1011">
        <v>6.05</v>
      </c>
      <c r="D1011" t="s">
        <v>4683</v>
      </c>
      <c r="E1011" t="s">
        <v>4682</v>
      </c>
      <c r="F1011" t="s">
        <v>4682</v>
      </c>
      <c r="G1011">
        <v>2</v>
      </c>
      <c r="H1011" t="s">
        <v>4682</v>
      </c>
      <c r="I1011" t="str" cm="1">
        <f t="array" ref="I1011">_xlfn.IFS(B1011&lt;18.5, "Underweight", B1011&lt;=24.9, "Normal Weight", B1011&lt;=29.9, "Overweight", TRUE, "Obesity")</f>
        <v>Obesity</v>
      </c>
      <c r="J1011" t="str" cm="1">
        <f t="array" ref="J1011">_xlfn.IFS(C1011&lt;5.7, "Normal", C1011&lt;=6.4, "Prediabetes", TRUE, "Diabetes")</f>
        <v>Prediabetes</v>
      </c>
    </row>
    <row r="1012" spans="1:10">
      <c r="A1012" t="s">
        <v>2022</v>
      </c>
      <c r="B1012">
        <v>28.12</v>
      </c>
      <c r="C1012">
        <v>4.67</v>
      </c>
      <c r="D1012" t="s">
        <v>4682</v>
      </c>
      <c r="E1012" t="s">
        <v>4682</v>
      </c>
      <c r="F1012" t="s">
        <v>4682</v>
      </c>
      <c r="G1012">
        <v>2</v>
      </c>
      <c r="H1012" t="s">
        <v>4682</v>
      </c>
      <c r="I1012" t="str" cm="1">
        <f t="array" ref="I1012">_xlfn.IFS(B1012&lt;18.5, "Underweight", B1012&lt;=24.9, "Normal Weight", B1012&lt;=29.9, "Overweight", TRUE, "Obesity")</f>
        <v>Overweight</v>
      </c>
      <c r="J1012" t="str" cm="1">
        <f t="array" ref="J1012">_xlfn.IFS(C1012&lt;5.7, "Normal", C1012&lt;=6.4, "Prediabetes", TRUE, "Diabetes")</f>
        <v>Normal</v>
      </c>
    </row>
    <row r="1013" spans="1:10">
      <c r="A1013" t="s">
        <v>2024</v>
      </c>
      <c r="B1013">
        <v>26.98</v>
      </c>
      <c r="C1013">
        <v>9.81</v>
      </c>
      <c r="D1013" t="s">
        <v>4683</v>
      </c>
      <c r="E1013" t="s">
        <v>4682</v>
      </c>
      <c r="F1013" t="s">
        <v>4682</v>
      </c>
      <c r="G1013">
        <v>0</v>
      </c>
      <c r="H1013" t="s">
        <v>4682</v>
      </c>
      <c r="I1013" t="str" cm="1">
        <f t="array" ref="I1013">_xlfn.IFS(B1013&lt;18.5, "Underweight", B1013&lt;=24.9, "Normal Weight", B1013&lt;=29.9, "Overweight", TRUE, "Obesity")</f>
        <v>Overweight</v>
      </c>
      <c r="J1013" t="str" cm="1">
        <f t="array" ref="J1013">_xlfn.IFS(C1013&lt;5.7, "Normal", C1013&lt;=6.4, "Prediabetes", TRUE, "Diabetes")</f>
        <v>Diabetes</v>
      </c>
    </row>
    <row r="1014" spans="1:10">
      <c r="A1014" t="s">
        <v>2026</v>
      </c>
      <c r="B1014">
        <v>27.2</v>
      </c>
      <c r="C1014">
        <v>6.06</v>
      </c>
      <c r="D1014" t="s">
        <v>4683</v>
      </c>
      <c r="E1014" t="s">
        <v>4682</v>
      </c>
      <c r="F1014" t="s">
        <v>4682</v>
      </c>
      <c r="G1014">
        <v>2</v>
      </c>
      <c r="H1014" t="s">
        <v>4682</v>
      </c>
      <c r="I1014" t="str" cm="1">
        <f t="array" ref="I1014">_xlfn.IFS(B1014&lt;18.5, "Underweight", B1014&lt;=24.9, "Normal Weight", B1014&lt;=29.9, "Overweight", TRUE, "Obesity")</f>
        <v>Overweight</v>
      </c>
      <c r="J1014" t="str" cm="1">
        <f t="array" ref="J1014">_xlfn.IFS(C1014&lt;5.7, "Normal", C1014&lt;=6.4, "Prediabetes", TRUE, "Diabetes")</f>
        <v>Prediabetes</v>
      </c>
    </row>
    <row r="1015" spans="1:10">
      <c r="A1015" t="s">
        <v>2028</v>
      </c>
      <c r="B1015">
        <v>25.3</v>
      </c>
      <c r="C1015">
        <v>5.19</v>
      </c>
      <c r="D1015" t="s">
        <v>4683</v>
      </c>
      <c r="E1015" t="s">
        <v>4682</v>
      </c>
      <c r="F1015" t="s">
        <v>4682</v>
      </c>
      <c r="G1015">
        <v>2</v>
      </c>
      <c r="H1015" t="s">
        <v>4682</v>
      </c>
      <c r="I1015" t="str" cm="1">
        <f t="array" ref="I1015">_xlfn.IFS(B1015&lt;18.5, "Underweight", B1015&lt;=24.9, "Normal Weight", B1015&lt;=29.9, "Overweight", TRUE, "Obesity")</f>
        <v>Overweight</v>
      </c>
      <c r="J1015" t="str" cm="1">
        <f t="array" ref="J1015">_xlfn.IFS(C1015&lt;5.7, "Normal", C1015&lt;=6.4, "Prediabetes", TRUE, "Diabetes")</f>
        <v>Normal</v>
      </c>
    </row>
    <row r="1016" spans="1:10">
      <c r="A1016" t="s">
        <v>2030</v>
      </c>
      <c r="B1016">
        <v>30.25</v>
      </c>
      <c r="C1016">
        <v>10.16</v>
      </c>
      <c r="D1016" t="s">
        <v>4682</v>
      </c>
      <c r="E1016" t="s">
        <v>4682</v>
      </c>
      <c r="F1016" t="s">
        <v>4682</v>
      </c>
      <c r="G1016">
        <v>0</v>
      </c>
      <c r="H1016" t="s">
        <v>4682</v>
      </c>
      <c r="I1016" t="str" cm="1">
        <f t="array" ref="I1016">_xlfn.IFS(B1016&lt;18.5, "Underweight", B1016&lt;=24.9, "Normal Weight", B1016&lt;=29.9, "Overweight", TRUE, "Obesity")</f>
        <v>Obesity</v>
      </c>
      <c r="J1016" t="str" cm="1">
        <f t="array" ref="J1016">_xlfn.IFS(C1016&lt;5.7, "Normal", C1016&lt;=6.4, "Prediabetes", TRUE, "Diabetes")</f>
        <v>Diabetes</v>
      </c>
    </row>
    <row r="1017" spans="1:10">
      <c r="A1017" t="s">
        <v>2032</v>
      </c>
      <c r="B1017">
        <v>54</v>
      </c>
      <c r="C1017">
        <v>4.68</v>
      </c>
      <c r="D1017" t="s">
        <v>4683</v>
      </c>
      <c r="E1017" t="s">
        <v>4683</v>
      </c>
      <c r="F1017" t="s">
        <v>4682</v>
      </c>
      <c r="G1017">
        <v>2</v>
      </c>
      <c r="H1017" t="s">
        <v>4682</v>
      </c>
      <c r="I1017" t="str" cm="1">
        <f t="array" ref="I1017">_xlfn.IFS(B1017&lt;18.5, "Underweight", B1017&lt;=24.9, "Normal Weight", B1017&lt;=29.9, "Overweight", TRUE, "Obesity")</f>
        <v>Obesity</v>
      </c>
      <c r="J1017" t="str" cm="1">
        <f t="array" ref="J1017">_xlfn.IFS(C1017&lt;5.7, "Normal", C1017&lt;=6.4, "Prediabetes", TRUE, "Diabetes")</f>
        <v>Normal</v>
      </c>
    </row>
    <row r="1018" spans="1:10">
      <c r="A1018" t="s">
        <v>2034</v>
      </c>
      <c r="B1018">
        <v>51.86</v>
      </c>
      <c r="C1018">
        <v>5.32</v>
      </c>
      <c r="D1018" t="s">
        <v>4683</v>
      </c>
      <c r="E1018" t="s">
        <v>4682</v>
      </c>
      <c r="F1018" t="s">
        <v>4682</v>
      </c>
      <c r="G1018">
        <v>0</v>
      </c>
      <c r="H1018" t="s">
        <v>4682</v>
      </c>
      <c r="I1018" t="str" cm="1">
        <f t="array" ref="I1018">_xlfn.IFS(B1018&lt;18.5, "Underweight", B1018&lt;=24.9, "Normal Weight", B1018&lt;=29.9, "Overweight", TRUE, "Obesity")</f>
        <v>Obesity</v>
      </c>
      <c r="J1018" t="str" cm="1">
        <f t="array" ref="J1018">_xlfn.IFS(C1018&lt;5.7, "Normal", C1018&lt;=6.4, "Prediabetes", TRUE, "Diabetes")</f>
        <v>Normal</v>
      </c>
    </row>
    <row r="1019" spans="1:10">
      <c r="A1019" t="s">
        <v>2036</v>
      </c>
      <c r="B1019">
        <v>31.39</v>
      </c>
      <c r="C1019">
        <v>6.99</v>
      </c>
      <c r="D1019" t="s">
        <v>4682</v>
      </c>
      <c r="E1019" t="s">
        <v>4682</v>
      </c>
      <c r="F1019" t="s">
        <v>4682</v>
      </c>
      <c r="G1019">
        <v>0</v>
      </c>
      <c r="H1019" t="s">
        <v>4682</v>
      </c>
      <c r="I1019" t="str" cm="1">
        <f t="array" ref="I1019">_xlfn.IFS(B1019&lt;18.5, "Underweight", B1019&lt;=24.9, "Normal Weight", B1019&lt;=29.9, "Overweight", TRUE, "Obesity")</f>
        <v>Obesity</v>
      </c>
      <c r="J1019" t="str" cm="1">
        <f t="array" ref="J1019">_xlfn.IFS(C1019&lt;5.7, "Normal", C1019&lt;=6.4, "Prediabetes", TRUE, "Diabetes")</f>
        <v>Diabetes</v>
      </c>
    </row>
    <row r="1020" spans="1:10">
      <c r="A1020" t="s">
        <v>2038</v>
      </c>
      <c r="B1020">
        <v>39.97</v>
      </c>
      <c r="C1020">
        <v>5.55</v>
      </c>
      <c r="D1020" t="s">
        <v>4682</v>
      </c>
      <c r="E1020" t="s">
        <v>4682</v>
      </c>
      <c r="F1020" t="s">
        <v>4682</v>
      </c>
      <c r="G1020">
        <v>0</v>
      </c>
      <c r="H1020" t="s">
        <v>4682</v>
      </c>
      <c r="I1020" t="str" cm="1">
        <f t="array" ref="I1020">_xlfn.IFS(B1020&lt;18.5, "Underweight", B1020&lt;=24.9, "Normal Weight", B1020&lt;=29.9, "Overweight", TRUE, "Obesity")</f>
        <v>Obesity</v>
      </c>
      <c r="J1020" t="str" cm="1">
        <f t="array" ref="J1020">_xlfn.IFS(C1020&lt;5.7, "Normal", C1020&lt;=6.4, "Prediabetes", TRUE, "Diabetes")</f>
        <v>Normal</v>
      </c>
    </row>
    <row r="1021" spans="1:10">
      <c r="A1021" t="s">
        <v>2040</v>
      </c>
      <c r="B1021">
        <v>41.23</v>
      </c>
      <c r="C1021">
        <v>6.94</v>
      </c>
      <c r="D1021" t="s">
        <v>4682</v>
      </c>
      <c r="E1021" t="s">
        <v>4682</v>
      </c>
      <c r="F1021" t="s">
        <v>4682</v>
      </c>
      <c r="G1021">
        <v>0</v>
      </c>
      <c r="H1021" t="s">
        <v>4682</v>
      </c>
      <c r="I1021" t="str" cm="1">
        <f t="array" ref="I1021">_xlfn.IFS(B1021&lt;18.5, "Underweight", B1021&lt;=24.9, "Normal Weight", B1021&lt;=29.9, "Overweight", TRUE, "Obesity")</f>
        <v>Obesity</v>
      </c>
      <c r="J1021" t="str" cm="1">
        <f t="array" ref="J1021">_xlfn.IFS(C1021&lt;5.7, "Normal", C1021&lt;=6.4, "Prediabetes", TRUE, "Diabetes")</f>
        <v>Diabetes</v>
      </c>
    </row>
    <row r="1022" spans="1:10">
      <c r="A1022" t="s">
        <v>2042</v>
      </c>
      <c r="B1022">
        <v>49.45</v>
      </c>
      <c r="C1022">
        <v>4.2</v>
      </c>
      <c r="D1022" t="s">
        <v>4683</v>
      </c>
      <c r="E1022" t="s">
        <v>4682</v>
      </c>
      <c r="F1022" t="s">
        <v>4682</v>
      </c>
      <c r="G1022">
        <v>0</v>
      </c>
      <c r="H1022" t="s">
        <v>4682</v>
      </c>
      <c r="I1022" t="str" cm="1">
        <f t="array" ref="I1022">_xlfn.IFS(B1022&lt;18.5, "Underweight", B1022&lt;=24.9, "Normal Weight", B1022&lt;=29.9, "Overweight", TRUE, "Obesity")</f>
        <v>Obesity</v>
      </c>
      <c r="J1022" t="str" cm="1">
        <f t="array" ref="J1022">_xlfn.IFS(C1022&lt;5.7, "Normal", C1022&lt;=6.4, "Prediabetes", TRUE, "Diabetes")</f>
        <v>Normal</v>
      </c>
    </row>
    <row r="1023" spans="1:10">
      <c r="A1023" t="s">
        <v>2044</v>
      </c>
      <c r="B1023">
        <v>41.04</v>
      </c>
      <c r="C1023">
        <v>5.59</v>
      </c>
      <c r="D1023" t="s">
        <v>4682</v>
      </c>
      <c r="E1023" t="s">
        <v>4682</v>
      </c>
      <c r="F1023" t="s">
        <v>4682</v>
      </c>
      <c r="G1023">
        <v>0</v>
      </c>
      <c r="H1023" t="s">
        <v>4682</v>
      </c>
      <c r="I1023" t="str" cm="1">
        <f t="array" ref="I1023">_xlfn.IFS(B1023&lt;18.5, "Underweight", B1023&lt;=24.9, "Normal Weight", B1023&lt;=29.9, "Overweight", TRUE, "Obesity")</f>
        <v>Obesity</v>
      </c>
      <c r="J1023" t="str" cm="1">
        <f t="array" ref="J1023">_xlfn.IFS(C1023&lt;5.7, "Normal", C1023&lt;=6.4, "Prediabetes", TRUE, "Diabetes")</f>
        <v>Normal</v>
      </c>
    </row>
    <row r="1024" spans="1:10">
      <c r="A1024" t="s">
        <v>2046</v>
      </c>
      <c r="B1024">
        <v>27.93</v>
      </c>
      <c r="C1024">
        <v>9.9600000000000009</v>
      </c>
      <c r="D1024" t="s">
        <v>4682</v>
      </c>
      <c r="E1024" t="s">
        <v>4682</v>
      </c>
      <c r="F1024" t="s">
        <v>4682</v>
      </c>
      <c r="G1024">
        <v>0</v>
      </c>
      <c r="H1024" t="s">
        <v>4682</v>
      </c>
      <c r="I1024" t="str" cm="1">
        <f t="array" ref="I1024">_xlfn.IFS(B1024&lt;18.5, "Underweight", B1024&lt;=24.9, "Normal Weight", B1024&lt;=29.9, "Overweight", TRUE, "Obesity")</f>
        <v>Overweight</v>
      </c>
      <c r="J1024" t="str" cm="1">
        <f t="array" ref="J1024">_xlfn.IFS(C1024&lt;5.7, "Normal", C1024&lt;=6.4, "Prediabetes", TRUE, "Diabetes")</f>
        <v>Diabetes</v>
      </c>
    </row>
    <row r="1025" spans="1:10">
      <c r="A1025" t="s">
        <v>2048</v>
      </c>
      <c r="B1025">
        <v>21.01</v>
      </c>
      <c r="C1025">
        <v>7.37</v>
      </c>
      <c r="D1025" t="s">
        <v>4682</v>
      </c>
      <c r="E1025" t="s">
        <v>4682</v>
      </c>
      <c r="F1025" t="s">
        <v>4682</v>
      </c>
      <c r="G1025">
        <v>0</v>
      </c>
      <c r="H1025" t="s">
        <v>4682</v>
      </c>
      <c r="I1025" t="str" cm="1">
        <f t="array" ref="I1025">_xlfn.IFS(B1025&lt;18.5, "Underweight", B1025&lt;=24.9, "Normal Weight", B1025&lt;=29.9, "Overweight", TRUE, "Obesity")</f>
        <v>Normal Weight</v>
      </c>
      <c r="J1025" t="str" cm="1">
        <f t="array" ref="J1025">_xlfn.IFS(C1025&lt;5.7, "Normal", C1025&lt;=6.4, "Prediabetes", TRUE, "Diabetes")</f>
        <v>Diabetes</v>
      </c>
    </row>
    <row r="1026" spans="1:10">
      <c r="A1026" t="s">
        <v>2050</v>
      </c>
      <c r="B1026">
        <v>52.37</v>
      </c>
      <c r="C1026">
        <v>5.0599999999999996</v>
      </c>
      <c r="D1026" t="s">
        <v>4683</v>
      </c>
      <c r="E1026" t="s">
        <v>4683</v>
      </c>
      <c r="F1026" t="s">
        <v>4682</v>
      </c>
      <c r="G1026">
        <v>2</v>
      </c>
      <c r="H1026" t="s">
        <v>4682</v>
      </c>
      <c r="I1026" t="str" cm="1">
        <f t="array" ref="I1026">_xlfn.IFS(B1026&lt;18.5, "Underweight", B1026&lt;=24.9, "Normal Weight", B1026&lt;=29.9, "Overweight", TRUE, "Obesity")</f>
        <v>Obesity</v>
      </c>
      <c r="J1026" t="str" cm="1">
        <f t="array" ref="J1026">_xlfn.IFS(C1026&lt;5.7, "Normal", C1026&lt;=6.4, "Prediabetes", TRUE, "Diabetes")</f>
        <v>Normal</v>
      </c>
    </row>
    <row r="1027" spans="1:10">
      <c r="A1027" t="s">
        <v>2052</v>
      </c>
      <c r="B1027">
        <v>40.369999999999997</v>
      </c>
      <c r="C1027">
        <v>8.2100000000000009</v>
      </c>
      <c r="D1027" t="s">
        <v>4682</v>
      </c>
      <c r="E1027" t="s">
        <v>4682</v>
      </c>
      <c r="F1027" t="s">
        <v>4682</v>
      </c>
      <c r="G1027">
        <v>0</v>
      </c>
      <c r="H1027" t="s">
        <v>4682</v>
      </c>
      <c r="I1027" t="str" cm="1">
        <f t="array" ref="I1027">_xlfn.IFS(B1027&lt;18.5, "Underweight", B1027&lt;=24.9, "Normal Weight", B1027&lt;=29.9, "Overweight", TRUE, "Obesity")</f>
        <v>Obesity</v>
      </c>
      <c r="J1027" t="str" cm="1">
        <f t="array" ref="J1027">_xlfn.IFS(C1027&lt;5.7, "Normal", C1027&lt;=6.4, "Prediabetes", TRUE, "Diabetes")</f>
        <v>Diabetes</v>
      </c>
    </row>
    <row r="1028" spans="1:10">
      <c r="A1028" t="s">
        <v>2054</v>
      </c>
      <c r="B1028">
        <v>41.47</v>
      </c>
      <c r="C1028">
        <v>10.34</v>
      </c>
      <c r="D1028" t="s">
        <v>4682</v>
      </c>
      <c r="E1028" t="s">
        <v>4682</v>
      </c>
      <c r="F1028" t="s">
        <v>4682</v>
      </c>
      <c r="G1028">
        <v>2</v>
      </c>
      <c r="H1028" t="s">
        <v>4682</v>
      </c>
      <c r="I1028" t="str" cm="1">
        <f t="array" ref="I1028">_xlfn.IFS(B1028&lt;18.5, "Underweight", B1028&lt;=24.9, "Normal Weight", B1028&lt;=29.9, "Overweight", TRUE, "Obesity")</f>
        <v>Obesity</v>
      </c>
      <c r="J1028" t="str" cm="1">
        <f t="array" ref="J1028">_xlfn.IFS(C1028&lt;5.7, "Normal", C1028&lt;=6.4, "Prediabetes", TRUE, "Diabetes")</f>
        <v>Diabetes</v>
      </c>
    </row>
    <row r="1029" spans="1:10">
      <c r="A1029" t="s">
        <v>2056</v>
      </c>
      <c r="B1029">
        <v>33.725000000000001</v>
      </c>
      <c r="C1029">
        <v>5.51</v>
      </c>
      <c r="D1029" t="s">
        <v>4683</v>
      </c>
      <c r="E1029" t="s">
        <v>4682</v>
      </c>
      <c r="F1029" t="s">
        <v>4682</v>
      </c>
      <c r="G1029">
        <v>2</v>
      </c>
      <c r="H1029" t="s">
        <v>4682</v>
      </c>
      <c r="I1029" t="str" cm="1">
        <f t="array" ref="I1029">_xlfn.IFS(B1029&lt;18.5, "Underweight", B1029&lt;=24.9, "Normal Weight", B1029&lt;=29.9, "Overweight", TRUE, "Obesity")</f>
        <v>Obesity</v>
      </c>
      <c r="J1029" t="str" cm="1">
        <f t="array" ref="J1029">_xlfn.IFS(C1029&lt;5.7, "Normal", C1029&lt;=6.4, "Prediabetes", TRUE, "Diabetes")</f>
        <v>Normal</v>
      </c>
    </row>
    <row r="1030" spans="1:10">
      <c r="A1030" t="s">
        <v>2058</v>
      </c>
      <c r="B1030">
        <v>28.1</v>
      </c>
      <c r="C1030">
        <v>11.2</v>
      </c>
      <c r="D1030" t="s">
        <v>4682</v>
      </c>
      <c r="E1030" t="s">
        <v>4682</v>
      </c>
      <c r="F1030" t="s">
        <v>4682</v>
      </c>
      <c r="G1030">
        <v>0</v>
      </c>
      <c r="H1030" t="s">
        <v>4682</v>
      </c>
      <c r="I1030" t="str" cm="1">
        <f t="array" ref="I1030">_xlfn.IFS(B1030&lt;18.5, "Underweight", B1030&lt;=24.9, "Normal Weight", B1030&lt;=29.9, "Overweight", TRUE, "Obesity")</f>
        <v>Overweight</v>
      </c>
      <c r="J1030" t="str" cm="1">
        <f t="array" ref="J1030">_xlfn.IFS(C1030&lt;5.7, "Normal", C1030&lt;=6.4, "Prediabetes", TRUE, "Diabetes")</f>
        <v>Diabetes</v>
      </c>
    </row>
    <row r="1031" spans="1:10">
      <c r="A1031" t="s">
        <v>2060</v>
      </c>
      <c r="B1031">
        <v>37.43</v>
      </c>
      <c r="C1031">
        <v>4.3499999999999996</v>
      </c>
      <c r="D1031" t="s">
        <v>4683</v>
      </c>
      <c r="E1031" t="s">
        <v>4682</v>
      </c>
      <c r="F1031" t="s">
        <v>4684</v>
      </c>
      <c r="G1031">
        <v>1</v>
      </c>
      <c r="H1031" t="s">
        <v>4682</v>
      </c>
      <c r="I1031" t="str" cm="1">
        <f t="array" ref="I1031">_xlfn.IFS(B1031&lt;18.5, "Underweight", B1031&lt;=24.9, "Normal Weight", B1031&lt;=29.9, "Overweight", TRUE, "Obesity")</f>
        <v>Obesity</v>
      </c>
      <c r="J1031" t="str" cm="1">
        <f t="array" ref="J1031">_xlfn.IFS(C1031&lt;5.7, "Normal", C1031&lt;=6.4, "Prediabetes", TRUE, "Diabetes")</f>
        <v>Normal</v>
      </c>
    </row>
    <row r="1032" spans="1:10">
      <c r="A1032" t="s">
        <v>2062</v>
      </c>
      <c r="B1032">
        <v>23.7</v>
      </c>
      <c r="C1032">
        <v>10.45</v>
      </c>
      <c r="D1032" t="s">
        <v>4682</v>
      </c>
      <c r="E1032" t="s">
        <v>4682</v>
      </c>
      <c r="F1032" t="s">
        <v>4682</v>
      </c>
      <c r="G1032">
        <v>0</v>
      </c>
      <c r="H1032" t="s">
        <v>4682</v>
      </c>
      <c r="I1032" t="str" cm="1">
        <f t="array" ref="I1032">_xlfn.IFS(B1032&lt;18.5, "Underweight", B1032&lt;=24.9, "Normal Weight", B1032&lt;=29.9, "Overweight", TRUE, "Obesity")</f>
        <v>Normal Weight</v>
      </c>
      <c r="J1032" t="str" cm="1">
        <f t="array" ref="J1032">_xlfn.IFS(C1032&lt;5.7, "Normal", C1032&lt;=6.4, "Prediabetes", TRUE, "Diabetes")</f>
        <v>Diabetes</v>
      </c>
    </row>
    <row r="1033" spans="1:10">
      <c r="A1033" t="s">
        <v>2064</v>
      </c>
      <c r="B1033">
        <v>24.795000000000002</v>
      </c>
      <c r="C1033">
        <v>4.07</v>
      </c>
      <c r="D1033" t="s">
        <v>4683</v>
      </c>
      <c r="E1033" t="s">
        <v>4682</v>
      </c>
      <c r="F1033" t="s">
        <v>4684</v>
      </c>
      <c r="G1033">
        <v>1</v>
      </c>
      <c r="H1033" t="s">
        <v>4682</v>
      </c>
      <c r="I1033" t="str" cm="1">
        <f t="array" ref="I1033">_xlfn.IFS(B1033&lt;18.5, "Underweight", B1033&lt;=24.9, "Normal Weight", B1033&lt;=29.9, "Overweight", TRUE, "Obesity")</f>
        <v>Normal Weight</v>
      </c>
      <c r="J1033" t="str" cm="1">
        <f t="array" ref="J1033">_xlfn.IFS(C1033&lt;5.7, "Normal", C1033&lt;=6.4, "Prediabetes", TRUE, "Diabetes")</f>
        <v>Normal</v>
      </c>
    </row>
    <row r="1034" spans="1:10">
      <c r="A1034" t="s">
        <v>2066</v>
      </c>
      <c r="B1034">
        <v>31.9</v>
      </c>
      <c r="C1034">
        <v>8.34</v>
      </c>
      <c r="D1034" t="s">
        <v>4682</v>
      </c>
      <c r="E1034" t="s">
        <v>4682</v>
      </c>
      <c r="F1034" t="s">
        <v>4682</v>
      </c>
      <c r="G1034">
        <v>0</v>
      </c>
      <c r="H1034" t="s">
        <v>4682</v>
      </c>
      <c r="I1034" t="str" cm="1">
        <f t="array" ref="I1034">_xlfn.IFS(B1034&lt;18.5, "Underweight", B1034&lt;=24.9, "Normal Weight", B1034&lt;=29.9, "Overweight", TRUE, "Obesity")</f>
        <v>Obesity</v>
      </c>
      <c r="J1034" t="str" cm="1">
        <f t="array" ref="J1034">_xlfn.IFS(C1034&lt;5.7, "Normal", C1034&lt;=6.4, "Prediabetes", TRUE, "Diabetes")</f>
        <v>Diabetes</v>
      </c>
    </row>
    <row r="1035" spans="1:10">
      <c r="A1035" t="s">
        <v>2068</v>
      </c>
      <c r="B1035">
        <v>32.68</v>
      </c>
      <c r="C1035">
        <v>7.41</v>
      </c>
      <c r="D1035" t="s">
        <v>4682</v>
      </c>
      <c r="E1035" t="s">
        <v>4682</v>
      </c>
      <c r="F1035" t="s">
        <v>4682</v>
      </c>
      <c r="G1035">
        <v>0</v>
      </c>
      <c r="H1035" t="s">
        <v>4682</v>
      </c>
      <c r="I1035" t="str" cm="1">
        <f t="array" ref="I1035">_xlfn.IFS(B1035&lt;18.5, "Underweight", B1035&lt;=24.9, "Normal Weight", B1035&lt;=29.9, "Overweight", TRUE, "Obesity")</f>
        <v>Obesity</v>
      </c>
      <c r="J1035" t="str" cm="1">
        <f t="array" ref="J1035">_xlfn.IFS(C1035&lt;5.7, "Normal", C1035&lt;=6.4, "Prediabetes", TRUE, "Diabetes")</f>
        <v>Diabetes</v>
      </c>
    </row>
    <row r="1036" spans="1:10">
      <c r="A1036" t="s">
        <v>2070</v>
      </c>
      <c r="B1036">
        <v>47.13</v>
      </c>
      <c r="C1036">
        <v>4.3099999999999996</v>
      </c>
      <c r="D1036" t="s">
        <v>4682</v>
      </c>
      <c r="E1036" t="s">
        <v>4682</v>
      </c>
      <c r="F1036" t="s">
        <v>4682</v>
      </c>
      <c r="G1036">
        <v>0</v>
      </c>
      <c r="H1036" t="s">
        <v>4682</v>
      </c>
      <c r="I1036" t="str" cm="1">
        <f t="array" ref="I1036">_xlfn.IFS(B1036&lt;18.5, "Underweight", B1036&lt;=24.9, "Normal Weight", B1036&lt;=29.9, "Overweight", TRUE, "Obesity")</f>
        <v>Obesity</v>
      </c>
      <c r="J1036" t="str" cm="1">
        <f t="array" ref="J1036">_xlfn.IFS(C1036&lt;5.7, "Normal", C1036&lt;=6.4, "Prediabetes", TRUE, "Diabetes")</f>
        <v>Normal</v>
      </c>
    </row>
    <row r="1037" spans="1:10">
      <c r="A1037" t="s">
        <v>2072</v>
      </c>
      <c r="B1037">
        <v>36.67</v>
      </c>
      <c r="C1037">
        <v>10.83</v>
      </c>
      <c r="D1037" t="s">
        <v>4682</v>
      </c>
      <c r="E1037" t="s">
        <v>4682</v>
      </c>
      <c r="F1037" t="s">
        <v>4682</v>
      </c>
      <c r="G1037">
        <v>0</v>
      </c>
      <c r="H1037" t="s">
        <v>4682</v>
      </c>
      <c r="I1037" t="str" cm="1">
        <f t="array" ref="I1037">_xlfn.IFS(B1037&lt;18.5, "Underweight", B1037&lt;=24.9, "Normal Weight", B1037&lt;=29.9, "Overweight", TRUE, "Obesity")</f>
        <v>Obesity</v>
      </c>
      <c r="J1037" t="str" cm="1">
        <f t="array" ref="J1037">_xlfn.IFS(C1037&lt;5.7, "Normal", C1037&lt;=6.4, "Prediabetes", TRUE, "Diabetes")</f>
        <v>Diabetes</v>
      </c>
    </row>
    <row r="1038" spans="1:10">
      <c r="A1038" t="s">
        <v>2074</v>
      </c>
      <c r="B1038">
        <v>33.630000000000003</v>
      </c>
      <c r="C1038">
        <v>11.31</v>
      </c>
      <c r="D1038" t="s">
        <v>4682</v>
      </c>
      <c r="E1038" t="s">
        <v>4682</v>
      </c>
      <c r="F1038" t="s">
        <v>4682</v>
      </c>
      <c r="G1038">
        <v>0</v>
      </c>
      <c r="H1038" t="s">
        <v>4682</v>
      </c>
      <c r="I1038" t="str" cm="1">
        <f t="array" ref="I1038">_xlfn.IFS(B1038&lt;18.5, "Underweight", B1038&lt;=24.9, "Normal Weight", B1038&lt;=29.9, "Overweight", TRUE, "Obesity")</f>
        <v>Obesity</v>
      </c>
      <c r="J1038" t="str" cm="1">
        <f t="array" ref="J1038">_xlfn.IFS(C1038&lt;5.7, "Normal", C1038&lt;=6.4, "Prediabetes", TRUE, "Diabetes")</f>
        <v>Diabetes</v>
      </c>
    </row>
    <row r="1039" spans="1:10">
      <c r="A1039" t="s">
        <v>2076</v>
      </c>
      <c r="B1039">
        <v>32.67</v>
      </c>
      <c r="C1039">
        <v>11.81</v>
      </c>
      <c r="D1039" t="s">
        <v>4683</v>
      </c>
      <c r="E1039" t="s">
        <v>4682</v>
      </c>
      <c r="F1039" t="s">
        <v>4682</v>
      </c>
      <c r="G1039">
        <v>0</v>
      </c>
      <c r="H1039" t="s">
        <v>4682</v>
      </c>
      <c r="I1039" t="str" cm="1">
        <f t="array" ref="I1039">_xlfn.IFS(B1039&lt;18.5, "Underweight", B1039&lt;=24.9, "Normal Weight", B1039&lt;=29.9, "Overweight", TRUE, "Obesity")</f>
        <v>Obesity</v>
      </c>
      <c r="J1039" t="str" cm="1">
        <f t="array" ref="J1039">_xlfn.IFS(C1039&lt;5.7, "Normal", C1039&lt;=6.4, "Prediabetes", TRUE, "Diabetes")</f>
        <v>Diabetes</v>
      </c>
    </row>
    <row r="1040" spans="1:10">
      <c r="A1040" t="s">
        <v>2078</v>
      </c>
      <c r="B1040">
        <v>33.299999999999997</v>
      </c>
      <c r="C1040">
        <v>8.26</v>
      </c>
      <c r="D1040" t="s">
        <v>4683</v>
      </c>
      <c r="E1040" t="s">
        <v>4682</v>
      </c>
      <c r="F1040" t="s">
        <v>4682</v>
      </c>
      <c r="G1040">
        <v>2</v>
      </c>
      <c r="H1040" t="s">
        <v>4682</v>
      </c>
      <c r="I1040" t="str" cm="1">
        <f t="array" ref="I1040">_xlfn.IFS(B1040&lt;18.5, "Underweight", B1040&lt;=24.9, "Normal Weight", B1040&lt;=29.9, "Overweight", TRUE, "Obesity")</f>
        <v>Obesity</v>
      </c>
      <c r="J1040" t="str" cm="1">
        <f t="array" ref="J1040">_xlfn.IFS(C1040&lt;5.7, "Normal", C1040&lt;=6.4, "Prediabetes", TRUE, "Diabetes")</f>
        <v>Diabetes</v>
      </c>
    </row>
    <row r="1041" spans="1:10">
      <c r="A1041" t="s">
        <v>2080</v>
      </c>
      <c r="B1041">
        <v>30.78</v>
      </c>
      <c r="C1041">
        <v>10.74</v>
      </c>
      <c r="D1041" t="s">
        <v>4683</v>
      </c>
      <c r="E1041" t="s">
        <v>4682</v>
      </c>
      <c r="F1041" t="s">
        <v>4682</v>
      </c>
      <c r="G1041">
        <v>2</v>
      </c>
      <c r="H1041" t="s">
        <v>4682</v>
      </c>
      <c r="I1041" t="str" cm="1">
        <f t="array" ref="I1041">_xlfn.IFS(B1041&lt;18.5, "Underweight", B1041&lt;=24.9, "Normal Weight", B1041&lt;=29.9, "Overweight", TRUE, "Obesity")</f>
        <v>Obesity</v>
      </c>
      <c r="J1041" t="str" cm="1">
        <f t="array" ref="J1041">_xlfn.IFS(C1041&lt;5.7, "Normal", C1041&lt;=6.4, "Prediabetes", TRUE, "Diabetes")</f>
        <v>Diabetes</v>
      </c>
    </row>
    <row r="1042" spans="1:10">
      <c r="A1042" t="s">
        <v>2082</v>
      </c>
      <c r="B1042">
        <v>28.975000000000001</v>
      </c>
      <c r="C1042">
        <v>7.69</v>
      </c>
      <c r="D1042" t="s">
        <v>4683</v>
      </c>
      <c r="E1042" t="s">
        <v>4682</v>
      </c>
      <c r="F1042" t="s">
        <v>4682</v>
      </c>
      <c r="G1042">
        <v>0</v>
      </c>
      <c r="H1042" t="s">
        <v>4682</v>
      </c>
      <c r="I1042" t="str" cm="1">
        <f t="array" ref="I1042">_xlfn.IFS(B1042&lt;18.5, "Underweight", B1042&lt;=24.9, "Normal Weight", B1042&lt;=29.9, "Overweight", TRUE, "Obesity")</f>
        <v>Overweight</v>
      </c>
      <c r="J1042" t="str" cm="1">
        <f t="array" ref="J1042">_xlfn.IFS(C1042&lt;5.7, "Normal", C1042&lt;=6.4, "Prediabetes", TRUE, "Diabetes")</f>
        <v>Diabetes</v>
      </c>
    </row>
    <row r="1043" spans="1:10">
      <c r="A1043" t="s">
        <v>2084</v>
      </c>
      <c r="B1043">
        <v>33.4</v>
      </c>
      <c r="C1043">
        <v>4.84</v>
      </c>
      <c r="D1043" t="s">
        <v>4682</v>
      </c>
      <c r="E1043" t="s">
        <v>4682</v>
      </c>
      <c r="F1043" t="s">
        <v>4682</v>
      </c>
      <c r="G1043">
        <v>0</v>
      </c>
      <c r="H1043" t="s">
        <v>4682</v>
      </c>
      <c r="I1043" t="str" cm="1">
        <f t="array" ref="I1043">_xlfn.IFS(B1043&lt;18.5, "Underweight", B1043&lt;=24.9, "Normal Weight", B1043&lt;=29.9, "Overweight", TRUE, "Obesity")</f>
        <v>Obesity</v>
      </c>
      <c r="J1043" t="str" cm="1">
        <f t="array" ref="J1043">_xlfn.IFS(C1043&lt;5.7, "Normal", C1043&lt;=6.4, "Prediabetes", TRUE, "Diabetes")</f>
        <v>Normal</v>
      </c>
    </row>
    <row r="1044" spans="1:10">
      <c r="A1044" t="s">
        <v>2086</v>
      </c>
      <c r="B1044">
        <v>21.5</v>
      </c>
      <c r="C1044">
        <v>9.77</v>
      </c>
      <c r="D1044" t="s">
        <v>4683</v>
      </c>
      <c r="E1044" t="s">
        <v>4682</v>
      </c>
      <c r="F1044" t="s">
        <v>4682</v>
      </c>
      <c r="G1044">
        <v>0</v>
      </c>
      <c r="H1044" t="s">
        <v>4682</v>
      </c>
      <c r="I1044" t="str" cm="1">
        <f t="array" ref="I1044">_xlfn.IFS(B1044&lt;18.5, "Underweight", B1044&lt;=24.9, "Normal Weight", B1044&lt;=29.9, "Overweight", TRUE, "Obesity")</f>
        <v>Normal Weight</v>
      </c>
      <c r="J1044" t="str" cm="1">
        <f t="array" ref="J1044">_xlfn.IFS(C1044&lt;5.7, "Normal", C1044&lt;=6.4, "Prediabetes", TRUE, "Diabetes")</f>
        <v>Diabetes</v>
      </c>
    </row>
    <row r="1045" spans="1:10">
      <c r="A1045" t="s">
        <v>2088</v>
      </c>
      <c r="B1045">
        <v>38.14</v>
      </c>
      <c r="C1045">
        <v>5.84</v>
      </c>
      <c r="D1045" t="s">
        <v>4682</v>
      </c>
      <c r="E1045" t="s">
        <v>4682</v>
      </c>
      <c r="F1045" t="s">
        <v>4682</v>
      </c>
      <c r="G1045">
        <v>0</v>
      </c>
      <c r="H1045" t="s">
        <v>4682</v>
      </c>
      <c r="I1045" t="str" cm="1">
        <f t="array" ref="I1045">_xlfn.IFS(B1045&lt;18.5, "Underweight", B1045&lt;=24.9, "Normal Weight", B1045&lt;=29.9, "Overweight", TRUE, "Obesity")</f>
        <v>Obesity</v>
      </c>
      <c r="J1045" t="str" cm="1">
        <f t="array" ref="J1045">_xlfn.IFS(C1045&lt;5.7, "Normal", C1045&lt;=6.4, "Prediabetes", TRUE, "Diabetes")</f>
        <v>Prediabetes</v>
      </c>
    </row>
    <row r="1046" spans="1:10">
      <c r="A1046" t="s">
        <v>2090</v>
      </c>
      <c r="B1046">
        <v>35.42</v>
      </c>
      <c r="C1046">
        <v>8.6999999999999993</v>
      </c>
      <c r="D1046" t="s">
        <v>4683</v>
      </c>
      <c r="E1046" t="s">
        <v>4682</v>
      </c>
      <c r="F1046" t="s">
        <v>4682</v>
      </c>
      <c r="G1046">
        <v>1</v>
      </c>
      <c r="H1046" t="s">
        <v>4682</v>
      </c>
      <c r="I1046" t="str" cm="1">
        <f t="array" ref="I1046">_xlfn.IFS(B1046&lt;18.5, "Underweight", B1046&lt;=24.9, "Normal Weight", B1046&lt;=29.9, "Overweight", TRUE, "Obesity")</f>
        <v>Obesity</v>
      </c>
      <c r="J1046" t="str" cm="1">
        <f t="array" ref="J1046">_xlfn.IFS(C1046&lt;5.7, "Normal", C1046&lt;=6.4, "Prediabetes", TRUE, "Diabetes")</f>
        <v>Diabetes</v>
      </c>
    </row>
    <row r="1047" spans="1:10">
      <c r="A1047" t="s">
        <v>2092</v>
      </c>
      <c r="B1047">
        <v>35.625</v>
      </c>
      <c r="C1047">
        <v>10.79</v>
      </c>
      <c r="D1047" t="s">
        <v>4682</v>
      </c>
      <c r="E1047" t="s">
        <v>4682</v>
      </c>
      <c r="F1047" t="s">
        <v>4682</v>
      </c>
      <c r="G1047">
        <v>0</v>
      </c>
      <c r="H1047" t="s">
        <v>4682</v>
      </c>
      <c r="I1047" t="str" cm="1">
        <f t="array" ref="I1047">_xlfn.IFS(B1047&lt;18.5, "Underweight", B1047&lt;=24.9, "Normal Weight", B1047&lt;=29.9, "Overweight", TRUE, "Obesity")</f>
        <v>Obesity</v>
      </c>
      <c r="J1047" t="str" cm="1">
        <f t="array" ref="J1047">_xlfn.IFS(C1047&lt;5.7, "Normal", C1047&lt;=6.4, "Prediabetes", TRUE, "Diabetes")</f>
        <v>Diabetes</v>
      </c>
    </row>
    <row r="1048" spans="1:10">
      <c r="A1048" t="s">
        <v>2094</v>
      </c>
      <c r="B1048">
        <v>45.51</v>
      </c>
      <c r="C1048">
        <v>4.32</v>
      </c>
      <c r="D1048" t="s">
        <v>4682</v>
      </c>
      <c r="E1048" t="s">
        <v>4682</v>
      </c>
      <c r="F1048" t="s">
        <v>4682</v>
      </c>
      <c r="G1048">
        <v>1</v>
      </c>
      <c r="H1048" t="s">
        <v>4682</v>
      </c>
      <c r="I1048" t="str" cm="1">
        <f t="array" ref="I1048">_xlfn.IFS(B1048&lt;18.5, "Underweight", B1048&lt;=24.9, "Normal Weight", B1048&lt;=29.9, "Overweight", TRUE, "Obesity")</f>
        <v>Obesity</v>
      </c>
      <c r="J1048" t="str" cm="1">
        <f t="array" ref="J1048">_xlfn.IFS(C1048&lt;5.7, "Normal", C1048&lt;=6.4, "Prediabetes", TRUE, "Diabetes")</f>
        <v>Normal</v>
      </c>
    </row>
    <row r="1049" spans="1:10">
      <c r="A1049" t="s">
        <v>2096</v>
      </c>
      <c r="B1049">
        <v>37.1</v>
      </c>
      <c r="C1049">
        <v>7.19</v>
      </c>
      <c r="D1049" t="s">
        <v>4683</v>
      </c>
      <c r="E1049" t="s">
        <v>4682</v>
      </c>
      <c r="F1049" t="s">
        <v>4682</v>
      </c>
      <c r="G1049">
        <v>0</v>
      </c>
      <c r="H1049" t="s">
        <v>4682</v>
      </c>
      <c r="I1049" t="str" cm="1">
        <f t="array" ref="I1049">_xlfn.IFS(B1049&lt;18.5, "Underweight", B1049&lt;=24.9, "Normal Weight", B1049&lt;=29.9, "Overweight", TRUE, "Obesity")</f>
        <v>Obesity</v>
      </c>
      <c r="J1049" t="str" cm="1">
        <f t="array" ref="J1049">_xlfn.IFS(C1049&lt;5.7, "Normal", C1049&lt;=6.4, "Prediabetes", TRUE, "Diabetes")</f>
        <v>Diabetes</v>
      </c>
    </row>
    <row r="1050" spans="1:10">
      <c r="A1050" t="s">
        <v>2098</v>
      </c>
      <c r="B1050">
        <v>30.5</v>
      </c>
      <c r="C1050">
        <v>11.94</v>
      </c>
      <c r="D1050" t="s">
        <v>4683</v>
      </c>
      <c r="E1050" t="s">
        <v>4682</v>
      </c>
      <c r="F1050" t="s">
        <v>4682</v>
      </c>
      <c r="G1050">
        <v>0</v>
      </c>
      <c r="H1050" t="s">
        <v>4682</v>
      </c>
      <c r="I1050" t="str" cm="1">
        <f t="array" ref="I1050">_xlfn.IFS(B1050&lt;18.5, "Underweight", B1050&lt;=24.9, "Normal Weight", B1050&lt;=29.9, "Overweight", TRUE, "Obesity")</f>
        <v>Obesity</v>
      </c>
      <c r="J1050" t="str" cm="1">
        <f t="array" ref="J1050">_xlfn.IFS(C1050&lt;5.7, "Normal", C1050&lt;=6.4, "Prediabetes", TRUE, "Diabetes")</f>
        <v>Diabetes</v>
      </c>
    </row>
    <row r="1051" spans="1:10">
      <c r="A1051" t="s">
        <v>2100</v>
      </c>
      <c r="B1051">
        <v>28.16</v>
      </c>
      <c r="C1051">
        <v>5.56</v>
      </c>
      <c r="D1051" t="s">
        <v>4682</v>
      </c>
      <c r="E1051" t="s">
        <v>4682</v>
      </c>
      <c r="F1051" t="s">
        <v>4682</v>
      </c>
      <c r="G1051">
        <v>2</v>
      </c>
      <c r="H1051" t="s">
        <v>4682</v>
      </c>
      <c r="I1051" t="str" cm="1">
        <f t="array" ref="I1051">_xlfn.IFS(B1051&lt;18.5, "Underweight", B1051&lt;=24.9, "Normal Weight", B1051&lt;=29.9, "Overweight", TRUE, "Obesity")</f>
        <v>Overweight</v>
      </c>
      <c r="J1051" t="str" cm="1">
        <f t="array" ref="J1051">_xlfn.IFS(C1051&lt;5.7, "Normal", C1051&lt;=6.4, "Prediabetes", TRUE, "Diabetes")</f>
        <v>Normal</v>
      </c>
    </row>
    <row r="1052" spans="1:10">
      <c r="A1052" t="s">
        <v>2102</v>
      </c>
      <c r="B1052">
        <v>29.1</v>
      </c>
      <c r="C1052">
        <v>5.64</v>
      </c>
      <c r="D1052" t="s">
        <v>4683</v>
      </c>
      <c r="E1052" t="s">
        <v>4682</v>
      </c>
      <c r="F1052" t="s">
        <v>4682</v>
      </c>
      <c r="G1052">
        <v>0</v>
      </c>
      <c r="H1052" t="s">
        <v>4682</v>
      </c>
      <c r="I1052" t="str" cm="1">
        <f t="array" ref="I1052">_xlfn.IFS(B1052&lt;18.5, "Underweight", B1052&lt;=24.9, "Normal Weight", B1052&lt;=29.9, "Overweight", TRUE, "Obesity")</f>
        <v>Overweight</v>
      </c>
      <c r="J1052" t="str" cm="1">
        <f t="array" ref="J1052">_xlfn.IFS(C1052&lt;5.7, "Normal", C1052&lt;=6.4, "Prediabetes", TRUE, "Diabetes")</f>
        <v>Normal</v>
      </c>
    </row>
    <row r="1053" spans="1:10">
      <c r="A1053" t="s">
        <v>2104</v>
      </c>
      <c r="B1053">
        <v>30.22</v>
      </c>
      <c r="C1053">
        <v>4.6500000000000004</v>
      </c>
      <c r="D1053" t="s">
        <v>4682</v>
      </c>
      <c r="E1053" t="s">
        <v>4682</v>
      </c>
      <c r="F1053" t="s">
        <v>4682</v>
      </c>
      <c r="G1053">
        <v>0</v>
      </c>
      <c r="H1053" t="s">
        <v>4682</v>
      </c>
      <c r="I1053" t="str" cm="1">
        <f t="array" ref="I1053">_xlfn.IFS(B1053&lt;18.5, "Underweight", B1053&lt;=24.9, "Normal Weight", B1053&lt;=29.9, "Overweight", TRUE, "Obesity")</f>
        <v>Obesity</v>
      </c>
      <c r="J1053" t="str" cm="1">
        <f t="array" ref="J1053">_xlfn.IFS(C1053&lt;5.7, "Normal", C1053&lt;=6.4, "Prediabetes", TRUE, "Diabetes")</f>
        <v>Normal</v>
      </c>
    </row>
    <row r="1054" spans="1:10">
      <c r="A1054" t="s">
        <v>2106</v>
      </c>
      <c r="B1054">
        <v>24.29</v>
      </c>
      <c r="C1054">
        <v>9.0500000000000007</v>
      </c>
      <c r="D1054" t="s">
        <v>4682</v>
      </c>
      <c r="E1054" t="s">
        <v>4682</v>
      </c>
      <c r="F1054" t="s">
        <v>4682</v>
      </c>
      <c r="G1054">
        <v>0</v>
      </c>
      <c r="H1054" t="s">
        <v>4682</v>
      </c>
      <c r="I1054" t="str" cm="1">
        <f t="array" ref="I1054">_xlfn.IFS(B1054&lt;18.5, "Underweight", B1054&lt;=24.9, "Normal Weight", B1054&lt;=29.9, "Overweight", TRUE, "Obesity")</f>
        <v>Normal Weight</v>
      </c>
      <c r="J1054" t="str" cm="1">
        <f t="array" ref="J1054">_xlfn.IFS(C1054&lt;5.7, "Normal", C1054&lt;=6.4, "Prediabetes", TRUE, "Diabetes")</f>
        <v>Diabetes</v>
      </c>
    </row>
    <row r="1055" spans="1:10">
      <c r="A1055" t="s">
        <v>2108</v>
      </c>
      <c r="B1055">
        <v>29.39</v>
      </c>
      <c r="C1055">
        <v>4.5199999999999996</v>
      </c>
      <c r="D1055" t="s">
        <v>4683</v>
      </c>
      <c r="E1055" t="s">
        <v>4682</v>
      </c>
      <c r="F1055" t="s">
        <v>4682</v>
      </c>
      <c r="G1055">
        <v>0</v>
      </c>
      <c r="H1055" t="s">
        <v>4682</v>
      </c>
      <c r="I1055" t="str" cm="1">
        <f t="array" ref="I1055">_xlfn.IFS(B1055&lt;18.5, "Underweight", B1055&lt;=24.9, "Normal Weight", B1055&lt;=29.9, "Overweight", TRUE, "Obesity")</f>
        <v>Overweight</v>
      </c>
      <c r="J1055" t="str" cm="1">
        <f t="array" ref="J1055">_xlfn.IFS(C1055&lt;5.7, "Normal", C1055&lt;=6.4, "Prediabetes", TRUE, "Diabetes")</f>
        <v>Normal</v>
      </c>
    </row>
    <row r="1056" spans="1:10">
      <c r="A1056" t="s">
        <v>2110</v>
      </c>
      <c r="B1056">
        <v>25.66</v>
      </c>
      <c r="C1056">
        <v>4.62</v>
      </c>
      <c r="D1056" t="s">
        <v>4683</v>
      </c>
      <c r="E1056" t="s">
        <v>4682</v>
      </c>
      <c r="F1056" t="s">
        <v>4682</v>
      </c>
      <c r="G1056">
        <v>1</v>
      </c>
      <c r="H1056" t="s">
        <v>4682</v>
      </c>
      <c r="I1056" t="str" cm="1">
        <f t="array" ref="I1056">_xlfn.IFS(B1056&lt;18.5, "Underweight", B1056&lt;=24.9, "Normal Weight", B1056&lt;=29.9, "Overweight", TRUE, "Obesity")</f>
        <v>Overweight</v>
      </c>
      <c r="J1056" t="str" cm="1">
        <f t="array" ref="J1056">_xlfn.IFS(C1056&lt;5.7, "Normal", C1056&lt;=6.4, "Prediabetes", TRUE, "Diabetes")</f>
        <v>Normal</v>
      </c>
    </row>
    <row r="1057" spans="1:10">
      <c r="A1057" t="s">
        <v>2112</v>
      </c>
      <c r="B1057">
        <v>39.11</v>
      </c>
      <c r="C1057">
        <v>5.87</v>
      </c>
      <c r="D1057" t="s">
        <v>4682</v>
      </c>
      <c r="E1057" t="s">
        <v>4682</v>
      </c>
      <c r="F1057" t="s">
        <v>4682</v>
      </c>
      <c r="G1057">
        <v>0</v>
      </c>
      <c r="H1057" t="s">
        <v>4682</v>
      </c>
      <c r="I1057" t="str" cm="1">
        <f t="array" ref="I1057">_xlfn.IFS(B1057&lt;18.5, "Underweight", B1057&lt;=24.9, "Normal Weight", B1057&lt;=29.9, "Overweight", TRUE, "Obesity")</f>
        <v>Obesity</v>
      </c>
      <c r="J1057" t="str" cm="1">
        <f t="array" ref="J1057">_xlfn.IFS(C1057&lt;5.7, "Normal", C1057&lt;=6.4, "Prediabetes", TRUE, "Diabetes")</f>
        <v>Prediabetes</v>
      </c>
    </row>
    <row r="1058" spans="1:10">
      <c r="A1058" t="s">
        <v>2114</v>
      </c>
      <c r="B1058">
        <v>43.78</v>
      </c>
      <c r="C1058">
        <v>5.71</v>
      </c>
      <c r="D1058" t="s">
        <v>4682</v>
      </c>
      <c r="E1058" t="s">
        <v>4682</v>
      </c>
      <c r="F1058" t="s">
        <v>4682</v>
      </c>
      <c r="G1058">
        <v>1</v>
      </c>
      <c r="H1058" t="s">
        <v>4682</v>
      </c>
      <c r="I1058" t="str" cm="1">
        <f t="array" ref="I1058">_xlfn.IFS(B1058&lt;18.5, "Underweight", B1058&lt;=24.9, "Normal Weight", B1058&lt;=29.9, "Overweight", TRUE, "Obesity")</f>
        <v>Obesity</v>
      </c>
      <c r="J1058" t="str" cm="1">
        <f t="array" ref="J1058">_xlfn.IFS(C1058&lt;5.7, "Normal", C1058&lt;=6.4, "Prediabetes", TRUE, "Diabetes")</f>
        <v>Prediabetes</v>
      </c>
    </row>
    <row r="1059" spans="1:10">
      <c r="A1059" t="s">
        <v>2116</v>
      </c>
      <c r="B1059">
        <v>24.35</v>
      </c>
      <c r="C1059">
        <v>9.08</v>
      </c>
      <c r="D1059" t="s">
        <v>4682</v>
      </c>
      <c r="E1059" t="s">
        <v>4682</v>
      </c>
      <c r="F1059" t="s">
        <v>4682</v>
      </c>
      <c r="G1059">
        <v>0</v>
      </c>
      <c r="H1059" t="s">
        <v>4682</v>
      </c>
      <c r="I1059" t="str" cm="1">
        <f t="array" ref="I1059">_xlfn.IFS(B1059&lt;18.5, "Underweight", B1059&lt;=24.9, "Normal Weight", B1059&lt;=29.9, "Overweight", TRUE, "Obesity")</f>
        <v>Normal Weight</v>
      </c>
      <c r="J1059" t="str" cm="1">
        <f t="array" ref="J1059">_xlfn.IFS(C1059&lt;5.7, "Normal", C1059&lt;=6.4, "Prediabetes", TRUE, "Diabetes")</f>
        <v>Diabetes</v>
      </c>
    </row>
    <row r="1060" spans="1:10">
      <c r="A1060" t="s">
        <v>2118</v>
      </c>
      <c r="B1060">
        <v>40.299999999999997</v>
      </c>
      <c r="C1060">
        <v>5.3</v>
      </c>
      <c r="D1060" t="s">
        <v>4683</v>
      </c>
      <c r="E1060" t="s">
        <v>4682</v>
      </c>
      <c r="F1060" t="s">
        <v>4682</v>
      </c>
      <c r="G1060">
        <v>2</v>
      </c>
      <c r="H1060" t="s">
        <v>4682</v>
      </c>
      <c r="I1060" t="str" cm="1">
        <f t="array" ref="I1060">_xlfn.IFS(B1060&lt;18.5, "Underweight", B1060&lt;=24.9, "Normal Weight", B1060&lt;=29.9, "Overweight", TRUE, "Obesity")</f>
        <v>Obesity</v>
      </c>
      <c r="J1060" t="str" cm="1">
        <f t="array" ref="J1060">_xlfn.IFS(C1060&lt;5.7, "Normal", C1060&lt;=6.4, "Prediabetes", TRUE, "Diabetes")</f>
        <v>Normal</v>
      </c>
    </row>
    <row r="1061" spans="1:10">
      <c r="A1061" t="s">
        <v>2120</v>
      </c>
      <c r="B1061">
        <v>32.774999999999999</v>
      </c>
      <c r="C1061">
        <v>11.76</v>
      </c>
      <c r="D1061" t="s">
        <v>4683</v>
      </c>
      <c r="E1061" t="s">
        <v>4682</v>
      </c>
      <c r="F1061" t="s">
        <v>4682</v>
      </c>
      <c r="G1061">
        <v>0</v>
      </c>
      <c r="H1061" t="s">
        <v>4682</v>
      </c>
      <c r="I1061" t="str" cm="1">
        <f t="array" ref="I1061">_xlfn.IFS(B1061&lt;18.5, "Underweight", B1061&lt;=24.9, "Normal Weight", B1061&lt;=29.9, "Overweight", TRUE, "Obesity")</f>
        <v>Obesity</v>
      </c>
      <c r="J1061" t="str" cm="1">
        <f t="array" ref="J1061">_xlfn.IFS(C1061&lt;5.7, "Normal", C1061&lt;=6.4, "Prediabetes", TRUE, "Diabetes")</f>
        <v>Diabetes</v>
      </c>
    </row>
    <row r="1062" spans="1:10">
      <c r="A1062" t="s">
        <v>2122</v>
      </c>
      <c r="B1062">
        <v>39.6</v>
      </c>
      <c r="C1062">
        <v>5.1100000000000003</v>
      </c>
      <c r="D1062" t="s">
        <v>4683</v>
      </c>
      <c r="E1062" t="s">
        <v>4682</v>
      </c>
      <c r="F1062" t="s">
        <v>4682</v>
      </c>
      <c r="G1062">
        <v>2</v>
      </c>
      <c r="H1062" t="s">
        <v>4682</v>
      </c>
      <c r="I1062" t="str" cm="1">
        <f t="array" ref="I1062">_xlfn.IFS(B1062&lt;18.5, "Underweight", B1062&lt;=24.9, "Normal Weight", B1062&lt;=29.9, "Overweight", TRUE, "Obesity")</f>
        <v>Obesity</v>
      </c>
      <c r="J1062" t="str" cm="1">
        <f t="array" ref="J1062">_xlfn.IFS(C1062&lt;5.7, "Normal", C1062&lt;=6.4, "Prediabetes", TRUE, "Diabetes")</f>
        <v>Normal</v>
      </c>
    </row>
    <row r="1063" spans="1:10">
      <c r="A1063" t="s">
        <v>2124</v>
      </c>
      <c r="B1063">
        <v>30.97</v>
      </c>
      <c r="C1063">
        <v>5.54</v>
      </c>
      <c r="D1063" t="s">
        <v>4682</v>
      </c>
      <c r="E1063" t="s">
        <v>4682</v>
      </c>
      <c r="F1063" t="s">
        <v>4682</v>
      </c>
      <c r="G1063">
        <v>2</v>
      </c>
      <c r="H1063" t="s">
        <v>4682</v>
      </c>
      <c r="I1063" t="str" cm="1">
        <f t="array" ref="I1063">_xlfn.IFS(B1063&lt;18.5, "Underweight", B1063&lt;=24.9, "Normal Weight", B1063&lt;=29.9, "Overweight", TRUE, "Obesity")</f>
        <v>Obesity</v>
      </c>
      <c r="J1063" t="str" cm="1">
        <f t="array" ref="J1063">_xlfn.IFS(C1063&lt;5.7, "Normal", C1063&lt;=6.4, "Prediabetes", TRUE, "Diabetes")</f>
        <v>Normal</v>
      </c>
    </row>
    <row r="1064" spans="1:10">
      <c r="A1064" t="s">
        <v>2126</v>
      </c>
      <c r="B1064">
        <v>27.645</v>
      </c>
      <c r="C1064">
        <v>8.8699999999999992</v>
      </c>
      <c r="D1064" t="s">
        <v>4683</v>
      </c>
      <c r="E1064" t="s">
        <v>4682</v>
      </c>
      <c r="F1064" t="s">
        <v>4682</v>
      </c>
      <c r="G1064">
        <v>0</v>
      </c>
      <c r="H1064" t="s">
        <v>4682</v>
      </c>
      <c r="I1064" t="str" cm="1">
        <f t="array" ref="I1064">_xlfn.IFS(B1064&lt;18.5, "Underweight", B1064&lt;=24.9, "Normal Weight", B1064&lt;=29.9, "Overweight", TRUE, "Obesity")</f>
        <v>Overweight</v>
      </c>
      <c r="J1064" t="str" cm="1">
        <f t="array" ref="J1064">_xlfn.IFS(C1064&lt;5.7, "Normal", C1064&lt;=6.4, "Prediabetes", TRUE, "Diabetes")</f>
        <v>Diabetes</v>
      </c>
    </row>
    <row r="1065" spans="1:10">
      <c r="A1065" t="s">
        <v>2128</v>
      </c>
      <c r="B1065">
        <v>34.43</v>
      </c>
      <c r="C1065">
        <v>5.96</v>
      </c>
      <c r="D1065" t="s">
        <v>4683</v>
      </c>
      <c r="E1065" t="s">
        <v>4682</v>
      </c>
      <c r="F1065" t="s">
        <v>4682</v>
      </c>
      <c r="G1065">
        <v>2</v>
      </c>
      <c r="H1065" t="s">
        <v>4682</v>
      </c>
      <c r="I1065" t="str" cm="1">
        <f t="array" ref="I1065">_xlfn.IFS(B1065&lt;18.5, "Underweight", B1065&lt;=24.9, "Normal Weight", B1065&lt;=29.9, "Overweight", TRUE, "Obesity")</f>
        <v>Obesity</v>
      </c>
      <c r="J1065" t="str" cm="1">
        <f t="array" ref="J1065">_xlfn.IFS(C1065&lt;5.7, "Normal", C1065&lt;=6.4, "Prediabetes", TRUE, "Diabetes")</f>
        <v>Prediabetes</v>
      </c>
    </row>
    <row r="1066" spans="1:10">
      <c r="A1066" t="s">
        <v>2130</v>
      </c>
      <c r="B1066">
        <v>39.6</v>
      </c>
      <c r="C1066">
        <v>4.4400000000000004</v>
      </c>
      <c r="D1066" t="s">
        <v>4683</v>
      </c>
      <c r="E1066" t="s">
        <v>4682</v>
      </c>
      <c r="F1066" t="s">
        <v>4684</v>
      </c>
      <c r="G1066">
        <v>1</v>
      </c>
      <c r="H1066" t="s">
        <v>4682</v>
      </c>
      <c r="I1066" t="str" cm="1">
        <f t="array" ref="I1066">_xlfn.IFS(B1066&lt;18.5, "Underweight", B1066&lt;=24.9, "Normal Weight", B1066&lt;=29.9, "Overweight", TRUE, "Obesity")</f>
        <v>Obesity</v>
      </c>
      <c r="J1066" t="str" cm="1">
        <f t="array" ref="J1066">_xlfn.IFS(C1066&lt;5.7, "Normal", C1066&lt;=6.4, "Prediabetes", TRUE, "Diabetes")</f>
        <v>Normal</v>
      </c>
    </row>
    <row r="1067" spans="1:10">
      <c r="A1067" t="s">
        <v>2132</v>
      </c>
      <c r="B1067">
        <v>22.1</v>
      </c>
      <c r="C1067">
        <v>4.6500000000000004</v>
      </c>
      <c r="D1067" t="s">
        <v>4683</v>
      </c>
      <c r="E1067" t="s">
        <v>4682</v>
      </c>
      <c r="F1067" t="s">
        <v>4682</v>
      </c>
      <c r="G1067">
        <v>2</v>
      </c>
      <c r="H1067" t="s">
        <v>4682</v>
      </c>
      <c r="I1067" t="str" cm="1">
        <f t="array" ref="I1067">_xlfn.IFS(B1067&lt;18.5, "Underweight", B1067&lt;=24.9, "Normal Weight", B1067&lt;=29.9, "Overweight", TRUE, "Obesity")</f>
        <v>Normal Weight</v>
      </c>
      <c r="J1067" t="str" cm="1">
        <f t="array" ref="J1067">_xlfn.IFS(C1067&lt;5.7, "Normal", C1067&lt;=6.4, "Prediabetes", TRUE, "Diabetes")</f>
        <v>Normal</v>
      </c>
    </row>
    <row r="1068" spans="1:10">
      <c r="A1068" t="s">
        <v>2134</v>
      </c>
      <c r="B1068">
        <v>33.25</v>
      </c>
      <c r="C1068">
        <v>5.64</v>
      </c>
      <c r="D1068" t="s">
        <v>4683</v>
      </c>
      <c r="E1068" t="s">
        <v>4682</v>
      </c>
      <c r="F1068" t="s">
        <v>4684</v>
      </c>
      <c r="G1068">
        <v>1</v>
      </c>
      <c r="H1068" t="s">
        <v>4682</v>
      </c>
      <c r="I1068" t="str" cm="1">
        <f t="array" ref="I1068">_xlfn.IFS(B1068&lt;18.5, "Underweight", B1068&lt;=24.9, "Normal Weight", B1068&lt;=29.9, "Overweight", TRUE, "Obesity")</f>
        <v>Obesity</v>
      </c>
      <c r="J1068" t="str" cm="1">
        <f t="array" ref="J1068">_xlfn.IFS(C1068&lt;5.7, "Normal", C1068&lt;=6.4, "Prediabetes", TRUE, "Diabetes")</f>
        <v>Normal</v>
      </c>
    </row>
    <row r="1069" spans="1:10">
      <c r="A1069" t="s">
        <v>2136</v>
      </c>
      <c r="B1069">
        <v>33.33</v>
      </c>
      <c r="C1069">
        <v>10.19</v>
      </c>
      <c r="D1069" t="s">
        <v>4682</v>
      </c>
      <c r="E1069" t="s">
        <v>4682</v>
      </c>
      <c r="F1069" t="s">
        <v>4682</v>
      </c>
      <c r="G1069">
        <v>0</v>
      </c>
      <c r="H1069" t="s">
        <v>4682</v>
      </c>
      <c r="I1069" t="str" cm="1">
        <f t="array" ref="I1069">_xlfn.IFS(B1069&lt;18.5, "Underweight", B1069&lt;=24.9, "Normal Weight", B1069&lt;=29.9, "Overweight", TRUE, "Obesity")</f>
        <v>Obesity</v>
      </c>
      <c r="J1069" t="str" cm="1">
        <f t="array" ref="J1069">_xlfn.IFS(C1069&lt;5.7, "Normal", C1069&lt;=6.4, "Prediabetes", TRUE, "Diabetes")</f>
        <v>Diabetes</v>
      </c>
    </row>
    <row r="1070" spans="1:10">
      <c r="A1070" t="s">
        <v>2138</v>
      </c>
      <c r="B1070">
        <v>30.5</v>
      </c>
      <c r="C1070">
        <v>10.79</v>
      </c>
      <c r="D1070" t="s">
        <v>4682</v>
      </c>
      <c r="E1070" t="s">
        <v>4682</v>
      </c>
      <c r="F1070" t="s">
        <v>4682</v>
      </c>
      <c r="G1070">
        <v>0</v>
      </c>
      <c r="H1070" t="s">
        <v>4682</v>
      </c>
      <c r="I1070" t="str" cm="1">
        <f t="array" ref="I1070">_xlfn.IFS(B1070&lt;18.5, "Underweight", B1070&lt;=24.9, "Normal Weight", B1070&lt;=29.9, "Overweight", TRUE, "Obesity")</f>
        <v>Obesity</v>
      </c>
      <c r="J1070" t="str" cm="1">
        <f t="array" ref="J1070">_xlfn.IFS(C1070&lt;5.7, "Normal", C1070&lt;=6.4, "Prediabetes", TRUE, "Diabetes")</f>
        <v>Diabetes</v>
      </c>
    </row>
    <row r="1071" spans="1:10">
      <c r="A1071" t="s">
        <v>2140</v>
      </c>
      <c r="B1071">
        <v>30.3</v>
      </c>
      <c r="C1071">
        <v>4.24</v>
      </c>
      <c r="D1071" t="s">
        <v>4682</v>
      </c>
      <c r="E1071" t="s">
        <v>4682</v>
      </c>
      <c r="F1071" t="s">
        <v>4682</v>
      </c>
      <c r="G1071">
        <v>0</v>
      </c>
      <c r="H1071" t="s">
        <v>4682</v>
      </c>
      <c r="I1071" t="str" cm="1">
        <f t="array" ref="I1071">_xlfn.IFS(B1071&lt;18.5, "Underweight", B1071&lt;=24.9, "Normal Weight", B1071&lt;=29.9, "Overweight", TRUE, "Obesity")</f>
        <v>Obesity</v>
      </c>
      <c r="J1071" t="str" cm="1">
        <f t="array" ref="J1071">_xlfn.IFS(C1071&lt;5.7, "Normal", C1071&lt;=6.4, "Prediabetes", TRUE, "Diabetes")</f>
        <v>Normal</v>
      </c>
    </row>
    <row r="1072" spans="1:10">
      <c r="A1072" t="s">
        <v>2142</v>
      </c>
      <c r="B1072">
        <v>26.22</v>
      </c>
      <c r="C1072">
        <v>5.83</v>
      </c>
      <c r="D1072" t="s">
        <v>4682</v>
      </c>
      <c r="E1072" t="s">
        <v>4682</v>
      </c>
      <c r="F1072" t="s">
        <v>4682</v>
      </c>
      <c r="G1072">
        <v>2</v>
      </c>
      <c r="H1072" t="s">
        <v>4682</v>
      </c>
      <c r="I1072" t="str" cm="1">
        <f t="array" ref="I1072">_xlfn.IFS(B1072&lt;18.5, "Underweight", B1072&lt;=24.9, "Normal Weight", B1072&lt;=29.9, "Overweight", TRUE, "Obesity")</f>
        <v>Overweight</v>
      </c>
      <c r="J1072" t="str" cm="1">
        <f t="array" ref="J1072">_xlfn.IFS(C1072&lt;5.7, "Normal", C1072&lt;=6.4, "Prediabetes", TRUE, "Diabetes")</f>
        <v>Prediabetes</v>
      </c>
    </row>
    <row r="1073" spans="1:10">
      <c r="A1073" t="s">
        <v>2144</v>
      </c>
      <c r="B1073">
        <v>29.99</v>
      </c>
      <c r="C1073">
        <v>11.85</v>
      </c>
      <c r="D1073" t="s">
        <v>4682</v>
      </c>
      <c r="E1073" t="s">
        <v>4682</v>
      </c>
      <c r="F1073" t="s">
        <v>4682</v>
      </c>
      <c r="G1073">
        <v>0</v>
      </c>
      <c r="H1073" t="s">
        <v>4682</v>
      </c>
      <c r="I1073" t="str" cm="1">
        <f t="array" ref="I1073">_xlfn.IFS(B1073&lt;18.5, "Underweight", B1073&lt;=24.9, "Normal Weight", B1073&lt;=29.9, "Overweight", TRUE, "Obesity")</f>
        <v>Obesity</v>
      </c>
      <c r="J1073" t="str" cm="1">
        <f t="array" ref="J1073">_xlfn.IFS(C1073&lt;5.7, "Normal", C1073&lt;=6.4, "Prediabetes", TRUE, "Diabetes")</f>
        <v>Diabetes</v>
      </c>
    </row>
    <row r="1074" spans="1:10">
      <c r="A1074" t="s">
        <v>2146</v>
      </c>
      <c r="B1074">
        <v>36.380000000000003</v>
      </c>
      <c r="C1074">
        <v>5.98</v>
      </c>
      <c r="D1074" t="s">
        <v>4682</v>
      </c>
      <c r="E1074" t="s">
        <v>4682</v>
      </c>
      <c r="F1074" t="s">
        <v>4682</v>
      </c>
      <c r="G1074">
        <v>1</v>
      </c>
      <c r="H1074" t="s">
        <v>4682</v>
      </c>
      <c r="I1074" t="str" cm="1">
        <f t="array" ref="I1074">_xlfn.IFS(B1074&lt;18.5, "Underweight", B1074&lt;=24.9, "Normal Weight", B1074&lt;=29.9, "Overweight", TRUE, "Obesity")</f>
        <v>Obesity</v>
      </c>
      <c r="J1074" t="str" cm="1">
        <f t="array" ref="J1074">_xlfn.IFS(C1074&lt;5.7, "Normal", C1074&lt;=6.4, "Prediabetes", TRUE, "Diabetes")</f>
        <v>Prediabetes</v>
      </c>
    </row>
    <row r="1075" spans="1:10">
      <c r="A1075" t="s">
        <v>2148</v>
      </c>
      <c r="B1075">
        <v>31.16</v>
      </c>
      <c r="C1075">
        <v>4.26</v>
      </c>
      <c r="D1075" t="s">
        <v>4683</v>
      </c>
      <c r="E1075" t="s">
        <v>4682</v>
      </c>
      <c r="F1075" t="s">
        <v>4684</v>
      </c>
      <c r="G1075">
        <v>1</v>
      </c>
      <c r="H1075" t="s">
        <v>4682</v>
      </c>
      <c r="I1075" t="str" cm="1">
        <f t="array" ref="I1075">_xlfn.IFS(B1075&lt;18.5, "Underweight", B1075&lt;=24.9, "Normal Weight", B1075&lt;=29.9, "Overweight", TRUE, "Obesity")</f>
        <v>Obesity</v>
      </c>
      <c r="J1075" t="str" cm="1">
        <f t="array" ref="J1075">_xlfn.IFS(C1075&lt;5.7, "Normal", C1075&lt;=6.4, "Prediabetes", TRUE, "Diabetes")</f>
        <v>Normal</v>
      </c>
    </row>
    <row r="1076" spans="1:10">
      <c r="A1076" t="s">
        <v>2150</v>
      </c>
      <c r="B1076">
        <v>25.55</v>
      </c>
      <c r="C1076">
        <v>4.96</v>
      </c>
      <c r="D1076" t="s">
        <v>4683</v>
      </c>
      <c r="E1076" t="s">
        <v>4682</v>
      </c>
      <c r="F1076" t="s">
        <v>4682</v>
      </c>
      <c r="G1076">
        <v>1</v>
      </c>
      <c r="H1076" t="s">
        <v>4682</v>
      </c>
      <c r="I1076" t="str" cm="1">
        <f t="array" ref="I1076">_xlfn.IFS(B1076&lt;18.5, "Underweight", B1076&lt;=24.9, "Normal Weight", B1076&lt;=29.9, "Overweight", TRUE, "Obesity")</f>
        <v>Overweight</v>
      </c>
      <c r="J1076" t="str" cm="1">
        <f t="array" ref="J1076">_xlfn.IFS(C1076&lt;5.7, "Normal", C1076&lt;=6.4, "Prediabetes", TRUE, "Diabetes")</f>
        <v>Normal</v>
      </c>
    </row>
    <row r="1077" spans="1:10">
      <c r="A1077" t="s">
        <v>2152</v>
      </c>
      <c r="B1077">
        <v>28.77</v>
      </c>
      <c r="C1077">
        <v>4</v>
      </c>
      <c r="D1077" t="s">
        <v>4683</v>
      </c>
      <c r="E1077" t="s">
        <v>4682</v>
      </c>
      <c r="F1077" t="s">
        <v>4682</v>
      </c>
      <c r="G1077">
        <v>0</v>
      </c>
      <c r="H1077" t="s">
        <v>4682</v>
      </c>
      <c r="I1077" t="str" cm="1">
        <f t="array" ref="I1077">_xlfn.IFS(B1077&lt;18.5, "Underweight", B1077&lt;=24.9, "Normal Weight", B1077&lt;=29.9, "Overweight", TRUE, "Obesity")</f>
        <v>Overweight</v>
      </c>
      <c r="J1077" t="str" cm="1">
        <f t="array" ref="J1077">_xlfn.IFS(C1077&lt;5.7, "Normal", C1077&lt;=6.4, "Prediabetes", TRUE, "Diabetes")</f>
        <v>Normal</v>
      </c>
    </row>
    <row r="1078" spans="1:10">
      <c r="A1078" t="s">
        <v>2154</v>
      </c>
      <c r="B1078">
        <v>23.14</v>
      </c>
      <c r="C1078">
        <v>4.1500000000000004</v>
      </c>
      <c r="D1078" t="s">
        <v>4683</v>
      </c>
      <c r="E1078" t="s">
        <v>4682</v>
      </c>
      <c r="F1078" t="s">
        <v>4682</v>
      </c>
      <c r="G1078">
        <v>1</v>
      </c>
      <c r="H1078" t="s">
        <v>4682</v>
      </c>
      <c r="I1078" t="str" cm="1">
        <f t="array" ref="I1078">_xlfn.IFS(B1078&lt;18.5, "Underweight", B1078&lt;=24.9, "Normal Weight", B1078&lt;=29.9, "Overweight", TRUE, "Obesity")</f>
        <v>Normal Weight</v>
      </c>
      <c r="J1078" t="str" cm="1">
        <f t="array" ref="J1078">_xlfn.IFS(C1078&lt;5.7, "Normal", C1078&lt;=6.4, "Prediabetes", TRUE, "Diabetes")</f>
        <v>Normal</v>
      </c>
    </row>
    <row r="1079" spans="1:10">
      <c r="A1079" t="s">
        <v>2156</v>
      </c>
      <c r="B1079">
        <v>39.6</v>
      </c>
      <c r="C1079">
        <v>11.36</v>
      </c>
      <c r="D1079" t="s">
        <v>4682</v>
      </c>
      <c r="E1079" t="s">
        <v>4682</v>
      </c>
      <c r="F1079" t="s">
        <v>4682</v>
      </c>
      <c r="G1079">
        <v>0</v>
      </c>
      <c r="H1079" t="s">
        <v>4682</v>
      </c>
      <c r="I1079" t="str" cm="1">
        <f t="array" ref="I1079">_xlfn.IFS(B1079&lt;18.5, "Underweight", B1079&lt;=24.9, "Normal Weight", B1079&lt;=29.9, "Overweight", TRUE, "Obesity")</f>
        <v>Obesity</v>
      </c>
      <c r="J1079" t="str" cm="1">
        <f t="array" ref="J1079">_xlfn.IFS(C1079&lt;5.7, "Normal", C1079&lt;=6.4, "Prediabetes", TRUE, "Diabetes")</f>
        <v>Diabetes</v>
      </c>
    </row>
    <row r="1080" spans="1:10">
      <c r="A1080" t="s">
        <v>2158</v>
      </c>
      <c r="B1080">
        <v>29.2</v>
      </c>
      <c r="C1080">
        <v>7.53</v>
      </c>
      <c r="D1080" t="s">
        <v>4682</v>
      </c>
      <c r="E1080" t="s">
        <v>4682</v>
      </c>
      <c r="F1080" t="s">
        <v>4682</v>
      </c>
      <c r="G1080">
        <v>0</v>
      </c>
      <c r="H1080" t="s">
        <v>4682</v>
      </c>
      <c r="I1080" t="str" cm="1">
        <f t="array" ref="I1080">_xlfn.IFS(B1080&lt;18.5, "Underweight", B1080&lt;=24.9, "Normal Weight", B1080&lt;=29.9, "Overweight", TRUE, "Obesity")</f>
        <v>Overweight</v>
      </c>
      <c r="J1080" t="str" cm="1">
        <f t="array" ref="J1080">_xlfn.IFS(C1080&lt;5.7, "Normal", C1080&lt;=6.4, "Prediabetes", TRUE, "Diabetes")</f>
        <v>Diabetes</v>
      </c>
    </row>
    <row r="1081" spans="1:10">
      <c r="A1081" t="s">
        <v>2160</v>
      </c>
      <c r="B1081">
        <v>32.774999999999999</v>
      </c>
      <c r="C1081">
        <v>7.95</v>
      </c>
      <c r="D1081" t="s">
        <v>4682</v>
      </c>
      <c r="E1081" t="s">
        <v>4682</v>
      </c>
      <c r="F1081" t="s">
        <v>4682</v>
      </c>
      <c r="G1081">
        <v>0</v>
      </c>
      <c r="H1081" t="s">
        <v>4682</v>
      </c>
      <c r="I1081" t="str" cm="1">
        <f t="array" ref="I1081">_xlfn.IFS(B1081&lt;18.5, "Underweight", B1081&lt;=24.9, "Normal Weight", B1081&lt;=29.9, "Overweight", TRUE, "Obesity")</f>
        <v>Obesity</v>
      </c>
      <c r="J1081" t="str" cm="1">
        <f t="array" ref="J1081">_xlfn.IFS(C1081&lt;5.7, "Normal", C1081&lt;=6.4, "Prediabetes", TRUE, "Diabetes")</f>
        <v>Diabetes</v>
      </c>
    </row>
    <row r="1082" spans="1:10">
      <c r="A1082" t="s">
        <v>2162</v>
      </c>
      <c r="B1082">
        <v>24.035</v>
      </c>
      <c r="C1082">
        <v>8.5</v>
      </c>
      <c r="D1082" t="s">
        <v>4682</v>
      </c>
      <c r="E1082" t="s">
        <v>4682</v>
      </c>
      <c r="F1082" t="s">
        <v>4682</v>
      </c>
      <c r="G1082">
        <v>0</v>
      </c>
      <c r="H1082" t="s">
        <v>4682</v>
      </c>
      <c r="I1082" t="str" cm="1">
        <f t="array" ref="I1082">_xlfn.IFS(B1082&lt;18.5, "Underweight", B1082&lt;=24.9, "Normal Weight", B1082&lt;=29.9, "Overweight", TRUE, "Obesity")</f>
        <v>Normal Weight</v>
      </c>
      <c r="J1082" t="str" cm="1">
        <f t="array" ref="J1082">_xlfn.IFS(C1082&lt;5.7, "Normal", C1082&lt;=6.4, "Prediabetes", TRUE, "Diabetes")</f>
        <v>Diabetes</v>
      </c>
    </row>
    <row r="1083" spans="1:10">
      <c r="A1083" t="s">
        <v>2164</v>
      </c>
      <c r="B1083">
        <v>30.55</v>
      </c>
      <c r="C1083">
        <v>5.89</v>
      </c>
      <c r="D1083" t="s">
        <v>4682</v>
      </c>
      <c r="E1083" t="s">
        <v>4682</v>
      </c>
      <c r="F1083" t="s">
        <v>4684</v>
      </c>
      <c r="G1083">
        <v>1</v>
      </c>
      <c r="H1083" t="s">
        <v>4682</v>
      </c>
      <c r="I1083" t="str" cm="1">
        <f t="array" ref="I1083">_xlfn.IFS(B1083&lt;18.5, "Underweight", B1083&lt;=24.9, "Normal Weight", B1083&lt;=29.9, "Overweight", TRUE, "Obesity")</f>
        <v>Obesity</v>
      </c>
      <c r="J1083" t="str" cm="1">
        <f t="array" ref="J1083">_xlfn.IFS(C1083&lt;5.7, "Normal", C1083&lt;=6.4, "Prediabetes", TRUE, "Diabetes")</f>
        <v>Prediabetes</v>
      </c>
    </row>
    <row r="1084" spans="1:10">
      <c r="A1084" t="s">
        <v>2166</v>
      </c>
      <c r="B1084">
        <v>28.81</v>
      </c>
      <c r="C1084">
        <v>8.76</v>
      </c>
      <c r="D1084" t="s">
        <v>4682</v>
      </c>
      <c r="E1084" t="s">
        <v>4682</v>
      </c>
      <c r="F1084" t="s">
        <v>4682</v>
      </c>
      <c r="G1084">
        <v>2</v>
      </c>
      <c r="H1084" t="s">
        <v>4682</v>
      </c>
      <c r="I1084" t="str" cm="1">
        <f t="array" ref="I1084">_xlfn.IFS(B1084&lt;18.5, "Underweight", B1084&lt;=24.9, "Normal Weight", B1084&lt;=29.9, "Overweight", TRUE, "Obesity")</f>
        <v>Overweight</v>
      </c>
      <c r="J1084" t="str" cm="1">
        <f t="array" ref="J1084">_xlfn.IFS(C1084&lt;5.7, "Normal", C1084&lt;=6.4, "Prediabetes", TRUE, "Diabetes")</f>
        <v>Diabetes</v>
      </c>
    </row>
    <row r="1085" spans="1:10">
      <c r="A1085" t="s">
        <v>2168</v>
      </c>
      <c r="B1085">
        <v>31.66</v>
      </c>
      <c r="C1085">
        <v>4.1100000000000003</v>
      </c>
      <c r="D1085" t="s">
        <v>4682</v>
      </c>
      <c r="E1085" t="s">
        <v>4682</v>
      </c>
      <c r="F1085" t="s">
        <v>4682</v>
      </c>
      <c r="G1085">
        <v>0</v>
      </c>
      <c r="H1085" t="s">
        <v>4682</v>
      </c>
      <c r="I1085" t="str" cm="1">
        <f t="array" ref="I1085">_xlfn.IFS(B1085&lt;18.5, "Underweight", B1085&lt;=24.9, "Normal Weight", B1085&lt;=29.9, "Overweight", TRUE, "Obesity")</f>
        <v>Obesity</v>
      </c>
      <c r="J1085" t="str" cm="1">
        <f t="array" ref="J1085">_xlfn.IFS(C1085&lt;5.7, "Normal", C1085&lt;=6.4, "Prediabetes", TRUE, "Diabetes")</f>
        <v>Normal</v>
      </c>
    </row>
    <row r="1086" spans="1:10">
      <c r="A1086" t="s">
        <v>2170</v>
      </c>
      <c r="B1086">
        <v>28.215</v>
      </c>
      <c r="C1086">
        <v>7.56</v>
      </c>
      <c r="D1086" t="s">
        <v>4683</v>
      </c>
      <c r="E1086" t="s">
        <v>4682</v>
      </c>
      <c r="F1086" t="s">
        <v>4682</v>
      </c>
      <c r="G1086">
        <v>1</v>
      </c>
      <c r="H1086" t="s">
        <v>4682</v>
      </c>
      <c r="I1086" t="str" cm="1">
        <f t="array" ref="I1086">_xlfn.IFS(B1086&lt;18.5, "Underweight", B1086&lt;=24.9, "Normal Weight", B1086&lt;=29.9, "Overweight", TRUE, "Obesity")</f>
        <v>Overweight</v>
      </c>
      <c r="J1086" t="str" cm="1">
        <f t="array" ref="J1086">_xlfn.IFS(C1086&lt;5.7, "Normal", C1086&lt;=6.4, "Prediabetes", TRUE, "Diabetes")</f>
        <v>Diabetes</v>
      </c>
    </row>
    <row r="1087" spans="1:10">
      <c r="A1087" t="s">
        <v>2172</v>
      </c>
      <c r="B1087">
        <v>26.12</v>
      </c>
      <c r="C1087">
        <v>4.17</v>
      </c>
      <c r="D1087" t="s">
        <v>4683</v>
      </c>
      <c r="E1087" t="s">
        <v>4682</v>
      </c>
      <c r="F1087" t="s">
        <v>4684</v>
      </c>
      <c r="G1087">
        <v>1</v>
      </c>
      <c r="H1087" t="s">
        <v>4682</v>
      </c>
      <c r="I1087" t="str" cm="1">
        <f t="array" ref="I1087">_xlfn.IFS(B1087&lt;18.5, "Underweight", B1087&lt;=24.9, "Normal Weight", B1087&lt;=29.9, "Overweight", TRUE, "Obesity")</f>
        <v>Overweight</v>
      </c>
      <c r="J1087" t="str" cm="1">
        <f t="array" ref="J1087">_xlfn.IFS(C1087&lt;5.7, "Normal", C1087&lt;=6.4, "Prediabetes", TRUE, "Diabetes")</f>
        <v>Normal</v>
      </c>
    </row>
    <row r="1088" spans="1:10">
      <c r="A1088" t="s">
        <v>2174</v>
      </c>
      <c r="B1088">
        <v>36.630000000000003</v>
      </c>
      <c r="C1088">
        <v>11.42</v>
      </c>
      <c r="D1088" t="s">
        <v>4682</v>
      </c>
      <c r="E1088" t="s">
        <v>4682</v>
      </c>
      <c r="F1088" t="s">
        <v>4682</v>
      </c>
      <c r="G1088">
        <v>2</v>
      </c>
      <c r="H1088" t="s">
        <v>4682</v>
      </c>
      <c r="I1088" t="str" cm="1">
        <f t="array" ref="I1088">_xlfn.IFS(B1088&lt;18.5, "Underweight", B1088&lt;=24.9, "Normal Weight", B1088&lt;=29.9, "Overweight", TRUE, "Obesity")</f>
        <v>Obesity</v>
      </c>
      <c r="J1088" t="str" cm="1">
        <f t="array" ref="J1088">_xlfn.IFS(C1088&lt;5.7, "Normal", C1088&lt;=6.4, "Prediabetes", TRUE, "Diabetes")</f>
        <v>Diabetes</v>
      </c>
    </row>
    <row r="1089" spans="1:10">
      <c r="A1089" t="s">
        <v>2176</v>
      </c>
      <c r="B1089">
        <v>33.344999999999999</v>
      </c>
      <c r="C1089">
        <v>7.33</v>
      </c>
      <c r="D1089" t="s">
        <v>4682</v>
      </c>
      <c r="E1089" t="s">
        <v>4682</v>
      </c>
      <c r="F1089" t="s">
        <v>4682</v>
      </c>
      <c r="G1089">
        <v>2</v>
      </c>
      <c r="H1089" t="s">
        <v>4682</v>
      </c>
      <c r="I1089" t="str" cm="1">
        <f t="array" ref="I1089">_xlfn.IFS(B1089&lt;18.5, "Underweight", B1089&lt;=24.9, "Normal Weight", B1089&lt;=29.9, "Overweight", TRUE, "Obesity")</f>
        <v>Obesity</v>
      </c>
      <c r="J1089" t="str" cm="1">
        <f t="array" ref="J1089">_xlfn.IFS(C1089&lt;5.7, "Normal", C1089&lt;=6.4, "Prediabetes", TRUE, "Diabetes")</f>
        <v>Diabetes</v>
      </c>
    </row>
    <row r="1090" spans="1:10">
      <c r="A1090" t="s">
        <v>2178</v>
      </c>
      <c r="B1090">
        <v>27.11</v>
      </c>
      <c r="C1090">
        <v>6.7</v>
      </c>
      <c r="D1090" t="s">
        <v>4682</v>
      </c>
      <c r="E1090" t="s">
        <v>4682</v>
      </c>
      <c r="F1090" t="s">
        <v>4682</v>
      </c>
      <c r="G1090">
        <v>0</v>
      </c>
      <c r="H1090" t="s">
        <v>4682</v>
      </c>
      <c r="I1090" t="str" cm="1">
        <f t="array" ref="I1090">_xlfn.IFS(B1090&lt;18.5, "Underweight", B1090&lt;=24.9, "Normal Weight", B1090&lt;=29.9, "Overweight", TRUE, "Obesity")</f>
        <v>Overweight</v>
      </c>
      <c r="J1090" t="str" cm="1">
        <f t="array" ref="J1090">_xlfn.IFS(C1090&lt;5.7, "Normal", C1090&lt;=6.4, "Prediabetes", TRUE, "Diabetes")</f>
        <v>Diabetes</v>
      </c>
    </row>
    <row r="1091" spans="1:10">
      <c r="A1091" t="s">
        <v>2180</v>
      </c>
      <c r="B1091">
        <v>26.6</v>
      </c>
      <c r="C1091">
        <v>5.27</v>
      </c>
      <c r="D1091" t="s">
        <v>4683</v>
      </c>
      <c r="E1091" t="s">
        <v>4682</v>
      </c>
      <c r="F1091" t="s">
        <v>4684</v>
      </c>
      <c r="G1091">
        <v>1</v>
      </c>
      <c r="H1091" t="s">
        <v>4682</v>
      </c>
      <c r="I1091" t="str" cm="1">
        <f t="array" ref="I1091">_xlfn.IFS(B1091&lt;18.5, "Underweight", B1091&lt;=24.9, "Normal Weight", B1091&lt;=29.9, "Overweight", TRUE, "Obesity")</f>
        <v>Overweight</v>
      </c>
      <c r="J1091" t="str" cm="1">
        <f t="array" ref="J1091">_xlfn.IFS(C1091&lt;5.7, "Normal", C1091&lt;=6.4, "Prediabetes", TRUE, "Diabetes")</f>
        <v>Normal</v>
      </c>
    </row>
    <row r="1092" spans="1:10">
      <c r="A1092" t="s">
        <v>2182</v>
      </c>
      <c r="B1092">
        <v>30.41</v>
      </c>
      <c r="C1092">
        <v>7.72</v>
      </c>
      <c r="D1092" t="s">
        <v>4682</v>
      </c>
      <c r="E1092" t="s">
        <v>4682</v>
      </c>
      <c r="F1092" t="s">
        <v>4682</v>
      </c>
      <c r="G1092">
        <v>0</v>
      </c>
      <c r="H1092" t="s">
        <v>4682</v>
      </c>
      <c r="I1092" t="str" cm="1">
        <f t="array" ref="I1092">_xlfn.IFS(B1092&lt;18.5, "Underweight", B1092&lt;=24.9, "Normal Weight", B1092&lt;=29.9, "Overweight", TRUE, "Obesity")</f>
        <v>Obesity</v>
      </c>
      <c r="J1092" t="str" cm="1">
        <f t="array" ref="J1092">_xlfn.IFS(C1092&lt;5.7, "Normal", C1092&lt;=6.4, "Prediabetes", TRUE, "Diabetes")</f>
        <v>Diabetes</v>
      </c>
    </row>
    <row r="1093" spans="1:10">
      <c r="A1093" t="s">
        <v>2184</v>
      </c>
      <c r="B1093">
        <v>28.98</v>
      </c>
      <c r="C1093">
        <v>8.68</v>
      </c>
      <c r="D1093" t="s">
        <v>4682</v>
      </c>
      <c r="E1093" t="s">
        <v>4682</v>
      </c>
      <c r="F1093" t="s">
        <v>4682</v>
      </c>
      <c r="G1093">
        <v>2</v>
      </c>
      <c r="H1093" t="s">
        <v>4682</v>
      </c>
      <c r="I1093" t="str" cm="1">
        <f t="array" ref="I1093">_xlfn.IFS(B1093&lt;18.5, "Underweight", B1093&lt;=24.9, "Normal Weight", B1093&lt;=29.9, "Overweight", TRUE, "Obesity")</f>
        <v>Overweight</v>
      </c>
      <c r="J1093" t="str" cm="1">
        <f t="array" ref="J1093">_xlfn.IFS(C1093&lt;5.7, "Normal", C1093&lt;=6.4, "Prediabetes", TRUE, "Diabetes")</f>
        <v>Diabetes</v>
      </c>
    </row>
    <row r="1094" spans="1:10">
      <c r="A1094" t="s">
        <v>2186</v>
      </c>
      <c r="B1094">
        <v>31.24</v>
      </c>
      <c r="C1094">
        <v>9.8000000000000007</v>
      </c>
      <c r="D1094" t="s">
        <v>4682</v>
      </c>
      <c r="E1094" t="s">
        <v>4682</v>
      </c>
      <c r="F1094" t="s">
        <v>4682</v>
      </c>
      <c r="G1094">
        <v>0</v>
      </c>
      <c r="H1094" t="s">
        <v>4682</v>
      </c>
      <c r="I1094" t="str" cm="1">
        <f t="array" ref="I1094">_xlfn.IFS(B1094&lt;18.5, "Underweight", B1094&lt;=24.9, "Normal Weight", B1094&lt;=29.9, "Overweight", TRUE, "Obesity")</f>
        <v>Obesity</v>
      </c>
      <c r="J1094" t="str" cm="1">
        <f t="array" ref="J1094">_xlfn.IFS(C1094&lt;5.7, "Normal", C1094&lt;=6.4, "Prediabetes", TRUE, "Diabetes")</f>
        <v>Diabetes</v>
      </c>
    </row>
    <row r="1095" spans="1:10">
      <c r="A1095" t="s">
        <v>2188</v>
      </c>
      <c r="B1095">
        <v>31.54</v>
      </c>
      <c r="C1095">
        <v>4.4400000000000004</v>
      </c>
      <c r="D1095" t="s">
        <v>4682</v>
      </c>
      <c r="E1095" t="s">
        <v>4682</v>
      </c>
      <c r="F1095" t="s">
        <v>4682</v>
      </c>
      <c r="G1095">
        <v>0</v>
      </c>
      <c r="H1095" t="s">
        <v>4682</v>
      </c>
      <c r="I1095" t="str" cm="1">
        <f t="array" ref="I1095">_xlfn.IFS(B1095&lt;18.5, "Underweight", B1095&lt;=24.9, "Normal Weight", B1095&lt;=29.9, "Overweight", TRUE, "Obesity")</f>
        <v>Obesity</v>
      </c>
      <c r="J1095" t="str" cm="1">
        <f t="array" ref="J1095">_xlfn.IFS(C1095&lt;5.7, "Normal", C1095&lt;=6.4, "Prediabetes", TRUE, "Diabetes")</f>
        <v>Normal</v>
      </c>
    </row>
    <row r="1096" spans="1:10">
      <c r="A1096" t="s">
        <v>2190</v>
      </c>
      <c r="B1096">
        <v>38.6</v>
      </c>
      <c r="C1096">
        <v>7.19</v>
      </c>
      <c r="D1096" t="s">
        <v>4683</v>
      </c>
      <c r="E1096" t="s">
        <v>4682</v>
      </c>
      <c r="F1096" t="s">
        <v>4682</v>
      </c>
      <c r="G1096">
        <v>2</v>
      </c>
      <c r="H1096" t="s">
        <v>4682</v>
      </c>
      <c r="I1096" t="str" cm="1">
        <f t="array" ref="I1096">_xlfn.IFS(B1096&lt;18.5, "Underweight", B1096&lt;=24.9, "Normal Weight", B1096&lt;=29.9, "Overweight", TRUE, "Obesity")</f>
        <v>Obesity</v>
      </c>
      <c r="J1096" t="str" cm="1">
        <f t="array" ref="J1096">_xlfn.IFS(C1096&lt;5.7, "Normal", C1096&lt;=6.4, "Prediabetes", TRUE, "Diabetes")</f>
        <v>Diabetes</v>
      </c>
    </row>
    <row r="1097" spans="1:10">
      <c r="A1097" t="s">
        <v>2192</v>
      </c>
      <c r="B1097">
        <v>37.950000000000003</v>
      </c>
      <c r="C1097">
        <v>6.06</v>
      </c>
      <c r="D1097" t="s">
        <v>4682</v>
      </c>
      <c r="E1097" t="s">
        <v>4682</v>
      </c>
      <c r="F1097" t="s">
        <v>4682</v>
      </c>
      <c r="G1097">
        <v>0</v>
      </c>
      <c r="H1097" t="s">
        <v>4682</v>
      </c>
      <c r="I1097" t="str" cm="1">
        <f t="array" ref="I1097">_xlfn.IFS(B1097&lt;18.5, "Underweight", B1097&lt;=24.9, "Normal Weight", B1097&lt;=29.9, "Overweight", TRUE, "Obesity")</f>
        <v>Obesity</v>
      </c>
      <c r="J1097" t="str" cm="1">
        <f t="array" ref="J1097">_xlfn.IFS(C1097&lt;5.7, "Normal", C1097&lt;=6.4, "Prediabetes", TRUE, "Diabetes")</f>
        <v>Prediabetes</v>
      </c>
    </row>
    <row r="1098" spans="1:10">
      <c r="A1098" t="s">
        <v>2194</v>
      </c>
      <c r="B1098">
        <v>38.97</v>
      </c>
      <c r="C1098">
        <v>5.12</v>
      </c>
      <c r="D1098" t="s">
        <v>4682</v>
      </c>
      <c r="E1098" t="s">
        <v>4682</v>
      </c>
      <c r="F1098" t="s">
        <v>4682</v>
      </c>
      <c r="G1098">
        <v>0</v>
      </c>
      <c r="H1098" t="s">
        <v>4682</v>
      </c>
      <c r="I1098" t="str" cm="1">
        <f t="array" ref="I1098">_xlfn.IFS(B1098&lt;18.5, "Underweight", B1098&lt;=24.9, "Normal Weight", B1098&lt;=29.9, "Overweight", TRUE, "Obesity")</f>
        <v>Obesity</v>
      </c>
      <c r="J1098" t="str" cm="1">
        <f t="array" ref="J1098">_xlfn.IFS(C1098&lt;5.7, "Normal", C1098&lt;=6.4, "Prediabetes", TRUE, "Diabetes")</f>
        <v>Normal</v>
      </c>
    </row>
    <row r="1099" spans="1:10">
      <c r="A1099" t="s">
        <v>2196</v>
      </c>
      <c r="B1099">
        <v>21.2</v>
      </c>
      <c r="C1099">
        <v>10.72</v>
      </c>
      <c r="D1099" t="s">
        <v>4682</v>
      </c>
      <c r="E1099" t="s">
        <v>4682</v>
      </c>
      <c r="F1099" t="s">
        <v>4682</v>
      </c>
      <c r="G1099">
        <v>0</v>
      </c>
      <c r="H1099" t="s">
        <v>4682</v>
      </c>
      <c r="I1099" t="str" cm="1">
        <f t="array" ref="I1099">_xlfn.IFS(B1099&lt;18.5, "Underweight", B1099&lt;=24.9, "Normal Weight", B1099&lt;=29.9, "Overweight", TRUE, "Obesity")</f>
        <v>Normal Weight</v>
      </c>
      <c r="J1099" t="str" cm="1">
        <f t="array" ref="J1099">_xlfn.IFS(C1099&lt;5.7, "Normal", C1099&lt;=6.4, "Prediabetes", TRUE, "Diabetes")</f>
        <v>Diabetes</v>
      </c>
    </row>
    <row r="1100" spans="1:10">
      <c r="A1100" t="s">
        <v>2198</v>
      </c>
      <c r="B1100">
        <v>23.96</v>
      </c>
      <c r="C1100">
        <v>9.58</v>
      </c>
      <c r="D1100" t="s">
        <v>4683</v>
      </c>
      <c r="E1100" t="s">
        <v>4682</v>
      </c>
      <c r="F1100" t="s">
        <v>4684</v>
      </c>
      <c r="G1100">
        <v>1</v>
      </c>
      <c r="H1100" t="s">
        <v>4682</v>
      </c>
      <c r="I1100" t="str" cm="1">
        <f t="array" ref="I1100">_xlfn.IFS(B1100&lt;18.5, "Underweight", B1100&lt;=24.9, "Normal Weight", B1100&lt;=29.9, "Overweight", TRUE, "Obesity")</f>
        <v>Normal Weight</v>
      </c>
      <c r="J1100" t="str" cm="1">
        <f t="array" ref="J1100">_xlfn.IFS(C1100&lt;5.7, "Normal", C1100&lt;=6.4, "Prediabetes", TRUE, "Diabetes")</f>
        <v>Diabetes</v>
      </c>
    </row>
    <row r="1101" spans="1:10">
      <c r="A1101" t="s">
        <v>2200</v>
      </c>
      <c r="B1101">
        <v>35.93</v>
      </c>
      <c r="C1101">
        <v>6.4</v>
      </c>
      <c r="D1101" t="s">
        <v>4683</v>
      </c>
      <c r="E1101" t="s">
        <v>4682</v>
      </c>
      <c r="F1101" t="s">
        <v>4682</v>
      </c>
      <c r="G1101">
        <v>1</v>
      </c>
      <c r="H1101" t="s">
        <v>4682</v>
      </c>
      <c r="I1101" t="str" cm="1">
        <f t="array" ref="I1101">_xlfn.IFS(B1101&lt;18.5, "Underweight", B1101&lt;=24.9, "Normal Weight", B1101&lt;=29.9, "Overweight", TRUE, "Obesity")</f>
        <v>Obesity</v>
      </c>
      <c r="J1101" t="str" cm="1">
        <f t="array" ref="J1101">_xlfn.IFS(C1101&lt;5.7, "Normal", C1101&lt;=6.4, "Prediabetes", TRUE, "Diabetes")</f>
        <v>Prediabetes</v>
      </c>
    </row>
    <row r="1102" spans="1:10">
      <c r="A1102" t="s">
        <v>2202</v>
      </c>
      <c r="B1102">
        <v>26.11</v>
      </c>
      <c r="C1102">
        <v>6.8</v>
      </c>
      <c r="D1102" t="s">
        <v>4683</v>
      </c>
      <c r="E1102" t="s">
        <v>4682</v>
      </c>
      <c r="F1102" t="s">
        <v>4682</v>
      </c>
      <c r="G1102">
        <v>2</v>
      </c>
      <c r="H1102" t="s">
        <v>4682</v>
      </c>
      <c r="I1102" t="str" cm="1">
        <f t="array" ref="I1102">_xlfn.IFS(B1102&lt;18.5, "Underweight", B1102&lt;=24.9, "Normal Weight", B1102&lt;=29.9, "Overweight", TRUE, "Obesity")</f>
        <v>Overweight</v>
      </c>
      <c r="J1102" t="str" cm="1">
        <f t="array" ref="J1102">_xlfn.IFS(C1102&lt;5.7, "Normal", C1102&lt;=6.4, "Prediabetes", TRUE, "Diabetes")</f>
        <v>Diabetes</v>
      </c>
    </row>
    <row r="1103" spans="1:10">
      <c r="A1103" t="s">
        <v>2204</v>
      </c>
      <c r="B1103">
        <v>32.299999999999997</v>
      </c>
      <c r="C1103">
        <v>9.48</v>
      </c>
      <c r="D1103" t="s">
        <v>4682</v>
      </c>
      <c r="E1103" t="s">
        <v>4682</v>
      </c>
      <c r="F1103" t="s">
        <v>4682</v>
      </c>
      <c r="G1103">
        <v>2</v>
      </c>
      <c r="H1103" t="s">
        <v>4682</v>
      </c>
      <c r="I1103" t="str" cm="1">
        <f t="array" ref="I1103">_xlfn.IFS(B1103&lt;18.5, "Underweight", B1103&lt;=24.9, "Normal Weight", B1103&lt;=29.9, "Overweight", TRUE, "Obesity")</f>
        <v>Obesity</v>
      </c>
      <c r="J1103" t="str" cm="1">
        <f t="array" ref="J1103">_xlfn.IFS(C1103&lt;5.7, "Normal", C1103&lt;=6.4, "Prediabetes", TRUE, "Diabetes")</f>
        <v>Diabetes</v>
      </c>
    </row>
    <row r="1104" spans="1:10">
      <c r="A1104" t="s">
        <v>2206</v>
      </c>
      <c r="B1104">
        <v>28.69</v>
      </c>
      <c r="C1104">
        <v>7.45</v>
      </c>
      <c r="D1104" t="s">
        <v>4682</v>
      </c>
      <c r="E1104" t="s">
        <v>4682</v>
      </c>
      <c r="F1104" t="s">
        <v>4682</v>
      </c>
      <c r="G1104">
        <v>2</v>
      </c>
      <c r="H1104" t="s">
        <v>4682</v>
      </c>
      <c r="I1104" t="str" cm="1">
        <f t="array" ref="I1104">_xlfn.IFS(B1104&lt;18.5, "Underweight", B1104&lt;=24.9, "Normal Weight", B1104&lt;=29.9, "Overweight", TRUE, "Obesity")</f>
        <v>Overweight</v>
      </c>
      <c r="J1104" t="str" cm="1">
        <f t="array" ref="J1104">_xlfn.IFS(C1104&lt;5.7, "Normal", C1104&lt;=6.4, "Prediabetes", TRUE, "Diabetes")</f>
        <v>Diabetes</v>
      </c>
    </row>
    <row r="1105" spans="1:10">
      <c r="A1105" t="s">
        <v>2208</v>
      </c>
      <c r="B1105">
        <v>31.28</v>
      </c>
      <c r="C1105">
        <v>6.94</v>
      </c>
      <c r="D1105" t="s">
        <v>4683</v>
      </c>
      <c r="E1105" t="s">
        <v>4682</v>
      </c>
      <c r="F1105" t="s">
        <v>4682</v>
      </c>
      <c r="G1105">
        <v>1</v>
      </c>
      <c r="H1105" t="s">
        <v>4682</v>
      </c>
      <c r="I1105" t="str" cm="1">
        <f t="array" ref="I1105">_xlfn.IFS(B1105&lt;18.5, "Underweight", B1105&lt;=24.9, "Normal Weight", B1105&lt;=29.9, "Overweight", TRUE, "Obesity")</f>
        <v>Obesity</v>
      </c>
      <c r="J1105" t="str" cm="1">
        <f t="array" ref="J1105">_xlfn.IFS(C1105&lt;5.7, "Normal", C1105&lt;=6.4, "Prediabetes", TRUE, "Diabetes")</f>
        <v>Diabetes</v>
      </c>
    </row>
    <row r="1106" spans="1:10">
      <c r="A1106" t="s">
        <v>2210</v>
      </c>
      <c r="B1106">
        <v>30.21</v>
      </c>
      <c r="C1106">
        <v>7.83</v>
      </c>
      <c r="D1106" t="s">
        <v>4682</v>
      </c>
      <c r="E1106" t="s">
        <v>4682</v>
      </c>
      <c r="F1106" t="s">
        <v>4682</v>
      </c>
      <c r="G1106">
        <v>0</v>
      </c>
      <c r="H1106" t="s">
        <v>4682</v>
      </c>
      <c r="I1106" t="str" cm="1">
        <f t="array" ref="I1106">_xlfn.IFS(B1106&lt;18.5, "Underweight", B1106&lt;=24.9, "Normal Weight", B1106&lt;=29.9, "Overweight", TRUE, "Obesity")</f>
        <v>Obesity</v>
      </c>
      <c r="J1106" t="str" cm="1">
        <f t="array" ref="J1106">_xlfn.IFS(C1106&lt;5.7, "Normal", C1106&lt;=6.4, "Prediabetes", TRUE, "Diabetes")</f>
        <v>Diabetes</v>
      </c>
    </row>
    <row r="1107" spans="1:10">
      <c r="A1107" t="s">
        <v>2212</v>
      </c>
      <c r="B1107">
        <v>38.28</v>
      </c>
      <c r="C1107">
        <v>10.17</v>
      </c>
      <c r="D1107" t="s">
        <v>4683</v>
      </c>
      <c r="E1107" t="s">
        <v>4682</v>
      </c>
      <c r="F1107" t="s">
        <v>4682</v>
      </c>
      <c r="G1107">
        <v>0</v>
      </c>
      <c r="H1107" t="s">
        <v>4682</v>
      </c>
      <c r="I1107" t="str" cm="1">
        <f t="array" ref="I1107">_xlfn.IFS(B1107&lt;18.5, "Underweight", B1107&lt;=24.9, "Normal Weight", B1107&lt;=29.9, "Overweight", TRUE, "Obesity")</f>
        <v>Obesity</v>
      </c>
      <c r="J1107" t="str" cm="1">
        <f t="array" ref="J1107">_xlfn.IFS(C1107&lt;5.7, "Normal", C1107&lt;=6.4, "Prediabetes", TRUE, "Diabetes")</f>
        <v>Diabetes</v>
      </c>
    </row>
    <row r="1108" spans="1:10">
      <c r="A1108" t="s">
        <v>2214</v>
      </c>
      <c r="B1108">
        <v>29.9</v>
      </c>
      <c r="C1108">
        <v>8.9600000000000009</v>
      </c>
      <c r="D1108" t="s">
        <v>4683</v>
      </c>
      <c r="E1108" t="s">
        <v>4682</v>
      </c>
      <c r="F1108" t="s">
        <v>4682</v>
      </c>
      <c r="G1108">
        <v>0</v>
      </c>
      <c r="H1108" t="s">
        <v>4682</v>
      </c>
      <c r="I1108" t="str" cm="1">
        <f t="array" ref="I1108">_xlfn.IFS(B1108&lt;18.5, "Underweight", B1108&lt;=24.9, "Normal Weight", B1108&lt;=29.9, "Overweight", TRUE, "Obesity")</f>
        <v>Overweight</v>
      </c>
      <c r="J1108" t="str" cm="1">
        <f t="array" ref="J1108">_xlfn.IFS(C1108&lt;5.7, "Normal", C1108&lt;=6.4, "Prediabetes", TRUE, "Diabetes")</f>
        <v>Diabetes</v>
      </c>
    </row>
    <row r="1109" spans="1:10">
      <c r="A1109" t="s">
        <v>2216</v>
      </c>
      <c r="B1109">
        <v>23.18</v>
      </c>
      <c r="C1109">
        <v>6.96</v>
      </c>
      <c r="D1109" t="s">
        <v>4683</v>
      </c>
      <c r="E1109" t="s">
        <v>4682</v>
      </c>
      <c r="F1109" t="s">
        <v>4682</v>
      </c>
      <c r="G1109">
        <v>2</v>
      </c>
      <c r="H1109" t="s">
        <v>4682</v>
      </c>
      <c r="I1109" t="str" cm="1">
        <f t="array" ref="I1109">_xlfn.IFS(B1109&lt;18.5, "Underweight", B1109&lt;=24.9, "Normal Weight", B1109&lt;=29.9, "Overweight", TRUE, "Obesity")</f>
        <v>Normal Weight</v>
      </c>
      <c r="J1109" t="str" cm="1">
        <f t="array" ref="J1109">_xlfn.IFS(C1109&lt;5.7, "Normal", C1109&lt;=6.4, "Prediabetes", TRUE, "Diabetes")</f>
        <v>Diabetes</v>
      </c>
    </row>
    <row r="1110" spans="1:10">
      <c r="A1110" t="s">
        <v>2218</v>
      </c>
      <c r="B1110">
        <v>33.020000000000003</v>
      </c>
      <c r="C1110">
        <v>5.07</v>
      </c>
      <c r="D1110" t="s">
        <v>4683</v>
      </c>
      <c r="E1110" t="s">
        <v>4682</v>
      </c>
      <c r="F1110" t="s">
        <v>4682</v>
      </c>
      <c r="G1110">
        <v>0</v>
      </c>
      <c r="H1110" t="s">
        <v>4682</v>
      </c>
      <c r="I1110" t="str" cm="1">
        <f t="array" ref="I1110">_xlfn.IFS(B1110&lt;18.5, "Underweight", B1110&lt;=24.9, "Normal Weight", B1110&lt;=29.9, "Overweight", TRUE, "Obesity")</f>
        <v>Obesity</v>
      </c>
      <c r="J1110" t="str" cm="1">
        <f t="array" ref="J1110">_xlfn.IFS(C1110&lt;5.7, "Normal", C1110&lt;=6.4, "Prediabetes", TRUE, "Diabetes")</f>
        <v>Normal</v>
      </c>
    </row>
    <row r="1111" spans="1:10">
      <c r="A1111" t="s">
        <v>2220</v>
      </c>
      <c r="B1111">
        <v>27.29</v>
      </c>
      <c r="C1111">
        <v>5.85</v>
      </c>
      <c r="D1111" t="s">
        <v>4682</v>
      </c>
      <c r="E1111" t="s">
        <v>4682</v>
      </c>
      <c r="F1111" t="s">
        <v>4682</v>
      </c>
      <c r="G1111">
        <v>2</v>
      </c>
      <c r="H1111" t="s">
        <v>4682</v>
      </c>
      <c r="I1111" t="str" cm="1">
        <f t="array" ref="I1111">_xlfn.IFS(B1111&lt;18.5, "Underweight", B1111&lt;=24.9, "Normal Weight", B1111&lt;=29.9, "Overweight", TRUE, "Obesity")</f>
        <v>Overweight</v>
      </c>
      <c r="J1111" t="str" cm="1">
        <f t="array" ref="J1111">_xlfn.IFS(C1111&lt;5.7, "Normal", C1111&lt;=6.4, "Prediabetes", TRUE, "Diabetes")</f>
        <v>Prediabetes</v>
      </c>
    </row>
    <row r="1112" spans="1:10">
      <c r="A1112" t="s">
        <v>2222</v>
      </c>
      <c r="B1112">
        <v>23.18</v>
      </c>
      <c r="C1112">
        <v>10.56</v>
      </c>
      <c r="D1112" t="s">
        <v>4682</v>
      </c>
      <c r="E1112" t="s">
        <v>4682</v>
      </c>
      <c r="F1112" t="s">
        <v>4682</v>
      </c>
      <c r="G1112">
        <v>2</v>
      </c>
      <c r="H1112" t="s">
        <v>4682</v>
      </c>
      <c r="I1112" t="str" cm="1">
        <f t="array" ref="I1112">_xlfn.IFS(B1112&lt;18.5, "Underweight", B1112&lt;=24.9, "Normal Weight", B1112&lt;=29.9, "Overweight", TRUE, "Obesity")</f>
        <v>Normal Weight</v>
      </c>
      <c r="J1112" t="str" cm="1">
        <f t="array" ref="J1112">_xlfn.IFS(C1112&lt;5.7, "Normal", C1112&lt;=6.4, "Prediabetes", TRUE, "Diabetes")</f>
        <v>Diabetes</v>
      </c>
    </row>
    <row r="1113" spans="1:10">
      <c r="A1113" t="s">
        <v>2224</v>
      </c>
      <c r="B1113">
        <v>32.659999999999997</v>
      </c>
      <c r="C1113">
        <v>8.92</v>
      </c>
      <c r="D1113" t="s">
        <v>4683</v>
      </c>
      <c r="E1113" t="s">
        <v>4682</v>
      </c>
      <c r="F1113" t="s">
        <v>4682</v>
      </c>
      <c r="G1113">
        <v>0</v>
      </c>
      <c r="H1113" t="s">
        <v>4682</v>
      </c>
      <c r="I1113" t="str" cm="1">
        <f t="array" ref="I1113">_xlfn.IFS(B1113&lt;18.5, "Underweight", B1113&lt;=24.9, "Normal Weight", B1113&lt;=29.9, "Overweight", TRUE, "Obesity")</f>
        <v>Obesity</v>
      </c>
      <c r="J1113" t="str" cm="1">
        <f t="array" ref="J1113">_xlfn.IFS(C1113&lt;5.7, "Normal", C1113&lt;=6.4, "Prediabetes", TRUE, "Diabetes")</f>
        <v>Diabetes</v>
      </c>
    </row>
    <row r="1114" spans="1:10">
      <c r="A1114" t="s">
        <v>2226</v>
      </c>
      <c r="B1114">
        <v>30.78</v>
      </c>
      <c r="C1114">
        <v>8.6300000000000008</v>
      </c>
      <c r="D1114" t="s">
        <v>4682</v>
      </c>
      <c r="E1114" t="s">
        <v>4682</v>
      </c>
      <c r="F1114" t="s">
        <v>4682</v>
      </c>
      <c r="G1114">
        <v>0</v>
      </c>
      <c r="H1114" t="s">
        <v>4682</v>
      </c>
      <c r="I1114" t="str" cm="1">
        <f t="array" ref="I1114">_xlfn.IFS(B1114&lt;18.5, "Underweight", B1114&lt;=24.9, "Normal Weight", B1114&lt;=29.9, "Overweight", TRUE, "Obesity")</f>
        <v>Obesity</v>
      </c>
      <c r="J1114" t="str" cm="1">
        <f t="array" ref="J1114">_xlfn.IFS(C1114&lt;5.7, "Normal", C1114&lt;=6.4, "Prediabetes", TRUE, "Diabetes")</f>
        <v>Diabetes</v>
      </c>
    </row>
    <row r="1115" spans="1:10">
      <c r="A1115" t="s">
        <v>2228</v>
      </c>
      <c r="B1115">
        <v>47.2</v>
      </c>
      <c r="C1115">
        <v>6.29</v>
      </c>
      <c r="D1115" t="s">
        <v>4683</v>
      </c>
      <c r="E1115" t="s">
        <v>4682</v>
      </c>
      <c r="F1115" t="s">
        <v>4684</v>
      </c>
      <c r="G1115">
        <v>1</v>
      </c>
      <c r="H1115" t="s">
        <v>4682</v>
      </c>
      <c r="I1115" t="str" cm="1">
        <f t="array" ref="I1115">_xlfn.IFS(B1115&lt;18.5, "Underweight", B1115&lt;=24.9, "Normal Weight", B1115&lt;=29.9, "Overweight", TRUE, "Obesity")</f>
        <v>Obesity</v>
      </c>
      <c r="J1115" t="str" cm="1">
        <f t="array" ref="J1115">_xlfn.IFS(C1115&lt;5.7, "Normal", C1115&lt;=6.4, "Prediabetes", TRUE, "Diabetes")</f>
        <v>Prediabetes</v>
      </c>
    </row>
    <row r="1116" spans="1:10">
      <c r="A1116" t="s">
        <v>2230</v>
      </c>
      <c r="B1116">
        <v>31.6</v>
      </c>
      <c r="C1116">
        <v>5.75</v>
      </c>
      <c r="D1116" t="s">
        <v>4682</v>
      </c>
      <c r="E1116" t="s">
        <v>4682</v>
      </c>
      <c r="F1116" t="s">
        <v>4682</v>
      </c>
      <c r="G1116">
        <v>2</v>
      </c>
      <c r="H1116" t="s">
        <v>4682</v>
      </c>
      <c r="I1116" t="str" cm="1">
        <f t="array" ref="I1116">_xlfn.IFS(B1116&lt;18.5, "Underweight", B1116&lt;=24.9, "Normal Weight", B1116&lt;=29.9, "Overweight", TRUE, "Obesity")</f>
        <v>Obesity</v>
      </c>
      <c r="J1116" t="str" cm="1">
        <f t="array" ref="J1116">_xlfn.IFS(C1116&lt;5.7, "Normal", C1116&lt;=6.4, "Prediabetes", TRUE, "Diabetes")</f>
        <v>Prediabetes</v>
      </c>
    </row>
    <row r="1117" spans="1:10">
      <c r="A1117" t="s">
        <v>2232</v>
      </c>
      <c r="B1117">
        <v>33.914999999999999</v>
      </c>
      <c r="C1117">
        <v>6.66</v>
      </c>
      <c r="D1117" t="s">
        <v>4683</v>
      </c>
      <c r="E1117" t="s">
        <v>4682</v>
      </c>
      <c r="F1117" t="s">
        <v>4682</v>
      </c>
      <c r="G1117">
        <v>1</v>
      </c>
      <c r="H1117" t="s">
        <v>4682</v>
      </c>
      <c r="I1117" t="str" cm="1">
        <f t="array" ref="I1117">_xlfn.IFS(B1117&lt;18.5, "Underweight", B1117&lt;=24.9, "Normal Weight", B1117&lt;=29.9, "Overweight", TRUE, "Obesity")</f>
        <v>Obesity</v>
      </c>
      <c r="J1117" t="str" cm="1">
        <f t="array" ref="J1117">_xlfn.IFS(C1117&lt;5.7, "Normal", C1117&lt;=6.4, "Prediabetes", TRUE, "Diabetes")</f>
        <v>Diabetes</v>
      </c>
    </row>
    <row r="1118" spans="1:10">
      <c r="A1118" t="s">
        <v>2234</v>
      </c>
      <c r="B1118">
        <v>23.54</v>
      </c>
      <c r="C1118">
        <v>5.0999999999999996</v>
      </c>
      <c r="D1118" t="s">
        <v>4682</v>
      </c>
      <c r="E1118" t="s">
        <v>4682</v>
      </c>
      <c r="F1118" t="s">
        <v>4682</v>
      </c>
      <c r="G1118">
        <v>2</v>
      </c>
      <c r="H1118" t="s">
        <v>4682</v>
      </c>
      <c r="I1118" t="str" cm="1">
        <f t="array" ref="I1118">_xlfn.IFS(B1118&lt;18.5, "Underweight", B1118&lt;=24.9, "Normal Weight", B1118&lt;=29.9, "Overweight", TRUE, "Obesity")</f>
        <v>Normal Weight</v>
      </c>
      <c r="J1118" t="str" cm="1">
        <f t="array" ref="J1118">_xlfn.IFS(C1118&lt;5.7, "Normal", C1118&lt;=6.4, "Prediabetes", TRUE, "Diabetes")</f>
        <v>Normal</v>
      </c>
    </row>
    <row r="1119" spans="1:10">
      <c r="A1119" t="s">
        <v>2236</v>
      </c>
      <c r="B1119">
        <v>27.074999999999999</v>
      </c>
      <c r="C1119">
        <v>4.41</v>
      </c>
      <c r="D1119" t="s">
        <v>4682</v>
      </c>
      <c r="E1119" t="s">
        <v>4682</v>
      </c>
      <c r="F1119" t="s">
        <v>4682</v>
      </c>
      <c r="G1119">
        <v>2</v>
      </c>
      <c r="H1119" t="s">
        <v>4682</v>
      </c>
      <c r="I1119" t="str" cm="1">
        <f t="array" ref="I1119">_xlfn.IFS(B1119&lt;18.5, "Underweight", B1119&lt;=24.9, "Normal Weight", B1119&lt;=29.9, "Overweight", TRUE, "Obesity")</f>
        <v>Overweight</v>
      </c>
      <c r="J1119" t="str" cm="1">
        <f t="array" ref="J1119">_xlfn.IFS(C1119&lt;5.7, "Normal", C1119&lt;=6.4, "Prediabetes", TRUE, "Diabetes")</f>
        <v>Normal</v>
      </c>
    </row>
    <row r="1120" spans="1:10">
      <c r="A1120" t="s">
        <v>2238</v>
      </c>
      <c r="B1120">
        <v>25.8</v>
      </c>
      <c r="C1120">
        <v>5.52</v>
      </c>
      <c r="D1120" t="s">
        <v>4683</v>
      </c>
      <c r="E1120" t="s">
        <v>4682</v>
      </c>
      <c r="F1120" t="s">
        <v>4682</v>
      </c>
      <c r="G1120">
        <v>0</v>
      </c>
      <c r="H1120" t="s">
        <v>4682</v>
      </c>
      <c r="I1120" t="str" cm="1">
        <f t="array" ref="I1120">_xlfn.IFS(B1120&lt;18.5, "Underweight", B1120&lt;=24.9, "Normal Weight", B1120&lt;=29.9, "Overweight", TRUE, "Obesity")</f>
        <v>Overweight</v>
      </c>
      <c r="J1120" t="str" cm="1">
        <f t="array" ref="J1120">_xlfn.IFS(C1120&lt;5.7, "Normal", C1120&lt;=6.4, "Prediabetes", TRUE, "Diabetes")</f>
        <v>Normal</v>
      </c>
    </row>
    <row r="1121" spans="1:10">
      <c r="A1121" t="s">
        <v>2240</v>
      </c>
      <c r="B1121">
        <v>36.1</v>
      </c>
      <c r="C1121">
        <v>4.62</v>
      </c>
      <c r="D1121" t="s">
        <v>4683</v>
      </c>
      <c r="E1121" t="s">
        <v>4682</v>
      </c>
      <c r="F1121" t="s">
        <v>4684</v>
      </c>
      <c r="G1121">
        <v>1</v>
      </c>
      <c r="H1121" t="s">
        <v>4682</v>
      </c>
      <c r="I1121" t="str" cm="1">
        <f t="array" ref="I1121">_xlfn.IFS(B1121&lt;18.5, "Underweight", B1121&lt;=24.9, "Normal Weight", B1121&lt;=29.9, "Overweight", TRUE, "Obesity")</f>
        <v>Obesity</v>
      </c>
      <c r="J1121" t="str" cm="1">
        <f t="array" ref="J1121">_xlfn.IFS(C1121&lt;5.7, "Normal", C1121&lt;=6.4, "Prediabetes", TRUE, "Diabetes")</f>
        <v>Normal</v>
      </c>
    </row>
    <row r="1122" spans="1:10">
      <c r="A1122" t="s">
        <v>2242</v>
      </c>
      <c r="B1122">
        <v>30.495000000000001</v>
      </c>
      <c r="C1122">
        <v>5.74</v>
      </c>
      <c r="D1122" t="s">
        <v>4683</v>
      </c>
      <c r="E1122" t="s">
        <v>4682</v>
      </c>
      <c r="F1122" t="s">
        <v>4684</v>
      </c>
      <c r="G1122">
        <v>1</v>
      </c>
      <c r="H1122" t="s">
        <v>4682</v>
      </c>
      <c r="I1122" t="str" cm="1">
        <f t="array" ref="I1122">_xlfn.IFS(B1122&lt;18.5, "Underweight", B1122&lt;=24.9, "Normal Weight", B1122&lt;=29.9, "Overweight", TRUE, "Obesity")</f>
        <v>Obesity</v>
      </c>
      <c r="J1122" t="str" cm="1">
        <f t="array" ref="J1122">_xlfn.IFS(C1122&lt;5.7, "Normal", C1122&lt;=6.4, "Prediabetes", TRUE, "Diabetes")</f>
        <v>Prediabetes</v>
      </c>
    </row>
    <row r="1123" spans="1:10">
      <c r="A1123" t="s">
        <v>2244</v>
      </c>
      <c r="B1123">
        <v>21.4</v>
      </c>
      <c r="C1123">
        <v>6.3</v>
      </c>
      <c r="D1123" t="s">
        <v>4683</v>
      </c>
      <c r="E1123" t="s">
        <v>4682</v>
      </c>
      <c r="F1123" t="s">
        <v>4684</v>
      </c>
      <c r="G1123">
        <v>1</v>
      </c>
      <c r="H1123" t="s">
        <v>4682</v>
      </c>
      <c r="I1123" t="str" cm="1">
        <f t="array" ref="I1123">_xlfn.IFS(B1123&lt;18.5, "Underweight", B1123&lt;=24.9, "Normal Weight", B1123&lt;=29.9, "Overweight", TRUE, "Obesity")</f>
        <v>Normal Weight</v>
      </c>
      <c r="J1123" t="str" cm="1">
        <f t="array" ref="J1123">_xlfn.IFS(C1123&lt;5.7, "Normal", C1123&lt;=6.4, "Prediabetes", TRUE, "Diabetes")</f>
        <v>Prediabetes</v>
      </c>
    </row>
    <row r="1124" spans="1:10">
      <c r="A1124" t="s">
        <v>2246</v>
      </c>
      <c r="B1124">
        <v>32.299999999999997</v>
      </c>
      <c r="C1124">
        <v>10.27</v>
      </c>
      <c r="D1124" t="s">
        <v>4682</v>
      </c>
      <c r="E1124" t="s">
        <v>4682</v>
      </c>
      <c r="F1124" t="s">
        <v>4682</v>
      </c>
      <c r="G1124">
        <v>0</v>
      </c>
      <c r="H1124" t="s">
        <v>4682</v>
      </c>
      <c r="I1124" t="str" cm="1">
        <f t="array" ref="I1124">_xlfn.IFS(B1124&lt;18.5, "Underweight", B1124&lt;=24.9, "Normal Weight", B1124&lt;=29.9, "Overweight", TRUE, "Obesity")</f>
        <v>Obesity</v>
      </c>
      <c r="J1124" t="str" cm="1">
        <f t="array" ref="J1124">_xlfn.IFS(C1124&lt;5.7, "Normal", C1124&lt;=6.4, "Prediabetes", TRUE, "Diabetes")</f>
        <v>Diabetes</v>
      </c>
    </row>
    <row r="1125" spans="1:10">
      <c r="A1125" t="s">
        <v>2248</v>
      </c>
      <c r="B1125">
        <v>29.78</v>
      </c>
      <c r="C1125">
        <v>5.85</v>
      </c>
      <c r="D1125" t="s">
        <v>4682</v>
      </c>
      <c r="E1125" t="s">
        <v>4682</v>
      </c>
      <c r="F1125" t="s">
        <v>4684</v>
      </c>
      <c r="G1125">
        <v>1</v>
      </c>
      <c r="H1125" t="s">
        <v>4682</v>
      </c>
      <c r="I1125" t="str" cm="1">
        <f t="array" ref="I1125">_xlfn.IFS(B1125&lt;18.5, "Underweight", B1125&lt;=24.9, "Normal Weight", B1125&lt;=29.9, "Overweight", TRUE, "Obesity")</f>
        <v>Overweight</v>
      </c>
      <c r="J1125" t="str" cm="1">
        <f t="array" ref="J1125">_xlfn.IFS(C1125&lt;5.7, "Normal", C1125&lt;=6.4, "Prediabetes", TRUE, "Diabetes")</f>
        <v>Prediabetes</v>
      </c>
    </row>
    <row r="1126" spans="1:10">
      <c r="A1126" t="s">
        <v>2250</v>
      </c>
      <c r="B1126">
        <v>34.76</v>
      </c>
      <c r="C1126">
        <v>5.92</v>
      </c>
      <c r="D1126" t="s">
        <v>4683</v>
      </c>
      <c r="E1126" t="s">
        <v>4682</v>
      </c>
      <c r="F1126" t="s">
        <v>4682</v>
      </c>
      <c r="G1126">
        <v>1</v>
      </c>
      <c r="H1126" t="s">
        <v>4682</v>
      </c>
      <c r="I1126" t="str" cm="1">
        <f t="array" ref="I1126">_xlfn.IFS(B1126&lt;18.5, "Underweight", B1126&lt;=24.9, "Normal Weight", B1126&lt;=29.9, "Overweight", TRUE, "Obesity")</f>
        <v>Obesity</v>
      </c>
      <c r="J1126" t="str" cm="1">
        <f t="array" ref="J1126">_xlfn.IFS(C1126&lt;5.7, "Normal", C1126&lt;=6.4, "Prediabetes", TRUE, "Diabetes")</f>
        <v>Prediabetes</v>
      </c>
    </row>
    <row r="1127" spans="1:10">
      <c r="A1127" t="s">
        <v>2252</v>
      </c>
      <c r="B1127">
        <v>18.335000000000001</v>
      </c>
      <c r="C1127">
        <v>10.01</v>
      </c>
      <c r="D1127" t="s">
        <v>4683</v>
      </c>
      <c r="E1127" t="s">
        <v>4682</v>
      </c>
      <c r="F1127" t="s">
        <v>4682</v>
      </c>
      <c r="G1127">
        <v>2</v>
      </c>
      <c r="H1127" t="s">
        <v>4682</v>
      </c>
      <c r="I1127" t="str" cm="1">
        <f t="array" ref="I1127">_xlfn.IFS(B1127&lt;18.5, "Underweight", B1127&lt;=24.9, "Normal Weight", B1127&lt;=29.9, "Overweight", TRUE, "Obesity")</f>
        <v>Underweight</v>
      </c>
      <c r="J1127" t="str" cm="1">
        <f t="array" ref="J1127">_xlfn.IFS(C1127&lt;5.7, "Normal", C1127&lt;=6.4, "Prediabetes", TRUE, "Diabetes")</f>
        <v>Diabetes</v>
      </c>
    </row>
    <row r="1128" spans="1:10">
      <c r="A1128" t="s">
        <v>2254</v>
      </c>
      <c r="B1128">
        <v>32.299999999999997</v>
      </c>
      <c r="C1128">
        <v>9.59</v>
      </c>
      <c r="D1128" t="s">
        <v>4682</v>
      </c>
      <c r="E1128" t="s">
        <v>4682</v>
      </c>
      <c r="F1128" t="s">
        <v>4682</v>
      </c>
      <c r="G1128">
        <v>0</v>
      </c>
      <c r="H1128" t="s">
        <v>4682</v>
      </c>
      <c r="I1128" t="str" cm="1">
        <f t="array" ref="I1128">_xlfn.IFS(B1128&lt;18.5, "Underweight", B1128&lt;=24.9, "Normal Weight", B1128&lt;=29.9, "Overweight", TRUE, "Obesity")</f>
        <v>Obesity</v>
      </c>
      <c r="J1128" t="str" cm="1">
        <f t="array" ref="J1128">_xlfn.IFS(C1128&lt;5.7, "Normal", C1128&lt;=6.4, "Prediabetes", TRUE, "Diabetes")</f>
        <v>Diabetes</v>
      </c>
    </row>
    <row r="1129" spans="1:10">
      <c r="A1129" t="s">
        <v>2256</v>
      </c>
      <c r="B1129">
        <v>27.74</v>
      </c>
      <c r="C1129">
        <v>10.37</v>
      </c>
      <c r="D1129" t="s">
        <v>4682</v>
      </c>
      <c r="E1129" t="s">
        <v>4682</v>
      </c>
      <c r="F1129" t="s">
        <v>4682</v>
      </c>
      <c r="G1129">
        <v>0</v>
      </c>
      <c r="H1129" t="s">
        <v>4682</v>
      </c>
      <c r="I1129" t="str" cm="1">
        <f t="array" ref="I1129">_xlfn.IFS(B1129&lt;18.5, "Underweight", B1129&lt;=24.9, "Normal Weight", B1129&lt;=29.9, "Overweight", TRUE, "Obesity")</f>
        <v>Overweight</v>
      </c>
      <c r="J1129" t="str" cm="1">
        <f t="array" ref="J1129">_xlfn.IFS(C1129&lt;5.7, "Normal", C1129&lt;=6.4, "Prediabetes", TRUE, "Diabetes")</f>
        <v>Diabetes</v>
      </c>
    </row>
    <row r="1130" spans="1:10">
      <c r="A1130" t="s">
        <v>2258</v>
      </c>
      <c r="B1130">
        <v>24</v>
      </c>
      <c r="C1130">
        <v>4.01</v>
      </c>
      <c r="D1130" t="s">
        <v>4683</v>
      </c>
      <c r="E1130" t="s">
        <v>4682</v>
      </c>
      <c r="F1130" t="s">
        <v>4682</v>
      </c>
      <c r="G1130">
        <v>1</v>
      </c>
      <c r="H1130" t="s">
        <v>4682</v>
      </c>
      <c r="I1130" t="str" cm="1">
        <f t="array" ref="I1130">_xlfn.IFS(B1130&lt;18.5, "Underweight", B1130&lt;=24.9, "Normal Weight", B1130&lt;=29.9, "Overweight", TRUE, "Obesity")</f>
        <v>Normal Weight</v>
      </c>
      <c r="J1130" t="str" cm="1">
        <f t="array" ref="J1130">_xlfn.IFS(C1130&lt;5.7, "Normal", C1130&lt;=6.4, "Prediabetes", TRUE, "Diabetes")</f>
        <v>Normal</v>
      </c>
    </row>
    <row r="1131" spans="1:10">
      <c r="A1131" t="s">
        <v>2260</v>
      </c>
      <c r="B1131">
        <v>31.78</v>
      </c>
      <c r="C1131">
        <v>4.24</v>
      </c>
      <c r="D1131" t="s">
        <v>4683</v>
      </c>
      <c r="E1131" t="s">
        <v>4682</v>
      </c>
      <c r="F1131" t="s">
        <v>4684</v>
      </c>
      <c r="G1131">
        <v>1</v>
      </c>
      <c r="H1131" t="s">
        <v>4682</v>
      </c>
      <c r="I1131" t="str" cm="1">
        <f t="array" ref="I1131">_xlfn.IFS(B1131&lt;18.5, "Underweight", B1131&lt;=24.9, "Normal Weight", B1131&lt;=29.9, "Overweight", TRUE, "Obesity")</f>
        <v>Obesity</v>
      </c>
      <c r="J1131" t="str" cm="1">
        <f t="array" ref="J1131">_xlfn.IFS(C1131&lt;5.7, "Normal", C1131&lt;=6.4, "Prediabetes", TRUE, "Diabetes")</f>
        <v>Normal</v>
      </c>
    </row>
    <row r="1132" spans="1:10">
      <c r="A1132" t="s">
        <v>2262</v>
      </c>
      <c r="B1132">
        <v>32.25</v>
      </c>
      <c r="C1132">
        <v>5.36</v>
      </c>
      <c r="D1132" t="s">
        <v>4683</v>
      </c>
      <c r="E1132" t="s">
        <v>4682</v>
      </c>
      <c r="F1132" t="s">
        <v>4682</v>
      </c>
      <c r="G1132">
        <v>0</v>
      </c>
      <c r="H1132" t="s">
        <v>4682</v>
      </c>
      <c r="I1132" t="str" cm="1">
        <f t="array" ref="I1132">_xlfn.IFS(B1132&lt;18.5, "Underweight", B1132&lt;=24.9, "Normal Weight", B1132&lt;=29.9, "Overweight", TRUE, "Obesity")</f>
        <v>Obesity</v>
      </c>
      <c r="J1132" t="str" cm="1">
        <f t="array" ref="J1132">_xlfn.IFS(C1132&lt;5.7, "Normal", C1132&lt;=6.4, "Prediabetes", TRUE, "Diabetes")</f>
        <v>Normal</v>
      </c>
    </row>
    <row r="1133" spans="1:10">
      <c r="A1133" t="s">
        <v>2264</v>
      </c>
      <c r="B1133">
        <v>30.114999999999998</v>
      </c>
      <c r="C1133">
        <v>4.99</v>
      </c>
      <c r="D1133" t="s">
        <v>4682</v>
      </c>
      <c r="E1133" t="s">
        <v>4682</v>
      </c>
      <c r="F1133" t="s">
        <v>4682</v>
      </c>
      <c r="G1133">
        <v>2</v>
      </c>
      <c r="H1133" t="s">
        <v>4682</v>
      </c>
      <c r="I1133" t="str" cm="1">
        <f t="array" ref="I1133">_xlfn.IFS(B1133&lt;18.5, "Underweight", B1133&lt;=24.9, "Normal Weight", B1133&lt;=29.9, "Overweight", TRUE, "Obesity")</f>
        <v>Obesity</v>
      </c>
      <c r="J1133" t="str" cm="1">
        <f t="array" ref="J1133">_xlfn.IFS(C1133&lt;5.7, "Normal", C1133&lt;=6.4, "Prediabetes", TRUE, "Diabetes")</f>
        <v>Normal</v>
      </c>
    </row>
    <row r="1134" spans="1:10">
      <c r="A1134" t="s">
        <v>2266</v>
      </c>
      <c r="B1134">
        <v>22.41</v>
      </c>
      <c r="C1134">
        <v>8.68</v>
      </c>
      <c r="D1134" t="s">
        <v>4682</v>
      </c>
      <c r="E1134" t="s">
        <v>4682</v>
      </c>
      <c r="F1134" t="s">
        <v>4682</v>
      </c>
      <c r="G1134">
        <v>0</v>
      </c>
      <c r="H1134" t="s">
        <v>4682</v>
      </c>
      <c r="I1134" t="str" cm="1">
        <f t="array" ref="I1134">_xlfn.IFS(B1134&lt;18.5, "Underweight", B1134&lt;=24.9, "Normal Weight", B1134&lt;=29.9, "Overweight", TRUE, "Obesity")</f>
        <v>Normal Weight</v>
      </c>
      <c r="J1134" t="str" cm="1">
        <f t="array" ref="J1134">_xlfn.IFS(C1134&lt;5.7, "Normal", C1134&lt;=6.4, "Prediabetes", TRUE, "Diabetes")</f>
        <v>Diabetes</v>
      </c>
    </row>
    <row r="1135" spans="1:10">
      <c r="A1135" t="s">
        <v>2268</v>
      </c>
      <c r="B1135">
        <v>45.72</v>
      </c>
      <c r="C1135">
        <v>4.2300000000000004</v>
      </c>
      <c r="D1135" t="s">
        <v>4683</v>
      </c>
      <c r="E1135" t="s">
        <v>4682</v>
      </c>
      <c r="F1135" t="s">
        <v>4682</v>
      </c>
      <c r="G1135">
        <v>0</v>
      </c>
      <c r="H1135" t="s">
        <v>4682</v>
      </c>
      <c r="I1135" t="str" cm="1">
        <f t="array" ref="I1135">_xlfn.IFS(B1135&lt;18.5, "Underweight", B1135&lt;=24.9, "Normal Weight", B1135&lt;=29.9, "Overweight", TRUE, "Obesity")</f>
        <v>Obesity</v>
      </c>
      <c r="J1135" t="str" cm="1">
        <f t="array" ref="J1135">_xlfn.IFS(C1135&lt;5.7, "Normal", C1135&lt;=6.4, "Prediabetes", TRUE, "Diabetes")</f>
        <v>Normal</v>
      </c>
    </row>
    <row r="1136" spans="1:10">
      <c r="A1136" t="s">
        <v>2270</v>
      </c>
      <c r="B1136">
        <v>25</v>
      </c>
      <c r="C1136">
        <v>5.32</v>
      </c>
      <c r="D1136" t="s">
        <v>4683</v>
      </c>
      <c r="E1136" t="s">
        <v>4682</v>
      </c>
      <c r="F1136" t="s">
        <v>4682</v>
      </c>
      <c r="G1136">
        <v>2</v>
      </c>
      <c r="H1136" t="s">
        <v>4682</v>
      </c>
      <c r="I1136" t="str" cm="1">
        <f t="array" ref="I1136">_xlfn.IFS(B1136&lt;18.5, "Underweight", B1136&lt;=24.9, "Normal Weight", B1136&lt;=29.9, "Overweight", TRUE, "Obesity")</f>
        <v>Overweight</v>
      </c>
      <c r="J1136" t="str" cm="1">
        <f t="array" ref="J1136">_xlfn.IFS(C1136&lt;5.7, "Normal", C1136&lt;=6.4, "Prediabetes", TRUE, "Diabetes")</f>
        <v>Normal</v>
      </c>
    </row>
    <row r="1137" spans="1:10">
      <c r="A1137" t="s">
        <v>2272</v>
      </c>
      <c r="B1137">
        <v>39.5</v>
      </c>
      <c r="C1137">
        <v>6.66</v>
      </c>
      <c r="D1137" t="s">
        <v>4682</v>
      </c>
      <c r="E1137" t="s">
        <v>4682</v>
      </c>
      <c r="F1137" t="s">
        <v>4682</v>
      </c>
      <c r="G1137">
        <v>0</v>
      </c>
      <c r="H1137" t="s">
        <v>4682</v>
      </c>
      <c r="I1137" t="str" cm="1">
        <f t="array" ref="I1137">_xlfn.IFS(B1137&lt;18.5, "Underweight", B1137&lt;=24.9, "Normal Weight", B1137&lt;=29.9, "Overweight", TRUE, "Obesity")</f>
        <v>Obesity</v>
      </c>
      <c r="J1137" t="str" cm="1">
        <f t="array" ref="J1137">_xlfn.IFS(C1137&lt;5.7, "Normal", C1137&lt;=6.4, "Prediabetes", TRUE, "Diabetes")</f>
        <v>Diabetes</v>
      </c>
    </row>
    <row r="1138" spans="1:10">
      <c r="A1138" t="s">
        <v>2274</v>
      </c>
      <c r="B1138">
        <v>37.729999999999997</v>
      </c>
      <c r="C1138">
        <v>7.4</v>
      </c>
      <c r="D1138" t="s">
        <v>4682</v>
      </c>
      <c r="E1138" t="s">
        <v>4682</v>
      </c>
      <c r="F1138" t="s">
        <v>4682</v>
      </c>
      <c r="G1138">
        <v>0</v>
      </c>
      <c r="H1138" t="s">
        <v>4682</v>
      </c>
      <c r="I1138" t="str" cm="1">
        <f t="array" ref="I1138">_xlfn.IFS(B1138&lt;18.5, "Underweight", B1138&lt;=24.9, "Normal Weight", B1138&lt;=29.9, "Overweight", TRUE, "Obesity")</f>
        <v>Obesity</v>
      </c>
      <c r="J1138" t="str" cm="1">
        <f t="array" ref="J1138">_xlfn.IFS(C1138&lt;5.7, "Normal", C1138&lt;=6.4, "Prediabetes", TRUE, "Diabetes")</f>
        <v>Diabetes</v>
      </c>
    </row>
    <row r="1139" spans="1:10">
      <c r="A1139" t="s">
        <v>2276</v>
      </c>
      <c r="B1139">
        <v>40.659999999999997</v>
      </c>
      <c r="C1139">
        <v>10.08</v>
      </c>
      <c r="D1139" t="s">
        <v>4682</v>
      </c>
      <c r="E1139" t="s">
        <v>4682</v>
      </c>
      <c r="F1139" t="s">
        <v>4682</v>
      </c>
      <c r="G1139">
        <v>0</v>
      </c>
      <c r="H1139" t="s">
        <v>4682</v>
      </c>
      <c r="I1139" t="str" cm="1">
        <f t="array" ref="I1139">_xlfn.IFS(B1139&lt;18.5, "Underweight", B1139&lt;=24.9, "Normal Weight", B1139&lt;=29.9, "Overweight", TRUE, "Obesity")</f>
        <v>Obesity</v>
      </c>
      <c r="J1139" t="str" cm="1">
        <f t="array" ref="J1139">_xlfn.IFS(C1139&lt;5.7, "Normal", C1139&lt;=6.4, "Prediabetes", TRUE, "Diabetes")</f>
        <v>Diabetes</v>
      </c>
    </row>
    <row r="1140" spans="1:10">
      <c r="A1140" t="s">
        <v>2278</v>
      </c>
      <c r="B1140">
        <v>34.200000000000003</v>
      </c>
      <c r="C1140">
        <v>8.58</v>
      </c>
      <c r="D1140" t="s">
        <v>4682</v>
      </c>
      <c r="E1140" t="s">
        <v>4682</v>
      </c>
      <c r="F1140" t="s">
        <v>4682</v>
      </c>
      <c r="G1140">
        <v>0</v>
      </c>
      <c r="H1140" t="s">
        <v>4682</v>
      </c>
      <c r="I1140" t="str" cm="1">
        <f t="array" ref="I1140">_xlfn.IFS(B1140&lt;18.5, "Underweight", B1140&lt;=24.9, "Normal Weight", B1140&lt;=29.9, "Overweight", TRUE, "Obesity")</f>
        <v>Obesity</v>
      </c>
      <c r="J1140" t="str" cm="1">
        <f t="array" ref="J1140">_xlfn.IFS(C1140&lt;5.7, "Normal", C1140&lt;=6.4, "Prediabetes", TRUE, "Diabetes")</f>
        <v>Diabetes</v>
      </c>
    </row>
    <row r="1141" spans="1:10">
      <c r="A1141" t="s">
        <v>2280</v>
      </c>
      <c r="B1141">
        <v>46.51</v>
      </c>
      <c r="C1141">
        <v>5.84</v>
      </c>
      <c r="D1141" t="s">
        <v>4682</v>
      </c>
      <c r="E1141" t="s">
        <v>4682</v>
      </c>
      <c r="F1141" t="s">
        <v>4682</v>
      </c>
      <c r="G1141">
        <v>1</v>
      </c>
      <c r="H1141" t="s">
        <v>4682</v>
      </c>
      <c r="I1141" t="str" cm="1">
        <f t="array" ref="I1141">_xlfn.IFS(B1141&lt;18.5, "Underweight", B1141&lt;=24.9, "Normal Weight", B1141&lt;=29.9, "Overweight", TRUE, "Obesity")</f>
        <v>Obesity</v>
      </c>
      <c r="J1141" t="str" cm="1">
        <f t="array" ref="J1141">_xlfn.IFS(C1141&lt;5.7, "Normal", C1141&lt;=6.4, "Prediabetes", TRUE, "Diabetes")</f>
        <v>Prediabetes</v>
      </c>
    </row>
    <row r="1142" spans="1:10">
      <c r="A1142" t="s">
        <v>2282</v>
      </c>
      <c r="B1142">
        <v>28.88</v>
      </c>
      <c r="C1142">
        <v>4.8600000000000003</v>
      </c>
      <c r="D1142" t="s">
        <v>4683</v>
      </c>
      <c r="E1142" t="s">
        <v>4682</v>
      </c>
      <c r="F1142" t="s">
        <v>4684</v>
      </c>
      <c r="G1142">
        <v>1</v>
      </c>
      <c r="H1142" t="s">
        <v>4682</v>
      </c>
      <c r="I1142" t="str" cm="1">
        <f t="array" ref="I1142">_xlfn.IFS(B1142&lt;18.5, "Underweight", B1142&lt;=24.9, "Normal Weight", B1142&lt;=29.9, "Overweight", TRUE, "Obesity")</f>
        <v>Overweight</v>
      </c>
      <c r="J1142" t="str" cm="1">
        <f t="array" ref="J1142">_xlfn.IFS(C1142&lt;5.7, "Normal", C1142&lt;=6.4, "Prediabetes", TRUE, "Diabetes")</f>
        <v>Normal</v>
      </c>
    </row>
    <row r="1143" spans="1:10">
      <c r="A1143" t="s">
        <v>2284</v>
      </c>
      <c r="B1143">
        <v>33.914999999999999</v>
      </c>
      <c r="C1143">
        <v>11.52</v>
      </c>
      <c r="D1143" t="s">
        <v>4682</v>
      </c>
      <c r="E1143" t="s">
        <v>4682</v>
      </c>
      <c r="F1143" t="s">
        <v>4682</v>
      </c>
      <c r="G1143">
        <v>0</v>
      </c>
      <c r="H1143" t="s">
        <v>4682</v>
      </c>
      <c r="I1143" t="str" cm="1">
        <f t="array" ref="I1143">_xlfn.IFS(B1143&lt;18.5, "Underweight", B1143&lt;=24.9, "Normal Weight", B1143&lt;=29.9, "Overweight", TRUE, "Obesity")</f>
        <v>Obesity</v>
      </c>
      <c r="J1143" t="str" cm="1">
        <f t="array" ref="J1143">_xlfn.IFS(C1143&lt;5.7, "Normal", C1143&lt;=6.4, "Prediabetes", TRUE, "Diabetes")</f>
        <v>Diabetes</v>
      </c>
    </row>
    <row r="1144" spans="1:10">
      <c r="A1144" t="s">
        <v>2286</v>
      </c>
      <c r="B1144">
        <v>24.32</v>
      </c>
      <c r="C1144">
        <v>6.15</v>
      </c>
      <c r="D1144" t="s">
        <v>4683</v>
      </c>
      <c r="E1144" t="s">
        <v>4682</v>
      </c>
      <c r="F1144" t="s">
        <v>4684</v>
      </c>
      <c r="G1144">
        <v>1</v>
      </c>
      <c r="H1144" t="s">
        <v>4682</v>
      </c>
      <c r="I1144" t="str" cm="1">
        <f t="array" ref="I1144">_xlfn.IFS(B1144&lt;18.5, "Underweight", B1144&lt;=24.9, "Normal Weight", B1144&lt;=29.9, "Overweight", TRUE, "Obesity")</f>
        <v>Normal Weight</v>
      </c>
      <c r="J1144" t="str" cm="1">
        <f t="array" ref="J1144">_xlfn.IFS(C1144&lt;5.7, "Normal", C1144&lt;=6.4, "Prediabetes", TRUE, "Diabetes")</f>
        <v>Prediabetes</v>
      </c>
    </row>
    <row r="1145" spans="1:10">
      <c r="A1145" t="s">
        <v>2288</v>
      </c>
      <c r="B1145">
        <v>25.8</v>
      </c>
      <c r="C1145">
        <v>9.94</v>
      </c>
      <c r="D1145" t="s">
        <v>4682</v>
      </c>
      <c r="E1145" t="s">
        <v>4682</v>
      </c>
      <c r="F1145" t="s">
        <v>4682</v>
      </c>
      <c r="G1145">
        <v>0</v>
      </c>
      <c r="H1145" t="s">
        <v>4682</v>
      </c>
      <c r="I1145" t="str" cm="1">
        <f t="array" ref="I1145">_xlfn.IFS(B1145&lt;18.5, "Underweight", B1145&lt;=24.9, "Normal Weight", B1145&lt;=29.9, "Overweight", TRUE, "Obesity")</f>
        <v>Overweight</v>
      </c>
      <c r="J1145" t="str" cm="1">
        <f t="array" ref="J1145">_xlfn.IFS(C1145&lt;5.7, "Normal", C1145&lt;=6.4, "Prediabetes", TRUE, "Diabetes")</f>
        <v>Diabetes</v>
      </c>
    </row>
    <row r="1146" spans="1:10">
      <c r="A1146" t="s">
        <v>2290</v>
      </c>
      <c r="B1146">
        <v>21.56</v>
      </c>
      <c r="C1146">
        <v>10.56</v>
      </c>
      <c r="D1146" t="s">
        <v>4682</v>
      </c>
      <c r="E1146" t="s">
        <v>4682</v>
      </c>
      <c r="F1146" t="s">
        <v>4682</v>
      </c>
      <c r="G1146">
        <v>0</v>
      </c>
      <c r="H1146" t="s">
        <v>4682</v>
      </c>
      <c r="I1146" t="str" cm="1">
        <f t="array" ref="I1146">_xlfn.IFS(B1146&lt;18.5, "Underweight", B1146&lt;=24.9, "Normal Weight", B1146&lt;=29.9, "Overweight", TRUE, "Obesity")</f>
        <v>Normal Weight</v>
      </c>
      <c r="J1146" t="str" cm="1">
        <f t="array" ref="J1146">_xlfn.IFS(C1146&lt;5.7, "Normal", C1146&lt;=6.4, "Prediabetes", TRUE, "Diabetes")</f>
        <v>Diabetes</v>
      </c>
    </row>
    <row r="1147" spans="1:10">
      <c r="A1147" t="s">
        <v>2292</v>
      </c>
      <c r="B1147">
        <v>31.6</v>
      </c>
      <c r="C1147">
        <v>6.79</v>
      </c>
      <c r="D1147" t="s">
        <v>4682</v>
      </c>
      <c r="E1147" t="s">
        <v>4682</v>
      </c>
      <c r="F1147" t="s">
        <v>4682</v>
      </c>
      <c r="G1147">
        <v>0</v>
      </c>
      <c r="H1147" t="s">
        <v>4682</v>
      </c>
      <c r="I1147" t="str" cm="1">
        <f t="array" ref="I1147">_xlfn.IFS(B1147&lt;18.5, "Underweight", B1147&lt;=24.9, "Normal Weight", B1147&lt;=29.9, "Overweight", TRUE, "Obesity")</f>
        <v>Obesity</v>
      </c>
      <c r="J1147" t="str" cm="1">
        <f t="array" ref="J1147">_xlfn.IFS(C1147&lt;5.7, "Normal", C1147&lt;=6.4, "Prediabetes", TRUE, "Diabetes")</f>
        <v>Diabetes</v>
      </c>
    </row>
    <row r="1148" spans="1:10">
      <c r="A1148" t="s">
        <v>2294</v>
      </c>
      <c r="B1148">
        <v>42.93</v>
      </c>
      <c r="C1148">
        <v>4.8</v>
      </c>
      <c r="D1148" t="s">
        <v>4682</v>
      </c>
      <c r="E1148" t="s">
        <v>4682</v>
      </c>
      <c r="F1148" t="s">
        <v>4682</v>
      </c>
      <c r="G1148">
        <v>1</v>
      </c>
      <c r="H1148" t="s">
        <v>4682</v>
      </c>
      <c r="I1148" t="str" cm="1">
        <f t="array" ref="I1148">_xlfn.IFS(B1148&lt;18.5, "Underweight", B1148&lt;=24.9, "Normal Weight", B1148&lt;=29.9, "Overweight", TRUE, "Obesity")</f>
        <v>Obesity</v>
      </c>
      <c r="J1148" t="str" cm="1">
        <f t="array" ref="J1148">_xlfn.IFS(C1148&lt;5.7, "Normal", C1148&lt;=6.4, "Prediabetes", TRUE, "Diabetes")</f>
        <v>Normal</v>
      </c>
    </row>
    <row r="1149" spans="1:10">
      <c r="A1149" t="s">
        <v>2296</v>
      </c>
      <c r="B1149">
        <v>26.72</v>
      </c>
      <c r="C1149">
        <v>5.75</v>
      </c>
      <c r="D1149" t="s">
        <v>4682</v>
      </c>
      <c r="E1149" t="s">
        <v>4682</v>
      </c>
      <c r="F1149" t="s">
        <v>4682</v>
      </c>
      <c r="G1149">
        <v>2</v>
      </c>
      <c r="H1149" t="s">
        <v>4682</v>
      </c>
      <c r="I1149" t="str" cm="1">
        <f t="array" ref="I1149">_xlfn.IFS(B1149&lt;18.5, "Underweight", B1149&lt;=24.9, "Normal Weight", B1149&lt;=29.9, "Overweight", TRUE, "Obesity")</f>
        <v>Overweight</v>
      </c>
      <c r="J1149" t="str" cm="1">
        <f t="array" ref="J1149">_xlfn.IFS(C1149&lt;5.7, "Normal", C1149&lt;=6.4, "Prediabetes", TRUE, "Diabetes")</f>
        <v>Prediabetes</v>
      </c>
    </row>
    <row r="1150" spans="1:10">
      <c r="A1150" t="s">
        <v>2298</v>
      </c>
      <c r="B1150">
        <v>26.67</v>
      </c>
      <c r="C1150">
        <v>5.81</v>
      </c>
      <c r="D1150" t="s">
        <v>4682</v>
      </c>
      <c r="E1150" t="s">
        <v>4682</v>
      </c>
      <c r="F1150" t="s">
        <v>4682</v>
      </c>
      <c r="G1150">
        <v>2</v>
      </c>
      <c r="H1150" t="s">
        <v>4682</v>
      </c>
      <c r="I1150" t="str" cm="1">
        <f t="array" ref="I1150">_xlfn.IFS(B1150&lt;18.5, "Underweight", B1150&lt;=24.9, "Normal Weight", B1150&lt;=29.9, "Overweight", TRUE, "Obesity")</f>
        <v>Overweight</v>
      </c>
      <c r="J1150" t="str" cm="1">
        <f t="array" ref="J1150">_xlfn.IFS(C1150&lt;5.7, "Normal", C1150&lt;=6.4, "Prediabetes", TRUE, "Diabetes")</f>
        <v>Prediabetes</v>
      </c>
    </row>
    <row r="1151" spans="1:10">
      <c r="A1151" t="s">
        <v>2300</v>
      </c>
      <c r="B1151">
        <v>42.68</v>
      </c>
      <c r="C1151">
        <v>9.2799999999999994</v>
      </c>
      <c r="D1151" t="s">
        <v>4682</v>
      </c>
      <c r="E1151" t="s">
        <v>4682</v>
      </c>
      <c r="F1151" t="s">
        <v>4682</v>
      </c>
      <c r="G1151">
        <v>2</v>
      </c>
      <c r="H1151" t="s">
        <v>4682</v>
      </c>
      <c r="I1151" t="str" cm="1">
        <f t="array" ref="I1151">_xlfn.IFS(B1151&lt;18.5, "Underweight", B1151&lt;=24.9, "Normal Weight", B1151&lt;=29.9, "Overweight", TRUE, "Obesity")</f>
        <v>Obesity</v>
      </c>
      <c r="J1151" t="str" cm="1">
        <f t="array" ref="J1151">_xlfn.IFS(C1151&lt;5.7, "Normal", C1151&lt;=6.4, "Prediabetes", TRUE, "Diabetes")</f>
        <v>Diabetes</v>
      </c>
    </row>
    <row r="1152" spans="1:10">
      <c r="A1152" t="s">
        <v>2302</v>
      </c>
      <c r="B1152">
        <v>24.31</v>
      </c>
      <c r="C1152">
        <v>6.37</v>
      </c>
      <c r="D1152" t="s">
        <v>4682</v>
      </c>
      <c r="E1152" t="s">
        <v>4682</v>
      </c>
      <c r="F1152" t="s">
        <v>4682</v>
      </c>
      <c r="G1152">
        <v>0</v>
      </c>
      <c r="H1152" t="s">
        <v>4682</v>
      </c>
      <c r="I1152" t="str" cm="1">
        <f t="array" ref="I1152">_xlfn.IFS(B1152&lt;18.5, "Underweight", B1152&lt;=24.9, "Normal Weight", B1152&lt;=29.9, "Overweight", TRUE, "Obesity")</f>
        <v>Normal Weight</v>
      </c>
      <c r="J1152" t="str" cm="1">
        <f t="array" ref="J1152">_xlfn.IFS(C1152&lt;5.7, "Normal", C1152&lt;=6.4, "Prediabetes", TRUE, "Diabetes")</f>
        <v>Prediabetes</v>
      </c>
    </row>
    <row r="1153" spans="1:10">
      <c r="A1153" t="s">
        <v>2304</v>
      </c>
      <c r="B1153">
        <v>44.75</v>
      </c>
      <c r="C1153">
        <v>5.09</v>
      </c>
      <c r="D1153" t="s">
        <v>4683</v>
      </c>
      <c r="E1153" t="s">
        <v>4682</v>
      </c>
      <c r="F1153" t="s">
        <v>4682</v>
      </c>
      <c r="G1153">
        <v>0</v>
      </c>
      <c r="H1153" t="s">
        <v>4682</v>
      </c>
      <c r="I1153" t="str" cm="1">
        <f t="array" ref="I1153">_xlfn.IFS(B1153&lt;18.5, "Underweight", B1153&lt;=24.9, "Normal Weight", B1153&lt;=29.9, "Overweight", TRUE, "Obesity")</f>
        <v>Obesity</v>
      </c>
      <c r="J1153" t="str" cm="1">
        <f t="array" ref="J1153">_xlfn.IFS(C1153&lt;5.7, "Normal", C1153&lt;=6.4, "Prediabetes", TRUE, "Diabetes")</f>
        <v>Normal</v>
      </c>
    </row>
    <row r="1154" spans="1:10">
      <c r="A1154" t="s">
        <v>2306</v>
      </c>
      <c r="B1154">
        <v>30.78</v>
      </c>
      <c r="C1154">
        <v>7.94</v>
      </c>
      <c r="D1154" t="s">
        <v>4682</v>
      </c>
      <c r="E1154" t="s">
        <v>4682</v>
      </c>
      <c r="F1154" t="s">
        <v>4682</v>
      </c>
      <c r="G1154">
        <v>2</v>
      </c>
      <c r="H1154" t="s">
        <v>4682</v>
      </c>
      <c r="I1154" t="str" cm="1">
        <f t="array" ref="I1154">_xlfn.IFS(B1154&lt;18.5, "Underweight", B1154&lt;=24.9, "Normal Weight", B1154&lt;=29.9, "Overweight", TRUE, "Obesity")</f>
        <v>Obesity</v>
      </c>
      <c r="J1154" t="str" cm="1">
        <f t="array" ref="J1154">_xlfn.IFS(C1154&lt;5.7, "Normal", C1154&lt;=6.4, "Prediabetes", TRUE, "Diabetes")</f>
        <v>Diabetes</v>
      </c>
    </row>
    <row r="1155" spans="1:10">
      <c r="A1155" t="s">
        <v>2308</v>
      </c>
      <c r="B1155">
        <v>21.86</v>
      </c>
      <c r="C1155">
        <v>10.95</v>
      </c>
      <c r="D1155" t="s">
        <v>4682</v>
      </c>
      <c r="E1155" t="s">
        <v>4682</v>
      </c>
      <c r="F1155" t="s">
        <v>4682</v>
      </c>
      <c r="G1155">
        <v>0</v>
      </c>
      <c r="H1155" t="s">
        <v>4682</v>
      </c>
      <c r="I1155" t="str" cm="1">
        <f t="array" ref="I1155">_xlfn.IFS(B1155&lt;18.5, "Underweight", B1155&lt;=24.9, "Normal Weight", B1155&lt;=29.9, "Overweight", TRUE, "Obesity")</f>
        <v>Normal Weight</v>
      </c>
      <c r="J1155" t="str" cm="1">
        <f t="array" ref="J1155">_xlfn.IFS(C1155&lt;5.7, "Normal", C1155&lt;=6.4, "Prediabetes", TRUE, "Diabetes")</f>
        <v>Diabetes</v>
      </c>
    </row>
    <row r="1156" spans="1:10">
      <c r="A1156" t="s">
        <v>2310</v>
      </c>
      <c r="B1156">
        <v>49.09</v>
      </c>
      <c r="C1156">
        <v>6.3</v>
      </c>
      <c r="D1156" t="s">
        <v>4683</v>
      </c>
      <c r="E1156" t="s">
        <v>4682</v>
      </c>
      <c r="F1156" t="s">
        <v>4682</v>
      </c>
      <c r="G1156">
        <v>0</v>
      </c>
      <c r="H1156" t="s">
        <v>4682</v>
      </c>
      <c r="I1156" t="str" cm="1">
        <f t="array" ref="I1156">_xlfn.IFS(B1156&lt;18.5, "Underweight", B1156&lt;=24.9, "Normal Weight", B1156&lt;=29.9, "Overweight", TRUE, "Obesity")</f>
        <v>Obesity</v>
      </c>
      <c r="J1156" t="str" cm="1">
        <f t="array" ref="J1156">_xlfn.IFS(C1156&lt;5.7, "Normal", C1156&lt;=6.4, "Prediabetes", TRUE, "Diabetes")</f>
        <v>Prediabetes</v>
      </c>
    </row>
    <row r="1157" spans="1:10">
      <c r="A1157" t="s">
        <v>2312</v>
      </c>
      <c r="B1157">
        <v>47.74</v>
      </c>
      <c r="C1157">
        <v>8.0500000000000007</v>
      </c>
      <c r="D1157" t="s">
        <v>4683</v>
      </c>
      <c r="E1157" t="s">
        <v>4682</v>
      </c>
      <c r="F1157" t="s">
        <v>4682</v>
      </c>
      <c r="G1157">
        <v>2</v>
      </c>
      <c r="H1157" t="s">
        <v>4682</v>
      </c>
      <c r="I1157" t="str" cm="1">
        <f t="array" ref="I1157">_xlfn.IFS(B1157&lt;18.5, "Underweight", B1157&lt;=24.9, "Normal Weight", B1157&lt;=29.9, "Overweight", TRUE, "Obesity")</f>
        <v>Obesity</v>
      </c>
      <c r="J1157" t="str" cm="1">
        <f t="array" ref="J1157">_xlfn.IFS(C1157&lt;5.7, "Normal", C1157&lt;=6.4, "Prediabetes", TRUE, "Diabetes")</f>
        <v>Diabetes</v>
      </c>
    </row>
    <row r="1158" spans="1:10">
      <c r="A1158" t="s">
        <v>2314</v>
      </c>
      <c r="B1158">
        <v>30.2</v>
      </c>
      <c r="C1158">
        <v>9.8800000000000008</v>
      </c>
      <c r="D1158" t="s">
        <v>4683</v>
      </c>
      <c r="E1158" t="s">
        <v>4682</v>
      </c>
      <c r="F1158" t="s">
        <v>4682</v>
      </c>
      <c r="G1158">
        <v>2</v>
      </c>
      <c r="H1158" t="s">
        <v>4682</v>
      </c>
      <c r="I1158" t="str" cm="1">
        <f t="array" ref="I1158">_xlfn.IFS(B1158&lt;18.5, "Underweight", B1158&lt;=24.9, "Normal Weight", B1158&lt;=29.9, "Overweight", TRUE, "Obesity")</f>
        <v>Obesity</v>
      </c>
      <c r="J1158" t="str" cm="1">
        <f t="array" ref="J1158">_xlfn.IFS(C1158&lt;5.7, "Normal", C1158&lt;=6.4, "Prediabetes", TRUE, "Diabetes")</f>
        <v>Diabetes</v>
      </c>
    </row>
    <row r="1159" spans="1:10">
      <c r="A1159" t="s">
        <v>2316</v>
      </c>
      <c r="B1159">
        <v>33.25</v>
      </c>
      <c r="C1159">
        <v>7.42</v>
      </c>
      <c r="D1159" t="s">
        <v>4683</v>
      </c>
      <c r="E1159" t="s">
        <v>4682</v>
      </c>
      <c r="F1159" t="s">
        <v>4682</v>
      </c>
      <c r="G1159">
        <v>2</v>
      </c>
      <c r="H1159" t="s">
        <v>4682</v>
      </c>
      <c r="I1159" t="str" cm="1">
        <f t="array" ref="I1159">_xlfn.IFS(B1159&lt;18.5, "Underweight", B1159&lt;=24.9, "Normal Weight", B1159&lt;=29.9, "Overweight", TRUE, "Obesity")</f>
        <v>Obesity</v>
      </c>
      <c r="J1159" t="str" cm="1">
        <f t="array" ref="J1159">_xlfn.IFS(C1159&lt;5.7, "Normal", C1159&lt;=6.4, "Prediabetes", TRUE, "Diabetes")</f>
        <v>Diabetes</v>
      </c>
    </row>
    <row r="1160" spans="1:10">
      <c r="A1160" t="s">
        <v>2318</v>
      </c>
      <c r="B1160">
        <v>26.6</v>
      </c>
      <c r="C1160">
        <v>8.4499999999999993</v>
      </c>
      <c r="D1160" t="s">
        <v>4683</v>
      </c>
      <c r="E1160" t="s">
        <v>4682</v>
      </c>
      <c r="F1160" t="s">
        <v>4682</v>
      </c>
      <c r="G1160">
        <v>1</v>
      </c>
      <c r="H1160" t="s">
        <v>4682</v>
      </c>
      <c r="I1160" t="str" cm="1">
        <f t="array" ref="I1160">_xlfn.IFS(B1160&lt;18.5, "Underweight", B1160&lt;=24.9, "Normal Weight", B1160&lt;=29.9, "Overweight", TRUE, "Obesity")</f>
        <v>Overweight</v>
      </c>
      <c r="J1160" t="str" cm="1">
        <f t="array" ref="J1160">_xlfn.IFS(C1160&lt;5.7, "Normal", C1160&lt;=6.4, "Prediabetes", TRUE, "Diabetes")</f>
        <v>Diabetes</v>
      </c>
    </row>
    <row r="1161" spans="1:10">
      <c r="A1161" t="s">
        <v>2320</v>
      </c>
      <c r="B1161">
        <v>26.35</v>
      </c>
      <c r="C1161">
        <v>6.21</v>
      </c>
      <c r="D1161" t="s">
        <v>4682</v>
      </c>
      <c r="E1161" t="s">
        <v>4682</v>
      </c>
      <c r="F1161" t="s">
        <v>4682</v>
      </c>
      <c r="G1161">
        <v>2</v>
      </c>
      <c r="H1161" t="s">
        <v>4682</v>
      </c>
      <c r="I1161" t="str" cm="1">
        <f t="array" ref="I1161">_xlfn.IFS(B1161&lt;18.5, "Underweight", B1161&lt;=24.9, "Normal Weight", B1161&lt;=29.9, "Overweight", TRUE, "Obesity")</f>
        <v>Overweight</v>
      </c>
      <c r="J1161" t="str" cm="1">
        <f t="array" ref="J1161">_xlfn.IFS(C1161&lt;5.7, "Normal", C1161&lt;=6.4, "Prediabetes", TRUE, "Diabetes")</f>
        <v>Prediabetes</v>
      </c>
    </row>
    <row r="1162" spans="1:10">
      <c r="A1162" t="s">
        <v>2322</v>
      </c>
      <c r="B1162">
        <v>39.994999999999997</v>
      </c>
      <c r="C1162">
        <v>4.6500000000000004</v>
      </c>
      <c r="D1162" t="s">
        <v>4682</v>
      </c>
      <c r="E1162" t="s">
        <v>4682</v>
      </c>
      <c r="F1162" t="s">
        <v>4682</v>
      </c>
      <c r="G1162">
        <v>0</v>
      </c>
      <c r="H1162" t="s">
        <v>4682</v>
      </c>
      <c r="I1162" t="str" cm="1">
        <f t="array" ref="I1162">_xlfn.IFS(B1162&lt;18.5, "Underweight", B1162&lt;=24.9, "Normal Weight", B1162&lt;=29.9, "Overweight", TRUE, "Obesity")</f>
        <v>Obesity</v>
      </c>
      <c r="J1162" t="str" cm="1">
        <f t="array" ref="J1162">_xlfn.IFS(C1162&lt;5.7, "Normal", C1162&lt;=6.4, "Prediabetes", TRUE, "Diabetes")</f>
        <v>Normal</v>
      </c>
    </row>
    <row r="1163" spans="1:10">
      <c r="A1163" t="s">
        <v>2324</v>
      </c>
      <c r="B1163">
        <v>22.92</v>
      </c>
      <c r="C1163">
        <v>5.87</v>
      </c>
      <c r="D1163" t="s">
        <v>4683</v>
      </c>
      <c r="E1163" t="s">
        <v>4682</v>
      </c>
      <c r="F1163" t="s">
        <v>4682</v>
      </c>
      <c r="G1163">
        <v>1</v>
      </c>
      <c r="H1163" t="s">
        <v>4682</v>
      </c>
      <c r="I1163" t="str" cm="1">
        <f t="array" ref="I1163">_xlfn.IFS(B1163&lt;18.5, "Underweight", B1163&lt;=24.9, "Normal Weight", B1163&lt;=29.9, "Overweight", TRUE, "Obesity")</f>
        <v>Normal Weight</v>
      </c>
      <c r="J1163" t="str" cm="1">
        <f t="array" ref="J1163">_xlfn.IFS(C1163&lt;5.7, "Normal", C1163&lt;=6.4, "Prediabetes", TRUE, "Diabetes")</f>
        <v>Prediabetes</v>
      </c>
    </row>
    <row r="1164" spans="1:10">
      <c r="A1164" t="s">
        <v>2326</v>
      </c>
      <c r="B1164">
        <v>24.78</v>
      </c>
      <c r="C1164">
        <v>4.24</v>
      </c>
      <c r="D1164" t="s">
        <v>4683</v>
      </c>
      <c r="E1164" t="s">
        <v>4682</v>
      </c>
      <c r="F1164" t="s">
        <v>4682</v>
      </c>
      <c r="G1164">
        <v>2</v>
      </c>
      <c r="H1164" t="s">
        <v>4682</v>
      </c>
      <c r="I1164" t="str" cm="1">
        <f t="array" ref="I1164">_xlfn.IFS(B1164&lt;18.5, "Underweight", B1164&lt;=24.9, "Normal Weight", B1164&lt;=29.9, "Overweight", TRUE, "Obesity")</f>
        <v>Normal Weight</v>
      </c>
      <c r="J1164" t="str" cm="1">
        <f t="array" ref="J1164">_xlfn.IFS(C1164&lt;5.7, "Normal", C1164&lt;=6.4, "Prediabetes", TRUE, "Diabetes")</f>
        <v>Normal</v>
      </c>
    </row>
    <row r="1165" spans="1:10">
      <c r="A1165" t="s">
        <v>2328</v>
      </c>
      <c r="B1165">
        <v>34.07</v>
      </c>
      <c r="C1165">
        <v>7.81</v>
      </c>
      <c r="D1165" t="s">
        <v>4683</v>
      </c>
      <c r="E1165" t="s">
        <v>4682</v>
      </c>
      <c r="F1165" t="s">
        <v>4682</v>
      </c>
      <c r="G1165">
        <v>0</v>
      </c>
      <c r="H1165" t="s">
        <v>4682</v>
      </c>
      <c r="I1165" t="str" cm="1">
        <f t="array" ref="I1165">_xlfn.IFS(B1165&lt;18.5, "Underweight", B1165&lt;=24.9, "Normal Weight", B1165&lt;=29.9, "Overweight", TRUE, "Obesity")</f>
        <v>Obesity</v>
      </c>
      <c r="J1165" t="str" cm="1">
        <f t="array" ref="J1165">_xlfn.IFS(C1165&lt;5.7, "Normal", C1165&lt;=6.4, "Prediabetes", TRUE, "Diabetes")</f>
        <v>Diabetes</v>
      </c>
    </row>
    <row r="1166" spans="1:10">
      <c r="A1166" t="s">
        <v>2330</v>
      </c>
      <c r="B1166">
        <v>30.14</v>
      </c>
      <c r="C1166">
        <v>9.85</v>
      </c>
      <c r="D1166" t="s">
        <v>4682</v>
      </c>
      <c r="E1166" t="s">
        <v>4682</v>
      </c>
      <c r="F1166" t="s">
        <v>4682</v>
      </c>
      <c r="G1166">
        <v>0</v>
      </c>
      <c r="H1166" t="s">
        <v>4682</v>
      </c>
      <c r="I1166" t="str" cm="1">
        <f t="array" ref="I1166">_xlfn.IFS(B1166&lt;18.5, "Underweight", B1166&lt;=24.9, "Normal Weight", B1166&lt;=29.9, "Overweight", TRUE, "Obesity")</f>
        <v>Obesity</v>
      </c>
      <c r="J1166" t="str" cm="1">
        <f t="array" ref="J1166">_xlfn.IFS(C1166&lt;5.7, "Normal", C1166&lt;=6.4, "Prediabetes", TRUE, "Diabetes")</f>
        <v>Diabetes</v>
      </c>
    </row>
    <row r="1167" spans="1:10">
      <c r="A1167" t="s">
        <v>2332</v>
      </c>
      <c r="B1167">
        <v>18.05</v>
      </c>
      <c r="C1167">
        <v>6.94</v>
      </c>
      <c r="D1167" t="s">
        <v>4682</v>
      </c>
      <c r="E1167" t="s">
        <v>4682</v>
      </c>
      <c r="F1167" t="s">
        <v>4682</v>
      </c>
      <c r="G1167">
        <v>0</v>
      </c>
      <c r="H1167" t="s">
        <v>4682</v>
      </c>
      <c r="I1167" t="str" cm="1">
        <f t="array" ref="I1167">_xlfn.IFS(B1167&lt;18.5, "Underweight", B1167&lt;=24.9, "Normal Weight", B1167&lt;=29.9, "Overweight", TRUE, "Obesity")</f>
        <v>Underweight</v>
      </c>
      <c r="J1167" t="str" cm="1">
        <f t="array" ref="J1167">_xlfn.IFS(C1167&lt;5.7, "Normal", C1167&lt;=6.4, "Prediabetes", TRUE, "Diabetes")</f>
        <v>Diabetes</v>
      </c>
    </row>
    <row r="1168" spans="1:10">
      <c r="A1168" t="s">
        <v>2334</v>
      </c>
      <c r="B1168">
        <v>37.4</v>
      </c>
      <c r="C1168">
        <v>11.3</v>
      </c>
      <c r="D1168" t="s">
        <v>4683</v>
      </c>
      <c r="E1168" t="s">
        <v>4682</v>
      </c>
      <c r="F1168" t="s">
        <v>4682</v>
      </c>
      <c r="G1168">
        <v>2</v>
      </c>
      <c r="H1168" t="s">
        <v>4682</v>
      </c>
      <c r="I1168" t="str" cm="1">
        <f t="array" ref="I1168">_xlfn.IFS(B1168&lt;18.5, "Underweight", B1168&lt;=24.9, "Normal Weight", B1168&lt;=29.9, "Overweight", TRUE, "Obesity")</f>
        <v>Obesity</v>
      </c>
      <c r="J1168" t="str" cm="1">
        <f t="array" ref="J1168">_xlfn.IFS(C1168&lt;5.7, "Normal", C1168&lt;=6.4, "Prediabetes", TRUE, "Diabetes")</f>
        <v>Diabetes</v>
      </c>
    </row>
    <row r="1169" spans="1:10">
      <c r="A1169" t="s">
        <v>2336</v>
      </c>
      <c r="B1169">
        <v>25.75</v>
      </c>
      <c r="C1169">
        <v>9.23</v>
      </c>
      <c r="D1169" t="s">
        <v>4682</v>
      </c>
      <c r="E1169" t="s">
        <v>4682</v>
      </c>
      <c r="F1169" t="s">
        <v>4682</v>
      </c>
      <c r="G1169">
        <v>0</v>
      </c>
      <c r="H1169" t="s">
        <v>4682</v>
      </c>
      <c r="I1169" t="str" cm="1">
        <f t="array" ref="I1169">_xlfn.IFS(B1169&lt;18.5, "Underweight", B1169&lt;=24.9, "Normal Weight", B1169&lt;=29.9, "Overweight", TRUE, "Obesity")</f>
        <v>Overweight</v>
      </c>
      <c r="J1169" t="str" cm="1">
        <f t="array" ref="J1169">_xlfn.IFS(C1169&lt;5.7, "Normal", C1169&lt;=6.4, "Prediabetes", TRUE, "Diabetes")</f>
        <v>Diabetes</v>
      </c>
    </row>
    <row r="1170" spans="1:10">
      <c r="A1170" t="s">
        <v>2338</v>
      </c>
      <c r="B1170">
        <v>32.299999999999997</v>
      </c>
      <c r="C1170">
        <v>4.37</v>
      </c>
      <c r="D1170" t="s">
        <v>4682</v>
      </c>
      <c r="E1170" t="s">
        <v>4682</v>
      </c>
      <c r="F1170" t="s">
        <v>4682</v>
      </c>
      <c r="G1170">
        <v>2</v>
      </c>
      <c r="H1170" t="s">
        <v>4682</v>
      </c>
      <c r="I1170" t="str" cm="1">
        <f t="array" ref="I1170">_xlfn.IFS(B1170&lt;18.5, "Underweight", B1170&lt;=24.9, "Normal Weight", B1170&lt;=29.9, "Overweight", TRUE, "Obesity")</f>
        <v>Obesity</v>
      </c>
      <c r="J1170" t="str" cm="1">
        <f t="array" ref="J1170">_xlfn.IFS(C1170&lt;5.7, "Normal", C1170&lt;=6.4, "Prediabetes", TRUE, "Diabetes")</f>
        <v>Normal</v>
      </c>
    </row>
    <row r="1171" spans="1:10">
      <c r="A1171" t="s">
        <v>2340</v>
      </c>
      <c r="B1171">
        <v>28.61</v>
      </c>
      <c r="C1171">
        <v>5.76</v>
      </c>
      <c r="D1171" t="s">
        <v>4682</v>
      </c>
      <c r="E1171" t="s">
        <v>4682</v>
      </c>
      <c r="F1171" t="s">
        <v>4684</v>
      </c>
      <c r="G1171">
        <v>1</v>
      </c>
      <c r="H1171" t="s">
        <v>4682</v>
      </c>
      <c r="I1171" t="str" cm="1">
        <f t="array" ref="I1171">_xlfn.IFS(B1171&lt;18.5, "Underweight", B1171&lt;=24.9, "Normal Weight", B1171&lt;=29.9, "Overweight", TRUE, "Obesity")</f>
        <v>Overweight</v>
      </c>
      <c r="J1171" t="str" cm="1">
        <f t="array" ref="J1171">_xlfn.IFS(C1171&lt;5.7, "Normal", C1171&lt;=6.4, "Prediabetes", TRUE, "Diabetes")</f>
        <v>Prediabetes</v>
      </c>
    </row>
    <row r="1172" spans="1:10">
      <c r="A1172" t="s">
        <v>2342</v>
      </c>
      <c r="B1172">
        <v>45.41</v>
      </c>
      <c r="C1172">
        <v>4.96</v>
      </c>
      <c r="D1172" t="s">
        <v>4682</v>
      </c>
      <c r="E1172" t="s">
        <v>4682</v>
      </c>
      <c r="F1172" t="s">
        <v>4682</v>
      </c>
      <c r="G1172">
        <v>1</v>
      </c>
      <c r="H1172" t="s">
        <v>4682</v>
      </c>
      <c r="I1172" t="str" cm="1">
        <f t="array" ref="I1172">_xlfn.IFS(B1172&lt;18.5, "Underweight", B1172&lt;=24.9, "Normal Weight", B1172&lt;=29.9, "Overweight", TRUE, "Obesity")</f>
        <v>Obesity</v>
      </c>
      <c r="J1172" t="str" cm="1">
        <f t="array" ref="J1172">_xlfn.IFS(C1172&lt;5.7, "Normal", C1172&lt;=6.4, "Prediabetes", TRUE, "Diabetes")</f>
        <v>Normal</v>
      </c>
    </row>
    <row r="1173" spans="1:10">
      <c r="A1173" t="s">
        <v>2344</v>
      </c>
      <c r="B1173">
        <v>31.2</v>
      </c>
      <c r="C1173">
        <v>11.04</v>
      </c>
      <c r="D1173" t="s">
        <v>4683</v>
      </c>
      <c r="E1173" t="s">
        <v>4682</v>
      </c>
      <c r="F1173" t="s">
        <v>4682</v>
      </c>
      <c r="G1173">
        <v>2</v>
      </c>
      <c r="H1173" t="s">
        <v>4682</v>
      </c>
      <c r="I1173" t="str" cm="1">
        <f t="array" ref="I1173">_xlfn.IFS(B1173&lt;18.5, "Underweight", B1173&lt;=24.9, "Normal Weight", B1173&lt;=29.9, "Overweight", TRUE, "Obesity")</f>
        <v>Obesity</v>
      </c>
      <c r="J1173" t="str" cm="1">
        <f t="array" ref="J1173">_xlfn.IFS(C1173&lt;5.7, "Normal", C1173&lt;=6.4, "Prediabetes", TRUE, "Diabetes")</f>
        <v>Diabetes</v>
      </c>
    </row>
    <row r="1174" spans="1:10">
      <c r="A1174" t="s">
        <v>2346</v>
      </c>
      <c r="B1174">
        <v>29.83</v>
      </c>
      <c r="C1174">
        <v>7.81</v>
      </c>
      <c r="D1174" t="s">
        <v>4683</v>
      </c>
      <c r="E1174" t="s">
        <v>4682</v>
      </c>
      <c r="F1174" t="s">
        <v>4682</v>
      </c>
      <c r="G1174">
        <v>1</v>
      </c>
      <c r="H1174" t="s">
        <v>4682</v>
      </c>
      <c r="I1174" t="str" cm="1">
        <f t="array" ref="I1174">_xlfn.IFS(B1174&lt;18.5, "Underweight", B1174&lt;=24.9, "Normal Weight", B1174&lt;=29.9, "Overweight", TRUE, "Obesity")</f>
        <v>Overweight</v>
      </c>
      <c r="J1174" t="str" cm="1">
        <f t="array" ref="J1174">_xlfn.IFS(C1174&lt;5.7, "Normal", C1174&lt;=6.4, "Prediabetes", TRUE, "Diabetes")</f>
        <v>Diabetes</v>
      </c>
    </row>
    <row r="1175" spans="1:10">
      <c r="A1175" t="s">
        <v>2348</v>
      </c>
      <c r="B1175">
        <v>29.06</v>
      </c>
      <c r="C1175">
        <v>4.55</v>
      </c>
      <c r="D1175" t="s">
        <v>4682</v>
      </c>
      <c r="E1175" t="s">
        <v>4682</v>
      </c>
      <c r="F1175" t="s">
        <v>4682</v>
      </c>
      <c r="G1175">
        <v>0</v>
      </c>
      <c r="H1175" t="s">
        <v>4682</v>
      </c>
      <c r="I1175" t="str" cm="1">
        <f t="array" ref="I1175">_xlfn.IFS(B1175&lt;18.5, "Underweight", B1175&lt;=24.9, "Normal Weight", B1175&lt;=29.9, "Overweight", TRUE, "Obesity")</f>
        <v>Overweight</v>
      </c>
      <c r="J1175" t="str" cm="1">
        <f t="array" ref="J1175">_xlfn.IFS(C1175&lt;5.7, "Normal", C1175&lt;=6.4, "Prediabetes", TRUE, "Diabetes")</f>
        <v>Normal</v>
      </c>
    </row>
    <row r="1176" spans="1:10">
      <c r="A1176" t="s">
        <v>2350</v>
      </c>
      <c r="B1176">
        <v>27.454999999999998</v>
      </c>
      <c r="C1176">
        <v>6.13</v>
      </c>
      <c r="D1176" t="s">
        <v>4682</v>
      </c>
      <c r="E1176" t="s">
        <v>4682</v>
      </c>
      <c r="F1176" t="s">
        <v>4682</v>
      </c>
      <c r="G1176">
        <v>2</v>
      </c>
      <c r="H1176" t="s">
        <v>4682</v>
      </c>
      <c r="I1176" t="str" cm="1">
        <f t="array" ref="I1176">_xlfn.IFS(B1176&lt;18.5, "Underweight", B1176&lt;=24.9, "Normal Weight", B1176&lt;=29.9, "Overweight", TRUE, "Obesity")</f>
        <v>Overweight</v>
      </c>
      <c r="J1176" t="str" cm="1">
        <f t="array" ref="J1176">_xlfn.IFS(C1176&lt;5.7, "Normal", C1176&lt;=6.4, "Prediabetes", TRUE, "Diabetes")</f>
        <v>Prediabetes</v>
      </c>
    </row>
    <row r="1177" spans="1:10">
      <c r="A1177" t="s">
        <v>2352</v>
      </c>
      <c r="B1177">
        <v>23.01</v>
      </c>
      <c r="C1177">
        <v>6.04</v>
      </c>
      <c r="D1177" t="s">
        <v>4683</v>
      </c>
      <c r="E1177" t="s">
        <v>4682</v>
      </c>
      <c r="F1177" t="s">
        <v>4682</v>
      </c>
      <c r="G1177">
        <v>1</v>
      </c>
      <c r="H1177" t="s">
        <v>4682</v>
      </c>
      <c r="I1177" t="str" cm="1">
        <f t="array" ref="I1177">_xlfn.IFS(B1177&lt;18.5, "Underweight", B1177&lt;=24.9, "Normal Weight", B1177&lt;=29.9, "Overweight", TRUE, "Obesity")</f>
        <v>Normal Weight</v>
      </c>
      <c r="J1177" t="str" cm="1">
        <f t="array" ref="J1177">_xlfn.IFS(C1177&lt;5.7, "Normal", C1177&lt;=6.4, "Prediabetes", TRUE, "Diabetes")</f>
        <v>Prediabetes</v>
      </c>
    </row>
    <row r="1178" spans="1:10">
      <c r="A1178" t="s">
        <v>2354</v>
      </c>
      <c r="B1178">
        <v>31.39</v>
      </c>
      <c r="C1178">
        <v>8.85</v>
      </c>
      <c r="D1178" t="s">
        <v>4683</v>
      </c>
      <c r="E1178" t="s">
        <v>4682</v>
      </c>
      <c r="F1178" t="s">
        <v>4682</v>
      </c>
      <c r="G1178">
        <v>0</v>
      </c>
      <c r="H1178" t="s">
        <v>4682</v>
      </c>
      <c r="I1178" t="str" cm="1">
        <f t="array" ref="I1178">_xlfn.IFS(B1178&lt;18.5, "Underweight", B1178&lt;=24.9, "Normal Weight", B1178&lt;=29.9, "Overweight", TRUE, "Obesity")</f>
        <v>Obesity</v>
      </c>
      <c r="J1178" t="str" cm="1">
        <f t="array" ref="J1178">_xlfn.IFS(C1178&lt;5.7, "Normal", C1178&lt;=6.4, "Prediabetes", TRUE, "Diabetes")</f>
        <v>Diabetes</v>
      </c>
    </row>
    <row r="1179" spans="1:10">
      <c r="A1179" t="s">
        <v>2356</v>
      </c>
      <c r="B1179">
        <v>34.770000000000003</v>
      </c>
      <c r="C1179">
        <v>10.54</v>
      </c>
      <c r="D1179" t="s">
        <v>4682</v>
      </c>
      <c r="E1179" t="s">
        <v>4682</v>
      </c>
      <c r="F1179" t="s">
        <v>4682</v>
      </c>
      <c r="G1179">
        <v>2</v>
      </c>
      <c r="H1179" t="s">
        <v>4682</v>
      </c>
      <c r="I1179" t="str" cm="1">
        <f t="array" ref="I1179">_xlfn.IFS(B1179&lt;18.5, "Underweight", B1179&lt;=24.9, "Normal Weight", B1179&lt;=29.9, "Overweight", TRUE, "Obesity")</f>
        <v>Obesity</v>
      </c>
      <c r="J1179" t="str" cm="1">
        <f t="array" ref="J1179">_xlfn.IFS(C1179&lt;5.7, "Normal", C1179&lt;=6.4, "Prediabetes", TRUE, "Diabetes")</f>
        <v>Diabetes</v>
      </c>
    </row>
    <row r="1180" spans="1:10">
      <c r="A1180" t="s">
        <v>2358</v>
      </c>
      <c r="B1180">
        <v>24.48</v>
      </c>
      <c r="C1180">
        <v>4.37</v>
      </c>
      <c r="D1180" t="s">
        <v>4683</v>
      </c>
      <c r="E1180" t="s">
        <v>4682</v>
      </c>
      <c r="F1180" t="s">
        <v>4682</v>
      </c>
      <c r="G1180">
        <v>2</v>
      </c>
      <c r="H1180" t="s">
        <v>4682</v>
      </c>
      <c r="I1180" t="str" cm="1">
        <f t="array" ref="I1180">_xlfn.IFS(B1180&lt;18.5, "Underweight", B1180&lt;=24.9, "Normal Weight", B1180&lt;=29.9, "Overweight", TRUE, "Obesity")</f>
        <v>Normal Weight</v>
      </c>
      <c r="J1180" t="str" cm="1">
        <f t="array" ref="J1180">_xlfn.IFS(C1180&lt;5.7, "Normal", C1180&lt;=6.4, "Prediabetes", TRUE, "Diabetes")</f>
        <v>Normal</v>
      </c>
    </row>
    <row r="1181" spans="1:10">
      <c r="A1181" t="s">
        <v>2360</v>
      </c>
      <c r="B1181">
        <v>22.61</v>
      </c>
      <c r="C1181">
        <v>9.6300000000000008</v>
      </c>
      <c r="D1181" t="s">
        <v>4682</v>
      </c>
      <c r="E1181" t="s">
        <v>4682</v>
      </c>
      <c r="F1181" t="s">
        <v>4682</v>
      </c>
      <c r="G1181">
        <v>2</v>
      </c>
      <c r="H1181" t="s">
        <v>4682</v>
      </c>
      <c r="I1181" t="str" cm="1">
        <f t="array" ref="I1181">_xlfn.IFS(B1181&lt;18.5, "Underweight", B1181&lt;=24.9, "Normal Weight", B1181&lt;=29.9, "Overweight", TRUE, "Obesity")</f>
        <v>Normal Weight</v>
      </c>
      <c r="J1181" t="str" cm="1">
        <f t="array" ref="J1181">_xlfn.IFS(C1181&lt;5.7, "Normal", C1181&lt;=6.4, "Prediabetes", TRUE, "Diabetes")</f>
        <v>Diabetes</v>
      </c>
    </row>
    <row r="1182" spans="1:10">
      <c r="A1182" t="s">
        <v>2362</v>
      </c>
      <c r="B1182">
        <v>34.299999999999997</v>
      </c>
      <c r="C1182">
        <v>10.37</v>
      </c>
      <c r="D1182" t="s">
        <v>4682</v>
      </c>
      <c r="E1182" t="s">
        <v>4682</v>
      </c>
      <c r="F1182" t="s">
        <v>4682</v>
      </c>
      <c r="G1182">
        <v>0</v>
      </c>
      <c r="H1182" t="s">
        <v>4682</v>
      </c>
      <c r="I1182" t="str" cm="1">
        <f t="array" ref="I1182">_xlfn.IFS(B1182&lt;18.5, "Underweight", B1182&lt;=24.9, "Normal Weight", B1182&lt;=29.9, "Overweight", TRUE, "Obesity")</f>
        <v>Obesity</v>
      </c>
      <c r="J1182" t="str" cm="1">
        <f t="array" ref="J1182">_xlfn.IFS(C1182&lt;5.7, "Normal", C1182&lt;=6.4, "Prediabetes", TRUE, "Diabetes")</f>
        <v>Diabetes</v>
      </c>
    </row>
    <row r="1183" spans="1:10">
      <c r="A1183" t="s">
        <v>2364</v>
      </c>
      <c r="B1183">
        <v>46.09</v>
      </c>
      <c r="C1183">
        <v>5.44</v>
      </c>
      <c r="D1183" t="s">
        <v>4682</v>
      </c>
      <c r="E1183" t="s">
        <v>4682</v>
      </c>
      <c r="F1183" t="s">
        <v>4682</v>
      </c>
      <c r="G1183">
        <v>2</v>
      </c>
      <c r="H1183" t="s">
        <v>4682</v>
      </c>
      <c r="I1183" t="str" cm="1">
        <f t="array" ref="I1183">_xlfn.IFS(B1183&lt;18.5, "Underweight", B1183&lt;=24.9, "Normal Weight", B1183&lt;=29.9, "Overweight", TRUE, "Obesity")</f>
        <v>Obesity</v>
      </c>
      <c r="J1183" t="str" cm="1">
        <f t="array" ref="J1183">_xlfn.IFS(C1183&lt;5.7, "Normal", C1183&lt;=6.4, "Prediabetes", TRUE, "Diabetes")</f>
        <v>Normal</v>
      </c>
    </row>
    <row r="1184" spans="1:10">
      <c r="A1184" t="s">
        <v>2366</v>
      </c>
      <c r="B1184">
        <v>44.744999999999997</v>
      </c>
      <c r="C1184">
        <v>5.19</v>
      </c>
      <c r="D1184" t="s">
        <v>4682</v>
      </c>
      <c r="E1184" t="s">
        <v>4682</v>
      </c>
      <c r="F1184" t="s">
        <v>4682</v>
      </c>
      <c r="G1184">
        <v>2</v>
      </c>
      <c r="H1184" t="s">
        <v>4682</v>
      </c>
      <c r="I1184" t="str" cm="1">
        <f t="array" ref="I1184">_xlfn.IFS(B1184&lt;18.5, "Underweight", B1184&lt;=24.9, "Normal Weight", B1184&lt;=29.9, "Overweight", TRUE, "Obesity")</f>
        <v>Obesity</v>
      </c>
      <c r="J1184" t="str" cm="1">
        <f t="array" ref="J1184">_xlfn.IFS(C1184&lt;5.7, "Normal", C1184&lt;=6.4, "Prediabetes", TRUE, "Diabetes")</f>
        <v>Normal</v>
      </c>
    </row>
    <row r="1185" spans="1:10">
      <c r="A1185" t="s">
        <v>2368</v>
      </c>
      <c r="B1185">
        <v>26.33</v>
      </c>
      <c r="C1185">
        <v>11.8</v>
      </c>
      <c r="D1185" t="s">
        <v>4683</v>
      </c>
      <c r="E1185" t="s">
        <v>4682</v>
      </c>
      <c r="F1185" t="s">
        <v>4682</v>
      </c>
      <c r="G1185">
        <v>1</v>
      </c>
      <c r="H1185" t="s">
        <v>4682</v>
      </c>
      <c r="I1185" t="str" cm="1">
        <f t="array" ref="I1185">_xlfn.IFS(B1185&lt;18.5, "Underweight", B1185&lt;=24.9, "Normal Weight", B1185&lt;=29.9, "Overweight", TRUE, "Obesity")</f>
        <v>Overweight</v>
      </c>
      <c r="J1185" t="str" cm="1">
        <f t="array" ref="J1185">_xlfn.IFS(C1185&lt;5.7, "Normal", C1185&lt;=6.4, "Prediabetes", TRUE, "Diabetes")</f>
        <v>Diabetes</v>
      </c>
    </row>
    <row r="1186" spans="1:10">
      <c r="A1186" t="s">
        <v>2370</v>
      </c>
      <c r="B1186">
        <v>26.6</v>
      </c>
      <c r="C1186">
        <v>8.3800000000000008</v>
      </c>
      <c r="D1186" t="s">
        <v>4682</v>
      </c>
      <c r="E1186" t="s">
        <v>4682</v>
      </c>
      <c r="F1186" t="s">
        <v>4682</v>
      </c>
      <c r="G1186">
        <v>2</v>
      </c>
      <c r="H1186" t="s">
        <v>4682</v>
      </c>
      <c r="I1186" t="str" cm="1">
        <f t="array" ref="I1186">_xlfn.IFS(B1186&lt;18.5, "Underweight", B1186&lt;=24.9, "Normal Weight", B1186&lt;=29.9, "Overweight", TRUE, "Obesity")</f>
        <v>Overweight</v>
      </c>
      <c r="J1186" t="str" cm="1">
        <f t="array" ref="J1186">_xlfn.IFS(C1186&lt;5.7, "Normal", C1186&lt;=6.4, "Prediabetes", TRUE, "Diabetes")</f>
        <v>Diabetes</v>
      </c>
    </row>
    <row r="1187" spans="1:10">
      <c r="A1187" t="s">
        <v>2372</v>
      </c>
      <c r="B1187">
        <v>27.5</v>
      </c>
      <c r="C1187">
        <v>7.58</v>
      </c>
      <c r="D1187" t="s">
        <v>4682</v>
      </c>
      <c r="E1187" t="s">
        <v>4682</v>
      </c>
      <c r="F1187" t="s">
        <v>4682</v>
      </c>
      <c r="G1187">
        <v>0</v>
      </c>
      <c r="H1187" t="s">
        <v>4682</v>
      </c>
      <c r="I1187" t="str" cm="1">
        <f t="array" ref="I1187">_xlfn.IFS(B1187&lt;18.5, "Underweight", B1187&lt;=24.9, "Normal Weight", B1187&lt;=29.9, "Overweight", TRUE, "Obesity")</f>
        <v>Overweight</v>
      </c>
      <c r="J1187" t="str" cm="1">
        <f t="array" ref="J1187">_xlfn.IFS(C1187&lt;5.7, "Normal", C1187&lt;=6.4, "Prediabetes", TRUE, "Diabetes")</f>
        <v>Diabetes</v>
      </c>
    </row>
    <row r="1188" spans="1:10">
      <c r="A1188" t="s">
        <v>2374</v>
      </c>
      <c r="B1188">
        <v>41.55</v>
      </c>
      <c r="C1188">
        <v>4.6100000000000003</v>
      </c>
      <c r="D1188" t="s">
        <v>4682</v>
      </c>
      <c r="E1188" t="s">
        <v>4682</v>
      </c>
      <c r="F1188" t="s">
        <v>4682</v>
      </c>
      <c r="G1188">
        <v>1</v>
      </c>
      <c r="H1188" t="s">
        <v>4682</v>
      </c>
      <c r="I1188" t="str" cm="1">
        <f t="array" ref="I1188">_xlfn.IFS(B1188&lt;18.5, "Underweight", B1188&lt;=24.9, "Normal Weight", B1188&lt;=29.9, "Overweight", TRUE, "Obesity")</f>
        <v>Obesity</v>
      </c>
      <c r="J1188" t="str" cm="1">
        <f t="array" ref="J1188">_xlfn.IFS(C1188&lt;5.7, "Normal", C1188&lt;=6.4, "Prediabetes", TRUE, "Diabetes")</f>
        <v>Normal</v>
      </c>
    </row>
    <row r="1189" spans="1:10">
      <c r="A1189" t="s">
        <v>2376</v>
      </c>
      <c r="B1189">
        <v>41.47</v>
      </c>
      <c r="C1189">
        <v>4.7</v>
      </c>
      <c r="D1189" t="s">
        <v>4683</v>
      </c>
      <c r="E1189" t="s">
        <v>4682</v>
      </c>
      <c r="F1189" t="s">
        <v>4684</v>
      </c>
      <c r="G1189">
        <v>1</v>
      </c>
      <c r="H1189" t="s">
        <v>4682</v>
      </c>
      <c r="I1189" t="str" cm="1">
        <f t="array" ref="I1189">_xlfn.IFS(B1189&lt;18.5, "Underweight", B1189&lt;=24.9, "Normal Weight", B1189&lt;=29.9, "Overweight", TRUE, "Obesity")</f>
        <v>Obesity</v>
      </c>
      <c r="J1189" t="str" cm="1">
        <f t="array" ref="J1189">_xlfn.IFS(C1189&lt;5.7, "Normal", C1189&lt;=6.4, "Prediabetes", TRUE, "Diabetes")</f>
        <v>Normal</v>
      </c>
    </row>
    <row r="1190" spans="1:10">
      <c r="A1190" t="s">
        <v>2378</v>
      </c>
      <c r="B1190">
        <v>24.795000000000002</v>
      </c>
      <c r="C1190">
        <v>6.05</v>
      </c>
      <c r="D1190" t="s">
        <v>4683</v>
      </c>
      <c r="E1190" t="s">
        <v>4682</v>
      </c>
      <c r="F1190" t="s">
        <v>4682</v>
      </c>
      <c r="G1190">
        <v>0</v>
      </c>
      <c r="H1190" t="s">
        <v>4682</v>
      </c>
      <c r="I1190" t="str" cm="1">
        <f t="array" ref="I1190">_xlfn.IFS(B1190&lt;18.5, "Underweight", B1190&lt;=24.9, "Normal Weight", B1190&lt;=29.9, "Overweight", TRUE, "Obesity")</f>
        <v>Normal Weight</v>
      </c>
      <c r="J1190" t="str" cm="1">
        <f t="array" ref="J1190">_xlfn.IFS(C1190&lt;5.7, "Normal", C1190&lt;=6.4, "Prediabetes", TRUE, "Diabetes")</f>
        <v>Prediabetes</v>
      </c>
    </row>
    <row r="1191" spans="1:10">
      <c r="A1191" t="s">
        <v>2380</v>
      </c>
      <c r="B1191">
        <v>29.48</v>
      </c>
      <c r="C1191">
        <v>5.63</v>
      </c>
      <c r="D1191" t="s">
        <v>4683</v>
      </c>
      <c r="E1191" t="s">
        <v>4682</v>
      </c>
      <c r="F1191" t="s">
        <v>4684</v>
      </c>
      <c r="G1191">
        <v>1</v>
      </c>
      <c r="H1191" t="s">
        <v>4682</v>
      </c>
      <c r="I1191" t="str" cm="1">
        <f t="array" ref="I1191">_xlfn.IFS(B1191&lt;18.5, "Underweight", B1191&lt;=24.9, "Normal Weight", B1191&lt;=29.9, "Overweight", TRUE, "Obesity")</f>
        <v>Overweight</v>
      </c>
      <c r="J1191" t="str" cm="1">
        <f t="array" ref="J1191">_xlfn.IFS(C1191&lt;5.7, "Normal", C1191&lt;=6.4, "Prediabetes", TRUE, "Diabetes")</f>
        <v>Normal</v>
      </c>
    </row>
    <row r="1192" spans="1:10">
      <c r="A1192" t="s">
        <v>2382</v>
      </c>
      <c r="B1192">
        <v>28.09</v>
      </c>
      <c r="C1192">
        <v>6.06</v>
      </c>
      <c r="D1192" t="s">
        <v>4682</v>
      </c>
      <c r="E1192" t="s">
        <v>4682</v>
      </c>
      <c r="F1192" t="s">
        <v>4684</v>
      </c>
      <c r="G1192">
        <v>1</v>
      </c>
      <c r="H1192" t="s">
        <v>4682</v>
      </c>
      <c r="I1192" t="str" cm="1">
        <f t="array" ref="I1192">_xlfn.IFS(B1192&lt;18.5, "Underweight", B1192&lt;=24.9, "Normal Weight", B1192&lt;=29.9, "Overweight", TRUE, "Obesity")</f>
        <v>Overweight</v>
      </c>
      <c r="J1192" t="str" cm="1">
        <f t="array" ref="J1192">_xlfn.IFS(C1192&lt;5.7, "Normal", C1192&lt;=6.4, "Prediabetes", TRUE, "Diabetes")</f>
        <v>Prediabetes</v>
      </c>
    </row>
    <row r="1193" spans="1:10">
      <c r="A1193" t="s">
        <v>2384</v>
      </c>
      <c r="B1193">
        <v>32.729999999999997</v>
      </c>
      <c r="C1193">
        <v>5.19</v>
      </c>
      <c r="D1193" t="s">
        <v>4682</v>
      </c>
      <c r="E1193" t="s">
        <v>4682</v>
      </c>
      <c r="F1193" t="s">
        <v>4682</v>
      </c>
      <c r="G1193">
        <v>1</v>
      </c>
      <c r="H1193" t="s">
        <v>4682</v>
      </c>
      <c r="I1193" t="str" cm="1">
        <f t="array" ref="I1193">_xlfn.IFS(B1193&lt;18.5, "Underweight", B1193&lt;=24.9, "Normal Weight", B1193&lt;=29.9, "Overweight", TRUE, "Obesity")</f>
        <v>Obesity</v>
      </c>
      <c r="J1193" t="str" cm="1">
        <f t="array" ref="J1193">_xlfn.IFS(C1193&lt;5.7, "Normal", C1193&lt;=6.4, "Prediabetes", TRUE, "Diabetes")</f>
        <v>Normal</v>
      </c>
    </row>
    <row r="1194" spans="1:10">
      <c r="A1194" t="s">
        <v>2386</v>
      </c>
      <c r="B1194">
        <v>27.36</v>
      </c>
      <c r="C1194">
        <v>8.9600000000000009</v>
      </c>
      <c r="D1194" t="s">
        <v>4682</v>
      </c>
      <c r="E1194" t="s">
        <v>4682</v>
      </c>
      <c r="F1194" t="s">
        <v>4682</v>
      </c>
      <c r="G1194">
        <v>0</v>
      </c>
      <c r="H1194" t="s">
        <v>4682</v>
      </c>
      <c r="I1194" t="str" cm="1">
        <f t="array" ref="I1194">_xlfn.IFS(B1194&lt;18.5, "Underweight", B1194&lt;=24.9, "Normal Weight", B1194&lt;=29.9, "Overweight", TRUE, "Obesity")</f>
        <v>Overweight</v>
      </c>
      <c r="J1194" t="str" cm="1">
        <f t="array" ref="J1194">_xlfn.IFS(C1194&lt;5.7, "Normal", C1194&lt;=6.4, "Prediabetes", TRUE, "Diabetes")</f>
        <v>Diabetes</v>
      </c>
    </row>
    <row r="1195" spans="1:10">
      <c r="A1195" t="s">
        <v>2388</v>
      </c>
      <c r="B1195">
        <v>27.265000000000001</v>
      </c>
      <c r="C1195">
        <v>11.39</v>
      </c>
      <c r="D1195" t="s">
        <v>4682</v>
      </c>
      <c r="E1195" t="s">
        <v>4682</v>
      </c>
      <c r="F1195" t="s">
        <v>4682</v>
      </c>
      <c r="G1195">
        <v>0</v>
      </c>
      <c r="H1195" t="s">
        <v>4682</v>
      </c>
      <c r="I1195" t="str" cm="1">
        <f t="array" ref="I1195">_xlfn.IFS(B1195&lt;18.5, "Underweight", B1195&lt;=24.9, "Normal Weight", B1195&lt;=29.9, "Overweight", TRUE, "Obesity")</f>
        <v>Overweight</v>
      </c>
      <c r="J1195" t="str" cm="1">
        <f t="array" ref="J1195">_xlfn.IFS(C1195&lt;5.7, "Normal", C1195&lt;=6.4, "Prediabetes", TRUE, "Diabetes")</f>
        <v>Diabetes</v>
      </c>
    </row>
    <row r="1196" spans="1:10">
      <c r="A1196" t="s">
        <v>2390</v>
      </c>
      <c r="B1196">
        <v>48.07</v>
      </c>
      <c r="C1196">
        <v>4.0599999999999996</v>
      </c>
      <c r="D1196" t="s">
        <v>4683</v>
      </c>
      <c r="E1196" t="s">
        <v>4682</v>
      </c>
      <c r="F1196" t="s">
        <v>4682</v>
      </c>
      <c r="G1196">
        <v>0</v>
      </c>
      <c r="H1196" t="s">
        <v>4682</v>
      </c>
      <c r="I1196" t="str" cm="1">
        <f t="array" ref="I1196">_xlfn.IFS(B1196&lt;18.5, "Underweight", B1196&lt;=24.9, "Normal Weight", B1196&lt;=29.9, "Overweight", TRUE, "Obesity")</f>
        <v>Obesity</v>
      </c>
      <c r="J1196" t="str" cm="1">
        <f t="array" ref="J1196">_xlfn.IFS(C1196&lt;5.7, "Normal", C1196&lt;=6.4, "Prediabetes", TRUE, "Diabetes")</f>
        <v>Normal</v>
      </c>
    </row>
    <row r="1197" spans="1:10">
      <c r="A1197" t="s">
        <v>2392</v>
      </c>
      <c r="B1197">
        <v>30.8</v>
      </c>
      <c r="C1197">
        <v>5.23</v>
      </c>
      <c r="D1197" t="s">
        <v>4683</v>
      </c>
      <c r="E1197" t="s">
        <v>4682</v>
      </c>
      <c r="F1197" t="s">
        <v>4682</v>
      </c>
      <c r="G1197">
        <v>0</v>
      </c>
      <c r="H1197" t="s">
        <v>4682</v>
      </c>
      <c r="I1197" t="str" cm="1">
        <f t="array" ref="I1197">_xlfn.IFS(B1197&lt;18.5, "Underweight", B1197&lt;=24.9, "Normal Weight", B1197&lt;=29.9, "Overweight", TRUE, "Obesity")</f>
        <v>Obesity</v>
      </c>
      <c r="J1197" t="str" cm="1">
        <f t="array" ref="J1197">_xlfn.IFS(C1197&lt;5.7, "Normal", C1197&lt;=6.4, "Prediabetes", TRUE, "Diabetes")</f>
        <v>Normal</v>
      </c>
    </row>
    <row r="1198" spans="1:10">
      <c r="A1198" t="s">
        <v>2394</v>
      </c>
      <c r="B1198">
        <v>32.299999999999997</v>
      </c>
      <c r="C1198">
        <v>5.05</v>
      </c>
      <c r="D1198" t="s">
        <v>4683</v>
      </c>
      <c r="E1198" t="s">
        <v>4682</v>
      </c>
      <c r="F1198" t="s">
        <v>4682</v>
      </c>
      <c r="G1198">
        <v>0</v>
      </c>
      <c r="H1198" t="s">
        <v>4682</v>
      </c>
      <c r="I1198" t="str" cm="1">
        <f t="array" ref="I1198">_xlfn.IFS(B1198&lt;18.5, "Underweight", B1198&lt;=24.9, "Normal Weight", B1198&lt;=29.9, "Overweight", TRUE, "Obesity")</f>
        <v>Obesity</v>
      </c>
      <c r="J1198" t="str" cm="1">
        <f t="array" ref="J1198">_xlfn.IFS(C1198&lt;5.7, "Normal", C1198&lt;=6.4, "Prediabetes", TRUE, "Diabetes")</f>
        <v>Normal</v>
      </c>
    </row>
    <row r="1199" spans="1:10">
      <c r="A1199" t="s">
        <v>2396</v>
      </c>
      <c r="B1199">
        <v>39.700000000000003</v>
      </c>
      <c r="C1199">
        <v>7.34</v>
      </c>
      <c r="D1199" t="s">
        <v>4682</v>
      </c>
      <c r="E1199" t="s">
        <v>4682</v>
      </c>
      <c r="F1199" t="s">
        <v>4682</v>
      </c>
      <c r="G1199">
        <v>0</v>
      </c>
      <c r="H1199" t="s">
        <v>4682</v>
      </c>
      <c r="I1199" t="str" cm="1">
        <f t="array" ref="I1199">_xlfn.IFS(B1199&lt;18.5, "Underweight", B1199&lt;=24.9, "Normal Weight", B1199&lt;=29.9, "Overweight", TRUE, "Obesity")</f>
        <v>Obesity</v>
      </c>
      <c r="J1199" t="str" cm="1">
        <f t="array" ref="J1199">_xlfn.IFS(C1199&lt;5.7, "Normal", C1199&lt;=6.4, "Prediabetes", TRUE, "Diabetes")</f>
        <v>Diabetes</v>
      </c>
    </row>
    <row r="1200" spans="1:10">
      <c r="A1200" t="s">
        <v>2398</v>
      </c>
      <c r="B1200">
        <v>35.97</v>
      </c>
      <c r="C1200">
        <v>8.1300000000000008</v>
      </c>
      <c r="D1200" t="s">
        <v>4682</v>
      </c>
      <c r="E1200" t="s">
        <v>4682</v>
      </c>
      <c r="F1200" t="s">
        <v>4682</v>
      </c>
      <c r="G1200">
        <v>0</v>
      </c>
      <c r="H1200" t="s">
        <v>4682</v>
      </c>
      <c r="I1200" t="str" cm="1">
        <f t="array" ref="I1200">_xlfn.IFS(B1200&lt;18.5, "Underweight", B1200&lt;=24.9, "Normal Weight", B1200&lt;=29.9, "Overweight", TRUE, "Obesity")</f>
        <v>Obesity</v>
      </c>
      <c r="J1200" t="str" cm="1">
        <f t="array" ref="J1200">_xlfn.IFS(C1200&lt;5.7, "Normal", C1200&lt;=6.4, "Prediabetes", TRUE, "Diabetes")</f>
        <v>Diabetes</v>
      </c>
    </row>
    <row r="1201" spans="1:10">
      <c r="A1201" t="s">
        <v>2400</v>
      </c>
      <c r="B1201">
        <v>25.86</v>
      </c>
      <c r="C1201">
        <v>6.68</v>
      </c>
      <c r="D1201" t="s">
        <v>4683</v>
      </c>
      <c r="E1201" t="s">
        <v>4682</v>
      </c>
      <c r="F1201" t="s">
        <v>4682</v>
      </c>
      <c r="G1201">
        <v>1</v>
      </c>
      <c r="H1201" t="s">
        <v>4682</v>
      </c>
      <c r="I1201" t="str" cm="1">
        <f t="array" ref="I1201">_xlfn.IFS(B1201&lt;18.5, "Underweight", B1201&lt;=24.9, "Normal Weight", B1201&lt;=29.9, "Overweight", TRUE, "Obesity")</f>
        <v>Overweight</v>
      </c>
      <c r="J1201" t="str" cm="1">
        <f t="array" ref="J1201">_xlfn.IFS(C1201&lt;5.7, "Normal", C1201&lt;=6.4, "Prediabetes", TRUE, "Diabetes")</f>
        <v>Diabetes</v>
      </c>
    </row>
    <row r="1202" spans="1:10">
      <c r="A1202" t="s">
        <v>2402</v>
      </c>
      <c r="B1202">
        <v>30.03</v>
      </c>
      <c r="C1202">
        <v>11.51</v>
      </c>
      <c r="D1202" t="s">
        <v>4682</v>
      </c>
      <c r="E1202" t="s">
        <v>4682</v>
      </c>
      <c r="F1202" t="s">
        <v>4682</v>
      </c>
      <c r="G1202">
        <v>0</v>
      </c>
      <c r="H1202" t="s">
        <v>4682</v>
      </c>
      <c r="I1202" t="str" cm="1">
        <f t="array" ref="I1202">_xlfn.IFS(B1202&lt;18.5, "Underweight", B1202&lt;=24.9, "Normal Weight", B1202&lt;=29.9, "Overweight", TRUE, "Obesity")</f>
        <v>Obesity</v>
      </c>
      <c r="J1202" t="str" cm="1">
        <f t="array" ref="J1202">_xlfn.IFS(C1202&lt;5.7, "Normal", C1202&lt;=6.4, "Prediabetes", TRUE, "Diabetes")</f>
        <v>Diabetes</v>
      </c>
    </row>
    <row r="1203" spans="1:10">
      <c r="A1203" t="s">
        <v>2404</v>
      </c>
      <c r="B1203">
        <v>25.76</v>
      </c>
      <c r="C1203">
        <v>6.02</v>
      </c>
      <c r="D1203" t="s">
        <v>4683</v>
      </c>
      <c r="E1203" t="s">
        <v>4682</v>
      </c>
      <c r="F1203" t="s">
        <v>4684</v>
      </c>
      <c r="G1203">
        <v>1</v>
      </c>
      <c r="H1203" t="s">
        <v>4682</v>
      </c>
      <c r="I1203" t="str" cm="1">
        <f t="array" ref="I1203">_xlfn.IFS(B1203&lt;18.5, "Underweight", B1203&lt;=24.9, "Normal Weight", B1203&lt;=29.9, "Overweight", TRUE, "Obesity")</f>
        <v>Overweight</v>
      </c>
      <c r="J1203" t="str" cm="1">
        <f t="array" ref="J1203">_xlfn.IFS(C1203&lt;5.7, "Normal", C1203&lt;=6.4, "Prediabetes", TRUE, "Diabetes")</f>
        <v>Prediabetes</v>
      </c>
    </row>
    <row r="1204" spans="1:10">
      <c r="A1204" t="s">
        <v>2406</v>
      </c>
      <c r="B1204">
        <v>22.42</v>
      </c>
      <c r="C1204">
        <v>7.96</v>
      </c>
      <c r="D1204" t="s">
        <v>4682</v>
      </c>
      <c r="E1204" t="s">
        <v>4682</v>
      </c>
      <c r="F1204" t="s">
        <v>4682</v>
      </c>
      <c r="G1204">
        <v>0</v>
      </c>
      <c r="H1204" t="s">
        <v>4682</v>
      </c>
      <c r="I1204" t="str" cm="1">
        <f t="array" ref="I1204">_xlfn.IFS(B1204&lt;18.5, "Underweight", B1204&lt;=24.9, "Normal Weight", B1204&lt;=29.9, "Overweight", TRUE, "Obesity")</f>
        <v>Normal Weight</v>
      </c>
      <c r="J1204" t="str" cm="1">
        <f t="array" ref="J1204">_xlfn.IFS(C1204&lt;5.7, "Normal", C1204&lt;=6.4, "Prediabetes", TRUE, "Diabetes")</f>
        <v>Diabetes</v>
      </c>
    </row>
    <row r="1205" spans="1:10">
      <c r="A1205" t="s">
        <v>2408</v>
      </c>
      <c r="B1205">
        <v>33.18</v>
      </c>
      <c r="C1205">
        <v>6.01</v>
      </c>
      <c r="D1205" t="s">
        <v>4683</v>
      </c>
      <c r="E1205" t="s">
        <v>4682</v>
      </c>
      <c r="F1205" t="s">
        <v>4682</v>
      </c>
      <c r="G1205">
        <v>1</v>
      </c>
      <c r="H1205" t="s">
        <v>4682</v>
      </c>
      <c r="I1205" t="str" cm="1">
        <f t="array" ref="I1205">_xlfn.IFS(B1205&lt;18.5, "Underweight", B1205&lt;=24.9, "Normal Weight", B1205&lt;=29.9, "Overweight", TRUE, "Obesity")</f>
        <v>Obesity</v>
      </c>
      <c r="J1205" t="str" cm="1">
        <f t="array" ref="J1205">_xlfn.IFS(C1205&lt;5.7, "Normal", C1205&lt;=6.4, "Prediabetes", TRUE, "Diabetes")</f>
        <v>Prediabetes</v>
      </c>
    </row>
    <row r="1206" spans="1:10">
      <c r="A1206" t="s">
        <v>2410</v>
      </c>
      <c r="B1206">
        <v>43.04</v>
      </c>
      <c r="C1206">
        <v>5.9</v>
      </c>
      <c r="D1206" t="s">
        <v>4683</v>
      </c>
      <c r="E1206" t="s">
        <v>4682</v>
      </c>
      <c r="F1206" t="s">
        <v>4682</v>
      </c>
      <c r="G1206">
        <v>0</v>
      </c>
      <c r="H1206" t="s">
        <v>4682</v>
      </c>
      <c r="I1206" t="str" cm="1">
        <f t="array" ref="I1206">_xlfn.IFS(B1206&lt;18.5, "Underweight", B1206&lt;=24.9, "Normal Weight", B1206&lt;=29.9, "Overweight", TRUE, "Obesity")</f>
        <v>Obesity</v>
      </c>
      <c r="J1206" t="str" cm="1">
        <f t="array" ref="J1206">_xlfn.IFS(C1206&lt;5.7, "Normal", C1206&lt;=6.4, "Prediabetes", TRUE, "Diabetes")</f>
        <v>Prediabetes</v>
      </c>
    </row>
    <row r="1207" spans="1:10">
      <c r="A1207" t="s">
        <v>2412</v>
      </c>
      <c r="B1207">
        <v>34.15</v>
      </c>
      <c r="C1207">
        <v>4.49</v>
      </c>
      <c r="D1207" t="s">
        <v>4683</v>
      </c>
      <c r="E1207" t="s">
        <v>4682</v>
      </c>
      <c r="F1207" t="s">
        <v>4682</v>
      </c>
      <c r="G1207">
        <v>1</v>
      </c>
      <c r="H1207" t="s">
        <v>4682</v>
      </c>
      <c r="I1207" t="str" cm="1">
        <f t="array" ref="I1207">_xlfn.IFS(B1207&lt;18.5, "Underweight", B1207&lt;=24.9, "Normal Weight", B1207&lt;=29.9, "Overweight", TRUE, "Obesity")</f>
        <v>Obesity</v>
      </c>
      <c r="J1207" t="str" cm="1">
        <f t="array" ref="J1207">_xlfn.IFS(C1207&lt;5.7, "Normal", C1207&lt;=6.4, "Prediabetes", TRUE, "Diabetes")</f>
        <v>Normal</v>
      </c>
    </row>
    <row r="1208" spans="1:10">
      <c r="A1208" t="s">
        <v>2414</v>
      </c>
      <c r="B1208">
        <v>25.78</v>
      </c>
      <c r="C1208">
        <v>6.25</v>
      </c>
      <c r="D1208" t="s">
        <v>4682</v>
      </c>
      <c r="E1208" t="s">
        <v>4682</v>
      </c>
      <c r="F1208" t="s">
        <v>4682</v>
      </c>
      <c r="G1208">
        <v>0</v>
      </c>
      <c r="H1208" t="s">
        <v>4682</v>
      </c>
      <c r="I1208" t="str" cm="1">
        <f t="array" ref="I1208">_xlfn.IFS(B1208&lt;18.5, "Underweight", B1208&lt;=24.9, "Normal Weight", B1208&lt;=29.9, "Overweight", TRUE, "Obesity")</f>
        <v>Overweight</v>
      </c>
      <c r="J1208" t="str" cm="1">
        <f t="array" ref="J1208">_xlfn.IFS(C1208&lt;5.7, "Normal", C1208&lt;=6.4, "Prediabetes", TRUE, "Diabetes")</f>
        <v>Prediabetes</v>
      </c>
    </row>
    <row r="1209" spans="1:10">
      <c r="A1209" t="s">
        <v>2416</v>
      </c>
      <c r="B1209">
        <v>21.02</v>
      </c>
      <c r="C1209">
        <v>9.6199999999999992</v>
      </c>
      <c r="D1209" t="s">
        <v>4683</v>
      </c>
      <c r="E1209" t="s">
        <v>4682</v>
      </c>
      <c r="F1209" t="s">
        <v>4684</v>
      </c>
      <c r="G1209">
        <v>1</v>
      </c>
      <c r="H1209" t="s">
        <v>4682</v>
      </c>
      <c r="I1209" t="str" cm="1">
        <f t="array" ref="I1209">_xlfn.IFS(B1209&lt;18.5, "Underweight", B1209&lt;=24.9, "Normal Weight", B1209&lt;=29.9, "Overweight", TRUE, "Obesity")</f>
        <v>Normal Weight</v>
      </c>
      <c r="J1209" t="str" cm="1">
        <f t="array" ref="J1209">_xlfn.IFS(C1209&lt;5.7, "Normal", C1209&lt;=6.4, "Prediabetes", TRUE, "Diabetes")</f>
        <v>Diabetes</v>
      </c>
    </row>
    <row r="1210" spans="1:10">
      <c r="A1210" t="s">
        <v>2418</v>
      </c>
      <c r="B1210">
        <v>37.51</v>
      </c>
      <c r="C1210">
        <v>11.06</v>
      </c>
      <c r="D1210" t="s">
        <v>4682</v>
      </c>
      <c r="E1210" t="s">
        <v>4682</v>
      </c>
      <c r="F1210" t="s">
        <v>4682</v>
      </c>
      <c r="G1210">
        <v>2</v>
      </c>
      <c r="H1210" t="s">
        <v>4682</v>
      </c>
      <c r="I1210" t="str" cm="1">
        <f t="array" ref="I1210">_xlfn.IFS(B1210&lt;18.5, "Underweight", B1210&lt;=24.9, "Normal Weight", B1210&lt;=29.9, "Overweight", TRUE, "Obesity")</f>
        <v>Obesity</v>
      </c>
      <c r="J1210" t="str" cm="1">
        <f t="array" ref="J1210">_xlfn.IFS(C1210&lt;5.7, "Normal", C1210&lt;=6.4, "Prediabetes", TRUE, "Diabetes")</f>
        <v>Diabetes</v>
      </c>
    </row>
    <row r="1211" spans="1:10">
      <c r="A1211" t="s">
        <v>2420</v>
      </c>
      <c r="B1211">
        <v>25.745000000000001</v>
      </c>
      <c r="C1211">
        <v>6.11</v>
      </c>
      <c r="D1211" t="s">
        <v>4683</v>
      </c>
      <c r="E1211" t="s">
        <v>4682</v>
      </c>
      <c r="F1211" t="s">
        <v>4682</v>
      </c>
      <c r="G1211">
        <v>0</v>
      </c>
      <c r="H1211" t="s">
        <v>4682</v>
      </c>
      <c r="I1211" t="str" cm="1">
        <f t="array" ref="I1211">_xlfn.IFS(B1211&lt;18.5, "Underweight", B1211&lt;=24.9, "Normal Weight", B1211&lt;=29.9, "Overweight", TRUE, "Obesity")</f>
        <v>Overweight</v>
      </c>
      <c r="J1211" t="str" cm="1">
        <f t="array" ref="J1211">_xlfn.IFS(C1211&lt;5.7, "Normal", C1211&lt;=6.4, "Prediabetes", TRUE, "Diabetes")</f>
        <v>Prediabetes</v>
      </c>
    </row>
    <row r="1212" spans="1:10">
      <c r="A1212" t="s">
        <v>2422</v>
      </c>
      <c r="B1212">
        <v>31.35</v>
      </c>
      <c r="C1212">
        <v>11.49</v>
      </c>
      <c r="D1212" t="s">
        <v>4682</v>
      </c>
      <c r="E1212" t="s">
        <v>4682</v>
      </c>
      <c r="F1212" t="s">
        <v>4682</v>
      </c>
      <c r="G1212">
        <v>2</v>
      </c>
      <c r="H1212" t="s">
        <v>4682</v>
      </c>
      <c r="I1212" t="str" cm="1">
        <f t="array" ref="I1212">_xlfn.IFS(B1212&lt;18.5, "Underweight", B1212&lt;=24.9, "Normal Weight", B1212&lt;=29.9, "Overweight", TRUE, "Obesity")</f>
        <v>Obesity</v>
      </c>
      <c r="J1212" t="str" cm="1">
        <f t="array" ref="J1212">_xlfn.IFS(C1212&lt;5.7, "Normal", C1212&lt;=6.4, "Prediabetes", TRUE, "Diabetes")</f>
        <v>Diabetes</v>
      </c>
    </row>
    <row r="1213" spans="1:10">
      <c r="A1213" t="s">
        <v>2424</v>
      </c>
      <c r="B1213">
        <v>29.83</v>
      </c>
      <c r="C1213">
        <v>8.68</v>
      </c>
      <c r="D1213" t="s">
        <v>4682</v>
      </c>
      <c r="E1213" t="s">
        <v>4682</v>
      </c>
      <c r="F1213" t="s">
        <v>4682</v>
      </c>
      <c r="G1213">
        <v>2</v>
      </c>
      <c r="H1213" t="s">
        <v>4682</v>
      </c>
      <c r="I1213" t="str" cm="1">
        <f t="array" ref="I1213">_xlfn.IFS(B1213&lt;18.5, "Underweight", B1213&lt;=24.9, "Normal Weight", B1213&lt;=29.9, "Overweight", TRUE, "Obesity")</f>
        <v>Overweight</v>
      </c>
      <c r="J1213" t="str" cm="1">
        <f t="array" ref="J1213">_xlfn.IFS(C1213&lt;5.7, "Normal", C1213&lt;=6.4, "Prediabetes", TRUE, "Diabetes")</f>
        <v>Diabetes</v>
      </c>
    </row>
    <row r="1214" spans="1:10">
      <c r="A1214" t="s">
        <v>2426</v>
      </c>
      <c r="B1214">
        <v>25.49</v>
      </c>
      <c r="C1214">
        <v>5.68</v>
      </c>
      <c r="D1214" t="s">
        <v>4683</v>
      </c>
      <c r="E1214" t="s">
        <v>4682</v>
      </c>
      <c r="F1214" t="s">
        <v>4684</v>
      </c>
      <c r="G1214">
        <v>1</v>
      </c>
      <c r="H1214" t="s">
        <v>4682</v>
      </c>
      <c r="I1214" t="str" cm="1">
        <f t="array" ref="I1214">_xlfn.IFS(B1214&lt;18.5, "Underweight", B1214&lt;=24.9, "Normal Weight", B1214&lt;=29.9, "Overweight", TRUE, "Obesity")</f>
        <v>Overweight</v>
      </c>
      <c r="J1214" t="str" cm="1">
        <f t="array" ref="J1214">_xlfn.IFS(C1214&lt;5.7, "Normal", C1214&lt;=6.4, "Prediabetes", TRUE, "Diabetes")</f>
        <v>Normal</v>
      </c>
    </row>
    <row r="1215" spans="1:10">
      <c r="A1215" t="s">
        <v>2428</v>
      </c>
      <c r="B1215">
        <v>34.1</v>
      </c>
      <c r="C1215">
        <v>8.4499999999999993</v>
      </c>
      <c r="D1215" t="s">
        <v>4682</v>
      </c>
      <c r="E1215" t="s">
        <v>4682</v>
      </c>
      <c r="F1215" t="s">
        <v>4682</v>
      </c>
      <c r="G1215">
        <v>0</v>
      </c>
      <c r="H1215" t="s">
        <v>4682</v>
      </c>
      <c r="I1215" t="str" cm="1">
        <f t="array" ref="I1215">_xlfn.IFS(B1215&lt;18.5, "Underweight", B1215&lt;=24.9, "Normal Weight", B1215&lt;=29.9, "Overweight", TRUE, "Obesity")</f>
        <v>Obesity</v>
      </c>
      <c r="J1215" t="str" cm="1">
        <f t="array" ref="J1215">_xlfn.IFS(C1215&lt;5.7, "Normal", C1215&lt;=6.4, "Prediabetes", TRUE, "Diabetes")</f>
        <v>Diabetes</v>
      </c>
    </row>
    <row r="1216" spans="1:10">
      <c r="A1216" t="s">
        <v>2430</v>
      </c>
      <c r="B1216">
        <v>25.84</v>
      </c>
      <c r="C1216">
        <v>8.51</v>
      </c>
      <c r="D1216" t="s">
        <v>4682</v>
      </c>
      <c r="E1216" t="s">
        <v>4682</v>
      </c>
      <c r="F1216" t="s">
        <v>4682</v>
      </c>
      <c r="G1216">
        <v>2</v>
      </c>
      <c r="H1216" t="s">
        <v>4682</v>
      </c>
      <c r="I1216" t="str" cm="1">
        <f t="array" ref="I1216">_xlfn.IFS(B1216&lt;18.5, "Underweight", B1216&lt;=24.9, "Normal Weight", B1216&lt;=29.9, "Overweight", TRUE, "Obesity")</f>
        <v>Overweight</v>
      </c>
      <c r="J1216" t="str" cm="1">
        <f t="array" ref="J1216">_xlfn.IFS(C1216&lt;5.7, "Normal", C1216&lt;=6.4, "Prediabetes", TRUE, "Diabetes")</f>
        <v>Diabetes</v>
      </c>
    </row>
    <row r="1217" spans="1:10">
      <c r="A1217" t="s">
        <v>2432</v>
      </c>
      <c r="B1217">
        <v>20.6</v>
      </c>
      <c r="C1217">
        <v>7.62</v>
      </c>
      <c r="D1217" t="s">
        <v>4682</v>
      </c>
      <c r="E1217" t="s">
        <v>4682</v>
      </c>
      <c r="F1217" t="s">
        <v>4682</v>
      </c>
      <c r="G1217">
        <v>0</v>
      </c>
      <c r="H1217" t="s">
        <v>4682</v>
      </c>
      <c r="I1217" t="str" cm="1">
        <f t="array" ref="I1217">_xlfn.IFS(B1217&lt;18.5, "Underweight", B1217&lt;=24.9, "Normal Weight", B1217&lt;=29.9, "Overweight", TRUE, "Obesity")</f>
        <v>Normal Weight</v>
      </c>
      <c r="J1217" t="str" cm="1">
        <f t="array" ref="J1217">_xlfn.IFS(C1217&lt;5.7, "Normal", C1217&lt;=6.4, "Prediabetes", TRUE, "Diabetes")</f>
        <v>Diabetes</v>
      </c>
    </row>
    <row r="1218" spans="1:10">
      <c r="A1218" t="s">
        <v>2434</v>
      </c>
      <c r="B1218">
        <v>28.88</v>
      </c>
      <c r="C1218">
        <v>10.18</v>
      </c>
      <c r="D1218" t="s">
        <v>4682</v>
      </c>
      <c r="E1218" t="s">
        <v>4682</v>
      </c>
      <c r="F1218" t="s">
        <v>4682</v>
      </c>
      <c r="G1218">
        <v>0</v>
      </c>
      <c r="H1218" t="s">
        <v>4682</v>
      </c>
      <c r="I1218" t="str" cm="1">
        <f t="array" ref="I1218">_xlfn.IFS(B1218&lt;18.5, "Underweight", B1218&lt;=24.9, "Normal Weight", B1218&lt;=29.9, "Overweight", TRUE, "Obesity")</f>
        <v>Overweight</v>
      </c>
      <c r="J1218" t="str" cm="1">
        <f t="array" ref="J1218">_xlfn.IFS(C1218&lt;5.7, "Normal", C1218&lt;=6.4, "Prediabetes", TRUE, "Diabetes")</f>
        <v>Diabetes</v>
      </c>
    </row>
    <row r="1219" spans="1:10">
      <c r="A1219" t="s">
        <v>2436</v>
      </c>
      <c r="B1219">
        <v>28.24</v>
      </c>
      <c r="C1219">
        <v>5.36</v>
      </c>
      <c r="D1219" t="s">
        <v>4682</v>
      </c>
      <c r="E1219" t="s">
        <v>4682</v>
      </c>
      <c r="F1219" t="s">
        <v>4682</v>
      </c>
      <c r="G1219">
        <v>0</v>
      </c>
      <c r="H1219" t="s">
        <v>4682</v>
      </c>
      <c r="I1219" t="str" cm="1">
        <f t="array" ref="I1219">_xlfn.IFS(B1219&lt;18.5, "Underweight", B1219&lt;=24.9, "Normal Weight", B1219&lt;=29.9, "Overweight", TRUE, "Obesity")</f>
        <v>Overweight</v>
      </c>
      <c r="J1219" t="str" cm="1">
        <f t="array" ref="J1219">_xlfn.IFS(C1219&lt;5.7, "Normal", C1219&lt;=6.4, "Prediabetes", TRUE, "Diabetes")</f>
        <v>Normal</v>
      </c>
    </row>
    <row r="1220" spans="1:10">
      <c r="A1220" t="s">
        <v>2438</v>
      </c>
      <c r="B1220">
        <v>25.46</v>
      </c>
      <c r="C1220">
        <v>11.78</v>
      </c>
      <c r="D1220" t="s">
        <v>4683</v>
      </c>
      <c r="E1220" t="s">
        <v>4682</v>
      </c>
      <c r="F1220" t="s">
        <v>4682</v>
      </c>
      <c r="G1220">
        <v>1</v>
      </c>
      <c r="H1220" t="s">
        <v>4682</v>
      </c>
      <c r="I1220" t="str" cm="1">
        <f t="array" ref="I1220">_xlfn.IFS(B1220&lt;18.5, "Underweight", B1220&lt;=24.9, "Normal Weight", B1220&lt;=29.9, "Overweight", TRUE, "Obesity")</f>
        <v>Overweight</v>
      </c>
      <c r="J1220" t="str" cm="1">
        <f t="array" ref="J1220">_xlfn.IFS(C1220&lt;5.7, "Normal", C1220&lt;=6.4, "Prediabetes", TRUE, "Diabetes")</f>
        <v>Diabetes</v>
      </c>
    </row>
    <row r="1221" spans="1:10">
      <c r="A1221" t="s">
        <v>2440</v>
      </c>
      <c r="B1221">
        <v>29.64</v>
      </c>
      <c r="C1221">
        <v>10.82</v>
      </c>
      <c r="D1221" t="s">
        <v>4683</v>
      </c>
      <c r="E1221" t="s">
        <v>4682</v>
      </c>
      <c r="F1221" t="s">
        <v>4682</v>
      </c>
      <c r="G1221">
        <v>0</v>
      </c>
      <c r="H1221" t="s">
        <v>4682</v>
      </c>
      <c r="I1221" t="str" cm="1">
        <f t="array" ref="I1221">_xlfn.IFS(B1221&lt;18.5, "Underweight", B1221&lt;=24.9, "Normal Weight", B1221&lt;=29.9, "Overweight", TRUE, "Obesity")</f>
        <v>Overweight</v>
      </c>
      <c r="J1221" t="str" cm="1">
        <f t="array" ref="J1221">_xlfn.IFS(C1221&lt;5.7, "Normal", C1221&lt;=6.4, "Prediabetes", TRUE, "Diabetes")</f>
        <v>Diabetes</v>
      </c>
    </row>
    <row r="1222" spans="1:10">
      <c r="A1222" t="s">
        <v>2442</v>
      </c>
      <c r="B1222">
        <v>31.27</v>
      </c>
      <c r="C1222">
        <v>7.73</v>
      </c>
      <c r="D1222" t="s">
        <v>4683</v>
      </c>
      <c r="E1222" t="s">
        <v>4682</v>
      </c>
      <c r="F1222" t="s">
        <v>4682</v>
      </c>
      <c r="G1222">
        <v>1</v>
      </c>
      <c r="H1222" t="s">
        <v>4682</v>
      </c>
      <c r="I1222" t="str" cm="1">
        <f t="array" ref="I1222">_xlfn.IFS(B1222&lt;18.5, "Underweight", B1222&lt;=24.9, "Normal Weight", B1222&lt;=29.9, "Overweight", TRUE, "Obesity")</f>
        <v>Obesity</v>
      </c>
      <c r="J1222" t="str" cm="1">
        <f t="array" ref="J1222">_xlfn.IFS(C1222&lt;5.7, "Normal", C1222&lt;=6.4, "Prediabetes", TRUE, "Diabetes")</f>
        <v>Diabetes</v>
      </c>
    </row>
    <row r="1223" spans="1:10">
      <c r="A1223" t="s">
        <v>2444</v>
      </c>
      <c r="B1223">
        <v>19.95</v>
      </c>
      <c r="C1223">
        <v>6.24</v>
      </c>
      <c r="D1223" t="s">
        <v>4683</v>
      </c>
      <c r="E1223" t="s">
        <v>4682</v>
      </c>
      <c r="F1223" t="s">
        <v>4682</v>
      </c>
      <c r="G1223">
        <v>0</v>
      </c>
      <c r="H1223" t="s">
        <v>4682</v>
      </c>
      <c r="I1223" t="str" cm="1">
        <f t="array" ref="I1223">_xlfn.IFS(B1223&lt;18.5, "Underweight", B1223&lt;=24.9, "Normal Weight", B1223&lt;=29.9, "Overweight", TRUE, "Obesity")</f>
        <v>Normal Weight</v>
      </c>
      <c r="J1223" t="str" cm="1">
        <f t="array" ref="J1223">_xlfn.IFS(C1223&lt;5.7, "Normal", C1223&lt;=6.4, "Prediabetes", TRUE, "Diabetes")</f>
        <v>Prediabetes</v>
      </c>
    </row>
    <row r="1224" spans="1:10">
      <c r="A1224" t="s">
        <v>2446</v>
      </c>
      <c r="B1224">
        <v>21.3</v>
      </c>
      <c r="C1224">
        <v>10.42</v>
      </c>
      <c r="D1224" t="s">
        <v>4682</v>
      </c>
      <c r="E1224" t="s">
        <v>4682</v>
      </c>
      <c r="F1224" t="s">
        <v>4682</v>
      </c>
      <c r="G1224">
        <v>2</v>
      </c>
      <c r="H1224" t="s">
        <v>4682</v>
      </c>
      <c r="I1224" t="str" cm="1">
        <f t="array" ref="I1224">_xlfn.IFS(B1224&lt;18.5, "Underweight", B1224&lt;=24.9, "Normal Weight", B1224&lt;=29.9, "Overweight", TRUE, "Obesity")</f>
        <v>Normal Weight</v>
      </c>
      <c r="J1224" t="str" cm="1">
        <f t="array" ref="J1224">_xlfn.IFS(C1224&lt;5.7, "Normal", C1224&lt;=6.4, "Prediabetes", TRUE, "Diabetes")</f>
        <v>Diabetes</v>
      </c>
    </row>
    <row r="1225" spans="1:10">
      <c r="A1225" t="s">
        <v>2448</v>
      </c>
      <c r="B1225">
        <v>31.635000000000002</v>
      </c>
      <c r="C1225">
        <v>11.11</v>
      </c>
      <c r="D1225" t="s">
        <v>4682</v>
      </c>
      <c r="E1225" t="s">
        <v>4682</v>
      </c>
      <c r="F1225" t="s">
        <v>4682</v>
      </c>
      <c r="G1225">
        <v>0</v>
      </c>
      <c r="H1225" t="s">
        <v>4682</v>
      </c>
      <c r="I1225" t="str" cm="1">
        <f t="array" ref="I1225">_xlfn.IFS(B1225&lt;18.5, "Underweight", B1225&lt;=24.9, "Normal Weight", B1225&lt;=29.9, "Overweight", TRUE, "Obesity")</f>
        <v>Obesity</v>
      </c>
      <c r="J1225" t="str" cm="1">
        <f t="array" ref="J1225">_xlfn.IFS(C1225&lt;5.7, "Normal", C1225&lt;=6.4, "Prediabetes", TRUE, "Diabetes")</f>
        <v>Diabetes</v>
      </c>
    </row>
    <row r="1226" spans="1:10">
      <c r="A1226" t="s">
        <v>2450</v>
      </c>
      <c r="B1226">
        <v>23.9</v>
      </c>
      <c r="C1226">
        <v>7.67</v>
      </c>
      <c r="D1226" t="s">
        <v>4683</v>
      </c>
      <c r="E1226" t="s">
        <v>4682</v>
      </c>
      <c r="F1226" t="s">
        <v>4682</v>
      </c>
      <c r="G1226">
        <v>2</v>
      </c>
      <c r="H1226" t="s">
        <v>4682</v>
      </c>
      <c r="I1226" t="str" cm="1">
        <f t="array" ref="I1226">_xlfn.IFS(B1226&lt;18.5, "Underweight", B1226&lt;=24.9, "Normal Weight", B1226&lt;=29.9, "Overweight", TRUE, "Obesity")</f>
        <v>Normal Weight</v>
      </c>
      <c r="J1226" t="str" cm="1">
        <f t="array" ref="J1226">_xlfn.IFS(C1226&lt;5.7, "Normal", C1226&lt;=6.4, "Prediabetes", TRUE, "Diabetes")</f>
        <v>Diabetes</v>
      </c>
    </row>
    <row r="1227" spans="1:10">
      <c r="A1227" t="s">
        <v>2452</v>
      </c>
      <c r="B1227">
        <v>34.15</v>
      </c>
      <c r="C1227">
        <v>6.15</v>
      </c>
      <c r="D1227" t="s">
        <v>4682</v>
      </c>
      <c r="E1227" t="s">
        <v>4682</v>
      </c>
      <c r="F1227" t="s">
        <v>4682</v>
      </c>
      <c r="G1227">
        <v>0</v>
      </c>
      <c r="H1227" t="s">
        <v>4682</v>
      </c>
      <c r="I1227" t="str" cm="1">
        <f t="array" ref="I1227">_xlfn.IFS(B1227&lt;18.5, "Underweight", B1227&lt;=24.9, "Normal Weight", B1227&lt;=29.9, "Overweight", TRUE, "Obesity")</f>
        <v>Obesity</v>
      </c>
      <c r="J1227" t="str" cm="1">
        <f t="array" ref="J1227">_xlfn.IFS(C1227&lt;5.7, "Normal", C1227&lt;=6.4, "Prediabetes", TRUE, "Diabetes")</f>
        <v>Prediabetes</v>
      </c>
    </row>
    <row r="1228" spans="1:10">
      <c r="A1228" t="s">
        <v>2454</v>
      </c>
      <c r="B1228">
        <v>28.71</v>
      </c>
      <c r="C1228">
        <v>5.71</v>
      </c>
      <c r="D1228" t="s">
        <v>4682</v>
      </c>
      <c r="E1228" t="s">
        <v>4682</v>
      </c>
      <c r="F1228" t="s">
        <v>4682</v>
      </c>
      <c r="G1228">
        <v>0</v>
      </c>
      <c r="H1228" t="s">
        <v>4682</v>
      </c>
      <c r="I1228" t="str" cm="1">
        <f t="array" ref="I1228">_xlfn.IFS(B1228&lt;18.5, "Underweight", B1228&lt;=24.9, "Normal Weight", B1228&lt;=29.9, "Overweight", TRUE, "Obesity")</f>
        <v>Overweight</v>
      </c>
      <c r="J1228" t="str" cm="1">
        <f t="array" ref="J1228">_xlfn.IFS(C1228&lt;5.7, "Normal", C1228&lt;=6.4, "Prediabetes", TRUE, "Diabetes")</f>
        <v>Prediabetes</v>
      </c>
    </row>
    <row r="1229" spans="1:10">
      <c r="A1229" t="s">
        <v>2456</v>
      </c>
      <c r="B1229">
        <v>36.700000000000003</v>
      </c>
      <c r="C1229">
        <v>8.6999999999999993</v>
      </c>
      <c r="D1229" t="s">
        <v>4683</v>
      </c>
      <c r="E1229" t="s">
        <v>4682</v>
      </c>
      <c r="F1229" t="s">
        <v>4682</v>
      </c>
      <c r="G1229">
        <v>2</v>
      </c>
      <c r="H1229" t="s">
        <v>4682</v>
      </c>
      <c r="I1229" t="str" cm="1">
        <f t="array" ref="I1229">_xlfn.IFS(B1229&lt;18.5, "Underweight", B1229&lt;=24.9, "Normal Weight", B1229&lt;=29.9, "Overweight", TRUE, "Obesity")</f>
        <v>Obesity</v>
      </c>
      <c r="J1229" t="str" cm="1">
        <f t="array" ref="J1229">_xlfn.IFS(C1229&lt;5.7, "Normal", C1229&lt;=6.4, "Prediabetes", TRUE, "Diabetes")</f>
        <v>Diabetes</v>
      </c>
    </row>
    <row r="1230" spans="1:10">
      <c r="A1230" t="s">
        <v>2458</v>
      </c>
      <c r="B1230">
        <v>34.1</v>
      </c>
      <c r="C1230">
        <v>9.0399999999999991</v>
      </c>
      <c r="D1230" t="s">
        <v>4683</v>
      </c>
      <c r="E1230" t="s">
        <v>4682</v>
      </c>
      <c r="F1230" t="s">
        <v>4682</v>
      </c>
      <c r="G1230">
        <v>2</v>
      </c>
      <c r="H1230" t="s">
        <v>4682</v>
      </c>
      <c r="I1230" t="str" cm="1">
        <f t="array" ref="I1230">_xlfn.IFS(B1230&lt;18.5, "Underweight", B1230&lt;=24.9, "Normal Weight", B1230&lt;=29.9, "Overweight", TRUE, "Obesity")</f>
        <v>Obesity</v>
      </c>
      <c r="J1230" t="str" cm="1">
        <f t="array" ref="J1230">_xlfn.IFS(C1230&lt;5.7, "Normal", C1230&lt;=6.4, "Prediabetes", TRUE, "Diabetes")</f>
        <v>Diabetes</v>
      </c>
    </row>
    <row r="1231" spans="1:10">
      <c r="A1231" t="s">
        <v>2460</v>
      </c>
      <c r="B1231">
        <v>25.7</v>
      </c>
      <c r="C1231">
        <v>5.61</v>
      </c>
      <c r="D1231" t="s">
        <v>4682</v>
      </c>
      <c r="E1231" t="s">
        <v>4682</v>
      </c>
      <c r="F1231" t="s">
        <v>4682</v>
      </c>
      <c r="G1231">
        <v>0</v>
      </c>
      <c r="H1231" t="s">
        <v>4682</v>
      </c>
      <c r="I1231" t="str" cm="1">
        <f t="array" ref="I1231">_xlfn.IFS(B1231&lt;18.5, "Underweight", B1231&lt;=24.9, "Normal Weight", B1231&lt;=29.9, "Overweight", TRUE, "Obesity")</f>
        <v>Overweight</v>
      </c>
      <c r="J1231" t="str" cm="1">
        <f t="array" ref="J1231">_xlfn.IFS(C1231&lt;5.7, "Normal", C1231&lt;=6.4, "Prediabetes", TRUE, "Diabetes")</f>
        <v>Normal</v>
      </c>
    </row>
    <row r="1232" spans="1:10">
      <c r="A1232" t="s">
        <v>2462</v>
      </c>
      <c r="B1232">
        <v>21.68</v>
      </c>
      <c r="C1232">
        <v>8.1199999999999992</v>
      </c>
      <c r="D1232" t="s">
        <v>4682</v>
      </c>
      <c r="E1232" t="s">
        <v>4682</v>
      </c>
      <c r="F1232" t="s">
        <v>4682</v>
      </c>
      <c r="G1232">
        <v>0</v>
      </c>
      <c r="H1232" t="s">
        <v>4682</v>
      </c>
      <c r="I1232" t="str" cm="1">
        <f t="array" ref="I1232">_xlfn.IFS(B1232&lt;18.5, "Underweight", B1232&lt;=24.9, "Normal Weight", B1232&lt;=29.9, "Overweight", TRUE, "Obesity")</f>
        <v>Normal Weight</v>
      </c>
      <c r="J1232" t="str" cm="1">
        <f t="array" ref="J1232">_xlfn.IFS(C1232&lt;5.7, "Normal", C1232&lt;=6.4, "Prediabetes", TRUE, "Diabetes")</f>
        <v>Diabetes</v>
      </c>
    </row>
    <row r="1233" spans="1:10">
      <c r="A1233" t="s">
        <v>2464</v>
      </c>
      <c r="B1233">
        <v>25.175000000000001</v>
      </c>
      <c r="C1233">
        <v>4.74</v>
      </c>
      <c r="D1233" t="s">
        <v>4682</v>
      </c>
      <c r="E1233" t="s">
        <v>4682</v>
      </c>
      <c r="F1233" t="s">
        <v>4682</v>
      </c>
      <c r="G1233">
        <v>0</v>
      </c>
      <c r="H1233" t="s">
        <v>4682</v>
      </c>
      <c r="I1233" t="str" cm="1">
        <f t="array" ref="I1233">_xlfn.IFS(B1233&lt;18.5, "Underweight", B1233&lt;=24.9, "Normal Weight", B1233&lt;=29.9, "Overweight", TRUE, "Obesity")</f>
        <v>Overweight</v>
      </c>
      <c r="J1233" t="str" cm="1">
        <f t="array" ref="J1233">_xlfn.IFS(C1233&lt;5.7, "Normal", C1233&lt;=6.4, "Prediabetes", TRUE, "Diabetes")</f>
        <v>Normal</v>
      </c>
    </row>
    <row r="1234" spans="1:10">
      <c r="A1234" t="s">
        <v>2466</v>
      </c>
      <c r="B1234">
        <v>44.77</v>
      </c>
      <c r="C1234">
        <v>4.0599999999999996</v>
      </c>
      <c r="D1234" t="s">
        <v>4682</v>
      </c>
      <c r="E1234" t="s">
        <v>4682</v>
      </c>
      <c r="F1234" t="s">
        <v>4682</v>
      </c>
      <c r="G1234">
        <v>2</v>
      </c>
      <c r="H1234" t="s">
        <v>4682</v>
      </c>
      <c r="I1234" t="str" cm="1">
        <f t="array" ref="I1234">_xlfn.IFS(B1234&lt;18.5, "Underweight", B1234&lt;=24.9, "Normal Weight", B1234&lt;=29.9, "Overweight", TRUE, "Obesity")</f>
        <v>Obesity</v>
      </c>
      <c r="J1234" t="str" cm="1">
        <f t="array" ref="J1234">_xlfn.IFS(C1234&lt;5.7, "Normal", C1234&lt;=6.4, "Prediabetes", TRUE, "Diabetes")</f>
        <v>Normal</v>
      </c>
    </row>
    <row r="1235" spans="1:10">
      <c r="A1235" t="s">
        <v>2468</v>
      </c>
      <c r="B1235">
        <v>37.07</v>
      </c>
      <c r="C1235">
        <v>5.69</v>
      </c>
      <c r="D1235" t="s">
        <v>4682</v>
      </c>
      <c r="E1235" t="s">
        <v>4682</v>
      </c>
      <c r="F1235" t="s">
        <v>4682</v>
      </c>
      <c r="G1235">
        <v>2</v>
      </c>
      <c r="H1235" t="s">
        <v>4682</v>
      </c>
      <c r="I1235" t="str" cm="1">
        <f t="array" ref="I1235">_xlfn.IFS(B1235&lt;18.5, "Underweight", B1235&lt;=24.9, "Normal Weight", B1235&lt;=29.9, "Overweight", TRUE, "Obesity")</f>
        <v>Obesity</v>
      </c>
      <c r="J1235" t="str" cm="1">
        <f t="array" ref="J1235">_xlfn.IFS(C1235&lt;5.7, "Normal", C1235&lt;=6.4, "Prediabetes", TRUE, "Diabetes")</f>
        <v>Normal</v>
      </c>
    </row>
    <row r="1236" spans="1:10">
      <c r="A1236" t="s">
        <v>2470</v>
      </c>
      <c r="B1236">
        <v>39.799999999999997</v>
      </c>
      <c r="C1236">
        <v>5.66</v>
      </c>
      <c r="D1236" t="s">
        <v>4682</v>
      </c>
      <c r="E1236" t="s">
        <v>4682</v>
      </c>
      <c r="F1236" t="s">
        <v>4684</v>
      </c>
      <c r="G1236">
        <v>1</v>
      </c>
      <c r="H1236" t="s">
        <v>4682</v>
      </c>
      <c r="I1236" t="str" cm="1">
        <f t="array" ref="I1236">_xlfn.IFS(B1236&lt;18.5, "Underweight", B1236&lt;=24.9, "Normal Weight", B1236&lt;=29.9, "Overweight", TRUE, "Obesity")</f>
        <v>Obesity</v>
      </c>
      <c r="J1236" t="str" cm="1">
        <f t="array" ref="J1236">_xlfn.IFS(C1236&lt;5.7, "Normal", C1236&lt;=6.4, "Prediabetes", TRUE, "Diabetes")</f>
        <v>Normal</v>
      </c>
    </row>
    <row r="1237" spans="1:10">
      <c r="A1237" t="s">
        <v>2472</v>
      </c>
      <c r="B1237">
        <v>26.36</v>
      </c>
      <c r="C1237">
        <v>4.32</v>
      </c>
      <c r="D1237" t="s">
        <v>4682</v>
      </c>
      <c r="E1237" t="s">
        <v>4682</v>
      </c>
      <c r="F1237" t="s">
        <v>4684</v>
      </c>
      <c r="G1237">
        <v>1</v>
      </c>
      <c r="H1237" t="s">
        <v>4682</v>
      </c>
      <c r="I1237" t="str" cm="1">
        <f t="array" ref="I1237">_xlfn.IFS(B1237&lt;18.5, "Underweight", B1237&lt;=24.9, "Normal Weight", B1237&lt;=29.9, "Overweight", TRUE, "Obesity")</f>
        <v>Overweight</v>
      </c>
      <c r="J1237" t="str" cm="1">
        <f t="array" ref="J1237">_xlfn.IFS(C1237&lt;5.7, "Normal", C1237&lt;=6.4, "Prediabetes", TRUE, "Diabetes")</f>
        <v>Normal</v>
      </c>
    </row>
    <row r="1238" spans="1:10">
      <c r="A1238" t="s">
        <v>2474</v>
      </c>
      <c r="B1238">
        <v>29.925000000000001</v>
      </c>
      <c r="C1238">
        <v>8.2899999999999991</v>
      </c>
      <c r="D1238" t="s">
        <v>4682</v>
      </c>
      <c r="E1238" t="s">
        <v>4682</v>
      </c>
      <c r="F1238" t="s">
        <v>4682</v>
      </c>
      <c r="G1238">
        <v>2</v>
      </c>
      <c r="H1238" t="s">
        <v>4682</v>
      </c>
      <c r="I1238" t="str" cm="1">
        <f t="array" ref="I1238">_xlfn.IFS(B1238&lt;18.5, "Underweight", B1238&lt;=24.9, "Normal Weight", B1238&lt;=29.9, "Overweight", TRUE, "Obesity")</f>
        <v>Obesity</v>
      </c>
      <c r="J1238" t="str" cm="1">
        <f t="array" ref="J1238">_xlfn.IFS(C1238&lt;5.7, "Normal", C1238&lt;=6.4, "Prediabetes", TRUE, "Diabetes")</f>
        <v>Diabetes</v>
      </c>
    </row>
    <row r="1239" spans="1:10">
      <c r="A1239" t="s">
        <v>2476</v>
      </c>
      <c r="B1239">
        <v>37.29</v>
      </c>
      <c r="C1239">
        <v>10.46</v>
      </c>
      <c r="D1239" t="s">
        <v>4682</v>
      </c>
      <c r="E1239" t="s">
        <v>4682</v>
      </c>
      <c r="F1239" t="s">
        <v>4682</v>
      </c>
      <c r="G1239">
        <v>0</v>
      </c>
      <c r="H1239" t="s">
        <v>4682</v>
      </c>
      <c r="I1239" t="str" cm="1">
        <f t="array" ref="I1239">_xlfn.IFS(B1239&lt;18.5, "Underweight", B1239&lt;=24.9, "Normal Weight", B1239&lt;=29.9, "Overweight", TRUE, "Obesity")</f>
        <v>Obesity</v>
      </c>
      <c r="J1239" t="str" cm="1">
        <f t="array" ref="J1239">_xlfn.IFS(C1239&lt;5.7, "Normal", C1239&lt;=6.4, "Prediabetes", TRUE, "Diabetes")</f>
        <v>Diabetes</v>
      </c>
    </row>
    <row r="1240" spans="1:10">
      <c r="A1240" t="s">
        <v>2478</v>
      </c>
      <c r="B1240">
        <v>30.2</v>
      </c>
      <c r="C1240">
        <v>11.96</v>
      </c>
      <c r="D1240" t="s">
        <v>4682</v>
      </c>
      <c r="E1240" t="s">
        <v>4682</v>
      </c>
      <c r="F1240" t="s">
        <v>4682</v>
      </c>
      <c r="G1240">
        <v>0</v>
      </c>
      <c r="H1240" t="s">
        <v>4682</v>
      </c>
      <c r="I1240" t="str" cm="1">
        <f t="array" ref="I1240">_xlfn.IFS(B1240&lt;18.5, "Underweight", B1240&lt;=24.9, "Normal Weight", B1240&lt;=29.9, "Overweight", TRUE, "Obesity")</f>
        <v>Obesity</v>
      </c>
      <c r="J1240" t="str" cm="1">
        <f t="array" ref="J1240">_xlfn.IFS(C1240&lt;5.7, "Normal", C1240&lt;=6.4, "Prediabetes", TRUE, "Diabetes")</f>
        <v>Diabetes</v>
      </c>
    </row>
    <row r="1241" spans="1:10">
      <c r="A1241" t="s">
        <v>2480</v>
      </c>
      <c r="B1241">
        <v>24.225000000000001</v>
      </c>
      <c r="C1241">
        <v>4.25</v>
      </c>
      <c r="D1241" t="s">
        <v>4683</v>
      </c>
      <c r="E1241" t="s">
        <v>4682</v>
      </c>
      <c r="F1241" t="s">
        <v>4684</v>
      </c>
      <c r="G1241">
        <v>1</v>
      </c>
      <c r="H1241" t="s">
        <v>4682</v>
      </c>
      <c r="I1241" t="str" cm="1">
        <f t="array" ref="I1241">_xlfn.IFS(B1241&lt;18.5, "Underweight", B1241&lt;=24.9, "Normal Weight", B1241&lt;=29.9, "Overweight", TRUE, "Obesity")</f>
        <v>Normal Weight</v>
      </c>
      <c r="J1241" t="str" cm="1">
        <f t="array" ref="J1241">_xlfn.IFS(C1241&lt;5.7, "Normal", C1241&lt;=6.4, "Prediabetes", TRUE, "Diabetes")</f>
        <v>Normal</v>
      </c>
    </row>
    <row r="1242" spans="1:10">
      <c r="A1242" t="s">
        <v>2482</v>
      </c>
      <c r="B1242">
        <v>31.445</v>
      </c>
      <c r="C1242">
        <v>8.33</v>
      </c>
      <c r="D1242" t="s">
        <v>4682</v>
      </c>
      <c r="E1242" t="s">
        <v>4682</v>
      </c>
      <c r="F1242" t="s">
        <v>4682</v>
      </c>
      <c r="G1242">
        <v>0</v>
      </c>
      <c r="H1242" t="s">
        <v>4682</v>
      </c>
      <c r="I1242" t="str" cm="1">
        <f t="array" ref="I1242">_xlfn.IFS(B1242&lt;18.5, "Underweight", B1242&lt;=24.9, "Normal Weight", B1242&lt;=29.9, "Overweight", TRUE, "Obesity")</f>
        <v>Obesity</v>
      </c>
      <c r="J1242" t="str" cm="1">
        <f t="array" ref="J1242">_xlfn.IFS(C1242&lt;5.7, "Normal", C1242&lt;=6.4, "Prediabetes", TRUE, "Diabetes")</f>
        <v>Diabetes</v>
      </c>
    </row>
    <row r="1243" spans="1:10">
      <c r="A1243" t="s">
        <v>2484</v>
      </c>
      <c r="B1243">
        <v>38.880000000000003</v>
      </c>
      <c r="C1243">
        <v>4.29</v>
      </c>
      <c r="D1243" t="s">
        <v>4682</v>
      </c>
      <c r="E1243" t="s">
        <v>4682</v>
      </c>
      <c r="F1243" t="s">
        <v>4682</v>
      </c>
      <c r="G1243">
        <v>1</v>
      </c>
      <c r="H1243" t="s">
        <v>4682</v>
      </c>
      <c r="I1243" t="str" cm="1">
        <f t="array" ref="I1243">_xlfn.IFS(B1243&lt;18.5, "Underweight", B1243&lt;=24.9, "Normal Weight", B1243&lt;=29.9, "Overweight", TRUE, "Obesity")</f>
        <v>Obesity</v>
      </c>
      <c r="J1243" t="str" cm="1">
        <f t="array" ref="J1243">_xlfn.IFS(C1243&lt;5.7, "Normal", C1243&lt;=6.4, "Prediabetes", TRUE, "Diabetes")</f>
        <v>Normal</v>
      </c>
    </row>
    <row r="1244" spans="1:10">
      <c r="A1244" t="s">
        <v>2486</v>
      </c>
      <c r="B1244">
        <v>43.89</v>
      </c>
      <c r="C1244">
        <v>6.32</v>
      </c>
      <c r="D1244" t="s">
        <v>4683</v>
      </c>
      <c r="E1244" t="s">
        <v>4682</v>
      </c>
      <c r="F1244" t="s">
        <v>4682</v>
      </c>
      <c r="G1244">
        <v>0</v>
      </c>
      <c r="H1244" t="s">
        <v>4682</v>
      </c>
      <c r="I1244" t="str" cm="1">
        <f t="array" ref="I1244">_xlfn.IFS(B1244&lt;18.5, "Underweight", B1244&lt;=24.9, "Normal Weight", B1244&lt;=29.9, "Overweight", TRUE, "Obesity")</f>
        <v>Obesity</v>
      </c>
      <c r="J1244" t="str" cm="1">
        <f t="array" ref="J1244">_xlfn.IFS(C1244&lt;5.7, "Normal", C1244&lt;=6.4, "Prediabetes", TRUE, "Diabetes")</f>
        <v>Prediabetes</v>
      </c>
    </row>
    <row r="1245" spans="1:10">
      <c r="A1245" t="s">
        <v>2488</v>
      </c>
      <c r="B1245">
        <v>25.6</v>
      </c>
      <c r="C1245">
        <v>5.65</v>
      </c>
      <c r="D1245" t="s">
        <v>4682</v>
      </c>
      <c r="E1245" t="s">
        <v>4682</v>
      </c>
      <c r="F1245" t="s">
        <v>4682</v>
      </c>
      <c r="G1245">
        <v>2</v>
      </c>
      <c r="H1245" t="s">
        <v>4682</v>
      </c>
      <c r="I1245" t="str" cm="1">
        <f t="array" ref="I1245">_xlfn.IFS(B1245&lt;18.5, "Underweight", B1245&lt;=24.9, "Normal Weight", B1245&lt;=29.9, "Overweight", TRUE, "Obesity")</f>
        <v>Overweight</v>
      </c>
      <c r="J1245" t="str" cm="1">
        <f t="array" ref="J1245">_xlfn.IFS(C1245&lt;5.7, "Normal", C1245&lt;=6.4, "Prediabetes", TRUE, "Diabetes")</f>
        <v>Normal</v>
      </c>
    </row>
    <row r="1246" spans="1:10">
      <c r="A1246" t="s">
        <v>2490</v>
      </c>
      <c r="B1246">
        <v>29.545000000000002</v>
      </c>
      <c r="C1246">
        <v>8.41</v>
      </c>
      <c r="D1246" t="s">
        <v>4683</v>
      </c>
      <c r="E1246" t="s">
        <v>4682</v>
      </c>
      <c r="F1246" t="s">
        <v>4682</v>
      </c>
      <c r="G1246">
        <v>1</v>
      </c>
      <c r="H1246" t="s">
        <v>4682</v>
      </c>
      <c r="I1246" t="str" cm="1">
        <f t="array" ref="I1246">_xlfn.IFS(B1246&lt;18.5, "Underweight", B1246&lt;=24.9, "Normal Weight", B1246&lt;=29.9, "Overweight", TRUE, "Obesity")</f>
        <v>Overweight</v>
      </c>
      <c r="J1246" t="str" cm="1">
        <f t="array" ref="J1246">_xlfn.IFS(C1246&lt;5.7, "Normal", C1246&lt;=6.4, "Prediabetes", TRUE, "Diabetes")</f>
        <v>Diabetes</v>
      </c>
    </row>
    <row r="1247" spans="1:10">
      <c r="A1247" t="s">
        <v>2492</v>
      </c>
      <c r="B1247">
        <v>23.25</v>
      </c>
      <c r="C1247">
        <v>11.96</v>
      </c>
      <c r="D1247" t="s">
        <v>4683</v>
      </c>
      <c r="E1247" t="s">
        <v>4682</v>
      </c>
      <c r="F1247" t="s">
        <v>4682</v>
      </c>
      <c r="G1247">
        <v>0</v>
      </c>
      <c r="H1247" t="s">
        <v>4682</v>
      </c>
      <c r="I1247" t="str" cm="1">
        <f t="array" ref="I1247">_xlfn.IFS(B1247&lt;18.5, "Underweight", B1247&lt;=24.9, "Normal Weight", B1247&lt;=29.9, "Overweight", TRUE, "Obesity")</f>
        <v>Normal Weight</v>
      </c>
      <c r="J1247" t="str" cm="1">
        <f t="array" ref="J1247">_xlfn.IFS(C1247&lt;5.7, "Normal", C1247&lt;=6.4, "Prediabetes", TRUE, "Diabetes")</f>
        <v>Diabetes</v>
      </c>
    </row>
    <row r="1248" spans="1:10">
      <c r="A1248" t="s">
        <v>2494</v>
      </c>
      <c r="B1248">
        <v>43.95</v>
      </c>
      <c r="C1248">
        <v>5.17</v>
      </c>
      <c r="D1248" t="s">
        <v>4683</v>
      </c>
      <c r="E1248" t="s">
        <v>4682</v>
      </c>
      <c r="F1248" t="s">
        <v>4684</v>
      </c>
      <c r="G1248">
        <v>1</v>
      </c>
      <c r="H1248" t="s">
        <v>4682</v>
      </c>
      <c r="I1248" t="str" cm="1">
        <f t="array" ref="I1248">_xlfn.IFS(B1248&lt;18.5, "Underweight", B1248&lt;=24.9, "Normal Weight", B1248&lt;=29.9, "Overweight", TRUE, "Obesity")</f>
        <v>Obesity</v>
      </c>
      <c r="J1248" t="str" cm="1">
        <f t="array" ref="J1248">_xlfn.IFS(C1248&lt;5.7, "Normal", C1248&lt;=6.4, "Prediabetes", TRUE, "Diabetes")</f>
        <v>Normal</v>
      </c>
    </row>
    <row r="1249" spans="1:10">
      <c r="A1249" t="s">
        <v>2496</v>
      </c>
      <c r="B1249">
        <v>21.85</v>
      </c>
      <c r="C1249">
        <v>8.76</v>
      </c>
      <c r="D1249" t="s">
        <v>4682</v>
      </c>
      <c r="E1249" t="s">
        <v>4682</v>
      </c>
      <c r="F1249" t="s">
        <v>4682</v>
      </c>
      <c r="G1249">
        <v>0</v>
      </c>
      <c r="H1249" t="s">
        <v>4682</v>
      </c>
      <c r="I1249" t="str" cm="1">
        <f t="array" ref="I1249">_xlfn.IFS(B1249&lt;18.5, "Underweight", B1249&lt;=24.9, "Normal Weight", B1249&lt;=29.9, "Overweight", TRUE, "Obesity")</f>
        <v>Normal Weight</v>
      </c>
      <c r="J1249" t="str" cm="1">
        <f t="array" ref="J1249">_xlfn.IFS(C1249&lt;5.7, "Normal", C1249&lt;=6.4, "Prediabetes", TRUE, "Diabetes")</f>
        <v>Diabetes</v>
      </c>
    </row>
    <row r="1250" spans="1:10">
      <c r="A1250" t="s">
        <v>2498</v>
      </c>
      <c r="B1250">
        <v>25.73</v>
      </c>
      <c r="C1250">
        <v>7.99</v>
      </c>
      <c r="D1250" t="s">
        <v>4682</v>
      </c>
      <c r="E1250" t="s">
        <v>4682</v>
      </c>
      <c r="F1250" t="s">
        <v>4682</v>
      </c>
      <c r="G1250">
        <v>2</v>
      </c>
      <c r="H1250" t="s">
        <v>4682</v>
      </c>
      <c r="I1250" t="str" cm="1">
        <f t="array" ref="I1250">_xlfn.IFS(B1250&lt;18.5, "Underweight", B1250&lt;=24.9, "Normal Weight", B1250&lt;=29.9, "Overweight", TRUE, "Obesity")</f>
        <v>Overweight</v>
      </c>
      <c r="J1250" t="str" cm="1">
        <f t="array" ref="J1250">_xlfn.IFS(C1250&lt;5.7, "Normal", C1250&lt;=6.4, "Prediabetes", TRUE, "Diabetes")</f>
        <v>Diabetes</v>
      </c>
    </row>
    <row r="1251" spans="1:10">
      <c r="A1251" t="s">
        <v>2500</v>
      </c>
      <c r="B1251">
        <v>32.229999999999997</v>
      </c>
      <c r="C1251">
        <v>8.59</v>
      </c>
      <c r="D1251" t="s">
        <v>4682</v>
      </c>
      <c r="E1251" t="s">
        <v>4682</v>
      </c>
      <c r="F1251" t="s">
        <v>4682</v>
      </c>
      <c r="G1251">
        <v>0</v>
      </c>
      <c r="H1251" t="s">
        <v>4682</v>
      </c>
      <c r="I1251" t="str" cm="1">
        <f t="array" ref="I1251">_xlfn.IFS(B1251&lt;18.5, "Underweight", B1251&lt;=24.9, "Normal Weight", B1251&lt;=29.9, "Overweight", TRUE, "Obesity")</f>
        <v>Obesity</v>
      </c>
      <c r="J1251" t="str" cm="1">
        <f t="array" ref="J1251">_xlfn.IFS(C1251&lt;5.7, "Normal", C1251&lt;=6.4, "Prediabetes", TRUE, "Diabetes")</f>
        <v>Diabetes</v>
      </c>
    </row>
    <row r="1252" spans="1:10">
      <c r="A1252" t="s">
        <v>2502</v>
      </c>
      <c r="B1252">
        <v>32.204999999999998</v>
      </c>
      <c r="C1252">
        <v>6.14</v>
      </c>
      <c r="D1252" t="s">
        <v>4682</v>
      </c>
      <c r="E1252" t="s">
        <v>4682</v>
      </c>
      <c r="F1252" t="s">
        <v>4682</v>
      </c>
      <c r="G1252">
        <v>2</v>
      </c>
      <c r="H1252" t="s">
        <v>4682</v>
      </c>
      <c r="I1252" t="str" cm="1">
        <f t="array" ref="I1252">_xlfn.IFS(B1252&lt;18.5, "Underweight", B1252&lt;=24.9, "Normal Weight", B1252&lt;=29.9, "Overweight", TRUE, "Obesity")</f>
        <v>Obesity</v>
      </c>
      <c r="J1252" t="str" cm="1">
        <f t="array" ref="J1252">_xlfn.IFS(C1252&lt;5.7, "Normal", C1252&lt;=6.4, "Prediabetes", TRUE, "Diabetes")</f>
        <v>Prediabetes</v>
      </c>
    </row>
    <row r="1253" spans="1:10">
      <c r="A1253" t="s">
        <v>2504</v>
      </c>
      <c r="B1253">
        <v>26.41</v>
      </c>
      <c r="C1253">
        <v>4.08</v>
      </c>
      <c r="D1253" t="s">
        <v>4682</v>
      </c>
      <c r="E1253" t="s">
        <v>4682</v>
      </c>
      <c r="F1253" t="s">
        <v>4682</v>
      </c>
      <c r="G1253">
        <v>2</v>
      </c>
      <c r="H1253" t="s">
        <v>4682</v>
      </c>
      <c r="I1253" t="str" cm="1">
        <f t="array" ref="I1253">_xlfn.IFS(B1253&lt;18.5, "Underweight", B1253&lt;=24.9, "Normal Weight", B1253&lt;=29.9, "Overweight", TRUE, "Obesity")</f>
        <v>Overweight</v>
      </c>
      <c r="J1253" t="str" cm="1">
        <f t="array" ref="J1253">_xlfn.IFS(C1253&lt;5.7, "Normal", C1253&lt;=6.4, "Prediabetes", TRUE, "Diabetes")</f>
        <v>Normal</v>
      </c>
    </row>
    <row r="1254" spans="1:10">
      <c r="A1254" t="s">
        <v>2506</v>
      </c>
      <c r="B1254">
        <v>30.2</v>
      </c>
      <c r="C1254">
        <v>6.25</v>
      </c>
      <c r="D1254" t="s">
        <v>4683</v>
      </c>
      <c r="E1254" t="s">
        <v>4682</v>
      </c>
      <c r="F1254" t="s">
        <v>4682</v>
      </c>
      <c r="G1254">
        <v>0</v>
      </c>
      <c r="H1254" t="s">
        <v>4682</v>
      </c>
      <c r="I1254" t="str" cm="1">
        <f t="array" ref="I1254">_xlfn.IFS(B1254&lt;18.5, "Underweight", B1254&lt;=24.9, "Normal Weight", B1254&lt;=29.9, "Overweight", TRUE, "Obesity")</f>
        <v>Obesity</v>
      </c>
      <c r="J1254" t="str" cm="1">
        <f t="array" ref="J1254">_xlfn.IFS(C1254&lt;5.7, "Normal", C1254&lt;=6.4, "Prediabetes", TRUE, "Diabetes")</f>
        <v>Prediabetes</v>
      </c>
    </row>
    <row r="1255" spans="1:10">
      <c r="A1255" t="s">
        <v>2508</v>
      </c>
      <c r="B1255">
        <v>31.26</v>
      </c>
      <c r="C1255">
        <v>5.94</v>
      </c>
      <c r="D1255" t="s">
        <v>4683</v>
      </c>
      <c r="E1255" t="s">
        <v>4682</v>
      </c>
      <c r="F1255" t="s">
        <v>4682</v>
      </c>
      <c r="G1255">
        <v>1</v>
      </c>
      <c r="H1255" t="s">
        <v>4682</v>
      </c>
      <c r="I1255" t="str" cm="1">
        <f t="array" ref="I1255">_xlfn.IFS(B1255&lt;18.5, "Underweight", B1255&lt;=24.9, "Normal Weight", B1255&lt;=29.9, "Overweight", TRUE, "Obesity")</f>
        <v>Obesity</v>
      </c>
      <c r="J1255" t="str" cm="1">
        <f t="array" ref="J1255">_xlfn.IFS(C1255&lt;5.7, "Normal", C1255&lt;=6.4, "Prediabetes", TRUE, "Diabetes")</f>
        <v>Prediabetes</v>
      </c>
    </row>
    <row r="1256" spans="1:10">
      <c r="A1256" t="s">
        <v>2510</v>
      </c>
      <c r="B1256">
        <v>33.725000000000001</v>
      </c>
      <c r="C1256">
        <v>6.45</v>
      </c>
      <c r="D1256" t="s">
        <v>4683</v>
      </c>
      <c r="E1256" t="s">
        <v>4682</v>
      </c>
      <c r="F1256" t="s">
        <v>4682</v>
      </c>
      <c r="G1256">
        <v>0</v>
      </c>
      <c r="H1256" t="s">
        <v>4682</v>
      </c>
      <c r="I1256" t="str" cm="1">
        <f t="array" ref="I1256">_xlfn.IFS(B1256&lt;18.5, "Underweight", B1256&lt;=24.9, "Normal Weight", B1256&lt;=29.9, "Overweight", TRUE, "Obesity")</f>
        <v>Obesity</v>
      </c>
      <c r="J1256" t="str" cm="1">
        <f t="array" ref="J1256">_xlfn.IFS(C1256&lt;5.7, "Normal", C1256&lt;=6.4, "Prediabetes", TRUE, "Diabetes")</f>
        <v>Diabetes</v>
      </c>
    </row>
    <row r="1257" spans="1:10">
      <c r="A1257" t="s">
        <v>2512</v>
      </c>
      <c r="B1257">
        <v>28.9</v>
      </c>
      <c r="C1257">
        <v>5.74</v>
      </c>
      <c r="D1257" t="s">
        <v>4683</v>
      </c>
      <c r="E1257" t="s">
        <v>4682</v>
      </c>
      <c r="F1257" t="s">
        <v>4682</v>
      </c>
      <c r="G1257">
        <v>0</v>
      </c>
      <c r="H1257" t="s">
        <v>4682</v>
      </c>
      <c r="I1257" t="str" cm="1">
        <f t="array" ref="I1257">_xlfn.IFS(B1257&lt;18.5, "Underweight", B1257&lt;=24.9, "Normal Weight", B1257&lt;=29.9, "Overweight", TRUE, "Obesity")</f>
        <v>Overweight</v>
      </c>
      <c r="J1257" t="str" cm="1">
        <f t="array" ref="J1257">_xlfn.IFS(C1257&lt;5.7, "Normal", C1257&lt;=6.4, "Prediabetes", TRUE, "Diabetes")</f>
        <v>Prediabetes</v>
      </c>
    </row>
    <row r="1258" spans="1:10">
      <c r="A1258" t="s">
        <v>2514</v>
      </c>
      <c r="B1258">
        <v>45.69</v>
      </c>
      <c r="C1258">
        <v>4.43</v>
      </c>
      <c r="D1258" t="s">
        <v>4683</v>
      </c>
      <c r="E1258" t="s">
        <v>4682</v>
      </c>
      <c r="F1258" t="s">
        <v>4682</v>
      </c>
      <c r="G1258">
        <v>0</v>
      </c>
      <c r="H1258" t="s">
        <v>4682</v>
      </c>
      <c r="I1258" t="str" cm="1">
        <f t="array" ref="I1258">_xlfn.IFS(B1258&lt;18.5, "Underweight", B1258&lt;=24.9, "Normal Weight", B1258&lt;=29.9, "Overweight", TRUE, "Obesity")</f>
        <v>Obesity</v>
      </c>
      <c r="J1258" t="str" cm="1">
        <f t="array" ref="J1258">_xlfn.IFS(C1258&lt;5.7, "Normal", C1258&lt;=6.4, "Prediabetes", TRUE, "Diabetes")</f>
        <v>Normal</v>
      </c>
    </row>
    <row r="1259" spans="1:10">
      <c r="A1259" t="s">
        <v>2516</v>
      </c>
      <c r="B1259">
        <v>21.03</v>
      </c>
      <c r="C1259">
        <v>6.5</v>
      </c>
      <c r="D1259" t="s">
        <v>4682</v>
      </c>
      <c r="E1259" t="s">
        <v>4682</v>
      </c>
      <c r="F1259" t="s">
        <v>4682</v>
      </c>
      <c r="G1259">
        <v>0</v>
      </c>
      <c r="H1259" t="s">
        <v>4682</v>
      </c>
      <c r="I1259" t="str" cm="1">
        <f t="array" ref="I1259">_xlfn.IFS(B1259&lt;18.5, "Underweight", B1259&lt;=24.9, "Normal Weight", B1259&lt;=29.9, "Overweight", TRUE, "Obesity")</f>
        <v>Normal Weight</v>
      </c>
      <c r="J1259" t="str" cm="1">
        <f t="array" ref="J1259">_xlfn.IFS(C1259&lt;5.7, "Normal", C1259&lt;=6.4, "Prediabetes", TRUE, "Diabetes")</f>
        <v>Diabetes</v>
      </c>
    </row>
    <row r="1260" spans="1:10">
      <c r="A1260" t="s">
        <v>2518</v>
      </c>
      <c r="B1260">
        <v>37</v>
      </c>
      <c r="C1260">
        <v>8.75</v>
      </c>
      <c r="D1260" t="s">
        <v>4682</v>
      </c>
      <c r="E1260" t="s">
        <v>4682</v>
      </c>
      <c r="F1260" t="s">
        <v>4682</v>
      </c>
      <c r="G1260">
        <v>0</v>
      </c>
      <c r="H1260" t="s">
        <v>4682</v>
      </c>
      <c r="I1260" t="str" cm="1">
        <f t="array" ref="I1260">_xlfn.IFS(B1260&lt;18.5, "Underweight", B1260&lt;=24.9, "Normal Weight", B1260&lt;=29.9, "Overweight", TRUE, "Obesity")</f>
        <v>Obesity</v>
      </c>
      <c r="J1260" t="str" cm="1">
        <f t="array" ref="J1260">_xlfn.IFS(C1260&lt;5.7, "Normal", C1260&lt;=6.4, "Prediabetes", TRUE, "Diabetes")</f>
        <v>Diabetes</v>
      </c>
    </row>
    <row r="1261" spans="1:10">
      <c r="A1261" t="s">
        <v>2520</v>
      </c>
      <c r="B1261">
        <v>25.4</v>
      </c>
      <c r="C1261">
        <v>11.96</v>
      </c>
      <c r="D1261" t="s">
        <v>4682</v>
      </c>
      <c r="E1261" t="s">
        <v>4682</v>
      </c>
      <c r="F1261" t="s">
        <v>4682</v>
      </c>
      <c r="G1261">
        <v>0</v>
      </c>
      <c r="H1261" t="s">
        <v>4682</v>
      </c>
      <c r="I1261" t="str" cm="1">
        <f t="array" ref="I1261">_xlfn.IFS(B1261&lt;18.5, "Underweight", B1261&lt;=24.9, "Normal Weight", B1261&lt;=29.9, "Overweight", TRUE, "Obesity")</f>
        <v>Overweight</v>
      </c>
      <c r="J1261" t="str" cm="1">
        <f t="array" ref="J1261">_xlfn.IFS(C1261&lt;5.7, "Normal", C1261&lt;=6.4, "Prediabetes", TRUE, "Diabetes")</f>
        <v>Diabetes</v>
      </c>
    </row>
    <row r="1262" spans="1:10">
      <c r="A1262" t="s">
        <v>2522</v>
      </c>
      <c r="B1262">
        <v>32.299999999999997</v>
      </c>
      <c r="C1262">
        <v>10.54</v>
      </c>
      <c r="D1262" t="s">
        <v>4682</v>
      </c>
      <c r="E1262" t="s">
        <v>4682</v>
      </c>
      <c r="F1262" t="s">
        <v>4682</v>
      </c>
      <c r="G1262">
        <v>0</v>
      </c>
      <c r="H1262" t="s">
        <v>4682</v>
      </c>
      <c r="I1262" t="str" cm="1">
        <f t="array" ref="I1262">_xlfn.IFS(B1262&lt;18.5, "Underweight", B1262&lt;=24.9, "Normal Weight", B1262&lt;=29.9, "Overweight", TRUE, "Obesity")</f>
        <v>Obesity</v>
      </c>
      <c r="J1262" t="str" cm="1">
        <f t="array" ref="J1262">_xlfn.IFS(C1262&lt;5.7, "Normal", C1262&lt;=6.4, "Prediabetes", TRUE, "Diabetes")</f>
        <v>Diabetes</v>
      </c>
    </row>
    <row r="1263" spans="1:10">
      <c r="A1263" t="s">
        <v>2524</v>
      </c>
      <c r="B1263">
        <v>23.94</v>
      </c>
      <c r="C1263">
        <v>4.54</v>
      </c>
      <c r="D1263" t="s">
        <v>4683</v>
      </c>
      <c r="E1263" t="s">
        <v>4682</v>
      </c>
      <c r="F1263" t="s">
        <v>4684</v>
      </c>
      <c r="G1263">
        <v>1</v>
      </c>
      <c r="H1263" t="s">
        <v>4682</v>
      </c>
      <c r="I1263" t="str" cm="1">
        <f t="array" ref="I1263">_xlfn.IFS(B1263&lt;18.5, "Underweight", B1263&lt;=24.9, "Normal Weight", B1263&lt;=29.9, "Overweight", TRUE, "Obesity")</f>
        <v>Normal Weight</v>
      </c>
      <c r="J1263" t="str" cm="1">
        <f t="array" ref="J1263">_xlfn.IFS(C1263&lt;5.7, "Normal", C1263&lt;=6.4, "Prediabetes", TRUE, "Diabetes")</f>
        <v>Normal</v>
      </c>
    </row>
    <row r="1264" spans="1:10">
      <c r="A1264" t="s">
        <v>2526</v>
      </c>
      <c r="B1264">
        <v>46.4</v>
      </c>
      <c r="C1264">
        <v>5.71</v>
      </c>
      <c r="D1264" t="s">
        <v>4682</v>
      </c>
      <c r="E1264" t="s">
        <v>4682</v>
      </c>
      <c r="F1264" t="s">
        <v>4682</v>
      </c>
      <c r="G1264">
        <v>0</v>
      </c>
      <c r="H1264" t="s">
        <v>4682</v>
      </c>
      <c r="I1264" t="str" cm="1">
        <f t="array" ref="I1264">_xlfn.IFS(B1264&lt;18.5, "Underweight", B1264&lt;=24.9, "Normal Weight", B1264&lt;=29.9, "Overweight", TRUE, "Obesity")</f>
        <v>Obesity</v>
      </c>
      <c r="J1264" t="str" cm="1">
        <f t="array" ref="J1264">_xlfn.IFS(C1264&lt;5.7, "Normal", C1264&lt;=6.4, "Prediabetes", TRUE, "Diabetes")</f>
        <v>Prediabetes</v>
      </c>
    </row>
    <row r="1265" spans="1:10">
      <c r="A1265" t="s">
        <v>2528</v>
      </c>
      <c r="B1265">
        <v>40.375</v>
      </c>
      <c r="C1265">
        <v>6.25</v>
      </c>
      <c r="D1265" t="s">
        <v>4683</v>
      </c>
      <c r="E1265" t="s">
        <v>4682</v>
      </c>
      <c r="F1265" t="s">
        <v>4682</v>
      </c>
      <c r="G1265">
        <v>0</v>
      </c>
      <c r="H1265" t="s">
        <v>4682</v>
      </c>
      <c r="I1265" t="str" cm="1">
        <f t="array" ref="I1265">_xlfn.IFS(B1265&lt;18.5, "Underweight", B1265&lt;=24.9, "Normal Weight", B1265&lt;=29.9, "Overweight", TRUE, "Obesity")</f>
        <v>Obesity</v>
      </c>
      <c r="J1265" t="str" cm="1">
        <f t="array" ref="J1265">_xlfn.IFS(C1265&lt;5.7, "Normal", C1265&lt;=6.4, "Prediabetes", TRUE, "Diabetes")</f>
        <v>Prediabetes</v>
      </c>
    </row>
    <row r="1266" spans="1:10">
      <c r="A1266" t="s">
        <v>2530</v>
      </c>
      <c r="B1266">
        <v>28.7</v>
      </c>
      <c r="C1266">
        <v>9.4700000000000006</v>
      </c>
      <c r="D1266" t="s">
        <v>4682</v>
      </c>
      <c r="E1266" t="s">
        <v>4682</v>
      </c>
      <c r="F1266" t="s">
        <v>4682</v>
      </c>
      <c r="G1266">
        <v>2</v>
      </c>
      <c r="H1266" t="s">
        <v>4682</v>
      </c>
      <c r="I1266" t="str" cm="1">
        <f t="array" ref="I1266">_xlfn.IFS(B1266&lt;18.5, "Underweight", B1266&lt;=24.9, "Normal Weight", B1266&lt;=29.9, "Overweight", TRUE, "Obesity")</f>
        <v>Overweight</v>
      </c>
      <c r="J1266" t="str" cm="1">
        <f t="array" ref="J1266">_xlfn.IFS(C1266&lt;5.7, "Normal", C1266&lt;=6.4, "Prediabetes", TRUE, "Diabetes")</f>
        <v>Diabetes</v>
      </c>
    </row>
    <row r="1267" spans="1:10">
      <c r="A1267" t="s">
        <v>2532</v>
      </c>
      <c r="B1267">
        <v>26.63</v>
      </c>
      <c r="C1267">
        <v>5.7</v>
      </c>
      <c r="D1267" t="s">
        <v>4682</v>
      </c>
      <c r="E1267" t="s">
        <v>4682</v>
      </c>
      <c r="F1267" t="s">
        <v>4682</v>
      </c>
      <c r="G1267">
        <v>0</v>
      </c>
      <c r="H1267" t="s">
        <v>4682</v>
      </c>
      <c r="I1267" t="str" cm="1">
        <f t="array" ref="I1267">_xlfn.IFS(B1267&lt;18.5, "Underweight", B1267&lt;=24.9, "Normal Weight", B1267&lt;=29.9, "Overweight", TRUE, "Obesity")</f>
        <v>Overweight</v>
      </c>
      <c r="J1267" t="str" cm="1">
        <f t="array" ref="J1267">_xlfn.IFS(C1267&lt;5.7, "Normal", C1267&lt;=6.4, "Prediabetes", TRUE, "Diabetes")</f>
        <v>Prediabetes</v>
      </c>
    </row>
    <row r="1268" spans="1:10">
      <c r="A1268" t="s">
        <v>2534</v>
      </c>
      <c r="B1268">
        <v>22.515000000000001</v>
      </c>
      <c r="C1268">
        <v>11.18</v>
      </c>
      <c r="D1268" t="s">
        <v>4682</v>
      </c>
      <c r="E1268" t="s">
        <v>4682</v>
      </c>
      <c r="F1268" t="s">
        <v>4682</v>
      </c>
      <c r="G1268">
        <v>2</v>
      </c>
      <c r="H1268" t="s">
        <v>4682</v>
      </c>
      <c r="I1268" t="str" cm="1">
        <f t="array" ref="I1268">_xlfn.IFS(B1268&lt;18.5, "Underweight", B1268&lt;=24.9, "Normal Weight", B1268&lt;=29.9, "Overweight", TRUE, "Obesity")</f>
        <v>Normal Weight</v>
      </c>
      <c r="J1268" t="str" cm="1">
        <f t="array" ref="J1268">_xlfn.IFS(C1268&lt;5.7, "Normal", C1268&lt;=6.4, "Prediabetes", TRUE, "Diabetes")</f>
        <v>Diabetes</v>
      </c>
    </row>
    <row r="1269" spans="1:10">
      <c r="A1269" t="s">
        <v>2536</v>
      </c>
      <c r="B1269">
        <v>36.575000000000003</v>
      </c>
      <c r="C1269">
        <v>10.98</v>
      </c>
      <c r="D1269" t="s">
        <v>4682</v>
      </c>
      <c r="E1269" t="s">
        <v>4682</v>
      </c>
      <c r="F1269" t="s">
        <v>4682</v>
      </c>
      <c r="G1269">
        <v>0</v>
      </c>
      <c r="H1269" t="s">
        <v>4682</v>
      </c>
      <c r="I1269" t="str" cm="1">
        <f t="array" ref="I1269">_xlfn.IFS(B1269&lt;18.5, "Underweight", B1269&lt;=24.9, "Normal Weight", B1269&lt;=29.9, "Overweight", TRUE, "Obesity")</f>
        <v>Obesity</v>
      </c>
      <c r="J1269" t="str" cm="1">
        <f t="array" ref="J1269">_xlfn.IFS(C1269&lt;5.7, "Normal", C1269&lt;=6.4, "Prediabetes", TRUE, "Diabetes")</f>
        <v>Diabetes</v>
      </c>
    </row>
    <row r="1270" spans="1:10">
      <c r="A1270" t="s">
        <v>2538</v>
      </c>
      <c r="B1270">
        <v>23.66</v>
      </c>
      <c r="C1270">
        <v>5.1100000000000003</v>
      </c>
      <c r="D1270" t="s">
        <v>4683</v>
      </c>
      <c r="E1270" t="s">
        <v>4682</v>
      </c>
      <c r="F1270" t="s">
        <v>4684</v>
      </c>
      <c r="G1270">
        <v>1</v>
      </c>
      <c r="H1270" t="s">
        <v>4682</v>
      </c>
      <c r="I1270" t="str" cm="1">
        <f t="array" ref="I1270">_xlfn.IFS(B1270&lt;18.5, "Underweight", B1270&lt;=24.9, "Normal Weight", B1270&lt;=29.9, "Overweight", TRUE, "Obesity")</f>
        <v>Normal Weight</v>
      </c>
      <c r="J1270" t="str" cm="1">
        <f t="array" ref="J1270">_xlfn.IFS(C1270&lt;5.7, "Normal", C1270&lt;=6.4, "Prediabetes", TRUE, "Diabetes")</f>
        <v>Normal</v>
      </c>
    </row>
    <row r="1271" spans="1:10">
      <c r="A1271" t="s">
        <v>2540</v>
      </c>
      <c r="B1271">
        <v>18.62</v>
      </c>
      <c r="C1271">
        <v>10.24</v>
      </c>
      <c r="D1271" t="s">
        <v>4682</v>
      </c>
      <c r="E1271" t="s">
        <v>4682</v>
      </c>
      <c r="F1271" t="s">
        <v>4682</v>
      </c>
      <c r="G1271">
        <v>0</v>
      </c>
      <c r="H1271" t="s">
        <v>4682</v>
      </c>
      <c r="I1271" t="str" cm="1">
        <f t="array" ref="I1271">_xlfn.IFS(B1271&lt;18.5, "Underweight", B1271&lt;=24.9, "Normal Weight", B1271&lt;=29.9, "Overweight", TRUE, "Obesity")</f>
        <v>Normal Weight</v>
      </c>
      <c r="J1271" t="str" cm="1">
        <f t="array" ref="J1271">_xlfn.IFS(C1271&lt;5.7, "Normal", C1271&lt;=6.4, "Prediabetes", TRUE, "Diabetes")</f>
        <v>Diabetes</v>
      </c>
    </row>
    <row r="1272" spans="1:10">
      <c r="A1272" t="s">
        <v>2542</v>
      </c>
      <c r="B1272">
        <v>19.190000000000001</v>
      </c>
      <c r="C1272">
        <v>7.71</v>
      </c>
      <c r="D1272" t="s">
        <v>4683</v>
      </c>
      <c r="E1272" t="s">
        <v>4682</v>
      </c>
      <c r="F1272" t="s">
        <v>4682</v>
      </c>
      <c r="G1272">
        <v>1</v>
      </c>
      <c r="H1272" t="s">
        <v>4682</v>
      </c>
      <c r="I1272" t="str" cm="1">
        <f t="array" ref="I1272">_xlfn.IFS(B1272&lt;18.5, "Underweight", B1272&lt;=24.9, "Normal Weight", B1272&lt;=29.9, "Overweight", TRUE, "Obesity")</f>
        <v>Normal Weight</v>
      </c>
      <c r="J1272" t="str" cm="1">
        <f t="array" ref="J1272">_xlfn.IFS(C1272&lt;5.7, "Normal", C1272&lt;=6.4, "Prediabetes", TRUE, "Diabetes")</f>
        <v>Diabetes</v>
      </c>
    </row>
    <row r="1273" spans="1:10">
      <c r="A1273" t="s">
        <v>2544</v>
      </c>
      <c r="B1273">
        <v>27.5</v>
      </c>
      <c r="C1273">
        <v>6.03</v>
      </c>
      <c r="D1273" t="s">
        <v>4682</v>
      </c>
      <c r="E1273" t="s">
        <v>4682</v>
      </c>
      <c r="F1273" t="s">
        <v>4682</v>
      </c>
      <c r="G1273">
        <v>0</v>
      </c>
      <c r="H1273" t="s">
        <v>4682</v>
      </c>
      <c r="I1273" t="str" cm="1">
        <f t="array" ref="I1273">_xlfn.IFS(B1273&lt;18.5, "Underweight", B1273&lt;=24.9, "Normal Weight", B1273&lt;=29.9, "Overweight", TRUE, "Obesity")</f>
        <v>Overweight</v>
      </c>
      <c r="J1273" t="str" cm="1">
        <f t="array" ref="J1273">_xlfn.IFS(C1273&lt;5.7, "Normal", C1273&lt;=6.4, "Prediabetes", TRUE, "Diabetes")</f>
        <v>Prediabetes</v>
      </c>
    </row>
    <row r="1274" spans="1:10">
      <c r="A1274" t="s">
        <v>2546</v>
      </c>
      <c r="B1274">
        <v>27.36</v>
      </c>
      <c r="C1274">
        <v>5.96</v>
      </c>
      <c r="D1274" t="s">
        <v>4682</v>
      </c>
      <c r="E1274" t="s">
        <v>4682</v>
      </c>
      <c r="F1274" t="s">
        <v>4684</v>
      </c>
      <c r="G1274">
        <v>1</v>
      </c>
      <c r="H1274" t="s">
        <v>4682</v>
      </c>
      <c r="I1274" t="str" cm="1">
        <f t="array" ref="I1274">_xlfn.IFS(B1274&lt;18.5, "Underweight", B1274&lt;=24.9, "Normal Weight", B1274&lt;=29.9, "Overweight", TRUE, "Obesity")</f>
        <v>Overweight</v>
      </c>
      <c r="J1274" t="str" cm="1">
        <f t="array" ref="J1274">_xlfn.IFS(C1274&lt;5.7, "Normal", C1274&lt;=6.4, "Prediabetes", TRUE, "Diabetes")</f>
        <v>Prediabetes</v>
      </c>
    </row>
    <row r="1275" spans="1:10">
      <c r="A1275" t="s">
        <v>2548</v>
      </c>
      <c r="B1275">
        <v>20.350000000000001</v>
      </c>
      <c r="C1275">
        <v>4.16</v>
      </c>
      <c r="D1275" t="s">
        <v>4682</v>
      </c>
      <c r="E1275" t="s">
        <v>4682</v>
      </c>
      <c r="F1275" t="s">
        <v>4682</v>
      </c>
      <c r="G1275">
        <v>0</v>
      </c>
      <c r="H1275" t="s">
        <v>4682</v>
      </c>
      <c r="I1275" t="str" cm="1">
        <f t="array" ref="I1275">_xlfn.IFS(B1275&lt;18.5, "Underweight", B1275&lt;=24.9, "Normal Weight", B1275&lt;=29.9, "Overweight", TRUE, "Obesity")</f>
        <v>Normal Weight</v>
      </c>
      <c r="J1275" t="str" cm="1">
        <f t="array" ref="J1275">_xlfn.IFS(C1275&lt;5.7, "Normal", C1275&lt;=6.4, "Prediabetes", TRUE, "Diabetes")</f>
        <v>Normal</v>
      </c>
    </row>
    <row r="1276" spans="1:10">
      <c r="A1276" t="s">
        <v>2550</v>
      </c>
      <c r="B1276">
        <v>24.035</v>
      </c>
      <c r="C1276">
        <v>6.11</v>
      </c>
      <c r="D1276" t="s">
        <v>4682</v>
      </c>
      <c r="E1276" t="s">
        <v>4682</v>
      </c>
      <c r="F1276" t="s">
        <v>4682</v>
      </c>
      <c r="G1276">
        <v>0</v>
      </c>
      <c r="H1276" t="s">
        <v>4682</v>
      </c>
      <c r="I1276" t="str" cm="1">
        <f t="array" ref="I1276">_xlfn.IFS(B1276&lt;18.5, "Underweight", B1276&lt;=24.9, "Normal Weight", B1276&lt;=29.9, "Overweight", TRUE, "Obesity")</f>
        <v>Normal Weight</v>
      </c>
      <c r="J1276" t="str" cm="1">
        <f t="array" ref="J1276">_xlfn.IFS(C1276&lt;5.7, "Normal", C1276&lt;=6.4, "Prediabetes", TRUE, "Diabetes")</f>
        <v>Prediabetes</v>
      </c>
    </row>
    <row r="1277" spans="1:10">
      <c r="A1277" t="s">
        <v>2552</v>
      </c>
      <c r="B1277">
        <v>23.56</v>
      </c>
      <c r="C1277">
        <v>5.97</v>
      </c>
      <c r="D1277" t="s">
        <v>4682</v>
      </c>
      <c r="E1277" t="s">
        <v>4682</v>
      </c>
      <c r="F1277" t="s">
        <v>4682</v>
      </c>
      <c r="G1277">
        <v>0</v>
      </c>
      <c r="H1277" t="s">
        <v>4682</v>
      </c>
      <c r="I1277" t="str" cm="1">
        <f t="array" ref="I1277">_xlfn.IFS(B1277&lt;18.5, "Underweight", B1277&lt;=24.9, "Normal Weight", B1277&lt;=29.9, "Overweight", TRUE, "Obesity")</f>
        <v>Normal Weight</v>
      </c>
      <c r="J1277" t="str" cm="1">
        <f t="array" ref="J1277">_xlfn.IFS(C1277&lt;5.7, "Normal", C1277&lt;=6.4, "Prediabetes", TRUE, "Diabetes")</f>
        <v>Prediabetes</v>
      </c>
    </row>
    <row r="1278" spans="1:10">
      <c r="A1278" t="s">
        <v>2554</v>
      </c>
      <c r="B1278">
        <v>27.17</v>
      </c>
      <c r="C1278">
        <v>10.81</v>
      </c>
      <c r="D1278" t="s">
        <v>4682</v>
      </c>
      <c r="E1278" t="s">
        <v>4682</v>
      </c>
      <c r="F1278" t="s">
        <v>4682</v>
      </c>
      <c r="G1278">
        <v>2</v>
      </c>
      <c r="H1278" t="s">
        <v>4682</v>
      </c>
      <c r="I1278" t="str" cm="1">
        <f t="array" ref="I1278">_xlfn.IFS(B1278&lt;18.5, "Underweight", B1278&lt;=24.9, "Normal Weight", B1278&lt;=29.9, "Overweight", TRUE, "Obesity")</f>
        <v>Overweight</v>
      </c>
      <c r="J1278" t="str" cm="1">
        <f t="array" ref="J1278">_xlfn.IFS(C1278&lt;5.7, "Normal", C1278&lt;=6.4, "Prediabetes", TRUE, "Diabetes")</f>
        <v>Diabetes</v>
      </c>
    </row>
    <row r="1279" spans="1:10">
      <c r="A1279" t="s">
        <v>2556</v>
      </c>
      <c r="B1279">
        <v>34.32</v>
      </c>
      <c r="C1279">
        <v>5.7</v>
      </c>
      <c r="D1279" t="s">
        <v>4683</v>
      </c>
      <c r="E1279" t="s">
        <v>4682</v>
      </c>
      <c r="F1279" t="s">
        <v>4684</v>
      </c>
      <c r="G1279">
        <v>1</v>
      </c>
      <c r="H1279" t="s">
        <v>4682</v>
      </c>
      <c r="I1279" t="str" cm="1">
        <f t="array" ref="I1279">_xlfn.IFS(B1279&lt;18.5, "Underweight", B1279&lt;=24.9, "Normal Weight", B1279&lt;=29.9, "Overweight", TRUE, "Obesity")</f>
        <v>Obesity</v>
      </c>
      <c r="J1279" t="str" cm="1">
        <f t="array" ref="J1279">_xlfn.IFS(C1279&lt;5.7, "Normal", C1279&lt;=6.4, "Prediabetes", TRUE, "Diabetes")</f>
        <v>Prediabetes</v>
      </c>
    </row>
    <row r="1280" spans="1:10">
      <c r="A1280" t="s">
        <v>2558</v>
      </c>
      <c r="B1280">
        <v>23.87</v>
      </c>
      <c r="C1280">
        <v>4.7699999999999996</v>
      </c>
      <c r="D1280" t="s">
        <v>4683</v>
      </c>
      <c r="E1280" t="s">
        <v>4682</v>
      </c>
      <c r="F1280" t="s">
        <v>4684</v>
      </c>
      <c r="G1280">
        <v>1</v>
      </c>
      <c r="H1280" t="s">
        <v>4682</v>
      </c>
      <c r="I1280" t="str" cm="1">
        <f t="array" ref="I1280">_xlfn.IFS(B1280&lt;18.5, "Underweight", B1280&lt;=24.9, "Normal Weight", B1280&lt;=29.9, "Overweight", TRUE, "Obesity")</f>
        <v>Normal Weight</v>
      </c>
      <c r="J1280" t="str" cm="1">
        <f t="array" ref="J1280">_xlfn.IFS(C1280&lt;5.7, "Normal", C1280&lt;=6.4, "Prediabetes", TRUE, "Diabetes")</f>
        <v>Normal</v>
      </c>
    </row>
    <row r="1281" spans="1:10">
      <c r="A1281" t="s">
        <v>2560</v>
      </c>
      <c r="B1281">
        <v>30.15</v>
      </c>
      <c r="C1281">
        <v>4.25</v>
      </c>
      <c r="D1281" t="s">
        <v>4682</v>
      </c>
      <c r="E1281" t="s">
        <v>4682</v>
      </c>
      <c r="F1281" t="s">
        <v>4682</v>
      </c>
      <c r="G1281">
        <v>1</v>
      </c>
      <c r="H1281" t="s">
        <v>4682</v>
      </c>
      <c r="I1281" t="str" cm="1">
        <f t="array" ref="I1281">_xlfn.IFS(B1281&lt;18.5, "Underweight", B1281&lt;=24.9, "Normal Weight", B1281&lt;=29.9, "Overweight", TRUE, "Obesity")</f>
        <v>Obesity</v>
      </c>
      <c r="J1281" t="str" cm="1">
        <f t="array" ref="J1281">_xlfn.IFS(C1281&lt;5.7, "Normal", C1281&lt;=6.4, "Prediabetes", TRUE, "Diabetes")</f>
        <v>Normal</v>
      </c>
    </row>
    <row r="1282" spans="1:10">
      <c r="A1282" t="s">
        <v>2562</v>
      </c>
      <c r="B1282">
        <v>26.36</v>
      </c>
      <c r="C1282">
        <v>5.52</v>
      </c>
      <c r="D1282" t="s">
        <v>4682</v>
      </c>
      <c r="E1282" t="s">
        <v>4682</v>
      </c>
      <c r="F1282" t="s">
        <v>4682</v>
      </c>
      <c r="G1282">
        <v>0</v>
      </c>
      <c r="H1282" t="s">
        <v>4682</v>
      </c>
      <c r="I1282" t="str" cm="1">
        <f t="array" ref="I1282">_xlfn.IFS(B1282&lt;18.5, "Underweight", B1282&lt;=24.9, "Normal Weight", B1282&lt;=29.9, "Overweight", TRUE, "Obesity")</f>
        <v>Overweight</v>
      </c>
      <c r="J1282" t="str" cm="1">
        <f t="array" ref="J1282">_xlfn.IFS(C1282&lt;5.7, "Normal", C1282&lt;=6.4, "Prediabetes", TRUE, "Diabetes")</f>
        <v>Normal</v>
      </c>
    </row>
    <row r="1283" spans="1:10">
      <c r="A1283" t="s">
        <v>2564</v>
      </c>
      <c r="B1283">
        <v>45.32</v>
      </c>
      <c r="C1283">
        <v>6.53</v>
      </c>
      <c r="D1283" t="s">
        <v>4683</v>
      </c>
      <c r="E1283" t="s">
        <v>4682</v>
      </c>
      <c r="F1283" t="s">
        <v>4682</v>
      </c>
      <c r="G1283">
        <v>1</v>
      </c>
      <c r="H1283" t="s">
        <v>4682</v>
      </c>
      <c r="I1283" t="str" cm="1">
        <f t="array" ref="I1283">_xlfn.IFS(B1283&lt;18.5, "Underweight", B1283&lt;=24.9, "Normal Weight", B1283&lt;=29.9, "Overweight", TRUE, "Obesity")</f>
        <v>Obesity</v>
      </c>
      <c r="J1283" t="str" cm="1">
        <f t="array" ref="J1283">_xlfn.IFS(C1283&lt;5.7, "Normal", C1283&lt;=6.4, "Prediabetes", TRUE, "Diabetes")</f>
        <v>Diabetes</v>
      </c>
    </row>
    <row r="1284" spans="1:10">
      <c r="A1284" t="s">
        <v>2566</v>
      </c>
      <c r="B1284">
        <v>31.93</v>
      </c>
      <c r="C1284">
        <v>4.82</v>
      </c>
      <c r="D1284" t="s">
        <v>4683</v>
      </c>
      <c r="E1284" t="s">
        <v>4682</v>
      </c>
      <c r="F1284" t="s">
        <v>4682</v>
      </c>
      <c r="G1284">
        <v>1</v>
      </c>
      <c r="H1284" t="s">
        <v>4682</v>
      </c>
      <c r="I1284" t="str" cm="1">
        <f t="array" ref="I1284">_xlfn.IFS(B1284&lt;18.5, "Underweight", B1284&lt;=24.9, "Normal Weight", B1284&lt;=29.9, "Overweight", TRUE, "Obesity")</f>
        <v>Obesity</v>
      </c>
      <c r="J1284" t="str" cm="1">
        <f t="array" ref="J1284">_xlfn.IFS(C1284&lt;5.7, "Normal", C1284&lt;=6.4, "Prediabetes", TRUE, "Diabetes")</f>
        <v>Normal</v>
      </c>
    </row>
    <row r="1285" spans="1:10">
      <c r="A1285" t="s">
        <v>2568</v>
      </c>
      <c r="B1285">
        <v>36</v>
      </c>
      <c r="C1285">
        <v>11.94</v>
      </c>
      <c r="D1285" t="s">
        <v>4683</v>
      </c>
      <c r="E1285" t="s">
        <v>4682</v>
      </c>
      <c r="F1285" t="s">
        <v>4682</v>
      </c>
      <c r="G1285">
        <v>1</v>
      </c>
      <c r="H1285" t="s">
        <v>4682</v>
      </c>
      <c r="I1285" t="str" cm="1">
        <f t="array" ref="I1285">_xlfn.IFS(B1285&lt;18.5, "Underweight", B1285&lt;=24.9, "Normal Weight", B1285&lt;=29.9, "Overweight", TRUE, "Obesity")</f>
        <v>Obesity</v>
      </c>
      <c r="J1285" t="str" cm="1">
        <f t="array" ref="J1285">_xlfn.IFS(C1285&lt;5.7, "Normal", C1285&lt;=6.4, "Prediabetes", TRUE, "Diabetes")</f>
        <v>Diabetes</v>
      </c>
    </row>
    <row r="1286" spans="1:10">
      <c r="A1286" t="s">
        <v>2570</v>
      </c>
      <c r="B1286">
        <v>32</v>
      </c>
      <c r="C1286">
        <v>7.85</v>
      </c>
      <c r="D1286" t="s">
        <v>4683</v>
      </c>
      <c r="E1286" t="s">
        <v>4682</v>
      </c>
      <c r="F1286" t="s">
        <v>4682</v>
      </c>
      <c r="G1286">
        <v>1</v>
      </c>
      <c r="H1286" t="s">
        <v>4682</v>
      </c>
      <c r="I1286" t="str" cm="1">
        <f t="array" ref="I1286">_xlfn.IFS(B1286&lt;18.5, "Underweight", B1286&lt;=24.9, "Normal Weight", B1286&lt;=29.9, "Overweight", TRUE, "Obesity")</f>
        <v>Obesity</v>
      </c>
      <c r="J1286" t="str" cm="1">
        <f t="array" ref="J1286">_xlfn.IFS(C1286&lt;5.7, "Normal", C1286&lt;=6.4, "Prediabetes", TRUE, "Diabetes")</f>
        <v>Diabetes</v>
      </c>
    </row>
    <row r="1287" spans="1:10">
      <c r="A1287" t="s">
        <v>2572</v>
      </c>
      <c r="B1287">
        <v>29.37</v>
      </c>
      <c r="C1287">
        <v>8.01</v>
      </c>
      <c r="D1287" t="s">
        <v>4683</v>
      </c>
      <c r="E1287" t="s">
        <v>4682</v>
      </c>
      <c r="F1287" t="s">
        <v>4682</v>
      </c>
      <c r="G1287">
        <v>1</v>
      </c>
      <c r="H1287" t="s">
        <v>4682</v>
      </c>
      <c r="I1287" t="str" cm="1">
        <f t="array" ref="I1287">_xlfn.IFS(B1287&lt;18.5, "Underweight", B1287&lt;=24.9, "Normal Weight", B1287&lt;=29.9, "Overweight", TRUE, "Obesity")</f>
        <v>Overweight</v>
      </c>
      <c r="J1287" t="str" cm="1">
        <f t="array" ref="J1287">_xlfn.IFS(C1287&lt;5.7, "Normal", C1287&lt;=6.4, "Prediabetes", TRUE, "Diabetes")</f>
        <v>Diabetes</v>
      </c>
    </row>
    <row r="1288" spans="1:10">
      <c r="A1288" t="s">
        <v>2574</v>
      </c>
      <c r="B1288">
        <v>23.6</v>
      </c>
      <c r="C1288">
        <v>7.4</v>
      </c>
      <c r="D1288" t="s">
        <v>4683</v>
      </c>
      <c r="E1288" t="s">
        <v>4682</v>
      </c>
      <c r="F1288" t="s">
        <v>4682</v>
      </c>
      <c r="G1288">
        <v>1</v>
      </c>
      <c r="H1288" t="s">
        <v>4682</v>
      </c>
      <c r="I1288" t="str" cm="1">
        <f t="array" ref="I1288">_xlfn.IFS(B1288&lt;18.5, "Underweight", B1288&lt;=24.9, "Normal Weight", B1288&lt;=29.9, "Overweight", TRUE, "Obesity")</f>
        <v>Normal Weight</v>
      </c>
      <c r="J1288" t="str" cm="1">
        <f t="array" ref="J1288">_xlfn.IFS(C1288&lt;5.7, "Normal", C1288&lt;=6.4, "Prediabetes", TRUE, "Diabetes")</f>
        <v>Diabetes</v>
      </c>
    </row>
    <row r="1289" spans="1:10">
      <c r="A1289" t="s">
        <v>2576</v>
      </c>
      <c r="B1289">
        <v>33.155000000000001</v>
      </c>
      <c r="C1289">
        <v>8.3800000000000008</v>
      </c>
      <c r="D1289" t="s">
        <v>4683</v>
      </c>
      <c r="E1289" t="s">
        <v>4682</v>
      </c>
      <c r="F1289" t="s">
        <v>4682</v>
      </c>
      <c r="G1289">
        <v>0</v>
      </c>
      <c r="H1289" t="s">
        <v>4682</v>
      </c>
      <c r="I1289" t="str" cm="1">
        <f t="array" ref="I1289">_xlfn.IFS(B1289&lt;18.5, "Underweight", B1289&lt;=24.9, "Normal Weight", B1289&lt;=29.9, "Overweight", TRUE, "Obesity")</f>
        <v>Obesity</v>
      </c>
      <c r="J1289" t="str" cm="1">
        <f t="array" ref="J1289">_xlfn.IFS(C1289&lt;5.7, "Normal", C1289&lt;=6.4, "Prediabetes", TRUE, "Diabetes")</f>
        <v>Diabetes</v>
      </c>
    </row>
    <row r="1290" spans="1:10">
      <c r="A1290" t="s">
        <v>2578</v>
      </c>
      <c r="B1290">
        <v>24.32</v>
      </c>
      <c r="C1290">
        <v>11.56</v>
      </c>
      <c r="D1290" t="s">
        <v>4683</v>
      </c>
      <c r="E1290" t="s">
        <v>4682</v>
      </c>
      <c r="F1290" t="s">
        <v>4682</v>
      </c>
      <c r="G1290">
        <v>1</v>
      </c>
      <c r="H1290" t="s">
        <v>4682</v>
      </c>
      <c r="I1290" t="str" cm="1">
        <f t="array" ref="I1290">_xlfn.IFS(B1290&lt;18.5, "Underweight", B1290&lt;=24.9, "Normal Weight", B1290&lt;=29.9, "Overweight", TRUE, "Obesity")</f>
        <v>Normal Weight</v>
      </c>
      <c r="J1290" t="str" cm="1">
        <f t="array" ref="J1290">_xlfn.IFS(C1290&lt;5.7, "Normal", C1290&lt;=6.4, "Prediabetes", TRUE, "Diabetes")</f>
        <v>Diabetes</v>
      </c>
    </row>
    <row r="1291" spans="1:10">
      <c r="A1291" t="s">
        <v>2580</v>
      </c>
      <c r="B1291">
        <v>36.299999999999997</v>
      </c>
      <c r="C1291">
        <v>4.6100000000000003</v>
      </c>
      <c r="D1291" t="s">
        <v>4682</v>
      </c>
      <c r="E1291" t="s">
        <v>4682</v>
      </c>
      <c r="F1291" t="s">
        <v>4682</v>
      </c>
      <c r="G1291">
        <v>0</v>
      </c>
      <c r="H1291" t="s">
        <v>4682</v>
      </c>
      <c r="I1291" t="str" cm="1">
        <f t="array" ref="I1291">_xlfn.IFS(B1291&lt;18.5, "Underweight", B1291&lt;=24.9, "Normal Weight", B1291&lt;=29.9, "Overweight", TRUE, "Obesity")</f>
        <v>Obesity</v>
      </c>
      <c r="J1291" t="str" cm="1">
        <f t="array" ref="J1291">_xlfn.IFS(C1291&lt;5.7, "Normal", C1291&lt;=6.4, "Prediabetes", TRUE, "Diabetes")</f>
        <v>Normal</v>
      </c>
    </row>
    <row r="1292" spans="1:10">
      <c r="A1292" t="s">
        <v>2582</v>
      </c>
      <c r="B1292">
        <v>34.4</v>
      </c>
      <c r="C1292">
        <v>4.95</v>
      </c>
      <c r="D1292" t="s">
        <v>4682</v>
      </c>
      <c r="E1292" t="s">
        <v>4682</v>
      </c>
      <c r="F1292" t="s">
        <v>4684</v>
      </c>
      <c r="G1292">
        <v>1</v>
      </c>
      <c r="H1292" t="s">
        <v>4682</v>
      </c>
      <c r="I1292" t="str" cm="1">
        <f t="array" ref="I1292">_xlfn.IFS(B1292&lt;18.5, "Underweight", B1292&lt;=24.9, "Normal Weight", B1292&lt;=29.9, "Overweight", TRUE, "Obesity")</f>
        <v>Obesity</v>
      </c>
      <c r="J1292" t="str" cm="1">
        <f t="array" ref="J1292">_xlfn.IFS(C1292&lt;5.7, "Normal", C1292&lt;=6.4, "Prediabetes", TRUE, "Diabetes")</f>
        <v>Normal</v>
      </c>
    </row>
    <row r="1293" spans="1:10">
      <c r="A1293" t="s">
        <v>2584</v>
      </c>
      <c r="B1293">
        <v>30.9</v>
      </c>
      <c r="C1293">
        <v>5.04</v>
      </c>
      <c r="D1293" t="s">
        <v>4682</v>
      </c>
      <c r="E1293" t="s">
        <v>4682</v>
      </c>
      <c r="F1293" t="s">
        <v>4682</v>
      </c>
      <c r="G1293">
        <v>0</v>
      </c>
      <c r="H1293" t="s">
        <v>4682</v>
      </c>
      <c r="I1293" t="str" cm="1">
        <f t="array" ref="I1293">_xlfn.IFS(B1293&lt;18.5, "Underweight", B1293&lt;=24.9, "Normal Weight", B1293&lt;=29.9, "Overweight", TRUE, "Obesity")</f>
        <v>Obesity</v>
      </c>
      <c r="J1293" t="str" cm="1">
        <f t="array" ref="J1293">_xlfn.IFS(C1293&lt;5.7, "Normal", C1293&lt;=6.4, "Prediabetes", TRUE, "Diabetes")</f>
        <v>Normal</v>
      </c>
    </row>
    <row r="1294" spans="1:10">
      <c r="A1294" t="s">
        <v>2586</v>
      </c>
      <c r="B1294">
        <v>28.6</v>
      </c>
      <c r="C1294">
        <v>5.42</v>
      </c>
      <c r="D1294" t="s">
        <v>4682</v>
      </c>
      <c r="E1294" t="s">
        <v>4682</v>
      </c>
      <c r="F1294" t="s">
        <v>4682</v>
      </c>
      <c r="G1294">
        <v>0</v>
      </c>
      <c r="H1294" t="s">
        <v>4682</v>
      </c>
      <c r="I1294" t="str" cm="1">
        <f t="array" ref="I1294">_xlfn.IFS(B1294&lt;18.5, "Underweight", B1294&lt;=24.9, "Normal Weight", B1294&lt;=29.9, "Overweight", TRUE, "Obesity")</f>
        <v>Overweight</v>
      </c>
      <c r="J1294" t="str" cm="1">
        <f t="array" ref="J1294">_xlfn.IFS(C1294&lt;5.7, "Normal", C1294&lt;=6.4, "Prediabetes", TRUE, "Diabetes")</f>
        <v>Normal</v>
      </c>
    </row>
    <row r="1295" spans="1:10">
      <c r="A1295" t="s">
        <v>2588</v>
      </c>
      <c r="B1295">
        <v>27.83</v>
      </c>
      <c r="C1295">
        <v>5.39</v>
      </c>
      <c r="D1295" t="s">
        <v>4682</v>
      </c>
      <c r="E1295" t="s">
        <v>4682</v>
      </c>
      <c r="F1295" t="s">
        <v>4682</v>
      </c>
      <c r="G1295">
        <v>0</v>
      </c>
      <c r="H1295" t="s">
        <v>4682</v>
      </c>
      <c r="I1295" t="str" cm="1">
        <f t="array" ref="I1295">_xlfn.IFS(B1295&lt;18.5, "Underweight", B1295&lt;=24.9, "Normal Weight", B1295&lt;=29.9, "Overweight", TRUE, "Obesity")</f>
        <v>Overweight</v>
      </c>
      <c r="J1295" t="str" cm="1">
        <f t="array" ref="J1295">_xlfn.IFS(C1295&lt;5.7, "Normal", C1295&lt;=6.4, "Prediabetes", TRUE, "Diabetes")</f>
        <v>Normal</v>
      </c>
    </row>
    <row r="1296" spans="1:10">
      <c r="A1296" t="s">
        <v>2590</v>
      </c>
      <c r="B1296">
        <v>39.64</v>
      </c>
      <c r="C1296">
        <v>6</v>
      </c>
      <c r="D1296" t="s">
        <v>4682</v>
      </c>
      <c r="E1296" t="s">
        <v>4682</v>
      </c>
      <c r="F1296" t="s">
        <v>4684</v>
      </c>
      <c r="G1296">
        <v>1</v>
      </c>
      <c r="H1296" t="s">
        <v>4682</v>
      </c>
      <c r="I1296" t="str" cm="1">
        <f t="array" ref="I1296">_xlfn.IFS(B1296&lt;18.5, "Underweight", B1296&lt;=24.9, "Normal Weight", B1296&lt;=29.9, "Overweight", TRUE, "Obesity")</f>
        <v>Obesity</v>
      </c>
      <c r="J1296" t="str" cm="1">
        <f t="array" ref="J1296">_xlfn.IFS(C1296&lt;5.7, "Normal", C1296&lt;=6.4, "Prediabetes", TRUE, "Diabetes")</f>
        <v>Prediabetes</v>
      </c>
    </row>
    <row r="1297" spans="1:10">
      <c r="A1297" t="s">
        <v>2592</v>
      </c>
      <c r="B1297">
        <v>38.479999999999997</v>
      </c>
      <c r="C1297">
        <v>6.02</v>
      </c>
      <c r="D1297" t="s">
        <v>4682</v>
      </c>
      <c r="E1297" t="s">
        <v>4682</v>
      </c>
      <c r="F1297" t="s">
        <v>4682</v>
      </c>
      <c r="G1297">
        <v>1</v>
      </c>
      <c r="H1297" t="s">
        <v>4682</v>
      </c>
      <c r="I1297" t="str" cm="1">
        <f t="array" ref="I1297">_xlfn.IFS(B1297&lt;18.5, "Underweight", B1297&lt;=24.9, "Normal Weight", B1297&lt;=29.9, "Overweight", TRUE, "Obesity")</f>
        <v>Obesity</v>
      </c>
      <c r="J1297" t="str" cm="1">
        <f t="array" ref="J1297">_xlfn.IFS(C1297&lt;5.7, "Normal", C1297&lt;=6.4, "Prediabetes", TRUE, "Diabetes")</f>
        <v>Prediabetes</v>
      </c>
    </row>
    <row r="1298" spans="1:10">
      <c r="A1298" t="s">
        <v>2594</v>
      </c>
      <c r="B1298">
        <v>36.200000000000003</v>
      </c>
      <c r="C1298">
        <v>4.62</v>
      </c>
      <c r="D1298" t="s">
        <v>4682</v>
      </c>
      <c r="E1298" t="s">
        <v>4682</v>
      </c>
      <c r="F1298" t="s">
        <v>4682</v>
      </c>
      <c r="G1298">
        <v>2</v>
      </c>
      <c r="H1298" t="s">
        <v>4682</v>
      </c>
      <c r="I1298" t="str" cm="1">
        <f t="array" ref="I1298">_xlfn.IFS(B1298&lt;18.5, "Underweight", B1298&lt;=24.9, "Normal Weight", B1298&lt;=29.9, "Overweight", TRUE, "Obesity")</f>
        <v>Obesity</v>
      </c>
      <c r="J1298" t="str" cm="1">
        <f t="array" ref="J1298">_xlfn.IFS(C1298&lt;5.7, "Normal", C1298&lt;=6.4, "Prediabetes", TRUE, "Diabetes")</f>
        <v>Normal</v>
      </c>
    </row>
    <row r="1299" spans="1:10">
      <c r="A1299" t="s">
        <v>2596</v>
      </c>
      <c r="B1299">
        <v>27.13</v>
      </c>
      <c r="C1299">
        <v>5.59</v>
      </c>
      <c r="D1299" t="s">
        <v>4682</v>
      </c>
      <c r="E1299" t="s">
        <v>4682</v>
      </c>
      <c r="F1299" t="s">
        <v>4682</v>
      </c>
      <c r="G1299">
        <v>1</v>
      </c>
      <c r="H1299" t="s">
        <v>4682</v>
      </c>
      <c r="I1299" t="str" cm="1">
        <f t="array" ref="I1299">_xlfn.IFS(B1299&lt;18.5, "Underweight", B1299&lt;=24.9, "Normal Weight", B1299&lt;=29.9, "Overweight", TRUE, "Obesity")</f>
        <v>Overweight</v>
      </c>
      <c r="J1299" t="str" cm="1">
        <f t="array" ref="J1299">_xlfn.IFS(C1299&lt;5.7, "Normal", C1299&lt;=6.4, "Prediabetes", TRUE, "Diabetes")</f>
        <v>Normal</v>
      </c>
    </row>
    <row r="1300" spans="1:10">
      <c r="A1300" t="s">
        <v>2598</v>
      </c>
      <c r="B1300">
        <v>20.75</v>
      </c>
      <c r="C1300">
        <v>5.18</v>
      </c>
      <c r="D1300" t="s">
        <v>4683</v>
      </c>
      <c r="E1300" t="s">
        <v>4682</v>
      </c>
      <c r="F1300" t="s">
        <v>4682</v>
      </c>
      <c r="G1300">
        <v>2</v>
      </c>
      <c r="H1300" t="s">
        <v>4682</v>
      </c>
      <c r="I1300" t="str" cm="1">
        <f t="array" ref="I1300">_xlfn.IFS(B1300&lt;18.5, "Underweight", B1300&lt;=24.9, "Normal Weight", B1300&lt;=29.9, "Overweight", TRUE, "Obesity")</f>
        <v>Normal Weight</v>
      </c>
      <c r="J1300" t="str" cm="1">
        <f t="array" ref="J1300">_xlfn.IFS(C1300&lt;5.7, "Normal", C1300&lt;=6.4, "Prediabetes", TRUE, "Diabetes")</f>
        <v>Normal</v>
      </c>
    </row>
    <row r="1301" spans="1:10">
      <c r="A1301" t="s">
        <v>2600</v>
      </c>
      <c r="B1301">
        <v>26.6</v>
      </c>
      <c r="C1301">
        <v>6.29</v>
      </c>
      <c r="D1301" t="s">
        <v>4682</v>
      </c>
      <c r="E1301" t="s">
        <v>4682</v>
      </c>
      <c r="F1301" t="s">
        <v>4682</v>
      </c>
      <c r="G1301">
        <v>2</v>
      </c>
      <c r="H1301" t="s">
        <v>4682</v>
      </c>
      <c r="I1301" t="str" cm="1">
        <f t="array" ref="I1301">_xlfn.IFS(B1301&lt;18.5, "Underweight", B1301&lt;=24.9, "Normal Weight", B1301&lt;=29.9, "Overweight", TRUE, "Obesity")</f>
        <v>Overweight</v>
      </c>
      <c r="J1301" t="str" cm="1">
        <f t="array" ref="J1301">_xlfn.IFS(C1301&lt;5.7, "Normal", C1301&lt;=6.4, "Prediabetes", TRUE, "Diabetes")</f>
        <v>Prediabetes</v>
      </c>
    </row>
    <row r="1302" spans="1:10">
      <c r="A1302" t="s">
        <v>2602</v>
      </c>
      <c r="B1302">
        <v>25.3</v>
      </c>
      <c r="C1302">
        <v>4.49</v>
      </c>
      <c r="D1302" t="s">
        <v>4682</v>
      </c>
      <c r="E1302" t="s">
        <v>4682</v>
      </c>
      <c r="F1302" t="s">
        <v>4682</v>
      </c>
      <c r="G1302">
        <v>2</v>
      </c>
      <c r="H1302" t="s">
        <v>4682</v>
      </c>
      <c r="I1302" t="str" cm="1">
        <f t="array" ref="I1302">_xlfn.IFS(B1302&lt;18.5, "Underweight", B1302&lt;=24.9, "Normal Weight", B1302&lt;=29.9, "Overweight", TRUE, "Obesity")</f>
        <v>Overweight</v>
      </c>
      <c r="J1302" t="str" cm="1">
        <f t="array" ref="J1302">_xlfn.IFS(C1302&lt;5.7, "Normal", C1302&lt;=6.4, "Prediabetes", TRUE, "Diabetes")</f>
        <v>Normal</v>
      </c>
    </row>
    <row r="1303" spans="1:10">
      <c r="A1303" t="s">
        <v>2604</v>
      </c>
      <c r="B1303">
        <v>18.84</v>
      </c>
      <c r="C1303">
        <v>11.82</v>
      </c>
      <c r="D1303" t="s">
        <v>4683</v>
      </c>
      <c r="E1303" t="s">
        <v>4682</v>
      </c>
      <c r="F1303" t="s">
        <v>4684</v>
      </c>
      <c r="G1303">
        <v>1</v>
      </c>
      <c r="H1303" t="s">
        <v>4682</v>
      </c>
      <c r="I1303" t="str" cm="1">
        <f t="array" ref="I1303">_xlfn.IFS(B1303&lt;18.5, "Underweight", B1303&lt;=24.9, "Normal Weight", B1303&lt;=29.9, "Overweight", TRUE, "Obesity")</f>
        <v>Normal Weight</v>
      </c>
      <c r="J1303" t="str" cm="1">
        <f t="array" ref="J1303">_xlfn.IFS(C1303&lt;5.7, "Normal", C1303&lt;=6.4, "Prediabetes", TRUE, "Diabetes")</f>
        <v>Diabetes</v>
      </c>
    </row>
    <row r="1304" spans="1:10">
      <c r="A1304" t="s">
        <v>2606</v>
      </c>
      <c r="B1304">
        <v>19.57</v>
      </c>
      <c r="C1304">
        <v>7.41</v>
      </c>
      <c r="D1304" t="s">
        <v>4683</v>
      </c>
      <c r="E1304" t="s">
        <v>4682</v>
      </c>
      <c r="F1304" t="s">
        <v>4682</v>
      </c>
      <c r="G1304">
        <v>1</v>
      </c>
      <c r="H1304" t="s">
        <v>4682</v>
      </c>
      <c r="I1304" t="str" cm="1">
        <f t="array" ref="I1304">_xlfn.IFS(B1304&lt;18.5, "Underweight", B1304&lt;=24.9, "Normal Weight", B1304&lt;=29.9, "Overweight", TRUE, "Obesity")</f>
        <v>Normal Weight</v>
      </c>
      <c r="J1304" t="str" cm="1">
        <f t="array" ref="J1304">_xlfn.IFS(C1304&lt;5.7, "Normal", C1304&lt;=6.4, "Prediabetes", TRUE, "Diabetes")</f>
        <v>Diabetes</v>
      </c>
    </row>
    <row r="1305" spans="1:10">
      <c r="A1305" t="s">
        <v>2608</v>
      </c>
      <c r="B1305">
        <v>30.495000000000001</v>
      </c>
      <c r="C1305">
        <v>5.97</v>
      </c>
      <c r="D1305" t="s">
        <v>4682</v>
      </c>
      <c r="E1305" t="s">
        <v>4682</v>
      </c>
      <c r="F1305" t="s">
        <v>4682</v>
      </c>
      <c r="G1305">
        <v>0</v>
      </c>
      <c r="H1305" t="s">
        <v>4682</v>
      </c>
      <c r="I1305" t="str" cm="1">
        <f t="array" ref="I1305">_xlfn.IFS(B1305&lt;18.5, "Underweight", B1305&lt;=24.9, "Normal Weight", B1305&lt;=29.9, "Overweight", TRUE, "Obesity")</f>
        <v>Obesity</v>
      </c>
      <c r="J1305" t="str" cm="1">
        <f t="array" ref="J1305">_xlfn.IFS(C1305&lt;5.7, "Normal", C1305&lt;=6.4, "Prediabetes", TRUE, "Diabetes")</f>
        <v>Prediabetes</v>
      </c>
    </row>
    <row r="1306" spans="1:10">
      <c r="A1306" t="s">
        <v>2610</v>
      </c>
      <c r="B1306">
        <v>30.114999999999998</v>
      </c>
      <c r="C1306">
        <v>5.74</v>
      </c>
      <c r="D1306" t="s">
        <v>4682</v>
      </c>
      <c r="E1306" t="s">
        <v>4682</v>
      </c>
      <c r="F1306" t="s">
        <v>4684</v>
      </c>
      <c r="G1306">
        <v>1</v>
      </c>
      <c r="H1306" t="s">
        <v>4682</v>
      </c>
      <c r="I1306" t="str" cm="1">
        <f t="array" ref="I1306">_xlfn.IFS(B1306&lt;18.5, "Underweight", B1306&lt;=24.9, "Normal Weight", B1306&lt;=29.9, "Overweight", TRUE, "Obesity")</f>
        <v>Obesity</v>
      </c>
      <c r="J1306" t="str" cm="1">
        <f t="array" ref="J1306">_xlfn.IFS(C1306&lt;5.7, "Normal", C1306&lt;=6.4, "Prediabetes", TRUE, "Diabetes")</f>
        <v>Prediabetes</v>
      </c>
    </row>
    <row r="1307" spans="1:10">
      <c r="A1307" t="s">
        <v>2612</v>
      </c>
      <c r="B1307">
        <v>24.78</v>
      </c>
      <c r="C1307">
        <v>9.85</v>
      </c>
      <c r="D1307" t="s">
        <v>4682</v>
      </c>
      <c r="E1307" t="s">
        <v>4682</v>
      </c>
      <c r="F1307" t="s">
        <v>4682</v>
      </c>
      <c r="G1307">
        <v>0</v>
      </c>
      <c r="H1307" t="s">
        <v>4682</v>
      </c>
      <c r="I1307" t="str" cm="1">
        <f t="array" ref="I1307">_xlfn.IFS(B1307&lt;18.5, "Underweight", B1307&lt;=24.9, "Normal Weight", B1307&lt;=29.9, "Overweight", TRUE, "Obesity")</f>
        <v>Normal Weight</v>
      </c>
      <c r="J1307" t="str" cm="1">
        <f t="array" ref="J1307">_xlfn.IFS(C1307&lt;5.7, "Normal", C1307&lt;=6.4, "Prediabetes", TRUE, "Diabetes")</f>
        <v>Diabetes</v>
      </c>
    </row>
    <row r="1308" spans="1:10">
      <c r="A1308" t="s">
        <v>2614</v>
      </c>
      <c r="B1308">
        <v>24.77</v>
      </c>
      <c r="C1308">
        <v>7.59</v>
      </c>
      <c r="D1308" t="s">
        <v>4682</v>
      </c>
      <c r="E1308" t="s">
        <v>4682</v>
      </c>
      <c r="F1308" t="s">
        <v>4682</v>
      </c>
      <c r="G1308">
        <v>0</v>
      </c>
      <c r="H1308" t="s">
        <v>4682</v>
      </c>
      <c r="I1308" t="str" cm="1">
        <f t="array" ref="I1308">_xlfn.IFS(B1308&lt;18.5, "Underweight", B1308&lt;=24.9, "Normal Weight", B1308&lt;=29.9, "Overweight", TRUE, "Obesity")</f>
        <v>Normal Weight</v>
      </c>
      <c r="J1308" t="str" cm="1">
        <f t="array" ref="J1308">_xlfn.IFS(C1308&lt;5.7, "Normal", C1308&lt;=6.4, "Prediabetes", TRUE, "Diabetes")</f>
        <v>Diabetes</v>
      </c>
    </row>
    <row r="1309" spans="1:10">
      <c r="A1309" t="s">
        <v>2616</v>
      </c>
      <c r="B1309">
        <v>16.579999999999998</v>
      </c>
      <c r="C1309">
        <v>6.98</v>
      </c>
      <c r="D1309" t="s">
        <v>4683</v>
      </c>
      <c r="E1309" t="s">
        <v>4682</v>
      </c>
      <c r="F1309" t="s">
        <v>4684</v>
      </c>
      <c r="G1309">
        <v>1</v>
      </c>
      <c r="H1309" t="s">
        <v>4682</v>
      </c>
      <c r="I1309" t="str" cm="1">
        <f t="array" ref="I1309">_xlfn.IFS(B1309&lt;18.5, "Underweight", B1309&lt;=24.9, "Normal Weight", B1309&lt;=29.9, "Overweight", TRUE, "Obesity")</f>
        <v>Underweight</v>
      </c>
      <c r="J1309" t="str" cm="1">
        <f t="array" ref="J1309">_xlfn.IFS(C1309&lt;5.7, "Normal", C1309&lt;=6.4, "Prediabetes", TRUE, "Diabetes")</f>
        <v>Diabetes</v>
      </c>
    </row>
    <row r="1310" spans="1:10">
      <c r="A1310" t="s">
        <v>2618</v>
      </c>
      <c r="B1310">
        <v>38.17</v>
      </c>
      <c r="C1310">
        <v>4.7300000000000004</v>
      </c>
      <c r="D1310" t="s">
        <v>4683</v>
      </c>
      <c r="E1310" t="s">
        <v>4682</v>
      </c>
      <c r="F1310" t="s">
        <v>4682</v>
      </c>
      <c r="G1310">
        <v>0</v>
      </c>
      <c r="H1310" t="s">
        <v>4682</v>
      </c>
      <c r="I1310" t="str" cm="1">
        <f t="array" ref="I1310">_xlfn.IFS(B1310&lt;18.5, "Underweight", B1310&lt;=24.9, "Normal Weight", B1310&lt;=29.9, "Overweight", TRUE, "Obesity")</f>
        <v>Obesity</v>
      </c>
      <c r="J1310" t="str" cm="1">
        <f t="array" ref="J1310">_xlfn.IFS(C1310&lt;5.7, "Normal", C1310&lt;=6.4, "Prediabetes", TRUE, "Diabetes")</f>
        <v>Normal</v>
      </c>
    </row>
    <row r="1311" spans="1:10">
      <c r="A1311" t="s">
        <v>2620</v>
      </c>
      <c r="B1311">
        <v>39.424999999999997</v>
      </c>
      <c r="C1311">
        <v>4.76</v>
      </c>
      <c r="D1311" t="s">
        <v>4683</v>
      </c>
      <c r="E1311" t="s">
        <v>4682</v>
      </c>
      <c r="F1311" t="s">
        <v>4682</v>
      </c>
      <c r="G1311">
        <v>0</v>
      </c>
      <c r="H1311" t="s">
        <v>4682</v>
      </c>
      <c r="I1311" t="str" cm="1">
        <f t="array" ref="I1311">_xlfn.IFS(B1311&lt;18.5, "Underweight", B1311&lt;=24.9, "Normal Weight", B1311&lt;=29.9, "Overweight", TRUE, "Obesity")</f>
        <v>Obesity</v>
      </c>
      <c r="J1311" t="str" cm="1">
        <f t="array" ref="J1311">_xlfn.IFS(C1311&lt;5.7, "Normal", C1311&lt;=6.4, "Prediabetes", TRUE, "Diabetes")</f>
        <v>Normal</v>
      </c>
    </row>
    <row r="1312" spans="1:10">
      <c r="A1312" t="s">
        <v>2622</v>
      </c>
      <c r="B1312">
        <v>33.44</v>
      </c>
      <c r="C1312">
        <v>6.24</v>
      </c>
      <c r="D1312" t="s">
        <v>4683</v>
      </c>
      <c r="E1312" t="s">
        <v>4682</v>
      </c>
      <c r="F1312" t="s">
        <v>4682</v>
      </c>
      <c r="G1312">
        <v>0</v>
      </c>
      <c r="H1312" t="s">
        <v>4682</v>
      </c>
      <c r="I1312" t="str" cm="1">
        <f t="array" ref="I1312">_xlfn.IFS(B1312&lt;18.5, "Underweight", B1312&lt;=24.9, "Normal Weight", B1312&lt;=29.9, "Overweight", TRUE, "Obesity")</f>
        <v>Obesity</v>
      </c>
      <c r="J1312" t="str" cm="1">
        <f t="array" ref="J1312">_xlfn.IFS(C1312&lt;5.7, "Normal", C1312&lt;=6.4, "Prediabetes", TRUE, "Diabetes")</f>
        <v>Prediabetes</v>
      </c>
    </row>
    <row r="1313" spans="1:10">
      <c r="A1313" t="s">
        <v>2624</v>
      </c>
      <c r="B1313">
        <v>33.344999999999999</v>
      </c>
      <c r="C1313">
        <v>5.44</v>
      </c>
      <c r="D1313" t="s">
        <v>4683</v>
      </c>
      <c r="E1313" t="s">
        <v>4682</v>
      </c>
      <c r="F1313" t="s">
        <v>4682</v>
      </c>
      <c r="G1313">
        <v>0</v>
      </c>
      <c r="H1313" t="s">
        <v>4682</v>
      </c>
      <c r="I1313" t="str" cm="1">
        <f t="array" ref="I1313">_xlfn.IFS(B1313&lt;18.5, "Underweight", B1313&lt;=24.9, "Normal Weight", B1313&lt;=29.9, "Overweight", TRUE, "Obesity")</f>
        <v>Obesity</v>
      </c>
      <c r="J1313" t="str" cm="1">
        <f t="array" ref="J1313">_xlfn.IFS(C1313&lt;5.7, "Normal", C1313&lt;=6.4, "Prediabetes", TRUE, "Diabetes")</f>
        <v>Normal</v>
      </c>
    </row>
    <row r="1314" spans="1:10">
      <c r="A1314" t="s">
        <v>2626</v>
      </c>
      <c r="B1314">
        <v>38.79</v>
      </c>
      <c r="C1314">
        <v>5.08</v>
      </c>
      <c r="D1314" t="s">
        <v>4682</v>
      </c>
      <c r="E1314" t="s">
        <v>4682</v>
      </c>
      <c r="F1314" t="s">
        <v>4684</v>
      </c>
      <c r="G1314">
        <v>1</v>
      </c>
      <c r="H1314" t="s">
        <v>4682</v>
      </c>
      <c r="I1314" t="str" cm="1">
        <f t="array" ref="I1314">_xlfn.IFS(B1314&lt;18.5, "Underweight", B1314&lt;=24.9, "Normal Weight", B1314&lt;=29.9, "Overweight", TRUE, "Obesity")</f>
        <v>Obesity</v>
      </c>
      <c r="J1314" t="str" cm="1">
        <f t="array" ref="J1314">_xlfn.IFS(C1314&lt;5.7, "Normal", C1314&lt;=6.4, "Prediabetes", TRUE, "Diabetes")</f>
        <v>Normal</v>
      </c>
    </row>
    <row r="1315" spans="1:10">
      <c r="A1315" t="s">
        <v>2628</v>
      </c>
      <c r="B1315">
        <v>30.684999999999999</v>
      </c>
      <c r="C1315">
        <v>4.87</v>
      </c>
      <c r="D1315" t="s">
        <v>4682</v>
      </c>
      <c r="E1315" t="s">
        <v>4682</v>
      </c>
      <c r="F1315" t="s">
        <v>4684</v>
      </c>
      <c r="G1315">
        <v>1</v>
      </c>
      <c r="H1315" t="s">
        <v>4682</v>
      </c>
      <c r="I1315" t="str" cm="1">
        <f t="array" ref="I1315">_xlfn.IFS(B1315&lt;18.5, "Underweight", B1315&lt;=24.9, "Normal Weight", B1315&lt;=29.9, "Overweight", TRUE, "Obesity")</f>
        <v>Obesity</v>
      </c>
      <c r="J1315" t="str" cm="1">
        <f t="array" ref="J1315">_xlfn.IFS(C1315&lt;5.7, "Normal", C1315&lt;=6.4, "Prediabetes", TRUE, "Diabetes")</f>
        <v>Normal</v>
      </c>
    </row>
    <row r="1316" spans="1:10">
      <c r="A1316" t="s">
        <v>2630</v>
      </c>
      <c r="B1316">
        <v>22.135000000000002</v>
      </c>
      <c r="C1316">
        <v>8.17</v>
      </c>
      <c r="D1316" t="s">
        <v>4682</v>
      </c>
      <c r="E1316" t="s">
        <v>4682</v>
      </c>
      <c r="F1316" t="s">
        <v>4682</v>
      </c>
      <c r="G1316">
        <v>0</v>
      </c>
      <c r="H1316" t="s">
        <v>4682</v>
      </c>
      <c r="I1316" t="str" cm="1">
        <f t="array" ref="I1316">_xlfn.IFS(B1316&lt;18.5, "Underweight", B1316&lt;=24.9, "Normal Weight", B1316&lt;=29.9, "Overweight", TRUE, "Obesity")</f>
        <v>Normal Weight</v>
      </c>
      <c r="J1316" t="str" cm="1">
        <f t="array" ref="J1316">_xlfn.IFS(C1316&lt;5.7, "Normal", C1316&lt;=6.4, "Prediabetes", TRUE, "Diabetes")</f>
        <v>Diabetes</v>
      </c>
    </row>
    <row r="1317" spans="1:10">
      <c r="A1317" t="s">
        <v>2632</v>
      </c>
      <c r="B1317">
        <v>33.33</v>
      </c>
      <c r="C1317">
        <v>7.61</v>
      </c>
      <c r="D1317" t="s">
        <v>4682</v>
      </c>
      <c r="E1317" t="s">
        <v>4682</v>
      </c>
      <c r="F1317" t="s">
        <v>4682</v>
      </c>
      <c r="G1317">
        <v>0</v>
      </c>
      <c r="H1317" t="s">
        <v>4682</v>
      </c>
      <c r="I1317" t="str" cm="1">
        <f t="array" ref="I1317">_xlfn.IFS(B1317&lt;18.5, "Underweight", B1317&lt;=24.9, "Normal Weight", B1317&lt;=29.9, "Overweight", TRUE, "Obesity")</f>
        <v>Obesity</v>
      </c>
      <c r="J1317" t="str" cm="1">
        <f t="array" ref="J1317">_xlfn.IFS(C1317&lt;5.7, "Normal", C1317&lt;=6.4, "Prediabetes", TRUE, "Diabetes")</f>
        <v>Diabetes</v>
      </c>
    </row>
    <row r="1318" spans="1:10">
      <c r="A1318" t="s">
        <v>2634</v>
      </c>
      <c r="B1318">
        <v>31.13</v>
      </c>
      <c r="C1318">
        <v>10.1</v>
      </c>
      <c r="D1318" t="s">
        <v>4682</v>
      </c>
      <c r="E1318" t="s">
        <v>4682</v>
      </c>
      <c r="F1318" t="s">
        <v>4682</v>
      </c>
      <c r="G1318">
        <v>0</v>
      </c>
      <c r="H1318" t="s">
        <v>4682</v>
      </c>
      <c r="I1318" t="str" cm="1">
        <f t="array" ref="I1318">_xlfn.IFS(B1318&lt;18.5, "Underweight", B1318&lt;=24.9, "Normal Weight", B1318&lt;=29.9, "Overweight", TRUE, "Obesity")</f>
        <v>Obesity</v>
      </c>
      <c r="J1318" t="str" cm="1">
        <f t="array" ref="J1318">_xlfn.IFS(C1318&lt;5.7, "Normal", C1318&lt;=6.4, "Prediabetes", TRUE, "Diabetes")</f>
        <v>Diabetes</v>
      </c>
    </row>
    <row r="1319" spans="1:10">
      <c r="A1319" t="s">
        <v>2636</v>
      </c>
      <c r="B1319">
        <v>28.9</v>
      </c>
      <c r="C1319">
        <v>11.24</v>
      </c>
      <c r="D1319" t="s">
        <v>4682</v>
      </c>
      <c r="E1319" t="s">
        <v>4682</v>
      </c>
      <c r="F1319" t="s">
        <v>4682</v>
      </c>
      <c r="G1319">
        <v>0</v>
      </c>
      <c r="H1319" t="s">
        <v>4682</v>
      </c>
      <c r="I1319" t="str" cm="1">
        <f t="array" ref="I1319">_xlfn.IFS(B1319&lt;18.5, "Underweight", B1319&lt;=24.9, "Normal Weight", B1319&lt;=29.9, "Overweight", TRUE, "Obesity")</f>
        <v>Overweight</v>
      </c>
      <c r="J1319" t="str" cm="1">
        <f t="array" ref="J1319">_xlfn.IFS(C1319&lt;5.7, "Normal", C1319&lt;=6.4, "Prediabetes", TRUE, "Diabetes")</f>
        <v>Diabetes</v>
      </c>
    </row>
    <row r="1320" spans="1:10">
      <c r="A1320" t="s">
        <v>2638</v>
      </c>
      <c r="B1320">
        <v>43.31</v>
      </c>
      <c r="C1320">
        <v>6.1</v>
      </c>
      <c r="D1320" t="s">
        <v>4683</v>
      </c>
      <c r="E1320" t="s">
        <v>4683</v>
      </c>
      <c r="F1320" t="s">
        <v>4682</v>
      </c>
      <c r="G1320">
        <v>1</v>
      </c>
      <c r="H1320" t="s">
        <v>4682</v>
      </c>
      <c r="I1320" t="str" cm="1">
        <f t="array" ref="I1320">_xlfn.IFS(B1320&lt;18.5, "Underweight", B1320&lt;=24.9, "Normal Weight", B1320&lt;=29.9, "Overweight", TRUE, "Obesity")</f>
        <v>Obesity</v>
      </c>
      <c r="J1320" t="str" cm="1">
        <f t="array" ref="J1320">_xlfn.IFS(C1320&lt;5.7, "Normal", C1320&lt;=6.4, "Prediabetes", TRUE, "Diabetes")</f>
        <v>Prediabetes</v>
      </c>
    </row>
    <row r="1321" spans="1:10">
      <c r="A1321" t="s">
        <v>2640</v>
      </c>
      <c r="B1321">
        <v>22.8</v>
      </c>
      <c r="C1321">
        <v>6.98</v>
      </c>
      <c r="D1321" t="s">
        <v>4682</v>
      </c>
      <c r="E1321" t="s">
        <v>4682</v>
      </c>
      <c r="F1321" t="s">
        <v>4682</v>
      </c>
      <c r="G1321">
        <v>0</v>
      </c>
      <c r="H1321" t="s">
        <v>4682</v>
      </c>
      <c r="I1321" t="str" cm="1">
        <f t="array" ref="I1321">_xlfn.IFS(B1321&lt;18.5, "Underweight", B1321&lt;=24.9, "Normal Weight", B1321&lt;=29.9, "Overweight", TRUE, "Obesity")</f>
        <v>Normal Weight</v>
      </c>
      <c r="J1321" t="str" cm="1">
        <f t="array" ref="J1321">_xlfn.IFS(C1321&lt;5.7, "Normal", C1321&lt;=6.4, "Prediabetes", TRUE, "Diabetes")</f>
        <v>Diabetes</v>
      </c>
    </row>
    <row r="1322" spans="1:10">
      <c r="A1322" t="s">
        <v>2642</v>
      </c>
      <c r="B1322">
        <v>19.09</v>
      </c>
      <c r="C1322">
        <v>4</v>
      </c>
      <c r="D1322" t="s">
        <v>4683</v>
      </c>
      <c r="E1322" t="s">
        <v>4682</v>
      </c>
      <c r="F1322" t="s">
        <v>4682</v>
      </c>
      <c r="G1322">
        <v>1</v>
      </c>
      <c r="H1322" t="s">
        <v>4682</v>
      </c>
      <c r="I1322" t="str" cm="1">
        <f t="array" ref="I1322">_xlfn.IFS(B1322&lt;18.5, "Underweight", B1322&lt;=24.9, "Normal Weight", B1322&lt;=29.9, "Overweight", TRUE, "Obesity")</f>
        <v>Normal Weight</v>
      </c>
      <c r="J1322" t="str" cm="1">
        <f t="array" ref="J1322">_xlfn.IFS(C1322&lt;5.7, "Normal", C1322&lt;=6.4, "Prediabetes", TRUE, "Diabetes")</f>
        <v>Normal</v>
      </c>
    </row>
    <row r="1323" spans="1:10">
      <c r="A1323" t="s">
        <v>2644</v>
      </c>
      <c r="B1323">
        <v>23.37</v>
      </c>
      <c r="C1323">
        <v>4.2300000000000004</v>
      </c>
      <c r="D1323" t="s">
        <v>4682</v>
      </c>
      <c r="E1323" t="s">
        <v>4682</v>
      </c>
      <c r="F1323" t="s">
        <v>4682</v>
      </c>
      <c r="G1323">
        <v>0</v>
      </c>
      <c r="H1323" t="s">
        <v>4682</v>
      </c>
      <c r="I1323" t="str" cm="1">
        <f t="array" ref="I1323">_xlfn.IFS(B1323&lt;18.5, "Underweight", B1323&lt;=24.9, "Normal Weight", B1323&lt;=29.9, "Overweight", TRUE, "Obesity")</f>
        <v>Normal Weight</v>
      </c>
      <c r="J1323" t="str" cm="1">
        <f t="array" ref="J1323">_xlfn.IFS(C1323&lt;5.7, "Normal", C1323&lt;=6.4, "Prediabetes", TRUE, "Diabetes")</f>
        <v>Normal</v>
      </c>
    </row>
    <row r="1324" spans="1:10">
      <c r="A1324" t="s">
        <v>2646</v>
      </c>
      <c r="B1324">
        <v>33.44</v>
      </c>
      <c r="C1324">
        <v>4.72</v>
      </c>
      <c r="D1324" t="s">
        <v>4683</v>
      </c>
      <c r="E1324" t="s">
        <v>4682</v>
      </c>
      <c r="F1324" t="s">
        <v>4682</v>
      </c>
      <c r="G1324">
        <v>0</v>
      </c>
      <c r="H1324" t="s">
        <v>4682</v>
      </c>
      <c r="I1324" t="str" cm="1">
        <f t="array" ref="I1324">_xlfn.IFS(B1324&lt;18.5, "Underweight", B1324&lt;=24.9, "Normal Weight", B1324&lt;=29.9, "Overweight", TRUE, "Obesity")</f>
        <v>Obesity</v>
      </c>
      <c r="J1324" t="str" cm="1">
        <f t="array" ref="J1324">_xlfn.IFS(C1324&lt;5.7, "Normal", C1324&lt;=6.4, "Prediabetes", TRUE, "Diabetes")</f>
        <v>Normal</v>
      </c>
    </row>
    <row r="1325" spans="1:10">
      <c r="A1325" t="s">
        <v>2648</v>
      </c>
      <c r="B1325">
        <v>28.05</v>
      </c>
      <c r="C1325">
        <v>5.63</v>
      </c>
      <c r="D1325" t="s">
        <v>4683</v>
      </c>
      <c r="E1325" t="s">
        <v>4682</v>
      </c>
      <c r="F1325" t="s">
        <v>4682</v>
      </c>
      <c r="G1325">
        <v>0</v>
      </c>
      <c r="H1325" t="s">
        <v>4682</v>
      </c>
      <c r="I1325" t="str" cm="1">
        <f t="array" ref="I1325">_xlfn.IFS(B1325&lt;18.5, "Underweight", B1325&lt;=24.9, "Normal Weight", B1325&lt;=29.9, "Overweight", TRUE, "Obesity")</f>
        <v>Overweight</v>
      </c>
      <c r="J1325" t="str" cm="1">
        <f t="array" ref="J1325">_xlfn.IFS(C1325&lt;5.7, "Normal", C1325&lt;=6.4, "Prediabetes", TRUE, "Diabetes")</f>
        <v>Normal</v>
      </c>
    </row>
    <row r="1326" spans="1:10">
      <c r="A1326" t="s">
        <v>2650</v>
      </c>
      <c r="B1326">
        <v>27.72</v>
      </c>
      <c r="C1326">
        <v>5.83</v>
      </c>
      <c r="D1326" t="s">
        <v>4683</v>
      </c>
      <c r="E1326" t="s">
        <v>4682</v>
      </c>
      <c r="F1326" t="s">
        <v>4682</v>
      </c>
      <c r="G1326">
        <v>0</v>
      </c>
      <c r="H1326" t="s">
        <v>4682</v>
      </c>
      <c r="I1326" t="str" cm="1">
        <f t="array" ref="I1326">_xlfn.IFS(B1326&lt;18.5, "Underweight", B1326&lt;=24.9, "Normal Weight", B1326&lt;=29.9, "Overweight", TRUE, "Obesity")</f>
        <v>Overweight</v>
      </c>
      <c r="J1326" t="str" cm="1">
        <f t="array" ref="J1326">_xlfn.IFS(C1326&lt;5.7, "Normal", C1326&lt;=6.4, "Prediabetes", TRUE, "Diabetes")</f>
        <v>Prediabetes</v>
      </c>
    </row>
    <row r="1327" spans="1:10">
      <c r="A1327" t="s">
        <v>2652</v>
      </c>
      <c r="B1327">
        <v>29.81</v>
      </c>
      <c r="C1327">
        <v>9.23</v>
      </c>
      <c r="D1327" t="s">
        <v>4682</v>
      </c>
      <c r="E1327" t="s">
        <v>4682</v>
      </c>
      <c r="F1327" t="s">
        <v>4682</v>
      </c>
      <c r="G1327">
        <v>0</v>
      </c>
      <c r="H1327" t="s">
        <v>4682</v>
      </c>
      <c r="I1327" t="str" cm="1">
        <f t="array" ref="I1327">_xlfn.IFS(B1327&lt;18.5, "Underweight", B1327&lt;=24.9, "Normal Weight", B1327&lt;=29.9, "Overweight", TRUE, "Obesity")</f>
        <v>Overweight</v>
      </c>
      <c r="J1327" t="str" cm="1">
        <f t="array" ref="J1327">_xlfn.IFS(C1327&lt;5.7, "Normal", C1327&lt;=6.4, "Prediabetes", TRUE, "Diabetes")</f>
        <v>Diabetes</v>
      </c>
    </row>
    <row r="1328" spans="1:10">
      <c r="A1328" t="s">
        <v>2654</v>
      </c>
      <c r="B1328">
        <v>23.98</v>
      </c>
      <c r="C1328">
        <v>9.89</v>
      </c>
      <c r="D1328" t="s">
        <v>4682</v>
      </c>
      <c r="E1328" t="s">
        <v>4682</v>
      </c>
      <c r="F1328" t="s">
        <v>4682</v>
      </c>
      <c r="G1328">
        <v>0</v>
      </c>
      <c r="H1328" t="s">
        <v>4682</v>
      </c>
      <c r="I1328" t="str" cm="1">
        <f t="array" ref="I1328">_xlfn.IFS(B1328&lt;18.5, "Underweight", B1328&lt;=24.9, "Normal Weight", B1328&lt;=29.9, "Overweight", TRUE, "Obesity")</f>
        <v>Normal Weight</v>
      </c>
      <c r="J1328" t="str" cm="1">
        <f t="array" ref="J1328">_xlfn.IFS(C1328&lt;5.7, "Normal", C1328&lt;=6.4, "Prediabetes", TRUE, "Diabetes")</f>
        <v>Diabetes</v>
      </c>
    </row>
    <row r="1329" spans="1:10">
      <c r="A1329" t="s">
        <v>2656</v>
      </c>
      <c r="B1329">
        <v>17.34</v>
      </c>
      <c r="C1329">
        <v>12</v>
      </c>
      <c r="D1329" t="s">
        <v>4682</v>
      </c>
      <c r="E1329" t="s">
        <v>4682</v>
      </c>
      <c r="F1329" t="s">
        <v>4682</v>
      </c>
      <c r="G1329">
        <v>0</v>
      </c>
      <c r="H1329" t="s">
        <v>4682</v>
      </c>
      <c r="I1329" t="str" cm="1">
        <f t="array" ref="I1329">_xlfn.IFS(B1329&lt;18.5, "Underweight", B1329&lt;=24.9, "Normal Weight", B1329&lt;=29.9, "Overweight", TRUE, "Obesity")</f>
        <v>Underweight</v>
      </c>
      <c r="J1329" t="str" cm="1">
        <f t="array" ref="J1329">_xlfn.IFS(C1329&lt;5.7, "Normal", C1329&lt;=6.4, "Prediabetes", TRUE, "Diabetes")</f>
        <v>Diabetes</v>
      </c>
    </row>
    <row r="1330" spans="1:10">
      <c r="A1330" t="s">
        <v>2658</v>
      </c>
      <c r="B1330">
        <v>40.39</v>
      </c>
      <c r="C1330">
        <v>4.24</v>
      </c>
      <c r="D1330" t="s">
        <v>4683</v>
      </c>
      <c r="E1330" t="s">
        <v>4682</v>
      </c>
      <c r="F1330" t="s">
        <v>4684</v>
      </c>
      <c r="G1330">
        <v>1</v>
      </c>
      <c r="H1330" t="s">
        <v>4682</v>
      </c>
      <c r="I1330" t="str" cm="1">
        <f t="array" ref="I1330">_xlfn.IFS(B1330&lt;18.5, "Underweight", B1330&lt;=24.9, "Normal Weight", B1330&lt;=29.9, "Overweight", TRUE, "Obesity")</f>
        <v>Obesity</v>
      </c>
      <c r="J1330" t="str" cm="1">
        <f t="array" ref="J1330">_xlfn.IFS(C1330&lt;5.7, "Normal", C1330&lt;=6.4, "Prediabetes", TRUE, "Diabetes")</f>
        <v>Normal</v>
      </c>
    </row>
    <row r="1331" spans="1:10">
      <c r="A1331" t="s">
        <v>2660</v>
      </c>
      <c r="B1331">
        <v>25.96</v>
      </c>
      <c r="C1331">
        <v>4.68</v>
      </c>
      <c r="D1331" t="s">
        <v>4683</v>
      </c>
      <c r="E1331" t="s">
        <v>4682</v>
      </c>
      <c r="F1331" t="s">
        <v>4684</v>
      </c>
      <c r="G1331">
        <v>1</v>
      </c>
      <c r="H1331" t="s">
        <v>4682</v>
      </c>
      <c r="I1331" t="str" cm="1">
        <f t="array" ref="I1331">_xlfn.IFS(B1331&lt;18.5, "Underweight", B1331&lt;=24.9, "Normal Weight", B1331&lt;=29.9, "Overweight", TRUE, "Obesity")</f>
        <v>Overweight</v>
      </c>
      <c r="J1331" t="str" cm="1">
        <f t="array" ref="J1331">_xlfn.IFS(C1331&lt;5.7, "Normal", C1331&lt;=6.4, "Prediabetes", TRUE, "Diabetes")</f>
        <v>Normal</v>
      </c>
    </row>
    <row r="1332" spans="1:10">
      <c r="A1332" t="s">
        <v>2662</v>
      </c>
      <c r="B1332">
        <v>17.68</v>
      </c>
      <c r="C1332">
        <v>8.57</v>
      </c>
      <c r="D1332" t="s">
        <v>4683</v>
      </c>
      <c r="E1332" t="s">
        <v>4682</v>
      </c>
      <c r="F1332" t="s">
        <v>4684</v>
      </c>
      <c r="G1332">
        <v>1</v>
      </c>
      <c r="H1332" t="s">
        <v>4682</v>
      </c>
      <c r="I1332" t="str" cm="1">
        <f t="array" ref="I1332">_xlfn.IFS(B1332&lt;18.5, "Underweight", B1332&lt;=24.9, "Normal Weight", B1332&lt;=29.9, "Overweight", TRUE, "Obesity")</f>
        <v>Underweight</v>
      </c>
      <c r="J1332" t="str" cm="1">
        <f t="array" ref="J1332">_xlfn.IFS(C1332&lt;5.7, "Normal", C1332&lt;=6.4, "Prediabetes", TRUE, "Diabetes")</f>
        <v>Diabetes</v>
      </c>
    </row>
    <row r="1333" spans="1:10">
      <c r="A1333" t="s">
        <v>2664</v>
      </c>
      <c r="B1333">
        <v>30.875</v>
      </c>
      <c r="C1333">
        <v>4.0999999999999996</v>
      </c>
      <c r="D1333" t="s">
        <v>4682</v>
      </c>
      <c r="E1333" t="s">
        <v>4682</v>
      </c>
      <c r="F1333" t="s">
        <v>4682</v>
      </c>
      <c r="G1333">
        <v>0</v>
      </c>
      <c r="H1333" t="s">
        <v>4682</v>
      </c>
      <c r="I1333" t="str" cm="1">
        <f t="array" ref="I1333">_xlfn.IFS(B1333&lt;18.5, "Underweight", B1333&lt;=24.9, "Normal Weight", B1333&lt;=29.9, "Overweight", TRUE, "Obesity")</f>
        <v>Obesity</v>
      </c>
      <c r="J1333" t="str" cm="1">
        <f t="array" ref="J1333">_xlfn.IFS(C1333&lt;5.7, "Normal", C1333&lt;=6.4, "Prediabetes", TRUE, "Diabetes")</f>
        <v>Normal</v>
      </c>
    </row>
    <row r="1334" spans="1:10">
      <c r="A1334" t="s">
        <v>2666</v>
      </c>
      <c r="B1334">
        <v>30.81</v>
      </c>
      <c r="C1334">
        <v>4.49</v>
      </c>
      <c r="D1334" t="s">
        <v>4682</v>
      </c>
      <c r="E1334" t="s">
        <v>4682</v>
      </c>
      <c r="F1334" t="s">
        <v>4682</v>
      </c>
      <c r="G1334">
        <v>0</v>
      </c>
      <c r="H1334" t="s">
        <v>4682</v>
      </c>
      <c r="I1334" t="str" cm="1">
        <f t="array" ref="I1334">_xlfn.IFS(B1334&lt;18.5, "Underweight", B1334&lt;=24.9, "Normal Weight", B1334&lt;=29.9, "Overweight", TRUE, "Obesity")</f>
        <v>Obesity</v>
      </c>
      <c r="J1334" t="str" cm="1">
        <f t="array" ref="J1334">_xlfn.IFS(C1334&lt;5.7, "Normal", C1334&lt;=6.4, "Prediabetes", TRUE, "Diabetes")</f>
        <v>Normal</v>
      </c>
    </row>
    <row r="1335" spans="1:10">
      <c r="A1335" t="s">
        <v>2668</v>
      </c>
      <c r="B1335">
        <v>36.85</v>
      </c>
      <c r="C1335">
        <v>8.8000000000000007</v>
      </c>
      <c r="D1335" t="s">
        <v>4682</v>
      </c>
      <c r="E1335" t="s">
        <v>4682</v>
      </c>
      <c r="F1335" t="s">
        <v>4682</v>
      </c>
      <c r="G1335">
        <v>2</v>
      </c>
      <c r="H1335" t="s">
        <v>4682</v>
      </c>
      <c r="I1335" t="str" cm="1">
        <f t="array" ref="I1335">_xlfn.IFS(B1335&lt;18.5, "Underweight", B1335&lt;=24.9, "Normal Weight", B1335&lt;=29.9, "Overweight", TRUE, "Obesity")</f>
        <v>Obesity</v>
      </c>
      <c r="J1335" t="str" cm="1">
        <f t="array" ref="J1335">_xlfn.IFS(C1335&lt;5.7, "Normal", C1335&lt;=6.4, "Prediabetes", TRUE, "Diabetes")</f>
        <v>Diabetes</v>
      </c>
    </row>
    <row r="1336" spans="1:10">
      <c r="A1336" t="s">
        <v>2670</v>
      </c>
      <c r="B1336">
        <v>35.86</v>
      </c>
      <c r="C1336">
        <v>7.93</v>
      </c>
      <c r="D1336" t="s">
        <v>4682</v>
      </c>
      <c r="E1336" t="s">
        <v>4682</v>
      </c>
      <c r="F1336" t="s">
        <v>4682</v>
      </c>
      <c r="G1336">
        <v>2</v>
      </c>
      <c r="H1336" t="s">
        <v>4682</v>
      </c>
      <c r="I1336" t="str" cm="1">
        <f t="array" ref="I1336">_xlfn.IFS(B1336&lt;18.5, "Underweight", B1336&lt;=24.9, "Normal Weight", B1336&lt;=29.9, "Overweight", TRUE, "Obesity")</f>
        <v>Obesity</v>
      </c>
      <c r="J1336" t="str" cm="1">
        <f t="array" ref="J1336">_xlfn.IFS(C1336&lt;5.7, "Normal", C1336&lt;=6.4, "Prediabetes", TRUE, "Diabetes")</f>
        <v>Diabetes</v>
      </c>
    </row>
    <row r="1337" spans="1:10">
      <c r="A1337" t="s">
        <v>2672</v>
      </c>
      <c r="B1337">
        <v>30.3</v>
      </c>
      <c r="C1337">
        <v>9.4499999999999993</v>
      </c>
      <c r="D1337" t="s">
        <v>4682</v>
      </c>
      <c r="E1337" t="s">
        <v>4682</v>
      </c>
      <c r="F1337" t="s">
        <v>4682</v>
      </c>
      <c r="G1337">
        <v>2</v>
      </c>
      <c r="H1337" t="s">
        <v>4682</v>
      </c>
      <c r="I1337" t="str" cm="1">
        <f t="array" ref="I1337">_xlfn.IFS(B1337&lt;18.5, "Underweight", B1337&lt;=24.9, "Normal Weight", B1337&lt;=29.9, "Overweight", TRUE, "Obesity")</f>
        <v>Obesity</v>
      </c>
      <c r="J1337" t="str" cm="1">
        <f t="array" ref="J1337">_xlfn.IFS(C1337&lt;5.7, "Normal", C1337&lt;=6.4, "Prediabetes", TRUE, "Diabetes")</f>
        <v>Diabetes</v>
      </c>
    </row>
    <row r="1338" spans="1:10">
      <c r="A1338" t="s">
        <v>2674</v>
      </c>
      <c r="B1338">
        <v>32.015000000000001</v>
      </c>
      <c r="C1338">
        <v>7.67</v>
      </c>
      <c r="D1338" t="s">
        <v>4682</v>
      </c>
      <c r="E1338" t="s">
        <v>4682</v>
      </c>
      <c r="F1338" t="s">
        <v>4682</v>
      </c>
      <c r="G1338">
        <v>0</v>
      </c>
      <c r="H1338" t="s">
        <v>4682</v>
      </c>
      <c r="I1338" t="str" cm="1">
        <f t="array" ref="I1338">_xlfn.IFS(B1338&lt;18.5, "Underweight", B1338&lt;=24.9, "Normal Weight", B1338&lt;=29.9, "Overweight", TRUE, "Obesity")</f>
        <v>Obesity</v>
      </c>
      <c r="J1338" t="str" cm="1">
        <f t="array" ref="J1338">_xlfn.IFS(C1338&lt;5.7, "Normal", C1338&lt;=6.4, "Prediabetes", TRUE, "Diabetes")</f>
        <v>Diabetes</v>
      </c>
    </row>
    <row r="1339" spans="1:10">
      <c r="A1339" t="s">
        <v>2676</v>
      </c>
      <c r="B1339">
        <v>25.06</v>
      </c>
      <c r="C1339">
        <v>10.53</v>
      </c>
      <c r="D1339" t="s">
        <v>4682</v>
      </c>
      <c r="E1339" t="s">
        <v>4682</v>
      </c>
      <c r="F1339" t="s">
        <v>4682</v>
      </c>
      <c r="G1339">
        <v>2</v>
      </c>
      <c r="H1339" t="s">
        <v>4682</v>
      </c>
      <c r="I1339" t="str" cm="1">
        <f t="array" ref="I1339">_xlfn.IFS(B1339&lt;18.5, "Underweight", B1339&lt;=24.9, "Normal Weight", B1339&lt;=29.9, "Overweight", TRUE, "Obesity")</f>
        <v>Overweight</v>
      </c>
      <c r="J1339" t="str" cm="1">
        <f t="array" ref="J1339">_xlfn.IFS(C1339&lt;5.7, "Normal", C1339&lt;=6.4, "Prediabetes", TRUE, "Diabetes")</f>
        <v>Diabetes</v>
      </c>
    </row>
    <row r="1340" spans="1:10">
      <c r="A1340" t="s">
        <v>2678</v>
      </c>
      <c r="B1340">
        <v>18.829999999999998</v>
      </c>
      <c r="C1340">
        <v>10.08</v>
      </c>
      <c r="D1340" t="s">
        <v>4683</v>
      </c>
      <c r="E1340" t="s">
        <v>4682</v>
      </c>
      <c r="F1340" t="s">
        <v>4682</v>
      </c>
      <c r="G1340">
        <v>0</v>
      </c>
      <c r="H1340" t="s">
        <v>4682</v>
      </c>
      <c r="I1340" t="str" cm="1">
        <f t="array" ref="I1340">_xlfn.IFS(B1340&lt;18.5, "Underweight", B1340&lt;=24.9, "Normal Weight", B1340&lt;=29.9, "Overweight", TRUE, "Obesity")</f>
        <v>Normal Weight</v>
      </c>
      <c r="J1340" t="str" cm="1">
        <f t="array" ref="J1340">_xlfn.IFS(C1340&lt;5.7, "Normal", C1340&lt;=6.4, "Prediabetes", TRUE, "Diabetes")</f>
        <v>Diabetes</v>
      </c>
    </row>
    <row r="1341" spans="1:10">
      <c r="A1341" t="s">
        <v>2680</v>
      </c>
      <c r="B1341">
        <v>47.52</v>
      </c>
      <c r="C1341">
        <v>11.39</v>
      </c>
      <c r="D1341" t="s">
        <v>4683</v>
      </c>
      <c r="E1341" t="s">
        <v>4682</v>
      </c>
      <c r="F1341" t="s">
        <v>4682</v>
      </c>
      <c r="G1341">
        <v>1</v>
      </c>
      <c r="H1341" t="s">
        <v>4682</v>
      </c>
      <c r="I1341" t="str" cm="1">
        <f t="array" ref="I1341">_xlfn.IFS(B1341&lt;18.5, "Underweight", B1341&lt;=24.9, "Normal Weight", B1341&lt;=29.9, "Overweight", TRUE, "Obesity")</f>
        <v>Obesity</v>
      </c>
      <c r="J1341" t="str" cm="1">
        <f t="array" ref="J1341">_xlfn.IFS(C1341&lt;5.7, "Normal", C1341&lt;=6.4, "Prediabetes", TRUE, "Diabetes")</f>
        <v>Diabetes</v>
      </c>
    </row>
    <row r="1342" spans="1:10">
      <c r="A1342" t="s">
        <v>2682</v>
      </c>
      <c r="B1342">
        <v>37.82</v>
      </c>
      <c r="C1342">
        <v>6.36</v>
      </c>
      <c r="D1342" t="s">
        <v>4682</v>
      </c>
      <c r="E1342" t="s">
        <v>4682</v>
      </c>
      <c r="F1342" t="s">
        <v>4682</v>
      </c>
      <c r="G1342">
        <v>0</v>
      </c>
      <c r="H1342" t="s">
        <v>4682</v>
      </c>
      <c r="I1342" t="str" cm="1">
        <f t="array" ref="I1342">_xlfn.IFS(B1342&lt;18.5, "Underweight", B1342&lt;=24.9, "Normal Weight", B1342&lt;=29.9, "Overweight", TRUE, "Obesity")</f>
        <v>Obesity</v>
      </c>
      <c r="J1342" t="str" cm="1">
        <f t="array" ref="J1342">_xlfn.IFS(C1342&lt;5.7, "Normal", C1342&lt;=6.4, "Prediabetes", TRUE, "Diabetes")</f>
        <v>Prediabetes</v>
      </c>
    </row>
    <row r="1343" spans="1:10">
      <c r="A1343" t="s">
        <v>2684</v>
      </c>
      <c r="B1343">
        <v>44.16</v>
      </c>
      <c r="C1343">
        <v>5.31</v>
      </c>
      <c r="D1343" t="s">
        <v>4683</v>
      </c>
      <c r="E1343" t="s">
        <v>4682</v>
      </c>
      <c r="F1343" t="s">
        <v>4682</v>
      </c>
      <c r="G1343">
        <v>0</v>
      </c>
      <c r="H1343" t="s">
        <v>4682</v>
      </c>
      <c r="I1343" t="str" cm="1">
        <f t="array" ref="I1343">_xlfn.IFS(B1343&lt;18.5, "Underweight", B1343&lt;=24.9, "Normal Weight", B1343&lt;=29.9, "Overweight", TRUE, "Obesity")</f>
        <v>Obesity</v>
      </c>
      <c r="J1343" t="str" cm="1">
        <f t="array" ref="J1343">_xlfn.IFS(C1343&lt;5.7, "Normal", C1343&lt;=6.4, "Prediabetes", TRUE, "Diabetes")</f>
        <v>Normal</v>
      </c>
    </row>
    <row r="1344" spans="1:10">
      <c r="A1344" t="s">
        <v>2686</v>
      </c>
      <c r="B1344">
        <v>37.049999999999997</v>
      </c>
      <c r="C1344">
        <v>4.74</v>
      </c>
      <c r="D1344" t="s">
        <v>4682</v>
      </c>
      <c r="E1344" t="s">
        <v>4682</v>
      </c>
      <c r="F1344" t="s">
        <v>4684</v>
      </c>
      <c r="G1344">
        <v>1</v>
      </c>
      <c r="H1344" t="s">
        <v>4682</v>
      </c>
      <c r="I1344" t="str" cm="1">
        <f t="array" ref="I1344">_xlfn.IFS(B1344&lt;18.5, "Underweight", B1344&lt;=24.9, "Normal Weight", B1344&lt;=29.9, "Overweight", TRUE, "Obesity")</f>
        <v>Obesity</v>
      </c>
      <c r="J1344" t="str" cm="1">
        <f t="array" ref="J1344">_xlfn.IFS(C1344&lt;5.7, "Normal", C1344&lt;=6.4, "Prediabetes", TRUE, "Diabetes")</f>
        <v>Normal</v>
      </c>
    </row>
    <row r="1345" spans="1:10">
      <c r="A1345" t="s">
        <v>2688</v>
      </c>
      <c r="B1345">
        <v>18.66</v>
      </c>
      <c r="C1345">
        <v>11.35</v>
      </c>
      <c r="D1345" t="s">
        <v>4682</v>
      </c>
      <c r="E1345" t="s">
        <v>4682</v>
      </c>
      <c r="F1345" t="s">
        <v>4682</v>
      </c>
      <c r="G1345">
        <v>0</v>
      </c>
      <c r="H1345" t="s">
        <v>4682</v>
      </c>
      <c r="I1345" t="str" cm="1">
        <f t="array" ref="I1345">_xlfn.IFS(B1345&lt;18.5, "Underweight", B1345&lt;=24.9, "Normal Weight", B1345&lt;=29.9, "Overweight", TRUE, "Obesity")</f>
        <v>Normal Weight</v>
      </c>
      <c r="J1345" t="str" cm="1">
        <f t="array" ref="J1345">_xlfn.IFS(C1345&lt;5.7, "Normal", C1345&lt;=6.4, "Prediabetes", TRUE, "Diabetes")</f>
        <v>Diabetes</v>
      </c>
    </row>
    <row r="1346" spans="1:10">
      <c r="A1346" t="s">
        <v>2690</v>
      </c>
      <c r="B1346">
        <v>36.200000000000003</v>
      </c>
      <c r="C1346">
        <v>6.81</v>
      </c>
      <c r="D1346" t="s">
        <v>4683</v>
      </c>
      <c r="E1346" t="s">
        <v>4682</v>
      </c>
      <c r="F1346" t="s">
        <v>4682</v>
      </c>
      <c r="G1346">
        <v>1</v>
      </c>
      <c r="H1346" t="s">
        <v>4682</v>
      </c>
      <c r="I1346" t="str" cm="1">
        <f t="array" ref="I1346">_xlfn.IFS(B1346&lt;18.5, "Underweight", B1346&lt;=24.9, "Normal Weight", B1346&lt;=29.9, "Overweight", TRUE, "Obesity")</f>
        <v>Obesity</v>
      </c>
      <c r="J1346" t="str" cm="1">
        <f t="array" ref="J1346">_xlfn.IFS(C1346&lt;5.7, "Normal", C1346&lt;=6.4, "Prediabetes", TRUE, "Diabetes")</f>
        <v>Diabetes</v>
      </c>
    </row>
    <row r="1347" spans="1:10">
      <c r="A1347" t="s">
        <v>2692</v>
      </c>
      <c r="B1347">
        <v>18.87</v>
      </c>
      <c r="C1347">
        <v>8.06</v>
      </c>
      <c r="D1347" t="s">
        <v>4682</v>
      </c>
      <c r="E1347" t="s">
        <v>4682</v>
      </c>
      <c r="F1347" t="s">
        <v>4682</v>
      </c>
      <c r="G1347">
        <v>0</v>
      </c>
      <c r="H1347" t="s">
        <v>4682</v>
      </c>
      <c r="I1347" t="str" cm="1">
        <f t="array" ref="I1347">_xlfn.IFS(B1347&lt;18.5, "Underweight", B1347&lt;=24.9, "Normal Weight", B1347&lt;=29.9, "Overweight", TRUE, "Obesity")</f>
        <v>Normal Weight</v>
      </c>
      <c r="J1347" t="str" cm="1">
        <f t="array" ref="J1347">_xlfn.IFS(C1347&lt;5.7, "Normal", C1347&lt;=6.4, "Prediabetes", TRUE, "Diabetes")</f>
        <v>Diabetes</v>
      </c>
    </row>
    <row r="1348" spans="1:10">
      <c r="A1348" t="s">
        <v>2694</v>
      </c>
      <c r="B1348">
        <v>32.299999999999997</v>
      </c>
      <c r="C1348">
        <v>6.74</v>
      </c>
      <c r="D1348" t="s">
        <v>4683</v>
      </c>
      <c r="E1348" t="s">
        <v>4682</v>
      </c>
      <c r="F1348" t="s">
        <v>4682</v>
      </c>
      <c r="G1348">
        <v>1</v>
      </c>
      <c r="H1348" t="s">
        <v>4682</v>
      </c>
      <c r="I1348" t="str" cm="1">
        <f t="array" ref="I1348">_xlfn.IFS(B1348&lt;18.5, "Underweight", B1348&lt;=24.9, "Normal Weight", B1348&lt;=29.9, "Overweight", TRUE, "Obesity")</f>
        <v>Obesity</v>
      </c>
      <c r="J1348" t="str" cm="1">
        <f t="array" ref="J1348">_xlfn.IFS(C1348&lt;5.7, "Normal", C1348&lt;=6.4, "Prediabetes", TRUE, "Diabetes")</f>
        <v>Diabetes</v>
      </c>
    </row>
    <row r="1349" spans="1:10">
      <c r="A1349" t="s">
        <v>2696</v>
      </c>
      <c r="B1349">
        <v>22.64</v>
      </c>
      <c r="C1349">
        <v>6.54</v>
      </c>
      <c r="D1349" t="s">
        <v>4683</v>
      </c>
      <c r="E1349" t="s">
        <v>4682</v>
      </c>
      <c r="F1349" t="s">
        <v>4682</v>
      </c>
      <c r="G1349">
        <v>2</v>
      </c>
      <c r="H1349" t="s">
        <v>4682</v>
      </c>
      <c r="I1349" t="str" cm="1">
        <f t="array" ref="I1349">_xlfn.IFS(B1349&lt;18.5, "Underweight", B1349&lt;=24.9, "Normal Weight", B1349&lt;=29.9, "Overweight", TRUE, "Obesity")</f>
        <v>Normal Weight</v>
      </c>
      <c r="J1349" t="str" cm="1">
        <f t="array" ref="J1349">_xlfn.IFS(C1349&lt;5.7, "Normal", C1349&lt;=6.4, "Prediabetes", TRUE, "Diabetes")</f>
        <v>Diabetes</v>
      </c>
    </row>
    <row r="1350" spans="1:10">
      <c r="A1350" t="s">
        <v>2698</v>
      </c>
      <c r="B1350">
        <v>28.69</v>
      </c>
      <c r="C1350">
        <v>5.4</v>
      </c>
      <c r="D1350" t="s">
        <v>4682</v>
      </c>
      <c r="E1350" t="s">
        <v>4682</v>
      </c>
      <c r="F1350" t="s">
        <v>4682</v>
      </c>
      <c r="G1350">
        <v>0</v>
      </c>
      <c r="H1350" t="s">
        <v>4682</v>
      </c>
      <c r="I1350" t="str" cm="1">
        <f t="array" ref="I1350">_xlfn.IFS(B1350&lt;18.5, "Underweight", B1350&lt;=24.9, "Normal Weight", B1350&lt;=29.9, "Overweight", TRUE, "Obesity")</f>
        <v>Overweight</v>
      </c>
      <c r="J1350" t="str" cm="1">
        <f t="array" ref="J1350">_xlfn.IFS(C1350&lt;5.7, "Normal", C1350&lt;=6.4, "Prediabetes", TRUE, "Diabetes")</f>
        <v>Normal</v>
      </c>
    </row>
    <row r="1351" spans="1:10">
      <c r="A1351" t="s">
        <v>2700</v>
      </c>
      <c r="B1351">
        <v>28.16</v>
      </c>
      <c r="C1351">
        <v>5.58</v>
      </c>
      <c r="D1351" t="s">
        <v>4683</v>
      </c>
      <c r="E1351" t="s">
        <v>4682</v>
      </c>
      <c r="F1351" t="s">
        <v>4682</v>
      </c>
      <c r="G1351">
        <v>0</v>
      </c>
      <c r="H1351" t="s">
        <v>4682</v>
      </c>
      <c r="I1351" t="str" cm="1">
        <f t="array" ref="I1351">_xlfn.IFS(B1351&lt;18.5, "Underweight", B1351&lt;=24.9, "Normal Weight", B1351&lt;=29.9, "Overweight", TRUE, "Obesity")</f>
        <v>Overweight</v>
      </c>
      <c r="J1351" t="str" cm="1">
        <f t="array" ref="J1351">_xlfn.IFS(C1351&lt;5.7, "Normal", C1351&lt;=6.4, "Prediabetes", TRUE, "Diabetes")</f>
        <v>Normal</v>
      </c>
    </row>
    <row r="1352" spans="1:10">
      <c r="A1352" t="s">
        <v>2702</v>
      </c>
      <c r="B1352">
        <v>45.54</v>
      </c>
      <c r="C1352">
        <v>5.84</v>
      </c>
      <c r="D1352" t="s">
        <v>4682</v>
      </c>
      <c r="E1352" t="s">
        <v>4682</v>
      </c>
      <c r="F1352" t="s">
        <v>4684</v>
      </c>
      <c r="G1352">
        <v>1</v>
      </c>
      <c r="H1352" t="s">
        <v>4682</v>
      </c>
      <c r="I1352" t="str" cm="1">
        <f t="array" ref="I1352">_xlfn.IFS(B1352&lt;18.5, "Underweight", B1352&lt;=24.9, "Normal Weight", B1352&lt;=29.9, "Overweight", TRUE, "Obesity")</f>
        <v>Obesity</v>
      </c>
      <c r="J1352" t="str" cm="1">
        <f t="array" ref="J1352">_xlfn.IFS(C1352&lt;5.7, "Normal", C1352&lt;=6.4, "Prediabetes", TRUE, "Diabetes")</f>
        <v>Prediabetes</v>
      </c>
    </row>
    <row r="1353" spans="1:10">
      <c r="A1353" t="s">
        <v>2704</v>
      </c>
      <c r="B1353">
        <v>28.7</v>
      </c>
      <c r="C1353">
        <v>4.2</v>
      </c>
      <c r="D1353" t="s">
        <v>4682</v>
      </c>
      <c r="E1353" t="s">
        <v>4682</v>
      </c>
      <c r="F1353" t="s">
        <v>4682</v>
      </c>
      <c r="G1353">
        <v>0</v>
      </c>
      <c r="H1353" t="s">
        <v>4682</v>
      </c>
      <c r="I1353" t="str" cm="1">
        <f t="array" ref="I1353">_xlfn.IFS(B1353&lt;18.5, "Underweight", B1353&lt;=24.9, "Normal Weight", B1353&lt;=29.9, "Overweight", TRUE, "Obesity")</f>
        <v>Overweight</v>
      </c>
      <c r="J1353" t="str" cm="1">
        <f t="array" ref="J1353">_xlfn.IFS(C1353&lt;5.7, "Normal", C1353&lt;=6.4, "Prediabetes", TRUE, "Diabetes")</f>
        <v>Normal</v>
      </c>
    </row>
    <row r="1354" spans="1:10">
      <c r="A1354" t="s">
        <v>2706</v>
      </c>
      <c r="B1354">
        <v>27.74</v>
      </c>
      <c r="C1354">
        <v>6.06</v>
      </c>
      <c r="D1354" t="s">
        <v>4683</v>
      </c>
      <c r="E1354" t="s">
        <v>4682</v>
      </c>
      <c r="F1354" t="s">
        <v>4682</v>
      </c>
      <c r="G1354">
        <v>0</v>
      </c>
      <c r="H1354" t="s">
        <v>4682</v>
      </c>
      <c r="I1354" t="str" cm="1">
        <f t="array" ref="I1354">_xlfn.IFS(B1354&lt;18.5, "Underweight", B1354&lt;=24.9, "Normal Weight", B1354&lt;=29.9, "Overweight", TRUE, "Obesity")</f>
        <v>Overweight</v>
      </c>
      <c r="J1354" t="str" cm="1">
        <f t="array" ref="J1354">_xlfn.IFS(C1354&lt;5.7, "Normal", C1354&lt;=6.4, "Prediabetes", TRUE, "Diabetes")</f>
        <v>Prediabetes</v>
      </c>
    </row>
    <row r="1355" spans="1:10">
      <c r="A1355" t="s">
        <v>2708</v>
      </c>
      <c r="B1355">
        <v>36.954999999999998</v>
      </c>
      <c r="C1355">
        <v>7.57</v>
      </c>
      <c r="D1355" t="s">
        <v>4682</v>
      </c>
      <c r="E1355" t="s">
        <v>4682</v>
      </c>
      <c r="F1355" t="s">
        <v>4682</v>
      </c>
      <c r="G1355">
        <v>0</v>
      </c>
      <c r="H1355" t="s">
        <v>4682</v>
      </c>
      <c r="I1355" t="str" cm="1">
        <f t="array" ref="I1355">_xlfn.IFS(B1355&lt;18.5, "Underweight", B1355&lt;=24.9, "Normal Weight", B1355&lt;=29.9, "Overweight", TRUE, "Obesity")</f>
        <v>Obesity</v>
      </c>
      <c r="J1355" t="str" cm="1">
        <f t="array" ref="J1355">_xlfn.IFS(C1355&lt;5.7, "Normal", C1355&lt;=6.4, "Prediabetes", TRUE, "Diabetes")</f>
        <v>Diabetes</v>
      </c>
    </row>
    <row r="1356" spans="1:10">
      <c r="A1356" t="s">
        <v>2710</v>
      </c>
      <c r="B1356">
        <v>30.69</v>
      </c>
      <c r="C1356">
        <v>6.15</v>
      </c>
      <c r="D1356" t="s">
        <v>4682</v>
      </c>
      <c r="E1356" t="s">
        <v>4682</v>
      </c>
      <c r="F1356" t="s">
        <v>4682</v>
      </c>
      <c r="G1356">
        <v>0</v>
      </c>
      <c r="H1356" t="s">
        <v>4682</v>
      </c>
      <c r="I1356" t="str" cm="1">
        <f t="array" ref="I1356">_xlfn.IFS(B1356&lt;18.5, "Underweight", B1356&lt;=24.9, "Normal Weight", B1356&lt;=29.9, "Overweight", TRUE, "Obesity")</f>
        <v>Obesity</v>
      </c>
      <c r="J1356" t="str" cm="1">
        <f t="array" ref="J1356">_xlfn.IFS(C1356&lt;5.7, "Normal", C1356&lt;=6.4, "Prediabetes", TRUE, "Diabetes")</f>
        <v>Prediabetes</v>
      </c>
    </row>
    <row r="1357" spans="1:10">
      <c r="A1357" t="s">
        <v>2712</v>
      </c>
      <c r="B1357">
        <v>24.984999999999999</v>
      </c>
      <c r="C1357">
        <v>4.5599999999999996</v>
      </c>
      <c r="D1357" t="s">
        <v>4682</v>
      </c>
      <c r="E1357" t="s">
        <v>4682</v>
      </c>
      <c r="F1357" t="s">
        <v>4682</v>
      </c>
      <c r="G1357">
        <v>0</v>
      </c>
      <c r="H1357" t="s">
        <v>4682</v>
      </c>
      <c r="I1357" t="str" cm="1">
        <f t="array" ref="I1357">_xlfn.IFS(B1357&lt;18.5, "Underweight", B1357&lt;=24.9, "Normal Weight", B1357&lt;=29.9, "Overweight", TRUE, "Obesity")</f>
        <v>Overweight</v>
      </c>
      <c r="J1357" t="str" cm="1">
        <f t="array" ref="J1357">_xlfn.IFS(C1357&lt;5.7, "Normal", C1357&lt;=6.4, "Prediabetes", TRUE, "Diabetes")</f>
        <v>Normal</v>
      </c>
    </row>
    <row r="1358" spans="1:10">
      <c r="A1358" t="s">
        <v>2714</v>
      </c>
      <c r="B1358">
        <v>39.42</v>
      </c>
      <c r="C1358">
        <v>4.72</v>
      </c>
      <c r="D1358" t="s">
        <v>4683</v>
      </c>
      <c r="E1358" t="s">
        <v>4682</v>
      </c>
      <c r="F1358" t="s">
        <v>4682</v>
      </c>
      <c r="G1358">
        <v>1</v>
      </c>
      <c r="H1358" t="s">
        <v>4682</v>
      </c>
      <c r="I1358" t="str" cm="1">
        <f t="array" ref="I1358">_xlfn.IFS(B1358&lt;18.5, "Underweight", B1358&lt;=24.9, "Normal Weight", B1358&lt;=29.9, "Overweight", TRUE, "Obesity")</f>
        <v>Obesity</v>
      </c>
      <c r="J1358" t="str" cm="1">
        <f t="array" ref="J1358">_xlfn.IFS(C1358&lt;5.7, "Normal", C1358&lt;=6.4, "Prediabetes", TRUE, "Diabetes")</f>
        <v>Normal</v>
      </c>
    </row>
    <row r="1359" spans="1:10">
      <c r="A1359" t="s">
        <v>2716</v>
      </c>
      <c r="B1359">
        <v>16.8</v>
      </c>
      <c r="C1359">
        <v>7.98</v>
      </c>
      <c r="D1359" t="s">
        <v>4682</v>
      </c>
      <c r="E1359" t="s">
        <v>4682</v>
      </c>
      <c r="F1359" t="s">
        <v>4682</v>
      </c>
      <c r="G1359">
        <v>0</v>
      </c>
      <c r="H1359" t="s">
        <v>4682</v>
      </c>
      <c r="I1359" t="str" cm="1">
        <f t="array" ref="I1359">_xlfn.IFS(B1359&lt;18.5, "Underweight", B1359&lt;=24.9, "Normal Weight", B1359&lt;=29.9, "Overweight", TRUE, "Obesity")</f>
        <v>Underweight</v>
      </c>
      <c r="J1359" t="str" cm="1">
        <f t="array" ref="J1359">_xlfn.IFS(C1359&lt;5.7, "Normal", C1359&lt;=6.4, "Prediabetes", TRUE, "Diabetes")</f>
        <v>Diabetes</v>
      </c>
    </row>
    <row r="1360" spans="1:10">
      <c r="A1360" t="s">
        <v>2718</v>
      </c>
      <c r="B1360">
        <v>23.274999999999999</v>
      </c>
      <c r="C1360">
        <v>6.26</v>
      </c>
      <c r="D1360" t="s">
        <v>4683</v>
      </c>
      <c r="E1360" t="s">
        <v>4682</v>
      </c>
      <c r="F1360" t="s">
        <v>4684</v>
      </c>
      <c r="G1360">
        <v>1</v>
      </c>
      <c r="H1360" t="s">
        <v>4682</v>
      </c>
      <c r="I1360" t="str" cm="1">
        <f t="array" ref="I1360">_xlfn.IFS(B1360&lt;18.5, "Underweight", B1360&lt;=24.9, "Normal Weight", B1360&lt;=29.9, "Overweight", TRUE, "Obesity")</f>
        <v>Normal Weight</v>
      </c>
      <c r="J1360" t="str" cm="1">
        <f t="array" ref="J1360">_xlfn.IFS(C1360&lt;5.7, "Normal", C1360&lt;=6.4, "Prediabetes", TRUE, "Diabetes")</f>
        <v>Prediabetes</v>
      </c>
    </row>
    <row r="1361" spans="1:10">
      <c r="A1361" t="s">
        <v>2720</v>
      </c>
      <c r="B1361">
        <v>22.8</v>
      </c>
      <c r="C1361">
        <v>4.29</v>
      </c>
      <c r="D1361" t="s">
        <v>4683</v>
      </c>
      <c r="E1361" t="s">
        <v>4682</v>
      </c>
      <c r="F1361" t="s">
        <v>4684</v>
      </c>
      <c r="G1361">
        <v>1</v>
      </c>
      <c r="H1361" t="s">
        <v>4682</v>
      </c>
      <c r="I1361" t="str" cm="1">
        <f t="array" ref="I1361">_xlfn.IFS(B1361&lt;18.5, "Underweight", B1361&lt;=24.9, "Normal Weight", B1361&lt;=29.9, "Overweight", TRUE, "Obesity")</f>
        <v>Normal Weight</v>
      </c>
      <c r="J1361" t="str" cm="1">
        <f t="array" ref="J1361">_xlfn.IFS(C1361&lt;5.7, "Normal", C1361&lt;=6.4, "Prediabetes", TRUE, "Diabetes")</f>
        <v>Normal</v>
      </c>
    </row>
    <row r="1362" spans="1:10">
      <c r="A1362" t="s">
        <v>2722</v>
      </c>
      <c r="B1362">
        <v>24.3</v>
      </c>
      <c r="C1362">
        <v>5.43</v>
      </c>
      <c r="D1362" t="s">
        <v>4682</v>
      </c>
      <c r="E1362" t="s">
        <v>4682</v>
      </c>
      <c r="F1362" t="s">
        <v>4682</v>
      </c>
      <c r="G1362">
        <v>2</v>
      </c>
      <c r="H1362" t="s">
        <v>4682</v>
      </c>
      <c r="I1362" t="str" cm="1">
        <f t="array" ref="I1362">_xlfn.IFS(B1362&lt;18.5, "Underweight", B1362&lt;=24.9, "Normal Weight", B1362&lt;=29.9, "Overweight", TRUE, "Obesity")</f>
        <v>Normal Weight</v>
      </c>
      <c r="J1362" t="str" cm="1">
        <f t="array" ref="J1362">_xlfn.IFS(C1362&lt;5.7, "Normal", C1362&lt;=6.4, "Prediabetes", TRUE, "Diabetes")</f>
        <v>Normal</v>
      </c>
    </row>
    <row r="1363" spans="1:10">
      <c r="A1363" t="s">
        <v>2724</v>
      </c>
      <c r="B1363">
        <v>25.13</v>
      </c>
      <c r="C1363">
        <v>8</v>
      </c>
      <c r="D1363" t="s">
        <v>4683</v>
      </c>
      <c r="E1363" t="s">
        <v>4682</v>
      </c>
      <c r="F1363" t="s">
        <v>4682</v>
      </c>
      <c r="G1363">
        <v>1</v>
      </c>
      <c r="H1363" t="s">
        <v>4682</v>
      </c>
      <c r="I1363" t="str" cm="1">
        <f t="array" ref="I1363">_xlfn.IFS(B1363&lt;18.5, "Underweight", B1363&lt;=24.9, "Normal Weight", B1363&lt;=29.9, "Overweight", TRUE, "Obesity")</f>
        <v>Overweight</v>
      </c>
      <c r="J1363" t="str" cm="1">
        <f t="array" ref="J1363">_xlfn.IFS(C1363&lt;5.7, "Normal", C1363&lt;=6.4, "Prediabetes", TRUE, "Diabetes")</f>
        <v>Diabetes</v>
      </c>
    </row>
    <row r="1364" spans="1:10">
      <c r="A1364" t="s">
        <v>2726</v>
      </c>
      <c r="B1364">
        <v>22.72</v>
      </c>
      <c r="C1364">
        <v>9.9600000000000009</v>
      </c>
      <c r="D1364" t="s">
        <v>4683</v>
      </c>
      <c r="E1364" t="s">
        <v>4682</v>
      </c>
      <c r="F1364" t="s">
        <v>4682</v>
      </c>
      <c r="G1364">
        <v>2</v>
      </c>
      <c r="H1364" t="s">
        <v>4682</v>
      </c>
      <c r="I1364" t="str" cm="1">
        <f t="array" ref="I1364">_xlfn.IFS(B1364&lt;18.5, "Underweight", B1364&lt;=24.9, "Normal Weight", B1364&lt;=29.9, "Overweight", TRUE, "Obesity")</f>
        <v>Normal Weight</v>
      </c>
      <c r="J1364" t="str" cm="1">
        <f t="array" ref="J1364">_xlfn.IFS(C1364&lt;5.7, "Normal", C1364&lt;=6.4, "Prediabetes", TRUE, "Diabetes")</f>
        <v>Diabetes</v>
      </c>
    </row>
    <row r="1365" spans="1:10">
      <c r="A1365" t="s">
        <v>2728</v>
      </c>
      <c r="B1365">
        <v>32.6</v>
      </c>
      <c r="C1365">
        <v>6.8</v>
      </c>
      <c r="D1365" t="s">
        <v>4683</v>
      </c>
      <c r="E1365" t="s">
        <v>4682</v>
      </c>
      <c r="F1365" t="s">
        <v>4682</v>
      </c>
      <c r="G1365">
        <v>0</v>
      </c>
      <c r="H1365" t="s">
        <v>4682</v>
      </c>
      <c r="I1365" t="str" cm="1">
        <f t="array" ref="I1365">_xlfn.IFS(B1365&lt;18.5, "Underweight", B1365&lt;=24.9, "Normal Weight", B1365&lt;=29.9, "Overweight", TRUE, "Obesity")</f>
        <v>Obesity</v>
      </c>
      <c r="J1365" t="str" cm="1">
        <f t="array" ref="J1365">_xlfn.IFS(C1365&lt;5.7, "Normal", C1365&lt;=6.4, "Prediabetes", TRUE, "Diabetes")</f>
        <v>Diabetes</v>
      </c>
    </row>
    <row r="1366" spans="1:10">
      <c r="A1366" t="s">
        <v>2730</v>
      </c>
      <c r="B1366">
        <v>17.28</v>
      </c>
      <c r="C1366">
        <v>6.22</v>
      </c>
      <c r="D1366" t="s">
        <v>4683</v>
      </c>
      <c r="E1366" t="s">
        <v>4682</v>
      </c>
      <c r="F1366" t="s">
        <v>4682</v>
      </c>
      <c r="G1366">
        <v>2</v>
      </c>
      <c r="H1366" t="s">
        <v>4682</v>
      </c>
      <c r="I1366" t="str" cm="1">
        <f t="array" ref="I1366">_xlfn.IFS(B1366&lt;18.5, "Underweight", B1366&lt;=24.9, "Normal Weight", B1366&lt;=29.9, "Overweight", TRUE, "Obesity")</f>
        <v>Underweight</v>
      </c>
      <c r="J1366" t="str" cm="1">
        <f t="array" ref="J1366">_xlfn.IFS(C1366&lt;5.7, "Normal", C1366&lt;=6.4, "Prediabetes", TRUE, "Diabetes")</f>
        <v>Prediabetes</v>
      </c>
    </row>
    <row r="1367" spans="1:10">
      <c r="A1367" t="s">
        <v>2732</v>
      </c>
      <c r="B1367">
        <v>27.92</v>
      </c>
      <c r="C1367">
        <v>5.79</v>
      </c>
      <c r="D1367" t="s">
        <v>4682</v>
      </c>
      <c r="E1367" t="s">
        <v>4682</v>
      </c>
      <c r="F1367" t="s">
        <v>4682</v>
      </c>
      <c r="G1367">
        <v>1</v>
      </c>
      <c r="H1367" t="s">
        <v>4682</v>
      </c>
      <c r="I1367" t="str" cm="1">
        <f t="array" ref="I1367">_xlfn.IFS(B1367&lt;18.5, "Underweight", B1367&lt;=24.9, "Normal Weight", B1367&lt;=29.9, "Overweight", TRUE, "Obesity")</f>
        <v>Overweight</v>
      </c>
      <c r="J1367" t="str" cm="1">
        <f t="array" ref="J1367">_xlfn.IFS(C1367&lt;5.7, "Normal", C1367&lt;=6.4, "Prediabetes", TRUE, "Diabetes")</f>
        <v>Prediabetes</v>
      </c>
    </row>
    <row r="1368" spans="1:10">
      <c r="A1368" t="s">
        <v>2734</v>
      </c>
      <c r="B1368">
        <v>38.284999999999997</v>
      </c>
      <c r="C1368">
        <v>5.41</v>
      </c>
      <c r="D1368" t="s">
        <v>4682</v>
      </c>
      <c r="E1368" t="s">
        <v>4682</v>
      </c>
      <c r="F1368" t="s">
        <v>4682</v>
      </c>
      <c r="G1368">
        <v>0</v>
      </c>
      <c r="H1368" t="s">
        <v>4682</v>
      </c>
      <c r="I1368" t="str" cm="1">
        <f t="array" ref="I1368">_xlfn.IFS(B1368&lt;18.5, "Underweight", B1368&lt;=24.9, "Normal Weight", B1368&lt;=29.9, "Overweight", TRUE, "Obesity")</f>
        <v>Obesity</v>
      </c>
      <c r="J1368" t="str" cm="1">
        <f t="array" ref="J1368">_xlfn.IFS(C1368&lt;5.7, "Normal", C1368&lt;=6.4, "Prediabetes", TRUE, "Diabetes")</f>
        <v>Normal</v>
      </c>
    </row>
    <row r="1369" spans="1:10">
      <c r="A1369" t="s">
        <v>2736</v>
      </c>
      <c r="B1369">
        <v>16.48</v>
      </c>
      <c r="C1369">
        <v>11.05</v>
      </c>
      <c r="D1369" t="s">
        <v>4682</v>
      </c>
      <c r="E1369" t="s">
        <v>4682</v>
      </c>
      <c r="F1369" t="s">
        <v>4682</v>
      </c>
      <c r="G1369">
        <v>0</v>
      </c>
      <c r="H1369" t="s">
        <v>4682</v>
      </c>
      <c r="I1369" t="str" cm="1">
        <f t="array" ref="I1369">_xlfn.IFS(B1369&lt;18.5, "Underweight", B1369&lt;=24.9, "Normal Weight", B1369&lt;=29.9, "Overweight", TRUE, "Obesity")</f>
        <v>Underweight</v>
      </c>
      <c r="J1369" t="str" cm="1">
        <f t="array" ref="J1369">_xlfn.IFS(C1369&lt;5.7, "Normal", C1369&lt;=6.4, "Prediabetes", TRUE, "Diabetes")</f>
        <v>Diabetes</v>
      </c>
    </row>
    <row r="1370" spans="1:10">
      <c r="A1370" t="s">
        <v>2738</v>
      </c>
      <c r="B1370">
        <v>38.57</v>
      </c>
      <c r="C1370">
        <v>6.27</v>
      </c>
      <c r="D1370" t="s">
        <v>4682</v>
      </c>
      <c r="E1370" t="s">
        <v>4682</v>
      </c>
      <c r="F1370" t="s">
        <v>4682</v>
      </c>
      <c r="G1370">
        <v>0</v>
      </c>
      <c r="H1370" t="s">
        <v>4682</v>
      </c>
      <c r="I1370" t="str" cm="1">
        <f t="array" ref="I1370">_xlfn.IFS(B1370&lt;18.5, "Underweight", B1370&lt;=24.9, "Normal Weight", B1370&lt;=29.9, "Overweight", TRUE, "Obesity")</f>
        <v>Obesity</v>
      </c>
      <c r="J1370" t="str" cm="1">
        <f t="array" ref="J1370">_xlfn.IFS(C1370&lt;5.7, "Normal", C1370&lt;=6.4, "Prediabetes", TRUE, "Diabetes")</f>
        <v>Prediabetes</v>
      </c>
    </row>
    <row r="1371" spans="1:10">
      <c r="A1371" t="s">
        <v>2740</v>
      </c>
      <c r="B1371">
        <v>43.85</v>
      </c>
      <c r="C1371">
        <v>4.7699999999999996</v>
      </c>
      <c r="D1371" t="s">
        <v>4683</v>
      </c>
      <c r="E1371" t="s">
        <v>4682</v>
      </c>
      <c r="F1371" t="s">
        <v>4682</v>
      </c>
      <c r="G1371">
        <v>0</v>
      </c>
      <c r="H1371" t="s">
        <v>4682</v>
      </c>
      <c r="I1371" t="str" cm="1">
        <f t="array" ref="I1371">_xlfn.IFS(B1371&lt;18.5, "Underweight", B1371&lt;=24.9, "Normal Weight", B1371&lt;=29.9, "Overweight", TRUE, "Obesity")</f>
        <v>Obesity</v>
      </c>
      <c r="J1371" t="str" cm="1">
        <f t="array" ref="J1371">_xlfn.IFS(C1371&lt;5.7, "Normal", C1371&lt;=6.4, "Prediabetes", TRUE, "Diabetes")</f>
        <v>Normal</v>
      </c>
    </row>
    <row r="1372" spans="1:10">
      <c r="A1372" t="s">
        <v>2742</v>
      </c>
      <c r="B1372">
        <v>30.11</v>
      </c>
      <c r="C1372">
        <v>4.08</v>
      </c>
      <c r="D1372" t="s">
        <v>4682</v>
      </c>
      <c r="E1372" t="s">
        <v>4682</v>
      </c>
      <c r="F1372" t="s">
        <v>4682</v>
      </c>
      <c r="G1372">
        <v>0</v>
      </c>
      <c r="H1372" t="s">
        <v>4682</v>
      </c>
      <c r="I1372" t="str" cm="1">
        <f t="array" ref="I1372">_xlfn.IFS(B1372&lt;18.5, "Underweight", B1372&lt;=24.9, "Normal Weight", B1372&lt;=29.9, "Overweight", TRUE, "Obesity")</f>
        <v>Obesity</v>
      </c>
      <c r="J1372" t="str" cm="1">
        <f t="array" ref="J1372">_xlfn.IFS(C1372&lt;5.7, "Normal", C1372&lt;=6.4, "Prediabetes", TRUE, "Diabetes")</f>
        <v>Normal</v>
      </c>
    </row>
    <row r="1373" spans="1:10">
      <c r="A1373" t="s">
        <v>2744</v>
      </c>
      <c r="B1373">
        <v>31.59</v>
      </c>
      <c r="C1373">
        <v>6.01</v>
      </c>
      <c r="D1373" t="s">
        <v>4682</v>
      </c>
      <c r="E1373" t="s">
        <v>4682</v>
      </c>
      <c r="F1373" t="s">
        <v>4682</v>
      </c>
      <c r="G1373">
        <v>0</v>
      </c>
      <c r="H1373" t="s">
        <v>4682</v>
      </c>
      <c r="I1373" t="str" cm="1">
        <f t="array" ref="I1373">_xlfn.IFS(B1373&lt;18.5, "Underweight", B1373&lt;=24.9, "Normal Weight", B1373&lt;=29.9, "Overweight", TRUE, "Obesity")</f>
        <v>Obesity</v>
      </c>
      <c r="J1373" t="str" cm="1">
        <f t="array" ref="J1373">_xlfn.IFS(C1373&lt;5.7, "Normal", C1373&lt;=6.4, "Prediabetes", TRUE, "Diabetes")</f>
        <v>Prediabetes</v>
      </c>
    </row>
    <row r="1374" spans="1:10">
      <c r="A1374" t="s">
        <v>2746</v>
      </c>
      <c r="B1374">
        <v>40.15</v>
      </c>
      <c r="C1374">
        <v>11.84</v>
      </c>
      <c r="D1374" t="s">
        <v>4682</v>
      </c>
      <c r="E1374" t="s">
        <v>4682</v>
      </c>
      <c r="F1374" t="s">
        <v>4682</v>
      </c>
      <c r="G1374">
        <v>0</v>
      </c>
      <c r="H1374" t="s">
        <v>4682</v>
      </c>
      <c r="I1374" t="str" cm="1">
        <f t="array" ref="I1374">_xlfn.IFS(B1374&lt;18.5, "Underweight", B1374&lt;=24.9, "Normal Weight", B1374&lt;=29.9, "Overweight", TRUE, "Obesity")</f>
        <v>Obesity</v>
      </c>
      <c r="J1374" t="str" cm="1">
        <f t="array" ref="J1374">_xlfn.IFS(C1374&lt;5.7, "Normal", C1374&lt;=6.4, "Prediabetes", TRUE, "Diabetes")</f>
        <v>Diabetes</v>
      </c>
    </row>
    <row r="1375" spans="1:10">
      <c r="A1375" t="s">
        <v>2748</v>
      </c>
      <c r="B1375">
        <v>40.700000000000003</v>
      </c>
      <c r="C1375">
        <v>6.27</v>
      </c>
      <c r="D1375" t="s">
        <v>4683</v>
      </c>
      <c r="E1375" t="s">
        <v>4682</v>
      </c>
      <c r="F1375" t="s">
        <v>4684</v>
      </c>
      <c r="G1375">
        <v>1</v>
      </c>
      <c r="H1375" t="s">
        <v>4682</v>
      </c>
      <c r="I1375" t="str" cm="1">
        <f t="array" ref="I1375">_xlfn.IFS(B1375&lt;18.5, "Underweight", B1375&lt;=24.9, "Normal Weight", B1375&lt;=29.9, "Overweight", TRUE, "Obesity")</f>
        <v>Obesity</v>
      </c>
      <c r="J1375" t="str" cm="1">
        <f t="array" ref="J1375">_xlfn.IFS(C1375&lt;5.7, "Normal", C1375&lt;=6.4, "Prediabetes", TRUE, "Diabetes")</f>
        <v>Prediabetes</v>
      </c>
    </row>
    <row r="1376" spans="1:10">
      <c r="A1376" t="s">
        <v>2750</v>
      </c>
      <c r="B1376">
        <v>40.76</v>
      </c>
      <c r="C1376">
        <v>5.28</v>
      </c>
      <c r="D1376" t="s">
        <v>4682</v>
      </c>
      <c r="E1376" t="s">
        <v>4682</v>
      </c>
      <c r="F1376" t="s">
        <v>4682</v>
      </c>
      <c r="G1376">
        <v>0</v>
      </c>
      <c r="H1376" t="s">
        <v>4682</v>
      </c>
      <c r="I1376" t="str" cm="1">
        <f t="array" ref="I1376">_xlfn.IFS(B1376&lt;18.5, "Underweight", B1376&lt;=24.9, "Normal Weight", B1376&lt;=29.9, "Overweight", TRUE, "Obesity")</f>
        <v>Obesity</v>
      </c>
      <c r="J1376" t="str" cm="1">
        <f t="array" ref="J1376">_xlfn.IFS(C1376&lt;5.7, "Normal", C1376&lt;=6.4, "Prediabetes", TRUE, "Diabetes")</f>
        <v>Normal</v>
      </c>
    </row>
    <row r="1377" spans="1:10">
      <c r="A1377" t="s">
        <v>2752</v>
      </c>
      <c r="B1377">
        <v>29.7</v>
      </c>
      <c r="C1377">
        <v>7.03</v>
      </c>
      <c r="D1377" t="s">
        <v>4682</v>
      </c>
      <c r="E1377" t="s">
        <v>4682</v>
      </c>
      <c r="F1377" t="s">
        <v>4682</v>
      </c>
      <c r="G1377">
        <v>0</v>
      </c>
      <c r="H1377" t="s">
        <v>4682</v>
      </c>
      <c r="I1377" t="str" cm="1">
        <f t="array" ref="I1377">_xlfn.IFS(B1377&lt;18.5, "Underweight", B1377&lt;=24.9, "Normal Weight", B1377&lt;=29.9, "Overweight", TRUE, "Obesity")</f>
        <v>Overweight</v>
      </c>
      <c r="J1377" t="str" cm="1">
        <f t="array" ref="J1377">_xlfn.IFS(C1377&lt;5.7, "Normal", C1377&lt;=6.4, "Prediabetes", TRUE, "Diabetes")</f>
        <v>Diabetes</v>
      </c>
    </row>
    <row r="1378" spans="1:10">
      <c r="A1378" t="s">
        <v>2754</v>
      </c>
      <c r="B1378">
        <v>40.58</v>
      </c>
      <c r="C1378">
        <v>5.32</v>
      </c>
      <c r="D1378" t="s">
        <v>4683</v>
      </c>
      <c r="E1378" t="s">
        <v>4682</v>
      </c>
      <c r="F1378" t="s">
        <v>4684</v>
      </c>
      <c r="G1378">
        <v>1</v>
      </c>
      <c r="H1378" t="s">
        <v>4682</v>
      </c>
      <c r="I1378" t="str" cm="1">
        <f t="array" ref="I1378">_xlfn.IFS(B1378&lt;18.5, "Underweight", B1378&lt;=24.9, "Normal Weight", B1378&lt;=29.9, "Overweight", TRUE, "Obesity")</f>
        <v>Obesity</v>
      </c>
      <c r="J1378" t="str" cm="1">
        <f t="array" ref="J1378">_xlfn.IFS(C1378&lt;5.7, "Normal", C1378&lt;=6.4, "Prediabetes", TRUE, "Diabetes")</f>
        <v>Normal</v>
      </c>
    </row>
    <row r="1379" spans="1:10">
      <c r="A1379" t="s">
        <v>2756</v>
      </c>
      <c r="B1379">
        <v>33.06</v>
      </c>
      <c r="C1379">
        <v>9.59</v>
      </c>
      <c r="D1379" t="s">
        <v>4683</v>
      </c>
      <c r="E1379" t="s">
        <v>4682</v>
      </c>
      <c r="F1379" t="s">
        <v>4682</v>
      </c>
      <c r="G1379">
        <v>0</v>
      </c>
      <c r="H1379" t="s">
        <v>4682</v>
      </c>
      <c r="I1379" t="str" cm="1">
        <f t="array" ref="I1379">_xlfn.IFS(B1379&lt;18.5, "Underweight", B1379&lt;=24.9, "Normal Weight", B1379&lt;=29.9, "Overweight", TRUE, "Obesity")</f>
        <v>Obesity</v>
      </c>
      <c r="J1379" t="str" cm="1">
        <f t="array" ref="J1379">_xlfn.IFS(C1379&lt;5.7, "Normal", C1379&lt;=6.4, "Prediabetes", TRUE, "Diabetes")</f>
        <v>Diabetes</v>
      </c>
    </row>
    <row r="1380" spans="1:10">
      <c r="A1380" t="s">
        <v>2758</v>
      </c>
      <c r="B1380">
        <v>26.62</v>
      </c>
      <c r="C1380">
        <v>6.15</v>
      </c>
      <c r="D1380" t="s">
        <v>4683</v>
      </c>
      <c r="E1380" t="s">
        <v>4682</v>
      </c>
      <c r="F1380" t="s">
        <v>4682</v>
      </c>
      <c r="G1380">
        <v>0</v>
      </c>
      <c r="H1380" t="s">
        <v>4682</v>
      </c>
      <c r="I1380" t="str" cm="1">
        <f t="array" ref="I1380">_xlfn.IFS(B1380&lt;18.5, "Underweight", B1380&lt;=24.9, "Normal Weight", B1380&lt;=29.9, "Overweight", TRUE, "Obesity")</f>
        <v>Overweight</v>
      </c>
      <c r="J1380" t="str" cm="1">
        <f t="array" ref="J1380">_xlfn.IFS(C1380&lt;5.7, "Normal", C1380&lt;=6.4, "Prediabetes", TRUE, "Diabetes")</f>
        <v>Prediabetes</v>
      </c>
    </row>
    <row r="1381" spans="1:10">
      <c r="A1381" t="s">
        <v>2760</v>
      </c>
      <c r="B1381">
        <v>37.1</v>
      </c>
      <c r="C1381">
        <v>11.08</v>
      </c>
      <c r="D1381" t="s">
        <v>4682</v>
      </c>
      <c r="E1381" t="s">
        <v>4682</v>
      </c>
      <c r="F1381" t="s">
        <v>4682</v>
      </c>
      <c r="G1381">
        <v>0</v>
      </c>
      <c r="H1381" t="s">
        <v>4682</v>
      </c>
      <c r="I1381" t="str" cm="1">
        <f t="array" ref="I1381">_xlfn.IFS(B1381&lt;18.5, "Underweight", B1381&lt;=24.9, "Normal Weight", B1381&lt;=29.9, "Overweight", TRUE, "Obesity")</f>
        <v>Obesity</v>
      </c>
      <c r="J1381" t="str" cm="1">
        <f t="array" ref="J1381">_xlfn.IFS(C1381&lt;5.7, "Normal", C1381&lt;=6.4, "Prediabetes", TRUE, "Diabetes")</f>
        <v>Diabetes</v>
      </c>
    </row>
    <row r="1382" spans="1:10">
      <c r="A1382" t="s">
        <v>2762</v>
      </c>
      <c r="B1382">
        <v>18.28</v>
      </c>
      <c r="C1382">
        <v>7.95</v>
      </c>
      <c r="D1382" t="s">
        <v>4682</v>
      </c>
      <c r="E1382" t="s">
        <v>4682</v>
      </c>
      <c r="F1382" t="s">
        <v>4682</v>
      </c>
      <c r="G1382">
        <v>0</v>
      </c>
      <c r="H1382" t="s">
        <v>4682</v>
      </c>
      <c r="I1382" t="str" cm="1">
        <f t="array" ref="I1382">_xlfn.IFS(B1382&lt;18.5, "Underweight", B1382&lt;=24.9, "Normal Weight", B1382&lt;=29.9, "Overweight", TRUE, "Obesity")</f>
        <v>Underweight</v>
      </c>
      <c r="J1382" t="str" cm="1">
        <f t="array" ref="J1382">_xlfn.IFS(C1382&lt;5.7, "Normal", C1382&lt;=6.4, "Prediabetes", TRUE, "Diabetes")</f>
        <v>Diabetes</v>
      </c>
    </row>
    <row r="1383" spans="1:10">
      <c r="A1383" t="s">
        <v>2764</v>
      </c>
      <c r="B1383">
        <v>35.814999999999998</v>
      </c>
      <c r="C1383">
        <v>6.23</v>
      </c>
      <c r="D1383" t="s">
        <v>4682</v>
      </c>
      <c r="E1383" t="s">
        <v>4682</v>
      </c>
      <c r="F1383" t="s">
        <v>4682</v>
      </c>
      <c r="G1383">
        <v>0</v>
      </c>
      <c r="H1383" t="s">
        <v>4682</v>
      </c>
      <c r="I1383" t="str" cm="1">
        <f t="array" ref="I1383">_xlfn.IFS(B1383&lt;18.5, "Underweight", B1383&lt;=24.9, "Normal Weight", B1383&lt;=29.9, "Overweight", TRUE, "Obesity")</f>
        <v>Obesity</v>
      </c>
      <c r="J1383" t="str" cm="1">
        <f t="array" ref="J1383">_xlfn.IFS(C1383&lt;5.7, "Normal", C1383&lt;=6.4, "Prediabetes", TRUE, "Diabetes")</f>
        <v>Prediabetes</v>
      </c>
    </row>
    <row r="1384" spans="1:10">
      <c r="A1384" t="s">
        <v>2766</v>
      </c>
      <c r="B1384">
        <v>30.69</v>
      </c>
      <c r="C1384">
        <v>6.5</v>
      </c>
      <c r="D1384" t="s">
        <v>4682</v>
      </c>
      <c r="E1384" t="s">
        <v>4682</v>
      </c>
      <c r="F1384" t="s">
        <v>4682</v>
      </c>
      <c r="G1384">
        <v>0</v>
      </c>
      <c r="H1384" t="s">
        <v>4682</v>
      </c>
      <c r="I1384" t="str" cm="1">
        <f t="array" ref="I1384">_xlfn.IFS(B1384&lt;18.5, "Underweight", B1384&lt;=24.9, "Normal Weight", B1384&lt;=29.9, "Overweight", TRUE, "Obesity")</f>
        <v>Obesity</v>
      </c>
      <c r="J1384" t="str" cm="1">
        <f t="array" ref="J1384">_xlfn.IFS(C1384&lt;5.7, "Normal", C1384&lt;=6.4, "Prediabetes", TRUE, "Diabetes")</f>
        <v>Diabetes</v>
      </c>
    </row>
    <row r="1385" spans="1:10">
      <c r="A1385" t="s">
        <v>2768</v>
      </c>
      <c r="B1385">
        <v>26.125</v>
      </c>
      <c r="C1385">
        <v>5.22</v>
      </c>
      <c r="D1385" t="s">
        <v>4682</v>
      </c>
      <c r="E1385" t="s">
        <v>4682</v>
      </c>
      <c r="F1385" t="s">
        <v>4682</v>
      </c>
      <c r="G1385">
        <v>0</v>
      </c>
      <c r="H1385" t="s">
        <v>4682</v>
      </c>
      <c r="I1385" t="str" cm="1">
        <f t="array" ref="I1385">_xlfn.IFS(B1385&lt;18.5, "Underweight", B1385&lt;=24.9, "Normal Weight", B1385&lt;=29.9, "Overweight", TRUE, "Obesity")</f>
        <v>Overweight</v>
      </c>
      <c r="J1385" t="str" cm="1">
        <f t="array" ref="J1385">_xlfn.IFS(C1385&lt;5.7, "Normal", C1385&lt;=6.4, "Prediabetes", TRUE, "Diabetes")</f>
        <v>Normal</v>
      </c>
    </row>
    <row r="1386" spans="1:10">
      <c r="A1386" t="s">
        <v>2770</v>
      </c>
      <c r="B1386">
        <v>34.58</v>
      </c>
      <c r="C1386">
        <v>6.3</v>
      </c>
      <c r="D1386" t="s">
        <v>4682</v>
      </c>
      <c r="E1386" t="s">
        <v>4682</v>
      </c>
      <c r="F1386" t="s">
        <v>4684</v>
      </c>
      <c r="G1386">
        <v>1</v>
      </c>
      <c r="H1386" t="s">
        <v>4682</v>
      </c>
      <c r="I1386" t="str" cm="1">
        <f t="array" ref="I1386">_xlfn.IFS(B1386&lt;18.5, "Underweight", B1386&lt;=24.9, "Normal Weight", B1386&lt;=29.9, "Overweight", TRUE, "Obesity")</f>
        <v>Obesity</v>
      </c>
      <c r="J1386" t="str" cm="1">
        <f t="array" ref="J1386">_xlfn.IFS(C1386&lt;5.7, "Normal", C1386&lt;=6.4, "Prediabetes", TRUE, "Diabetes")</f>
        <v>Prediabetes</v>
      </c>
    </row>
    <row r="1387" spans="1:10">
      <c r="A1387" t="s">
        <v>2772</v>
      </c>
      <c r="B1387">
        <v>27.4</v>
      </c>
      <c r="C1387">
        <v>8.84</v>
      </c>
      <c r="D1387" t="s">
        <v>4682</v>
      </c>
      <c r="E1387" t="s">
        <v>4682</v>
      </c>
      <c r="F1387" t="s">
        <v>4682</v>
      </c>
      <c r="G1387">
        <v>0</v>
      </c>
      <c r="H1387" t="s">
        <v>4682</v>
      </c>
      <c r="I1387" t="str" cm="1">
        <f t="array" ref="I1387">_xlfn.IFS(B1387&lt;18.5, "Underweight", B1387&lt;=24.9, "Normal Weight", B1387&lt;=29.9, "Overweight", TRUE, "Obesity")</f>
        <v>Overweight</v>
      </c>
      <c r="J1387" t="str" cm="1">
        <f t="array" ref="J1387">_xlfn.IFS(C1387&lt;5.7, "Normal", C1387&lt;=6.4, "Prediabetes", TRUE, "Diabetes")</f>
        <v>Diabetes</v>
      </c>
    </row>
    <row r="1388" spans="1:10">
      <c r="A1388" t="s">
        <v>2774</v>
      </c>
      <c r="B1388">
        <v>27.53</v>
      </c>
      <c r="C1388">
        <v>4.1100000000000003</v>
      </c>
      <c r="D1388" t="s">
        <v>4682</v>
      </c>
      <c r="E1388" t="s">
        <v>4682</v>
      </c>
      <c r="F1388" t="s">
        <v>4682</v>
      </c>
      <c r="G1388">
        <v>1</v>
      </c>
      <c r="H1388" t="s">
        <v>4682</v>
      </c>
      <c r="I1388" t="str" cm="1">
        <f t="array" ref="I1388">_xlfn.IFS(B1388&lt;18.5, "Underweight", B1388&lt;=24.9, "Normal Weight", B1388&lt;=29.9, "Overweight", TRUE, "Obesity")</f>
        <v>Overweight</v>
      </c>
      <c r="J1388" t="str" cm="1">
        <f t="array" ref="J1388">_xlfn.IFS(C1388&lt;5.7, "Normal", C1388&lt;=6.4, "Prediabetes", TRUE, "Diabetes")</f>
        <v>Normal</v>
      </c>
    </row>
    <row r="1389" spans="1:10">
      <c r="A1389" t="s">
        <v>2776</v>
      </c>
      <c r="B1389">
        <v>33</v>
      </c>
      <c r="C1389">
        <v>4.57</v>
      </c>
      <c r="D1389" t="s">
        <v>4682</v>
      </c>
      <c r="E1389" t="s">
        <v>4682</v>
      </c>
      <c r="F1389" t="s">
        <v>4682</v>
      </c>
      <c r="G1389">
        <v>0</v>
      </c>
      <c r="H1389" t="s">
        <v>4682</v>
      </c>
      <c r="I1389" t="str" cm="1">
        <f t="array" ref="I1389">_xlfn.IFS(B1389&lt;18.5, "Underweight", B1389&lt;=24.9, "Normal Weight", B1389&lt;=29.9, "Overweight", TRUE, "Obesity")</f>
        <v>Obesity</v>
      </c>
      <c r="J1389" t="str" cm="1">
        <f t="array" ref="J1389">_xlfn.IFS(C1389&lt;5.7, "Normal", C1389&lt;=6.4, "Prediabetes", TRUE, "Diabetes")</f>
        <v>Normal</v>
      </c>
    </row>
    <row r="1390" spans="1:10">
      <c r="A1390" t="s">
        <v>2778</v>
      </c>
      <c r="B1390">
        <v>25.78</v>
      </c>
      <c r="C1390">
        <v>11.06</v>
      </c>
      <c r="D1390" t="s">
        <v>4683</v>
      </c>
      <c r="E1390" t="s">
        <v>4682</v>
      </c>
      <c r="F1390" t="s">
        <v>4682</v>
      </c>
      <c r="G1390">
        <v>0</v>
      </c>
      <c r="H1390" t="s">
        <v>4682</v>
      </c>
      <c r="I1390" t="str" cm="1">
        <f t="array" ref="I1390">_xlfn.IFS(B1390&lt;18.5, "Underweight", B1390&lt;=24.9, "Normal Weight", B1390&lt;=29.9, "Overweight", TRUE, "Obesity")</f>
        <v>Overweight</v>
      </c>
      <c r="J1390" t="str" cm="1">
        <f t="array" ref="J1390">_xlfn.IFS(C1390&lt;5.7, "Normal", C1390&lt;=6.4, "Prediabetes", TRUE, "Diabetes")</f>
        <v>Diabetes</v>
      </c>
    </row>
    <row r="1391" spans="1:10">
      <c r="A1391" t="s">
        <v>2780</v>
      </c>
      <c r="B1391">
        <v>22.66</v>
      </c>
      <c r="C1391">
        <v>10.68</v>
      </c>
      <c r="D1391" t="s">
        <v>4682</v>
      </c>
      <c r="E1391" t="s">
        <v>4682</v>
      </c>
      <c r="F1391" t="s">
        <v>4682</v>
      </c>
      <c r="G1391">
        <v>0</v>
      </c>
      <c r="H1391" t="s">
        <v>4682</v>
      </c>
      <c r="I1391" t="str" cm="1">
        <f t="array" ref="I1391">_xlfn.IFS(B1391&lt;18.5, "Underweight", B1391&lt;=24.9, "Normal Weight", B1391&lt;=29.9, "Overweight", TRUE, "Obesity")</f>
        <v>Normal Weight</v>
      </c>
      <c r="J1391" t="str" cm="1">
        <f t="array" ref="J1391">_xlfn.IFS(C1391&lt;5.7, "Normal", C1391&lt;=6.4, "Prediabetes", TRUE, "Diabetes")</f>
        <v>Diabetes</v>
      </c>
    </row>
    <row r="1392" spans="1:10">
      <c r="A1392" t="s">
        <v>2782</v>
      </c>
      <c r="B1392">
        <v>38.81</v>
      </c>
      <c r="C1392">
        <v>6.14</v>
      </c>
      <c r="D1392" t="s">
        <v>4683</v>
      </c>
      <c r="E1392" t="s">
        <v>4682</v>
      </c>
      <c r="F1392" t="s">
        <v>4682</v>
      </c>
      <c r="G1392">
        <v>1</v>
      </c>
      <c r="H1392" t="s">
        <v>4682</v>
      </c>
      <c r="I1392" t="str" cm="1">
        <f t="array" ref="I1392">_xlfn.IFS(B1392&lt;18.5, "Underweight", B1392&lt;=24.9, "Normal Weight", B1392&lt;=29.9, "Overweight", TRUE, "Obesity")</f>
        <v>Obesity</v>
      </c>
      <c r="J1392" t="str" cm="1">
        <f t="array" ref="J1392">_xlfn.IFS(C1392&lt;5.7, "Normal", C1392&lt;=6.4, "Prediabetes", TRUE, "Diabetes")</f>
        <v>Prediabetes</v>
      </c>
    </row>
    <row r="1393" spans="1:10">
      <c r="A1393" t="s">
        <v>2784</v>
      </c>
      <c r="B1393">
        <v>38.51</v>
      </c>
      <c r="C1393">
        <v>5.45</v>
      </c>
      <c r="D1393" t="s">
        <v>4683</v>
      </c>
      <c r="E1393" t="s">
        <v>4682</v>
      </c>
      <c r="F1393" t="s">
        <v>4682</v>
      </c>
      <c r="G1393">
        <v>0</v>
      </c>
      <c r="H1393" t="s">
        <v>4682</v>
      </c>
      <c r="I1393" t="str" cm="1">
        <f t="array" ref="I1393">_xlfn.IFS(B1393&lt;18.5, "Underweight", B1393&lt;=24.9, "Normal Weight", B1393&lt;=29.9, "Overweight", TRUE, "Obesity")</f>
        <v>Obesity</v>
      </c>
      <c r="J1393" t="str" cm="1">
        <f t="array" ref="J1393">_xlfn.IFS(C1393&lt;5.7, "Normal", C1393&lt;=6.4, "Prediabetes", TRUE, "Diabetes")</f>
        <v>Normal</v>
      </c>
    </row>
    <row r="1394" spans="1:10">
      <c r="A1394" t="s">
        <v>2786</v>
      </c>
      <c r="B1394">
        <v>22.98</v>
      </c>
      <c r="C1394">
        <v>6.14</v>
      </c>
      <c r="D1394" t="s">
        <v>4683</v>
      </c>
      <c r="E1394" t="s">
        <v>4682</v>
      </c>
      <c r="F1394" t="s">
        <v>4682</v>
      </c>
      <c r="G1394">
        <v>0</v>
      </c>
      <c r="H1394" t="s">
        <v>4682</v>
      </c>
      <c r="I1394" t="str" cm="1">
        <f t="array" ref="I1394">_xlfn.IFS(B1394&lt;18.5, "Underweight", B1394&lt;=24.9, "Normal Weight", B1394&lt;=29.9, "Overweight", TRUE, "Obesity")</f>
        <v>Normal Weight</v>
      </c>
      <c r="J1394" t="str" cm="1">
        <f t="array" ref="J1394">_xlfn.IFS(C1394&lt;5.7, "Normal", C1394&lt;=6.4, "Prediabetes", TRUE, "Diabetes")</f>
        <v>Prediabetes</v>
      </c>
    </row>
    <row r="1395" spans="1:10">
      <c r="A1395" t="s">
        <v>2788</v>
      </c>
      <c r="B1395">
        <v>15.65</v>
      </c>
      <c r="C1395">
        <v>7.85</v>
      </c>
      <c r="D1395" t="s">
        <v>4682</v>
      </c>
      <c r="E1395" t="s">
        <v>4682</v>
      </c>
      <c r="F1395" t="s">
        <v>4682</v>
      </c>
      <c r="G1395">
        <v>0</v>
      </c>
      <c r="H1395" t="s">
        <v>4682</v>
      </c>
      <c r="I1395" t="str" cm="1">
        <f t="array" ref="I1395">_xlfn.IFS(B1395&lt;18.5, "Underweight", B1395&lt;=24.9, "Normal Weight", B1395&lt;=29.9, "Overweight", TRUE, "Obesity")</f>
        <v>Underweight</v>
      </c>
      <c r="J1395" t="str" cm="1">
        <f t="array" ref="J1395">_xlfn.IFS(C1395&lt;5.7, "Normal", C1395&lt;=6.4, "Prediabetes", TRUE, "Diabetes")</f>
        <v>Diabetes</v>
      </c>
    </row>
    <row r="1396" spans="1:10">
      <c r="A1396" t="s">
        <v>2790</v>
      </c>
      <c r="B1396">
        <v>39.97</v>
      </c>
      <c r="C1396">
        <v>4.09</v>
      </c>
      <c r="D1396" t="s">
        <v>4682</v>
      </c>
      <c r="E1396" t="s">
        <v>4682</v>
      </c>
      <c r="F1396" t="s">
        <v>4682</v>
      </c>
      <c r="G1396">
        <v>1</v>
      </c>
      <c r="H1396" t="s">
        <v>4682</v>
      </c>
      <c r="I1396" t="str" cm="1">
        <f t="array" ref="I1396">_xlfn.IFS(B1396&lt;18.5, "Underweight", B1396&lt;=24.9, "Normal Weight", B1396&lt;=29.9, "Overweight", TRUE, "Obesity")</f>
        <v>Obesity</v>
      </c>
      <c r="J1396" t="str" cm="1">
        <f t="array" ref="J1396">_xlfn.IFS(C1396&lt;5.7, "Normal", C1396&lt;=6.4, "Prediabetes", TRUE, "Diabetes")</f>
        <v>Normal</v>
      </c>
    </row>
    <row r="1397" spans="1:10">
      <c r="A1397" t="s">
        <v>2792</v>
      </c>
      <c r="B1397">
        <v>37.22</v>
      </c>
      <c r="C1397">
        <v>4.62</v>
      </c>
      <c r="D1397" t="s">
        <v>4682</v>
      </c>
      <c r="E1397" t="s">
        <v>4682</v>
      </c>
      <c r="F1397" t="s">
        <v>4684</v>
      </c>
      <c r="G1397">
        <v>1</v>
      </c>
      <c r="H1397" t="s">
        <v>4682</v>
      </c>
      <c r="I1397" t="str" cm="1">
        <f t="array" ref="I1397">_xlfn.IFS(B1397&lt;18.5, "Underweight", B1397&lt;=24.9, "Normal Weight", B1397&lt;=29.9, "Overweight", TRUE, "Obesity")</f>
        <v>Obesity</v>
      </c>
      <c r="J1397" t="str" cm="1">
        <f t="array" ref="J1397">_xlfn.IFS(C1397&lt;5.7, "Normal", C1397&lt;=6.4, "Prediabetes", TRUE, "Diabetes")</f>
        <v>Normal</v>
      </c>
    </row>
    <row r="1398" spans="1:10">
      <c r="A1398" t="s">
        <v>2794</v>
      </c>
      <c r="B1398">
        <v>41.325000000000003</v>
      </c>
      <c r="C1398">
        <v>5.77</v>
      </c>
      <c r="D1398" t="s">
        <v>4682</v>
      </c>
      <c r="E1398" t="s">
        <v>4682</v>
      </c>
      <c r="F1398" t="s">
        <v>4682</v>
      </c>
      <c r="G1398">
        <v>0</v>
      </c>
      <c r="H1398" t="s">
        <v>4682</v>
      </c>
      <c r="I1398" t="str" cm="1">
        <f t="array" ref="I1398">_xlfn.IFS(B1398&lt;18.5, "Underweight", B1398&lt;=24.9, "Normal Weight", B1398&lt;=29.9, "Overweight", TRUE, "Obesity")</f>
        <v>Obesity</v>
      </c>
      <c r="J1398" t="str" cm="1">
        <f t="array" ref="J1398">_xlfn.IFS(C1398&lt;5.7, "Normal", C1398&lt;=6.4, "Prediabetes", TRUE, "Diabetes")</f>
        <v>Prediabetes</v>
      </c>
    </row>
    <row r="1399" spans="1:10">
      <c r="A1399" t="s">
        <v>2796</v>
      </c>
      <c r="B1399">
        <v>40.31</v>
      </c>
      <c r="C1399">
        <v>5.84</v>
      </c>
      <c r="D1399" t="s">
        <v>4682</v>
      </c>
      <c r="E1399" t="s">
        <v>4682</v>
      </c>
      <c r="F1399" t="s">
        <v>4682</v>
      </c>
      <c r="G1399">
        <v>0</v>
      </c>
      <c r="H1399" t="s">
        <v>4682</v>
      </c>
      <c r="I1399" t="str" cm="1">
        <f t="array" ref="I1399">_xlfn.IFS(B1399&lt;18.5, "Underweight", B1399&lt;=24.9, "Normal Weight", B1399&lt;=29.9, "Overweight", TRUE, "Obesity")</f>
        <v>Obesity</v>
      </c>
      <c r="J1399" t="str" cm="1">
        <f t="array" ref="J1399">_xlfn.IFS(C1399&lt;5.7, "Normal", C1399&lt;=6.4, "Prediabetes", TRUE, "Diabetes")</f>
        <v>Prediabetes</v>
      </c>
    </row>
    <row r="1400" spans="1:10">
      <c r="A1400" t="s">
        <v>2798</v>
      </c>
      <c r="B1400">
        <v>29.48</v>
      </c>
      <c r="C1400">
        <v>4.91</v>
      </c>
      <c r="D1400" t="s">
        <v>4682</v>
      </c>
      <c r="E1400" t="s">
        <v>4682</v>
      </c>
      <c r="F1400" t="s">
        <v>4682</v>
      </c>
      <c r="G1400">
        <v>0</v>
      </c>
      <c r="H1400" t="s">
        <v>4682</v>
      </c>
      <c r="I1400" t="str" cm="1">
        <f t="array" ref="I1400">_xlfn.IFS(B1400&lt;18.5, "Underweight", B1400&lt;=24.9, "Normal Weight", B1400&lt;=29.9, "Overweight", TRUE, "Obesity")</f>
        <v>Overweight</v>
      </c>
      <c r="J1400" t="str" cm="1">
        <f t="array" ref="J1400">_xlfn.IFS(C1400&lt;5.7, "Normal", C1400&lt;=6.4, "Prediabetes", TRUE, "Diabetes")</f>
        <v>Normal</v>
      </c>
    </row>
    <row r="1401" spans="1:10">
      <c r="A1401" t="s">
        <v>2800</v>
      </c>
      <c r="B1401">
        <v>33.155000000000001</v>
      </c>
      <c r="C1401">
        <v>5.07</v>
      </c>
      <c r="D1401" t="s">
        <v>4682</v>
      </c>
      <c r="E1401" t="s">
        <v>4682</v>
      </c>
      <c r="F1401" t="s">
        <v>4682</v>
      </c>
      <c r="G1401">
        <v>0</v>
      </c>
      <c r="H1401" t="s">
        <v>4682</v>
      </c>
      <c r="I1401" t="str" cm="1">
        <f t="array" ref="I1401">_xlfn.IFS(B1401&lt;18.5, "Underweight", B1401&lt;=24.9, "Normal Weight", B1401&lt;=29.9, "Overweight", TRUE, "Obesity")</f>
        <v>Obesity</v>
      </c>
      <c r="J1401" t="str" cm="1">
        <f t="array" ref="J1401">_xlfn.IFS(C1401&lt;5.7, "Normal", C1401&lt;=6.4, "Prediabetes", TRUE, "Diabetes")</f>
        <v>Normal</v>
      </c>
    </row>
    <row r="1402" spans="1:10">
      <c r="A1402" t="s">
        <v>2802</v>
      </c>
      <c r="B1402">
        <v>42.85</v>
      </c>
      <c r="C1402">
        <v>5.81</v>
      </c>
      <c r="D1402" t="s">
        <v>4683</v>
      </c>
      <c r="E1402" t="s">
        <v>4682</v>
      </c>
      <c r="F1402" t="s">
        <v>4682</v>
      </c>
      <c r="G1402">
        <v>0</v>
      </c>
      <c r="H1402" t="s">
        <v>4682</v>
      </c>
      <c r="I1402" t="str" cm="1">
        <f t="array" ref="I1402">_xlfn.IFS(B1402&lt;18.5, "Underweight", B1402&lt;=24.9, "Normal Weight", B1402&lt;=29.9, "Overweight", TRUE, "Obesity")</f>
        <v>Obesity</v>
      </c>
      <c r="J1402" t="str" cm="1">
        <f t="array" ref="J1402">_xlfn.IFS(C1402&lt;5.7, "Normal", C1402&lt;=6.4, "Prediabetes", TRUE, "Diabetes")</f>
        <v>Prediabetes</v>
      </c>
    </row>
    <row r="1403" spans="1:10">
      <c r="A1403" t="s">
        <v>2804</v>
      </c>
      <c r="B1403">
        <v>32.340000000000003</v>
      </c>
      <c r="C1403">
        <v>11.2</v>
      </c>
      <c r="D1403" t="s">
        <v>4682</v>
      </c>
      <c r="E1403" t="s">
        <v>4682</v>
      </c>
      <c r="F1403" t="s">
        <v>4682</v>
      </c>
      <c r="G1403">
        <v>0</v>
      </c>
      <c r="H1403" t="s">
        <v>4682</v>
      </c>
      <c r="I1403" t="str" cm="1">
        <f t="array" ref="I1403">_xlfn.IFS(B1403&lt;18.5, "Underweight", B1403&lt;=24.9, "Normal Weight", B1403&lt;=29.9, "Overweight", TRUE, "Obesity")</f>
        <v>Obesity</v>
      </c>
      <c r="J1403" t="str" cm="1">
        <f t="array" ref="J1403">_xlfn.IFS(C1403&lt;5.7, "Normal", C1403&lt;=6.4, "Prediabetes", TRUE, "Diabetes")</f>
        <v>Diabetes</v>
      </c>
    </row>
    <row r="1404" spans="1:10">
      <c r="A1404" t="s">
        <v>2806</v>
      </c>
      <c r="B1404">
        <v>27.5</v>
      </c>
      <c r="C1404">
        <v>10.75</v>
      </c>
      <c r="D1404" t="s">
        <v>4682</v>
      </c>
      <c r="E1404" t="s">
        <v>4682</v>
      </c>
      <c r="F1404" t="s">
        <v>4682</v>
      </c>
      <c r="G1404">
        <v>0</v>
      </c>
      <c r="H1404" t="s">
        <v>4682</v>
      </c>
      <c r="I1404" t="str" cm="1">
        <f t="array" ref="I1404">_xlfn.IFS(B1404&lt;18.5, "Underweight", B1404&lt;=24.9, "Normal Weight", B1404&lt;=29.9, "Overweight", TRUE, "Obesity")</f>
        <v>Overweight</v>
      </c>
      <c r="J1404" t="str" cm="1">
        <f t="array" ref="J1404">_xlfn.IFS(C1404&lt;5.7, "Normal", C1404&lt;=6.4, "Prediabetes", TRUE, "Diabetes")</f>
        <v>Diabetes</v>
      </c>
    </row>
    <row r="1405" spans="1:10">
      <c r="A1405" t="s">
        <v>2808</v>
      </c>
      <c r="B1405">
        <v>25.8</v>
      </c>
      <c r="C1405">
        <v>7.8</v>
      </c>
      <c r="D1405" t="s">
        <v>4682</v>
      </c>
      <c r="E1405" t="s">
        <v>4682</v>
      </c>
      <c r="F1405" t="s">
        <v>4682</v>
      </c>
      <c r="G1405">
        <v>0</v>
      </c>
      <c r="H1405" t="s">
        <v>4682</v>
      </c>
      <c r="I1405" t="str" cm="1">
        <f t="array" ref="I1405">_xlfn.IFS(B1405&lt;18.5, "Underweight", B1405&lt;=24.9, "Normal Weight", B1405&lt;=29.9, "Overweight", TRUE, "Obesity")</f>
        <v>Overweight</v>
      </c>
      <c r="J1405" t="str" cm="1">
        <f t="array" ref="J1405">_xlfn.IFS(C1405&lt;5.7, "Normal", C1405&lt;=6.4, "Prediabetes", TRUE, "Diabetes")</f>
        <v>Diabetes</v>
      </c>
    </row>
    <row r="1406" spans="1:10">
      <c r="A1406" t="s">
        <v>2810</v>
      </c>
      <c r="B1406">
        <v>25</v>
      </c>
      <c r="C1406">
        <v>7.04</v>
      </c>
      <c r="D1406" t="s">
        <v>4682</v>
      </c>
      <c r="E1406" t="s">
        <v>4682</v>
      </c>
      <c r="F1406" t="s">
        <v>4682</v>
      </c>
      <c r="G1406">
        <v>0</v>
      </c>
      <c r="H1406" t="s">
        <v>4682</v>
      </c>
      <c r="I1406" t="str" cm="1">
        <f t="array" ref="I1406">_xlfn.IFS(B1406&lt;18.5, "Underweight", B1406&lt;=24.9, "Normal Weight", B1406&lt;=29.9, "Overweight", TRUE, "Obesity")</f>
        <v>Overweight</v>
      </c>
      <c r="J1406" t="str" cm="1">
        <f t="array" ref="J1406">_xlfn.IFS(C1406&lt;5.7, "Normal", C1406&lt;=6.4, "Prediabetes", TRUE, "Diabetes")</f>
        <v>Diabetes</v>
      </c>
    </row>
    <row r="1407" spans="1:10">
      <c r="A1407" t="s">
        <v>2812</v>
      </c>
      <c r="B1407">
        <v>41.2</v>
      </c>
      <c r="C1407">
        <v>4.18</v>
      </c>
      <c r="D1407" t="s">
        <v>4683</v>
      </c>
      <c r="E1407" t="s">
        <v>4682</v>
      </c>
      <c r="F1407" t="s">
        <v>4682</v>
      </c>
      <c r="G1407">
        <v>0</v>
      </c>
      <c r="H1407" t="s">
        <v>4682</v>
      </c>
      <c r="I1407" t="str" cm="1">
        <f t="array" ref="I1407">_xlfn.IFS(B1407&lt;18.5, "Underweight", B1407&lt;=24.9, "Normal Weight", B1407&lt;=29.9, "Overweight", TRUE, "Obesity")</f>
        <v>Obesity</v>
      </c>
      <c r="J1407" t="str" cm="1">
        <f t="array" ref="J1407">_xlfn.IFS(C1407&lt;5.7, "Normal", C1407&lt;=6.4, "Prediabetes", TRUE, "Diabetes")</f>
        <v>Normal</v>
      </c>
    </row>
    <row r="1408" spans="1:10">
      <c r="A1408" t="s">
        <v>2814</v>
      </c>
      <c r="B1408">
        <v>17.78</v>
      </c>
      <c r="C1408">
        <v>8.19</v>
      </c>
      <c r="D1408" t="s">
        <v>4682</v>
      </c>
      <c r="E1408" t="s">
        <v>4682</v>
      </c>
      <c r="F1408" t="s">
        <v>4682</v>
      </c>
      <c r="G1408">
        <v>0</v>
      </c>
      <c r="H1408" t="s">
        <v>4682</v>
      </c>
      <c r="I1408" t="str" cm="1">
        <f t="array" ref="I1408">_xlfn.IFS(B1408&lt;18.5, "Underweight", B1408&lt;=24.9, "Normal Weight", B1408&lt;=29.9, "Overweight", TRUE, "Obesity")</f>
        <v>Underweight</v>
      </c>
      <c r="J1408" t="str" cm="1">
        <f t="array" ref="J1408">_xlfn.IFS(C1408&lt;5.7, "Normal", C1408&lt;=6.4, "Prediabetes", TRUE, "Diabetes")</f>
        <v>Diabetes</v>
      </c>
    </row>
    <row r="1409" spans="1:10">
      <c r="A1409" t="s">
        <v>2816</v>
      </c>
      <c r="B1409">
        <v>40.119999999999997</v>
      </c>
      <c r="C1409">
        <v>6.22</v>
      </c>
      <c r="D1409" t="s">
        <v>4683</v>
      </c>
      <c r="E1409" t="s">
        <v>4682</v>
      </c>
      <c r="F1409" t="s">
        <v>4684</v>
      </c>
      <c r="G1409">
        <v>1</v>
      </c>
      <c r="H1409" t="s">
        <v>4682</v>
      </c>
      <c r="I1409" t="str" cm="1">
        <f t="array" ref="I1409">_xlfn.IFS(B1409&lt;18.5, "Underweight", B1409&lt;=24.9, "Normal Weight", B1409&lt;=29.9, "Overweight", TRUE, "Obesity")</f>
        <v>Obesity</v>
      </c>
      <c r="J1409" t="str" cm="1">
        <f t="array" ref="J1409">_xlfn.IFS(C1409&lt;5.7, "Normal", C1409&lt;=6.4, "Prediabetes", TRUE, "Diabetes")</f>
        <v>Prediabetes</v>
      </c>
    </row>
    <row r="1410" spans="1:10">
      <c r="A1410" t="s">
        <v>2818</v>
      </c>
      <c r="B1410">
        <v>19.350000000000001</v>
      </c>
      <c r="C1410">
        <v>8.2200000000000006</v>
      </c>
      <c r="D1410" t="s">
        <v>4683</v>
      </c>
      <c r="E1410" t="s">
        <v>4682</v>
      </c>
      <c r="F1410" t="s">
        <v>4682</v>
      </c>
      <c r="G1410">
        <v>0</v>
      </c>
      <c r="H1410" t="s">
        <v>4682</v>
      </c>
      <c r="I1410" t="str" cm="1">
        <f t="array" ref="I1410">_xlfn.IFS(B1410&lt;18.5, "Underweight", B1410&lt;=24.9, "Normal Weight", B1410&lt;=29.9, "Overweight", TRUE, "Obesity")</f>
        <v>Normal Weight</v>
      </c>
      <c r="J1410" t="str" cm="1">
        <f t="array" ref="J1410">_xlfn.IFS(C1410&lt;5.7, "Normal", C1410&lt;=6.4, "Prediabetes", TRUE, "Diabetes")</f>
        <v>Diabetes</v>
      </c>
    </row>
    <row r="1411" spans="1:10">
      <c r="A1411" t="s">
        <v>2820</v>
      </c>
      <c r="B1411">
        <v>36.69</v>
      </c>
      <c r="C1411">
        <v>6.15</v>
      </c>
      <c r="D1411" t="s">
        <v>4682</v>
      </c>
      <c r="E1411" t="s">
        <v>4682</v>
      </c>
      <c r="F1411" t="s">
        <v>4682</v>
      </c>
      <c r="G1411">
        <v>0</v>
      </c>
      <c r="H1411" t="s">
        <v>4682</v>
      </c>
      <c r="I1411" t="str" cm="1">
        <f t="array" ref="I1411">_xlfn.IFS(B1411&lt;18.5, "Underweight", B1411&lt;=24.9, "Normal Weight", B1411&lt;=29.9, "Overweight", TRUE, "Obesity")</f>
        <v>Obesity</v>
      </c>
      <c r="J1411" t="str" cm="1">
        <f t="array" ref="J1411">_xlfn.IFS(C1411&lt;5.7, "Normal", C1411&lt;=6.4, "Prediabetes", TRUE, "Diabetes")</f>
        <v>Prediabetes</v>
      </c>
    </row>
    <row r="1412" spans="1:10">
      <c r="A1412" t="s">
        <v>2822</v>
      </c>
      <c r="B1412">
        <v>28.51</v>
      </c>
      <c r="C1412">
        <v>5.65</v>
      </c>
      <c r="D1412" t="s">
        <v>4683</v>
      </c>
      <c r="E1412" t="s">
        <v>4682</v>
      </c>
      <c r="F1412" t="s">
        <v>4682</v>
      </c>
      <c r="G1412">
        <v>1</v>
      </c>
      <c r="H1412" t="s">
        <v>4682</v>
      </c>
      <c r="I1412" t="str" cm="1">
        <f t="array" ref="I1412">_xlfn.IFS(B1412&lt;18.5, "Underweight", B1412&lt;=24.9, "Normal Weight", B1412&lt;=29.9, "Overweight", TRUE, "Obesity")</f>
        <v>Overweight</v>
      </c>
      <c r="J1412" t="str" cm="1">
        <f t="array" ref="J1412">_xlfn.IFS(C1412&lt;5.7, "Normal", C1412&lt;=6.4, "Prediabetes", TRUE, "Diabetes")</f>
        <v>Normal</v>
      </c>
    </row>
    <row r="1413" spans="1:10">
      <c r="A1413" t="s">
        <v>2824</v>
      </c>
      <c r="B1413">
        <v>30.21</v>
      </c>
      <c r="C1413">
        <v>5.5</v>
      </c>
      <c r="D1413" t="s">
        <v>4682</v>
      </c>
      <c r="E1413" t="s">
        <v>4682</v>
      </c>
      <c r="F1413" t="s">
        <v>4682</v>
      </c>
      <c r="G1413">
        <v>1</v>
      </c>
      <c r="H1413" t="s">
        <v>4682</v>
      </c>
      <c r="I1413" t="str" cm="1">
        <f t="array" ref="I1413">_xlfn.IFS(B1413&lt;18.5, "Underweight", B1413&lt;=24.9, "Normal Weight", B1413&lt;=29.9, "Overweight", TRUE, "Obesity")</f>
        <v>Obesity</v>
      </c>
      <c r="J1413" t="str" cm="1">
        <f t="array" ref="J1413">_xlfn.IFS(C1413&lt;5.7, "Normal", C1413&lt;=6.4, "Prediabetes", TRUE, "Diabetes")</f>
        <v>Normal</v>
      </c>
    </row>
    <row r="1414" spans="1:10">
      <c r="A1414" t="s">
        <v>2826</v>
      </c>
      <c r="B1414">
        <v>24.33</v>
      </c>
      <c r="C1414">
        <v>8</v>
      </c>
      <c r="D1414" t="s">
        <v>4682</v>
      </c>
      <c r="E1414" t="s">
        <v>4682</v>
      </c>
      <c r="F1414" t="s">
        <v>4682</v>
      </c>
      <c r="G1414">
        <v>0</v>
      </c>
      <c r="H1414" t="s">
        <v>4682</v>
      </c>
      <c r="I1414" t="str" cm="1">
        <f t="array" ref="I1414">_xlfn.IFS(B1414&lt;18.5, "Underweight", B1414&lt;=24.9, "Normal Weight", B1414&lt;=29.9, "Overweight", TRUE, "Obesity")</f>
        <v>Normal Weight</v>
      </c>
      <c r="J1414" t="str" cm="1">
        <f t="array" ref="J1414">_xlfn.IFS(C1414&lt;5.7, "Normal", C1414&lt;=6.4, "Prediabetes", TRUE, "Diabetes")</f>
        <v>Diabetes</v>
      </c>
    </row>
    <row r="1415" spans="1:10">
      <c r="A1415" t="s">
        <v>2828</v>
      </c>
      <c r="B1415">
        <v>19.855</v>
      </c>
      <c r="C1415">
        <v>5.71</v>
      </c>
      <c r="D1415" t="s">
        <v>4683</v>
      </c>
      <c r="E1415" t="s">
        <v>4682</v>
      </c>
      <c r="F1415" t="s">
        <v>4682</v>
      </c>
      <c r="G1415">
        <v>0</v>
      </c>
      <c r="H1415" t="s">
        <v>4682</v>
      </c>
      <c r="I1415" t="str" cm="1">
        <f t="array" ref="I1415">_xlfn.IFS(B1415&lt;18.5, "Underweight", B1415&lt;=24.9, "Normal Weight", B1415&lt;=29.9, "Overweight", TRUE, "Obesity")</f>
        <v>Normal Weight</v>
      </c>
      <c r="J1415" t="str" cm="1">
        <f t="array" ref="J1415">_xlfn.IFS(C1415&lt;5.7, "Normal", C1415&lt;=6.4, "Prediabetes", TRUE, "Diabetes")</f>
        <v>Prediabetes</v>
      </c>
    </row>
    <row r="1416" spans="1:10">
      <c r="A1416" t="s">
        <v>2830</v>
      </c>
      <c r="B1416">
        <v>25.364999999999998</v>
      </c>
      <c r="C1416">
        <v>11.71</v>
      </c>
      <c r="D1416" t="s">
        <v>4682</v>
      </c>
      <c r="E1416" t="s">
        <v>4682</v>
      </c>
      <c r="F1416" t="s">
        <v>4682</v>
      </c>
      <c r="G1416">
        <v>0</v>
      </c>
      <c r="H1416" t="s">
        <v>4682</v>
      </c>
      <c r="I1416" t="str" cm="1">
        <f t="array" ref="I1416">_xlfn.IFS(B1416&lt;18.5, "Underweight", B1416&lt;=24.9, "Normal Weight", B1416&lt;=29.9, "Overweight", TRUE, "Obesity")</f>
        <v>Overweight</v>
      </c>
      <c r="J1416" t="str" cm="1">
        <f t="array" ref="J1416">_xlfn.IFS(C1416&lt;5.7, "Normal", C1416&lt;=6.4, "Prediabetes", TRUE, "Diabetes")</f>
        <v>Diabetes</v>
      </c>
    </row>
    <row r="1417" spans="1:10">
      <c r="A1417" t="s">
        <v>2832</v>
      </c>
      <c r="B1417">
        <v>29.6</v>
      </c>
      <c r="C1417">
        <v>6.17</v>
      </c>
      <c r="D1417" t="s">
        <v>4683</v>
      </c>
      <c r="E1417" t="s">
        <v>4682</v>
      </c>
      <c r="F1417" t="s">
        <v>4684</v>
      </c>
      <c r="G1417">
        <v>1</v>
      </c>
      <c r="H1417" t="s">
        <v>4682</v>
      </c>
      <c r="I1417" t="str" cm="1">
        <f t="array" ref="I1417">_xlfn.IFS(B1417&lt;18.5, "Underweight", B1417&lt;=24.9, "Normal Weight", B1417&lt;=29.9, "Overweight", TRUE, "Obesity")</f>
        <v>Overweight</v>
      </c>
      <c r="J1417" t="str" cm="1">
        <f t="array" ref="J1417">_xlfn.IFS(C1417&lt;5.7, "Normal", C1417&lt;=6.4, "Prediabetes", TRUE, "Diabetes")</f>
        <v>Prediabetes</v>
      </c>
    </row>
    <row r="1418" spans="1:10">
      <c r="A1418" t="s">
        <v>2834</v>
      </c>
      <c r="B1418">
        <v>39.43</v>
      </c>
      <c r="C1418">
        <v>6.1</v>
      </c>
      <c r="D1418" t="s">
        <v>4683</v>
      </c>
      <c r="E1418" t="s">
        <v>4682</v>
      </c>
      <c r="F1418" t="s">
        <v>4684</v>
      </c>
      <c r="G1418">
        <v>1</v>
      </c>
      <c r="H1418" t="s">
        <v>4682</v>
      </c>
      <c r="I1418" t="str" cm="1">
        <f t="array" ref="I1418">_xlfn.IFS(B1418&lt;18.5, "Underweight", B1418&lt;=24.9, "Normal Weight", B1418&lt;=29.9, "Overweight", TRUE, "Obesity")</f>
        <v>Obesity</v>
      </c>
      <c r="J1418" t="str" cm="1">
        <f t="array" ref="J1418">_xlfn.IFS(C1418&lt;5.7, "Normal", C1418&lt;=6.4, "Prediabetes", TRUE, "Diabetes")</f>
        <v>Prediabetes</v>
      </c>
    </row>
    <row r="1419" spans="1:10">
      <c r="A1419" t="s">
        <v>2836</v>
      </c>
      <c r="B1419">
        <v>27.34</v>
      </c>
      <c r="C1419">
        <v>5.19</v>
      </c>
      <c r="D1419" t="s">
        <v>4683</v>
      </c>
      <c r="E1419" t="s">
        <v>4682</v>
      </c>
      <c r="F1419" t="s">
        <v>4682</v>
      </c>
      <c r="G1419">
        <v>1</v>
      </c>
      <c r="H1419" t="s">
        <v>4682</v>
      </c>
      <c r="I1419" t="str" cm="1">
        <f t="array" ref="I1419">_xlfn.IFS(B1419&lt;18.5, "Underweight", B1419&lt;=24.9, "Normal Weight", B1419&lt;=29.9, "Overweight", TRUE, "Obesity")</f>
        <v>Overweight</v>
      </c>
      <c r="J1419" t="str" cm="1">
        <f t="array" ref="J1419">_xlfn.IFS(C1419&lt;5.7, "Normal", C1419&lt;=6.4, "Prediabetes", TRUE, "Diabetes")</f>
        <v>Normal</v>
      </c>
    </row>
    <row r="1420" spans="1:10">
      <c r="A1420" t="s">
        <v>2838</v>
      </c>
      <c r="B1420">
        <v>39.01</v>
      </c>
      <c r="C1420">
        <v>5.37</v>
      </c>
      <c r="D1420" t="s">
        <v>4683</v>
      </c>
      <c r="E1420" t="s">
        <v>4682</v>
      </c>
      <c r="F1420" t="s">
        <v>4682</v>
      </c>
      <c r="G1420">
        <v>0</v>
      </c>
      <c r="H1420" t="s">
        <v>4682</v>
      </c>
      <c r="I1420" t="str" cm="1">
        <f t="array" ref="I1420">_xlfn.IFS(B1420&lt;18.5, "Underweight", B1420&lt;=24.9, "Normal Weight", B1420&lt;=29.9, "Overweight", TRUE, "Obesity")</f>
        <v>Obesity</v>
      </c>
      <c r="J1420" t="str" cm="1">
        <f t="array" ref="J1420">_xlfn.IFS(C1420&lt;5.7, "Normal", C1420&lt;=6.4, "Prediabetes", TRUE, "Diabetes")</f>
        <v>Normal</v>
      </c>
    </row>
    <row r="1421" spans="1:10">
      <c r="A1421" t="s">
        <v>2840</v>
      </c>
      <c r="B1421">
        <v>18.989999999999998</v>
      </c>
      <c r="C1421">
        <v>10.82</v>
      </c>
      <c r="D1421" t="s">
        <v>4683</v>
      </c>
      <c r="E1421" t="s">
        <v>4682</v>
      </c>
      <c r="F1421" t="s">
        <v>4682</v>
      </c>
      <c r="G1421">
        <v>0</v>
      </c>
      <c r="H1421" t="s">
        <v>4682</v>
      </c>
      <c r="I1421" t="str" cm="1">
        <f t="array" ref="I1421">_xlfn.IFS(B1421&lt;18.5, "Underweight", B1421&lt;=24.9, "Normal Weight", B1421&lt;=29.9, "Overweight", TRUE, "Obesity")</f>
        <v>Normal Weight</v>
      </c>
      <c r="J1421" t="str" cm="1">
        <f t="array" ref="J1421">_xlfn.IFS(C1421&lt;5.7, "Normal", C1421&lt;=6.4, "Prediabetes", TRUE, "Diabetes")</f>
        <v>Diabetes</v>
      </c>
    </row>
    <row r="1422" spans="1:10">
      <c r="A1422" t="s">
        <v>2842</v>
      </c>
      <c r="B1422">
        <v>42.3</v>
      </c>
      <c r="C1422">
        <v>6.06</v>
      </c>
      <c r="D1422" t="s">
        <v>4683</v>
      </c>
      <c r="E1422" t="s">
        <v>4682</v>
      </c>
      <c r="F1422" t="s">
        <v>4682</v>
      </c>
      <c r="G1422">
        <v>0</v>
      </c>
      <c r="H1422" t="s">
        <v>4682</v>
      </c>
      <c r="I1422" t="str" cm="1">
        <f t="array" ref="I1422">_xlfn.IFS(B1422&lt;18.5, "Underweight", B1422&lt;=24.9, "Normal Weight", B1422&lt;=29.9, "Overweight", TRUE, "Obesity")</f>
        <v>Obesity</v>
      </c>
      <c r="J1422" t="str" cm="1">
        <f t="array" ref="J1422">_xlfn.IFS(C1422&lt;5.7, "Normal", C1422&lt;=6.4, "Prediabetes", TRUE, "Diabetes")</f>
        <v>Prediabetes</v>
      </c>
    </row>
    <row r="1423" spans="1:10">
      <c r="A1423" t="s">
        <v>2844</v>
      </c>
      <c r="B1423">
        <v>39.805</v>
      </c>
      <c r="C1423">
        <v>5.91</v>
      </c>
      <c r="D1423" t="s">
        <v>4682</v>
      </c>
      <c r="E1423" t="s">
        <v>4682</v>
      </c>
      <c r="F1423" t="s">
        <v>4682</v>
      </c>
      <c r="G1423">
        <v>0</v>
      </c>
      <c r="H1423" t="s">
        <v>4682</v>
      </c>
      <c r="I1423" t="str" cm="1">
        <f t="array" ref="I1423">_xlfn.IFS(B1423&lt;18.5, "Underweight", B1423&lt;=24.9, "Normal Weight", B1423&lt;=29.9, "Overweight", TRUE, "Obesity")</f>
        <v>Obesity</v>
      </c>
      <c r="J1423" t="str" cm="1">
        <f t="array" ref="J1423">_xlfn.IFS(C1423&lt;5.7, "Normal", C1423&lt;=6.4, "Prediabetes", TRUE, "Diabetes")</f>
        <v>Prediabetes</v>
      </c>
    </row>
    <row r="1424" spans="1:10">
      <c r="A1424" t="s">
        <v>2846</v>
      </c>
      <c r="B1424">
        <v>33.700000000000003</v>
      </c>
      <c r="C1424">
        <v>5.87</v>
      </c>
      <c r="D1424" t="s">
        <v>4682</v>
      </c>
      <c r="E1424" t="s">
        <v>4682</v>
      </c>
      <c r="F1424" t="s">
        <v>4682</v>
      </c>
      <c r="G1424">
        <v>0</v>
      </c>
      <c r="H1424" t="s">
        <v>4682</v>
      </c>
      <c r="I1424" t="str" cm="1">
        <f t="array" ref="I1424">_xlfn.IFS(B1424&lt;18.5, "Underweight", B1424&lt;=24.9, "Normal Weight", B1424&lt;=29.9, "Overweight", TRUE, "Obesity")</f>
        <v>Obesity</v>
      </c>
      <c r="J1424" t="str" cm="1">
        <f t="array" ref="J1424">_xlfn.IFS(C1424&lt;5.7, "Normal", C1424&lt;=6.4, "Prediabetes", TRUE, "Diabetes")</f>
        <v>Prediabetes</v>
      </c>
    </row>
    <row r="1425" spans="1:10">
      <c r="A1425" t="s">
        <v>2848</v>
      </c>
      <c r="B1425">
        <v>36.195</v>
      </c>
      <c r="C1425">
        <v>6.22</v>
      </c>
      <c r="D1425" t="s">
        <v>4682</v>
      </c>
      <c r="E1425" t="s">
        <v>4682</v>
      </c>
      <c r="F1425" t="s">
        <v>4682</v>
      </c>
      <c r="G1425">
        <v>0</v>
      </c>
      <c r="H1425" t="s">
        <v>4682</v>
      </c>
      <c r="I1425" t="str" cm="1">
        <f t="array" ref="I1425">_xlfn.IFS(B1425&lt;18.5, "Underweight", B1425&lt;=24.9, "Normal Weight", B1425&lt;=29.9, "Overweight", TRUE, "Obesity")</f>
        <v>Obesity</v>
      </c>
      <c r="J1425" t="str" cm="1">
        <f t="array" ref="J1425">_xlfn.IFS(C1425&lt;5.7, "Normal", C1425&lt;=6.4, "Prediabetes", TRUE, "Diabetes")</f>
        <v>Prediabetes</v>
      </c>
    </row>
    <row r="1426" spans="1:10">
      <c r="A1426" t="s">
        <v>2850</v>
      </c>
      <c r="B1426">
        <v>32.6</v>
      </c>
      <c r="C1426">
        <v>5.73</v>
      </c>
      <c r="D1426" t="s">
        <v>4682</v>
      </c>
      <c r="E1426" t="s">
        <v>4682</v>
      </c>
      <c r="F1426" t="s">
        <v>4684</v>
      </c>
      <c r="G1426">
        <v>1</v>
      </c>
      <c r="H1426" t="s">
        <v>4682</v>
      </c>
      <c r="I1426" t="str" cm="1">
        <f t="array" ref="I1426">_xlfn.IFS(B1426&lt;18.5, "Underweight", B1426&lt;=24.9, "Normal Weight", B1426&lt;=29.9, "Overweight", TRUE, "Obesity")</f>
        <v>Obesity</v>
      </c>
      <c r="J1426" t="str" cm="1">
        <f t="array" ref="J1426">_xlfn.IFS(C1426&lt;5.7, "Normal", C1426&lt;=6.4, "Prediabetes", TRUE, "Diabetes")</f>
        <v>Prediabetes</v>
      </c>
    </row>
    <row r="1427" spans="1:10">
      <c r="A1427" t="s">
        <v>2852</v>
      </c>
      <c r="B1427">
        <v>30.2</v>
      </c>
      <c r="C1427">
        <v>5.7</v>
      </c>
      <c r="D1427" t="s">
        <v>4682</v>
      </c>
      <c r="E1427" t="s">
        <v>4682</v>
      </c>
      <c r="F1427" t="s">
        <v>4682</v>
      </c>
      <c r="G1427">
        <v>0</v>
      </c>
      <c r="H1427" t="s">
        <v>4682</v>
      </c>
      <c r="I1427" t="str" cm="1">
        <f t="array" ref="I1427">_xlfn.IFS(B1427&lt;18.5, "Underweight", B1427&lt;=24.9, "Normal Weight", B1427&lt;=29.9, "Overweight", TRUE, "Obesity")</f>
        <v>Obesity</v>
      </c>
      <c r="J1427" t="str" cm="1">
        <f t="array" ref="J1427">_xlfn.IFS(C1427&lt;5.7, "Normal", C1427&lt;=6.4, "Prediabetes", TRUE, "Diabetes")</f>
        <v>Prediabetes</v>
      </c>
    </row>
    <row r="1428" spans="1:10">
      <c r="A1428" t="s">
        <v>2854</v>
      </c>
      <c r="B1428">
        <v>27.645</v>
      </c>
      <c r="C1428">
        <v>9.91</v>
      </c>
      <c r="D1428" t="s">
        <v>4682</v>
      </c>
      <c r="E1428" t="s">
        <v>4682</v>
      </c>
      <c r="F1428" t="s">
        <v>4682</v>
      </c>
      <c r="G1428">
        <v>0</v>
      </c>
      <c r="H1428" t="s">
        <v>4682</v>
      </c>
      <c r="I1428" t="str" cm="1">
        <f t="array" ref="I1428">_xlfn.IFS(B1428&lt;18.5, "Underweight", B1428&lt;=24.9, "Normal Weight", B1428&lt;=29.9, "Overweight", TRUE, "Obesity")</f>
        <v>Overweight</v>
      </c>
      <c r="J1428" t="str" cm="1">
        <f t="array" ref="J1428">_xlfn.IFS(C1428&lt;5.7, "Normal", C1428&lt;=6.4, "Prediabetes", TRUE, "Diabetes")</f>
        <v>Diabetes</v>
      </c>
    </row>
    <row r="1429" spans="1:10">
      <c r="A1429" t="s">
        <v>2856</v>
      </c>
      <c r="B1429">
        <v>26.41</v>
      </c>
      <c r="C1429">
        <v>11.4</v>
      </c>
      <c r="D1429" t="s">
        <v>4682</v>
      </c>
      <c r="E1429" t="s">
        <v>4682</v>
      </c>
      <c r="F1429" t="s">
        <v>4682</v>
      </c>
      <c r="G1429">
        <v>0</v>
      </c>
      <c r="H1429" t="s">
        <v>4682</v>
      </c>
      <c r="I1429" t="str" cm="1">
        <f t="array" ref="I1429">_xlfn.IFS(B1429&lt;18.5, "Underweight", B1429&lt;=24.9, "Normal Weight", B1429&lt;=29.9, "Overweight", TRUE, "Obesity")</f>
        <v>Overweight</v>
      </c>
      <c r="J1429" t="str" cm="1">
        <f t="array" ref="J1429">_xlfn.IFS(C1429&lt;5.7, "Normal", C1429&lt;=6.4, "Prediabetes", TRUE, "Diabetes")</f>
        <v>Diabetes</v>
      </c>
    </row>
    <row r="1430" spans="1:10">
      <c r="A1430" t="s">
        <v>2858</v>
      </c>
      <c r="B1430">
        <v>34.1</v>
      </c>
      <c r="C1430">
        <v>6.29</v>
      </c>
      <c r="D1430" t="s">
        <v>4683</v>
      </c>
      <c r="E1430" t="s">
        <v>4682</v>
      </c>
      <c r="F1430" t="s">
        <v>4684</v>
      </c>
      <c r="G1430">
        <v>1</v>
      </c>
      <c r="H1430" t="s">
        <v>4682</v>
      </c>
      <c r="I1430" t="str" cm="1">
        <f t="array" ref="I1430">_xlfn.IFS(B1430&lt;18.5, "Underweight", B1430&lt;=24.9, "Normal Weight", B1430&lt;=29.9, "Overweight", TRUE, "Obesity")</f>
        <v>Obesity</v>
      </c>
      <c r="J1430" t="str" cm="1">
        <f t="array" ref="J1430">_xlfn.IFS(C1430&lt;5.7, "Normal", C1430&lt;=6.4, "Prediabetes", TRUE, "Diabetes")</f>
        <v>Prediabetes</v>
      </c>
    </row>
    <row r="1431" spans="1:10">
      <c r="A1431" t="s">
        <v>2860</v>
      </c>
      <c r="B1431">
        <v>17.3</v>
      </c>
      <c r="C1431">
        <v>9.2799999999999994</v>
      </c>
      <c r="D1431" t="s">
        <v>4682</v>
      </c>
      <c r="E1431" t="s">
        <v>4682</v>
      </c>
      <c r="F1431" t="s">
        <v>4682</v>
      </c>
      <c r="G1431">
        <v>0</v>
      </c>
      <c r="H1431" t="s">
        <v>4682</v>
      </c>
      <c r="I1431" t="str" cm="1">
        <f t="array" ref="I1431">_xlfn.IFS(B1431&lt;18.5, "Underweight", B1431&lt;=24.9, "Normal Weight", B1431&lt;=29.9, "Overweight", TRUE, "Obesity")</f>
        <v>Underweight</v>
      </c>
      <c r="J1431" t="str" cm="1">
        <f t="array" ref="J1431">_xlfn.IFS(C1431&lt;5.7, "Normal", C1431&lt;=6.4, "Prediabetes", TRUE, "Diabetes")</f>
        <v>Diabetes</v>
      </c>
    </row>
    <row r="1432" spans="1:10">
      <c r="A1432" t="s">
        <v>2862</v>
      </c>
      <c r="B1432">
        <v>35.020000000000003</v>
      </c>
      <c r="C1432">
        <v>4.78</v>
      </c>
      <c r="D1432" t="s">
        <v>4682</v>
      </c>
      <c r="E1432" t="s">
        <v>4682</v>
      </c>
      <c r="F1432" t="s">
        <v>4684</v>
      </c>
      <c r="G1432">
        <v>1</v>
      </c>
      <c r="H1432" t="s">
        <v>4682</v>
      </c>
      <c r="I1432" t="str" cm="1">
        <f t="array" ref="I1432">_xlfn.IFS(B1432&lt;18.5, "Underweight", B1432&lt;=24.9, "Normal Weight", B1432&lt;=29.9, "Overweight", TRUE, "Obesity")</f>
        <v>Obesity</v>
      </c>
      <c r="J1432" t="str" cm="1">
        <f t="array" ref="J1432">_xlfn.IFS(C1432&lt;5.7, "Normal", C1432&lt;=6.4, "Prediabetes", TRUE, "Diabetes")</f>
        <v>Normal</v>
      </c>
    </row>
    <row r="1433" spans="1:10">
      <c r="A1433" t="s">
        <v>2864</v>
      </c>
      <c r="B1433">
        <v>37.1</v>
      </c>
      <c r="C1433">
        <v>8.8699999999999992</v>
      </c>
      <c r="D1433" t="s">
        <v>4683</v>
      </c>
      <c r="E1433" t="s">
        <v>4682</v>
      </c>
      <c r="F1433" t="s">
        <v>4682</v>
      </c>
      <c r="G1433">
        <v>0</v>
      </c>
      <c r="H1433" t="s">
        <v>4682</v>
      </c>
      <c r="I1433" t="str" cm="1">
        <f t="array" ref="I1433">_xlfn.IFS(B1433&lt;18.5, "Underweight", B1433&lt;=24.9, "Normal Weight", B1433&lt;=29.9, "Overweight", TRUE, "Obesity")</f>
        <v>Obesity</v>
      </c>
      <c r="J1433" t="str" cm="1">
        <f t="array" ref="J1433">_xlfn.IFS(C1433&lt;5.7, "Normal", C1433&lt;=6.4, "Prediabetes", TRUE, "Diabetes")</f>
        <v>Diabetes</v>
      </c>
    </row>
    <row r="1434" spans="1:10">
      <c r="A1434" t="s">
        <v>2866</v>
      </c>
      <c r="B1434">
        <v>16.79</v>
      </c>
      <c r="C1434">
        <v>11.4</v>
      </c>
      <c r="D1434" t="s">
        <v>4682</v>
      </c>
      <c r="E1434" t="s">
        <v>4682</v>
      </c>
      <c r="F1434" t="s">
        <v>4682</v>
      </c>
      <c r="G1434">
        <v>0</v>
      </c>
      <c r="H1434" t="s">
        <v>4682</v>
      </c>
      <c r="I1434" t="str" cm="1">
        <f t="array" ref="I1434">_xlfn.IFS(B1434&lt;18.5, "Underweight", B1434&lt;=24.9, "Normal Weight", B1434&lt;=29.9, "Overweight", TRUE, "Obesity")</f>
        <v>Underweight</v>
      </c>
      <c r="J1434" t="str" cm="1">
        <f t="array" ref="J1434">_xlfn.IFS(C1434&lt;5.7, "Normal", C1434&lt;=6.4, "Prediabetes", TRUE, "Diabetes")</f>
        <v>Diabetes</v>
      </c>
    </row>
    <row r="1435" spans="1:10">
      <c r="A1435" t="s">
        <v>2868</v>
      </c>
      <c r="B1435">
        <v>31.635000000000002</v>
      </c>
      <c r="C1435">
        <v>9.1300000000000008</v>
      </c>
      <c r="D1435" t="s">
        <v>4683</v>
      </c>
      <c r="E1435" t="s">
        <v>4682</v>
      </c>
      <c r="F1435" t="s">
        <v>4682</v>
      </c>
      <c r="G1435">
        <v>0</v>
      </c>
      <c r="H1435" t="s">
        <v>4682</v>
      </c>
      <c r="I1435" t="str" cm="1">
        <f t="array" ref="I1435">_xlfn.IFS(B1435&lt;18.5, "Underweight", B1435&lt;=24.9, "Normal Weight", B1435&lt;=29.9, "Overweight", TRUE, "Obesity")</f>
        <v>Obesity</v>
      </c>
      <c r="J1435" t="str" cm="1">
        <f t="array" ref="J1435">_xlfn.IFS(C1435&lt;5.7, "Normal", C1435&lt;=6.4, "Prediabetes", TRUE, "Diabetes")</f>
        <v>Diabetes</v>
      </c>
    </row>
    <row r="1436" spans="1:10">
      <c r="A1436" t="s">
        <v>2870</v>
      </c>
      <c r="B1436">
        <v>24.19</v>
      </c>
      <c r="C1436">
        <v>6.22</v>
      </c>
      <c r="D1436" t="s">
        <v>4683</v>
      </c>
      <c r="E1436" t="s">
        <v>4682</v>
      </c>
      <c r="F1436" t="s">
        <v>4684</v>
      </c>
      <c r="G1436">
        <v>1</v>
      </c>
      <c r="H1436" t="s">
        <v>4682</v>
      </c>
      <c r="I1436" t="str" cm="1">
        <f t="array" ref="I1436">_xlfn.IFS(B1436&lt;18.5, "Underweight", B1436&lt;=24.9, "Normal Weight", B1436&lt;=29.9, "Overweight", TRUE, "Obesity")</f>
        <v>Normal Weight</v>
      </c>
      <c r="J1436" t="str" cm="1">
        <f t="array" ref="J1436">_xlfn.IFS(C1436&lt;5.7, "Normal", C1436&lt;=6.4, "Prediabetes", TRUE, "Diabetes")</f>
        <v>Prediabetes</v>
      </c>
    </row>
    <row r="1437" spans="1:10">
      <c r="A1437" t="s">
        <v>2872</v>
      </c>
      <c r="B1437">
        <v>35.29</v>
      </c>
      <c r="C1437">
        <v>5.9</v>
      </c>
      <c r="D1437" t="s">
        <v>4682</v>
      </c>
      <c r="E1437" t="s">
        <v>4682</v>
      </c>
      <c r="F1437" t="s">
        <v>4684</v>
      </c>
      <c r="G1437">
        <v>1</v>
      </c>
      <c r="H1437" t="s">
        <v>4682</v>
      </c>
      <c r="I1437" t="str" cm="1">
        <f t="array" ref="I1437">_xlfn.IFS(B1437&lt;18.5, "Underweight", B1437&lt;=24.9, "Normal Weight", B1437&lt;=29.9, "Overweight", TRUE, "Obesity")</f>
        <v>Obesity</v>
      </c>
      <c r="J1437" t="str" cm="1">
        <f t="array" ref="J1437">_xlfn.IFS(C1437&lt;5.7, "Normal", C1437&lt;=6.4, "Prediabetes", TRUE, "Diabetes")</f>
        <v>Prediabetes</v>
      </c>
    </row>
    <row r="1438" spans="1:10">
      <c r="A1438" t="s">
        <v>2874</v>
      </c>
      <c r="B1438">
        <v>35.299999999999997</v>
      </c>
      <c r="C1438">
        <v>4.45</v>
      </c>
      <c r="D1438" t="s">
        <v>4682</v>
      </c>
      <c r="E1438" t="s">
        <v>4682</v>
      </c>
      <c r="F1438" t="s">
        <v>4682</v>
      </c>
      <c r="G1438">
        <v>0</v>
      </c>
      <c r="H1438" t="s">
        <v>4682</v>
      </c>
      <c r="I1438" t="str" cm="1">
        <f t="array" ref="I1438">_xlfn.IFS(B1438&lt;18.5, "Underweight", B1438&lt;=24.9, "Normal Weight", B1438&lt;=29.9, "Overweight", TRUE, "Obesity")</f>
        <v>Obesity</v>
      </c>
      <c r="J1438" t="str" cm="1">
        <f t="array" ref="J1438">_xlfn.IFS(C1438&lt;5.7, "Normal", C1438&lt;=6.4, "Prediabetes", TRUE, "Diabetes")</f>
        <v>Normal</v>
      </c>
    </row>
    <row r="1439" spans="1:10">
      <c r="A1439" t="s">
        <v>2876</v>
      </c>
      <c r="B1439">
        <v>35.64</v>
      </c>
      <c r="C1439">
        <v>6.17</v>
      </c>
      <c r="D1439" t="s">
        <v>4682</v>
      </c>
      <c r="E1439" t="s">
        <v>4682</v>
      </c>
      <c r="F1439" t="s">
        <v>4684</v>
      </c>
      <c r="G1439">
        <v>1</v>
      </c>
      <c r="H1439" t="s">
        <v>4682</v>
      </c>
      <c r="I1439" t="str" cm="1">
        <f t="array" ref="I1439">_xlfn.IFS(B1439&lt;18.5, "Underweight", B1439&lt;=24.9, "Normal Weight", B1439&lt;=29.9, "Overweight", TRUE, "Obesity")</f>
        <v>Obesity</v>
      </c>
      <c r="J1439" t="str" cm="1">
        <f t="array" ref="J1439">_xlfn.IFS(C1439&lt;5.7, "Normal", C1439&lt;=6.4, "Prediabetes", TRUE, "Diabetes")</f>
        <v>Prediabetes</v>
      </c>
    </row>
    <row r="1440" spans="1:10">
      <c r="A1440" t="s">
        <v>2878</v>
      </c>
      <c r="B1440">
        <v>33.1</v>
      </c>
      <c r="C1440">
        <v>4.93</v>
      </c>
      <c r="D1440" t="s">
        <v>4682</v>
      </c>
      <c r="E1440" t="s">
        <v>4682</v>
      </c>
      <c r="F1440" t="s">
        <v>4682</v>
      </c>
      <c r="G1440">
        <v>0</v>
      </c>
      <c r="H1440" t="s">
        <v>4682</v>
      </c>
      <c r="I1440" t="str" cm="1">
        <f t="array" ref="I1440">_xlfn.IFS(B1440&lt;18.5, "Underweight", B1440&lt;=24.9, "Normal Weight", B1440&lt;=29.9, "Overweight", TRUE, "Obesity")</f>
        <v>Obesity</v>
      </c>
      <c r="J1440" t="str" cm="1">
        <f t="array" ref="J1440">_xlfn.IFS(C1440&lt;5.7, "Normal", C1440&lt;=6.4, "Prediabetes", TRUE, "Diabetes")</f>
        <v>Normal</v>
      </c>
    </row>
    <row r="1441" spans="1:10">
      <c r="A1441" t="s">
        <v>2880</v>
      </c>
      <c r="B1441">
        <v>26.41</v>
      </c>
      <c r="C1441">
        <v>7.32</v>
      </c>
      <c r="D1441" t="s">
        <v>4683</v>
      </c>
      <c r="E1441" t="s">
        <v>4682</v>
      </c>
      <c r="F1441" t="s">
        <v>4682</v>
      </c>
      <c r="G1441">
        <v>1</v>
      </c>
      <c r="H1441" t="s">
        <v>4682</v>
      </c>
      <c r="I1441" t="str" cm="1">
        <f t="array" ref="I1441">_xlfn.IFS(B1441&lt;18.5, "Underweight", B1441&lt;=24.9, "Normal Weight", B1441&lt;=29.9, "Overweight", TRUE, "Obesity")</f>
        <v>Overweight</v>
      </c>
      <c r="J1441" t="str" cm="1">
        <f t="array" ref="J1441">_xlfn.IFS(C1441&lt;5.7, "Normal", C1441&lt;=6.4, "Prediabetes", TRUE, "Diabetes")</f>
        <v>Diabetes</v>
      </c>
    </row>
    <row r="1442" spans="1:10">
      <c r="A1442" t="s">
        <v>2882</v>
      </c>
      <c r="B1442">
        <v>29.9</v>
      </c>
      <c r="C1442">
        <v>5.27</v>
      </c>
      <c r="D1442" t="s">
        <v>4682</v>
      </c>
      <c r="E1442" t="s">
        <v>4682</v>
      </c>
      <c r="F1442" t="s">
        <v>4684</v>
      </c>
      <c r="G1442">
        <v>1</v>
      </c>
      <c r="H1442" t="s">
        <v>4682</v>
      </c>
      <c r="I1442" t="str" cm="1">
        <f t="array" ref="I1442">_xlfn.IFS(B1442&lt;18.5, "Underweight", B1442&lt;=24.9, "Normal Weight", B1442&lt;=29.9, "Overweight", TRUE, "Obesity")</f>
        <v>Overweight</v>
      </c>
      <c r="J1442" t="str" cm="1">
        <f t="array" ref="J1442">_xlfn.IFS(C1442&lt;5.7, "Normal", C1442&lt;=6.4, "Prediabetes", TRUE, "Diabetes")</f>
        <v>Normal</v>
      </c>
    </row>
    <row r="1443" spans="1:10">
      <c r="A1443" t="s">
        <v>2884</v>
      </c>
      <c r="B1443">
        <v>25.24</v>
      </c>
      <c r="C1443">
        <v>5.82</v>
      </c>
      <c r="D1443" t="s">
        <v>4682</v>
      </c>
      <c r="E1443" t="s">
        <v>4682</v>
      </c>
      <c r="F1443" t="s">
        <v>4682</v>
      </c>
      <c r="G1443">
        <v>1</v>
      </c>
      <c r="H1443" t="s">
        <v>4682</v>
      </c>
      <c r="I1443" t="str" cm="1">
        <f t="array" ref="I1443">_xlfn.IFS(B1443&lt;18.5, "Underweight", B1443&lt;=24.9, "Normal Weight", B1443&lt;=29.9, "Overweight", TRUE, "Obesity")</f>
        <v>Overweight</v>
      </c>
      <c r="J1443" t="str" cm="1">
        <f t="array" ref="J1443">_xlfn.IFS(C1443&lt;5.7, "Normal", C1443&lt;=6.4, "Prediabetes", TRUE, "Diabetes")</f>
        <v>Prediabetes</v>
      </c>
    </row>
    <row r="1444" spans="1:10">
      <c r="A1444" t="s">
        <v>2886</v>
      </c>
      <c r="B1444">
        <v>25.08</v>
      </c>
      <c r="C1444">
        <v>5.8</v>
      </c>
      <c r="D1444" t="s">
        <v>4682</v>
      </c>
      <c r="E1444" t="s">
        <v>4682</v>
      </c>
      <c r="F1444" t="s">
        <v>4684</v>
      </c>
      <c r="G1444">
        <v>1</v>
      </c>
      <c r="H1444" t="s">
        <v>4682</v>
      </c>
      <c r="I1444" t="str" cm="1">
        <f t="array" ref="I1444">_xlfn.IFS(B1444&lt;18.5, "Underweight", B1444&lt;=24.9, "Normal Weight", B1444&lt;=29.9, "Overweight", TRUE, "Obesity")</f>
        <v>Overweight</v>
      </c>
      <c r="J1444" t="str" cm="1">
        <f t="array" ref="J1444">_xlfn.IFS(C1444&lt;5.7, "Normal", C1444&lt;=6.4, "Prediabetes", TRUE, "Diabetes")</f>
        <v>Prediabetes</v>
      </c>
    </row>
    <row r="1445" spans="1:10">
      <c r="A1445" t="s">
        <v>2888</v>
      </c>
      <c r="B1445">
        <v>29.164999999999999</v>
      </c>
      <c r="C1445">
        <v>4.87</v>
      </c>
      <c r="D1445" t="s">
        <v>4682</v>
      </c>
      <c r="E1445" t="s">
        <v>4683</v>
      </c>
      <c r="F1445" t="s">
        <v>4682</v>
      </c>
      <c r="G1445">
        <v>1</v>
      </c>
      <c r="H1445" t="s">
        <v>4682</v>
      </c>
      <c r="I1445" t="str" cm="1">
        <f t="array" ref="I1445">_xlfn.IFS(B1445&lt;18.5, "Underweight", B1445&lt;=24.9, "Normal Weight", B1445&lt;=29.9, "Overweight", TRUE, "Obesity")</f>
        <v>Overweight</v>
      </c>
      <c r="J1445" t="str" cm="1">
        <f t="array" ref="J1445">_xlfn.IFS(C1445&lt;5.7, "Normal", C1445&lt;=6.4, "Prediabetes", TRUE, "Diabetes")</f>
        <v>Normal</v>
      </c>
    </row>
    <row r="1446" spans="1:10">
      <c r="A1446" t="s">
        <v>2890</v>
      </c>
      <c r="B1446">
        <v>15.05</v>
      </c>
      <c r="C1446">
        <v>8.1199999999999992</v>
      </c>
      <c r="D1446" t="s">
        <v>4682</v>
      </c>
      <c r="E1446" t="s">
        <v>4682</v>
      </c>
      <c r="F1446" t="s">
        <v>4682</v>
      </c>
      <c r="G1446">
        <v>0</v>
      </c>
      <c r="H1446" t="s">
        <v>4682</v>
      </c>
      <c r="I1446" t="str" cm="1">
        <f t="array" ref="I1446">_xlfn.IFS(B1446&lt;18.5, "Underweight", B1446&lt;=24.9, "Normal Weight", B1446&lt;=29.9, "Overweight", TRUE, "Obesity")</f>
        <v>Underweight</v>
      </c>
      <c r="J1446" t="str" cm="1">
        <f t="array" ref="J1446">_xlfn.IFS(C1446&lt;5.7, "Normal", C1446&lt;=6.4, "Prediabetes", TRUE, "Diabetes")</f>
        <v>Diabetes</v>
      </c>
    </row>
    <row r="1447" spans="1:10">
      <c r="A1447" t="s">
        <v>2892</v>
      </c>
      <c r="B1447">
        <v>19.95</v>
      </c>
      <c r="C1447">
        <v>4.3600000000000003</v>
      </c>
      <c r="D1447" t="s">
        <v>4682</v>
      </c>
      <c r="E1447" t="s">
        <v>4682</v>
      </c>
      <c r="F1447" t="s">
        <v>4682</v>
      </c>
      <c r="G1447">
        <v>2</v>
      </c>
      <c r="H1447" t="s">
        <v>4682</v>
      </c>
      <c r="I1447" t="str" cm="1">
        <f t="array" ref="I1447">_xlfn.IFS(B1447&lt;18.5, "Underweight", B1447&lt;=24.9, "Normal Weight", B1447&lt;=29.9, "Overweight", TRUE, "Obesity")</f>
        <v>Normal Weight</v>
      </c>
      <c r="J1447" t="str" cm="1">
        <f t="array" ref="J1447">_xlfn.IFS(C1447&lt;5.7, "Normal", C1447&lt;=6.4, "Prediabetes", TRUE, "Diabetes")</f>
        <v>Normal</v>
      </c>
    </row>
    <row r="1448" spans="1:10">
      <c r="A1448" t="s">
        <v>2894</v>
      </c>
      <c r="B1448">
        <v>16.66</v>
      </c>
      <c r="C1448">
        <v>9.16</v>
      </c>
      <c r="D1448" t="s">
        <v>4682</v>
      </c>
      <c r="E1448" t="s">
        <v>4682</v>
      </c>
      <c r="F1448" t="s">
        <v>4682</v>
      </c>
      <c r="G1448">
        <v>0</v>
      </c>
      <c r="H1448" t="s">
        <v>4682</v>
      </c>
      <c r="I1448" t="str" cm="1">
        <f t="array" ref="I1448">_xlfn.IFS(B1448&lt;18.5, "Underweight", B1448&lt;=24.9, "Normal Weight", B1448&lt;=29.9, "Overweight", TRUE, "Obesity")</f>
        <v>Underweight</v>
      </c>
      <c r="J1448" t="str" cm="1">
        <f t="array" ref="J1448">_xlfn.IFS(C1448&lt;5.7, "Normal", C1448&lt;=6.4, "Prediabetes", TRUE, "Diabetes")</f>
        <v>Diabetes</v>
      </c>
    </row>
    <row r="1449" spans="1:10">
      <c r="A1449" t="s">
        <v>2896</v>
      </c>
      <c r="B1449">
        <v>16.62</v>
      </c>
      <c r="C1449">
        <v>9.14</v>
      </c>
      <c r="D1449" t="s">
        <v>4682</v>
      </c>
      <c r="E1449" t="s">
        <v>4682</v>
      </c>
      <c r="F1449" t="s">
        <v>4682</v>
      </c>
      <c r="G1449">
        <v>0</v>
      </c>
      <c r="H1449" t="s">
        <v>4682</v>
      </c>
      <c r="I1449" t="str" cm="1">
        <f t="array" ref="I1449">_xlfn.IFS(B1449&lt;18.5, "Underweight", B1449&lt;=24.9, "Normal Weight", B1449&lt;=29.9, "Overweight", TRUE, "Obesity")</f>
        <v>Underweight</v>
      </c>
      <c r="J1449" t="str" cm="1">
        <f t="array" ref="J1449">_xlfn.IFS(C1449&lt;5.7, "Normal", C1449&lt;=6.4, "Prediabetes", TRUE, "Diabetes")</f>
        <v>Diabetes</v>
      </c>
    </row>
    <row r="1450" spans="1:10">
      <c r="A1450" t="s">
        <v>2898</v>
      </c>
      <c r="B1450">
        <v>15.36</v>
      </c>
      <c r="C1450">
        <v>5.49</v>
      </c>
      <c r="D1450" t="s">
        <v>4683</v>
      </c>
      <c r="E1450" t="s">
        <v>4682</v>
      </c>
      <c r="F1450" t="s">
        <v>4682</v>
      </c>
      <c r="G1450">
        <v>2</v>
      </c>
      <c r="H1450" t="s">
        <v>4682</v>
      </c>
      <c r="I1450" t="str" cm="1">
        <f t="array" ref="I1450">_xlfn.IFS(B1450&lt;18.5, "Underweight", B1450&lt;=24.9, "Normal Weight", B1450&lt;=29.9, "Overweight", TRUE, "Obesity")</f>
        <v>Underweight</v>
      </c>
      <c r="J1450" t="str" cm="1">
        <f t="array" ref="J1450">_xlfn.IFS(C1450&lt;5.7, "Normal", C1450&lt;=6.4, "Prediabetes", TRUE, "Diabetes")</f>
        <v>Normal</v>
      </c>
    </row>
    <row r="1451" spans="1:10">
      <c r="A1451" t="s">
        <v>2900</v>
      </c>
      <c r="B1451">
        <v>27.74</v>
      </c>
      <c r="C1451">
        <v>5.96</v>
      </c>
      <c r="D1451" t="s">
        <v>4683</v>
      </c>
      <c r="E1451" t="s">
        <v>4682</v>
      </c>
      <c r="F1451" t="s">
        <v>4682</v>
      </c>
      <c r="G1451">
        <v>0</v>
      </c>
      <c r="H1451" t="s">
        <v>4682</v>
      </c>
      <c r="I1451" t="str" cm="1">
        <f t="array" ref="I1451">_xlfn.IFS(B1451&lt;18.5, "Underweight", B1451&lt;=24.9, "Normal Weight", B1451&lt;=29.9, "Overweight", TRUE, "Obesity")</f>
        <v>Overweight</v>
      </c>
      <c r="J1451" t="str" cm="1">
        <f t="array" ref="J1451">_xlfn.IFS(C1451&lt;5.7, "Normal", C1451&lt;=6.4, "Prediabetes", TRUE, "Diabetes")</f>
        <v>Prediabetes</v>
      </c>
    </row>
    <row r="1452" spans="1:10">
      <c r="A1452" t="s">
        <v>2902</v>
      </c>
      <c r="B1452">
        <v>22.44</v>
      </c>
      <c r="C1452">
        <v>4.62</v>
      </c>
      <c r="D1452" t="s">
        <v>4683</v>
      </c>
      <c r="E1452" t="s">
        <v>4682</v>
      </c>
      <c r="F1452" t="s">
        <v>4682</v>
      </c>
      <c r="G1452">
        <v>0</v>
      </c>
      <c r="H1452" t="s">
        <v>4682</v>
      </c>
      <c r="I1452" t="str" cm="1">
        <f t="array" ref="I1452">_xlfn.IFS(B1452&lt;18.5, "Underweight", B1452&lt;=24.9, "Normal Weight", B1452&lt;=29.9, "Overweight", TRUE, "Obesity")</f>
        <v>Normal Weight</v>
      </c>
      <c r="J1452" t="str" cm="1">
        <f t="array" ref="J1452">_xlfn.IFS(C1452&lt;5.7, "Normal", C1452&lt;=6.4, "Prediabetes", TRUE, "Diabetes")</f>
        <v>Normal</v>
      </c>
    </row>
    <row r="1453" spans="1:10">
      <c r="A1453" t="s">
        <v>2904</v>
      </c>
      <c r="B1453">
        <v>37.049999999999997</v>
      </c>
      <c r="C1453">
        <v>9.9600000000000009</v>
      </c>
      <c r="D1453" t="s">
        <v>4683</v>
      </c>
      <c r="E1453" t="s">
        <v>4682</v>
      </c>
      <c r="F1453" t="s">
        <v>4682</v>
      </c>
      <c r="G1453">
        <v>0</v>
      </c>
      <c r="H1453" t="s">
        <v>4682</v>
      </c>
      <c r="I1453" t="str" cm="1">
        <f t="array" ref="I1453">_xlfn.IFS(B1453&lt;18.5, "Underweight", B1453&lt;=24.9, "Normal Weight", B1453&lt;=29.9, "Overweight", TRUE, "Obesity")</f>
        <v>Obesity</v>
      </c>
      <c r="J1453" t="str" cm="1">
        <f t="array" ref="J1453">_xlfn.IFS(C1453&lt;5.7, "Normal", C1453&lt;=6.4, "Prediabetes", TRUE, "Diabetes")</f>
        <v>Diabetes</v>
      </c>
    </row>
    <row r="1454" spans="1:10">
      <c r="A1454" t="s">
        <v>2906</v>
      </c>
      <c r="B1454">
        <v>22.95</v>
      </c>
      <c r="C1454">
        <v>10.53</v>
      </c>
      <c r="D1454" t="s">
        <v>4682</v>
      </c>
      <c r="E1454" t="s">
        <v>4682</v>
      </c>
      <c r="F1454" t="s">
        <v>4682</v>
      </c>
      <c r="G1454">
        <v>2</v>
      </c>
      <c r="H1454" t="s">
        <v>4682</v>
      </c>
      <c r="I1454" t="str" cm="1">
        <f t="array" ref="I1454">_xlfn.IFS(B1454&lt;18.5, "Underweight", B1454&lt;=24.9, "Normal Weight", B1454&lt;=29.9, "Overweight", TRUE, "Obesity")</f>
        <v>Normal Weight</v>
      </c>
      <c r="J1454" t="str" cm="1">
        <f t="array" ref="J1454">_xlfn.IFS(C1454&lt;5.7, "Normal", C1454&lt;=6.4, "Prediabetes", TRUE, "Diabetes")</f>
        <v>Diabetes</v>
      </c>
    </row>
    <row r="1455" spans="1:10">
      <c r="A1455" t="s">
        <v>2908</v>
      </c>
      <c r="B1455">
        <v>34.200000000000003</v>
      </c>
      <c r="C1455">
        <v>6.69</v>
      </c>
      <c r="D1455" t="s">
        <v>4683</v>
      </c>
      <c r="E1455" t="s">
        <v>4682</v>
      </c>
      <c r="F1455" t="s">
        <v>4682</v>
      </c>
      <c r="G1455">
        <v>0</v>
      </c>
      <c r="H1455" t="s">
        <v>4682</v>
      </c>
      <c r="I1455" t="str" cm="1">
        <f t="array" ref="I1455">_xlfn.IFS(B1455&lt;18.5, "Underweight", B1455&lt;=24.9, "Normal Weight", B1455&lt;=29.9, "Overweight", TRUE, "Obesity")</f>
        <v>Obesity</v>
      </c>
      <c r="J1455" t="str" cm="1">
        <f t="array" ref="J1455">_xlfn.IFS(C1455&lt;5.7, "Normal", C1455&lt;=6.4, "Prediabetes", TRUE, "Diabetes")</f>
        <v>Diabetes</v>
      </c>
    </row>
    <row r="1456" spans="1:10">
      <c r="A1456" t="s">
        <v>2910</v>
      </c>
      <c r="B1456">
        <v>30.59</v>
      </c>
      <c r="C1456">
        <v>9.5500000000000007</v>
      </c>
      <c r="D1456" t="s">
        <v>4683</v>
      </c>
      <c r="E1456" t="s">
        <v>4682</v>
      </c>
      <c r="F1456" t="s">
        <v>4682</v>
      </c>
      <c r="G1456">
        <v>0</v>
      </c>
      <c r="H1456" t="s">
        <v>4682</v>
      </c>
      <c r="I1456" t="str" cm="1">
        <f t="array" ref="I1456">_xlfn.IFS(B1456&lt;18.5, "Underweight", B1456&lt;=24.9, "Normal Weight", B1456&lt;=29.9, "Overweight", TRUE, "Obesity")</f>
        <v>Obesity</v>
      </c>
      <c r="J1456" t="str" cm="1">
        <f t="array" ref="J1456">_xlfn.IFS(C1456&lt;5.7, "Normal", C1456&lt;=6.4, "Prediabetes", TRUE, "Diabetes")</f>
        <v>Diabetes</v>
      </c>
    </row>
    <row r="1457" spans="1:10">
      <c r="A1457" t="s">
        <v>2912</v>
      </c>
      <c r="B1457">
        <v>25.51</v>
      </c>
      <c r="C1457">
        <v>6.05</v>
      </c>
      <c r="D1457" t="s">
        <v>4682</v>
      </c>
      <c r="E1457" t="s">
        <v>4682</v>
      </c>
      <c r="F1457" t="s">
        <v>4682</v>
      </c>
      <c r="G1457">
        <v>0</v>
      </c>
      <c r="H1457" t="s">
        <v>4682</v>
      </c>
      <c r="I1457" t="str" cm="1">
        <f t="array" ref="I1457">_xlfn.IFS(B1457&lt;18.5, "Underweight", B1457&lt;=24.9, "Normal Weight", B1457&lt;=29.9, "Overweight", TRUE, "Obesity")</f>
        <v>Overweight</v>
      </c>
      <c r="J1457" t="str" cm="1">
        <f t="array" ref="J1457">_xlfn.IFS(C1457&lt;5.7, "Normal", C1457&lt;=6.4, "Prediabetes", TRUE, "Diabetes")</f>
        <v>Prediabetes</v>
      </c>
    </row>
    <row r="1458" spans="1:10">
      <c r="A1458" t="s">
        <v>2914</v>
      </c>
      <c r="B1458">
        <v>29.04</v>
      </c>
      <c r="C1458">
        <v>10.56</v>
      </c>
      <c r="D1458" t="s">
        <v>4683</v>
      </c>
      <c r="E1458" t="s">
        <v>4682</v>
      </c>
      <c r="F1458" t="s">
        <v>4682</v>
      </c>
      <c r="G1458">
        <v>1</v>
      </c>
      <c r="H1458" t="s">
        <v>4682</v>
      </c>
      <c r="I1458" t="str" cm="1">
        <f t="array" ref="I1458">_xlfn.IFS(B1458&lt;18.5, "Underweight", B1458&lt;=24.9, "Normal Weight", B1458&lt;=29.9, "Overweight", TRUE, "Obesity")</f>
        <v>Overweight</v>
      </c>
      <c r="J1458" t="str" cm="1">
        <f t="array" ref="J1458">_xlfn.IFS(C1458&lt;5.7, "Normal", C1458&lt;=6.4, "Prediabetes", TRUE, "Diabetes")</f>
        <v>Diabetes</v>
      </c>
    </row>
    <row r="1459" spans="1:10">
      <c r="A1459" t="s">
        <v>2916</v>
      </c>
      <c r="B1459">
        <v>22.135000000000002</v>
      </c>
      <c r="C1459">
        <v>10.81</v>
      </c>
      <c r="D1459" t="s">
        <v>4683</v>
      </c>
      <c r="E1459" t="s">
        <v>4682</v>
      </c>
      <c r="F1459" t="s">
        <v>4682</v>
      </c>
      <c r="G1459">
        <v>1</v>
      </c>
      <c r="H1459" t="s">
        <v>4682</v>
      </c>
      <c r="I1459" t="str" cm="1">
        <f t="array" ref="I1459">_xlfn.IFS(B1459&lt;18.5, "Underweight", B1459&lt;=24.9, "Normal Weight", B1459&lt;=29.9, "Overweight", TRUE, "Obesity")</f>
        <v>Normal Weight</v>
      </c>
      <c r="J1459" t="str" cm="1">
        <f t="array" ref="J1459">_xlfn.IFS(C1459&lt;5.7, "Normal", C1459&lt;=6.4, "Prediabetes", TRUE, "Diabetes")</f>
        <v>Diabetes</v>
      </c>
    </row>
    <row r="1460" spans="1:10">
      <c r="A1460" t="s">
        <v>2918</v>
      </c>
      <c r="B1460">
        <v>21.375</v>
      </c>
      <c r="C1460">
        <v>4.32</v>
      </c>
      <c r="D1460" t="s">
        <v>4682</v>
      </c>
      <c r="E1460" t="s">
        <v>4682</v>
      </c>
      <c r="F1460" t="s">
        <v>4682</v>
      </c>
      <c r="G1460">
        <v>0</v>
      </c>
      <c r="H1460" t="s">
        <v>4682</v>
      </c>
      <c r="I1460" t="str" cm="1">
        <f t="array" ref="I1460">_xlfn.IFS(B1460&lt;18.5, "Underweight", B1460&lt;=24.9, "Normal Weight", B1460&lt;=29.9, "Overweight", TRUE, "Obesity")</f>
        <v>Normal Weight</v>
      </c>
      <c r="J1460" t="str" cm="1">
        <f t="array" ref="J1460">_xlfn.IFS(C1460&lt;5.7, "Normal", C1460&lt;=6.4, "Prediabetes", TRUE, "Diabetes")</f>
        <v>Normal</v>
      </c>
    </row>
    <row r="1461" spans="1:10">
      <c r="A1461" t="s">
        <v>2920</v>
      </c>
      <c r="B1461">
        <v>29.19</v>
      </c>
      <c r="C1461">
        <v>4.37</v>
      </c>
      <c r="D1461" t="s">
        <v>4682</v>
      </c>
      <c r="E1461" t="s">
        <v>4682</v>
      </c>
      <c r="F1461" t="s">
        <v>4682</v>
      </c>
      <c r="G1461">
        <v>0</v>
      </c>
      <c r="H1461" t="s">
        <v>4682</v>
      </c>
      <c r="I1461" t="str" cm="1">
        <f t="array" ref="I1461">_xlfn.IFS(B1461&lt;18.5, "Underweight", B1461&lt;=24.9, "Normal Weight", B1461&lt;=29.9, "Overweight", TRUE, "Obesity")</f>
        <v>Overweight</v>
      </c>
      <c r="J1461" t="str" cm="1">
        <f t="array" ref="J1461">_xlfn.IFS(C1461&lt;5.7, "Normal", C1461&lt;=6.4, "Prediabetes", TRUE, "Diabetes")</f>
        <v>Normal</v>
      </c>
    </row>
    <row r="1462" spans="1:10">
      <c r="A1462" t="s">
        <v>2922</v>
      </c>
      <c r="B1462">
        <v>31.92</v>
      </c>
      <c r="C1462">
        <v>4.8099999999999996</v>
      </c>
      <c r="D1462" t="s">
        <v>4683</v>
      </c>
      <c r="E1462" t="s">
        <v>4682</v>
      </c>
      <c r="F1462" t="s">
        <v>4684</v>
      </c>
      <c r="G1462">
        <v>1</v>
      </c>
      <c r="H1462" t="s">
        <v>4682</v>
      </c>
      <c r="I1462" t="str" cm="1">
        <f t="array" ref="I1462">_xlfn.IFS(B1462&lt;18.5, "Underweight", B1462&lt;=24.9, "Normal Weight", B1462&lt;=29.9, "Overweight", TRUE, "Obesity")</f>
        <v>Obesity</v>
      </c>
      <c r="J1462" t="str" cm="1">
        <f t="array" ref="J1462">_xlfn.IFS(C1462&lt;5.7, "Normal", C1462&lt;=6.4, "Prediabetes", TRUE, "Diabetes")</f>
        <v>Normal</v>
      </c>
    </row>
    <row r="1463" spans="1:10">
      <c r="A1463" t="s">
        <v>2924</v>
      </c>
      <c r="B1463">
        <v>26.315000000000001</v>
      </c>
      <c r="C1463">
        <v>4.5599999999999996</v>
      </c>
      <c r="D1463" t="s">
        <v>4683</v>
      </c>
      <c r="E1463" t="s">
        <v>4682</v>
      </c>
      <c r="F1463" t="s">
        <v>4684</v>
      </c>
      <c r="G1463">
        <v>1</v>
      </c>
      <c r="H1463" t="s">
        <v>4682</v>
      </c>
      <c r="I1463" t="str" cm="1">
        <f t="array" ref="I1463">_xlfn.IFS(B1463&lt;18.5, "Underweight", B1463&lt;=24.9, "Normal Weight", B1463&lt;=29.9, "Overweight", TRUE, "Obesity")</f>
        <v>Overweight</v>
      </c>
      <c r="J1463" t="str" cm="1">
        <f t="array" ref="J1463">_xlfn.IFS(C1463&lt;5.7, "Normal", C1463&lt;=6.4, "Prediabetes", TRUE, "Diabetes")</f>
        <v>Normal</v>
      </c>
    </row>
    <row r="1464" spans="1:10">
      <c r="A1464" t="s">
        <v>2926</v>
      </c>
      <c r="B1464">
        <v>35.299999999999997</v>
      </c>
      <c r="C1464">
        <v>4.3899999999999997</v>
      </c>
      <c r="D1464" t="s">
        <v>4682</v>
      </c>
      <c r="E1464" t="s">
        <v>4682</v>
      </c>
      <c r="F1464" t="s">
        <v>4682</v>
      </c>
      <c r="G1464">
        <v>0</v>
      </c>
      <c r="H1464" t="s">
        <v>4682</v>
      </c>
      <c r="I1464" t="str" cm="1">
        <f t="array" ref="I1464">_xlfn.IFS(B1464&lt;18.5, "Underweight", B1464&lt;=24.9, "Normal Weight", B1464&lt;=29.9, "Overweight", TRUE, "Obesity")</f>
        <v>Obesity</v>
      </c>
      <c r="J1464" t="str" cm="1">
        <f t="array" ref="J1464">_xlfn.IFS(C1464&lt;5.7, "Normal", C1464&lt;=6.4, "Prediabetes", TRUE, "Diabetes")</f>
        <v>Normal</v>
      </c>
    </row>
    <row r="1465" spans="1:10">
      <c r="A1465" t="s">
        <v>2928</v>
      </c>
      <c r="B1465">
        <v>18.91</v>
      </c>
      <c r="C1465">
        <v>11.44</v>
      </c>
      <c r="D1465" t="s">
        <v>4682</v>
      </c>
      <c r="E1465" t="s">
        <v>4682</v>
      </c>
      <c r="F1465" t="s">
        <v>4682</v>
      </c>
      <c r="G1465">
        <v>0</v>
      </c>
      <c r="H1465" t="s">
        <v>4682</v>
      </c>
      <c r="I1465" t="str" cm="1">
        <f t="array" ref="I1465">_xlfn.IFS(B1465&lt;18.5, "Underweight", B1465&lt;=24.9, "Normal Weight", B1465&lt;=29.9, "Overweight", TRUE, "Obesity")</f>
        <v>Normal Weight</v>
      </c>
      <c r="J1465" t="str" cm="1">
        <f t="array" ref="J1465">_xlfn.IFS(C1465&lt;5.7, "Normal", C1465&lt;=6.4, "Prediabetes", TRUE, "Diabetes")</f>
        <v>Diabetes</v>
      </c>
    </row>
    <row r="1466" spans="1:10">
      <c r="A1466" t="s">
        <v>2930</v>
      </c>
      <c r="B1466">
        <v>22.41</v>
      </c>
      <c r="C1466">
        <v>11.37</v>
      </c>
      <c r="D1466" t="s">
        <v>4683</v>
      </c>
      <c r="E1466" t="s">
        <v>4682</v>
      </c>
      <c r="F1466" t="s">
        <v>4682</v>
      </c>
      <c r="G1466">
        <v>1</v>
      </c>
      <c r="H1466" t="s">
        <v>4682</v>
      </c>
      <c r="I1466" t="str" cm="1">
        <f t="array" ref="I1466">_xlfn.IFS(B1466&lt;18.5, "Underweight", B1466&lt;=24.9, "Normal Weight", B1466&lt;=29.9, "Overweight", TRUE, "Obesity")</f>
        <v>Normal Weight</v>
      </c>
      <c r="J1466" t="str" cm="1">
        <f t="array" ref="J1466">_xlfn.IFS(C1466&lt;5.7, "Normal", C1466&lt;=6.4, "Prediabetes", TRUE, "Diabetes")</f>
        <v>Diabetes</v>
      </c>
    </row>
    <row r="1467" spans="1:10">
      <c r="A1467" t="s">
        <v>2932</v>
      </c>
      <c r="B1467">
        <v>22.704999999999998</v>
      </c>
      <c r="C1467">
        <v>6.14</v>
      </c>
      <c r="D1467" t="s">
        <v>4682</v>
      </c>
      <c r="E1467" t="s">
        <v>4682</v>
      </c>
      <c r="F1467" t="s">
        <v>4682</v>
      </c>
      <c r="G1467">
        <v>0</v>
      </c>
      <c r="H1467" t="s">
        <v>4682</v>
      </c>
      <c r="I1467" t="str" cm="1">
        <f t="array" ref="I1467">_xlfn.IFS(B1467&lt;18.5, "Underweight", B1467&lt;=24.9, "Normal Weight", B1467&lt;=29.9, "Overweight", TRUE, "Obesity")</f>
        <v>Normal Weight</v>
      </c>
      <c r="J1467" t="str" cm="1">
        <f t="array" ref="J1467">_xlfn.IFS(C1467&lt;5.7, "Normal", C1467&lt;=6.4, "Prediabetes", TRUE, "Diabetes")</f>
        <v>Prediabetes</v>
      </c>
    </row>
    <row r="1468" spans="1:10">
      <c r="A1468" t="s">
        <v>2934</v>
      </c>
      <c r="B1468">
        <v>37.18</v>
      </c>
      <c r="C1468">
        <v>4.8899999999999997</v>
      </c>
      <c r="D1468" t="s">
        <v>4682</v>
      </c>
      <c r="E1468" t="s">
        <v>4682</v>
      </c>
      <c r="F1468" t="s">
        <v>4682</v>
      </c>
      <c r="G1468">
        <v>0</v>
      </c>
      <c r="H1468" t="s">
        <v>4682</v>
      </c>
      <c r="I1468" t="str" cm="1">
        <f t="array" ref="I1468">_xlfn.IFS(B1468&lt;18.5, "Underweight", B1468&lt;=24.9, "Normal Weight", B1468&lt;=29.9, "Overweight", TRUE, "Obesity")</f>
        <v>Obesity</v>
      </c>
      <c r="J1468" t="str" cm="1">
        <f t="array" ref="J1468">_xlfn.IFS(C1468&lt;5.7, "Normal", C1468&lt;=6.4, "Prediabetes", TRUE, "Diabetes")</f>
        <v>Normal</v>
      </c>
    </row>
    <row r="1469" spans="1:10">
      <c r="A1469" t="s">
        <v>2936</v>
      </c>
      <c r="B1469">
        <v>35.97</v>
      </c>
      <c r="C1469">
        <v>4.5999999999999996</v>
      </c>
      <c r="D1469" t="s">
        <v>4682</v>
      </c>
      <c r="E1469" t="s">
        <v>4682</v>
      </c>
      <c r="F1469" t="s">
        <v>4682</v>
      </c>
      <c r="G1469">
        <v>0</v>
      </c>
      <c r="H1469" t="s">
        <v>4682</v>
      </c>
      <c r="I1469" t="str" cm="1">
        <f t="array" ref="I1469">_xlfn.IFS(B1469&lt;18.5, "Underweight", B1469&lt;=24.9, "Normal Weight", B1469&lt;=29.9, "Overweight", TRUE, "Obesity")</f>
        <v>Obesity</v>
      </c>
      <c r="J1469" t="str" cm="1">
        <f t="array" ref="J1469">_xlfn.IFS(C1469&lt;5.7, "Normal", C1469&lt;=6.4, "Prediabetes", TRUE, "Diabetes")</f>
        <v>Normal</v>
      </c>
    </row>
    <row r="1470" spans="1:10">
      <c r="A1470" t="s">
        <v>2938</v>
      </c>
      <c r="B1470">
        <v>35.799999999999997</v>
      </c>
      <c r="C1470">
        <v>4.42</v>
      </c>
      <c r="D1470" t="s">
        <v>4682</v>
      </c>
      <c r="E1470" t="s">
        <v>4682</v>
      </c>
      <c r="F1470" t="s">
        <v>4682</v>
      </c>
      <c r="G1470">
        <v>0</v>
      </c>
      <c r="H1470" t="s">
        <v>4682</v>
      </c>
      <c r="I1470" t="str" cm="1">
        <f t="array" ref="I1470">_xlfn.IFS(B1470&lt;18.5, "Underweight", B1470&lt;=24.9, "Normal Weight", B1470&lt;=29.9, "Overweight", TRUE, "Obesity")</f>
        <v>Obesity</v>
      </c>
      <c r="J1470" t="str" cm="1">
        <f t="array" ref="J1470">_xlfn.IFS(C1470&lt;5.7, "Normal", C1470&lt;=6.4, "Prediabetes", TRUE, "Diabetes")</f>
        <v>Normal</v>
      </c>
    </row>
    <row r="1471" spans="1:10">
      <c r="A1471" t="s">
        <v>2940</v>
      </c>
      <c r="B1471">
        <v>28.31</v>
      </c>
      <c r="C1471">
        <v>7.48</v>
      </c>
      <c r="D1471" t="s">
        <v>4683</v>
      </c>
      <c r="E1471" t="s">
        <v>4682</v>
      </c>
      <c r="F1471" t="s">
        <v>4682</v>
      </c>
      <c r="G1471">
        <v>0</v>
      </c>
      <c r="H1471" t="s">
        <v>4682</v>
      </c>
      <c r="I1471" t="str" cm="1">
        <f t="array" ref="I1471">_xlfn.IFS(B1471&lt;18.5, "Underweight", B1471&lt;=24.9, "Normal Weight", B1471&lt;=29.9, "Overweight", TRUE, "Obesity")</f>
        <v>Overweight</v>
      </c>
      <c r="J1471" t="str" cm="1">
        <f t="array" ref="J1471">_xlfn.IFS(C1471&lt;5.7, "Normal", C1471&lt;=6.4, "Prediabetes", TRUE, "Diabetes")</f>
        <v>Diabetes</v>
      </c>
    </row>
    <row r="1472" spans="1:10">
      <c r="A1472" t="s">
        <v>2942</v>
      </c>
      <c r="B1472">
        <v>38.06</v>
      </c>
      <c r="C1472">
        <v>10.74</v>
      </c>
      <c r="D1472" t="s">
        <v>4682</v>
      </c>
      <c r="E1472" t="s">
        <v>4682</v>
      </c>
      <c r="F1472" t="s">
        <v>4682</v>
      </c>
      <c r="G1472">
        <v>0</v>
      </c>
      <c r="H1472" t="s">
        <v>4682</v>
      </c>
      <c r="I1472" t="str" cm="1">
        <f t="array" ref="I1472">_xlfn.IFS(B1472&lt;18.5, "Underweight", B1472&lt;=24.9, "Normal Weight", B1472&lt;=29.9, "Overweight", TRUE, "Obesity")</f>
        <v>Obesity</v>
      </c>
      <c r="J1472" t="str" cm="1">
        <f t="array" ref="J1472">_xlfn.IFS(C1472&lt;5.7, "Normal", C1472&lt;=6.4, "Prediabetes", TRUE, "Diabetes")</f>
        <v>Diabetes</v>
      </c>
    </row>
    <row r="1473" spans="1:10">
      <c r="A1473" t="s">
        <v>2944</v>
      </c>
      <c r="B1473">
        <v>28</v>
      </c>
      <c r="C1473">
        <v>5.19</v>
      </c>
      <c r="D1473" t="s">
        <v>4682</v>
      </c>
      <c r="E1473" t="s">
        <v>4682</v>
      </c>
      <c r="F1473" t="s">
        <v>4682</v>
      </c>
      <c r="G1473">
        <v>1</v>
      </c>
      <c r="H1473" t="s">
        <v>4682</v>
      </c>
      <c r="I1473" t="str" cm="1">
        <f t="array" ref="I1473">_xlfn.IFS(B1473&lt;18.5, "Underweight", B1473&lt;=24.9, "Normal Weight", B1473&lt;=29.9, "Overweight", TRUE, "Obesity")</f>
        <v>Overweight</v>
      </c>
      <c r="J1473" t="str" cm="1">
        <f t="array" ref="J1473">_xlfn.IFS(C1473&lt;5.7, "Normal", C1473&lt;=6.4, "Prediabetes", TRUE, "Diabetes")</f>
        <v>Normal</v>
      </c>
    </row>
    <row r="1474" spans="1:10">
      <c r="A1474" t="s">
        <v>2946</v>
      </c>
      <c r="B1474">
        <v>34.32</v>
      </c>
      <c r="C1474">
        <v>9.17</v>
      </c>
      <c r="D1474" t="s">
        <v>4682</v>
      </c>
      <c r="E1474" t="s">
        <v>4682</v>
      </c>
      <c r="F1474" t="s">
        <v>4682</v>
      </c>
      <c r="G1474">
        <v>0</v>
      </c>
      <c r="H1474" t="s">
        <v>4682</v>
      </c>
      <c r="I1474" t="str" cm="1">
        <f t="array" ref="I1474">_xlfn.IFS(B1474&lt;18.5, "Underweight", B1474&lt;=24.9, "Normal Weight", B1474&lt;=29.9, "Overweight", TRUE, "Obesity")</f>
        <v>Obesity</v>
      </c>
      <c r="J1474" t="str" cm="1">
        <f t="array" ref="J1474">_xlfn.IFS(C1474&lt;5.7, "Normal", C1474&lt;=6.4, "Prediabetes", TRUE, "Diabetes")</f>
        <v>Diabetes</v>
      </c>
    </row>
    <row r="1475" spans="1:10">
      <c r="A1475" t="s">
        <v>2948</v>
      </c>
      <c r="B1475">
        <v>22.3</v>
      </c>
      <c r="C1475">
        <v>4.95</v>
      </c>
      <c r="D1475" t="s">
        <v>4683</v>
      </c>
      <c r="E1475" t="s">
        <v>4682</v>
      </c>
      <c r="F1475" t="s">
        <v>4682</v>
      </c>
      <c r="G1475">
        <v>0</v>
      </c>
      <c r="H1475" t="s">
        <v>4682</v>
      </c>
      <c r="I1475" t="str" cm="1">
        <f t="array" ref="I1475">_xlfn.IFS(B1475&lt;18.5, "Underweight", B1475&lt;=24.9, "Normal Weight", B1475&lt;=29.9, "Overweight", TRUE, "Obesity")</f>
        <v>Normal Weight</v>
      </c>
      <c r="J1475" t="str" cm="1">
        <f t="array" ref="J1475">_xlfn.IFS(C1475&lt;5.7, "Normal", C1475&lt;=6.4, "Prediabetes", TRUE, "Diabetes")</f>
        <v>Normal</v>
      </c>
    </row>
    <row r="1476" spans="1:10">
      <c r="A1476" t="s">
        <v>2950</v>
      </c>
      <c r="B1476">
        <v>27.835000000000001</v>
      </c>
      <c r="C1476">
        <v>6.03</v>
      </c>
      <c r="D1476" t="s">
        <v>4682</v>
      </c>
      <c r="E1476" t="s">
        <v>4682</v>
      </c>
      <c r="F1476" t="s">
        <v>4682</v>
      </c>
      <c r="G1476">
        <v>1</v>
      </c>
      <c r="H1476" t="s">
        <v>4682</v>
      </c>
      <c r="I1476" t="str" cm="1">
        <f t="array" ref="I1476">_xlfn.IFS(B1476&lt;18.5, "Underweight", B1476&lt;=24.9, "Normal Weight", B1476&lt;=29.9, "Overweight", TRUE, "Obesity")</f>
        <v>Overweight</v>
      </c>
      <c r="J1476" t="str" cm="1">
        <f t="array" ref="J1476">_xlfn.IFS(C1476&lt;5.7, "Normal", C1476&lt;=6.4, "Prediabetes", TRUE, "Diabetes")</f>
        <v>Prediabetes</v>
      </c>
    </row>
    <row r="1477" spans="1:10">
      <c r="A1477" t="s">
        <v>2952</v>
      </c>
      <c r="B1477">
        <v>39.229999999999997</v>
      </c>
      <c r="C1477">
        <v>5.36</v>
      </c>
      <c r="D1477" t="s">
        <v>4682</v>
      </c>
      <c r="E1477" t="s">
        <v>4682</v>
      </c>
      <c r="F1477" t="s">
        <v>4682</v>
      </c>
      <c r="G1477">
        <v>0</v>
      </c>
      <c r="H1477" t="s">
        <v>4682</v>
      </c>
      <c r="I1477" t="str" cm="1">
        <f t="array" ref="I1477">_xlfn.IFS(B1477&lt;18.5, "Underweight", B1477&lt;=24.9, "Normal Weight", B1477&lt;=29.9, "Overweight", TRUE, "Obesity")</f>
        <v>Obesity</v>
      </c>
      <c r="J1477" t="str" cm="1">
        <f t="array" ref="J1477">_xlfn.IFS(C1477&lt;5.7, "Normal", C1477&lt;=6.4, "Prediabetes", TRUE, "Diabetes")</f>
        <v>Normal</v>
      </c>
    </row>
    <row r="1478" spans="1:10">
      <c r="A1478" t="s">
        <v>2954</v>
      </c>
      <c r="B1478">
        <v>19.95</v>
      </c>
      <c r="C1478">
        <v>6.11</v>
      </c>
      <c r="D1478" t="s">
        <v>4682</v>
      </c>
      <c r="E1478" t="s">
        <v>4682</v>
      </c>
      <c r="F1478" t="s">
        <v>4682</v>
      </c>
      <c r="G1478">
        <v>1</v>
      </c>
      <c r="H1478" t="s">
        <v>4682</v>
      </c>
      <c r="I1478" t="str" cm="1">
        <f t="array" ref="I1478">_xlfn.IFS(B1478&lt;18.5, "Underweight", B1478&lt;=24.9, "Normal Weight", B1478&lt;=29.9, "Overweight", TRUE, "Obesity")</f>
        <v>Normal Weight</v>
      </c>
      <c r="J1478" t="str" cm="1">
        <f t="array" ref="J1478">_xlfn.IFS(C1478&lt;5.7, "Normal", C1478&lt;=6.4, "Prediabetes", TRUE, "Diabetes")</f>
        <v>Prediabetes</v>
      </c>
    </row>
    <row r="1479" spans="1:10">
      <c r="A1479" t="s">
        <v>2956</v>
      </c>
      <c r="B1479">
        <v>34.64</v>
      </c>
      <c r="C1479">
        <v>4.88</v>
      </c>
      <c r="D1479" t="s">
        <v>4682</v>
      </c>
      <c r="E1479" t="s">
        <v>4682</v>
      </c>
      <c r="F1479" t="s">
        <v>4684</v>
      </c>
      <c r="G1479">
        <v>1</v>
      </c>
      <c r="H1479" t="s">
        <v>4682</v>
      </c>
      <c r="I1479" t="str" cm="1">
        <f t="array" ref="I1479">_xlfn.IFS(B1479&lt;18.5, "Underweight", B1479&lt;=24.9, "Normal Weight", B1479&lt;=29.9, "Overweight", TRUE, "Obesity")</f>
        <v>Obesity</v>
      </c>
      <c r="J1479" t="str" cm="1">
        <f t="array" ref="J1479">_xlfn.IFS(C1479&lt;5.7, "Normal", C1479&lt;=6.4, "Prediabetes", TRUE, "Diabetes")</f>
        <v>Normal</v>
      </c>
    </row>
    <row r="1480" spans="1:10">
      <c r="A1480" t="s">
        <v>2958</v>
      </c>
      <c r="B1480">
        <v>18.75</v>
      </c>
      <c r="C1480">
        <v>6.72</v>
      </c>
      <c r="D1480" t="s">
        <v>4682</v>
      </c>
      <c r="E1480" t="s">
        <v>4682</v>
      </c>
      <c r="F1480" t="s">
        <v>4682</v>
      </c>
      <c r="G1480">
        <v>0</v>
      </c>
      <c r="H1480" t="s">
        <v>4682</v>
      </c>
      <c r="I1480" t="str" cm="1">
        <f t="array" ref="I1480">_xlfn.IFS(B1480&lt;18.5, "Underweight", B1480&lt;=24.9, "Normal Weight", B1480&lt;=29.9, "Overweight", TRUE, "Obesity")</f>
        <v>Normal Weight</v>
      </c>
      <c r="J1480" t="str" cm="1">
        <f t="array" ref="J1480">_xlfn.IFS(C1480&lt;5.7, "Normal", C1480&lt;=6.4, "Prediabetes", TRUE, "Diabetes")</f>
        <v>Diabetes</v>
      </c>
    </row>
    <row r="1481" spans="1:10">
      <c r="A1481" t="s">
        <v>2960</v>
      </c>
      <c r="B1481">
        <v>26.48</v>
      </c>
      <c r="C1481">
        <v>4.2</v>
      </c>
      <c r="D1481" t="s">
        <v>4682</v>
      </c>
      <c r="E1481" t="s">
        <v>4682</v>
      </c>
      <c r="F1481" t="s">
        <v>4682</v>
      </c>
      <c r="G1481">
        <v>1</v>
      </c>
      <c r="H1481" t="s">
        <v>4682</v>
      </c>
      <c r="I1481" t="str" cm="1">
        <f t="array" ref="I1481">_xlfn.IFS(B1481&lt;18.5, "Underweight", B1481&lt;=24.9, "Normal Weight", B1481&lt;=29.9, "Overweight", TRUE, "Obesity")</f>
        <v>Overweight</v>
      </c>
      <c r="J1481" t="str" cm="1">
        <f t="array" ref="J1481">_xlfn.IFS(C1481&lt;5.7, "Normal", C1481&lt;=6.4, "Prediabetes", TRUE, "Diabetes")</f>
        <v>Normal</v>
      </c>
    </row>
    <row r="1482" spans="1:10">
      <c r="A1482" t="s">
        <v>2962</v>
      </c>
      <c r="B1482">
        <v>34.83</v>
      </c>
      <c r="C1482">
        <v>5.79</v>
      </c>
      <c r="D1482" t="s">
        <v>4682</v>
      </c>
      <c r="E1482" t="s">
        <v>4682</v>
      </c>
      <c r="F1482" t="s">
        <v>4682</v>
      </c>
      <c r="G1482">
        <v>1</v>
      </c>
      <c r="H1482" t="s">
        <v>4682</v>
      </c>
      <c r="I1482" t="str" cm="1">
        <f t="array" ref="I1482">_xlfn.IFS(B1482&lt;18.5, "Underweight", B1482&lt;=24.9, "Normal Weight", B1482&lt;=29.9, "Overweight", TRUE, "Obesity")</f>
        <v>Obesity</v>
      </c>
      <c r="J1482" t="str" cm="1">
        <f t="array" ref="J1482">_xlfn.IFS(C1482&lt;5.7, "Normal", C1482&lt;=6.4, "Prediabetes", TRUE, "Diabetes")</f>
        <v>Prediabetes</v>
      </c>
    </row>
    <row r="1483" spans="1:10">
      <c r="A1483" t="s">
        <v>2964</v>
      </c>
      <c r="B1483">
        <v>25.46</v>
      </c>
      <c r="C1483">
        <v>4.29</v>
      </c>
      <c r="D1483" t="s">
        <v>4682</v>
      </c>
      <c r="E1483" t="s">
        <v>4682</v>
      </c>
      <c r="F1483" t="s">
        <v>4682</v>
      </c>
      <c r="G1483">
        <v>0</v>
      </c>
      <c r="H1483" t="s">
        <v>4682</v>
      </c>
      <c r="I1483" t="str" cm="1">
        <f t="array" ref="I1483">_xlfn.IFS(B1483&lt;18.5, "Underweight", B1483&lt;=24.9, "Normal Weight", B1483&lt;=29.9, "Overweight", TRUE, "Obesity")</f>
        <v>Overweight</v>
      </c>
      <c r="J1483" t="str" cm="1">
        <f t="array" ref="J1483">_xlfn.IFS(C1483&lt;5.7, "Normal", C1483&lt;=6.4, "Prediabetes", TRUE, "Diabetes")</f>
        <v>Normal</v>
      </c>
    </row>
    <row r="1484" spans="1:10">
      <c r="A1484" t="s">
        <v>2966</v>
      </c>
      <c r="B1484">
        <v>23.31</v>
      </c>
      <c r="C1484">
        <v>8.27</v>
      </c>
      <c r="D1484" t="s">
        <v>4682</v>
      </c>
      <c r="E1484" t="s">
        <v>4682</v>
      </c>
      <c r="F1484" t="s">
        <v>4682</v>
      </c>
      <c r="G1484">
        <v>0</v>
      </c>
      <c r="H1484" t="s">
        <v>4682</v>
      </c>
      <c r="I1484" t="str" cm="1">
        <f t="array" ref="I1484">_xlfn.IFS(B1484&lt;18.5, "Underweight", B1484&lt;=24.9, "Normal Weight", B1484&lt;=29.9, "Overweight", TRUE, "Obesity")</f>
        <v>Normal Weight</v>
      </c>
      <c r="J1484" t="str" cm="1">
        <f t="array" ref="J1484">_xlfn.IFS(C1484&lt;5.7, "Normal", C1484&lt;=6.4, "Prediabetes", TRUE, "Diabetes")</f>
        <v>Diabetes</v>
      </c>
    </row>
    <row r="1485" spans="1:10">
      <c r="A1485" t="s">
        <v>2968</v>
      </c>
      <c r="B1485">
        <v>29</v>
      </c>
      <c r="C1485">
        <v>4.5599999999999996</v>
      </c>
      <c r="D1485" t="s">
        <v>4682</v>
      </c>
      <c r="E1485" t="s">
        <v>4682</v>
      </c>
      <c r="F1485" t="s">
        <v>4682</v>
      </c>
      <c r="G1485">
        <v>0</v>
      </c>
      <c r="H1485" t="s">
        <v>4682</v>
      </c>
      <c r="I1485" t="str" cm="1">
        <f t="array" ref="I1485">_xlfn.IFS(B1485&lt;18.5, "Underweight", B1485&lt;=24.9, "Normal Weight", B1485&lt;=29.9, "Overweight", TRUE, "Obesity")</f>
        <v>Overweight</v>
      </c>
      <c r="J1485" t="str" cm="1">
        <f t="array" ref="J1485">_xlfn.IFS(C1485&lt;5.7, "Normal", C1485&lt;=6.4, "Prediabetes", TRUE, "Diabetes")</f>
        <v>Normal</v>
      </c>
    </row>
    <row r="1486" spans="1:10">
      <c r="A1486" t="s">
        <v>2970</v>
      </c>
      <c r="B1486">
        <v>32.869999999999997</v>
      </c>
      <c r="C1486">
        <v>5.33</v>
      </c>
      <c r="D1486" t="s">
        <v>4682</v>
      </c>
      <c r="E1486" t="s">
        <v>4682</v>
      </c>
      <c r="F1486" t="s">
        <v>4682</v>
      </c>
      <c r="G1486">
        <v>0</v>
      </c>
      <c r="H1486" t="s">
        <v>4682</v>
      </c>
      <c r="I1486" t="str" cm="1">
        <f t="array" ref="I1486">_xlfn.IFS(B1486&lt;18.5, "Underweight", B1486&lt;=24.9, "Normal Weight", B1486&lt;=29.9, "Overweight", TRUE, "Obesity")</f>
        <v>Obesity</v>
      </c>
      <c r="J1486" t="str" cm="1">
        <f t="array" ref="J1486">_xlfn.IFS(C1486&lt;5.7, "Normal", C1486&lt;=6.4, "Prediabetes", TRUE, "Diabetes")</f>
        <v>Normal</v>
      </c>
    </row>
    <row r="1487" spans="1:10">
      <c r="A1487" t="s">
        <v>2972</v>
      </c>
      <c r="B1487">
        <v>26.18</v>
      </c>
      <c r="C1487">
        <v>5.63</v>
      </c>
      <c r="D1487" t="s">
        <v>4682</v>
      </c>
      <c r="E1487" t="s">
        <v>4682</v>
      </c>
      <c r="F1487" t="s">
        <v>4682</v>
      </c>
      <c r="G1487">
        <v>0</v>
      </c>
      <c r="H1487" t="s">
        <v>4682</v>
      </c>
      <c r="I1487" t="str" cm="1">
        <f t="array" ref="I1487">_xlfn.IFS(B1487&lt;18.5, "Underweight", B1487&lt;=24.9, "Normal Weight", B1487&lt;=29.9, "Overweight", TRUE, "Obesity")</f>
        <v>Overweight</v>
      </c>
      <c r="J1487" t="str" cm="1">
        <f t="array" ref="J1487">_xlfn.IFS(C1487&lt;5.7, "Normal", C1487&lt;=6.4, "Prediabetes", TRUE, "Diabetes")</f>
        <v>Normal</v>
      </c>
    </row>
    <row r="1488" spans="1:10">
      <c r="A1488" t="s">
        <v>2974</v>
      </c>
      <c r="B1488">
        <v>25.3</v>
      </c>
      <c r="C1488">
        <v>5.12</v>
      </c>
      <c r="D1488" t="s">
        <v>4682</v>
      </c>
      <c r="E1488" t="s">
        <v>4682</v>
      </c>
      <c r="F1488" t="s">
        <v>4682</v>
      </c>
      <c r="G1488">
        <v>0</v>
      </c>
      <c r="H1488" t="s">
        <v>4682</v>
      </c>
      <c r="I1488" t="str" cm="1">
        <f t="array" ref="I1488">_xlfn.IFS(B1488&lt;18.5, "Underweight", B1488&lt;=24.9, "Normal Weight", B1488&lt;=29.9, "Overweight", TRUE, "Obesity")</f>
        <v>Overweight</v>
      </c>
      <c r="J1488" t="str" cm="1">
        <f t="array" ref="J1488">_xlfn.IFS(C1488&lt;5.7, "Normal", C1488&lt;=6.4, "Prediabetes", TRUE, "Diabetes")</f>
        <v>Normal</v>
      </c>
    </row>
    <row r="1489" spans="1:10">
      <c r="A1489" t="s">
        <v>2976</v>
      </c>
      <c r="B1489">
        <v>36.94</v>
      </c>
      <c r="C1489">
        <v>5.15</v>
      </c>
      <c r="D1489" t="s">
        <v>4683</v>
      </c>
      <c r="E1489" t="s">
        <v>4682</v>
      </c>
      <c r="F1489" t="s">
        <v>4682</v>
      </c>
      <c r="G1489">
        <v>1</v>
      </c>
      <c r="H1489" t="s">
        <v>4682</v>
      </c>
      <c r="I1489" t="str" cm="1">
        <f t="array" ref="I1489">_xlfn.IFS(B1489&lt;18.5, "Underweight", B1489&lt;=24.9, "Normal Weight", B1489&lt;=29.9, "Overweight", TRUE, "Obesity")</f>
        <v>Obesity</v>
      </c>
      <c r="J1489" t="str" cm="1">
        <f t="array" ref="J1489">_xlfn.IFS(C1489&lt;5.7, "Normal", C1489&lt;=6.4, "Prediabetes", TRUE, "Diabetes")</f>
        <v>Normal</v>
      </c>
    </row>
    <row r="1490" spans="1:10">
      <c r="A1490" t="s">
        <v>2978</v>
      </c>
      <c r="B1490">
        <v>22.86</v>
      </c>
      <c r="C1490">
        <v>7.5</v>
      </c>
      <c r="D1490" t="s">
        <v>4682</v>
      </c>
      <c r="E1490" t="s">
        <v>4682</v>
      </c>
      <c r="F1490" t="s">
        <v>4682</v>
      </c>
      <c r="G1490">
        <v>0</v>
      </c>
      <c r="H1490" t="s">
        <v>4682</v>
      </c>
      <c r="I1490" t="str" cm="1">
        <f t="array" ref="I1490">_xlfn.IFS(B1490&lt;18.5, "Underweight", B1490&lt;=24.9, "Normal Weight", B1490&lt;=29.9, "Overweight", TRUE, "Obesity")</f>
        <v>Normal Weight</v>
      </c>
      <c r="J1490" t="str" cm="1">
        <f t="array" ref="J1490">_xlfn.IFS(C1490&lt;5.7, "Normal", C1490&lt;=6.4, "Prediabetes", TRUE, "Diabetes")</f>
        <v>Diabetes</v>
      </c>
    </row>
    <row r="1491" spans="1:10">
      <c r="A1491" t="s">
        <v>2980</v>
      </c>
      <c r="B1491">
        <v>18.760000000000002</v>
      </c>
      <c r="C1491">
        <v>4.88</v>
      </c>
      <c r="D1491" t="s">
        <v>4683</v>
      </c>
      <c r="E1491" t="s">
        <v>4682</v>
      </c>
      <c r="F1491" t="s">
        <v>4684</v>
      </c>
      <c r="G1491">
        <v>1</v>
      </c>
      <c r="H1491" t="s">
        <v>4682</v>
      </c>
      <c r="I1491" t="str" cm="1">
        <f t="array" ref="I1491">_xlfn.IFS(B1491&lt;18.5, "Underweight", B1491&lt;=24.9, "Normal Weight", B1491&lt;=29.9, "Overweight", TRUE, "Obesity")</f>
        <v>Normal Weight</v>
      </c>
      <c r="J1491" t="str" cm="1">
        <f t="array" ref="J1491">_xlfn.IFS(C1491&lt;5.7, "Normal", C1491&lt;=6.4, "Prediabetes", TRUE, "Diabetes")</f>
        <v>Normal</v>
      </c>
    </row>
    <row r="1492" spans="1:10">
      <c r="A1492" t="s">
        <v>2982</v>
      </c>
      <c r="B1492">
        <v>24.36</v>
      </c>
      <c r="C1492">
        <v>5.57</v>
      </c>
      <c r="D1492" t="s">
        <v>4682</v>
      </c>
      <c r="E1492" t="s">
        <v>4682</v>
      </c>
      <c r="F1492" t="s">
        <v>4682</v>
      </c>
      <c r="G1492">
        <v>0</v>
      </c>
      <c r="H1492" t="s">
        <v>4682</v>
      </c>
      <c r="I1492" t="str" cm="1">
        <f t="array" ref="I1492">_xlfn.IFS(B1492&lt;18.5, "Underweight", B1492&lt;=24.9, "Normal Weight", B1492&lt;=29.9, "Overweight", TRUE, "Obesity")</f>
        <v>Normal Weight</v>
      </c>
      <c r="J1492" t="str" cm="1">
        <f t="array" ref="J1492">_xlfn.IFS(C1492&lt;5.7, "Normal", C1492&lt;=6.4, "Prediabetes", TRUE, "Diabetes")</f>
        <v>Normal</v>
      </c>
    </row>
    <row r="1493" spans="1:10">
      <c r="A1493" t="s">
        <v>2984</v>
      </c>
      <c r="B1493">
        <v>32.299999999999997</v>
      </c>
      <c r="C1493">
        <v>5.31</v>
      </c>
      <c r="D1493" t="s">
        <v>4682</v>
      </c>
      <c r="E1493" t="s">
        <v>4682</v>
      </c>
      <c r="F1493" t="s">
        <v>4682</v>
      </c>
      <c r="G1493">
        <v>0</v>
      </c>
      <c r="H1493" t="s">
        <v>4682</v>
      </c>
      <c r="I1493" t="str" cm="1">
        <f t="array" ref="I1493">_xlfn.IFS(B1493&lt;18.5, "Underweight", B1493&lt;=24.9, "Normal Weight", B1493&lt;=29.9, "Overweight", TRUE, "Obesity")</f>
        <v>Obesity</v>
      </c>
      <c r="J1493" t="str" cm="1">
        <f t="array" ref="J1493">_xlfn.IFS(C1493&lt;5.7, "Normal", C1493&lt;=6.4, "Prediabetes", TRUE, "Diabetes")</f>
        <v>Normal</v>
      </c>
    </row>
    <row r="1494" spans="1:10">
      <c r="A1494" t="s">
        <v>2986</v>
      </c>
      <c r="B1494">
        <v>22.704999999999998</v>
      </c>
      <c r="C1494">
        <v>4.57</v>
      </c>
      <c r="D1494" t="s">
        <v>4683</v>
      </c>
      <c r="E1494" t="s">
        <v>4682</v>
      </c>
      <c r="F1494" t="s">
        <v>4682</v>
      </c>
      <c r="G1494">
        <v>0</v>
      </c>
      <c r="H1494" t="s">
        <v>4682</v>
      </c>
      <c r="I1494" t="str" cm="1">
        <f t="array" ref="I1494">_xlfn.IFS(B1494&lt;18.5, "Underweight", B1494&lt;=24.9, "Normal Weight", B1494&lt;=29.9, "Overweight", TRUE, "Obesity")</f>
        <v>Normal Weight</v>
      </c>
      <c r="J1494" t="str" cm="1">
        <f t="array" ref="J1494">_xlfn.IFS(C1494&lt;5.7, "Normal", C1494&lt;=6.4, "Prediabetes", TRUE, "Diabetes")</f>
        <v>Normal</v>
      </c>
    </row>
    <row r="1495" spans="1:10">
      <c r="A1495" t="s">
        <v>2988</v>
      </c>
      <c r="B1495">
        <v>21.79</v>
      </c>
      <c r="C1495">
        <v>8.6999999999999993</v>
      </c>
      <c r="D1495" t="s">
        <v>4683</v>
      </c>
      <c r="E1495" t="s">
        <v>4682</v>
      </c>
      <c r="F1495" t="s">
        <v>4682</v>
      </c>
      <c r="G1495">
        <v>1</v>
      </c>
      <c r="H1495" t="s">
        <v>4682</v>
      </c>
      <c r="I1495" t="str" cm="1">
        <f t="array" ref="I1495">_xlfn.IFS(B1495&lt;18.5, "Underweight", B1495&lt;=24.9, "Normal Weight", B1495&lt;=29.9, "Overweight", TRUE, "Obesity")</f>
        <v>Normal Weight</v>
      </c>
      <c r="J1495" t="str" cm="1">
        <f t="array" ref="J1495">_xlfn.IFS(C1495&lt;5.7, "Normal", C1495&lt;=6.4, "Prediabetes", TRUE, "Diabetes")</f>
        <v>Diabetes</v>
      </c>
    </row>
    <row r="1496" spans="1:10">
      <c r="A1496" t="s">
        <v>2990</v>
      </c>
      <c r="B1496">
        <v>24.52</v>
      </c>
      <c r="C1496">
        <v>4.76</v>
      </c>
      <c r="D1496" t="s">
        <v>4682</v>
      </c>
      <c r="E1496" t="s">
        <v>4682</v>
      </c>
      <c r="F1496" t="s">
        <v>4682</v>
      </c>
      <c r="G1496">
        <v>0</v>
      </c>
      <c r="H1496" t="s">
        <v>4682</v>
      </c>
      <c r="I1496" t="str" cm="1">
        <f t="array" ref="I1496">_xlfn.IFS(B1496&lt;18.5, "Underweight", B1496&lt;=24.9, "Normal Weight", B1496&lt;=29.9, "Overweight", TRUE, "Obesity")</f>
        <v>Normal Weight</v>
      </c>
      <c r="J1496" t="str" cm="1">
        <f t="array" ref="J1496">_xlfn.IFS(C1496&lt;5.7, "Normal", C1496&lt;=6.4, "Prediabetes", TRUE, "Diabetes")</f>
        <v>Normal</v>
      </c>
    </row>
    <row r="1497" spans="1:10">
      <c r="A1497" t="s">
        <v>2992</v>
      </c>
      <c r="B1497">
        <v>39.520000000000003</v>
      </c>
      <c r="C1497">
        <v>11.81</v>
      </c>
      <c r="D1497" t="s">
        <v>4682</v>
      </c>
      <c r="E1497" t="s">
        <v>4682</v>
      </c>
      <c r="F1497" t="s">
        <v>4682</v>
      </c>
      <c r="G1497">
        <v>0</v>
      </c>
      <c r="H1497" t="s">
        <v>4682</v>
      </c>
      <c r="I1497" t="str" cm="1">
        <f t="array" ref="I1497">_xlfn.IFS(B1497&lt;18.5, "Underweight", B1497&lt;=24.9, "Normal Weight", B1497&lt;=29.9, "Overweight", TRUE, "Obesity")</f>
        <v>Obesity</v>
      </c>
      <c r="J1497" t="str" cm="1">
        <f t="array" ref="J1497">_xlfn.IFS(C1497&lt;5.7, "Normal", C1497&lt;=6.4, "Prediabetes", TRUE, "Diabetes")</f>
        <v>Diabetes</v>
      </c>
    </row>
    <row r="1498" spans="1:10">
      <c r="A1498" t="s">
        <v>2994</v>
      </c>
      <c r="B1498">
        <v>24.49</v>
      </c>
      <c r="C1498">
        <v>4.67</v>
      </c>
      <c r="D1498" t="s">
        <v>4682</v>
      </c>
      <c r="E1498" t="s">
        <v>4682</v>
      </c>
      <c r="F1498" t="s">
        <v>4682</v>
      </c>
      <c r="G1498">
        <v>0</v>
      </c>
      <c r="H1498" t="s">
        <v>4682</v>
      </c>
      <c r="I1498" t="str" cm="1">
        <f t="array" ref="I1498">_xlfn.IFS(B1498&lt;18.5, "Underweight", B1498&lt;=24.9, "Normal Weight", B1498&lt;=29.9, "Overweight", TRUE, "Obesity")</f>
        <v>Normal Weight</v>
      </c>
      <c r="J1498" t="str" cm="1">
        <f t="array" ref="J1498">_xlfn.IFS(C1498&lt;5.7, "Normal", C1498&lt;=6.4, "Prediabetes", TRUE, "Diabetes")</f>
        <v>Normal</v>
      </c>
    </row>
    <row r="1499" spans="1:10">
      <c r="A1499" t="s">
        <v>2996</v>
      </c>
      <c r="B1499">
        <v>26.315000000000001</v>
      </c>
      <c r="C1499">
        <v>6.02</v>
      </c>
      <c r="D1499" t="s">
        <v>4682</v>
      </c>
      <c r="E1499" t="s">
        <v>4682</v>
      </c>
      <c r="F1499" t="s">
        <v>4682</v>
      </c>
      <c r="G1499">
        <v>0</v>
      </c>
      <c r="H1499" t="s">
        <v>4682</v>
      </c>
      <c r="I1499" t="str" cm="1">
        <f t="array" ref="I1499">_xlfn.IFS(B1499&lt;18.5, "Underweight", B1499&lt;=24.9, "Normal Weight", B1499&lt;=29.9, "Overweight", TRUE, "Obesity")</f>
        <v>Overweight</v>
      </c>
      <c r="J1499" t="str" cm="1">
        <f t="array" ref="J1499">_xlfn.IFS(C1499&lt;5.7, "Normal", C1499&lt;=6.4, "Prediabetes", TRUE, "Diabetes")</f>
        <v>Prediabetes</v>
      </c>
    </row>
    <row r="1500" spans="1:10">
      <c r="A1500" t="s">
        <v>2998</v>
      </c>
      <c r="B1500">
        <v>22.58</v>
      </c>
      <c r="C1500">
        <v>7.46</v>
      </c>
      <c r="D1500" t="s">
        <v>4682</v>
      </c>
      <c r="E1500" t="s">
        <v>4682</v>
      </c>
      <c r="F1500" t="s">
        <v>4682</v>
      </c>
      <c r="G1500">
        <v>0</v>
      </c>
      <c r="H1500" t="s">
        <v>4682</v>
      </c>
      <c r="I1500" t="str" cm="1">
        <f t="array" ref="I1500">_xlfn.IFS(B1500&lt;18.5, "Underweight", B1500&lt;=24.9, "Normal Weight", B1500&lt;=29.9, "Overweight", TRUE, "Obesity")</f>
        <v>Normal Weight</v>
      </c>
      <c r="J1500" t="str" cm="1">
        <f t="array" ref="J1500">_xlfn.IFS(C1500&lt;5.7, "Normal", C1500&lt;=6.4, "Prediabetes", TRUE, "Diabetes")</f>
        <v>Diabetes</v>
      </c>
    </row>
    <row r="1501" spans="1:10">
      <c r="A1501" t="s">
        <v>3000</v>
      </c>
      <c r="B1501">
        <v>19.475000000000001</v>
      </c>
      <c r="C1501">
        <v>4.74</v>
      </c>
      <c r="D1501" t="s">
        <v>4682</v>
      </c>
      <c r="E1501" t="s">
        <v>4682</v>
      </c>
      <c r="F1501" t="s">
        <v>4682</v>
      </c>
      <c r="G1501">
        <v>1</v>
      </c>
      <c r="H1501" t="s">
        <v>4682</v>
      </c>
      <c r="I1501" t="str" cm="1">
        <f t="array" ref="I1501">_xlfn.IFS(B1501&lt;18.5, "Underweight", B1501&lt;=24.9, "Normal Weight", B1501&lt;=29.9, "Overweight", TRUE, "Obesity")</f>
        <v>Normal Weight</v>
      </c>
      <c r="J1501" t="str" cm="1">
        <f t="array" ref="J1501">_xlfn.IFS(C1501&lt;5.7, "Normal", C1501&lt;=6.4, "Prediabetes", TRUE, "Diabetes")</f>
        <v>Normal</v>
      </c>
    </row>
    <row r="1502" spans="1:10">
      <c r="A1502" t="s">
        <v>3002</v>
      </c>
      <c r="B1502">
        <v>26.33</v>
      </c>
      <c r="C1502">
        <v>4.79</v>
      </c>
      <c r="D1502" t="s">
        <v>4682</v>
      </c>
      <c r="E1502" t="s">
        <v>4682</v>
      </c>
      <c r="F1502" t="s">
        <v>4682</v>
      </c>
      <c r="G1502">
        <v>0</v>
      </c>
      <c r="H1502" t="s">
        <v>4682</v>
      </c>
      <c r="I1502" t="str" cm="1">
        <f t="array" ref="I1502">_xlfn.IFS(B1502&lt;18.5, "Underweight", B1502&lt;=24.9, "Normal Weight", B1502&lt;=29.9, "Overweight", TRUE, "Obesity")</f>
        <v>Overweight</v>
      </c>
      <c r="J1502" t="str" cm="1">
        <f t="array" ref="J1502">_xlfn.IFS(C1502&lt;5.7, "Normal", C1502&lt;=6.4, "Prediabetes", TRUE, "Diabetes")</f>
        <v>Normal</v>
      </c>
    </row>
    <row r="1503" spans="1:10">
      <c r="A1503" t="s">
        <v>3004</v>
      </c>
      <c r="B1503">
        <v>17.29</v>
      </c>
      <c r="C1503">
        <v>5.35</v>
      </c>
      <c r="D1503" t="s">
        <v>4683</v>
      </c>
      <c r="E1503" t="s">
        <v>4682</v>
      </c>
      <c r="F1503" t="s">
        <v>4682</v>
      </c>
      <c r="G1503">
        <v>0</v>
      </c>
      <c r="H1503" t="s">
        <v>4682</v>
      </c>
      <c r="I1503" t="str" cm="1">
        <f t="array" ref="I1503">_xlfn.IFS(B1503&lt;18.5, "Underweight", B1503&lt;=24.9, "Normal Weight", B1503&lt;=29.9, "Overweight", TRUE, "Obesity")</f>
        <v>Underweight</v>
      </c>
      <c r="J1503" t="str" cm="1">
        <f t="array" ref="J1503">_xlfn.IFS(C1503&lt;5.7, "Normal", C1503&lt;=6.4, "Prediabetes", TRUE, "Diabetes")</f>
        <v>Normal</v>
      </c>
    </row>
    <row r="1504" spans="1:10">
      <c r="A1504" t="s">
        <v>3006</v>
      </c>
      <c r="B1504">
        <v>42.88</v>
      </c>
      <c r="C1504">
        <v>4.87</v>
      </c>
      <c r="D1504" t="s">
        <v>4682</v>
      </c>
      <c r="E1504" t="s">
        <v>4683</v>
      </c>
      <c r="F1504" t="s">
        <v>4682</v>
      </c>
      <c r="G1504">
        <v>1</v>
      </c>
      <c r="H1504" t="s">
        <v>4682</v>
      </c>
      <c r="I1504" t="str" cm="1">
        <f t="array" ref="I1504">_xlfn.IFS(B1504&lt;18.5, "Underweight", B1504&lt;=24.9, "Normal Weight", B1504&lt;=29.9, "Overweight", TRUE, "Obesity")</f>
        <v>Obesity</v>
      </c>
      <c r="J1504" t="str" cm="1">
        <f t="array" ref="J1504">_xlfn.IFS(C1504&lt;5.7, "Normal", C1504&lt;=6.4, "Prediabetes", TRUE, "Diabetes")</f>
        <v>Normal</v>
      </c>
    </row>
    <row r="1505" spans="1:10">
      <c r="A1505" t="s">
        <v>3008</v>
      </c>
      <c r="B1505">
        <v>32.200000000000003</v>
      </c>
      <c r="C1505">
        <v>10.09</v>
      </c>
      <c r="D1505" t="s">
        <v>4683</v>
      </c>
      <c r="E1505" t="s">
        <v>4682</v>
      </c>
      <c r="F1505" t="s">
        <v>4682</v>
      </c>
      <c r="G1505">
        <v>0</v>
      </c>
      <c r="H1505" t="s">
        <v>4682</v>
      </c>
      <c r="I1505" t="str" cm="1">
        <f t="array" ref="I1505">_xlfn.IFS(B1505&lt;18.5, "Underweight", B1505&lt;=24.9, "Normal Weight", B1505&lt;=29.9, "Overweight", TRUE, "Obesity")</f>
        <v>Obesity</v>
      </c>
      <c r="J1505" t="str" cm="1">
        <f t="array" ref="J1505">_xlfn.IFS(C1505&lt;5.7, "Normal", C1505&lt;=6.4, "Prediabetes", TRUE, "Diabetes")</f>
        <v>Diabetes</v>
      </c>
    </row>
    <row r="1506" spans="1:10">
      <c r="A1506" t="s">
        <v>3010</v>
      </c>
      <c r="B1506">
        <v>18.75</v>
      </c>
      <c r="C1506">
        <v>5.47</v>
      </c>
      <c r="D1506" t="s">
        <v>4683</v>
      </c>
      <c r="E1506" t="s">
        <v>4682</v>
      </c>
      <c r="F1506" t="s">
        <v>4684</v>
      </c>
      <c r="G1506">
        <v>1</v>
      </c>
      <c r="H1506" t="s">
        <v>4682</v>
      </c>
      <c r="I1506" t="str" cm="1">
        <f t="array" ref="I1506">_xlfn.IFS(B1506&lt;18.5, "Underweight", B1506&lt;=24.9, "Normal Weight", B1506&lt;=29.9, "Overweight", TRUE, "Obesity")</f>
        <v>Normal Weight</v>
      </c>
      <c r="J1506" t="str" cm="1">
        <f t="array" ref="J1506">_xlfn.IFS(C1506&lt;5.7, "Normal", C1506&lt;=6.4, "Prediabetes", TRUE, "Diabetes")</f>
        <v>Normal</v>
      </c>
    </row>
    <row r="1507" spans="1:10">
      <c r="A1507" t="s">
        <v>3012</v>
      </c>
      <c r="B1507">
        <v>22.36</v>
      </c>
      <c r="C1507">
        <v>8.6</v>
      </c>
      <c r="D1507" t="s">
        <v>4682</v>
      </c>
      <c r="E1507" t="s">
        <v>4682</v>
      </c>
      <c r="F1507" t="s">
        <v>4682</v>
      </c>
      <c r="G1507">
        <v>0</v>
      </c>
      <c r="H1507" t="s">
        <v>4682</v>
      </c>
      <c r="I1507" t="str" cm="1">
        <f t="array" ref="I1507">_xlfn.IFS(B1507&lt;18.5, "Underweight", B1507&lt;=24.9, "Normal Weight", B1507&lt;=29.9, "Overweight", TRUE, "Obesity")</f>
        <v>Normal Weight</v>
      </c>
      <c r="J1507" t="str" cm="1">
        <f t="array" ref="J1507">_xlfn.IFS(C1507&lt;5.7, "Normal", C1507&lt;=6.4, "Prediabetes", TRUE, "Diabetes")</f>
        <v>Diabetes</v>
      </c>
    </row>
    <row r="1508" spans="1:10">
      <c r="A1508" t="s">
        <v>3014</v>
      </c>
      <c r="B1508">
        <v>23.94</v>
      </c>
      <c r="C1508">
        <v>10.74</v>
      </c>
      <c r="D1508" t="s">
        <v>4683</v>
      </c>
      <c r="E1508" t="s">
        <v>4682</v>
      </c>
      <c r="F1508" t="s">
        <v>4682</v>
      </c>
      <c r="G1508">
        <v>0</v>
      </c>
      <c r="H1508" t="s">
        <v>4682</v>
      </c>
      <c r="I1508" t="str" cm="1">
        <f t="array" ref="I1508">_xlfn.IFS(B1508&lt;18.5, "Underweight", B1508&lt;=24.9, "Normal Weight", B1508&lt;=29.9, "Overweight", TRUE, "Obesity")</f>
        <v>Normal Weight</v>
      </c>
      <c r="J1508" t="str" cm="1">
        <f t="array" ref="J1508">_xlfn.IFS(C1508&lt;5.7, "Normal", C1508&lt;=6.4, "Prediabetes", TRUE, "Diabetes")</f>
        <v>Diabetes</v>
      </c>
    </row>
    <row r="1509" spans="1:10">
      <c r="A1509" t="s">
        <v>3016</v>
      </c>
      <c r="B1509">
        <v>30.1</v>
      </c>
      <c r="C1509">
        <v>4.3899999999999997</v>
      </c>
      <c r="D1509" t="s">
        <v>4682</v>
      </c>
      <c r="E1509" t="s">
        <v>4682</v>
      </c>
      <c r="F1509" t="s">
        <v>4684</v>
      </c>
      <c r="G1509">
        <v>1</v>
      </c>
      <c r="H1509" t="s">
        <v>4682</v>
      </c>
      <c r="I1509" t="str" cm="1">
        <f t="array" ref="I1509">_xlfn.IFS(B1509&lt;18.5, "Underweight", B1509&lt;=24.9, "Normal Weight", B1509&lt;=29.9, "Overweight", TRUE, "Obesity")</f>
        <v>Obesity</v>
      </c>
      <c r="J1509" t="str" cm="1">
        <f t="array" ref="J1509">_xlfn.IFS(C1509&lt;5.7, "Normal", C1509&lt;=6.4, "Prediabetes", TRUE, "Diabetes")</f>
        <v>Normal</v>
      </c>
    </row>
    <row r="1510" spans="1:10">
      <c r="A1510" t="s">
        <v>3018</v>
      </c>
      <c r="B1510">
        <v>21.93</v>
      </c>
      <c r="C1510">
        <v>6.3</v>
      </c>
      <c r="D1510" t="s">
        <v>4682</v>
      </c>
      <c r="E1510" t="s">
        <v>4682</v>
      </c>
      <c r="F1510" t="s">
        <v>4682</v>
      </c>
      <c r="G1510">
        <v>0</v>
      </c>
      <c r="H1510" t="s">
        <v>4682</v>
      </c>
      <c r="I1510" t="str" cm="1">
        <f t="array" ref="I1510">_xlfn.IFS(B1510&lt;18.5, "Underweight", B1510&lt;=24.9, "Normal Weight", B1510&lt;=29.9, "Overweight", TRUE, "Obesity")</f>
        <v>Normal Weight</v>
      </c>
      <c r="J1510" t="str" cm="1">
        <f t="array" ref="J1510">_xlfn.IFS(C1510&lt;5.7, "Normal", C1510&lt;=6.4, "Prediabetes", TRUE, "Diabetes")</f>
        <v>Prediabetes</v>
      </c>
    </row>
    <row r="1511" spans="1:10">
      <c r="A1511" t="s">
        <v>3020</v>
      </c>
      <c r="B1511">
        <v>39.75</v>
      </c>
      <c r="C1511">
        <v>5.41</v>
      </c>
      <c r="D1511" t="s">
        <v>4682</v>
      </c>
      <c r="E1511" t="s">
        <v>4683</v>
      </c>
      <c r="F1511" t="s">
        <v>4682</v>
      </c>
      <c r="G1511">
        <v>1</v>
      </c>
      <c r="H1511" t="s">
        <v>4682</v>
      </c>
      <c r="I1511" t="str" cm="1">
        <f t="array" ref="I1511">_xlfn.IFS(B1511&lt;18.5, "Underweight", B1511&lt;=24.9, "Normal Weight", B1511&lt;=29.9, "Overweight", TRUE, "Obesity")</f>
        <v>Obesity</v>
      </c>
      <c r="J1511" t="str" cm="1">
        <f t="array" ref="J1511">_xlfn.IFS(C1511&lt;5.7, "Normal", C1511&lt;=6.4, "Prediabetes", TRUE, "Diabetes")</f>
        <v>Normal</v>
      </c>
    </row>
    <row r="1512" spans="1:10">
      <c r="A1512" t="s">
        <v>3022</v>
      </c>
      <c r="B1512">
        <v>26.03</v>
      </c>
      <c r="C1512">
        <v>4.47</v>
      </c>
      <c r="D1512" t="s">
        <v>4682</v>
      </c>
      <c r="E1512" t="s">
        <v>4682</v>
      </c>
      <c r="F1512" t="s">
        <v>4684</v>
      </c>
      <c r="G1512">
        <v>1</v>
      </c>
      <c r="H1512" t="s">
        <v>4682</v>
      </c>
      <c r="I1512" t="str" cm="1">
        <f t="array" ref="I1512">_xlfn.IFS(B1512&lt;18.5, "Underweight", B1512&lt;=24.9, "Normal Weight", B1512&lt;=29.9, "Overweight", TRUE, "Obesity")</f>
        <v>Overweight</v>
      </c>
      <c r="J1512" t="str" cm="1">
        <f t="array" ref="J1512">_xlfn.IFS(C1512&lt;5.7, "Normal", C1512&lt;=6.4, "Prediabetes", TRUE, "Diabetes")</f>
        <v>Normal</v>
      </c>
    </row>
    <row r="1513" spans="1:10">
      <c r="A1513" t="s">
        <v>3024</v>
      </c>
      <c r="B1513">
        <v>34.51</v>
      </c>
      <c r="C1513">
        <v>6.26</v>
      </c>
      <c r="D1513" t="s">
        <v>4682</v>
      </c>
      <c r="E1513" t="s">
        <v>4682</v>
      </c>
      <c r="F1513" t="s">
        <v>4682</v>
      </c>
      <c r="G1513">
        <v>0</v>
      </c>
      <c r="H1513" t="s">
        <v>4682</v>
      </c>
      <c r="I1513" t="str" cm="1">
        <f t="array" ref="I1513">_xlfn.IFS(B1513&lt;18.5, "Underweight", B1513&lt;=24.9, "Normal Weight", B1513&lt;=29.9, "Overweight", TRUE, "Obesity")</f>
        <v>Obesity</v>
      </c>
      <c r="J1513" t="str" cm="1">
        <f t="array" ref="J1513">_xlfn.IFS(C1513&lt;5.7, "Normal", C1513&lt;=6.4, "Prediabetes", TRUE, "Diabetes")</f>
        <v>Prediabetes</v>
      </c>
    </row>
    <row r="1514" spans="1:10">
      <c r="A1514" t="s">
        <v>3026</v>
      </c>
      <c r="B1514">
        <v>19.32</v>
      </c>
      <c r="C1514">
        <v>11.58</v>
      </c>
      <c r="D1514" t="s">
        <v>4683</v>
      </c>
      <c r="E1514" t="s">
        <v>4682</v>
      </c>
      <c r="F1514" t="s">
        <v>4682</v>
      </c>
      <c r="G1514">
        <v>1</v>
      </c>
      <c r="H1514" t="s">
        <v>4682</v>
      </c>
      <c r="I1514" t="str" cm="1">
        <f t="array" ref="I1514">_xlfn.IFS(B1514&lt;18.5, "Underweight", B1514&lt;=24.9, "Normal Weight", B1514&lt;=29.9, "Overweight", TRUE, "Obesity")</f>
        <v>Normal Weight</v>
      </c>
      <c r="J1514" t="str" cm="1">
        <f t="array" ref="J1514">_xlfn.IFS(C1514&lt;5.7, "Normal", C1514&lt;=6.4, "Prediabetes", TRUE, "Diabetes")</f>
        <v>Diabetes</v>
      </c>
    </row>
    <row r="1515" spans="1:10">
      <c r="A1515" t="s">
        <v>3028</v>
      </c>
      <c r="B1515">
        <v>28.5</v>
      </c>
      <c r="C1515">
        <v>4.3600000000000003</v>
      </c>
      <c r="D1515" t="s">
        <v>4682</v>
      </c>
      <c r="E1515" t="s">
        <v>4682</v>
      </c>
      <c r="F1515" t="s">
        <v>4682</v>
      </c>
      <c r="G1515">
        <v>0</v>
      </c>
      <c r="H1515" t="s">
        <v>4682</v>
      </c>
      <c r="I1515" t="str" cm="1">
        <f t="array" ref="I1515">_xlfn.IFS(B1515&lt;18.5, "Underweight", B1515&lt;=24.9, "Normal Weight", B1515&lt;=29.9, "Overweight", TRUE, "Obesity")</f>
        <v>Overweight</v>
      </c>
      <c r="J1515" t="str" cm="1">
        <f t="array" ref="J1515">_xlfn.IFS(C1515&lt;5.7, "Normal", C1515&lt;=6.4, "Prediabetes", TRUE, "Diabetes")</f>
        <v>Normal</v>
      </c>
    </row>
    <row r="1516" spans="1:10">
      <c r="A1516" t="s">
        <v>3030</v>
      </c>
      <c r="B1516">
        <v>30.875</v>
      </c>
      <c r="C1516">
        <v>4.1399999999999997</v>
      </c>
      <c r="D1516" t="s">
        <v>4683</v>
      </c>
      <c r="E1516" t="s">
        <v>4682</v>
      </c>
      <c r="F1516" t="s">
        <v>4682</v>
      </c>
      <c r="G1516">
        <v>0</v>
      </c>
      <c r="H1516" t="s">
        <v>4682</v>
      </c>
      <c r="I1516" t="str" cm="1">
        <f t="array" ref="I1516">_xlfn.IFS(B1516&lt;18.5, "Underweight", B1516&lt;=24.9, "Normal Weight", B1516&lt;=29.9, "Overweight", TRUE, "Obesity")</f>
        <v>Obesity</v>
      </c>
      <c r="J1516" t="str" cm="1">
        <f t="array" ref="J1516">_xlfn.IFS(C1516&lt;5.7, "Normal", C1516&lt;=6.4, "Prediabetes", TRUE, "Diabetes")</f>
        <v>Normal</v>
      </c>
    </row>
    <row r="1517" spans="1:10">
      <c r="A1517" t="s">
        <v>3032</v>
      </c>
      <c r="B1517">
        <v>24.02</v>
      </c>
      <c r="C1517">
        <v>4.38</v>
      </c>
      <c r="D1517" t="s">
        <v>4682</v>
      </c>
      <c r="E1517" t="s">
        <v>4682</v>
      </c>
      <c r="F1517" t="s">
        <v>4682</v>
      </c>
      <c r="G1517">
        <v>0</v>
      </c>
      <c r="H1517" t="s">
        <v>4682</v>
      </c>
      <c r="I1517" t="str" cm="1">
        <f t="array" ref="I1517">_xlfn.IFS(B1517&lt;18.5, "Underweight", B1517&lt;=24.9, "Normal Weight", B1517&lt;=29.9, "Overweight", TRUE, "Obesity")</f>
        <v>Normal Weight</v>
      </c>
      <c r="J1517" t="str" cm="1">
        <f t="array" ref="J1517">_xlfn.IFS(C1517&lt;5.7, "Normal", C1517&lt;=6.4, "Prediabetes", TRUE, "Diabetes")</f>
        <v>Normal</v>
      </c>
    </row>
    <row r="1518" spans="1:10">
      <c r="A1518" t="s">
        <v>3034</v>
      </c>
      <c r="B1518">
        <v>36.08</v>
      </c>
      <c r="C1518">
        <v>11.61</v>
      </c>
      <c r="D1518" t="s">
        <v>4683</v>
      </c>
      <c r="E1518" t="s">
        <v>4682</v>
      </c>
      <c r="F1518" t="s">
        <v>4682</v>
      </c>
      <c r="G1518">
        <v>0</v>
      </c>
      <c r="H1518" t="s">
        <v>4682</v>
      </c>
      <c r="I1518" t="str" cm="1">
        <f t="array" ref="I1518">_xlfn.IFS(B1518&lt;18.5, "Underweight", B1518&lt;=24.9, "Normal Weight", B1518&lt;=29.9, "Overweight", TRUE, "Obesity")</f>
        <v>Obesity</v>
      </c>
      <c r="J1518" t="str" cm="1">
        <f t="array" ref="J1518">_xlfn.IFS(C1518&lt;5.7, "Normal", C1518&lt;=6.4, "Prediabetes", TRUE, "Diabetes")</f>
        <v>Diabetes</v>
      </c>
    </row>
    <row r="1519" spans="1:10">
      <c r="A1519" t="s">
        <v>3036</v>
      </c>
      <c r="B1519">
        <v>32.200000000000003</v>
      </c>
      <c r="C1519">
        <v>10.59</v>
      </c>
      <c r="D1519" t="s">
        <v>4683</v>
      </c>
      <c r="E1519" t="s">
        <v>4682</v>
      </c>
      <c r="F1519" t="s">
        <v>4682</v>
      </c>
      <c r="G1519">
        <v>0</v>
      </c>
      <c r="H1519" t="s">
        <v>4682</v>
      </c>
      <c r="I1519" t="str" cm="1">
        <f t="array" ref="I1519">_xlfn.IFS(B1519&lt;18.5, "Underweight", B1519&lt;=24.9, "Normal Weight", B1519&lt;=29.9, "Overweight", TRUE, "Obesity")</f>
        <v>Obesity</v>
      </c>
      <c r="J1519" t="str" cm="1">
        <f t="array" ref="J1519">_xlfn.IFS(C1519&lt;5.7, "Normal", C1519&lt;=6.4, "Prediabetes", TRUE, "Diabetes")</f>
        <v>Diabetes</v>
      </c>
    </row>
    <row r="1520" spans="1:10">
      <c r="A1520" t="s">
        <v>3038</v>
      </c>
      <c r="B1520">
        <v>28.05</v>
      </c>
      <c r="C1520">
        <v>11.85</v>
      </c>
      <c r="D1520" t="s">
        <v>4683</v>
      </c>
      <c r="E1520" t="s">
        <v>4682</v>
      </c>
      <c r="F1520" t="s">
        <v>4682</v>
      </c>
      <c r="G1520">
        <v>0</v>
      </c>
      <c r="H1520" t="s">
        <v>4682</v>
      </c>
      <c r="I1520" t="str" cm="1">
        <f t="array" ref="I1520">_xlfn.IFS(B1520&lt;18.5, "Underweight", B1520&lt;=24.9, "Normal Weight", B1520&lt;=29.9, "Overweight", TRUE, "Obesity")</f>
        <v>Overweight</v>
      </c>
      <c r="J1520" t="str" cm="1">
        <f t="array" ref="J1520">_xlfn.IFS(C1520&lt;5.7, "Normal", C1520&lt;=6.4, "Prediabetes", TRUE, "Diabetes")</f>
        <v>Diabetes</v>
      </c>
    </row>
    <row r="1521" spans="1:10">
      <c r="A1521" t="s">
        <v>3040</v>
      </c>
      <c r="B1521">
        <v>19</v>
      </c>
      <c r="C1521">
        <v>5.46</v>
      </c>
      <c r="D1521" t="s">
        <v>4683</v>
      </c>
      <c r="E1521" t="s">
        <v>4682</v>
      </c>
      <c r="F1521" t="s">
        <v>4682</v>
      </c>
      <c r="G1521">
        <v>1</v>
      </c>
      <c r="H1521" t="s">
        <v>4682</v>
      </c>
      <c r="I1521" t="str" cm="1">
        <f t="array" ref="I1521">_xlfn.IFS(B1521&lt;18.5, "Underweight", B1521&lt;=24.9, "Normal Weight", B1521&lt;=29.9, "Overweight", TRUE, "Obesity")</f>
        <v>Normal Weight</v>
      </c>
      <c r="J1521" t="str" cm="1">
        <f t="array" ref="J1521">_xlfn.IFS(C1521&lt;5.7, "Normal", C1521&lt;=6.4, "Prediabetes", TRUE, "Diabetes")</f>
        <v>Normal</v>
      </c>
    </row>
    <row r="1522" spans="1:10">
      <c r="A1522" t="s">
        <v>3042</v>
      </c>
      <c r="B1522">
        <v>16.13</v>
      </c>
      <c r="C1522">
        <v>4.54</v>
      </c>
      <c r="D1522" t="s">
        <v>4683</v>
      </c>
      <c r="E1522" t="s">
        <v>4682</v>
      </c>
      <c r="F1522" t="s">
        <v>4682</v>
      </c>
      <c r="G1522">
        <v>2</v>
      </c>
      <c r="H1522" t="s">
        <v>4682</v>
      </c>
      <c r="I1522" t="str" cm="1">
        <f t="array" ref="I1522">_xlfn.IFS(B1522&lt;18.5, "Underweight", B1522&lt;=24.9, "Normal Weight", B1522&lt;=29.9, "Overweight", TRUE, "Obesity")</f>
        <v>Underweight</v>
      </c>
      <c r="J1522" t="str" cm="1">
        <f t="array" ref="J1522">_xlfn.IFS(C1522&lt;5.7, "Normal", C1522&lt;=6.4, "Prediabetes", TRUE, "Diabetes")</f>
        <v>Normal</v>
      </c>
    </row>
    <row r="1523" spans="1:10">
      <c r="A1523" t="s">
        <v>3044</v>
      </c>
      <c r="B1523">
        <v>18.77</v>
      </c>
      <c r="C1523">
        <v>11.98</v>
      </c>
      <c r="D1523" t="s">
        <v>4683</v>
      </c>
      <c r="E1523" t="s">
        <v>4682</v>
      </c>
      <c r="F1523" t="s">
        <v>4682</v>
      </c>
      <c r="G1523">
        <v>2</v>
      </c>
      <c r="H1523" t="s">
        <v>4682</v>
      </c>
      <c r="I1523" t="str" cm="1">
        <f t="array" ref="I1523">_xlfn.IFS(B1523&lt;18.5, "Underweight", B1523&lt;=24.9, "Normal Weight", B1523&lt;=29.9, "Overweight", TRUE, "Obesity")</f>
        <v>Normal Weight</v>
      </c>
      <c r="J1523" t="str" cm="1">
        <f t="array" ref="J1523">_xlfn.IFS(C1523&lt;5.7, "Normal", C1523&lt;=6.4, "Prediabetes", TRUE, "Diabetes")</f>
        <v>Diabetes</v>
      </c>
    </row>
    <row r="1524" spans="1:10">
      <c r="A1524" t="s">
        <v>3046</v>
      </c>
      <c r="B1524">
        <v>28.88</v>
      </c>
      <c r="C1524">
        <v>6.59</v>
      </c>
      <c r="D1524" t="s">
        <v>4683</v>
      </c>
      <c r="E1524" t="s">
        <v>4682</v>
      </c>
      <c r="F1524" t="s">
        <v>4682</v>
      </c>
      <c r="G1524">
        <v>1</v>
      </c>
      <c r="H1524" t="s">
        <v>4682</v>
      </c>
      <c r="I1524" t="str" cm="1">
        <f t="array" ref="I1524">_xlfn.IFS(B1524&lt;18.5, "Underweight", B1524&lt;=24.9, "Normal Weight", B1524&lt;=29.9, "Overweight", TRUE, "Obesity")</f>
        <v>Overweight</v>
      </c>
      <c r="J1524" t="str" cm="1">
        <f t="array" ref="J1524">_xlfn.IFS(C1524&lt;5.7, "Normal", C1524&lt;=6.4, "Prediabetes", TRUE, "Diabetes")</f>
        <v>Diabetes</v>
      </c>
    </row>
    <row r="1525" spans="1:10">
      <c r="A1525" t="s">
        <v>3048</v>
      </c>
      <c r="B1525">
        <v>27.55</v>
      </c>
      <c r="C1525">
        <v>10.83</v>
      </c>
      <c r="D1525" t="s">
        <v>4683</v>
      </c>
      <c r="E1525" t="s">
        <v>4682</v>
      </c>
      <c r="F1525" t="s">
        <v>4682</v>
      </c>
      <c r="G1525">
        <v>1</v>
      </c>
      <c r="H1525" t="s">
        <v>4682</v>
      </c>
      <c r="I1525" t="str" cm="1">
        <f t="array" ref="I1525">_xlfn.IFS(B1525&lt;18.5, "Underweight", B1525&lt;=24.9, "Normal Weight", B1525&lt;=29.9, "Overweight", TRUE, "Obesity")</f>
        <v>Overweight</v>
      </c>
      <c r="J1525" t="str" cm="1">
        <f t="array" ref="J1525">_xlfn.IFS(C1525&lt;5.7, "Normal", C1525&lt;=6.4, "Prediabetes", TRUE, "Diabetes")</f>
        <v>Diabetes</v>
      </c>
    </row>
    <row r="1526" spans="1:10">
      <c r="A1526" t="s">
        <v>3050</v>
      </c>
      <c r="B1526">
        <v>15.6</v>
      </c>
      <c r="C1526">
        <v>8.6</v>
      </c>
      <c r="D1526" t="s">
        <v>4682</v>
      </c>
      <c r="E1526" t="s">
        <v>4682</v>
      </c>
      <c r="F1526" t="s">
        <v>4682</v>
      </c>
      <c r="G1526">
        <v>0</v>
      </c>
      <c r="H1526" t="s">
        <v>4682</v>
      </c>
      <c r="I1526" t="str" cm="1">
        <f t="array" ref="I1526">_xlfn.IFS(B1526&lt;18.5, "Underweight", B1526&lt;=24.9, "Normal Weight", B1526&lt;=29.9, "Overweight", TRUE, "Obesity")</f>
        <v>Underweight</v>
      </c>
      <c r="J1526" t="str" cm="1">
        <f t="array" ref="J1526">_xlfn.IFS(C1526&lt;5.7, "Normal", C1526&lt;=6.4, "Prediabetes", TRUE, "Diabetes")</f>
        <v>Diabetes</v>
      </c>
    </row>
    <row r="1527" spans="1:10">
      <c r="A1527" t="s">
        <v>3052</v>
      </c>
      <c r="B1527">
        <v>21.99</v>
      </c>
      <c r="C1527">
        <v>11.17</v>
      </c>
      <c r="D1527" t="s">
        <v>4682</v>
      </c>
      <c r="E1527" t="s">
        <v>4682</v>
      </c>
      <c r="F1527" t="s">
        <v>4682</v>
      </c>
      <c r="G1527">
        <v>0</v>
      </c>
      <c r="H1527" t="s">
        <v>4682</v>
      </c>
      <c r="I1527" t="str" cm="1">
        <f t="array" ref="I1527">_xlfn.IFS(B1527&lt;18.5, "Underweight", B1527&lt;=24.9, "Normal Weight", B1527&lt;=29.9, "Overweight", TRUE, "Obesity")</f>
        <v>Normal Weight</v>
      </c>
      <c r="J1527" t="str" cm="1">
        <f t="array" ref="J1527">_xlfn.IFS(C1527&lt;5.7, "Normal", C1527&lt;=6.4, "Prediabetes", TRUE, "Diabetes")</f>
        <v>Diabetes</v>
      </c>
    </row>
    <row r="1528" spans="1:10">
      <c r="A1528" t="s">
        <v>3054</v>
      </c>
      <c r="B1528">
        <v>34.85</v>
      </c>
      <c r="C1528">
        <v>5.75</v>
      </c>
      <c r="D1528" t="s">
        <v>4682</v>
      </c>
      <c r="E1528" t="s">
        <v>4682</v>
      </c>
      <c r="F1528" t="s">
        <v>4682</v>
      </c>
      <c r="G1528">
        <v>0</v>
      </c>
      <c r="H1528" t="s">
        <v>4682</v>
      </c>
      <c r="I1528" t="str" cm="1">
        <f t="array" ref="I1528">_xlfn.IFS(B1528&lt;18.5, "Underweight", B1528&lt;=24.9, "Normal Weight", B1528&lt;=29.9, "Overweight", TRUE, "Obesity")</f>
        <v>Obesity</v>
      </c>
      <c r="J1528" t="str" cm="1">
        <f t="array" ref="J1528">_xlfn.IFS(C1528&lt;5.7, "Normal", C1528&lt;=6.4, "Prediabetes", TRUE, "Diabetes")</f>
        <v>Prediabetes</v>
      </c>
    </row>
    <row r="1529" spans="1:10">
      <c r="A1529" t="s">
        <v>3056</v>
      </c>
      <c r="B1529">
        <v>24.51</v>
      </c>
      <c r="C1529">
        <v>4.83</v>
      </c>
      <c r="D1529" t="s">
        <v>4683</v>
      </c>
      <c r="E1529" t="s">
        <v>4682</v>
      </c>
      <c r="F1529" t="s">
        <v>4684</v>
      </c>
      <c r="G1529">
        <v>1</v>
      </c>
      <c r="H1529" t="s">
        <v>4682</v>
      </c>
      <c r="I1529" t="str" cm="1">
        <f t="array" ref="I1529">_xlfn.IFS(B1529&lt;18.5, "Underweight", B1529&lt;=24.9, "Normal Weight", B1529&lt;=29.9, "Overweight", TRUE, "Obesity")</f>
        <v>Normal Weight</v>
      </c>
      <c r="J1529" t="str" cm="1">
        <f t="array" ref="J1529">_xlfn.IFS(C1529&lt;5.7, "Normal", C1529&lt;=6.4, "Prediabetes", TRUE, "Diabetes")</f>
        <v>Normal</v>
      </c>
    </row>
    <row r="1530" spans="1:10">
      <c r="A1530" t="s">
        <v>3058</v>
      </c>
      <c r="B1530">
        <v>19.399999999999999</v>
      </c>
      <c r="C1530">
        <v>11.93</v>
      </c>
      <c r="D1530" t="s">
        <v>4682</v>
      </c>
      <c r="E1530" t="s">
        <v>4682</v>
      </c>
      <c r="F1530" t="s">
        <v>4682</v>
      </c>
      <c r="G1530">
        <v>0</v>
      </c>
      <c r="H1530" t="s">
        <v>4682</v>
      </c>
      <c r="I1530" t="str" cm="1">
        <f t="array" ref="I1530">_xlfn.IFS(B1530&lt;18.5, "Underweight", B1530&lt;=24.9, "Normal Weight", B1530&lt;=29.9, "Overweight", TRUE, "Obesity")</f>
        <v>Normal Weight</v>
      </c>
      <c r="J1530" t="str" cm="1">
        <f t="array" ref="J1530">_xlfn.IFS(C1530&lt;5.7, "Normal", C1530&lt;=6.4, "Prediabetes", TRUE, "Diabetes")</f>
        <v>Diabetes</v>
      </c>
    </row>
    <row r="1531" spans="1:10">
      <c r="A1531" t="s">
        <v>3060</v>
      </c>
      <c r="B1531">
        <v>15.1</v>
      </c>
      <c r="C1531">
        <v>8.41</v>
      </c>
      <c r="D1531" t="s">
        <v>4682</v>
      </c>
      <c r="E1531" t="s">
        <v>4682</v>
      </c>
      <c r="F1531" t="s">
        <v>4682</v>
      </c>
      <c r="G1531">
        <v>0</v>
      </c>
      <c r="H1531" t="s">
        <v>4682</v>
      </c>
      <c r="I1531" t="str" cm="1">
        <f t="array" ref="I1531">_xlfn.IFS(B1531&lt;18.5, "Underweight", B1531&lt;=24.9, "Normal Weight", B1531&lt;=29.9, "Overweight", TRUE, "Obesity")</f>
        <v>Underweight</v>
      </c>
      <c r="J1531" t="str" cm="1">
        <f t="array" ref="J1531">_xlfn.IFS(C1531&lt;5.7, "Normal", C1531&lt;=6.4, "Prediabetes", TRUE, "Diabetes")</f>
        <v>Diabetes</v>
      </c>
    </row>
    <row r="1532" spans="1:10">
      <c r="A1532" t="s">
        <v>3062</v>
      </c>
      <c r="B1532">
        <v>23.37</v>
      </c>
      <c r="C1532">
        <v>5.59</v>
      </c>
      <c r="D1532" t="s">
        <v>4683</v>
      </c>
      <c r="E1532" t="s">
        <v>4682</v>
      </c>
      <c r="F1532" t="s">
        <v>4682</v>
      </c>
      <c r="G1532">
        <v>0</v>
      </c>
      <c r="H1532" t="s">
        <v>4682</v>
      </c>
      <c r="I1532" t="str" cm="1">
        <f t="array" ref="I1532">_xlfn.IFS(B1532&lt;18.5, "Underweight", B1532&lt;=24.9, "Normal Weight", B1532&lt;=29.9, "Overweight", TRUE, "Obesity")</f>
        <v>Normal Weight</v>
      </c>
      <c r="J1532" t="str" cm="1">
        <f t="array" ref="J1532">_xlfn.IFS(C1532&lt;5.7, "Normal", C1532&lt;=6.4, "Prediabetes", TRUE, "Diabetes")</f>
        <v>Normal</v>
      </c>
    </row>
    <row r="1533" spans="1:10">
      <c r="A1533" t="s">
        <v>3064</v>
      </c>
      <c r="B1533">
        <v>42.4</v>
      </c>
      <c r="C1533">
        <v>4.0599999999999996</v>
      </c>
      <c r="D1533" t="s">
        <v>4682</v>
      </c>
      <c r="E1533" t="s">
        <v>4682</v>
      </c>
      <c r="F1533" t="s">
        <v>4682</v>
      </c>
      <c r="G1533">
        <v>0</v>
      </c>
      <c r="H1533" t="s">
        <v>4682</v>
      </c>
      <c r="I1533" t="str" cm="1">
        <f t="array" ref="I1533">_xlfn.IFS(B1533&lt;18.5, "Underweight", B1533&lt;=24.9, "Normal Weight", B1533&lt;=29.9, "Overweight", TRUE, "Obesity")</f>
        <v>Obesity</v>
      </c>
      <c r="J1533" t="str" cm="1">
        <f t="array" ref="J1533">_xlfn.IFS(C1533&lt;5.7, "Normal", C1533&lt;=6.4, "Prediabetes", TRUE, "Diabetes")</f>
        <v>Normal</v>
      </c>
    </row>
    <row r="1534" spans="1:10">
      <c r="A1534" t="s">
        <v>3066</v>
      </c>
      <c r="B1534">
        <v>28.405000000000001</v>
      </c>
      <c r="C1534">
        <v>7.02</v>
      </c>
      <c r="D1534" t="s">
        <v>4683</v>
      </c>
      <c r="E1534" t="s">
        <v>4682</v>
      </c>
      <c r="F1534" t="s">
        <v>4682</v>
      </c>
      <c r="G1534">
        <v>0</v>
      </c>
      <c r="H1534" t="s">
        <v>4682</v>
      </c>
      <c r="I1534" t="str" cm="1">
        <f t="array" ref="I1534">_xlfn.IFS(B1534&lt;18.5, "Underweight", B1534&lt;=24.9, "Normal Weight", B1534&lt;=29.9, "Overweight", TRUE, "Obesity")</f>
        <v>Overweight</v>
      </c>
      <c r="J1534" t="str" cm="1">
        <f t="array" ref="J1534">_xlfn.IFS(C1534&lt;5.7, "Normal", C1534&lt;=6.4, "Prediabetes", TRUE, "Diabetes")</f>
        <v>Diabetes</v>
      </c>
    </row>
    <row r="1535" spans="1:10">
      <c r="A1535" t="s">
        <v>3068</v>
      </c>
      <c r="B1535">
        <v>23.4</v>
      </c>
      <c r="C1535">
        <v>4.47</v>
      </c>
      <c r="D1535" t="s">
        <v>4682</v>
      </c>
      <c r="E1535" t="s">
        <v>4682</v>
      </c>
      <c r="F1535" t="s">
        <v>4682</v>
      </c>
      <c r="G1535">
        <v>0</v>
      </c>
      <c r="H1535" t="s">
        <v>4682</v>
      </c>
      <c r="I1535" t="str" cm="1">
        <f t="array" ref="I1535">_xlfn.IFS(B1535&lt;18.5, "Underweight", B1535&lt;=24.9, "Normal Weight", B1535&lt;=29.9, "Overweight", TRUE, "Obesity")</f>
        <v>Normal Weight</v>
      </c>
      <c r="J1535" t="str" cm="1">
        <f t="array" ref="J1535">_xlfn.IFS(C1535&lt;5.7, "Normal", C1535&lt;=6.4, "Prediabetes", TRUE, "Diabetes")</f>
        <v>Normal</v>
      </c>
    </row>
    <row r="1536" spans="1:10">
      <c r="A1536" t="s">
        <v>3070</v>
      </c>
      <c r="B1536">
        <v>33.44</v>
      </c>
      <c r="C1536">
        <v>4.54</v>
      </c>
      <c r="D1536" t="s">
        <v>4682</v>
      </c>
      <c r="E1536" t="s">
        <v>4682</v>
      </c>
      <c r="F1536" t="s">
        <v>4682</v>
      </c>
      <c r="G1536">
        <v>0</v>
      </c>
      <c r="H1536" t="s">
        <v>4682</v>
      </c>
      <c r="I1536" t="str" cm="1">
        <f t="array" ref="I1536">_xlfn.IFS(B1536&lt;18.5, "Underweight", B1536&lt;=24.9, "Normal Weight", B1536&lt;=29.9, "Overweight", TRUE, "Obesity")</f>
        <v>Obesity</v>
      </c>
      <c r="J1536" t="str" cm="1">
        <f t="array" ref="J1536">_xlfn.IFS(C1536&lt;5.7, "Normal", C1536&lt;=6.4, "Prediabetes", TRUE, "Diabetes")</f>
        <v>Normal</v>
      </c>
    </row>
    <row r="1537" spans="1:10">
      <c r="A1537" t="s">
        <v>3072</v>
      </c>
      <c r="B1537">
        <v>21.12</v>
      </c>
      <c r="C1537">
        <v>4.99</v>
      </c>
      <c r="D1537" t="s">
        <v>4682</v>
      </c>
      <c r="E1537" t="s">
        <v>4682</v>
      </c>
      <c r="F1537" t="s">
        <v>4682</v>
      </c>
      <c r="G1537">
        <v>1</v>
      </c>
      <c r="H1537" t="s">
        <v>4682</v>
      </c>
      <c r="I1537" t="str" cm="1">
        <f t="array" ref="I1537">_xlfn.IFS(B1537&lt;18.5, "Underweight", B1537&lt;=24.9, "Normal Weight", B1537&lt;=29.9, "Overweight", TRUE, "Obesity")</f>
        <v>Normal Weight</v>
      </c>
      <c r="J1537" t="str" cm="1">
        <f t="array" ref="J1537">_xlfn.IFS(C1537&lt;5.7, "Normal", C1537&lt;=6.4, "Prediabetes", TRUE, "Diabetes")</f>
        <v>Normal</v>
      </c>
    </row>
    <row r="1538" spans="1:10">
      <c r="A1538" t="s">
        <v>3074</v>
      </c>
      <c r="B1538">
        <v>18.48</v>
      </c>
      <c r="C1538">
        <v>10.84</v>
      </c>
      <c r="D1538" t="s">
        <v>4683</v>
      </c>
      <c r="E1538" t="s">
        <v>4682</v>
      </c>
      <c r="F1538" t="s">
        <v>4682</v>
      </c>
      <c r="G1538">
        <v>2</v>
      </c>
      <c r="H1538" t="s">
        <v>4682</v>
      </c>
      <c r="I1538" t="str" cm="1">
        <f t="array" ref="I1538">_xlfn.IFS(B1538&lt;18.5, "Underweight", B1538&lt;=24.9, "Normal Weight", B1538&lt;=29.9, "Overweight", TRUE, "Obesity")</f>
        <v>Underweight</v>
      </c>
      <c r="J1538" t="str" cm="1">
        <f t="array" ref="J1538">_xlfn.IFS(C1538&lt;5.7, "Normal", C1538&lt;=6.4, "Prediabetes", TRUE, "Diabetes")</f>
        <v>Diabetes</v>
      </c>
    </row>
    <row r="1539" spans="1:10">
      <c r="A1539" t="s">
        <v>3076</v>
      </c>
      <c r="B1539">
        <v>16.815000000000001</v>
      </c>
      <c r="C1539">
        <v>5.63</v>
      </c>
      <c r="D1539" t="s">
        <v>4682</v>
      </c>
      <c r="E1539" t="s">
        <v>4682</v>
      </c>
      <c r="F1539" t="s">
        <v>4682</v>
      </c>
      <c r="G1539">
        <v>1</v>
      </c>
      <c r="H1539" t="s">
        <v>4682</v>
      </c>
      <c r="I1539" t="str" cm="1">
        <f t="array" ref="I1539">_xlfn.IFS(B1539&lt;18.5, "Underweight", B1539&lt;=24.9, "Normal Weight", B1539&lt;=29.9, "Overweight", TRUE, "Obesity")</f>
        <v>Underweight</v>
      </c>
      <c r="J1539" t="str" cm="1">
        <f t="array" ref="J1539">_xlfn.IFS(C1539&lt;5.7, "Normal", C1539&lt;=6.4, "Prediabetes", TRUE, "Diabetes")</f>
        <v>Normal</v>
      </c>
    </row>
    <row r="1540" spans="1:10">
      <c r="A1540" t="s">
        <v>3078</v>
      </c>
      <c r="B1540">
        <v>26.72</v>
      </c>
      <c r="C1540">
        <v>4.1399999999999997</v>
      </c>
      <c r="D1540" t="s">
        <v>4682</v>
      </c>
      <c r="E1540" t="s">
        <v>4682</v>
      </c>
      <c r="F1540" t="s">
        <v>4682</v>
      </c>
      <c r="G1540">
        <v>0</v>
      </c>
      <c r="H1540" t="s">
        <v>4682</v>
      </c>
      <c r="I1540" t="str" cm="1">
        <f t="array" ref="I1540">_xlfn.IFS(B1540&lt;18.5, "Underweight", B1540&lt;=24.9, "Normal Weight", B1540&lt;=29.9, "Overweight", TRUE, "Obesity")</f>
        <v>Overweight</v>
      </c>
      <c r="J1540" t="str" cm="1">
        <f t="array" ref="J1540">_xlfn.IFS(C1540&lt;5.7, "Normal", C1540&lt;=6.4, "Prediabetes", TRUE, "Diabetes")</f>
        <v>Normal</v>
      </c>
    </row>
    <row r="1541" spans="1:10">
      <c r="A1541" t="s">
        <v>3080</v>
      </c>
      <c r="B1541">
        <v>41.42</v>
      </c>
      <c r="C1541">
        <v>5.17</v>
      </c>
      <c r="D1541" t="s">
        <v>4682</v>
      </c>
      <c r="E1541" t="s">
        <v>4682</v>
      </c>
      <c r="F1541" t="s">
        <v>4684</v>
      </c>
      <c r="G1541">
        <v>1</v>
      </c>
      <c r="H1541" t="s">
        <v>4682</v>
      </c>
      <c r="I1541" t="str" cm="1">
        <f t="array" ref="I1541">_xlfn.IFS(B1541&lt;18.5, "Underweight", B1541&lt;=24.9, "Normal Weight", B1541&lt;=29.9, "Overweight", TRUE, "Obesity")</f>
        <v>Obesity</v>
      </c>
      <c r="J1541" t="str" cm="1">
        <f t="array" ref="J1541">_xlfn.IFS(C1541&lt;5.7, "Normal", C1541&lt;=6.4, "Prediabetes", TRUE, "Diabetes")</f>
        <v>Normal</v>
      </c>
    </row>
    <row r="1542" spans="1:10">
      <c r="A1542" t="s">
        <v>3082</v>
      </c>
      <c r="B1542">
        <v>20.69</v>
      </c>
      <c r="C1542">
        <v>6.93</v>
      </c>
      <c r="D1542" t="s">
        <v>4682</v>
      </c>
      <c r="E1542" t="s">
        <v>4682</v>
      </c>
      <c r="F1542" t="s">
        <v>4682</v>
      </c>
      <c r="G1542">
        <v>2</v>
      </c>
      <c r="H1542" t="s">
        <v>4682</v>
      </c>
      <c r="I1542" t="str" cm="1">
        <f t="array" ref="I1542">_xlfn.IFS(B1542&lt;18.5, "Underweight", B1542&lt;=24.9, "Normal Weight", B1542&lt;=29.9, "Overweight", TRUE, "Obesity")</f>
        <v>Normal Weight</v>
      </c>
      <c r="J1542" t="str" cm="1">
        <f t="array" ref="J1542">_xlfn.IFS(C1542&lt;5.7, "Normal", C1542&lt;=6.4, "Prediabetes", TRUE, "Diabetes")</f>
        <v>Diabetes</v>
      </c>
    </row>
    <row r="1543" spans="1:10">
      <c r="A1543" t="s">
        <v>3084</v>
      </c>
      <c r="B1543">
        <v>41.23</v>
      </c>
      <c r="C1543">
        <v>4.24</v>
      </c>
      <c r="D1543" t="s">
        <v>4682</v>
      </c>
      <c r="E1543" t="s">
        <v>4682</v>
      </c>
      <c r="F1543" t="s">
        <v>4682</v>
      </c>
      <c r="G1543">
        <v>0</v>
      </c>
      <c r="H1543" t="s">
        <v>4682</v>
      </c>
      <c r="I1543" t="str" cm="1">
        <f t="array" ref="I1543">_xlfn.IFS(B1543&lt;18.5, "Underweight", B1543&lt;=24.9, "Normal Weight", B1543&lt;=29.9, "Overweight", TRUE, "Obesity")</f>
        <v>Obesity</v>
      </c>
      <c r="J1543" t="str" cm="1">
        <f t="array" ref="J1543">_xlfn.IFS(C1543&lt;5.7, "Normal", C1543&lt;=6.4, "Prediabetes", TRUE, "Diabetes")</f>
        <v>Normal</v>
      </c>
    </row>
    <row r="1544" spans="1:10">
      <c r="A1544" t="s">
        <v>3086</v>
      </c>
      <c r="B1544">
        <v>29.9</v>
      </c>
      <c r="C1544">
        <v>5.91</v>
      </c>
      <c r="D1544" t="s">
        <v>4682</v>
      </c>
      <c r="E1544" t="s">
        <v>4682</v>
      </c>
      <c r="F1544" t="s">
        <v>4682</v>
      </c>
      <c r="G1544">
        <v>0</v>
      </c>
      <c r="H1544" t="s">
        <v>4682</v>
      </c>
      <c r="I1544" t="str" cm="1">
        <f t="array" ref="I1544">_xlfn.IFS(B1544&lt;18.5, "Underweight", B1544&lt;=24.9, "Normal Weight", B1544&lt;=29.9, "Overweight", TRUE, "Obesity")</f>
        <v>Overweight</v>
      </c>
      <c r="J1544" t="str" cm="1">
        <f t="array" ref="J1544">_xlfn.IFS(C1544&lt;5.7, "Normal", C1544&lt;=6.4, "Prediabetes", TRUE, "Diabetes")</f>
        <v>Prediabetes</v>
      </c>
    </row>
    <row r="1545" spans="1:10">
      <c r="A1545" t="s">
        <v>3088</v>
      </c>
      <c r="B1545">
        <v>34.104999999999997</v>
      </c>
      <c r="C1545">
        <v>5.93</v>
      </c>
      <c r="D1545" t="s">
        <v>4682</v>
      </c>
      <c r="E1545" t="s">
        <v>4682</v>
      </c>
      <c r="F1545" t="s">
        <v>4682</v>
      </c>
      <c r="G1545">
        <v>0</v>
      </c>
      <c r="H1545" t="s">
        <v>4682</v>
      </c>
      <c r="I1545" t="str" cm="1">
        <f t="array" ref="I1545">_xlfn.IFS(B1545&lt;18.5, "Underweight", B1545&lt;=24.9, "Normal Weight", B1545&lt;=29.9, "Overweight", TRUE, "Obesity")</f>
        <v>Obesity</v>
      </c>
      <c r="J1545" t="str" cm="1">
        <f t="array" ref="J1545">_xlfn.IFS(C1545&lt;5.7, "Normal", C1545&lt;=6.4, "Prediabetes", TRUE, "Diabetes")</f>
        <v>Prediabetes</v>
      </c>
    </row>
    <row r="1546" spans="1:10">
      <c r="A1546" t="s">
        <v>3090</v>
      </c>
      <c r="B1546">
        <v>24.97</v>
      </c>
      <c r="C1546">
        <v>5.66</v>
      </c>
      <c r="D1546" t="s">
        <v>4682</v>
      </c>
      <c r="E1546" t="s">
        <v>4682</v>
      </c>
      <c r="F1546" t="s">
        <v>4682</v>
      </c>
      <c r="G1546">
        <v>0</v>
      </c>
      <c r="H1546" t="s">
        <v>4682</v>
      </c>
      <c r="I1546" t="str" cm="1">
        <f t="array" ref="I1546">_xlfn.IFS(B1546&lt;18.5, "Underweight", B1546&lt;=24.9, "Normal Weight", B1546&lt;=29.9, "Overweight", TRUE, "Obesity")</f>
        <v>Overweight</v>
      </c>
      <c r="J1546" t="str" cm="1">
        <f t="array" ref="J1546">_xlfn.IFS(C1546&lt;5.7, "Normal", C1546&lt;=6.4, "Prediabetes", TRUE, "Diabetes")</f>
        <v>Normal</v>
      </c>
    </row>
    <row r="1547" spans="1:10">
      <c r="A1547" t="s">
        <v>3092</v>
      </c>
      <c r="B1547">
        <v>34.799999999999997</v>
      </c>
      <c r="C1547">
        <v>4.1900000000000004</v>
      </c>
      <c r="D1547" t="s">
        <v>4682</v>
      </c>
      <c r="E1547" t="s">
        <v>4682</v>
      </c>
      <c r="F1547" t="s">
        <v>4682</v>
      </c>
      <c r="G1547">
        <v>1</v>
      </c>
      <c r="H1547" t="s">
        <v>4682</v>
      </c>
      <c r="I1547" t="str" cm="1">
        <f t="array" ref="I1547">_xlfn.IFS(B1547&lt;18.5, "Underweight", B1547&lt;=24.9, "Normal Weight", B1547&lt;=29.9, "Overweight", TRUE, "Obesity")</f>
        <v>Obesity</v>
      </c>
      <c r="J1547" t="str" cm="1">
        <f t="array" ref="J1547">_xlfn.IFS(C1547&lt;5.7, "Normal", C1547&lt;=6.4, "Prediabetes", TRUE, "Diabetes")</f>
        <v>Normal</v>
      </c>
    </row>
    <row r="1548" spans="1:10">
      <c r="A1548" t="s">
        <v>3094</v>
      </c>
      <c r="B1548">
        <v>32.965000000000003</v>
      </c>
      <c r="C1548">
        <v>9.2100000000000009</v>
      </c>
      <c r="D1548" t="s">
        <v>4683</v>
      </c>
      <c r="E1548" t="s">
        <v>4682</v>
      </c>
      <c r="F1548" t="s">
        <v>4682</v>
      </c>
      <c r="G1548">
        <v>0</v>
      </c>
      <c r="H1548" t="s">
        <v>4682</v>
      </c>
      <c r="I1548" t="str" cm="1">
        <f t="array" ref="I1548">_xlfn.IFS(B1548&lt;18.5, "Underweight", B1548&lt;=24.9, "Normal Weight", B1548&lt;=29.9, "Overweight", TRUE, "Obesity")</f>
        <v>Obesity</v>
      </c>
      <c r="J1548" t="str" cm="1">
        <f t="array" ref="J1548">_xlfn.IFS(C1548&lt;5.7, "Normal", C1548&lt;=6.4, "Prediabetes", TRUE, "Diabetes")</f>
        <v>Diabetes</v>
      </c>
    </row>
    <row r="1549" spans="1:10">
      <c r="A1549" t="s">
        <v>3096</v>
      </c>
      <c r="B1549">
        <v>27.265000000000001</v>
      </c>
      <c r="C1549">
        <v>5.51</v>
      </c>
      <c r="D1549" t="s">
        <v>4682</v>
      </c>
      <c r="E1549" t="s">
        <v>4682</v>
      </c>
      <c r="F1549" t="s">
        <v>4682</v>
      </c>
      <c r="G1549">
        <v>1</v>
      </c>
      <c r="H1549" t="s">
        <v>4682</v>
      </c>
      <c r="I1549" t="str" cm="1">
        <f t="array" ref="I1549">_xlfn.IFS(B1549&lt;18.5, "Underweight", B1549&lt;=24.9, "Normal Weight", B1549&lt;=29.9, "Overweight", TRUE, "Obesity")</f>
        <v>Overweight</v>
      </c>
      <c r="J1549" t="str" cm="1">
        <f t="array" ref="J1549">_xlfn.IFS(C1549&lt;5.7, "Normal", C1549&lt;=6.4, "Prediabetes", TRUE, "Diabetes")</f>
        <v>Normal</v>
      </c>
    </row>
    <row r="1550" spans="1:10">
      <c r="A1550" t="s">
        <v>3098</v>
      </c>
      <c r="B1550">
        <v>17.059999999999999</v>
      </c>
      <c r="C1550">
        <v>8.5</v>
      </c>
      <c r="D1550" t="s">
        <v>4682</v>
      </c>
      <c r="E1550" t="s">
        <v>4682</v>
      </c>
      <c r="F1550" t="s">
        <v>4682</v>
      </c>
      <c r="G1550">
        <v>0</v>
      </c>
      <c r="H1550" t="s">
        <v>4682</v>
      </c>
      <c r="I1550" t="str" cm="1">
        <f t="array" ref="I1550">_xlfn.IFS(B1550&lt;18.5, "Underweight", B1550&lt;=24.9, "Normal Weight", B1550&lt;=29.9, "Overweight", TRUE, "Obesity")</f>
        <v>Underweight</v>
      </c>
      <c r="J1550" t="str" cm="1">
        <f t="array" ref="J1550">_xlfn.IFS(C1550&lt;5.7, "Normal", C1550&lt;=6.4, "Prediabetes", TRUE, "Diabetes")</f>
        <v>Diabetes</v>
      </c>
    </row>
    <row r="1551" spans="1:10">
      <c r="A1551" t="s">
        <v>3100</v>
      </c>
      <c r="B1551">
        <v>36.29</v>
      </c>
      <c r="C1551">
        <v>6.23</v>
      </c>
      <c r="D1551" t="s">
        <v>4682</v>
      </c>
      <c r="E1551" t="s">
        <v>4682</v>
      </c>
      <c r="F1551" t="s">
        <v>4682</v>
      </c>
      <c r="G1551">
        <v>0</v>
      </c>
      <c r="H1551" t="s">
        <v>4682</v>
      </c>
      <c r="I1551" t="str" cm="1">
        <f t="array" ref="I1551">_xlfn.IFS(B1551&lt;18.5, "Underweight", B1551&lt;=24.9, "Normal Weight", B1551&lt;=29.9, "Overweight", TRUE, "Obesity")</f>
        <v>Obesity</v>
      </c>
      <c r="J1551" t="str" cm="1">
        <f t="array" ref="J1551">_xlfn.IFS(C1551&lt;5.7, "Normal", C1551&lt;=6.4, "Prediabetes", TRUE, "Diabetes")</f>
        <v>Prediabetes</v>
      </c>
    </row>
    <row r="1552" spans="1:10">
      <c r="A1552" t="s">
        <v>3102</v>
      </c>
      <c r="B1552">
        <v>28.594999999999999</v>
      </c>
      <c r="C1552">
        <v>8.5299999999999994</v>
      </c>
      <c r="D1552" t="s">
        <v>4683</v>
      </c>
      <c r="E1552" t="s">
        <v>4682</v>
      </c>
      <c r="F1552" t="s">
        <v>4682</v>
      </c>
      <c r="G1552">
        <v>1</v>
      </c>
      <c r="H1552" t="s">
        <v>4682</v>
      </c>
      <c r="I1552" t="str" cm="1">
        <f t="array" ref="I1552">_xlfn.IFS(B1552&lt;18.5, "Underweight", B1552&lt;=24.9, "Normal Weight", B1552&lt;=29.9, "Overweight", TRUE, "Obesity")</f>
        <v>Overweight</v>
      </c>
      <c r="J1552" t="str" cm="1">
        <f t="array" ref="J1552">_xlfn.IFS(C1552&lt;5.7, "Normal", C1552&lt;=6.4, "Prediabetes", TRUE, "Diabetes")</f>
        <v>Diabetes</v>
      </c>
    </row>
    <row r="1553" spans="1:10">
      <c r="A1553" t="s">
        <v>3104</v>
      </c>
      <c r="B1553">
        <v>17.8</v>
      </c>
      <c r="C1553">
        <v>5.75</v>
      </c>
      <c r="D1553" t="s">
        <v>4683</v>
      </c>
      <c r="E1553" t="s">
        <v>4682</v>
      </c>
      <c r="F1553" t="s">
        <v>4684</v>
      </c>
      <c r="G1553">
        <v>1</v>
      </c>
      <c r="H1553" t="s">
        <v>4682</v>
      </c>
      <c r="I1553" t="str" cm="1">
        <f t="array" ref="I1553">_xlfn.IFS(B1553&lt;18.5, "Underweight", B1553&lt;=24.9, "Normal Weight", B1553&lt;=29.9, "Overweight", TRUE, "Obesity")</f>
        <v>Underweight</v>
      </c>
      <c r="J1553" t="str" cm="1">
        <f t="array" ref="J1553">_xlfn.IFS(C1553&lt;5.7, "Normal", C1553&lt;=6.4, "Prediabetes", TRUE, "Diabetes")</f>
        <v>Prediabetes</v>
      </c>
    </row>
    <row r="1554" spans="1:10">
      <c r="A1554" t="s">
        <v>3106</v>
      </c>
      <c r="B1554">
        <v>21.4</v>
      </c>
      <c r="C1554">
        <v>5.6</v>
      </c>
      <c r="D1554" t="s">
        <v>4682</v>
      </c>
      <c r="E1554" t="s">
        <v>4682</v>
      </c>
      <c r="F1554" t="s">
        <v>4682</v>
      </c>
      <c r="G1554">
        <v>0</v>
      </c>
      <c r="H1554" t="s">
        <v>4682</v>
      </c>
      <c r="I1554" t="str" cm="1">
        <f t="array" ref="I1554">_xlfn.IFS(B1554&lt;18.5, "Underweight", B1554&lt;=24.9, "Normal Weight", B1554&lt;=29.9, "Overweight", TRUE, "Obesity")</f>
        <v>Normal Weight</v>
      </c>
      <c r="J1554" t="str" cm="1">
        <f t="array" ref="J1554">_xlfn.IFS(C1554&lt;5.7, "Normal", C1554&lt;=6.4, "Prediabetes", TRUE, "Diabetes")</f>
        <v>Normal</v>
      </c>
    </row>
    <row r="1555" spans="1:10">
      <c r="A1555" t="s">
        <v>3108</v>
      </c>
      <c r="B1555">
        <v>23.01</v>
      </c>
      <c r="C1555">
        <v>4.68</v>
      </c>
      <c r="D1555" t="s">
        <v>4682</v>
      </c>
      <c r="E1555" t="s">
        <v>4682</v>
      </c>
      <c r="F1555" t="s">
        <v>4682</v>
      </c>
      <c r="G1555">
        <v>0</v>
      </c>
      <c r="H1555" t="s">
        <v>4682</v>
      </c>
      <c r="I1555" t="str" cm="1">
        <f t="array" ref="I1555">_xlfn.IFS(B1555&lt;18.5, "Underweight", B1555&lt;=24.9, "Normal Weight", B1555&lt;=29.9, "Overweight", TRUE, "Obesity")</f>
        <v>Normal Weight</v>
      </c>
      <c r="J1555" t="str" cm="1">
        <f t="array" ref="J1555">_xlfn.IFS(C1555&lt;5.7, "Normal", C1555&lt;=6.4, "Prediabetes", TRUE, "Diabetes")</f>
        <v>Normal</v>
      </c>
    </row>
    <row r="1556" spans="1:10">
      <c r="A1556" t="s">
        <v>3110</v>
      </c>
      <c r="B1556">
        <v>19.86</v>
      </c>
      <c r="C1556">
        <v>5.62</v>
      </c>
      <c r="D1556" t="s">
        <v>4683</v>
      </c>
      <c r="E1556" t="s">
        <v>4682</v>
      </c>
      <c r="F1556" t="s">
        <v>4682</v>
      </c>
      <c r="G1556">
        <v>0</v>
      </c>
      <c r="H1556" t="s">
        <v>4682</v>
      </c>
      <c r="I1556" t="str" cm="1">
        <f t="array" ref="I1556">_xlfn.IFS(B1556&lt;18.5, "Underweight", B1556&lt;=24.9, "Normal Weight", B1556&lt;=29.9, "Overweight", TRUE, "Obesity")</f>
        <v>Normal Weight</v>
      </c>
      <c r="J1556" t="str" cm="1">
        <f t="array" ref="J1556">_xlfn.IFS(C1556&lt;5.7, "Normal", C1556&lt;=6.4, "Prediabetes", TRUE, "Diabetes")</f>
        <v>Normal</v>
      </c>
    </row>
    <row r="1557" spans="1:10">
      <c r="A1557" t="s">
        <v>3112</v>
      </c>
      <c r="B1557">
        <v>33.58</v>
      </c>
      <c r="C1557">
        <v>5.08</v>
      </c>
      <c r="D1557" t="s">
        <v>4682</v>
      </c>
      <c r="E1557" t="s">
        <v>4682</v>
      </c>
      <c r="F1557" t="s">
        <v>4682</v>
      </c>
      <c r="G1557">
        <v>0</v>
      </c>
      <c r="H1557" t="s">
        <v>4682</v>
      </c>
      <c r="I1557" t="str" cm="1">
        <f t="array" ref="I1557">_xlfn.IFS(B1557&lt;18.5, "Underweight", B1557&lt;=24.9, "Normal Weight", B1557&lt;=29.9, "Overweight", TRUE, "Obesity")</f>
        <v>Obesity</v>
      </c>
      <c r="J1557" t="str" cm="1">
        <f t="array" ref="J1557">_xlfn.IFS(C1557&lt;5.7, "Normal", C1557&lt;=6.4, "Prediabetes", TRUE, "Diabetes")</f>
        <v>Normal</v>
      </c>
    </row>
    <row r="1558" spans="1:10">
      <c r="A1558" t="s">
        <v>3114</v>
      </c>
      <c r="B1558">
        <v>29.81</v>
      </c>
      <c r="C1558">
        <v>5.28</v>
      </c>
      <c r="D1558" t="s">
        <v>4682</v>
      </c>
      <c r="E1558" t="s">
        <v>4682</v>
      </c>
      <c r="F1558" t="s">
        <v>4682</v>
      </c>
      <c r="G1558">
        <v>0</v>
      </c>
      <c r="H1558" t="s">
        <v>4682</v>
      </c>
      <c r="I1558" t="str" cm="1">
        <f t="array" ref="I1558">_xlfn.IFS(B1558&lt;18.5, "Underweight", B1558&lt;=24.9, "Normal Weight", B1558&lt;=29.9, "Overweight", TRUE, "Obesity")</f>
        <v>Overweight</v>
      </c>
      <c r="J1558" t="str" cm="1">
        <f t="array" ref="J1558">_xlfn.IFS(C1558&lt;5.7, "Normal", C1558&lt;=6.4, "Prediabetes", TRUE, "Diabetes")</f>
        <v>Normal</v>
      </c>
    </row>
    <row r="1559" spans="1:10">
      <c r="A1559" t="s">
        <v>3116</v>
      </c>
      <c r="B1559">
        <v>27.4</v>
      </c>
      <c r="C1559">
        <v>4.6100000000000003</v>
      </c>
      <c r="D1559" t="s">
        <v>4682</v>
      </c>
      <c r="E1559" t="s">
        <v>4682</v>
      </c>
      <c r="F1559" t="s">
        <v>4682</v>
      </c>
      <c r="G1559">
        <v>0</v>
      </c>
      <c r="H1559" t="s">
        <v>4682</v>
      </c>
      <c r="I1559" t="str" cm="1">
        <f t="array" ref="I1559">_xlfn.IFS(B1559&lt;18.5, "Underweight", B1559&lt;=24.9, "Normal Weight", B1559&lt;=29.9, "Overweight", TRUE, "Obesity")</f>
        <v>Overweight</v>
      </c>
      <c r="J1559" t="str" cm="1">
        <f t="array" ref="J1559">_xlfn.IFS(C1559&lt;5.7, "Normal", C1559&lt;=6.4, "Prediabetes", TRUE, "Diabetes")</f>
        <v>Normal</v>
      </c>
    </row>
    <row r="1560" spans="1:10">
      <c r="A1560" t="s">
        <v>3118</v>
      </c>
      <c r="B1560">
        <v>17.98</v>
      </c>
      <c r="C1560">
        <v>6.57</v>
      </c>
      <c r="D1560" t="s">
        <v>4683</v>
      </c>
      <c r="E1560" t="s">
        <v>4682</v>
      </c>
      <c r="F1560" t="s">
        <v>4682</v>
      </c>
      <c r="G1560">
        <v>2</v>
      </c>
      <c r="H1560" t="s">
        <v>4682</v>
      </c>
      <c r="I1560" t="str" cm="1">
        <f t="array" ref="I1560">_xlfn.IFS(B1560&lt;18.5, "Underweight", B1560&lt;=24.9, "Normal Weight", B1560&lt;=29.9, "Overweight", TRUE, "Obesity")</f>
        <v>Underweight</v>
      </c>
      <c r="J1560" t="str" cm="1">
        <f t="array" ref="J1560">_xlfn.IFS(C1560&lt;5.7, "Normal", C1560&lt;=6.4, "Prediabetes", TRUE, "Diabetes")</f>
        <v>Diabetes</v>
      </c>
    </row>
    <row r="1561" spans="1:10">
      <c r="A1561" t="s">
        <v>3120</v>
      </c>
      <c r="B1561">
        <v>37.9</v>
      </c>
      <c r="C1561">
        <v>5.83</v>
      </c>
      <c r="D1561" t="s">
        <v>4682</v>
      </c>
      <c r="E1561" t="s">
        <v>4682</v>
      </c>
      <c r="F1561" t="s">
        <v>4682</v>
      </c>
      <c r="G1561">
        <v>0</v>
      </c>
      <c r="H1561" t="s">
        <v>4682</v>
      </c>
      <c r="I1561" t="str" cm="1">
        <f t="array" ref="I1561">_xlfn.IFS(B1561&lt;18.5, "Underweight", B1561&lt;=24.9, "Normal Weight", B1561&lt;=29.9, "Overweight", TRUE, "Obesity")</f>
        <v>Obesity</v>
      </c>
      <c r="J1561" t="str" cm="1">
        <f t="array" ref="J1561">_xlfn.IFS(C1561&lt;5.7, "Normal", C1561&lt;=6.4, "Prediabetes", TRUE, "Diabetes")</f>
        <v>Prediabetes</v>
      </c>
    </row>
    <row r="1562" spans="1:10">
      <c r="A1562" t="s">
        <v>3122</v>
      </c>
      <c r="B1562">
        <v>25.27</v>
      </c>
      <c r="C1562">
        <v>6.98</v>
      </c>
      <c r="D1562" t="s">
        <v>4683</v>
      </c>
      <c r="E1562" t="s">
        <v>4682</v>
      </c>
      <c r="F1562" t="s">
        <v>4682</v>
      </c>
      <c r="G1562">
        <v>0</v>
      </c>
      <c r="H1562" t="s">
        <v>4682</v>
      </c>
      <c r="I1562" t="str" cm="1">
        <f t="array" ref="I1562">_xlfn.IFS(B1562&lt;18.5, "Underweight", B1562&lt;=24.9, "Normal Weight", B1562&lt;=29.9, "Overweight", TRUE, "Obesity")</f>
        <v>Overweight</v>
      </c>
      <c r="J1562" t="str" cm="1">
        <f t="array" ref="J1562">_xlfn.IFS(C1562&lt;5.7, "Normal", C1562&lt;=6.4, "Prediabetes", TRUE, "Diabetes")</f>
        <v>Diabetes</v>
      </c>
    </row>
    <row r="1563" spans="1:10">
      <c r="A1563" t="s">
        <v>3124</v>
      </c>
      <c r="B1563">
        <v>29.26</v>
      </c>
      <c r="C1563">
        <v>4.03</v>
      </c>
      <c r="D1563" t="s">
        <v>4682</v>
      </c>
      <c r="E1563" t="s">
        <v>4682</v>
      </c>
      <c r="F1563" t="s">
        <v>4682</v>
      </c>
      <c r="G1563">
        <v>1</v>
      </c>
      <c r="H1563" t="s">
        <v>4682</v>
      </c>
      <c r="I1563" t="str" cm="1">
        <f t="array" ref="I1563">_xlfn.IFS(B1563&lt;18.5, "Underweight", B1563&lt;=24.9, "Normal Weight", B1563&lt;=29.9, "Overweight", TRUE, "Obesity")</f>
        <v>Overweight</v>
      </c>
      <c r="J1563" t="str" cm="1">
        <f t="array" ref="J1563">_xlfn.IFS(C1563&lt;5.7, "Normal", C1563&lt;=6.4, "Prediabetes", TRUE, "Diabetes")</f>
        <v>Normal</v>
      </c>
    </row>
    <row r="1564" spans="1:10">
      <c r="A1564" t="s">
        <v>3126</v>
      </c>
      <c r="B1564">
        <v>27.835000000000001</v>
      </c>
      <c r="C1564">
        <v>4.5599999999999996</v>
      </c>
      <c r="D1564" t="s">
        <v>4682</v>
      </c>
      <c r="E1564" t="s">
        <v>4682</v>
      </c>
      <c r="F1564" t="s">
        <v>4682</v>
      </c>
      <c r="G1564">
        <v>1</v>
      </c>
      <c r="H1564" t="s">
        <v>4682</v>
      </c>
      <c r="I1564" t="str" cm="1">
        <f t="array" ref="I1564">_xlfn.IFS(B1564&lt;18.5, "Underweight", B1564&lt;=24.9, "Normal Weight", B1564&lt;=29.9, "Overweight", TRUE, "Obesity")</f>
        <v>Overweight</v>
      </c>
      <c r="J1564" t="str" cm="1">
        <f t="array" ref="J1564">_xlfn.IFS(C1564&lt;5.7, "Normal", C1564&lt;=6.4, "Prediabetes", TRUE, "Diabetes")</f>
        <v>Normal</v>
      </c>
    </row>
    <row r="1565" spans="1:10">
      <c r="A1565" t="s">
        <v>3128</v>
      </c>
      <c r="B1565">
        <v>46.53</v>
      </c>
      <c r="C1565">
        <v>5.38</v>
      </c>
      <c r="D1565" t="s">
        <v>4683</v>
      </c>
      <c r="E1565" t="s">
        <v>4682</v>
      </c>
      <c r="F1565" t="s">
        <v>4682</v>
      </c>
      <c r="G1565">
        <v>0</v>
      </c>
      <c r="H1565" t="s">
        <v>4682</v>
      </c>
      <c r="I1565" t="str" cm="1">
        <f t="array" ref="I1565">_xlfn.IFS(B1565&lt;18.5, "Underweight", B1565&lt;=24.9, "Normal Weight", B1565&lt;=29.9, "Overweight", TRUE, "Obesity")</f>
        <v>Obesity</v>
      </c>
      <c r="J1565" t="str" cm="1">
        <f t="array" ref="J1565">_xlfn.IFS(C1565&lt;5.7, "Normal", C1565&lt;=6.4, "Prediabetes", TRUE, "Diabetes")</f>
        <v>Normal</v>
      </c>
    </row>
    <row r="1566" spans="1:10">
      <c r="A1566" t="s">
        <v>3130</v>
      </c>
      <c r="B1566">
        <v>20.58</v>
      </c>
      <c r="C1566">
        <v>11.04</v>
      </c>
      <c r="D1566" t="s">
        <v>4683</v>
      </c>
      <c r="E1566" t="s">
        <v>4682</v>
      </c>
      <c r="F1566" t="s">
        <v>4682</v>
      </c>
      <c r="G1566">
        <v>1</v>
      </c>
      <c r="H1566" t="s">
        <v>4682</v>
      </c>
      <c r="I1566" t="str" cm="1">
        <f t="array" ref="I1566">_xlfn.IFS(B1566&lt;18.5, "Underweight", B1566&lt;=24.9, "Normal Weight", B1566&lt;=29.9, "Overweight", TRUE, "Obesity")</f>
        <v>Normal Weight</v>
      </c>
      <c r="J1566" t="str" cm="1">
        <f t="array" ref="J1566">_xlfn.IFS(C1566&lt;5.7, "Normal", C1566&lt;=6.4, "Prediabetes", TRUE, "Diabetes")</f>
        <v>Diabetes</v>
      </c>
    </row>
    <row r="1567" spans="1:10">
      <c r="A1567" t="s">
        <v>3132</v>
      </c>
      <c r="B1567">
        <v>19.53</v>
      </c>
      <c r="C1567">
        <v>6.09</v>
      </c>
      <c r="D1567" t="s">
        <v>4683</v>
      </c>
      <c r="E1567" t="s">
        <v>4682</v>
      </c>
      <c r="F1567" t="s">
        <v>4682</v>
      </c>
      <c r="G1567">
        <v>0</v>
      </c>
      <c r="H1567" t="s">
        <v>4682</v>
      </c>
      <c r="I1567" t="str" cm="1">
        <f t="array" ref="I1567">_xlfn.IFS(B1567&lt;18.5, "Underweight", B1567&lt;=24.9, "Normal Weight", B1567&lt;=29.9, "Overweight", TRUE, "Obesity")</f>
        <v>Normal Weight</v>
      </c>
      <c r="J1567" t="str" cm="1">
        <f t="array" ref="J1567">_xlfn.IFS(C1567&lt;5.7, "Normal", C1567&lt;=6.4, "Prediabetes", TRUE, "Diabetes")</f>
        <v>Prediabetes</v>
      </c>
    </row>
    <row r="1568" spans="1:10">
      <c r="A1568" t="s">
        <v>3134</v>
      </c>
      <c r="B1568">
        <v>27.7</v>
      </c>
      <c r="C1568">
        <v>4.71</v>
      </c>
      <c r="D1568" t="s">
        <v>4682</v>
      </c>
      <c r="E1568" t="s">
        <v>4682</v>
      </c>
      <c r="F1568" t="s">
        <v>4682</v>
      </c>
      <c r="G1568">
        <v>1</v>
      </c>
      <c r="H1568" t="s">
        <v>4682</v>
      </c>
      <c r="I1568" t="str" cm="1">
        <f t="array" ref="I1568">_xlfn.IFS(B1568&lt;18.5, "Underweight", B1568&lt;=24.9, "Normal Weight", B1568&lt;=29.9, "Overweight", TRUE, "Obesity")</f>
        <v>Overweight</v>
      </c>
      <c r="J1568" t="str" cm="1">
        <f t="array" ref="J1568">_xlfn.IFS(C1568&lt;5.7, "Normal", C1568&lt;=6.4, "Prediabetes", TRUE, "Diabetes")</f>
        <v>Normal</v>
      </c>
    </row>
    <row r="1569" spans="1:10">
      <c r="A1569" t="s">
        <v>3136</v>
      </c>
      <c r="B1569">
        <v>18.920000000000002</v>
      </c>
      <c r="C1569">
        <v>8.18</v>
      </c>
      <c r="D1569" t="s">
        <v>4682</v>
      </c>
      <c r="E1569" t="s">
        <v>4682</v>
      </c>
      <c r="F1569" t="s">
        <v>4682</v>
      </c>
      <c r="G1569">
        <v>0</v>
      </c>
      <c r="H1569" t="s">
        <v>4682</v>
      </c>
      <c r="I1569" t="str" cm="1">
        <f t="array" ref="I1569">_xlfn.IFS(B1569&lt;18.5, "Underweight", B1569&lt;=24.9, "Normal Weight", B1569&lt;=29.9, "Overweight", TRUE, "Obesity")</f>
        <v>Normal Weight</v>
      </c>
      <c r="J1569" t="str" cm="1">
        <f t="array" ref="J1569">_xlfn.IFS(C1569&lt;5.7, "Normal", C1569&lt;=6.4, "Prediabetes", TRUE, "Diabetes")</f>
        <v>Diabetes</v>
      </c>
    </row>
    <row r="1570" spans="1:10">
      <c r="A1570" t="s">
        <v>3138</v>
      </c>
      <c r="B1570">
        <v>17.760000000000002</v>
      </c>
      <c r="C1570">
        <v>11.18</v>
      </c>
      <c r="D1570" t="s">
        <v>4683</v>
      </c>
      <c r="E1570" t="s">
        <v>4682</v>
      </c>
      <c r="F1570" t="s">
        <v>4682</v>
      </c>
      <c r="G1570">
        <v>2</v>
      </c>
      <c r="H1570" t="s">
        <v>4682</v>
      </c>
      <c r="I1570" t="str" cm="1">
        <f t="array" ref="I1570">_xlfn.IFS(B1570&lt;18.5, "Underweight", B1570&lt;=24.9, "Normal Weight", B1570&lt;=29.9, "Overweight", TRUE, "Obesity")</f>
        <v>Underweight</v>
      </c>
      <c r="J1570" t="str" cm="1">
        <f t="array" ref="J1570">_xlfn.IFS(C1570&lt;5.7, "Normal", C1570&lt;=6.4, "Prediabetes", TRUE, "Diabetes")</f>
        <v>Diabetes</v>
      </c>
    </row>
    <row r="1571" spans="1:10">
      <c r="A1571" t="s">
        <v>3140</v>
      </c>
      <c r="B1571">
        <v>29.83</v>
      </c>
      <c r="C1571">
        <v>5.03</v>
      </c>
      <c r="D1571" t="s">
        <v>4683</v>
      </c>
      <c r="E1571" t="s">
        <v>4682</v>
      </c>
      <c r="F1571" t="s">
        <v>4682</v>
      </c>
      <c r="G1571">
        <v>0</v>
      </c>
      <c r="H1571" t="s">
        <v>4682</v>
      </c>
      <c r="I1571" t="str" cm="1">
        <f t="array" ref="I1571">_xlfn.IFS(B1571&lt;18.5, "Underweight", B1571&lt;=24.9, "Normal Weight", B1571&lt;=29.9, "Overweight", TRUE, "Obesity")</f>
        <v>Overweight</v>
      </c>
      <c r="J1571" t="str" cm="1">
        <f t="array" ref="J1571">_xlfn.IFS(C1571&lt;5.7, "Normal", C1571&lt;=6.4, "Prediabetes", TRUE, "Diabetes")</f>
        <v>Normal</v>
      </c>
    </row>
    <row r="1572" spans="1:10">
      <c r="A1572" t="s">
        <v>3142</v>
      </c>
      <c r="B1572">
        <v>23.465</v>
      </c>
      <c r="C1572">
        <v>5.56</v>
      </c>
      <c r="D1572" t="s">
        <v>4682</v>
      </c>
      <c r="E1572" t="s">
        <v>4682</v>
      </c>
      <c r="F1572" t="s">
        <v>4682</v>
      </c>
      <c r="G1572">
        <v>1</v>
      </c>
      <c r="H1572" t="s">
        <v>4682</v>
      </c>
      <c r="I1572" t="str" cm="1">
        <f t="array" ref="I1572">_xlfn.IFS(B1572&lt;18.5, "Underweight", B1572&lt;=24.9, "Normal Weight", B1572&lt;=29.9, "Overweight", TRUE, "Obesity")</f>
        <v>Normal Weight</v>
      </c>
      <c r="J1572" t="str" cm="1">
        <f t="array" ref="J1572">_xlfn.IFS(C1572&lt;5.7, "Normal", C1572&lt;=6.4, "Prediabetes", TRUE, "Diabetes")</f>
        <v>Normal</v>
      </c>
    </row>
    <row r="1573" spans="1:10">
      <c r="A1573" t="s">
        <v>3144</v>
      </c>
      <c r="B1573">
        <v>29.355</v>
      </c>
      <c r="C1573">
        <v>4.33</v>
      </c>
      <c r="D1573" t="s">
        <v>4682</v>
      </c>
      <c r="E1573" t="s">
        <v>4682</v>
      </c>
      <c r="F1573" t="s">
        <v>4682</v>
      </c>
      <c r="G1573">
        <v>0</v>
      </c>
      <c r="H1573" t="s">
        <v>4682</v>
      </c>
      <c r="I1573" t="str" cm="1">
        <f t="array" ref="I1573">_xlfn.IFS(B1573&lt;18.5, "Underweight", B1573&lt;=24.9, "Normal Weight", B1573&lt;=29.9, "Overweight", TRUE, "Obesity")</f>
        <v>Overweight</v>
      </c>
      <c r="J1573" t="str" cm="1">
        <f t="array" ref="J1573">_xlfn.IFS(C1573&lt;5.7, "Normal", C1573&lt;=6.4, "Prediabetes", TRUE, "Diabetes")</f>
        <v>Normal</v>
      </c>
    </row>
    <row r="1574" spans="1:10">
      <c r="A1574" t="s">
        <v>3146</v>
      </c>
      <c r="B1574">
        <v>35.49</v>
      </c>
      <c r="C1574">
        <v>5.21</v>
      </c>
      <c r="D1574" t="s">
        <v>4683</v>
      </c>
      <c r="E1574" t="s">
        <v>4682</v>
      </c>
      <c r="F1574" t="s">
        <v>4684</v>
      </c>
      <c r="G1574">
        <v>1</v>
      </c>
      <c r="H1574" t="s">
        <v>4682</v>
      </c>
      <c r="I1574" t="str" cm="1">
        <f t="array" ref="I1574">_xlfn.IFS(B1574&lt;18.5, "Underweight", B1574&lt;=24.9, "Normal Weight", B1574&lt;=29.9, "Overweight", TRUE, "Obesity")</f>
        <v>Obesity</v>
      </c>
      <c r="J1574" t="str" cm="1">
        <f t="array" ref="J1574">_xlfn.IFS(C1574&lt;5.7, "Normal", C1574&lt;=6.4, "Prediabetes", TRUE, "Diabetes")</f>
        <v>Normal</v>
      </c>
    </row>
    <row r="1575" spans="1:10">
      <c r="A1575" t="s">
        <v>3148</v>
      </c>
      <c r="B1575">
        <v>26.315000000000001</v>
      </c>
      <c r="C1575">
        <v>5.89</v>
      </c>
      <c r="D1575" t="s">
        <v>4682</v>
      </c>
      <c r="E1575" t="s">
        <v>4682</v>
      </c>
      <c r="F1575" t="s">
        <v>4682</v>
      </c>
      <c r="G1575">
        <v>0</v>
      </c>
      <c r="H1575" t="s">
        <v>4682</v>
      </c>
      <c r="I1575" t="str" cm="1">
        <f t="array" ref="I1575">_xlfn.IFS(B1575&lt;18.5, "Underweight", B1575&lt;=24.9, "Normal Weight", B1575&lt;=29.9, "Overweight", TRUE, "Obesity")</f>
        <v>Overweight</v>
      </c>
      <c r="J1575" t="str" cm="1">
        <f t="array" ref="J1575">_xlfn.IFS(C1575&lt;5.7, "Normal", C1575&lt;=6.4, "Prediabetes", TRUE, "Diabetes")</f>
        <v>Prediabetes</v>
      </c>
    </row>
    <row r="1576" spans="1:10">
      <c r="A1576" t="s">
        <v>3150</v>
      </c>
      <c r="B1576">
        <v>19.79</v>
      </c>
      <c r="C1576">
        <v>4.8099999999999996</v>
      </c>
      <c r="D1576" t="s">
        <v>4683</v>
      </c>
      <c r="E1576" t="s">
        <v>4682</v>
      </c>
      <c r="F1576" t="s">
        <v>4682</v>
      </c>
      <c r="G1576">
        <v>0</v>
      </c>
      <c r="H1576" t="s">
        <v>4682</v>
      </c>
      <c r="I1576" t="str" cm="1">
        <f t="array" ref="I1576">_xlfn.IFS(B1576&lt;18.5, "Underweight", B1576&lt;=24.9, "Normal Weight", B1576&lt;=29.9, "Overweight", TRUE, "Obesity")</f>
        <v>Normal Weight</v>
      </c>
      <c r="J1576" t="str" cm="1">
        <f t="array" ref="J1576">_xlfn.IFS(C1576&lt;5.7, "Normal", C1576&lt;=6.4, "Prediabetes", TRUE, "Diabetes")</f>
        <v>Normal</v>
      </c>
    </row>
    <row r="1577" spans="1:10">
      <c r="A1577" t="s">
        <v>3152</v>
      </c>
      <c r="B1577">
        <v>40.564999999999998</v>
      </c>
      <c r="C1577">
        <v>5.66</v>
      </c>
      <c r="D1577" t="s">
        <v>4682</v>
      </c>
      <c r="E1577" t="s">
        <v>4682</v>
      </c>
      <c r="F1577" t="s">
        <v>4682</v>
      </c>
      <c r="G1577">
        <v>1</v>
      </c>
      <c r="H1577" t="s">
        <v>4682</v>
      </c>
      <c r="I1577" t="str" cm="1">
        <f t="array" ref="I1577">_xlfn.IFS(B1577&lt;18.5, "Underweight", B1577&lt;=24.9, "Normal Weight", B1577&lt;=29.9, "Overweight", TRUE, "Obesity")</f>
        <v>Obesity</v>
      </c>
      <c r="J1577" t="str" cm="1">
        <f t="array" ref="J1577">_xlfn.IFS(C1577&lt;5.7, "Normal", C1577&lt;=6.4, "Prediabetes", TRUE, "Diabetes")</f>
        <v>Normal</v>
      </c>
    </row>
    <row r="1578" spans="1:10">
      <c r="A1578" t="s">
        <v>3154</v>
      </c>
      <c r="B1578">
        <v>18.03</v>
      </c>
      <c r="C1578">
        <v>10.66</v>
      </c>
      <c r="D1578" t="s">
        <v>4683</v>
      </c>
      <c r="E1578" t="s">
        <v>4682</v>
      </c>
      <c r="F1578" t="s">
        <v>4682</v>
      </c>
      <c r="G1578">
        <v>2</v>
      </c>
      <c r="H1578" t="s">
        <v>4682</v>
      </c>
      <c r="I1578" t="str" cm="1">
        <f t="array" ref="I1578">_xlfn.IFS(B1578&lt;18.5, "Underweight", B1578&lt;=24.9, "Normal Weight", B1578&lt;=29.9, "Overweight", TRUE, "Obesity")</f>
        <v>Underweight</v>
      </c>
      <c r="J1578" t="str" cm="1">
        <f t="array" ref="J1578">_xlfn.IFS(C1578&lt;5.7, "Normal", C1578&lt;=6.4, "Prediabetes", TRUE, "Diabetes")</f>
        <v>Diabetes</v>
      </c>
    </row>
    <row r="1579" spans="1:10">
      <c r="A1579" t="s">
        <v>3156</v>
      </c>
      <c r="B1579">
        <v>34.65</v>
      </c>
      <c r="C1579">
        <v>5.98</v>
      </c>
      <c r="D1579" t="s">
        <v>4683</v>
      </c>
      <c r="E1579" t="s">
        <v>4682</v>
      </c>
      <c r="F1579" t="s">
        <v>4682</v>
      </c>
      <c r="G1579">
        <v>0</v>
      </c>
      <c r="H1579" t="s">
        <v>4682</v>
      </c>
      <c r="I1579" t="str" cm="1">
        <f t="array" ref="I1579">_xlfn.IFS(B1579&lt;18.5, "Underweight", B1579&lt;=24.9, "Normal Weight", B1579&lt;=29.9, "Overweight", TRUE, "Obesity")</f>
        <v>Obesity</v>
      </c>
      <c r="J1579" t="str" cm="1">
        <f t="array" ref="J1579">_xlfn.IFS(C1579&lt;5.7, "Normal", C1579&lt;=6.4, "Prediabetes", TRUE, "Diabetes")</f>
        <v>Prediabetes</v>
      </c>
    </row>
    <row r="1580" spans="1:10">
      <c r="A1580" t="s">
        <v>3158</v>
      </c>
      <c r="B1580">
        <v>42.94</v>
      </c>
      <c r="C1580">
        <v>4.34</v>
      </c>
      <c r="D1580" t="s">
        <v>4682</v>
      </c>
      <c r="E1580" t="s">
        <v>4682</v>
      </c>
      <c r="F1580" t="s">
        <v>4682</v>
      </c>
      <c r="G1580">
        <v>0</v>
      </c>
      <c r="H1580" t="s">
        <v>4682</v>
      </c>
      <c r="I1580" t="str" cm="1">
        <f t="array" ref="I1580">_xlfn.IFS(B1580&lt;18.5, "Underweight", B1580&lt;=24.9, "Normal Weight", B1580&lt;=29.9, "Overweight", TRUE, "Obesity")</f>
        <v>Obesity</v>
      </c>
      <c r="J1580" t="str" cm="1">
        <f t="array" ref="J1580">_xlfn.IFS(C1580&lt;5.7, "Normal", C1580&lt;=6.4, "Prediabetes", TRUE, "Diabetes")</f>
        <v>Normal</v>
      </c>
    </row>
    <row r="1581" spans="1:10">
      <c r="A1581" t="s">
        <v>3160</v>
      </c>
      <c r="B1581">
        <v>31.254999999999999</v>
      </c>
      <c r="C1581">
        <v>5.17</v>
      </c>
      <c r="D1581" t="s">
        <v>4682</v>
      </c>
      <c r="E1581" t="s">
        <v>4682</v>
      </c>
      <c r="F1581" t="s">
        <v>4682</v>
      </c>
      <c r="G1581">
        <v>0</v>
      </c>
      <c r="H1581" t="s">
        <v>4682</v>
      </c>
      <c r="I1581" t="str" cm="1">
        <f t="array" ref="I1581">_xlfn.IFS(B1581&lt;18.5, "Underweight", B1581&lt;=24.9, "Normal Weight", B1581&lt;=29.9, "Overweight", TRUE, "Obesity")</f>
        <v>Obesity</v>
      </c>
      <c r="J1581" t="str" cm="1">
        <f t="array" ref="J1581">_xlfn.IFS(C1581&lt;5.7, "Normal", C1581&lt;=6.4, "Prediabetes", TRUE, "Diabetes")</f>
        <v>Normal</v>
      </c>
    </row>
    <row r="1582" spans="1:10">
      <c r="A1582" t="s">
        <v>3162</v>
      </c>
      <c r="B1582">
        <v>45.43</v>
      </c>
      <c r="C1582">
        <v>4.2300000000000004</v>
      </c>
      <c r="D1582" t="s">
        <v>4683</v>
      </c>
      <c r="E1582" t="s">
        <v>4682</v>
      </c>
      <c r="F1582" t="s">
        <v>4684</v>
      </c>
      <c r="G1582">
        <v>1</v>
      </c>
      <c r="H1582" t="s">
        <v>4682</v>
      </c>
      <c r="I1582" t="str" cm="1">
        <f t="array" ref="I1582">_xlfn.IFS(B1582&lt;18.5, "Underweight", B1582&lt;=24.9, "Normal Weight", B1582&lt;=29.9, "Overweight", TRUE, "Obesity")</f>
        <v>Obesity</v>
      </c>
      <c r="J1582" t="str" cm="1">
        <f t="array" ref="J1582">_xlfn.IFS(C1582&lt;5.7, "Normal", C1582&lt;=6.4, "Prediabetes", TRUE, "Diabetes")</f>
        <v>Normal</v>
      </c>
    </row>
    <row r="1583" spans="1:10">
      <c r="A1583" t="s">
        <v>3164</v>
      </c>
      <c r="B1583">
        <v>32.340000000000003</v>
      </c>
      <c r="C1583">
        <v>4.88</v>
      </c>
      <c r="D1583" t="s">
        <v>4683</v>
      </c>
      <c r="E1583" t="s">
        <v>4682</v>
      </c>
      <c r="F1583" t="s">
        <v>4684</v>
      </c>
      <c r="G1583">
        <v>1</v>
      </c>
      <c r="H1583" t="s">
        <v>4682</v>
      </c>
      <c r="I1583" t="str" cm="1">
        <f t="array" ref="I1583">_xlfn.IFS(B1583&lt;18.5, "Underweight", B1583&lt;=24.9, "Normal Weight", B1583&lt;=29.9, "Overweight", TRUE, "Obesity")</f>
        <v>Obesity</v>
      </c>
      <c r="J1583" t="str" cm="1">
        <f t="array" ref="J1583">_xlfn.IFS(C1583&lt;5.7, "Normal", C1583&lt;=6.4, "Prediabetes", TRUE, "Diabetes")</f>
        <v>Normal</v>
      </c>
    </row>
    <row r="1584" spans="1:10">
      <c r="A1584" t="s">
        <v>3166</v>
      </c>
      <c r="B1584">
        <v>25.46</v>
      </c>
      <c r="C1584">
        <v>9.7100000000000009</v>
      </c>
      <c r="D1584" t="s">
        <v>4683</v>
      </c>
      <c r="E1584" t="s">
        <v>4682</v>
      </c>
      <c r="F1584" t="s">
        <v>4682</v>
      </c>
      <c r="G1584">
        <v>1</v>
      </c>
      <c r="H1584" t="s">
        <v>4682</v>
      </c>
      <c r="I1584" t="str" cm="1">
        <f t="array" ref="I1584">_xlfn.IFS(B1584&lt;18.5, "Underweight", B1584&lt;=24.9, "Normal Weight", B1584&lt;=29.9, "Overweight", TRUE, "Obesity")</f>
        <v>Overweight</v>
      </c>
      <c r="J1584" t="str" cm="1">
        <f t="array" ref="J1584">_xlfn.IFS(C1584&lt;5.7, "Normal", C1584&lt;=6.4, "Prediabetes", TRUE, "Diabetes")</f>
        <v>Diabetes</v>
      </c>
    </row>
    <row r="1585" spans="1:10">
      <c r="A1585" t="s">
        <v>3168</v>
      </c>
      <c r="B1585">
        <v>37.145000000000003</v>
      </c>
      <c r="C1585">
        <v>5.32</v>
      </c>
      <c r="D1585" t="s">
        <v>4682</v>
      </c>
      <c r="E1585" t="s">
        <v>4682</v>
      </c>
      <c r="F1585" t="s">
        <v>4682</v>
      </c>
      <c r="G1585">
        <v>0</v>
      </c>
      <c r="H1585" t="s">
        <v>4682</v>
      </c>
      <c r="I1585" t="str" cm="1">
        <f t="array" ref="I1585">_xlfn.IFS(B1585&lt;18.5, "Underweight", B1585&lt;=24.9, "Normal Weight", B1585&lt;=29.9, "Overweight", TRUE, "Obesity")</f>
        <v>Obesity</v>
      </c>
      <c r="J1585" t="str" cm="1">
        <f t="array" ref="J1585">_xlfn.IFS(C1585&lt;5.7, "Normal", C1585&lt;=6.4, "Prediabetes", TRUE, "Diabetes")</f>
        <v>Normal</v>
      </c>
    </row>
    <row r="1586" spans="1:10">
      <c r="A1586" t="s">
        <v>3170</v>
      </c>
      <c r="B1586">
        <v>30.8</v>
      </c>
      <c r="C1586">
        <v>5.83</v>
      </c>
      <c r="D1586" t="s">
        <v>4683</v>
      </c>
      <c r="E1586" t="s">
        <v>4682</v>
      </c>
      <c r="F1586" t="s">
        <v>4682</v>
      </c>
      <c r="G1586">
        <v>0</v>
      </c>
      <c r="H1586" t="s">
        <v>4682</v>
      </c>
      <c r="I1586" t="str" cm="1">
        <f t="array" ref="I1586">_xlfn.IFS(B1586&lt;18.5, "Underweight", B1586&lt;=24.9, "Normal Weight", B1586&lt;=29.9, "Overweight", TRUE, "Obesity")</f>
        <v>Obesity</v>
      </c>
      <c r="J1586" t="str" cm="1">
        <f t="array" ref="J1586">_xlfn.IFS(C1586&lt;5.7, "Normal", C1586&lt;=6.4, "Prediabetes", TRUE, "Diabetes")</f>
        <v>Prediabetes</v>
      </c>
    </row>
    <row r="1587" spans="1:10">
      <c r="A1587" t="s">
        <v>3172</v>
      </c>
      <c r="B1587">
        <v>29.5</v>
      </c>
      <c r="C1587">
        <v>5.54</v>
      </c>
      <c r="D1587" t="s">
        <v>4683</v>
      </c>
      <c r="E1587" t="s">
        <v>4682</v>
      </c>
      <c r="F1587" t="s">
        <v>4682</v>
      </c>
      <c r="G1587">
        <v>0</v>
      </c>
      <c r="H1587" t="s">
        <v>4682</v>
      </c>
      <c r="I1587" t="str" cm="1">
        <f t="array" ref="I1587">_xlfn.IFS(B1587&lt;18.5, "Underweight", B1587&lt;=24.9, "Normal Weight", B1587&lt;=29.9, "Overweight", TRUE, "Obesity")</f>
        <v>Overweight</v>
      </c>
      <c r="J1587" t="str" cm="1">
        <f t="array" ref="J1587">_xlfn.IFS(C1587&lt;5.7, "Normal", C1587&lt;=6.4, "Prediabetes", TRUE, "Diabetes")</f>
        <v>Normal</v>
      </c>
    </row>
    <row r="1588" spans="1:10">
      <c r="A1588" t="s">
        <v>3174</v>
      </c>
      <c r="B1588">
        <v>43.39</v>
      </c>
      <c r="C1588">
        <v>5.85</v>
      </c>
      <c r="D1588" t="s">
        <v>4682</v>
      </c>
      <c r="E1588" t="s">
        <v>4683</v>
      </c>
      <c r="F1588" t="s">
        <v>4682</v>
      </c>
      <c r="G1588">
        <v>1</v>
      </c>
      <c r="H1588" t="s">
        <v>4682</v>
      </c>
      <c r="I1588" t="str" cm="1">
        <f t="array" ref="I1588">_xlfn.IFS(B1588&lt;18.5, "Underweight", B1588&lt;=24.9, "Normal Weight", B1588&lt;=29.9, "Overweight", TRUE, "Obesity")</f>
        <v>Obesity</v>
      </c>
      <c r="J1588" t="str" cm="1">
        <f t="array" ref="J1588">_xlfn.IFS(C1588&lt;5.7, "Normal", C1588&lt;=6.4, "Prediabetes", TRUE, "Diabetes")</f>
        <v>Prediabetes</v>
      </c>
    </row>
    <row r="1589" spans="1:10">
      <c r="A1589" t="s">
        <v>3176</v>
      </c>
      <c r="B1589">
        <v>15.08</v>
      </c>
      <c r="C1589">
        <v>4.8499999999999996</v>
      </c>
      <c r="D1589" t="s">
        <v>4683</v>
      </c>
      <c r="E1589" t="s">
        <v>4682</v>
      </c>
      <c r="F1589" t="s">
        <v>4684</v>
      </c>
      <c r="G1589">
        <v>1</v>
      </c>
      <c r="H1589" t="s">
        <v>4682</v>
      </c>
      <c r="I1589" t="str" cm="1">
        <f t="array" ref="I1589">_xlfn.IFS(B1589&lt;18.5, "Underweight", B1589&lt;=24.9, "Normal Weight", B1589&lt;=29.9, "Overweight", TRUE, "Obesity")</f>
        <v>Underweight</v>
      </c>
      <c r="J1589" t="str" cm="1">
        <f t="array" ref="J1589">_xlfn.IFS(C1589&lt;5.7, "Normal", C1589&lt;=6.4, "Prediabetes", TRUE, "Diabetes")</f>
        <v>Normal</v>
      </c>
    </row>
    <row r="1590" spans="1:10">
      <c r="A1590" t="s">
        <v>3178</v>
      </c>
      <c r="B1590">
        <v>20.48</v>
      </c>
      <c r="C1590">
        <v>11.09</v>
      </c>
      <c r="D1590" t="s">
        <v>4682</v>
      </c>
      <c r="E1590" t="s">
        <v>4682</v>
      </c>
      <c r="F1590" t="s">
        <v>4682</v>
      </c>
      <c r="G1590">
        <v>0</v>
      </c>
      <c r="H1590" t="s">
        <v>4682</v>
      </c>
      <c r="I1590" t="str" cm="1">
        <f t="array" ref="I1590">_xlfn.IFS(B1590&lt;18.5, "Underweight", B1590&lt;=24.9, "Normal Weight", B1590&lt;=29.9, "Overweight", TRUE, "Obesity")</f>
        <v>Normal Weight</v>
      </c>
      <c r="J1590" t="str" cm="1">
        <f t="array" ref="J1590">_xlfn.IFS(C1590&lt;5.7, "Normal", C1590&lt;=6.4, "Prediabetes", TRUE, "Diabetes")</f>
        <v>Diabetes</v>
      </c>
    </row>
    <row r="1591" spans="1:10">
      <c r="A1591" t="s">
        <v>3180</v>
      </c>
      <c r="B1591">
        <v>34.450000000000003</v>
      </c>
      <c r="C1591">
        <v>5.58</v>
      </c>
      <c r="D1591" t="s">
        <v>4683</v>
      </c>
      <c r="E1591" t="s">
        <v>4682</v>
      </c>
      <c r="F1591" t="s">
        <v>4682</v>
      </c>
      <c r="G1591">
        <v>0</v>
      </c>
      <c r="H1591" t="s">
        <v>4682</v>
      </c>
      <c r="I1591" t="str" cm="1">
        <f t="array" ref="I1591">_xlfn.IFS(B1591&lt;18.5, "Underweight", B1591&lt;=24.9, "Normal Weight", B1591&lt;=29.9, "Overweight", TRUE, "Obesity")</f>
        <v>Obesity</v>
      </c>
      <c r="J1591" t="str" cm="1">
        <f t="array" ref="J1591">_xlfn.IFS(C1591&lt;5.7, "Normal", C1591&lt;=6.4, "Prediabetes", TRUE, "Diabetes")</f>
        <v>Normal</v>
      </c>
    </row>
    <row r="1592" spans="1:10">
      <c r="A1592" t="s">
        <v>3182</v>
      </c>
      <c r="B1592">
        <v>34.21</v>
      </c>
      <c r="C1592">
        <v>9.7200000000000006</v>
      </c>
      <c r="D1592" t="s">
        <v>4683</v>
      </c>
      <c r="E1592" t="s">
        <v>4682</v>
      </c>
      <c r="F1592" t="s">
        <v>4682</v>
      </c>
      <c r="G1592">
        <v>0</v>
      </c>
      <c r="H1592" t="s">
        <v>4682</v>
      </c>
      <c r="I1592" t="str" cm="1">
        <f t="array" ref="I1592">_xlfn.IFS(B1592&lt;18.5, "Underweight", B1592&lt;=24.9, "Normal Weight", B1592&lt;=29.9, "Overweight", TRUE, "Obesity")</f>
        <v>Obesity</v>
      </c>
      <c r="J1592" t="str" cm="1">
        <f t="array" ref="J1592">_xlfn.IFS(C1592&lt;5.7, "Normal", C1592&lt;=6.4, "Prediabetes", TRUE, "Diabetes")</f>
        <v>Diabetes</v>
      </c>
    </row>
    <row r="1593" spans="1:10">
      <c r="A1593" t="s">
        <v>3184</v>
      </c>
      <c r="B1593">
        <v>28.8</v>
      </c>
      <c r="C1593">
        <v>11.41</v>
      </c>
      <c r="D1593" t="s">
        <v>4683</v>
      </c>
      <c r="E1593" t="s">
        <v>4682</v>
      </c>
      <c r="F1593" t="s">
        <v>4682</v>
      </c>
      <c r="G1593">
        <v>0</v>
      </c>
      <c r="H1593" t="s">
        <v>4682</v>
      </c>
      <c r="I1593" t="str" cm="1">
        <f t="array" ref="I1593">_xlfn.IFS(B1593&lt;18.5, "Underweight", B1593&lt;=24.9, "Normal Weight", B1593&lt;=29.9, "Overweight", TRUE, "Obesity")</f>
        <v>Overweight</v>
      </c>
      <c r="J1593" t="str" cm="1">
        <f t="array" ref="J1593">_xlfn.IFS(C1593&lt;5.7, "Normal", C1593&lt;=6.4, "Prediabetes", TRUE, "Diabetes")</f>
        <v>Diabetes</v>
      </c>
    </row>
    <row r="1594" spans="1:10">
      <c r="A1594" t="s">
        <v>3186</v>
      </c>
      <c r="B1594">
        <v>31.74</v>
      </c>
      <c r="C1594">
        <v>4.46</v>
      </c>
      <c r="D1594" t="s">
        <v>4682</v>
      </c>
      <c r="E1594" t="s">
        <v>4682</v>
      </c>
      <c r="F1594" t="s">
        <v>4684</v>
      </c>
      <c r="G1594">
        <v>1</v>
      </c>
      <c r="H1594" t="s">
        <v>4682</v>
      </c>
      <c r="I1594" t="str" cm="1">
        <f t="array" ref="I1594">_xlfn.IFS(B1594&lt;18.5, "Underweight", B1594&lt;=24.9, "Normal Weight", B1594&lt;=29.9, "Overweight", TRUE, "Obesity")</f>
        <v>Obesity</v>
      </c>
      <c r="J1594" t="str" cm="1">
        <f t="array" ref="J1594">_xlfn.IFS(C1594&lt;5.7, "Normal", C1594&lt;=6.4, "Prediabetes", TRUE, "Diabetes")</f>
        <v>Normal</v>
      </c>
    </row>
    <row r="1595" spans="1:10">
      <c r="A1595" t="s">
        <v>3188</v>
      </c>
      <c r="B1595">
        <v>21.78</v>
      </c>
      <c r="C1595">
        <v>9.31</v>
      </c>
      <c r="D1595" t="s">
        <v>4683</v>
      </c>
      <c r="E1595" t="s">
        <v>4682</v>
      </c>
      <c r="F1595" t="s">
        <v>4682</v>
      </c>
      <c r="G1595">
        <v>0</v>
      </c>
      <c r="H1595" t="s">
        <v>4682</v>
      </c>
      <c r="I1595" t="str" cm="1">
        <f t="array" ref="I1595">_xlfn.IFS(B1595&lt;18.5, "Underweight", B1595&lt;=24.9, "Normal Weight", B1595&lt;=29.9, "Overweight", TRUE, "Obesity")</f>
        <v>Normal Weight</v>
      </c>
      <c r="J1595" t="str" cm="1">
        <f t="array" ref="J1595">_xlfn.IFS(C1595&lt;5.7, "Normal", C1595&lt;=6.4, "Prediabetes", TRUE, "Diabetes")</f>
        <v>Diabetes</v>
      </c>
    </row>
    <row r="1596" spans="1:10">
      <c r="A1596" t="s">
        <v>3190</v>
      </c>
      <c r="B1596">
        <v>23.75</v>
      </c>
      <c r="C1596">
        <v>5.03</v>
      </c>
      <c r="D1596" t="s">
        <v>4682</v>
      </c>
      <c r="E1596" t="s">
        <v>4682</v>
      </c>
      <c r="F1596" t="s">
        <v>4682</v>
      </c>
      <c r="G1596">
        <v>1</v>
      </c>
      <c r="H1596" t="s">
        <v>4682</v>
      </c>
      <c r="I1596" t="str" cm="1">
        <f t="array" ref="I1596">_xlfn.IFS(B1596&lt;18.5, "Underweight", B1596&lt;=24.9, "Normal Weight", B1596&lt;=29.9, "Overweight", TRUE, "Obesity")</f>
        <v>Normal Weight</v>
      </c>
      <c r="J1596" t="str" cm="1">
        <f t="array" ref="J1596">_xlfn.IFS(C1596&lt;5.7, "Normal", C1596&lt;=6.4, "Prediabetes", TRUE, "Diabetes")</f>
        <v>Normal</v>
      </c>
    </row>
    <row r="1597" spans="1:10">
      <c r="A1597" t="s">
        <v>3192</v>
      </c>
      <c r="B1597">
        <v>33.21</v>
      </c>
      <c r="C1597">
        <v>5.07</v>
      </c>
      <c r="D1597" t="s">
        <v>4683</v>
      </c>
      <c r="E1597" t="s">
        <v>4682</v>
      </c>
      <c r="F1597" t="s">
        <v>4682</v>
      </c>
      <c r="G1597">
        <v>1</v>
      </c>
      <c r="H1597" t="s">
        <v>4682</v>
      </c>
      <c r="I1597" t="str" cm="1">
        <f t="array" ref="I1597">_xlfn.IFS(B1597&lt;18.5, "Underweight", B1597&lt;=24.9, "Normal Weight", B1597&lt;=29.9, "Overweight", TRUE, "Obesity")</f>
        <v>Obesity</v>
      </c>
      <c r="J1597" t="str" cm="1">
        <f t="array" ref="J1597">_xlfn.IFS(C1597&lt;5.7, "Normal", C1597&lt;=6.4, "Prediabetes", TRUE, "Diabetes")</f>
        <v>Normal</v>
      </c>
    </row>
    <row r="1598" spans="1:10">
      <c r="A1598" t="s">
        <v>3194</v>
      </c>
      <c r="B1598">
        <v>17.7</v>
      </c>
      <c r="C1598">
        <v>10.42</v>
      </c>
      <c r="D1598" t="s">
        <v>4683</v>
      </c>
      <c r="E1598" t="s">
        <v>4682</v>
      </c>
      <c r="F1598" t="s">
        <v>4682</v>
      </c>
      <c r="G1598">
        <v>2</v>
      </c>
      <c r="H1598" t="s">
        <v>4682</v>
      </c>
      <c r="I1598" t="str" cm="1">
        <f t="array" ref="I1598">_xlfn.IFS(B1598&lt;18.5, "Underweight", B1598&lt;=24.9, "Normal Weight", B1598&lt;=29.9, "Overweight", TRUE, "Obesity")</f>
        <v>Underweight</v>
      </c>
      <c r="J1598" t="str" cm="1">
        <f t="array" ref="J1598">_xlfn.IFS(C1598&lt;5.7, "Normal", C1598&lt;=6.4, "Prediabetes", TRUE, "Diabetes")</f>
        <v>Diabetes</v>
      </c>
    </row>
    <row r="1599" spans="1:10">
      <c r="A1599" t="s">
        <v>3196</v>
      </c>
      <c r="B1599">
        <v>17.2</v>
      </c>
      <c r="C1599">
        <v>6.45</v>
      </c>
      <c r="D1599" t="s">
        <v>4682</v>
      </c>
      <c r="E1599" t="s">
        <v>4682</v>
      </c>
      <c r="F1599" t="s">
        <v>4682</v>
      </c>
      <c r="G1599">
        <v>2</v>
      </c>
      <c r="H1599" t="s">
        <v>4682</v>
      </c>
      <c r="I1599" t="str" cm="1">
        <f t="array" ref="I1599">_xlfn.IFS(B1599&lt;18.5, "Underweight", B1599&lt;=24.9, "Normal Weight", B1599&lt;=29.9, "Overweight", TRUE, "Obesity")</f>
        <v>Underweight</v>
      </c>
      <c r="J1599" t="str" cm="1">
        <f t="array" ref="J1599">_xlfn.IFS(C1599&lt;5.7, "Normal", C1599&lt;=6.4, "Prediabetes", TRUE, "Diabetes")</f>
        <v>Diabetes</v>
      </c>
    </row>
    <row r="1600" spans="1:10">
      <c r="A1600" t="s">
        <v>3198</v>
      </c>
      <c r="B1600">
        <v>19.21</v>
      </c>
      <c r="C1600">
        <v>5.52</v>
      </c>
      <c r="D1600" t="s">
        <v>4682</v>
      </c>
      <c r="E1600" t="s">
        <v>4682</v>
      </c>
      <c r="F1600" t="s">
        <v>4682</v>
      </c>
      <c r="G1600">
        <v>2</v>
      </c>
      <c r="H1600" t="s">
        <v>4682</v>
      </c>
      <c r="I1600" t="str" cm="1">
        <f t="array" ref="I1600">_xlfn.IFS(B1600&lt;18.5, "Underweight", B1600&lt;=24.9, "Normal Weight", B1600&lt;=29.9, "Overweight", TRUE, "Obesity")</f>
        <v>Normal Weight</v>
      </c>
      <c r="J1600" t="str" cm="1">
        <f t="array" ref="J1600">_xlfn.IFS(C1600&lt;5.7, "Normal", C1600&lt;=6.4, "Prediabetes", TRUE, "Diabetes")</f>
        <v>Normal</v>
      </c>
    </row>
    <row r="1601" spans="1:10">
      <c r="A1601" t="s">
        <v>3200</v>
      </c>
      <c r="B1601">
        <v>23.2</v>
      </c>
      <c r="C1601">
        <v>4.41</v>
      </c>
      <c r="D1601" t="s">
        <v>4682</v>
      </c>
      <c r="E1601" t="s">
        <v>4682</v>
      </c>
      <c r="F1601" t="s">
        <v>4684</v>
      </c>
      <c r="G1601">
        <v>1</v>
      </c>
      <c r="H1601" t="s">
        <v>4682</v>
      </c>
      <c r="I1601" t="str" cm="1">
        <f t="array" ref="I1601">_xlfn.IFS(B1601&lt;18.5, "Underweight", B1601&lt;=24.9, "Normal Weight", B1601&lt;=29.9, "Overweight", TRUE, "Obesity")</f>
        <v>Normal Weight</v>
      </c>
      <c r="J1601" t="str" cm="1">
        <f t="array" ref="J1601">_xlfn.IFS(C1601&lt;5.7, "Normal", C1601&lt;=6.4, "Prediabetes", TRUE, "Diabetes")</f>
        <v>Normal</v>
      </c>
    </row>
    <row r="1602" spans="1:10">
      <c r="A1602" t="s">
        <v>3202</v>
      </c>
      <c r="B1602">
        <v>32.5</v>
      </c>
      <c r="C1602">
        <v>4.6900000000000004</v>
      </c>
      <c r="D1602" t="s">
        <v>4683</v>
      </c>
      <c r="E1602" t="s">
        <v>4682</v>
      </c>
      <c r="F1602" t="s">
        <v>4684</v>
      </c>
      <c r="G1602">
        <v>1</v>
      </c>
      <c r="H1602" t="s">
        <v>4682</v>
      </c>
      <c r="I1602" t="str" cm="1">
        <f t="array" ref="I1602">_xlfn.IFS(B1602&lt;18.5, "Underweight", B1602&lt;=24.9, "Normal Weight", B1602&lt;=29.9, "Overweight", TRUE, "Obesity")</f>
        <v>Obesity</v>
      </c>
      <c r="J1602" t="str" cm="1">
        <f t="array" ref="J1602">_xlfn.IFS(C1602&lt;5.7, "Normal", C1602&lt;=6.4, "Prediabetes", TRUE, "Diabetes")</f>
        <v>Normal</v>
      </c>
    </row>
    <row r="1603" spans="1:10">
      <c r="A1603" t="s">
        <v>3204</v>
      </c>
      <c r="B1603">
        <v>20.9</v>
      </c>
      <c r="C1603">
        <v>6.94</v>
      </c>
      <c r="D1603" t="s">
        <v>4682</v>
      </c>
      <c r="E1603" t="s">
        <v>4682</v>
      </c>
      <c r="F1603" t="s">
        <v>4682</v>
      </c>
      <c r="G1603">
        <v>0</v>
      </c>
      <c r="H1603" t="s">
        <v>4682</v>
      </c>
      <c r="I1603" t="str" cm="1">
        <f t="array" ref="I1603">_xlfn.IFS(B1603&lt;18.5, "Underweight", B1603&lt;=24.9, "Normal Weight", B1603&lt;=29.9, "Overweight", TRUE, "Obesity")</f>
        <v>Normal Weight</v>
      </c>
      <c r="J1603" t="str" cm="1">
        <f t="array" ref="J1603">_xlfn.IFS(C1603&lt;5.7, "Normal", C1603&lt;=6.4, "Prediabetes", TRUE, "Diabetes")</f>
        <v>Diabetes</v>
      </c>
    </row>
    <row r="1604" spans="1:10">
      <c r="A1604" t="s">
        <v>3206</v>
      </c>
      <c r="B1604">
        <v>19.11</v>
      </c>
      <c r="C1604">
        <v>4.3499999999999996</v>
      </c>
      <c r="D1604" t="s">
        <v>4682</v>
      </c>
      <c r="E1604" t="s">
        <v>4682</v>
      </c>
      <c r="F1604" t="s">
        <v>4682</v>
      </c>
      <c r="G1604">
        <v>2</v>
      </c>
      <c r="H1604" t="s">
        <v>4682</v>
      </c>
      <c r="I1604" t="str" cm="1">
        <f t="array" ref="I1604">_xlfn.IFS(B1604&lt;18.5, "Underweight", B1604&lt;=24.9, "Normal Weight", B1604&lt;=29.9, "Overweight", TRUE, "Obesity")</f>
        <v>Normal Weight</v>
      </c>
      <c r="J1604" t="str" cm="1">
        <f t="array" ref="J1604">_xlfn.IFS(C1604&lt;5.7, "Normal", C1604&lt;=6.4, "Prediabetes", TRUE, "Diabetes")</f>
        <v>Normal</v>
      </c>
    </row>
    <row r="1605" spans="1:10">
      <c r="A1605" t="s">
        <v>3208</v>
      </c>
      <c r="B1605">
        <v>31.17</v>
      </c>
      <c r="C1605">
        <v>5.28</v>
      </c>
      <c r="D1605" t="s">
        <v>4682</v>
      </c>
      <c r="E1605" t="s">
        <v>4682</v>
      </c>
      <c r="F1605" t="s">
        <v>4682</v>
      </c>
      <c r="G1605">
        <v>1</v>
      </c>
      <c r="H1605" t="s">
        <v>4682</v>
      </c>
      <c r="I1605" t="str" cm="1">
        <f t="array" ref="I1605">_xlfn.IFS(B1605&lt;18.5, "Underweight", B1605&lt;=24.9, "Normal Weight", B1605&lt;=29.9, "Overweight", TRUE, "Obesity")</f>
        <v>Obesity</v>
      </c>
      <c r="J1605" t="str" cm="1">
        <f t="array" ref="J1605">_xlfn.IFS(C1605&lt;5.7, "Normal", C1605&lt;=6.4, "Prediabetes", TRUE, "Diabetes")</f>
        <v>Normal</v>
      </c>
    </row>
    <row r="1606" spans="1:10">
      <c r="A1606" t="s">
        <v>3210</v>
      </c>
      <c r="B1606">
        <v>36.08</v>
      </c>
      <c r="C1606">
        <v>4.29</v>
      </c>
      <c r="D1606" t="s">
        <v>4682</v>
      </c>
      <c r="E1606" t="s">
        <v>4682</v>
      </c>
      <c r="F1606" t="s">
        <v>4682</v>
      </c>
      <c r="G1606">
        <v>0</v>
      </c>
      <c r="H1606" t="s">
        <v>4682</v>
      </c>
      <c r="I1606" t="str" cm="1">
        <f t="array" ref="I1606">_xlfn.IFS(B1606&lt;18.5, "Underweight", B1606&lt;=24.9, "Normal Weight", B1606&lt;=29.9, "Overweight", TRUE, "Obesity")</f>
        <v>Obesity</v>
      </c>
      <c r="J1606" t="str" cm="1">
        <f t="array" ref="J1606">_xlfn.IFS(C1606&lt;5.7, "Normal", C1606&lt;=6.4, "Prediabetes", TRUE, "Diabetes")</f>
        <v>Normal</v>
      </c>
    </row>
    <row r="1607" spans="1:10">
      <c r="A1607" t="s">
        <v>3212</v>
      </c>
      <c r="B1607">
        <v>28.024999999999999</v>
      </c>
      <c r="C1607">
        <v>5.69</v>
      </c>
      <c r="D1607" t="s">
        <v>4683</v>
      </c>
      <c r="E1607" t="s">
        <v>4682</v>
      </c>
      <c r="F1607" t="s">
        <v>4682</v>
      </c>
      <c r="G1607">
        <v>0</v>
      </c>
      <c r="H1607" t="s">
        <v>4682</v>
      </c>
      <c r="I1607" t="str" cm="1">
        <f t="array" ref="I1607">_xlfn.IFS(B1607&lt;18.5, "Underweight", B1607&lt;=24.9, "Normal Weight", B1607&lt;=29.9, "Overweight", TRUE, "Obesity")</f>
        <v>Overweight</v>
      </c>
      <c r="J1607" t="str" cm="1">
        <f t="array" ref="J1607">_xlfn.IFS(C1607&lt;5.7, "Normal", C1607&lt;=6.4, "Prediabetes", TRUE, "Diabetes")</f>
        <v>Normal</v>
      </c>
    </row>
    <row r="1608" spans="1:10">
      <c r="A1608" t="s">
        <v>3214</v>
      </c>
      <c r="B1608">
        <v>24.32</v>
      </c>
      <c r="C1608">
        <v>5.56</v>
      </c>
      <c r="D1608" t="s">
        <v>4683</v>
      </c>
      <c r="E1608" t="s">
        <v>4682</v>
      </c>
      <c r="F1608" t="s">
        <v>4682</v>
      </c>
      <c r="G1608">
        <v>0</v>
      </c>
      <c r="H1608" t="s">
        <v>4682</v>
      </c>
      <c r="I1608" t="str" cm="1">
        <f t="array" ref="I1608">_xlfn.IFS(B1608&lt;18.5, "Underweight", B1608&lt;=24.9, "Normal Weight", B1608&lt;=29.9, "Overweight", TRUE, "Obesity")</f>
        <v>Normal Weight</v>
      </c>
      <c r="J1608" t="str" cm="1">
        <f t="array" ref="J1608">_xlfn.IFS(C1608&lt;5.7, "Normal", C1608&lt;=6.4, "Prediabetes", TRUE, "Diabetes")</f>
        <v>Normal</v>
      </c>
    </row>
    <row r="1609" spans="1:10">
      <c r="A1609" t="s">
        <v>3216</v>
      </c>
      <c r="B1609">
        <v>38</v>
      </c>
      <c r="C1609">
        <v>5.41</v>
      </c>
      <c r="D1609" t="s">
        <v>4683</v>
      </c>
      <c r="E1609" t="s">
        <v>4682</v>
      </c>
      <c r="F1609" t="s">
        <v>4682</v>
      </c>
      <c r="G1609">
        <v>1</v>
      </c>
      <c r="H1609" t="s">
        <v>4682</v>
      </c>
      <c r="I1609" t="str" cm="1">
        <f t="array" ref="I1609">_xlfn.IFS(B1609&lt;18.5, "Underweight", B1609&lt;=24.9, "Normal Weight", B1609&lt;=29.9, "Overweight", TRUE, "Obesity")</f>
        <v>Obesity</v>
      </c>
      <c r="J1609" t="str" cm="1">
        <f t="array" ref="J1609">_xlfn.IFS(C1609&lt;5.7, "Normal", C1609&lt;=6.4, "Prediabetes", TRUE, "Diabetes")</f>
        <v>Normal</v>
      </c>
    </row>
    <row r="1610" spans="1:10">
      <c r="A1610" t="s">
        <v>3218</v>
      </c>
      <c r="B1610">
        <v>31.6</v>
      </c>
      <c r="C1610">
        <v>10.85</v>
      </c>
      <c r="D1610" t="s">
        <v>4683</v>
      </c>
      <c r="E1610" t="s">
        <v>4682</v>
      </c>
      <c r="F1610" t="s">
        <v>4682</v>
      </c>
      <c r="G1610">
        <v>0</v>
      </c>
      <c r="H1610" t="s">
        <v>4682</v>
      </c>
      <c r="I1610" t="str" cm="1">
        <f t="array" ref="I1610">_xlfn.IFS(B1610&lt;18.5, "Underweight", B1610&lt;=24.9, "Normal Weight", B1610&lt;=29.9, "Overweight", TRUE, "Obesity")</f>
        <v>Obesity</v>
      </c>
      <c r="J1610" t="str" cm="1">
        <f t="array" ref="J1610">_xlfn.IFS(C1610&lt;5.7, "Normal", C1610&lt;=6.4, "Prediabetes", TRUE, "Diabetes")</f>
        <v>Diabetes</v>
      </c>
    </row>
    <row r="1611" spans="1:10">
      <c r="A1611" t="s">
        <v>3220</v>
      </c>
      <c r="B1611">
        <v>31.02</v>
      </c>
      <c r="C1611">
        <v>11.63</v>
      </c>
      <c r="D1611" t="s">
        <v>4683</v>
      </c>
      <c r="E1611" t="s">
        <v>4682</v>
      </c>
      <c r="F1611" t="s">
        <v>4682</v>
      </c>
      <c r="G1611">
        <v>0</v>
      </c>
      <c r="H1611" t="s">
        <v>4682</v>
      </c>
      <c r="I1611" t="str" cm="1">
        <f t="array" ref="I1611">_xlfn.IFS(B1611&lt;18.5, "Underweight", B1611&lt;=24.9, "Normal Weight", B1611&lt;=29.9, "Overweight", TRUE, "Obesity")</f>
        <v>Obesity</v>
      </c>
      <c r="J1611" t="str" cm="1">
        <f t="array" ref="J1611">_xlfn.IFS(C1611&lt;5.7, "Normal", C1611&lt;=6.4, "Prediabetes", TRUE, "Diabetes")</f>
        <v>Diabetes</v>
      </c>
    </row>
    <row r="1612" spans="1:10">
      <c r="A1612" t="s">
        <v>3222</v>
      </c>
      <c r="B1612">
        <v>29.26</v>
      </c>
      <c r="C1612">
        <v>5.68</v>
      </c>
      <c r="D1612" t="s">
        <v>4683</v>
      </c>
      <c r="E1612" t="s">
        <v>4682</v>
      </c>
      <c r="F1612" t="s">
        <v>4682</v>
      </c>
      <c r="G1612">
        <v>1</v>
      </c>
      <c r="H1612" t="s">
        <v>4682</v>
      </c>
      <c r="I1612" t="str" cm="1">
        <f t="array" ref="I1612">_xlfn.IFS(B1612&lt;18.5, "Underweight", B1612&lt;=24.9, "Normal Weight", B1612&lt;=29.9, "Overweight", TRUE, "Obesity")</f>
        <v>Overweight</v>
      </c>
      <c r="J1612" t="str" cm="1">
        <f t="array" ref="J1612">_xlfn.IFS(C1612&lt;5.7, "Normal", C1612&lt;=6.4, "Prediabetes", TRUE, "Diabetes")</f>
        <v>Normal</v>
      </c>
    </row>
    <row r="1613" spans="1:10">
      <c r="A1613" t="s">
        <v>3224</v>
      </c>
      <c r="B1613">
        <v>15.09</v>
      </c>
      <c r="C1613">
        <v>7.59</v>
      </c>
      <c r="D1613" t="s">
        <v>4683</v>
      </c>
      <c r="E1613" t="s">
        <v>4682</v>
      </c>
      <c r="F1613" t="s">
        <v>4682</v>
      </c>
      <c r="G1613">
        <v>2</v>
      </c>
      <c r="H1613" t="s">
        <v>4682</v>
      </c>
      <c r="I1613" t="str" cm="1">
        <f t="array" ref="I1613">_xlfn.IFS(B1613&lt;18.5, "Underweight", B1613&lt;=24.9, "Normal Weight", B1613&lt;=29.9, "Overweight", TRUE, "Obesity")</f>
        <v>Underweight</v>
      </c>
      <c r="J1613" t="str" cm="1">
        <f t="array" ref="J1613">_xlfn.IFS(C1613&lt;5.7, "Normal", C1613&lt;=6.4, "Prediabetes", TRUE, "Diabetes")</f>
        <v>Diabetes</v>
      </c>
    </row>
    <row r="1614" spans="1:10">
      <c r="A1614" t="s">
        <v>3226</v>
      </c>
      <c r="B1614">
        <v>22.63</v>
      </c>
      <c r="C1614">
        <v>5.09</v>
      </c>
      <c r="D1614" t="s">
        <v>4683</v>
      </c>
      <c r="E1614" t="s">
        <v>4682</v>
      </c>
      <c r="F1614" t="s">
        <v>4682</v>
      </c>
      <c r="G1614">
        <v>0</v>
      </c>
      <c r="H1614" t="s">
        <v>4682</v>
      </c>
      <c r="I1614" t="str" cm="1">
        <f t="array" ref="I1614">_xlfn.IFS(B1614&lt;18.5, "Underweight", B1614&lt;=24.9, "Normal Weight", B1614&lt;=29.9, "Overweight", TRUE, "Obesity")</f>
        <v>Normal Weight</v>
      </c>
      <c r="J1614" t="str" cm="1">
        <f t="array" ref="J1614">_xlfn.IFS(C1614&lt;5.7, "Normal", C1614&lt;=6.4, "Prediabetes", TRUE, "Diabetes")</f>
        <v>Normal</v>
      </c>
    </row>
    <row r="1615" spans="1:10">
      <c r="A1615" t="s">
        <v>3228</v>
      </c>
      <c r="B1615">
        <v>23.46</v>
      </c>
      <c r="C1615">
        <v>4.21</v>
      </c>
      <c r="D1615" t="s">
        <v>4682</v>
      </c>
      <c r="E1615" t="s">
        <v>4682</v>
      </c>
      <c r="F1615" t="s">
        <v>4682</v>
      </c>
      <c r="G1615">
        <v>1</v>
      </c>
      <c r="H1615" t="s">
        <v>4682</v>
      </c>
      <c r="I1615" t="str" cm="1">
        <f t="array" ref="I1615">_xlfn.IFS(B1615&lt;18.5, "Underweight", B1615&lt;=24.9, "Normal Weight", B1615&lt;=29.9, "Overweight", TRUE, "Obesity")</f>
        <v>Normal Weight</v>
      </c>
      <c r="J1615" t="str" cm="1">
        <f t="array" ref="J1615">_xlfn.IFS(C1615&lt;5.7, "Normal", C1615&lt;=6.4, "Prediabetes", TRUE, "Diabetes")</f>
        <v>Normal</v>
      </c>
    </row>
    <row r="1616" spans="1:10">
      <c r="A1616" t="s">
        <v>3230</v>
      </c>
      <c r="B1616">
        <v>22.56</v>
      </c>
      <c r="C1616">
        <v>4.34</v>
      </c>
      <c r="D1616" t="s">
        <v>4683</v>
      </c>
      <c r="E1616" t="s">
        <v>4682</v>
      </c>
      <c r="F1616" t="s">
        <v>4682</v>
      </c>
      <c r="G1616">
        <v>0</v>
      </c>
      <c r="H1616" t="s">
        <v>4682</v>
      </c>
      <c r="I1616" t="str" cm="1">
        <f t="array" ref="I1616">_xlfn.IFS(B1616&lt;18.5, "Underweight", B1616&lt;=24.9, "Normal Weight", B1616&lt;=29.9, "Overweight", TRUE, "Obesity")</f>
        <v>Normal Weight</v>
      </c>
      <c r="J1616" t="str" cm="1">
        <f t="array" ref="J1616">_xlfn.IFS(C1616&lt;5.7, "Normal", C1616&lt;=6.4, "Prediabetes", TRUE, "Diabetes")</f>
        <v>Normal</v>
      </c>
    </row>
    <row r="1617" spans="1:10">
      <c r="A1617" t="s">
        <v>3232</v>
      </c>
      <c r="B1617">
        <v>19.28</v>
      </c>
      <c r="C1617">
        <v>11.85</v>
      </c>
      <c r="D1617" t="s">
        <v>4682</v>
      </c>
      <c r="E1617" t="s">
        <v>4682</v>
      </c>
      <c r="F1617" t="s">
        <v>4682</v>
      </c>
      <c r="G1617">
        <v>2</v>
      </c>
      <c r="H1617" t="s">
        <v>4682</v>
      </c>
      <c r="I1617" t="str" cm="1">
        <f t="array" ref="I1617">_xlfn.IFS(B1617&lt;18.5, "Underweight", B1617&lt;=24.9, "Normal Weight", B1617&lt;=29.9, "Overweight", TRUE, "Obesity")</f>
        <v>Normal Weight</v>
      </c>
      <c r="J1617" t="str" cm="1">
        <f t="array" ref="J1617">_xlfn.IFS(C1617&lt;5.7, "Normal", C1617&lt;=6.4, "Prediabetes", TRUE, "Diabetes")</f>
        <v>Diabetes</v>
      </c>
    </row>
    <row r="1618" spans="1:10">
      <c r="A1618" t="s">
        <v>3234</v>
      </c>
      <c r="B1618">
        <v>15.37</v>
      </c>
      <c r="C1618">
        <v>9.61</v>
      </c>
      <c r="D1618" t="s">
        <v>4683</v>
      </c>
      <c r="E1618" t="s">
        <v>4682</v>
      </c>
      <c r="F1618" t="s">
        <v>4682</v>
      </c>
      <c r="G1618">
        <v>2</v>
      </c>
      <c r="H1618" t="s">
        <v>4682</v>
      </c>
      <c r="I1618" t="str" cm="1">
        <f t="array" ref="I1618">_xlfn.IFS(B1618&lt;18.5, "Underweight", B1618&lt;=24.9, "Normal Weight", B1618&lt;=29.9, "Overweight", TRUE, "Obesity")</f>
        <v>Underweight</v>
      </c>
      <c r="J1618" t="str" cm="1">
        <f t="array" ref="J1618">_xlfn.IFS(C1618&lt;5.7, "Normal", C1618&lt;=6.4, "Prediabetes", TRUE, "Diabetes")</f>
        <v>Diabetes</v>
      </c>
    </row>
    <row r="1619" spans="1:10">
      <c r="A1619" t="s">
        <v>3236</v>
      </c>
      <c r="B1619">
        <v>18.71</v>
      </c>
      <c r="C1619">
        <v>5.29</v>
      </c>
      <c r="D1619" t="s">
        <v>4683</v>
      </c>
      <c r="E1619" t="s">
        <v>4682</v>
      </c>
      <c r="F1619" t="s">
        <v>4682</v>
      </c>
      <c r="G1619">
        <v>0</v>
      </c>
      <c r="H1619" t="s">
        <v>4682</v>
      </c>
      <c r="I1619" t="str" cm="1">
        <f t="array" ref="I1619">_xlfn.IFS(B1619&lt;18.5, "Underweight", B1619&lt;=24.9, "Normal Weight", B1619&lt;=29.9, "Overweight", TRUE, "Obesity")</f>
        <v>Normal Weight</v>
      </c>
      <c r="J1619" t="str" cm="1">
        <f t="array" ref="J1619">_xlfn.IFS(C1619&lt;5.7, "Normal", C1619&lt;=6.4, "Prediabetes", TRUE, "Diabetes")</f>
        <v>Normal</v>
      </c>
    </row>
    <row r="1620" spans="1:10">
      <c r="A1620" t="s">
        <v>3238</v>
      </c>
      <c r="B1620">
        <v>20.61</v>
      </c>
      <c r="C1620">
        <v>6.89</v>
      </c>
      <c r="D1620" t="s">
        <v>4682</v>
      </c>
      <c r="E1620" t="s">
        <v>4682</v>
      </c>
      <c r="F1620" t="s">
        <v>4682</v>
      </c>
      <c r="G1620">
        <v>0</v>
      </c>
      <c r="H1620" t="s">
        <v>4682</v>
      </c>
      <c r="I1620" t="str" cm="1">
        <f t="array" ref="I1620">_xlfn.IFS(B1620&lt;18.5, "Underweight", B1620&lt;=24.9, "Normal Weight", B1620&lt;=29.9, "Overweight", TRUE, "Obesity")</f>
        <v>Normal Weight</v>
      </c>
      <c r="J1620" t="str" cm="1">
        <f t="array" ref="J1620">_xlfn.IFS(C1620&lt;5.7, "Normal", C1620&lt;=6.4, "Prediabetes", TRUE, "Diabetes")</f>
        <v>Diabetes</v>
      </c>
    </row>
    <row r="1621" spans="1:10">
      <c r="A1621" t="s">
        <v>3240</v>
      </c>
      <c r="B1621">
        <v>15.99</v>
      </c>
      <c r="C1621">
        <v>4.57</v>
      </c>
      <c r="D1621" t="s">
        <v>4683</v>
      </c>
      <c r="E1621" t="s">
        <v>4682</v>
      </c>
      <c r="F1621" t="s">
        <v>4684</v>
      </c>
      <c r="G1621">
        <v>1</v>
      </c>
      <c r="H1621" t="s">
        <v>4682</v>
      </c>
      <c r="I1621" t="str" cm="1">
        <f t="array" ref="I1621">_xlfn.IFS(B1621&lt;18.5, "Underweight", B1621&lt;=24.9, "Normal Weight", B1621&lt;=29.9, "Overweight", TRUE, "Obesity")</f>
        <v>Underweight</v>
      </c>
      <c r="J1621" t="str" cm="1">
        <f t="array" ref="J1621">_xlfn.IFS(C1621&lt;5.7, "Normal", C1621&lt;=6.4, "Prediabetes", TRUE, "Diabetes")</f>
        <v>Normal</v>
      </c>
    </row>
    <row r="1622" spans="1:10">
      <c r="A1622" t="s">
        <v>3242</v>
      </c>
      <c r="B1622">
        <v>33.155000000000001</v>
      </c>
      <c r="C1622">
        <v>4.32</v>
      </c>
      <c r="D1622" t="s">
        <v>4682</v>
      </c>
      <c r="E1622" t="s">
        <v>4682</v>
      </c>
      <c r="F1622" t="s">
        <v>4682</v>
      </c>
      <c r="G1622">
        <v>0</v>
      </c>
      <c r="H1622" t="s">
        <v>4682</v>
      </c>
      <c r="I1622" t="str" cm="1">
        <f t="array" ref="I1622">_xlfn.IFS(B1622&lt;18.5, "Underweight", B1622&lt;=24.9, "Normal Weight", B1622&lt;=29.9, "Overweight", TRUE, "Obesity")</f>
        <v>Obesity</v>
      </c>
      <c r="J1622" t="str" cm="1">
        <f t="array" ref="J1622">_xlfn.IFS(C1622&lt;5.7, "Normal", C1622&lt;=6.4, "Prediabetes", TRUE, "Diabetes")</f>
        <v>Normal</v>
      </c>
    </row>
    <row r="1623" spans="1:10">
      <c r="A1623" t="s">
        <v>3244</v>
      </c>
      <c r="B1623">
        <v>26.22</v>
      </c>
      <c r="C1623">
        <v>5.57</v>
      </c>
      <c r="D1623" t="s">
        <v>4683</v>
      </c>
      <c r="E1623" t="s">
        <v>4682</v>
      </c>
      <c r="F1623" t="s">
        <v>4684</v>
      </c>
      <c r="G1623">
        <v>1</v>
      </c>
      <c r="H1623" t="s">
        <v>4682</v>
      </c>
      <c r="I1623" t="str" cm="1">
        <f t="array" ref="I1623">_xlfn.IFS(B1623&lt;18.5, "Underweight", B1623&lt;=24.9, "Normal Weight", B1623&lt;=29.9, "Overweight", TRUE, "Obesity")</f>
        <v>Overweight</v>
      </c>
      <c r="J1623" t="str" cm="1">
        <f t="array" ref="J1623">_xlfn.IFS(C1623&lt;5.7, "Normal", C1623&lt;=6.4, "Prediabetes", TRUE, "Diabetes")</f>
        <v>Normal</v>
      </c>
    </row>
    <row r="1624" spans="1:10">
      <c r="A1624" t="s">
        <v>3246</v>
      </c>
      <c r="B1624">
        <v>21.85</v>
      </c>
      <c r="C1624">
        <v>5.26</v>
      </c>
      <c r="D1624" t="s">
        <v>4683</v>
      </c>
      <c r="E1624" t="s">
        <v>4682</v>
      </c>
      <c r="F1624" t="s">
        <v>4684</v>
      </c>
      <c r="G1624">
        <v>1</v>
      </c>
      <c r="H1624" t="s">
        <v>4682</v>
      </c>
      <c r="I1624" t="str" cm="1">
        <f t="array" ref="I1624">_xlfn.IFS(B1624&lt;18.5, "Underweight", B1624&lt;=24.9, "Normal Weight", B1624&lt;=29.9, "Overweight", TRUE, "Obesity")</f>
        <v>Normal Weight</v>
      </c>
      <c r="J1624" t="str" cm="1">
        <f t="array" ref="J1624">_xlfn.IFS(C1624&lt;5.7, "Normal", C1624&lt;=6.4, "Prediabetes", TRUE, "Diabetes")</f>
        <v>Normal</v>
      </c>
    </row>
    <row r="1625" spans="1:10">
      <c r="A1625" t="s">
        <v>3248</v>
      </c>
      <c r="B1625">
        <v>30.495000000000001</v>
      </c>
      <c r="C1625">
        <v>6.25</v>
      </c>
      <c r="D1625" t="s">
        <v>4682</v>
      </c>
      <c r="E1625" t="s">
        <v>4682</v>
      </c>
      <c r="F1625" t="s">
        <v>4682</v>
      </c>
      <c r="G1625">
        <v>0</v>
      </c>
      <c r="H1625" t="s">
        <v>4682</v>
      </c>
      <c r="I1625" t="str" cm="1">
        <f t="array" ref="I1625">_xlfn.IFS(B1625&lt;18.5, "Underweight", B1625&lt;=24.9, "Normal Weight", B1625&lt;=29.9, "Overweight", TRUE, "Obesity")</f>
        <v>Obesity</v>
      </c>
      <c r="J1625" t="str" cm="1">
        <f t="array" ref="J1625">_xlfn.IFS(C1625&lt;5.7, "Normal", C1625&lt;=6.4, "Prediabetes", TRUE, "Diabetes")</f>
        <v>Prediabetes</v>
      </c>
    </row>
    <row r="1626" spans="1:10">
      <c r="A1626" t="s">
        <v>3250</v>
      </c>
      <c r="B1626">
        <v>34.104999999999997</v>
      </c>
      <c r="C1626">
        <v>5.67</v>
      </c>
      <c r="D1626" t="s">
        <v>4683</v>
      </c>
      <c r="E1626" t="s">
        <v>4682</v>
      </c>
      <c r="F1626" t="s">
        <v>4682</v>
      </c>
      <c r="G1626">
        <v>0</v>
      </c>
      <c r="H1626" t="s">
        <v>4682</v>
      </c>
      <c r="I1626" t="str" cm="1">
        <f t="array" ref="I1626">_xlfn.IFS(B1626&lt;18.5, "Underweight", B1626&lt;=24.9, "Normal Weight", B1626&lt;=29.9, "Overweight", TRUE, "Obesity")</f>
        <v>Obesity</v>
      </c>
      <c r="J1626" t="str" cm="1">
        <f t="array" ref="J1626">_xlfn.IFS(C1626&lt;5.7, "Normal", C1626&lt;=6.4, "Prediabetes", TRUE, "Diabetes")</f>
        <v>Normal</v>
      </c>
    </row>
    <row r="1627" spans="1:10">
      <c r="A1627" t="s">
        <v>3252</v>
      </c>
      <c r="B1627">
        <v>32.770000000000003</v>
      </c>
      <c r="C1627">
        <v>4.42</v>
      </c>
      <c r="D1627" t="s">
        <v>4683</v>
      </c>
      <c r="E1627" t="s">
        <v>4682</v>
      </c>
      <c r="F1627" t="s">
        <v>4682</v>
      </c>
      <c r="G1627">
        <v>1</v>
      </c>
      <c r="H1627" t="s">
        <v>4682</v>
      </c>
      <c r="I1627" t="str" cm="1">
        <f t="array" ref="I1627">_xlfn.IFS(B1627&lt;18.5, "Underweight", B1627&lt;=24.9, "Normal Weight", B1627&lt;=29.9, "Overweight", TRUE, "Obesity")</f>
        <v>Obesity</v>
      </c>
      <c r="J1627" t="str" cm="1">
        <f t="array" ref="J1627">_xlfn.IFS(C1627&lt;5.7, "Normal", C1627&lt;=6.4, "Prediabetes", TRUE, "Diabetes")</f>
        <v>Normal</v>
      </c>
    </row>
    <row r="1628" spans="1:10">
      <c r="A1628" t="s">
        <v>3254</v>
      </c>
      <c r="B1628">
        <v>16.850000000000001</v>
      </c>
      <c r="C1628">
        <v>11.75</v>
      </c>
      <c r="D1628" t="s">
        <v>4683</v>
      </c>
      <c r="E1628" t="s">
        <v>4682</v>
      </c>
      <c r="F1628" t="s">
        <v>4682</v>
      </c>
      <c r="G1628">
        <v>2</v>
      </c>
      <c r="H1628" t="s">
        <v>4682</v>
      </c>
      <c r="I1628" t="str" cm="1">
        <f t="array" ref="I1628">_xlfn.IFS(B1628&lt;18.5, "Underweight", B1628&lt;=24.9, "Normal Weight", B1628&lt;=29.9, "Overweight", TRUE, "Obesity")</f>
        <v>Underweight</v>
      </c>
      <c r="J1628" t="str" cm="1">
        <f t="array" ref="J1628">_xlfn.IFS(C1628&lt;5.7, "Normal", C1628&lt;=6.4, "Prediabetes", TRUE, "Diabetes")</f>
        <v>Diabetes</v>
      </c>
    </row>
    <row r="1629" spans="1:10">
      <c r="A1629" t="s">
        <v>3256</v>
      </c>
      <c r="B1629">
        <v>34.700000000000003</v>
      </c>
      <c r="C1629">
        <v>6.06</v>
      </c>
      <c r="D1629" t="s">
        <v>4682</v>
      </c>
      <c r="E1629" t="s">
        <v>4682</v>
      </c>
      <c r="F1629" t="s">
        <v>4682</v>
      </c>
      <c r="G1629">
        <v>1</v>
      </c>
      <c r="H1629" t="s">
        <v>4682</v>
      </c>
      <c r="I1629" t="str" cm="1">
        <f t="array" ref="I1629">_xlfn.IFS(B1629&lt;18.5, "Underweight", B1629&lt;=24.9, "Normal Weight", B1629&lt;=29.9, "Overweight", TRUE, "Obesity")</f>
        <v>Obesity</v>
      </c>
      <c r="J1629" t="str" cm="1">
        <f t="array" ref="J1629">_xlfn.IFS(C1629&lt;5.7, "Normal", C1629&lt;=6.4, "Prediabetes", TRUE, "Diabetes")</f>
        <v>Prediabetes</v>
      </c>
    </row>
    <row r="1630" spans="1:10">
      <c r="A1630" t="s">
        <v>3258</v>
      </c>
      <c r="B1630">
        <v>37.049999999999997</v>
      </c>
      <c r="C1630">
        <v>5.48</v>
      </c>
      <c r="D1630" t="s">
        <v>4682</v>
      </c>
      <c r="E1630" t="s">
        <v>4682</v>
      </c>
      <c r="F1630" t="s">
        <v>4682</v>
      </c>
      <c r="G1630">
        <v>1</v>
      </c>
      <c r="H1630" t="s">
        <v>4682</v>
      </c>
      <c r="I1630" t="str" cm="1">
        <f t="array" ref="I1630">_xlfn.IFS(B1630&lt;18.5, "Underweight", B1630&lt;=24.9, "Normal Weight", B1630&lt;=29.9, "Overweight", TRUE, "Obesity")</f>
        <v>Obesity</v>
      </c>
      <c r="J1630" t="str" cm="1">
        <f t="array" ref="J1630">_xlfn.IFS(C1630&lt;5.7, "Normal", C1630&lt;=6.4, "Prediabetes", TRUE, "Diabetes")</f>
        <v>Normal</v>
      </c>
    </row>
    <row r="1631" spans="1:10">
      <c r="A1631" t="s">
        <v>3260</v>
      </c>
      <c r="B1631">
        <v>18.78</v>
      </c>
      <c r="C1631">
        <v>4.45</v>
      </c>
      <c r="D1631" t="s">
        <v>4682</v>
      </c>
      <c r="E1631" t="s">
        <v>4682</v>
      </c>
      <c r="F1631" t="s">
        <v>4684</v>
      </c>
      <c r="G1631">
        <v>1</v>
      </c>
      <c r="H1631" t="s">
        <v>4682</v>
      </c>
      <c r="I1631" t="str" cm="1">
        <f t="array" ref="I1631">_xlfn.IFS(B1631&lt;18.5, "Underweight", B1631&lt;=24.9, "Normal Weight", B1631&lt;=29.9, "Overweight", TRUE, "Obesity")</f>
        <v>Normal Weight</v>
      </c>
      <c r="J1631" t="str" cm="1">
        <f t="array" ref="J1631">_xlfn.IFS(C1631&lt;5.7, "Normal", C1631&lt;=6.4, "Prediabetes", TRUE, "Diabetes")</f>
        <v>Normal</v>
      </c>
    </row>
    <row r="1632" spans="1:10">
      <c r="A1632" t="s">
        <v>3262</v>
      </c>
      <c r="B1632">
        <v>28.024999999999999</v>
      </c>
      <c r="C1632">
        <v>5</v>
      </c>
      <c r="D1632" t="s">
        <v>4682</v>
      </c>
      <c r="E1632" t="s">
        <v>4682</v>
      </c>
      <c r="F1632" t="s">
        <v>4682</v>
      </c>
      <c r="G1632">
        <v>1</v>
      </c>
      <c r="H1632" t="s">
        <v>4682</v>
      </c>
      <c r="I1632" t="str" cm="1">
        <f t="array" ref="I1632">_xlfn.IFS(B1632&lt;18.5, "Underweight", B1632&lt;=24.9, "Normal Weight", B1632&lt;=29.9, "Overweight", TRUE, "Obesity")</f>
        <v>Overweight</v>
      </c>
      <c r="J1632" t="str" cm="1">
        <f t="array" ref="J1632">_xlfn.IFS(C1632&lt;5.7, "Normal", C1632&lt;=6.4, "Prediabetes", TRUE, "Diabetes")</f>
        <v>Normal</v>
      </c>
    </row>
    <row r="1633" spans="1:10">
      <c r="A1633" t="s">
        <v>3264</v>
      </c>
      <c r="B1633">
        <v>35.090000000000003</v>
      </c>
      <c r="C1633">
        <v>5.84</v>
      </c>
      <c r="D1633" t="s">
        <v>4682</v>
      </c>
      <c r="E1633" t="s">
        <v>4682</v>
      </c>
      <c r="F1633" t="s">
        <v>4682</v>
      </c>
      <c r="G1633">
        <v>0</v>
      </c>
      <c r="H1633" t="s">
        <v>4682</v>
      </c>
      <c r="I1633" t="str" cm="1">
        <f t="array" ref="I1633">_xlfn.IFS(B1633&lt;18.5, "Underweight", B1633&lt;=24.9, "Normal Weight", B1633&lt;=29.9, "Overweight", TRUE, "Obesity")</f>
        <v>Obesity</v>
      </c>
      <c r="J1633" t="str" cm="1">
        <f t="array" ref="J1633">_xlfn.IFS(C1633&lt;5.7, "Normal", C1633&lt;=6.4, "Prediabetes", TRUE, "Diabetes")</f>
        <v>Prediabetes</v>
      </c>
    </row>
    <row r="1634" spans="1:10">
      <c r="A1634" t="s">
        <v>3266</v>
      </c>
      <c r="B1634">
        <v>34.42</v>
      </c>
      <c r="C1634">
        <v>5.21</v>
      </c>
      <c r="D1634" t="s">
        <v>4683</v>
      </c>
      <c r="E1634" t="s">
        <v>4682</v>
      </c>
      <c r="F1634" t="s">
        <v>4682</v>
      </c>
      <c r="G1634">
        <v>0</v>
      </c>
      <c r="H1634" t="s">
        <v>4682</v>
      </c>
      <c r="I1634" t="str" cm="1">
        <f t="array" ref="I1634">_xlfn.IFS(B1634&lt;18.5, "Underweight", B1634&lt;=24.9, "Normal Weight", B1634&lt;=29.9, "Overweight", TRUE, "Obesity")</f>
        <v>Obesity</v>
      </c>
      <c r="J1634" t="str" cm="1">
        <f t="array" ref="J1634">_xlfn.IFS(C1634&lt;5.7, "Normal", C1634&lt;=6.4, "Prediabetes", TRUE, "Diabetes")</f>
        <v>Normal</v>
      </c>
    </row>
    <row r="1635" spans="1:10">
      <c r="A1635" t="s">
        <v>3268</v>
      </c>
      <c r="B1635">
        <v>29.4</v>
      </c>
      <c r="C1635">
        <v>4.26</v>
      </c>
      <c r="D1635" t="s">
        <v>4682</v>
      </c>
      <c r="E1635" t="s">
        <v>4682</v>
      </c>
      <c r="F1635" t="s">
        <v>4682</v>
      </c>
      <c r="G1635">
        <v>0</v>
      </c>
      <c r="H1635" t="s">
        <v>4682</v>
      </c>
      <c r="I1635" t="str" cm="1">
        <f t="array" ref="I1635">_xlfn.IFS(B1635&lt;18.5, "Underweight", B1635&lt;=24.9, "Normal Weight", B1635&lt;=29.9, "Overweight", TRUE, "Obesity")</f>
        <v>Overweight</v>
      </c>
      <c r="J1635" t="str" cm="1">
        <f t="array" ref="J1635">_xlfn.IFS(C1635&lt;5.7, "Normal", C1635&lt;=6.4, "Prediabetes", TRUE, "Diabetes")</f>
        <v>Normal</v>
      </c>
    </row>
    <row r="1636" spans="1:10">
      <c r="A1636" t="s">
        <v>3270</v>
      </c>
      <c r="B1636">
        <v>21.31</v>
      </c>
      <c r="C1636">
        <v>4.17</v>
      </c>
      <c r="D1636" t="s">
        <v>4682</v>
      </c>
      <c r="E1636" t="s">
        <v>4682</v>
      </c>
      <c r="F1636" t="s">
        <v>4682</v>
      </c>
      <c r="G1636">
        <v>0</v>
      </c>
      <c r="H1636" t="s">
        <v>4682</v>
      </c>
      <c r="I1636" t="str" cm="1">
        <f t="array" ref="I1636">_xlfn.IFS(B1636&lt;18.5, "Underweight", B1636&lt;=24.9, "Normal Weight", B1636&lt;=29.9, "Overweight", TRUE, "Obesity")</f>
        <v>Normal Weight</v>
      </c>
      <c r="J1636" t="str" cm="1">
        <f t="array" ref="J1636">_xlfn.IFS(C1636&lt;5.7, "Normal", C1636&lt;=6.4, "Prediabetes", TRUE, "Diabetes")</f>
        <v>Normal</v>
      </c>
    </row>
    <row r="1637" spans="1:10">
      <c r="A1637" t="s">
        <v>3272</v>
      </c>
      <c r="B1637">
        <v>19.559999999999999</v>
      </c>
      <c r="C1637">
        <v>11.96</v>
      </c>
      <c r="D1637" t="s">
        <v>4682</v>
      </c>
      <c r="E1637" t="s">
        <v>4682</v>
      </c>
      <c r="F1637" t="s">
        <v>4682</v>
      </c>
      <c r="G1637">
        <v>0</v>
      </c>
      <c r="H1637" t="s">
        <v>4682</v>
      </c>
      <c r="I1637" t="str" cm="1">
        <f t="array" ref="I1637">_xlfn.IFS(B1637&lt;18.5, "Underweight", B1637&lt;=24.9, "Normal Weight", B1637&lt;=29.9, "Overweight", TRUE, "Obesity")</f>
        <v>Normal Weight</v>
      </c>
      <c r="J1637" t="str" cm="1">
        <f t="array" ref="J1637">_xlfn.IFS(C1637&lt;5.7, "Normal", C1637&lt;=6.4, "Prediabetes", TRUE, "Diabetes")</f>
        <v>Diabetes</v>
      </c>
    </row>
    <row r="1638" spans="1:10">
      <c r="A1638" t="s">
        <v>3274</v>
      </c>
      <c r="B1638">
        <v>37.335000000000001</v>
      </c>
      <c r="C1638">
        <v>6.26</v>
      </c>
      <c r="D1638" t="s">
        <v>4683</v>
      </c>
      <c r="E1638" t="s">
        <v>4682</v>
      </c>
      <c r="F1638" t="s">
        <v>4682</v>
      </c>
      <c r="G1638">
        <v>1</v>
      </c>
      <c r="H1638" t="s">
        <v>4682</v>
      </c>
      <c r="I1638" t="str" cm="1">
        <f t="array" ref="I1638">_xlfn.IFS(B1638&lt;18.5, "Underweight", B1638&lt;=24.9, "Normal Weight", B1638&lt;=29.9, "Overweight", TRUE, "Obesity")</f>
        <v>Obesity</v>
      </c>
      <c r="J1638" t="str" cm="1">
        <f t="array" ref="J1638">_xlfn.IFS(C1638&lt;5.7, "Normal", C1638&lt;=6.4, "Prediabetes", TRUE, "Diabetes")</f>
        <v>Prediabetes</v>
      </c>
    </row>
    <row r="1639" spans="1:10">
      <c r="A1639" t="s">
        <v>3276</v>
      </c>
      <c r="B1639">
        <v>19.53</v>
      </c>
      <c r="C1639">
        <v>11.68</v>
      </c>
      <c r="D1639" t="s">
        <v>4682</v>
      </c>
      <c r="E1639" t="s">
        <v>4682</v>
      </c>
      <c r="F1639" t="s">
        <v>4682</v>
      </c>
      <c r="G1639">
        <v>0</v>
      </c>
      <c r="H1639" t="s">
        <v>4682</v>
      </c>
      <c r="I1639" t="str" cm="1">
        <f t="array" ref="I1639">_xlfn.IFS(B1639&lt;18.5, "Underweight", B1639&lt;=24.9, "Normal Weight", B1639&lt;=29.9, "Overweight", TRUE, "Obesity")</f>
        <v>Normal Weight</v>
      </c>
      <c r="J1639" t="str" cm="1">
        <f t="array" ref="J1639">_xlfn.IFS(C1639&lt;5.7, "Normal", C1639&lt;=6.4, "Prediabetes", TRUE, "Diabetes")</f>
        <v>Diabetes</v>
      </c>
    </row>
    <row r="1640" spans="1:10">
      <c r="A1640" t="s">
        <v>3278</v>
      </c>
      <c r="B1640">
        <v>34.1</v>
      </c>
      <c r="C1640">
        <v>5.16</v>
      </c>
      <c r="D1640" t="s">
        <v>4682</v>
      </c>
      <c r="E1640" t="s">
        <v>4682</v>
      </c>
      <c r="F1640" t="s">
        <v>4682</v>
      </c>
      <c r="G1640">
        <v>0</v>
      </c>
      <c r="H1640" t="s">
        <v>4682</v>
      </c>
      <c r="I1640" t="str" cm="1">
        <f t="array" ref="I1640">_xlfn.IFS(B1640&lt;18.5, "Underweight", B1640&lt;=24.9, "Normal Weight", B1640&lt;=29.9, "Overweight", TRUE, "Obesity")</f>
        <v>Obesity</v>
      </c>
      <c r="J1640" t="str" cm="1">
        <f t="array" ref="J1640">_xlfn.IFS(C1640&lt;5.7, "Normal", C1640&lt;=6.4, "Prediabetes", TRUE, "Diabetes")</f>
        <v>Normal</v>
      </c>
    </row>
    <row r="1641" spans="1:10">
      <c r="A1641" t="s">
        <v>3280</v>
      </c>
      <c r="B1641">
        <v>16.5</v>
      </c>
      <c r="C1641">
        <v>6.9</v>
      </c>
      <c r="D1641" t="s">
        <v>4683</v>
      </c>
      <c r="E1641" t="s">
        <v>4682</v>
      </c>
      <c r="F1641" t="s">
        <v>4682</v>
      </c>
      <c r="G1641">
        <v>2</v>
      </c>
      <c r="H1641" t="s">
        <v>4682</v>
      </c>
      <c r="I1641" t="str" cm="1">
        <f t="array" ref="I1641">_xlfn.IFS(B1641&lt;18.5, "Underweight", B1641&lt;=24.9, "Normal Weight", B1641&lt;=29.9, "Overweight", TRUE, "Obesity")</f>
        <v>Underweight</v>
      </c>
      <c r="J1641" t="str" cm="1">
        <f t="array" ref="J1641">_xlfn.IFS(C1641&lt;5.7, "Normal", C1641&lt;=6.4, "Prediabetes", TRUE, "Diabetes")</f>
        <v>Diabetes</v>
      </c>
    </row>
    <row r="1642" spans="1:10">
      <c r="A1642" t="s">
        <v>3282</v>
      </c>
      <c r="B1642">
        <v>30.69</v>
      </c>
      <c r="C1642">
        <v>4.83</v>
      </c>
      <c r="D1642" t="s">
        <v>4682</v>
      </c>
      <c r="E1642" t="s">
        <v>4682</v>
      </c>
      <c r="F1642" t="s">
        <v>4682</v>
      </c>
      <c r="G1642">
        <v>1</v>
      </c>
      <c r="H1642" t="s">
        <v>4682</v>
      </c>
      <c r="I1642" t="str" cm="1">
        <f t="array" ref="I1642">_xlfn.IFS(B1642&lt;18.5, "Underweight", B1642&lt;=24.9, "Normal Weight", B1642&lt;=29.9, "Overweight", TRUE, "Obesity")</f>
        <v>Obesity</v>
      </c>
      <c r="J1642" t="str" cm="1">
        <f t="array" ref="J1642">_xlfn.IFS(C1642&lt;5.7, "Normal", C1642&lt;=6.4, "Prediabetes", TRUE, "Diabetes")</f>
        <v>Normal</v>
      </c>
    </row>
    <row r="1643" spans="1:10">
      <c r="A1643" t="s">
        <v>3284</v>
      </c>
      <c r="B1643">
        <v>28.93</v>
      </c>
      <c r="C1643">
        <v>4.87</v>
      </c>
      <c r="D1643" t="s">
        <v>4682</v>
      </c>
      <c r="E1643" t="s">
        <v>4682</v>
      </c>
      <c r="F1643" t="s">
        <v>4682</v>
      </c>
      <c r="G1643">
        <v>1</v>
      </c>
      <c r="H1643" t="s">
        <v>4682</v>
      </c>
      <c r="I1643" t="str" cm="1">
        <f t="array" ref="I1643">_xlfn.IFS(B1643&lt;18.5, "Underweight", B1643&lt;=24.9, "Normal Weight", B1643&lt;=29.9, "Overweight", TRUE, "Obesity")</f>
        <v>Overweight</v>
      </c>
      <c r="J1643" t="str" cm="1">
        <f t="array" ref="J1643">_xlfn.IFS(C1643&lt;5.7, "Normal", C1643&lt;=6.4, "Prediabetes", TRUE, "Diabetes")</f>
        <v>Normal</v>
      </c>
    </row>
    <row r="1644" spans="1:10">
      <c r="A1644" t="s">
        <v>3286</v>
      </c>
      <c r="B1644">
        <v>38.9</v>
      </c>
      <c r="C1644">
        <v>4.28</v>
      </c>
      <c r="D1644" t="s">
        <v>4682</v>
      </c>
      <c r="E1644" t="s">
        <v>4682</v>
      </c>
      <c r="F1644" t="s">
        <v>4682</v>
      </c>
      <c r="G1644">
        <v>0</v>
      </c>
      <c r="H1644" t="s">
        <v>4682</v>
      </c>
      <c r="I1644" t="str" cm="1">
        <f t="array" ref="I1644">_xlfn.IFS(B1644&lt;18.5, "Underweight", B1644&lt;=24.9, "Normal Weight", B1644&lt;=29.9, "Overweight", TRUE, "Obesity")</f>
        <v>Obesity</v>
      </c>
      <c r="J1644" t="str" cm="1">
        <f t="array" ref="J1644">_xlfn.IFS(C1644&lt;5.7, "Normal", C1644&lt;=6.4, "Prediabetes", TRUE, "Diabetes")</f>
        <v>Normal</v>
      </c>
    </row>
    <row r="1645" spans="1:10">
      <c r="A1645" t="s">
        <v>3288</v>
      </c>
      <c r="B1645">
        <v>26.9</v>
      </c>
      <c r="C1645">
        <v>4.07</v>
      </c>
      <c r="D1645" t="s">
        <v>4682</v>
      </c>
      <c r="E1645" t="s">
        <v>4682</v>
      </c>
      <c r="F1645" t="s">
        <v>4682</v>
      </c>
      <c r="G1645">
        <v>0</v>
      </c>
      <c r="H1645" t="s">
        <v>4682</v>
      </c>
      <c r="I1645" t="str" cm="1">
        <f t="array" ref="I1645">_xlfn.IFS(B1645&lt;18.5, "Underweight", B1645&lt;=24.9, "Normal Weight", B1645&lt;=29.9, "Overweight", TRUE, "Obesity")</f>
        <v>Overweight</v>
      </c>
      <c r="J1645" t="str" cm="1">
        <f t="array" ref="J1645">_xlfn.IFS(C1645&lt;5.7, "Normal", C1645&lt;=6.4, "Prediabetes", TRUE, "Diabetes")</f>
        <v>Normal</v>
      </c>
    </row>
    <row r="1646" spans="1:10">
      <c r="A1646" t="s">
        <v>3290</v>
      </c>
      <c r="B1646">
        <v>24.86</v>
      </c>
      <c r="C1646">
        <v>6.23</v>
      </c>
      <c r="D1646" t="s">
        <v>4682</v>
      </c>
      <c r="E1646" t="s">
        <v>4682</v>
      </c>
      <c r="F1646" t="s">
        <v>4682</v>
      </c>
      <c r="G1646">
        <v>0</v>
      </c>
      <c r="H1646" t="s">
        <v>4682</v>
      </c>
      <c r="I1646" t="str" cm="1">
        <f t="array" ref="I1646">_xlfn.IFS(B1646&lt;18.5, "Underweight", B1646&lt;=24.9, "Normal Weight", B1646&lt;=29.9, "Overweight", TRUE, "Obesity")</f>
        <v>Normal Weight</v>
      </c>
      <c r="J1646" t="str" cm="1">
        <f t="array" ref="J1646">_xlfn.IFS(C1646&lt;5.7, "Normal", C1646&lt;=6.4, "Prediabetes", TRUE, "Diabetes")</f>
        <v>Prediabetes</v>
      </c>
    </row>
    <row r="1647" spans="1:10">
      <c r="A1647" t="s">
        <v>3292</v>
      </c>
      <c r="B1647">
        <v>39.14</v>
      </c>
      <c r="C1647">
        <v>6.24</v>
      </c>
      <c r="D1647" t="s">
        <v>4682</v>
      </c>
      <c r="E1647" t="s">
        <v>4683</v>
      </c>
      <c r="F1647" t="s">
        <v>4682</v>
      </c>
      <c r="G1647">
        <v>1</v>
      </c>
      <c r="H1647" t="s">
        <v>4682</v>
      </c>
      <c r="I1647" t="str" cm="1">
        <f t="array" ref="I1647">_xlfn.IFS(B1647&lt;18.5, "Underweight", B1647&lt;=24.9, "Normal Weight", B1647&lt;=29.9, "Overweight", TRUE, "Obesity")</f>
        <v>Obesity</v>
      </c>
      <c r="J1647" t="str" cm="1">
        <f t="array" ref="J1647">_xlfn.IFS(C1647&lt;5.7, "Normal", C1647&lt;=6.4, "Prediabetes", TRUE, "Diabetes")</f>
        <v>Prediabetes</v>
      </c>
    </row>
    <row r="1648" spans="1:10">
      <c r="A1648" t="s">
        <v>3294</v>
      </c>
      <c r="B1648">
        <v>39.799999999999997</v>
      </c>
      <c r="C1648">
        <v>6.17</v>
      </c>
      <c r="D1648" t="s">
        <v>4682</v>
      </c>
      <c r="E1648" t="s">
        <v>4682</v>
      </c>
      <c r="F1648" t="s">
        <v>4684</v>
      </c>
      <c r="G1648">
        <v>1</v>
      </c>
      <c r="H1648" t="s">
        <v>4682</v>
      </c>
      <c r="I1648" t="str" cm="1">
        <f t="array" ref="I1648">_xlfn.IFS(B1648&lt;18.5, "Underweight", B1648&lt;=24.9, "Normal Weight", B1648&lt;=29.9, "Overweight", TRUE, "Obesity")</f>
        <v>Obesity</v>
      </c>
      <c r="J1648" t="str" cm="1">
        <f t="array" ref="J1648">_xlfn.IFS(C1648&lt;5.7, "Normal", C1648&lt;=6.4, "Prediabetes", TRUE, "Diabetes")</f>
        <v>Prediabetes</v>
      </c>
    </row>
    <row r="1649" spans="1:10">
      <c r="A1649" t="s">
        <v>3296</v>
      </c>
      <c r="B1649">
        <v>34.32</v>
      </c>
      <c r="C1649">
        <v>5.16</v>
      </c>
      <c r="D1649" t="s">
        <v>4682</v>
      </c>
      <c r="E1649" t="s">
        <v>4682</v>
      </c>
      <c r="F1649" t="s">
        <v>4682</v>
      </c>
      <c r="G1649">
        <v>1</v>
      </c>
      <c r="H1649" t="s">
        <v>4682</v>
      </c>
      <c r="I1649" t="str" cm="1">
        <f t="array" ref="I1649">_xlfn.IFS(B1649&lt;18.5, "Underweight", B1649&lt;=24.9, "Normal Weight", B1649&lt;=29.9, "Overweight", TRUE, "Obesity")</f>
        <v>Obesity</v>
      </c>
      <c r="J1649" t="str" cm="1">
        <f t="array" ref="J1649">_xlfn.IFS(C1649&lt;5.7, "Normal", C1649&lt;=6.4, "Prediabetes", TRUE, "Diabetes")</f>
        <v>Normal</v>
      </c>
    </row>
    <row r="1650" spans="1:10">
      <c r="A1650" t="s">
        <v>3298</v>
      </c>
      <c r="B1650">
        <v>32.51</v>
      </c>
      <c r="C1650">
        <v>4.3</v>
      </c>
      <c r="D1650" t="s">
        <v>4682</v>
      </c>
      <c r="E1650" t="s">
        <v>4682</v>
      </c>
      <c r="F1650" t="s">
        <v>4682</v>
      </c>
      <c r="G1650">
        <v>0</v>
      </c>
      <c r="H1650" t="s">
        <v>4682</v>
      </c>
      <c r="I1650" t="str" cm="1">
        <f t="array" ref="I1650">_xlfn.IFS(B1650&lt;18.5, "Underweight", B1650&lt;=24.9, "Normal Weight", B1650&lt;=29.9, "Overweight", TRUE, "Obesity")</f>
        <v>Obesity</v>
      </c>
      <c r="J1650" t="str" cm="1">
        <f t="array" ref="J1650">_xlfn.IFS(C1650&lt;5.7, "Normal", C1650&lt;=6.4, "Prediabetes", TRUE, "Diabetes")</f>
        <v>Normal</v>
      </c>
    </row>
    <row r="1651" spans="1:10">
      <c r="A1651" t="s">
        <v>3300</v>
      </c>
      <c r="B1651">
        <v>30.71</v>
      </c>
      <c r="C1651">
        <v>6.14</v>
      </c>
      <c r="D1651" t="s">
        <v>4682</v>
      </c>
      <c r="E1651" t="s">
        <v>4682</v>
      </c>
      <c r="F1651" t="s">
        <v>4684</v>
      </c>
      <c r="G1651">
        <v>1</v>
      </c>
      <c r="H1651" t="s">
        <v>4682</v>
      </c>
      <c r="I1651" t="str" cm="1">
        <f t="array" ref="I1651">_xlfn.IFS(B1651&lt;18.5, "Underweight", B1651&lt;=24.9, "Normal Weight", B1651&lt;=29.9, "Overweight", TRUE, "Obesity")</f>
        <v>Obesity</v>
      </c>
      <c r="J1651" t="str" cm="1">
        <f t="array" ref="J1651">_xlfn.IFS(C1651&lt;5.7, "Normal", C1651&lt;=6.4, "Prediabetes", TRUE, "Diabetes")</f>
        <v>Prediabetes</v>
      </c>
    </row>
    <row r="1652" spans="1:10">
      <c r="A1652" t="s">
        <v>3302</v>
      </c>
      <c r="B1652">
        <v>28.9</v>
      </c>
      <c r="C1652">
        <v>5.36</v>
      </c>
      <c r="D1652" t="s">
        <v>4682</v>
      </c>
      <c r="E1652" t="s">
        <v>4682</v>
      </c>
      <c r="F1652" t="s">
        <v>4682</v>
      </c>
      <c r="G1652">
        <v>1</v>
      </c>
      <c r="H1652" t="s">
        <v>4682</v>
      </c>
      <c r="I1652" t="str" cm="1">
        <f t="array" ref="I1652">_xlfn.IFS(B1652&lt;18.5, "Underweight", B1652&lt;=24.9, "Normal Weight", B1652&lt;=29.9, "Overweight", TRUE, "Obesity")</f>
        <v>Overweight</v>
      </c>
      <c r="J1652" t="str" cm="1">
        <f t="array" ref="J1652">_xlfn.IFS(C1652&lt;5.7, "Normal", C1652&lt;=6.4, "Prediabetes", TRUE, "Diabetes")</f>
        <v>Normal</v>
      </c>
    </row>
    <row r="1653" spans="1:10">
      <c r="A1653" t="s">
        <v>3304</v>
      </c>
      <c r="B1653">
        <v>36.19</v>
      </c>
      <c r="C1653">
        <v>4.3</v>
      </c>
      <c r="D1653" t="s">
        <v>4682</v>
      </c>
      <c r="E1653" t="s">
        <v>4682</v>
      </c>
      <c r="F1653" t="s">
        <v>4682</v>
      </c>
      <c r="G1653">
        <v>0</v>
      </c>
      <c r="H1653" t="s">
        <v>4682</v>
      </c>
      <c r="I1653" t="str" cm="1">
        <f t="array" ref="I1653">_xlfn.IFS(B1653&lt;18.5, "Underweight", B1653&lt;=24.9, "Normal Weight", B1653&lt;=29.9, "Overweight", TRUE, "Obesity")</f>
        <v>Obesity</v>
      </c>
      <c r="J1653" t="str" cm="1">
        <f t="array" ref="J1653">_xlfn.IFS(C1653&lt;5.7, "Normal", C1653&lt;=6.4, "Prediabetes", TRUE, "Diabetes")</f>
        <v>Normal</v>
      </c>
    </row>
    <row r="1654" spans="1:10">
      <c r="A1654" t="s">
        <v>3306</v>
      </c>
      <c r="B1654">
        <v>29.6</v>
      </c>
      <c r="C1654">
        <v>4.09</v>
      </c>
      <c r="D1654" t="s">
        <v>4682</v>
      </c>
      <c r="E1654" t="s">
        <v>4682</v>
      </c>
      <c r="F1654" t="s">
        <v>4682</v>
      </c>
      <c r="G1654">
        <v>0</v>
      </c>
      <c r="H1654" t="s">
        <v>4682</v>
      </c>
      <c r="I1654" t="str" cm="1">
        <f t="array" ref="I1654">_xlfn.IFS(B1654&lt;18.5, "Underweight", B1654&lt;=24.9, "Normal Weight", B1654&lt;=29.9, "Overweight", TRUE, "Obesity")</f>
        <v>Overweight</v>
      </c>
      <c r="J1654" t="str" cm="1">
        <f t="array" ref="J1654">_xlfn.IFS(C1654&lt;5.7, "Normal", C1654&lt;=6.4, "Prediabetes", TRUE, "Diabetes")</f>
        <v>Normal</v>
      </c>
    </row>
    <row r="1655" spans="1:10">
      <c r="A1655" t="s">
        <v>3308</v>
      </c>
      <c r="B1655">
        <v>30.95</v>
      </c>
      <c r="C1655">
        <v>6.27</v>
      </c>
      <c r="D1655" t="s">
        <v>4682</v>
      </c>
      <c r="E1655" t="s">
        <v>4682</v>
      </c>
      <c r="F1655" t="s">
        <v>4684</v>
      </c>
      <c r="G1655">
        <v>1</v>
      </c>
      <c r="H1655" t="s">
        <v>4682</v>
      </c>
      <c r="I1655" t="str" cm="1">
        <f t="array" ref="I1655">_xlfn.IFS(B1655&lt;18.5, "Underweight", B1655&lt;=24.9, "Normal Weight", B1655&lt;=29.9, "Overweight", TRUE, "Obesity")</f>
        <v>Obesity</v>
      </c>
      <c r="J1655" t="str" cm="1">
        <f t="array" ref="J1655">_xlfn.IFS(C1655&lt;5.7, "Normal", C1655&lt;=6.4, "Prediabetes", TRUE, "Diabetes")</f>
        <v>Prediabetes</v>
      </c>
    </row>
    <row r="1656" spans="1:10">
      <c r="A1656" t="s">
        <v>3310</v>
      </c>
      <c r="B1656">
        <v>19.95</v>
      </c>
      <c r="C1656">
        <v>5.39</v>
      </c>
      <c r="D1656" t="s">
        <v>4682</v>
      </c>
      <c r="E1656" t="s">
        <v>4682</v>
      </c>
      <c r="F1656" t="s">
        <v>4682</v>
      </c>
      <c r="G1656">
        <v>1</v>
      </c>
      <c r="H1656" t="s">
        <v>4682</v>
      </c>
      <c r="I1656" t="str" cm="1">
        <f t="array" ref="I1656">_xlfn.IFS(B1656&lt;18.5, "Underweight", B1656&lt;=24.9, "Normal Weight", B1656&lt;=29.9, "Overweight", TRUE, "Obesity")</f>
        <v>Normal Weight</v>
      </c>
      <c r="J1656" t="str" cm="1">
        <f t="array" ref="J1656">_xlfn.IFS(C1656&lt;5.7, "Normal", C1656&lt;=6.4, "Prediabetes", TRUE, "Diabetes")</f>
        <v>Normal</v>
      </c>
    </row>
    <row r="1657" spans="1:10">
      <c r="A1657" t="s">
        <v>3312</v>
      </c>
      <c r="B1657">
        <v>23.65</v>
      </c>
      <c r="C1657">
        <v>5.75</v>
      </c>
      <c r="D1657" t="s">
        <v>4683</v>
      </c>
      <c r="E1657" t="s">
        <v>4682</v>
      </c>
      <c r="F1657" t="s">
        <v>4682</v>
      </c>
      <c r="G1657">
        <v>0</v>
      </c>
      <c r="H1657" t="s">
        <v>4682</v>
      </c>
      <c r="I1657" t="str" cm="1">
        <f t="array" ref="I1657">_xlfn.IFS(B1657&lt;18.5, "Underweight", B1657&lt;=24.9, "Normal Weight", B1657&lt;=29.9, "Overweight", TRUE, "Obesity")</f>
        <v>Normal Weight</v>
      </c>
      <c r="J1657" t="str" cm="1">
        <f t="array" ref="J1657">_xlfn.IFS(C1657&lt;5.7, "Normal", C1657&lt;=6.4, "Prediabetes", TRUE, "Diabetes")</f>
        <v>Prediabetes</v>
      </c>
    </row>
    <row r="1658" spans="1:10">
      <c r="A1658" t="s">
        <v>3314</v>
      </c>
      <c r="B1658">
        <v>43.34</v>
      </c>
      <c r="C1658">
        <v>4.91</v>
      </c>
      <c r="D1658" t="s">
        <v>4682</v>
      </c>
      <c r="E1658" t="s">
        <v>4682</v>
      </c>
      <c r="F1658" t="s">
        <v>4682</v>
      </c>
      <c r="G1658">
        <v>1</v>
      </c>
      <c r="H1658" t="s">
        <v>4682</v>
      </c>
      <c r="I1658" t="str" cm="1">
        <f t="array" ref="I1658">_xlfn.IFS(B1658&lt;18.5, "Underweight", B1658&lt;=24.9, "Normal Weight", B1658&lt;=29.9, "Overweight", TRUE, "Obesity")</f>
        <v>Obesity</v>
      </c>
      <c r="J1658" t="str" cm="1">
        <f t="array" ref="J1658">_xlfn.IFS(C1658&lt;5.7, "Normal", C1658&lt;=6.4, "Prediabetes", TRUE, "Diabetes")</f>
        <v>Normal</v>
      </c>
    </row>
    <row r="1659" spans="1:10">
      <c r="A1659" t="s">
        <v>3316</v>
      </c>
      <c r="B1659">
        <v>31.98</v>
      </c>
      <c r="C1659">
        <v>4.46</v>
      </c>
      <c r="D1659" t="s">
        <v>4683</v>
      </c>
      <c r="E1659" t="s">
        <v>4682</v>
      </c>
      <c r="F1659" t="s">
        <v>4682</v>
      </c>
      <c r="G1659">
        <v>1</v>
      </c>
      <c r="H1659" t="s">
        <v>4682</v>
      </c>
      <c r="I1659" t="str" cm="1">
        <f t="array" ref="I1659">_xlfn.IFS(B1659&lt;18.5, "Underweight", B1659&lt;=24.9, "Normal Weight", B1659&lt;=29.9, "Overweight", TRUE, "Obesity")</f>
        <v>Obesity</v>
      </c>
      <c r="J1659" t="str" cm="1">
        <f t="array" ref="J1659">_xlfn.IFS(C1659&lt;5.7, "Normal", C1659&lt;=6.4, "Prediabetes", TRUE, "Diabetes")</f>
        <v>Normal</v>
      </c>
    </row>
    <row r="1660" spans="1:10">
      <c r="A1660" t="s">
        <v>3318</v>
      </c>
      <c r="B1660">
        <v>35.86</v>
      </c>
      <c r="C1660">
        <v>6.22</v>
      </c>
      <c r="D1660" t="s">
        <v>4682</v>
      </c>
      <c r="E1660" t="s">
        <v>4682</v>
      </c>
      <c r="F1660" t="s">
        <v>4682</v>
      </c>
      <c r="G1660">
        <v>1</v>
      </c>
      <c r="H1660" t="s">
        <v>4682</v>
      </c>
      <c r="I1660" t="str" cm="1">
        <f t="array" ref="I1660">_xlfn.IFS(B1660&lt;18.5, "Underweight", B1660&lt;=24.9, "Normal Weight", B1660&lt;=29.9, "Overweight", TRUE, "Obesity")</f>
        <v>Obesity</v>
      </c>
      <c r="J1660" t="str" cm="1">
        <f t="array" ref="J1660">_xlfn.IFS(C1660&lt;5.7, "Normal", C1660&lt;=6.4, "Prediabetes", TRUE, "Diabetes")</f>
        <v>Prediabetes</v>
      </c>
    </row>
    <row r="1661" spans="1:10">
      <c r="A1661" t="s">
        <v>3320</v>
      </c>
      <c r="B1661">
        <v>15.2</v>
      </c>
      <c r="C1661">
        <v>8.82</v>
      </c>
      <c r="D1661" t="s">
        <v>4682</v>
      </c>
      <c r="E1661" t="s">
        <v>4682</v>
      </c>
      <c r="F1661" t="s">
        <v>4682</v>
      </c>
      <c r="G1661">
        <v>0</v>
      </c>
      <c r="H1661" t="s">
        <v>4682</v>
      </c>
      <c r="I1661" t="str" cm="1">
        <f t="array" ref="I1661">_xlfn.IFS(B1661&lt;18.5, "Underweight", B1661&lt;=24.9, "Normal Weight", B1661&lt;=29.9, "Overweight", TRUE, "Obesity")</f>
        <v>Underweight</v>
      </c>
      <c r="J1661" t="str" cm="1">
        <f t="array" ref="J1661">_xlfn.IFS(C1661&lt;5.7, "Normal", C1661&lt;=6.4, "Prediabetes", TRUE, "Diabetes")</f>
        <v>Diabetes</v>
      </c>
    </row>
    <row r="1662" spans="1:10">
      <c r="A1662" t="s">
        <v>3322</v>
      </c>
      <c r="B1662">
        <v>37.200000000000003</v>
      </c>
      <c r="C1662">
        <v>10.14</v>
      </c>
      <c r="D1662" t="s">
        <v>4682</v>
      </c>
      <c r="E1662" t="s">
        <v>4682</v>
      </c>
      <c r="F1662" t="s">
        <v>4682</v>
      </c>
      <c r="G1662">
        <v>0</v>
      </c>
      <c r="H1662" t="s">
        <v>4682</v>
      </c>
      <c r="I1662" t="str" cm="1">
        <f t="array" ref="I1662">_xlfn.IFS(B1662&lt;18.5, "Underweight", B1662&lt;=24.9, "Normal Weight", B1662&lt;=29.9, "Overweight", TRUE, "Obesity")</f>
        <v>Obesity</v>
      </c>
      <c r="J1662" t="str" cm="1">
        <f t="array" ref="J1662">_xlfn.IFS(C1662&lt;5.7, "Normal", C1662&lt;=6.4, "Prediabetes", TRUE, "Diabetes")</f>
        <v>Diabetes</v>
      </c>
    </row>
    <row r="1663" spans="1:10">
      <c r="A1663" t="s">
        <v>3324</v>
      </c>
      <c r="B1663">
        <v>17.91</v>
      </c>
      <c r="C1663">
        <v>4.66</v>
      </c>
      <c r="D1663" t="s">
        <v>4682</v>
      </c>
      <c r="E1663" t="s">
        <v>4682</v>
      </c>
      <c r="F1663" t="s">
        <v>4682</v>
      </c>
      <c r="G1663">
        <v>2</v>
      </c>
      <c r="H1663" t="s">
        <v>4682</v>
      </c>
      <c r="I1663" t="str" cm="1">
        <f t="array" ref="I1663">_xlfn.IFS(B1663&lt;18.5, "Underweight", B1663&lt;=24.9, "Normal Weight", B1663&lt;=29.9, "Overweight", TRUE, "Obesity")</f>
        <v>Underweight</v>
      </c>
      <c r="J1663" t="str" cm="1">
        <f t="array" ref="J1663">_xlfn.IFS(C1663&lt;5.7, "Normal", C1663&lt;=6.4, "Prediabetes", TRUE, "Diabetes")</f>
        <v>Normal</v>
      </c>
    </row>
    <row r="1664" spans="1:10">
      <c r="A1664" t="s">
        <v>3326</v>
      </c>
      <c r="B1664">
        <v>20.76</v>
      </c>
      <c r="C1664">
        <v>6.26</v>
      </c>
      <c r="D1664" t="s">
        <v>4682</v>
      </c>
      <c r="E1664" t="s">
        <v>4682</v>
      </c>
      <c r="F1664" t="s">
        <v>4682</v>
      </c>
      <c r="G1664">
        <v>0</v>
      </c>
      <c r="H1664" t="s">
        <v>4682</v>
      </c>
      <c r="I1664" t="str" cm="1">
        <f t="array" ref="I1664">_xlfn.IFS(B1664&lt;18.5, "Underweight", B1664&lt;=24.9, "Normal Weight", B1664&lt;=29.9, "Overweight", TRUE, "Obesity")</f>
        <v>Normal Weight</v>
      </c>
      <c r="J1664" t="str" cm="1">
        <f t="array" ref="J1664">_xlfn.IFS(C1664&lt;5.7, "Normal", C1664&lt;=6.4, "Prediabetes", TRUE, "Diabetes")</f>
        <v>Prediabetes</v>
      </c>
    </row>
    <row r="1665" spans="1:10">
      <c r="A1665" t="s">
        <v>3328</v>
      </c>
      <c r="B1665">
        <v>38.99</v>
      </c>
      <c r="C1665">
        <v>5.21</v>
      </c>
      <c r="D1665" t="s">
        <v>4682</v>
      </c>
      <c r="E1665" t="s">
        <v>4683</v>
      </c>
      <c r="F1665" t="s">
        <v>4682</v>
      </c>
      <c r="G1665">
        <v>1</v>
      </c>
      <c r="H1665" t="s">
        <v>4682</v>
      </c>
      <c r="I1665" t="str" cm="1">
        <f t="array" ref="I1665">_xlfn.IFS(B1665&lt;18.5, "Underweight", B1665&lt;=24.9, "Normal Weight", B1665&lt;=29.9, "Overweight", TRUE, "Obesity")</f>
        <v>Obesity</v>
      </c>
      <c r="J1665" t="str" cm="1">
        <f t="array" ref="J1665">_xlfn.IFS(C1665&lt;5.7, "Normal", C1665&lt;=6.4, "Prediabetes", TRUE, "Diabetes")</f>
        <v>Normal</v>
      </c>
    </row>
    <row r="1666" spans="1:10">
      <c r="A1666" t="s">
        <v>3330</v>
      </c>
      <c r="B1666">
        <v>42.655000000000001</v>
      </c>
      <c r="C1666">
        <v>5.94</v>
      </c>
      <c r="D1666" t="s">
        <v>4683</v>
      </c>
      <c r="E1666" t="s">
        <v>4682</v>
      </c>
      <c r="F1666" t="s">
        <v>4684</v>
      </c>
      <c r="G1666">
        <v>1</v>
      </c>
      <c r="H1666" t="s">
        <v>4682</v>
      </c>
      <c r="I1666" t="str" cm="1">
        <f t="array" ref="I1666">_xlfn.IFS(B1666&lt;18.5, "Underweight", B1666&lt;=24.9, "Normal Weight", B1666&lt;=29.9, "Overweight", TRUE, "Obesity")</f>
        <v>Obesity</v>
      </c>
      <c r="J1666" t="str" cm="1">
        <f t="array" ref="J1666">_xlfn.IFS(C1666&lt;5.7, "Normal", C1666&lt;=6.4, "Prediabetes", TRUE, "Diabetes")</f>
        <v>Prediabetes</v>
      </c>
    </row>
    <row r="1667" spans="1:10">
      <c r="A1667" t="s">
        <v>3332</v>
      </c>
      <c r="B1667">
        <v>30.57</v>
      </c>
      <c r="C1667">
        <v>5.34</v>
      </c>
      <c r="D1667" t="s">
        <v>4682</v>
      </c>
      <c r="E1667" t="s">
        <v>4682</v>
      </c>
      <c r="F1667" t="s">
        <v>4684</v>
      </c>
      <c r="G1667">
        <v>1</v>
      </c>
      <c r="H1667" t="s">
        <v>4682</v>
      </c>
      <c r="I1667" t="str" cm="1">
        <f t="array" ref="I1667">_xlfn.IFS(B1667&lt;18.5, "Underweight", B1667&lt;=24.9, "Normal Weight", B1667&lt;=29.9, "Overweight", TRUE, "Obesity")</f>
        <v>Obesity</v>
      </c>
      <c r="J1667" t="str" cm="1">
        <f t="array" ref="J1667">_xlfn.IFS(C1667&lt;5.7, "Normal", C1667&lt;=6.4, "Prediabetes", TRUE, "Diabetes")</f>
        <v>Normal</v>
      </c>
    </row>
    <row r="1668" spans="1:10">
      <c r="A1668" t="s">
        <v>3334</v>
      </c>
      <c r="B1668">
        <v>17.7</v>
      </c>
      <c r="C1668">
        <v>6.38</v>
      </c>
      <c r="D1668" t="s">
        <v>4682</v>
      </c>
      <c r="E1668" t="s">
        <v>4682</v>
      </c>
      <c r="F1668" t="s">
        <v>4682</v>
      </c>
      <c r="G1668">
        <v>2</v>
      </c>
      <c r="H1668" t="s">
        <v>4682</v>
      </c>
      <c r="I1668" t="str" cm="1">
        <f t="array" ref="I1668">_xlfn.IFS(B1668&lt;18.5, "Underweight", B1668&lt;=24.9, "Normal Weight", B1668&lt;=29.9, "Overweight", TRUE, "Obesity")</f>
        <v>Underweight</v>
      </c>
      <c r="J1668" t="str" cm="1">
        <f t="array" ref="J1668">_xlfn.IFS(C1668&lt;5.7, "Normal", C1668&lt;=6.4, "Prediabetes", TRUE, "Diabetes")</f>
        <v>Prediabetes</v>
      </c>
    </row>
    <row r="1669" spans="1:10">
      <c r="A1669" t="s">
        <v>3336</v>
      </c>
      <c r="B1669">
        <v>34.770000000000003</v>
      </c>
      <c r="C1669">
        <v>4.47</v>
      </c>
      <c r="D1669" t="s">
        <v>4682</v>
      </c>
      <c r="E1669" t="s">
        <v>4682</v>
      </c>
      <c r="F1669" t="s">
        <v>4682</v>
      </c>
      <c r="G1669">
        <v>1</v>
      </c>
      <c r="H1669" t="s">
        <v>4682</v>
      </c>
      <c r="I1669" t="str" cm="1">
        <f t="array" ref="I1669">_xlfn.IFS(B1669&lt;18.5, "Underweight", B1669&lt;=24.9, "Normal Weight", B1669&lt;=29.9, "Overweight", TRUE, "Obesity")</f>
        <v>Obesity</v>
      </c>
      <c r="J1669" t="str" cm="1">
        <f t="array" ref="J1669">_xlfn.IFS(C1669&lt;5.7, "Normal", C1669&lt;=6.4, "Prediabetes", TRUE, "Diabetes")</f>
        <v>Normal</v>
      </c>
    </row>
    <row r="1670" spans="1:10">
      <c r="A1670" t="s">
        <v>3338</v>
      </c>
      <c r="B1670">
        <v>16.88</v>
      </c>
      <c r="C1670">
        <v>9.9600000000000009</v>
      </c>
      <c r="D1670" t="s">
        <v>4682</v>
      </c>
      <c r="E1670" t="s">
        <v>4682</v>
      </c>
      <c r="F1670" t="s">
        <v>4682</v>
      </c>
      <c r="G1670">
        <v>0</v>
      </c>
      <c r="H1670" t="s">
        <v>4682</v>
      </c>
      <c r="I1670" t="str" cm="1">
        <f t="array" ref="I1670">_xlfn.IFS(B1670&lt;18.5, "Underweight", B1670&lt;=24.9, "Normal Weight", B1670&lt;=29.9, "Overweight", TRUE, "Obesity")</f>
        <v>Underweight</v>
      </c>
      <c r="J1670" t="str" cm="1">
        <f t="array" ref="J1670">_xlfn.IFS(C1670&lt;5.7, "Normal", C1670&lt;=6.4, "Prediabetes", TRUE, "Diabetes")</f>
        <v>Diabetes</v>
      </c>
    </row>
    <row r="1671" spans="1:10">
      <c r="A1671" t="s">
        <v>3340</v>
      </c>
      <c r="B1671">
        <v>40.26</v>
      </c>
      <c r="C1671">
        <v>9.92</v>
      </c>
      <c r="D1671" t="s">
        <v>4683</v>
      </c>
      <c r="E1671" t="s">
        <v>4682</v>
      </c>
      <c r="F1671" t="s">
        <v>4682</v>
      </c>
      <c r="G1671">
        <v>0</v>
      </c>
      <c r="H1671" t="s">
        <v>4682</v>
      </c>
      <c r="I1671" t="str" cm="1">
        <f t="array" ref="I1671">_xlfn.IFS(B1671&lt;18.5, "Underweight", B1671&lt;=24.9, "Normal Weight", B1671&lt;=29.9, "Overweight", TRUE, "Obesity")</f>
        <v>Obesity</v>
      </c>
      <c r="J1671" t="str" cm="1">
        <f t="array" ref="J1671">_xlfn.IFS(C1671&lt;5.7, "Normal", C1671&lt;=6.4, "Prediabetes", TRUE, "Diabetes")</f>
        <v>Diabetes</v>
      </c>
    </row>
    <row r="1672" spans="1:10">
      <c r="A1672" t="s">
        <v>3342</v>
      </c>
      <c r="B1672">
        <v>25.6</v>
      </c>
      <c r="C1672">
        <v>6.03</v>
      </c>
      <c r="D1672" t="s">
        <v>4682</v>
      </c>
      <c r="E1672" t="s">
        <v>4682</v>
      </c>
      <c r="F1672" t="s">
        <v>4684</v>
      </c>
      <c r="G1672">
        <v>1</v>
      </c>
      <c r="H1672" t="s">
        <v>4682</v>
      </c>
      <c r="I1672" t="str" cm="1">
        <f t="array" ref="I1672">_xlfn.IFS(B1672&lt;18.5, "Underweight", B1672&lt;=24.9, "Normal Weight", B1672&lt;=29.9, "Overweight", TRUE, "Obesity")</f>
        <v>Overweight</v>
      </c>
      <c r="J1672" t="str" cm="1">
        <f t="array" ref="J1672">_xlfn.IFS(C1672&lt;5.7, "Normal", C1672&lt;=6.4, "Prediabetes", TRUE, "Diabetes")</f>
        <v>Prediabetes</v>
      </c>
    </row>
    <row r="1673" spans="1:10">
      <c r="A1673" t="s">
        <v>3344</v>
      </c>
      <c r="B1673">
        <v>33.549999999999997</v>
      </c>
      <c r="C1673">
        <v>10.9</v>
      </c>
      <c r="D1673" t="s">
        <v>4683</v>
      </c>
      <c r="E1673" t="s">
        <v>4682</v>
      </c>
      <c r="F1673" t="s">
        <v>4682</v>
      </c>
      <c r="G1673">
        <v>0</v>
      </c>
      <c r="H1673" t="s">
        <v>4682</v>
      </c>
      <c r="I1673" t="str" cm="1">
        <f t="array" ref="I1673">_xlfn.IFS(B1673&lt;18.5, "Underweight", B1673&lt;=24.9, "Normal Weight", B1673&lt;=29.9, "Overweight", TRUE, "Obesity")</f>
        <v>Obesity</v>
      </c>
      <c r="J1673" t="str" cm="1">
        <f t="array" ref="J1673">_xlfn.IFS(C1673&lt;5.7, "Normal", C1673&lt;=6.4, "Prediabetes", TRUE, "Diabetes")</f>
        <v>Diabetes</v>
      </c>
    </row>
    <row r="1674" spans="1:10">
      <c r="A1674" t="s">
        <v>3346</v>
      </c>
      <c r="B1674">
        <v>16.690000000000001</v>
      </c>
      <c r="C1674">
        <v>10.66</v>
      </c>
      <c r="D1674" t="s">
        <v>4682</v>
      </c>
      <c r="E1674" t="s">
        <v>4682</v>
      </c>
      <c r="F1674" t="s">
        <v>4682</v>
      </c>
      <c r="G1674">
        <v>0</v>
      </c>
      <c r="H1674" t="s">
        <v>4682</v>
      </c>
      <c r="I1674" t="str" cm="1">
        <f t="array" ref="I1674">_xlfn.IFS(B1674&lt;18.5, "Underweight", B1674&lt;=24.9, "Normal Weight", B1674&lt;=29.9, "Overweight", TRUE, "Obesity")</f>
        <v>Underweight</v>
      </c>
      <c r="J1674" t="str" cm="1">
        <f t="array" ref="J1674">_xlfn.IFS(C1674&lt;5.7, "Normal", C1674&lt;=6.4, "Prediabetes", TRUE, "Diabetes")</f>
        <v>Diabetes</v>
      </c>
    </row>
    <row r="1675" spans="1:10">
      <c r="A1675" t="s">
        <v>3348</v>
      </c>
      <c r="B1675">
        <v>19.95</v>
      </c>
      <c r="C1675">
        <v>4.05</v>
      </c>
      <c r="D1675" t="s">
        <v>4682</v>
      </c>
      <c r="E1675" t="s">
        <v>4682</v>
      </c>
      <c r="F1675" t="s">
        <v>4682</v>
      </c>
      <c r="G1675">
        <v>1</v>
      </c>
      <c r="H1675" t="s">
        <v>4682</v>
      </c>
      <c r="I1675" t="str" cm="1">
        <f t="array" ref="I1675">_xlfn.IFS(B1675&lt;18.5, "Underweight", B1675&lt;=24.9, "Normal Weight", B1675&lt;=29.9, "Overweight", TRUE, "Obesity")</f>
        <v>Normal Weight</v>
      </c>
      <c r="J1675" t="str" cm="1">
        <f t="array" ref="J1675">_xlfn.IFS(C1675&lt;5.7, "Normal", C1675&lt;=6.4, "Prediabetes", TRUE, "Diabetes")</f>
        <v>Normal</v>
      </c>
    </row>
    <row r="1676" spans="1:10">
      <c r="A1676" t="s">
        <v>3350</v>
      </c>
      <c r="B1676">
        <v>17.55</v>
      </c>
      <c r="C1676">
        <v>4.2300000000000004</v>
      </c>
      <c r="D1676" t="s">
        <v>4682</v>
      </c>
      <c r="E1676" t="s">
        <v>4682</v>
      </c>
      <c r="F1676" t="s">
        <v>4682</v>
      </c>
      <c r="G1676">
        <v>2</v>
      </c>
      <c r="H1676" t="s">
        <v>4682</v>
      </c>
      <c r="I1676" t="str" cm="1">
        <f t="array" ref="I1676">_xlfn.IFS(B1676&lt;18.5, "Underweight", B1676&lt;=24.9, "Normal Weight", B1676&lt;=29.9, "Overweight", TRUE, "Obesity")</f>
        <v>Underweight</v>
      </c>
      <c r="J1676" t="str" cm="1">
        <f t="array" ref="J1676">_xlfn.IFS(C1676&lt;5.7, "Normal", C1676&lt;=6.4, "Prediabetes", TRUE, "Diabetes")</f>
        <v>Normal</v>
      </c>
    </row>
    <row r="1677" spans="1:10">
      <c r="A1677" t="s">
        <v>3352</v>
      </c>
      <c r="B1677">
        <v>22.01</v>
      </c>
      <c r="C1677">
        <v>5.01</v>
      </c>
      <c r="D1677" t="s">
        <v>4682</v>
      </c>
      <c r="E1677" t="s">
        <v>4682</v>
      </c>
      <c r="F1677" t="s">
        <v>4682</v>
      </c>
      <c r="G1677">
        <v>1</v>
      </c>
      <c r="H1677" t="s">
        <v>4682</v>
      </c>
      <c r="I1677" t="str" cm="1">
        <f t="array" ref="I1677">_xlfn.IFS(B1677&lt;18.5, "Underweight", B1677&lt;=24.9, "Normal Weight", B1677&lt;=29.9, "Overweight", TRUE, "Obesity")</f>
        <v>Normal Weight</v>
      </c>
      <c r="J1677" t="str" cm="1">
        <f t="array" ref="J1677">_xlfn.IFS(C1677&lt;5.7, "Normal", C1677&lt;=6.4, "Prediabetes", TRUE, "Diabetes")</f>
        <v>Normal</v>
      </c>
    </row>
    <row r="1678" spans="1:10">
      <c r="A1678" t="s">
        <v>3354</v>
      </c>
      <c r="B1678">
        <v>41.8</v>
      </c>
      <c r="C1678">
        <v>5.82</v>
      </c>
      <c r="D1678" t="s">
        <v>4683</v>
      </c>
      <c r="E1678" t="s">
        <v>4682</v>
      </c>
      <c r="F1678" t="s">
        <v>4684</v>
      </c>
      <c r="G1678">
        <v>1</v>
      </c>
      <c r="H1678" t="s">
        <v>4682</v>
      </c>
      <c r="I1678" t="str" cm="1">
        <f t="array" ref="I1678">_xlfn.IFS(B1678&lt;18.5, "Underweight", B1678&lt;=24.9, "Normal Weight", B1678&lt;=29.9, "Overweight", TRUE, "Obesity")</f>
        <v>Obesity</v>
      </c>
      <c r="J1678" t="str" cm="1">
        <f t="array" ref="J1678">_xlfn.IFS(C1678&lt;5.7, "Normal", C1678&lt;=6.4, "Prediabetes", TRUE, "Diabetes")</f>
        <v>Prediabetes</v>
      </c>
    </row>
    <row r="1679" spans="1:10">
      <c r="A1679" t="s">
        <v>3356</v>
      </c>
      <c r="B1679">
        <v>19.170000000000002</v>
      </c>
      <c r="C1679">
        <v>7.94</v>
      </c>
      <c r="D1679" t="s">
        <v>4682</v>
      </c>
      <c r="E1679" t="s">
        <v>4682</v>
      </c>
      <c r="F1679" t="s">
        <v>4682</v>
      </c>
      <c r="G1679">
        <v>0</v>
      </c>
      <c r="H1679" t="s">
        <v>4682</v>
      </c>
      <c r="I1679" t="str" cm="1">
        <f t="array" ref="I1679">_xlfn.IFS(B1679&lt;18.5, "Underweight", B1679&lt;=24.9, "Normal Weight", B1679&lt;=29.9, "Overweight", TRUE, "Obesity")</f>
        <v>Normal Weight</v>
      </c>
      <c r="J1679" t="str" cm="1">
        <f t="array" ref="J1679">_xlfn.IFS(C1679&lt;5.7, "Normal", C1679&lt;=6.4, "Prediabetes", TRUE, "Diabetes")</f>
        <v>Diabetes</v>
      </c>
    </row>
    <row r="1680" spans="1:10">
      <c r="A1680" t="s">
        <v>3358</v>
      </c>
      <c r="B1680">
        <v>32.799999999999997</v>
      </c>
      <c r="C1680">
        <v>6.16</v>
      </c>
      <c r="D1680" t="s">
        <v>4683</v>
      </c>
      <c r="E1680" t="s">
        <v>4682</v>
      </c>
      <c r="F1680" t="s">
        <v>4684</v>
      </c>
      <c r="G1680">
        <v>1</v>
      </c>
      <c r="H1680" t="s">
        <v>4682</v>
      </c>
      <c r="I1680" t="str" cm="1">
        <f t="array" ref="I1680">_xlfn.IFS(B1680&lt;18.5, "Underweight", B1680&lt;=24.9, "Normal Weight", B1680&lt;=29.9, "Overweight", TRUE, "Obesity")</f>
        <v>Obesity</v>
      </c>
      <c r="J1680" t="str" cm="1">
        <f t="array" ref="J1680">_xlfn.IFS(C1680&lt;5.7, "Normal", C1680&lt;=6.4, "Prediabetes", TRUE, "Diabetes")</f>
        <v>Prediabetes</v>
      </c>
    </row>
    <row r="1681" spans="1:10">
      <c r="A1681" t="s">
        <v>3360</v>
      </c>
      <c r="B1681">
        <v>35.814999999999998</v>
      </c>
      <c r="C1681">
        <v>4.1500000000000004</v>
      </c>
      <c r="D1681" t="s">
        <v>4682</v>
      </c>
      <c r="E1681" t="s">
        <v>4682</v>
      </c>
      <c r="F1681" t="s">
        <v>4682</v>
      </c>
      <c r="G1681">
        <v>1</v>
      </c>
      <c r="H1681" t="s">
        <v>4682</v>
      </c>
      <c r="I1681" t="str" cm="1">
        <f t="array" ref="I1681">_xlfn.IFS(B1681&lt;18.5, "Underweight", B1681&lt;=24.9, "Normal Weight", B1681&lt;=29.9, "Overweight", TRUE, "Obesity")</f>
        <v>Obesity</v>
      </c>
      <c r="J1681" t="str" cm="1">
        <f t="array" ref="J1681">_xlfn.IFS(C1681&lt;5.7, "Normal", C1681&lt;=6.4, "Prediabetes", TRUE, "Diabetes")</f>
        <v>Normal</v>
      </c>
    </row>
    <row r="1682" spans="1:10">
      <c r="A1682" t="s">
        <v>3362</v>
      </c>
      <c r="B1682">
        <v>24.3</v>
      </c>
      <c r="C1682">
        <v>6.23</v>
      </c>
      <c r="D1682" t="s">
        <v>4682</v>
      </c>
      <c r="E1682" t="s">
        <v>4682</v>
      </c>
      <c r="F1682" t="s">
        <v>4682</v>
      </c>
      <c r="G1682">
        <v>0</v>
      </c>
      <c r="H1682" t="s">
        <v>4682</v>
      </c>
      <c r="I1682" t="str" cm="1">
        <f t="array" ref="I1682">_xlfn.IFS(B1682&lt;18.5, "Underweight", B1682&lt;=24.9, "Normal Weight", B1682&lt;=29.9, "Overweight", TRUE, "Obesity")</f>
        <v>Normal Weight</v>
      </c>
      <c r="J1682" t="str" cm="1">
        <f t="array" ref="J1682">_xlfn.IFS(C1682&lt;5.7, "Normal", C1682&lt;=6.4, "Prediabetes", TRUE, "Diabetes")</f>
        <v>Prediabetes</v>
      </c>
    </row>
    <row r="1683" spans="1:10">
      <c r="A1683" t="s">
        <v>3364</v>
      </c>
      <c r="B1683">
        <v>19.059999999999999</v>
      </c>
      <c r="C1683">
        <v>7.41</v>
      </c>
      <c r="D1683" t="s">
        <v>4682</v>
      </c>
      <c r="E1683" t="s">
        <v>4682</v>
      </c>
      <c r="F1683" t="s">
        <v>4682</v>
      </c>
      <c r="G1683">
        <v>0</v>
      </c>
      <c r="H1683" t="s">
        <v>4682</v>
      </c>
      <c r="I1683" t="str" cm="1">
        <f t="array" ref="I1683">_xlfn.IFS(B1683&lt;18.5, "Underweight", B1683&lt;=24.9, "Normal Weight", B1683&lt;=29.9, "Overweight", TRUE, "Obesity")</f>
        <v>Normal Weight</v>
      </c>
      <c r="J1683" t="str" cm="1">
        <f t="array" ref="J1683">_xlfn.IFS(C1683&lt;5.7, "Normal", C1683&lt;=6.4, "Prediabetes", TRUE, "Diabetes")</f>
        <v>Diabetes</v>
      </c>
    </row>
    <row r="1684" spans="1:10">
      <c r="A1684" t="s">
        <v>3366</v>
      </c>
      <c r="B1684">
        <v>33.25</v>
      </c>
      <c r="C1684">
        <v>5.62</v>
      </c>
      <c r="D1684" t="s">
        <v>4683</v>
      </c>
      <c r="E1684" t="s">
        <v>4682</v>
      </c>
      <c r="F1684" t="s">
        <v>4682</v>
      </c>
      <c r="G1684">
        <v>1</v>
      </c>
      <c r="H1684" t="s">
        <v>4682</v>
      </c>
      <c r="I1684" t="str" cm="1">
        <f t="array" ref="I1684">_xlfn.IFS(B1684&lt;18.5, "Underweight", B1684&lt;=24.9, "Normal Weight", B1684&lt;=29.9, "Overweight", TRUE, "Obesity")</f>
        <v>Obesity</v>
      </c>
      <c r="J1684" t="str" cm="1">
        <f t="array" ref="J1684">_xlfn.IFS(C1684&lt;5.7, "Normal", C1684&lt;=6.4, "Prediabetes", TRUE, "Diabetes")</f>
        <v>Normal</v>
      </c>
    </row>
    <row r="1685" spans="1:10">
      <c r="A1685" t="s">
        <v>3368</v>
      </c>
      <c r="B1685">
        <v>21.37</v>
      </c>
      <c r="C1685">
        <v>4.54</v>
      </c>
      <c r="D1685" t="s">
        <v>4683</v>
      </c>
      <c r="E1685" t="s">
        <v>4682</v>
      </c>
      <c r="F1685" t="s">
        <v>4684</v>
      </c>
      <c r="G1685">
        <v>1</v>
      </c>
      <c r="H1685" t="s">
        <v>4682</v>
      </c>
      <c r="I1685" t="str" cm="1">
        <f t="array" ref="I1685">_xlfn.IFS(B1685&lt;18.5, "Underweight", B1685&lt;=24.9, "Normal Weight", B1685&lt;=29.9, "Overweight", TRUE, "Obesity")</f>
        <v>Normal Weight</v>
      </c>
      <c r="J1685" t="str" cm="1">
        <f t="array" ref="J1685">_xlfn.IFS(C1685&lt;5.7, "Normal", C1685&lt;=6.4, "Prediabetes", TRUE, "Diabetes")</f>
        <v>Normal</v>
      </c>
    </row>
    <row r="1686" spans="1:10">
      <c r="A1686" t="s">
        <v>3370</v>
      </c>
      <c r="B1686">
        <v>34.43</v>
      </c>
      <c r="C1686">
        <v>8.6199999999999992</v>
      </c>
      <c r="D1686" t="s">
        <v>4683</v>
      </c>
      <c r="E1686" t="s">
        <v>4682</v>
      </c>
      <c r="F1686" t="s">
        <v>4682</v>
      </c>
      <c r="G1686">
        <v>1</v>
      </c>
      <c r="H1686" t="s">
        <v>4682</v>
      </c>
      <c r="I1686" t="str" cm="1">
        <f t="array" ref="I1686">_xlfn.IFS(B1686&lt;18.5, "Underweight", B1686&lt;=24.9, "Normal Weight", B1686&lt;=29.9, "Overweight", TRUE, "Obesity")</f>
        <v>Obesity</v>
      </c>
      <c r="J1686" t="str" cm="1">
        <f t="array" ref="J1686">_xlfn.IFS(C1686&lt;5.7, "Normal", C1686&lt;=6.4, "Prediabetes", TRUE, "Diabetes")</f>
        <v>Diabetes</v>
      </c>
    </row>
    <row r="1687" spans="1:10">
      <c r="A1687" t="s">
        <v>3372</v>
      </c>
      <c r="B1687">
        <v>20.86</v>
      </c>
      <c r="C1687">
        <v>4.3600000000000003</v>
      </c>
      <c r="D1687" t="s">
        <v>4683</v>
      </c>
      <c r="E1687" t="s">
        <v>4682</v>
      </c>
      <c r="F1687" t="s">
        <v>4682</v>
      </c>
      <c r="G1687">
        <v>0</v>
      </c>
      <c r="H1687" t="s">
        <v>4682</v>
      </c>
      <c r="I1687" t="str" cm="1">
        <f t="array" ref="I1687">_xlfn.IFS(B1687&lt;18.5, "Underweight", B1687&lt;=24.9, "Normal Weight", B1687&lt;=29.9, "Overweight", TRUE, "Obesity")</f>
        <v>Normal Weight</v>
      </c>
      <c r="J1687" t="str" cm="1">
        <f t="array" ref="J1687">_xlfn.IFS(C1687&lt;5.7, "Normal", C1687&lt;=6.4, "Prediabetes", TRUE, "Diabetes")</f>
        <v>Normal</v>
      </c>
    </row>
    <row r="1688" spans="1:10">
      <c r="A1688" t="s">
        <v>3374</v>
      </c>
      <c r="B1688">
        <v>18.34</v>
      </c>
      <c r="C1688">
        <v>10.01</v>
      </c>
      <c r="D1688" t="s">
        <v>4682</v>
      </c>
      <c r="E1688" t="s">
        <v>4682</v>
      </c>
      <c r="F1688" t="s">
        <v>4682</v>
      </c>
      <c r="G1688">
        <v>0</v>
      </c>
      <c r="H1688" t="s">
        <v>4682</v>
      </c>
      <c r="I1688" t="str" cm="1">
        <f t="array" ref="I1688">_xlfn.IFS(B1688&lt;18.5, "Underweight", B1688&lt;=24.9, "Normal Weight", B1688&lt;=29.9, "Overweight", TRUE, "Obesity")</f>
        <v>Underweight</v>
      </c>
      <c r="J1688" t="str" cm="1">
        <f t="array" ref="J1688">_xlfn.IFS(C1688&lt;5.7, "Normal", C1688&lt;=6.4, "Prediabetes", TRUE, "Diabetes")</f>
        <v>Diabetes</v>
      </c>
    </row>
    <row r="1689" spans="1:10">
      <c r="A1689" t="s">
        <v>3376</v>
      </c>
      <c r="B1689">
        <v>34.15</v>
      </c>
      <c r="C1689">
        <v>5.42</v>
      </c>
      <c r="D1689" t="s">
        <v>4682</v>
      </c>
      <c r="E1689" t="s">
        <v>4682</v>
      </c>
      <c r="F1689" t="s">
        <v>4682</v>
      </c>
      <c r="G1689">
        <v>0</v>
      </c>
      <c r="H1689" t="s">
        <v>4682</v>
      </c>
      <c r="I1689" t="str" cm="1">
        <f t="array" ref="I1689">_xlfn.IFS(B1689&lt;18.5, "Underweight", B1689&lt;=24.9, "Normal Weight", B1689&lt;=29.9, "Overweight", TRUE, "Obesity")</f>
        <v>Obesity</v>
      </c>
      <c r="J1689" t="str" cm="1">
        <f t="array" ref="J1689">_xlfn.IFS(C1689&lt;5.7, "Normal", C1689&lt;=6.4, "Prediabetes", TRUE, "Diabetes")</f>
        <v>Normal</v>
      </c>
    </row>
    <row r="1690" spans="1:10">
      <c r="A1690" t="s">
        <v>3378</v>
      </c>
      <c r="B1690">
        <v>18.350000000000001</v>
      </c>
      <c r="C1690">
        <v>5.12</v>
      </c>
      <c r="D1690" t="s">
        <v>4682</v>
      </c>
      <c r="E1690" t="s">
        <v>4682</v>
      </c>
      <c r="F1690" t="s">
        <v>4682</v>
      </c>
      <c r="G1690">
        <v>0</v>
      </c>
      <c r="H1690" t="s">
        <v>4682</v>
      </c>
      <c r="I1690" t="str" cm="1">
        <f t="array" ref="I1690">_xlfn.IFS(B1690&lt;18.5, "Underweight", B1690&lt;=24.9, "Normal Weight", B1690&lt;=29.9, "Overweight", TRUE, "Obesity")</f>
        <v>Underweight</v>
      </c>
      <c r="J1690" t="str" cm="1">
        <f t="array" ref="J1690">_xlfn.IFS(C1690&lt;5.7, "Normal", C1690&lt;=6.4, "Prediabetes", TRUE, "Diabetes")</f>
        <v>Normal</v>
      </c>
    </row>
    <row r="1691" spans="1:10">
      <c r="A1691" t="s">
        <v>3380</v>
      </c>
      <c r="B1691">
        <v>22.13</v>
      </c>
      <c r="C1691">
        <v>9.1999999999999993</v>
      </c>
      <c r="D1691" t="s">
        <v>4683</v>
      </c>
      <c r="E1691" t="s">
        <v>4682</v>
      </c>
      <c r="F1691" t="s">
        <v>4682</v>
      </c>
      <c r="G1691">
        <v>0</v>
      </c>
      <c r="H1691" t="s">
        <v>4682</v>
      </c>
      <c r="I1691" t="str" cm="1">
        <f t="array" ref="I1691">_xlfn.IFS(B1691&lt;18.5, "Underweight", B1691&lt;=24.9, "Normal Weight", B1691&lt;=29.9, "Overweight", TRUE, "Obesity")</f>
        <v>Normal Weight</v>
      </c>
      <c r="J1691" t="str" cm="1">
        <f t="array" ref="J1691">_xlfn.IFS(C1691&lt;5.7, "Normal", C1691&lt;=6.4, "Prediabetes", TRUE, "Diabetes")</f>
        <v>Diabetes</v>
      </c>
    </row>
    <row r="1692" spans="1:10">
      <c r="A1692" t="s">
        <v>3382</v>
      </c>
      <c r="B1692">
        <v>22.51</v>
      </c>
      <c r="C1692">
        <v>6.08</v>
      </c>
      <c r="D1692" t="s">
        <v>4683</v>
      </c>
      <c r="E1692" t="s">
        <v>4682</v>
      </c>
      <c r="F1692" t="s">
        <v>4682</v>
      </c>
      <c r="G1692">
        <v>1</v>
      </c>
      <c r="H1692" t="s">
        <v>4682</v>
      </c>
      <c r="I1692" t="str" cm="1">
        <f t="array" ref="I1692">_xlfn.IFS(B1692&lt;18.5, "Underweight", B1692&lt;=24.9, "Normal Weight", B1692&lt;=29.9, "Overweight", TRUE, "Obesity")</f>
        <v>Normal Weight</v>
      </c>
      <c r="J1692" t="str" cm="1">
        <f t="array" ref="J1692">_xlfn.IFS(C1692&lt;5.7, "Normal", C1692&lt;=6.4, "Prediabetes", TRUE, "Diabetes")</f>
        <v>Prediabetes</v>
      </c>
    </row>
    <row r="1693" spans="1:10">
      <c r="A1693" t="s">
        <v>3384</v>
      </c>
      <c r="B1693">
        <v>31</v>
      </c>
      <c r="C1693">
        <v>4.7699999999999996</v>
      </c>
      <c r="D1693" t="s">
        <v>4682</v>
      </c>
      <c r="E1693" t="s">
        <v>4682</v>
      </c>
      <c r="F1693" t="s">
        <v>4682</v>
      </c>
      <c r="G1693">
        <v>1</v>
      </c>
      <c r="H1693" t="s">
        <v>4682</v>
      </c>
      <c r="I1693" t="str" cm="1">
        <f t="array" ref="I1693">_xlfn.IFS(B1693&lt;18.5, "Underweight", B1693&lt;=24.9, "Normal Weight", B1693&lt;=29.9, "Overweight", TRUE, "Obesity")</f>
        <v>Obesity</v>
      </c>
      <c r="J1693" t="str" cm="1">
        <f t="array" ref="J1693">_xlfn.IFS(C1693&lt;5.7, "Normal", C1693&lt;=6.4, "Prediabetes", TRUE, "Diabetes")</f>
        <v>Normal</v>
      </c>
    </row>
    <row r="1694" spans="1:10">
      <c r="A1694" t="s">
        <v>3386</v>
      </c>
      <c r="B1694">
        <v>28.27</v>
      </c>
      <c r="C1694">
        <v>4.62</v>
      </c>
      <c r="D1694" t="s">
        <v>4682</v>
      </c>
      <c r="E1694" t="s">
        <v>4682</v>
      </c>
      <c r="F1694" t="s">
        <v>4682</v>
      </c>
      <c r="G1694">
        <v>1</v>
      </c>
      <c r="H1694" t="s">
        <v>4682</v>
      </c>
      <c r="I1694" t="str" cm="1">
        <f t="array" ref="I1694">_xlfn.IFS(B1694&lt;18.5, "Underweight", B1694&lt;=24.9, "Normal Weight", B1694&lt;=29.9, "Overweight", TRUE, "Obesity")</f>
        <v>Overweight</v>
      </c>
      <c r="J1694" t="str" cm="1">
        <f t="array" ref="J1694">_xlfn.IFS(C1694&lt;5.7, "Normal", C1694&lt;=6.4, "Prediabetes", TRUE, "Diabetes")</f>
        <v>Normal</v>
      </c>
    </row>
    <row r="1695" spans="1:10">
      <c r="A1695" t="s">
        <v>3388</v>
      </c>
      <c r="B1695">
        <v>29.92</v>
      </c>
      <c r="C1695">
        <v>9.07</v>
      </c>
      <c r="D1695" t="s">
        <v>4683</v>
      </c>
      <c r="E1695" t="s">
        <v>4682</v>
      </c>
      <c r="F1695" t="s">
        <v>4682</v>
      </c>
      <c r="G1695">
        <v>1</v>
      </c>
      <c r="H1695" t="s">
        <v>4682</v>
      </c>
      <c r="I1695" t="str" cm="1">
        <f t="array" ref="I1695">_xlfn.IFS(B1695&lt;18.5, "Underweight", B1695&lt;=24.9, "Normal Weight", B1695&lt;=29.9, "Overweight", TRUE, "Obesity")</f>
        <v>Obesity</v>
      </c>
      <c r="J1695" t="str" cm="1">
        <f t="array" ref="J1695">_xlfn.IFS(C1695&lt;5.7, "Normal", C1695&lt;=6.4, "Prediabetes", TRUE, "Diabetes")</f>
        <v>Diabetes</v>
      </c>
    </row>
    <row r="1696" spans="1:10">
      <c r="A1696" t="s">
        <v>3390</v>
      </c>
      <c r="B1696">
        <v>25.9</v>
      </c>
      <c r="C1696">
        <v>9.1199999999999992</v>
      </c>
      <c r="D1696" t="s">
        <v>4683</v>
      </c>
      <c r="E1696" t="s">
        <v>4682</v>
      </c>
      <c r="F1696" t="s">
        <v>4682</v>
      </c>
      <c r="G1696">
        <v>1</v>
      </c>
      <c r="H1696" t="s">
        <v>4682</v>
      </c>
      <c r="I1696" t="str" cm="1">
        <f t="array" ref="I1696">_xlfn.IFS(B1696&lt;18.5, "Underweight", B1696&lt;=24.9, "Normal Weight", B1696&lt;=29.9, "Overweight", TRUE, "Obesity")</f>
        <v>Overweight</v>
      </c>
      <c r="J1696" t="str" cm="1">
        <f t="array" ref="J1696">_xlfn.IFS(C1696&lt;5.7, "Normal", C1696&lt;=6.4, "Prediabetes", TRUE, "Diabetes")</f>
        <v>Diabetes</v>
      </c>
    </row>
    <row r="1697" spans="1:10">
      <c r="A1697" t="s">
        <v>3392</v>
      </c>
      <c r="B1697">
        <v>27.74</v>
      </c>
      <c r="C1697">
        <v>7.32</v>
      </c>
      <c r="D1697" t="s">
        <v>4683</v>
      </c>
      <c r="E1697" t="s">
        <v>4682</v>
      </c>
      <c r="F1697" t="s">
        <v>4682</v>
      </c>
      <c r="G1697">
        <v>1</v>
      </c>
      <c r="H1697" t="s">
        <v>4682</v>
      </c>
      <c r="I1697" t="str" cm="1">
        <f t="array" ref="I1697">_xlfn.IFS(B1697&lt;18.5, "Underweight", B1697&lt;=24.9, "Normal Weight", B1697&lt;=29.9, "Overweight", TRUE, "Obesity")</f>
        <v>Overweight</v>
      </c>
      <c r="J1697" t="str" cm="1">
        <f t="array" ref="J1697">_xlfn.IFS(C1697&lt;5.7, "Normal", C1697&lt;=6.4, "Prediabetes", TRUE, "Diabetes")</f>
        <v>Diabetes</v>
      </c>
    </row>
    <row r="1698" spans="1:10">
      <c r="A1698" t="s">
        <v>3394</v>
      </c>
      <c r="B1698">
        <v>17.260000000000002</v>
      </c>
      <c r="C1698">
        <v>11.73</v>
      </c>
      <c r="D1698" t="s">
        <v>4682</v>
      </c>
      <c r="E1698" t="s">
        <v>4682</v>
      </c>
      <c r="F1698" t="s">
        <v>4682</v>
      </c>
      <c r="G1698">
        <v>2</v>
      </c>
      <c r="H1698" t="s">
        <v>4682</v>
      </c>
      <c r="I1698" t="str" cm="1">
        <f t="array" ref="I1698">_xlfn.IFS(B1698&lt;18.5, "Underweight", B1698&lt;=24.9, "Normal Weight", B1698&lt;=29.9, "Overweight", TRUE, "Obesity")</f>
        <v>Underweight</v>
      </c>
      <c r="J1698" t="str" cm="1">
        <f t="array" ref="J1698">_xlfn.IFS(C1698&lt;5.7, "Normal", C1698&lt;=6.4, "Prediabetes", TRUE, "Diabetes")</f>
        <v>Diabetes</v>
      </c>
    </row>
    <row r="1699" spans="1:10">
      <c r="A1699" t="s">
        <v>3396</v>
      </c>
      <c r="B1699">
        <v>19.855</v>
      </c>
      <c r="C1699">
        <v>6.64</v>
      </c>
      <c r="D1699" t="s">
        <v>4683</v>
      </c>
      <c r="E1699" t="s">
        <v>4682</v>
      </c>
      <c r="F1699" t="s">
        <v>4682</v>
      </c>
      <c r="G1699">
        <v>1</v>
      </c>
      <c r="H1699" t="s">
        <v>4682</v>
      </c>
      <c r="I1699" t="str" cm="1">
        <f t="array" ref="I1699">_xlfn.IFS(B1699&lt;18.5, "Underweight", B1699&lt;=24.9, "Normal Weight", B1699&lt;=29.9, "Overweight", TRUE, "Obesity")</f>
        <v>Normal Weight</v>
      </c>
      <c r="J1699" t="str" cm="1">
        <f t="array" ref="J1699">_xlfn.IFS(C1699&lt;5.7, "Normal", C1699&lt;=6.4, "Prediabetes", TRUE, "Diabetes")</f>
        <v>Diabetes</v>
      </c>
    </row>
    <row r="1700" spans="1:10">
      <c r="A1700" t="s">
        <v>3398</v>
      </c>
      <c r="B1700">
        <v>41.69</v>
      </c>
      <c r="C1700">
        <v>5.78</v>
      </c>
      <c r="D1700" t="s">
        <v>4682</v>
      </c>
      <c r="E1700" t="s">
        <v>4682</v>
      </c>
      <c r="F1700" t="s">
        <v>4682</v>
      </c>
      <c r="G1700">
        <v>0</v>
      </c>
      <c r="H1700" t="s">
        <v>4682</v>
      </c>
      <c r="I1700" t="str" cm="1">
        <f t="array" ref="I1700">_xlfn.IFS(B1700&lt;18.5, "Underweight", B1700&lt;=24.9, "Normal Weight", B1700&lt;=29.9, "Overweight", TRUE, "Obesity")</f>
        <v>Obesity</v>
      </c>
      <c r="J1700" t="str" cm="1">
        <f t="array" ref="J1700">_xlfn.IFS(C1700&lt;5.7, "Normal", C1700&lt;=6.4, "Prediabetes", TRUE, "Diabetes")</f>
        <v>Prediabetes</v>
      </c>
    </row>
    <row r="1701" spans="1:10">
      <c r="A1701" t="s">
        <v>3400</v>
      </c>
      <c r="B1701">
        <v>16.12</v>
      </c>
      <c r="C1701">
        <v>10.45</v>
      </c>
      <c r="D1701" t="s">
        <v>4682</v>
      </c>
      <c r="E1701" t="s">
        <v>4682</v>
      </c>
      <c r="F1701" t="s">
        <v>4682</v>
      </c>
      <c r="G1701">
        <v>0</v>
      </c>
      <c r="H1701" t="s">
        <v>4682</v>
      </c>
      <c r="I1701" t="str" cm="1">
        <f t="array" ref="I1701">_xlfn.IFS(B1701&lt;18.5, "Underweight", B1701&lt;=24.9, "Normal Weight", B1701&lt;=29.9, "Overweight", TRUE, "Obesity")</f>
        <v>Underweight</v>
      </c>
      <c r="J1701" t="str" cm="1">
        <f t="array" ref="J1701">_xlfn.IFS(C1701&lt;5.7, "Normal", C1701&lt;=6.4, "Prediabetes", TRUE, "Diabetes")</f>
        <v>Diabetes</v>
      </c>
    </row>
    <row r="1702" spans="1:10">
      <c r="A1702" t="s">
        <v>3402</v>
      </c>
      <c r="B1702">
        <v>37.43</v>
      </c>
      <c r="C1702">
        <v>4.5199999999999996</v>
      </c>
      <c r="D1702" t="s">
        <v>4682</v>
      </c>
      <c r="E1702" t="s">
        <v>4682</v>
      </c>
      <c r="F1702" t="s">
        <v>4682</v>
      </c>
      <c r="G1702">
        <v>1</v>
      </c>
      <c r="H1702" t="s">
        <v>4682</v>
      </c>
      <c r="I1702" t="str" cm="1">
        <f t="array" ref="I1702">_xlfn.IFS(B1702&lt;18.5, "Underweight", B1702&lt;=24.9, "Normal Weight", B1702&lt;=29.9, "Overweight", TRUE, "Obesity")</f>
        <v>Obesity</v>
      </c>
      <c r="J1702" t="str" cm="1">
        <f t="array" ref="J1702">_xlfn.IFS(C1702&lt;5.7, "Normal", C1702&lt;=6.4, "Prediabetes", TRUE, "Diabetes")</f>
        <v>Normal</v>
      </c>
    </row>
    <row r="1703" spans="1:10">
      <c r="A1703" t="s">
        <v>3404</v>
      </c>
      <c r="B1703">
        <v>31.065000000000001</v>
      </c>
      <c r="C1703">
        <v>5.71</v>
      </c>
      <c r="D1703" t="s">
        <v>4682</v>
      </c>
      <c r="E1703" t="s">
        <v>4682</v>
      </c>
      <c r="F1703" t="s">
        <v>4682</v>
      </c>
      <c r="G1703">
        <v>0</v>
      </c>
      <c r="H1703" t="s">
        <v>4682</v>
      </c>
      <c r="I1703" t="str" cm="1">
        <f t="array" ref="I1703">_xlfn.IFS(B1703&lt;18.5, "Underweight", B1703&lt;=24.9, "Normal Weight", B1703&lt;=29.9, "Overweight", TRUE, "Obesity")</f>
        <v>Obesity</v>
      </c>
      <c r="J1703" t="str" cm="1">
        <f t="array" ref="J1703">_xlfn.IFS(C1703&lt;5.7, "Normal", C1703&lt;=6.4, "Prediabetes", TRUE, "Diabetes")</f>
        <v>Prediabetes</v>
      </c>
    </row>
    <row r="1704" spans="1:10">
      <c r="A1704" t="s">
        <v>3406</v>
      </c>
      <c r="B1704">
        <v>25.08</v>
      </c>
      <c r="C1704">
        <v>4.7699999999999996</v>
      </c>
      <c r="D1704" t="s">
        <v>4682</v>
      </c>
      <c r="E1704" t="s">
        <v>4682</v>
      </c>
      <c r="F1704" t="s">
        <v>4682</v>
      </c>
      <c r="G1704">
        <v>0</v>
      </c>
      <c r="H1704" t="s">
        <v>4682</v>
      </c>
      <c r="I1704" t="str" cm="1">
        <f t="array" ref="I1704">_xlfn.IFS(B1704&lt;18.5, "Underweight", B1704&lt;=24.9, "Normal Weight", B1704&lt;=29.9, "Overweight", TRUE, "Obesity")</f>
        <v>Overweight</v>
      </c>
      <c r="J1704" t="str" cm="1">
        <f t="array" ref="J1704">_xlfn.IFS(C1704&lt;5.7, "Normal", C1704&lt;=6.4, "Prediabetes", TRUE, "Diabetes")</f>
        <v>Normal</v>
      </c>
    </row>
    <row r="1705" spans="1:10">
      <c r="A1705" t="s">
        <v>3408</v>
      </c>
      <c r="B1705">
        <v>15.2</v>
      </c>
      <c r="C1705">
        <v>7.81</v>
      </c>
      <c r="D1705" t="s">
        <v>4683</v>
      </c>
      <c r="E1705" t="s">
        <v>4682</v>
      </c>
      <c r="F1705" t="s">
        <v>4682</v>
      </c>
      <c r="G1705">
        <v>1</v>
      </c>
      <c r="H1705" t="s">
        <v>4682</v>
      </c>
      <c r="I1705" t="str" cm="1">
        <f t="array" ref="I1705">_xlfn.IFS(B1705&lt;18.5, "Underweight", B1705&lt;=24.9, "Normal Weight", B1705&lt;=29.9, "Overweight", TRUE, "Obesity")</f>
        <v>Underweight</v>
      </c>
      <c r="J1705" t="str" cm="1">
        <f t="array" ref="J1705">_xlfn.IFS(C1705&lt;5.7, "Normal", C1705&lt;=6.4, "Prediabetes", TRUE, "Diabetes")</f>
        <v>Diabetes</v>
      </c>
    </row>
    <row r="1706" spans="1:10">
      <c r="A1706" t="s">
        <v>3410</v>
      </c>
      <c r="B1706">
        <v>22.34</v>
      </c>
      <c r="C1706">
        <v>5.19</v>
      </c>
      <c r="D1706" t="s">
        <v>4683</v>
      </c>
      <c r="E1706" t="s">
        <v>4682</v>
      </c>
      <c r="F1706" t="s">
        <v>4682</v>
      </c>
      <c r="G1706">
        <v>0</v>
      </c>
      <c r="H1706" t="s">
        <v>4682</v>
      </c>
      <c r="I1706" t="str" cm="1">
        <f t="array" ref="I1706">_xlfn.IFS(B1706&lt;18.5, "Underweight", B1706&lt;=24.9, "Normal Weight", B1706&lt;=29.9, "Overweight", TRUE, "Obesity")</f>
        <v>Normal Weight</v>
      </c>
      <c r="J1706" t="str" cm="1">
        <f t="array" ref="J1706">_xlfn.IFS(C1706&lt;5.7, "Normal", C1706&lt;=6.4, "Prediabetes", TRUE, "Diabetes")</f>
        <v>Normal</v>
      </c>
    </row>
    <row r="1707" spans="1:10">
      <c r="A1707" t="s">
        <v>3412</v>
      </c>
      <c r="B1707">
        <v>40.15</v>
      </c>
      <c r="C1707">
        <v>5.93</v>
      </c>
      <c r="D1707" t="s">
        <v>4682</v>
      </c>
      <c r="E1707" t="s">
        <v>4682</v>
      </c>
      <c r="F1707" t="s">
        <v>4682</v>
      </c>
      <c r="G1707">
        <v>1</v>
      </c>
      <c r="H1707" t="s">
        <v>4682</v>
      </c>
      <c r="I1707" t="str" cm="1">
        <f t="array" ref="I1707">_xlfn.IFS(B1707&lt;18.5, "Underweight", B1707&lt;=24.9, "Normal Weight", B1707&lt;=29.9, "Overweight", TRUE, "Obesity")</f>
        <v>Obesity</v>
      </c>
      <c r="J1707" t="str" cm="1">
        <f t="array" ref="J1707">_xlfn.IFS(C1707&lt;5.7, "Normal", C1707&lt;=6.4, "Prediabetes", TRUE, "Diabetes")</f>
        <v>Prediabetes</v>
      </c>
    </row>
    <row r="1708" spans="1:10">
      <c r="A1708" t="s">
        <v>3414</v>
      </c>
      <c r="B1708">
        <v>37.729999999999997</v>
      </c>
      <c r="C1708">
        <v>6.29</v>
      </c>
      <c r="D1708" t="s">
        <v>4682</v>
      </c>
      <c r="E1708" t="s">
        <v>4682</v>
      </c>
      <c r="F1708" t="s">
        <v>4682</v>
      </c>
      <c r="G1708">
        <v>1</v>
      </c>
      <c r="H1708" t="s">
        <v>4682</v>
      </c>
      <c r="I1708" t="str" cm="1">
        <f t="array" ref="I1708">_xlfn.IFS(B1708&lt;18.5, "Underweight", B1708&lt;=24.9, "Normal Weight", B1708&lt;=29.9, "Overweight", TRUE, "Obesity")</f>
        <v>Obesity</v>
      </c>
      <c r="J1708" t="str" cm="1">
        <f t="array" ref="J1708">_xlfn.IFS(C1708&lt;5.7, "Normal", C1708&lt;=6.4, "Prediabetes", TRUE, "Diabetes")</f>
        <v>Prediabetes</v>
      </c>
    </row>
    <row r="1709" spans="1:10">
      <c r="A1709" t="s">
        <v>3416</v>
      </c>
      <c r="B1709">
        <v>25.35</v>
      </c>
      <c r="C1709">
        <v>4.9000000000000004</v>
      </c>
      <c r="D1709" t="s">
        <v>4682</v>
      </c>
      <c r="E1709" t="s">
        <v>4682</v>
      </c>
      <c r="F1709" t="s">
        <v>4682</v>
      </c>
      <c r="G1709">
        <v>0</v>
      </c>
      <c r="H1709" t="s">
        <v>4682</v>
      </c>
      <c r="I1709" t="str" cm="1">
        <f t="array" ref="I1709">_xlfn.IFS(B1709&lt;18.5, "Underweight", B1709&lt;=24.9, "Normal Weight", B1709&lt;=29.9, "Overweight", TRUE, "Obesity")</f>
        <v>Overweight</v>
      </c>
      <c r="J1709" t="str" cm="1">
        <f t="array" ref="J1709">_xlfn.IFS(C1709&lt;5.7, "Normal", C1709&lt;=6.4, "Prediabetes", TRUE, "Diabetes")</f>
        <v>Normal</v>
      </c>
    </row>
    <row r="1710" spans="1:10">
      <c r="A1710" t="s">
        <v>3418</v>
      </c>
      <c r="B1710">
        <v>26.41</v>
      </c>
      <c r="C1710">
        <v>5.07</v>
      </c>
      <c r="D1710" t="s">
        <v>4683</v>
      </c>
      <c r="E1710" t="s">
        <v>4682</v>
      </c>
      <c r="F1710" t="s">
        <v>4682</v>
      </c>
      <c r="G1710">
        <v>1</v>
      </c>
      <c r="H1710" t="s">
        <v>4682</v>
      </c>
      <c r="I1710" t="str" cm="1">
        <f t="array" ref="I1710">_xlfn.IFS(B1710&lt;18.5, "Underweight", B1710&lt;=24.9, "Normal Weight", B1710&lt;=29.9, "Overweight", TRUE, "Obesity")</f>
        <v>Overweight</v>
      </c>
      <c r="J1710" t="str" cm="1">
        <f t="array" ref="J1710">_xlfn.IFS(C1710&lt;5.7, "Normal", C1710&lt;=6.4, "Prediabetes", TRUE, "Diabetes")</f>
        <v>Normal</v>
      </c>
    </row>
    <row r="1711" spans="1:10">
      <c r="A1711" t="s">
        <v>3420</v>
      </c>
      <c r="B1711">
        <v>27.6</v>
      </c>
      <c r="C1711">
        <v>5.33</v>
      </c>
      <c r="D1711" t="s">
        <v>4682</v>
      </c>
      <c r="E1711" t="s">
        <v>4682</v>
      </c>
      <c r="F1711" t="s">
        <v>4682</v>
      </c>
      <c r="G1711">
        <v>1</v>
      </c>
      <c r="H1711" t="s">
        <v>4682</v>
      </c>
      <c r="I1711" t="str" cm="1">
        <f t="array" ref="I1711">_xlfn.IFS(B1711&lt;18.5, "Underweight", B1711&lt;=24.9, "Normal Weight", B1711&lt;=29.9, "Overweight", TRUE, "Obesity")</f>
        <v>Overweight</v>
      </c>
      <c r="J1711" t="str" cm="1">
        <f t="array" ref="J1711">_xlfn.IFS(C1711&lt;5.7, "Normal", C1711&lt;=6.4, "Prediabetes", TRUE, "Diabetes")</f>
        <v>Normal</v>
      </c>
    </row>
    <row r="1712" spans="1:10">
      <c r="A1712" t="s">
        <v>3422</v>
      </c>
      <c r="B1712">
        <v>33.82</v>
      </c>
      <c r="C1712">
        <v>8.93</v>
      </c>
      <c r="D1712" t="s">
        <v>4683</v>
      </c>
      <c r="E1712" t="s">
        <v>4682</v>
      </c>
      <c r="F1712" t="s">
        <v>4682</v>
      </c>
      <c r="G1712">
        <v>1</v>
      </c>
      <c r="H1712" t="s">
        <v>4682</v>
      </c>
      <c r="I1712" t="str" cm="1">
        <f t="array" ref="I1712">_xlfn.IFS(B1712&lt;18.5, "Underweight", B1712&lt;=24.9, "Normal Weight", B1712&lt;=29.9, "Overweight", TRUE, "Obesity")</f>
        <v>Obesity</v>
      </c>
      <c r="J1712" t="str" cm="1">
        <f t="array" ref="J1712">_xlfn.IFS(C1712&lt;5.7, "Normal", C1712&lt;=6.4, "Prediabetes", TRUE, "Diabetes")</f>
        <v>Diabetes</v>
      </c>
    </row>
    <row r="1713" spans="1:10">
      <c r="A1713" t="s">
        <v>3424</v>
      </c>
      <c r="B1713">
        <v>32.9</v>
      </c>
      <c r="C1713">
        <v>4.3499999999999996</v>
      </c>
      <c r="D1713" t="s">
        <v>4682</v>
      </c>
      <c r="E1713" t="s">
        <v>4682</v>
      </c>
      <c r="F1713" t="s">
        <v>4682</v>
      </c>
      <c r="G1713">
        <v>0</v>
      </c>
      <c r="H1713" t="s">
        <v>4682</v>
      </c>
      <c r="I1713" t="str" cm="1">
        <f t="array" ref="I1713">_xlfn.IFS(B1713&lt;18.5, "Underweight", B1713&lt;=24.9, "Normal Weight", B1713&lt;=29.9, "Overweight", TRUE, "Obesity")</f>
        <v>Obesity</v>
      </c>
      <c r="J1713" t="str" cm="1">
        <f t="array" ref="J1713">_xlfn.IFS(C1713&lt;5.7, "Normal", C1713&lt;=6.4, "Prediabetes", TRUE, "Diabetes")</f>
        <v>Normal</v>
      </c>
    </row>
    <row r="1714" spans="1:10">
      <c r="A1714" t="s">
        <v>3426</v>
      </c>
      <c r="B1714">
        <v>30.875</v>
      </c>
      <c r="C1714">
        <v>9.5399999999999991</v>
      </c>
      <c r="D1714" t="s">
        <v>4683</v>
      </c>
      <c r="E1714" t="s">
        <v>4682</v>
      </c>
      <c r="F1714" t="s">
        <v>4682</v>
      </c>
      <c r="G1714">
        <v>1</v>
      </c>
      <c r="H1714" t="s">
        <v>4682</v>
      </c>
      <c r="I1714" t="str" cm="1">
        <f t="array" ref="I1714">_xlfn.IFS(B1714&lt;18.5, "Underweight", B1714&lt;=24.9, "Normal Weight", B1714&lt;=29.9, "Overweight", TRUE, "Obesity")</f>
        <v>Obesity</v>
      </c>
      <c r="J1714" t="str" cm="1">
        <f t="array" ref="J1714">_xlfn.IFS(C1714&lt;5.7, "Normal", C1714&lt;=6.4, "Prediabetes", TRUE, "Diabetes")</f>
        <v>Diabetes</v>
      </c>
    </row>
    <row r="1715" spans="1:10">
      <c r="A1715" t="s">
        <v>3428</v>
      </c>
      <c r="B1715">
        <v>32.64</v>
      </c>
      <c r="C1715">
        <v>5.91</v>
      </c>
      <c r="D1715" t="s">
        <v>4682</v>
      </c>
      <c r="E1715" t="s">
        <v>4682</v>
      </c>
      <c r="F1715" t="s">
        <v>4682</v>
      </c>
      <c r="G1715">
        <v>0</v>
      </c>
      <c r="H1715" t="s">
        <v>4682</v>
      </c>
      <c r="I1715" t="str" cm="1">
        <f t="array" ref="I1715">_xlfn.IFS(B1715&lt;18.5, "Underweight", B1715&lt;=24.9, "Normal Weight", B1715&lt;=29.9, "Overweight", TRUE, "Obesity")</f>
        <v>Obesity</v>
      </c>
      <c r="J1715" t="str" cm="1">
        <f t="array" ref="J1715">_xlfn.IFS(C1715&lt;5.7, "Normal", C1715&lt;=6.4, "Prediabetes", TRUE, "Diabetes")</f>
        <v>Prediabetes</v>
      </c>
    </row>
    <row r="1716" spans="1:10">
      <c r="A1716" t="s">
        <v>3430</v>
      </c>
      <c r="B1716">
        <v>22.135000000000002</v>
      </c>
      <c r="C1716">
        <v>5.0999999999999996</v>
      </c>
      <c r="D1716" t="s">
        <v>4682</v>
      </c>
      <c r="E1716" t="s">
        <v>4682</v>
      </c>
      <c r="F1716" t="s">
        <v>4682</v>
      </c>
      <c r="G1716">
        <v>0</v>
      </c>
      <c r="H1716" t="s">
        <v>4682</v>
      </c>
      <c r="I1716" t="str" cm="1">
        <f t="array" ref="I1716">_xlfn.IFS(B1716&lt;18.5, "Underweight", B1716&lt;=24.9, "Normal Weight", B1716&lt;=29.9, "Overweight", TRUE, "Obesity")</f>
        <v>Normal Weight</v>
      </c>
      <c r="J1716" t="str" cm="1">
        <f t="array" ref="J1716">_xlfn.IFS(C1716&lt;5.7, "Normal", C1716&lt;=6.4, "Prediabetes", TRUE, "Diabetes")</f>
        <v>Normal</v>
      </c>
    </row>
    <row r="1717" spans="1:10">
      <c r="A1717" t="s">
        <v>3432</v>
      </c>
      <c r="B1717">
        <v>16.53</v>
      </c>
      <c r="C1717">
        <v>5.08</v>
      </c>
      <c r="D1717" t="s">
        <v>4682</v>
      </c>
      <c r="E1717" t="s">
        <v>4682</v>
      </c>
      <c r="F1717" t="s">
        <v>4682</v>
      </c>
      <c r="G1717">
        <v>2</v>
      </c>
      <c r="H1717" t="s">
        <v>4682</v>
      </c>
      <c r="I1717" t="str" cm="1">
        <f t="array" ref="I1717">_xlfn.IFS(B1717&lt;18.5, "Underweight", B1717&lt;=24.9, "Normal Weight", B1717&lt;=29.9, "Overweight", TRUE, "Obesity")</f>
        <v>Underweight</v>
      </c>
      <c r="J1717" t="str" cm="1">
        <f t="array" ref="J1717">_xlfn.IFS(C1717&lt;5.7, "Normal", C1717&lt;=6.4, "Prediabetes", TRUE, "Diabetes")</f>
        <v>Normal</v>
      </c>
    </row>
    <row r="1718" spans="1:10">
      <c r="A1718" t="s">
        <v>3434</v>
      </c>
      <c r="B1718">
        <v>32.774999999999999</v>
      </c>
      <c r="C1718">
        <v>4.75</v>
      </c>
      <c r="D1718" t="s">
        <v>4682</v>
      </c>
      <c r="E1718" t="s">
        <v>4682</v>
      </c>
      <c r="F1718" t="s">
        <v>4682</v>
      </c>
      <c r="G1718">
        <v>0</v>
      </c>
      <c r="H1718" t="s">
        <v>4682</v>
      </c>
      <c r="I1718" t="str" cm="1">
        <f t="array" ref="I1718">_xlfn.IFS(B1718&lt;18.5, "Underweight", B1718&lt;=24.9, "Normal Weight", B1718&lt;=29.9, "Overweight", TRUE, "Obesity")</f>
        <v>Obesity</v>
      </c>
      <c r="J1718" t="str" cm="1">
        <f t="array" ref="J1718">_xlfn.IFS(C1718&lt;5.7, "Normal", C1718&lt;=6.4, "Prediabetes", TRUE, "Diabetes")</f>
        <v>Normal</v>
      </c>
    </row>
    <row r="1719" spans="1:10">
      <c r="A1719" t="s">
        <v>3436</v>
      </c>
      <c r="B1719">
        <v>30.9</v>
      </c>
      <c r="C1719">
        <v>6.05</v>
      </c>
      <c r="D1719" t="s">
        <v>4682</v>
      </c>
      <c r="E1719" t="s">
        <v>4682</v>
      </c>
      <c r="F1719" t="s">
        <v>4682</v>
      </c>
      <c r="G1719">
        <v>1</v>
      </c>
      <c r="H1719" t="s">
        <v>4682</v>
      </c>
      <c r="I1719" t="str" cm="1">
        <f t="array" ref="I1719">_xlfn.IFS(B1719&lt;18.5, "Underweight", B1719&lt;=24.9, "Normal Weight", B1719&lt;=29.9, "Overweight", TRUE, "Obesity")</f>
        <v>Obesity</v>
      </c>
      <c r="J1719" t="str" cm="1">
        <f t="array" ref="J1719">_xlfn.IFS(C1719&lt;5.7, "Normal", C1719&lt;=6.4, "Prediabetes", TRUE, "Diabetes")</f>
        <v>Prediabetes</v>
      </c>
    </row>
    <row r="1720" spans="1:10">
      <c r="A1720" t="s">
        <v>3438</v>
      </c>
      <c r="B1720">
        <v>15.58</v>
      </c>
      <c r="C1720">
        <v>11.56</v>
      </c>
      <c r="D1720" t="s">
        <v>4682</v>
      </c>
      <c r="E1720" t="s">
        <v>4682</v>
      </c>
      <c r="F1720" t="s">
        <v>4682</v>
      </c>
      <c r="G1720">
        <v>0</v>
      </c>
      <c r="H1720" t="s">
        <v>4682</v>
      </c>
      <c r="I1720" t="str" cm="1">
        <f t="array" ref="I1720">_xlfn.IFS(B1720&lt;18.5, "Underweight", B1720&lt;=24.9, "Normal Weight", B1720&lt;=29.9, "Overweight", TRUE, "Obesity")</f>
        <v>Underweight</v>
      </c>
      <c r="J1720" t="str" cm="1">
        <f t="array" ref="J1720">_xlfn.IFS(C1720&lt;5.7, "Normal", C1720&lt;=6.4, "Prediabetes", TRUE, "Diabetes")</f>
        <v>Diabetes</v>
      </c>
    </row>
    <row r="1721" spans="1:10">
      <c r="A1721" t="s">
        <v>3440</v>
      </c>
      <c r="B1721">
        <v>26.315000000000001</v>
      </c>
      <c r="C1721">
        <v>5.76</v>
      </c>
      <c r="D1721" t="s">
        <v>4682</v>
      </c>
      <c r="E1721" t="s">
        <v>4682</v>
      </c>
      <c r="F1721" t="s">
        <v>4682</v>
      </c>
      <c r="G1721">
        <v>0</v>
      </c>
      <c r="H1721" t="s">
        <v>4682</v>
      </c>
      <c r="I1721" t="str" cm="1">
        <f t="array" ref="I1721">_xlfn.IFS(B1721&lt;18.5, "Underweight", B1721&lt;=24.9, "Normal Weight", B1721&lt;=29.9, "Overweight", TRUE, "Obesity")</f>
        <v>Overweight</v>
      </c>
      <c r="J1721" t="str" cm="1">
        <f t="array" ref="J1721">_xlfn.IFS(C1721&lt;5.7, "Normal", C1721&lt;=6.4, "Prediabetes", TRUE, "Diabetes")</f>
        <v>Prediabetes</v>
      </c>
    </row>
    <row r="1722" spans="1:10">
      <c r="A1722" t="s">
        <v>3442</v>
      </c>
      <c r="B1722">
        <v>35.61</v>
      </c>
      <c r="C1722">
        <v>5.65</v>
      </c>
      <c r="D1722" t="s">
        <v>4682</v>
      </c>
      <c r="E1722" t="s">
        <v>4683</v>
      </c>
      <c r="F1722" t="s">
        <v>4682</v>
      </c>
      <c r="G1722">
        <v>1</v>
      </c>
      <c r="H1722" t="s">
        <v>4682</v>
      </c>
      <c r="I1722" t="str" cm="1">
        <f t="array" ref="I1722">_xlfn.IFS(B1722&lt;18.5, "Underweight", B1722&lt;=24.9, "Normal Weight", B1722&lt;=29.9, "Overweight", TRUE, "Obesity")</f>
        <v>Obesity</v>
      </c>
      <c r="J1722" t="str" cm="1">
        <f t="array" ref="J1722">_xlfn.IFS(C1722&lt;5.7, "Normal", C1722&lt;=6.4, "Prediabetes", TRUE, "Diabetes")</f>
        <v>Normal</v>
      </c>
    </row>
    <row r="1723" spans="1:10">
      <c r="A1723" t="s">
        <v>3444</v>
      </c>
      <c r="B1723">
        <v>37.56</v>
      </c>
      <c r="C1723">
        <v>5.88</v>
      </c>
      <c r="D1723" t="s">
        <v>4682</v>
      </c>
      <c r="E1723" t="s">
        <v>4683</v>
      </c>
      <c r="F1723" t="s">
        <v>4682</v>
      </c>
      <c r="G1723">
        <v>1</v>
      </c>
      <c r="H1723" t="s">
        <v>4682</v>
      </c>
      <c r="I1723" t="str" cm="1">
        <f t="array" ref="I1723">_xlfn.IFS(B1723&lt;18.5, "Underweight", B1723&lt;=24.9, "Normal Weight", B1723&lt;=29.9, "Overweight", TRUE, "Obesity")</f>
        <v>Obesity</v>
      </c>
      <c r="J1723" t="str" cm="1">
        <f t="array" ref="J1723">_xlfn.IFS(C1723&lt;5.7, "Normal", C1723&lt;=6.4, "Prediabetes", TRUE, "Diabetes")</f>
        <v>Prediabetes</v>
      </c>
    </row>
    <row r="1724" spans="1:10">
      <c r="A1724" t="s">
        <v>3446</v>
      </c>
      <c r="B1724">
        <v>15.49</v>
      </c>
      <c r="C1724">
        <v>9.6</v>
      </c>
      <c r="D1724" t="s">
        <v>4682</v>
      </c>
      <c r="E1724" t="s">
        <v>4682</v>
      </c>
      <c r="F1724" t="s">
        <v>4682</v>
      </c>
      <c r="G1724">
        <v>0</v>
      </c>
      <c r="H1724" t="s">
        <v>4682</v>
      </c>
      <c r="I1724" t="str" cm="1">
        <f t="array" ref="I1724">_xlfn.IFS(B1724&lt;18.5, "Underweight", B1724&lt;=24.9, "Normal Weight", B1724&lt;=29.9, "Overweight", TRUE, "Obesity")</f>
        <v>Underweight</v>
      </c>
      <c r="J1724" t="str" cm="1">
        <f t="array" ref="J1724">_xlfn.IFS(C1724&lt;5.7, "Normal", C1724&lt;=6.4, "Prediabetes", TRUE, "Diabetes")</f>
        <v>Diabetes</v>
      </c>
    </row>
    <row r="1725" spans="1:10">
      <c r="A1725" t="s">
        <v>3448</v>
      </c>
      <c r="B1725">
        <v>23.48</v>
      </c>
      <c r="C1725">
        <v>6.24</v>
      </c>
      <c r="D1725" t="s">
        <v>4682</v>
      </c>
      <c r="E1725" t="s">
        <v>4682</v>
      </c>
      <c r="F1725" t="s">
        <v>4682</v>
      </c>
      <c r="G1725">
        <v>1</v>
      </c>
      <c r="H1725" t="s">
        <v>4682</v>
      </c>
      <c r="I1725" t="str" cm="1">
        <f t="array" ref="I1725">_xlfn.IFS(B1725&lt;18.5, "Underweight", B1725&lt;=24.9, "Normal Weight", B1725&lt;=29.9, "Overweight", TRUE, "Obesity")</f>
        <v>Normal Weight</v>
      </c>
      <c r="J1725" t="str" cm="1">
        <f t="array" ref="J1725">_xlfn.IFS(C1725&lt;5.7, "Normal", C1725&lt;=6.4, "Prediabetes", TRUE, "Diabetes")</f>
        <v>Prediabetes</v>
      </c>
    </row>
    <row r="1726" spans="1:10">
      <c r="A1726" t="s">
        <v>3450</v>
      </c>
      <c r="B1726">
        <v>30.02</v>
      </c>
      <c r="C1726">
        <v>7.63</v>
      </c>
      <c r="D1726" t="s">
        <v>4683</v>
      </c>
      <c r="E1726" t="s">
        <v>4682</v>
      </c>
      <c r="F1726" t="s">
        <v>4682</v>
      </c>
      <c r="G1726">
        <v>1</v>
      </c>
      <c r="H1726" t="s">
        <v>4682</v>
      </c>
      <c r="I1726" t="str" cm="1">
        <f t="array" ref="I1726">_xlfn.IFS(B1726&lt;18.5, "Underweight", B1726&lt;=24.9, "Normal Weight", B1726&lt;=29.9, "Overweight", TRUE, "Obesity")</f>
        <v>Obesity</v>
      </c>
      <c r="J1726" t="str" cm="1">
        <f t="array" ref="J1726">_xlfn.IFS(C1726&lt;5.7, "Normal", C1726&lt;=6.4, "Prediabetes", TRUE, "Diabetes")</f>
        <v>Diabetes</v>
      </c>
    </row>
    <row r="1727" spans="1:10">
      <c r="A1727" t="s">
        <v>3452</v>
      </c>
      <c r="B1727">
        <v>26.885000000000002</v>
      </c>
      <c r="C1727">
        <v>8.66</v>
      </c>
      <c r="D1727" t="s">
        <v>4683</v>
      </c>
      <c r="E1727" t="s">
        <v>4682</v>
      </c>
      <c r="F1727" t="s">
        <v>4682</v>
      </c>
      <c r="G1727">
        <v>1</v>
      </c>
      <c r="H1727" t="s">
        <v>4682</v>
      </c>
      <c r="I1727" t="str" cm="1">
        <f t="array" ref="I1727">_xlfn.IFS(B1727&lt;18.5, "Underweight", B1727&lt;=24.9, "Normal Weight", B1727&lt;=29.9, "Overweight", TRUE, "Obesity")</f>
        <v>Overweight</v>
      </c>
      <c r="J1727" t="str" cm="1">
        <f t="array" ref="J1727">_xlfn.IFS(C1727&lt;5.7, "Normal", C1727&lt;=6.4, "Prediabetes", TRUE, "Diabetes")</f>
        <v>Diabetes</v>
      </c>
    </row>
    <row r="1728" spans="1:10">
      <c r="A1728" t="s">
        <v>3454</v>
      </c>
      <c r="B1728">
        <v>25.84</v>
      </c>
      <c r="C1728">
        <v>8.5500000000000007</v>
      </c>
      <c r="D1728" t="s">
        <v>4683</v>
      </c>
      <c r="E1728" t="s">
        <v>4682</v>
      </c>
      <c r="F1728" t="s">
        <v>4682</v>
      </c>
      <c r="G1728">
        <v>1</v>
      </c>
      <c r="H1728" t="s">
        <v>4682</v>
      </c>
      <c r="I1728" t="str" cm="1">
        <f t="array" ref="I1728">_xlfn.IFS(B1728&lt;18.5, "Underweight", B1728&lt;=24.9, "Normal Weight", B1728&lt;=29.9, "Overweight", TRUE, "Obesity")</f>
        <v>Overweight</v>
      </c>
      <c r="J1728" t="str" cm="1">
        <f t="array" ref="J1728">_xlfn.IFS(C1728&lt;5.7, "Normal", C1728&lt;=6.4, "Prediabetes", TRUE, "Diabetes")</f>
        <v>Diabetes</v>
      </c>
    </row>
    <row r="1729" spans="1:10">
      <c r="A1729" t="s">
        <v>3456</v>
      </c>
      <c r="B1729">
        <v>27.454999999999998</v>
      </c>
      <c r="C1729">
        <v>4.54</v>
      </c>
      <c r="D1729" t="s">
        <v>4682</v>
      </c>
      <c r="E1729" t="s">
        <v>4682</v>
      </c>
      <c r="F1729" t="s">
        <v>4682</v>
      </c>
      <c r="G1729">
        <v>0</v>
      </c>
      <c r="H1729" t="s">
        <v>4682</v>
      </c>
      <c r="I1729" t="str" cm="1">
        <f t="array" ref="I1729">_xlfn.IFS(B1729&lt;18.5, "Underweight", B1729&lt;=24.9, "Normal Weight", B1729&lt;=29.9, "Overweight", TRUE, "Obesity")</f>
        <v>Overweight</v>
      </c>
      <c r="J1729" t="str" cm="1">
        <f t="array" ref="J1729">_xlfn.IFS(C1729&lt;5.7, "Normal", C1729&lt;=6.4, "Prediabetes", TRUE, "Diabetes")</f>
        <v>Normal</v>
      </c>
    </row>
    <row r="1730" spans="1:10">
      <c r="A1730" t="s">
        <v>3458</v>
      </c>
      <c r="B1730">
        <v>24.605</v>
      </c>
      <c r="C1730">
        <v>5.7</v>
      </c>
      <c r="D1730" t="s">
        <v>4682</v>
      </c>
      <c r="E1730" t="s">
        <v>4682</v>
      </c>
      <c r="F1730" t="s">
        <v>4682</v>
      </c>
      <c r="G1730">
        <v>0</v>
      </c>
      <c r="H1730" t="s">
        <v>4682</v>
      </c>
      <c r="I1730" t="str" cm="1">
        <f t="array" ref="I1730">_xlfn.IFS(B1730&lt;18.5, "Underweight", B1730&lt;=24.9, "Normal Weight", B1730&lt;=29.9, "Overweight", TRUE, "Obesity")</f>
        <v>Normal Weight</v>
      </c>
      <c r="J1730" t="str" cm="1">
        <f t="array" ref="J1730">_xlfn.IFS(C1730&lt;5.7, "Normal", C1730&lt;=6.4, "Prediabetes", TRUE, "Diabetes")</f>
        <v>Prediabetes</v>
      </c>
    </row>
    <row r="1731" spans="1:10">
      <c r="A1731" t="s">
        <v>3460</v>
      </c>
      <c r="B1731">
        <v>30.8</v>
      </c>
      <c r="C1731">
        <v>5.07</v>
      </c>
      <c r="D1731" t="s">
        <v>4682</v>
      </c>
      <c r="E1731" t="s">
        <v>4682</v>
      </c>
      <c r="F1731" t="s">
        <v>4682</v>
      </c>
      <c r="G1731">
        <v>0</v>
      </c>
      <c r="H1731" t="s">
        <v>4682</v>
      </c>
      <c r="I1731" t="str" cm="1">
        <f t="array" ref="I1731">_xlfn.IFS(B1731&lt;18.5, "Underweight", B1731&lt;=24.9, "Normal Weight", B1731&lt;=29.9, "Overweight", TRUE, "Obesity")</f>
        <v>Obesity</v>
      </c>
      <c r="J1731" t="str" cm="1">
        <f t="array" ref="J1731">_xlfn.IFS(C1731&lt;5.7, "Normal", C1731&lt;=6.4, "Prediabetes", TRUE, "Diabetes")</f>
        <v>Normal</v>
      </c>
    </row>
    <row r="1732" spans="1:10">
      <c r="A1732" t="s">
        <v>3462</v>
      </c>
      <c r="B1732">
        <v>34.799999999999997</v>
      </c>
      <c r="C1732">
        <v>4.38</v>
      </c>
      <c r="D1732" t="s">
        <v>4682</v>
      </c>
      <c r="E1732" t="s">
        <v>4682</v>
      </c>
      <c r="F1732" t="s">
        <v>4682</v>
      </c>
      <c r="G1732">
        <v>1</v>
      </c>
      <c r="H1732" t="s">
        <v>4682</v>
      </c>
      <c r="I1732" t="str" cm="1">
        <f t="array" ref="I1732">_xlfn.IFS(B1732&lt;18.5, "Underweight", B1732&lt;=24.9, "Normal Weight", B1732&lt;=29.9, "Overweight", TRUE, "Obesity")</f>
        <v>Obesity</v>
      </c>
      <c r="J1732" t="str" cm="1">
        <f t="array" ref="J1732">_xlfn.IFS(C1732&lt;5.7, "Normal", C1732&lt;=6.4, "Prediabetes", TRUE, "Diabetes")</f>
        <v>Normal</v>
      </c>
    </row>
    <row r="1733" spans="1:10">
      <c r="A1733" t="s">
        <v>3464</v>
      </c>
      <c r="B1733">
        <v>34.21</v>
      </c>
      <c r="C1733">
        <v>4.54</v>
      </c>
      <c r="D1733" t="s">
        <v>4682</v>
      </c>
      <c r="E1733" t="s">
        <v>4682</v>
      </c>
      <c r="F1733" t="s">
        <v>4682</v>
      </c>
      <c r="G1733">
        <v>1</v>
      </c>
      <c r="H1733" t="s">
        <v>4682</v>
      </c>
      <c r="I1733" t="str" cm="1">
        <f t="array" ref="I1733">_xlfn.IFS(B1733&lt;18.5, "Underweight", B1733&lt;=24.9, "Normal Weight", B1733&lt;=29.9, "Overweight", TRUE, "Obesity")</f>
        <v>Obesity</v>
      </c>
      <c r="J1733" t="str" cm="1">
        <f t="array" ref="J1733">_xlfn.IFS(C1733&lt;5.7, "Normal", C1733&lt;=6.4, "Prediabetes", TRUE, "Diabetes")</f>
        <v>Normal</v>
      </c>
    </row>
    <row r="1734" spans="1:10">
      <c r="A1734" t="s">
        <v>3466</v>
      </c>
      <c r="B1734">
        <v>31</v>
      </c>
      <c r="C1734">
        <v>5.38</v>
      </c>
      <c r="D1734" t="s">
        <v>4682</v>
      </c>
      <c r="E1734" t="s">
        <v>4682</v>
      </c>
      <c r="F1734" t="s">
        <v>4682</v>
      </c>
      <c r="G1734">
        <v>1</v>
      </c>
      <c r="H1734" t="s">
        <v>4682</v>
      </c>
      <c r="I1734" t="str" cm="1">
        <f t="array" ref="I1734">_xlfn.IFS(B1734&lt;18.5, "Underweight", B1734&lt;=24.9, "Normal Weight", B1734&lt;=29.9, "Overweight", TRUE, "Obesity")</f>
        <v>Obesity</v>
      </c>
      <c r="J1734" t="str" cm="1">
        <f t="array" ref="J1734">_xlfn.IFS(C1734&lt;5.7, "Normal", C1734&lt;=6.4, "Prediabetes", TRUE, "Diabetes")</f>
        <v>Normal</v>
      </c>
    </row>
    <row r="1735" spans="1:10">
      <c r="A1735" t="s">
        <v>3468</v>
      </c>
      <c r="B1735">
        <v>26.125</v>
      </c>
      <c r="C1735">
        <v>5.55</v>
      </c>
      <c r="D1735" t="s">
        <v>4682</v>
      </c>
      <c r="E1735" t="s">
        <v>4682</v>
      </c>
      <c r="F1735" t="s">
        <v>4682</v>
      </c>
      <c r="G1735">
        <v>1</v>
      </c>
      <c r="H1735" t="s">
        <v>4682</v>
      </c>
      <c r="I1735" t="str" cm="1">
        <f t="array" ref="I1735">_xlfn.IFS(B1735&lt;18.5, "Underweight", B1735&lt;=24.9, "Normal Weight", B1735&lt;=29.9, "Overweight", TRUE, "Obesity")</f>
        <v>Overweight</v>
      </c>
      <c r="J1735" t="str" cm="1">
        <f t="array" ref="J1735">_xlfn.IFS(C1735&lt;5.7, "Normal", C1735&lt;=6.4, "Prediabetes", TRUE, "Diabetes")</f>
        <v>Normal</v>
      </c>
    </row>
    <row r="1736" spans="1:10">
      <c r="A1736" t="s">
        <v>3470</v>
      </c>
      <c r="B1736">
        <v>30.13</v>
      </c>
      <c r="C1736">
        <v>4.03</v>
      </c>
      <c r="D1736" t="s">
        <v>4683</v>
      </c>
      <c r="E1736" t="s">
        <v>4682</v>
      </c>
      <c r="F1736" t="s">
        <v>4682</v>
      </c>
      <c r="G1736">
        <v>1</v>
      </c>
      <c r="H1736" t="s">
        <v>4682</v>
      </c>
      <c r="I1736" t="str" cm="1">
        <f t="array" ref="I1736">_xlfn.IFS(B1736&lt;18.5, "Underweight", B1736&lt;=24.9, "Normal Weight", B1736&lt;=29.9, "Overweight", TRUE, "Obesity")</f>
        <v>Obesity</v>
      </c>
      <c r="J1736" t="str" cm="1">
        <f t="array" ref="J1736">_xlfn.IFS(C1736&lt;5.7, "Normal", C1736&lt;=6.4, "Prediabetes", TRUE, "Diabetes")</f>
        <v>Normal</v>
      </c>
    </row>
    <row r="1737" spans="1:10">
      <c r="A1737" t="s">
        <v>3472</v>
      </c>
      <c r="B1737">
        <v>34.19</v>
      </c>
      <c r="C1737">
        <v>4.1900000000000004</v>
      </c>
      <c r="D1737" t="s">
        <v>4682</v>
      </c>
      <c r="E1737" t="s">
        <v>4682</v>
      </c>
      <c r="F1737" t="s">
        <v>4682</v>
      </c>
      <c r="G1737">
        <v>0</v>
      </c>
      <c r="H1737" t="s">
        <v>4682</v>
      </c>
      <c r="I1737" t="str" cm="1">
        <f t="array" ref="I1737">_xlfn.IFS(B1737&lt;18.5, "Underweight", B1737&lt;=24.9, "Normal Weight", B1737&lt;=29.9, "Overweight", TRUE, "Obesity")</f>
        <v>Obesity</v>
      </c>
      <c r="J1737" t="str" cm="1">
        <f t="array" ref="J1737">_xlfn.IFS(C1737&lt;5.7, "Normal", C1737&lt;=6.4, "Prediabetes", TRUE, "Diabetes")</f>
        <v>Normal</v>
      </c>
    </row>
    <row r="1738" spans="1:10">
      <c r="A1738" t="s">
        <v>3474</v>
      </c>
      <c r="B1738">
        <v>22.515000000000001</v>
      </c>
      <c r="C1738">
        <v>4.37</v>
      </c>
      <c r="D1738" t="s">
        <v>4682</v>
      </c>
      <c r="E1738" t="s">
        <v>4682</v>
      </c>
      <c r="F1738" t="s">
        <v>4684</v>
      </c>
      <c r="G1738">
        <v>1</v>
      </c>
      <c r="H1738" t="s">
        <v>4682</v>
      </c>
      <c r="I1738" t="str" cm="1">
        <f t="array" ref="I1738">_xlfn.IFS(B1738&lt;18.5, "Underweight", B1738&lt;=24.9, "Normal Weight", B1738&lt;=29.9, "Overweight", TRUE, "Obesity")</f>
        <v>Normal Weight</v>
      </c>
      <c r="J1738" t="str" cm="1">
        <f t="array" ref="J1738">_xlfn.IFS(C1738&lt;5.7, "Normal", C1738&lt;=6.4, "Prediabetes", TRUE, "Diabetes")</f>
        <v>Normal</v>
      </c>
    </row>
    <row r="1739" spans="1:10">
      <c r="A1739" t="s">
        <v>3476</v>
      </c>
      <c r="B1739">
        <v>18.239999999999998</v>
      </c>
      <c r="C1739">
        <v>5.31</v>
      </c>
      <c r="D1739" t="s">
        <v>4683</v>
      </c>
      <c r="E1739" t="s">
        <v>4682</v>
      </c>
      <c r="F1739" t="s">
        <v>4684</v>
      </c>
      <c r="G1739">
        <v>1</v>
      </c>
      <c r="H1739" t="s">
        <v>4682</v>
      </c>
      <c r="I1739" t="str" cm="1">
        <f t="array" ref="I1739">_xlfn.IFS(B1739&lt;18.5, "Underweight", B1739&lt;=24.9, "Normal Weight", B1739&lt;=29.9, "Overweight", TRUE, "Obesity")</f>
        <v>Underweight</v>
      </c>
      <c r="J1739" t="str" cm="1">
        <f t="array" ref="J1739">_xlfn.IFS(C1739&lt;5.7, "Normal", C1739&lt;=6.4, "Prediabetes", TRUE, "Diabetes")</f>
        <v>Normal</v>
      </c>
    </row>
    <row r="1740" spans="1:10">
      <c r="A1740" t="s">
        <v>3478</v>
      </c>
      <c r="B1740">
        <v>37.28</v>
      </c>
      <c r="C1740">
        <v>4.66</v>
      </c>
      <c r="D1740" t="s">
        <v>4682</v>
      </c>
      <c r="E1740" t="s">
        <v>4683</v>
      </c>
      <c r="F1740" t="s">
        <v>4682</v>
      </c>
      <c r="G1740">
        <v>1</v>
      </c>
      <c r="H1740" t="s">
        <v>4682</v>
      </c>
      <c r="I1740" t="str" cm="1">
        <f t="array" ref="I1740">_xlfn.IFS(B1740&lt;18.5, "Underweight", B1740&lt;=24.9, "Normal Weight", B1740&lt;=29.9, "Overweight", TRUE, "Obesity")</f>
        <v>Obesity</v>
      </c>
      <c r="J1740" t="str" cm="1">
        <f t="array" ref="J1740">_xlfn.IFS(C1740&lt;5.7, "Normal", C1740&lt;=6.4, "Prediabetes", TRUE, "Diabetes")</f>
        <v>Normal</v>
      </c>
    </row>
    <row r="1741" spans="1:10">
      <c r="A1741" t="s">
        <v>3480</v>
      </c>
      <c r="B1741">
        <v>18.2</v>
      </c>
      <c r="C1741">
        <v>6.19</v>
      </c>
      <c r="D1741" t="s">
        <v>4682</v>
      </c>
      <c r="E1741" t="s">
        <v>4682</v>
      </c>
      <c r="F1741" t="s">
        <v>4684</v>
      </c>
      <c r="G1741">
        <v>1</v>
      </c>
      <c r="H1741" t="s">
        <v>4682</v>
      </c>
      <c r="I1741" t="str" cm="1">
        <f t="array" ref="I1741">_xlfn.IFS(B1741&lt;18.5, "Underweight", B1741&lt;=24.9, "Normal Weight", B1741&lt;=29.9, "Overweight", TRUE, "Obesity")</f>
        <v>Underweight</v>
      </c>
      <c r="J1741" t="str" cm="1">
        <f t="array" ref="J1741">_xlfn.IFS(C1741&lt;5.7, "Normal", C1741&lt;=6.4, "Prediabetes", TRUE, "Diabetes")</f>
        <v>Prediabetes</v>
      </c>
    </row>
    <row r="1742" spans="1:10">
      <c r="A1742" t="s">
        <v>3482</v>
      </c>
      <c r="B1742">
        <v>20.53</v>
      </c>
      <c r="C1742">
        <v>4.8600000000000003</v>
      </c>
      <c r="D1742" t="s">
        <v>4682</v>
      </c>
      <c r="E1742" t="s">
        <v>4682</v>
      </c>
      <c r="F1742" t="s">
        <v>4682</v>
      </c>
      <c r="G1742">
        <v>1</v>
      </c>
      <c r="H1742" t="s">
        <v>4682</v>
      </c>
      <c r="I1742" t="str" cm="1">
        <f t="array" ref="I1742">_xlfn.IFS(B1742&lt;18.5, "Underweight", B1742&lt;=24.9, "Normal Weight", B1742&lt;=29.9, "Overweight", TRUE, "Obesity")</f>
        <v>Normal Weight</v>
      </c>
      <c r="J1742" t="str" cm="1">
        <f t="array" ref="J1742">_xlfn.IFS(C1742&lt;5.7, "Normal", C1742&lt;=6.4, "Prediabetes", TRUE, "Diabetes")</f>
        <v>Normal</v>
      </c>
    </row>
    <row r="1743" spans="1:10">
      <c r="A1743" t="s">
        <v>3484</v>
      </c>
      <c r="B1743">
        <v>23.79</v>
      </c>
      <c r="C1743">
        <v>4.74</v>
      </c>
      <c r="D1743" t="s">
        <v>4682</v>
      </c>
      <c r="E1743" t="s">
        <v>4682</v>
      </c>
      <c r="F1743" t="s">
        <v>4682</v>
      </c>
      <c r="G1743">
        <v>0</v>
      </c>
      <c r="H1743" t="s">
        <v>4682</v>
      </c>
      <c r="I1743" t="str" cm="1">
        <f t="array" ref="I1743">_xlfn.IFS(B1743&lt;18.5, "Underweight", B1743&lt;=24.9, "Normal Weight", B1743&lt;=29.9, "Overweight", TRUE, "Obesity")</f>
        <v>Normal Weight</v>
      </c>
      <c r="J1743" t="str" cm="1">
        <f t="array" ref="J1743">_xlfn.IFS(C1743&lt;5.7, "Normal", C1743&lt;=6.4, "Prediabetes", TRUE, "Diabetes")</f>
        <v>Normal</v>
      </c>
    </row>
    <row r="1744" spans="1:10">
      <c r="A1744" t="s">
        <v>3486</v>
      </c>
      <c r="B1744">
        <v>29.8</v>
      </c>
      <c r="C1744">
        <v>6.03</v>
      </c>
      <c r="D1744" t="s">
        <v>4682</v>
      </c>
      <c r="E1744" t="s">
        <v>4682</v>
      </c>
      <c r="F1744" t="s">
        <v>4682</v>
      </c>
      <c r="G1744">
        <v>0</v>
      </c>
      <c r="H1744" t="s">
        <v>4682</v>
      </c>
      <c r="I1744" t="str" cm="1">
        <f t="array" ref="I1744">_xlfn.IFS(B1744&lt;18.5, "Underweight", B1744&lt;=24.9, "Normal Weight", B1744&lt;=29.9, "Overweight", TRUE, "Obesity")</f>
        <v>Overweight</v>
      </c>
      <c r="J1744" t="str" cm="1">
        <f t="array" ref="J1744">_xlfn.IFS(C1744&lt;5.7, "Normal", C1744&lt;=6.4, "Prediabetes", TRUE, "Diabetes")</f>
        <v>Prediabetes</v>
      </c>
    </row>
    <row r="1745" spans="1:10">
      <c r="A1745" t="s">
        <v>3488</v>
      </c>
      <c r="B1745">
        <v>31.54</v>
      </c>
      <c r="C1745">
        <v>4.71</v>
      </c>
      <c r="D1745" t="s">
        <v>4682</v>
      </c>
      <c r="E1745" t="s">
        <v>4682</v>
      </c>
      <c r="F1745" t="s">
        <v>4682</v>
      </c>
      <c r="G1745">
        <v>0</v>
      </c>
      <c r="H1745" t="s">
        <v>4682</v>
      </c>
      <c r="I1745" t="str" cm="1">
        <f t="array" ref="I1745">_xlfn.IFS(B1745&lt;18.5, "Underweight", B1745&lt;=24.9, "Normal Weight", B1745&lt;=29.9, "Overweight", TRUE, "Obesity")</f>
        <v>Obesity</v>
      </c>
      <c r="J1745" t="str" cm="1">
        <f t="array" ref="J1745">_xlfn.IFS(C1745&lt;5.7, "Normal", C1745&lt;=6.4, "Prediabetes", TRUE, "Diabetes")</f>
        <v>Normal</v>
      </c>
    </row>
    <row r="1746" spans="1:10">
      <c r="A1746" t="s">
        <v>3490</v>
      </c>
      <c r="B1746">
        <v>20.82</v>
      </c>
      <c r="C1746">
        <v>5.55</v>
      </c>
      <c r="D1746" t="s">
        <v>4682</v>
      </c>
      <c r="E1746" t="s">
        <v>4682</v>
      </c>
      <c r="F1746" t="s">
        <v>4682</v>
      </c>
      <c r="G1746">
        <v>1</v>
      </c>
      <c r="H1746" t="s">
        <v>4682</v>
      </c>
      <c r="I1746" t="str" cm="1">
        <f t="array" ref="I1746">_xlfn.IFS(B1746&lt;18.5, "Underweight", B1746&lt;=24.9, "Normal Weight", B1746&lt;=29.9, "Overweight", TRUE, "Obesity")</f>
        <v>Normal Weight</v>
      </c>
      <c r="J1746" t="str" cm="1">
        <f t="array" ref="J1746">_xlfn.IFS(C1746&lt;5.7, "Normal", C1746&lt;=6.4, "Prediabetes", TRUE, "Diabetes")</f>
        <v>Normal</v>
      </c>
    </row>
    <row r="1747" spans="1:10">
      <c r="A1747" t="s">
        <v>3492</v>
      </c>
      <c r="B1747">
        <v>38.83</v>
      </c>
      <c r="C1747">
        <v>4.78</v>
      </c>
      <c r="D1747" t="s">
        <v>4682</v>
      </c>
      <c r="E1747" t="s">
        <v>4682</v>
      </c>
      <c r="F1747" t="s">
        <v>4684</v>
      </c>
      <c r="G1747">
        <v>1</v>
      </c>
      <c r="H1747" t="s">
        <v>4682</v>
      </c>
      <c r="I1747" t="str" cm="1">
        <f t="array" ref="I1747">_xlfn.IFS(B1747&lt;18.5, "Underweight", B1747&lt;=24.9, "Normal Weight", B1747&lt;=29.9, "Overweight", TRUE, "Obesity")</f>
        <v>Obesity</v>
      </c>
      <c r="J1747" t="str" cm="1">
        <f t="array" ref="J1747">_xlfn.IFS(C1747&lt;5.7, "Normal", C1747&lt;=6.4, "Prediabetes", TRUE, "Diabetes")</f>
        <v>Normal</v>
      </c>
    </row>
    <row r="1748" spans="1:10">
      <c r="A1748" t="s">
        <v>3494</v>
      </c>
      <c r="B1748">
        <v>23.44</v>
      </c>
      <c r="C1748">
        <v>4.6500000000000004</v>
      </c>
      <c r="D1748" t="s">
        <v>4683</v>
      </c>
      <c r="E1748" t="s">
        <v>4682</v>
      </c>
      <c r="F1748" t="s">
        <v>4682</v>
      </c>
      <c r="G1748">
        <v>1</v>
      </c>
      <c r="H1748" t="s">
        <v>4682</v>
      </c>
      <c r="I1748" t="str" cm="1">
        <f t="array" ref="I1748">_xlfn.IFS(B1748&lt;18.5, "Underweight", B1748&lt;=24.9, "Normal Weight", B1748&lt;=29.9, "Overweight", TRUE, "Obesity")</f>
        <v>Normal Weight</v>
      </c>
      <c r="J1748" t="str" cm="1">
        <f t="array" ref="J1748">_xlfn.IFS(C1748&lt;5.7, "Normal", C1748&lt;=6.4, "Prediabetes", TRUE, "Diabetes")</f>
        <v>Normal</v>
      </c>
    </row>
    <row r="1749" spans="1:10">
      <c r="A1749" t="s">
        <v>3496</v>
      </c>
      <c r="B1749">
        <v>24.13</v>
      </c>
      <c r="C1749">
        <v>5.2</v>
      </c>
      <c r="D1749" t="s">
        <v>4682</v>
      </c>
      <c r="E1749" t="s">
        <v>4682</v>
      </c>
      <c r="F1749" t="s">
        <v>4682</v>
      </c>
      <c r="G1749">
        <v>1</v>
      </c>
      <c r="H1749" t="s">
        <v>4682</v>
      </c>
      <c r="I1749" t="str" cm="1">
        <f t="array" ref="I1749">_xlfn.IFS(B1749&lt;18.5, "Underweight", B1749&lt;=24.9, "Normal Weight", B1749&lt;=29.9, "Overweight", TRUE, "Obesity")</f>
        <v>Normal Weight</v>
      </c>
      <c r="J1749" t="str" cm="1">
        <f t="array" ref="J1749">_xlfn.IFS(C1749&lt;5.7, "Normal", C1749&lt;=6.4, "Prediabetes", TRUE, "Diabetes")</f>
        <v>Normal</v>
      </c>
    </row>
    <row r="1750" spans="1:10">
      <c r="A1750" t="s">
        <v>3498</v>
      </c>
      <c r="B1750">
        <v>42.13</v>
      </c>
      <c r="C1750">
        <v>4.54</v>
      </c>
      <c r="D1750" t="s">
        <v>4683</v>
      </c>
      <c r="E1750" t="s">
        <v>4682</v>
      </c>
      <c r="F1750" t="s">
        <v>4682</v>
      </c>
      <c r="G1750">
        <v>1</v>
      </c>
      <c r="H1750" t="s">
        <v>4682</v>
      </c>
      <c r="I1750" t="str" cm="1">
        <f t="array" ref="I1750">_xlfn.IFS(B1750&lt;18.5, "Underweight", B1750&lt;=24.9, "Normal Weight", B1750&lt;=29.9, "Overweight", TRUE, "Obesity")</f>
        <v>Obesity</v>
      </c>
      <c r="J1750" t="str" cm="1">
        <f t="array" ref="J1750">_xlfn.IFS(C1750&lt;5.7, "Normal", C1750&lt;=6.4, "Prediabetes", TRUE, "Diabetes")</f>
        <v>Normal</v>
      </c>
    </row>
    <row r="1751" spans="1:10">
      <c r="A1751" t="s">
        <v>3500</v>
      </c>
      <c r="B1751">
        <v>17.86</v>
      </c>
      <c r="C1751">
        <v>4.1100000000000003</v>
      </c>
      <c r="D1751" t="s">
        <v>4682</v>
      </c>
      <c r="E1751" t="s">
        <v>4682</v>
      </c>
      <c r="F1751" t="s">
        <v>4682</v>
      </c>
      <c r="G1751">
        <v>1</v>
      </c>
      <c r="H1751" t="s">
        <v>4682</v>
      </c>
      <c r="I1751" t="str" cm="1">
        <f t="array" ref="I1751">_xlfn.IFS(B1751&lt;18.5, "Underweight", B1751&lt;=24.9, "Normal Weight", B1751&lt;=29.9, "Overweight", TRUE, "Obesity")</f>
        <v>Underweight</v>
      </c>
      <c r="J1751" t="str" cm="1">
        <f t="array" ref="J1751">_xlfn.IFS(C1751&lt;5.7, "Normal", C1751&lt;=6.4, "Prediabetes", TRUE, "Diabetes")</f>
        <v>Normal</v>
      </c>
    </row>
    <row r="1752" spans="1:10">
      <c r="A1752" t="s">
        <v>3502</v>
      </c>
      <c r="B1752">
        <v>32.78</v>
      </c>
      <c r="C1752">
        <v>4.63</v>
      </c>
      <c r="D1752" t="s">
        <v>4682</v>
      </c>
      <c r="E1752" t="s">
        <v>4682</v>
      </c>
      <c r="F1752" t="s">
        <v>4682</v>
      </c>
      <c r="G1752">
        <v>0</v>
      </c>
      <c r="H1752" t="s">
        <v>4682</v>
      </c>
      <c r="I1752" t="str" cm="1">
        <f t="array" ref="I1752">_xlfn.IFS(B1752&lt;18.5, "Underweight", B1752&lt;=24.9, "Normal Weight", B1752&lt;=29.9, "Overweight", TRUE, "Obesity")</f>
        <v>Obesity</v>
      </c>
      <c r="J1752" t="str" cm="1">
        <f t="array" ref="J1752">_xlfn.IFS(C1752&lt;5.7, "Normal", C1752&lt;=6.4, "Prediabetes", TRUE, "Diabetes")</f>
        <v>Normal</v>
      </c>
    </row>
    <row r="1753" spans="1:10">
      <c r="A1753" t="s">
        <v>3504</v>
      </c>
      <c r="B1753">
        <v>23.9</v>
      </c>
      <c r="C1753">
        <v>6.06</v>
      </c>
      <c r="D1753" t="s">
        <v>4683</v>
      </c>
      <c r="E1753" t="s">
        <v>4682</v>
      </c>
      <c r="F1753" t="s">
        <v>4684</v>
      </c>
      <c r="G1753">
        <v>1</v>
      </c>
      <c r="H1753" t="s">
        <v>4682</v>
      </c>
      <c r="I1753" t="str" cm="1">
        <f t="array" ref="I1753">_xlfn.IFS(B1753&lt;18.5, "Underweight", B1753&lt;=24.9, "Normal Weight", B1753&lt;=29.9, "Overweight", TRUE, "Obesity")</f>
        <v>Normal Weight</v>
      </c>
      <c r="J1753" t="str" cm="1">
        <f t="array" ref="J1753">_xlfn.IFS(C1753&lt;5.7, "Normal", C1753&lt;=6.4, "Prediabetes", TRUE, "Diabetes")</f>
        <v>Prediabetes</v>
      </c>
    </row>
    <row r="1754" spans="1:10">
      <c r="A1754" t="s">
        <v>3506</v>
      </c>
      <c r="B1754">
        <v>15.47</v>
      </c>
      <c r="C1754">
        <v>8.43</v>
      </c>
      <c r="D1754" t="s">
        <v>4682</v>
      </c>
      <c r="E1754" t="s">
        <v>4682</v>
      </c>
      <c r="F1754" t="s">
        <v>4682</v>
      </c>
      <c r="G1754">
        <v>0</v>
      </c>
      <c r="H1754" t="s">
        <v>4682</v>
      </c>
      <c r="I1754" t="str" cm="1">
        <f t="array" ref="I1754">_xlfn.IFS(B1754&lt;18.5, "Underweight", B1754&lt;=24.9, "Normal Weight", B1754&lt;=29.9, "Overweight", TRUE, "Obesity")</f>
        <v>Underweight</v>
      </c>
      <c r="J1754" t="str" cm="1">
        <f t="array" ref="J1754">_xlfn.IFS(C1754&lt;5.7, "Normal", C1754&lt;=6.4, "Prediabetes", TRUE, "Diabetes")</f>
        <v>Diabetes</v>
      </c>
    </row>
    <row r="1755" spans="1:10">
      <c r="A1755" t="s">
        <v>3508</v>
      </c>
      <c r="B1755">
        <v>28.54</v>
      </c>
      <c r="C1755">
        <v>5.51</v>
      </c>
      <c r="D1755" t="s">
        <v>4682</v>
      </c>
      <c r="E1755" t="s">
        <v>4682</v>
      </c>
      <c r="F1755" t="s">
        <v>4684</v>
      </c>
      <c r="G1755">
        <v>1</v>
      </c>
      <c r="H1755" t="s">
        <v>4682</v>
      </c>
      <c r="I1755" t="str" cm="1">
        <f t="array" ref="I1755">_xlfn.IFS(B1755&lt;18.5, "Underweight", B1755&lt;=24.9, "Normal Weight", B1755&lt;=29.9, "Overweight", TRUE, "Obesity")</f>
        <v>Overweight</v>
      </c>
      <c r="J1755" t="str" cm="1">
        <f t="array" ref="J1755">_xlfn.IFS(C1755&lt;5.7, "Normal", C1755&lt;=6.4, "Prediabetes", TRUE, "Diabetes")</f>
        <v>Normal</v>
      </c>
    </row>
    <row r="1756" spans="1:10">
      <c r="A1756" t="s">
        <v>3510</v>
      </c>
      <c r="B1756">
        <v>18.54</v>
      </c>
      <c r="C1756">
        <v>4.95</v>
      </c>
      <c r="D1756" t="s">
        <v>4682</v>
      </c>
      <c r="E1756" t="s">
        <v>4682</v>
      </c>
      <c r="F1756" t="s">
        <v>4682</v>
      </c>
      <c r="G1756">
        <v>0</v>
      </c>
      <c r="H1756" t="s">
        <v>4682</v>
      </c>
      <c r="I1756" t="str" cm="1">
        <f t="array" ref="I1756">_xlfn.IFS(B1756&lt;18.5, "Underweight", B1756&lt;=24.9, "Normal Weight", B1756&lt;=29.9, "Overweight", TRUE, "Obesity")</f>
        <v>Normal Weight</v>
      </c>
      <c r="J1756" t="str" cm="1">
        <f t="array" ref="J1756">_xlfn.IFS(C1756&lt;5.7, "Normal", C1756&lt;=6.4, "Prediabetes", TRUE, "Diabetes")</f>
        <v>Normal</v>
      </c>
    </row>
    <row r="1757" spans="1:10">
      <c r="A1757" t="s">
        <v>3512</v>
      </c>
      <c r="B1757">
        <v>32.18</v>
      </c>
      <c r="C1757">
        <v>6.44</v>
      </c>
      <c r="D1757" t="s">
        <v>4683</v>
      </c>
      <c r="E1757" t="s">
        <v>4682</v>
      </c>
      <c r="F1757" t="s">
        <v>4684</v>
      </c>
      <c r="G1757">
        <v>1</v>
      </c>
      <c r="H1757" t="s">
        <v>4682</v>
      </c>
      <c r="I1757" t="str" cm="1">
        <f t="array" ref="I1757">_xlfn.IFS(B1757&lt;18.5, "Underweight", B1757&lt;=24.9, "Normal Weight", B1757&lt;=29.9, "Overweight", TRUE, "Obesity")</f>
        <v>Obesity</v>
      </c>
      <c r="J1757" t="str" cm="1">
        <f t="array" ref="J1757">_xlfn.IFS(C1757&lt;5.7, "Normal", C1757&lt;=6.4, "Prediabetes", TRUE, "Diabetes")</f>
        <v>Diabetes</v>
      </c>
    </row>
    <row r="1758" spans="1:10">
      <c r="A1758" t="s">
        <v>3514</v>
      </c>
      <c r="B1758">
        <v>37.380000000000003</v>
      </c>
      <c r="C1758">
        <v>6.05</v>
      </c>
      <c r="D1758" t="s">
        <v>4683</v>
      </c>
      <c r="E1758" t="s">
        <v>4682</v>
      </c>
      <c r="F1758" t="s">
        <v>4682</v>
      </c>
      <c r="G1758">
        <v>0</v>
      </c>
      <c r="H1758" t="s">
        <v>4682</v>
      </c>
      <c r="I1758" t="str" cm="1">
        <f t="array" ref="I1758">_xlfn.IFS(B1758&lt;18.5, "Underweight", B1758&lt;=24.9, "Normal Weight", B1758&lt;=29.9, "Overweight", TRUE, "Obesity")</f>
        <v>Obesity</v>
      </c>
      <c r="J1758" t="str" cm="1">
        <f t="array" ref="J1758">_xlfn.IFS(C1758&lt;5.7, "Normal", C1758&lt;=6.4, "Prediabetes", TRUE, "Diabetes")</f>
        <v>Prediabetes</v>
      </c>
    </row>
    <row r="1759" spans="1:10">
      <c r="A1759" t="s">
        <v>3516</v>
      </c>
      <c r="B1759">
        <v>31.12</v>
      </c>
      <c r="C1759">
        <v>4.76</v>
      </c>
      <c r="D1759" t="s">
        <v>4683</v>
      </c>
      <c r="E1759" t="s">
        <v>4682</v>
      </c>
      <c r="F1759" t="s">
        <v>4684</v>
      </c>
      <c r="G1759">
        <v>1</v>
      </c>
      <c r="H1759" t="s">
        <v>4682</v>
      </c>
      <c r="I1759" t="str" cm="1">
        <f t="array" ref="I1759">_xlfn.IFS(B1759&lt;18.5, "Underweight", B1759&lt;=24.9, "Normal Weight", B1759&lt;=29.9, "Overweight", TRUE, "Obesity")</f>
        <v>Obesity</v>
      </c>
      <c r="J1759" t="str" cm="1">
        <f t="array" ref="J1759">_xlfn.IFS(C1759&lt;5.7, "Normal", C1759&lt;=6.4, "Prediabetes", TRUE, "Diabetes")</f>
        <v>Normal</v>
      </c>
    </row>
    <row r="1760" spans="1:10">
      <c r="A1760" t="s">
        <v>3518</v>
      </c>
      <c r="B1760">
        <v>22.01</v>
      </c>
      <c r="C1760">
        <v>6.72</v>
      </c>
      <c r="D1760" t="s">
        <v>4683</v>
      </c>
      <c r="E1760" t="s">
        <v>4682</v>
      </c>
      <c r="F1760" t="s">
        <v>4682</v>
      </c>
      <c r="G1760">
        <v>1</v>
      </c>
      <c r="H1760" t="s">
        <v>4682</v>
      </c>
      <c r="I1760" t="str" cm="1">
        <f t="array" ref="I1760">_xlfn.IFS(B1760&lt;18.5, "Underweight", B1760&lt;=24.9, "Normal Weight", B1760&lt;=29.9, "Overweight", TRUE, "Obesity")</f>
        <v>Normal Weight</v>
      </c>
      <c r="J1760" t="str" cm="1">
        <f t="array" ref="J1760">_xlfn.IFS(C1760&lt;5.7, "Normal", C1760&lt;=6.4, "Prediabetes", TRUE, "Diabetes")</f>
        <v>Diabetes</v>
      </c>
    </row>
    <row r="1761" spans="1:10">
      <c r="A1761" t="s">
        <v>3520</v>
      </c>
      <c r="B1761">
        <v>27.645</v>
      </c>
      <c r="C1761">
        <v>5.7</v>
      </c>
      <c r="D1761" t="s">
        <v>4682</v>
      </c>
      <c r="E1761" t="s">
        <v>4682</v>
      </c>
      <c r="F1761" t="s">
        <v>4682</v>
      </c>
      <c r="G1761">
        <v>0</v>
      </c>
      <c r="H1761" t="s">
        <v>4682</v>
      </c>
      <c r="I1761" t="str" cm="1">
        <f t="array" ref="I1761">_xlfn.IFS(B1761&lt;18.5, "Underweight", B1761&lt;=24.9, "Normal Weight", B1761&lt;=29.9, "Overweight", TRUE, "Obesity")</f>
        <v>Overweight</v>
      </c>
      <c r="J1761" t="str" cm="1">
        <f t="array" ref="J1761">_xlfn.IFS(C1761&lt;5.7, "Normal", C1761&lt;=6.4, "Prediabetes", TRUE, "Diabetes")</f>
        <v>Prediabetes</v>
      </c>
    </row>
    <row r="1762" spans="1:10">
      <c r="A1762" t="s">
        <v>3522</v>
      </c>
      <c r="B1762">
        <v>29.64</v>
      </c>
      <c r="C1762">
        <v>5.31</v>
      </c>
      <c r="D1762" t="s">
        <v>4683</v>
      </c>
      <c r="E1762" t="s">
        <v>4682</v>
      </c>
      <c r="F1762" t="s">
        <v>4682</v>
      </c>
      <c r="G1762">
        <v>0</v>
      </c>
      <c r="H1762" t="s">
        <v>4682</v>
      </c>
      <c r="I1762" t="str" cm="1">
        <f t="array" ref="I1762">_xlfn.IFS(B1762&lt;18.5, "Underweight", B1762&lt;=24.9, "Normal Weight", B1762&lt;=29.9, "Overweight", TRUE, "Obesity")</f>
        <v>Overweight</v>
      </c>
      <c r="J1762" t="str" cm="1">
        <f t="array" ref="J1762">_xlfn.IFS(C1762&lt;5.7, "Normal", C1762&lt;=6.4, "Prediabetes", TRUE, "Diabetes")</f>
        <v>Normal</v>
      </c>
    </row>
    <row r="1763" spans="1:10">
      <c r="A1763" t="s">
        <v>3524</v>
      </c>
      <c r="B1763">
        <v>33.700000000000003</v>
      </c>
      <c r="C1763">
        <v>4.32</v>
      </c>
      <c r="D1763" t="s">
        <v>4683</v>
      </c>
      <c r="E1763" t="s">
        <v>4682</v>
      </c>
      <c r="F1763" t="s">
        <v>4682</v>
      </c>
      <c r="G1763">
        <v>1</v>
      </c>
      <c r="H1763" t="s">
        <v>4682</v>
      </c>
      <c r="I1763" t="str" cm="1">
        <f t="array" ref="I1763">_xlfn.IFS(B1763&lt;18.5, "Underweight", B1763&lt;=24.9, "Normal Weight", B1763&lt;=29.9, "Overweight", TRUE, "Obesity")</f>
        <v>Obesity</v>
      </c>
      <c r="J1763" t="str" cm="1">
        <f t="array" ref="J1763">_xlfn.IFS(C1763&lt;5.7, "Normal", C1763&lt;=6.4, "Prediabetes", TRUE, "Diabetes")</f>
        <v>Normal</v>
      </c>
    </row>
    <row r="1764" spans="1:10">
      <c r="A1764" t="s">
        <v>3526</v>
      </c>
      <c r="B1764">
        <v>27.5</v>
      </c>
      <c r="C1764">
        <v>4.2300000000000004</v>
      </c>
      <c r="D1764" t="s">
        <v>4683</v>
      </c>
      <c r="E1764" t="s">
        <v>4682</v>
      </c>
      <c r="F1764" t="s">
        <v>4682</v>
      </c>
      <c r="G1764">
        <v>1</v>
      </c>
      <c r="H1764" t="s">
        <v>4682</v>
      </c>
      <c r="I1764" t="str" cm="1">
        <f t="array" ref="I1764">_xlfn.IFS(B1764&lt;18.5, "Underweight", B1764&lt;=24.9, "Normal Weight", B1764&lt;=29.9, "Overweight", TRUE, "Obesity")</f>
        <v>Overweight</v>
      </c>
      <c r="J1764" t="str" cm="1">
        <f t="array" ref="J1764">_xlfn.IFS(C1764&lt;5.7, "Normal", C1764&lt;=6.4, "Prediabetes", TRUE, "Diabetes")</f>
        <v>Normal</v>
      </c>
    </row>
    <row r="1765" spans="1:10">
      <c r="A1765" t="s">
        <v>3528</v>
      </c>
      <c r="B1765">
        <v>16.12</v>
      </c>
      <c r="C1765">
        <v>6.09</v>
      </c>
      <c r="D1765" t="s">
        <v>4682</v>
      </c>
      <c r="E1765" t="s">
        <v>4682</v>
      </c>
      <c r="F1765" t="s">
        <v>4682</v>
      </c>
      <c r="G1765">
        <v>0</v>
      </c>
      <c r="H1765" t="s">
        <v>4682</v>
      </c>
      <c r="I1765" t="str" cm="1">
        <f t="array" ref="I1765">_xlfn.IFS(B1765&lt;18.5, "Underweight", B1765&lt;=24.9, "Normal Weight", B1765&lt;=29.9, "Overweight", TRUE, "Obesity")</f>
        <v>Underweight</v>
      </c>
      <c r="J1765" t="str" cm="1">
        <f t="array" ref="J1765">_xlfn.IFS(C1765&lt;5.7, "Normal", C1765&lt;=6.4, "Prediabetes", TRUE, "Diabetes")</f>
        <v>Prediabetes</v>
      </c>
    </row>
    <row r="1766" spans="1:10">
      <c r="A1766" t="s">
        <v>3530</v>
      </c>
      <c r="B1766">
        <v>26.73</v>
      </c>
      <c r="C1766">
        <v>4.74</v>
      </c>
      <c r="D1766" t="s">
        <v>4683</v>
      </c>
      <c r="E1766" t="s">
        <v>4682</v>
      </c>
      <c r="F1766" t="s">
        <v>4682</v>
      </c>
      <c r="G1766">
        <v>1</v>
      </c>
      <c r="H1766" t="s">
        <v>4682</v>
      </c>
      <c r="I1766" t="str" cm="1">
        <f t="array" ref="I1766">_xlfn.IFS(B1766&lt;18.5, "Underweight", B1766&lt;=24.9, "Normal Weight", B1766&lt;=29.9, "Overweight", TRUE, "Obesity")</f>
        <v>Overweight</v>
      </c>
      <c r="J1766" t="str" cm="1">
        <f t="array" ref="J1766">_xlfn.IFS(C1766&lt;5.7, "Normal", C1766&lt;=6.4, "Prediabetes", TRUE, "Diabetes")</f>
        <v>Normal</v>
      </c>
    </row>
    <row r="1767" spans="1:10">
      <c r="A1767" t="s">
        <v>3532</v>
      </c>
      <c r="B1767">
        <v>37.25</v>
      </c>
      <c r="C1767">
        <v>6.23</v>
      </c>
      <c r="D1767" t="s">
        <v>4683</v>
      </c>
      <c r="E1767" t="s">
        <v>4682</v>
      </c>
      <c r="F1767" t="s">
        <v>4682</v>
      </c>
      <c r="G1767">
        <v>0</v>
      </c>
      <c r="H1767" t="s">
        <v>4682</v>
      </c>
      <c r="I1767" t="str" cm="1">
        <f t="array" ref="I1767">_xlfn.IFS(B1767&lt;18.5, "Underweight", B1767&lt;=24.9, "Normal Weight", B1767&lt;=29.9, "Overweight", TRUE, "Obesity")</f>
        <v>Obesity</v>
      </c>
      <c r="J1767" t="str" cm="1">
        <f t="array" ref="J1767">_xlfn.IFS(C1767&lt;5.7, "Normal", C1767&lt;=6.4, "Prediabetes", TRUE, "Diabetes")</f>
        <v>Prediabetes</v>
      </c>
    </row>
    <row r="1768" spans="1:10">
      <c r="A1768" t="s">
        <v>3534</v>
      </c>
      <c r="B1768">
        <v>23.56</v>
      </c>
      <c r="C1768">
        <v>5.45</v>
      </c>
      <c r="D1768" t="s">
        <v>4683</v>
      </c>
      <c r="E1768" t="s">
        <v>4682</v>
      </c>
      <c r="F1768" t="s">
        <v>4682</v>
      </c>
      <c r="G1768">
        <v>1</v>
      </c>
      <c r="H1768" t="s">
        <v>4682</v>
      </c>
      <c r="I1768" t="str" cm="1">
        <f t="array" ref="I1768">_xlfn.IFS(B1768&lt;18.5, "Underweight", B1768&lt;=24.9, "Normal Weight", B1768&lt;=29.9, "Overweight", TRUE, "Obesity")</f>
        <v>Normal Weight</v>
      </c>
      <c r="J1768" t="str" cm="1">
        <f t="array" ref="J1768">_xlfn.IFS(C1768&lt;5.7, "Normal", C1768&lt;=6.4, "Prediabetes", TRUE, "Diabetes")</f>
        <v>Normal</v>
      </c>
    </row>
    <row r="1769" spans="1:10">
      <c r="A1769" t="s">
        <v>3536</v>
      </c>
      <c r="B1769">
        <v>15.84</v>
      </c>
      <c r="C1769">
        <v>10.34</v>
      </c>
      <c r="D1769" t="s">
        <v>4682</v>
      </c>
      <c r="E1769" t="s">
        <v>4682</v>
      </c>
      <c r="F1769" t="s">
        <v>4682</v>
      </c>
      <c r="G1769">
        <v>2</v>
      </c>
      <c r="H1769" t="s">
        <v>4682</v>
      </c>
      <c r="I1769" t="str" cm="1">
        <f t="array" ref="I1769">_xlfn.IFS(B1769&lt;18.5, "Underweight", B1769&lt;=24.9, "Normal Weight", B1769&lt;=29.9, "Overweight", TRUE, "Obesity")</f>
        <v>Underweight</v>
      </c>
      <c r="J1769" t="str" cm="1">
        <f t="array" ref="J1769">_xlfn.IFS(C1769&lt;5.7, "Normal", C1769&lt;=6.4, "Prediabetes", TRUE, "Diabetes")</f>
        <v>Diabetes</v>
      </c>
    </row>
    <row r="1770" spans="1:10">
      <c r="A1770" t="s">
        <v>3538</v>
      </c>
      <c r="B1770">
        <v>36.630000000000003</v>
      </c>
      <c r="C1770">
        <v>5.15</v>
      </c>
      <c r="D1770" t="s">
        <v>4682</v>
      </c>
      <c r="E1770" t="s">
        <v>4682</v>
      </c>
      <c r="F1770" t="s">
        <v>4682</v>
      </c>
      <c r="G1770">
        <v>0</v>
      </c>
      <c r="H1770" t="s">
        <v>4682</v>
      </c>
      <c r="I1770" t="str" cm="1">
        <f t="array" ref="I1770">_xlfn.IFS(B1770&lt;18.5, "Underweight", B1770&lt;=24.9, "Normal Weight", B1770&lt;=29.9, "Overweight", TRUE, "Obesity")</f>
        <v>Obesity</v>
      </c>
      <c r="J1770" t="str" cm="1">
        <f t="array" ref="J1770">_xlfn.IFS(C1770&lt;5.7, "Normal", C1770&lt;=6.4, "Prediabetes", TRUE, "Diabetes")</f>
        <v>Normal</v>
      </c>
    </row>
    <row r="1771" spans="1:10">
      <c r="A1771" t="s">
        <v>3540</v>
      </c>
      <c r="B1771">
        <v>16.47</v>
      </c>
      <c r="C1771">
        <v>11.72</v>
      </c>
      <c r="D1771" t="s">
        <v>4682</v>
      </c>
      <c r="E1771" t="s">
        <v>4682</v>
      </c>
      <c r="F1771" t="s">
        <v>4682</v>
      </c>
      <c r="G1771">
        <v>0</v>
      </c>
      <c r="H1771" t="s">
        <v>4682</v>
      </c>
      <c r="I1771" t="str" cm="1">
        <f t="array" ref="I1771">_xlfn.IFS(B1771&lt;18.5, "Underweight", B1771&lt;=24.9, "Normal Weight", B1771&lt;=29.9, "Overweight", TRUE, "Obesity")</f>
        <v>Underweight</v>
      </c>
      <c r="J1771" t="str" cm="1">
        <f t="array" ref="J1771">_xlfn.IFS(C1771&lt;5.7, "Normal", C1771&lt;=6.4, "Prediabetes", TRUE, "Diabetes")</f>
        <v>Diabetes</v>
      </c>
    </row>
    <row r="1772" spans="1:10">
      <c r="A1772" t="s">
        <v>3542</v>
      </c>
      <c r="B1772">
        <v>25.8</v>
      </c>
      <c r="C1772">
        <v>5.29</v>
      </c>
      <c r="D1772" t="s">
        <v>4682</v>
      </c>
      <c r="E1772" t="s">
        <v>4682</v>
      </c>
      <c r="F1772" t="s">
        <v>4682</v>
      </c>
      <c r="G1772">
        <v>0</v>
      </c>
      <c r="H1772" t="s">
        <v>4682</v>
      </c>
      <c r="I1772" t="str" cm="1">
        <f t="array" ref="I1772">_xlfn.IFS(B1772&lt;18.5, "Underweight", B1772&lt;=24.9, "Normal Weight", B1772&lt;=29.9, "Overweight", TRUE, "Obesity")</f>
        <v>Overweight</v>
      </c>
      <c r="J1772" t="str" cm="1">
        <f t="array" ref="J1772">_xlfn.IFS(C1772&lt;5.7, "Normal", C1772&lt;=6.4, "Prediabetes", TRUE, "Diabetes")</f>
        <v>Normal</v>
      </c>
    </row>
    <row r="1773" spans="1:10">
      <c r="A1773" t="s">
        <v>3544</v>
      </c>
      <c r="B1773">
        <v>23.6</v>
      </c>
      <c r="C1773">
        <v>4.33</v>
      </c>
      <c r="D1773" t="s">
        <v>4682</v>
      </c>
      <c r="E1773" t="s">
        <v>4682</v>
      </c>
      <c r="F1773" t="s">
        <v>4682</v>
      </c>
      <c r="G1773">
        <v>0</v>
      </c>
      <c r="H1773" t="s">
        <v>4682</v>
      </c>
      <c r="I1773" t="str" cm="1">
        <f t="array" ref="I1773">_xlfn.IFS(B1773&lt;18.5, "Underweight", B1773&lt;=24.9, "Normal Weight", B1773&lt;=29.9, "Overweight", TRUE, "Obesity")</f>
        <v>Normal Weight</v>
      </c>
      <c r="J1773" t="str" cm="1">
        <f t="array" ref="J1773">_xlfn.IFS(C1773&lt;5.7, "Normal", C1773&lt;=6.4, "Prediabetes", TRUE, "Diabetes")</f>
        <v>Normal</v>
      </c>
    </row>
    <row r="1774" spans="1:10">
      <c r="A1774" t="s">
        <v>3546</v>
      </c>
      <c r="B1774">
        <v>32.11</v>
      </c>
      <c r="C1774">
        <v>6.24</v>
      </c>
      <c r="D1774" t="s">
        <v>4682</v>
      </c>
      <c r="E1774" t="s">
        <v>4682</v>
      </c>
      <c r="F1774" t="s">
        <v>4684</v>
      </c>
      <c r="G1774">
        <v>1</v>
      </c>
      <c r="H1774" t="s">
        <v>4682</v>
      </c>
      <c r="I1774" t="str" cm="1">
        <f t="array" ref="I1774">_xlfn.IFS(B1774&lt;18.5, "Underweight", B1774&lt;=24.9, "Normal Weight", B1774&lt;=29.9, "Overweight", TRUE, "Obesity")</f>
        <v>Obesity</v>
      </c>
      <c r="J1774" t="str" cm="1">
        <f t="array" ref="J1774">_xlfn.IFS(C1774&lt;5.7, "Normal", C1774&lt;=6.4, "Prediabetes", TRUE, "Diabetes")</f>
        <v>Prediabetes</v>
      </c>
    </row>
    <row r="1775" spans="1:10">
      <c r="A1775" t="s">
        <v>3548</v>
      </c>
      <c r="B1775">
        <v>30.114999999999998</v>
      </c>
      <c r="C1775">
        <v>11.61</v>
      </c>
      <c r="D1775" t="s">
        <v>4682</v>
      </c>
      <c r="E1775" t="s">
        <v>4682</v>
      </c>
      <c r="F1775" t="s">
        <v>4682</v>
      </c>
      <c r="G1775">
        <v>0</v>
      </c>
      <c r="H1775" t="s">
        <v>4682</v>
      </c>
      <c r="I1775" t="str" cm="1">
        <f t="array" ref="I1775">_xlfn.IFS(B1775&lt;18.5, "Underweight", B1775&lt;=24.9, "Normal Weight", B1775&lt;=29.9, "Overweight", TRUE, "Obesity")</f>
        <v>Obesity</v>
      </c>
      <c r="J1775" t="str" cm="1">
        <f t="array" ref="J1775">_xlfn.IFS(C1775&lt;5.7, "Normal", C1775&lt;=6.4, "Prediabetes", TRUE, "Diabetes")</f>
        <v>Diabetes</v>
      </c>
    </row>
    <row r="1776" spans="1:10">
      <c r="A1776" t="s">
        <v>3550</v>
      </c>
      <c r="B1776">
        <v>20.28</v>
      </c>
      <c r="C1776">
        <v>11.07</v>
      </c>
      <c r="D1776" t="s">
        <v>4683</v>
      </c>
      <c r="E1776" t="s">
        <v>4682</v>
      </c>
      <c r="F1776" t="s">
        <v>4682</v>
      </c>
      <c r="G1776">
        <v>0</v>
      </c>
      <c r="H1776" t="s">
        <v>4682</v>
      </c>
      <c r="I1776" t="str" cm="1">
        <f t="array" ref="I1776">_xlfn.IFS(B1776&lt;18.5, "Underweight", B1776&lt;=24.9, "Normal Weight", B1776&lt;=29.9, "Overweight", TRUE, "Obesity")</f>
        <v>Normal Weight</v>
      </c>
      <c r="J1776" t="str" cm="1">
        <f t="array" ref="J1776">_xlfn.IFS(C1776&lt;5.7, "Normal", C1776&lt;=6.4, "Prediabetes", TRUE, "Diabetes")</f>
        <v>Diabetes</v>
      </c>
    </row>
    <row r="1777" spans="1:10">
      <c r="A1777" t="s">
        <v>3552</v>
      </c>
      <c r="B1777">
        <v>20.234999999999999</v>
      </c>
      <c r="C1777">
        <v>5.19</v>
      </c>
      <c r="D1777" t="s">
        <v>4682</v>
      </c>
      <c r="E1777" t="s">
        <v>4682</v>
      </c>
      <c r="F1777" t="s">
        <v>4684</v>
      </c>
      <c r="G1777">
        <v>1</v>
      </c>
      <c r="H1777" t="s">
        <v>4682</v>
      </c>
      <c r="I1777" t="str" cm="1">
        <f t="array" ref="I1777">_xlfn.IFS(B1777&lt;18.5, "Underweight", B1777&lt;=24.9, "Normal Weight", B1777&lt;=29.9, "Overweight", TRUE, "Obesity")</f>
        <v>Normal Weight</v>
      </c>
      <c r="J1777" t="str" cm="1">
        <f t="array" ref="J1777">_xlfn.IFS(C1777&lt;5.7, "Normal", C1777&lt;=6.4, "Prediabetes", TRUE, "Diabetes")</f>
        <v>Normal</v>
      </c>
    </row>
    <row r="1778" spans="1:10">
      <c r="A1778" t="s">
        <v>3554</v>
      </c>
      <c r="B1778">
        <v>25.27</v>
      </c>
      <c r="C1778">
        <v>5.7</v>
      </c>
      <c r="D1778" t="s">
        <v>4683</v>
      </c>
      <c r="E1778" t="s">
        <v>4682</v>
      </c>
      <c r="F1778" t="s">
        <v>4682</v>
      </c>
      <c r="G1778">
        <v>1</v>
      </c>
      <c r="H1778" t="s">
        <v>4682</v>
      </c>
      <c r="I1778" t="str" cm="1">
        <f t="array" ref="I1778">_xlfn.IFS(B1778&lt;18.5, "Underweight", B1778&lt;=24.9, "Normal Weight", B1778&lt;=29.9, "Overweight", TRUE, "Obesity")</f>
        <v>Overweight</v>
      </c>
      <c r="J1778" t="str" cm="1">
        <f t="array" ref="J1778">_xlfn.IFS(C1778&lt;5.7, "Normal", C1778&lt;=6.4, "Prediabetes", TRUE, "Diabetes")</f>
        <v>Prediabetes</v>
      </c>
    </row>
    <row r="1779" spans="1:10">
      <c r="A1779" t="s">
        <v>3556</v>
      </c>
      <c r="B1779">
        <v>24.24</v>
      </c>
      <c r="C1779">
        <v>6.15</v>
      </c>
      <c r="D1779" t="s">
        <v>4682</v>
      </c>
      <c r="E1779" t="s">
        <v>4682</v>
      </c>
      <c r="F1779" t="s">
        <v>4682</v>
      </c>
      <c r="G1779">
        <v>0</v>
      </c>
      <c r="H1779" t="s">
        <v>4682</v>
      </c>
      <c r="I1779" t="str" cm="1">
        <f t="array" ref="I1779">_xlfn.IFS(B1779&lt;18.5, "Underweight", B1779&lt;=24.9, "Normal Weight", B1779&lt;=29.9, "Overweight", TRUE, "Obesity")</f>
        <v>Normal Weight</v>
      </c>
      <c r="J1779" t="str" cm="1">
        <f t="array" ref="J1779">_xlfn.IFS(C1779&lt;5.7, "Normal", C1779&lt;=6.4, "Prediabetes", TRUE, "Diabetes")</f>
        <v>Prediabetes</v>
      </c>
    </row>
    <row r="1780" spans="1:10">
      <c r="A1780" t="s">
        <v>3558</v>
      </c>
      <c r="B1780">
        <v>35.75</v>
      </c>
      <c r="C1780">
        <v>5.07</v>
      </c>
      <c r="D1780" t="s">
        <v>4682</v>
      </c>
      <c r="E1780" t="s">
        <v>4682</v>
      </c>
      <c r="F1780" t="s">
        <v>4682</v>
      </c>
      <c r="G1780">
        <v>0</v>
      </c>
      <c r="H1780" t="s">
        <v>4682</v>
      </c>
      <c r="I1780" t="str" cm="1">
        <f t="array" ref="I1780">_xlfn.IFS(B1780&lt;18.5, "Underweight", B1780&lt;=24.9, "Normal Weight", B1780&lt;=29.9, "Overweight", TRUE, "Obesity")</f>
        <v>Obesity</v>
      </c>
      <c r="J1780" t="str" cm="1">
        <f t="array" ref="J1780">_xlfn.IFS(C1780&lt;5.7, "Normal", C1780&lt;=6.4, "Prediabetes", TRUE, "Diabetes")</f>
        <v>Normal</v>
      </c>
    </row>
    <row r="1781" spans="1:10">
      <c r="A1781" t="s">
        <v>3560</v>
      </c>
      <c r="B1781">
        <v>29.92</v>
      </c>
      <c r="C1781">
        <v>10.97</v>
      </c>
      <c r="D1781" t="s">
        <v>4683</v>
      </c>
      <c r="E1781" t="s">
        <v>4682</v>
      </c>
      <c r="F1781" t="s">
        <v>4682</v>
      </c>
      <c r="G1781">
        <v>1</v>
      </c>
      <c r="H1781" t="s">
        <v>4682</v>
      </c>
      <c r="I1781" t="str" cm="1">
        <f t="array" ref="I1781">_xlfn.IFS(B1781&lt;18.5, "Underweight", B1781&lt;=24.9, "Normal Weight", B1781&lt;=29.9, "Overweight", TRUE, "Obesity")</f>
        <v>Obesity</v>
      </c>
      <c r="J1781" t="str" cm="1">
        <f t="array" ref="J1781">_xlfn.IFS(C1781&lt;5.7, "Normal", C1781&lt;=6.4, "Prediabetes", TRUE, "Diabetes")</f>
        <v>Diabetes</v>
      </c>
    </row>
    <row r="1782" spans="1:10">
      <c r="A1782" t="s">
        <v>3562</v>
      </c>
      <c r="B1782">
        <v>26.2</v>
      </c>
      <c r="C1782">
        <v>10.93</v>
      </c>
      <c r="D1782" t="s">
        <v>4683</v>
      </c>
      <c r="E1782" t="s">
        <v>4682</v>
      </c>
      <c r="F1782" t="s">
        <v>4682</v>
      </c>
      <c r="G1782">
        <v>1</v>
      </c>
      <c r="H1782" t="s">
        <v>4682</v>
      </c>
      <c r="I1782" t="str" cm="1">
        <f t="array" ref="I1782">_xlfn.IFS(B1782&lt;18.5, "Underweight", B1782&lt;=24.9, "Normal Weight", B1782&lt;=29.9, "Overweight", TRUE, "Obesity")</f>
        <v>Overweight</v>
      </c>
      <c r="J1782" t="str" cm="1">
        <f t="array" ref="J1782">_xlfn.IFS(C1782&lt;5.7, "Normal", C1782&lt;=6.4, "Prediabetes", TRUE, "Diabetes")</f>
        <v>Diabetes</v>
      </c>
    </row>
    <row r="1783" spans="1:10">
      <c r="A1783" t="s">
        <v>3564</v>
      </c>
      <c r="B1783">
        <v>26.695</v>
      </c>
      <c r="C1783">
        <v>4.21</v>
      </c>
      <c r="D1783" t="s">
        <v>4683</v>
      </c>
      <c r="E1783" t="s">
        <v>4682</v>
      </c>
      <c r="F1783" t="s">
        <v>4684</v>
      </c>
      <c r="G1783">
        <v>1</v>
      </c>
      <c r="H1783" t="s">
        <v>4682</v>
      </c>
      <c r="I1783" t="str" cm="1">
        <f t="array" ref="I1783">_xlfn.IFS(B1783&lt;18.5, "Underweight", B1783&lt;=24.9, "Normal Weight", B1783&lt;=29.9, "Overweight", TRUE, "Obesity")</f>
        <v>Overweight</v>
      </c>
      <c r="J1783" t="str" cm="1">
        <f t="array" ref="J1783">_xlfn.IFS(C1783&lt;5.7, "Normal", C1783&lt;=6.4, "Prediabetes", TRUE, "Diabetes")</f>
        <v>Normal</v>
      </c>
    </row>
    <row r="1784" spans="1:10">
      <c r="A1784" t="s">
        <v>3566</v>
      </c>
      <c r="B1784">
        <v>23.16</v>
      </c>
      <c r="C1784">
        <v>5.5</v>
      </c>
      <c r="D1784" t="s">
        <v>4682</v>
      </c>
      <c r="E1784" t="s">
        <v>4682</v>
      </c>
      <c r="F1784" t="s">
        <v>4682</v>
      </c>
      <c r="G1784">
        <v>0</v>
      </c>
      <c r="H1784" t="s">
        <v>4682</v>
      </c>
      <c r="I1784" t="str" cm="1">
        <f t="array" ref="I1784">_xlfn.IFS(B1784&lt;18.5, "Underweight", B1784&lt;=24.9, "Normal Weight", B1784&lt;=29.9, "Overweight", TRUE, "Obesity")</f>
        <v>Normal Weight</v>
      </c>
      <c r="J1784" t="str" cm="1">
        <f t="array" ref="J1784">_xlfn.IFS(C1784&lt;5.7, "Normal", C1784&lt;=6.4, "Prediabetes", TRUE, "Diabetes")</f>
        <v>Normal</v>
      </c>
    </row>
    <row r="1785" spans="1:10">
      <c r="A1785" t="s">
        <v>3568</v>
      </c>
      <c r="B1785">
        <v>32.585000000000001</v>
      </c>
      <c r="C1785">
        <v>4.93</v>
      </c>
      <c r="D1785" t="s">
        <v>4683</v>
      </c>
      <c r="E1785" t="s">
        <v>4682</v>
      </c>
      <c r="F1785" t="s">
        <v>4682</v>
      </c>
      <c r="G1785">
        <v>1</v>
      </c>
      <c r="H1785" t="s">
        <v>4682</v>
      </c>
      <c r="I1785" t="str" cm="1">
        <f t="array" ref="I1785">_xlfn.IFS(B1785&lt;18.5, "Underweight", B1785&lt;=24.9, "Normal Weight", B1785&lt;=29.9, "Overweight", TRUE, "Obesity")</f>
        <v>Obesity</v>
      </c>
      <c r="J1785" t="str" cm="1">
        <f t="array" ref="J1785">_xlfn.IFS(C1785&lt;5.7, "Normal", C1785&lt;=6.4, "Prediabetes", TRUE, "Diabetes")</f>
        <v>Normal</v>
      </c>
    </row>
    <row r="1786" spans="1:10">
      <c r="A1786" t="s">
        <v>3570</v>
      </c>
      <c r="B1786">
        <v>33.97</v>
      </c>
      <c r="C1786">
        <v>5.6</v>
      </c>
      <c r="D1786" t="s">
        <v>4683</v>
      </c>
      <c r="E1786" t="s">
        <v>4682</v>
      </c>
      <c r="F1786" t="s">
        <v>4682</v>
      </c>
      <c r="G1786">
        <v>0</v>
      </c>
      <c r="H1786" t="s">
        <v>4682</v>
      </c>
      <c r="I1786" t="str" cm="1">
        <f t="array" ref="I1786">_xlfn.IFS(B1786&lt;18.5, "Underweight", B1786&lt;=24.9, "Normal Weight", B1786&lt;=29.9, "Overweight", TRUE, "Obesity")</f>
        <v>Obesity</v>
      </c>
      <c r="J1786" t="str" cm="1">
        <f t="array" ref="J1786">_xlfn.IFS(C1786&lt;5.7, "Normal", C1786&lt;=6.4, "Prediabetes", TRUE, "Diabetes")</f>
        <v>Normal</v>
      </c>
    </row>
    <row r="1787" spans="1:10">
      <c r="A1787" t="s">
        <v>3572</v>
      </c>
      <c r="B1787">
        <v>16.57</v>
      </c>
      <c r="C1787">
        <v>9.99</v>
      </c>
      <c r="D1787" t="s">
        <v>4682</v>
      </c>
      <c r="E1787" t="s">
        <v>4682</v>
      </c>
      <c r="F1787" t="s">
        <v>4682</v>
      </c>
      <c r="G1787">
        <v>0</v>
      </c>
      <c r="H1787" t="s">
        <v>4682</v>
      </c>
      <c r="I1787" t="str" cm="1">
        <f t="array" ref="I1787">_xlfn.IFS(B1787&lt;18.5, "Underweight", B1787&lt;=24.9, "Normal Weight", B1787&lt;=29.9, "Overweight", TRUE, "Obesity")</f>
        <v>Underweight</v>
      </c>
      <c r="J1787" t="str" cm="1">
        <f t="array" ref="J1787">_xlfn.IFS(C1787&lt;5.7, "Normal", C1787&lt;=6.4, "Prediabetes", TRUE, "Diabetes")</f>
        <v>Diabetes</v>
      </c>
    </row>
    <row r="1788" spans="1:10">
      <c r="A1788" t="s">
        <v>3574</v>
      </c>
      <c r="B1788">
        <v>17.55</v>
      </c>
      <c r="C1788">
        <v>5.93</v>
      </c>
      <c r="D1788" t="s">
        <v>4682</v>
      </c>
      <c r="E1788" t="s">
        <v>4682</v>
      </c>
      <c r="F1788" t="s">
        <v>4684</v>
      </c>
      <c r="G1788">
        <v>1</v>
      </c>
      <c r="H1788" t="s">
        <v>4682</v>
      </c>
      <c r="I1788" t="str" cm="1">
        <f t="array" ref="I1788">_xlfn.IFS(B1788&lt;18.5, "Underweight", B1788&lt;=24.9, "Normal Weight", B1788&lt;=29.9, "Overweight", TRUE, "Obesity")</f>
        <v>Underweight</v>
      </c>
      <c r="J1788" t="str" cm="1">
        <f t="array" ref="J1788">_xlfn.IFS(C1788&lt;5.7, "Normal", C1788&lt;=6.4, "Prediabetes", TRUE, "Diabetes")</f>
        <v>Prediabetes</v>
      </c>
    </row>
    <row r="1789" spans="1:10">
      <c r="A1789" t="s">
        <v>3576</v>
      </c>
      <c r="B1789">
        <v>29.41</v>
      </c>
      <c r="C1789">
        <v>6.29</v>
      </c>
      <c r="D1789" t="s">
        <v>4683</v>
      </c>
      <c r="E1789" t="s">
        <v>4682</v>
      </c>
      <c r="F1789" t="s">
        <v>4682</v>
      </c>
      <c r="G1789">
        <v>1</v>
      </c>
      <c r="H1789" t="s">
        <v>4682</v>
      </c>
      <c r="I1789" t="str" cm="1">
        <f t="array" ref="I1789">_xlfn.IFS(B1789&lt;18.5, "Underweight", B1789&lt;=24.9, "Normal Weight", B1789&lt;=29.9, "Overweight", TRUE, "Obesity")</f>
        <v>Overweight</v>
      </c>
      <c r="J1789" t="str" cm="1">
        <f t="array" ref="J1789">_xlfn.IFS(C1789&lt;5.7, "Normal", C1789&lt;=6.4, "Prediabetes", TRUE, "Diabetes")</f>
        <v>Prediabetes</v>
      </c>
    </row>
    <row r="1790" spans="1:10">
      <c r="A1790" t="s">
        <v>3578</v>
      </c>
      <c r="B1790">
        <v>17.91</v>
      </c>
      <c r="C1790">
        <v>5.65</v>
      </c>
      <c r="D1790" t="s">
        <v>4682</v>
      </c>
      <c r="E1790" t="s">
        <v>4682</v>
      </c>
      <c r="F1790" t="s">
        <v>4682</v>
      </c>
      <c r="G1790">
        <v>1</v>
      </c>
      <c r="H1790" t="s">
        <v>4682</v>
      </c>
      <c r="I1790" t="str" cm="1">
        <f t="array" ref="I1790">_xlfn.IFS(B1790&lt;18.5, "Underweight", B1790&lt;=24.9, "Normal Weight", B1790&lt;=29.9, "Overweight", TRUE, "Obesity")</f>
        <v>Underweight</v>
      </c>
      <c r="J1790" t="str" cm="1">
        <f t="array" ref="J1790">_xlfn.IFS(C1790&lt;5.7, "Normal", C1790&lt;=6.4, "Prediabetes", TRUE, "Diabetes")</f>
        <v>Normal</v>
      </c>
    </row>
    <row r="1791" spans="1:10">
      <c r="A1791" t="s">
        <v>3580</v>
      </c>
      <c r="B1791">
        <v>31.57</v>
      </c>
      <c r="C1791">
        <v>6.15</v>
      </c>
      <c r="D1791" t="s">
        <v>4682</v>
      </c>
      <c r="E1791" t="s">
        <v>4682</v>
      </c>
      <c r="F1791" t="s">
        <v>4682</v>
      </c>
      <c r="G1791">
        <v>1</v>
      </c>
      <c r="H1791" t="s">
        <v>4682</v>
      </c>
      <c r="I1791" t="str" cm="1">
        <f t="array" ref="I1791">_xlfn.IFS(B1791&lt;18.5, "Underweight", B1791&lt;=24.9, "Normal Weight", B1791&lt;=29.9, "Overweight", TRUE, "Obesity")</f>
        <v>Obesity</v>
      </c>
      <c r="J1791" t="str" cm="1">
        <f t="array" ref="J1791">_xlfn.IFS(C1791&lt;5.7, "Normal", C1791&lt;=6.4, "Prediabetes", TRUE, "Diabetes")</f>
        <v>Prediabetes</v>
      </c>
    </row>
    <row r="1792" spans="1:10">
      <c r="A1792" t="s">
        <v>3582</v>
      </c>
      <c r="B1792">
        <v>33.18</v>
      </c>
      <c r="C1792">
        <v>5.22</v>
      </c>
      <c r="D1792" t="s">
        <v>4682</v>
      </c>
      <c r="E1792" t="s">
        <v>4683</v>
      </c>
      <c r="F1792" t="s">
        <v>4682</v>
      </c>
      <c r="G1792">
        <v>1</v>
      </c>
      <c r="H1792" t="s">
        <v>4682</v>
      </c>
      <c r="I1792" t="str" cm="1">
        <f t="array" ref="I1792">_xlfn.IFS(B1792&lt;18.5, "Underweight", B1792&lt;=24.9, "Normal Weight", B1792&lt;=29.9, "Overweight", TRUE, "Obesity")</f>
        <v>Obesity</v>
      </c>
      <c r="J1792" t="str" cm="1">
        <f t="array" ref="J1792">_xlfn.IFS(C1792&lt;5.7, "Normal", C1792&lt;=6.4, "Prediabetes", TRUE, "Diabetes")</f>
        <v>Normal</v>
      </c>
    </row>
    <row r="1793" spans="1:10">
      <c r="A1793" t="s">
        <v>3584</v>
      </c>
      <c r="B1793">
        <v>37</v>
      </c>
      <c r="C1793">
        <v>11.66</v>
      </c>
      <c r="D1793" t="s">
        <v>4682</v>
      </c>
      <c r="E1793" t="s">
        <v>4682</v>
      </c>
      <c r="F1793" t="s">
        <v>4682</v>
      </c>
      <c r="G1793">
        <v>0</v>
      </c>
      <c r="H1793" t="s">
        <v>4682</v>
      </c>
      <c r="I1793" t="str" cm="1">
        <f t="array" ref="I1793">_xlfn.IFS(B1793&lt;18.5, "Underweight", B1793&lt;=24.9, "Normal Weight", B1793&lt;=29.9, "Overweight", TRUE, "Obesity")</f>
        <v>Obesity</v>
      </c>
      <c r="J1793" t="str" cm="1">
        <f t="array" ref="J1793">_xlfn.IFS(C1793&lt;5.7, "Normal", C1793&lt;=6.4, "Prediabetes", TRUE, "Diabetes")</f>
        <v>Diabetes</v>
      </c>
    </row>
    <row r="1794" spans="1:10">
      <c r="A1794" t="s">
        <v>3586</v>
      </c>
      <c r="B1794">
        <v>18.905000000000001</v>
      </c>
      <c r="C1794">
        <v>4.91</v>
      </c>
      <c r="D1794" t="s">
        <v>4683</v>
      </c>
      <c r="E1794" t="s">
        <v>4682</v>
      </c>
      <c r="F1794" t="s">
        <v>4682</v>
      </c>
      <c r="G1794">
        <v>1</v>
      </c>
      <c r="H1794" t="s">
        <v>4682</v>
      </c>
      <c r="I1794" t="str" cm="1">
        <f t="array" ref="I1794">_xlfn.IFS(B1794&lt;18.5, "Underweight", B1794&lt;=24.9, "Normal Weight", B1794&lt;=29.9, "Overweight", TRUE, "Obesity")</f>
        <v>Normal Weight</v>
      </c>
      <c r="J1794" t="str" cm="1">
        <f t="array" ref="J1794">_xlfn.IFS(C1794&lt;5.7, "Normal", C1794&lt;=6.4, "Prediabetes", TRUE, "Diabetes")</f>
        <v>Normal</v>
      </c>
    </row>
    <row r="1795" spans="1:10">
      <c r="A1795" t="s">
        <v>3588</v>
      </c>
      <c r="B1795">
        <v>20.03</v>
      </c>
      <c r="C1795">
        <v>9.25</v>
      </c>
      <c r="D1795" t="s">
        <v>4683</v>
      </c>
      <c r="E1795" t="s">
        <v>4682</v>
      </c>
      <c r="F1795" t="s">
        <v>4682</v>
      </c>
      <c r="G1795">
        <v>0</v>
      </c>
      <c r="H1795" t="s">
        <v>4682</v>
      </c>
      <c r="I1795" t="str" cm="1">
        <f t="array" ref="I1795">_xlfn.IFS(B1795&lt;18.5, "Underweight", B1795&lt;=24.9, "Normal Weight", B1795&lt;=29.9, "Overweight", TRUE, "Obesity")</f>
        <v>Normal Weight</v>
      </c>
      <c r="J1795" t="str" cm="1">
        <f t="array" ref="J1795">_xlfn.IFS(C1795&lt;5.7, "Normal", C1795&lt;=6.4, "Prediabetes", TRUE, "Diabetes")</f>
        <v>Diabetes</v>
      </c>
    </row>
    <row r="1796" spans="1:10">
      <c r="A1796" t="s">
        <v>3590</v>
      </c>
      <c r="B1796">
        <v>16.7</v>
      </c>
      <c r="C1796">
        <v>11.48</v>
      </c>
      <c r="D1796" t="s">
        <v>4682</v>
      </c>
      <c r="E1796" t="s">
        <v>4682</v>
      </c>
      <c r="F1796" t="s">
        <v>4682</v>
      </c>
      <c r="G1796">
        <v>0</v>
      </c>
      <c r="H1796" t="s">
        <v>4682</v>
      </c>
      <c r="I1796" t="str" cm="1">
        <f t="array" ref="I1796">_xlfn.IFS(B1796&lt;18.5, "Underweight", B1796&lt;=24.9, "Normal Weight", B1796&lt;=29.9, "Overweight", TRUE, "Obesity")</f>
        <v>Underweight</v>
      </c>
      <c r="J1796" t="str" cm="1">
        <f t="array" ref="J1796">_xlfn.IFS(C1796&lt;5.7, "Normal", C1796&lt;=6.4, "Prediabetes", TRUE, "Diabetes")</f>
        <v>Diabetes</v>
      </c>
    </row>
    <row r="1797" spans="1:10">
      <c r="A1797" t="s">
        <v>3592</v>
      </c>
      <c r="B1797">
        <v>39.82</v>
      </c>
      <c r="C1797">
        <v>6.06</v>
      </c>
      <c r="D1797" t="s">
        <v>4682</v>
      </c>
      <c r="E1797" t="s">
        <v>4682</v>
      </c>
      <c r="F1797" t="s">
        <v>4682</v>
      </c>
      <c r="G1797">
        <v>0</v>
      </c>
      <c r="H1797" t="s">
        <v>4682</v>
      </c>
      <c r="I1797" t="str" cm="1">
        <f t="array" ref="I1797">_xlfn.IFS(B1797&lt;18.5, "Underweight", B1797&lt;=24.9, "Normal Weight", B1797&lt;=29.9, "Overweight", TRUE, "Obesity")</f>
        <v>Obesity</v>
      </c>
      <c r="J1797" t="str" cm="1">
        <f t="array" ref="J1797">_xlfn.IFS(C1797&lt;5.7, "Normal", C1797&lt;=6.4, "Prediabetes", TRUE, "Diabetes")</f>
        <v>Prediabetes</v>
      </c>
    </row>
    <row r="1798" spans="1:10">
      <c r="A1798" t="s">
        <v>3594</v>
      </c>
      <c r="B1798">
        <v>22.04</v>
      </c>
      <c r="C1798">
        <v>5.86</v>
      </c>
      <c r="D1798" t="s">
        <v>4682</v>
      </c>
      <c r="E1798" t="s">
        <v>4682</v>
      </c>
      <c r="F1798" t="s">
        <v>4682</v>
      </c>
      <c r="G1798">
        <v>1</v>
      </c>
      <c r="H1798" t="s">
        <v>4682</v>
      </c>
      <c r="I1798" t="str" cm="1">
        <f t="array" ref="I1798">_xlfn.IFS(B1798&lt;18.5, "Underweight", B1798&lt;=24.9, "Normal Weight", B1798&lt;=29.9, "Overweight", TRUE, "Obesity")</f>
        <v>Normal Weight</v>
      </c>
      <c r="J1798" t="str" cm="1">
        <f t="array" ref="J1798">_xlfn.IFS(C1798&lt;5.7, "Normal", C1798&lt;=6.4, "Prediabetes", TRUE, "Diabetes")</f>
        <v>Prediabetes</v>
      </c>
    </row>
    <row r="1799" spans="1:10">
      <c r="A1799" t="s">
        <v>3596</v>
      </c>
      <c r="B1799">
        <v>28.27</v>
      </c>
      <c r="C1799">
        <v>5.33</v>
      </c>
      <c r="D1799" t="s">
        <v>4682</v>
      </c>
      <c r="E1799" t="s">
        <v>4682</v>
      </c>
      <c r="F1799" t="s">
        <v>4682</v>
      </c>
      <c r="G1799">
        <v>0</v>
      </c>
      <c r="H1799" t="s">
        <v>4682</v>
      </c>
      <c r="I1799" t="str" cm="1">
        <f t="array" ref="I1799">_xlfn.IFS(B1799&lt;18.5, "Underweight", B1799&lt;=24.9, "Normal Weight", B1799&lt;=29.9, "Overweight", TRUE, "Obesity")</f>
        <v>Overweight</v>
      </c>
      <c r="J1799" t="str" cm="1">
        <f t="array" ref="J1799">_xlfn.IFS(C1799&lt;5.7, "Normal", C1799&lt;=6.4, "Prediabetes", TRUE, "Diabetes")</f>
        <v>Normal</v>
      </c>
    </row>
    <row r="1800" spans="1:10">
      <c r="A1800" t="s">
        <v>3598</v>
      </c>
      <c r="B1800">
        <v>18.5</v>
      </c>
      <c r="C1800">
        <v>5.33</v>
      </c>
      <c r="D1800" t="s">
        <v>4682</v>
      </c>
      <c r="E1800" t="s">
        <v>4682</v>
      </c>
      <c r="F1800" t="s">
        <v>4682</v>
      </c>
      <c r="G1800">
        <v>0</v>
      </c>
      <c r="H1800" t="s">
        <v>4682</v>
      </c>
      <c r="I1800" t="str" cm="1">
        <f t="array" ref="I1800">_xlfn.IFS(B1800&lt;18.5, "Underweight", B1800&lt;=24.9, "Normal Weight", B1800&lt;=29.9, "Overweight", TRUE, "Obesity")</f>
        <v>Normal Weight</v>
      </c>
      <c r="J1800" t="str" cm="1">
        <f t="array" ref="J1800">_xlfn.IFS(C1800&lt;5.7, "Normal", C1800&lt;=6.4, "Prediabetes", TRUE, "Diabetes")</f>
        <v>Normal</v>
      </c>
    </row>
    <row r="1801" spans="1:10">
      <c r="A1801" t="s">
        <v>3600</v>
      </c>
      <c r="B1801">
        <v>38.6</v>
      </c>
      <c r="C1801">
        <v>6.02</v>
      </c>
      <c r="D1801" t="s">
        <v>4682</v>
      </c>
      <c r="E1801" t="s">
        <v>4682</v>
      </c>
      <c r="F1801" t="s">
        <v>4682</v>
      </c>
      <c r="G1801">
        <v>1</v>
      </c>
      <c r="H1801" t="s">
        <v>4682</v>
      </c>
      <c r="I1801" t="str" cm="1">
        <f t="array" ref="I1801">_xlfn.IFS(B1801&lt;18.5, "Underweight", B1801&lt;=24.9, "Normal Weight", B1801&lt;=29.9, "Overweight", TRUE, "Obesity")</f>
        <v>Obesity</v>
      </c>
      <c r="J1801" t="str" cm="1">
        <f t="array" ref="J1801">_xlfn.IFS(C1801&lt;5.7, "Normal", C1801&lt;=6.4, "Prediabetes", TRUE, "Diabetes")</f>
        <v>Prediabetes</v>
      </c>
    </row>
    <row r="1802" spans="1:10">
      <c r="A1802" t="s">
        <v>3602</v>
      </c>
      <c r="B1802">
        <v>43.12</v>
      </c>
      <c r="C1802">
        <v>6.25</v>
      </c>
      <c r="D1802" t="s">
        <v>4682</v>
      </c>
      <c r="E1802" t="s">
        <v>4682</v>
      </c>
      <c r="F1802" t="s">
        <v>4682</v>
      </c>
      <c r="G1802">
        <v>1</v>
      </c>
      <c r="H1802" t="s">
        <v>4682</v>
      </c>
      <c r="I1802" t="str" cm="1">
        <f t="array" ref="I1802">_xlfn.IFS(B1802&lt;18.5, "Underweight", B1802&lt;=24.9, "Normal Weight", B1802&lt;=29.9, "Overweight", TRUE, "Obesity")</f>
        <v>Obesity</v>
      </c>
      <c r="J1802" t="str" cm="1">
        <f t="array" ref="J1802">_xlfn.IFS(C1802&lt;5.7, "Normal", C1802&lt;=6.4, "Prediabetes", TRUE, "Diabetes")</f>
        <v>Prediabetes</v>
      </c>
    </row>
    <row r="1803" spans="1:10">
      <c r="A1803" t="s">
        <v>3604</v>
      </c>
      <c r="B1803">
        <v>30.5</v>
      </c>
      <c r="C1803">
        <v>4.8099999999999996</v>
      </c>
      <c r="D1803" t="s">
        <v>4682</v>
      </c>
      <c r="E1803" t="s">
        <v>4682</v>
      </c>
      <c r="F1803" t="s">
        <v>4682</v>
      </c>
      <c r="G1803">
        <v>1</v>
      </c>
      <c r="H1803" t="s">
        <v>4682</v>
      </c>
      <c r="I1803" t="str" cm="1">
        <f t="array" ref="I1803">_xlfn.IFS(B1803&lt;18.5, "Underweight", B1803&lt;=24.9, "Normal Weight", B1803&lt;=29.9, "Overweight", TRUE, "Obesity")</f>
        <v>Obesity</v>
      </c>
      <c r="J1803" t="str" cm="1">
        <f t="array" ref="J1803">_xlfn.IFS(C1803&lt;5.7, "Normal", C1803&lt;=6.4, "Prediabetes", TRUE, "Diabetes")</f>
        <v>Normal</v>
      </c>
    </row>
    <row r="1804" spans="1:10">
      <c r="A1804" t="s">
        <v>3606</v>
      </c>
      <c r="B1804">
        <v>27.61</v>
      </c>
      <c r="C1804">
        <v>4.5999999999999996</v>
      </c>
      <c r="D1804" t="s">
        <v>4682</v>
      </c>
      <c r="E1804" t="s">
        <v>4682</v>
      </c>
      <c r="F1804" t="s">
        <v>4682</v>
      </c>
      <c r="G1804">
        <v>1</v>
      </c>
      <c r="H1804" t="s">
        <v>4682</v>
      </c>
      <c r="I1804" t="str" cm="1">
        <f t="array" ref="I1804">_xlfn.IFS(B1804&lt;18.5, "Underweight", B1804&lt;=24.9, "Normal Weight", B1804&lt;=29.9, "Overweight", TRUE, "Obesity")</f>
        <v>Overweight</v>
      </c>
      <c r="J1804" t="str" cm="1">
        <f t="array" ref="J1804">_xlfn.IFS(C1804&lt;5.7, "Normal", C1804&lt;=6.4, "Prediabetes", TRUE, "Diabetes")</f>
        <v>Normal</v>
      </c>
    </row>
    <row r="1805" spans="1:10">
      <c r="A1805" t="s">
        <v>3608</v>
      </c>
      <c r="B1805">
        <v>27.1</v>
      </c>
      <c r="C1805">
        <v>5.08</v>
      </c>
      <c r="D1805" t="s">
        <v>4682</v>
      </c>
      <c r="E1805" t="s">
        <v>4682</v>
      </c>
      <c r="F1805" t="s">
        <v>4682</v>
      </c>
      <c r="G1805">
        <v>1</v>
      </c>
      <c r="H1805" t="s">
        <v>4682</v>
      </c>
      <c r="I1805" t="str" cm="1">
        <f t="array" ref="I1805">_xlfn.IFS(B1805&lt;18.5, "Underweight", B1805&lt;=24.9, "Normal Weight", B1805&lt;=29.9, "Overweight", TRUE, "Obesity")</f>
        <v>Overweight</v>
      </c>
      <c r="J1805" t="str" cm="1">
        <f t="array" ref="J1805">_xlfn.IFS(C1805&lt;5.7, "Normal", C1805&lt;=6.4, "Prediabetes", TRUE, "Diabetes")</f>
        <v>Normal</v>
      </c>
    </row>
    <row r="1806" spans="1:10">
      <c r="A1806" t="s">
        <v>3610</v>
      </c>
      <c r="B1806">
        <v>35.93</v>
      </c>
      <c r="C1806">
        <v>5.43</v>
      </c>
      <c r="D1806" t="s">
        <v>4682</v>
      </c>
      <c r="E1806" t="s">
        <v>4683</v>
      </c>
      <c r="F1806" t="s">
        <v>4682</v>
      </c>
      <c r="G1806">
        <v>1</v>
      </c>
      <c r="H1806" t="s">
        <v>4682</v>
      </c>
      <c r="I1806" t="str" cm="1">
        <f t="array" ref="I1806">_xlfn.IFS(B1806&lt;18.5, "Underweight", B1806&lt;=24.9, "Normal Weight", B1806&lt;=29.9, "Overweight", TRUE, "Obesity")</f>
        <v>Obesity</v>
      </c>
      <c r="J1806" t="str" cm="1">
        <f t="array" ref="J1806">_xlfn.IFS(C1806&lt;5.7, "Normal", C1806&lt;=6.4, "Prediabetes", TRUE, "Diabetes")</f>
        <v>Normal</v>
      </c>
    </row>
    <row r="1807" spans="1:10">
      <c r="A1807" t="s">
        <v>3612</v>
      </c>
      <c r="B1807">
        <v>32.68</v>
      </c>
      <c r="C1807">
        <v>5.44</v>
      </c>
      <c r="D1807" t="s">
        <v>4682</v>
      </c>
      <c r="E1807" t="s">
        <v>4682</v>
      </c>
      <c r="F1807" t="s">
        <v>4682</v>
      </c>
      <c r="G1807">
        <v>0</v>
      </c>
      <c r="H1807" t="s">
        <v>4682</v>
      </c>
      <c r="I1807" t="str" cm="1">
        <f t="array" ref="I1807">_xlfn.IFS(B1807&lt;18.5, "Underweight", B1807&lt;=24.9, "Normal Weight", B1807&lt;=29.9, "Overweight", TRUE, "Obesity")</f>
        <v>Obesity</v>
      </c>
      <c r="J1807" t="str" cm="1">
        <f t="array" ref="J1807">_xlfn.IFS(C1807&lt;5.7, "Normal", C1807&lt;=6.4, "Prediabetes", TRUE, "Diabetes")</f>
        <v>Normal</v>
      </c>
    </row>
    <row r="1808" spans="1:10">
      <c r="A1808" t="s">
        <v>3614</v>
      </c>
      <c r="B1808">
        <v>20.74</v>
      </c>
      <c r="C1808">
        <v>11.69</v>
      </c>
      <c r="D1808" t="s">
        <v>4683</v>
      </c>
      <c r="E1808" t="s">
        <v>4682</v>
      </c>
      <c r="F1808" t="s">
        <v>4682</v>
      </c>
      <c r="G1808">
        <v>1</v>
      </c>
      <c r="H1808" t="s">
        <v>4682</v>
      </c>
      <c r="I1808" t="str" cm="1">
        <f t="array" ref="I1808">_xlfn.IFS(B1808&lt;18.5, "Underweight", B1808&lt;=24.9, "Normal Weight", B1808&lt;=29.9, "Overweight", TRUE, "Obesity")</f>
        <v>Normal Weight</v>
      </c>
      <c r="J1808" t="str" cm="1">
        <f t="array" ref="J1808">_xlfn.IFS(C1808&lt;5.7, "Normal", C1808&lt;=6.4, "Prediabetes", TRUE, "Diabetes")</f>
        <v>Diabetes</v>
      </c>
    </row>
    <row r="1809" spans="1:10">
      <c r="A1809" t="s">
        <v>3616</v>
      </c>
      <c r="B1809">
        <v>15.57</v>
      </c>
      <c r="C1809">
        <v>6.07</v>
      </c>
      <c r="D1809" t="s">
        <v>4682</v>
      </c>
      <c r="E1809" t="s">
        <v>4682</v>
      </c>
      <c r="F1809" t="s">
        <v>4682</v>
      </c>
      <c r="G1809">
        <v>0</v>
      </c>
      <c r="H1809" t="s">
        <v>4682</v>
      </c>
      <c r="I1809" t="str" cm="1">
        <f t="array" ref="I1809">_xlfn.IFS(B1809&lt;18.5, "Underweight", B1809&lt;=24.9, "Normal Weight", B1809&lt;=29.9, "Overweight", TRUE, "Obesity")</f>
        <v>Underweight</v>
      </c>
      <c r="J1809" t="str" cm="1">
        <f t="array" ref="J1809">_xlfn.IFS(C1809&lt;5.7, "Normal", C1809&lt;=6.4, "Prediabetes", TRUE, "Diabetes")</f>
        <v>Prediabetes</v>
      </c>
    </row>
    <row r="1810" spans="1:10">
      <c r="A1810" t="s">
        <v>3618</v>
      </c>
      <c r="B1810">
        <v>23.844999999999999</v>
      </c>
      <c r="C1810">
        <v>4.3600000000000003</v>
      </c>
      <c r="D1810" t="s">
        <v>4682</v>
      </c>
      <c r="E1810" t="s">
        <v>4682</v>
      </c>
      <c r="F1810" t="s">
        <v>4682</v>
      </c>
      <c r="G1810">
        <v>0</v>
      </c>
      <c r="H1810" t="s">
        <v>4682</v>
      </c>
      <c r="I1810" t="str" cm="1">
        <f t="array" ref="I1810">_xlfn.IFS(B1810&lt;18.5, "Underweight", B1810&lt;=24.9, "Normal Weight", B1810&lt;=29.9, "Overweight", TRUE, "Obesity")</f>
        <v>Normal Weight</v>
      </c>
      <c r="J1810" t="str" cm="1">
        <f t="array" ref="J1810">_xlfn.IFS(C1810&lt;5.7, "Normal", C1810&lt;=6.4, "Prediabetes", TRUE, "Diabetes")</f>
        <v>Normal</v>
      </c>
    </row>
    <row r="1811" spans="1:10">
      <c r="A1811" t="s">
        <v>3620</v>
      </c>
      <c r="B1811">
        <v>22.895</v>
      </c>
      <c r="C1811">
        <v>5.24</v>
      </c>
      <c r="D1811" t="s">
        <v>4682</v>
      </c>
      <c r="E1811" t="s">
        <v>4682</v>
      </c>
      <c r="F1811" t="s">
        <v>4682</v>
      </c>
      <c r="G1811">
        <v>1</v>
      </c>
      <c r="H1811" t="s">
        <v>4682</v>
      </c>
      <c r="I1811" t="str" cm="1">
        <f t="array" ref="I1811">_xlfn.IFS(B1811&lt;18.5, "Underweight", B1811&lt;=24.9, "Normal Weight", B1811&lt;=29.9, "Overweight", TRUE, "Obesity")</f>
        <v>Normal Weight</v>
      </c>
      <c r="J1811" t="str" cm="1">
        <f t="array" ref="J1811">_xlfn.IFS(C1811&lt;5.7, "Normal", C1811&lt;=6.4, "Prediabetes", TRUE, "Diabetes")</f>
        <v>Normal</v>
      </c>
    </row>
    <row r="1812" spans="1:10">
      <c r="A1812" t="s">
        <v>3622</v>
      </c>
      <c r="B1812">
        <v>21.945</v>
      </c>
      <c r="C1812">
        <v>5.37</v>
      </c>
      <c r="D1812" t="s">
        <v>4682</v>
      </c>
      <c r="E1812" t="s">
        <v>4682</v>
      </c>
      <c r="F1812" t="s">
        <v>4682</v>
      </c>
      <c r="G1812">
        <v>1</v>
      </c>
      <c r="H1812" t="s">
        <v>4682</v>
      </c>
      <c r="I1812" t="str" cm="1">
        <f t="array" ref="I1812">_xlfn.IFS(B1812&lt;18.5, "Underweight", B1812&lt;=24.9, "Normal Weight", B1812&lt;=29.9, "Overweight", TRUE, "Obesity")</f>
        <v>Normal Weight</v>
      </c>
      <c r="J1812" t="str" cm="1">
        <f t="array" ref="J1812">_xlfn.IFS(C1812&lt;5.7, "Normal", C1812&lt;=6.4, "Prediabetes", TRUE, "Diabetes")</f>
        <v>Normal</v>
      </c>
    </row>
    <row r="1813" spans="1:10">
      <c r="A1813" t="s">
        <v>3624</v>
      </c>
      <c r="B1813">
        <v>19.47</v>
      </c>
      <c r="C1813">
        <v>6.6</v>
      </c>
      <c r="D1813" t="s">
        <v>4683</v>
      </c>
      <c r="E1813" t="s">
        <v>4682</v>
      </c>
      <c r="F1813" t="s">
        <v>4682</v>
      </c>
      <c r="G1813">
        <v>0</v>
      </c>
      <c r="H1813" t="s">
        <v>4682</v>
      </c>
      <c r="I1813" t="str" cm="1">
        <f t="array" ref="I1813">_xlfn.IFS(B1813&lt;18.5, "Underweight", B1813&lt;=24.9, "Normal Weight", B1813&lt;=29.9, "Overweight", TRUE, "Obesity")</f>
        <v>Normal Weight</v>
      </c>
      <c r="J1813" t="str" cm="1">
        <f t="array" ref="J1813">_xlfn.IFS(C1813&lt;5.7, "Normal", C1813&lt;=6.4, "Prediabetes", TRUE, "Diabetes")</f>
        <v>Diabetes</v>
      </c>
    </row>
    <row r="1814" spans="1:10">
      <c r="A1814" t="s">
        <v>3626</v>
      </c>
      <c r="B1814">
        <v>15.61</v>
      </c>
      <c r="C1814">
        <v>5.77</v>
      </c>
      <c r="D1814" t="s">
        <v>4682</v>
      </c>
      <c r="E1814" t="s">
        <v>4682</v>
      </c>
      <c r="F1814" t="s">
        <v>4682</v>
      </c>
      <c r="G1814">
        <v>0</v>
      </c>
      <c r="H1814" t="s">
        <v>4682</v>
      </c>
      <c r="I1814" t="str" cm="1">
        <f t="array" ref="I1814">_xlfn.IFS(B1814&lt;18.5, "Underweight", B1814&lt;=24.9, "Normal Weight", B1814&lt;=29.9, "Overweight", TRUE, "Obesity")</f>
        <v>Underweight</v>
      </c>
      <c r="J1814" t="str" cm="1">
        <f t="array" ref="J1814">_xlfn.IFS(C1814&lt;5.7, "Normal", C1814&lt;=6.4, "Prediabetes", TRUE, "Diabetes")</f>
        <v>Prediabetes</v>
      </c>
    </row>
    <row r="1815" spans="1:10">
      <c r="A1815" t="s">
        <v>3628</v>
      </c>
      <c r="B1815">
        <v>28.6</v>
      </c>
      <c r="C1815">
        <v>6.08</v>
      </c>
      <c r="D1815" t="s">
        <v>4682</v>
      </c>
      <c r="E1815" t="s">
        <v>4682</v>
      </c>
      <c r="F1815" t="s">
        <v>4684</v>
      </c>
      <c r="G1815">
        <v>1</v>
      </c>
      <c r="H1815" t="s">
        <v>4682</v>
      </c>
      <c r="I1815" t="str" cm="1">
        <f t="array" ref="I1815">_xlfn.IFS(B1815&lt;18.5, "Underweight", B1815&lt;=24.9, "Normal Weight", B1815&lt;=29.9, "Overweight", TRUE, "Obesity")</f>
        <v>Overweight</v>
      </c>
      <c r="J1815" t="str" cm="1">
        <f t="array" ref="J1815">_xlfn.IFS(C1815&lt;5.7, "Normal", C1815&lt;=6.4, "Prediabetes", TRUE, "Diabetes")</f>
        <v>Prediabetes</v>
      </c>
    </row>
    <row r="1816" spans="1:10">
      <c r="A1816" t="s">
        <v>3630</v>
      </c>
      <c r="B1816">
        <v>46.53</v>
      </c>
      <c r="C1816">
        <v>4.16</v>
      </c>
      <c r="D1816" t="s">
        <v>4682</v>
      </c>
      <c r="E1816" t="s">
        <v>4682</v>
      </c>
      <c r="F1816" t="s">
        <v>4682</v>
      </c>
      <c r="G1816">
        <v>0</v>
      </c>
      <c r="H1816" t="s">
        <v>4682</v>
      </c>
      <c r="I1816" t="str" cm="1">
        <f t="array" ref="I1816">_xlfn.IFS(B1816&lt;18.5, "Underweight", B1816&lt;=24.9, "Normal Weight", B1816&lt;=29.9, "Overweight", TRUE, "Obesity")</f>
        <v>Obesity</v>
      </c>
      <c r="J1816" t="str" cm="1">
        <f t="array" ref="J1816">_xlfn.IFS(C1816&lt;5.7, "Normal", C1816&lt;=6.4, "Prediabetes", TRUE, "Diabetes")</f>
        <v>Normal</v>
      </c>
    </row>
    <row r="1817" spans="1:10">
      <c r="A1817" t="s">
        <v>3632</v>
      </c>
      <c r="B1817">
        <v>34.99</v>
      </c>
      <c r="C1817">
        <v>5.0999999999999996</v>
      </c>
      <c r="D1817" t="s">
        <v>4682</v>
      </c>
      <c r="E1817" t="s">
        <v>4682</v>
      </c>
      <c r="F1817" t="s">
        <v>4684</v>
      </c>
      <c r="G1817">
        <v>1</v>
      </c>
      <c r="H1817" t="s">
        <v>4682</v>
      </c>
      <c r="I1817" t="str" cm="1">
        <f t="array" ref="I1817">_xlfn.IFS(B1817&lt;18.5, "Underweight", B1817&lt;=24.9, "Normal Weight", B1817&lt;=29.9, "Overweight", TRUE, "Obesity")</f>
        <v>Obesity</v>
      </c>
      <c r="J1817" t="str" cm="1">
        <f t="array" ref="J1817">_xlfn.IFS(C1817&lt;5.7, "Normal", C1817&lt;=6.4, "Prediabetes", TRUE, "Diabetes")</f>
        <v>Normal</v>
      </c>
    </row>
    <row r="1818" spans="1:10">
      <c r="A1818" t="s">
        <v>3634</v>
      </c>
      <c r="B1818">
        <v>17.05</v>
      </c>
      <c r="C1818">
        <v>5.3</v>
      </c>
      <c r="D1818" t="s">
        <v>4682</v>
      </c>
      <c r="E1818" t="s">
        <v>4682</v>
      </c>
      <c r="F1818" t="s">
        <v>4684</v>
      </c>
      <c r="G1818">
        <v>1</v>
      </c>
      <c r="H1818" t="s">
        <v>4682</v>
      </c>
      <c r="I1818" t="str" cm="1">
        <f t="array" ref="I1818">_xlfn.IFS(B1818&lt;18.5, "Underweight", B1818&lt;=24.9, "Normal Weight", B1818&lt;=29.9, "Overweight", TRUE, "Obesity")</f>
        <v>Underweight</v>
      </c>
      <c r="J1818" t="str" cm="1">
        <f t="array" ref="J1818">_xlfn.IFS(C1818&lt;5.7, "Normal", C1818&lt;=6.4, "Prediabetes", TRUE, "Diabetes")</f>
        <v>Normal</v>
      </c>
    </row>
    <row r="1819" spans="1:10">
      <c r="A1819" t="s">
        <v>3636</v>
      </c>
      <c r="B1819">
        <v>37.18</v>
      </c>
      <c r="C1819">
        <v>4.9000000000000004</v>
      </c>
      <c r="D1819" t="s">
        <v>4682</v>
      </c>
      <c r="E1819" t="s">
        <v>4682</v>
      </c>
      <c r="F1819" t="s">
        <v>4682</v>
      </c>
      <c r="G1819">
        <v>0</v>
      </c>
      <c r="H1819" t="s">
        <v>4682</v>
      </c>
      <c r="I1819" t="str" cm="1">
        <f t="array" ref="I1819">_xlfn.IFS(B1819&lt;18.5, "Underweight", B1819&lt;=24.9, "Normal Weight", B1819&lt;=29.9, "Overweight", TRUE, "Obesity")</f>
        <v>Obesity</v>
      </c>
      <c r="J1819" t="str" cm="1">
        <f t="array" ref="J1819">_xlfn.IFS(C1819&lt;5.7, "Normal", C1819&lt;=6.4, "Prediabetes", TRUE, "Diabetes")</f>
        <v>Normal</v>
      </c>
    </row>
    <row r="1820" spans="1:10">
      <c r="A1820" t="s">
        <v>3638</v>
      </c>
      <c r="B1820">
        <v>35.200000000000003</v>
      </c>
      <c r="C1820">
        <v>5.55</v>
      </c>
      <c r="D1820" t="s">
        <v>4682</v>
      </c>
      <c r="E1820" t="s">
        <v>4682</v>
      </c>
      <c r="F1820" t="s">
        <v>4682</v>
      </c>
      <c r="G1820">
        <v>0</v>
      </c>
      <c r="H1820" t="s">
        <v>4682</v>
      </c>
      <c r="I1820" t="str" cm="1">
        <f t="array" ref="I1820">_xlfn.IFS(B1820&lt;18.5, "Underweight", B1820&lt;=24.9, "Normal Weight", B1820&lt;=29.9, "Overweight", TRUE, "Obesity")</f>
        <v>Obesity</v>
      </c>
      <c r="J1820" t="str" cm="1">
        <f t="array" ref="J1820">_xlfn.IFS(C1820&lt;5.7, "Normal", C1820&lt;=6.4, "Prediabetes", TRUE, "Diabetes")</f>
        <v>Normal</v>
      </c>
    </row>
    <row r="1821" spans="1:10">
      <c r="A1821" t="s">
        <v>3640</v>
      </c>
      <c r="B1821">
        <v>37.335000000000001</v>
      </c>
      <c r="C1821">
        <v>4.95</v>
      </c>
      <c r="D1821" t="s">
        <v>4682</v>
      </c>
      <c r="E1821" t="s">
        <v>4682</v>
      </c>
      <c r="F1821" t="s">
        <v>4682</v>
      </c>
      <c r="G1821">
        <v>0</v>
      </c>
      <c r="H1821" t="s">
        <v>4682</v>
      </c>
      <c r="I1821" t="str" cm="1">
        <f t="array" ref="I1821">_xlfn.IFS(B1821&lt;18.5, "Underweight", B1821&lt;=24.9, "Normal Weight", B1821&lt;=29.9, "Overweight", TRUE, "Obesity")</f>
        <v>Obesity</v>
      </c>
      <c r="J1821" t="str" cm="1">
        <f t="array" ref="J1821">_xlfn.IFS(C1821&lt;5.7, "Normal", C1821&lt;=6.4, "Prediabetes", TRUE, "Diabetes")</f>
        <v>Normal</v>
      </c>
    </row>
    <row r="1822" spans="1:10">
      <c r="A1822" t="s">
        <v>3642</v>
      </c>
      <c r="B1822">
        <v>27.265000000000001</v>
      </c>
      <c r="C1822">
        <v>6.46</v>
      </c>
      <c r="D1822" t="s">
        <v>4683</v>
      </c>
      <c r="E1822" t="s">
        <v>4682</v>
      </c>
      <c r="F1822" t="s">
        <v>4682</v>
      </c>
      <c r="G1822">
        <v>0</v>
      </c>
      <c r="H1822" t="s">
        <v>4682</v>
      </c>
      <c r="I1822" t="str" cm="1">
        <f t="array" ref="I1822">_xlfn.IFS(B1822&lt;18.5, "Underweight", B1822&lt;=24.9, "Normal Weight", B1822&lt;=29.9, "Overweight", TRUE, "Obesity")</f>
        <v>Overweight</v>
      </c>
      <c r="J1822" t="str" cm="1">
        <f t="array" ref="J1822">_xlfn.IFS(C1822&lt;5.7, "Normal", C1822&lt;=6.4, "Prediabetes", TRUE, "Diabetes")</f>
        <v>Diabetes</v>
      </c>
    </row>
    <row r="1823" spans="1:10">
      <c r="A1823" t="s">
        <v>3644</v>
      </c>
      <c r="B1823">
        <v>30.8</v>
      </c>
      <c r="C1823">
        <v>4.9000000000000004</v>
      </c>
      <c r="D1823" t="s">
        <v>4683</v>
      </c>
      <c r="E1823" t="s">
        <v>4682</v>
      </c>
      <c r="F1823" t="s">
        <v>4682</v>
      </c>
      <c r="G1823">
        <v>0</v>
      </c>
      <c r="H1823" t="s">
        <v>4682</v>
      </c>
      <c r="I1823" t="str" cm="1">
        <f t="array" ref="I1823">_xlfn.IFS(B1823&lt;18.5, "Underweight", B1823&lt;=24.9, "Normal Weight", B1823&lt;=29.9, "Overweight", TRUE, "Obesity")</f>
        <v>Obesity</v>
      </c>
      <c r="J1823" t="str" cm="1">
        <f t="array" ref="J1823">_xlfn.IFS(C1823&lt;5.7, "Normal", C1823&lt;=6.4, "Prediabetes", TRUE, "Diabetes")</f>
        <v>Normal</v>
      </c>
    </row>
    <row r="1824" spans="1:10">
      <c r="A1824" t="s">
        <v>3646</v>
      </c>
      <c r="B1824">
        <v>30.21</v>
      </c>
      <c r="C1824">
        <v>5.21</v>
      </c>
      <c r="D1824" t="s">
        <v>4682</v>
      </c>
      <c r="E1824" t="s">
        <v>4682</v>
      </c>
      <c r="F1824" t="s">
        <v>4682</v>
      </c>
      <c r="G1824">
        <v>1</v>
      </c>
      <c r="H1824" t="s">
        <v>4682</v>
      </c>
      <c r="I1824" t="str" cm="1">
        <f t="array" ref="I1824">_xlfn.IFS(B1824&lt;18.5, "Underweight", B1824&lt;=24.9, "Normal Weight", B1824&lt;=29.9, "Overweight", TRUE, "Obesity")</f>
        <v>Obesity</v>
      </c>
      <c r="J1824" t="str" cm="1">
        <f t="array" ref="J1824">_xlfn.IFS(C1824&lt;5.7, "Normal", C1824&lt;=6.4, "Prediabetes", TRUE, "Diabetes")</f>
        <v>Normal</v>
      </c>
    </row>
    <row r="1825" spans="1:10">
      <c r="A1825" t="s">
        <v>3648</v>
      </c>
      <c r="B1825">
        <v>35.340000000000003</v>
      </c>
      <c r="C1825">
        <v>4.13</v>
      </c>
      <c r="D1825" t="s">
        <v>4682</v>
      </c>
      <c r="E1825" t="s">
        <v>4683</v>
      </c>
      <c r="F1825" t="s">
        <v>4682</v>
      </c>
      <c r="G1825">
        <v>1</v>
      </c>
      <c r="H1825" t="s">
        <v>4682</v>
      </c>
      <c r="I1825" t="str" cm="1">
        <f t="array" ref="I1825">_xlfn.IFS(B1825&lt;18.5, "Underweight", B1825&lt;=24.9, "Normal Weight", B1825&lt;=29.9, "Overweight", TRUE, "Obesity")</f>
        <v>Obesity</v>
      </c>
      <c r="J1825" t="str" cm="1">
        <f t="array" ref="J1825">_xlfn.IFS(C1825&lt;5.7, "Normal", C1825&lt;=6.4, "Prediabetes", TRUE, "Diabetes")</f>
        <v>Normal</v>
      </c>
    </row>
    <row r="1826" spans="1:10">
      <c r="A1826" t="s">
        <v>3650</v>
      </c>
      <c r="B1826">
        <v>26.695</v>
      </c>
      <c r="C1826">
        <v>5.28</v>
      </c>
      <c r="D1826" t="s">
        <v>4682</v>
      </c>
      <c r="E1826" t="s">
        <v>4682</v>
      </c>
      <c r="F1826" t="s">
        <v>4682</v>
      </c>
      <c r="G1826">
        <v>0</v>
      </c>
      <c r="H1826" t="s">
        <v>4682</v>
      </c>
      <c r="I1826" t="str" cm="1">
        <f t="array" ref="I1826">_xlfn.IFS(B1826&lt;18.5, "Underweight", B1826&lt;=24.9, "Normal Weight", B1826&lt;=29.9, "Overweight", TRUE, "Obesity")</f>
        <v>Overweight</v>
      </c>
      <c r="J1826" t="str" cm="1">
        <f t="array" ref="J1826">_xlfn.IFS(C1826&lt;5.7, "Normal", C1826&lt;=6.4, "Prediabetes", TRUE, "Diabetes")</f>
        <v>Normal</v>
      </c>
    </row>
    <row r="1827" spans="1:10">
      <c r="A1827" t="s">
        <v>3652</v>
      </c>
      <c r="B1827">
        <v>29.355</v>
      </c>
      <c r="C1827">
        <v>4.68</v>
      </c>
      <c r="D1827" t="s">
        <v>4683</v>
      </c>
      <c r="E1827" t="s">
        <v>4682</v>
      </c>
      <c r="F1827" t="s">
        <v>4682</v>
      </c>
      <c r="G1827">
        <v>0</v>
      </c>
      <c r="H1827" t="s">
        <v>4682</v>
      </c>
      <c r="I1827" t="str" cm="1">
        <f t="array" ref="I1827">_xlfn.IFS(B1827&lt;18.5, "Underweight", B1827&lt;=24.9, "Normal Weight", B1827&lt;=29.9, "Overweight", TRUE, "Obesity")</f>
        <v>Overweight</v>
      </c>
      <c r="J1827" t="str" cm="1">
        <f t="array" ref="J1827">_xlfn.IFS(C1827&lt;5.7, "Normal", C1827&lt;=6.4, "Prediabetes", TRUE, "Diabetes")</f>
        <v>Normal</v>
      </c>
    </row>
    <row r="1828" spans="1:10">
      <c r="A1828" t="s">
        <v>3654</v>
      </c>
      <c r="B1828">
        <v>29.59</v>
      </c>
      <c r="C1828">
        <v>4.0599999999999996</v>
      </c>
      <c r="D1828" t="s">
        <v>4682</v>
      </c>
      <c r="E1828" t="s">
        <v>4682</v>
      </c>
      <c r="F1828" t="s">
        <v>4682</v>
      </c>
      <c r="G1828">
        <v>0</v>
      </c>
      <c r="H1828" t="s">
        <v>4682</v>
      </c>
      <c r="I1828" t="str" cm="1">
        <f t="array" ref="I1828">_xlfn.IFS(B1828&lt;18.5, "Underweight", B1828&lt;=24.9, "Normal Weight", B1828&lt;=29.9, "Overweight", TRUE, "Obesity")</f>
        <v>Overweight</v>
      </c>
      <c r="J1828" t="str" cm="1">
        <f t="array" ref="J1828">_xlfn.IFS(C1828&lt;5.7, "Normal", C1828&lt;=6.4, "Prediabetes", TRUE, "Diabetes")</f>
        <v>Normal</v>
      </c>
    </row>
    <row r="1829" spans="1:10">
      <c r="A1829" t="s">
        <v>3656</v>
      </c>
      <c r="B1829">
        <v>31.35</v>
      </c>
      <c r="C1829">
        <v>4.2</v>
      </c>
      <c r="D1829" t="s">
        <v>4682</v>
      </c>
      <c r="E1829" t="s">
        <v>4683</v>
      </c>
      <c r="F1829" t="s">
        <v>4682</v>
      </c>
      <c r="G1829">
        <v>1</v>
      </c>
      <c r="H1829" t="s">
        <v>4682</v>
      </c>
      <c r="I1829" t="str" cm="1">
        <f t="array" ref="I1829">_xlfn.IFS(B1829&lt;18.5, "Underweight", B1829&lt;=24.9, "Normal Weight", B1829&lt;=29.9, "Overweight", TRUE, "Obesity")</f>
        <v>Obesity</v>
      </c>
      <c r="J1829" t="str" cm="1">
        <f t="array" ref="J1829">_xlfn.IFS(C1829&lt;5.7, "Normal", C1829&lt;=6.4, "Prediabetes", TRUE, "Diabetes")</f>
        <v>Normal</v>
      </c>
    </row>
    <row r="1830" spans="1:10">
      <c r="A1830" t="s">
        <v>3658</v>
      </c>
      <c r="B1830">
        <v>20.52</v>
      </c>
      <c r="C1830">
        <v>4.83</v>
      </c>
      <c r="D1830" t="s">
        <v>4682</v>
      </c>
      <c r="E1830" t="s">
        <v>4682</v>
      </c>
      <c r="F1830" t="s">
        <v>4682</v>
      </c>
      <c r="G1830">
        <v>0</v>
      </c>
      <c r="H1830" t="s">
        <v>4682</v>
      </c>
      <c r="I1830" t="str" cm="1">
        <f t="array" ref="I1830">_xlfn.IFS(B1830&lt;18.5, "Underweight", B1830&lt;=24.9, "Normal Weight", B1830&lt;=29.9, "Overweight", TRUE, "Obesity")</f>
        <v>Normal Weight</v>
      </c>
      <c r="J1830" t="str" cm="1">
        <f t="array" ref="J1830">_xlfn.IFS(C1830&lt;5.7, "Normal", C1830&lt;=6.4, "Prediabetes", TRUE, "Diabetes")</f>
        <v>Normal</v>
      </c>
    </row>
    <row r="1831" spans="1:10">
      <c r="A1831" t="s">
        <v>3660</v>
      </c>
      <c r="B1831">
        <v>42.9</v>
      </c>
      <c r="C1831">
        <v>4.87</v>
      </c>
      <c r="D1831" t="s">
        <v>4683</v>
      </c>
      <c r="E1831" t="s">
        <v>4682</v>
      </c>
      <c r="F1831" t="s">
        <v>4682</v>
      </c>
      <c r="G1831">
        <v>1</v>
      </c>
      <c r="H1831" t="s">
        <v>4682</v>
      </c>
      <c r="I1831" t="str" cm="1">
        <f t="array" ref="I1831">_xlfn.IFS(B1831&lt;18.5, "Underweight", B1831&lt;=24.9, "Normal Weight", B1831&lt;=29.9, "Overweight", TRUE, "Obesity")</f>
        <v>Obesity</v>
      </c>
      <c r="J1831" t="str" cm="1">
        <f t="array" ref="J1831">_xlfn.IFS(C1831&lt;5.7, "Normal", C1831&lt;=6.4, "Prediabetes", TRUE, "Diabetes")</f>
        <v>Normal</v>
      </c>
    </row>
    <row r="1832" spans="1:10">
      <c r="A1832" t="s">
        <v>3662</v>
      </c>
      <c r="B1832">
        <v>24.6</v>
      </c>
      <c r="C1832">
        <v>5.86</v>
      </c>
      <c r="D1832" t="s">
        <v>4682</v>
      </c>
      <c r="E1832" t="s">
        <v>4682</v>
      </c>
      <c r="F1832" t="s">
        <v>4684</v>
      </c>
      <c r="G1832">
        <v>1</v>
      </c>
      <c r="H1832" t="s">
        <v>4682</v>
      </c>
      <c r="I1832" t="str" cm="1">
        <f t="array" ref="I1832">_xlfn.IFS(B1832&lt;18.5, "Underweight", B1832&lt;=24.9, "Normal Weight", B1832&lt;=29.9, "Overweight", TRUE, "Obesity")</f>
        <v>Normal Weight</v>
      </c>
      <c r="J1832" t="str" cm="1">
        <f t="array" ref="J1832">_xlfn.IFS(C1832&lt;5.7, "Normal", C1832&lt;=6.4, "Prediabetes", TRUE, "Diabetes")</f>
        <v>Prediabetes</v>
      </c>
    </row>
    <row r="1833" spans="1:10">
      <c r="A1833" t="s">
        <v>3664</v>
      </c>
      <c r="B1833">
        <v>28.405000000000001</v>
      </c>
      <c r="C1833">
        <v>4.12</v>
      </c>
      <c r="D1833" t="s">
        <v>4682</v>
      </c>
      <c r="E1833" t="s">
        <v>4682</v>
      </c>
      <c r="F1833" t="s">
        <v>4682</v>
      </c>
      <c r="G1833">
        <v>1</v>
      </c>
      <c r="H1833" t="s">
        <v>4682</v>
      </c>
      <c r="I1833" t="str" cm="1">
        <f t="array" ref="I1833">_xlfn.IFS(B1833&lt;18.5, "Underweight", B1833&lt;=24.9, "Normal Weight", B1833&lt;=29.9, "Overweight", TRUE, "Obesity")</f>
        <v>Overweight</v>
      </c>
      <c r="J1833" t="str" cm="1">
        <f t="array" ref="J1833">_xlfn.IFS(C1833&lt;5.7, "Normal", C1833&lt;=6.4, "Prediabetes", TRUE, "Diabetes")</f>
        <v>Normal</v>
      </c>
    </row>
    <row r="1834" spans="1:10">
      <c r="A1834" t="s">
        <v>3666</v>
      </c>
      <c r="B1834">
        <v>34.674999999999997</v>
      </c>
      <c r="C1834">
        <v>5.71</v>
      </c>
      <c r="D1834" t="s">
        <v>4683</v>
      </c>
      <c r="E1834" t="s">
        <v>4682</v>
      </c>
      <c r="F1834" t="s">
        <v>4682</v>
      </c>
      <c r="G1834">
        <v>1</v>
      </c>
      <c r="H1834" t="s">
        <v>4682</v>
      </c>
      <c r="I1834" t="str" cm="1">
        <f t="array" ref="I1834">_xlfn.IFS(B1834&lt;18.5, "Underweight", B1834&lt;=24.9, "Normal Weight", B1834&lt;=29.9, "Overweight", TRUE, "Obesity")</f>
        <v>Obesity</v>
      </c>
      <c r="J1834" t="str" cm="1">
        <f t="array" ref="J1834">_xlfn.IFS(C1834&lt;5.7, "Normal", C1834&lt;=6.4, "Prediabetes", TRUE, "Diabetes")</f>
        <v>Prediabetes</v>
      </c>
    </row>
    <row r="1835" spans="1:10">
      <c r="A1835" t="s">
        <v>3668</v>
      </c>
      <c r="B1835">
        <v>18.850000000000001</v>
      </c>
      <c r="C1835">
        <v>6.03</v>
      </c>
      <c r="D1835" t="s">
        <v>4682</v>
      </c>
      <c r="E1835" t="s">
        <v>4682</v>
      </c>
      <c r="F1835" t="s">
        <v>4682</v>
      </c>
      <c r="G1835">
        <v>1</v>
      </c>
      <c r="H1835" t="s">
        <v>4682</v>
      </c>
      <c r="I1835" t="str" cm="1">
        <f t="array" ref="I1835">_xlfn.IFS(B1835&lt;18.5, "Underweight", B1835&lt;=24.9, "Normal Weight", B1835&lt;=29.9, "Overweight", TRUE, "Obesity")</f>
        <v>Normal Weight</v>
      </c>
      <c r="J1835" t="str" cm="1">
        <f t="array" ref="J1835">_xlfn.IFS(C1835&lt;5.7, "Normal", C1835&lt;=6.4, "Prediabetes", TRUE, "Diabetes")</f>
        <v>Prediabetes</v>
      </c>
    </row>
    <row r="1836" spans="1:10">
      <c r="A1836" t="s">
        <v>3670</v>
      </c>
      <c r="B1836">
        <v>34.130000000000003</v>
      </c>
      <c r="C1836">
        <v>5.65</v>
      </c>
      <c r="D1836" t="s">
        <v>4682</v>
      </c>
      <c r="E1836" t="s">
        <v>4682</v>
      </c>
      <c r="F1836" t="s">
        <v>4684</v>
      </c>
      <c r="G1836">
        <v>1</v>
      </c>
      <c r="H1836" t="s">
        <v>4682</v>
      </c>
      <c r="I1836" t="str" cm="1">
        <f t="array" ref="I1836">_xlfn.IFS(B1836&lt;18.5, "Underweight", B1836&lt;=24.9, "Normal Weight", B1836&lt;=29.9, "Overweight", TRUE, "Obesity")</f>
        <v>Obesity</v>
      </c>
      <c r="J1836" t="str" cm="1">
        <f t="array" ref="J1836">_xlfn.IFS(C1836&lt;5.7, "Normal", C1836&lt;=6.4, "Prediabetes", TRUE, "Diabetes")</f>
        <v>Normal</v>
      </c>
    </row>
    <row r="1837" spans="1:10">
      <c r="A1837" t="s">
        <v>3672</v>
      </c>
      <c r="B1837">
        <v>17.34</v>
      </c>
      <c r="C1837">
        <v>5.05</v>
      </c>
      <c r="D1837" t="s">
        <v>4682</v>
      </c>
      <c r="E1837" t="s">
        <v>4682</v>
      </c>
      <c r="F1837" t="s">
        <v>4682</v>
      </c>
      <c r="G1837">
        <v>0</v>
      </c>
      <c r="H1837" t="s">
        <v>4682</v>
      </c>
      <c r="I1837" t="str" cm="1">
        <f t="array" ref="I1837">_xlfn.IFS(B1837&lt;18.5, "Underweight", B1837&lt;=24.9, "Normal Weight", B1837&lt;=29.9, "Overweight", TRUE, "Obesity")</f>
        <v>Underweight</v>
      </c>
      <c r="J1837" t="str" cm="1">
        <f t="array" ref="J1837">_xlfn.IFS(C1837&lt;5.7, "Normal", C1837&lt;=6.4, "Prediabetes", TRUE, "Diabetes")</f>
        <v>Normal</v>
      </c>
    </row>
    <row r="1838" spans="1:10">
      <c r="A1838" t="s">
        <v>3674</v>
      </c>
      <c r="B1838">
        <v>17.440000000000001</v>
      </c>
      <c r="C1838">
        <v>6.26</v>
      </c>
      <c r="D1838" t="s">
        <v>4682</v>
      </c>
      <c r="E1838" t="s">
        <v>4682</v>
      </c>
      <c r="F1838" t="s">
        <v>4682</v>
      </c>
      <c r="G1838">
        <v>0</v>
      </c>
      <c r="H1838" t="s">
        <v>4682</v>
      </c>
      <c r="I1838" t="str" cm="1">
        <f t="array" ref="I1838">_xlfn.IFS(B1838&lt;18.5, "Underweight", B1838&lt;=24.9, "Normal Weight", B1838&lt;=29.9, "Overweight", TRUE, "Obesity")</f>
        <v>Underweight</v>
      </c>
      <c r="J1838" t="str" cm="1">
        <f t="array" ref="J1838">_xlfn.IFS(C1838&lt;5.7, "Normal", C1838&lt;=6.4, "Prediabetes", TRUE, "Diabetes")</f>
        <v>Prediabetes</v>
      </c>
    </row>
    <row r="1839" spans="1:10">
      <c r="A1839" t="s">
        <v>3676</v>
      </c>
      <c r="B1839">
        <v>33.659999999999997</v>
      </c>
      <c r="C1839">
        <v>4.08</v>
      </c>
      <c r="D1839" t="s">
        <v>4683</v>
      </c>
      <c r="E1839" t="s">
        <v>4682</v>
      </c>
      <c r="F1839" t="s">
        <v>4684</v>
      </c>
      <c r="G1839">
        <v>1</v>
      </c>
      <c r="H1839" t="s">
        <v>4682</v>
      </c>
      <c r="I1839" t="str" cm="1">
        <f t="array" ref="I1839">_xlfn.IFS(B1839&lt;18.5, "Underweight", B1839&lt;=24.9, "Normal Weight", B1839&lt;=29.9, "Overweight", TRUE, "Obesity")</f>
        <v>Obesity</v>
      </c>
      <c r="J1839" t="str" cm="1">
        <f t="array" ref="J1839">_xlfn.IFS(C1839&lt;5.7, "Normal", C1839&lt;=6.4, "Prediabetes", TRUE, "Diabetes")</f>
        <v>Normal</v>
      </c>
    </row>
    <row r="1840" spans="1:10">
      <c r="A1840" t="s">
        <v>3678</v>
      </c>
      <c r="B1840">
        <v>21.375</v>
      </c>
      <c r="C1840">
        <v>6.19</v>
      </c>
      <c r="D1840" t="s">
        <v>4683</v>
      </c>
      <c r="E1840" t="s">
        <v>4682</v>
      </c>
      <c r="F1840" t="s">
        <v>4682</v>
      </c>
      <c r="G1840">
        <v>1</v>
      </c>
      <c r="H1840" t="s">
        <v>4682</v>
      </c>
      <c r="I1840" t="str" cm="1">
        <f t="array" ref="I1840">_xlfn.IFS(B1840&lt;18.5, "Underweight", B1840&lt;=24.9, "Normal Weight", B1840&lt;=29.9, "Overweight", TRUE, "Obesity")</f>
        <v>Normal Weight</v>
      </c>
      <c r="J1840" t="str" cm="1">
        <f t="array" ref="J1840">_xlfn.IFS(C1840&lt;5.7, "Normal", C1840&lt;=6.4, "Prediabetes", TRUE, "Diabetes")</f>
        <v>Prediabetes</v>
      </c>
    </row>
    <row r="1841" spans="1:10">
      <c r="A1841" t="s">
        <v>3680</v>
      </c>
      <c r="B1841">
        <v>27.14</v>
      </c>
      <c r="C1841">
        <v>6.01</v>
      </c>
      <c r="D1841" t="s">
        <v>4682</v>
      </c>
      <c r="E1841" t="s">
        <v>4682</v>
      </c>
      <c r="F1841" t="s">
        <v>4682</v>
      </c>
      <c r="G1841">
        <v>1</v>
      </c>
      <c r="H1841" t="s">
        <v>4682</v>
      </c>
      <c r="I1841" t="str" cm="1">
        <f t="array" ref="I1841">_xlfn.IFS(B1841&lt;18.5, "Underweight", B1841&lt;=24.9, "Normal Weight", B1841&lt;=29.9, "Overweight", TRUE, "Obesity")</f>
        <v>Overweight</v>
      </c>
      <c r="J1841" t="str" cm="1">
        <f t="array" ref="J1841">_xlfn.IFS(C1841&lt;5.7, "Normal", C1841&lt;=6.4, "Prediabetes", TRUE, "Diabetes")</f>
        <v>Prediabetes</v>
      </c>
    </row>
    <row r="1842" spans="1:10">
      <c r="A1842" t="s">
        <v>3682</v>
      </c>
      <c r="B1842">
        <v>35.78</v>
      </c>
      <c r="C1842">
        <v>6.07</v>
      </c>
      <c r="D1842" t="s">
        <v>4682</v>
      </c>
      <c r="E1842" t="s">
        <v>4683</v>
      </c>
      <c r="F1842" t="s">
        <v>4682</v>
      </c>
      <c r="G1842">
        <v>1</v>
      </c>
      <c r="H1842" t="s">
        <v>4682</v>
      </c>
      <c r="I1842" t="str" cm="1">
        <f t="array" ref="I1842">_xlfn.IFS(B1842&lt;18.5, "Underweight", B1842&lt;=24.9, "Normal Weight", B1842&lt;=29.9, "Overweight", TRUE, "Obesity")</f>
        <v>Obesity</v>
      </c>
      <c r="J1842" t="str" cm="1">
        <f t="array" ref="J1842">_xlfn.IFS(C1842&lt;5.7, "Normal", C1842&lt;=6.4, "Prediabetes", TRUE, "Diabetes")</f>
        <v>Prediabetes</v>
      </c>
    </row>
    <row r="1843" spans="1:10">
      <c r="A1843" t="s">
        <v>3684</v>
      </c>
      <c r="B1843">
        <v>34.96</v>
      </c>
      <c r="C1843">
        <v>5.63</v>
      </c>
      <c r="D1843" t="s">
        <v>4682</v>
      </c>
      <c r="E1843" t="s">
        <v>4682</v>
      </c>
      <c r="F1843" t="s">
        <v>4682</v>
      </c>
      <c r="G1843">
        <v>0</v>
      </c>
      <c r="H1843" t="s">
        <v>4682</v>
      </c>
      <c r="I1843" t="str" cm="1">
        <f t="array" ref="I1843">_xlfn.IFS(B1843&lt;18.5, "Underweight", B1843&lt;=24.9, "Normal Weight", B1843&lt;=29.9, "Overweight", TRUE, "Obesity")</f>
        <v>Obesity</v>
      </c>
      <c r="J1843" t="str" cm="1">
        <f t="array" ref="J1843">_xlfn.IFS(C1843&lt;5.7, "Normal", C1843&lt;=6.4, "Prediabetes", TRUE, "Diabetes")</f>
        <v>Normal</v>
      </c>
    </row>
    <row r="1844" spans="1:10">
      <c r="A1844" t="s">
        <v>3686</v>
      </c>
      <c r="B1844">
        <v>38.39</v>
      </c>
      <c r="C1844">
        <v>6.05</v>
      </c>
      <c r="D1844" t="s">
        <v>4682</v>
      </c>
      <c r="E1844" t="s">
        <v>4682</v>
      </c>
      <c r="F1844" t="s">
        <v>4682</v>
      </c>
      <c r="G1844">
        <v>0</v>
      </c>
      <c r="H1844" t="s">
        <v>4682</v>
      </c>
      <c r="I1844" t="str" cm="1">
        <f t="array" ref="I1844">_xlfn.IFS(B1844&lt;18.5, "Underweight", B1844&lt;=24.9, "Normal Weight", B1844&lt;=29.9, "Overweight", TRUE, "Obesity")</f>
        <v>Obesity</v>
      </c>
      <c r="J1844" t="str" cm="1">
        <f t="array" ref="J1844">_xlfn.IFS(C1844&lt;5.7, "Normal", C1844&lt;=6.4, "Prediabetes", TRUE, "Diabetes")</f>
        <v>Prediabetes</v>
      </c>
    </row>
    <row r="1845" spans="1:10">
      <c r="A1845" t="s">
        <v>3688</v>
      </c>
      <c r="B1845">
        <v>33.82</v>
      </c>
      <c r="C1845">
        <v>4.6500000000000004</v>
      </c>
      <c r="D1845" t="s">
        <v>4682</v>
      </c>
      <c r="E1845" t="s">
        <v>4682</v>
      </c>
      <c r="F1845" t="s">
        <v>4682</v>
      </c>
      <c r="G1845">
        <v>0</v>
      </c>
      <c r="H1845" t="s">
        <v>4682</v>
      </c>
      <c r="I1845" t="str" cm="1">
        <f t="array" ref="I1845">_xlfn.IFS(B1845&lt;18.5, "Underweight", B1845&lt;=24.9, "Normal Weight", B1845&lt;=29.9, "Overweight", TRUE, "Obesity")</f>
        <v>Obesity</v>
      </c>
      <c r="J1845" t="str" cm="1">
        <f t="array" ref="J1845">_xlfn.IFS(C1845&lt;5.7, "Normal", C1845&lt;=6.4, "Prediabetes", TRUE, "Diabetes")</f>
        <v>Normal</v>
      </c>
    </row>
    <row r="1846" spans="1:10">
      <c r="A1846" t="s">
        <v>3690</v>
      </c>
      <c r="B1846">
        <v>27.835000000000001</v>
      </c>
      <c r="C1846">
        <v>5.37</v>
      </c>
      <c r="D1846" t="s">
        <v>4682</v>
      </c>
      <c r="E1846" t="s">
        <v>4682</v>
      </c>
      <c r="F1846" t="s">
        <v>4682</v>
      </c>
      <c r="G1846">
        <v>0</v>
      </c>
      <c r="H1846" t="s">
        <v>4682</v>
      </c>
      <c r="I1846" t="str" cm="1">
        <f t="array" ref="I1846">_xlfn.IFS(B1846&lt;18.5, "Underweight", B1846&lt;=24.9, "Normal Weight", B1846&lt;=29.9, "Overweight", TRUE, "Obesity")</f>
        <v>Overweight</v>
      </c>
      <c r="J1846" t="str" cm="1">
        <f t="array" ref="J1846">_xlfn.IFS(C1846&lt;5.7, "Normal", C1846&lt;=6.4, "Prediabetes", TRUE, "Diabetes")</f>
        <v>Normal</v>
      </c>
    </row>
    <row r="1847" spans="1:10">
      <c r="A1847" t="s">
        <v>3692</v>
      </c>
      <c r="B1847">
        <v>33</v>
      </c>
      <c r="C1847">
        <v>5.39</v>
      </c>
      <c r="D1847" t="s">
        <v>4682</v>
      </c>
      <c r="E1847" t="s">
        <v>4682</v>
      </c>
      <c r="F1847" t="s">
        <v>4682</v>
      </c>
      <c r="G1847">
        <v>0</v>
      </c>
      <c r="H1847" t="s">
        <v>4682</v>
      </c>
      <c r="I1847" t="str" cm="1">
        <f t="array" ref="I1847">_xlfn.IFS(B1847&lt;18.5, "Underweight", B1847&lt;=24.9, "Normal Weight", B1847&lt;=29.9, "Overweight", TRUE, "Obesity")</f>
        <v>Obesity</v>
      </c>
      <c r="J1847" t="str" cm="1">
        <f t="array" ref="J1847">_xlfn.IFS(C1847&lt;5.7, "Normal", C1847&lt;=6.4, "Prediabetes", TRUE, "Diabetes")</f>
        <v>Normal</v>
      </c>
    </row>
    <row r="1848" spans="1:10">
      <c r="A1848" t="s">
        <v>3694</v>
      </c>
      <c r="B1848">
        <v>26.885000000000002</v>
      </c>
      <c r="C1848">
        <v>5.86</v>
      </c>
      <c r="D1848" t="s">
        <v>4682</v>
      </c>
      <c r="E1848" t="s">
        <v>4682</v>
      </c>
      <c r="F1848" t="s">
        <v>4682</v>
      </c>
      <c r="G1848">
        <v>0</v>
      </c>
      <c r="H1848" t="s">
        <v>4682</v>
      </c>
      <c r="I1848" t="str" cm="1">
        <f t="array" ref="I1848">_xlfn.IFS(B1848&lt;18.5, "Underweight", B1848&lt;=24.9, "Normal Weight", B1848&lt;=29.9, "Overweight", TRUE, "Obesity")</f>
        <v>Overweight</v>
      </c>
      <c r="J1848" t="str" cm="1">
        <f t="array" ref="J1848">_xlfn.IFS(C1848&lt;5.7, "Normal", C1848&lt;=6.4, "Prediabetes", TRUE, "Diabetes")</f>
        <v>Prediabetes</v>
      </c>
    </row>
    <row r="1849" spans="1:10">
      <c r="A1849" t="s">
        <v>3696</v>
      </c>
      <c r="B1849">
        <v>29.26</v>
      </c>
      <c r="C1849">
        <v>4.4400000000000004</v>
      </c>
      <c r="D1849" t="s">
        <v>4682</v>
      </c>
      <c r="E1849" t="s">
        <v>4682</v>
      </c>
      <c r="F1849" t="s">
        <v>4682</v>
      </c>
      <c r="G1849">
        <v>0</v>
      </c>
      <c r="H1849" t="s">
        <v>4682</v>
      </c>
      <c r="I1849" t="str" cm="1">
        <f t="array" ref="I1849">_xlfn.IFS(B1849&lt;18.5, "Underweight", B1849&lt;=24.9, "Normal Weight", B1849&lt;=29.9, "Overweight", TRUE, "Obesity")</f>
        <v>Overweight</v>
      </c>
      <c r="J1849" t="str" cm="1">
        <f t="array" ref="J1849">_xlfn.IFS(C1849&lt;5.7, "Normal", C1849&lt;=6.4, "Prediabetes", TRUE, "Diabetes")</f>
        <v>Normal</v>
      </c>
    </row>
    <row r="1850" spans="1:10">
      <c r="A1850" t="s">
        <v>3698</v>
      </c>
      <c r="B1850">
        <v>26.98</v>
      </c>
      <c r="C1850">
        <v>4.41</v>
      </c>
      <c r="D1850" t="s">
        <v>4682</v>
      </c>
      <c r="E1850" t="s">
        <v>4682</v>
      </c>
      <c r="F1850" t="s">
        <v>4682</v>
      </c>
      <c r="G1850">
        <v>0</v>
      </c>
      <c r="H1850" t="s">
        <v>4682</v>
      </c>
      <c r="I1850" t="str" cm="1">
        <f t="array" ref="I1850">_xlfn.IFS(B1850&lt;18.5, "Underweight", B1850&lt;=24.9, "Normal Weight", B1850&lt;=29.9, "Overweight", TRUE, "Obesity")</f>
        <v>Overweight</v>
      </c>
      <c r="J1850" t="str" cm="1">
        <f t="array" ref="J1850">_xlfn.IFS(C1850&lt;5.7, "Normal", C1850&lt;=6.4, "Prediabetes", TRUE, "Diabetes")</f>
        <v>Normal</v>
      </c>
    </row>
    <row r="1851" spans="1:10">
      <c r="A1851" t="s">
        <v>3700</v>
      </c>
      <c r="B1851">
        <v>32.11</v>
      </c>
      <c r="C1851">
        <v>5.19</v>
      </c>
      <c r="D1851" t="s">
        <v>4682</v>
      </c>
      <c r="E1851" t="s">
        <v>4682</v>
      </c>
      <c r="F1851" t="s">
        <v>4684</v>
      </c>
      <c r="G1851">
        <v>1</v>
      </c>
      <c r="H1851" t="s">
        <v>4682</v>
      </c>
      <c r="I1851" t="str" cm="1">
        <f t="array" ref="I1851">_xlfn.IFS(B1851&lt;18.5, "Underweight", B1851&lt;=24.9, "Normal Weight", B1851&lt;=29.9, "Overweight", TRUE, "Obesity")</f>
        <v>Obesity</v>
      </c>
      <c r="J1851" t="str" cm="1">
        <f t="array" ref="J1851">_xlfn.IFS(C1851&lt;5.7, "Normal", C1851&lt;=6.4, "Prediabetes", TRUE, "Diabetes")</f>
        <v>Normal</v>
      </c>
    </row>
    <row r="1852" spans="1:10">
      <c r="A1852" t="s">
        <v>3702</v>
      </c>
      <c r="B1852">
        <v>31.73</v>
      </c>
      <c r="C1852">
        <v>5.16</v>
      </c>
      <c r="D1852" t="s">
        <v>4682</v>
      </c>
      <c r="E1852" t="s">
        <v>4682</v>
      </c>
      <c r="F1852" t="s">
        <v>4684</v>
      </c>
      <c r="G1852">
        <v>1</v>
      </c>
      <c r="H1852" t="s">
        <v>4682</v>
      </c>
      <c r="I1852" t="str" cm="1">
        <f t="array" ref="I1852">_xlfn.IFS(B1852&lt;18.5, "Underweight", B1852&lt;=24.9, "Normal Weight", B1852&lt;=29.9, "Overweight", TRUE, "Obesity")</f>
        <v>Obesity</v>
      </c>
      <c r="J1852" t="str" cm="1">
        <f t="array" ref="J1852">_xlfn.IFS(C1852&lt;5.7, "Normal", C1852&lt;=6.4, "Prediabetes", TRUE, "Diabetes")</f>
        <v>Normal</v>
      </c>
    </row>
    <row r="1853" spans="1:10">
      <c r="A1853" t="s">
        <v>3704</v>
      </c>
      <c r="B1853">
        <v>22.515000000000001</v>
      </c>
      <c r="C1853">
        <v>4.24</v>
      </c>
      <c r="D1853" t="s">
        <v>4682</v>
      </c>
      <c r="E1853" t="s">
        <v>4682</v>
      </c>
      <c r="F1853" t="s">
        <v>4682</v>
      </c>
      <c r="G1853">
        <v>0</v>
      </c>
      <c r="H1853" t="s">
        <v>4682</v>
      </c>
      <c r="I1853" t="str" cm="1">
        <f t="array" ref="I1853">_xlfn.IFS(B1853&lt;18.5, "Underweight", B1853&lt;=24.9, "Normal Weight", B1853&lt;=29.9, "Overweight", TRUE, "Obesity")</f>
        <v>Normal Weight</v>
      </c>
      <c r="J1853" t="str" cm="1">
        <f t="array" ref="J1853">_xlfn.IFS(C1853&lt;5.7, "Normal", C1853&lt;=6.4, "Prediabetes", TRUE, "Diabetes")</f>
        <v>Normal</v>
      </c>
    </row>
    <row r="1854" spans="1:10">
      <c r="A1854" t="s">
        <v>3706</v>
      </c>
      <c r="B1854">
        <v>25.9</v>
      </c>
      <c r="C1854">
        <v>5.45</v>
      </c>
      <c r="D1854" t="s">
        <v>4682</v>
      </c>
      <c r="E1854" t="s">
        <v>4682</v>
      </c>
      <c r="F1854" t="s">
        <v>4682</v>
      </c>
      <c r="G1854">
        <v>1</v>
      </c>
      <c r="H1854" t="s">
        <v>4682</v>
      </c>
      <c r="I1854" t="str" cm="1">
        <f t="array" ref="I1854">_xlfn.IFS(B1854&lt;18.5, "Underweight", B1854&lt;=24.9, "Normal Weight", B1854&lt;=29.9, "Overweight", TRUE, "Obesity")</f>
        <v>Overweight</v>
      </c>
      <c r="J1854" t="str" cm="1">
        <f t="array" ref="J1854">_xlfn.IFS(C1854&lt;5.7, "Normal", C1854&lt;=6.4, "Prediabetes", TRUE, "Diabetes")</f>
        <v>Normal</v>
      </c>
    </row>
    <row r="1855" spans="1:10">
      <c r="A1855" t="s">
        <v>3708</v>
      </c>
      <c r="B1855">
        <v>27.72</v>
      </c>
      <c r="C1855">
        <v>5.03</v>
      </c>
      <c r="D1855" t="s">
        <v>4683</v>
      </c>
      <c r="E1855" t="s">
        <v>4682</v>
      </c>
      <c r="F1855" t="s">
        <v>4682</v>
      </c>
      <c r="G1855">
        <v>1</v>
      </c>
      <c r="H1855" t="s">
        <v>4682</v>
      </c>
      <c r="I1855" t="str" cm="1">
        <f t="array" ref="I1855">_xlfn.IFS(B1855&lt;18.5, "Underweight", B1855&lt;=24.9, "Normal Weight", B1855&lt;=29.9, "Overweight", TRUE, "Obesity")</f>
        <v>Overweight</v>
      </c>
      <c r="J1855" t="str" cm="1">
        <f t="array" ref="J1855">_xlfn.IFS(C1855&lt;5.7, "Normal", C1855&lt;=6.4, "Prediabetes", TRUE, "Diabetes")</f>
        <v>Normal</v>
      </c>
    </row>
    <row r="1856" spans="1:10">
      <c r="A1856" t="s">
        <v>3710</v>
      </c>
      <c r="B1856">
        <v>31.5</v>
      </c>
      <c r="C1856">
        <v>9.6199999999999992</v>
      </c>
      <c r="D1856" t="s">
        <v>4683</v>
      </c>
      <c r="E1856" t="s">
        <v>4682</v>
      </c>
      <c r="F1856" t="s">
        <v>4682</v>
      </c>
      <c r="G1856">
        <v>1</v>
      </c>
      <c r="H1856" t="s">
        <v>4682</v>
      </c>
      <c r="I1856" t="str" cm="1">
        <f t="array" ref="I1856">_xlfn.IFS(B1856&lt;18.5, "Underweight", B1856&lt;=24.9, "Normal Weight", B1856&lt;=29.9, "Overweight", TRUE, "Obesity")</f>
        <v>Obesity</v>
      </c>
      <c r="J1856" t="str" cm="1">
        <f t="array" ref="J1856">_xlfn.IFS(C1856&lt;5.7, "Normal", C1856&lt;=6.4, "Prediabetes", TRUE, "Diabetes")</f>
        <v>Diabetes</v>
      </c>
    </row>
    <row r="1857" spans="1:10">
      <c r="A1857" t="s">
        <v>3712</v>
      </c>
      <c r="B1857">
        <v>29.7</v>
      </c>
      <c r="C1857">
        <v>6.77</v>
      </c>
      <c r="D1857" t="s">
        <v>4683</v>
      </c>
      <c r="E1857" t="s">
        <v>4682</v>
      </c>
      <c r="F1857" t="s">
        <v>4682</v>
      </c>
      <c r="G1857">
        <v>1</v>
      </c>
      <c r="H1857" t="s">
        <v>4682</v>
      </c>
      <c r="I1857" t="str" cm="1">
        <f t="array" ref="I1857">_xlfn.IFS(B1857&lt;18.5, "Underweight", B1857&lt;=24.9, "Normal Weight", B1857&lt;=29.9, "Overweight", TRUE, "Obesity")</f>
        <v>Overweight</v>
      </c>
      <c r="J1857" t="str" cm="1">
        <f t="array" ref="J1857">_xlfn.IFS(C1857&lt;5.7, "Normal", C1857&lt;=6.4, "Prediabetes", TRUE, "Diabetes")</f>
        <v>Diabetes</v>
      </c>
    </row>
    <row r="1858" spans="1:10">
      <c r="A1858" t="s">
        <v>3714</v>
      </c>
      <c r="B1858">
        <v>21.26</v>
      </c>
      <c r="C1858">
        <v>5.36</v>
      </c>
      <c r="D1858" t="s">
        <v>4683</v>
      </c>
      <c r="E1858" t="s">
        <v>4682</v>
      </c>
      <c r="F1858" t="s">
        <v>4682</v>
      </c>
      <c r="G1858">
        <v>1</v>
      </c>
      <c r="H1858" t="s">
        <v>4682</v>
      </c>
      <c r="I1858" t="str" cm="1">
        <f t="array" ref="I1858">_xlfn.IFS(B1858&lt;18.5, "Underweight", B1858&lt;=24.9, "Normal Weight", B1858&lt;=29.9, "Overweight", TRUE, "Obesity")</f>
        <v>Normal Weight</v>
      </c>
      <c r="J1858" t="str" cm="1">
        <f t="array" ref="J1858">_xlfn.IFS(C1858&lt;5.7, "Normal", C1858&lt;=6.4, "Prediabetes", TRUE, "Diabetes")</f>
        <v>Normal</v>
      </c>
    </row>
    <row r="1859" spans="1:10">
      <c r="A1859" t="s">
        <v>3716</v>
      </c>
      <c r="B1859">
        <v>17.09</v>
      </c>
      <c r="C1859">
        <v>5.69</v>
      </c>
      <c r="D1859" t="s">
        <v>4682</v>
      </c>
      <c r="E1859" t="s">
        <v>4682</v>
      </c>
      <c r="F1859" t="s">
        <v>4682</v>
      </c>
      <c r="G1859">
        <v>0</v>
      </c>
      <c r="H1859" t="s">
        <v>4682</v>
      </c>
      <c r="I1859" t="str" cm="1">
        <f t="array" ref="I1859">_xlfn.IFS(B1859&lt;18.5, "Underweight", B1859&lt;=24.9, "Normal Weight", B1859&lt;=29.9, "Overweight", TRUE, "Obesity")</f>
        <v>Underweight</v>
      </c>
      <c r="J1859" t="str" cm="1">
        <f t="array" ref="J1859">_xlfn.IFS(C1859&lt;5.7, "Normal", C1859&lt;=6.4, "Prediabetes", TRUE, "Diabetes")</f>
        <v>Normal</v>
      </c>
    </row>
    <row r="1860" spans="1:10">
      <c r="A1860" t="s">
        <v>3718</v>
      </c>
      <c r="B1860">
        <v>24.3</v>
      </c>
      <c r="C1860">
        <v>4.9000000000000004</v>
      </c>
      <c r="D1860" t="s">
        <v>4683</v>
      </c>
      <c r="E1860" t="s">
        <v>4682</v>
      </c>
      <c r="F1860" t="s">
        <v>4684</v>
      </c>
      <c r="G1860">
        <v>1</v>
      </c>
      <c r="H1860" t="s">
        <v>4682</v>
      </c>
      <c r="I1860" t="str" cm="1">
        <f t="array" ref="I1860">_xlfn.IFS(B1860&lt;18.5, "Underweight", B1860&lt;=24.9, "Normal Weight", B1860&lt;=29.9, "Overweight", TRUE, "Obesity")</f>
        <v>Normal Weight</v>
      </c>
      <c r="J1860" t="str" cm="1">
        <f t="array" ref="J1860">_xlfn.IFS(C1860&lt;5.7, "Normal", C1860&lt;=6.4, "Prediabetes", TRUE, "Diabetes")</f>
        <v>Normal</v>
      </c>
    </row>
    <row r="1861" spans="1:10">
      <c r="A1861" t="s">
        <v>3720</v>
      </c>
      <c r="B1861">
        <v>29.734999999999999</v>
      </c>
      <c r="C1861">
        <v>5.78</v>
      </c>
      <c r="D1861" t="s">
        <v>4682</v>
      </c>
      <c r="E1861" t="s">
        <v>4682</v>
      </c>
      <c r="F1861" t="s">
        <v>4682</v>
      </c>
      <c r="G1861">
        <v>0</v>
      </c>
      <c r="H1861" t="s">
        <v>4682</v>
      </c>
      <c r="I1861" t="str" cm="1">
        <f t="array" ref="I1861">_xlfn.IFS(B1861&lt;18.5, "Underweight", B1861&lt;=24.9, "Normal Weight", B1861&lt;=29.9, "Overweight", TRUE, "Obesity")</f>
        <v>Overweight</v>
      </c>
      <c r="J1861" t="str" cm="1">
        <f t="array" ref="J1861">_xlfn.IFS(C1861&lt;5.7, "Normal", C1861&lt;=6.4, "Prediabetes", TRUE, "Diabetes")</f>
        <v>Prediabetes</v>
      </c>
    </row>
    <row r="1862" spans="1:10">
      <c r="A1862" t="s">
        <v>3722</v>
      </c>
      <c r="B1862">
        <v>29.26</v>
      </c>
      <c r="C1862">
        <v>4.7</v>
      </c>
      <c r="D1862" t="s">
        <v>4682</v>
      </c>
      <c r="E1862" t="s">
        <v>4682</v>
      </c>
      <c r="F1862" t="s">
        <v>4682</v>
      </c>
      <c r="G1862">
        <v>0</v>
      </c>
      <c r="H1862" t="s">
        <v>4682</v>
      </c>
      <c r="I1862" t="str" cm="1">
        <f t="array" ref="I1862">_xlfn.IFS(B1862&lt;18.5, "Underweight", B1862&lt;=24.9, "Normal Weight", B1862&lt;=29.9, "Overweight", TRUE, "Obesity")</f>
        <v>Overweight</v>
      </c>
      <c r="J1862" t="str" cm="1">
        <f t="array" ref="J1862">_xlfn.IFS(C1862&lt;5.7, "Normal", C1862&lt;=6.4, "Prediabetes", TRUE, "Diabetes")</f>
        <v>Normal</v>
      </c>
    </row>
    <row r="1863" spans="1:10">
      <c r="A1863" t="s">
        <v>3724</v>
      </c>
      <c r="B1863">
        <v>33</v>
      </c>
      <c r="C1863">
        <v>6.28</v>
      </c>
      <c r="D1863" t="s">
        <v>4682</v>
      </c>
      <c r="E1863" t="s">
        <v>4682</v>
      </c>
      <c r="F1863" t="s">
        <v>4682</v>
      </c>
      <c r="G1863">
        <v>0</v>
      </c>
      <c r="H1863" t="s">
        <v>4682</v>
      </c>
      <c r="I1863" t="str" cm="1">
        <f t="array" ref="I1863">_xlfn.IFS(B1863&lt;18.5, "Underweight", B1863&lt;=24.9, "Normal Weight", B1863&lt;=29.9, "Overweight", TRUE, "Obesity")</f>
        <v>Obesity</v>
      </c>
      <c r="J1863" t="str" cm="1">
        <f t="array" ref="J1863">_xlfn.IFS(C1863&lt;5.7, "Normal", C1863&lt;=6.4, "Prediabetes", TRUE, "Diabetes")</f>
        <v>Prediabetes</v>
      </c>
    </row>
    <row r="1864" spans="1:10">
      <c r="A1864" t="s">
        <v>3726</v>
      </c>
      <c r="B1864">
        <v>31.065000000000001</v>
      </c>
      <c r="C1864">
        <v>4.2300000000000004</v>
      </c>
      <c r="D1864" t="s">
        <v>4682</v>
      </c>
      <c r="E1864" t="s">
        <v>4682</v>
      </c>
      <c r="F1864" t="s">
        <v>4682</v>
      </c>
      <c r="G1864">
        <v>0</v>
      </c>
      <c r="H1864" t="s">
        <v>4682</v>
      </c>
      <c r="I1864" t="str" cm="1">
        <f t="array" ref="I1864">_xlfn.IFS(B1864&lt;18.5, "Underweight", B1864&lt;=24.9, "Normal Weight", B1864&lt;=29.9, "Overweight", TRUE, "Obesity")</f>
        <v>Obesity</v>
      </c>
      <c r="J1864" t="str" cm="1">
        <f t="array" ref="J1864">_xlfn.IFS(C1864&lt;5.7, "Normal", C1864&lt;=6.4, "Prediabetes", TRUE, "Diabetes")</f>
        <v>Normal</v>
      </c>
    </row>
    <row r="1865" spans="1:10">
      <c r="A1865" t="s">
        <v>3728</v>
      </c>
      <c r="B1865">
        <v>26.51</v>
      </c>
      <c r="C1865">
        <v>6.17</v>
      </c>
      <c r="D1865" t="s">
        <v>4682</v>
      </c>
      <c r="E1865" t="s">
        <v>4682</v>
      </c>
      <c r="F1865" t="s">
        <v>4682</v>
      </c>
      <c r="G1865">
        <v>0</v>
      </c>
      <c r="H1865" t="s">
        <v>4682</v>
      </c>
      <c r="I1865" t="str" cm="1">
        <f t="array" ref="I1865">_xlfn.IFS(B1865&lt;18.5, "Underweight", B1865&lt;=24.9, "Normal Weight", B1865&lt;=29.9, "Overweight", TRUE, "Obesity")</f>
        <v>Overweight</v>
      </c>
      <c r="J1865" t="str" cm="1">
        <f t="array" ref="J1865">_xlfn.IFS(C1865&lt;5.7, "Normal", C1865&lt;=6.4, "Prediabetes", TRUE, "Diabetes")</f>
        <v>Prediabetes</v>
      </c>
    </row>
    <row r="1866" spans="1:10">
      <c r="A1866" t="s">
        <v>3730</v>
      </c>
      <c r="B1866">
        <v>28.88</v>
      </c>
      <c r="C1866">
        <v>4.96</v>
      </c>
      <c r="D1866" t="s">
        <v>4682</v>
      </c>
      <c r="E1866" t="s">
        <v>4682</v>
      </c>
      <c r="F1866" t="s">
        <v>4682</v>
      </c>
      <c r="G1866">
        <v>0</v>
      </c>
      <c r="H1866" t="s">
        <v>4682</v>
      </c>
      <c r="I1866" t="str" cm="1">
        <f t="array" ref="I1866">_xlfn.IFS(B1866&lt;18.5, "Underweight", B1866&lt;=24.9, "Normal Weight", B1866&lt;=29.9, "Overweight", TRUE, "Obesity")</f>
        <v>Overweight</v>
      </c>
      <c r="J1866" t="str" cm="1">
        <f t="array" ref="J1866">_xlfn.IFS(C1866&lt;5.7, "Normal", C1866&lt;=6.4, "Prediabetes", TRUE, "Diabetes")</f>
        <v>Normal</v>
      </c>
    </row>
    <row r="1867" spans="1:10">
      <c r="A1867" t="s">
        <v>3732</v>
      </c>
      <c r="B1867">
        <v>35.814999999999998</v>
      </c>
      <c r="C1867">
        <v>5.1100000000000003</v>
      </c>
      <c r="D1867" t="s">
        <v>4683</v>
      </c>
      <c r="E1867" t="s">
        <v>4682</v>
      </c>
      <c r="F1867" t="s">
        <v>4682</v>
      </c>
      <c r="G1867">
        <v>1</v>
      </c>
      <c r="H1867" t="s">
        <v>4682</v>
      </c>
      <c r="I1867" t="str" cm="1">
        <f t="array" ref="I1867">_xlfn.IFS(B1867&lt;18.5, "Underweight", B1867&lt;=24.9, "Normal Weight", B1867&lt;=29.9, "Overweight", TRUE, "Obesity")</f>
        <v>Obesity</v>
      </c>
      <c r="J1867" t="str" cm="1">
        <f t="array" ref="J1867">_xlfn.IFS(C1867&lt;5.7, "Normal", C1867&lt;=6.4, "Prediabetes", TRUE, "Diabetes")</f>
        <v>Normal</v>
      </c>
    </row>
    <row r="1868" spans="1:10">
      <c r="A1868" t="s">
        <v>3734</v>
      </c>
      <c r="B1868">
        <v>21.28</v>
      </c>
      <c r="C1868">
        <v>4.05</v>
      </c>
      <c r="D1868" t="s">
        <v>4682</v>
      </c>
      <c r="E1868" t="s">
        <v>4683</v>
      </c>
      <c r="F1868" t="s">
        <v>4682</v>
      </c>
      <c r="G1868">
        <v>1</v>
      </c>
      <c r="H1868" t="s">
        <v>4682</v>
      </c>
      <c r="I1868" t="str" cm="1">
        <f t="array" ref="I1868">_xlfn.IFS(B1868&lt;18.5, "Underweight", B1868&lt;=24.9, "Normal Weight", B1868&lt;=29.9, "Overweight", TRUE, "Obesity")</f>
        <v>Normal Weight</v>
      </c>
      <c r="J1868" t="str" cm="1">
        <f t="array" ref="J1868">_xlfn.IFS(C1868&lt;5.7, "Normal", C1868&lt;=6.4, "Prediabetes", TRUE, "Diabetes")</f>
        <v>Normal</v>
      </c>
    </row>
    <row r="1869" spans="1:10">
      <c r="A1869" t="s">
        <v>3736</v>
      </c>
      <c r="B1869">
        <v>33.81</v>
      </c>
      <c r="C1869">
        <v>6.49</v>
      </c>
      <c r="D1869" t="s">
        <v>4682</v>
      </c>
      <c r="E1869" t="s">
        <v>4682</v>
      </c>
      <c r="F1869" t="s">
        <v>4684</v>
      </c>
      <c r="G1869">
        <v>1</v>
      </c>
      <c r="H1869" t="s">
        <v>4682</v>
      </c>
      <c r="I1869" t="str" cm="1">
        <f t="array" ref="I1869">_xlfn.IFS(B1869&lt;18.5, "Underweight", B1869&lt;=24.9, "Normal Weight", B1869&lt;=29.9, "Overweight", TRUE, "Obesity")</f>
        <v>Obesity</v>
      </c>
      <c r="J1869" t="str" cm="1">
        <f t="array" ref="J1869">_xlfn.IFS(C1869&lt;5.7, "Normal", C1869&lt;=6.4, "Prediabetes", TRUE, "Diabetes")</f>
        <v>Diabetes</v>
      </c>
    </row>
    <row r="1870" spans="1:10">
      <c r="A1870" t="s">
        <v>3738</v>
      </c>
      <c r="B1870">
        <v>44.22</v>
      </c>
      <c r="C1870">
        <v>4.1900000000000004</v>
      </c>
      <c r="D1870" t="s">
        <v>4682</v>
      </c>
      <c r="E1870" t="s">
        <v>4682</v>
      </c>
      <c r="F1870" t="s">
        <v>4682</v>
      </c>
      <c r="G1870">
        <v>1</v>
      </c>
      <c r="H1870" t="s">
        <v>4682</v>
      </c>
      <c r="I1870" t="str" cm="1">
        <f t="array" ref="I1870">_xlfn.IFS(B1870&lt;18.5, "Underweight", B1870&lt;=24.9, "Normal Weight", B1870&lt;=29.9, "Overweight", TRUE, "Obesity")</f>
        <v>Obesity</v>
      </c>
      <c r="J1870" t="str" cm="1">
        <f t="array" ref="J1870">_xlfn.IFS(C1870&lt;5.7, "Normal", C1870&lt;=6.4, "Prediabetes", TRUE, "Diabetes")</f>
        <v>Normal</v>
      </c>
    </row>
    <row r="1871" spans="1:10">
      <c r="A1871" t="s">
        <v>3740</v>
      </c>
      <c r="B1871">
        <v>15.46</v>
      </c>
      <c r="C1871">
        <v>4.99</v>
      </c>
      <c r="D1871" t="s">
        <v>4683</v>
      </c>
      <c r="E1871" t="s">
        <v>4682</v>
      </c>
      <c r="F1871" t="s">
        <v>4684</v>
      </c>
      <c r="G1871">
        <v>1</v>
      </c>
      <c r="H1871" t="s">
        <v>4682</v>
      </c>
      <c r="I1871" t="str" cm="1">
        <f t="array" ref="I1871">_xlfn.IFS(B1871&lt;18.5, "Underweight", B1871&lt;=24.9, "Normal Weight", B1871&lt;=29.9, "Overweight", TRUE, "Obesity")</f>
        <v>Underweight</v>
      </c>
      <c r="J1871" t="str" cm="1">
        <f t="array" ref="J1871">_xlfn.IFS(C1871&lt;5.7, "Normal", C1871&lt;=6.4, "Prediabetes", TRUE, "Diabetes")</f>
        <v>Normal</v>
      </c>
    </row>
    <row r="1872" spans="1:10">
      <c r="A1872" t="s">
        <v>3742</v>
      </c>
      <c r="B1872">
        <v>30.3</v>
      </c>
      <c r="C1872">
        <v>4.7699999999999996</v>
      </c>
      <c r="D1872" t="s">
        <v>4683</v>
      </c>
      <c r="E1872" t="s">
        <v>4682</v>
      </c>
      <c r="F1872" t="s">
        <v>4682</v>
      </c>
      <c r="G1872">
        <v>1</v>
      </c>
      <c r="H1872" t="s">
        <v>4682</v>
      </c>
      <c r="I1872" t="str" cm="1">
        <f t="array" ref="I1872">_xlfn.IFS(B1872&lt;18.5, "Underweight", B1872&lt;=24.9, "Normal Weight", B1872&lt;=29.9, "Overweight", TRUE, "Obesity")</f>
        <v>Obesity</v>
      </c>
      <c r="J1872" t="str" cm="1">
        <f t="array" ref="J1872">_xlfn.IFS(C1872&lt;5.7, "Normal", C1872&lt;=6.4, "Prediabetes", TRUE, "Diabetes")</f>
        <v>Normal</v>
      </c>
    </row>
    <row r="1873" spans="1:10">
      <c r="A1873" t="s">
        <v>3744</v>
      </c>
      <c r="B1873">
        <v>16.670000000000002</v>
      </c>
      <c r="C1873">
        <v>5.46</v>
      </c>
      <c r="D1873" t="s">
        <v>4682</v>
      </c>
      <c r="E1873" t="s">
        <v>4682</v>
      </c>
      <c r="F1873" t="s">
        <v>4682</v>
      </c>
      <c r="G1873">
        <v>0</v>
      </c>
      <c r="H1873" t="s">
        <v>4682</v>
      </c>
      <c r="I1873" t="str" cm="1">
        <f t="array" ref="I1873">_xlfn.IFS(B1873&lt;18.5, "Underweight", B1873&lt;=24.9, "Normal Weight", B1873&lt;=29.9, "Overweight", TRUE, "Obesity")</f>
        <v>Underweight</v>
      </c>
      <c r="J1873" t="str" cm="1">
        <f t="array" ref="J1873">_xlfn.IFS(C1873&lt;5.7, "Normal", C1873&lt;=6.4, "Prediabetes", TRUE, "Diabetes")</f>
        <v>Normal</v>
      </c>
    </row>
    <row r="1874" spans="1:10">
      <c r="A1874" t="s">
        <v>3746</v>
      </c>
      <c r="B1874">
        <v>28.594999999999999</v>
      </c>
      <c r="C1874">
        <v>5.43</v>
      </c>
      <c r="D1874" t="s">
        <v>4682</v>
      </c>
      <c r="E1874" t="s">
        <v>4682</v>
      </c>
      <c r="F1874" t="s">
        <v>4682</v>
      </c>
      <c r="G1874">
        <v>0</v>
      </c>
      <c r="H1874" t="s">
        <v>4682</v>
      </c>
      <c r="I1874" t="str" cm="1">
        <f t="array" ref="I1874">_xlfn.IFS(B1874&lt;18.5, "Underweight", B1874&lt;=24.9, "Normal Weight", B1874&lt;=29.9, "Overweight", TRUE, "Obesity")</f>
        <v>Overweight</v>
      </c>
      <c r="J1874" t="str" cm="1">
        <f t="array" ref="J1874">_xlfn.IFS(C1874&lt;5.7, "Normal", C1874&lt;=6.4, "Prediabetes", TRUE, "Diabetes")</f>
        <v>Normal</v>
      </c>
    </row>
    <row r="1875" spans="1:10">
      <c r="A1875" t="s">
        <v>3748</v>
      </c>
      <c r="B1875">
        <v>25.934999999999999</v>
      </c>
      <c r="C1875">
        <v>4.29</v>
      </c>
      <c r="D1875" t="s">
        <v>4682</v>
      </c>
      <c r="E1875" t="s">
        <v>4682</v>
      </c>
      <c r="F1875" t="s">
        <v>4682</v>
      </c>
      <c r="G1875">
        <v>0</v>
      </c>
      <c r="H1875" t="s">
        <v>4682</v>
      </c>
      <c r="I1875" t="str" cm="1">
        <f t="array" ref="I1875">_xlfn.IFS(B1875&lt;18.5, "Underweight", B1875&lt;=24.9, "Normal Weight", B1875&lt;=29.9, "Overweight", TRUE, "Obesity")</f>
        <v>Overweight</v>
      </c>
      <c r="J1875" t="str" cm="1">
        <f t="array" ref="J1875">_xlfn.IFS(C1875&lt;5.7, "Normal", C1875&lt;=6.4, "Prediabetes", TRUE, "Diabetes")</f>
        <v>Normal</v>
      </c>
    </row>
    <row r="1876" spans="1:10">
      <c r="A1876" t="s">
        <v>3750</v>
      </c>
      <c r="B1876">
        <v>27.645</v>
      </c>
      <c r="C1876">
        <v>5.25</v>
      </c>
      <c r="D1876" t="s">
        <v>4682</v>
      </c>
      <c r="E1876" t="s">
        <v>4682</v>
      </c>
      <c r="F1876" t="s">
        <v>4682</v>
      </c>
      <c r="G1876">
        <v>1</v>
      </c>
      <c r="H1876" t="s">
        <v>4682</v>
      </c>
      <c r="I1876" t="str" cm="1">
        <f t="array" ref="I1876">_xlfn.IFS(B1876&lt;18.5, "Underweight", B1876&lt;=24.9, "Normal Weight", B1876&lt;=29.9, "Overweight", TRUE, "Obesity")</f>
        <v>Overweight</v>
      </c>
      <c r="J1876" t="str" cm="1">
        <f t="array" ref="J1876">_xlfn.IFS(C1876&lt;5.7, "Normal", C1876&lt;=6.4, "Prediabetes", TRUE, "Diabetes")</f>
        <v>Normal</v>
      </c>
    </row>
    <row r="1877" spans="1:10">
      <c r="A1877" t="s">
        <v>3752</v>
      </c>
      <c r="B1877">
        <v>30.1</v>
      </c>
      <c r="C1877">
        <v>4.04</v>
      </c>
      <c r="D1877" t="s">
        <v>4682</v>
      </c>
      <c r="E1877" t="s">
        <v>4682</v>
      </c>
      <c r="F1877" t="s">
        <v>4682</v>
      </c>
      <c r="G1877">
        <v>1</v>
      </c>
      <c r="H1877" t="s">
        <v>4682</v>
      </c>
      <c r="I1877" t="str" cm="1">
        <f t="array" ref="I1877">_xlfn.IFS(B1877&lt;18.5, "Underweight", B1877&lt;=24.9, "Normal Weight", B1877&lt;=29.9, "Overweight", TRUE, "Obesity")</f>
        <v>Obesity</v>
      </c>
      <c r="J1877" t="str" cm="1">
        <f t="array" ref="J1877">_xlfn.IFS(C1877&lt;5.7, "Normal", C1877&lt;=6.4, "Prediabetes", TRUE, "Diabetes")</f>
        <v>Normal</v>
      </c>
    </row>
    <row r="1878" spans="1:10">
      <c r="A1878" t="s">
        <v>3754</v>
      </c>
      <c r="B1878">
        <v>26.79</v>
      </c>
      <c r="C1878">
        <v>5</v>
      </c>
      <c r="D1878" t="s">
        <v>4683</v>
      </c>
      <c r="E1878" t="s">
        <v>4682</v>
      </c>
      <c r="F1878" t="s">
        <v>4684</v>
      </c>
      <c r="G1878">
        <v>1</v>
      </c>
      <c r="H1878" t="s">
        <v>4682</v>
      </c>
      <c r="I1878" t="str" cm="1">
        <f t="array" ref="I1878">_xlfn.IFS(B1878&lt;18.5, "Underweight", B1878&lt;=24.9, "Normal Weight", B1878&lt;=29.9, "Overweight", TRUE, "Obesity")</f>
        <v>Overweight</v>
      </c>
      <c r="J1878" t="str" cm="1">
        <f t="array" ref="J1878">_xlfn.IFS(C1878&lt;5.7, "Normal", C1878&lt;=6.4, "Prediabetes", TRUE, "Diabetes")</f>
        <v>Normal</v>
      </c>
    </row>
    <row r="1879" spans="1:10">
      <c r="A1879" t="s">
        <v>3756</v>
      </c>
      <c r="B1879">
        <v>27.1</v>
      </c>
      <c r="C1879">
        <v>4.01</v>
      </c>
      <c r="D1879" t="s">
        <v>4683</v>
      </c>
      <c r="E1879" t="s">
        <v>4682</v>
      </c>
      <c r="F1879" t="s">
        <v>4682</v>
      </c>
      <c r="G1879">
        <v>1</v>
      </c>
      <c r="H1879" t="s">
        <v>4682</v>
      </c>
      <c r="I1879" t="str" cm="1">
        <f t="array" ref="I1879">_xlfn.IFS(B1879&lt;18.5, "Underweight", B1879&lt;=24.9, "Normal Weight", B1879&lt;=29.9, "Overweight", TRUE, "Obesity")</f>
        <v>Overweight</v>
      </c>
      <c r="J1879" t="str" cm="1">
        <f t="array" ref="J1879">_xlfn.IFS(C1879&lt;5.7, "Normal", C1879&lt;=6.4, "Prediabetes", TRUE, "Diabetes")</f>
        <v>Normal</v>
      </c>
    </row>
    <row r="1880" spans="1:10">
      <c r="A1880" t="s">
        <v>3758</v>
      </c>
      <c r="B1880">
        <v>24.31</v>
      </c>
      <c r="C1880">
        <v>5.4</v>
      </c>
      <c r="D1880" t="s">
        <v>4682</v>
      </c>
      <c r="E1880" t="s">
        <v>4682</v>
      </c>
      <c r="F1880" t="s">
        <v>4682</v>
      </c>
      <c r="G1880">
        <v>0</v>
      </c>
      <c r="H1880" t="s">
        <v>4682</v>
      </c>
      <c r="I1880" t="str" cm="1">
        <f t="array" ref="I1880">_xlfn.IFS(B1880&lt;18.5, "Underweight", B1880&lt;=24.9, "Normal Weight", B1880&lt;=29.9, "Overweight", TRUE, "Obesity")</f>
        <v>Normal Weight</v>
      </c>
      <c r="J1880" t="str" cm="1">
        <f t="array" ref="J1880">_xlfn.IFS(C1880&lt;5.7, "Normal", C1880&lt;=6.4, "Prediabetes", TRUE, "Diabetes")</f>
        <v>Normal</v>
      </c>
    </row>
    <row r="1881" spans="1:10">
      <c r="A1881" t="s">
        <v>3760</v>
      </c>
      <c r="B1881">
        <v>15.53</v>
      </c>
      <c r="C1881">
        <v>5.81</v>
      </c>
      <c r="D1881" t="s">
        <v>4682</v>
      </c>
      <c r="E1881" t="s">
        <v>4682</v>
      </c>
      <c r="F1881" t="s">
        <v>4682</v>
      </c>
      <c r="G1881">
        <v>1</v>
      </c>
      <c r="H1881" t="s">
        <v>4682</v>
      </c>
      <c r="I1881" t="str" cm="1">
        <f t="array" ref="I1881">_xlfn.IFS(B1881&lt;18.5, "Underweight", B1881&lt;=24.9, "Normal Weight", B1881&lt;=29.9, "Overweight", TRUE, "Obesity")</f>
        <v>Underweight</v>
      </c>
      <c r="J1881" t="str" cm="1">
        <f t="array" ref="J1881">_xlfn.IFS(C1881&lt;5.7, "Normal", C1881&lt;=6.4, "Prediabetes", TRUE, "Diabetes")</f>
        <v>Prediabetes</v>
      </c>
    </row>
    <row r="1882" spans="1:10">
      <c r="A1882" t="s">
        <v>3762</v>
      </c>
      <c r="B1882">
        <v>30.7</v>
      </c>
      <c r="C1882">
        <v>5.82</v>
      </c>
      <c r="D1882" t="s">
        <v>4682</v>
      </c>
      <c r="E1882" t="s">
        <v>4682</v>
      </c>
      <c r="F1882" t="s">
        <v>4682</v>
      </c>
      <c r="G1882">
        <v>1</v>
      </c>
      <c r="H1882" t="s">
        <v>4682</v>
      </c>
      <c r="I1882" t="str" cm="1">
        <f t="array" ref="I1882">_xlfn.IFS(B1882&lt;18.5, "Underweight", B1882&lt;=24.9, "Normal Weight", B1882&lt;=29.9, "Overweight", TRUE, "Obesity")</f>
        <v>Obesity</v>
      </c>
      <c r="J1882" t="str" cm="1">
        <f t="array" ref="J1882">_xlfn.IFS(C1882&lt;5.7, "Normal", C1882&lt;=6.4, "Prediabetes", TRUE, "Diabetes")</f>
        <v>Prediabetes</v>
      </c>
    </row>
    <row r="1883" spans="1:10">
      <c r="A1883" t="s">
        <v>3764</v>
      </c>
      <c r="B1883">
        <v>33.33</v>
      </c>
      <c r="C1883">
        <v>4.82</v>
      </c>
      <c r="D1883" t="s">
        <v>4682</v>
      </c>
      <c r="E1883" t="s">
        <v>4682</v>
      </c>
      <c r="F1883" t="s">
        <v>4682</v>
      </c>
      <c r="G1883">
        <v>1</v>
      </c>
      <c r="H1883" t="s">
        <v>4682</v>
      </c>
      <c r="I1883" t="str" cm="1">
        <f t="array" ref="I1883">_xlfn.IFS(B1883&lt;18.5, "Underweight", B1883&lt;=24.9, "Normal Weight", B1883&lt;=29.9, "Overweight", TRUE, "Obesity")</f>
        <v>Obesity</v>
      </c>
      <c r="J1883" t="str" cm="1">
        <f t="array" ref="J1883">_xlfn.IFS(C1883&lt;5.7, "Normal", C1883&lt;=6.4, "Prediabetes", TRUE, "Diabetes")</f>
        <v>Normal</v>
      </c>
    </row>
    <row r="1884" spans="1:10">
      <c r="A1884" t="s">
        <v>3766</v>
      </c>
      <c r="B1884">
        <v>32.4</v>
      </c>
      <c r="C1884">
        <v>5.08</v>
      </c>
      <c r="D1884" t="s">
        <v>4682</v>
      </c>
      <c r="E1884" t="s">
        <v>4682</v>
      </c>
      <c r="F1884" t="s">
        <v>4682</v>
      </c>
      <c r="G1884">
        <v>1</v>
      </c>
      <c r="H1884" t="s">
        <v>4682</v>
      </c>
      <c r="I1884" t="str" cm="1">
        <f t="array" ref="I1884">_xlfn.IFS(B1884&lt;18.5, "Underweight", B1884&lt;=24.9, "Normal Weight", B1884&lt;=29.9, "Overweight", TRUE, "Obesity")</f>
        <v>Obesity</v>
      </c>
      <c r="J1884" t="str" cm="1">
        <f t="array" ref="J1884">_xlfn.IFS(C1884&lt;5.7, "Normal", C1884&lt;=6.4, "Prediabetes", TRUE, "Diabetes")</f>
        <v>Normal</v>
      </c>
    </row>
    <row r="1885" spans="1:10">
      <c r="A1885" t="s">
        <v>3768</v>
      </c>
      <c r="B1885">
        <v>27.93</v>
      </c>
      <c r="C1885">
        <v>5.59</v>
      </c>
      <c r="D1885" t="s">
        <v>4682</v>
      </c>
      <c r="E1885" t="s">
        <v>4682</v>
      </c>
      <c r="F1885" t="s">
        <v>4682</v>
      </c>
      <c r="G1885">
        <v>1</v>
      </c>
      <c r="H1885" t="s">
        <v>4682</v>
      </c>
      <c r="I1885" t="str" cm="1">
        <f t="array" ref="I1885">_xlfn.IFS(B1885&lt;18.5, "Underweight", B1885&lt;=24.9, "Normal Weight", B1885&lt;=29.9, "Overweight", TRUE, "Obesity")</f>
        <v>Overweight</v>
      </c>
      <c r="J1885" t="str" cm="1">
        <f t="array" ref="J1885">_xlfn.IFS(C1885&lt;5.7, "Normal", C1885&lt;=6.4, "Prediabetes", TRUE, "Diabetes")</f>
        <v>Normal</v>
      </c>
    </row>
    <row r="1886" spans="1:10">
      <c r="A1886" t="s">
        <v>3770</v>
      </c>
      <c r="B1886">
        <v>21.754999999999999</v>
      </c>
      <c r="C1886">
        <v>5.12</v>
      </c>
      <c r="D1886" t="s">
        <v>4682</v>
      </c>
      <c r="E1886" t="s">
        <v>4682</v>
      </c>
      <c r="F1886" t="s">
        <v>4682</v>
      </c>
      <c r="G1886">
        <v>0</v>
      </c>
      <c r="H1886" t="s">
        <v>4682</v>
      </c>
      <c r="I1886" t="str" cm="1">
        <f t="array" ref="I1886">_xlfn.IFS(B1886&lt;18.5, "Underweight", B1886&lt;=24.9, "Normal Weight", B1886&lt;=29.9, "Overweight", TRUE, "Obesity")</f>
        <v>Normal Weight</v>
      </c>
      <c r="J1886" t="str" cm="1">
        <f t="array" ref="J1886">_xlfn.IFS(C1886&lt;5.7, "Normal", C1886&lt;=6.4, "Prediabetes", TRUE, "Diabetes")</f>
        <v>Normal</v>
      </c>
    </row>
    <row r="1887" spans="1:10">
      <c r="A1887" t="s">
        <v>3772</v>
      </c>
      <c r="B1887">
        <v>25.934999999999999</v>
      </c>
      <c r="C1887">
        <v>4.95</v>
      </c>
      <c r="D1887" t="s">
        <v>4682</v>
      </c>
      <c r="E1887" t="s">
        <v>4682</v>
      </c>
      <c r="F1887" t="s">
        <v>4682</v>
      </c>
      <c r="G1887">
        <v>0</v>
      </c>
      <c r="H1887" t="s">
        <v>4682</v>
      </c>
      <c r="I1887" t="str" cm="1">
        <f t="array" ref="I1887">_xlfn.IFS(B1887&lt;18.5, "Underweight", B1887&lt;=24.9, "Normal Weight", B1887&lt;=29.9, "Overweight", TRUE, "Obesity")</f>
        <v>Overweight</v>
      </c>
      <c r="J1887" t="str" cm="1">
        <f t="array" ref="J1887">_xlfn.IFS(C1887&lt;5.7, "Normal", C1887&lt;=6.4, "Prediabetes", TRUE, "Diabetes")</f>
        <v>Normal</v>
      </c>
    </row>
    <row r="1888" spans="1:10">
      <c r="A1888" t="s">
        <v>3774</v>
      </c>
      <c r="B1888">
        <v>31.5</v>
      </c>
      <c r="C1888">
        <v>6.16</v>
      </c>
      <c r="D1888" t="s">
        <v>4682</v>
      </c>
      <c r="E1888" t="s">
        <v>4682</v>
      </c>
      <c r="F1888" t="s">
        <v>4682</v>
      </c>
      <c r="G1888">
        <v>0</v>
      </c>
      <c r="H1888" t="s">
        <v>4682</v>
      </c>
      <c r="I1888" t="str" cm="1">
        <f t="array" ref="I1888">_xlfn.IFS(B1888&lt;18.5, "Underweight", B1888&lt;=24.9, "Normal Weight", B1888&lt;=29.9, "Overweight", TRUE, "Obesity")</f>
        <v>Obesity</v>
      </c>
      <c r="J1888" t="str" cm="1">
        <f t="array" ref="J1888">_xlfn.IFS(C1888&lt;5.7, "Normal", C1888&lt;=6.4, "Prediabetes", TRUE, "Diabetes")</f>
        <v>Prediabetes</v>
      </c>
    </row>
    <row r="1889" spans="1:10">
      <c r="A1889" t="s">
        <v>3776</v>
      </c>
      <c r="B1889">
        <v>30.03</v>
      </c>
      <c r="C1889">
        <v>6.41</v>
      </c>
      <c r="D1889" t="s">
        <v>4682</v>
      </c>
      <c r="E1889" t="s">
        <v>4682</v>
      </c>
      <c r="F1889" t="s">
        <v>4682</v>
      </c>
      <c r="G1889">
        <v>0</v>
      </c>
      <c r="H1889" t="s">
        <v>4682</v>
      </c>
      <c r="I1889" t="str" cm="1">
        <f t="array" ref="I1889">_xlfn.IFS(B1889&lt;18.5, "Underweight", B1889&lt;=24.9, "Normal Weight", B1889&lt;=29.9, "Overweight", TRUE, "Obesity")</f>
        <v>Obesity</v>
      </c>
      <c r="J1889" t="str" cm="1">
        <f t="array" ref="J1889">_xlfn.IFS(C1889&lt;5.7, "Normal", C1889&lt;=6.4, "Prediabetes", TRUE, "Diabetes")</f>
        <v>Diabetes</v>
      </c>
    </row>
    <row r="1890" spans="1:10">
      <c r="A1890" t="s">
        <v>3778</v>
      </c>
      <c r="B1890">
        <v>33.479999999999997</v>
      </c>
      <c r="C1890">
        <v>8.94</v>
      </c>
      <c r="D1890" t="s">
        <v>4682</v>
      </c>
      <c r="E1890" t="s">
        <v>4682</v>
      </c>
      <c r="F1890" t="s">
        <v>4682</v>
      </c>
      <c r="G1890">
        <v>0</v>
      </c>
      <c r="H1890" t="s">
        <v>4682</v>
      </c>
      <c r="I1890" t="str" cm="1">
        <f t="array" ref="I1890">_xlfn.IFS(B1890&lt;18.5, "Underweight", B1890&lt;=24.9, "Normal Weight", B1890&lt;=29.9, "Overweight", TRUE, "Obesity")</f>
        <v>Obesity</v>
      </c>
      <c r="J1890" t="str" cm="1">
        <f t="array" ref="J1890">_xlfn.IFS(C1890&lt;5.7, "Normal", C1890&lt;=6.4, "Prediabetes", TRUE, "Diabetes")</f>
        <v>Diabetes</v>
      </c>
    </row>
    <row r="1891" spans="1:10">
      <c r="A1891" t="s">
        <v>3780</v>
      </c>
      <c r="B1891">
        <v>16.510000000000002</v>
      </c>
      <c r="C1891">
        <v>4.42</v>
      </c>
      <c r="D1891" t="s">
        <v>4683</v>
      </c>
      <c r="E1891" t="s">
        <v>4682</v>
      </c>
      <c r="F1891" t="s">
        <v>4684</v>
      </c>
      <c r="G1891">
        <v>1</v>
      </c>
      <c r="H1891" t="s">
        <v>4682</v>
      </c>
      <c r="I1891" t="str" cm="1">
        <f t="array" ref="I1891">_xlfn.IFS(B1891&lt;18.5, "Underweight", B1891&lt;=24.9, "Normal Weight", B1891&lt;=29.9, "Overweight", TRUE, "Obesity")</f>
        <v>Underweight</v>
      </c>
      <c r="J1891" t="str" cm="1">
        <f t="array" ref="J1891">_xlfn.IFS(C1891&lt;5.7, "Normal", C1891&lt;=6.4, "Prediabetes", TRUE, "Diabetes")</f>
        <v>Normal</v>
      </c>
    </row>
    <row r="1892" spans="1:10">
      <c r="A1892" t="s">
        <v>3782</v>
      </c>
      <c r="B1892">
        <v>33.155000000000001</v>
      </c>
      <c r="C1892">
        <v>5.3</v>
      </c>
      <c r="D1892" t="s">
        <v>4683</v>
      </c>
      <c r="E1892" t="s">
        <v>4682</v>
      </c>
      <c r="F1892" t="s">
        <v>4682</v>
      </c>
      <c r="G1892">
        <v>1</v>
      </c>
      <c r="H1892" t="s">
        <v>4682</v>
      </c>
      <c r="I1892" t="str" cm="1">
        <f t="array" ref="I1892">_xlfn.IFS(B1892&lt;18.5, "Underweight", B1892&lt;=24.9, "Normal Weight", B1892&lt;=29.9, "Overweight", TRUE, "Obesity")</f>
        <v>Obesity</v>
      </c>
      <c r="J1892" t="str" cm="1">
        <f t="array" ref="J1892">_xlfn.IFS(C1892&lt;5.7, "Normal", C1892&lt;=6.4, "Prediabetes", TRUE, "Diabetes")</f>
        <v>Normal</v>
      </c>
    </row>
    <row r="1893" spans="1:10">
      <c r="A1893" t="s">
        <v>3784</v>
      </c>
      <c r="B1893">
        <v>37.29</v>
      </c>
      <c r="C1893">
        <v>4.6399999999999997</v>
      </c>
      <c r="D1893" t="s">
        <v>4682</v>
      </c>
      <c r="E1893" t="s">
        <v>4682</v>
      </c>
      <c r="F1893" t="s">
        <v>4684</v>
      </c>
      <c r="G1893">
        <v>1</v>
      </c>
      <c r="H1893" t="s">
        <v>4682</v>
      </c>
      <c r="I1893" t="str" cm="1">
        <f t="array" ref="I1893">_xlfn.IFS(B1893&lt;18.5, "Underweight", B1893&lt;=24.9, "Normal Weight", B1893&lt;=29.9, "Overweight", TRUE, "Obesity")</f>
        <v>Obesity</v>
      </c>
      <c r="J1893" t="str" cm="1">
        <f t="array" ref="J1893">_xlfn.IFS(C1893&lt;5.7, "Normal", C1893&lt;=6.4, "Prediabetes", TRUE, "Diabetes")</f>
        <v>Normal</v>
      </c>
    </row>
    <row r="1894" spans="1:10">
      <c r="A1894" t="s">
        <v>3786</v>
      </c>
      <c r="B1894">
        <v>20.23</v>
      </c>
      <c r="C1894">
        <v>6.16</v>
      </c>
      <c r="D1894" t="s">
        <v>4683</v>
      </c>
      <c r="E1894" t="s">
        <v>4682</v>
      </c>
      <c r="F1894" t="s">
        <v>4682</v>
      </c>
      <c r="G1894">
        <v>1</v>
      </c>
      <c r="H1894" t="s">
        <v>4682</v>
      </c>
      <c r="I1894" t="str" cm="1">
        <f t="array" ref="I1894">_xlfn.IFS(B1894&lt;18.5, "Underweight", B1894&lt;=24.9, "Normal Weight", B1894&lt;=29.9, "Overweight", TRUE, "Obesity")</f>
        <v>Normal Weight</v>
      </c>
      <c r="J1894" t="str" cm="1">
        <f t="array" ref="J1894">_xlfn.IFS(C1894&lt;5.7, "Normal", C1894&lt;=6.4, "Prediabetes", TRUE, "Diabetes")</f>
        <v>Prediabetes</v>
      </c>
    </row>
    <row r="1895" spans="1:10">
      <c r="A1895" t="s">
        <v>3788</v>
      </c>
      <c r="B1895">
        <v>28.975000000000001</v>
      </c>
      <c r="C1895">
        <v>4.12</v>
      </c>
      <c r="D1895" t="s">
        <v>4682</v>
      </c>
      <c r="E1895" t="s">
        <v>4682</v>
      </c>
      <c r="F1895" t="s">
        <v>4684</v>
      </c>
      <c r="G1895">
        <v>1</v>
      </c>
      <c r="H1895" t="s">
        <v>4682</v>
      </c>
      <c r="I1895" t="str" cm="1">
        <f t="array" ref="I1895">_xlfn.IFS(B1895&lt;18.5, "Underweight", B1895&lt;=24.9, "Normal Weight", B1895&lt;=29.9, "Overweight", TRUE, "Obesity")</f>
        <v>Overweight</v>
      </c>
      <c r="J1895" t="str" cm="1">
        <f t="array" ref="J1895">_xlfn.IFS(C1895&lt;5.7, "Normal", C1895&lt;=6.4, "Prediabetes", TRUE, "Diabetes")</f>
        <v>Normal</v>
      </c>
    </row>
    <row r="1896" spans="1:10">
      <c r="A1896" t="s">
        <v>3790</v>
      </c>
      <c r="B1896">
        <v>16.420000000000002</v>
      </c>
      <c r="C1896">
        <v>5.77</v>
      </c>
      <c r="D1896" t="s">
        <v>4683</v>
      </c>
      <c r="E1896" t="s">
        <v>4682</v>
      </c>
      <c r="F1896" t="s">
        <v>4684</v>
      </c>
      <c r="G1896">
        <v>1</v>
      </c>
      <c r="H1896" t="s">
        <v>4682</v>
      </c>
      <c r="I1896" t="str" cm="1">
        <f t="array" ref="I1896">_xlfn.IFS(B1896&lt;18.5, "Underweight", B1896&lt;=24.9, "Normal Weight", B1896&lt;=29.9, "Overweight", TRUE, "Obesity")</f>
        <v>Underweight</v>
      </c>
      <c r="J1896" t="str" cm="1">
        <f t="array" ref="J1896">_xlfn.IFS(C1896&lt;5.7, "Normal", C1896&lt;=6.4, "Prediabetes", TRUE, "Diabetes")</f>
        <v>Prediabetes</v>
      </c>
    </row>
    <row r="1897" spans="1:10">
      <c r="A1897" t="s">
        <v>3792</v>
      </c>
      <c r="B1897">
        <v>17.559999999999999</v>
      </c>
      <c r="C1897">
        <v>6.2</v>
      </c>
      <c r="D1897" t="s">
        <v>4682</v>
      </c>
      <c r="E1897" t="s">
        <v>4682</v>
      </c>
      <c r="F1897" t="s">
        <v>4682</v>
      </c>
      <c r="G1897">
        <v>1</v>
      </c>
      <c r="H1897" t="s">
        <v>4682</v>
      </c>
      <c r="I1897" t="str" cm="1">
        <f t="array" ref="I1897">_xlfn.IFS(B1897&lt;18.5, "Underweight", B1897&lt;=24.9, "Normal Weight", B1897&lt;=29.9, "Overweight", TRUE, "Obesity")</f>
        <v>Underweight</v>
      </c>
      <c r="J1897" t="str" cm="1">
        <f t="array" ref="J1897">_xlfn.IFS(C1897&lt;5.7, "Normal", C1897&lt;=6.4, "Prediabetes", TRUE, "Diabetes")</f>
        <v>Prediabetes</v>
      </c>
    </row>
    <row r="1898" spans="1:10">
      <c r="A1898" t="s">
        <v>3794</v>
      </c>
      <c r="B1898">
        <v>24.13</v>
      </c>
      <c r="C1898">
        <v>4.3899999999999997</v>
      </c>
      <c r="D1898" t="s">
        <v>4682</v>
      </c>
      <c r="E1898" t="s">
        <v>4682</v>
      </c>
      <c r="F1898" t="s">
        <v>4682</v>
      </c>
      <c r="G1898">
        <v>1</v>
      </c>
      <c r="H1898" t="s">
        <v>4682</v>
      </c>
      <c r="I1898" t="str" cm="1">
        <f t="array" ref="I1898">_xlfn.IFS(B1898&lt;18.5, "Underweight", B1898&lt;=24.9, "Normal Weight", B1898&lt;=29.9, "Overweight", TRUE, "Obesity")</f>
        <v>Normal Weight</v>
      </c>
      <c r="J1898" t="str" cm="1">
        <f t="array" ref="J1898">_xlfn.IFS(C1898&lt;5.7, "Normal", C1898&lt;=6.4, "Prediabetes", TRUE, "Diabetes")</f>
        <v>Normal</v>
      </c>
    </row>
    <row r="1899" spans="1:10">
      <c r="A1899" t="s">
        <v>3796</v>
      </c>
      <c r="B1899">
        <v>19.95</v>
      </c>
      <c r="C1899">
        <v>5.13</v>
      </c>
      <c r="D1899" t="s">
        <v>4682</v>
      </c>
      <c r="E1899" t="s">
        <v>4683</v>
      </c>
      <c r="F1899" t="s">
        <v>4682</v>
      </c>
      <c r="G1899">
        <v>2</v>
      </c>
      <c r="H1899" t="s">
        <v>4682</v>
      </c>
      <c r="I1899" t="str" cm="1">
        <f t="array" ref="I1899">_xlfn.IFS(B1899&lt;18.5, "Underweight", B1899&lt;=24.9, "Normal Weight", B1899&lt;=29.9, "Overweight", TRUE, "Obesity")</f>
        <v>Normal Weight</v>
      </c>
      <c r="J1899" t="str" cm="1">
        <f t="array" ref="J1899">_xlfn.IFS(C1899&lt;5.7, "Normal", C1899&lt;=6.4, "Prediabetes", TRUE, "Diabetes")</f>
        <v>Normal</v>
      </c>
    </row>
    <row r="1900" spans="1:10">
      <c r="A1900" t="s">
        <v>3798</v>
      </c>
      <c r="B1900">
        <v>21.24</v>
      </c>
      <c r="C1900">
        <v>4.49</v>
      </c>
      <c r="D1900" t="s">
        <v>4682</v>
      </c>
      <c r="E1900" t="s">
        <v>4682</v>
      </c>
      <c r="F1900" t="s">
        <v>4682</v>
      </c>
      <c r="G1900">
        <v>0</v>
      </c>
      <c r="H1900" t="s">
        <v>4682</v>
      </c>
      <c r="I1900" t="str" cm="1">
        <f t="array" ref="I1900">_xlfn.IFS(B1900&lt;18.5, "Underweight", B1900&lt;=24.9, "Normal Weight", B1900&lt;=29.9, "Overweight", TRUE, "Obesity")</f>
        <v>Normal Weight</v>
      </c>
      <c r="J1900" t="str" cm="1">
        <f t="array" ref="J1900">_xlfn.IFS(C1900&lt;5.7, "Normal", C1900&lt;=6.4, "Prediabetes", TRUE, "Diabetes")</f>
        <v>Normal</v>
      </c>
    </row>
    <row r="1901" spans="1:10">
      <c r="A1901" t="s">
        <v>3800</v>
      </c>
      <c r="B1901">
        <v>44.22</v>
      </c>
      <c r="C1901">
        <v>6.35</v>
      </c>
      <c r="D1901" t="s">
        <v>4682</v>
      </c>
      <c r="E1901" t="s">
        <v>4682</v>
      </c>
      <c r="F1901" t="s">
        <v>4682</v>
      </c>
      <c r="G1901">
        <v>0</v>
      </c>
      <c r="H1901" t="s">
        <v>4682</v>
      </c>
      <c r="I1901" t="str" cm="1">
        <f t="array" ref="I1901">_xlfn.IFS(B1901&lt;18.5, "Underweight", B1901&lt;=24.9, "Normal Weight", B1901&lt;=29.9, "Overweight", TRUE, "Obesity")</f>
        <v>Obesity</v>
      </c>
      <c r="J1901" t="str" cm="1">
        <f t="array" ref="J1901">_xlfn.IFS(C1901&lt;5.7, "Normal", C1901&lt;=6.4, "Prediabetes", TRUE, "Diabetes")</f>
        <v>Prediabetes</v>
      </c>
    </row>
    <row r="1902" spans="1:10">
      <c r="A1902" t="s">
        <v>3802</v>
      </c>
      <c r="B1902">
        <v>41.1</v>
      </c>
      <c r="C1902">
        <v>5.79</v>
      </c>
      <c r="D1902" t="s">
        <v>4682</v>
      </c>
      <c r="E1902" t="s">
        <v>4682</v>
      </c>
      <c r="F1902" t="s">
        <v>4682</v>
      </c>
      <c r="G1902">
        <v>0</v>
      </c>
      <c r="H1902" t="s">
        <v>4682</v>
      </c>
      <c r="I1902" t="str" cm="1">
        <f t="array" ref="I1902">_xlfn.IFS(B1902&lt;18.5, "Underweight", B1902&lt;=24.9, "Normal Weight", B1902&lt;=29.9, "Overweight", TRUE, "Obesity")</f>
        <v>Obesity</v>
      </c>
      <c r="J1902" t="str" cm="1">
        <f t="array" ref="J1902">_xlfn.IFS(C1902&lt;5.7, "Normal", C1902&lt;=6.4, "Prediabetes", TRUE, "Diabetes")</f>
        <v>Prediabetes</v>
      </c>
    </row>
    <row r="1903" spans="1:10">
      <c r="A1903" t="s">
        <v>3804</v>
      </c>
      <c r="B1903">
        <v>34.200000000000003</v>
      </c>
      <c r="C1903">
        <v>4.78</v>
      </c>
      <c r="D1903" t="s">
        <v>4683</v>
      </c>
      <c r="E1903" t="s">
        <v>4682</v>
      </c>
      <c r="F1903" t="s">
        <v>4682</v>
      </c>
      <c r="G1903">
        <v>0</v>
      </c>
      <c r="H1903" t="s">
        <v>4682</v>
      </c>
      <c r="I1903" t="str" cm="1">
        <f t="array" ref="I1903">_xlfn.IFS(B1903&lt;18.5, "Underweight", B1903&lt;=24.9, "Normal Weight", B1903&lt;=29.9, "Overweight", TRUE, "Obesity")</f>
        <v>Obesity</v>
      </c>
      <c r="J1903" t="str" cm="1">
        <f t="array" ref="J1903">_xlfn.IFS(C1903&lt;5.7, "Normal", C1903&lt;=6.4, "Prediabetes", TRUE, "Diabetes")</f>
        <v>Normal</v>
      </c>
    </row>
    <row r="1904" spans="1:10">
      <c r="A1904" t="s">
        <v>3806</v>
      </c>
      <c r="B1904">
        <v>29.92</v>
      </c>
      <c r="C1904">
        <v>6.02</v>
      </c>
      <c r="D1904" t="s">
        <v>4683</v>
      </c>
      <c r="E1904" t="s">
        <v>4682</v>
      </c>
      <c r="F1904" t="s">
        <v>4682</v>
      </c>
      <c r="G1904">
        <v>0</v>
      </c>
      <c r="H1904" t="s">
        <v>4682</v>
      </c>
      <c r="I1904" t="str" cm="1">
        <f t="array" ref="I1904">_xlfn.IFS(B1904&lt;18.5, "Underweight", B1904&lt;=24.9, "Normal Weight", B1904&lt;=29.9, "Overweight", TRUE, "Obesity")</f>
        <v>Obesity</v>
      </c>
      <c r="J1904" t="str" cm="1">
        <f t="array" ref="J1904">_xlfn.IFS(C1904&lt;5.7, "Normal", C1904&lt;=6.4, "Prediabetes", TRUE, "Diabetes")</f>
        <v>Prediabetes</v>
      </c>
    </row>
    <row r="1905" spans="1:10">
      <c r="A1905" t="s">
        <v>3808</v>
      </c>
      <c r="B1905">
        <v>28.93</v>
      </c>
      <c r="C1905">
        <v>4.4400000000000004</v>
      </c>
      <c r="D1905" t="s">
        <v>4682</v>
      </c>
      <c r="E1905" t="s">
        <v>4682</v>
      </c>
      <c r="F1905" t="s">
        <v>4682</v>
      </c>
      <c r="G1905">
        <v>0</v>
      </c>
      <c r="H1905" t="s">
        <v>4682</v>
      </c>
      <c r="I1905" t="str" cm="1">
        <f t="array" ref="I1905">_xlfn.IFS(B1905&lt;18.5, "Underweight", B1905&lt;=24.9, "Normal Weight", B1905&lt;=29.9, "Overweight", TRUE, "Obesity")</f>
        <v>Overweight</v>
      </c>
      <c r="J1905" t="str" cm="1">
        <f t="array" ref="J1905">_xlfn.IFS(C1905&lt;5.7, "Normal", C1905&lt;=6.4, "Prediabetes", TRUE, "Diabetes")</f>
        <v>Normal</v>
      </c>
    </row>
    <row r="1906" spans="1:10">
      <c r="A1906" t="s">
        <v>3810</v>
      </c>
      <c r="B1906">
        <v>31.254999999999999</v>
      </c>
      <c r="C1906">
        <v>5.84</v>
      </c>
      <c r="D1906" t="s">
        <v>4683</v>
      </c>
      <c r="E1906" t="s">
        <v>4682</v>
      </c>
      <c r="F1906" t="s">
        <v>4682</v>
      </c>
      <c r="G1906">
        <v>1</v>
      </c>
      <c r="H1906" t="s">
        <v>4682</v>
      </c>
      <c r="I1906" t="str" cm="1">
        <f t="array" ref="I1906">_xlfn.IFS(B1906&lt;18.5, "Underweight", B1906&lt;=24.9, "Normal Weight", B1906&lt;=29.9, "Overweight", TRUE, "Obesity")</f>
        <v>Obesity</v>
      </c>
      <c r="J1906" t="str" cm="1">
        <f t="array" ref="J1906">_xlfn.IFS(C1906&lt;5.7, "Normal", C1906&lt;=6.4, "Prediabetes", TRUE, "Diabetes")</f>
        <v>Prediabetes</v>
      </c>
    </row>
    <row r="1907" spans="1:10">
      <c r="A1907" t="s">
        <v>3812</v>
      </c>
      <c r="B1907">
        <v>29.83</v>
      </c>
      <c r="C1907">
        <v>5.39</v>
      </c>
      <c r="D1907" t="s">
        <v>4682</v>
      </c>
      <c r="E1907" t="s">
        <v>4682</v>
      </c>
      <c r="F1907" t="s">
        <v>4682</v>
      </c>
      <c r="G1907">
        <v>0</v>
      </c>
      <c r="H1907" t="s">
        <v>4682</v>
      </c>
      <c r="I1907" t="str" cm="1">
        <f t="array" ref="I1907">_xlfn.IFS(B1907&lt;18.5, "Underweight", B1907&lt;=24.9, "Normal Weight", B1907&lt;=29.9, "Overweight", TRUE, "Obesity")</f>
        <v>Overweight</v>
      </c>
      <c r="J1907" t="str" cm="1">
        <f t="array" ref="J1907">_xlfn.IFS(C1907&lt;5.7, "Normal", C1907&lt;=6.4, "Prediabetes", TRUE, "Diabetes")</f>
        <v>Normal</v>
      </c>
    </row>
    <row r="1908" spans="1:10">
      <c r="A1908" t="s">
        <v>3814</v>
      </c>
      <c r="B1908">
        <v>29.59</v>
      </c>
      <c r="C1908">
        <v>6.16</v>
      </c>
      <c r="D1908" t="s">
        <v>4682</v>
      </c>
      <c r="E1908" t="s">
        <v>4682</v>
      </c>
      <c r="F1908" t="s">
        <v>4684</v>
      </c>
      <c r="G1908">
        <v>1</v>
      </c>
      <c r="H1908" t="s">
        <v>4682</v>
      </c>
      <c r="I1908" t="str" cm="1">
        <f t="array" ref="I1908">_xlfn.IFS(B1908&lt;18.5, "Underweight", B1908&lt;=24.9, "Normal Weight", B1908&lt;=29.9, "Overweight", TRUE, "Obesity")</f>
        <v>Overweight</v>
      </c>
      <c r="J1908" t="str" cm="1">
        <f t="array" ref="J1908">_xlfn.IFS(C1908&lt;5.7, "Normal", C1908&lt;=6.4, "Prediabetes", TRUE, "Diabetes")</f>
        <v>Prediabetes</v>
      </c>
    </row>
    <row r="1909" spans="1:10">
      <c r="A1909" t="s">
        <v>3816</v>
      </c>
      <c r="B1909">
        <v>31.16</v>
      </c>
      <c r="C1909">
        <v>4.49</v>
      </c>
      <c r="D1909" t="s">
        <v>4682</v>
      </c>
      <c r="E1909" t="s">
        <v>4682</v>
      </c>
      <c r="F1909" t="s">
        <v>4684</v>
      </c>
      <c r="G1909">
        <v>1</v>
      </c>
      <c r="H1909" t="s">
        <v>4682</v>
      </c>
      <c r="I1909" t="str" cm="1">
        <f t="array" ref="I1909">_xlfn.IFS(B1909&lt;18.5, "Underweight", B1909&lt;=24.9, "Normal Weight", B1909&lt;=29.9, "Overweight", TRUE, "Obesity")</f>
        <v>Obesity</v>
      </c>
      <c r="J1909" t="str" cm="1">
        <f t="array" ref="J1909">_xlfn.IFS(C1909&lt;5.7, "Normal", C1909&lt;=6.4, "Prediabetes", TRUE, "Diabetes")</f>
        <v>Normal</v>
      </c>
    </row>
    <row r="1910" spans="1:10">
      <c r="A1910" t="s">
        <v>3818</v>
      </c>
      <c r="B1910">
        <v>34.21</v>
      </c>
      <c r="C1910">
        <v>4.4800000000000004</v>
      </c>
      <c r="D1910" t="s">
        <v>4683</v>
      </c>
      <c r="E1910" t="s">
        <v>4682</v>
      </c>
      <c r="F1910" t="s">
        <v>4682</v>
      </c>
      <c r="G1910">
        <v>1</v>
      </c>
      <c r="H1910" t="s">
        <v>4682</v>
      </c>
      <c r="I1910" t="str" cm="1">
        <f t="array" ref="I1910">_xlfn.IFS(B1910&lt;18.5, "Underweight", B1910&lt;=24.9, "Normal Weight", B1910&lt;=29.9, "Overweight", TRUE, "Obesity")</f>
        <v>Obesity</v>
      </c>
      <c r="J1910" t="str" cm="1">
        <f t="array" ref="J1910">_xlfn.IFS(C1910&lt;5.7, "Normal", C1910&lt;=6.4, "Prediabetes", TRUE, "Diabetes")</f>
        <v>Normal</v>
      </c>
    </row>
    <row r="1911" spans="1:10">
      <c r="A1911" t="s">
        <v>3820</v>
      </c>
      <c r="B1911">
        <v>34.86</v>
      </c>
      <c r="C1911">
        <v>10.97</v>
      </c>
      <c r="D1911" t="s">
        <v>4682</v>
      </c>
      <c r="E1911" t="s">
        <v>4682</v>
      </c>
      <c r="F1911" t="s">
        <v>4682</v>
      </c>
      <c r="G1911">
        <v>0</v>
      </c>
      <c r="H1911" t="s">
        <v>4682</v>
      </c>
      <c r="I1911" t="str" cm="1">
        <f t="array" ref="I1911">_xlfn.IFS(B1911&lt;18.5, "Underweight", B1911&lt;=24.9, "Normal Weight", B1911&lt;=29.9, "Overweight", TRUE, "Obesity")</f>
        <v>Obesity</v>
      </c>
      <c r="J1911" t="str" cm="1">
        <f t="array" ref="J1911">_xlfn.IFS(C1911&lt;5.7, "Normal", C1911&lt;=6.4, "Prediabetes", TRUE, "Diabetes")</f>
        <v>Diabetes</v>
      </c>
    </row>
    <row r="1912" spans="1:10">
      <c r="A1912" t="s">
        <v>3822</v>
      </c>
      <c r="B1912">
        <v>34.58</v>
      </c>
      <c r="C1912">
        <v>5.14</v>
      </c>
      <c r="D1912" t="s">
        <v>4682</v>
      </c>
      <c r="E1912" t="s">
        <v>4683</v>
      </c>
      <c r="F1912" t="s">
        <v>4682</v>
      </c>
      <c r="G1912">
        <v>2</v>
      </c>
      <c r="H1912" t="s">
        <v>4682</v>
      </c>
      <c r="I1912" t="str" cm="1">
        <f t="array" ref="I1912">_xlfn.IFS(B1912&lt;18.5, "Underweight", B1912&lt;=24.9, "Normal Weight", B1912&lt;=29.9, "Overweight", TRUE, "Obesity")</f>
        <v>Obesity</v>
      </c>
      <c r="J1912" t="str" cm="1">
        <f t="array" ref="J1912">_xlfn.IFS(C1912&lt;5.7, "Normal", C1912&lt;=6.4, "Prediabetes", TRUE, "Diabetes")</f>
        <v>Normal</v>
      </c>
    </row>
    <row r="1913" spans="1:10">
      <c r="A1913" t="s">
        <v>3824</v>
      </c>
      <c r="B1913">
        <v>17.940000000000001</v>
      </c>
      <c r="C1913">
        <v>5.17</v>
      </c>
      <c r="D1913" t="s">
        <v>4683</v>
      </c>
      <c r="E1913" t="s">
        <v>4682</v>
      </c>
      <c r="F1913" t="s">
        <v>4682</v>
      </c>
      <c r="G1913">
        <v>0</v>
      </c>
      <c r="H1913" t="s">
        <v>4682</v>
      </c>
      <c r="I1913" t="str" cm="1">
        <f t="array" ref="I1913">_xlfn.IFS(B1913&lt;18.5, "Underweight", B1913&lt;=24.9, "Normal Weight", B1913&lt;=29.9, "Overweight", TRUE, "Obesity")</f>
        <v>Underweight</v>
      </c>
      <c r="J1913" t="str" cm="1">
        <f t="array" ref="J1913">_xlfn.IFS(C1913&lt;5.7, "Normal", C1913&lt;=6.4, "Prediabetes", TRUE, "Diabetes")</f>
        <v>Normal</v>
      </c>
    </row>
    <row r="1914" spans="1:10">
      <c r="A1914" t="s">
        <v>3826</v>
      </c>
      <c r="B1914">
        <v>26.8</v>
      </c>
      <c r="C1914">
        <v>6.18</v>
      </c>
      <c r="D1914" t="s">
        <v>4683</v>
      </c>
      <c r="E1914" t="s">
        <v>4682</v>
      </c>
      <c r="F1914" t="s">
        <v>4684</v>
      </c>
      <c r="G1914">
        <v>1</v>
      </c>
      <c r="H1914" t="s">
        <v>4682</v>
      </c>
      <c r="I1914" t="str" cm="1">
        <f t="array" ref="I1914">_xlfn.IFS(B1914&lt;18.5, "Underweight", B1914&lt;=24.9, "Normal Weight", B1914&lt;=29.9, "Overweight", TRUE, "Obesity")</f>
        <v>Overweight</v>
      </c>
      <c r="J1914" t="str" cm="1">
        <f t="array" ref="J1914">_xlfn.IFS(C1914&lt;5.7, "Normal", C1914&lt;=6.4, "Prediabetes", TRUE, "Diabetes")</f>
        <v>Prediabetes</v>
      </c>
    </row>
    <row r="1915" spans="1:10">
      <c r="A1915" t="s">
        <v>3828</v>
      </c>
      <c r="B1915">
        <v>17.690000000000001</v>
      </c>
      <c r="C1915">
        <v>9.07</v>
      </c>
      <c r="D1915" t="s">
        <v>4683</v>
      </c>
      <c r="E1915" t="s">
        <v>4682</v>
      </c>
      <c r="F1915" t="s">
        <v>4682</v>
      </c>
      <c r="G1915">
        <v>0</v>
      </c>
      <c r="H1915" t="s">
        <v>4682</v>
      </c>
      <c r="I1915" t="str" cm="1">
        <f t="array" ref="I1915">_xlfn.IFS(B1915&lt;18.5, "Underweight", B1915&lt;=24.9, "Normal Weight", B1915&lt;=29.9, "Overweight", TRUE, "Obesity")</f>
        <v>Underweight</v>
      </c>
      <c r="J1915" t="str" cm="1">
        <f t="array" ref="J1915">_xlfn.IFS(C1915&lt;5.7, "Normal", C1915&lt;=6.4, "Prediabetes", TRUE, "Diabetes")</f>
        <v>Diabetes</v>
      </c>
    </row>
    <row r="1916" spans="1:10">
      <c r="A1916" t="s">
        <v>3830</v>
      </c>
      <c r="B1916">
        <v>25.77</v>
      </c>
      <c r="C1916">
        <v>4.43</v>
      </c>
      <c r="D1916" t="s">
        <v>4682</v>
      </c>
      <c r="E1916" t="s">
        <v>4682</v>
      </c>
      <c r="F1916" t="s">
        <v>4684</v>
      </c>
      <c r="G1916">
        <v>1</v>
      </c>
      <c r="H1916" t="s">
        <v>4682</v>
      </c>
      <c r="I1916" t="str" cm="1">
        <f t="array" ref="I1916">_xlfn.IFS(B1916&lt;18.5, "Underweight", B1916&lt;=24.9, "Normal Weight", B1916&lt;=29.9, "Overweight", TRUE, "Obesity")</f>
        <v>Overweight</v>
      </c>
      <c r="J1916" t="str" cm="1">
        <f t="array" ref="J1916">_xlfn.IFS(C1916&lt;5.7, "Normal", C1916&lt;=6.4, "Prediabetes", TRUE, "Diabetes")</f>
        <v>Normal</v>
      </c>
    </row>
    <row r="1917" spans="1:10">
      <c r="A1917" t="s">
        <v>3832</v>
      </c>
      <c r="B1917">
        <v>34.46</v>
      </c>
      <c r="C1917">
        <v>4.17</v>
      </c>
      <c r="D1917" t="s">
        <v>4682</v>
      </c>
      <c r="E1917" t="s">
        <v>4683</v>
      </c>
      <c r="F1917" t="s">
        <v>4682</v>
      </c>
      <c r="G1917">
        <v>1</v>
      </c>
      <c r="H1917" t="s">
        <v>4682</v>
      </c>
      <c r="I1917" t="str" cm="1">
        <f t="array" ref="I1917">_xlfn.IFS(B1917&lt;18.5, "Underweight", B1917&lt;=24.9, "Normal Weight", B1917&lt;=29.9, "Overweight", TRUE, "Obesity")</f>
        <v>Obesity</v>
      </c>
      <c r="J1917" t="str" cm="1">
        <f t="array" ref="J1917">_xlfn.IFS(C1917&lt;5.7, "Normal", C1917&lt;=6.4, "Prediabetes", TRUE, "Diabetes")</f>
        <v>Normal</v>
      </c>
    </row>
    <row r="1918" spans="1:10">
      <c r="A1918" t="s">
        <v>3834</v>
      </c>
      <c r="B1918">
        <v>30.875</v>
      </c>
      <c r="C1918">
        <v>4.95</v>
      </c>
      <c r="D1918" t="s">
        <v>4683</v>
      </c>
      <c r="E1918" t="s">
        <v>4682</v>
      </c>
      <c r="F1918" t="s">
        <v>4682</v>
      </c>
      <c r="G1918">
        <v>0</v>
      </c>
      <c r="H1918" t="s">
        <v>4682</v>
      </c>
      <c r="I1918" t="str" cm="1">
        <f t="array" ref="I1918">_xlfn.IFS(B1918&lt;18.5, "Underweight", B1918&lt;=24.9, "Normal Weight", B1918&lt;=29.9, "Overweight", TRUE, "Obesity")</f>
        <v>Obesity</v>
      </c>
      <c r="J1918" t="str" cm="1">
        <f t="array" ref="J1918">_xlfn.IFS(C1918&lt;5.7, "Normal", C1918&lt;=6.4, "Prediabetes", TRUE, "Diabetes")</f>
        <v>Normal</v>
      </c>
    </row>
    <row r="1919" spans="1:10">
      <c r="A1919" t="s">
        <v>3836</v>
      </c>
      <c r="B1919">
        <v>39.49</v>
      </c>
      <c r="C1919">
        <v>5.13</v>
      </c>
      <c r="D1919" t="s">
        <v>4682</v>
      </c>
      <c r="E1919" t="s">
        <v>4682</v>
      </c>
      <c r="F1919" t="s">
        <v>4682</v>
      </c>
      <c r="G1919">
        <v>0</v>
      </c>
      <c r="H1919" t="s">
        <v>4682</v>
      </c>
      <c r="I1919" t="str" cm="1">
        <f t="array" ref="I1919">_xlfn.IFS(B1919&lt;18.5, "Underweight", B1919&lt;=24.9, "Normal Weight", B1919&lt;=29.9, "Overweight", TRUE, "Obesity")</f>
        <v>Obesity</v>
      </c>
      <c r="J1919" t="str" cm="1">
        <f t="array" ref="J1919">_xlfn.IFS(C1919&lt;5.7, "Normal", C1919&lt;=6.4, "Prediabetes", TRUE, "Diabetes")</f>
        <v>Normal</v>
      </c>
    </row>
    <row r="1920" spans="1:10">
      <c r="A1920" t="s">
        <v>3838</v>
      </c>
      <c r="B1920">
        <v>28.88</v>
      </c>
      <c r="C1920">
        <v>4.0999999999999996</v>
      </c>
      <c r="D1920" t="s">
        <v>4682</v>
      </c>
      <c r="E1920" t="s">
        <v>4682</v>
      </c>
      <c r="F1920" t="s">
        <v>4682</v>
      </c>
      <c r="G1920">
        <v>0</v>
      </c>
      <c r="H1920" t="s">
        <v>4682</v>
      </c>
      <c r="I1920" t="str" cm="1">
        <f t="array" ref="I1920">_xlfn.IFS(B1920&lt;18.5, "Underweight", B1920&lt;=24.9, "Normal Weight", B1920&lt;=29.9, "Overweight", TRUE, "Obesity")</f>
        <v>Overweight</v>
      </c>
      <c r="J1920" t="str" cm="1">
        <f t="array" ref="J1920">_xlfn.IFS(C1920&lt;5.7, "Normal", C1920&lt;=6.4, "Prediabetes", TRUE, "Diabetes")</f>
        <v>Normal</v>
      </c>
    </row>
    <row r="1921" spans="1:10">
      <c r="A1921" t="s">
        <v>3840</v>
      </c>
      <c r="B1921">
        <v>20.234999999999999</v>
      </c>
      <c r="C1921">
        <v>5.01</v>
      </c>
      <c r="D1921" t="s">
        <v>4683</v>
      </c>
      <c r="E1921" t="s">
        <v>4682</v>
      </c>
      <c r="F1921" t="s">
        <v>4682</v>
      </c>
      <c r="G1921">
        <v>0</v>
      </c>
      <c r="H1921" t="s">
        <v>4682</v>
      </c>
      <c r="I1921" t="str" cm="1">
        <f t="array" ref="I1921">_xlfn.IFS(B1921&lt;18.5, "Underweight", B1921&lt;=24.9, "Normal Weight", B1921&lt;=29.9, "Overweight", TRUE, "Obesity")</f>
        <v>Normal Weight</v>
      </c>
      <c r="J1921" t="str" cm="1">
        <f t="array" ref="J1921">_xlfn.IFS(C1921&lt;5.7, "Normal", C1921&lt;=6.4, "Prediabetes", TRUE, "Diabetes")</f>
        <v>Normal</v>
      </c>
    </row>
    <row r="1922" spans="1:10">
      <c r="A1922" t="s">
        <v>3842</v>
      </c>
      <c r="B1922">
        <v>30.67</v>
      </c>
      <c r="C1922">
        <v>5.09</v>
      </c>
      <c r="D1922" t="s">
        <v>4683</v>
      </c>
      <c r="E1922" t="s">
        <v>4682</v>
      </c>
      <c r="F1922" t="s">
        <v>4682</v>
      </c>
      <c r="G1922">
        <v>0</v>
      </c>
      <c r="H1922" t="s">
        <v>4682</v>
      </c>
      <c r="I1922" t="str" cm="1">
        <f t="array" ref="I1922">_xlfn.IFS(B1922&lt;18.5, "Underweight", B1922&lt;=24.9, "Normal Weight", B1922&lt;=29.9, "Overweight", TRUE, "Obesity")</f>
        <v>Obesity</v>
      </c>
      <c r="J1922" t="str" cm="1">
        <f t="array" ref="J1922">_xlfn.IFS(C1922&lt;5.7, "Normal", C1922&lt;=6.4, "Prediabetes", TRUE, "Diabetes")</f>
        <v>Normal</v>
      </c>
    </row>
    <row r="1923" spans="1:10">
      <c r="A1923" t="s">
        <v>3844</v>
      </c>
      <c r="B1923">
        <v>30.875</v>
      </c>
      <c r="C1923">
        <v>6.49</v>
      </c>
      <c r="D1923" t="s">
        <v>4682</v>
      </c>
      <c r="E1923" t="s">
        <v>4682</v>
      </c>
      <c r="F1923" t="s">
        <v>4682</v>
      </c>
      <c r="G1923">
        <v>0</v>
      </c>
      <c r="H1923" t="s">
        <v>4682</v>
      </c>
      <c r="I1923" t="str" cm="1">
        <f t="array" ref="I1923">_xlfn.IFS(B1923&lt;18.5, "Underweight", B1923&lt;=24.9, "Normal Weight", B1923&lt;=29.9, "Overweight", TRUE, "Obesity")</f>
        <v>Obesity</v>
      </c>
      <c r="J1923" t="str" cm="1">
        <f t="array" ref="J1923">_xlfn.IFS(C1923&lt;5.7, "Normal", C1923&lt;=6.4, "Prediabetes", TRUE, "Diabetes")</f>
        <v>Diabetes</v>
      </c>
    </row>
    <row r="1924" spans="1:10">
      <c r="A1924" t="s">
        <v>3846</v>
      </c>
      <c r="B1924">
        <v>23.8</v>
      </c>
      <c r="C1924">
        <v>4.08</v>
      </c>
      <c r="D1924" t="s">
        <v>4682</v>
      </c>
      <c r="E1924" t="s">
        <v>4682</v>
      </c>
      <c r="F1924" t="s">
        <v>4682</v>
      </c>
      <c r="G1924">
        <v>0</v>
      </c>
      <c r="H1924" t="s">
        <v>4682</v>
      </c>
      <c r="I1924" t="str" cm="1">
        <f t="array" ref="I1924">_xlfn.IFS(B1924&lt;18.5, "Underweight", B1924&lt;=24.9, "Normal Weight", B1924&lt;=29.9, "Overweight", TRUE, "Obesity")</f>
        <v>Normal Weight</v>
      </c>
      <c r="J1924" t="str" cm="1">
        <f t="array" ref="J1924">_xlfn.IFS(C1924&lt;5.7, "Normal", C1924&lt;=6.4, "Prediabetes", TRUE, "Diabetes")</f>
        <v>Normal</v>
      </c>
    </row>
    <row r="1925" spans="1:10">
      <c r="A1925" t="s">
        <v>3848</v>
      </c>
      <c r="B1925">
        <v>15.37</v>
      </c>
      <c r="C1925">
        <v>8.6300000000000008</v>
      </c>
      <c r="D1925" t="s">
        <v>4683</v>
      </c>
      <c r="E1925" t="s">
        <v>4682</v>
      </c>
      <c r="F1925" t="s">
        <v>4682</v>
      </c>
      <c r="G1925">
        <v>0</v>
      </c>
      <c r="H1925" t="s">
        <v>4682</v>
      </c>
      <c r="I1925" t="str" cm="1">
        <f t="array" ref="I1925">_xlfn.IFS(B1925&lt;18.5, "Underweight", B1925&lt;=24.9, "Normal Weight", B1925&lt;=29.9, "Overweight", TRUE, "Obesity")</f>
        <v>Underweight</v>
      </c>
      <c r="J1925" t="str" cm="1">
        <f t="array" ref="J1925">_xlfn.IFS(C1925&lt;5.7, "Normal", C1925&lt;=6.4, "Prediabetes", TRUE, "Diabetes")</f>
        <v>Diabetes</v>
      </c>
    </row>
    <row r="1926" spans="1:10">
      <c r="A1926" t="s">
        <v>3850</v>
      </c>
      <c r="B1926">
        <v>30.4</v>
      </c>
      <c r="C1926">
        <v>5.28</v>
      </c>
      <c r="D1926" t="s">
        <v>4682</v>
      </c>
      <c r="E1926" t="s">
        <v>4682</v>
      </c>
      <c r="F1926" t="s">
        <v>4682</v>
      </c>
      <c r="G1926">
        <v>0</v>
      </c>
      <c r="H1926" t="s">
        <v>4682</v>
      </c>
      <c r="I1926" t="str" cm="1">
        <f t="array" ref="I1926">_xlfn.IFS(B1926&lt;18.5, "Underweight", B1926&lt;=24.9, "Normal Weight", B1926&lt;=29.9, "Overweight", TRUE, "Obesity")</f>
        <v>Obesity</v>
      </c>
      <c r="J1926" t="str" cm="1">
        <f t="array" ref="J1926">_xlfn.IFS(C1926&lt;5.7, "Normal", C1926&lt;=6.4, "Prediabetes", TRUE, "Diabetes")</f>
        <v>Normal</v>
      </c>
    </row>
    <row r="1927" spans="1:10">
      <c r="A1927" t="s">
        <v>3852</v>
      </c>
      <c r="B1927">
        <v>19.48</v>
      </c>
      <c r="C1927">
        <v>5.63</v>
      </c>
      <c r="D1927" t="s">
        <v>4683</v>
      </c>
      <c r="E1927" t="s">
        <v>4682</v>
      </c>
      <c r="F1927" t="s">
        <v>4682</v>
      </c>
      <c r="G1927">
        <v>1</v>
      </c>
      <c r="H1927" t="s">
        <v>4682</v>
      </c>
      <c r="I1927" t="str" cm="1">
        <f t="array" ref="I1927">_xlfn.IFS(B1927&lt;18.5, "Underweight", B1927&lt;=24.9, "Normal Weight", B1927&lt;=29.9, "Overweight", TRUE, "Obesity")</f>
        <v>Normal Weight</v>
      </c>
      <c r="J1927" t="str" cm="1">
        <f t="array" ref="J1927">_xlfn.IFS(C1927&lt;5.7, "Normal", C1927&lt;=6.4, "Prediabetes", TRUE, "Diabetes")</f>
        <v>Normal</v>
      </c>
    </row>
    <row r="1928" spans="1:10">
      <c r="A1928" t="s">
        <v>3854</v>
      </c>
      <c r="B1928">
        <v>16.96</v>
      </c>
      <c r="C1928">
        <v>11.47</v>
      </c>
      <c r="D1928" t="s">
        <v>4683</v>
      </c>
      <c r="E1928" t="s">
        <v>4682</v>
      </c>
      <c r="F1928" t="s">
        <v>4682</v>
      </c>
      <c r="G1928">
        <v>0</v>
      </c>
      <c r="H1928" t="s">
        <v>4682</v>
      </c>
      <c r="I1928" t="str" cm="1">
        <f t="array" ref="I1928">_xlfn.IFS(B1928&lt;18.5, "Underweight", B1928&lt;=24.9, "Normal Weight", B1928&lt;=29.9, "Overweight", TRUE, "Obesity")</f>
        <v>Underweight</v>
      </c>
      <c r="J1928" t="str" cm="1">
        <f t="array" ref="J1928">_xlfn.IFS(C1928&lt;5.7, "Normal", C1928&lt;=6.4, "Prediabetes", TRUE, "Diabetes")</f>
        <v>Diabetes</v>
      </c>
    </row>
    <row r="1929" spans="1:10">
      <c r="A1929" t="s">
        <v>3856</v>
      </c>
      <c r="B1929">
        <v>19.05</v>
      </c>
      <c r="C1929">
        <v>4.92</v>
      </c>
      <c r="D1929" t="s">
        <v>4682</v>
      </c>
      <c r="E1929" t="s">
        <v>4682</v>
      </c>
      <c r="F1929" t="s">
        <v>4682</v>
      </c>
      <c r="G1929">
        <v>1</v>
      </c>
      <c r="H1929" t="s">
        <v>4682</v>
      </c>
      <c r="I1929" t="str" cm="1">
        <f t="array" ref="I1929">_xlfn.IFS(B1929&lt;18.5, "Underweight", B1929&lt;=24.9, "Normal Weight", B1929&lt;=29.9, "Overweight", TRUE, "Obesity")</f>
        <v>Normal Weight</v>
      </c>
      <c r="J1929" t="str" cm="1">
        <f t="array" ref="J1929">_xlfn.IFS(C1929&lt;5.7, "Normal", C1929&lt;=6.4, "Prediabetes", TRUE, "Diabetes")</f>
        <v>Normal</v>
      </c>
    </row>
    <row r="1930" spans="1:10">
      <c r="A1930" t="s">
        <v>3858</v>
      </c>
      <c r="B1930">
        <v>37.619999999999997</v>
      </c>
      <c r="C1930">
        <v>4.18</v>
      </c>
      <c r="D1930" t="s">
        <v>4682</v>
      </c>
      <c r="E1930" t="s">
        <v>4682</v>
      </c>
      <c r="F1930" t="s">
        <v>4682</v>
      </c>
      <c r="G1930">
        <v>0</v>
      </c>
      <c r="H1930" t="s">
        <v>4682</v>
      </c>
      <c r="I1930" t="str" cm="1">
        <f t="array" ref="I1930">_xlfn.IFS(B1930&lt;18.5, "Underweight", B1930&lt;=24.9, "Normal Weight", B1930&lt;=29.9, "Overweight", TRUE, "Obesity")</f>
        <v>Obesity</v>
      </c>
      <c r="J1930" t="str" cm="1">
        <f t="array" ref="J1930">_xlfn.IFS(C1930&lt;5.7, "Normal", C1930&lt;=6.4, "Prediabetes", TRUE, "Diabetes")</f>
        <v>Normal</v>
      </c>
    </row>
    <row r="1931" spans="1:10">
      <c r="A1931" t="s">
        <v>3860</v>
      </c>
      <c r="B1931">
        <v>29.1</v>
      </c>
      <c r="C1931">
        <v>4.67</v>
      </c>
      <c r="D1931" t="s">
        <v>4682</v>
      </c>
      <c r="E1931" t="s">
        <v>4682</v>
      </c>
      <c r="F1931" t="s">
        <v>4682</v>
      </c>
      <c r="G1931">
        <v>0</v>
      </c>
      <c r="H1931" t="s">
        <v>4682</v>
      </c>
      <c r="I1931" t="str" cm="1">
        <f t="array" ref="I1931">_xlfn.IFS(B1931&lt;18.5, "Underweight", B1931&lt;=24.9, "Normal Weight", B1931&lt;=29.9, "Overweight", TRUE, "Obesity")</f>
        <v>Overweight</v>
      </c>
      <c r="J1931" t="str" cm="1">
        <f t="array" ref="J1931">_xlfn.IFS(C1931&lt;5.7, "Normal", C1931&lt;=6.4, "Prediabetes", TRUE, "Diabetes")</f>
        <v>Normal</v>
      </c>
    </row>
    <row r="1932" spans="1:10">
      <c r="A1932" t="s">
        <v>3862</v>
      </c>
      <c r="B1932">
        <v>26.62</v>
      </c>
      <c r="C1932">
        <v>6.24</v>
      </c>
      <c r="D1932" t="s">
        <v>4682</v>
      </c>
      <c r="E1932" t="s">
        <v>4682</v>
      </c>
      <c r="F1932" t="s">
        <v>4682</v>
      </c>
      <c r="G1932">
        <v>0</v>
      </c>
      <c r="H1932" t="s">
        <v>4682</v>
      </c>
      <c r="I1932" t="str" cm="1">
        <f t="array" ref="I1932">_xlfn.IFS(B1932&lt;18.5, "Underweight", B1932&lt;=24.9, "Normal Weight", B1932&lt;=29.9, "Overweight", TRUE, "Obesity")</f>
        <v>Overweight</v>
      </c>
      <c r="J1932" t="str" cm="1">
        <f t="array" ref="J1932">_xlfn.IFS(C1932&lt;5.7, "Normal", C1932&lt;=6.4, "Prediabetes", TRUE, "Diabetes")</f>
        <v>Prediabetes</v>
      </c>
    </row>
    <row r="1933" spans="1:10">
      <c r="A1933" t="s">
        <v>3864</v>
      </c>
      <c r="B1933">
        <v>25.74</v>
      </c>
      <c r="C1933">
        <v>5.99</v>
      </c>
      <c r="D1933" t="s">
        <v>4682</v>
      </c>
      <c r="E1933" t="s">
        <v>4682</v>
      </c>
      <c r="F1933" t="s">
        <v>4682</v>
      </c>
      <c r="G1933">
        <v>0</v>
      </c>
      <c r="H1933" t="s">
        <v>4682</v>
      </c>
      <c r="I1933" t="str" cm="1">
        <f t="array" ref="I1933">_xlfn.IFS(B1933&lt;18.5, "Underweight", B1933&lt;=24.9, "Normal Weight", B1933&lt;=29.9, "Overweight", TRUE, "Obesity")</f>
        <v>Overweight</v>
      </c>
      <c r="J1933" t="str" cm="1">
        <f t="array" ref="J1933">_xlfn.IFS(C1933&lt;5.7, "Normal", C1933&lt;=6.4, "Prediabetes", TRUE, "Diabetes")</f>
        <v>Prediabetes</v>
      </c>
    </row>
    <row r="1934" spans="1:10">
      <c r="A1934" t="s">
        <v>3866</v>
      </c>
      <c r="B1934">
        <v>18.22</v>
      </c>
      <c r="C1934">
        <v>10.27</v>
      </c>
      <c r="D1934" t="s">
        <v>4683</v>
      </c>
      <c r="E1934" t="s">
        <v>4682</v>
      </c>
      <c r="F1934" t="s">
        <v>4682</v>
      </c>
      <c r="G1934">
        <v>1</v>
      </c>
      <c r="H1934" t="s">
        <v>4682</v>
      </c>
      <c r="I1934" t="str" cm="1">
        <f t="array" ref="I1934">_xlfn.IFS(B1934&lt;18.5, "Underweight", B1934&lt;=24.9, "Normal Weight", B1934&lt;=29.9, "Overweight", TRUE, "Obesity")</f>
        <v>Underweight</v>
      </c>
      <c r="J1934" t="str" cm="1">
        <f t="array" ref="J1934">_xlfn.IFS(C1934&lt;5.7, "Normal", C1934&lt;=6.4, "Prediabetes", TRUE, "Diabetes")</f>
        <v>Diabetes</v>
      </c>
    </row>
    <row r="1935" spans="1:10">
      <c r="A1935" t="s">
        <v>3868</v>
      </c>
      <c r="B1935">
        <v>26.03</v>
      </c>
      <c r="C1935">
        <v>5.97</v>
      </c>
      <c r="D1935" t="s">
        <v>4682</v>
      </c>
      <c r="E1935" t="s">
        <v>4682</v>
      </c>
      <c r="F1935" t="s">
        <v>4684</v>
      </c>
      <c r="G1935">
        <v>1</v>
      </c>
      <c r="H1935" t="s">
        <v>4682</v>
      </c>
      <c r="I1935" t="str" cm="1">
        <f t="array" ref="I1935">_xlfn.IFS(B1935&lt;18.5, "Underweight", B1935&lt;=24.9, "Normal Weight", B1935&lt;=29.9, "Overweight", TRUE, "Obesity")</f>
        <v>Overweight</v>
      </c>
      <c r="J1935" t="str" cm="1">
        <f t="array" ref="J1935">_xlfn.IFS(C1935&lt;5.7, "Normal", C1935&lt;=6.4, "Prediabetes", TRUE, "Diabetes")</f>
        <v>Prediabetes</v>
      </c>
    </row>
    <row r="1936" spans="1:10">
      <c r="A1936" t="s">
        <v>3870</v>
      </c>
      <c r="B1936">
        <v>17.29</v>
      </c>
      <c r="C1936">
        <v>4.9800000000000004</v>
      </c>
      <c r="D1936" t="s">
        <v>4682</v>
      </c>
      <c r="E1936" t="s">
        <v>4682</v>
      </c>
      <c r="F1936" t="s">
        <v>4682</v>
      </c>
      <c r="G1936">
        <v>0</v>
      </c>
      <c r="H1936" t="s">
        <v>4682</v>
      </c>
      <c r="I1936" t="str" cm="1">
        <f t="array" ref="I1936">_xlfn.IFS(B1936&lt;18.5, "Underweight", B1936&lt;=24.9, "Normal Weight", B1936&lt;=29.9, "Overweight", TRUE, "Obesity")</f>
        <v>Underweight</v>
      </c>
      <c r="J1936" t="str" cm="1">
        <f t="array" ref="J1936">_xlfn.IFS(C1936&lt;5.7, "Normal", C1936&lt;=6.4, "Prediabetes", TRUE, "Diabetes")</f>
        <v>Normal</v>
      </c>
    </row>
    <row r="1937" spans="1:10">
      <c r="A1937" t="s">
        <v>3872</v>
      </c>
      <c r="B1937">
        <v>18.170000000000002</v>
      </c>
      <c r="C1937">
        <v>6.91</v>
      </c>
      <c r="D1937" t="s">
        <v>4683</v>
      </c>
      <c r="E1937" t="s">
        <v>4682</v>
      </c>
      <c r="F1937" t="s">
        <v>4682</v>
      </c>
      <c r="G1937">
        <v>1</v>
      </c>
      <c r="H1937" t="s">
        <v>4682</v>
      </c>
      <c r="I1937" t="str" cm="1">
        <f t="array" ref="I1937">_xlfn.IFS(B1937&lt;18.5, "Underweight", B1937&lt;=24.9, "Normal Weight", B1937&lt;=29.9, "Overweight", TRUE, "Obesity")</f>
        <v>Underweight</v>
      </c>
      <c r="J1937" t="str" cm="1">
        <f t="array" ref="J1937">_xlfn.IFS(C1937&lt;5.7, "Normal", C1937&lt;=6.4, "Prediabetes", TRUE, "Diabetes")</f>
        <v>Diabetes</v>
      </c>
    </row>
    <row r="1938" spans="1:10">
      <c r="A1938" t="s">
        <v>3874</v>
      </c>
      <c r="B1938">
        <v>32.54</v>
      </c>
      <c r="C1938">
        <v>6.38</v>
      </c>
      <c r="D1938" t="s">
        <v>4682</v>
      </c>
      <c r="E1938" t="s">
        <v>4683</v>
      </c>
      <c r="F1938" t="s">
        <v>4682</v>
      </c>
      <c r="G1938">
        <v>1</v>
      </c>
      <c r="H1938" t="s">
        <v>4682</v>
      </c>
      <c r="I1938" t="str" cm="1">
        <f t="array" ref="I1938">_xlfn.IFS(B1938&lt;18.5, "Underweight", B1938&lt;=24.9, "Normal Weight", B1938&lt;=29.9, "Overweight", TRUE, "Obesity")</f>
        <v>Obesity</v>
      </c>
      <c r="J1938" t="str" cm="1">
        <f t="array" ref="J1938">_xlfn.IFS(C1938&lt;5.7, "Normal", C1938&lt;=6.4, "Prediabetes", TRUE, "Diabetes")</f>
        <v>Prediabetes</v>
      </c>
    </row>
    <row r="1939" spans="1:10">
      <c r="A1939" t="s">
        <v>3876</v>
      </c>
      <c r="B1939">
        <v>30.25</v>
      </c>
      <c r="C1939">
        <v>4.7699999999999996</v>
      </c>
      <c r="D1939" t="s">
        <v>4682</v>
      </c>
      <c r="E1939" t="s">
        <v>4682</v>
      </c>
      <c r="F1939" t="s">
        <v>4682</v>
      </c>
      <c r="G1939">
        <v>0</v>
      </c>
      <c r="H1939" t="s">
        <v>4682</v>
      </c>
      <c r="I1939" t="str" cm="1">
        <f t="array" ref="I1939">_xlfn.IFS(B1939&lt;18.5, "Underweight", B1939&lt;=24.9, "Normal Weight", B1939&lt;=29.9, "Overweight", TRUE, "Obesity")</f>
        <v>Obesity</v>
      </c>
      <c r="J1939" t="str" cm="1">
        <f t="array" ref="J1939">_xlfn.IFS(C1939&lt;5.7, "Normal", C1939&lt;=6.4, "Prediabetes", TRUE, "Diabetes")</f>
        <v>Normal</v>
      </c>
    </row>
    <row r="1940" spans="1:10">
      <c r="A1940" t="s">
        <v>3878</v>
      </c>
      <c r="B1940">
        <v>19.59</v>
      </c>
      <c r="C1940">
        <v>6.04</v>
      </c>
      <c r="D1940" t="s">
        <v>4683</v>
      </c>
      <c r="E1940" t="s">
        <v>4682</v>
      </c>
      <c r="F1940" t="s">
        <v>4682</v>
      </c>
      <c r="G1940">
        <v>1</v>
      </c>
      <c r="H1940" t="s">
        <v>4682</v>
      </c>
      <c r="I1940" t="str" cm="1">
        <f t="array" ref="I1940">_xlfn.IFS(B1940&lt;18.5, "Underweight", B1940&lt;=24.9, "Normal Weight", B1940&lt;=29.9, "Overweight", TRUE, "Obesity")</f>
        <v>Normal Weight</v>
      </c>
      <c r="J1940" t="str" cm="1">
        <f t="array" ref="J1940">_xlfn.IFS(C1940&lt;5.7, "Normal", C1940&lt;=6.4, "Prediabetes", TRUE, "Diabetes")</f>
        <v>Prediabetes</v>
      </c>
    </row>
    <row r="1941" spans="1:10">
      <c r="A1941" t="s">
        <v>3880</v>
      </c>
      <c r="B1941">
        <v>45.9</v>
      </c>
      <c r="C1941">
        <v>4.3</v>
      </c>
      <c r="D1941" t="s">
        <v>4683</v>
      </c>
      <c r="E1941" t="s">
        <v>4682</v>
      </c>
      <c r="F1941" t="s">
        <v>4682</v>
      </c>
      <c r="G1941">
        <v>1</v>
      </c>
      <c r="H1941" t="s">
        <v>4682</v>
      </c>
      <c r="I1941" t="str" cm="1">
        <f t="array" ref="I1941">_xlfn.IFS(B1941&lt;18.5, "Underweight", B1941&lt;=24.9, "Normal Weight", B1941&lt;=29.9, "Overweight", TRUE, "Obesity")</f>
        <v>Obesity</v>
      </c>
      <c r="J1941" t="str" cm="1">
        <f t="array" ref="J1941">_xlfn.IFS(C1941&lt;5.7, "Normal", C1941&lt;=6.4, "Prediabetes", TRUE, "Diabetes")</f>
        <v>Normal</v>
      </c>
    </row>
    <row r="1942" spans="1:10">
      <c r="A1942" t="s">
        <v>3882</v>
      </c>
      <c r="B1942">
        <v>17.059999999999999</v>
      </c>
      <c r="C1942">
        <v>8.75</v>
      </c>
      <c r="D1942" t="s">
        <v>4683</v>
      </c>
      <c r="E1942" t="s">
        <v>4682</v>
      </c>
      <c r="F1942" t="s">
        <v>4682</v>
      </c>
      <c r="G1942">
        <v>0</v>
      </c>
      <c r="H1942" t="s">
        <v>4682</v>
      </c>
      <c r="I1942" t="str" cm="1">
        <f t="array" ref="I1942">_xlfn.IFS(B1942&lt;18.5, "Underweight", B1942&lt;=24.9, "Normal Weight", B1942&lt;=29.9, "Overweight", TRUE, "Obesity")</f>
        <v>Underweight</v>
      </c>
      <c r="J1942" t="str" cm="1">
        <f t="array" ref="J1942">_xlfn.IFS(C1942&lt;5.7, "Normal", C1942&lt;=6.4, "Prediabetes", TRUE, "Diabetes")</f>
        <v>Diabetes</v>
      </c>
    </row>
    <row r="1943" spans="1:10">
      <c r="A1943" t="s">
        <v>3884</v>
      </c>
      <c r="B1943">
        <v>32.07</v>
      </c>
      <c r="C1943">
        <v>5.25</v>
      </c>
      <c r="D1943" t="s">
        <v>4682</v>
      </c>
      <c r="E1943" t="s">
        <v>4682</v>
      </c>
      <c r="F1943" t="s">
        <v>4684</v>
      </c>
      <c r="G1943">
        <v>1</v>
      </c>
      <c r="H1943" t="s">
        <v>4682</v>
      </c>
      <c r="I1943" t="str" cm="1">
        <f t="array" ref="I1943">_xlfn.IFS(B1943&lt;18.5, "Underweight", B1943&lt;=24.9, "Normal Weight", B1943&lt;=29.9, "Overweight", TRUE, "Obesity")</f>
        <v>Obesity</v>
      </c>
      <c r="J1943" t="str" cm="1">
        <f t="array" ref="J1943">_xlfn.IFS(C1943&lt;5.7, "Normal", C1943&lt;=6.4, "Prediabetes", TRUE, "Diabetes")</f>
        <v>Normal</v>
      </c>
    </row>
    <row r="1944" spans="1:10">
      <c r="A1944" t="s">
        <v>3886</v>
      </c>
      <c r="B1944">
        <v>16.5</v>
      </c>
      <c r="C1944">
        <v>5.03</v>
      </c>
      <c r="D1944" t="s">
        <v>4682</v>
      </c>
      <c r="E1944" t="s">
        <v>4682</v>
      </c>
      <c r="F1944" t="s">
        <v>4682</v>
      </c>
      <c r="G1944">
        <v>1</v>
      </c>
      <c r="H1944" t="s">
        <v>4682</v>
      </c>
      <c r="I1944" t="str" cm="1">
        <f t="array" ref="I1944">_xlfn.IFS(B1944&lt;18.5, "Underweight", B1944&lt;=24.9, "Normal Weight", B1944&lt;=29.9, "Overweight", TRUE, "Obesity")</f>
        <v>Underweight</v>
      </c>
      <c r="J1944" t="str" cm="1">
        <f t="array" ref="J1944">_xlfn.IFS(C1944&lt;5.7, "Normal", C1944&lt;=6.4, "Prediabetes", TRUE, "Diabetes")</f>
        <v>Normal</v>
      </c>
    </row>
    <row r="1945" spans="1:10">
      <c r="A1945" t="s">
        <v>3888</v>
      </c>
      <c r="B1945">
        <v>31.4</v>
      </c>
      <c r="C1945">
        <v>5.88</v>
      </c>
      <c r="D1945" t="s">
        <v>4682</v>
      </c>
      <c r="E1945" t="s">
        <v>4682</v>
      </c>
      <c r="F1945" t="s">
        <v>4682</v>
      </c>
      <c r="G1945">
        <v>1</v>
      </c>
      <c r="H1945" t="s">
        <v>4682</v>
      </c>
      <c r="I1945" t="str" cm="1">
        <f t="array" ref="I1945">_xlfn.IFS(B1945&lt;18.5, "Underweight", B1945&lt;=24.9, "Normal Weight", B1945&lt;=29.9, "Overweight", TRUE, "Obesity")</f>
        <v>Obesity</v>
      </c>
      <c r="J1945" t="str" cm="1">
        <f t="array" ref="J1945">_xlfn.IFS(C1945&lt;5.7, "Normal", C1945&lt;=6.4, "Prediabetes", TRUE, "Diabetes")</f>
        <v>Prediabetes</v>
      </c>
    </row>
    <row r="1946" spans="1:10">
      <c r="A1946" t="s">
        <v>3890</v>
      </c>
      <c r="B1946">
        <v>20.36</v>
      </c>
      <c r="C1946">
        <v>4.49</v>
      </c>
      <c r="D1946" t="s">
        <v>4682</v>
      </c>
      <c r="E1946" t="s">
        <v>4682</v>
      </c>
      <c r="F1946" t="s">
        <v>4682</v>
      </c>
      <c r="G1946">
        <v>0</v>
      </c>
      <c r="H1946" t="s">
        <v>4682</v>
      </c>
      <c r="I1946" t="str" cm="1">
        <f t="array" ref="I1946">_xlfn.IFS(B1946&lt;18.5, "Underweight", B1946&lt;=24.9, "Normal Weight", B1946&lt;=29.9, "Overweight", TRUE, "Obesity")</f>
        <v>Normal Weight</v>
      </c>
      <c r="J1946" t="str" cm="1">
        <f t="array" ref="J1946">_xlfn.IFS(C1946&lt;5.7, "Normal", C1946&lt;=6.4, "Prediabetes", TRUE, "Diabetes")</f>
        <v>Normal</v>
      </c>
    </row>
    <row r="1947" spans="1:10">
      <c r="A1947" t="s">
        <v>3892</v>
      </c>
      <c r="B1947">
        <v>25.46</v>
      </c>
      <c r="C1947">
        <v>4.1399999999999997</v>
      </c>
      <c r="D1947" t="s">
        <v>4682</v>
      </c>
      <c r="E1947" t="s">
        <v>4682</v>
      </c>
      <c r="F1947" t="s">
        <v>4682</v>
      </c>
      <c r="G1947">
        <v>1</v>
      </c>
      <c r="H1947" t="s">
        <v>4682</v>
      </c>
      <c r="I1947" t="str" cm="1">
        <f t="array" ref="I1947">_xlfn.IFS(B1947&lt;18.5, "Underweight", B1947&lt;=24.9, "Normal Weight", B1947&lt;=29.9, "Overweight", TRUE, "Obesity")</f>
        <v>Overweight</v>
      </c>
      <c r="J1947" t="str" cm="1">
        <f t="array" ref="J1947">_xlfn.IFS(C1947&lt;5.7, "Normal", C1947&lt;=6.4, "Prediabetes", TRUE, "Diabetes")</f>
        <v>Normal</v>
      </c>
    </row>
    <row r="1948" spans="1:10">
      <c r="A1948" t="s">
        <v>3894</v>
      </c>
      <c r="B1948">
        <v>17.09</v>
      </c>
      <c r="C1948">
        <v>5.8</v>
      </c>
      <c r="D1948" t="s">
        <v>4683</v>
      </c>
      <c r="E1948" t="s">
        <v>4682</v>
      </c>
      <c r="F1948" t="s">
        <v>4682</v>
      </c>
      <c r="G1948">
        <v>0</v>
      </c>
      <c r="H1948" t="s">
        <v>4682</v>
      </c>
      <c r="I1948" t="str" cm="1">
        <f t="array" ref="I1948">_xlfn.IFS(B1948&lt;18.5, "Underweight", B1948&lt;=24.9, "Normal Weight", B1948&lt;=29.9, "Overweight", TRUE, "Obesity")</f>
        <v>Underweight</v>
      </c>
      <c r="J1948" t="str" cm="1">
        <f t="array" ref="J1948">_xlfn.IFS(C1948&lt;5.7, "Normal", C1948&lt;=6.4, "Prediabetes", TRUE, "Diabetes")</f>
        <v>Prediabetes</v>
      </c>
    </row>
    <row r="1949" spans="1:10">
      <c r="A1949" t="s">
        <v>3896</v>
      </c>
      <c r="B1949">
        <v>20.83</v>
      </c>
      <c r="C1949">
        <v>5.12</v>
      </c>
      <c r="D1949" t="s">
        <v>4682</v>
      </c>
      <c r="E1949" t="s">
        <v>4682</v>
      </c>
      <c r="F1949" t="s">
        <v>4682</v>
      </c>
      <c r="G1949">
        <v>0</v>
      </c>
      <c r="H1949" t="s">
        <v>4682</v>
      </c>
      <c r="I1949" t="str" cm="1">
        <f t="array" ref="I1949">_xlfn.IFS(B1949&lt;18.5, "Underweight", B1949&lt;=24.9, "Normal Weight", B1949&lt;=29.9, "Overweight", TRUE, "Obesity")</f>
        <v>Normal Weight</v>
      </c>
      <c r="J1949" t="str" cm="1">
        <f t="array" ref="J1949">_xlfn.IFS(C1949&lt;5.7, "Normal", C1949&lt;=6.4, "Prediabetes", TRUE, "Diabetes")</f>
        <v>Normal</v>
      </c>
    </row>
    <row r="1950" spans="1:10">
      <c r="A1950" t="s">
        <v>3898</v>
      </c>
      <c r="B1950">
        <v>18.920000000000002</v>
      </c>
      <c r="C1950">
        <v>5.98</v>
      </c>
      <c r="D1950" t="s">
        <v>4683</v>
      </c>
      <c r="E1950" t="s">
        <v>4682</v>
      </c>
      <c r="F1950" t="s">
        <v>4682</v>
      </c>
      <c r="G1950">
        <v>1</v>
      </c>
      <c r="H1950" t="s">
        <v>4682</v>
      </c>
      <c r="I1950" t="str" cm="1">
        <f t="array" ref="I1950">_xlfn.IFS(B1950&lt;18.5, "Underweight", B1950&lt;=24.9, "Normal Weight", B1950&lt;=29.9, "Overweight", TRUE, "Obesity")</f>
        <v>Normal Weight</v>
      </c>
      <c r="J1950" t="str" cm="1">
        <f t="array" ref="J1950">_xlfn.IFS(C1950&lt;5.7, "Normal", C1950&lt;=6.4, "Prediabetes", TRUE, "Diabetes")</f>
        <v>Prediabetes</v>
      </c>
    </row>
    <row r="1951" spans="1:10">
      <c r="A1951" t="s">
        <v>3900</v>
      </c>
      <c r="B1951">
        <v>37.1</v>
      </c>
      <c r="C1951">
        <v>5.46</v>
      </c>
      <c r="D1951" t="s">
        <v>4682</v>
      </c>
      <c r="E1951" t="s">
        <v>4682</v>
      </c>
      <c r="F1951" t="s">
        <v>4682</v>
      </c>
      <c r="G1951">
        <v>0</v>
      </c>
      <c r="H1951" t="s">
        <v>4682</v>
      </c>
      <c r="I1951" t="str" cm="1">
        <f t="array" ref="I1951">_xlfn.IFS(B1951&lt;18.5, "Underweight", B1951&lt;=24.9, "Normal Weight", B1951&lt;=29.9, "Overweight", TRUE, "Obesity")</f>
        <v>Obesity</v>
      </c>
      <c r="J1951" t="str" cm="1">
        <f t="array" ref="J1951">_xlfn.IFS(C1951&lt;5.7, "Normal", C1951&lt;=6.4, "Prediabetes", TRUE, "Diabetes")</f>
        <v>Normal</v>
      </c>
    </row>
    <row r="1952" spans="1:10">
      <c r="A1952" t="s">
        <v>3902</v>
      </c>
      <c r="B1952">
        <v>22.515000000000001</v>
      </c>
      <c r="C1952">
        <v>4.91</v>
      </c>
      <c r="D1952" t="s">
        <v>4683</v>
      </c>
      <c r="E1952" t="s">
        <v>4682</v>
      </c>
      <c r="F1952" t="s">
        <v>4684</v>
      </c>
      <c r="G1952">
        <v>1</v>
      </c>
      <c r="H1952" t="s">
        <v>4682</v>
      </c>
      <c r="I1952" t="str" cm="1">
        <f t="array" ref="I1952">_xlfn.IFS(B1952&lt;18.5, "Underweight", B1952&lt;=24.9, "Normal Weight", B1952&lt;=29.9, "Overweight", TRUE, "Obesity")</f>
        <v>Normal Weight</v>
      </c>
      <c r="J1952" t="str" cm="1">
        <f t="array" ref="J1952">_xlfn.IFS(C1952&lt;5.7, "Normal", C1952&lt;=6.4, "Prediabetes", TRUE, "Diabetes")</f>
        <v>Normal</v>
      </c>
    </row>
    <row r="1953" spans="1:10">
      <c r="A1953" t="s">
        <v>3904</v>
      </c>
      <c r="B1953">
        <v>32.700000000000003</v>
      </c>
      <c r="C1953">
        <v>4.66</v>
      </c>
      <c r="D1953" t="s">
        <v>4682</v>
      </c>
      <c r="E1953" t="s">
        <v>4682</v>
      </c>
      <c r="F1953" t="s">
        <v>4682</v>
      </c>
      <c r="G1953">
        <v>0</v>
      </c>
      <c r="H1953" t="s">
        <v>4682</v>
      </c>
      <c r="I1953" t="str" cm="1">
        <f t="array" ref="I1953">_xlfn.IFS(B1953&lt;18.5, "Underweight", B1953&lt;=24.9, "Normal Weight", B1953&lt;=29.9, "Overweight", TRUE, "Obesity")</f>
        <v>Obesity</v>
      </c>
      <c r="J1953" t="str" cm="1">
        <f t="array" ref="J1953">_xlfn.IFS(C1953&lt;5.7, "Normal", C1953&lt;=6.4, "Prediabetes", TRUE, "Diabetes")</f>
        <v>Normal</v>
      </c>
    </row>
    <row r="1954" spans="1:10">
      <c r="A1954" t="s">
        <v>3906</v>
      </c>
      <c r="B1954">
        <v>17.75</v>
      </c>
      <c r="C1954">
        <v>6.8</v>
      </c>
      <c r="D1954" t="s">
        <v>4683</v>
      </c>
      <c r="E1954" t="s">
        <v>4682</v>
      </c>
      <c r="F1954" t="s">
        <v>4682</v>
      </c>
      <c r="G1954">
        <v>1</v>
      </c>
      <c r="H1954" t="s">
        <v>4682</v>
      </c>
      <c r="I1954" t="str" cm="1">
        <f t="array" ref="I1954">_xlfn.IFS(B1954&lt;18.5, "Underweight", B1954&lt;=24.9, "Normal Weight", B1954&lt;=29.9, "Overweight", TRUE, "Obesity")</f>
        <v>Underweight</v>
      </c>
      <c r="J1954" t="str" cm="1">
        <f t="array" ref="J1954">_xlfn.IFS(C1954&lt;5.7, "Normal", C1954&lt;=6.4, "Prediabetes", TRUE, "Diabetes")</f>
        <v>Diabetes</v>
      </c>
    </row>
    <row r="1955" spans="1:10">
      <c r="A1955" t="s">
        <v>3908</v>
      </c>
      <c r="B1955">
        <v>33.630000000000003</v>
      </c>
      <c r="C1955">
        <v>4.47</v>
      </c>
      <c r="D1955" t="s">
        <v>4683</v>
      </c>
      <c r="E1955" t="s">
        <v>4682</v>
      </c>
      <c r="F1955" t="s">
        <v>4682</v>
      </c>
      <c r="G1955">
        <v>0</v>
      </c>
      <c r="H1955" t="s">
        <v>4682</v>
      </c>
      <c r="I1955" t="str" cm="1">
        <f t="array" ref="I1955">_xlfn.IFS(B1955&lt;18.5, "Underweight", B1955&lt;=24.9, "Normal Weight", B1955&lt;=29.9, "Overweight", TRUE, "Obesity")</f>
        <v>Obesity</v>
      </c>
      <c r="J1955" t="str" cm="1">
        <f t="array" ref="J1955">_xlfn.IFS(C1955&lt;5.7, "Normal", C1955&lt;=6.4, "Prediabetes", TRUE, "Diabetes")</f>
        <v>Normal</v>
      </c>
    </row>
    <row r="1956" spans="1:10">
      <c r="A1956" t="s">
        <v>3910</v>
      </c>
      <c r="B1956">
        <v>34.799999999999997</v>
      </c>
      <c r="C1956">
        <v>4.08</v>
      </c>
      <c r="D1956" t="s">
        <v>4683</v>
      </c>
      <c r="E1956" t="s">
        <v>4682</v>
      </c>
      <c r="F1956" t="s">
        <v>4682</v>
      </c>
      <c r="G1956">
        <v>1</v>
      </c>
      <c r="H1956" t="s">
        <v>4682</v>
      </c>
      <c r="I1956" t="str" cm="1">
        <f t="array" ref="I1956">_xlfn.IFS(B1956&lt;18.5, "Underweight", B1956&lt;=24.9, "Normal Weight", B1956&lt;=29.9, "Overweight", TRUE, "Obesity")</f>
        <v>Obesity</v>
      </c>
      <c r="J1956" t="str" cm="1">
        <f t="array" ref="J1956">_xlfn.IFS(C1956&lt;5.7, "Normal", C1956&lt;=6.4, "Prediabetes", TRUE, "Diabetes")</f>
        <v>Normal</v>
      </c>
    </row>
    <row r="1957" spans="1:10">
      <c r="A1957" t="s">
        <v>3912</v>
      </c>
      <c r="B1957">
        <v>16.809999999999999</v>
      </c>
      <c r="C1957">
        <v>5.51</v>
      </c>
      <c r="D1957" t="s">
        <v>4683</v>
      </c>
      <c r="E1957" t="s">
        <v>4682</v>
      </c>
      <c r="F1957" t="s">
        <v>4682</v>
      </c>
      <c r="G1957">
        <v>1</v>
      </c>
      <c r="H1957" t="s">
        <v>4682</v>
      </c>
      <c r="I1957" t="str" cm="1">
        <f t="array" ref="I1957">_xlfn.IFS(B1957&lt;18.5, "Underweight", B1957&lt;=24.9, "Normal Weight", B1957&lt;=29.9, "Overweight", TRUE, "Obesity")</f>
        <v>Underweight</v>
      </c>
      <c r="J1957" t="str" cm="1">
        <f t="array" ref="J1957">_xlfn.IFS(C1957&lt;5.7, "Normal", C1957&lt;=6.4, "Prediabetes", TRUE, "Diabetes")</f>
        <v>Normal</v>
      </c>
    </row>
    <row r="1958" spans="1:10">
      <c r="A1958" t="s">
        <v>3914</v>
      </c>
      <c r="B1958">
        <v>16.690000000000001</v>
      </c>
      <c r="C1958">
        <v>8.4</v>
      </c>
      <c r="D1958" t="s">
        <v>4683</v>
      </c>
      <c r="E1958" t="s">
        <v>4682</v>
      </c>
      <c r="F1958" t="s">
        <v>4682</v>
      </c>
      <c r="G1958">
        <v>0</v>
      </c>
      <c r="H1958" t="s">
        <v>4682</v>
      </c>
      <c r="I1958" t="str" cm="1">
        <f t="array" ref="I1958">_xlfn.IFS(B1958&lt;18.5, "Underweight", B1958&lt;=24.9, "Normal Weight", B1958&lt;=29.9, "Overweight", TRUE, "Obesity")</f>
        <v>Underweight</v>
      </c>
      <c r="J1958" t="str" cm="1">
        <f t="array" ref="J1958">_xlfn.IFS(C1958&lt;5.7, "Normal", C1958&lt;=6.4, "Prediabetes", TRUE, "Diabetes")</f>
        <v>Diabetes</v>
      </c>
    </row>
    <row r="1959" spans="1:10">
      <c r="A1959" t="s">
        <v>3916</v>
      </c>
      <c r="B1959">
        <v>23.21</v>
      </c>
      <c r="C1959">
        <v>5.14</v>
      </c>
      <c r="D1959" t="s">
        <v>4683</v>
      </c>
      <c r="E1959" t="s">
        <v>4682</v>
      </c>
      <c r="F1959" t="s">
        <v>4682</v>
      </c>
      <c r="G1959">
        <v>1</v>
      </c>
      <c r="H1959" t="s">
        <v>4682</v>
      </c>
      <c r="I1959" t="str" cm="1">
        <f t="array" ref="I1959">_xlfn.IFS(B1959&lt;18.5, "Underweight", B1959&lt;=24.9, "Normal Weight", B1959&lt;=29.9, "Overweight", TRUE, "Obesity")</f>
        <v>Normal Weight</v>
      </c>
      <c r="J1959" t="str" cm="1">
        <f t="array" ref="J1959">_xlfn.IFS(C1959&lt;5.7, "Normal", C1959&lt;=6.4, "Prediabetes", TRUE, "Diabetes")</f>
        <v>Normal</v>
      </c>
    </row>
    <row r="1960" spans="1:10">
      <c r="A1960" t="s">
        <v>3918</v>
      </c>
      <c r="B1960">
        <v>25.175000000000001</v>
      </c>
      <c r="C1960">
        <v>5.21</v>
      </c>
      <c r="D1960" t="s">
        <v>4683</v>
      </c>
      <c r="E1960" t="s">
        <v>4682</v>
      </c>
      <c r="F1960" t="s">
        <v>4682</v>
      </c>
      <c r="G1960">
        <v>1</v>
      </c>
      <c r="H1960" t="s">
        <v>4682</v>
      </c>
      <c r="I1960" t="str" cm="1">
        <f t="array" ref="I1960">_xlfn.IFS(B1960&lt;18.5, "Underweight", B1960&lt;=24.9, "Normal Weight", B1960&lt;=29.9, "Overweight", TRUE, "Obesity")</f>
        <v>Overweight</v>
      </c>
      <c r="J1960" t="str" cm="1">
        <f t="array" ref="J1960">_xlfn.IFS(C1960&lt;5.7, "Normal", C1960&lt;=6.4, "Prediabetes", TRUE, "Diabetes")</f>
        <v>Normal</v>
      </c>
    </row>
    <row r="1961" spans="1:10">
      <c r="A1961" t="s">
        <v>3920</v>
      </c>
      <c r="B1961">
        <v>34.770000000000003</v>
      </c>
      <c r="C1961">
        <v>6.23</v>
      </c>
      <c r="D1961" t="s">
        <v>4682</v>
      </c>
      <c r="E1961" t="s">
        <v>4682</v>
      </c>
      <c r="F1961" t="s">
        <v>4682</v>
      </c>
      <c r="G1961">
        <v>0</v>
      </c>
      <c r="H1961" t="s">
        <v>4682</v>
      </c>
      <c r="I1961" t="str" cm="1">
        <f t="array" ref="I1961">_xlfn.IFS(B1961&lt;18.5, "Underweight", B1961&lt;=24.9, "Normal Weight", B1961&lt;=29.9, "Overweight", TRUE, "Obesity")</f>
        <v>Obesity</v>
      </c>
      <c r="J1961" t="str" cm="1">
        <f t="array" ref="J1961">_xlfn.IFS(C1961&lt;5.7, "Normal", C1961&lt;=6.4, "Prediabetes", TRUE, "Diabetes")</f>
        <v>Prediabetes</v>
      </c>
    </row>
    <row r="1962" spans="1:10">
      <c r="A1962" t="s">
        <v>3922</v>
      </c>
      <c r="B1962">
        <v>27.7</v>
      </c>
      <c r="C1962">
        <v>5.6</v>
      </c>
      <c r="D1962" t="s">
        <v>4682</v>
      </c>
      <c r="E1962" t="s">
        <v>4682</v>
      </c>
      <c r="F1962" t="s">
        <v>4682</v>
      </c>
      <c r="G1962">
        <v>1</v>
      </c>
      <c r="H1962" t="s">
        <v>4682</v>
      </c>
      <c r="I1962" t="str" cm="1">
        <f t="array" ref="I1962">_xlfn.IFS(B1962&lt;18.5, "Underweight", B1962&lt;=24.9, "Normal Weight", B1962&lt;=29.9, "Overweight", TRUE, "Obesity")</f>
        <v>Overweight</v>
      </c>
      <c r="J1962" t="str" cm="1">
        <f t="array" ref="J1962">_xlfn.IFS(C1962&lt;5.7, "Normal", C1962&lt;=6.4, "Prediabetes", TRUE, "Diabetes")</f>
        <v>Normal</v>
      </c>
    </row>
    <row r="1963" spans="1:10">
      <c r="A1963" t="s">
        <v>3924</v>
      </c>
      <c r="B1963">
        <v>19.12</v>
      </c>
      <c r="C1963">
        <v>4.72</v>
      </c>
      <c r="D1963" t="s">
        <v>4683</v>
      </c>
      <c r="E1963" t="s">
        <v>4682</v>
      </c>
      <c r="F1963" t="s">
        <v>4682</v>
      </c>
      <c r="G1963">
        <v>1</v>
      </c>
      <c r="H1963" t="s">
        <v>4682</v>
      </c>
      <c r="I1963" t="str" cm="1">
        <f t="array" ref="I1963">_xlfn.IFS(B1963&lt;18.5, "Underweight", B1963&lt;=24.9, "Normal Weight", B1963&lt;=29.9, "Overweight", TRUE, "Obesity")</f>
        <v>Normal Weight</v>
      </c>
      <c r="J1963" t="str" cm="1">
        <f t="array" ref="J1963">_xlfn.IFS(C1963&lt;5.7, "Normal", C1963&lt;=6.4, "Prediabetes", TRUE, "Diabetes")</f>
        <v>Normal</v>
      </c>
    </row>
    <row r="1964" spans="1:10">
      <c r="A1964" t="s">
        <v>3926</v>
      </c>
      <c r="B1964">
        <v>32.67</v>
      </c>
      <c r="C1964">
        <v>4.67</v>
      </c>
      <c r="D1964" t="s">
        <v>4682</v>
      </c>
      <c r="E1964" t="s">
        <v>4682</v>
      </c>
      <c r="F1964" t="s">
        <v>4684</v>
      </c>
      <c r="G1964">
        <v>1</v>
      </c>
      <c r="H1964" t="s">
        <v>4682</v>
      </c>
      <c r="I1964" t="str" cm="1">
        <f t="array" ref="I1964">_xlfn.IFS(B1964&lt;18.5, "Underweight", B1964&lt;=24.9, "Normal Weight", B1964&lt;=29.9, "Overweight", TRUE, "Obesity")</f>
        <v>Obesity</v>
      </c>
      <c r="J1964" t="str" cm="1">
        <f t="array" ref="J1964">_xlfn.IFS(C1964&lt;5.7, "Normal", C1964&lt;=6.4, "Prediabetes", TRUE, "Diabetes")</f>
        <v>Normal</v>
      </c>
    </row>
    <row r="1965" spans="1:10">
      <c r="A1965" t="s">
        <v>3928</v>
      </c>
      <c r="B1965">
        <v>28.5</v>
      </c>
      <c r="C1965">
        <v>6.11</v>
      </c>
      <c r="D1965" t="s">
        <v>4682</v>
      </c>
      <c r="E1965" t="s">
        <v>4682</v>
      </c>
      <c r="F1965" t="s">
        <v>4682</v>
      </c>
      <c r="G1965">
        <v>1</v>
      </c>
      <c r="H1965" t="s">
        <v>4682</v>
      </c>
      <c r="I1965" t="str" cm="1">
        <f t="array" ref="I1965">_xlfn.IFS(B1965&lt;18.5, "Underweight", B1965&lt;=24.9, "Normal Weight", B1965&lt;=29.9, "Overweight", TRUE, "Obesity")</f>
        <v>Overweight</v>
      </c>
      <c r="J1965" t="str" cm="1">
        <f t="array" ref="J1965">_xlfn.IFS(C1965&lt;5.7, "Normal", C1965&lt;=6.4, "Prediabetes", TRUE, "Diabetes")</f>
        <v>Prediabetes</v>
      </c>
    </row>
    <row r="1966" spans="1:10">
      <c r="A1966" t="s">
        <v>3930</v>
      </c>
      <c r="B1966">
        <v>39.270000000000003</v>
      </c>
      <c r="C1966">
        <v>6.25</v>
      </c>
      <c r="D1966" t="s">
        <v>4682</v>
      </c>
      <c r="E1966" t="s">
        <v>4682</v>
      </c>
      <c r="F1966" t="s">
        <v>4682</v>
      </c>
      <c r="G1966">
        <v>0</v>
      </c>
      <c r="H1966" t="s">
        <v>4682</v>
      </c>
      <c r="I1966" t="str" cm="1">
        <f t="array" ref="I1966">_xlfn.IFS(B1966&lt;18.5, "Underweight", B1966&lt;=24.9, "Normal Weight", B1966&lt;=29.9, "Overweight", TRUE, "Obesity")</f>
        <v>Obesity</v>
      </c>
      <c r="J1966" t="str" cm="1">
        <f t="array" ref="J1966">_xlfn.IFS(C1966&lt;5.7, "Normal", C1966&lt;=6.4, "Prediabetes", TRUE, "Diabetes")</f>
        <v>Prediabetes</v>
      </c>
    </row>
    <row r="1967" spans="1:10">
      <c r="A1967" t="s">
        <v>3932</v>
      </c>
      <c r="B1967">
        <v>32.49</v>
      </c>
      <c r="C1967">
        <v>4</v>
      </c>
      <c r="D1967" t="s">
        <v>4683</v>
      </c>
      <c r="E1967" t="s">
        <v>4682</v>
      </c>
      <c r="F1967" t="s">
        <v>4682</v>
      </c>
      <c r="G1967">
        <v>0</v>
      </c>
      <c r="H1967" t="s">
        <v>4682</v>
      </c>
      <c r="I1967" t="str" cm="1">
        <f t="array" ref="I1967">_xlfn.IFS(B1967&lt;18.5, "Underweight", B1967&lt;=24.9, "Normal Weight", B1967&lt;=29.9, "Overweight", TRUE, "Obesity")</f>
        <v>Obesity</v>
      </c>
      <c r="J1967" t="str" cm="1">
        <f t="array" ref="J1967">_xlfn.IFS(C1967&lt;5.7, "Normal", C1967&lt;=6.4, "Prediabetes", TRUE, "Diabetes")</f>
        <v>Normal</v>
      </c>
    </row>
    <row r="1968" spans="1:10">
      <c r="A1968" t="s">
        <v>3934</v>
      </c>
      <c r="B1968">
        <v>23.7</v>
      </c>
      <c r="C1968">
        <v>5.55</v>
      </c>
      <c r="D1968" t="s">
        <v>4683</v>
      </c>
      <c r="E1968" t="s">
        <v>4682</v>
      </c>
      <c r="F1968" t="s">
        <v>4682</v>
      </c>
      <c r="G1968">
        <v>0</v>
      </c>
      <c r="H1968" t="s">
        <v>4682</v>
      </c>
      <c r="I1968" t="str" cm="1">
        <f t="array" ref="I1968">_xlfn.IFS(B1968&lt;18.5, "Underweight", B1968&lt;=24.9, "Normal Weight", B1968&lt;=29.9, "Overweight", TRUE, "Obesity")</f>
        <v>Normal Weight</v>
      </c>
      <c r="J1968" t="str" cm="1">
        <f t="array" ref="J1968">_xlfn.IFS(C1968&lt;5.7, "Normal", C1968&lt;=6.4, "Prediabetes", TRUE, "Diabetes")</f>
        <v>Normal</v>
      </c>
    </row>
    <row r="1969" spans="1:10">
      <c r="A1969" t="s">
        <v>3936</v>
      </c>
      <c r="B1969">
        <v>30.4</v>
      </c>
      <c r="C1969">
        <v>5.95</v>
      </c>
      <c r="D1969" t="s">
        <v>4682</v>
      </c>
      <c r="E1969" t="s">
        <v>4683</v>
      </c>
      <c r="F1969" t="s">
        <v>4682</v>
      </c>
      <c r="G1969">
        <v>1</v>
      </c>
      <c r="H1969" t="s">
        <v>4682</v>
      </c>
      <c r="I1969" t="str" cm="1">
        <f t="array" ref="I1969">_xlfn.IFS(B1969&lt;18.5, "Underweight", B1969&lt;=24.9, "Normal Weight", B1969&lt;=29.9, "Overweight", TRUE, "Obesity")</f>
        <v>Obesity</v>
      </c>
      <c r="J1969" t="str" cm="1">
        <f t="array" ref="J1969">_xlfn.IFS(C1969&lt;5.7, "Normal", C1969&lt;=6.4, "Prediabetes", TRUE, "Diabetes")</f>
        <v>Prediabetes</v>
      </c>
    </row>
    <row r="1970" spans="1:10">
      <c r="A1970" t="s">
        <v>3938</v>
      </c>
      <c r="B1970">
        <v>38.94</v>
      </c>
      <c r="C1970">
        <v>4.3600000000000003</v>
      </c>
      <c r="D1970" t="s">
        <v>4682</v>
      </c>
      <c r="E1970" t="s">
        <v>4682</v>
      </c>
      <c r="F1970" t="s">
        <v>4684</v>
      </c>
      <c r="G1970">
        <v>1</v>
      </c>
      <c r="H1970" t="s">
        <v>4682</v>
      </c>
      <c r="I1970" t="str" cm="1">
        <f t="array" ref="I1970">_xlfn.IFS(B1970&lt;18.5, "Underweight", B1970&lt;=24.9, "Normal Weight", B1970&lt;=29.9, "Overweight", TRUE, "Obesity")</f>
        <v>Obesity</v>
      </c>
      <c r="J1970" t="str" cm="1">
        <f t="array" ref="J1970">_xlfn.IFS(C1970&lt;5.7, "Normal", C1970&lt;=6.4, "Prediabetes", TRUE, "Diabetes")</f>
        <v>Normal</v>
      </c>
    </row>
    <row r="1971" spans="1:10">
      <c r="A1971" t="s">
        <v>3940</v>
      </c>
      <c r="B1971">
        <v>31.02</v>
      </c>
      <c r="C1971">
        <v>4.84</v>
      </c>
      <c r="D1971" t="s">
        <v>4682</v>
      </c>
      <c r="E1971" t="s">
        <v>4682</v>
      </c>
      <c r="F1971" t="s">
        <v>4684</v>
      </c>
      <c r="G1971">
        <v>1</v>
      </c>
      <c r="H1971" t="s">
        <v>4682</v>
      </c>
      <c r="I1971" t="str" cm="1">
        <f t="array" ref="I1971">_xlfn.IFS(B1971&lt;18.5, "Underweight", B1971&lt;=24.9, "Normal Weight", B1971&lt;=29.9, "Overweight", TRUE, "Obesity")</f>
        <v>Obesity</v>
      </c>
      <c r="J1971" t="str" cm="1">
        <f t="array" ref="J1971">_xlfn.IFS(C1971&lt;5.7, "Normal", C1971&lt;=6.4, "Prediabetes", TRUE, "Diabetes")</f>
        <v>Normal</v>
      </c>
    </row>
    <row r="1972" spans="1:10">
      <c r="A1972" t="s">
        <v>3942</v>
      </c>
      <c r="B1972">
        <v>17.5</v>
      </c>
      <c r="C1972">
        <v>4.5599999999999996</v>
      </c>
      <c r="D1972" t="s">
        <v>4682</v>
      </c>
      <c r="E1972" t="s">
        <v>4682</v>
      </c>
      <c r="F1972" t="s">
        <v>4682</v>
      </c>
      <c r="G1972">
        <v>1</v>
      </c>
      <c r="H1972" t="s">
        <v>4682</v>
      </c>
      <c r="I1972" t="str" cm="1">
        <f t="array" ref="I1972">_xlfn.IFS(B1972&lt;18.5, "Underweight", B1972&lt;=24.9, "Normal Weight", B1972&lt;=29.9, "Overweight", TRUE, "Obesity")</f>
        <v>Underweight</v>
      </c>
      <c r="J1972" t="str" cm="1">
        <f t="array" ref="J1972">_xlfn.IFS(C1972&lt;5.7, "Normal", C1972&lt;=6.4, "Prediabetes", TRUE, "Diabetes")</f>
        <v>Normal</v>
      </c>
    </row>
    <row r="1973" spans="1:10">
      <c r="A1973" t="s">
        <v>3944</v>
      </c>
      <c r="B1973">
        <v>34.799999999999997</v>
      </c>
      <c r="C1973">
        <v>4.42</v>
      </c>
      <c r="D1973" t="s">
        <v>4683</v>
      </c>
      <c r="E1973" t="s">
        <v>4683</v>
      </c>
      <c r="F1973" t="s">
        <v>4682</v>
      </c>
      <c r="G1973">
        <v>2</v>
      </c>
      <c r="H1973" t="s">
        <v>4682</v>
      </c>
      <c r="I1973" t="str" cm="1">
        <f t="array" ref="I1973">_xlfn.IFS(B1973&lt;18.5, "Underweight", B1973&lt;=24.9, "Normal Weight", B1973&lt;=29.9, "Overweight", TRUE, "Obesity")</f>
        <v>Obesity</v>
      </c>
      <c r="J1973" t="str" cm="1">
        <f t="array" ref="J1973">_xlfn.IFS(C1973&lt;5.7, "Normal", C1973&lt;=6.4, "Prediabetes", TRUE, "Diabetes")</f>
        <v>Normal</v>
      </c>
    </row>
    <row r="1974" spans="1:10">
      <c r="A1974" t="s">
        <v>3946</v>
      </c>
      <c r="B1974">
        <v>17.3</v>
      </c>
      <c r="C1974">
        <v>7.66</v>
      </c>
      <c r="D1974" t="s">
        <v>4683</v>
      </c>
      <c r="E1974" t="s">
        <v>4682</v>
      </c>
      <c r="F1974" t="s">
        <v>4682</v>
      </c>
      <c r="G1974">
        <v>1</v>
      </c>
      <c r="H1974" t="s">
        <v>4682</v>
      </c>
      <c r="I1974" t="str" cm="1">
        <f t="array" ref="I1974">_xlfn.IFS(B1974&lt;18.5, "Underweight", B1974&lt;=24.9, "Normal Weight", B1974&lt;=29.9, "Overweight", TRUE, "Obesity")</f>
        <v>Underweight</v>
      </c>
      <c r="J1974" t="str" cm="1">
        <f t="array" ref="J1974">_xlfn.IFS(C1974&lt;5.7, "Normal", C1974&lt;=6.4, "Prediabetes", TRUE, "Diabetes")</f>
        <v>Diabetes</v>
      </c>
    </row>
    <row r="1975" spans="1:10">
      <c r="A1975" t="s">
        <v>3948</v>
      </c>
      <c r="B1975">
        <v>32.25</v>
      </c>
      <c r="C1975">
        <v>5.2</v>
      </c>
      <c r="D1975" t="s">
        <v>4683</v>
      </c>
      <c r="E1975" t="s">
        <v>4682</v>
      </c>
      <c r="F1975" t="s">
        <v>4682</v>
      </c>
      <c r="G1975">
        <v>0</v>
      </c>
      <c r="H1975" t="s">
        <v>4682</v>
      </c>
      <c r="I1975" t="str" cm="1">
        <f t="array" ref="I1975">_xlfn.IFS(B1975&lt;18.5, "Underweight", B1975&lt;=24.9, "Normal Weight", B1975&lt;=29.9, "Overweight", TRUE, "Obesity")</f>
        <v>Obesity</v>
      </c>
      <c r="J1975" t="str" cm="1">
        <f t="array" ref="J1975">_xlfn.IFS(C1975&lt;5.7, "Normal", C1975&lt;=6.4, "Prediabetes", TRUE, "Diabetes")</f>
        <v>Normal</v>
      </c>
    </row>
    <row r="1976" spans="1:10">
      <c r="A1976" t="s">
        <v>3950</v>
      </c>
      <c r="B1976">
        <v>42.4</v>
      </c>
      <c r="C1976">
        <v>5.53</v>
      </c>
      <c r="D1976" t="s">
        <v>4683</v>
      </c>
      <c r="E1976" t="s">
        <v>4682</v>
      </c>
      <c r="F1976" t="s">
        <v>4682</v>
      </c>
      <c r="G1976">
        <v>0</v>
      </c>
      <c r="H1976" t="s">
        <v>4682</v>
      </c>
      <c r="I1976" t="str" cm="1">
        <f t="array" ref="I1976">_xlfn.IFS(B1976&lt;18.5, "Underweight", B1976&lt;=24.9, "Normal Weight", B1976&lt;=29.9, "Overweight", TRUE, "Obesity")</f>
        <v>Obesity</v>
      </c>
      <c r="J1976" t="str" cm="1">
        <f t="array" ref="J1976">_xlfn.IFS(C1976&lt;5.7, "Normal", C1976&lt;=6.4, "Prediabetes", TRUE, "Diabetes")</f>
        <v>Normal</v>
      </c>
    </row>
    <row r="1977" spans="1:10">
      <c r="A1977" t="s">
        <v>3952</v>
      </c>
      <c r="B1977">
        <v>38.664999999999999</v>
      </c>
      <c r="C1977">
        <v>4.8600000000000003</v>
      </c>
      <c r="D1977" t="s">
        <v>4682</v>
      </c>
      <c r="E1977" t="s">
        <v>4683</v>
      </c>
      <c r="F1977" t="s">
        <v>4682</v>
      </c>
      <c r="G1977">
        <v>1</v>
      </c>
      <c r="H1977" t="s">
        <v>4682</v>
      </c>
      <c r="I1977" t="str" cm="1">
        <f t="array" ref="I1977">_xlfn.IFS(B1977&lt;18.5, "Underweight", B1977&lt;=24.9, "Normal Weight", B1977&lt;=29.9, "Overweight", TRUE, "Obesity")</f>
        <v>Obesity</v>
      </c>
      <c r="J1977" t="str" cm="1">
        <f t="array" ref="J1977">_xlfn.IFS(C1977&lt;5.7, "Normal", C1977&lt;=6.4, "Prediabetes", TRUE, "Diabetes")</f>
        <v>Normal</v>
      </c>
    </row>
    <row r="1978" spans="1:10">
      <c r="A1978" t="s">
        <v>3954</v>
      </c>
      <c r="B1978">
        <v>29.92</v>
      </c>
      <c r="C1978">
        <v>5.49</v>
      </c>
      <c r="D1978" t="s">
        <v>4683</v>
      </c>
      <c r="E1978" t="s">
        <v>4682</v>
      </c>
      <c r="F1978" t="s">
        <v>4682</v>
      </c>
      <c r="G1978">
        <v>0</v>
      </c>
      <c r="H1978" t="s">
        <v>4682</v>
      </c>
      <c r="I1978" t="str" cm="1">
        <f t="array" ref="I1978">_xlfn.IFS(B1978&lt;18.5, "Underweight", B1978&lt;=24.9, "Normal Weight", B1978&lt;=29.9, "Overweight", TRUE, "Obesity")</f>
        <v>Obesity</v>
      </c>
      <c r="J1978" t="str" cm="1">
        <f t="array" ref="J1978">_xlfn.IFS(C1978&lt;5.7, "Normal", C1978&lt;=6.4, "Prediabetes", TRUE, "Diabetes")</f>
        <v>Normal</v>
      </c>
    </row>
    <row r="1979" spans="1:10">
      <c r="A1979" t="s">
        <v>3956</v>
      </c>
      <c r="B1979">
        <v>29.48</v>
      </c>
      <c r="C1979">
        <v>4.09</v>
      </c>
      <c r="D1979" t="s">
        <v>4683</v>
      </c>
      <c r="E1979" t="s">
        <v>4682</v>
      </c>
      <c r="F1979" t="s">
        <v>4682</v>
      </c>
      <c r="G1979">
        <v>0</v>
      </c>
      <c r="H1979" t="s">
        <v>4682</v>
      </c>
      <c r="I1979" t="str" cm="1">
        <f t="array" ref="I1979">_xlfn.IFS(B1979&lt;18.5, "Underweight", B1979&lt;=24.9, "Normal Weight", B1979&lt;=29.9, "Overweight", TRUE, "Obesity")</f>
        <v>Overweight</v>
      </c>
      <c r="J1979" t="str" cm="1">
        <f t="array" ref="J1979">_xlfn.IFS(C1979&lt;5.7, "Normal", C1979&lt;=6.4, "Prediabetes", TRUE, "Diabetes")</f>
        <v>Normal</v>
      </c>
    </row>
    <row r="1980" spans="1:10">
      <c r="A1980" t="s">
        <v>3958</v>
      </c>
      <c r="B1980">
        <v>28.785</v>
      </c>
      <c r="C1980">
        <v>4.3099999999999996</v>
      </c>
      <c r="D1980" t="s">
        <v>4683</v>
      </c>
      <c r="E1980" t="s">
        <v>4682</v>
      </c>
      <c r="F1980" t="s">
        <v>4682</v>
      </c>
      <c r="G1980">
        <v>0</v>
      </c>
      <c r="H1980" t="s">
        <v>4682</v>
      </c>
      <c r="I1980" t="str" cm="1">
        <f t="array" ref="I1980">_xlfn.IFS(B1980&lt;18.5, "Underweight", B1980&lt;=24.9, "Normal Weight", B1980&lt;=29.9, "Overweight", TRUE, "Obesity")</f>
        <v>Overweight</v>
      </c>
      <c r="J1980" t="str" cm="1">
        <f t="array" ref="J1980">_xlfn.IFS(C1980&lt;5.7, "Normal", C1980&lt;=6.4, "Prediabetes", TRUE, "Diabetes")</f>
        <v>Normal</v>
      </c>
    </row>
    <row r="1981" spans="1:10">
      <c r="A1981" t="s">
        <v>3960</v>
      </c>
      <c r="B1981">
        <v>19.8</v>
      </c>
      <c r="C1981">
        <v>4</v>
      </c>
      <c r="D1981" t="s">
        <v>4683</v>
      </c>
      <c r="E1981" t="s">
        <v>4682</v>
      </c>
      <c r="F1981" t="s">
        <v>4682</v>
      </c>
      <c r="G1981">
        <v>0</v>
      </c>
      <c r="H1981" t="s">
        <v>4682</v>
      </c>
      <c r="I1981" t="str" cm="1">
        <f t="array" ref="I1981">_xlfn.IFS(B1981&lt;18.5, "Underweight", B1981&lt;=24.9, "Normal Weight", B1981&lt;=29.9, "Overweight", TRUE, "Obesity")</f>
        <v>Normal Weight</v>
      </c>
      <c r="J1981" t="str" cm="1">
        <f t="array" ref="J1981">_xlfn.IFS(C1981&lt;5.7, "Normal", C1981&lt;=6.4, "Prediabetes", TRUE, "Diabetes")</f>
        <v>Normal</v>
      </c>
    </row>
    <row r="1982" spans="1:10">
      <c r="A1982" t="s">
        <v>3962</v>
      </c>
      <c r="B1982">
        <v>35.53</v>
      </c>
      <c r="C1982">
        <v>4.68</v>
      </c>
      <c r="D1982" t="s">
        <v>4682</v>
      </c>
      <c r="E1982" t="s">
        <v>4682</v>
      </c>
      <c r="F1982" t="s">
        <v>4684</v>
      </c>
      <c r="G1982">
        <v>1</v>
      </c>
      <c r="H1982" t="s">
        <v>4682</v>
      </c>
      <c r="I1982" t="str" cm="1">
        <f t="array" ref="I1982">_xlfn.IFS(B1982&lt;18.5, "Underweight", B1982&lt;=24.9, "Normal Weight", B1982&lt;=29.9, "Overweight", TRUE, "Obesity")</f>
        <v>Obesity</v>
      </c>
      <c r="J1982" t="str" cm="1">
        <f t="array" ref="J1982">_xlfn.IFS(C1982&lt;5.7, "Normal", C1982&lt;=6.4, "Prediabetes", TRUE, "Diabetes")</f>
        <v>Normal</v>
      </c>
    </row>
    <row r="1983" spans="1:10">
      <c r="A1983" t="s">
        <v>3964</v>
      </c>
      <c r="B1983">
        <v>21.47</v>
      </c>
      <c r="C1983">
        <v>4.0199999999999996</v>
      </c>
      <c r="D1983" t="s">
        <v>4683</v>
      </c>
      <c r="E1983" t="s">
        <v>4682</v>
      </c>
      <c r="F1983" t="s">
        <v>4682</v>
      </c>
      <c r="G1983">
        <v>1</v>
      </c>
      <c r="H1983" t="s">
        <v>4682</v>
      </c>
      <c r="I1983" t="str" cm="1">
        <f t="array" ref="I1983">_xlfn.IFS(B1983&lt;18.5, "Underweight", B1983&lt;=24.9, "Normal Weight", B1983&lt;=29.9, "Overweight", TRUE, "Obesity")</f>
        <v>Normal Weight</v>
      </c>
      <c r="J1983" t="str" cm="1">
        <f t="array" ref="J1983">_xlfn.IFS(C1983&lt;5.7, "Normal", C1983&lt;=6.4, "Prediabetes", TRUE, "Diabetes")</f>
        <v>Normal</v>
      </c>
    </row>
    <row r="1984" spans="1:10">
      <c r="A1984" t="s">
        <v>3966</v>
      </c>
      <c r="B1984">
        <v>25.9</v>
      </c>
      <c r="C1984">
        <v>5.12</v>
      </c>
      <c r="D1984" t="s">
        <v>4682</v>
      </c>
      <c r="E1984" t="s">
        <v>4682</v>
      </c>
      <c r="F1984" t="s">
        <v>4684</v>
      </c>
      <c r="G1984">
        <v>1</v>
      </c>
      <c r="H1984" t="s">
        <v>4682</v>
      </c>
      <c r="I1984" t="str" cm="1">
        <f t="array" ref="I1984">_xlfn.IFS(B1984&lt;18.5, "Underweight", B1984&lt;=24.9, "Normal Weight", B1984&lt;=29.9, "Overweight", TRUE, "Obesity")</f>
        <v>Overweight</v>
      </c>
      <c r="J1984" t="str" cm="1">
        <f t="array" ref="J1984">_xlfn.IFS(C1984&lt;5.7, "Normal", C1984&lt;=6.4, "Prediabetes", TRUE, "Diabetes")</f>
        <v>Normal</v>
      </c>
    </row>
    <row r="1985" spans="1:10">
      <c r="A1985" t="s">
        <v>3968</v>
      </c>
      <c r="B1985">
        <v>20.81</v>
      </c>
      <c r="C1985">
        <v>5.52</v>
      </c>
      <c r="D1985" t="s">
        <v>4682</v>
      </c>
      <c r="E1985" t="s">
        <v>4682</v>
      </c>
      <c r="F1985" t="s">
        <v>4682</v>
      </c>
      <c r="G1985">
        <v>0</v>
      </c>
      <c r="H1985" t="s">
        <v>4682</v>
      </c>
      <c r="I1985" t="str" cm="1">
        <f t="array" ref="I1985">_xlfn.IFS(B1985&lt;18.5, "Underweight", B1985&lt;=24.9, "Normal Weight", B1985&lt;=29.9, "Overweight", TRUE, "Obesity")</f>
        <v>Normal Weight</v>
      </c>
      <c r="J1985" t="str" cm="1">
        <f t="array" ref="J1985">_xlfn.IFS(C1985&lt;5.7, "Normal", C1985&lt;=6.4, "Prediabetes", TRUE, "Diabetes")</f>
        <v>Normal</v>
      </c>
    </row>
    <row r="1986" spans="1:10">
      <c r="A1986" t="s">
        <v>3970</v>
      </c>
      <c r="B1986">
        <v>25.84</v>
      </c>
      <c r="C1986">
        <v>5.81</v>
      </c>
      <c r="D1986" t="s">
        <v>4683</v>
      </c>
      <c r="E1986" t="s">
        <v>4682</v>
      </c>
      <c r="F1986" t="s">
        <v>4684</v>
      </c>
      <c r="G1986">
        <v>1</v>
      </c>
      <c r="H1986" t="s">
        <v>4682</v>
      </c>
      <c r="I1986" t="str" cm="1">
        <f t="array" ref="I1986">_xlfn.IFS(B1986&lt;18.5, "Underweight", B1986&lt;=24.9, "Normal Weight", B1986&lt;=29.9, "Overweight", TRUE, "Obesity")</f>
        <v>Overweight</v>
      </c>
      <c r="J1986" t="str" cm="1">
        <f t="array" ref="J1986">_xlfn.IFS(C1986&lt;5.7, "Normal", C1986&lt;=6.4, "Prediabetes", TRUE, "Diabetes")</f>
        <v>Prediabetes</v>
      </c>
    </row>
    <row r="1987" spans="1:10">
      <c r="A1987" t="s">
        <v>3972</v>
      </c>
      <c r="B1987">
        <v>30.95</v>
      </c>
      <c r="C1987">
        <v>5.16</v>
      </c>
      <c r="D1987" t="s">
        <v>4682</v>
      </c>
      <c r="E1987" t="s">
        <v>4682</v>
      </c>
      <c r="F1987" t="s">
        <v>4684</v>
      </c>
      <c r="G1987">
        <v>1</v>
      </c>
      <c r="H1987" t="s">
        <v>4682</v>
      </c>
      <c r="I1987" t="str" cm="1">
        <f t="array" ref="I1987">_xlfn.IFS(B1987&lt;18.5, "Underweight", B1987&lt;=24.9, "Normal Weight", B1987&lt;=29.9, "Overweight", TRUE, "Obesity")</f>
        <v>Obesity</v>
      </c>
      <c r="J1987" t="str" cm="1">
        <f t="array" ref="J1987">_xlfn.IFS(C1987&lt;5.7, "Normal", C1987&lt;=6.4, "Prediabetes", TRUE, "Diabetes")</f>
        <v>Normal</v>
      </c>
    </row>
    <row r="1988" spans="1:10">
      <c r="A1988" t="s">
        <v>3974</v>
      </c>
      <c r="B1988">
        <v>30.54</v>
      </c>
      <c r="C1988">
        <v>5</v>
      </c>
      <c r="D1988" t="s">
        <v>4682</v>
      </c>
      <c r="E1988" t="s">
        <v>4682</v>
      </c>
      <c r="F1988" t="s">
        <v>4684</v>
      </c>
      <c r="G1988">
        <v>1</v>
      </c>
      <c r="H1988" t="s">
        <v>4682</v>
      </c>
      <c r="I1988" t="str" cm="1">
        <f t="array" ref="I1988">_xlfn.IFS(B1988&lt;18.5, "Underweight", B1988&lt;=24.9, "Normal Weight", B1988&lt;=29.9, "Overweight", TRUE, "Obesity")</f>
        <v>Obesity</v>
      </c>
      <c r="J1988" t="str" cm="1">
        <f t="array" ref="J1988">_xlfn.IFS(C1988&lt;5.7, "Normal", C1988&lt;=6.4, "Prediabetes", TRUE, "Diabetes")</f>
        <v>Normal</v>
      </c>
    </row>
    <row r="1989" spans="1:10">
      <c r="A1989" t="s">
        <v>3976</v>
      </c>
      <c r="B1989">
        <v>33.914999999999999</v>
      </c>
      <c r="C1989">
        <v>5.84</v>
      </c>
      <c r="D1989" t="s">
        <v>4683</v>
      </c>
      <c r="E1989" t="s">
        <v>4682</v>
      </c>
      <c r="F1989" t="s">
        <v>4682</v>
      </c>
      <c r="G1989">
        <v>0</v>
      </c>
      <c r="H1989" t="s">
        <v>4682</v>
      </c>
      <c r="I1989" t="str" cm="1">
        <f t="array" ref="I1989">_xlfn.IFS(B1989&lt;18.5, "Underweight", B1989&lt;=24.9, "Normal Weight", B1989&lt;=29.9, "Overweight", TRUE, "Obesity")</f>
        <v>Obesity</v>
      </c>
      <c r="J1989" t="str" cm="1">
        <f t="array" ref="J1989">_xlfn.IFS(C1989&lt;5.7, "Normal", C1989&lt;=6.4, "Prediabetes", TRUE, "Diabetes")</f>
        <v>Prediabetes</v>
      </c>
    </row>
    <row r="1990" spans="1:10">
      <c r="A1990" t="s">
        <v>3978</v>
      </c>
      <c r="B1990">
        <v>33.31</v>
      </c>
      <c r="C1990">
        <v>4.1900000000000004</v>
      </c>
      <c r="D1990" t="s">
        <v>4682</v>
      </c>
      <c r="E1990" t="s">
        <v>4682</v>
      </c>
      <c r="F1990" t="s">
        <v>4684</v>
      </c>
      <c r="G1990">
        <v>1</v>
      </c>
      <c r="H1990" t="s">
        <v>4682</v>
      </c>
      <c r="I1990" t="str" cm="1">
        <f t="array" ref="I1990">_xlfn.IFS(B1990&lt;18.5, "Underweight", B1990&lt;=24.9, "Normal Weight", B1990&lt;=29.9, "Overweight", TRUE, "Obesity")</f>
        <v>Obesity</v>
      </c>
      <c r="J1990" t="str" cm="1">
        <f t="array" ref="J1990">_xlfn.IFS(C1990&lt;5.7, "Normal", C1990&lt;=6.4, "Prediabetes", TRUE, "Diabetes")</f>
        <v>Normal</v>
      </c>
    </row>
    <row r="1991" spans="1:10">
      <c r="A1991" t="s">
        <v>3980</v>
      </c>
      <c r="B1991">
        <v>25.745000000000001</v>
      </c>
      <c r="C1991">
        <v>4.62</v>
      </c>
      <c r="D1991" t="s">
        <v>4683</v>
      </c>
      <c r="E1991" t="s">
        <v>4682</v>
      </c>
      <c r="F1991" t="s">
        <v>4682</v>
      </c>
      <c r="G1991">
        <v>0</v>
      </c>
      <c r="H1991" t="s">
        <v>4682</v>
      </c>
      <c r="I1991" t="str" cm="1">
        <f t="array" ref="I1991">_xlfn.IFS(B1991&lt;18.5, "Underweight", B1991&lt;=24.9, "Normal Weight", B1991&lt;=29.9, "Overweight", TRUE, "Obesity")</f>
        <v>Overweight</v>
      </c>
      <c r="J1991" t="str" cm="1">
        <f t="array" ref="J1991">_xlfn.IFS(C1991&lt;5.7, "Normal", C1991&lt;=6.4, "Prediabetes", TRUE, "Diabetes")</f>
        <v>Normal</v>
      </c>
    </row>
    <row r="1992" spans="1:10">
      <c r="A1992" t="s">
        <v>3982</v>
      </c>
      <c r="B1992">
        <v>37.1</v>
      </c>
      <c r="C1992">
        <v>6.24</v>
      </c>
      <c r="D1992" t="s">
        <v>4682</v>
      </c>
      <c r="E1992" t="s">
        <v>4682</v>
      </c>
      <c r="F1992" t="s">
        <v>4682</v>
      </c>
      <c r="G1992">
        <v>0</v>
      </c>
      <c r="H1992" t="s">
        <v>4682</v>
      </c>
      <c r="I1992" t="str" cm="1">
        <f t="array" ref="I1992">_xlfn.IFS(B1992&lt;18.5, "Underweight", B1992&lt;=24.9, "Normal Weight", B1992&lt;=29.9, "Overweight", TRUE, "Obesity")</f>
        <v>Obesity</v>
      </c>
      <c r="J1992" t="str" cm="1">
        <f t="array" ref="J1992">_xlfn.IFS(C1992&lt;5.7, "Normal", C1992&lt;=6.4, "Prediabetes", TRUE, "Diabetes")</f>
        <v>Prediabetes</v>
      </c>
    </row>
    <row r="1993" spans="1:10">
      <c r="A1993" t="s">
        <v>3984</v>
      </c>
      <c r="B1993">
        <v>35.435000000000002</v>
      </c>
      <c r="C1993">
        <v>5.81</v>
      </c>
      <c r="D1993" t="s">
        <v>4682</v>
      </c>
      <c r="E1993" t="s">
        <v>4682</v>
      </c>
      <c r="F1993" t="s">
        <v>4682</v>
      </c>
      <c r="G1993">
        <v>0</v>
      </c>
      <c r="H1993" t="s">
        <v>4682</v>
      </c>
      <c r="I1993" t="str" cm="1">
        <f t="array" ref="I1993">_xlfn.IFS(B1993&lt;18.5, "Underweight", B1993&lt;=24.9, "Normal Weight", B1993&lt;=29.9, "Overweight", TRUE, "Obesity")</f>
        <v>Obesity</v>
      </c>
      <c r="J1993" t="str" cm="1">
        <f t="array" ref="J1993">_xlfn.IFS(C1993&lt;5.7, "Normal", C1993&lt;=6.4, "Prediabetes", TRUE, "Diabetes")</f>
        <v>Prediabetes</v>
      </c>
    </row>
    <row r="1994" spans="1:10">
      <c r="A1994" t="s">
        <v>3986</v>
      </c>
      <c r="B1994">
        <v>20.399999999999999</v>
      </c>
      <c r="C1994">
        <v>4.83</v>
      </c>
      <c r="D1994" t="s">
        <v>4682</v>
      </c>
      <c r="E1994" t="s">
        <v>4682</v>
      </c>
      <c r="F1994" t="s">
        <v>4682</v>
      </c>
      <c r="G1994">
        <v>0</v>
      </c>
      <c r="H1994" t="s">
        <v>4682</v>
      </c>
      <c r="I1994" t="str" cm="1">
        <f t="array" ref="I1994">_xlfn.IFS(B1994&lt;18.5, "Underweight", B1994&lt;=24.9, "Normal Weight", B1994&lt;=29.9, "Overweight", TRUE, "Obesity")</f>
        <v>Normal Weight</v>
      </c>
      <c r="J1994" t="str" cm="1">
        <f t="array" ref="J1994">_xlfn.IFS(C1994&lt;5.7, "Normal", C1994&lt;=6.4, "Prediabetes", TRUE, "Diabetes")</f>
        <v>Normal</v>
      </c>
    </row>
    <row r="1995" spans="1:10">
      <c r="A1995" t="s">
        <v>3988</v>
      </c>
      <c r="B1995">
        <v>42.13</v>
      </c>
      <c r="C1995">
        <v>5.72</v>
      </c>
      <c r="D1995" t="s">
        <v>4683</v>
      </c>
      <c r="E1995" t="s">
        <v>4682</v>
      </c>
      <c r="F1995" t="s">
        <v>4684</v>
      </c>
      <c r="G1995">
        <v>1</v>
      </c>
      <c r="H1995" t="s">
        <v>4682</v>
      </c>
      <c r="I1995" t="str" cm="1">
        <f t="array" ref="I1995">_xlfn.IFS(B1995&lt;18.5, "Underweight", B1995&lt;=24.9, "Normal Weight", B1995&lt;=29.9, "Overweight", TRUE, "Obesity")</f>
        <v>Obesity</v>
      </c>
      <c r="J1995" t="str" cm="1">
        <f t="array" ref="J1995">_xlfn.IFS(C1995&lt;5.7, "Normal", C1995&lt;=6.4, "Prediabetes", TRUE, "Diabetes")</f>
        <v>Prediabetes</v>
      </c>
    </row>
    <row r="1996" spans="1:10">
      <c r="A1996" t="s">
        <v>3990</v>
      </c>
      <c r="B1996">
        <v>33.99</v>
      </c>
      <c r="C1996">
        <v>4.83</v>
      </c>
      <c r="D1996" t="s">
        <v>4683</v>
      </c>
      <c r="E1996" t="s">
        <v>4682</v>
      </c>
      <c r="F1996" t="s">
        <v>4684</v>
      </c>
      <c r="G1996">
        <v>1</v>
      </c>
      <c r="H1996" t="s">
        <v>4682</v>
      </c>
      <c r="I1996" t="str" cm="1">
        <f t="array" ref="I1996">_xlfn.IFS(B1996&lt;18.5, "Underweight", B1996&lt;=24.9, "Normal Weight", B1996&lt;=29.9, "Overweight", TRUE, "Obesity")</f>
        <v>Obesity</v>
      </c>
      <c r="J1996" t="str" cm="1">
        <f t="array" ref="J1996">_xlfn.IFS(C1996&lt;5.7, "Normal", C1996&lt;=6.4, "Prediabetes", TRUE, "Diabetes")</f>
        <v>Normal</v>
      </c>
    </row>
    <row r="1997" spans="1:10">
      <c r="A1997" t="s">
        <v>3992</v>
      </c>
      <c r="B1997">
        <v>28.594999999999999</v>
      </c>
      <c r="C1997">
        <v>4.1399999999999997</v>
      </c>
      <c r="D1997" t="s">
        <v>4683</v>
      </c>
      <c r="E1997" t="s">
        <v>4682</v>
      </c>
      <c r="F1997" t="s">
        <v>4684</v>
      </c>
      <c r="G1997">
        <v>1</v>
      </c>
      <c r="H1997" t="s">
        <v>4682</v>
      </c>
      <c r="I1997" t="str" cm="1">
        <f t="array" ref="I1997">_xlfn.IFS(B1997&lt;18.5, "Underweight", B1997&lt;=24.9, "Normal Weight", B1997&lt;=29.9, "Overweight", TRUE, "Obesity")</f>
        <v>Overweight</v>
      </c>
      <c r="J1997" t="str" cm="1">
        <f t="array" ref="J1997">_xlfn.IFS(C1997&lt;5.7, "Normal", C1997&lt;=6.4, "Prediabetes", TRUE, "Diabetes")</f>
        <v>Normal</v>
      </c>
    </row>
    <row r="1998" spans="1:10">
      <c r="A1998" t="s">
        <v>3994</v>
      </c>
      <c r="B1998">
        <v>20.8</v>
      </c>
      <c r="C1998">
        <v>4.07</v>
      </c>
      <c r="D1998" t="s">
        <v>4683</v>
      </c>
      <c r="E1998" t="s">
        <v>4682</v>
      </c>
      <c r="F1998" t="s">
        <v>4684</v>
      </c>
      <c r="G1998">
        <v>1</v>
      </c>
      <c r="H1998" t="s">
        <v>4682</v>
      </c>
      <c r="I1998" t="str" cm="1">
        <f t="array" ref="I1998">_xlfn.IFS(B1998&lt;18.5, "Underweight", B1998&lt;=24.9, "Normal Weight", B1998&lt;=29.9, "Overweight", TRUE, "Obesity")</f>
        <v>Normal Weight</v>
      </c>
      <c r="J1998" t="str" cm="1">
        <f t="array" ref="J1998">_xlfn.IFS(C1998&lt;5.7, "Normal", C1998&lt;=6.4, "Prediabetes", TRUE, "Diabetes")</f>
        <v>Normal</v>
      </c>
    </row>
    <row r="1999" spans="1:10">
      <c r="A1999" t="s">
        <v>3996</v>
      </c>
      <c r="B1999">
        <v>23.465</v>
      </c>
      <c r="C1999">
        <v>6.26</v>
      </c>
      <c r="D1999" t="s">
        <v>4683</v>
      </c>
      <c r="E1999" t="s">
        <v>4682</v>
      </c>
      <c r="F1999" t="s">
        <v>4684</v>
      </c>
      <c r="G1999">
        <v>1</v>
      </c>
      <c r="H1999" t="s">
        <v>4682</v>
      </c>
      <c r="I1999" t="str" cm="1">
        <f t="array" ref="I1999">_xlfn.IFS(B1999&lt;18.5, "Underweight", B1999&lt;=24.9, "Normal Weight", B1999&lt;=29.9, "Overweight", TRUE, "Obesity")</f>
        <v>Normal Weight</v>
      </c>
      <c r="J1999" t="str" cm="1">
        <f t="array" ref="J1999">_xlfn.IFS(C1999&lt;5.7, "Normal", C1999&lt;=6.4, "Prediabetes", TRUE, "Diabetes")</f>
        <v>Prediabetes</v>
      </c>
    </row>
    <row r="2000" spans="1:10">
      <c r="A2000" t="s">
        <v>3998</v>
      </c>
      <c r="B2000">
        <v>40.185000000000002</v>
      </c>
      <c r="C2000">
        <v>5.88</v>
      </c>
      <c r="D2000" t="s">
        <v>4683</v>
      </c>
      <c r="E2000" t="s">
        <v>4682</v>
      </c>
      <c r="F2000" t="s">
        <v>4682</v>
      </c>
      <c r="G2000">
        <v>0</v>
      </c>
      <c r="H2000" t="s">
        <v>4682</v>
      </c>
      <c r="I2000" t="str" cm="1">
        <f t="array" ref="I2000">_xlfn.IFS(B2000&lt;18.5, "Underweight", B2000&lt;=24.9, "Normal Weight", B2000&lt;=29.9, "Overweight", TRUE, "Obesity")</f>
        <v>Obesity</v>
      </c>
      <c r="J2000" t="str" cm="1">
        <f t="array" ref="J2000">_xlfn.IFS(C2000&lt;5.7, "Normal", C2000&lt;=6.4, "Prediabetes", TRUE, "Diabetes")</f>
        <v>Prediabetes</v>
      </c>
    </row>
    <row r="2001" spans="1:10">
      <c r="A2001" t="s">
        <v>4000</v>
      </c>
      <c r="B2001">
        <v>21.89</v>
      </c>
      <c r="C2001">
        <v>5.72</v>
      </c>
      <c r="D2001" t="s">
        <v>4683</v>
      </c>
      <c r="E2001" t="s">
        <v>4682</v>
      </c>
      <c r="F2001" t="s">
        <v>4682</v>
      </c>
      <c r="G2001">
        <v>0</v>
      </c>
      <c r="H2001" t="s">
        <v>4682</v>
      </c>
      <c r="I2001" t="str" cm="1">
        <f t="array" ref="I2001">_xlfn.IFS(B2001&lt;18.5, "Underweight", B2001&lt;=24.9, "Normal Weight", B2001&lt;=29.9, "Overweight", TRUE, "Obesity")</f>
        <v>Normal Weight</v>
      </c>
      <c r="J2001" t="str" cm="1">
        <f t="array" ref="J2001">_xlfn.IFS(C2001&lt;5.7, "Normal", C2001&lt;=6.4, "Prediabetes", TRUE, "Diabetes")</f>
        <v>Prediabetes</v>
      </c>
    </row>
    <row r="2002" spans="1:10">
      <c r="A2002" t="s">
        <v>4002</v>
      </c>
      <c r="B2002">
        <v>29.34</v>
      </c>
      <c r="C2002">
        <v>6.09</v>
      </c>
      <c r="D2002" t="s">
        <v>4683</v>
      </c>
      <c r="E2002" t="s">
        <v>4683</v>
      </c>
      <c r="F2002" t="s">
        <v>4682</v>
      </c>
      <c r="G2002">
        <v>2</v>
      </c>
      <c r="H2002" t="s">
        <v>4682</v>
      </c>
      <c r="I2002" t="str" cm="1">
        <f t="array" ref="I2002">_xlfn.IFS(B2002&lt;18.5, "Underweight", B2002&lt;=24.9, "Normal Weight", B2002&lt;=29.9, "Overweight", TRUE, "Obesity")</f>
        <v>Overweight</v>
      </c>
      <c r="J2002" t="str" cm="1">
        <f t="array" ref="J2002">_xlfn.IFS(C2002&lt;5.7, "Normal", C2002&lt;=6.4, "Prediabetes", TRUE, "Diabetes")</f>
        <v>Prediabetes</v>
      </c>
    </row>
    <row r="2003" spans="1:10">
      <c r="A2003" t="s">
        <v>4004</v>
      </c>
      <c r="B2003">
        <v>22.61</v>
      </c>
      <c r="C2003">
        <v>4.25</v>
      </c>
      <c r="D2003" t="s">
        <v>4683</v>
      </c>
      <c r="E2003" t="s">
        <v>4682</v>
      </c>
      <c r="F2003" t="s">
        <v>4682</v>
      </c>
      <c r="G2003">
        <v>0</v>
      </c>
      <c r="H2003" t="s">
        <v>4682</v>
      </c>
      <c r="I2003" t="str" cm="1">
        <f t="array" ref="I2003">_xlfn.IFS(B2003&lt;18.5, "Underweight", B2003&lt;=24.9, "Normal Weight", B2003&lt;=29.9, "Overweight", TRUE, "Obesity")</f>
        <v>Normal Weight</v>
      </c>
      <c r="J2003" t="str" cm="1">
        <f t="array" ref="J2003">_xlfn.IFS(C2003&lt;5.7, "Normal", C2003&lt;=6.4, "Prediabetes", TRUE, "Diabetes")</f>
        <v>Normal</v>
      </c>
    </row>
    <row r="2004" spans="1:10">
      <c r="A2004" t="s">
        <v>4006</v>
      </c>
      <c r="B2004">
        <v>22.23</v>
      </c>
      <c r="C2004">
        <v>6.09</v>
      </c>
      <c r="D2004" t="s">
        <v>4683</v>
      </c>
      <c r="E2004" t="s">
        <v>4682</v>
      </c>
      <c r="F2004" t="s">
        <v>4682</v>
      </c>
      <c r="G2004">
        <v>0</v>
      </c>
      <c r="H2004" t="s">
        <v>4682</v>
      </c>
      <c r="I2004" t="str" cm="1">
        <f t="array" ref="I2004">_xlfn.IFS(B2004&lt;18.5, "Underweight", B2004&lt;=24.9, "Normal Weight", B2004&lt;=29.9, "Overweight", TRUE, "Obesity")</f>
        <v>Normal Weight</v>
      </c>
      <c r="J2004" t="str" cm="1">
        <f t="array" ref="J2004">_xlfn.IFS(C2004&lt;5.7, "Normal", C2004&lt;=6.4, "Prediabetes", TRUE, "Diabetes")</f>
        <v>Prediabetes</v>
      </c>
    </row>
    <row r="2005" spans="1:10">
      <c r="A2005" t="s">
        <v>4008</v>
      </c>
      <c r="B2005">
        <v>33.4</v>
      </c>
      <c r="C2005">
        <v>5.51</v>
      </c>
      <c r="D2005" t="s">
        <v>4682</v>
      </c>
      <c r="E2005" t="s">
        <v>4682</v>
      </c>
      <c r="F2005" t="s">
        <v>4682</v>
      </c>
      <c r="G2005">
        <v>0</v>
      </c>
      <c r="H2005" t="s">
        <v>4682</v>
      </c>
      <c r="I2005" t="str" cm="1">
        <f t="array" ref="I2005">_xlfn.IFS(B2005&lt;18.5, "Underweight", B2005&lt;=24.9, "Normal Weight", B2005&lt;=29.9, "Overweight", TRUE, "Obesity")</f>
        <v>Obesity</v>
      </c>
      <c r="J2005" t="str" cm="1">
        <f t="array" ref="J2005">_xlfn.IFS(C2005&lt;5.7, "Normal", C2005&lt;=6.4, "Prediabetes", TRUE, "Diabetes")</f>
        <v>Normal</v>
      </c>
    </row>
    <row r="2006" spans="1:10">
      <c r="A2006" t="s">
        <v>4010</v>
      </c>
      <c r="B2006">
        <v>33.11</v>
      </c>
      <c r="C2006">
        <v>5.63</v>
      </c>
      <c r="D2006" t="s">
        <v>4682</v>
      </c>
      <c r="E2006" t="s">
        <v>4682</v>
      </c>
      <c r="F2006" t="s">
        <v>4682</v>
      </c>
      <c r="G2006">
        <v>0</v>
      </c>
      <c r="H2006" t="s">
        <v>4682</v>
      </c>
      <c r="I2006" t="str" cm="1">
        <f t="array" ref="I2006">_xlfn.IFS(B2006&lt;18.5, "Underweight", B2006&lt;=24.9, "Normal Weight", B2006&lt;=29.9, "Overweight", TRUE, "Obesity")</f>
        <v>Obesity</v>
      </c>
      <c r="J2006" t="str" cm="1">
        <f t="array" ref="J2006">_xlfn.IFS(C2006&lt;5.7, "Normal", C2006&lt;=6.4, "Prediabetes", TRUE, "Diabetes")</f>
        <v>Normal</v>
      </c>
    </row>
    <row r="2007" spans="1:10">
      <c r="A2007" t="s">
        <v>4012</v>
      </c>
      <c r="B2007">
        <v>16.815000000000001</v>
      </c>
      <c r="C2007">
        <v>5.29</v>
      </c>
      <c r="D2007" t="s">
        <v>4683</v>
      </c>
      <c r="E2007" t="s">
        <v>4682</v>
      </c>
      <c r="F2007" t="s">
        <v>4682</v>
      </c>
      <c r="G2007">
        <v>0</v>
      </c>
      <c r="H2007" t="s">
        <v>4682</v>
      </c>
      <c r="I2007" t="str" cm="1">
        <f t="array" ref="I2007">_xlfn.IFS(B2007&lt;18.5, "Underweight", B2007&lt;=24.9, "Normal Weight", B2007&lt;=29.9, "Overweight", TRUE, "Obesity")</f>
        <v>Underweight</v>
      </c>
      <c r="J2007" t="str" cm="1">
        <f t="array" ref="J2007">_xlfn.IFS(C2007&lt;5.7, "Normal", C2007&lt;=6.4, "Prediabetes", TRUE, "Diabetes")</f>
        <v>Normal</v>
      </c>
    </row>
    <row r="2008" spans="1:10">
      <c r="A2008" t="s">
        <v>4014</v>
      </c>
      <c r="B2008">
        <v>25.61</v>
      </c>
      <c r="C2008">
        <v>4</v>
      </c>
      <c r="D2008" t="s">
        <v>4682</v>
      </c>
      <c r="E2008" t="s">
        <v>4682</v>
      </c>
      <c r="F2008" t="s">
        <v>4684</v>
      </c>
      <c r="G2008">
        <v>1</v>
      </c>
      <c r="H2008" t="s">
        <v>4682</v>
      </c>
      <c r="I2008" t="str" cm="1">
        <f t="array" ref="I2008">_xlfn.IFS(B2008&lt;18.5, "Underweight", B2008&lt;=24.9, "Normal Weight", B2008&lt;=29.9, "Overweight", TRUE, "Obesity")</f>
        <v>Overweight</v>
      </c>
      <c r="J2008" t="str" cm="1">
        <f t="array" ref="J2008">_xlfn.IFS(C2008&lt;5.7, "Normal", C2008&lt;=6.4, "Prediabetes", TRUE, "Diabetes")</f>
        <v>Normal</v>
      </c>
    </row>
    <row r="2009" spans="1:10">
      <c r="A2009" t="s">
        <v>4016</v>
      </c>
      <c r="B2009">
        <v>25.8</v>
      </c>
      <c r="C2009">
        <v>5.49</v>
      </c>
      <c r="D2009" t="s">
        <v>4682</v>
      </c>
      <c r="E2009" t="s">
        <v>4682</v>
      </c>
      <c r="F2009" t="s">
        <v>4682</v>
      </c>
      <c r="G2009">
        <v>0</v>
      </c>
      <c r="H2009" t="s">
        <v>4682</v>
      </c>
      <c r="I2009" t="str" cm="1">
        <f t="array" ref="I2009">_xlfn.IFS(B2009&lt;18.5, "Underweight", B2009&lt;=24.9, "Normal Weight", B2009&lt;=29.9, "Overweight", TRUE, "Obesity")</f>
        <v>Overweight</v>
      </c>
      <c r="J2009" t="str" cm="1">
        <f t="array" ref="J2009">_xlfn.IFS(C2009&lt;5.7, "Normal", C2009&lt;=6.4, "Prediabetes", TRUE, "Diabetes")</f>
        <v>Normal</v>
      </c>
    </row>
    <row r="2010" spans="1:10">
      <c r="A2010" t="s">
        <v>4018</v>
      </c>
      <c r="B2010">
        <v>27.39</v>
      </c>
      <c r="C2010">
        <v>5.34</v>
      </c>
      <c r="D2010" t="s">
        <v>4682</v>
      </c>
      <c r="E2010" t="s">
        <v>4682</v>
      </c>
      <c r="F2010" t="s">
        <v>4682</v>
      </c>
      <c r="G2010">
        <v>0</v>
      </c>
      <c r="H2010" t="s">
        <v>4682</v>
      </c>
      <c r="I2010" t="str" cm="1">
        <f t="array" ref="I2010">_xlfn.IFS(B2010&lt;18.5, "Underweight", B2010&lt;=24.9, "Normal Weight", B2010&lt;=29.9, "Overweight", TRUE, "Obesity")</f>
        <v>Overweight</v>
      </c>
      <c r="J2010" t="str" cm="1">
        <f t="array" ref="J2010">_xlfn.IFS(C2010&lt;5.7, "Normal", C2010&lt;=6.4, "Prediabetes", TRUE, "Diabetes")</f>
        <v>Normal</v>
      </c>
    </row>
    <row r="2011" spans="1:10">
      <c r="A2011" t="s">
        <v>4020</v>
      </c>
      <c r="B2011">
        <v>17.03</v>
      </c>
      <c r="C2011">
        <v>4.12</v>
      </c>
      <c r="D2011" t="s">
        <v>4682</v>
      </c>
      <c r="E2011" t="s">
        <v>4682</v>
      </c>
      <c r="F2011" t="s">
        <v>4682</v>
      </c>
      <c r="G2011">
        <v>1</v>
      </c>
      <c r="H2011" t="s">
        <v>4682</v>
      </c>
      <c r="I2011" t="str" cm="1">
        <f t="array" ref="I2011">_xlfn.IFS(B2011&lt;18.5, "Underweight", B2011&lt;=24.9, "Normal Weight", B2011&lt;=29.9, "Overweight", TRUE, "Obesity")</f>
        <v>Underweight</v>
      </c>
      <c r="J2011" t="str" cm="1">
        <f t="array" ref="J2011">_xlfn.IFS(C2011&lt;5.7, "Normal", C2011&lt;=6.4, "Prediabetes", TRUE, "Diabetes")</f>
        <v>Normal</v>
      </c>
    </row>
    <row r="2012" spans="1:10">
      <c r="A2012" t="s">
        <v>4022</v>
      </c>
      <c r="B2012">
        <v>23.75</v>
      </c>
      <c r="C2012">
        <v>5.49</v>
      </c>
      <c r="D2012" t="s">
        <v>4683</v>
      </c>
      <c r="E2012" t="s">
        <v>4682</v>
      </c>
      <c r="F2012" t="s">
        <v>4682</v>
      </c>
      <c r="G2012">
        <v>0</v>
      </c>
      <c r="H2012" t="s">
        <v>4682</v>
      </c>
      <c r="I2012" t="str" cm="1">
        <f t="array" ref="I2012">_xlfn.IFS(B2012&lt;18.5, "Underweight", B2012&lt;=24.9, "Normal Weight", B2012&lt;=29.9, "Overweight", TRUE, "Obesity")</f>
        <v>Normal Weight</v>
      </c>
      <c r="J2012" t="str" cm="1">
        <f t="array" ref="J2012">_xlfn.IFS(C2012&lt;5.7, "Normal", C2012&lt;=6.4, "Prediabetes", TRUE, "Diabetes")</f>
        <v>Normal</v>
      </c>
    </row>
    <row r="2013" spans="1:10">
      <c r="A2013" t="s">
        <v>4024</v>
      </c>
      <c r="B2013">
        <v>26.03</v>
      </c>
      <c r="C2013">
        <v>5.1100000000000003</v>
      </c>
      <c r="D2013" t="s">
        <v>4683</v>
      </c>
      <c r="E2013" t="s">
        <v>4682</v>
      </c>
      <c r="F2013" t="s">
        <v>4682</v>
      </c>
      <c r="G2013">
        <v>1</v>
      </c>
      <c r="H2013" t="s">
        <v>4682</v>
      </c>
      <c r="I2013" t="str" cm="1">
        <f t="array" ref="I2013">_xlfn.IFS(B2013&lt;18.5, "Underweight", B2013&lt;=24.9, "Normal Weight", B2013&lt;=29.9, "Overweight", TRUE, "Obesity")</f>
        <v>Overweight</v>
      </c>
      <c r="J2013" t="str" cm="1">
        <f t="array" ref="J2013">_xlfn.IFS(C2013&lt;5.7, "Normal", C2013&lt;=6.4, "Prediabetes", TRUE, "Diabetes")</f>
        <v>Normal</v>
      </c>
    </row>
    <row r="2014" spans="1:10">
      <c r="A2014" t="s">
        <v>4026</v>
      </c>
      <c r="B2014">
        <v>16.079999999999998</v>
      </c>
      <c r="C2014">
        <v>5.94</v>
      </c>
      <c r="D2014" t="s">
        <v>4682</v>
      </c>
      <c r="E2014" t="s">
        <v>4682</v>
      </c>
      <c r="F2014" t="s">
        <v>4682</v>
      </c>
      <c r="G2014">
        <v>0</v>
      </c>
      <c r="H2014" t="s">
        <v>4682</v>
      </c>
      <c r="I2014" t="str" cm="1">
        <f t="array" ref="I2014">_xlfn.IFS(B2014&lt;18.5, "Underweight", B2014&lt;=24.9, "Normal Weight", B2014&lt;=29.9, "Overweight", TRUE, "Obesity")</f>
        <v>Underweight</v>
      </c>
      <c r="J2014" t="str" cm="1">
        <f t="array" ref="J2014">_xlfn.IFS(C2014&lt;5.7, "Normal", C2014&lt;=6.4, "Prediabetes", TRUE, "Diabetes")</f>
        <v>Prediabetes</v>
      </c>
    </row>
    <row r="2015" spans="1:10">
      <c r="A2015" t="s">
        <v>4028</v>
      </c>
      <c r="B2015">
        <v>30.875</v>
      </c>
      <c r="C2015">
        <v>5.54</v>
      </c>
      <c r="D2015" t="s">
        <v>4682</v>
      </c>
      <c r="E2015" t="s">
        <v>4682</v>
      </c>
      <c r="F2015" t="s">
        <v>4682</v>
      </c>
      <c r="G2015">
        <v>0</v>
      </c>
      <c r="H2015" t="s">
        <v>4682</v>
      </c>
      <c r="I2015" t="str" cm="1">
        <f t="array" ref="I2015">_xlfn.IFS(B2015&lt;18.5, "Underweight", B2015&lt;=24.9, "Normal Weight", B2015&lt;=29.9, "Overweight", TRUE, "Obesity")</f>
        <v>Obesity</v>
      </c>
      <c r="J2015" t="str" cm="1">
        <f t="array" ref="J2015">_xlfn.IFS(C2015&lt;5.7, "Normal", C2015&lt;=6.4, "Prediabetes", TRUE, "Diabetes")</f>
        <v>Normal</v>
      </c>
    </row>
    <row r="2016" spans="1:10">
      <c r="A2016" t="s">
        <v>4030</v>
      </c>
      <c r="B2016">
        <v>31.79</v>
      </c>
      <c r="C2016">
        <v>7.09</v>
      </c>
      <c r="D2016" t="s">
        <v>4682</v>
      </c>
      <c r="E2016" t="s">
        <v>4682</v>
      </c>
      <c r="F2016" t="s">
        <v>4682</v>
      </c>
      <c r="G2016">
        <v>0</v>
      </c>
      <c r="H2016" t="s">
        <v>4682</v>
      </c>
      <c r="I2016" t="str" cm="1">
        <f t="array" ref="I2016">_xlfn.IFS(B2016&lt;18.5, "Underweight", B2016&lt;=24.9, "Normal Weight", B2016&lt;=29.9, "Overweight", TRUE, "Obesity")</f>
        <v>Obesity</v>
      </c>
      <c r="J2016" t="str" cm="1">
        <f t="array" ref="J2016">_xlfn.IFS(C2016&lt;5.7, "Normal", C2016&lt;=6.4, "Prediabetes", TRUE, "Diabetes")</f>
        <v>Diabetes</v>
      </c>
    </row>
    <row r="2017" spans="1:10">
      <c r="A2017" t="s">
        <v>4032</v>
      </c>
      <c r="B2017">
        <v>28.48</v>
      </c>
      <c r="C2017">
        <v>6.22</v>
      </c>
      <c r="D2017" t="s">
        <v>4683</v>
      </c>
      <c r="E2017" t="s">
        <v>4682</v>
      </c>
      <c r="F2017" t="s">
        <v>4684</v>
      </c>
      <c r="G2017">
        <v>1</v>
      </c>
      <c r="H2017" t="s">
        <v>4682</v>
      </c>
      <c r="I2017" t="str" cm="1">
        <f t="array" ref="I2017">_xlfn.IFS(B2017&lt;18.5, "Underweight", B2017&lt;=24.9, "Normal Weight", B2017&lt;=29.9, "Overweight", TRUE, "Obesity")</f>
        <v>Overweight</v>
      </c>
      <c r="J2017" t="str" cm="1">
        <f t="array" ref="J2017">_xlfn.IFS(C2017&lt;5.7, "Normal", C2017&lt;=6.4, "Prediabetes", TRUE, "Diabetes")</f>
        <v>Prediabetes</v>
      </c>
    </row>
    <row r="2018" spans="1:10">
      <c r="A2018" t="s">
        <v>4034</v>
      </c>
      <c r="B2018">
        <v>26.6</v>
      </c>
      <c r="C2018">
        <v>4.33</v>
      </c>
      <c r="D2018" t="s">
        <v>4682</v>
      </c>
      <c r="E2018" t="s">
        <v>4682</v>
      </c>
      <c r="F2018" t="s">
        <v>4682</v>
      </c>
      <c r="G2018">
        <v>1</v>
      </c>
      <c r="H2018" t="s">
        <v>4682</v>
      </c>
      <c r="I2018" t="str" cm="1">
        <f t="array" ref="I2018">_xlfn.IFS(B2018&lt;18.5, "Underweight", B2018&lt;=24.9, "Normal Weight", B2018&lt;=29.9, "Overweight", TRUE, "Obesity")</f>
        <v>Overweight</v>
      </c>
      <c r="J2018" t="str" cm="1">
        <f t="array" ref="J2018">_xlfn.IFS(C2018&lt;5.7, "Normal", C2018&lt;=6.4, "Prediabetes", TRUE, "Diabetes")</f>
        <v>Normal</v>
      </c>
    </row>
    <row r="2019" spans="1:10">
      <c r="A2019" t="s">
        <v>4036</v>
      </c>
      <c r="B2019">
        <v>25.27</v>
      </c>
      <c r="C2019">
        <v>5.83</v>
      </c>
      <c r="D2019" t="s">
        <v>4682</v>
      </c>
      <c r="E2019" t="s">
        <v>4682</v>
      </c>
      <c r="F2019" t="s">
        <v>4682</v>
      </c>
      <c r="G2019">
        <v>1</v>
      </c>
      <c r="H2019" t="s">
        <v>4682</v>
      </c>
      <c r="I2019" t="str" cm="1">
        <f t="array" ref="I2019">_xlfn.IFS(B2019&lt;18.5, "Underweight", B2019&lt;=24.9, "Normal Weight", B2019&lt;=29.9, "Overweight", TRUE, "Obesity")</f>
        <v>Overweight</v>
      </c>
      <c r="J2019" t="str" cm="1">
        <f t="array" ref="J2019">_xlfn.IFS(C2019&lt;5.7, "Normal", C2019&lt;=6.4, "Prediabetes", TRUE, "Diabetes")</f>
        <v>Prediabetes</v>
      </c>
    </row>
    <row r="2020" spans="1:10">
      <c r="A2020" t="s">
        <v>4038</v>
      </c>
      <c r="B2020">
        <v>34.484999999999999</v>
      </c>
      <c r="C2020">
        <v>4.7</v>
      </c>
      <c r="D2020" t="s">
        <v>4683</v>
      </c>
      <c r="E2020" t="s">
        <v>4682</v>
      </c>
      <c r="F2020" t="s">
        <v>4684</v>
      </c>
      <c r="G2020">
        <v>1</v>
      </c>
      <c r="H2020" t="s">
        <v>4682</v>
      </c>
      <c r="I2020" t="str" cm="1">
        <f t="array" ref="I2020">_xlfn.IFS(B2020&lt;18.5, "Underweight", B2020&lt;=24.9, "Normal Weight", B2020&lt;=29.9, "Overweight", TRUE, "Obesity")</f>
        <v>Obesity</v>
      </c>
      <c r="J2020" t="str" cm="1">
        <f t="array" ref="J2020">_xlfn.IFS(C2020&lt;5.7, "Normal", C2020&lt;=6.4, "Prediabetes", TRUE, "Diabetes")</f>
        <v>Normal</v>
      </c>
    </row>
    <row r="2021" spans="1:10">
      <c r="A2021" t="s">
        <v>4040</v>
      </c>
      <c r="B2021">
        <v>15.57</v>
      </c>
      <c r="C2021">
        <v>4.07</v>
      </c>
      <c r="D2021" t="s">
        <v>4683</v>
      </c>
      <c r="E2021" t="s">
        <v>4682</v>
      </c>
      <c r="F2021" t="s">
        <v>4682</v>
      </c>
      <c r="G2021">
        <v>1</v>
      </c>
      <c r="H2021" t="s">
        <v>4682</v>
      </c>
      <c r="I2021" t="str" cm="1">
        <f t="array" ref="I2021">_xlfn.IFS(B2021&lt;18.5, "Underweight", B2021&lt;=24.9, "Normal Weight", B2021&lt;=29.9, "Overweight", TRUE, "Obesity")</f>
        <v>Underweight</v>
      </c>
      <c r="J2021" t="str" cm="1">
        <f t="array" ref="J2021">_xlfn.IFS(C2021&lt;5.7, "Normal", C2021&lt;=6.4, "Prediabetes", TRUE, "Diabetes")</f>
        <v>Normal</v>
      </c>
    </row>
    <row r="2022" spans="1:10">
      <c r="A2022" t="s">
        <v>4042</v>
      </c>
      <c r="B2022">
        <v>30.36</v>
      </c>
      <c r="C2022">
        <v>9.39</v>
      </c>
      <c r="D2022" t="s">
        <v>4682</v>
      </c>
      <c r="E2022" t="s">
        <v>4682</v>
      </c>
      <c r="F2022" t="s">
        <v>4682</v>
      </c>
      <c r="G2022">
        <v>0</v>
      </c>
      <c r="H2022" t="s">
        <v>4682</v>
      </c>
      <c r="I2022" t="str" cm="1">
        <f t="array" ref="I2022">_xlfn.IFS(B2022&lt;18.5, "Underweight", B2022&lt;=24.9, "Normal Weight", B2022&lt;=29.9, "Overweight", TRUE, "Obesity")</f>
        <v>Obesity</v>
      </c>
      <c r="J2022" t="str" cm="1">
        <f t="array" ref="J2022">_xlfn.IFS(C2022&lt;5.7, "Normal", C2022&lt;=6.4, "Prediabetes", TRUE, "Diabetes")</f>
        <v>Diabetes</v>
      </c>
    </row>
    <row r="2023" spans="1:10">
      <c r="A2023" t="s">
        <v>4044</v>
      </c>
      <c r="B2023">
        <v>19.37</v>
      </c>
      <c r="C2023">
        <v>4.18</v>
      </c>
      <c r="D2023" t="s">
        <v>4682</v>
      </c>
      <c r="E2023" t="s">
        <v>4682</v>
      </c>
      <c r="F2023" t="s">
        <v>4682</v>
      </c>
      <c r="G2023">
        <v>0</v>
      </c>
      <c r="H2023" t="s">
        <v>4682</v>
      </c>
      <c r="I2023" t="str" cm="1">
        <f t="array" ref="I2023">_xlfn.IFS(B2023&lt;18.5, "Underweight", B2023&lt;=24.9, "Normal Weight", B2023&lt;=29.9, "Overweight", TRUE, "Obesity")</f>
        <v>Normal Weight</v>
      </c>
      <c r="J2023" t="str" cm="1">
        <f t="array" ref="J2023">_xlfn.IFS(C2023&lt;5.7, "Normal", C2023&lt;=6.4, "Prediabetes", TRUE, "Diabetes")</f>
        <v>Normal</v>
      </c>
    </row>
    <row r="2024" spans="1:10">
      <c r="A2024" t="s">
        <v>4046</v>
      </c>
      <c r="B2024">
        <v>16.71</v>
      </c>
      <c r="C2024">
        <v>4.18</v>
      </c>
      <c r="D2024" t="s">
        <v>4682</v>
      </c>
      <c r="E2024" t="s">
        <v>4682</v>
      </c>
      <c r="F2024" t="s">
        <v>4682</v>
      </c>
      <c r="G2024">
        <v>1</v>
      </c>
      <c r="H2024" t="s">
        <v>4682</v>
      </c>
      <c r="I2024" t="str" cm="1">
        <f t="array" ref="I2024">_xlfn.IFS(B2024&lt;18.5, "Underweight", B2024&lt;=24.9, "Normal Weight", B2024&lt;=29.9, "Overweight", TRUE, "Obesity")</f>
        <v>Underweight</v>
      </c>
      <c r="J2024" t="str" cm="1">
        <f t="array" ref="J2024">_xlfn.IFS(C2024&lt;5.7, "Normal", C2024&lt;=6.4, "Prediabetes", TRUE, "Diabetes")</f>
        <v>Normal</v>
      </c>
    </row>
    <row r="2025" spans="1:10">
      <c r="A2025" t="s">
        <v>4048</v>
      </c>
      <c r="B2025">
        <v>24.1</v>
      </c>
      <c r="C2025">
        <v>4.4000000000000004</v>
      </c>
      <c r="D2025" t="s">
        <v>4683</v>
      </c>
      <c r="E2025" t="s">
        <v>4682</v>
      </c>
      <c r="F2025" t="s">
        <v>4682</v>
      </c>
      <c r="G2025">
        <v>1</v>
      </c>
      <c r="H2025" t="s">
        <v>4682</v>
      </c>
      <c r="I2025" t="str" cm="1">
        <f t="array" ref="I2025">_xlfn.IFS(B2025&lt;18.5, "Underweight", B2025&lt;=24.9, "Normal Weight", B2025&lt;=29.9, "Overweight", TRUE, "Obesity")</f>
        <v>Normal Weight</v>
      </c>
      <c r="J2025" t="str" cm="1">
        <f t="array" ref="J2025">_xlfn.IFS(C2025&lt;5.7, "Normal", C2025&lt;=6.4, "Prediabetes", TRUE, "Diabetes")</f>
        <v>Normal</v>
      </c>
    </row>
    <row r="2026" spans="1:10">
      <c r="A2026" t="s">
        <v>4050</v>
      </c>
      <c r="B2026">
        <v>29.77</v>
      </c>
      <c r="C2026">
        <v>9.9</v>
      </c>
      <c r="D2026" t="s">
        <v>4682</v>
      </c>
      <c r="E2026" t="s">
        <v>4682</v>
      </c>
      <c r="F2026" t="s">
        <v>4682</v>
      </c>
      <c r="G2026">
        <v>0</v>
      </c>
      <c r="H2026" t="s">
        <v>4682</v>
      </c>
      <c r="I2026" t="str" cm="1">
        <f t="array" ref="I2026">_xlfn.IFS(B2026&lt;18.5, "Underweight", B2026&lt;=24.9, "Normal Weight", B2026&lt;=29.9, "Overweight", TRUE, "Obesity")</f>
        <v>Overweight</v>
      </c>
      <c r="J2026" t="str" cm="1">
        <f t="array" ref="J2026">_xlfn.IFS(C2026&lt;5.7, "Normal", C2026&lt;=6.4, "Prediabetes", TRUE, "Diabetes")</f>
        <v>Diabetes</v>
      </c>
    </row>
    <row r="2027" spans="1:10">
      <c r="A2027" t="s">
        <v>4052</v>
      </c>
      <c r="B2027">
        <v>46.53</v>
      </c>
      <c r="C2027">
        <v>4.84</v>
      </c>
      <c r="D2027" t="s">
        <v>4683</v>
      </c>
      <c r="E2027" t="s">
        <v>4682</v>
      </c>
      <c r="F2027" t="s">
        <v>4682</v>
      </c>
      <c r="G2027">
        <v>0</v>
      </c>
      <c r="H2027" t="s">
        <v>4682</v>
      </c>
      <c r="I2027" t="str" cm="1">
        <f t="array" ref="I2027">_xlfn.IFS(B2027&lt;18.5, "Underweight", B2027&lt;=24.9, "Normal Weight", B2027&lt;=29.9, "Overweight", TRUE, "Obesity")</f>
        <v>Obesity</v>
      </c>
      <c r="J2027" t="str" cm="1">
        <f t="array" ref="J2027">_xlfn.IFS(C2027&lt;5.7, "Normal", C2027&lt;=6.4, "Prediabetes", TRUE, "Diabetes")</f>
        <v>Normal</v>
      </c>
    </row>
    <row r="2028" spans="1:10">
      <c r="A2028" t="s">
        <v>4054</v>
      </c>
      <c r="B2028">
        <v>23.4</v>
      </c>
      <c r="C2028">
        <v>5.53</v>
      </c>
      <c r="D2028" t="s">
        <v>4682</v>
      </c>
      <c r="E2028" t="s">
        <v>4682</v>
      </c>
      <c r="F2028" t="s">
        <v>4684</v>
      </c>
      <c r="G2028">
        <v>1</v>
      </c>
      <c r="H2028" t="s">
        <v>4682</v>
      </c>
      <c r="I2028" t="str" cm="1">
        <f t="array" ref="I2028">_xlfn.IFS(B2028&lt;18.5, "Underweight", B2028&lt;=24.9, "Normal Weight", B2028&lt;=29.9, "Overweight", TRUE, "Obesity")</f>
        <v>Normal Weight</v>
      </c>
      <c r="J2028" t="str" cm="1">
        <f t="array" ref="J2028">_xlfn.IFS(C2028&lt;5.7, "Normal", C2028&lt;=6.4, "Prediabetes", TRUE, "Diabetes")</f>
        <v>Normal</v>
      </c>
    </row>
    <row r="2029" spans="1:10">
      <c r="A2029" t="s">
        <v>4056</v>
      </c>
      <c r="B2029">
        <v>30</v>
      </c>
      <c r="C2029">
        <v>4.33</v>
      </c>
      <c r="D2029" t="s">
        <v>4683</v>
      </c>
      <c r="E2029" t="s">
        <v>4682</v>
      </c>
      <c r="F2029" t="s">
        <v>4682</v>
      </c>
      <c r="G2029">
        <v>0</v>
      </c>
      <c r="H2029" t="s">
        <v>4682</v>
      </c>
      <c r="I2029" t="str" cm="1">
        <f t="array" ref="I2029">_xlfn.IFS(B2029&lt;18.5, "Underweight", B2029&lt;=24.9, "Normal Weight", B2029&lt;=29.9, "Overweight", TRUE, "Obesity")</f>
        <v>Obesity</v>
      </c>
      <c r="J2029" t="str" cm="1">
        <f t="array" ref="J2029">_xlfn.IFS(C2029&lt;5.7, "Normal", C2029&lt;=6.4, "Prediabetes", TRUE, "Diabetes")</f>
        <v>Normal</v>
      </c>
    </row>
    <row r="2030" spans="1:10">
      <c r="A2030" t="s">
        <v>4058</v>
      </c>
      <c r="B2030">
        <v>29.15</v>
      </c>
      <c r="C2030">
        <v>4.91</v>
      </c>
      <c r="D2030" t="s">
        <v>4683</v>
      </c>
      <c r="E2030" t="s">
        <v>4682</v>
      </c>
      <c r="F2030" t="s">
        <v>4682</v>
      </c>
      <c r="G2030">
        <v>0</v>
      </c>
      <c r="H2030" t="s">
        <v>4682</v>
      </c>
      <c r="I2030" t="str" cm="1">
        <f t="array" ref="I2030">_xlfn.IFS(B2030&lt;18.5, "Underweight", B2030&lt;=24.9, "Normal Weight", B2030&lt;=29.9, "Overweight", TRUE, "Obesity")</f>
        <v>Overweight</v>
      </c>
      <c r="J2030" t="str" cm="1">
        <f t="array" ref="J2030">_xlfn.IFS(C2030&lt;5.7, "Normal", C2030&lt;=6.4, "Prediabetes", TRUE, "Diabetes")</f>
        <v>Normal</v>
      </c>
    </row>
    <row r="2031" spans="1:10">
      <c r="A2031" t="s">
        <v>4060</v>
      </c>
      <c r="B2031">
        <v>34.865000000000002</v>
      </c>
      <c r="C2031">
        <v>4.8</v>
      </c>
      <c r="D2031" t="s">
        <v>4682</v>
      </c>
      <c r="E2031" t="s">
        <v>4682</v>
      </c>
      <c r="F2031" t="s">
        <v>4682</v>
      </c>
      <c r="G2031">
        <v>0</v>
      </c>
      <c r="H2031" t="s">
        <v>4682</v>
      </c>
      <c r="I2031" t="str" cm="1">
        <f t="array" ref="I2031">_xlfn.IFS(B2031&lt;18.5, "Underweight", B2031&lt;=24.9, "Normal Weight", B2031&lt;=29.9, "Overweight", TRUE, "Obesity")</f>
        <v>Obesity</v>
      </c>
      <c r="J2031" t="str" cm="1">
        <f t="array" ref="J2031">_xlfn.IFS(C2031&lt;5.7, "Normal", C2031&lt;=6.4, "Prediabetes", TRUE, "Diabetes")</f>
        <v>Normal</v>
      </c>
    </row>
    <row r="2032" spans="1:10">
      <c r="A2032" t="s">
        <v>4062</v>
      </c>
      <c r="B2032">
        <v>28.12</v>
      </c>
      <c r="C2032">
        <v>5.55</v>
      </c>
      <c r="D2032" t="s">
        <v>4683</v>
      </c>
      <c r="E2032" t="s">
        <v>4683</v>
      </c>
      <c r="F2032" t="s">
        <v>4682</v>
      </c>
      <c r="G2032">
        <v>2</v>
      </c>
      <c r="H2032" t="s">
        <v>4682</v>
      </c>
      <c r="I2032" t="str" cm="1">
        <f t="array" ref="I2032">_xlfn.IFS(B2032&lt;18.5, "Underweight", B2032&lt;=24.9, "Normal Weight", B2032&lt;=29.9, "Overweight", TRUE, "Obesity")</f>
        <v>Overweight</v>
      </c>
      <c r="J2032" t="str" cm="1">
        <f t="array" ref="J2032">_xlfn.IFS(C2032&lt;5.7, "Normal", C2032&lt;=6.4, "Prediabetes", TRUE, "Diabetes")</f>
        <v>Normal</v>
      </c>
    </row>
    <row r="2033" spans="1:10">
      <c r="A2033" t="s">
        <v>4064</v>
      </c>
      <c r="B2033">
        <v>29.45</v>
      </c>
      <c r="C2033">
        <v>5.24</v>
      </c>
      <c r="D2033" t="s">
        <v>4683</v>
      </c>
      <c r="E2033" t="s">
        <v>4682</v>
      </c>
      <c r="F2033" t="s">
        <v>4682</v>
      </c>
      <c r="G2033">
        <v>0</v>
      </c>
      <c r="H2033" t="s">
        <v>4682</v>
      </c>
      <c r="I2033" t="str" cm="1">
        <f t="array" ref="I2033">_xlfn.IFS(B2033&lt;18.5, "Underweight", B2033&lt;=24.9, "Normal Weight", B2033&lt;=29.9, "Overweight", TRUE, "Obesity")</f>
        <v>Overweight</v>
      </c>
      <c r="J2033" t="str" cm="1">
        <f t="array" ref="J2033">_xlfn.IFS(C2033&lt;5.7, "Normal", C2033&lt;=6.4, "Prediabetes", TRUE, "Diabetes")</f>
        <v>Normal</v>
      </c>
    </row>
    <row r="2034" spans="1:10">
      <c r="A2034" t="s">
        <v>4066</v>
      </c>
      <c r="B2034">
        <v>27.94</v>
      </c>
      <c r="C2034">
        <v>6.08</v>
      </c>
      <c r="D2034" t="s">
        <v>4682</v>
      </c>
      <c r="E2034" t="s">
        <v>4682</v>
      </c>
      <c r="F2034" t="s">
        <v>4684</v>
      </c>
      <c r="G2034">
        <v>1</v>
      </c>
      <c r="H2034" t="s">
        <v>4682</v>
      </c>
      <c r="I2034" t="str" cm="1">
        <f t="array" ref="I2034">_xlfn.IFS(B2034&lt;18.5, "Underweight", B2034&lt;=24.9, "Normal Weight", B2034&lt;=29.9, "Overweight", TRUE, "Obesity")</f>
        <v>Overweight</v>
      </c>
      <c r="J2034" t="str" cm="1">
        <f t="array" ref="J2034">_xlfn.IFS(C2034&lt;5.7, "Normal", C2034&lt;=6.4, "Prediabetes", TRUE, "Diabetes")</f>
        <v>Prediabetes</v>
      </c>
    </row>
    <row r="2035" spans="1:10">
      <c r="A2035" t="s">
        <v>4068</v>
      </c>
      <c r="B2035">
        <v>27.2</v>
      </c>
      <c r="C2035">
        <v>5.83</v>
      </c>
      <c r="D2035" t="s">
        <v>4682</v>
      </c>
      <c r="E2035" t="s">
        <v>4682</v>
      </c>
      <c r="F2035" t="s">
        <v>4684</v>
      </c>
      <c r="G2035">
        <v>1</v>
      </c>
      <c r="H2035" t="s">
        <v>4682</v>
      </c>
      <c r="I2035" t="str" cm="1">
        <f t="array" ref="I2035">_xlfn.IFS(B2035&lt;18.5, "Underweight", B2035&lt;=24.9, "Normal Weight", B2035&lt;=29.9, "Overweight", TRUE, "Obesity")</f>
        <v>Overweight</v>
      </c>
      <c r="J2035" t="str" cm="1">
        <f t="array" ref="J2035">_xlfn.IFS(C2035&lt;5.7, "Normal", C2035&lt;=6.4, "Prediabetes", TRUE, "Diabetes")</f>
        <v>Prediabetes</v>
      </c>
    </row>
    <row r="2036" spans="1:10">
      <c r="A2036" t="s">
        <v>4070</v>
      </c>
      <c r="B2036">
        <v>33.344999999999999</v>
      </c>
      <c r="C2036">
        <v>4.29</v>
      </c>
      <c r="D2036" t="s">
        <v>4682</v>
      </c>
      <c r="E2036" t="s">
        <v>4682</v>
      </c>
      <c r="F2036" t="s">
        <v>4682</v>
      </c>
      <c r="G2036">
        <v>1</v>
      </c>
      <c r="H2036" t="s">
        <v>4682</v>
      </c>
      <c r="I2036" t="str" cm="1">
        <f t="array" ref="I2036">_xlfn.IFS(B2036&lt;18.5, "Underweight", B2036&lt;=24.9, "Normal Weight", B2036&lt;=29.9, "Overweight", TRUE, "Obesity")</f>
        <v>Obesity</v>
      </c>
      <c r="J2036" t="str" cm="1">
        <f t="array" ref="J2036">_xlfn.IFS(C2036&lt;5.7, "Normal", C2036&lt;=6.4, "Prediabetes", TRUE, "Diabetes")</f>
        <v>Normal</v>
      </c>
    </row>
    <row r="2037" spans="1:10">
      <c r="A2037" t="s">
        <v>4072</v>
      </c>
      <c r="B2037">
        <v>29.925000000000001</v>
      </c>
      <c r="C2037">
        <v>5.3</v>
      </c>
      <c r="D2037" t="s">
        <v>4682</v>
      </c>
      <c r="E2037" t="s">
        <v>4682</v>
      </c>
      <c r="F2037" t="s">
        <v>4682</v>
      </c>
      <c r="G2037">
        <v>1</v>
      </c>
      <c r="H2037" t="s">
        <v>4682</v>
      </c>
      <c r="I2037" t="str" cm="1">
        <f t="array" ref="I2037">_xlfn.IFS(B2037&lt;18.5, "Underweight", B2037&lt;=24.9, "Normal Weight", B2037&lt;=29.9, "Overweight", TRUE, "Obesity")</f>
        <v>Obesity</v>
      </c>
      <c r="J2037" t="str" cm="1">
        <f t="array" ref="J2037">_xlfn.IFS(C2037&lt;5.7, "Normal", C2037&lt;=6.4, "Prediabetes", TRUE, "Diabetes")</f>
        <v>Normal</v>
      </c>
    </row>
    <row r="2038" spans="1:10">
      <c r="A2038" t="s">
        <v>4074</v>
      </c>
      <c r="B2038">
        <v>24.225000000000001</v>
      </c>
      <c r="C2038">
        <v>4.42</v>
      </c>
      <c r="D2038" t="s">
        <v>4682</v>
      </c>
      <c r="E2038" t="s">
        <v>4682</v>
      </c>
      <c r="F2038" t="s">
        <v>4682</v>
      </c>
      <c r="G2038">
        <v>1</v>
      </c>
      <c r="H2038" t="s">
        <v>4682</v>
      </c>
      <c r="I2038" t="str" cm="1">
        <f t="array" ref="I2038">_xlfn.IFS(B2038&lt;18.5, "Underweight", B2038&lt;=24.9, "Normal Weight", B2038&lt;=29.9, "Overweight", TRUE, "Obesity")</f>
        <v>Normal Weight</v>
      </c>
      <c r="J2038" t="str" cm="1">
        <f t="array" ref="J2038">_xlfn.IFS(C2038&lt;5.7, "Normal", C2038&lt;=6.4, "Prediabetes", TRUE, "Diabetes")</f>
        <v>Normal</v>
      </c>
    </row>
    <row r="2039" spans="1:10">
      <c r="A2039" t="s">
        <v>4076</v>
      </c>
      <c r="B2039">
        <v>29.68</v>
      </c>
      <c r="C2039">
        <v>5.68</v>
      </c>
      <c r="D2039" t="s">
        <v>4682</v>
      </c>
      <c r="E2039" t="s">
        <v>4683</v>
      </c>
      <c r="F2039" t="s">
        <v>4682</v>
      </c>
      <c r="G2039">
        <v>1</v>
      </c>
      <c r="H2039" t="s">
        <v>4682</v>
      </c>
      <c r="I2039" t="str" cm="1">
        <f t="array" ref="I2039">_xlfn.IFS(B2039&lt;18.5, "Underweight", B2039&lt;=24.9, "Normal Weight", B2039&lt;=29.9, "Overweight", TRUE, "Obesity")</f>
        <v>Overweight</v>
      </c>
      <c r="J2039" t="str" cm="1">
        <f t="array" ref="J2039">_xlfn.IFS(C2039&lt;5.7, "Normal", C2039&lt;=6.4, "Prediabetes", TRUE, "Diabetes")</f>
        <v>Normal</v>
      </c>
    </row>
    <row r="2040" spans="1:10">
      <c r="A2040" t="s">
        <v>4078</v>
      </c>
      <c r="B2040">
        <v>20.614999999999998</v>
      </c>
      <c r="C2040">
        <v>6.05</v>
      </c>
      <c r="D2040" t="s">
        <v>4682</v>
      </c>
      <c r="E2040" t="s">
        <v>4682</v>
      </c>
      <c r="F2040" t="s">
        <v>4684</v>
      </c>
      <c r="G2040">
        <v>1</v>
      </c>
      <c r="H2040" t="s">
        <v>4682</v>
      </c>
      <c r="I2040" t="str" cm="1">
        <f t="array" ref="I2040">_xlfn.IFS(B2040&lt;18.5, "Underweight", B2040&lt;=24.9, "Normal Weight", B2040&lt;=29.9, "Overweight", TRUE, "Obesity")</f>
        <v>Normal Weight</v>
      </c>
      <c r="J2040" t="str" cm="1">
        <f t="array" ref="J2040">_xlfn.IFS(C2040&lt;5.7, "Normal", C2040&lt;=6.4, "Prediabetes", TRUE, "Diabetes")</f>
        <v>Prediabetes</v>
      </c>
    </row>
    <row r="2041" spans="1:10">
      <c r="A2041" t="s">
        <v>4080</v>
      </c>
      <c r="B2041">
        <v>32.119999999999997</v>
      </c>
      <c r="C2041">
        <v>5.33</v>
      </c>
      <c r="D2041" t="s">
        <v>4682</v>
      </c>
      <c r="E2041" t="s">
        <v>4683</v>
      </c>
      <c r="F2041" t="s">
        <v>4682</v>
      </c>
      <c r="G2041">
        <v>1</v>
      </c>
      <c r="H2041" t="s">
        <v>4682</v>
      </c>
      <c r="I2041" t="str" cm="1">
        <f t="array" ref="I2041">_xlfn.IFS(B2041&lt;18.5, "Underweight", B2041&lt;=24.9, "Normal Weight", B2041&lt;=29.9, "Overweight", TRUE, "Obesity")</f>
        <v>Obesity</v>
      </c>
      <c r="J2041" t="str" cm="1">
        <f t="array" ref="J2041">_xlfn.IFS(C2041&lt;5.7, "Normal", C2041&lt;=6.4, "Prediabetes", TRUE, "Diabetes")</f>
        <v>Normal</v>
      </c>
    </row>
    <row r="2042" spans="1:10">
      <c r="A2042" t="s">
        <v>4082</v>
      </c>
      <c r="B2042">
        <v>27.36</v>
      </c>
      <c r="C2042">
        <v>6.22</v>
      </c>
      <c r="D2042" t="s">
        <v>4682</v>
      </c>
      <c r="E2042" t="s">
        <v>4682</v>
      </c>
      <c r="F2042" t="s">
        <v>4682</v>
      </c>
      <c r="G2042">
        <v>0</v>
      </c>
      <c r="H2042" t="s">
        <v>4682</v>
      </c>
      <c r="I2042" t="str" cm="1">
        <f t="array" ref="I2042">_xlfn.IFS(B2042&lt;18.5, "Underweight", B2042&lt;=24.9, "Normal Weight", B2042&lt;=29.9, "Overweight", TRUE, "Obesity")</f>
        <v>Overweight</v>
      </c>
      <c r="J2042" t="str" cm="1">
        <f t="array" ref="J2042">_xlfn.IFS(C2042&lt;5.7, "Normal", C2042&lt;=6.4, "Prediabetes", TRUE, "Diabetes")</f>
        <v>Prediabetes</v>
      </c>
    </row>
    <row r="2043" spans="1:10">
      <c r="A2043" t="s">
        <v>4084</v>
      </c>
      <c r="B2043">
        <v>17.385000000000002</v>
      </c>
      <c r="C2043">
        <v>5.84</v>
      </c>
      <c r="D2043" t="s">
        <v>4682</v>
      </c>
      <c r="E2043" t="s">
        <v>4682</v>
      </c>
      <c r="F2043" t="s">
        <v>4682</v>
      </c>
      <c r="G2043">
        <v>0</v>
      </c>
      <c r="H2043" t="s">
        <v>4682</v>
      </c>
      <c r="I2043" t="str" cm="1">
        <f t="array" ref="I2043">_xlfn.IFS(B2043&lt;18.5, "Underweight", B2043&lt;=24.9, "Normal Weight", B2043&lt;=29.9, "Overweight", TRUE, "Obesity")</f>
        <v>Underweight</v>
      </c>
      <c r="J2043" t="str" cm="1">
        <f t="array" ref="J2043">_xlfn.IFS(C2043&lt;5.7, "Normal", C2043&lt;=6.4, "Prediabetes", TRUE, "Diabetes")</f>
        <v>Prediabetes</v>
      </c>
    </row>
    <row r="2044" spans="1:10">
      <c r="A2044" t="s">
        <v>4086</v>
      </c>
      <c r="B2044">
        <v>30.13</v>
      </c>
      <c r="C2044">
        <v>5.71</v>
      </c>
      <c r="D2044" t="s">
        <v>4682</v>
      </c>
      <c r="E2044" t="s">
        <v>4683</v>
      </c>
      <c r="F2044" t="s">
        <v>4682</v>
      </c>
      <c r="G2044">
        <v>1</v>
      </c>
      <c r="H2044" t="s">
        <v>4682</v>
      </c>
      <c r="I2044" t="str" cm="1">
        <f t="array" ref="I2044">_xlfn.IFS(B2044&lt;18.5, "Underweight", B2044&lt;=24.9, "Normal Weight", B2044&lt;=29.9, "Overweight", TRUE, "Obesity")</f>
        <v>Obesity</v>
      </c>
      <c r="J2044" t="str" cm="1">
        <f t="array" ref="J2044">_xlfn.IFS(C2044&lt;5.7, "Normal", C2044&lt;=6.4, "Prediabetes", TRUE, "Diabetes")</f>
        <v>Prediabetes</v>
      </c>
    </row>
    <row r="2045" spans="1:10">
      <c r="A2045" t="s">
        <v>4088</v>
      </c>
      <c r="B2045">
        <v>25.44</v>
      </c>
      <c r="C2045">
        <v>6.04</v>
      </c>
      <c r="D2045" t="s">
        <v>4683</v>
      </c>
      <c r="E2045" t="s">
        <v>4682</v>
      </c>
      <c r="F2045" t="s">
        <v>4684</v>
      </c>
      <c r="G2045">
        <v>1</v>
      </c>
      <c r="H2045" t="s">
        <v>4682</v>
      </c>
      <c r="I2045" t="str" cm="1">
        <f t="array" ref="I2045">_xlfn.IFS(B2045&lt;18.5, "Underweight", B2045&lt;=24.9, "Normal Weight", B2045&lt;=29.9, "Overweight", TRUE, "Obesity")</f>
        <v>Overweight</v>
      </c>
      <c r="J2045" t="str" cm="1">
        <f t="array" ref="J2045">_xlfn.IFS(C2045&lt;5.7, "Normal", C2045&lt;=6.4, "Prediabetes", TRUE, "Diabetes")</f>
        <v>Prediabetes</v>
      </c>
    </row>
    <row r="2046" spans="1:10">
      <c r="A2046" t="s">
        <v>4090</v>
      </c>
      <c r="B2046">
        <v>39.805</v>
      </c>
      <c r="C2046">
        <v>4.38</v>
      </c>
      <c r="D2046" t="s">
        <v>4682</v>
      </c>
      <c r="E2046" t="s">
        <v>4683</v>
      </c>
      <c r="F2046" t="s">
        <v>4682</v>
      </c>
      <c r="G2046">
        <v>1</v>
      </c>
      <c r="H2046" t="s">
        <v>4682</v>
      </c>
      <c r="I2046" t="str" cm="1">
        <f t="array" ref="I2046">_xlfn.IFS(B2046&lt;18.5, "Underweight", B2046&lt;=24.9, "Normal Weight", B2046&lt;=29.9, "Overweight", TRUE, "Obesity")</f>
        <v>Obesity</v>
      </c>
      <c r="J2046" t="str" cm="1">
        <f t="array" ref="J2046">_xlfn.IFS(C2046&lt;5.7, "Normal", C2046&lt;=6.4, "Prediabetes", TRUE, "Diabetes")</f>
        <v>Normal</v>
      </c>
    </row>
    <row r="2047" spans="1:10">
      <c r="A2047" t="s">
        <v>4092</v>
      </c>
      <c r="B2047">
        <v>30.4</v>
      </c>
      <c r="C2047">
        <v>5.56</v>
      </c>
      <c r="D2047" t="s">
        <v>4683</v>
      </c>
      <c r="E2047" t="s">
        <v>4683</v>
      </c>
      <c r="F2047" t="s">
        <v>4682</v>
      </c>
      <c r="G2047">
        <v>1</v>
      </c>
      <c r="H2047" t="s">
        <v>4682</v>
      </c>
      <c r="I2047" t="str" cm="1">
        <f t="array" ref="I2047">_xlfn.IFS(B2047&lt;18.5, "Underweight", B2047&lt;=24.9, "Normal Weight", B2047&lt;=29.9, "Overweight", TRUE, "Obesity")</f>
        <v>Obesity</v>
      </c>
      <c r="J2047" t="str" cm="1">
        <f t="array" ref="J2047">_xlfn.IFS(C2047&lt;5.7, "Normal", C2047&lt;=6.4, "Prediabetes", TRUE, "Diabetes")</f>
        <v>Normal</v>
      </c>
    </row>
    <row r="2048" spans="1:10">
      <c r="A2048" t="s">
        <v>4094</v>
      </c>
      <c r="B2048">
        <v>23.18</v>
      </c>
      <c r="C2048">
        <v>4.24</v>
      </c>
      <c r="D2048" t="s">
        <v>4682</v>
      </c>
      <c r="E2048" t="s">
        <v>4683</v>
      </c>
      <c r="F2048" t="s">
        <v>4682</v>
      </c>
      <c r="G2048">
        <v>1</v>
      </c>
      <c r="H2048" t="s">
        <v>4682</v>
      </c>
      <c r="I2048" t="str" cm="1">
        <f t="array" ref="I2048">_xlfn.IFS(B2048&lt;18.5, "Underweight", B2048&lt;=24.9, "Normal Weight", B2048&lt;=29.9, "Overweight", TRUE, "Obesity")</f>
        <v>Normal Weight</v>
      </c>
      <c r="J2048" t="str" cm="1">
        <f t="array" ref="J2048">_xlfn.IFS(C2048&lt;5.7, "Normal", C2048&lt;=6.4, "Prediabetes", TRUE, "Diabetes")</f>
        <v>Normal</v>
      </c>
    </row>
    <row r="2049" spans="1:10">
      <c r="A2049" t="s">
        <v>4096</v>
      </c>
      <c r="B2049">
        <v>39.615000000000002</v>
      </c>
      <c r="C2049">
        <v>6.32</v>
      </c>
      <c r="D2049" t="s">
        <v>4682</v>
      </c>
      <c r="E2049" t="s">
        <v>4682</v>
      </c>
      <c r="F2049" t="s">
        <v>4684</v>
      </c>
      <c r="G2049">
        <v>1</v>
      </c>
      <c r="H2049" t="s">
        <v>4682</v>
      </c>
      <c r="I2049" t="str" cm="1">
        <f t="array" ref="I2049">_xlfn.IFS(B2049&lt;18.5, "Underweight", B2049&lt;=24.9, "Normal Weight", B2049&lt;=29.9, "Overweight", TRUE, "Obesity")</f>
        <v>Obesity</v>
      </c>
      <c r="J2049" t="str" cm="1">
        <f t="array" ref="J2049">_xlfn.IFS(C2049&lt;5.7, "Normal", C2049&lt;=6.4, "Prediabetes", TRUE, "Diabetes")</f>
        <v>Prediabetes</v>
      </c>
    </row>
    <row r="2050" spans="1:10">
      <c r="A2050" t="s">
        <v>4098</v>
      </c>
      <c r="B2050">
        <v>30.59</v>
      </c>
      <c r="C2050">
        <v>6.3</v>
      </c>
      <c r="D2050" t="s">
        <v>4683</v>
      </c>
      <c r="E2050" t="s">
        <v>4682</v>
      </c>
      <c r="F2050" t="s">
        <v>4684</v>
      </c>
      <c r="G2050">
        <v>1</v>
      </c>
      <c r="H2050" t="s">
        <v>4682</v>
      </c>
      <c r="I2050" t="str" cm="1">
        <f t="array" ref="I2050">_xlfn.IFS(B2050&lt;18.5, "Underweight", B2050&lt;=24.9, "Normal Weight", B2050&lt;=29.9, "Overweight", TRUE, "Obesity")</f>
        <v>Obesity</v>
      </c>
      <c r="J2050" t="str" cm="1">
        <f t="array" ref="J2050">_xlfn.IFS(C2050&lt;5.7, "Normal", C2050&lt;=6.4, "Prediabetes", TRUE, "Diabetes")</f>
        <v>Prediabetes</v>
      </c>
    </row>
    <row r="2051" spans="1:10">
      <c r="A2051" t="s">
        <v>4100</v>
      </c>
      <c r="B2051">
        <v>16.72</v>
      </c>
      <c r="C2051">
        <v>4.38</v>
      </c>
      <c r="D2051" t="s">
        <v>4683</v>
      </c>
      <c r="E2051" t="s">
        <v>4682</v>
      </c>
      <c r="F2051" t="s">
        <v>4682</v>
      </c>
      <c r="G2051">
        <v>1</v>
      </c>
      <c r="H2051" t="s">
        <v>4682</v>
      </c>
      <c r="I2051" t="str" cm="1">
        <f t="array" ref="I2051">_xlfn.IFS(B2051&lt;18.5, "Underweight", B2051&lt;=24.9, "Normal Weight", B2051&lt;=29.9, "Overweight", TRUE, "Obesity")</f>
        <v>Underweight</v>
      </c>
      <c r="J2051" t="str" cm="1">
        <f t="array" ref="J2051">_xlfn.IFS(C2051&lt;5.7, "Normal", C2051&lt;=6.4, "Prediabetes", TRUE, "Diabetes")</f>
        <v>Normal</v>
      </c>
    </row>
    <row r="2052" spans="1:10">
      <c r="A2052" t="s">
        <v>4102</v>
      </c>
      <c r="B2052">
        <v>26.22</v>
      </c>
      <c r="C2052">
        <v>4.6500000000000004</v>
      </c>
      <c r="D2052" t="s">
        <v>4683</v>
      </c>
      <c r="E2052" t="s">
        <v>4682</v>
      </c>
      <c r="F2052" t="s">
        <v>4684</v>
      </c>
      <c r="G2052">
        <v>1</v>
      </c>
      <c r="H2052" t="s">
        <v>4682</v>
      </c>
      <c r="I2052" t="str" cm="1">
        <f t="array" ref="I2052">_xlfn.IFS(B2052&lt;18.5, "Underweight", B2052&lt;=24.9, "Normal Weight", B2052&lt;=29.9, "Overweight", TRUE, "Obesity")</f>
        <v>Overweight</v>
      </c>
      <c r="J2052" t="str" cm="1">
        <f t="array" ref="J2052">_xlfn.IFS(C2052&lt;5.7, "Normal", C2052&lt;=6.4, "Prediabetes", TRUE, "Diabetes")</f>
        <v>Normal</v>
      </c>
    </row>
    <row r="2053" spans="1:10">
      <c r="A2053" t="s">
        <v>4104</v>
      </c>
      <c r="B2053">
        <v>31.824999999999999</v>
      </c>
      <c r="C2053">
        <v>4.7</v>
      </c>
      <c r="D2053" t="s">
        <v>4682</v>
      </c>
      <c r="E2053" t="s">
        <v>4682</v>
      </c>
      <c r="F2053" t="s">
        <v>4684</v>
      </c>
      <c r="G2053">
        <v>1</v>
      </c>
      <c r="H2053" t="s">
        <v>4682</v>
      </c>
      <c r="I2053" t="str" cm="1">
        <f t="array" ref="I2053">_xlfn.IFS(B2053&lt;18.5, "Underweight", B2053&lt;=24.9, "Normal Weight", B2053&lt;=29.9, "Overweight", TRUE, "Obesity")</f>
        <v>Obesity</v>
      </c>
      <c r="J2053" t="str" cm="1">
        <f t="array" ref="J2053">_xlfn.IFS(C2053&lt;5.7, "Normal", C2053&lt;=6.4, "Prediabetes", TRUE, "Diabetes")</f>
        <v>Normal</v>
      </c>
    </row>
    <row r="2054" spans="1:10">
      <c r="A2054" t="s">
        <v>4106</v>
      </c>
      <c r="B2054">
        <v>25.745000000000001</v>
      </c>
      <c r="C2054">
        <v>4.34</v>
      </c>
      <c r="D2054" t="s">
        <v>4682</v>
      </c>
      <c r="E2054" t="s">
        <v>4682</v>
      </c>
      <c r="F2054" t="s">
        <v>4684</v>
      </c>
      <c r="G2054">
        <v>1</v>
      </c>
      <c r="H2054" t="s">
        <v>4682</v>
      </c>
      <c r="I2054" t="str" cm="1">
        <f t="array" ref="I2054">_xlfn.IFS(B2054&lt;18.5, "Underweight", B2054&lt;=24.9, "Normal Weight", B2054&lt;=29.9, "Overweight", TRUE, "Obesity")</f>
        <v>Overweight</v>
      </c>
      <c r="J2054" t="str" cm="1">
        <f t="array" ref="J2054">_xlfn.IFS(C2054&lt;5.7, "Normal", C2054&lt;=6.4, "Prediabetes", TRUE, "Diabetes")</f>
        <v>Normal</v>
      </c>
    </row>
    <row r="2055" spans="1:10">
      <c r="A2055" t="s">
        <v>4108</v>
      </c>
      <c r="B2055">
        <v>24.605</v>
      </c>
      <c r="C2055">
        <v>5.62</v>
      </c>
      <c r="D2055" t="s">
        <v>4682</v>
      </c>
      <c r="E2055" t="s">
        <v>4682</v>
      </c>
      <c r="F2055" t="s">
        <v>4684</v>
      </c>
      <c r="G2055">
        <v>1</v>
      </c>
      <c r="H2055" t="s">
        <v>4682</v>
      </c>
      <c r="I2055" t="str" cm="1">
        <f t="array" ref="I2055">_xlfn.IFS(B2055&lt;18.5, "Underweight", B2055&lt;=24.9, "Normal Weight", B2055&lt;=29.9, "Overweight", TRUE, "Obesity")</f>
        <v>Normal Weight</v>
      </c>
      <c r="J2055" t="str" cm="1">
        <f t="array" ref="J2055">_xlfn.IFS(C2055&lt;5.7, "Normal", C2055&lt;=6.4, "Prediabetes", TRUE, "Diabetes")</f>
        <v>Normal</v>
      </c>
    </row>
    <row r="2056" spans="1:10">
      <c r="A2056" t="s">
        <v>4110</v>
      </c>
      <c r="B2056">
        <v>24.51</v>
      </c>
      <c r="C2056">
        <v>4.24</v>
      </c>
      <c r="D2056" t="s">
        <v>4682</v>
      </c>
      <c r="E2056" t="s">
        <v>4682</v>
      </c>
      <c r="F2056" t="s">
        <v>4684</v>
      </c>
      <c r="G2056">
        <v>1</v>
      </c>
      <c r="H2056" t="s">
        <v>4682</v>
      </c>
      <c r="I2056" t="str" cm="1">
        <f t="array" ref="I2056">_xlfn.IFS(B2056&lt;18.5, "Underweight", B2056&lt;=24.9, "Normal Weight", B2056&lt;=29.9, "Overweight", TRUE, "Obesity")</f>
        <v>Normal Weight</v>
      </c>
      <c r="J2056" t="str" cm="1">
        <f t="array" ref="J2056">_xlfn.IFS(C2056&lt;5.7, "Normal", C2056&lt;=6.4, "Prediabetes", TRUE, "Diabetes")</f>
        <v>Normal</v>
      </c>
    </row>
    <row r="2057" spans="1:10">
      <c r="A2057" t="s">
        <v>4112</v>
      </c>
      <c r="B2057">
        <v>31.065000000000001</v>
      </c>
      <c r="C2057">
        <v>4.57</v>
      </c>
      <c r="D2057" t="s">
        <v>4683</v>
      </c>
      <c r="E2057" t="s">
        <v>4682</v>
      </c>
      <c r="F2057" t="s">
        <v>4682</v>
      </c>
      <c r="G2057">
        <v>0</v>
      </c>
      <c r="H2057" t="s">
        <v>4682</v>
      </c>
      <c r="I2057" t="str" cm="1">
        <f t="array" ref="I2057">_xlfn.IFS(B2057&lt;18.5, "Underweight", B2057&lt;=24.9, "Normal Weight", B2057&lt;=29.9, "Overweight", TRUE, "Obesity")</f>
        <v>Obesity</v>
      </c>
      <c r="J2057" t="str" cm="1">
        <f t="array" ref="J2057">_xlfn.IFS(C2057&lt;5.7, "Normal", C2057&lt;=6.4, "Prediabetes", TRUE, "Diabetes")</f>
        <v>Normal</v>
      </c>
    </row>
    <row r="2058" spans="1:10">
      <c r="A2058" t="s">
        <v>4114</v>
      </c>
      <c r="B2058">
        <v>28.12</v>
      </c>
      <c r="C2058">
        <v>5.05</v>
      </c>
      <c r="D2058" t="s">
        <v>4682</v>
      </c>
      <c r="E2058" t="s">
        <v>4682</v>
      </c>
      <c r="F2058" t="s">
        <v>4682</v>
      </c>
      <c r="G2058">
        <v>0</v>
      </c>
      <c r="H2058" t="s">
        <v>4682</v>
      </c>
      <c r="I2058" t="str" cm="1">
        <f t="array" ref="I2058">_xlfn.IFS(B2058&lt;18.5, "Underweight", B2058&lt;=24.9, "Normal Weight", B2058&lt;=29.9, "Overweight", TRUE, "Obesity")</f>
        <v>Overweight</v>
      </c>
      <c r="J2058" t="str" cm="1">
        <f t="array" ref="J2058">_xlfn.IFS(C2058&lt;5.7, "Normal", C2058&lt;=6.4, "Prediabetes", TRUE, "Diabetes")</f>
        <v>Normal</v>
      </c>
    </row>
    <row r="2059" spans="1:10">
      <c r="A2059" t="s">
        <v>4116</v>
      </c>
      <c r="B2059">
        <v>38.06</v>
      </c>
      <c r="C2059">
        <v>6.16</v>
      </c>
      <c r="D2059" t="s">
        <v>4682</v>
      </c>
      <c r="E2059" t="s">
        <v>4682</v>
      </c>
      <c r="F2059" t="s">
        <v>4682</v>
      </c>
      <c r="G2059">
        <v>0</v>
      </c>
      <c r="H2059" t="s">
        <v>4682</v>
      </c>
      <c r="I2059" t="str" cm="1">
        <f t="array" ref="I2059">_xlfn.IFS(B2059&lt;18.5, "Underweight", B2059&lt;=24.9, "Normal Weight", B2059&lt;=29.9, "Overweight", TRUE, "Obesity")</f>
        <v>Obesity</v>
      </c>
      <c r="J2059" t="str" cm="1">
        <f t="array" ref="J2059">_xlfn.IFS(C2059&lt;5.7, "Normal", C2059&lt;=6.4, "Prediabetes", TRUE, "Diabetes")</f>
        <v>Prediabetes</v>
      </c>
    </row>
    <row r="2060" spans="1:10">
      <c r="A2060" t="s">
        <v>4118</v>
      </c>
      <c r="B2060">
        <v>24.96</v>
      </c>
      <c r="C2060">
        <v>4.57</v>
      </c>
      <c r="D2060" t="s">
        <v>4682</v>
      </c>
      <c r="E2060" t="s">
        <v>4682</v>
      </c>
      <c r="F2060" t="s">
        <v>4682</v>
      </c>
      <c r="G2060">
        <v>0</v>
      </c>
      <c r="H2060" t="s">
        <v>4682</v>
      </c>
      <c r="I2060" t="str" cm="1">
        <f t="array" ref="I2060">_xlfn.IFS(B2060&lt;18.5, "Underweight", B2060&lt;=24.9, "Normal Weight", B2060&lt;=29.9, "Overweight", TRUE, "Obesity")</f>
        <v>Overweight</v>
      </c>
      <c r="J2060" t="str" cm="1">
        <f t="array" ref="J2060">_xlfn.IFS(C2060&lt;5.7, "Normal", C2060&lt;=6.4, "Prediabetes", TRUE, "Diabetes")</f>
        <v>Normal</v>
      </c>
    </row>
    <row r="2061" spans="1:10">
      <c r="A2061" t="s">
        <v>4120</v>
      </c>
      <c r="B2061">
        <v>17.670000000000002</v>
      </c>
      <c r="C2061">
        <v>5.53</v>
      </c>
      <c r="D2061" t="s">
        <v>4683</v>
      </c>
      <c r="E2061" t="s">
        <v>4682</v>
      </c>
      <c r="F2061" t="s">
        <v>4682</v>
      </c>
      <c r="G2061">
        <v>0</v>
      </c>
      <c r="H2061" t="s">
        <v>4682</v>
      </c>
      <c r="I2061" t="str" cm="1">
        <f t="array" ref="I2061">_xlfn.IFS(B2061&lt;18.5, "Underweight", B2061&lt;=24.9, "Normal Weight", B2061&lt;=29.9, "Overweight", TRUE, "Obesity")</f>
        <v>Underweight</v>
      </c>
      <c r="J2061" t="str" cm="1">
        <f t="array" ref="J2061">_xlfn.IFS(C2061&lt;5.7, "Normal", C2061&lt;=6.4, "Prediabetes", TRUE, "Diabetes")</f>
        <v>Normal</v>
      </c>
    </row>
    <row r="2062" spans="1:10">
      <c r="A2062" t="s">
        <v>4122</v>
      </c>
      <c r="B2062">
        <v>31.35</v>
      </c>
      <c r="C2062">
        <v>5.84</v>
      </c>
      <c r="D2062" t="s">
        <v>4682</v>
      </c>
      <c r="E2062" t="s">
        <v>4683</v>
      </c>
      <c r="F2062" t="s">
        <v>4682</v>
      </c>
      <c r="G2062">
        <v>1</v>
      </c>
      <c r="H2062" t="s">
        <v>4682</v>
      </c>
      <c r="I2062" t="str" cm="1">
        <f t="array" ref="I2062">_xlfn.IFS(B2062&lt;18.5, "Underweight", B2062&lt;=24.9, "Normal Weight", B2062&lt;=29.9, "Overweight", TRUE, "Obesity")</f>
        <v>Obesity</v>
      </c>
      <c r="J2062" t="str" cm="1">
        <f t="array" ref="J2062">_xlfn.IFS(C2062&lt;5.7, "Normal", C2062&lt;=6.4, "Prediabetes", TRUE, "Diabetes")</f>
        <v>Prediabetes</v>
      </c>
    </row>
    <row r="2063" spans="1:10">
      <c r="A2063" t="s">
        <v>4124</v>
      </c>
      <c r="B2063">
        <v>28.31</v>
      </c>
      <c r="C2063">
        <v>6.41</v>
      </c>
      <c r="D2063" t="s">
        <v>4682</v>
      </c>
      <c r="E2063" t="s">
        <v>4683</v>
      </c>
      <c r="F2063" t="s">
        <v>4682</v>
      </c>
      <c r="G2063">
        <v>1</v>
      </c>
      <c r="H2063" t="s">
        <v>4682</v>
      </c>
      <c r="I2063" t="str" cm="1">
        <f t="array" ref="I2063">_xlfn.IFS(B2063&lt;18.5, "Underweight", B2063&lt;=24.9, "Normal Weight", B2063&lt;=29.9, "Overweight", TRUE, "Obesity")</f>
        <v>Overweight</v>
      </c>
      <c r="J2063" t="str" cm="1">
        <f t="array" ref="J2063">_xlfn.IFS(C2063&lt;5.7, "Normal", C2063&lt;=6.4, "Prediabetes", TRUE, "Diabetes")</f>
        <v>Diabetes</v>
      </c>
    </row>
    <row r="2064" spans="1:10">
      <c r="A2064" t="s">
        <v>4126</v>
      </c>
      <c r="B2064">
        <v>30.3</v>
      </c>
      <c r="C2064">
        <v>4.7300000000000004</v>
      </c>
      <c r="D2064" t="s">
        <v>4683</v>
      </c>
      <c r="E2064" t="s">
        <v>4682</v>
      </c>
      <c r="F2064" t="s">
        <v>4684</v>
      </c>
      <c r="G2064">
        <v>1</v>
      </c>
      <c r="H2064" t="s">
        <v>4682</v>
      </c>
      <c r="I2064" t="str" cm="1">
        <f t="array" ref="I2064">_xlfn.IFS(B2064&lt;18.5, "Underweight", B2064&lt;=24.9, "Normal Weight", B2064&lt;=29.9, "Overweight", TRUE, "Obesity")</f>
        <v>Obesity</v>
      </c>
      <c r="J2064" t="str" cm="1">
        <f t="array" ref="J2064">_xlfn.IFS(C2064&lt;5.7, "Normal", C2064&lt;=6.4, "Prediabetes", TRUE, "Diabetes")</f>
        <v>Normal</v>
      </c>
    </row>
    <row r="2065" spans="1:10">
      <c r="A2065" t="s">
        <v>4128</v>
      </c>
      <c r="B2065">
        <v>26.4</v>
      </c>
      <c r="C2065">
        <v>6.22</v>
      </c>
      <c r="D2065" t="s">
        <v>4683</v>
      </c>
      <c r="E2065" t="s">
        <v>4682</v>
      </c>
      <c r="F2065" t="s">
        <v>4682</v>
      </c>
      <c r="G2065">
        <v>0</v>
      </c>
      <c r="H2065" t="s">
        <v>4682</v>
      </c>
      <c r="I2065" t="str" cm="1">
        <f t="array" ref="I2065">_xlfn.IFS(B2065&lt;18.5, "Underweight", B2065&lt;=24.9, "Normal Weight", B2065&lt;=29.9, "Overweight", TRUE, "Obesity")</f>
        <v>Overweight</v>
      </c>
      <c r="J2065" t="str" cm="1">
        <f t="array" ref="J2065">_xlfn.IFS(C2065&lt;5.7, "Normal", C2065&lt;=6.4, "Prediabetes", TRUE, "Diabetes")</f>
        <v>Prediabetes</v>
      </c>
    </row>
    <row r="2066" spans="1:10">
      <c r="A2066" t="s">
        <v>4130</v>
      </c>
      <c r="B2066">
        <v>22.135000000000002</v>
      </c>
      <c r="C2066">
        <v>4.46</v>
      </c>
      <c r="D2066" t="s">
        <v>4683</v>
      </c>
      <c r="E2066" t="s">
        <v>4682</v>
      </c>
      <c r="F2066" t="s">
        <v>4682</v>
      </c>
      <c r="G2066">
        <v>0</v>
      </c>
      <c r="H2066" t="s">
        <v>4682</v>
      </c>
      <c r="I2066" t="str" cm="1">
        <f t="array" ref="I2066">_xlfn.IFS(B2066&lt;18.5, "Underweight", B2066&lt;=24.9, "Normal Weight", B2066&lt;=29.9, "Overweight", TRUE, "Obesity")</f>
        <v>Normal Weight</v>
      </c>
      <c r="J2066" t="str" cm="1">
        <f t="array" ref="J2066">_xlfn.IFS(C2066&lt;5.7, "Normal", C2066&lt;=6.4, "Prediabetes", TRUE, "Diabetes")</f>
        <v>Normal</v>
      </c>
    </row>
    <row r="2067" spans="1:10">
      <c r="A2067" t="s">
        <v>4132</v>
      </c>
      <c r="B2067">
        <v>17.399999999999999</v>
      </c>
      <c r="C2067">
        <v>4.5</v>
      </c>
      <c r="D2067" t="s">
        <v>4683</v>
      </c>
      <c r="E2067" t="s">
        <v>4682</v>
      </c>
      <c r="F2067" t="s">
        <v>4682</v>
      </c>
      <c r="G2067">
        <v>0</v>
      </c>
      <c r="H2067" t="s">
        <v>4682</v>
      </c>
      <c r="I2067" t="str" cm="1">
        <f t="array" ref="I2067">_xlfn.IFS(B2067&lt;18.5, "Underweight", B2067&lt;=24.9, "Normal Weight", B2067&lt;=29.9, "Overweight", TRUE, "Obesity")</f>
        <v>Underweight</v>
      </c>
      <c r="J2067" t="str" cm="1">
        <f t="array" ref="J2067">_xlfn.IFS(C2067&lt;5.7, "Normal", C2067&lt;=6.4, "Prediabetes", TRUE, "Diabetes")</f>
        <v>Normal</v>
      </c>
    </row>
    <row r="2068" spans="1:10">
      <c r="A2068" t="s">
        <v>4134</v>
      </c>
      <c r="B2068">
        <v>28.06</v>
      </c>
      <c r="C2068">
        <v>8.93</v>
      </c>
      <c r="D2068" t="s">
        <v>4682</v>
      </c>
      <c r="E2068" t="s">
        <v>4682</v>
      </c>
      <c r="F2068" t="s">
        <v>4682</v>
      </c>
      <c r="G2068">
        <v>0</v>
      </c>
      <c r="H2068" t="s">
        <v>4682</v>
      </c>
      <c r="I2068" t="str" cm="1">
        <f t="array" ref="I2068">_xlfn.IFS(B2068&lt;18.5, "Underweight", B2068&lt;=24.9, "Normal Weight", B2068&lt;=29.9, "Overweight", TRUE, "Obesity")</f>
        <v>Overweight</v>
      </c>
      <c r="J2068" t="str" cm="1">
        <f t="array" ref="J2068">_xlfn.IFS(C2068&lt;5.7, "Normal", C2068&lt;=6.4, "Prediabetes", TRUE, "Diabetes")</f>
        <v>Diabetes</v>
      </c>
    </row>
    <row r="2069" spans="1:10">
      <c r="A2069" t="s">
        <v>4136</v>
      </c>
      <c r="B2069">
        <v>31.13</v>
      </c>
      <c r="C2069">
        <v>11.02</v>
      </c>
      <c r="D2069" t="s">
        <v>4682</v>
      </c>
      <c r="E2069" t="s">
        <v>4682</v>
      </c>
      <c r="F2069" t="s">
        <v>4682</v>
      </c>
      <c r="G2069">
        <v>0</v>
      </c>
      <c r="H2069" t="s">
        <v>4682</v>
      </c>
      <c r="I2069" t="str" cm="1">
        <f t="array" ref="I2069">_xlfn.IFS(B2069&lt;18.5, "Underweight", B2069&lt;=24.9, "Normal Weight", B2069&lt;=29.9, "Overweight", TRUE, "Obesity")</f>
        <v>Obesity</v>
      </c>
      <c r="J2069" t="str" cm="1">
        <f t="array" ref="J2069">_xlfn.IFS(C2069&lt;5.7, "Normal", C2069&lt;=6.4, "Prediabetes", TRUE, "Diabetes")</f>
        <v>Diabetes</v>
      </c>
    </row>
    <row r="2070" spans="1:10">
      <c r="A2070" t="s">
        <v>4138</v>
      </c>
      <c r="B2070">
        <v>18.46</v>
      </c>
      <c r="C2070">
        <v>5.25</v>
      </c>
      <c r="D2070" t="s">
        <v>4682</v>
      </c>
      <c r="E2070" t="s">
        <v>4682</v>
      </c>
      <c r="F2070" t="s">
        <v>4682</v>
      </c>
      <c r="G2070">
        <v>0</v>
      </c>
      <c r="H2070" t="s">
        <v>4682</v>
      </c>
      <c r="I2070" t="str" cm="1">
        <f t="array" ref="I2070">_xlfn.IFS(B2070&lt;18.5, "Underweight", B2070&lt;=24.9, "Normal Weight", B2070&lt;=29.9, "Overweight", TRUE, "Obesity")</f>
        <v>Underweight</v>
      </c>
      <c r="J2070" t="str" cm="1">
        <f t="array" ref="J2070">_xlfn.IFS(C2070&lt;5.7, "Normal", C2070&lt;=6.4, "Prediabetes", TRUE, "Diabetes")</f>
        <v>Normal</v>
      </c>
    </row>
    <row r="2071" spans="1:10">
      <c r="A2071" t="s">
        <v>4140</v>
      </c>
      <c r="B2071">
        <v>17.3</v>
      </c>
      <c r="C2071">
        <v>4.75</v>
      </c>
      <c r="D2071" t="s">
        <v>4682</v>
      </c>
      <c r="E2071" t="s">
        <v>4682</v>
      </c>
      <c r="F2071" t="s">
        <v>4682</v>
      </c>
      <c r="G2071">
        <v>0</v>
      </c>
      <c r="H2071" t="s">
        <v>4682</v>
      </c>
      <c r="I2071" t="str" cm="1">
        <f t="array" ref="I2071">_xlfn.IFS(B2071&lt;18.5, "Underweight", B2071&lt;=24.9, "Normal Weight", B2071&lt;=29.9, "Overweight", TRUE, "Obesity")</f>
        <v>Underweight</v>
      </c>
      <c r="J2071" t="str" cm="1">
        <f t="array" ref="J2071">_xlfn.IFS(C2071&lt;5.7, "Normal", C2071&lt;=6.4, "Prediabetes", TRUE, "Diabetes")</f>
        <v>Normal</v>
      </c>
    </row>
    <row r="2072" spans="1:10">
      <c r="A2072" t="s">
        <v>4142</v>
      </c>
      <c r="B2072">
        <v>35.625</v>
      </c>
      <c r="C2072">
        <v>4.68</v>
      </c>
      <c r="D2072" t="s">
        <v>4683</v>
      </c>
      <c r="E2072" t="s">
        <v>4682</v>
      </c>
      <c r="F2072" t="s">
        <v>4684</v>
      </c>
      <c r="G2072">
        <v>1</v>
      </c>
      <c r="H2072" t="s">
        <v>4682</v>
      </c>
      <c r="I2072" t="str" cm="1">
        <f t="array" ref="I2072">_xlfn.IFS(B2072&lt;18.5, "Underweight", B2072&lt;=24.9, "Normal Weight", B2072&lt;=29.9, "Overweight", TRUE, "Obesity")</f>
        <v>Obesity</v>
      </c>
      <c r="J2072" t="str" cm="1">
        <f t="array" ref="J2072">_xlfn.IFS(C2072&lt;5.7, "Normal", C2072&lt;=6.4, "Prediabetes", TRUE, "Diabetes")</f>
        <v>Normal</v>
      </c>
    </row>
    <row r="2073" spans="1:10">
      <c r="A2073" t="s">
        <v>4144</v>
      </c>
      <c r="B2073">
        <v>20.234999999999999</v>
      </c>
      <c r="C2073">
        <v>6.17</v>
      </c>
      <c r="D2073" t="s">
        <v>4683</v>
      </c>
      <c r="E2073" t="s">
        <v>4683</v>
      </c>
      <c r="F2073" t="s">
        <v>4682</v>
      </c>
      <c r="G2073">
        <v>2</v>
      </c>
      <c r="H2073" t="s">
        <v>4682</v>
      </c>
      <c r="I2073" t="str" cm="1">
        <f t="array" ref="I2073">_xlfn.IFS(B2073&lt;18.5, "Underweight", B2073&lt;=24.9, "Normal Weight", B2073&lt;=29.9, "Overweight", TRUE, "Obesity")</f>
        <v>Normal Weight</v>
      </c>
      <c r="J2073" t="str" cm="1">
        <f t="array" ref="J2073">_xlfn.IFS(C2073&lt;5.7, "Normal", C2073&lt;=6.4, "Prediabetes", TRUE, "Diabetes")</f>
        <v>Prediabetes</v>
      </c>
    </row>
    <row r="2074" spans="1:10">
      <c r="A2074" t="s">
        <v>4146</v>
      </c>
      <c r="B2074">
        <v>27.55</v>
      </c>
      <c r="C2074">
        <v>4.5599999999999996</v>
      </c>
      <c r="D2074" t="s">
        <v>4683</v>
      </c>
      <c r="E2074" t="s">
        <v>4682</v>
      </c>
      <c r="F2074" t="s">
        <v>4684</v>
      </c>
      <c r="G2074">
        <v>1</v>
      </c>
      <c r="H2074" t="s">
        <v>4682</v>
      </c>
      <c r="I2074" t="str" cm="1">
        <f t="array" ref="I2074">_xlfn.IFS(B2074&lt;18.5, "Underweight", B2074&lt;=24.9, "Normal Weight", B2074&lt;=29.9, "Overweight", TRUE, "Obesity")</f>
        <v>Overweight</v>
      </c>
      <c r="J2074" t="str" cm="1">
        <f t="array" ref="J2074">_xlfn.IFS(C2074&lt;5.7, "Normal", C2074&lt;=6.4, "Prediabetes", TRUE, "Diabetes")</f>
        <v>Normal</v>
      </c>
    </row>
    <row r="2075" spans="1:10">
      <c r="A2075" t="s">
        <v>4148</v>
      </c>
      <c r="B2075">
        <v>17.97</v>
      </c>
      <c r="C2075">
        <v>6.3</v>
      </c>
      <c r="D2075" t="s">
        <v>4682</v>
      </c>
      <c r="E2075" t="s">
        <v>4682</v>
      </c>
      <c r="F2075" t="s">
        <v>4682</v>
      </c>
      <c r="G2075">
        <v>0</v>
      </c>
      <c r="H2075" t="s">
        <v>4682</v>
      </c>
      <c r="I2075" t="str" cm="1">
        <f t="array" ref="I2075">_xlfn.IFS(B2075&lt;18.5, "Underweight", B2075&lt;=24.9, "Normal Weight", B2075&lt;=29.9, "Overweight", TRUE, "Obesity")</f>
        <v>Underweight</v>
      </c>
      <c r="J2075" t="str" cm="1">
        <f t="array" ref="J2075">_xlfn.IFS(C2075&lt;5.7, "Normal", C2075&lt;=6.4, "Prediabetes", TRUE, "Diabetes")</f>
        <v>Prediabetes</v>
      </c>
    </row>
    <row r="2076" spans="1:10">
      <c r="A2076" t="s">
        <v>4150</v>
      </c>
      <c r="B2076">
        <v>29.98</v>
      </c>
      <c r="C2076">
        <v>6.03</v>
      </c>
      <c r="D2076" t="s">
        <v>4682</v>
      </c>
      <c r="E2076" t="s">
        <v>4683</v>
      </c>
      <c r="F2076" t="s">
        <v>4682</v>
      </c>
      <c r="G2076">
        <v>1</v>
      </c>
      <c r="H2076" t="s">
        <v>4682</v>
      </c>
      <c r="I2076" t="str" cm="1">
        <f t="array" ref="I2076">_xlfn.IFS(B2076&lt;18.5, "Underweight", B2076&lt;=24.9, "Normal Weight", B2076&lt;=29.9, "Overweight", TRUE, "Obesity")</f>
        <v>Obesity</v>
      </c>
      <c r="J2076" t="str" cm="1">
        <f t="array" ref="J2076">_xlfn.IFS(C2076&lt;5.7, "Normal", C2076&lt;=6.4, "Prediabetes", TRUE, "Diabetes")</f>
        <v>Prediabetes</v>
      </c>
    </row>
    <row r="2077" spans="1:10">
      <c r="A2077" t="s">
        <v>4152</v>
      </c>
      <c r="B2077">
        <v>33.659999999999997</v>
      </c>
      <c r="C2077">
        <v>4.2</v>
      </c>
      <c r="D2077" t="s">
        <v>4683</v>
      </c>
      <c r="E2077" t="s">
        <v>4682</v>
      </c>
      <c r="F2077" t="s">
        <v>4682</v>
      </c>
      <c r="G2077">
        <v>1</v>
      </c>
      <c r="H2077" t="s">
        <v>4682</v>
      </c>
      <c r="I2077" t="str" cm="1">
        <f t="array" ref="I2077">_xlfn.IFS(B2077&lt;18.5, "Underweight", B2077&lt;=24.9, "Normal Weight", B2077&lt;=29.9, "Overweight", TRUE, "Obesity")</f>
        <v>Obesity</v>
      </c>
      <c r="J2077" t="str" cm="1">
        <f t="array" ref="J2077">_xlfn.IFS(C2077&lt;5.7, "Normal", C2077&lt;=6.4, "Prediabetes", TRUE, "Diabetes")</f>
        <v>Normal</v>
      </c>
    </row>
    <row r="2078" spans="1:10">
      <c r="A2078" t="s">
        <v>4154</v>
      </c>
      <c r="B2078">
        <v>32.67</v>
      </c>
      <c r="C2078">
        <v>5.61</v>
      </c>
      <c r="D2078" t="s">
        <v>4683</v>
      </c>
      <c r="E2078" t="s">
        <v>4682</v>
      </c>
      <c r="F2078" t="s">
        <v>4682</v>
      </c>
      <c r="G2078">
        <v>1</v>
      </c>
      <c r="H2078" t="s">
        <v>4682</v>
      </c>
      <c r="I2078" t="str" cm="1">
        <f t="array" ref="I2078">_xlfn.IFS(B2078&lt;18.5, "Underweight", B2078&lt;=24.9, "Normal Weight", B2078&lt;=29.9, "Overweight", TRUE, "Obesity")</f>
        <v>Obesity</v>
      </c>
      <c r="J2078" t="str" cm="1">
        <f t="array" ref="J2078">_xlfn.IFS(C2078&lt;5.7, "Normal", C2078&lt;=6.4, "Prediabetes", TRUE, "Diabetes")</f>
        <v>Normal</v>
      </c>
    </row>
    <row r="2079" spans="1:10">
      <c r="A2079" t="s">
        <v>4156</v>
      </c>
      <c r="B2079">
        <v>30.5</v>
      </c>
      <c r="C2079">
        <v>5.88</v>
      </c>
      <c r="D2079" t="s">
        <v>4683</v>
      </c>
      <c r="E2079" t="s">
        <v>4682</v>
      </c>
      <c r="F2079" t="s">
        <v>4682</v>
      </c>
      <c r="G2079">
        <v>1</v>
      </c>
      <c r="H2079" t="s">
        <v>4682</v>
      </c>
      <c r="I2079" t="str" cm="1">
        <f t="array" ref="I2079">_xlfn.IFS(B2079&lt;18.5, "Underweight", B2079&lt;=24.9, "Normal Weight", B2079&lt;=29.9, "Overweight", TRUE, "Obesity")</f>
        <v>Obesity</v>
      </c>
      <c r="J2079" t="str" cm="1">
        <f t="array" ref="J2079">_xlfn.IFS(C2079&lt;5.7, "Normal", C2079&lt;=6.4, "Prediabetes", TRUE, "Diabetes")</f>
        <v>Prediabetes</v>
      </c>
    </row>
    <row r="2080" spans="1:10">
      <c r="A2080" t="s">
        <v>4158</v>
      </c>
      <c r="B2080">
        <v>23.1</v>
      </c>
      <c r="C2080">
        <v>5.92</v>
      </c>
      <c r="D2080" t="s">
        <v>4683</v>
      </c>
      <c r="E2080" t="s">
        <v>4682</v>
      </c>
      <c r="F2080" t="s">
        <v>4682</v>
      </c>
      <c r="G2080">
        <v>1</v>
      </c>
      <c r="H2080" t="s">
        <v>4682</v>
      </c>
      <c r="I2080" t="str" cm="1">
        <f t="array" ref="I2080">_xlfn.IFS(B2080&lt;18.5, "Underweight", B2080&lt;=24.9, "Normal Weight", B2080&lt;=29.9, "Overweight", TRUE, "Obesity")</f>
        <v>Normal Weight</v>
      </c>
      <c r="J2080" t="str" cm="1">
        <f t="array" ref="J2080">_xlfn.IFS(C2080&lt;5.7, "Normal", C2080&lt;=6.4, "Prediabetes", TRUE, "Diabetes")</f>
        <v>Prediabetes</v>
      </c>
    </row>
    <row r="2081" spans="1:10">
      <c r="A2081" t="s">
        <v>4160</v>
      </c>
      <c r="B2081">
        <v>39.49</v>
      </c>
      <c r="C2081">
        <v>4.8099999999999996</v>
      </c>
      <c r="D2081" t="s">
        <v>4682</v>
      </c>
      <c r="E2081" t="s">
        <v>4682</v>
      </c>
      <c r="F2081" t="s">
        <v>4682</v>
      </c>
      <c r="G2081">
        <v>1</v>
      </c>
      <c r="H2081" t="s">
        <v>4682</v>
      </c>
      <c r="I2081" t="str" cm="1">
        <f t="array" ref="I2081">_xlfn.IFS(B2081&lt;18.5, "Underweight", B2081&lt;=24.9, "Normal Weight", B2081&lt;=29.9, "Overweight", TRUE, "Obesity")</f>
        <v>Obesity</v>
      </c>
      <c r="J2081" t="str" cm="1">
        <f t="array" ref="J2081">_xlfn.IFS(C2081&lt;5.7, "Normal", C2081&lt;=6.4, "Prediabetes", TRUE, "Diabetes")</f>
        <v>Normal</v>
      </c>
    </row>
    <row r="2082" spans="1:10">
      <c r="A2082" t="s">
        <v>4162</v>
      </c>
      <c r="B2082">
        <v>33.99</v>
      </c>
      <c r="C2082">
        <v>4.55</v>
      </c>
      <c r="D2082" t="s">
        <v>4682</v>
      </c>
      <c r="E2082" t="s">
        <v>4682</v>
      </c>
      <c r="F2082" t="s">
        <v>4682</v>
      </c>
      <c r="G2082">
        <v>1</v>
      </c>
      <c r="H2082" t="s">
        <v>4682</v>
      </c>
      <c r="I2082" t="str" cm="1">
        <f t="array" ref="I2082">_xlfn.IFS(B2082&lt;18.5, "Underweight", B2082&lt;=24.9, "Normal Weight", B2082&lt;=29.9, "Overweight", TRUE, "Obesity")</f>
        <v>Obesity</v>
      </c>
      <c r="J2082" t="str" cm="1">
        <f t="array" ref="J2082">_xlfn.IFS(C2082&lt;5.7, "Normal", C2082&lt;=6.4, "Prediabetes", TRUE, "Diabetes")</f>
        <v>Normal</v>
      </c>
    </row>
    <row r="2083" spans="1:10">
      <c r="A2083" t="s">
        <v>4164</v>
      </c>
      <c r="B2083">
        <v>27.72</v>
      </c>
      <c r="C2083">
        <v>6.43</v>
      </c>
      <c r="D2083" t="s">
        <v>4682</v>
      </c>
      <c r="E2083" t="s">
        <v>4682</v>
      </c>
      <c r="F2083" t="s">
        <v>4682</v>
      </c>
      <c r="G2083">
        <v>1</v>
      </c>
      <c r="H2083" t="s">
        <v>4682</v>
      </c>
      <c r="I2083" t="str" cm="1">
        <f t="array" ref="I2083">_xlfn.IFS(B2083&lt;18.5, "Underweight", B2083&lt;=24.9, "Normal Weight", B2083&lt;=29.9, "Overweight", TRUE, "Obesity")</f>
        <v>Overweight</v>
      </c>
      <c r="J2083" t="str" cm="1">
        <f t="array" ref="J2083">_xlfn.IFS(C2083&lt;5.7, "Normal", C2083&lt;=6.4, "Prediabetes", TRUE, "Diabetes")</f>
        <v>Diabetes</v>
      </c>
    </row>
    <row r="2084" spans="1:10">
      <c r="A2084" t="s">
        <v>4166</v>
      </c>
      <c r="B2084">
        <v>30.59</v>
      </c>
      <c r="C2084">
        <v>11.62</v>
      </c>
      <c r="D2084" t="s">
        <v>4682</v>
      </c>
      <c r="E2084" t="s">
        <v>4682</v>
      </c>
      <c r="F2084" t="s">
        <v>4682</v>
      </c>
      <c r="G2084">
        <v>0</v>
      </c>
      <c r="H2084" t="s">
        <v>4682</v>
      </c>
      <c r="I2084" t="str" cm="1">
        <f t="array" ref="I2084">_xlfn.IFS(B2084&lt;18.5, "Underweight", B2084&lt;=24.9, "Normal Weight", B2084&lt;=29.9, "Overweight", TRUE, "Obesity")</f>
        <v>Obesity</v>
      </c>
      <c r="J2084" t="str" cm="1">
        <f t="array" ref="J2084">_xlfn.IFS(C2084&lt;5.7, "Normal", C2084&lt;=6.4, "Prediabetes", TRUE, "Diabetes")</f>
        <v>Diabetes</v>
      </c>
    </row>
    <row r="2085" spans="1:10">
      <c r="A2085" t="s">
        <v>4168</v>
      </c>
      <c r="B2085">
        <v>22.6</v>
      </c>
      <c r="C2085">
        <v>6.04</v>
      </c>
      <c r="D2085" t="s">
        <v>4682</v>
      </c>
      <c r="E2085" t="s">
        <v>4682</v>
      </c>
      <c r="F2085" t="s">
        <v>4682</v>
      </c>
      <c r="G2085">
        <v>1</v>
      </c>
      <c r="H2085" t="s">
        <v>4682</v>
      </c>
      <c r="I2085" t="str" cm="1">
        <f t="array" ref="I2085">_xlfn.IFS(B2085&lt;18.5, "Underweight", B2085&lt;=24.9, "Normal Weight", B2085&lt;=29.9, "Overweight", TRUE, "Obesity")</f>
        <v>Normal Weight</v>
      </c>
      <c r="J2085" t="str" cm="1">
        <f t="array" ref="J2085">_xlfn.IFS(C2085&lt;5.7, "Normal", C2085&lt;=6.4, "Prediabetes", TRUE, "Diabetes")</f>
        <v>Prediabetes</v>
      </c>
    </row>
    <row r="2086" spans="1:10">
      <c r="A2086" t="s">
        <v>4170</v>
      </c>
      <c r="B2086">
        <v>28.785</v>
      </c>
      <c r="C2086">
        <v>8.82</v>
      </c>
      <c r="D2086" t="s">
        <v>4682</v>
      </c>
      <c r="E2086" t="s">
        <v>4682</v>
      </c>
      <c r="F2086" t="s">
        <v>4682</v>
      </c>
      <c r="G2086">
        <v>0</v>
      </c>
      <c r="H2086" t="s">
        <v>4682</v>
      </c>
      <c r="I2086" t="str" cm="1">
        <f t="array" ref="I2086">_xlfn.IFS(B2086&lt;18.5, "Underweight", B2086&lt;=24.9, "Normal Weight", B2086&lt;=29.9, "Overweight", TRUE, "Obesity")</f>
        <v>Overweight</v>
      </c>
      <c r="J2086" t="str" cm="1">
        <f t="array" ref="J2086">_xlfn.IFS(C2086&lt;5.7, "Normal", C2086&lt;=6.4, "Prediabetes", TRUE, "Diabetes")</f>
        <v>Diabetes</v>
      </c>
    </row>
    <row r="2087" spans="1:10">
      <c r="A2087" t="s">
        <v>4172</v>
      </c>
      <c r="B2087">
        <v>50.38</v>
      </c>
      <c r="C2087">
        <v>5.8</v>
      </c>
      <c r="D2087" t="s">
        <v>4682</v>
      </c>
      <c r="E2087" t="s">
        <v>4682</v>
      </c>
      <c r="F2087" t="s">
        <v>4682</v>
      </c>
      <c r="G2087">
        <v>0</v>
      </c>
      <c r="H2087" t="s">
        <v>4682</v>
      </c>
      <c r="I2087" t="str" cm="1">
        <f t="array" ref="I2087">_xlfn.IFS(B2087&lt;18.5, "Underweight", B2087&lt;=24.9, "Normal Weight", B2087&lt;=29.9, "Overweight", TRUE, "Obesity")</f>
        <v>Obesity</v>
      </c>
      <c r="J2087" t="str" cm="1">
        <f t="array" ref="J2087">_xlfn.IFS(C2087&lt;5.7, "Normal", C2087&lt;=6.4, "Prediabetes", TRUE, "Diabetes")</f>
        <v>Prediabetes</v>
      </c>
    </row>
    <row r="2088" spans="1:10">
      <c r="A2088" t="s">
        <v>4174</v>
      </c>
      <c r="B2088">
        <v>35.200000000000003</v>
      </c>
      <c r="C2088">
        <v>4.28</v>
      </c>
      <c r="D2088" t="s">
        <v>4682</v>
      </c>
      <c r="E2088" t="s">
        <v>4682</v>
      </c>
      <c r="F2088" t="s">
        <v>4682</v>
      </c>
      <c r="G2088">
        <v>0</v>
      </c>
      <c r="H2088" t="s">
        <v>4682</v>
      </c>
      <c r="I2088" t="str" cm="1">
        <f t="array" ref="I2088">_xlfn.IFS(B2088&lt;18.5, "Underweight", B2088&lt;=24.9, "Normal Weight", B2088&lt;=29.9, "Overweight", TRUE, "Obesity")</f>
        <v>Obesity</v>
      </c>
      <c r="J2088" t="str" cm="1">
        <f t="array" ref="J2088">_xlfn.IFS(C2088&lt;5.7, "Normal", C2088&lt;=6.4, "Prediabetes", TRUE, "Diabetes")</f>
        <v>Normal</v>
      </c>
    </row>
    <row r="2089" spans="1:10">
      <c r="A2089" t="s">
        <v>4176</v>
      </c>
      <c r="B2089">
        <v>35.72</v>
      </c>
      <c r="C2089">
        <v>5.5</v>
      </c>
      <c r="D2089" t="s">
        <v>4683</v>
      </c>
      <c r="E2089" t="s">
        <v>4682</v>
      </c>
      <c r="F2089" t="s">
        <v>4682</v>
      </c>
      <c r="G2089">
        <v>0</v>
      </c>
      <c r="H2089" t="s">
        <v>4682</v>
      </c>
      <c r="I2089" t="str" cm="1">
        <f t="array" ref="I2089">_xlfn.IFS(B2089&lt;18.5, "Underweight", B2089&lt;=24.9, "Normal Weight", B2089&lt;=29.9, "Overweight", TRUE, "Obesity")</f>
        <v>Obesity</v>
      </c>
      <c r="J2089" t="str" cm="1">
        <f t="array" ref="J2089">_xlfn.IFS(C2089&lt;5.7, "Normal", C2089&lt;=6.4, "Prediabetes", TRUE, "Diabetes")</f>
        <v>Normal</v>
      </c>
    </row>
    <row r="2090" spans="1:10">
      <c r="A2090" t="s">
        <v>4178</v>
      </c>
      <c r="B2090">
        <v>24.51</v>
      </c>
      <c r="C2090">
        <v>4.6900000000000004</v>
      </c>
      <c r="D2090" t="s">
        <v>4682</v>
      </c>
      <c r="E2090" t="s">
        <v>4682</v>
      </c>
      <c r="F2090" t="s">
        <v>4682</v>
      </c>
      <c r="G2090">
        <v>0</v>
      </c>
      <c r="H2090" t="s">
        <v>4682</v>
      </c>
      <c r="I2090" t="str" cm="1">
        <f t="array" ref="I2090">_xlfn.IFS(B2090&lt;18.5, "Underweight", B2090&lt;=24.9, "Normal Weight", B2090&lt;=29.9, "Overweight", TRUE, "Obesity")</f>
        <v>Normal Weight</v>
      </c>
      <c r="J2090" t="str" cm="1">
        <f t="array" ref="J2090">_xlfn.IFS(C2090&lt;5.7, "Normal", C2090&lt;=6.4, "Prediabetes", TRUE, "Diabetes")</f>
        <v>Normal</v>
      </c>
    </row>
    <row r="2091" spans="1:10">
      <c r="A2091" t="s">
        <v>4180</v>
      </c>
      <c r="B2091">
        <v>23.844999999999999</v>
      </c>
      <c r="C2091">
        <v>4.43</v>
      </c>
      <c r="D2091" t="s">
        <v>4682</v>
      </c>
      <c r="E2091" t="s">
        <v>4682</v>
      </c>
      <c r="F2091" t="s">
        <v>4682</v>
      </c>
      <c r="G2091">
        <v>0</v>
      </c>
      <c r="H2091" t="s">
        <v>4682</v>
      </c>
      <c r="I2091" t="str" cm="1">
        <f t="array" ref="I2091">_xlfn.IFS(B2091&lt;18.5, "Underweight", B2091&lt;=24.9, "Normal Weight", B2091&lt;=29.9, "Overweight", TRUE, "Obesity")</f>
        <v>Normal Weight</v>
      </c>
      <c r="J2091" t="str" cm="1">
        <f t="array" ref="J2091">_xlfn.IFS(C2091&lt;5.7, "Normal", C2091&lt;=6.4, "Prediabetes", TRUE, "Diabetes")</f>
        <v>Normal</v>
      </c>
    </row>
    <row r="2092" spans="1:10">
      <c r="A2092" t="s">
        <v>4182</v>
      </c>
      <c r="B2092">
        <v>15.68</v>
      </c>
      <c r="C2092">
        <v>6.16</v>
      </c>
      <c r="D2092" t="s">
        <v>4683</v>
      </c>
      <c r="E2092" t="s">
        <v>4682</v>
      </c>
      <c r="F2092" t="s">
        <v>4682</v>
      </c>
      <c r="G2092">
        <v>1</v>
      </c>
      <c r="H2092" t="s">
        <v>4682</v>
      </c>
      <c r="I2092" t="str" cm="1">
        <f t="array" ref="I2092">_xlfn.IFS(B2092&lt;18.5, "Underweight", B2092&lt;=24.9, "Normal Weight", B2092&lt;=29.9, "Overweight", TRUE, "Obesity")</f>
        <v>Underweight</v>
      </c>
      <c r="J2092" t="str" cm="1">
        <f t="array" ref="J2092">_xlfn.IFS(C2092&lt;5.7, "Normal", C2092&lt;=6.4, "Prediabetes", TRUE, "Diabetes")</f>
        <v>Prediabetes</v>
      </c>
    </row>
    <row r="2093" spans="1:10">
      <c r="A2093" t="s">
        <v>4184</v>
      </c>
      <c r="B2093">
        <v>32.395000000000003</v>
      </c>
      <c r="C2093">
        <v>6.66</v>
      </c>
      <c r="D2093" t="s">
        <v>4682</v>
      </c>
      <c r="E2093" t="s">
        <v>4682</v>
      </c>
      <c r="F2093" t="s">
        <v>4682</v>
      </c>
      <c r="G2093">
        <v>0</v>
      </c>
      <c r="H2093" t="s">
        <v>4682</v>
      </c>
      <c r="I2093" t="str" cm="1">
        <f t="array" ref="I2093">_xlfn.IFS(B2093&lt;18.5, "Underweight", B2093&lt;=24.9, "Normal Weight", B2093&lt;=29.9, "Overweight", TRUE, "Obesity")</f>
        <v>Obesity</v>
      </c>
      <c r="J2093" t="str" cm="1">
        <f t="array" ref="J2093">_xlfn.IFS(C2093&lt;5.7, "Normal", C2093&lt;=6.4, "Prediabetes", TRUE, "Diabetes")</f>
        <v>Diabetes</v>
      </c>
    </row>
    <row r="2094" spans="1:10">
      <c r="A2094" t="s">
        <v>4186</v>
      </c>
      <c r="B2094">
        <v>23.655000000000001</v>
      </c>
      <c r="C2094">
        <v>5.92</v>
      </c>
      <c r="D2094" t="s">
        <v>4682</v>
      </c>
      <c r="E2094" t="s">
        <v>4682</v>
      </c>
      <c r="F2094" t="s">
        <v>4682</v>
      </c>
      <c r="G2094">
        <v>1</v>
      </c>
      <c r="H2094" t="s">
        <v>4682</v>
      </c>
      <c r="I2094" t="str" cm="1">
        <f t="array" ref="I2094">_xlfn.IFS(B2094&lt;18.5, "Underweight", B2094&lt;=24.9, "Normal Weight", B2094&lt;=29.9, "Overweight", TRUE, "Obesity")</f>
        <v>Normal Weight</v>
      </c>
      <c r="J2094" t="str" cm="1">
        <f t="array" ref="J2094">_xlfn.IFS(C2094&lt;5.7, "Normal", C2094&lt;=6.4, "Prediabetes", TRUE, "Diabetes")</f>
        <v>Prediabetes</v>
      </c>
    </row>
    <row r="2095" spans="1:10">
      <c r="A2095" t="s">
        <v>4188</v>
      </c>
      <c r="B2095">
        <v>28.4</v>
      </c>
      <c r="C2095">
        <v>5.97</v>
      </c>
      <c r="D2095" t="s">
        <v>4682</v>
      </c>
      <c r="E2095" t="s">
        <v>4682</v>
      </c>
      <c r="F2095" t="s">
        <v>4684</v>
      </c>
      <c r="G2095">
        <v>1</v>
      </c>
      <c r="H2095" t="s">
        <v>4682</v>
      </c>
      <c r="I2095" t="str" cm="1">
        <f t="array" ref="I2095">_xlfn.IFS(B2095&lt;18.5, "Underweight", B2095&lt;=24.9, "Normal Weight", B2095&lt;=29.9, "Overweight", TRUE, "Obesity")</f>
        <v>Overweight</v>
      </c>
      <c r="J2095" t="str" cm="1">
        <f t="array" ref="J2095">_xlfn.IFS(C2095&lt;5.7, "Normal", C2095&lt;=6.4, "Prediabetes", TRUE, "Diabetes")</f>
        <v>Prediabetes</v>
      </c>
    </row>
    <row r="2096" spans="1:10">
      <c r="A2096" t="s">
        <v>4190</v>
      </c>
      <c r="B2096">
        <v>35.42</v>
      </c>
      <c r="C2096">
        <v>4.6399999999999997</v>
      </c>
      <c r="D2096" t="s">
        <v>4683</v>
      </c>
      <c r="E2096" t="s">
        <v>4682</v>
      </c>
      <c r="F2096" t="s">
        <v>4682</v>
      </c>
      <c r="G2096">
        <v>0</v>
      </c>
      <c r="H2096" t="s">
        <v>4682</v>
      </c>
      <c r="I2096" t="str" cm="1">
        <f t="array" ref="I2096">_xlfn.IFS(B2096&lt;18.5, "Underweight", B2096&lt;=24.9, "Normal Weight", B2096&lt;=29.9, "Overweight", TRUE, "Obesity")</f>
        <v>Obesity</v>
      </c>
      <c r="J2096" t="str" cm="1">
        <f t="array" ref="J2096">_xlfn.IFS(C2096&lt;5.7, "Normal", C2096&lt;=6.4, "Prediabetes", TRUE, "Diabetes")</f>
        <v>Normal</v>
      </c>
    </row>
    <row r="2097" spans="1:10">
      <c r="A2097" t="s">
        <v>4192</v>
      </c>
      <c r="B2097">
        <v>26.18</v>
      </c>
      <c r="C2097">
        <v>6.12</v>
      </c>
      <c r="D2097" t="s">
        <v>4682</v>
      </c>
      <c r="E2097" t="s">
        <v>4683</v>
      </c>
      <c r="F2097" t="s">
        <v>4682</v>
      </c>
      <c r="G2097">
        <v>1</v>
      </c>
      <c r="H2097" t="s">
        <v>4682</v>
      </c>
      <c r="I2097" t="str" cm="1">
        <f t="array" ref="I2097">_xlfn.IFS(B2097&lt;18.5, "Underweight", B2097&lt;=24.9, "Normal Weight", B2097&lt;=29.9, "Overweight", TRUE, "Obesity")</f>
        <v>Overweight</v>
      </c>
      <c r="J2097" t="str" cm="1">
        <f t="array" ref="J2097">_xlfn.IFS(C2097&lt;5.7, "Normal", C2097&lt;=6.4, "Prediabetes", TRUE, "Diabetes")</f>
        <v>Prediabetes</v>
      </c>
    </row>
    <row r="2098" spans="1:10">
      <c r="A2098" t="s">
        <v>4194</v>
      </c>
      <c r="B2098">
        <v>20.8</v>
      </c>
      <c r="C2098">
        <v>4.87</v>
      </c>
      <c r="D2098" t="s">
        <v>4683</v>
      </c>
      <c r="E2098" t="s">
        <v>4682</v>
      </c>
      <c r="F2098" t="s">
        <v>4682</v>
      </c>
      <c r="G2098">
        <v>0</v>
      </c>
      <c r="H2098" t="s">
        <v>4682</v>
      </c>
      <c r="I2098" t="str" cm="1">
        <f t="array" ref="I2098">_xlfn.IFS(B2098&lt;18.5, "Underweight", B2098&lt;=24.9, "Normal Weight", B2098&lt;=29.9, "Overweight", TRUE, "Obesity")</f>
        <v>Normal Weight</v>
      </c>
      <c r="J2098" t="str" cm="1">
        <f t="array" ref="J2098">_xlfn.IFS(C2098&lt;5.7, "Normal", C2098&lt;=6.4, "Prediabetes", TRUE, "Diabetes")</f>
        <v>Normal</v>
      </c>
    </row>
    <row r="2099" spans="1:10">
      <c r="A2099" t="s">
        <v>4196</v>
      </c>
      <c r="B2099">
        <v>15.82</v>
      </c>
      <c r="C2099">
        <v>4.5999999999999996</v>
      </c>
      <c r="D2099" t="s">
        <v>4682</v>
      </c>
      <c r="E2099" t="s">
        <v>4682</v>
      </c>
      <c r="F2099" t="s">
        <v>4682</v>
      </c>
      <c r="G2099">
        <v>0</v>
      </c>
      <c r="H2099" t="s">
        <v>4682</v>
      </c>
      <c r="I2099" t="str" cm="1">
        <f t="array" ref="I2099">_xlfn.IFS(B2099&lt;18.5, "Underweight", B2099&lt;=24.9, "Normal Weight", B2099&lt;=29.9, "Overweight", TRUE, "Obesity")</f>
        <v>Underweight</v>
      </c>
      <c r="J2099" t="str" cm="1">
        <f t="array" ref="J2099">_xlfn.IFS(C2099&lt;5.7, "Normal", C2099&lt;=6.4, "Prediabetes", TRUE, "Diabetes")</f>
        <v>Normal</v>
      </c>
    </row>
    <row r="2100" spans="1:10">
      <c r="A2100" t="s">
        <v>4198</v>
      </c>
      <c r="B2100">
        <v>17.670000000000002</v>
      </c>
      <c r="C2100">
        <v>4.78</v>
      </c>
      <c r="D2100" t="s">
        <v>4682</v>
      </c>
      <c r="E2100" t="s">
        <v>4682</v>
      </c>
      <c r="F2100" t="s">
        <v>4682</v>
      </c>
      <c r="G2100">
        <v>0</v>
      </c>
      <c r="H2100" t="s">
        <v>4682</v>
      </c>
      <c r="I2100" t="str" cm="1">
        <f t="array" ref="I2100">_xlfn.IFS(B2100&lt;18.5, "Underweight", B2100&lt;=24.9, "Normal Weight", B2100&lt;=29.9, "Overweight", TRUE, "Obesity")</f>
        <v>Underweight</v>
      </c>
      <c r="J2100" t="str" cm="1">
        <f t="array" ref="J2100">_xlfn.IFS(C2100&lt;5.7, "Normal", C2100&lt;=6.4, "Prediabetes", TRUE, "Diabetes")</f>
        <v>Normal</v>
      </c>
    </row>
    <row r="2101" spans="1:10">
      <c r="A2101" t="s">
        <v>4200</v>
      </c>
      <c r="B2101">
        <v>31.92</v>
      </c>
      <c r="C2101">
        <v>11.05</v>
      </c>
      <c r="D2101" t="s">
        <v>4682</v>
      </c>
      <c r="E2101" t="s">
        <v>4682</v>
      </c>
      <c r="F2101" t="s">
        <v>4682</v>
      </c>
      <c r="G2101">
        <v>0</v>
      </c>
      <c r="H2101" t="s">
        <v>4682</v>
      </c>
      <c r="I2101" t="str" cm="1">
        <f t="array" ref="I2101">_xlfn.IFS(B2101&lt;18.5, "Underweight", B2101&lt;=24.9, "Normal Weight", B2101&lt;=29.9, "Overweight", TRUE, "Obesity")</f>
        <v>Obesity</v>
      </c>
      <c r="J2101" t="str" cm="1">
        <f t="array" ref="J2101">_xlfn.IFS(C2101&lt;5.7, "Normal", C2101&lt;=6.4, "Prediabetes", TRUE, "Diabetes")</f>
        <v>Diabetes</v>
      </c>
    </row>
    <row r="2102" spans="1:10">
      <c r="A2102" t="s">
        <v>4202</v>
      </c>
      <c r="B2102">
        <v>28.975000000000001</v>
      </c>
      <c r="C2102">
        <v>7.62</v>
      </c>
      <c r="D2102" t="s">
        <v>4682</v>
      </c>
      <c r="E2102" t="s">
        <v>4682</v>
      </c>
      <c r="F2102" t="s">
        <v>4682</v>
      </c>
      <c r="G2102">
        <v>0</v>
      </c>
      <c r="H2102" t="s">
        <v>4682</v>
      </c>
      <c r="I2102" t="str" cm="1">
        <f t="array" ref="I2102">_xlfn.IFS(B2102&lt;18.5, "Underweight", B2102&lt;=24.9, "Normal Weight", B2102&lt;=29.9, "Overweight", TRUE, "Obesity")</f>
        <v>Overweight</v>
      </c>
      <c r="J2102" t="str" cm="1">
        <f t="array" ref="J2102">_xlfn.IFS(C2102&lt;5.7, "Normal", C2102&lt;=6.4, "Prediabetes", TRUE, "Diabetes")</f>
        <v>Diabetes</v>
      </c>
    </row>
    <row r="2103" spans="1:10">
      <c r="A2103" t="s">
        <v>4204</v>
      </c>
      <c r="B2103">
        <v>31.73</v>
      </c>
      <c r="C2103">
        <v>4.78</v>
      </c>
      <c r="D2103" t="s">
        <v>4683</v>
      </c>
      <c r="E2103" t="s">
        <v>4683</v>
      </c>
      <c r="F2103" t="s">
        <v>4682</v>
      </c>
      <c r="G2103">
        <v>2</v>
      </c>
      <c r="H2103" t="s">
        <v>4682</v>
      </c>
      <c r="I2103" t="str" cm="1">
        <f t="array" ref="I2103">_xlfn.IFS(B2103&lt;18.5, "Underweight", B2103&lt;=24.9, "Normal Weight", B2103&lt;=29.9, "Overweight", TRUE, "Obesity")</f>
        <v>Obesity</v>
      </c>
      <c r="J2103" t="str" cm="1">
        <f t="array" ref="J2103">_xlfn.IFS(C2103&lt;5.7, "Normal", C2103&lt;=6.4, "Prediabetes", TRUE, "Diabetes")</f>
        <v>Normal</v>
      </c>
    </row>
    <row r="2104" spans="1:10">
      <c r="A2104" t="s">
        <v>4206</v>
      </c>
      <c r="B2104">
        <v>28.88</v>
      </c>
      <c r="C2104">
        <v>6.09</v>
      </c>
      <c r="D2104" t="s">
        <v>4683</v>
      </c>
      <c r="E2104" t="s">
        <v>4683</v>
      </c>
      <c r="F2104" t="s">
        <v>4682</v>
      </c>
      <c r="G2104">
        <v>2</v>
      </c>
      <c r="H2104" t="s">
        <v>4682</v>
      </c>
      <c r="I2104" t="str" cm="1">
        <f t="array" ref="I2104">_xlfn.IFS(B2104&lt;18.5, "Underweight", B2104&lt;=24.9, "Normal Weight", B2104&lt;=29.9, "Overweight", TRUE, "Obesity")</f>
        <v>Overweight</v>
      </c>
      <c r="J2104" t="str" cm="1">
        <f t="array" ref="J2104">_xlfn.IFS(C2104&lt;5.7, "Normal", C2104&lt;=6.4, "Prediabetes", TRUE, "Diabetes")</f>
        <v>Prediabetes</v>
      </c>
    </row>
    <row r="2105" spans="1:10">
      <c r="A2105" t="s">
        <v>4208</v>
      </c>
      <c r="B2105">
        <v>25.555</v>
      </c>
      <c r="C2105">
        <v>5.1100000000000003</v>
      </c>
      <c r="D2105" t="s">
        <v>4682</v>
      </c>
      <c r="E2105" t="s">
        <v>4682</v>
      </c>
      <c r="F2105" t="s">
        <v>4684</v>
      </c>
      <c r="G2105">
        <v>1</v>
      </c>
      <c r="H2105" t="s">
        <v>4682</v>
      </c>
      <c r="I2105" t="str" cm="1">
        <f t="array" ref="I2105">_xlfn.IFS(B2105&lt;18.5, "Underweight", B2105&lt;=24.9, "Normal Weight", B2105&lt;=29.9, "Overweight", TRUE, "Obesity")</f>
        <v>Overweight</v>
      </c>
      <c r="J2105" t="str" cm="1">
        <f t="array" ref="J2105">_xlfn.IFS(C2105&lt;5.7, "Normal", C2105&lt;=6.4, "Prediabetes", TRUE, "Diabetes")</f>
        <v>Normal</v>
      </c>
    </row>
    <row r="2106" spans="1:10">
      <c r="A2106" t="s">
        <v>4210</v>
      </c>
      <c r="B2106">
        <v>37.29</v>
      </c>
      <c r="C2106">
        <v>4.46</v>
      </c>
      <c r="D2106" t="s">
        <v>4682</v>
      </c>
      <c r="E2106" t="s">
        <v>4683</v>
      </c>
      <c r="F2106" t="s">
        <v>4682</v>
      </c>
      <c r="G2106">
        <v>1</v>
      </c>
      <c r="H2106" t="s">
        <v>4682</v>
      </c>
      <c r="I2106" t="str" cm="1">
        <f t="array" ref="I2106">_xlfn.IFS(B2106&lt;18.5, "Underweight", B2106&lt;=24.9, "Normal Weight", B2106&lt;=29.9, "Overweight", TRUE, "Obesity")</f>
        <v>Obesity</v>
      </c>
      <c r="J2106" t="str" cm="1">
        <f t="array" ref="J2106">_xlfn.IFS(C2106&lt;5.7, "Normal", C2106&lt;=6.4, "Prediabetes", TRUE, "Diabetes")</f>
        <v>Normal</v>
      </c>
    </row>
    <row r="2107" spans="1:10">
      <c r="A2107" t="s">
        <v>4212</v>
      </c>
      <c r="B2107">
        <v>40.28</v>
      </c>
      <c r="C2107">
        <v>6.11</v>
      </c>
      <c r="D2107" t="s">
        <v>4682</v>
      </c>
      <c r="E2107" t="s">
        <v>4683</v>
      </c>
      <c r="F2107" t="s">
        <v>4682</v>
      </c>
      <c r="G2107">
        <v>1</v>
      </c>
      <c r="H2107" t="s">
        <v>4682</v>
      </c>
      <c r="I2107" t="str" cm="1">
        <f t="array" ref="I2107">_xlfn.IFS(B2107&lt;18.5, "Underweight", B2107&lt;=24.9, "Normal Weight", B2107&lt;=29.9, "Overweight", TRUE, "Obesity")</f>
        <v>Obesity</v>
      </c>
      <c r="J2107" t="str" cm="1">
        <f t="array" ref="J2107">_xlfn.IFS(C2107&lt;5.7, "Normal", C2107&lt;=6.4, "Prediabetes", TRUE, "Diabetes")</f>
        <v>Prediabetes</v>
      </c>
    </row>
    <row r="2108" spans="1:10">
      <c r="A2108" t="s">
        <v>4214</v>
      </c>
      <c r="B2108">
        <v>40.185000000000002</v>
      </c>
      <c r="C2108">
        <v>4.66</v>
      </c>
      <c r="D2108" t="s">
        <v>4682</v>
      </c>
      <c r="E2108" t="s">
        <v>4683</v>
      </c>
      <c r="F2108" t="s">
        <v>4682</v>
      </c>
      <c r="G2108">
        <v>1</v>
      </c>
      <c r="H2108" t="s">
        <v>4682</v>
      </c>
      <c r="I2108" t="str" cm="1">
        <f t="array" ref="I2108">_xlfn.IFS(B2108&lt;18.5, "Underweight", B2108&lt;=24.9, "Normal Weight", B2108&lt;=29.9, "Overweight", TRUE, "Obesity")</f>
        <v>Obesity</v>
      </c>
      <c r="J2108" t="str" cm="1">
        <f t="array" ref="J2108">_xlfn.IFS(C2108&lt;5.7, "Normal", C2108&lt;=6.4, "Prediabetes", TRUE, "Diabetes")</f>
        <v>Normal</v>
      </c>
    </row>
    <row r="2109" spans="1:10">
      <c r="A2109" t="s">
        <v>4216</v>
      </c>
      <c r="B2109">
        <v>23.57</v>
      </c>
      <c r="C2109">
        <v>6.14</v>
      </c>
      <c r="D2109" t="s">
        <v>4682</v>
      </c>
      <c r="E2109" t="s">
        <v>4682</v>
      </c>
      <c r="F2109" t="s">
        <v>4682</v>
      </c>
      <c r="G2109">
        <v>0</v>
      </c>
      <c r="H2109" t="s">
        <v>4682</v>
      </c>
      <c r="I2109" t="str" cm="1">
        <f t="array" ref="I2109">_xlfn.IFS(B2109&lt;18.5, "Underweight", B2109&lt;=24.9, "Normal Weight", B2109&lt;=29.9, "Overweight", TRUE, "Obesity")</f>
        <v>Normal Weight</v>
      </c>
      <c r="J2109" t="str" cm="1">
        <f t="array" ref="J2109">_xlfn.IFS(C2109&lt;5.7, "Normal", C2109&lt;=6.4, "Prediabetes", TRUE, "Diabetes")</f>
        <v>Prediabetes</v>
      </c>
    </row>
    <row r="2110" spans="1:10">
      <c r="A2110" t="s">
        <v>4218</v>
      </c>
      <c r="B2110">
        <v>35.625</v>
      </c>
      <c r="C2110">
        <v>6.21</v>
      </c>
      <c r="D2110" t="s">
        <v>4682</v>
      </c>
      <c r="E2110" t="s">
        <v>4683</v>
      </c>
      <c r="F2110" t="s">
        <v>4682</v>
      </c>
      <c r="G2110">
        <v>1</v>
      </c>
      <c r="H2110" t="s">
        <v>4682</v>
      </c>
      <c r="I2110" t="str" cm="1">
        <f t="array" ref="I2110">_xlfn.IFS(B2110&lt;18.5, "Underweight", B2110&lt;=24.9, "Normal Weight", B2110&lt;=29.9, "Overweight", TRUE, "Obesity")</f>
        <v>Obesity</v>
      </c>
      <c r="J2110" t="str" cm="1">
        <f t="array" ref="J2110">_xlfn.IFS(C2110&lt;5.7, "Normal", C2110&lt;=6.4, "Prediabetes", TRUE, "Diabetes")</f>
        <v>Prediabetes</v>
      </c>
    </row>
    <row r="2111" spans="1:10">
      <c r="A2111" t="s">
        <v>4220</v>
      </c>
      <c r="B2111">
        <v>33.155000000000001</v>
      </c>
      <c r="C2111">
        <v>4.5999999999999996</v>
      </c>
      <c r="D2111" t="s">
        <v>4682</v>
      </c>
      <c r="E2111" t="s">
        <v>4683</v>
      </c>
      <c r="F2111" t="s">
        <v>4682</v>
      </c>
      <c r="G2111">
        <v>1</v>
      </c>
      <c r="H2111" t="s">
        <v>4682</v>
      </c>
      <c r="I2111" t="str" cm="1">
        <f t="array" ref="I2111">_xlfn.IFS(B2111&lt;18.5, "Underweight", B2111&lt;=24.9, "Normal Weight", B2111&lt;=29.9, "Overweight", TRUE, "Obesity")</f>
        <v>Obesity</v>
      </c>
      <c r="J2111" t="str" cm="1">
        <f t="array" ref="J2111">_xlfn.IFS(C2111&lt;5.7, "Normal", C2111&lt;=6.4, "Prediabetes", TRUE, "Diabetes")</f>
        <v>Normal</v>
      </c>
    </row>
    <row r="2112" spans="1:10">
      <c r="A2112" t="s">
        <v>4222</v>
      </c>
      <c r="B2112">
        <v>31.92</v>
      </c>
      <c r="C2112">
        <v>5.04</v>
      </c>
      <c r="D2112" t="s">
        <v>4682</v>
      </c>
      <c r="E2112" t="s">
        <v>4683</v>
      </c>
      <c r="F2112" t="s">
        <v>4682</v>
      </c>
      <c r="G2112">
        <v>1</v>
      </c>
      <c r="H2112" t="s">
        <v>4682</v>
      </c>
      <c r="I2112" t="str" cm="1">
        <f t="array" ref="I2112">_xlfn.IFS(B2112&lt;18.5, "Underweight", B2112&lt;=24.9, "Normal Weight", B2112&lt;=29.9, "Overweight", TRUE, "Obesity")</f>
        <v>Obesity</v>
      </c>
      <c r="J2112" t="str" cm="1">
        <f t="array" ref="J2112">_xlfn.IFS(C2112&lt;5.7, "Normal", C2112&lt;=6.4, "Prediabetes", TRUE, "Diabetes")</f>
        <v>Normal</v>
      </c>
    </row>
    <row r="2113" spans="1:10">
      <c r="A2113" t="s">
        <v>4224</v>
      </c>
      <c r="B2113">
        <v>30.305</v>
      </c>
      <c r="C2113">
        <v>5.08</v>
      </c>
      <c r="D2113" t="s">
        <v>4682</v>
      </c>
      <c r="E2113" t="s">
        <v>4683</v>
      </c>
      <c r="F2113" t="s">
        <v>4682</v>
      </c>
      <c r="G2113">
        <v>1</v>
      </c>
      <c r="H2113" t="s">
        <v>4682</v>
      </c>
      <c r="I2113" t="str" cm="1">
        <f t="array" ref="I2113">_xlfn.IFS(B2113&lt;18.5, "Underweight", B2113&lt;=24.9, "Normal Weight", B2113&lt;=29.9, "Overweight", TRUE, "Obesity")</f>
        <v>Obesity</v>
      </c>
      <c r="J2113" t="str" cm="1">
        <f t="array" ref="J2113">_xlfn.IFS(C2113&lt;5.7, "Normal", C2113&lt;=6.4, "Prediabetes", TRUE, "Diabetes")</f>
        <v>Normal</v>
      </c>
    </row>
    <row r="2114" spans="1:10">
      <c r="A2114" t="s">
        <v>4226</v>
      </c>
      <c r="B2114">
        <v>30.114999999999998</v>
      </c>
      <c r="C2114">
        <v>4.38</v>
      </c>
      <c r="D2114" t="s">
        <v>4682</v>
      </c>
      <c r="E2114" t="s">
        <v>4683</v>
      </c>
      <c r="F2114" t="s">
        <v>4682</v>
      </c>
      <c r="G2114">
        <v>1</v>
      </c>
      <c r="H2114" t="s">
        <v>4682</v>
      </c>
      <c r="I2114" t="str" cm="1">
        <f t="array" ref="I2114">_xlfn.IFS(B2114&lt;18.5, "Underweight", B2114&lt;=24.9, "Normal Weight", B2114&lt;=29.9, "Overweight", TRUE, "Obesity")</f>
        <v>Obesity</v>
      </c>
      <c r="J2114" t="str" cm="1">
        <f t="array" ref="J2114">_xlfn.IFS(C2114&lt;5.7, "Normal", C2114&lt;=6.4, "Prediabetes", TRUE, "Diabetes")</f>
        <v>Normal</v>
      </c>
    </row>
    <row r="2115" spans="1:10">
      <c r="A2115" t="s">
        <v>4228</v>
      </c>
      <c r="B2115">
        <v>24.09</v>
      </c>
      <c r="C2115">
        <v>4.79</v>
      </c>
      <c r="D2115" t="s">
        <v>4682</v>
      </c>
      <c r="E2115" t="s">
        <v>4683</v>
      </c>
      <c r="F2115" t="s">
        <v>4682</v>
      </c>
      <c r="G2115">
        <v>1</v>
      </c>
      <c r="H2115" t="s">
        <v>4682</v>
      </c>
      <c r="I2115" t="str" cm="1">
        <f t="array" ref="I2115">_xlfn.IFS(B2115&lt;18.5, "Underweight", B2115&lt;=24.9, "Normal Weight", B2115&lt;=29.9, "Overweight", TRUE, "Obesity")</f>
        <v>Normal Weight</v>
      </c>
      <c r="J2115" t="str" cm="1">
        <f t="array" ref="J2115">_xlfn.IFS(C2115&lt;5.7, "Normal", C2115&lt;=6.4, "Prediabetes", TRUE, "Diabetes")</f>
        <v>Normal</v>
      </c>
    </row>
    <row r="2116" spans="1:10">
      <c r="A2116" t="s">
        <v>4230</v>
      </c>
      <c r="B2116">
        <v>28.215</v>
      </c>
      <c r="C2116">
        <v>4.21</v>
      </c>
      <c r="D2116" t="s">
        <v>4682</v>
      </c>
      <c r="E2116" t="s">
        <v>4683</v>
      </c>
      <c r="F2116" t="s">
        <v>4682</v>
      </c>
      <c r="G2116">
        <v>1</v>
      </c>
      <c r="H2116" t="s">
        <v>4682</v>
      </c>
      <c r="I2116" t="str" cm="1">
        <f t="array" ref="I2116">_xlfn.IFS(B2116&lt;18.5, "Underweight", B2116&lt;=24.9, "Normal Weight", B2116&lt;=29.9, "Overweight", TRUE, "Obesity")</f>
        <v>Overweight</v>
      </c>
      <c r="J2116" t="str" cm="1">
        <f t="array" ref="J2116">_xlfn.IFS(C2116&lt;5.7, "Normal", C2116&lt;=6.4, "Prediabetes", TRUE, "Diabetes")</f>
        <v>Normal</v>
      </c>
    </row>
    <row r="2117" spans="1:10">
      <c r="A2117" t="s">
        <v>4232</v>
      </c>
      <c r="B2117">
        <v>26.315000000000001</v>
      </c>
      <c r="C2117">
        <v>5.47</v>
      </c>
      <c r="D2117" t="s">
        <v>4682</v>
      </c>
      <c r="E2117" t="s">
        <v>4683</v>
      </c>
      <c r="F2117" t="s">
        <v>4682</v>
      </c>
      <c r="G2117">
        <v>1</v>
      </c>
      <c r="H2117" t="s">
        <v>4682</v>
      </c>
      <c r="I2117" t="str" cm="1">
        <f t="array" ref="I2117">_xlfn.IFS(B2117&lt;18.5, "Underweight", B2117&lt;=24.9, "Normal Weight", B2117&lt;=29.9, "Overweight", TRUE, "Obesity")</f>
        <v>Overweight</v>
      </c>
      <c r="J2117" t="str" cm="1">
        <f t="array" ref="J2117">_xlfn.IFS(C2117&lt;5.7, "Normal", C2117&lt;=6.4, "Prediabetes", TRUE, "Diabetes")</f>
        <v>Normal</v>
      </c>
    </row>
    <row r="2118" spans="1:10">
      <c r="A2118" t="s">
        <v>4234</v>
      </c>
      <c r="B2118">
        <v>25.08</v>
      </c>
      <c r="C2118">
        <v>5.09</v>
      </c>
      <c r="D2118" t="s">
        <v>4682</v>
      </c>
      <c r="E2118" t="s">
        <v>4683</v>
      </c>
      <c r="F2118" t="s">
        <v>4682</v>
      </c>
      <c r="G2118">
        <v>1</v>
      </c>
      <c r="H2118" t="s">
        <v>4682</v>
      </c>
      <c r="I2118" t="str" cm="1">
        <f t="array" ref="I2118">_xlfn.IFS(B2118&lt;18.5, "Underweight", B2118&lt;=24.9, "Normal Weight", B2118&lt;=29.9, "Overweight", TRUE, "Obesity")</f>
        <v>Overweight</v>
      </c>
      <c r="J2118" t="str" cm="1">
        <f t="array" ref="J2118">_xlfn.IFS(C2118&lt;5.7, "Normal", C2118&lt;=6.4, "Prediabetes", TRUE, "Diabetes")</f>
        <v>Normal</v>
      </c>
    </row>
    <row r="2119" spans="1:10">
      <c r="A2119" t="s">
        <v>4236</v>
      </c>
      <c r="B2119">
        <v>15.41</v>
      </c>
      <c r="C2119">
        <v>5.08</v>
      </c>
      <c r="D2119" t="s">
        <v>4682</v>
      </c>
      <c r="E2119" t="s">
        <v>4682</v>
      </c>
      <c r="F2119" t="s">
        <v>4682</v>
      </c>
      <c r="G2119">
        <v>0</v>
      </c>
      <c r="H2119" t="s">
        <v>4682</v>
      </c>
      <c r="I2119" t="str" cm="1">
        <f t="array" ref="I2119">_xlfn.IFS(B2119&lt;18.5, "Underweight", B2119&lt;=24.9, "Normal Weight", B2119&lt;=29.9, "Overweight", TRUE, "Obesity")</f>
        <v>Underweight</v>
      </c>
      <c r="J2119" t="str" cm="1">
        <f t="array" ref="J2119">_xlfn.IFS(C2119&lt;5.7, "Normal", C2119&lt;=6.4, "Prediabetes", TRUE, "Diabetes")</f>
        <v>Normal</v>
      </c>
    </row>
    <row r="2120" spans="1:10">
      <c r="A2120" t="s">
        <v>4238</v>
      </c>
      <c r="B2120">
        <v>23.83</v>
      </c>
      <c r="C2120">
        <v>5.68</v>
      </c>
      <c r="D2120" t="s">
        <v>4682</v>
      </c>
      <c r="E2120" t="s">
        <v>4682</v>
      </c>
      <c r="F2120" t="s">
        <v>4682</v>
      </c>
      <c r="G2120">
        <v>0</v>
      </c>
      <c r="H2120" t="s">
        <v>4682</v>
      </c>
      <c r="I2120" t="str" cm="1">
        <f t="array" ref="I2120">_xlfn.IFS(B2120&lt;18.5, "Underweight", B2120&lt;=24.9, "Normal Weight", B2120&lt;=29.9, "Overweight", TRUE, "Obesity")</f>
        <v>Normal Weight</v>
      </c>
      <c r="J2120" t="str" cm="1">
        <f t="array" ref="J2120">_xlfn.IFS(C2120&lt;5.7, "Normal", C2120&lt;=6.4, "Prediabetes", TRUE, "Diabetes")</f>
        <v>Normal</v>
      </c>
    </row>
    <row r="2121" spans="1:10">
      <c r="A2121" t="s">
        <v>4240</v>
      </c>
      <c r="B2121">
        <v>36</v>
      </c>
      <c r="C2121">
        <v>4.66</v>
      </c>
      <c r="D2121" t="s">
        <v>4682</v>
      </c>
      <c r="E2121" t="s">
        <v>4683</v>
      </c>
      <c r="F2121" t="s">
        <v>4682</v>
      </c>
      <c r="G2121">
        <v>1</v>
      </c>
      <c r="H2121" t="s">
        <v>4682</v>
      </c>
      <c r="I2121" t="str" cm="1">
        <f t="array" ref="I2121">_xlfn.IFS(B2121&lt;18.5, "Underweight", B2121&lt;=24.9, "Normal Weight", B2121&lt;=29.9, "Overweight", TRUE, "Obesity")</f>
        <v>Obesity</v>
      </c>
      <c r="J2121" t="str" cm="1">
        <f t="array" ref="J2121">_xlfn.IFS(C2121&lt;5.7, "Normal", C2121&lt;=6.4, "Prediabetes", TRUE, "Diabetes")</f>
        <v>Normal</v>
      </c>
    </row>
    <row r="2122" spans="1:10">
      <c r="A2122" t="s">
        <v>4242</v>
      </c>
      <c r="B2122">
        <v>28.82</v>
      </c>
      <c r="C2122">
        <v>5.59</v>
      </c>
      <c r="D2122" t="s">
        <v>4682</v>
      </c>
      <c r="E2122" t="s">
        <v>4683</v>
      </c>
      <c r="F2122" t="s">
        <v>4682</v>
      </c>
      <c r="G2122">
        <v>1</v>
      </c>
      <c r="H2122" t="s">
        <v>4682</v>
      </c>
      <c r="I2122" t="str" cm="1">
        <f t="array" ref="I2122">_xlfn.IFS(B2122&lt;18.5, "Underweight", B2122&lt;=24.9, "Normal Weight", B2122&lt;=29.9, "Overweight", TRUE, "Obesity")</f>
        <v>Overweight</v>
      </c>
      <c r="J2122" t="str" cm="1">
        <f t="array" ref="J2122">_xlfn.IFS(C2122&lt;5.7, "Normal", C2122&lt;=6.4, "Prediabetes", TRUE, "Diabetes")</f>
        <v>Normal</v>
      </c>
    </row>
    <row r="2123" spans="1:10">
      <c r="A2123" t="s">
        <v>4244</v>
      </c>
      <c r="B2123">
        <v>28.05</v>
      </c>
      <c r="C2123">
        <v>6.2</v>
      </c>
      <c r="D2123" t="s">
        <v>4682</v>
      </c>
      <c r="E2123" t="s">
        <v>4683</v>
      </c>
      <c r="F2123" t="s">
        <v>4682</v>
      </c>
      <c r="G2123">
        <v>1</v>
      </c>
      <c r="H2123" t="s">
        <v>4682</v>
      </c>
      <c r="I2123" t="str" cm="1">
        <f t="array" ref="I2123">_xlfn.IFS(B2123&lt;18.5, "Underweight", B2123&lt;=24.9, "Normal Weight", B2123&lt;=29.9, "Overweight", TRUE, "Obesity")</f>
        <v>Overweight</v>
      </c>
      <c r="J2123" t="str" cm="1">
        <f t="array" ref="J2123">_xlfn.IFS(C2123&lt;5.7, "Normal", C2123&lt;=6.4, "Prediabetes", TRUE, "Diabetes")</f>
        <v>Prediabetes</v>
      </c>
    </row>
    <row r="2124" spans="1:10">
      <c r="A2124" t="s">
        <v>4246</v>
      </c>
      <c r="B2124">
        <v>27.1</v>
      </c>
      <c r="C2124">
        <v>4.45</v>
      </c>
      <c r="D2124" t="s">
        <v>4682</v>
      </c>
      <c r="E2124" t="s">
        <v>4683</v>
      </c>
      <c r="F2124" t="s">
        <v>4682</v>
      </c>
      <c r="G2124">
        <v>1</v>
      </c>
      <c r="H2124" t="s">
        <v>4682</v>
      </c>
      <c r="I2124" t="str" cm="1">
        <f t="array" ref="I2124">_xlfn.IFS(B2124&lt;18.5, "Underweight", B2124&lt;=24.9, "Normal Weight", B2124&lt;=29.9, "Overweight", TRUE, "Obesity")</f>
        <v>Overweight</v>
      </c>
      <c r="J2124" t="str" cm="1">
        <f t="array" ref="J2124">_xlfn.IFS(C2124&lt;5.7, "Normal", C2124&lt;=6.4, "Prediabetes", TRUE, "Diabetes")</f>
        <v>Normal</v>
      </c>
    </row>
    <row r="2125" spans="1:10">
      <c r="A2125" t="s">
        <v>4248</v>
      </c>
      <c r="B2125">
        <v>24.3</v>
      </c>
      <c r="C2125">
        <v>6.1</v>
      </c>
      <c r="D2125" t="s">
        <v>4683</v>
      </c>
      <c r="E2125" t="s">
        <v>4683</v>
      </c>
      <c r="F2125" t="s">
        <v>4682</v>
      </c>
      <c r="G2125">
        <v>1</v>
      </c>
      <c r="H2125" t="s">
        <v>4682</v>
      </c>
      <c r="I2125" t="str" cm="1">
        <f t="array" ref="I2125">_xlfn.IFS(B2125&lt;18.5, "Underweight", B2125&lt;=24.9, "Normal Weight", B2125&lt;=29.9, "Overweight", TRUE, "Obesity")</f>
        <v>Normal Weight</v>
      </c>
      <c r="J2125" t="str" cm="1">
        <f t="array" ref="J2125">_xlfn.IFS(C2125&lt;5.7, "Normal", C2125&lt;=6.4, "Prediabetes", TRUE, "Diabetes")</f>
        <v>Prediabetes</v>
      </c>
    </row>
    <row r="2126" spans="1:10">
      <c r="A2126" t="s">
        <v>4250</v>
      </c>
      <c r="B2126">
        <v>30.72</v>
      </c>
      <c r="C2126">
        <v>6.06</v>
      </c>
      <c r="D2126" t="s">
        <v>4682</v>
      </c>
      <c r="E2126" t="s">
        <v>4683</v>
      </c>
      <c r="F2126" t="s">
        <v>4682</v>
      </c>
      <c r="G2126">
        <v>1</v>
      </c>
      <c r="H2126" t="s">
        <v>4682</v>
      </c>
      <c r="I2126" t="str" cm="1">
        <f t="array" ref="I2126">_xlfn.IFS(B2126&lt;18.5, "Underweight", B2126&lt;=24.9, "Normal Weight", B2126&lt;=29.9, "Overweight", TRUE, "Obesity")</f>
        <v>Obesity</v>
      </c>
      <c r="J2126" t="str" cm="1">
        <f t="array" ref="J2126">_xlfn.IFS(C2126&lt;5.7, "Normal", C2126&lt;=6.4, "Prediabetes", TRUE, "Diabetes")</f>
        <v>Prediabetes</v>
      </c>
    </row>
    <row r="2127" spans="1:10">
      <c r="A2127" t="s">
        <v>4252</v>
      </c>
      <c r="B2127">
        <v>37.43</v>
      </c>
      <c r="C2127">
        <v>4.5599999999999996</v>
      </c>
      <c r="D2127" t="s">
        <v>4682</v>
      </c>
      <c r="E2127" t="s">
        <v>4682</v>
      </c>
      <c r="F2127" t="s">
        <v>4684</v>
      </c>
      <c r="G2127">
        <v>1</v>
      </c>
      <c r="H2127" t="s">
        <v>4682</v>
      </c>
      <c r="I2127" t="str" cm="1">
        <f t="array" ref="I2127">_xlfn.IFS(B2127&lt;18.5, "Underweight", B2127&lt;=24.9, "Normal Weight", B2127&lt;=29.9, "Overweight", TRUE, "Obesity")</f>
        <v>Obesity</v>
      </c>
      <c r="J2127" t="str" cm="1">
        <f t="array" ref="J2127">_xlfn.IFS(C2127&lt;5.7, "Normal", C2127&lt;=6.4, "Prediabetes", TRUE, "Diabetes")</f>
        <v>Normal</v>
      </c>
    </row>
    <row r="2128" spans="1:10">
      <c r="A2128" t="s">
        <v>4254</v>
      </c>
      <c r="B2128">
        <v>25.74</v>
      </c>
      <c r="C2128">
        <v>6.41</v>
      </c>
      <c r="D2128" t="s">
        <v>4683</v>
      </c>
      <c r="E2128" t="s">
        <v>4682</v>
      </c>
      <c r="F2128" t="s">
        <v>4684</v>
      </c>
      <c r="G2128">
        <v>1</v>
      </c>
      <c r="H2128" t="s">
        <v>4682</v>
      </c>
      <c r="I2128" t="str" cm="1">
        <f t="array" ref="I2128">_xlfn.IFS(B2128&lt;18.5, "Underweight", B2128&lt;=24.9, "Normal Weight", B2128&lt;=29.9, "Overweight", TRUE, "Obesity")</f>
        <v>Overweight</v>
      </c>
      <c r="J2128" t="str" cm="1">
        <f t="array" ref="J2128">_xlfn.IFS(C2128&lt;5.7, "Normal", C2128&lt;=6.4, "Prediabetes", TRUE, "Diabetes")</f>
        <v>Diabetes</v>
      </c>
    </row>
    <row r="2129" spans="1:10">
      <c r="A2129" t="s">
        <v>4256</v>
      </c>
      <c r="B2129">
        <v>36.575000000000003</v>
      </c>
      <c r="C2129">
        <v>5.57</v>
      </c>
      <c r="D2129" t="s">
        <v>4682</v>
      </c>
      <c r="E2129" t="s">
        <v>4682</v>
      </c>
      <c r="F2129" t="s">
        <v>4684</v>
      </c>
      <c r="G2129">
        <v>1</v>
      </c>
      <c r="H2129" t="s">
        <v>4682</v>
      </c>
      <c r="I2129" t="str" cm="1">
        <f t="array" ref="I2129">_xlfn.IFS(B2129&lt;18.5, "Underweight", B2129&lt;=24.9, "Normal Weight", B2129&lt;=29.9, "Overweight", TRUE, "Obesity")</f>
        <v>Obesity</v>
      </c>
      <c r="J2129" t="str" cm="1">
        <f t="array" ref="J2129">_xlfn.IFS(C2129&lt;5.7, "Normal", C2129&lt;=6.4, "Prediabetes", TRUE, "Diabetes")</f>
        <v>Normal</v>
      </c>
    </row>
    <row r="2130" spans="1:10">
      <c r="A2130" t="s">
        <v>4258</v>
      </c>
      <c r="B2130">
        <v>35.15</v>
      </c>
      <c r="C2130">
        <v>5.47</v>
      </c>
      <c r="D2130" t="s">
        <v>4682</v>
      </c>
      <c r="E2130" t="s">
        <v>4682</v>
      </c>
      <c r="F2130" t="s">
        <v>4684</v>
      </c>
      <c r="G2130">
        <v>1</v>
      </c>
      <c r="H2130" t="s">
        <v>4682</v>
      </c>
      <c r="I2130" t="str" cm="1">
        <f t="array" ref="I2130">_xlfn.IFS(B2130&lt;18.5, "Underweight", B2130&lt;=24.9, "Normal Weight", B2130&lt;=29.9, "Overweight", TRUE, "Obesity")</f>
        <v>Obesity</v>
      </c>
      <c r="J2130" t="str" cm="1">
        <f t="array" ref="J2130">_xlfn.IFS(C2130&lt;5.7, "Normal", C2130&lt;=6.4, "Prediabetes", TRUE, "Diabetes")</f>
        <v>Normal</v>
      </c>
    </row>
    <row r="2131" spans="1:10">
      <c r="A2131" t="s">
        <v>4260</v>
      </c>
      <c r="B2131">
        <v>32.11</v>
      </c>
      <c r="C2131">
        <v>4.43</v>
      </c>
      <c r="D2131" t="s">
        <v>4682</v>
      </c>
      <c r="E2131" t="s">
        <v>4682</v>
      </c>
      <c r="F2131" t="s">
        <v>4684</v>
      </c>
      <c r="G2131">
        <v>1</v>
      </c>
      <c r="H2131" t="s">
        <v>4682</v>
      </c>
      <c r="I2131" t="str" cm="1">
        <f t="array" ref="I2131">_xlfn.IFS(B2131&lt;18.5, "Underweight", B2131&lt;=24.9, "Normal Weight", B2131&lt;=29.9, "Overweight", TRUE, "Obesity")</f>
        <v>Obesity</v>
      </c>
      <c r="J2131" t="str" cm="1">
        <f t="array" ref="J2131">_xlfn.IFS(C2131&lt;5.7, "Normal", C2131&lt;=6.4, "Prediabetes", TRUE, "Diabetes")</f>
        <v>Normal</v>
      </c>
    </row>
    <row r="2132" spans="1:10">
      <c r="A2132" t="s">
        <v>4262</v>
      </c>
      <c r="B2132">
        <v>30.495000000000001</v>
      </c>
      <c r="C2132">
        <v>4.95</v>
      </c>
      <c r="D2132" t="s">
        <v>4682</v>
      </c>
      <c r="E2132" t="s">
        <v>4682</v>
      </c>
      <c r="F2132" t="s">
        <v>4684</v>
      </c>
      <c r="G2132">
        <v>1</v>
      </c>
      <c r="H2132" t="s">
        <v>4682</v>
      </c>
      <c r="I2132" t="str" cm="1">
        <f t="array" ref="I2132">_xlfn.IFS(B2132&lt;18.5, "Underweight", B2132&lt;=24.9, "Normal Weight", B2132&lt;=29.9, "Overweight", TRUE, "Obesity")</f>
        <v>Obesity</v>
      </c>
      <c r="J2132" t="str" cm="1">
        <f t="array" ref="J2132">_xlfn.IFS(C2132&lt;5.7, "Normal", C2132&lt;=6.4, "Prediabetes", TRUE, "Diabetes")</f>
        <v>Normal</v>
      </c>
    </row>
    <row r="2133" spans="1:10">
      <c r="A2133" t="s">
        <v>4264</v>
      </c>
      <c r="B2133">
        <v>29.24</v>
      </c>
      <c r="C2133">
        <v>4.04</v>
      </c>
      <c r="D2133" t="s">
        <v>4682</v>
      </c>
      <c r="E2133" t="s">
        <v>4683</v>
      </c>
      <c r="F2133" t="s">
        <v>4682</v>
      </c>
      <c r="G2133">
        <v>1</v>
      </c>
      <c r="H2133" t="s">
        <v>4682</v>
      </c>
      <c r="I2133" t="str" cm="1">
        <f t="array" ref="I2133">_xlfn.IFS(B2133&lt;18.5, "Underweight", B2133&lt;=24.9, "Normal Weight", B2133&lt;=29.9, "Overweight", TRUE, "Obesity")</f>
        <v>Overweight</v>
      </c>
      <c r="J2133" t="str" cm="1">
        <f t="array" ref="J2133">_xlfn.IFS(C2133&lt;5.7, "Normal", C2133&lt;=6.4, "Prediabetes", TRUE, "Diabetes")</f>
        <v>Normal</v>
      </c>
    </row>
    <row r="2134" spans="1:10">
      <c r="A2134" t="s">
        <v>4266</v>
      </c>
      <c r="B2134">
        <v>22.515000000000001</v>
      </c>
      <c r="C2134">
        <v>5.93</v>
      </c>
      <c r="D2134" t="s">
        <v>4682</v>
      </c>
      <c r="E2134" t="s">
        <v>4682</v>
      </c>
      <c r="F2134" t="s">
        <v>4684</v>
      </c>
      <c r="G2134">
        <v>1</v>
      </c>
      <c r="H2134" t="s">
        <v>4682</v>
      </c>
      <c r="I2134" t="str" cm="1">
        <f t="array" ref="I2134">_xlfn.IFS(B2134&lt;18.5, "Underweight", B2134&lt;=24.9, "Normal Weight", B2134&lt;=29.9, "Overweight", TRUE, "Obesity")</f>
        <v>Normal Weight</v>
      </c>
      <c r="J2134" t="str" cm="1">
        <f t="array" ref="J2134">_xlfn.IFS(C2134&lt;5.7, "Normal", C2134&lt;=6.4, "Prediabetes", TRUE, "Diabetes")</f>
        <v>Prediabetes</v>
      </c>
    </row>
    <row r="2135" spans="1:10">
      <c r="A2135" t="s">
        <v>4268</v>
      </c>
      <c r="B2135">
        <v>15.65</v>
      </c>
      <c r="C2135">
        <v>4.2300000000000004</v>
      </c>
      <c r="D2135" t="s">
        <v>4682</v>
      </c>
      <c r="E2135" t="s">
        <v>4682</v>
      </c>
      <c r="F2135" t="s">
        <v>4682</v>
      </c>
      <c r="G2135">
        <v>0</v>
      </c>
      <c r="H2135" t="s">
        <v>4682</v>
      </c>
      <c r="I2135" t="str" cm="1">
        <f t="array" ref="I2135">_xlfn.IFS(B2135&lt;18.5, "Underweight", B2135&lt;=24.9, "Normal Weight", B2135&lt;=29.9, "Overweight", TRUE, "Obesity")</f>
        <v>Underweight</v>
      </c>
      <c r="J2135" t="str" cm="1">
        <f t="array" ref="J2135">_xlfn.IFS(C2135&lt;5.7, "Normal", C2135&lt;=6.4, "Prediabetes", TRUE, "Diabetes")</f>
        <v>Normal</v>
      </c>
    </row>
    <row r="2136" spans="1:10">
      <c r="A2136" t="s">
        <v>4270</v>
      </c>
      <c r="B2136">
        <v>27.36</v>
      </c>
      <c r="C2136">
        <v>5.59</v>
      </c>
      <c r="D2136" t="s">
        <v>4683</v>
      </c>
      <c r="E2136" t="s">
        <v>4682</v>
      </c>
      <c r="F2136" t="s">
        <v>4682</v>
      </c>
      <c r="G2136">
        <v>0</v>
      </c>
      <c r="H2136" t="s">
        <v>4682</v>
      </c>
      <c r="I2136" t="str" cm="1">
        <f t="array" ref="I2136">_xlfn.IFS(B2136&lt;18.5, "Underweight", B2136&lt;=24.9, "Normal Weight", B2136&lt;=29.9, "Overweight", TRUE, "Obesity")</f>
        <v>Overweight</v>
      </c>
      <c r="J2136" t="str" cm="1">
        <f t="array" ref="J2136">_xlfn.IFS(C2136&lt;5.7, "Normal", C2136&lt;=6.4, "Prediabetes", TRUE, "Diabetes")</f>
        <v>Normal</v>
      </c>
    </row>
    <row r="2137" spans="1:10">
      <c r="A2137" t="s">
        <v>4272</v>
      </c>
      <c r="B2137">
        <v>22.3</v>
      </c>
      <c r="C2137">
        <v>4.8899999999999997</v>
      </c>
      <c r="D2137" t="s">
        <v>4683</v>
      </c>
      <c r="E2137" t="s">
        <v>4682</v>
      </c>
      <c r="F2137" t="s">
        <v>4682</v>
      </c>
      <c r="G2137">
        <v>0</v>
      </c>
      <c r="H2137" t="s">
        <v>4682</v>
      </c>
      <c r="I2137" t="str" cm="1">
        <f t="array" ref="I2137">_xlfn.IFS(B2137&lt;18.5, "Underweight", B2137&lt;=24.9, "Normal Weight", B2137&lt;=29.9, "Overweight", TRUE, "Obesity")</f>
        <v>Normal Weight</v>
      </c>
      <c r="J2137" t="str" cm="1">
        <f t="array" ref="J2137">_xlfn.IFS(C2137&lt;5.7, "Normal", C2137&lt;=6.4, "Prediabetes", TRUE, "Diabetes")</f>
        <v>Normal</v>
      </c>
    </row>
    <row r="2138" spans="1:10">
      <c r="A2138" t="s">
        <v>4274</v>
      </c>
      <c r="B2138">
        <v>26.03</v>
      </c>
      <c r="C2138">
        <v>5.81</v>
      </c>
      <c r="D2138" t="s">
        <v>4683</v>
      </c>
      <c r="E2138" t="s">
        <v>4682</v>
      </c>
      <c r="F2138" t="s">
        <v>4682</v>
      </c>
      <c r="G2138">
        <v>0</v>
      </c>
      <c r="H2138" t="s">
        <v>4682</v>
      </c>
      <c r="I2138" t="str" cm="1">
        <f t="array" ref="I2138">_xlfn.IFS(B2138&lt;18.5, "Underweight", B2138&lt;=24.9, "Normal Weight", B2138&lt;=29.9, "Overweight", TRUE, "Obesity")</f>
        <v>Overweight</v>
      </c>
      <c r="J2138" t="str" cm="1">
        <f t="array" ref="J2138">_xlfn.IFS(C2138&lt;5.7, "Normal", C2138&lt;=6.4, "Prediabetes", TRUE, "Diabetes")</f>
        <v>Prediabetes</v>
      </c>
    </row>
    <row r="2139" spans="1:10">
      <c r="A2139" t="s">
        <v>4276</v>
      </c>
      <c r="B2139">
        <v>27.74</v>
      </c>
      <c r="C2139">
        <v>4.29</v>
      </c>
      <c r="D2139" t="s">
        <v>4682</v>
      </c>
      <c r="E2139" t="s">
        <v>4683</v>
      </c>
      <c r="F2139" t="s">
        <v>4682</v>
      </c>
      <c r="G2139">
        <v>1</v>
      </c>
      <c r="H2139" t="s">
        <v>4682</v>
      </c>
      <c r="I2139" t="str" cm="1">
        <f t="array" ref="I2139">_xlfn.IFS(B2139&lt;18.5, "Underweight", B2139&lt;=24.9, "Normal Weight", B2139&lt;=29.9, "Overweight", TRUE, "Obesity")</f>
        <v>Overweight</v>
      </c>
      <c r="J2139" t="str" cm="1">
        <f t="array" ref="J2139">_xlfn.IFS(C2139&lt;5.7, "Normal", C2139&lt;=6.4, "Prediabetes", TRUE, "Diabetes")</f>
        <v>Normal</v>
      </c>
    </row>
    <row r="2140" spans="1:10">
      <c r="A2140" t="s">
        <v>4278</v>
      </c>
      <c r="B2140">
        <v>32.11</v>
      </c>
      <c r="C2140">
        <v>4.03</v>
      </c>
      <c r="D2140" t="s">
        <v>4683</v>
      </c>
      <c r="E2140" t="s">
        <v>4683</v>
      </c>
      <c r="F2140" t="s">
        <v>4682</v>
      </c>
      <c r="G2140">
        <v>2</v>
      </c>
      <c r="H2140" t="s">
        <v>4682</v>
      </c>
      <c r="I2140" t="str" cm="1">
        <f t="array" ref="I2140">_xlfn.IFS(B2140&lt;18.5, "Underweight", B2140&lt;=24.9, "Normal Weight", B2140&lt;=29.9, "Overweight", TRUE, "Obesity")</f>
        <v>Obesity</v>
      </c>
      <c r="J2140" t="str" cm="1">
        <f t="array" ref="J2140">_xlfn.IFS(C2140&lt;5.7, "Normal", C2140&lt;=6.4, "Prediabetes", TRUE, "Diabetes")</f>
        <v>Normal</v>
      </c>
    </row>
    <row r="2141" spans="1:10">
      <c r="A2141" t="s">
        <v>4280</v>
      </c>
      <c r="B2141">
        <v>25.175000000000001</v>
      </c>
      <c r="C2141">
        <v>6.29</v>
      </c>
      <c r="D2141" t="s">
        <v>4683</v>
      </c>
      <c r="E2141" t="s">
        <v>4683</v>
      </c>
      <c r="F2141" t="s">
        <v>4682</v>
      </c>
      <c r="G2141">
        <v>2</v>
      </c>
      <c r="H2141" t="s">
        <v>4682</v>
      </c>
      <c r="I2141" t="str" cm="1">
        <f t="array" ref="I2141">_xlfn.IFS(B2141&lt;18.5, "Underweight", B2141&lt;=24.9, "Normal Weight", B2141&lt;=29.9, "Overweight", TRUE, "Obesity")</f>
        <v>Overweight</v>
      </c>
      <c r="J2141" t="str" cm="1">
        <f t="array" ref="J2141">_xlfn.IFS(C2141&lt;5.7, "Normal", C2141&lt;=6.4, "Prediabetes", TRUE, "Diabetes")</f>
        <v>Prediabetes</v>
      </c>
    </row>
    <row r="2142" spans="1:10">
      <c r="A2142" t="s">
        <v>4282</v>
      </c>
      <c r="B2142">
        <v>39.49</v>
      </c>
      <c r="C2142">
        <v>4.4800000000000004</v>
      </c>
      <c r="D2142" t="s">
        <v>4683</v>
      </c>
      <c r="E2142" t="s">
        <v>4682</v>
      </c>
      <c r="F2142" t="s">
        <v>4682</v>
      </c>
      <c r="G2142">
        <v>0</v>
      </c>
      <c r="H2142" t="s">
        <v>4682</v>
      </c>
      <c r="I2142" t="str" cm="1">
        <f t="array" ref="I2142">_xlfn.IFS(B2142&lt;18.5, "Underweight", B2142&lt;=24.9, "Normal Weight", B2142&lt;=29.9, "Overweight", TRUE, "Obesity")</f>
        <v>Obesity</v>
      </c>
      <c r="J2142" t="str" cm="1">
        <f t="array" ref="J2142">_xlfn.IFS(C2142&lt;5.7, "Normal", C2142&lt;=6.4, "Prediabetes", TRUE, "Diabetes")</f>
        <v>Normal</v>
      </c>
    </row>
    <row r="2143" spans="1:10">
      <c r="A2143" t="s">
        <v>4284</v>
      </c>
      <c r="B2143">
        <v>34.869999999999997</v>
      </c>
      <c r="C2143">
        <v>5.51</v>
      </c>
      <c r="D2143" t="s">
        <v>4683</v>
      </c>
      <c r="E2143" t="s">
        <v>4682</v>
      </c>
      <c r="F2143" t="s">
        <v>4682</v>
      </c>
      <c r="G2143">
        <v>0</v>
      </c>
      <c r="H2143" t="s">
        <v>4682</v>
      </c>
      <c r="I2143" t="str" cm="1">
        <f t="array" ref="I2143">_xlfn.IFS(B2143&lt;18.5, "Underweight", B2143&lt;=24.9, "Normal Weight", B2143&lt;=29.9, "Overweight", TRUE, "Obesity")</f>
        <v>Obesity</v>
      </c>
      <c r="J2143" t="str" cm="1">
        <f t="array" ref="J2143">_xlfn.IFS(C2143&lt;5.7, "Normal", C2143&lt;=6.4, "Prediabetes", TRUE, "Diabetes")</f>
        <v>Normal</v>
      </c>
    </row>
    <row r="2144" spans="1:10">
      <c r="A2144" t="s">
        <v>4286</v>
      </c>
      <c r="B2144">
        <v>34.6</v>
      </c>
      <c r="C2144">
        <v>4.5</v>
      </c>
      <c r="D2144" t="s">
        <v>4683</v>
      </c>
      <c r="E2144" t="s">
        <v>4682</v>
      </c>
      <c r="F2144" t="s">
        <v>4682</v>
      </c>
      <c r="G2144">
        <v>0</v>
      </c>
      <c r="H2144" t="s">
        <v>4682</v>
      </c>
      <c r="I2144" t="str" cm="1">
        <f t="array" ref="I2144">_xlfn.IFS(B2144&lt;18.5, "Underweight", B2144&lt;=24.9, "Normal Weight", B2144&lt;=29.9, "Overweight", TRUE, "Obesity")</f>
        <v>Obesity</v>
      </c>
      <c r="J2144" t="str" cm="1">
        <f t="array" ref="J2144">_xlfn.IFS(C2144&lt;5.7, "Normal", C2144&lt;=6.4, "Prediabetes", TRUE, "Diabetes")</f>
        <v>Normal</v>
      </c>
    </row>
    <row r="2145" spans="1:10">
      <c r="A2145" t="s">
        <v>4288</v>
      </c>
      <c r="B2145">
        <v>25.8</v>
      </c>
      <c r="C2145">
        <v>6.29</v>
      </c>
      <c r="D2145" t="s">
        <v>4683</v>
      </c>
      <c r="E2145" t="s">
        <v>4682</v>
      </c>
      <c r="F2145" t="s">
        <v>4682</v>
      </c>
      <c r="G2145">
        <v>0</v>
      </c>
      <c r="H2145" t="s">
        <v>4682</v>
      </c>
      <c r="I2145" t="str" cm="1">
        <f t="array" ref="I2145">_xlfn.IFS(B2145&lt;18.5, "Underweight", B2145&lt;=24.9, "Normal Weight", B2145&lt;=29.9, "Overweight", TRUE, "Obesity")</f>
        <v>Overweight</v>
      </c>
      <c r="J2145" t="str" cm="1">
        <f t="array" ref="J2145">_xlfn.IFS(C2145&lt;5.7, "Normal", C2145&lt;=6.4, "Prediabetes", TRUE, "Diabetes")</f>
        <v>Prediabetes</v>
      </c>
    </row>
    <row r="2146" spans="1:10">
      <c r="A2146" t="s">
        <v>4290</v>
      </c>
      <c r="B2146">
        <v>35.86</v>
      </c>
      <c r="C2146">
        <v>4.33</v>
      </c>
      <c r="D2146" t="s">
        <v>4682</v>
      </c>
      <c r="E2146" t="s">
        <v>4682</v>
      </c>
      <c r="F2146" t="s">
        <v>4682</v>
      </c>
      <c r="G2146">
        <v>1</v>
      </c>
      <c r="H2146" t="s">
        <v>4682</v>
      </c>
      <c r="I2146" t="str" cm="1">
        <f t="array" ref="I2146">_xlfn.IFS(B2146&lt;18.5, "Underweight", B2146&lt;=24.9, "Normal Weight", B2146&lt;=29.9, "Overweight", TRUE, "Obesity")</f>
        <v>Obesity</v>
      </c>
      <c r="J2146" t="str" cm="1">
        <f t="array" ref="J2146">_xlfn.IFS(C2146&lt;5.7, "Normal", C2146&lt;=6.4, "Prediabetes", TRUE, "Diabetes")</f>
        <v>Normal</v>
      </c>
    </row>
    <row r="2147" spans="1:10">
      <c r="A2147" t="s">
        <v>4292</v>
      </c>
      <c r="B2147">
        <v>40.47</v>
      </c>
      <c r="C2147">
        <v>11.15</v>
      </c>
      <c r="D2147" t="s">
        <v>4682</v>
      </c>
      <c r="E2147" t="s">
        <v>4682</v>
      </c>
      <c r="F2147" t="s">
        <v>4682</v>
      </c>
      <c r="G2147">
        <v>0</v>
      </c>
      <c r="H2147" t="s">
        <v>4682</v>
      </c>
      <c r="I2147" t="str" cm="1">
        <f t="array" ref="I2147">_xlfn.IFS(B2147&lt;18.5, "Underweight", B2147&lt;=24.9, "Normal Weight", B2147&lt;=29.9, "Overweight", TRUE, "Obesity")</f>
        <v>Obesity</v>
      </c>
      <c r="J2147" t="str" cm="1">
        <f t="array" ref="J2147">_xlfn.IFS(C2147&lt;5.7, "Normal", C2147&lt;=6.4, "Prediabetes", TRUE, "Diabetes")</f>
        <v>Diabetes</v>
      </c>
    </row>
    <row r="2148" spans="1:10">
      <c r="A2148" t="s">
        <v>4294</v>
      </c>
      <c r="B2148">
        <v>32.01</v>
      </c>
      <c r="C2148">
        <v>6.45</v>
      </c>
      <c r="D2148" t="s">
        <v>4682</v>
      </c>
      <c r="E2148" t="s">
        <v>4682</v>
      </c>
      <c r="F2148" t="s">
        <v>4682</v>
      </c>
      <c r="G2148">
        <v>1</v>
      </c>
      <c r="H2148" t="s">
        <v>4682</v>
      </c>
      <c r="I2148" t="str" cm="1">
        <f t="array" ref="I2148">_xlfn.IFS(B2148&lt;18.5, "Underweight", B2148&lt;=24.9, "Normal Weight", B2148&lt;=29.9, "Overweight", TRUE, "Obesity")</f>
        <v>Obesity</v>
      </c>
      <c r="J2148" t="str" cm="1">
        <f t="array" ref="J2148">_xlfn.IFS(C2148&lt;5.7, "Normal", C2148&lt;=6.4, "Prediabetes", TRUE, "Diabetes")</f>
        <v>Diabetes</v>
      </c>
    </row>
    <row r="2149" spans="1:10">
      <c r="A2149" t="s">
        <v>4296</v>
      </c>
      <c r="B2149">
        <v>33</v>
      </c>
      <c r="C2149">
        <v>9.27</v>
      </c>
      <c r="D2149" t="s">
        <v>4682</v>
      </c>
      <c r="E2149" t="s">
        <v>4682</v>
      </c>
      <c r="F2149" t="s">
        <v>4682</v>
      </c>
      <c r="G2149">
        <v>0</v>
      </c>
      <c r="H2149" t="s">
        <v>4682</v>
      </c>
      <c r="I2149" t="str" cm="1">
        <f t="array" ref="I2149">_xlfn.IFS(B2149&lt;18.5, "Underweight", B2149&lt;=24.9, "Normal Weight", B2149&lt;=29.9, "Overweight", TRUE, "Obesity")</f>
        <v>Obesity</v>
      </c>
      <c r="J2149" t="str" cm="1">
        <f t="array" ref="J2149">_xlfn.IFS(C2149&lt;5.7, "Normal", C2149&lt;=6.4, "Prediabetes", TRUE, "Diabetes")</f>
        <v>Diabetes</v>
      </c>
    </row>
    <row r="2150" spans="1:10">
      <c r="A2150" t="s">
        <v>4298</v>
      </c>
      <c r="B2150">
        <v>29.3</v>
      </c>
      <c r="C2150">
        <v>6.15</v>
      </c>
      <c r="D2150" t="s">
        <v>4682</v>
      </c>
      <c r="E2150" t="s">
        <v>4682</v>
      </c>
      <c r="F2150" t="s">
        <v>4682</v>
      </c>
      <c r="G2150">
        <v>1</v>
      </c>
      <c r="H2150" t="s">
        <v>4682</v>
      </c>
      <c r="I2150" t="str" cm="1">
        <f t="array" ref="I2150">_xlfn.IFS(B2150&lt;18.5, "Underweight", B2150&lt;=24.9, "Normal Weight", B2150&lt;=29.9, "Overweight", TRUE, "Obesity")</f>
        <v>Overweight</v>
      </c>
      <c r="J2150" t="str" cm="1">
        <f t="array" ref="J2150">_xlfn.IFS(C2150&lt;5.7, "Normal", C2150&lt;=6.4, "Prediabetes", TRUE, "Diabetes")</f>
        <v>Prediabetes</v>
      </c>
    </row>
    <row r="2151" spans="1:10">
      <c r="A2151" t="s">
        <v>4300</v>
      </c>
      <c r="B2151">
        <v>25.8</v>
      </c>
      <c r="C2151">
        <v>4.13</v>
      </c>
      <c r="D2151" t="s">
        <v>4682</v>
      </c>
      <c r="E2151" t="s">
        <v>4682</v>
      </c>
      <c r="F2151" t="s">
        <v>4682</v>
      </c>
      <c r="G2151">
        <v>1</v>
      </c>
      <c r="H2151" t="s">
        <v>4682</v>
      </c>
      <c r="I2151" t="str" cm="1">
        <f t="array" ref="I2151">_xlfn.IFS(B2151&lt;18.5, "Underweight", B2151&lt;=24.9, "Normal Weight", B2151&lt;=29.9, "Overweight", TRUE, "Obesity")</f>
        <v>Overweight</v>
      </c>
      <c r="J2151" t="str" cm="1">
        <f t="array" ref="J2151">_xlfn.IFS(C2151&lt;5.7, "Normal", C2151&lt;=6.4, "Prediabetes", TRUE, "Diabetes")</f>
        <v>Normal</v>
      </c>
    </row>
    <row r="2152" spans="1:10">
      <c r="A2152" t="s">
        <v>4302</v>
      </c>
      <c r="B2152">
        <v>23.4</v>
      </c>
      <c r="C2152">
        <v>4.24</v>
      </c>
      <c r="D2152" t="s">
        <v>4682</v>
      </c>
      <c r="E2152" t="s">
        <v>4682</v>
      </c>
      <c r="F2152" t="s">
        <v>4682</v>
      </c>
      <c r="G2152">
        <v>1</v>
      </c>
      <c r="H2152" t="s">
        <v>4682</v>
      </c>
      <c r="I2152" t="str" cm="1">
        <f t="array" ref="I2152">_xlfn.IFS(B2152&lt;18.5, "Underweight", B2152&lt;=24.9, "Normal Weight", B2152&lt;=29.9, "Overweight", TRUE, "Obesity")</f>
        <v>Normal Weight</v>
      </c>
      <c r="J2152" t="str" cm="1">
        <f t="array" ref="J2152">_xlfn.IFS(C2152&lt;5.7, "Normal", C2152&lt;=6.4, "Prediabetes", TRUE, "Diabetes")</f>
        <v>Normal</v>
      </c>
    </row>
    <row r="2153" spans="1:10">
      <c r="A2153" t="s">
        <v>4304</v>
      </c>
      <c r="B2153">
        <v>27.93</v>
      </c>
      <c r="C2153">
        <v>9.8800000000000008</v>
      </c>
      <c r="D2153" t="s">
        <v>4682</v>
      </c>
      <c r="E2153" t="s">
        <v>4682</v>
      </c>
      <c r="F2153" t="s">
        <v>4682</v>
      </c>
      <c r="G2153">
        <v>0</v>
      </c>
      <c r="H2153" t="s">
        <v>4682</v>
      </c>
      <c r="I2153" t="str" cm="1">
        <f t="array" ref="I2153">_xlfn.IFS(B2153&lt;18.5, "Underweight", B2153&lt;=24.9, "Normal Weight", B2153&lt;=29.9, "Overweight", TRUE, "Obesity")</f>
        <v>Overweight</v>
      </c>
      <c r="J2153" t="str" cm="1">
        <f t="array" ref="J2153">_xlfn.IFS(C2153&lt;5.7, "Normal", C2153&lt;=6.4, "Prediabetes", TRUE, "Diabetes")</f>
        <v>Diabetes</v>
      </c>
    </row>
    <row r="2154" spans="1:10">
      <c r="A2154" t="s">
        <v>4306</v>
      </c>
      <c r="B2154">
        <v>22</v>
      </c>
      <c r="C2154">
        <v>9.5</v>
      </c>
      <c r="D2154" t="s">
        <v>4682</v>
      </c>
      <c r="E2154" t="s">
        <v>4682</v>
      </c>
      <c r="F2154" t="s">
        <v>4682</v>
      </c>
      <c r="G2154">
        <v>0</v>
      </c>
      <c r="H2154" t="s">
        <v>4682</v>
      </c>
      <c r="I2154" t="str" cm="1">
        <f t="array" ref="I2154">_xlfn.IFS(B2154&lt;18.5, "Underweight", B2154&lt;=24.9, "Normal Weight", B2154&lt;=29.9, "Overweight", TRUE, "Obesity")</f>
        <v>Normal Weight</v>
      </c>
      <c r="J2154" t="str" cm="1">
        <f t="array" ref="J2154">_xlfn.IFS(C2154&lt;5.7, "Normal", C2154&lt;=6.4, "Prediabetes", TRUE, "Diabetes")</f>
        <v>Diabetes</v>
      </c>
    </row>
    <row r="2155" spans="1:10">
      <c r="A2155" t="s">
        <v>4308</v>
      </c>
      <c r="B2155">
        <v>36.86</v>
      </c>
      <c r="C2155">
        <v>4.97</v>
      </c>
      <c r="D2155" t="s">
        <v>4683</v>
      </c>
      <c r="E2155" t="s">
        <v>4682</v>
      </c>
      <c r="F2155" t="s">
        <v>4682</v>
      </c>
      <c r="G2155">
        <v>0</v>
      </c>
      <c r="H2155" t="s">
        <v>4682</v>
      </c>
      <c r="I2155" t="str" cm="1">
        <f t="array" ref="I2155">_xlfn.IFS(B2155&lt;18.5, "Underweight", B2155&lt;=24.9, "Normal Weight", B2155&lt;=29.9, "Overweight", TRUE, "Obesity")</f>
        <v>Obesity</v>
      </c>
      <c r="J2155" t="str" cm="1">
        <f t="array" ref="J2155">_xlfn.IFS(C2155&lt;5.7, "Normal", C2155&lt;=6.4, "Prediabetes", TRUE, "Diabetes")</f>
        <v>Normal</v>
      </c>
    </row>
    <row r="2156" spans="1:10">
      <c r="A2156" t="s">
        <v>4310</v>
      </c>
      <c r="B2156">
        <v>31.254999999999999</v>
      </c>
      <c r="C2156">
        <v>5.49</v>
      </c>
      <c r="D2156" t="s">
        <v>4683</v>
      </c>
      <c r="E2156" t="s">
        <v>4682</v>
      </c>
      <c r="F2156" t="s">
        <v>4682</v>
      </c>
      <c r="G2156">
        <v>0</v>
      </c>
      <c r="H2156" t="s">
        <v>4682</v>
      </c>
      <c r="I2156" t="str" cm="1">
        <f t="array" ref="I2156">_xlfn.IFS(B2156&lt;18.5, "Underweight", B2156&lt;=24.9, "Normal Weight", B2156&lt;=29.9, "Overweight", TRUE, "Obesity")</f>
        <v>Obesity</v>
      </c>
      <c r="J2156" t="str" cm="1">
        <f t="array" ref="J2156">_xlfn.IFS(C2156&lt;5.7, "Normal", C2156&lt;=6.4, "Prediabetes", TRUE, "Diabetes")</f>
        <v>Normal</v>
      </c>
    </row>
    <row r="2157" spans="1:10">
      <c r="A2157" t="s">
        <v>4312</v>
      </c>
      <c r="B2157">
        <v>23.06</v>
      </c>
      <c r="C2157">
        <v>4.47</v>
      </c>
      <c r="D2157" t="s">
        <v>4682</v>
      </c>
      <c r="E2157" t="s">
        <v>4682</v>
      </c>
      <c r="F2157" t="s">
        <v>4682</v>
      </c>
      <c r="G2157">
        <v>0</v>
      </c>
      <c r="H2157" t="s">
        <v>4682</v>
      </c>
      <c r="I2157" t="str" cm="1">
        <f t="array" ref="I2157">_xlfn.IFS(B2157&lt;18.5, "Underweight", B2157&lt;=24.9, "Normal Weight", B2157&lt;=29.9, "Overweight", TRUE, "Obesity")</f>
        <v>Normal Weight</v>
      </c>
      <c r="J2157" t="str" cm="1">
        <f t="array" ref="J2157">_xlfn.IFS(C2157&lt;5.7, "Normal", C2157&lt;=6.4, "Prediabetes", TRUE, "Diabetes")</f>
        <v>Normal</v>
      </c>
    </row>
    <row r="2158" spans="1:10">
      <c r="A2158" t="s">
        <v>4314</v>
      </c>
      <c r="B2158">
        <v>28.975000000000001</v>
      </c>
      <c r="C2158">
        <v>4.34</v>
      </c>
      <c r="D2158" t="s">
        <v>4683</v>
      </c>
      <c r="E2158" t="s">
        <v>4682</v>
      </c>
      <c r="F2158" t="s">
        <v>4682</v>
      </c>
      <c r="G2158">
        <v>0</v>
      </c>
      <c r="H2158" t="s">
        <v>4682</v>
      </c>
      <c r="I2158" t="str" cm="1">
        <f t="array" ref="I2158">_xlfn.IFS(B2158&lt;18.5, "Underweight", B2158&lt;=24.9, "Normal Weight", B2158&lt;=29.9, "Overweight", TRUE, "Obesity")</f>
        <v>Overweight</v>
      </c>
      <c r="J2158" t="str" cm="1">
        <f t="array" ref="J2158">_xlfn.IFS(C2158&lt;5.7, "Normal", C2158&lt;=6.4, "Prediabetes", TRUE, "Diabetes")</f>
        <v>Normal</v>
      </c>
    </row>
    <row r="2159" spans="1:10">
      <c r="A2159" t="s">
        <v>4316</v>
      </c>
      <c r="B2159">
        <v>33.299999999999997</v>
      </c>
      <c r="C2159">
        <v>9.49</v>
      </c>
      <c r="D2159" t="s">
        <v>4682</v>
      </c>
      <c r="E2159" t="s">
        <v>4682</v>
      </c>
      <c r="F2159" t="s">
        <v>4682</v>
      </c>
      <c r="G2159">
        <v>0</v>
      </c>
      <c r="H2159" t="s">
        <v>4682</v>
      </c>
      <c r="I2159" t="str" cm="1">
        <f t="array" ref="I2159">_xlfn.IFS(B2159&lt;18.5, "Underweight", B2159&lt;=24.9, "Normal Weight", B2159&lt;=29.9, "Overweight", TRUE, "Obesity")</f>
        <v>Obesity</v>
      </c>
      <c r="J2159" t="str" cm="1">
        <f t="array" ref="J2159">_xlfn.IFS(C2159&lt;5.7, "Normal", C2159&lt;=6.4, "Prediabetes", TRUE, "Diabetes")</f>
        <v>Diabetes</v>
      </c>
    </row>
    <row r="2160" spans="1:10">
      <c r="A2160" t="s">
        <v>4318</v>
      </c>
      <c r="B2160">
        <v>33</v>
      </c>
      <c r="C2160">
        <v>10.16</v>
      </c>
      <c r="D2160" t="s">
        <v>4682</v>
      </c>
      <c r="E2160" t="s">
        <v>4682</v>
      </c>
      <c r="F2160" t="s">
        <v>4682</v>
      </c>
      <c r="G2160">
        <v>0</v>
      </c>
      <c r="H2160" t="s">
        <v>4682</v>
      </c>
      <c r="I2160" t="str" cm="1">
        <f t="array" ref="I2160">_xlfn.IFS(B2160&lt;18.5, "Underweight", B2160&lt;=24.9, "Normal Weight", B2160&lt;=29.9, "Overweight", TRUE, "Obesity")</f>
        <v>Obesity</v>
      </c>
      <c r="J2160" t="str" cm="1">
        <f t="array" ref="J2160">_xlfn.IFS(C2160&lt;5.7, "Normal", C2160&lt;=6.4, "Prediabetes", TRUE, "Diabetes")</f>
        <v>Diabetes</v>
      </c>
    </row>
    <row r="2161" spans="1:10">
      <c r="A2161" t="s">
        <v>4320</v>
      </c>
      <c r="B2161">
        <v>31.46</v>
      </c>
      <c r="C2161">
        <v>11.19</v>
      </c>
      <c r="D2161" t="s">
        <v>4682</v>
      </c>
      <c r="E2161" t="s">
        <v>4682</v>
      </c>
      <c r="F2161" t="s">
        <v>4682</v>
      </c>
      <c r="G2161">
        <v>0</v>
      </c>
      <c r="H2161" t="s">
        <v>4682</v>
      </c>
      <c r="I2161" t="str" cm="1">
        <f t="array" ref="I2161">_xlfn.IFS(B2161&lt;18.5, "Underweight", B2161&lt;=24.9, "Normal Weight", B2161&lt;=29.9, "Overweight", TRUE, "Obesity")</f>
        <v>Obesity</v>
      </c>
      <c r="J2161" t="str" cm="1">
        <f t="array" ref="J2161">_xlfn.IFS(C2161&lt;5.7, "Normal", C2161&lt;=6.4, "Prediabetes", TRUE, "Diabetes")</f>
        <v>Diabetes</v>
      </c>
    </row>
    <row r="2162" spans="1:10">
      <c r="A2162" t="s">
        <v>4322</v>
      </c>
      <c r="B2162">
        <v>29.6</v>
      </c>
      <c r="C2162">
        <v>11.03</v>
      </c>
      <c r="D2162" t="s">
        <v>4682</v>
      </c>
      <c r="E2162" t="s">
        <v>4682</v>
      </c>
      <c r="F2162" t="s">
        <v>4682</v>
      </c>
      <c r="G2162">
        <v>0</v>
      </c>
      <c r="H2162" t="s">
        <v>4682</v>
      </c>
      <c r="I2162" t="str" cm="1">
        <f t="array" ref="I2162">_xlfn.IFS(B2162&lt;18.5, "Underweight", B2162&lt;=24.9, "Normal Weight", B2162&lt;=29.9, "Overweight", TRUE, "Obesity")</f>
        <v>Overweight</v>
      </c>
      <c r="J2162" t="str" cm="1">
        <f t="array" ref="J2162">_xlfn.IFS(C2162&lt;5.7, "Normal", C2162&lt;=6.4, "Prediabetes", TRUE, "Diabetes")</f>
        <v>Diabetes</v>
      </c>
    </row>
    <row r="2163" spans="1:10">
      <c r="A2163" t="s">
        <v>4324</v>
      </c>
      <c r="B2163">
        <v>22.05</v>
      </c>
      <c r="C2163">
        <v>4.43</v>
      </c>
      <c r="D2163" t="s">
        <v>4683</v>
      </c>
      <c r="E2163" t="s">
        <v>4682</v>
      </c>
      <c r="F2163" t="s">
        <v>4682</v>
      </c>
      <c r="G2163">
        <v>0</v>
      </c>
      <c r="H2163" t="s">
        <v>4682</v>
      </c>
      <c r="I2163" t="str" cm="1">
        <f t="array" ref="I2163">_xlfn.IFS(B2163&lt;18.5, "Underweight", B2163&lt;=24.9, "Normal Weight", B2163&lt;=29.9, "Overweight", TRUE, "Obesity")</f>
        <v>Normal Weight</v>
      </c>
      <c r="J2163" t="str" cm="1">
        <f t="array" ref="J2163">_xlfn.IFS(C2163&lt;5.7, "Normal", C2163&lt;=6.4, "Prediabetes", TRUE, "Diabetes")</f>
        <v>Normal</v>
      </c>
    </row>
    <row r="2164" spans="1:10">
      <c r="A2164" t="s">
        <v>4326</v>
      </c>
      <c r="B2164">
        <v>27.06</v>
      </c>
      <c r="C2164">
        <v>6.14</v>
      </c>
      <c r="D2164" t="s">
        <v>4682</v>
      </c>
      <c r="E2164" t="s">
        <v>4683</v>
      </c>
      <c r="F2164" t="s">
        <v>4682</v>
      </c>
      <c r="G2164">
        <v>1</v>
      </c>
      <c r="H2164" t="s">
        <v>4682</v>
      </c>
      <c r="I2164" t="str" cm="1">
        <f t="array" ref="I2164">_xlfn.IFS(B2164&lt;18.5, "Underweight", B2164&lt;=24.9, "Normal Weight", B2164&lt;=29.9, "Overweight", TRUE, "Obesity")</f>
        <v>Overweight</v>
      </c>
      <c r="J2164" t="str" cm="1">
        <f t="array" ref="J2164">_xlfn.IFS(C2164&lt;5.7, "Normal", C2164&lt;=6.4, "Prediabetes", TRUE, "Diabetes")</f>
        <v>Prediabetes</v>
      </c>
    </row>
    <row r="2165" spans="1:10">
      <c r="A2165" t="s">
        <v>4328</v>
      </c>
      <c r="B2165">
        <v>20.49</v>
      </c>
      <c r="C2165">
        <v>4.87</v>
      </c>
      <c r="D2165" t="s">
        <v>4682</v>
      </c>
      <c r="E2165" t="s">
        <v>4682</v>
      </c>
      <c r="F2165" t="s">
        <v>4682</v>
      </c>
      <c r="G2165">
        <v>0</v>
      </c>
      <c r="H2165" t="s">
        <v>4682</v>
      </c>
      <c r="I2165" t="str" cm="1">
        <f t="array" ref="I2165">_xlfn.IFS(B2165&lt;18.5, "Underweight", B2165&lt;=24.9, "Normal Weight", B2165&lt;=29.9, "Overweight", TRUE, "Obesity")</f>
        <v>Normal Weight</v>
      </c>
      <c r="J2165" t="str" cm="1">
        <f t="array" ref="J2165">_xlfn.IFS(C2165&lt;5.7, "Normal", C2165&lt;=6.4, "Prediabetes", TRUE, "Diabetes")</f>
        <v>Normal</v>
      </c>
    </row>
    <row r="2166" spans="1:10">
      <c r="A2166" t="s">
        <v>4330</v>
      </c>
      <c r="B2166">
        <v>28.4</v>
      </c>
      <c r="C2166">
        <v>4.3</v>
      </c>
      <c r="D2166" t="s">
        <v>4682</v>
      </c>
      <c r="E2166" t="s">
        <v>4682</v>
      </c>
      <c r="F2166" t="s">
        <v>4684</v>
      </c>
      <c r="G2166">
        <v>1</v>
      </c>
      <c r="H2166" t="s">
        <v>4682</v>
      </c>
      <c r="I2166" t="str" cm="1">
        <f t="array" ref="I2166">_xlfn.IFS(B2166&lt;18.5, "Underweight", B2166&lt;=24.9, "Normal Weight", B2166&lt;=29.9, "Overweight", TRUE, "Obesity")</f>
        <v>Overweight</v>
      </c>
      <c r="J2166" t="str" cm="1">
        <f t="array" ref="J2166">_xlfn.IFS(C2166&lt;5.7, "Normal", C2166&lt;=6.4, "Prediabetes", TRUE, "Diabetes")</f>
        <v>Normal</v>
      </c>
    </row>
    <row r="2167" spans="1:10">
      <c r="A2167" t="s">
        <v>4332</v>
      </c>
      <c r="B2167">
        <v>41.91</v>
      </c>
      <c r="C2167">
        <v>6.19</v>
      </c>
      <c r="D2167" t="s">
        <v>4682</v>
      </c>
      <c r="E2167" t="s">
        <v>4682</v>
      </c>
      <c r="F2167" t="s">
        <v>4682</v>
      </c>
      <c r="G2167">
        <v>0</v>
      </c>
      <c r="H2167" t="s">
        <v>4682</v>
      </c>
      <c r="I2167" t="str" cm="1">
        <f t="array" ref="I2167">_xlfn.IFS(B2167&lt;18.5, "Underweight", B2167&lt;=24.9, "Normal Weight", B2167&lt;=29.9, "Overweight", TRUE, "Obesity")</f>
        <v>Obesity</v>
      </c>
      <c r="J2167" t="str" cm="1">
        <f t="array" ref="J2167">_xlfn.IFS(C2167&lt;5.7, "Normal", C2167&lt;=6.4, "Prediabetes", TRUE, "Diabetes")</f>
        <v>Prediabetes</v>
      </c>
    </row>
    <row r="2168" spans="1:10">
      <c r="A2168" t="s">
        <v>4334</v>
      </c>
      <c r="B2168">
        <v>24.6</v>
      </c>
      <c r="C2168">
        <v>6.19</v>
      </c>
      <c r="D2168" t="s">
        <v>4682</v>
      </c>
      <c r="E2168" t="s">
        <v>4682</v>
      </c>
      <c r="F2168" t="s">
        <v>4684</v>
      </c>
      <c r="G2168">
        <v>1</v>
      </c>
      <c r="H2168" t="s">
        <v>4682</v>
      </c>
      <c r="I2168" t="str" cm="1">
        <f t="array" ref="I2168">_xlfn.IFS(B2168&lt;18.5, "Underweight", B2168&lt;=24.9, "Normal Weight", B2168&lt;=29.9, "Overweight", TRUE, "Obesity")</f>
        <v>Normal Weight</v>
      </c>
      <c r="J2168" t="str" cm="1">
        <f t="array" ref="J2168">_xlfn.IFS(C2168&lt;5.7, "Normal", C2168&lt;=6.4, "Prediabetes", TRUE, "Diabetes")</f>
        <v>Prediabetes</v>
      </c>
    </row>
    <row r="2169" spans="1:10">
      <c r="A2169" t="s">
        <v>4336</v>
      </c>
      <c r="B2169">
        <v>20.9</v>
      </c>
      <c r="C2169">
        <v>5.12</v>
      </c>
      <c r="D2169" t="s">
        <v>4682</v>
      </c>
      <c r="E2169" t="s">
        <v>4682</v>
      </c>
      <c r="F2169" t="s">
        <v>4684</v>
      </c>
      <c r="G2169">
        <v>1</v>
      </c>
      <c r="H2169" t="s">
        <v>4682</v>
      </c>
      <c r="I2169" t="str" cm="1">
        <f t="array" ref="I2169">_xlfn.IFS(B2169&lt;18.5, "Underweight", B2169&lt;=24.9, "Normal Weight", B2169&lt;=29.9, "Overweight", TRUE, "Obesity")</f>
        <v>Normal Weight</v>
      </c>
      <c r="J2169" t="str" cm="1">
        <f t="array" ref="J2169">_xlfn.IFS(C2169&lt;5.7, "Normal", C2169&lt;=6.4, "Prediabetes", TRUE, "Diabetes")</f>
        <v>Normal</v>
      </c>
    </row>
    <row r="2170" spans="1:10">
      <c r="A2170" t="s">
        <v>4338</v>
      </c>
      <c r="B2170">
        <v>34.4</v>
      </c>
      <c r="C2170">
        <v>4.04</v>
      </c>
      <c r="D2170" t="s">
        <v>4682</v>
      </c>
      <c r="E2170" t="s">
        <v>4682</v>
      </c>
      <c r="F2170" t="s">
        <v>4682</v>
      </c>
      <c r="G2170">
        <v>0</v>
      </c>
      <c r="H2170" t="s">
        <v>4682</v>
      </c>
      <c r="I2170" t="str" cm="1">
        <f t="array" ref="I2170">_xlfn.IFS(B2170&lt;18.5, "Underweight", B2170&lt;=24.9, "Normal Weight", B2170&lt;=29.9, "Overweight", TRUE, "Obesity")</f>
        <v>Obesity</v>
      </c>
      <c r="J2170" t="str" cm="1">
        <f t="array" ref="J2170">_xlfn.IFS(C2170&lt;5.7, "Normal", C2170&lt;=6.4, "Prediabetes", TRUE, "Diabetes")</f>
        <v>Normal</v>
      </c>
    </row>
    <row r="2171" spans="1:10">
      <c r="A2171" t="s">
        <v>4340</v>
      </c>
      <c r="B2171">
        <v>32.56</v>
      </c>
      <c r="C2171">
        <v>5.36</v>
      </c>
      <c r="D2171" t="s">
        <v>4682</v>
      </c>
      <c r="E2171" t="s">
        <v>4682</v>
      </c>
      <c r="F2171" t="s">
        <v>4682</v>
      </c>
      <c r="G2171">
        <v>0</v>
      </c>
      <c r="H2171" t="s">
        <v>4682</v>
      </c>
      <c r="I2171" t="str" cm="1">
        <f t="array" ref="I2171">_xlfn.IFS(B2171&lt;18.5, "Underweight", B2171&lt;=24.9, "Normal Weight", B2171&lt;=29.9, "Overweight", TRUE, "Obesity")</f>
        <v>Obesity</v>
      </c>
      <c r="J2171" t="str" cm="1">
        <f t="array" ref="J2171">_xlfn.IFS(C2171&lt;5.7, "Normal", C2171&lt;=6.4, "Prediabetes", TRUE, "Diabetes")</f>
        <v>Normal</v>
      </c>
    </row>
    <row r="2172" spans="1:10">
      <c r="A2172" t="s">
        <v>4342</v>
      </c>
      <c r="B2172">
        <v>27.98</v>
      </c>
      <c r="C2172">
        <v>4.38</v>
      </c>
      <c r="D2172" t="s">
        <v>4682</v>
      </c>
      <c r="E2172" t="s">
        <v>4683</v>
      </c>
      <c r="F2172" t="s">
        <v>4682</v>
      </c>
      <c r="G2172">
        <v>1</v>
      </c>
      <c r="H2172" t="s">
        <v>4682</v>
      </c>
      <c r="I2172" t="str" cm="1">
        <f t="array" ref="I2172">_xlfn.IFS(B2172&lt;18.5, "Underweight", B2172&lt;=24.9, "Normal Weight", B2172&lt;=29.9, "Overweight", TRUE, "Obesity")</f>
        <v>Overweight</v>
      </c>
      <c r="J2172" t="str" cm="1">
        <f t="array" ref="J2172">_xlfn.IFS(C2172&lt;5.7, "Normal", C2172&lt;=6.4, "Prediabetes", TRUE, "Diabetes")</f>
        <v>Normal</v>
      </c>
    </row>
    <row r="2173" spans="1:10">
      <c r="A2173" t="s">
        <v>4344</v>
      </c>
      <c r="B2173">
        <v>26.51</v>
      </c>
      <c r="C2173">
        <v>4.58</v>
      </c>
      <c r="D2173" t="s">
        <v>4682</v>
      </c>
      <c r="E2173" t="s">
        <v>4682</v>
      </c>
      <c r="F2173" t="s">
        <v>4682</v>
      </c>
      <c r="G2173">
        <v>0</v>
      </c>
      <c r="H2173" t="s">
        <v>4682</v>
      </c>
      <c r="I2173" t="str" cm="1">
        <f t="array" ref="I2173">_xlfn.IFS(B2173&lt;18.5, "Underweight", B2173&lt;=24.9, "Normal Weight", B2173&lt;=29.9, "Overweight", TRUE, "Obesity")</f>
        <v>Overweight</v>
      </c>
      <c r="J2173" t="str" cm="1">
        <f t="array" ref="J2173">_xlfn.IFS(C2173&lt;5.7, "Normal", C2173&lt;=6.4, "Prediabetes", TRUE, "Diabetes")</f>
        <v>Normal</v>
      </c>
    </row>
    <row r="2174" spans="1:10">
      <c r="A2174" t="s">
        <v>4346</v>
      </c>
      <c r="B2174">
        <v>29.734999999999999</v>
      </c>
      <c r="C2174">
        <v>11.92</v>
      </c>
      <c r="D2174" t="s">
        <v>4682</v>
      </c>
      <c r="E2174" t="s">
        <v>4682</v>
      </c>
      <c r="F2174" t="s">
        <v>4682</v>
      </c>
      <c r="G2174">
        <v>0</v>
      </c>
      <c r="H2174" t="s">
        <v>4682</v>
      </c>
      <c r="I2174" t="str" cm="1">
        <f t="array" ref="I2174">_xlfn.IFS(B2174&lt;18.5, "Underweight", B2174&lt;=24.9, "Normal Weight", B2174&lt;=29.9, "Overweight", TRUE, "Obesity")</f>
        <v>Overweight</v>
      </c>
      <c r="J2174" t="str" cm="1">
        <f t="array" ref="J2174">_xlfn.IFS(C2174&lt;5.7, "Normal", C2174&lt;=6.4, "Prediabetes", TRUE, "Diabetes")</f>
        <v>Diabetes</v>
      </c>
    </row>
    <row r="2175" spans="1:10">
      <c r="A2175" t="s">
        <v>4348</v>
      </c>
      <c r="B2175">
        <v>40.5</v>
      </c>
      <c r="C2175">
        <v>5.4</v>
      </c>
      <c r="D2175" t="s">
        <v>4682</v>
      </c>
      <c r="E2175" t="s">
        <v>4682</v>
      </c>
      <c r="F2175" t="s">
        <v>4684</v>
      </c>
      <c r="G2175">
        <v>1</v>
      </c>
      <c r="H2175" t="s">
        <v>4682</v>
      </c>
      <c r="I2175" t="str" cm="1">
        <f t="array" ref="I2175">_xlfn.IFS(B2175&lt;18.5, "Underweight", B2175&lt;=24.9, "Normal Weight", B2175&lt;=29.9, "Overweight", TRUE, "Obesity")</f>
        <v>Obesity</v>
      </c>
      <c r="J2175" t="str" cm="1">
        <f t="array" ref="J2175">_xlfn.IFS(C2175&lt;5.7, "Normal", C2175&lt;=6.4, "Prediabetes", TRUE, "Diabetes")</f>
        <v>Normal</v>
      </c>
    </row>
    <row r="2176" spans="1:10">
      <c r="A2176" t="s">
        <v>4350</v>
      </c>
      <c r="B2176">
        <v>25.64</v>
      </c>
      <c r="C2176">
        <v>4.76</v>
      </c>
      <c r="D2176" t="s">
        <v>4682</v>
      </c>
      <c r="E2176" t="s">
        <v>4682</v>
      </c>
      <c r="F2176" t="s">
        <v>4682</v>
      </c>
      <c r="G2176">
        <v>1</v>
      </c>
      <c r="H2176" t="s">
        <v>4682</v>
      </c>
      <c r="I2176" t="str" cm="1">
        <f t="array" ref="I2176">_xlfn.IFS(B2176&lt;18.5, "Underweight", B2176&lt;=24.9, "Normal Weight", B2176&lt;=29.9, "Overweight", TRUE, "Obesity")</f>
        <v>Overweight</v>
      </c>
      <c r="J2176" t="str" cm="1">
        <f t="array" ref="J2176">_xlfn.IFS(C2176&lt;5.7, "Normal", C2176&lt;=6.4, "Prediabetes", TRUE, "Diabetes")</f>
        <v>Normal</v>
      </c>
    </row>
    <row r="2177" spans="1:10">
      <c r="A2177" t="s">
        <v>4352</v>
      </c>
      <c r="B2177">
        <v>32.9</v>
      </c>
      <c r="C2177">
        <v>4.78</v>
      </c>
      <c r="D2177" t="s">
        <v>4682</v>
      </c>
      <c r="E2177" t="s">
        <v>4682</v>
      </c>
      <c r="F2177" t="s">
        <v>4684</v>
      </c>
      <c r="G2177">
        <v>1</v>
      </c>
      <c r="H2177" t="s">
        <v>4682</v>
      </c>
      <c r="I2177" t="str" cm="1">
        <f t="array" ref="I2177">_xlfn.IFS(B2177&lt;18.5, "Underweight", B2177&lt;=24.9, "Normal Weight", B2177&lt;=29.9, "Overweight", TRUE, "Obesity")</f>
        <v>Obesity</v>
      </c>
      <c r="J2177" t="str" cm="1">
        <f t="array" ref="J2177">_xlfn.IFS(C2177&lt;5.7, "Normal", C2177&lt;=6.4, "Prediabetes", TRUE, "Diabetes")</f>
        <v>Normal</v>
      </c>
    </row>
    <row r="2178" spans="1:10">
      <c r="A2178" t="s">
        <v>4354</v>
      </c>
      <c r="B2178">
        <v>29.8</v>
      </c>
      <c r="C2178">
        <v>4.26</v>
      </c>
      <c r="D2178" t="s">
        <v>4682</v>
      </c>
      <c r="E2178" t="s">
        <v>4682</v>
      </c>
      <c r="F2178" t="s">
        <v>4684</v>
      </c>
      <c r="G2178">
        <v>1</v>
      </c>
      <c r="H2178" t="s">
        <v>4682</v>
      </c>
      <c r="I2178" t="str" cm="1">
        <f t="array" ref="I2178">_xlfn.IFS(B2178&lt;18.5, "Underweight", B2178&lt;=24.9, "Normal Weight", B2178&lt;=29.9, "Overweight", TRUE, "Obesity")</f>
        <v>Overweight</v>
      </c>
      <c r="J2178" t="str" cm="1">
        <f t="array" ref="J2178">_xlfn.IFS(C2178&lt;5.7, "Normal", C2178&lt;=6.4, "Prediabetes", TRUE, "Diabetes")</f>
        <v>Normal</v>
      </c>
    </row>
    <row r="2179" spans="1:10">
      <c r="A2179" t="s">
        <v>4356</v>
      </c>
      <c r="B2179">
        <v>28.9</v>
      </c>
      <c r="C2179">
        <v>5.85</v>
      </c>
      <c r="D2179" t="s">
        <v>4682</v>
      </c>
      <c r="E2179" t="s">
        <v>4682</v>
      </c>
      <c r="F2179" t="s">
        <v>4684</v>
      </c>
      <c r="G2179">
        <v>1</v>
      </c>
      <c r="H2179" t="s">
        <v>4682</v>
      </c>
      <c r="I2179" t="str" cm="1">
        <f t="array" ref="I2179">_xlfn.IFS(B2179&lt;18.5, "Underweight", B2179&lt;=24.9, "Normal Weight", B2179&lt;=29.9, "Overweight", TRUE, "Obesity")</f>
        <v>Overweight</v>
      </c>
      <c r="J2179" t="str" cm="1">
        <f t="array" ref="J2179">_xlfn.IFS(C2179&lt;5.7, "Normal", C2179&lt;=6.4, "Prediabetes", TRUE, "Diabetes")</f>
        <v>Prediabetes</v>
      </c>
    </row>
    <row r="2180" spans="1:10">
      <c r="A2180" t="s">
        <v>4358</v>
      </c>
      <c r="B2180">
        <v>24.7</v>
      </c>
      <c r="C2180">
        <v>5.32</v>
      </c>
      <c r="D2180" t="s">
        <v>4682</v>
      </c>
      <c r="E2180" t="s">
        <v>4682</v>
      </c>
      <c r="F2180" t="s">
        <v>4684</v>
      </c>
      <c r="G2180">
        <v>1</v>
      </c>
      <c r="H2180" t="s">
        <v>4682</v>
      </c>
      <c r="I2180" t="str" cm="1">
        <f t="array" ref="I2180">_xlfn.IFS(B2180&lt;18.5, "Underweight", B2180&lt;=24.9, "Normal Weight", B2180&lt;=29.9, "Overweight", TRUE, "Obesity")</f>
        <v>Normal Weight</v>
      </c>
      <c r="J2180" t="str" cm="1">
        <f t="array" ref="J2180">_xlfn.IFS(C2180&lt;5.7, "Normal", C2180&lt;=6.4, "Prediabetes", TRUE, "Diabetes")</f>
        <v>Normal</v>
      </c>
    </row>
    <row r="2181" spans="1:10">
      <c r="A2181" t="s">
        <v>4360</v>
      </c>
      <c r="B2181">
        <v>20.6</v>
      </c>
      <c r="C2181">
        <v>5.14</v>
      </c>
      <c r="D2181" t="s">
        <v>4682</v>
      </c>
      <c r="E2181" t="s">
        <v>4682</v>
      </c>
      <c r="F2181" t="s">
        <v>4684</v>
      </c>
      <c r="G2181">
        <v>1</v>
      </c>
      <c r="H2181" t="s">
        <v>4682</v>
      </c>
      <c r="I2181" t="str" cm="1">
        <f t="array" ref="I2181">_xlfn.IFS(B2181&lt;18.5, "Underweight", B2181&lt;=24.9, "Normal Weight", B2181&lt;=29.9, "Overweight", TRUE, "Obesity")</f>
        <v>Normal Weight</v>
      </c>
      <c r="J2181" t="str" cm="1">
        <f t="array" ref="J2181">_xlfn.IFS(C2181&lt;5.7, "Normal", C2181&lt;=6.4, "Prediabetes", TRUE, "Diabetes")</f>
        <v>Normal</v>
      </c>
    </row>
    <row r="2182" spans="1:10">
      <c r="A2182" t="s">
        <v>4362</v>
      </c>
      <c r="B2182">
        <v>18.600000000000001</v>
      </c>
      <c r="C2182">
        <v>5</v>
      </c>
      <c r="D2182" t="s">
        <v>4682</v>
      </c>
      <c r="E2182" t="s">
        <v>4682</v>
      </c>
      <c r="F2182" t="s">
        <v>4684</v>
      </c>
      <c r="G2182">
        <v>1</v>
      </c>
      <c r="H2182" t="s">
        <v>4682</v>
      </c>
      <c r="I2182" t="str" cm="1">
        <f t="array" ref="I2182">_xlfn.IFS(B2182&lt;18.5, "Underweight", B2182&lt;=24.9, "Normal Weight", B2182&lt;=29.9, "Overweight", TRUE, "Obesity")</f>
        <v>Normal Weight</v>
      </c>
      <c r="J2182" t="str" cm="1">
        <f t="array" ref="J2182">_xlfn.IFS(C2182&lt;5.7, "Normal", C2182&lt;=6.4, "Prediabetes", TRUE, "Diabetes")</f>
        <v>Normal</v>
      </c>
    </row>
    <row r="2183" spans="1:10">
      <c r="A2183" t="s">
        <v>4364</v>
      </c>
      <c r="B2183">
        <v>17.8</v>
      </c>
      <c r="C2183">
        <v>4.55</v>
      </c>
      <c r="D2183" t="s">
        <v>4682</v>
      </c>
      <c r="E2183" t="s">
        <v>4682</v>
      </c>
      <c r="F2183" t="s">
        <v>4684</v>
      </c>
      <c r="G2183">
        <v>1</v>
      </c>
      <c r="H2183" t="s">
        <v>4682</v>
      </c>
      <c r="I2183" t="str" cm="1">
        <f t="array" ref="I2183">_xlfn.IFS(B2183&lt;18.5, "Underweight", B2183&lt;=24.9, "Normal Weight", B2183&lt;=29.9, "Overweight", TRUE, "Obesity")</f>
        <v>Underweight</v>
      </c>
      <c r="J2183" t="str" cm="1">
        <f t="array" ref="J2183">_xlfn.IFS(C2183&lt;5.7, "Normal", C2183&lt;=6.4, "Prediabetes", TRUE, "Diabetes")</f>
        <v>Normal</v>
      </c>
    </row>
    <row r="2184" spans="1:10">
      <c r="A2184" t="s">
        <v>4366</v>
      </c>
      <c r="B2184">
        <v>35.200000000000003</v>
      </c>
      <c r="C2184">
        <v>5.97</v>
      </c>
      <c r="D2184" t="s">
        <v>4682</v>
      </c>
      <c r="E2184" t="s">
        <v>4683</v>
      </c>
      <c r="F2184" t="s">
        <v>4682</v>
      </c>
      <c r="G2184">
        <v>1</v>
      </c>
      <c r="H2184" t="s">
        <v>4682</v>
      </c>
      <c r="I2184" t="str" cm="1">
        <f t="array" ref="I2184">_xlfn.IFS(B2184&lt;18.5, "Underweight", B2184&lt;=24.9, "Normal Weight", B2184&lt;=29.9, "Overweight", TRUE, "Obesity")</f>
        <v>Obesity</v>
      </c>
      <c r="J2184" t="str" cm="1">
        <f t="array" ref="J2184">_xlfn.IFS(C2184&lt;5.7, "Normal", C2184&lt;=6.4, "Prediabetes", TRUE, "Diabetes")</f>
        <v>Prediabetes</v>
      </c>
    </row>
    <row r="2185" spans="1:10">
      <c r="A2185" t="s">
        <v>4368</v>
      </c>
      <c r="B2185">
        <v>33.770000000000003</v>
      </c>
      <c r="C2185">
        <v>4.0199999999999996</v>
      </c>
      <c r="D2185" t="s">
        <v>4682</v>
      </c>
      <c r="E2185" t="s">
        <v>4683</v>
      </c>
      <c r="F2185" t="s">
        <v>4682</v>
      </c>
      <c r="G2185">
        <v>1</v>
      </c>
      <c r="H2185" t="s">
        <v>4682</v>
      </c>
      <c r="I2185" t="str" cm="1">
        <f t="array" ref="I2185">_xlfn.IFS(B2185&lt;18.5, "Underweight", B2185&lt;=24.9, "Normal Weight", B2185&lt;=29.9, "Overweight", TRUE, "Obesity")</f>
        <v>Obesity</v>
      </c>
      <c r="J2185" t="str" cm="1">
        <f t="array" ref="J2185">_xlfn.IFS(C2185&lt;5.7, "Normal", C2185&lt;=6.4, "Prediabetes", TRUE, "Diabetes")</f>
        <v>Normal</v>
      </c>
    </row>
    <row r="2186" spans="1:10">
      <c r="A2186" t="s">
        <v>4370</v>
      </c>
      <c r="B2186">
        <v>30.03</v>
      </c>
      <c r="C2186">
        <v>4.04</v>
      </c>
      <c r="D2186" t="s">
        <v>4682</v>
      </c>
      <c r="E2186" t="s">
        <v>4683</v>
      </c>
      <c r="F2186" t="s">
        <v>4682</v>
      </c>
      <c r="G2186">
        <v>1</v>
      </c>
      <c r="H2186" t="s">
        <v>4682</v>
      </c>
      <c r="I2186" t="str" cm="1">
        <f t="array" ref="I2186">_xlfn.IFS(B2186&lt;18.5, "Underweight", B2186&lt;=24.9, "Normal Weight", B2186&lt;=29.9, "Overweight", TRUE, "Obesity")</f>
        <v>Obesity</v>
      </c>
      <c r="J2186" t="str" cm="1">
        <f t="array" ref="J2186">_xlfn.IFS(C2186&lt;5.7, "Normal", C2186&lt;=6.4, "Prediabetes", TRUE, "Diabetes")</f>
        <v>Normal</v>
      </c>
    </row>
    <row r="2187" spans="1:10">
      <c r="A2187" t="s">
        <v>4372</v>
      </c>
      <c r="B2187">
        <v>29.37</v>
      </c>
      <c r="C2187">
        <v>5.54</v>
      </c>
      <c r="D2187" t="s">
        <v>4682</v>
      </c>
      <c r="E2187" t="s">
        <v>4683</v>
      </c>
      <c r="F2187" t="s">
        <v>4682</v>
      </c>
      <c r="G2187">
        <v>1</v>
      </c>
      <c r="H2187" t="s">
        <v>4682</v>
      </c>
      <c r="I2187" t="str" cm="1">
        <f t="array" ref="I2187">_xlfn.IFS(B2187&lt;18.5, "Underweight", B2187&lt;=24.9, "Normal Weight", B2187&lt;=29.9, "Overweight", TRUE, "Obesity")</f>
        <v>Overweight</v>
      </c>
      <c r="J2187" t="str" cm="1">
        <f t="array" ref="J2187">_xlfn.IFS(C2187&lt;5.7, "Normal", C2187&lt;=6.4, "Prediabetes", TRUE, "Diabetes")</f>
        <v>Normal</v>
      </c>
    </row>
    <row r="2188" spans="1:10">
      <c r="A2188" t="s">
        <v>4374</v>
      </c>
      <c r="B2188">
        <v>28.5</v>
      </c>
      <c r="C2188">
        <v>4.03</v>
      </c>
      <c r="D2188" t="s">
        <v>4682</v>
      </c>
      <c r="E2188" t="s">
        <v>4683</v>
      </c>
      <c r="F2188" t="s">
        <v>4682</v>
      </c>
      <c r="G2188">
        <v>1</v>
      </c>
      <c r="H2188" t="s">
        <v>4682</v>
      </c>
      <c r="I2188" t="str" cm="1">
        <f t="array" ref="I2188">_xlfn.IFS(B2188&lt;18.5, "Underweight", B2188&lt;=24.9, "Normal Weight", B2188&lt;=29.9, "Overweight", TRUE, "Obesity")</f>
        <v>Overweight</v>
      </c>
      <c r="J2188" t="str" cm="1">
        <f t="array" ref="J2188">_xlfn.IFS(C2188&lt;5.7, "Normal", C2188&lt;=6.4, "Prediabetes", TRUE, "Diabetes")</f>
        <v>Normal</v>
      </c>
    </row>
    <row r="2189" spans="1:10">
      <c r="A2189" t="s">
        <v>4376</v>
      </c>
      <c r="B2189">
        <v>23.32</v>
      </c>
      <c r="C2189">
        <v>5.62</v>
      </c>
      <c r="D2189" t="s">
        <v>4682</v>
      </c>
      <c r="E2189" t="s">
        <v>4683</v>
      </c>
      <c r="F2189" t="s">
        <v>4682</v>
      </c>
      <c r="G2189">
        <v>1</v>
      </c>
      <c r="H2189" t="s">
        <v>4682</v>
      </c>
      <c r="I2189" t="str" cm="1">
        <f t="array" ref="I2189">_xlfn.IFS(B2189&lt;18.5, "Underweight", B2189&lt;=24.9, "Normal Weight", B2189&lt;=29.9, "Overweight", TRUE, "Obesity")</f>
        <v>Normal Weight</v>
      </c>
      <c r="J2189" t="str" cm="1">
        <f t="array" ref="J2189">_xlfn.IFS(C2189&lt;5.7, "Normal", C2189&lt;=6.4, "Prediabetes", TRUE, "Diabetes")</f>
        <v>Normal</v>
      </c>
    </row>
    <row r="2190" spans="1:10">
      <c r="A2190" t="s">
        <v>4378</v>
      </c>
      <c r="B2190">
        <v>26.125</v>
      </c>
      <c r="C2190">
        <v>5.27</v>
      </c>
      <c r="D2190" t="s">
        <v>4682</v>
      </c>
      <c r="E2190" t="s">
        <v>4683</v>
      </c>
      <c r="F2190" t="s">
        <v>4682</v>
      </c>
      <c r="G2190">
        <v>1</v>
      </c>
      <c r="H2190" t="s">
        <v>4682</v>
      </c>
      <c r="I2190" t="str" cm="1">
        <f t="array" ref="I2190">_xlfn.IFS(B2190&lt;18.5, "Underweight", B2190&lt;=24.9, "Normal Weight", B2190&lt;=29.9, "Overweight", TRUE, "Obesity")</f>
        <v>Overweight</v>
      </c>
      <c r="J2190" t="str" cm="1">
        <f t="array" ref="J2190">_xlfn.IFS(C2190&lt;5.7, "Normal", C2190&lt;=6.4, "Prediabetes", TRUE, "Diabetes")</f>
        <v>Normal</v>
      </c>
    </row>
    <row r="2191" spans="1:10">
      <c r="A2191" t="s">
        <v>4380</v>
      </c>
      <c r="B2191">
        <v>25.46</v>
      </c>
      <c r="C2191">
        <v>5.18</v>
      </c>
      <c r="D2191" t="s">
        <v>4682</v>
      </c>
      <c r="E2191" t="s">
        <v>4683</v>
      </c>
      <c r="F2191" t="s">
        <v>4682</v>
      </c>
      <c r="G2191">
        <v>1</v>
      </c>
      <c r="H2191" t="s">
        <v>4682</v>
      </c>
      <c r="I2191" t="str" cm="1">
        <f t="array" ref="I2191">_xlfn.IFS(B2191&lt;18.5, "Underweight", B2191&lt;=24.9, "Normal Weight", B2191&lt;=29.9, "Overweight", TRUE, "Obesity")</f>
        <v>Overweight</v>
      </c>
      <c r="J2191" t="str" cm="1">
        <f t="array" ref="J2191">_xlfn.IFS(C2191&lt;5.7, "Normal", C2191&lt;=6.4, "Prediabetes", TRUE, "Diabetes")</f>
        <v>Normal</v>
      </c>
    </row>
    <row r="2192" spans="1:10">
      <c r="A2192" t="s">
        <v>4382</v>
      </c>
      <c r="B2192">
        <v>23.75</v>
      </c>
      <c r="C2192">
        <v>5.27</v>
      </c>
      <c r="D2192" t="s">
        <v>4682</v>
      </c>
      <c r="E2192" t="s">
        <v>4683</v>
      </c>
      <c r="F2192" t="s">
        <v>4682</v>
      </c>
      <c r="G2192">
        <v>1</v>
      </c>
      <c r="H2192" t="s">
        <v>4682</v>
      </c>
      <c r="I2192" t="str" cm="1">
        <f t="array" ref="I2192">_xlfn.IFS(B2192&lt;18.5, "Underweight", B2192&lt;=24.9, "Normal Weight", B2192&lt;=29.9, "Overweight", TRUE, "Obesity")</f>
        <v>Normal Weight</v>
      </c>
      <c r="J2192" t="str" cm="1">
        <f t="array" ref="J2192">_xlfn.IFS(C2192&lt;5.7, "Normal", C2192&lt;=6.4, "Prediabetes", TRUE, "Diabetes")</f>
        <v>Normal</v>
      </c>
    </row>
    <row r="2193" spans="1:10">
      <c r="A2193" t="s">
        <v>4384</v>
      </c>
      <c r="B2193">
        <v>23.085000000000001</v>
      </c>
      <c r="C2193">
        <v>5.62</v>
      </c>
      <c r="D2193" t="s">
        <v>4682</v>
      </c>
      <c r="E2193" t="s">
        <v>4683</v>
      </c>
      <c r="F2193" t="s">
        <v>4682</v>
      </c>
      <c r="G2193">
        <v>1</v>
      </c>
      <c r="H2193" t="s">
        <v>4682</v>
      </c>
      <c r="I2193" t="str" cm="1">
        <f t="array" ref="I2193">_xlfn.IFS(B2193&lt;18.5, "Underweight", B2193&lt;=24.9, "Normal Weight", B2193&lt;=29.9, "Overweight", TRUE, "Obesity")</f>
        <v>Normal Weight</v>
      </c>
      <c r="J2193" t="str" cm="1">
        <f t="array" ref="J2193">_xlfn.IFS(C2193&lt;5.7, "Normal", C2193&lt;=6.4, "Prediabetes", TRUE, "Diabetes")</f>
        <v>Normal</v>
      </c>
    </row>
    <row r="2194" spans="1:10">
      <c r="A2194" t="s">
        <v>4386</v>
      </c>
      <c r="B2194">
        <v>22.99</v>
      </c>
      <c r="C2194">
        <v>5.0599999999999996</v>
      </c>
      <c r="D2194" t="s">
        <v>4682</v>
      </c>
      <c r="E2194" t="s">
        <v>4683</v>
      </c>
      <c r="F2194" t="s">
        <v>4682</v>
      </c>
      <c r="G2194">
        <v>1</v>
      </c>
      <c r="H2194" t="s">
        <v>4682</v>
      </c>
      <c r="I2194" t="str" cm="1">
        <f t="array" ref="I2194">_xlfn.IFS(B2194&lt;18.5, "Underweight", B2194&lt;=24.9, "Normal Weight", B2194&lt;=29.9, "Overweight", TRUE, "Obesity")</f>
        <v>Normal Weight</v>
      </c>
      <c r="J2194" t="str" cm="1">
        <f t="array" ref="J2194">_xlfn.IFS(C2194&lt;5.7, "Normal", C2194&lt;=6.4, "Prediabetes", TRUE, "Diabetes")</f>
        <v>Normal</v>
      </c>
    </row>
    <row r="2195" spans="1:10">
      <c r="A2195" t="s">
        <v>4388</v>
      </c>
      <c r="B2195">
        <v>21.47</v>
      </c>
      <c r="C2195">
        <v>4.6900000000000004</v>
      </c>
      <c r="D2195" t="s">
        <v>4682</v>
      </c>
      <c r="E2195" t="s">
        <v>4683</v>
      </c>
      <c r="F2195" t="s">
        <v>4682</v>
      </c>
      <c r="G2195">
        <v>1</v>
      </c>
      <c r="H2195" t="s">
        <v>4682</v>
      </c>
      <c r="I2195" t="str" cm="1">
        <f t="array" ref="I2195">_xlfn.IFS(B2195&lt;18.5, "Underweight", B2195&lt;=24.9, "Normal Weight", B2195&lt;=29.9, "Overweight", TRUE, "Obesity")</f>
        <v>Normal Weight</v>
      </c>
      <c r="J2195" t="str" cm="1">
        <f t="array" ref="J2195">_xlfn.IFS(C2195&lt;5.7, "Normal", C2195&lt;=6.4, "Prediabetes", TRUE, "Diabetes")</f>
        <v>Normal</v>
      </c>
    </row>
    <row r="2196" spans="1:10">
      <c r="A2196" t="s">
        <v>4390</v>
      </c>
      <c r="B2196">
        <v>15.96</v>
      </c>
      <c r="C2196">
        <v>5.44</v>
      </c>
      <c r="D2196" t="s">
        <v>4682</v>
      </c>
      <c r="E2196" t="s">
        <v>4683</v>
      </c>
      <c r="F2196" t="s">
        <v>4682</v>
      </c>
      <c r="G2196">
        <v>1</v>
      </c>
      <c r="H2196" t="s">
        <v>4682</v>
      </c>
      <c r="I2196" t="str" cm="1">
        <f t="array" ref="I2196">_xlfn.IFS(B2196&lt;18.5, "Underweight", B2196&lt;=24.9, "Normal Weight", B2196&lt;=29.9, "Overweight", TRUE, "Obesity")</f>
        <v>Underweight</v>
      </c>
      <c r="J2196" t="str" cm="1">
        <f t="array" ref="J2196">_xlfn.IFS(C2196&lt;5.7, "Normal", C2196&lt;=6.4, "Prediabetes", TRUE, "Diabetes")</f>
        <v>Normal</v>
      </c>
    </row>
    <row r="2197" spans="1:10">
      <c r="A2197" t="s">
        <v>4392</v>
      </c>
      <c r="B2197">
        <v>39.5</v>
      </c>
      <c r="C2197">
        <v>5.05</v>
      </c>
      <c r="D2197" t="s">
        <v>4682</v>
      </c>
      <c r="E2197" t="s">
        <v>4683</v>
      </c>
      <c r="F2197" t="s">
        <v>4682</v>
      </c>
      <c r="G2197">
        <v>1</v>
      </c>
      <c r="H2197" t="s">
        <v>4682</v>
      </c>
      <c r="I2197" t="str" cm="1">
        <f t="array" ref="I2197">_xlfn.IFS(B2197&lt;18.5, "Underweight", B2197&lt;=24.9, "Normal Weight", B2197&lt;=29.9, "Overweight", TRUE, "Obesity")</f>
        <v>Obesity</v>
      </c>
      <c r="J2197" t="str" cm="1">
        <f t="array" ref="J2197">_xlfn.IFS(C2197&lt;5.7, "Normal", C2197&lt;=6.4, "Prediabetes", TRUE, "Diabetes")</f>
        <v>Normal</v>
      </c>
    </row>
    <row r="2198" spans="1:10">
      <c r="A2198" t="s">
        <v>4394</v>
      </c>
      <c r="B2198">
        <v>33.770000000000003</v>
      </c>
      <c r="C2198">
        <v>6</v>
      </c>
      <c r="D2198" t="s">
        <v>4682</v>
      </c>
      <c r="E2198" t="s">
        <v>4683</v>
      </c>
      <c r="F2198" t="s">
        <v>4682</v>
      </c>
      <c r="G2198">
        <v>1</v>
      </c>
      <c r="H2198" t="s">
        <v>4682</v>
      </c>
      <c r="I2198" t="str" cm="1">
        <f t="array" ref="I2198">_xlfn.IFS(B2198&lt;18.5, "Underweight", B2198&lt;=24.9, "Normal Weight", B2198&lt;=29.9, "Overweight", TRUE, "Obesity")</f>
        <v>Obesity</v>
      </c>
      <c r="J2198" t="str" cm="1">
        <f t="array" ref="J2198">_xlfn.IFS(C2198&lt;5.7, "Normal", C2198&lt;=6.4, "Prediabetes", TRUE, "Diabetes")</f>
        <v>Prediabetes</v>
      </c>
    </row>
    <row r="2199" spans="1:10">
      <c r="A2199" t="s">
        <v>4396</v>
      </c>
      <c r="B2199">
        <v>26.84</v>
      </c>
      <c r="C2199">
        <v>5.99</v>
      </c>
      <c r="D2199" t="s">
        <v>4683</v>
      </c>
      <c r="E2199" t="s">
        <v>4683</v>
      </c>
      <c r="F2199" t="s">
        <v>4682</v>
      </c>
      <c r="G2199">
        <v>1</v>
      </c>
      <c r="H2199" t="s">
        <v>4682</v>
      </c>
      <c r="I2199" t="str" cm="1">
        <f t="array" ref="I2199">_xlfn.IFS(B2199&lt;18.5, "Underweight", B2199&lt;=24.9, "Normal Weight", B2199&lt;=29.9, "Overweight", TRUE, "Obesity")</f>
        <v>Overweight</v>
      </c>
      <c r="J2199" t="str" cm="1">
        <f t="array" ref="J2199">_xlfn.IFS(C2199&lt;5.7, "Normal", C2199&lt;=6.4, "Prediabetes", TRUE, "Diabetes")</f>
        <v>Prediabetes</v>
      </c>
    </row>
    <row r="2200" spans="1:10">
      <c r="A2200" t="s">
        <v>4398</v>
      </c>
      <c r="B2200">
        <v>35.53</v>
      </c>
      <c r="C2200">
        <v>4.3600000000000003</v>
      </c>
      <c r="D2200" t="s">
        <v>4682</v>
      </c>
      <c r="E2200" t="s">
        <v>4682</v>
      </c>
      <c r="F2200" t="s">
        <v>4684</v>
      </c>
      <c r="G2200">
        <v>1</v>
      </c>
      <c r="H2200" t="s">
        <v>4682</v>
      </c>
      <c r="I2200" t="str" cm="1">
        <f t="array" ref="I2200">_xlfn.IFS(B2200&lt;18.5, "Underweight", B2200&lt;=24.9, "Normal Weight", B2200&lt;=29.9, "Overweight", TRUE, "Obesity")</f>
        <v>Obesity</v>
      </c>
      <c r="J2200" t="str" cm="1">
        <f t="array" ref="J2200">_xlfn.IFS(C2200&lt;5.7, "Normal", C2200&lt;=6.4, "Prediabetes", TRUE, "Diabetes")</f>
        <v>Normal</v>
      </c>
    </row>
    <row r="2201" spans="1:10">
      <c r="A2201" t="s">
        <v>4400</v>
      </c>
      <c r="B2201">
        <v>30.59</v>
      </c>
      <c r="C2201">
        <v>4.41</v>
      </c>
      <c r="D2201" t="s">
        <v>4682</v>
      </c>
      <c r="E2201" t="s">
        <v>4682</v>
      </c>
      <c r="F2201" t="s">
        <v>4684</v>
      </c>
      <c r="G2201">
        <v>1</v>
      </c>
      <c r="H2201" t="s">
        <v>4682</v>
      </c>
      <c r="I2201" t="str" cm="1">
        <f t="array" ref="I2201">_xlfn.IFS(B2201&lt;18.5, "Underweight", B2201&lt;=24.9, "Normal Weight", B2201&lt;=29.9, "Overweight", TRUE, "Obesity")</f>
        <v>Obesity</v>
      </c>
      <c r="J2201" t="str" cm="1">
        <f t="array" ref="J2201">_xlfn.IFS(C2201&lt;5.7, "Normal", C2201&lt;=6.4, "Prediabetes", TRUE, "Diabetes")</f>
        <v>Normal</v>
      </c>
    </row>
    <row r="2202" spans="1:10">
      <c r="A2202" t="s">
        <v>4402</v>
      </c>
      <c r="B2202">
        <v>30.59</v>
      </c>
      <c r="C2202">
        <v>4.17</v>
      </c>
      <c r="D2202" t="s">
        <v>4682</v>
      </c>
      <c r="E2202" t="s">
        <v>4682</v>
      </c>
      <c r="F2202" t="s">
        <v>4684</v>
      </c>
      <c r="G2202">
        <v>1</v>
      </c>
      <c r="H2202" t="s">
        <v>4682</v>
      </c>
      <c r="I2202" t="str" cm="1">
        <f t="array" ref="I2202">_xlfn.IFS(B2202&lt;18.5, "Underweight", B2202&lt;=24.9, "Normal Weight", B2202&lt;=29.9, "Overweight", TRUE, "Obesity")</f>
        <v>Obesity</v>
      </c>
      <c r="J2202" t="str" cm="1">
        <f t="array" ref="J2202">_xlfn.IFS(C2202&lt;5.7, "Normal", C2202&lt;=6.4, "Prediabetes", TRUE, "Diabetes")</f>
        <v>Normal</v>
      </c>
    </row>
    <row r="2203" spans="1:10">
      <c r="A2203" t="s">
        <v>4404</v>
      </c>
      <c r="B2203">
        <v>27.835000000000001</v>
      </c>
      <c r="C2203">
        <v>4.4400000000000004</v>
      </c>
      <c r="D2203" t="s">
        <v>4682</v>
      </c>
      <c r="E2203" t="s">
        <v>4682</v>
      </c>
      <c r="F2203" t="s">
        <v>4684</v>
      </c>
      <c r="G2203">
        <v>1</v>
      </c>
      <c r="H2203" t="s">
        <v>4682</v>
      </c>
      <c r="I2203" t="str" cm="1">
        <f t="array" ref="I2203">_xlfn.IFS(B2203&lt;18.5, "Underweight", B2203&lt;=24.9, "Normal Weight", B2203&lt;=29.9, "Overweight", TRUE, "Obesity")</f>
        <v>Overweight</v>
      </c>
      <c r="J2203" t="str" cm="1">
        <f t="array" ref="J2203">_xlfn.IFS(C2203&lt;5.7, "Normal", C2203&lt;=6.4, "Prediabetes", TRUE, "Diabetes")</f>
        <v>Normal</v>
      </c>
    </row>
    <row r="2204" spans="1:10">
      <c r="A2204" t="s">
        <v>4406</v>
      </c>
      <c r="B2204">
        <v>40.26</v>
      </c>
      <c r="C2204">
        <v>5.52</v>
      </c>
      <c r="D2204" t="s">
        <v>4682</v>
      </c>
      <c r="E2204" t="s">
        <v>4683</v>
      </c>
      <c r="F2204" t="s">
        <v>4682</v>
      </c>
      <c r="G2204">
        <v>1</v>
      </c>
      <c r="H2204" t="s">
        <v>4682</v>
      </c>
      <c r="I2204" t="str" cm="1">
        <f t="array" ref="I2204">_xlfn.IFS(B2204&lt;18.5, "Underweight", B2204&lt;=24.9, "Normal Weight", B2204&lt;=29.9, "Overweight", TRUE, "Obesity")</f>
        <v>Obesity</v>
      </c>
      <c r="J2204" t="str" cm="1">
        <f t="array" ref="J2204">_xlfn.IFS(C2204&lt;5.7, "Normal", C2204&lt;=6.4, "Prediabetes", TRUE, "Diabetes")</f>
        <v>Normal</v>
      </c>
    </row>
    <row r="2205" spans="1:10">
      <c r="A2205" t="s">
        <v>4408</v>
      </c>
      <c r="B2205">
        <v>39.82</v>
      </c>
      <c r="C2205">
        <v>6.01</v>
      </c>
      <c r="D2205" t="s">
        <v>4682</v>
      </c>
      <c r="E2205" t="s">
        <v>4683</v>
      </c>
      <c r="F2205" t="s">
        <v>4682</v>
      </c>
      <c r="G2205">
        <v>1</v>
      </c>
      <c r="H2205" t="s">
        <v>4682</v>
      </c>
      <c r="I2205" t="str" cm="1">
        <f t="array" ref="I2205">_xlfn.IFS(B2205&lt;18.5, "Underweight", B2205&lt;=24.9, "Normal Weight", B2205&lt;=29.9, "Overweight", TRUE, "Obesity")</f>
        <v>Obesity</v>
      </c>
      <c r="J2205" t="str" cm="1">
        <f t="array" ref="J2205">_xlfn.IFS(C2205&lt;5.7, "Normal", C2205&lt;=6.4, "Prediabetes", TRUE, "Diabetes")</f>
        <v>Prediabetes</v>
      </c>
    </row>
    <row r="2206" spans="1:10">
      <c r="A2206" t="s">
        <v>4410</v>
      </c>
      <c r="B2206">
        <v>39.159999999999997</v>
      </c>
      <c r="C2206">
        <v>5.81</v>
      </c>
      <c r="D2206" t="s">
        <v>4682</v>
      </c>
      <c r="E2206" t="s">
        <v>4683</v>
      </c>
      <c r="F2206" t="s">
        <v>4682</v>
      </c>
      <c r="G2206">
        <v>1</v>
      </c>
      <c r="H2206" t="s">
        <v>4682</v>
      </c>
      <c r="I2206" t="str" cm="1">
        <f t="array" ref="I2206">_xlfn.IFS(B2206&lt;18.5, "Underweight", B2206&lt;=24.9, "Normal Weight", B2206&lt;=29.9, "Overweight", TRUE, "Obesity")</f>
        <v>Obesity</v>
      </c>
      <c r="J2206" t="str" cm="1">
        <f t="array" ref="J2206">_xlfn.IFS(C2206&lt;5.7, "Normal", C2206&lt;=6.4, "Prediabetes", TRUE, "Diabetes")</f>
        <v>Prediabetes</v>
      </c>
    </row>
    <row r="2207" spans="1:10">
      <c r="A2207" t="s">
        <v>4412</v>
      </c>
      <c r="B2207">
        <v>25.555</v>
      </c>
      <c r="C2207">
        <v>4.37</v>
      </c>
      <c r="D2207" t="s">
        <v>4682</v>
      </c>
      <c r="E2207" t="s">
        <v>4682</v>
      </c>
      <c r="F2207" t="s">
        <v>4684</v>
      </c>
      <c r="G2207">
        <v>1</v>
      </c>
      <c r="H2207" t="s">
        <v>4682</v>
      </c>
      <c r="I2207" t="str" cm="1">
        <f t="array" ref="I2207">_xlfn.IFS(B2207&lt;18.5, "Underweight", B2207&lt;=24.9, "Normal Weight", B2207&lt;=29.9, "Overweight", TRUE, "Obesity")</f>
        <v>Overweight</v>
      </c>
      <c r="J2207" t="str" cm="1">
        <f t="array" ref="J2207">_xlfn.IFS(C2207&lt;5.7, "Normal", C2207&lt;=6.4, "Prediabetes", TRUE, "Diabetes")</f>
        <v>Normal</v>
      </c>
    </row>
    <row r="2208" spans="1:10">
      <c r="A2208" t="s">
        <v>4414</v>
      </c>
      <c r="B2208">
        <v>25.175000000000001</v>
      </c>
      <c r="C2208">
        <v>5.74</v>
      </c>
      <c r="D2208" t="s">
        <v>4682</v>
      </c>
      <c r="E2208" t="s">
        <v>4682</v>
      </c>
      <c r="F2208" t="s">
        <v>4684</v>
      </c>
      <c r="G2208">
        <v>1</v>
      </c>
      <c r="H2208" t="s">
        <v>4682</v>
      </c>
      <c r="I2208" t="str" cm="1">
        <f t="array" ref="I2208">_xlfn.IFS(B2208&lt;18.5, "Underweight", B2208&lt;=24.9, "Normal Weight", B2208&lt;=29.9, "Overweight", TRUE, "Obesity")</f>
        <v>Overweight</v>
      </c>
      <c r="J2208" t="str" cm="1">
        <f t="array" ref="J2208">_xlfn.IFS(C2208&lt;5.7, "Normal", C2208&lt;=6.4, "Prediabetes", TRUE, "Diabetes")</f>
        <v>Prediabetes</v>
      </c>
    </row>
    <row r="2209" spans="1:10">
      <c r="A2209" t="s">
        <v>4416</v>
      </c>
      <c r="B2209">
        <v>38.28</v>
      </c>
      <c r="C2209">
        <v>5.39</v>
      </c>
      <c r="D2209" t="s">
        <v>4682</v>
      </c>
      <c r="E2209" t="s">
        <v>4683</v>
      </c>
      <c r="F2209" t="s">
        <v>4682</v>
      </c>
      <c r="G2209">
        <v>1</v>
      </c>
      <c r="H2209" t="s">
        <v>4682</v>
      </c>
      <c r="I2209" t="str" cm="1">
        <f t="array" ref="I2209">_xlfn.IFS(B2209&lt;18.5, "Underweight", B2209&lt;=24.9, "Normal Weight", B2209&lt;=29.9, "Overweight", TRUE, "Obesity")</f>
        <v>Obesity</v>
      </c>
      <c r="J2209" t="str" cm="1">
        <f t="array" ref="J2209">_xlfn.IFS(C2209&lt;5.7, "Normal", C2209&lt;=6.4, "Prediabetes", TRUE, "Diabetes")</f>
        <v>Normal</v>
      </c>
    </row>
    <row r="2210" spans="1:10">
      <c r="A2210" t="s">
        <v>4418</v>
      </c>
      <c r="B2210">
        <v>38.17</v>
      </c>
      <c r="C2210">
        <v>4.07</v>
      </c>
      <c r="D2210" t="s">
        <v>4682</v>
      </c>
      <c r="E2210" t="s">
        <v>4683</v>
      </c>
      <c r="F2210" t="s">
        <v>4682</v>
      </c>
      <c r="G2210">
        <v>1</v>
      </c>
      <c r="H2210" t="s">
        <v>4682</v>
      </c>
      <c r="I2210" t="str" cm="1">
        <f t="array" ref="I2210">_xlfn.IFS(B2210&lt;18.5, "Underweight", B2210&lt;=24.9, "Normal Weight", B2210&lt;=29.9, "Overweight", TRUE, "Obesity")</f>
        <v>Obesity</v>
      </c>
      <c r="J2210" t="str" cm="1">
        <f t="array" ref="J2210">_xlfn.IFS(C2210&lt;5.7, "Normal", C2210&lt;=6.4, "Prediabetes", TRUE, "Diabetes")</f>
        <v>Normal</v>
      </c>
    </row>
    <row r="2211" spans="1:10">
      <c r="A2211" t="s">
        <v>4420</v>
      </c>
      <c r="B2211">
        <v>36.85</v>
      </c>
      <c r="C2211">
        <v>5.49</v>
      </c>
      <c r="D2211" t="s">
        <v>4682</v>
      </c>
      <c r="E2211" t="s">
        <v>4683</v>
      </c>
      <c r="F2211" t="s">
        <v>4682</v>
      </c>
      <c r="G2211">
        <v>1</v>
      </c>
      <c r="H2211" t="s">
        <v>4682</v>
      </c>
      <c r="I2211" t="str" cm="1">
        <f t="array" ref="I2211">_xlfn.IFS(B2211&lt;18.5, "Underweight", B2211&lt;=24.9, "Normal Weight", B2211&lt;=29.9, "Overweight", TRUE, "Obesity")</f>
        <v>Obesity</v>
      </c>
      <c r="J2211" t="str" cm="1">
        <f t="array" ref="J2211">_xlfn.IFS(C2211&lt;5.7, "Normal", C2211&lt;=6.4, "Prediabetes", TRUE, "Diabetes")</f>
        <v>Normal</v>
      </c>
    </row>
    <row r="2212" spans="1:10">
      <c r="A2212" t="s">
        <v>4422</v>
      </c>
      <c r="B2212">
        <v>22.61</v>
      </c>
      <c r="C2212">
        <v>5.68</v>
      </c>
      <c r="D2212" t="s">
        <v>4682</v>
      </c>
      <c r="E2212" t="s">
        <v>4682</v>
      </c>
      <c r="F2212" t="s">
        <v>4684</v>
      </c>
      <c r="G2212">
        <v>1</v>
      </c>
      <c r="H2212" t="s">
        <v>4682</v>
      </c>
      <c r="I2212" t="str" cm="1">
        <f t="array" ref="I2212">_xlfn.IFS(B2212&lt;18.5, "Underweight", B2212&lt;=24.9, "Normal Weight", B2212&lt;=29.9, "Overweight", TRUE, "Obesity")</f>
        <v>Normal Weight</v>
      </c>
      <c r="J2212" t="str" cm="1">
        <f t="array" ref="J2212">_xlfn.IFS(C2212&lt;5.7, "Normal", C2212&lt;=6.4, "Prediabetes", TRUE, "Diabetes")</f>
        <v>Normal</v>
      </c>
    </row>
    <row r="2213" spans="1:10">
      <c r="A2213" t="s">
        <v>4424</v>
      </c>
      <c r="B2213">
        <v>21.754999999999999</v>
      </c>
      <c r="C2213">
        <v>6.09</v>
      </c>
      <c r="D2213" t="s">
        <v>4682</v>
      </c>
      <c r="E2213" t="s">
        <v>4682</v>
      </c>
      <c r="F2213" t="s">
        <v>4684</v>
      </c>
      <c r="G2213">
        <v>1</v>
      </c>
      <c r="H2213" t="s">
        <v>4682</v>
      </c>
      <c r="I2213" t="str" cm="1">
        <f t="array" ref="I2213">_xlfn.IFS(B2213&lt;18.5, "Underweight", B2213&lt;=24.9, "Normal Weight", B2213&lt;=29.9, "Overweight", TRUE, "Obesity")</f>
        <v>Normal Weight</v>
      </c>
      <c r="J2213" t="str" cm="1">
        <f t="array" ref="J2213">_xlfn.IFS(C2213&lt;5.7, "Normal", C2213&lt;=6.4, "Prediabetes", TRUE, "Diabetes")</f>
        <v>Prediabetes</v>
      </c>
    </row>
    <row r="2214" spans="1:10">
      <c r="A2214" t="s">
        <v>4426</v>
      </c>
      <c r="B2214">
        <v>20.425000000000001</v>
      </c>
      <c r="C2214">
        <v>5.53</v>
      </c>
      <c r="D2214" t="s">
        <v>4682</v>
      </c>
      <c r="E2214" t="s">
        <v>4682</v>
      </c>
      <c r="F2214" t="s">
        <v>4684</v>
      </c>
      <c r="G2214">
        <v>1</v>
      </c>
      <c r="H2214" t="s">
        <v>4682</v>
      </c>
      <c r="I2214" t="str" cm="1">
        <f t="array" ref="I2214">_xlfn.IFS(B2214&lt;18.5, "Underweight", B2214&lt;=24.9, "Normal Weight", B2214&lt;=29.9, "Overweight", TRUE, "Obesity")</f>
        <v>Normal Weight</v>
      </c>
      <c r="J2214" t="str" cm="1">
        <f t="array" ref="J2214">_xlfn.IFS(C2214&lt;5.7, "Normal", C2214&lt;=6.4, "Prediabetes", TRUE, "Diabetes")</f>
        <v>Normal</v>
      </c>
    </row>
    <row r="2215" spans="1:10">
      <c r="A2215" t="s">
        <v>4428</v>
      </c>
      <c r="B2215">
        <v>31.35</v>
      </c>
      <c r="C2215">
        <v>4.28</v>
      </c>
      <c r="D2215" t="s">
        <v>4682</v>
      </c>
      <c r="E2215" t="s">
        <v>4683</v>
      </c>
      <c r="F2215" t="s">
        <v>4682</v>
      </c>
      <c r="G2215">
        <v>1</v>
      </c>
      <c r="H2215" t="s">
        <v>4682</v>
      </c>
      <c r="I2215" t="str" cm="1">
        <f t="array" ref="I2215">_xlfn.IFS(B2215&lt;18.5, "Underweight", B2215&lt;=24.9, "Normal Weight", B2215&lt;=29.9, "Overweight", TRUE, "Obesity")</f>
        <v>Obesity</v>
      </c>
      <c r="J2215" t="str" cm="1">
        <f t="array" ref="J2215">_xlfn.IFS(C2215&lt;5.7, "Normal", C2215&lt;=6.4, "Prediabetes", TRUE, "Diabetes")</f>
        <v>Normal</v>
      </c>
    </row>
    <row r="2216" spans="1:10">
      <c r="A2216" t="s">
        <v>4430</v>
      </c>
      <c r="B2216">
        <v>31.13</v>
      </c>
      <c r="C2216">
        <v>6.01</v>
      </c>
      <c r="D2216" t="s">
        <v>4682</v>
      </c>
      <c r="E2216" t="s">
        <v>4683</v>
      </c>
      <c r="F2216" t="s">
        <v>4682</v>
      </c>
      <c r="G2216">
        <v>1</v>
      </c>
      <c r="H2216" t="s">
        <v>4682</v>
      </c>
      <c r="I2216" t="str" cm="1">
        <f t="array" ref="I2216">_xlfn.IFS(B2216&lt;18.5, "Underweight", B2216&lt;=24.9, "Normal Weight", B2216&lt;=29.9, "Overweight", TRUE, "Obesity")</f>
        <v>Obesity</v>
      </c>
      <c r="J2216" t="str" cm="1">
        <f t="array" ref="J2216">_xlfn.IFS(C2216&lt;5.7, "Normal", C2216&lt;=6.4, "Prediabetes", TRUE, "Diabetes")</f>
        <v>Prediabetes</v>
      </c>
    </row>
    <row r="2217" spans="1:10">
      <c r="A2217" t="s">
        <v>4432</v>
      </c>
      <c r="B2217">
        <v>17.48</v>
      </c>
      <c r="C2217">
        <v>4.59</v>
      </c>
      <c r="D2217" t="s">
        <v>4682</v>
      </c>
      <c r="E2217" t="s">
        <v>4682</v>
      </c>
      <c r="F2217" t="s">
        <v>4684</v>
      </c>
      <c r="G2217">
        <v>1</v>
      </c>
      <c r="H2217" t="s">
        <v>4682</v>
      </c>
      <c r="I2217" t="str" cm="1">
        <f t="array" ref="I2217">_xlfn.IFS(B2217&lt;18.5, "Underweight", B2217&lt;=24.9, "Normal Weight", B2217&lt;=29.9, "Overweight", TRUE, "Obesity")</f>
        <v>Underweight</v>
      </c>
      <c r="J2217" t="str" cm="1">
        <f t="array" ref="J2217">_xlfn.IFS(C2217&lt;5.7, "Normal", C2217&lt;=6.4, "Prediabetes", TRUE, "Diabetes")</f>
        <v>Normal</v>
      </c>
    </row>
    <row r="2218" spans="1:10">
      <c r="A2218" t="s">
        <v>4434</v>
      </c>
      <c r="B2218">
        <v>22.57</v>
      </c>
      <c r="C2218">
        <v>5.8</v>
      </c>
      <c r="D2218" t="s">
        <v>4683</v>
      </c>
      <c r="E2218" t="s">
        <v>4682</v>
      </c>
      <c r="F2218" t="s">
        <v>4682</v>
      </c>
      <c r="G2218">
        <v>1</v>
      </c>
      <c r="H2218" t="s">
        <v>4682</v>
      </c>
      <c r="I2218" t="str" cm="1">
        <f t="array" ref="I2218">_xlfn.IFS(B2218&lt;18.5, "Underweight", B2218&lt;=24.9, "Normal Weight", B2218&lt;=29.9, "Overweight", TRUE, "Obesity")</f>
        <v>Normal Weight</v>
      </c>
      <c r="J2218" t="str" cm="1">
        <f t="array" ref="J2218">_xlfn.IFS(C2218&lt;5.7, "Normal", C2218&lt;=6.4, "Prediabetes", TRUE, "Diabetes")</f>
        <v>Prediabetes</v>
      </c>
    </row>
    <row r="2219" spans="1:10">
      <c r="A2219" t="s">
        <v>4436</v>
      </c>
      <c r="B2219">
        <v>26.73</v>
      </c>
      <c r="C2219">
        <v>5.08</v>
      </c>
      <c r="D2219" t="s">
        <v>4682</v>
      </c>
      <c r="E2219" t="s">
        <v>4683</v>
      </c>
      <c r="F2219" t="s">
        <v>4682</v>
      </c>
      <c r="G2219">
        <v>1</v>
      </c>
      <c r="H2219" t="s">
        <v>4682</v>
      </c>
      <c r="I2219" t="str" cm="1">
        <f t="array" ref="I2219">_xlfn.IFS(B2219&lt;18.5, "Underweight", B2219&lt;=24.9, "Normal Weight", B2219&lt;=29.9, "Overweight", TRUE, "Obesity")</f>
        <v>Overweight</v>
      </c>
      <c r="J2219" t="str" cm="1">
        <f t="array" ref="J2219">_xlfn.IFS(C2219&lt;5.7, "Normal", C2219&lt;=6.4, "Prediabetes", TRUE, "Diabetes")</f>
        <v>Normal</v>
      </c>
    </row>
    <row r="2220" spans="1:10">
      <c r="A2220" t="s">
        <v>4438</v>
      </c>
      <c r="B2220">
        <v>20.79</v>
      </c>
      <c r="C2220">
        <v>5.84</v>
      </c>
      <c r="D2220" t="s">
        <v>4682</v>
      </c>
      <c r="E2220" t="s">
        <v>4683</v>
      </c>
      <c r="F2220" t="s">
        <v>4682</v>
      </c>
      <c r="G2220">
        <v>1</v>
      </c>
      <c r="H2220" t="s">
        <v>4682</v>
      </c>
      <c r="I2220" t="str" cm="1">
        <f t="array" ref="I2220">_xlfn.IFS(B2220&lt;18.5, "Underweight", B2220&lt;=24.9, "Normal Weight", B2220&lt;=29.9, "Overweight", TRUE, "Obesity")</f>
        <v>Normal Weight</v>
      </c>
      <c r="J2220" t="str" cm="1">
        <f t="array" ref="J2220">_xlfn.IFS(C2220&lt;5.7, "Normal", C2220&lt;=6.4, "Prediabetes", TRUE, "Diabetes")</f>
        <v>Prediabetes</v>
      </c>
    </row>
    <row r="2221" spans="1:10">
      <c r="A2221" t="s">
        <v>4440</v>
      </c>
      <c r="B2221">
        <v>20.149999999999999</v>
      </c>
      <c r="C2221">
        <v>4.1500000000000004</v>
      </c>
      <c r="D2221" t="s">
        <v>4682</v>
      </c>
      <c r="E2221" t="s">
        <v>4682</v>
      </c>
      <c r="F2221" t="s">
        <v>4682</v>
      </c>
      <c r="G2221">
        <v>1</v>
      </c>
      <c r="H2221" t="s">
        <v>4682</v>
      </c>
      <c r="I2221" t="str" cm="1">
        <f t="array" ref="I2221">_xlfn.IFS(B2221&lt;18.5, "Underweight", B2221&lt;=24.9, "Normal Weight", B2221&lt;=29.9, "Overweight", TRUE, "Obesity")</f>
        <v>Normal Weight</v>
      </c>
      <c r="J2221" t="str" cm="1">
        <f t="array" ref="J2221">_xlfn.IFS(C2221&lt;5.7, "Normal", C2221&lt;=6.4, "Prediabetes", TRUE, "Diabetes")</f>
        <v>Normal</v>
      </c>
    </row>
    <row r="2222" spans="1:10">
      <c r="A2222" t="s">
        <v>4442</v>
      </c>
      <c r="B2222">
        <v>36.85</v>
      </c>
      <c r="C2222">
        <v>4.3600000000000003</v>
      </c>
      <c r="D2222" t="s">
        <v>4683</v>
      </c>
      <c r="E2222" t="s">
        <v>4682</v>
      </c>
      <c r="F2222" t="s">
        <v>4682</v>
      </c>
      <c r="G2222">
        <v>0</v>
      </c>
      <c r="H2222" t="s">
        <v>4682</v>
      </c>
      <c r="I2222" t="str" cm="1">
        <f t="array" ref="I2222">_xlfn.IFS(B2222&lt;18.5, "Underweight", B2222&lt;=24.9, "Normal Weight", B2222&lt;=29.9, "Overweight", TRUE, "Obesity")</f>
        <v>Obesity</v>
      </c>
      <c r="J2222" t="str" cm="1">
        <f t="array" ref="J2222">_xlfn.IFS(C2222&lt;5.7, "Normal", C2222&lt;=6.4, "Prediabetes", TRUE, "Diabetes")</f>
        <v>Normal</v>
      </c>
    </row>
    <row r="2223" spans="1:10">
      <c r="A2223" t="s">
        <v>4444</v>
      </c>
      <c r="B2223">
        <v>35.53</v>
      </c>
      <c r="C2223">
        <v>4.55</v>
      </c>
      <c r="D2223" t="s">
        <v>4683</v>
      </c>
      <c r="E2223" t="s">
        <v>4682</v>
      </c>
      <c r="F2223" t="s">
        <v>4682</v>
      </c>
      <c r="G2223">
        <v>0</v>
      </c>
      <c r="H2223" t="s">
        <v>4682</v>
      </c>
      <c r="I2223" t="str" cm="1">
        <f t="array" ref="I2223">_xlfn.IFS(B2223&lt;18.5, "Underweight", B2223&lt;=24.9, "Normal Weight", B2223&lt;=29.9, "Overweight", TRUE, "Obesity")</f>
        <v>Obesity</v>
      </c>
      <c r="J2223" t="str" cm="1">
        <f t="array" ref="J2223">_xlfn.IFS(C2223&lt;5.7, "Normal", C2223&lt;=6.4, "Prediabetes", TRUE, "Diabetes")</f>
        <v>Normal</v>
      </c>
    </row>
    <row r="2224" spans="1:10">
      <c r="A2224" t="s">
        <v>4446</v>
      </c>
      <c r="B2224">
        <v>31.1</v>
      </c>
      <c r="C2224">
        <v>4.37</v>
      </c>
      <c r="D2224" t="s">
        <v>4683</v>
      </c>
      <c r="E2224" t="s">
        <v>4682</v>
      </c>
      <c r="F2224" t="s">
        <v>4682</v>
      </c>
      <c r="G2224">
        <v>0</v>
      </c>
      <c r="H2224" t="s">
        <v>4682</v>
      </c>
      <c r="I2224" t="str" cm="1">
        <f t="array" ref="I2224">_xlfn.IFS(B2224&lt;18.5, "Underweight", B2224&lt;=24.9, "Normal Weight", B2224&lt;=29.9, "Overweight", TRUE, "Obesity")</f>
        <v>Obesity</v>
      </c>
      <c r="J2224" t="str" cm="1">
        <f t="array" ref="J2224">_xlfn.IFS(C2224&lt;5.7, "Normal", C2224&lt;=6.4, "Prediabetes", TRUE, "Diabetes")</f>
        <v>Normal</v>
      </c>
    </row>
    <row r="2225" spans="1:10">
      <c r="A2225" t="s">
        <v>4448</v>
      </c>
      <c r="B2225">
        <v>23.21</v>
      </c>
      <c r="C2225">
        <v>5.24</v>
      </c>
      <c r="D2225" t="s">
        <v>4683</v>
      </c>
      <c r="E2225" t="s">
        <v>4682</v>
      </c>
      <c r="F2225" t="s">
        <v>4682</v>
      </c>
      <c r="G2225">
        <v>0</v>
      </c>
      <c r="H2225" t="s">
        <v>4682</v>
      </c>
      <c r="I2225" t="str" cm="1">
        <f t="array" ref="I2225">_xlfn.IFS(B2225&lt;18.5, "Underweight", B2225&lt;=24.9, "Normal Weight", B2225&lt;=29.9, "Overweight", TRUE, "Obesity")</f>
        <v>Normal Weight</v>
      </c>
      <c r="J2225" t="str" cm="1">
        <f t="array" ref="J2225">_xlfn.IFS(C2225&lt;5.7, "Normal", C2225&lt;=6.4, "Prediabetes", TRUE, "Diabetes")</f>
        <v>Normal</v>
      </c>
    </row>
    <row r="2226" spans="1:10">
      <c r="A2226" t="s">
        <v>4450</v>
      </c>
      <c r="B2226">
        <v>18.36</v>
      </c>
      <c r="C2226">
        <v>5.96</v>
      </c>
      <c r="D2226" t="s">
        <v>4682</v>
      </c>
      <c r="E2226" t="s">
        <v>4682</v>
      </c>
      <c r="F2226" t="s">
        <v>4682</v>
      </c>
      <c r="G2226">
        <v>1</v>
      </c>
      <c r="H2226" t="s">
        <v>4682</v>
      </c>
      <c r="I2226" t="str" cm="1">
        <f t="array" ref="I2226">_xlfn.IFS(B2226&lt;18.5, "Underweight", B2226&lt;=24.9, "Normal Weight", B2226&lt;=29.9, "Overweight", TRUE, "Obesity")</f>
        <v>Underweight</v>
      </c>
      <c r="J2226" t="str" cm="1">
        <f t="array" ref="J2226">_xlfn.IFS(C2226&lt;5.7, "Normal", C2226&lt;=6.4, "Prediabetes", TRUE, "Diabetes")</f>
        <v>Prediabetes</v>
      </c>
    </row>
    <row r="2227" spans="1:10">
      <c r="A2227" t="s">
        <v>4452</v>
      </c>
      <c r="B2227">
        <v>15.92</v>
      </c>
      <c r="C2227">
        <v>4.76</v>
      </c>
      <c r="D2227" t="s">
        <v>4683</v>
      </c>
      <c r="E2227" t="s">
        <v>4682</v>
      </c>
      <c r="F2227" t="s">
        <v>4682</v>
      </c>
      <c r="G2227">
        <v>1</v>
      </c>
      <c r="H2227" t="s">
        <v>4682</v>
      </c>
      <c r="I2227" t="str" cm="1">
        <f t="array" ref="I2227">_xlfn.IFS(B2227&lt;18.5, "Underweight", B2227&lt;=24.9, "Normal Weight", B2227&lt;=29.9, "Overweight", TRUE, "Obesity")</f>
        <v>Underweight</v>
      </c>
      <c r="J2227" t="str" cm="1">
        <f t="array" ref="J2227">_xlfn.IFS(C2227&lt;5.7, "Normal", C2227&lt;=6.4, "Prediabetes", TRUE, "Diabetes")</f>
        <v>Normal</v>
      </c>
    </row>
    <row r="2228" spans="1:10">
      <c r="A2228" t="s">
        <v>4454</v>
      </c>
      <c r="B2228">
        <v>15.17</v>
      </c>
      <c r="C2228">
        <v>4.3</v>
      </c>
      <c r="D2228" t="s">
        <v>4683</v>
      </c>
      <c r="E2228" t="s">
        <v>4682</v>
      </c>
      <c r="F2228" t="s">
        <v>4684</v>
      </c>
      <c r="G2228">
        <v>1</v>
      </c>
      <c r="H2228" t="s">
        <v>4682</v>
      </c>
      <c r="I2228" t="str" cm="1">
        <f t="array" ref="I2228">_xlfn.IFS(B2228&lt;18.5, "Underweight", B2228&lt;=24.9, "Normal Weight", B2228&lt;=29.9, "Overweight", TRUE, "Obesity")</f>
        <v>Underweight</v>
      </c>
      <c r="J2228" t="str" cm="1">
        <f t="array" ref="J2228">_xlfn.IFS(C2228&lt;5.7, "Normal", C2228&lt;=6.4, "Prediabetes", TRUE, "Diabetes")</f>
        <v>Normal</v>
      </c>
    </row>
    <row r="2229" spans="1:10">
      <c r="A2229" t="s">
        <v>4456</v>
      </c>
      <c r="B2229">
        <v>16.63</v>
      </c>
      <c r="C2229">
        <v>4.5</v>
      </c>
      <c r="D2229" t="s">
        <v>4682</v>
      </c>
      <c r="E2229" t="s">
        <v>4682</v>
      </c>
      <c r="F2229" t="s">
        <v>4682</v>
      </c>
      <c r="G2229">
        <v>1</v>
      </c>
      <c r="H2229" t="s">
        <v>4682</v>
      </c>
      <c r="I2229" t="str" cm="1">
        <f t="array" ref="I2229">_xlfn.IFS(B2229&lt;18.5, "Underweight", B2229&lt;=24.9, "Normal Weight", B2229&lt;=29.9, "Overweight", TRUE, "Obesity")</f>
        <v>Underweight</v>
      </c>
      <c r="J2229" t="str" cm="1">
        <f t="array" ref="J2229">_xlfn.IFS(C2229&lt;5.7, "Normal", C2229&lt;=6.4, "Prediabetes", TRUE, "Diabetes")</f>
        <v>Normal</v>
      </c>
    </row>
    <row r="2230" spans="1:10">
      <c r="A2230" t="s">
        <v>4458</v>
      </c>
      <c r="B2230">
        <v>19.39</v>
      </c>
      <c r="C2230">
        <v>5.59</v>
      </c>
      <c r="D2230" t="s">
        <v>4682</v>
      </c>
      <c r="E2230" t="s">
        <v>4682</v>
      </c>
      <c r="F2230" t="s">
        <v>4684</v>
      </c>
      <c r="G2230">
        <v>1</v>
      </c>
      <c r="H2230" t="s">
        <v>4682</v>
      </c>
      <c r="I2230" t="str" cm="1">
        <f t="array" ref="I2230">_xlfn.IFS(B2230&lt;18.5, "Underweight", B2230&lt;=24.9, "Normal Weight", B2230&lt;=29.9, "Overweight", TRUE, "Obesity")</f>
        <v>Normal Weight</v>
      </c>
      <c r="J2230" t="str" cm="1">
        <f t="array" ref="J2230">_xlfn.IFS(C2230&lt;5.7, "Normal", C2230&lt;=6.4, "Prediabetes", TRUE, "Diabetes")</f>
        <v>Normal</v>
      </c>
    </row>
    <row r="2231" spans="1:10">
      <c r="A2231" t="s">
        <v>4460</v>
      </c>
      <c r="B2231">
        <v>17.34</v>
      </c>
      <c r="C2231">
        <v>6.29</v>
      </c>
      <c r="D2231" t="s">
        <v>4683</v>
      </c>
      <c r="E2231" t="s">
        <v>4682</v>
      </c>
      <c r="F2231" t="s">
        <v>4684</v>
      </c>
      <c r="G2231">
        <v>1</v>
      </c>
      <c r="H2231" t="s">
        <v>4682</v>
      </c>
      <c r="I2231" t="str" cm="1">
        <f t="array" ref="I2231">_xlfn.IFS(B2231&lt;18.5, "Underweight", B2231&lt;=24.9, "Normal Weight", B2231&lt;=29.9, "Overweight", TRUE, "Obesity")</f>
        <v>Underweight</v>
      </c>
      <c r="J2231" t="str" cm="1">
        <f t="array" ref="J2231">_xlfn.IFS(C2231&lt;5.7, "Normal", C2231&lt;=6.4, "Prediabetes", TRUE, "Diabetes")</f>
        <v>Prediabetes</v>
      </c>
    </row>
    <row r="2232" spans="1:10">
      <c r="A2232" t="s">
        <v>4462</v>
      </c>
      <c r="B2232">
        <v>17.940000000000001</v>
      </c>
      <c r="C2232">
        <v>4.1900000000000004</v>
      </c>
      <c r="D2232" t="s">
        <v>4682</v>
      </c>
      <c r="E2232" t="s">
        <v>4683</v>
      </c>
      <c r="F2232" t="s">
        <v>4682</v>
      </c>
      <c r="G2232">
        <v>1</v>
      </c>
      <c r="H2232" t="s">
        <v>4682</v>
      </c>
      <c r="I2232" t="str" cm="1">
        <f t="array" ref="I2232">_xlfn.IFS(B2232&lt;18.5, "Underweight", B2232&lt;=24.9, "Normal Weight", B2232&lt;=29.9, "Overweight", TRUE, "Obesity")</f>
        <v>Underweight</v>
      </c>
      <c r="J2232" t="str" cm="1">
        <f t="array" ref="J2232">_xlfn.IFS(C2232&lt;5.7, "Normal", C2232&lt;=6.4, "Prediabetes", TRUE, "Diabetes")</f>
        <v>Normal</v>
      </c>
    </row>
    <row r="2233" spans="1:10">
      <c r="A2233" t="s">
        <v>4464</v>
      </c>
      <c r="B2233">
        <v>16.670000000000002</v>
      </c>
      <c r="C2233">
        <v>4.7</v>
      </c>
      <c r="D2233" t="s">
        <v>4683</v>
      </c>
      <c r="E2233" t="s">
        <v>4682</v>
      </c>
      <c r="F2233" t="s">
        <v>4684</v>
      </c>
      <c r="G2233">
        <v>1</v>
      </c>
      <c r="H2233" t="s">
        <v>4682</v>
      </c>
      <c r="I2233" t="str" cm="1">
        <f t="array" ref="I2233">_xlfn.IFS(B2233&lt;18.5, "Underweight", B2233&lt;=24.9, "Normal Weight", B2233&lt;=29.9, "Overweight", TRUE, "Obesity")</f>
        <v>Underweight</v>
      </c>
      <c r="J2233" t="str" cm="1">
        <f t="array" ref="J2233">_xlfn.IFS(C2233&lt;5.7, "Normal", C2233&lt;=6.4, "Prediabetes", TRUE, "Diabetes")</f>
        <v>Normal</v>
      </c>
    </row>
    <row r="2234" spans="1:10">
      <c r="A2234" t="s">
        <v>4466</v>
      </c>
      <c r="B2234">
        <v>20.58</v>
      </c>
      <c r="C2234">
        <v>5.64</v>
      </c>
      <c r="D2234" t="s">
        <v>4683</v>
      </c>
      <c r="E2234" t="s">
        <v>4682</v>
      </c>
      <c r="F2234" t="s">
        <v>4682</v>
      </c>
      <c r="G2234">
        <v>0</v>
      </c>
      <c r="H2234" t="s">
        <v>4682</v>
      </c>
      <c r="I2234" t="str" cm="1">
        <f t="array" ref="I2234">_xlfn.IFS(B2234&lt;18.5, "Underweight", B2234&lt;=24.9, "Normal Weight", B2234&lt;=29.9, "Overweight", TRUE, "Obesity")</f>
        <v>Normal Weight</v>
      </c>
      <c r="J2234" t="str" cm="1">
        <f t="array" ref="J2234">_xlfn.IFS(C2234&lt;5.7, "Normal", C2234&lt;=6.4, "Prediabetes", TRUE, "Diabetes")</f>
        <v>Normal</v>
      </c>
    </row>
    <row r="2235" spans="1:10">
      <c r="A2235" t="s">
        <v>4468</v>
      </c>
      <c r="B2235">
        <v>16.5</v>
      </c>
      <c r="C2235">
        <v>4.1100000000000003</v>
      </c>
      <c r="D2235" t="s">
        <v>4683</v>
      </c>
      <c r="E2235" t="s">
        <v>4682</v>
      </c>
      <c r="F2235" t="s">
        <v>4682</v>
      </c>
      <c r="G2235">
        <v>0</v>
      </c>
      <c r="H2235" t="s">
        <v>4682</v>
      </c>
      <c r="I2235" t="str" cm="1">
        <f t="array" ref="I2235">_xlfn.IFS(B2235&lt;18.5, "Underweight", B2235&lt;=24.9, "Normal Weight", B2235&lt;=29.9, "Overweight", TRUE, "Obesity")</f>
        <v>Underweight</v>
      </c>
      <c r="J2235" t="str" cm="1">
        <f t="array" ref="J2235">_xlfn.IFS(C2235&lt;5.7, "Normal", C2235&lt;=6.4, "Prediabetes", TRUE, "Diabetes")</f>
        <v>Normal</v>
      </c>
    </row>
    <row r="2236" spans="1:10">
      <c r="A2236" t="s">
        <v>4470</v>
      </c>
      <c r="B2236">
        <v>15.41</v>
      </c>
      <c r="C2236">
        <v>5.43</v>
      </c>
      <c r="D2236" t="s">
        <v>4683</v>
      </c>
      <c r="E2236" t="s">
        <v>4682</v>
      </c>
      <c r="F2236" t="s">
        <v>4684</v>
      </c>
      <c r="G2236">
        <v>1</v>
      </c>
      <c r="H2236" t="s">
        <v>4682</v>
      </c>
      <c r="I2236" t="str" cm="1">
        <f t="array" ref="I2236">_xlfn.IFS(B2236&lt;18.5, "Underweight", B2236&lt;=24.9, "Normal Weight", B2236&lt;=29.9, "Overweight", TRUE, "Obesity")</f>
        <v>Underweight</v>
      </c>
      <c r="J2236" t="str" cm="1">
        <f t="array" ref="J2236">_xlfn.IFS(C2236&lt;5.7, "Normal", C2236&lt;=6.4, "Prediabetes", TRUE, "Diabetes")</f>
        <v>Normal</v>
      </c>
    </row>
    <row r="2237" spans="1:10">
      <c r="A2237" t="s">
        <v>4472</v>
      </c>
      <c r="B2237">
        <v>24.59</v>
      </c>
      <c r="C2237">
        <v>4.38</v>
      </c>
      <c r="D2237" t="s">
        <v>4682</v>
      </c>
      <c r="E2237" t="s">
        <v>4682</v>
      </c>
      <c r="F2237" t="s">
        <v>4682</v>
      </c>
      <c r="G2237">
        <v>1</v>
      </c>
      <c r="H2237" t="s">
        <v>4682</v>
      </c>
      <c r="I2237" t="str" cm="1">
        <f t="array" ref="I2237">_xlfn.IFS(B2237&lt;18.5, "Underweight", B2237&lt;=24.9, "Normal Weight", B2237&lt;=29.9, "Overweight", TRUE, "Obesity")</f>
        <v>Normal Weight</v>
      </c>
      <c r="J2237" t="str" cm="1">
        <f t="array" ref="J2237">_xlfn.IFS(C2237&lt;5.7, "Normal", C2237&lt;=6.4, "Prediabetes", TRUE, "Diabetes")</f>
        <v>Normal</v>
      </c>
    </row>
    <row r="2238" spans="1:10">
      <c r="A2238" t="s">
        <v>4474</v>
      </c>
      <c r="B2238">
        <v>33.33</v>
      </c>
      <c r="C2238">
        <v>9.7899999999999991</v>
      </c>
      <c r="D2238" t="s">
        <v>4682</v>
      </c>
      <c r="E2238" t="s">
        <v>4682</v>
      </c>
      <c r="F2238" t="s">
        <v>4682</v>
      </c>
      <c r="G2238">
        <v>0</v>
      </c>
      <c r="H2238" t="s">
        <v>4682</v>
      </c>
      <c r="I2238" t="str" cm="1">
        <f t="array" ref="I2238">_xlfn.IFS(B2238&lt;18.5, "Underweight", B2238&lt;=24.9, "Normal Weight", B2238&lt;=29.9, "Overweight", TRUE, "Obesity")</f>
        <v>Obesity</v>
      </c>
      <c r="J2238" t="str" cm="1">
        <f t="array" ref="J2238">_xlfn.IFS(C2238&lt;5.7, "Normal", C2238&lt;=6.4, "Prediabetes", TRUE, "Diabetes")</f>
        <v>Diabetes</v>
      </c>
    </row>
    <row r="2239" spans="1:10">
      <c r="A2239" t="s">
        <v>4476</v>
      </c>
      <c r="B2239">
        <v>18.5</v>
      </c>
      <c r="C2239">
        <v>11.84</v>
      </c>
      <c r="D2239" t="s">
        <v>4682</v>
      </c>
      <c r="E2239" t="s">
        <v>4682</v>
      </c>
      <c r="F2239" t="s">
        <v>4682</v>
      </c>
      <c r="G2239">
        <v>0</v>
      </c>
      <c r="H2239" t="s">
        <v>4682</v>
      </c>
      <c r="I2239" t="str" cm="1">
        <f t="array" ref="I2239">_xlfn.IFS(B2239&lt;18.5, "Underweight", B2239&lt;=24.9, "Normal Weight", B2239&lt;=29.9, "Overweight", TRUE, "Obesity")</f>
        <v>Normal Weight</v>
      </c>
      <c r="J2239" t="str" cm="1">
        <f t="array" ref="J2239">_xlfn.IFS(C2239&lt;5.7, "Normal", C2239&lt;=6.4, "Prediabetes", TRUE, "Diabetes")</f>
        <v>Diabetes</v>
      </c>
    </row>
    <row r="2240" spans="1:10">
      <c r="A2240" t="s">
        <v>4478</v>
      </c>
      <c r="B2240">
        <v>18.579999999999998</v>
      </c>
      <c r="C2240">
        <v>6.22</v>
      </c>
      <c r="D2240" t="s">
        <v>4682</v>
      </c>
      <c r="E2240" t="s">
        <v>4682</v>
      </c>
      <c r="F2240" t="s">
        <v>4682</v>
      </c>
      <c r="G2240">
        <v>0</v>
      </c>
      <c r="H2240" t="s">
        <v>4682</v>
      </c>
      <c r="I2240" t="str" cm="1">
        <f t="array" ref="I2240">_xlfn.IFS(B2240&lt;18.5, "Underweight", B2240&lt;=24.9, "Normal Weight", B2240&lt;=29.9, "Overweight", TRUE, "Obesity")</f>
        <v>Normal Weight</v>
      </c>
      <c r="J2240" t="str" cm="1">
        <f t="array" ref="J2240">_xlfn.IFS(C2240&lt;5.7, "Normal", C2240&lt;=6.4, "Prediabetes", TRUE, "Diabetes")</f>
        <v>Prediabetes</v>
      </c>
    </row>
    <row r="2241" spans="1:10">
      <c r="A2241" t="s">
        <v>4480</v>
      </c>
      <c r="B2241">
        <v>16.64</v>
      </c>
      <c r="C2241">
        <v>10.01</v>
      </c>
      <c r="D2241" t="s">
        <v>4682</v>
      </c>
      <c r="E2241" t="s">
        <v>4682</v>
      </c>
      <c r="F2241" t="s">
        <v>4682</v>
      </c>
      <c r="G2241">
        <v>0</v>
      </c>
      <c r="H2241" t="s">
        <v>4682</v>
      </c>
      <c r="I2241" t="str" cm="1">
        <f t="array" ref="I2241">_xlfn.IFS(B2241&lt;18.5, "Underweight", B2241&lt;=24.9, "Normal Weight", B2241&lt;=29.9, "Overweight", TRUE, "Obesity")</f>
        <v>Underweight</v>
      </c>
      <c r="J2241" t="str" cm="1">
        <f t="array" ref="J2241">_xlfn.IFS(C2241&lt;5.7, "Normal", C2241&lt;=6.4, "Prediabetes", TRUE, "Diabetes")</f>
        <v>Diabetes</v>
      </c>
    </row>
    <row r="2242" spans="1:10">
      <c r="A2242" t="s">
        <v>4482</v>
      </c>
      <c r="B2242">
        <v>19.329999999999998</v>
      </c>
      <c r="C2242">
        <v>4.32</v>
      </c>
      <c r="D2242" t="s">
        <v>4682</v>
      </c>
      <c r="E2242" t="s">
        <v>4682</v>
      </c>
      <c r="F2242" t="s">
        <v>4682</v>
      </c>
      <c r="G2242">
        <v>1</v>
      </c>
      <c r="H2242" t="s">
        <v>4682</v>
      </c>
      <c r="I2242" t="str" cm="1">
        <f t="array" ref="I2242">_xlfn.IFS(B2242&lt;18.5, "Underweight", B2242&lt;=24.9, "Normal Weight", B2242&lt;=29.9, "Overweight", TRUE, "Obesity")</f>
        <v>Normal Weight</v>
      </c>
      <c r="J2242" t="str" cm="1">
        <f t="array" ref="J2242">_xlfn.IFS(C2242&lt;5.7, "Normal", C2242&lt;=6.4, "Prediabetes", TRUE, "Diabetes")</f>
        <v>Normal</v>
      </c>
    </row>
    <row r="2243" spans="1:10">
      <c r="A2243" t="s">
        <v>4484</v>
      </c>
      <c r="B2243">
        <v>21.26</v>
      </c>
      <c r="C2243">
        <v>5.65</v>
      </c>
      <c r="D2243" t="s">
        <v>4683</v>
      </c>
      <c r="E2243" t="s">
        <v>4682</v>
      </c>
      <c r="F2243" t="s">
        <v>4684</v>
      </c>
      <c r="G2243">
        <v>1</v>
      </c>
      <c r="H2243" t="s">
        <v>4682</v>
      </c>
      <c r="I2243" t="str" cm="1">
        <f t="array" ref="I2243">_xlfn.IFS(B2243&lt;18.5, "Underweight", B2243&lt;=24.9, "Normal Weight", B2243&lt;=29.9, "Overweight", TRUE, "Obesity")</f>
        <v>Normal Weight</v>
      </c>
      <c r="J2243" t="str" cm="1">
        <f t="array" ref="J2243">_xlfn.IFS(C2243&lt;5.7, "Normal", C2243&lt;=6.4, "Prediabetes", TRUE, "Diabetes")</f>
        <v>Normal</v>
      </c>
    </row>
    <row r="2244" spans="1:10">
      <c r="A2244" t="s">
        <v>4486</v>
      </c>
      <c r="B2244">
        <v>15.6</v>
      </c>
      <c r="C2244">
        <v>4.12</v>
      </c>
      <c r="D2244" t="s">
        <v>4683</v>
      </c>
      <c r="E2244" t="s">
        <v>4682</v>
      </c>
      <c r="F2244" t="s">
        <v>4682</v>
      </c>
      <c r="G2244">
        <v>1</v>
      </c>
      <c r="H2244" t="s">
        <v>4682</v>
      </c>
      <c r="I2244" t="str" cm="1">
        <f t="array" ref="I2244">_xlfn.IFS(B2244&lt;18.5, "Underweight", B2244&lt;=24.9, "Normal Weight", B2244&lt;=29.9, "Overweight", TRUE, "Obesity")</f>
        <v>Underweight</v>
      </c>
      <c r="J2244" t="str" cm="1">
        <f t="array" ref="J2244">_xlfn.IFS(C2244&lt;5.7, "Normal", C2244&lt;=6.4, "Prediabetes", TRUE, "Diabetes")</f>
        <v>Normal</v>
      </c>
    </row>
    <row r="2245" spans="1:10">
      <c r="A2245" t="s">
        <v>4488</v>
      </c>
      <c r="B2245">
        <v>24.39</v>
      </c>
      <c r="C2245">
        <v>6.24</v>
      </c>
      <c r="D2245" t="s">
        <v>4682</v>
      </c>
      <c r="E2245" t="s">
        <v>4682</v>
      </c>
      <c r="F2245" t="s">
        <v>4682</v>
      </c>
      <c r="G2245">
        <v>1</v>
      </c>
      <c r="H2245" t="s">
        <v>4682</v>
      </c>
      <c r="I2245" t="str" cm="1">
        <f t="array" ref="I2245">_xlfn.IFS(B2245&lt;18.5, "Underweight", B2245&lt;=24.9, "Normal Weight", B2245&lt;=29.9, "Overweight", TRUE, "Obesity")</f>
        <v>Normal Weight</v>
      </c>
      <c r="J2245" t="str" cm="1">
        <f t="array" ref="J2245">_xlfn.IFS(C2245&lt;5.7, "Normal", C2245&lt;=6.4, "Prediabetes", TRUE, "Diabetes")</f>
        <v>Prediabetes</v>
      </c>
    </row>
    <row r="2246" spans="1:10">
      <c r="A2246" t="s">
        <v>4490</v>
      </c>
      <c r="B2246">
        <v>24.75</v>
      </c>
      <c r="C2246">
        <v>4.83</v>
      </c>
      <c r="D2246" t="s">
        <v>4682</v>
      </c>
      <c r="E2246" t="s">
        <v>4682</v>
      </c>
      <c r="F2246" t="s">
        <v>4682</v>
      </c>
      <c r="G2246">
        <v>0</v>
      </c>
      <c r="H2246" t="s">
        <v>4682</v>
      </c>
      <c r="I2246" t="str" cm="1">
        <f t="array" ref="I2246">_xlfn.IFS(B2246&lt;18.5, "Underweight", B2246&lt;=24.9, "Normal Weight", B2246&lt;=29.9, "Overweight", TRUE, "Obesity")</f>
        <v>Normal Weight</v>
      </c>
      <c r="J2246" t="str" cm="1">
        <f t="array" ref="J2246">_xlfn.IFS(C2246&lt;5.7, "Normal", C2246&lt;=6.4, "Prediabetes", TRUE, "Diabetes")</f>
        <v>Normal</v>
      </c>
    </row>
    <row r="2247" spans="1:10">
      <c r="A2247" t="s">
        <v>4492</v>
      </c>
      <c r="B2247">
        <v>20.88</v>
      </c>
      <c r="C2247">
        <v>7.4</v>
      </c>
      <c r="D2247" t="s">
        <v>4682</v>
      </c>
      <c r="E2247" t="s">
        <v>4682</v>
      </c>
      <c r="F2247" t="s">
        <v>4682</v>
      </c>
      <c r="G2247">
        <v>0</v>
      </c>
      <c r="H2247" t="s">
        <v>4682</v>
      </c>
      <c r="I2247" t="str" cm="1">
        <f t="array" ref="I2247">_xlfn.IFS(B2247&lt;18.5, "Underweight", B2247&lt;=24.9, "Normal Weight", B2247&lt;=29.9, "Overweight", TRUE, "Obesity")</f>
        <v>Normal Weight</v>
      </c>
      <c r="J2247" t="str" cm="1">
        <f t="array" ref="J2247">_xlfn.IFS(C2247&lt;5.7, "Normal", C2247&lt;=6.4, "Prediabetes", TRUE, "Diabetes")</f>
        <v>Diabetes</v>
      </c>
    </row>
    <row r="2248" spans="1:10">
      <c r="A2248" t="s">
        <v>4494</v>
      </c>
      <c r="B2248">
        <v>20.43</v>
      </c>
      <c r="C2248">
        <v>4.54</v>
      </c>
      <c r="D2248" t="s">
        <v>4682</v>
      </c>
      <c r="E2248" t="s">
        <v>4682</v>
      </c>
      <c r="F2248" t="s">
        <v>4682</v>
      </c>
      <c r="G2248">
        <v>0</v>
      </c>
      <c r="H2248" t="s">
        <v>4682</v>
      </c>
      <c r="I2248" t="str" cm="1">
        <f t="array" ref="I2248">_xlfn.IFS(B2248&lt;18.5, "Underweight", B2248&lt;=24.9, "Normal Weight", B2248&lt;=29.9, "Overweight", TRUE, "Obesity")</f>
        <v>Normal Weight</v>
      </c>
      <c r="J2248" t="str" cm="1">
        <f t="array" ref="J2248">_xlfn.IFS(C2248&lt;5.7, "Normal", C2248&lt;=6.4, "Prediabetes", TRUE, "Diabetes")</f>
        <v>Normal</v>
      </c>
    </row>
    <row r="2249" spans="1:10">
      <c r="A2249" t="s">
        <v>4496</v>
      </c>
      <c r="B2249">
        <v>15.18</v>
      </c>
      <c r="C2249">
        <v>11.11</v>
      </c>
      <c r="D2249" t="s">
        <v>4682</v>
      </c>
      <c r="E2249" t="s">
        <v>4682</v>
      </c>
      <c r="F2249" t="s">
        <v>4682</v>
      </c>
      <c r="G2249">
        <v>0</v>
      </c>
      <c r="H2249" t="s">
        <v>4682</v>
      </c>
      <c r="I2249" t="str" cm="1">
        <f t="array" ref="I2249">_xlfn.IFS(B2249&lt;18.5, "Underweight", B2249&lt;=24.9, "Normal Weight", B2249&lt;=29.9, "Overweight", TRUE, "Obesity")</f>
        <v>Underweight</v>
      </c>
      <c r="J2249" t="str" cm="1">
        <f t="array" ref="J2249">_xlfn.IFS(C2249&lt;5.7, "Normal", C2249&lt;=6.4, "Prediabetes", TRUE, "Diabetes")</f>
        <v>Diabetes</v>
      </c>
    </row>
    <row r="2250" spans="1:10">
      <c r="A2250" t="s">
        <v>4498</v>
      </c>
      <c r="B2250">
        <v>15.12</v>
      </c>
      <c r="C2250">
        <v>4.03</v>
      </c>
      <c r="D2250" t="s">
        <v>4683</v>
      </c>
      <c r="E2250" t="s">
        <v>4682</v>
      </c>
      <c r="F2250" t="s">
        <v>4682</v>
      </c>
      <c r="G2250">
        <v>0</v>
      </c>
      <c r="H2250" t="s">
        <v>4682</v>
      </c>
      <c r="I2250" t="str" cm="1">
        <f t="array" ref="I2250">_xlfn.IFS(B2250&lt;18.5, "Underweight", B2250&lt;=24.9, "Normal Weight", B2250&lt;=29.9, "Overweight", TRUE, "Obesity")</f>
        <v>Underweight</v>
      </c>
      <c r="J2250" t="str" cm="1">
        <f t="array" ref="J2250">_xlfn.IFS(C2250&lt;5.7, "Normal", C2250&lt;=6.4, "Prediabetes", TRUE, "Diabetes")</f>
        <v>Normal</v>
      </c>
    </row>
    <row r="2251" spans="1:10">
      <c r="A2251" t="s">
        <v>4500</v>
      </c>
      <c r="B2251">
        <v>23.88</v>
      </c>
      <c r="C2251">
        <v>4.51</v>
      </c>
      <c r="D2251" t="s">
        <v>4682</v>
      </c>
      <c r="E2251" t="s">
        <v>4682</v>
      </c>
      <c r="F2251" t="s">
        <v>4682</v>
      </c>
      <c r="G2251">
        <v>1</v>
      </c>
      <c r="H2251" t="s">
        <v>4682</v>
      </c>
      <c r="I2251" t="str" cm="1">
        <f t="array" ref="I2251">_xlfn.IFS(B2251&lt;18.5, "Underweight", B2251&lt;=24.9, "Normal Weight", B2251&lt;=29.9, "Overweight", TRUE, "Obesity")</f>
        <v>Normal Weight</v>
      </c>
      <c r="J2251" t="str" cm="1">
        <f t="array" ref="J2251">_xlfn.IFS(C2251&lt;5.7, "Normal", C2251&lt;=6.4, "Prediabetes", TRUE, "Diabetes")</f>
        <v>Normal</v>
      </c>
    </row>
    <row r="2252" spans="1:10">
      <c r="A2252" t="s">
        <v>4502</v>
      </c>
      <c r="B2252">
        <v>16.13</v>
      </c>
      <c r="C2252">
        <v>5.56</v>
      </c>
      <c r="D2252" t="s">
        <v>4682</v>
      </c>
      <c r="E2252" t="s">
        <v>4683</v>
      </c>
      <c r="F2252" t="s">
        <v>4682</v>
      </c>
      <c r="G2252">
        <v>1</v>
      </c>
      <c r="H2252" t="s">
        <v>4682</v>
      </c>
      <c r="I2252" t="str" cm="1">
        <f t="array" ref="I2252">_xlfn.IFS(B2252&lt;18.5, "Underweight", B2252&lt;=24.9, "Normal Weight", B2252&lt;=29.9, "Overweight", TRUE, "Obesity")</f>
        <v>Underweight</v>
      </c>
      <c r="J2252" t="str" cm="1">
        <f t="array" ref="J2252">_xlfn.IFS(C2252&lt;5.7, "Normal", C2252&lt;=6.4, "Prediabetes", TRUE, "Diabetes")</f>
        <v>Normal</v>
      </c>
    </row>
    <row r="2253" spans="1:10">
      <c r="A2253" t="s">
        <v>4504</v>
      </c>
      <c r="B2253">
        <v>24.09</v>
      </c>
      <c r="C2253">
        <v>4.0999999999999996</v>
      </c>
      <c r="D2253" t="s">
        <v>4682</v>
      </c>
      <c r="E2253" t="s">
        <v>4683</v>
      </c>
      <c r="F2253" t="s">
        <v>4682</v>
      </c>
      <c r="G2253">
        <v>1</v>
      </c>
      <c r="H2253" t="s">
        <v>4682</v>
      </c>
      <c r="I2253" t="str" cm="1">
        <f t="array" ref="I2253">_xlfn.IFS(B2253&lt;18.5, "Underweight", B2253&lt;=24.9, "Normal Weight", B2253&lt;=29.9, "Overweight", TRUE, "Obesity")</f>
        <v>Normal Weight</v>
      </c>
      <c r="J2253" t="str" cm="1">
        <f t="array" ref="J2253">_xlfn.IFS(C2253&lt;5.7, "Normal", C2253&lt;=6.4, "Prediabetes", TRUE, "Diabetes")</f>
        <v>Normal</v>
      </c>
    </row>
    <row r="2254" spans="1:10">
      <c r="A2254" t="s">
        <v>4506</v>
      </c>
      <c r="B2254">
        <v>19.43</v>
      </c>
      <c r="C2254">
        <v>5.85</v>
      </c>
      <c r="D2254" t="s">
        <v>4682</v>
      </c>
      <c r="E2254" t="s">
        <v>4683</v>
      </c>
      <c r="F2254" t="s">
        <v>4682</v>
      </c>
      <c r="G2254">
        <v>1</v>
      </c>
      <c r="H2254" t="s">
        <v>4682</v>
      </c>
      <c r="I2254" t="str" cm="1">
        <f t="array" ref="I2254">_xlfn.IFS(B2254&lt;18.5, "Underweight", B2254&lt;=24.9, "Normal Weight", B2254&lt;=29.9, "Overweight", TRUE, "Obesity")</f>
        <v>Normal Weight</v>
      </c>
      <c r="J2254" t="str" cm="1">
        <f t="array" ref="J2254">_xlfn.IFS(C2254&lt;5.7, "Normal", C2254&lt;=6.4, "Prediabetes", TRUE, "Diabetes")</f>
        <v>Prediabetes</v>
      </c>
    </row>
    <row r="2255" spans="1:10">
      <c r="A2255" t="s">
        <v>4508</v>
      </c>
      <c r="B2255">
        <v>15.22</v>
      </c>
      <c r="C2255">
        <v>4.92</v>
      </c>
      <c r="D2255" t="s">
        <v>4683</v>
      </c>
      <c r="E2255" t="s">
        <v>4682</v>
      </c>
      <c r="F2255" t="s">
        <v>4684</v>
      </c>
      <c r="G2255">
        <v>1</v>
      </c>
      <c r="H2255" t="s">
        <v>4682</v>
      </c>
      <c r="I2255" t="str" cm="1">
        <f t="array" ref="I2255">_xlfn.IFS(B2255&lt;18.5, "Underweight", B2255&lt;=24.9, "Normal Weight", B2255&lt;=29.9, "Overweight", TRUE, "Obesity")</f>
        <v>Underweight</v>
      </c>
      <c r="J2255" t="str" cm="1">
        <f t="array" ref="J2255">_xlfn.IFS(C2255&lt;5.7, "Normal", C2255&lt;=6.4, "Prediabetes", TRUE, "Diabetes")</f>
        <v>Normal</v>
      </c>
    </row>
    <row r="2256" spans="1:10">
      <c r="A2256" t="s">
        <v>4510</v>
      </c>
      <c r="B2256">
        <v>20.72</v>
      </c>
      <c r="C2256">
        <v>9.4600000000000009</v>
      </c>
      <c r="D2256" t="s">
        <v>4682</v>
      </c>
      <c r="E2256" t="s">
        <v>4682</v>
      </c>
      <c r="F2256" t="s">
        <v>4682</v>
      </c>
      <c r="G2256">
        <v>0</v>
      </c>
      <c r="H2256" t="s">
        <v>4682</v>
      </c>
      <c r="I2256" t="str" cm="1">
        <f t="array" ref="I2256">_xlfn.IFS(B2256&lt;18.5, "Underweight", B2256&lt;=24.9, "Normal Weight", B2256&lt;=29.9, "Overweight", TRUE, "Obesity")</f>
        <v>Normal Weight</v>
      </c>
      <c r="J2256" t="str" cm="1">
        <f t="array" ref="J2256">_xlfn.IFS(C2256&lt;5.7, "Normal", C2256&lt;=6.4, "Prediabetes", TRUE, "Diabetes")</f>
        <v>Diabetes</v>
      </c>
    </row>
    <row r="2257" spans="1:10">
      <c r="A2257" t="s">
        <v>4512</v>
      </c>
      <c r="B2257">
        <v>35.4</v>
      </c>
      <c r="C2257">
        <v>5.94</v>
      </c>
      <c r="D2257" t="s">
        <v>4682</v>
      </c>
      <c r="E2257" t="s">
        <v>4682</v>
      </c>
      <c r="F2257" t="s">
        <v>4684</v>
      </c>
      <c r="G2257">
        <v>1</v>
      </c>
      <c r="H2257" t="s">
        <v>4682</v>
      </c>
      <c r="I2257" t="str" cm="1">
        <f t="array" ref="I2257">_xlfn.IFS(B2257&lt;18.5, "Underweight", B2257&lt;=24.9, "Normal Weight", B2257&lt;=29.9, "Overweight", TRUE, "Obesity")</f>
        <v>Obesity</v>
      </c>
      <c r="J2257" t="str" cm="1">
        <f t="array" ref="J2257">_xlfn.IFS(C2257&lt;5.7, "Normal", C2257&lt;=6.4, "Prediabetes", TRUE, "Diabetes")</f>
        <v>Prediabetes</v>
      </c>
    </row>
    <row r="2258" spans="1:10">
      <c r="A2258" t="s">
        <v>4514</v>
      </c>
      <c r="B2258">
        <v>34.4</v>
      </c>
      <c r="C2258">
        <v>5.7</v>
      </c>
      <c r="D2258" t="s">
        <v>4682</v>
      </c>
      <c r="E2258" t="s">
        <v>4682</v>
      </c>
      <c r="F2258" t="s">
        <v>4684</v>
      </c>
      <c r="G2258">
        <v>1</v>
      </c>
      <c r="H2258" t="s">
        <v>4682</v>
      </c>
      <c r="I2258" t="str" cm="1">
        <f t="array" ref="I2258">_xlfn.IFS(B2258&lt;18.5, "Underweight", B2258&lt;=24.9, "Normal Weight", B2258&lt;=29.9, "Overweight", TRUE, "Obesity")</f>
        <v>Obesity</v>
      </c>
      <c r="J2258" t="str" cm="1">
        <f t="array" ref="J2258">_xlfn.IFS(C2258&lt;5.7, "Normal", C2258&lt;=6.4, "Prediabetes", TRUE, "Diabetes")</f>
        <v>Prediabetes</v>
      </c>
    </row>
    <row r="2259" spans="1:10">
      <c r="A2259" t="s">
        <v>4516</v>
      </c>
      <c r="B2259">
        <v>34.1</v>
      </c>
      <c r="C2259">
        <v>4.13</v>
      </c>
      <c r="D2259" t="s">
        <v>4682</v>
      </c>
      <c r="E2259" t="s">
        <v>4682</v>
      </c>
      <c r="F2259" t="s">
        <v>4684</v>
      </c>
      <c r="G2259">
        <v>1</v>
      </c>
      <c r="H2259" t="s">
        <v>4682</v>
      </c>
      <c r="I2259" t="str" cm="1">
        <f t="array" ref="I2259">_xlfn.IFS(B2259&lt;18.5, "Underweight", B2259&lt;=24.9, "Normal Weight", B2259&lt;=29.9, "Overweight", TRUE, "Obesity")</f>
        <v>Obesity</v>
      </c>
      <c r="J2259" t="str" cm="1">
        <f t="array" ref="J2259">_xlfn.IFS(C2259&lt;5.7, "Normal", C2259&lt;=6.4, "Prediabetes", TRUE, "Diabetes")</f>
        <v>Normal</v>
      </c>
    </row>
    <row r="2260" spans="1:10">
      <c r="A2260" t="s">
        <v>4518</v>
      </c>
      <c r="B2260">
        <v>30.4</v>
      </c>
      <c r="C2260">
        <v>4.7699999999999996</v>
      </c>
      <c r="D2260" t="s">
        <v>4682</v>
      </c>
      <c r="E2260" t="s">
        <v>4682</v>
      </c>
      <c r="F2260" t="s">
        <v>4684</v>
      </c>
      <c r="G2260">
        <v>1</v>
      </c>
      <c r="H2260" t="s">
        <v>4682</v>
      </c>
      <c r="I2260" t="str" cm="1">
        <f t="array" ref="I2260">_xlfn.IFS(B2260&lt;18.5, "Underweight", B2260&lt;=24.9, "Normal Weight", B2260&lt;=29.9, "Overweight", TRUE, "Obesity")</f>
        <v>Obesity</v>
      </c>
      <c r="J2260" t="str" cm="1">
        <f t="array" ref="J2260">_xlfn.IFS(C2260&lt;5.7, "Normal", C2260&lt;=6.4, "Prediabetes", TRUE, "Diabetes")</f>
        <v>Normal</v>
      </c>
    </row>
    <row r="2261" spans="1:10">
      <c r="A2261" t="s">
        <v>4520</v>
      </c>
      <c r="B2261">
        <v>28.7</v>
      </c>
      <c r="C2261">
        <v>4.99</v>
      </c>
      <c r="D2261" t="s">
        <v>4682</v>
      </c>
      <c r="E2261" t="s">
        <v>4682</v>
      </c>
      <c r="F2261" t="s">
        <v>4684</v>
      </c>
      <c r="G2261">
        <v>1</v>
      </c>
      <c r="H2261" t="s">
        <v>4682</v>
      </c>
      <c r="I2261" t="str" cm="1">
        <f t="array" ref="I2261">_xlfn.IFS(B2261&lt;18.5, "Underweight", B2261&lt;=24.9, "Normal Weight", B2261&lt;=29.9, "Overweight", TRUE, "Obesity")</f>
        <v>Overweight</v>
      </c>
      <c r="J2261" t="str" cm="1">
        <f t="array" ref="J2261">_xlfn.IFS(C2261&lt;5.7, "Normal", C2261&lt;=6.4, "Prediabetes", TRUE, "Diabetes")</f>
        <v>Normal</v>
      </c>
    </row>
    <row r="2262" spans="1:10">
      <c r="A2262" t="s">
        <v>4522</v>
      </c>
      <c r="B2262">
        <v>17.440000000000001</v>
      </c>
      <c r="C2262">
        <v>4.42</v>
      </c>
      <c r="D2262" t="s">
        <v>4683</v>
      </c>
      <c r="E2262" t="s">
        <v>4682</v>
      </c>
      <c r="F2262" t="s">
        <v>4684</v>
      </c>
      <c r="G2262">
        <v>1</v>
      </c>
      <c r="H2262" t="s">
        <v>4682</v>
      </c>
      <c r="I2262" t="str" cm="1">
        <f t="array" ref="I2262">_xlfn.IFS(B2262&lt;18.5, "Underweight", B2262&lt;=24.9, "Normal Weight", B2262&lt;=29.9, "Overweight", TRUE, "Obesity")</f>
        <v>Underweight</v>
      </c>
      <c r="J2262" t="str" cm="1">
        <f t="array" ref="J2262">_xlfn.IFS(C2262&lt;5.7, "Normal", C2262&lt;=6.4, "Prediabetes", TRUE, "Diabetes")</f>
        <v>Normal</v>
      </c>
    </row>
    <row r="2263" spans="1:10">
      <c r="A2263" t="s">
        <v>4524</v>
      </c>
      <c r="B2263">
        <v>27.6</v>
      </c>
      <c r="C2263">
        <v>4.01</v>
      </c>
      <c r="D2263" t="s">
        <v>4682</v>
      </c>
      <c r="E2263" t="s">
        <v>4682</v>
      </c>
      <c r="F2263" t="s">
        <v>4684</v>
      </c>
      <c r="G2263">
        <v>1</v>
      </c>
      <c r="H2263" t="s">
        <v>4682</v>
      </c>
      <c r="I2263" t="str" cm="1">
        <f t="array" ref="I2263">_xlfn.IFS(B2263&lt;18.5, "Underweight", B2263&lt;=24.9, "Normal Weight", B2263&lt;=29.9, "Overweight", TRUE, "Obesity")</f>
        <v>Overweight</v>
      </c>
      <c r="J2263" t="str" cm="1">
        <f t="array" ref="J2263">_xlfn.IFS(C2263&lt;5.7, "Normal", C2263&lt;=6.4, "Prediabetes", TRUE, "Diabetes")</f>
        <v>Normal</v>
      </c>
    </row>
    <row r="2264" spans="1:10">
      <c r="A2264" t="s">
        <v>4526</v>
      </c>
      <c r="B2264">
        <v>20.7</v>
      </c>
      <c r="C2264">
        <v>4.49</v>
      </c>
      <c r="D2264" t="s">
        <v>4682</v>
      </c>
      <c r="E2264" t="s">
        <v>4682</v>
      </c>
      <c r="F2264" t="s">
        <v>4684</v>
      </c>
      <c r="G2264">
        <v>1</v>
      </c>
      <c r="H2264" t="s">
        <v>4682</v>
      </c>
      <c r="I2264" t="str" cm="1">
        <f t="array" ref="I2264">_xlfn.IFS(B2264&lt;18.5, "Underweight", B2264&lt;=24.9, "Normal Weight", B2264&lt;=29.9, "Overweight", TRUE, "Obesity")</f>
        <v>Normal Weight</v>
      </c>
      <c r="J2264" t="str" cm="1">
        <f t="array" ref="J2264">_xlfn.IFS(C2264&lt;5.7, "Normal", C2264&lt;=6.4, "Prediabetes", TRUE, "Diabetes")</f>
        <v>Normal</v>
      </c>
    </row>
    <row r="2265" spans="1:10">
      <c r="A2265" t="s">
        <v>4528</v>
      </c>
      <c r="B2265">
        <v>20.3</v>
      </c>
      <c r="C2265">
        <v>6.37</v>
      </c>
      <c r="D2265" t="s">
        <v>4682</v>
      </c>
      <c r="E2265" t="s">
        <v>4682</v>
      </c>
      <c r="F2265" t="s">
        <v>4684</v>
      </c>
      <c r="G2265">
        <v>1</v>
      </c>
      <c r="H2265" t="s">
        <v>4682</v>
      </c>
      <c r="I2265" t="str" cm="1">
        <f t="array" ref="I2265">_xlfn.IFS(B2265&lt;18.5, "Underweight", B2265&lt;=24.9, "Normal Weight", B2265&lt;=29.9, "Overweight", TRUE, "Obesity")</f>
        <v>Normal Weight</v>
      </c>
      <c r="J2265" t="str" cm="1">
        <f t="array" ref="J2265">_xlfn.IFS(C2265&lt;5.7, "Normal", C2265&lt;=6.4, "Prediabetes", TRUE, "Diabetes")</f>
        <v>Prediabetes</v>
      </c>
    </row>
    <row r="2266" spans="1:10">
      <c r="A2266" t="s">
        <v>4530</v>
      </c>
      <c r="B2266">
        <v>19.8</v>
      </c>
      <c r="C2266">
        <v>5.12</v>
      </c>
      <c r="D2266" t="s">
        <v>4682</v>
      </c>
      <c r="E2266" t="s">
        <v>4682</v>
      </c>
      <c r="F2266" t="s">
        <v>4684</v>
      </c>
      <c r="G2266">
        <v>1</v>
      </c>
      <c r="H2266" t="s">
        <v>4682</v>
      </c>
      <c r="I2266" t="str" cm="1">
        <f t="array" ref="I2266">_xlfn.IFS(B2266&lt;18.5, "Underweight", B2266&lt;=24.9, "Normal Weight", B2266&lt;=29.9, "Overweight", TRUE, "Obesity")</f>
        <v>Normal Weight</v>
      </c>
      <c r="J2266" t="str" cm="1">
        <f t="array" ref="J2266">_xlfn.IFS(C2266&lt;5.7, "Normal", C2266&lt;=6.4, "Prediabetes", TRUE, "Diabetes")</f>
        <v>Normal</v>
      </c>
    </row>
    <row r="2267" spans="1:10">
      <c r="A2267" t="s">
        <v>4532</v>
      </c>
      <c r="B2267">
        <v>21.87</v>
      </c>
      <c r="C2267">
        <v>8.59</v>
      </c>
      <c r="D2267" t="s">
        <v>4682</v>
      </c>
      <c r="E2267" t="s">
        <v>4682</v>
      </c>
      <c r="F2267" t="s">
        <v>4682</v>
      </c>
      <c r="G2267">
        <v>0</v>
      </c>
      <c r="H2267" t="s">
        <v>4682</v>
      </c>
      <c r="I2267" t="str" cm="1">
        <f t="array" ref="I2267">_xlfn.IFS(B2267&lt;18.5, "Underweight", B2267&lt;=24.9, "Normal Weight", B2267&lt;=29.9, "Overweight", TRUE, "Obesity")</f>
        <v>Normal Weight</v>
      </c>
      <c r="J2267" t="str" cm="1">
        <f t="array" ref="J2267">_xlfn.IFS(C2267&lt;5.7, "Normal", C2267&lt;=6.4, "Prediabetes", TRUE, "Diabetes")</f>
        <v>Diabetes</v>
      </c>
    </row>
    <row r="2268" spans="1:10">
      <c r="A2268" t="s">
        <v>4534</v>
      </c>
      <c r="B2268">
        <v>16.600000000000001</v>
      </c>
      <c r="C2268">
        <v>5.87</v>
      </c>
      <c r="D2268" t="s">
        <v>4682</v>
      </c>
      <c r="E2268" t="s">
        <v>4682</v>
      </c>
      <c r="F2268" t="s">
        <v>4682</v>
      </c>
      <c r="G2268">
        <v>1</v>
      </c>
      <c r="H2268" t="s">
        <v>4682</v>
      </c>
      <c r="I2268" t="str" cm="1">
        <f t="array" ref="I2268">_xlfn.IFS(B2268&lt;18.5, "Underweight", B2268&lt;=24.9, "Normal Weight", B2268&lt;=29.9, "Overweight", TRUE, "Obesity")</f>
        <v>Underweight</v>
      </c>
      <c r="J2268" t="str" cm="1">
        <f t="array" ref="J2268">_xlfn.IFS(C2268&lt;5.7, "Normal", C2268&lt;=6.4, "Prediabetes", TRUE, "Diabetes")</f>
        <v>Prediabetes</v>
      </c>
    </row>
    <row r="2269" spans="1:10">
      <c r="A2269" t="s">
        <v>4536</v>
      </c>
      <c r="B2269">
        <v>21.98</v>
      </c>
      <c r="C2269">
        <v>7.03</v>
      </c>
      <c r="D2269" t="s">
        <v>4682</v>
      </c>
      <c r="E2269" t="s">
        <v>4682</v>
      </c>
      <c r="F2269" t="s">
        <v>4682</v>
      </c>
      <c r="G2269">
        <v>0</v>
      </c>
      <c r="H2269" t="s">
        <v>4682</v>
      </c>
      <c r="I2269" t="str" cm="1">
        <f t="array" ref="I2269">_xlfn.IFS(B2269&lt;18.5, "Underweight", B2269&lt;=24.9, "Normal Weight", B2269&lt;=29.9, "Overweight", TRUE, "Obesity")</f>
        <v>Normal Weight</v>
      </c>
      <c r="J2269" t="str" cm="1">
        <f t="array" ref="J2269">_xlfn.IFS(C2269&lt;5.7, "Normal", C2269&lt;=6.4, "Prediabetes", TRUE, "Diabetes")</f>
        <v>Diabetes</v>
      </c>
    </row>
    <row r="2270" spans="1:10">
      <c r="A2270" t="s">
        <v>4538</v>
      </c>
      <c r="B2270">
        <v>19.7</v>
      </c>
      <c r="C2270">
        <v>5.51</v>
      </c>
      <c r="D2270" t="s">
        <v>4682</v>
      </c>
      <c r="E2270" t="s">
        <v>4682</v>
      </c>
      <c r="F2270" t="s">
        <v>4682</v>
      </c>
      <c r="G2270">
        <v>1</v>
      </c>
      <c r="H2270" t="s">
        <v>4682</v>
      </c>
      <c r="I2270" t="str" cm="1">
        <f t="array" ref="I2270">_xlfn.IFS(B2270&lt;18.5, "Underweight", B2270&lt;=24.9, "Normal Weight", B2270&lt;=29.9, "Overweight", TRUE, "Obesity")</f>
        <v>Normal Weight</v>
      </c>
      <c r="J2270" t="str" cm="1">
        <f t="array" ref="J2270">_xlfn.IFS(C2270&lt;5.7, "Normal", C2270&lt;=6.4, "Prediabetes", TRUE, "Diabetes")</f>
        <v>Normal</v>
      </c>
    </row>
    <row r="2271" spans="1:10">
      <c r="A2271" t="s">
        <v>4540</v>
      </c>
      <c r="B2271">
        <v>19.21</v>
      </c>
      <c r="C2271">
        <v>4.76</v>
      </c>
      <c r="D2271" t="s">
        <v>4682</v>
      </c>
      <c r="E2271" t="s">
        <v>4683</v>
      </c>
      <c r="F2271" t="s">
        <v>4682</v>
      </c>
      <c r="G2271">
        <v>1</v>
      </c>
      <c r="H2271" t="s">
        <v>4682</v>
      </c>
      <c r="I2271" t="str" cm="1">
        <f t="array" ref="I2271">_xlfn.IFS(B2271&lt;18.5, "Underweight", B2271&lt;=24.9, "Normal Weight", B2271&lt;=29.9, "Overweight", TRUE, "Obesity")</f>
        <v>Normal Weight</v>
      </c>
      <c r="J2271" t="str" cm="1">
        <f t="array" ref="J2271">_xlfn.IFS(C2271&lt;5.7, "Normal", C2271&lt;=6.4, "Prediabetes", TRUE, "Diabetes")</f>
        <v>Normal</v>
      </c>
    </row>
    <row r="2272" spans="1:10">
      <c r="A2272" t="s">
        <v>4542</v>
      </c>
      <c r="B2272">
        <v>19.3</v>
      </c>
      <c r="C2272">
        <v>4.7</v>
      </c>
      <c r="D2272" t="s">
        <v>4682</v>
      </c>
      <c r="E2272" t="s">
        <v>4683</v>
      </c>
      <c r="F2272" t="s">
        <v>4682</v>
      </c>
      <c r="G2272">
        <v>1</v>
      </c>
      <c r="H2272" t="s">
        <v>4682</v>
      </c>
      <c r="I2272" t="str" cm="1">
        <f t="array" ref="I2272">_xlfn.IFS(B2272&lt;18.5, "Underweight", B2272&lt;=24.9, "Normal Weight", B2272&lt;=29.9, "Overweight", TRUE, "Obesity")</f>
        <v>Normal Weight</v>
      </c>
      <c r="J2272" t="str" cm="1">
        <f t="array" ref="J2272">_xlfn.IFS(C2272&lt;5.7, "Normal", C2272&lt;=6.4, "Prediabetes", TRUE, "Diabetes")</f>
        <v>Normal</v>
      </c>
    </row>
    <row r="2273" spans="1:10">
      <c r="A2273" t="s">
        <v>4544</v>
      </c>
      <c r="B2273">
        <v>16.22</v>
      </c>
      <c r="C2273">
        <v>6.21</v>
      </c>
      <c r="D2273" t="s">
        <v>4683</v>
      </c>
      <c r="E2273" t="s">
        <v>4682</v>
      </c>
      <c r="F2273" t="s">
        <v>4682</v>
      </c>
      <c r="G2273">
        <v>0</v>
      </c>
      <c r="H2273" t="s">
        <v>4682</v>
      </c>
      <c r="I2273" t="str" cm="1">
        <f t="array" ref="I2273">_xlfn.IFS(B2273&lt;18.5, "Underweight", B2273&lt;=24.9, "Normal Weight", B2273&lt;=29.9, "Overweight", TRUE, "Obesity")</f>
        <v>Underweight</v>
      </c>
      <c r="J2273" t="str" cm="1">
        <f t="array" ref="J2273">_xlfn.IFS(C2273&lt;5.7, "Normal", C2273&lt;=6.4, "Prediabetes", TRUE, "Diabetes")</f>
        <v>Prediabetes</v>
      </c>
    </row>
    <row r="2274" spans="1:10">
      <c r="A2274" t="s">
        <v>4546</v>
      </c>
      <c r="B2274">
        <v>17.12</v>
      </c>
      <c r="C2274">
        <v>4.5199999999999996</v>
      </c>
      <c r="D2274" t="s">
        <v>4682</v>
      </c>
      <c r="E2274" t="s">
        <v>4683</v>
      </c>
      <c r="F2274" t="s">
        <v>4682</v>
      </c>
      <c r="G2274">
        <v>1</v>
      </c>
      <c r="H2274" t="s">
        <v>4682</v>
      </c>
      <c r="I2274" t="str" cm="1">
        <f t="array" ref="I2274">_xlfn.IFS(B2274&lt;18.5, "Underweight", B2274&lt;=24.9, "Normal Weight", B2274&lt;=29.9, "Overweight", TRUE, "Obesity")</f>
        <v>Underweight</v>
      </c>
      <c r="J2274" t="str" cm="1">
        <f t="array" ref="J2274">_xlfn.IFS(C2274&lt;5.7, "Normal", C2274&lt;=6.4, "Prediabetes", TRUE, "Diabetes")</f>
        <v>Normal</v>
      </c>
    </row>
    <row r="2275" spans="1:10">
      <c r="A2275" t="s">
        <v>4548</v>
      </c>
      <c r="B2275">
        <v>19.07</v>
      </c>
      <c r="C2275">
        <v>5.45</v>
      </c>
      <c r="D2275" t="s">
        <v>4682</v>
      </c>
      <c r="E2275" t="s">
        <v>4682</v>
      </c>
      <c r="F2275" t="s">
        <v>4682</v>
      </c>
      <c r="G2275">
        <v>1</v>
      </c>
      <c r="H2275" t="s">
        <v>4682</v>
      </c>
      <c r="I2275" t="str" cm="1">
        <f t="array" ref="I2275">_xlfn.IFS(B2275&lt;18.5, "Underweight", B2275&lt;=24.9, "Normal Weight", B2275&lt;=29.9, "Overweight", TRUE, "Obesity")</f>
        <v>Normal Weight</v>
      </c>
      <c r="J2275" t="str" cm="1">
        <f t="array" ref="J2275">_xlfn.IFS(C2275&lt;5.7, "Normal", C2275&lt;=6.4, "Prediabetes", TRUE, "Diabetes")</f>
        <v>Normal</v>
      </c>
    </row>
    <row r="2276" spans="1:10">
      <c r="A2276" t="s">
        <v>4550</v>
      </c>
      <c r="B2276">
        <v>15.56</v>
      </c>
      <c r="C2276">
        <v>4.42</v>
      </c>
      <c r="D2276" t="s">
        <v>4682</v>
      </c>
      <c r="E2276" t="s">
        <v>4682</v>
      </c>
      <c r="F2276" t="s">
        <v>4682</v>
      </c>
      <c r="G2276">
        <v>0</v>
      </c>
      <c r="H2276" t="s">
        <v>4682</v>
      </c>
      <c r="I2276" t="str" cm="1">
        <f t="array" ref="I2276">_xlfn.IFS(B2276&lt;18.5, "Underweight", B2276&lt;=24.9, "Normal Weight", B2276&lt;=29.9, "Overweight", TRUE, "Obesity")</f>
        <v>Underweight</v>
      </c>
      <c r="J2276" t="str" cm="1">
        <f t="array" ref="J2276">_xlfn.IFS(C2276&lt;5.7, "Normal", C2276&lt;=6.4, "Prediabetes", TRUE, "Diabetes")</f>
        <v>Normal</v>
      </c>
    </row>
    <row r="2277" spans="1:10">
      <c r="A2277" t="s">
        <v>4552</v>
      </c>
      <c r="B2277">
        <v>22.76</v>
      </c>
      <c r="C2277">
        <v>9.44</v>
      </c>
      <c r="D2277" t="s">
        <v>4682</v>
      </c>
      <c r="E2277" t="s">
        <v>4682</v>
      </c>
      <c r="F2277" t="s">
        <v>4682</v>
      </c>
      <c r="G2277">
        <v>0</v>
      </c>
      <c r="H2277" t="s">
        <v>4682</v>
      </c>
      <c r="I2277" t="str" cm="1">
        <f t="array" ref="I2277">_xlfn.IFS(B2277&lt;18.5, "Underweight", B2277&lt;=24.9, "Normal Weight", B2277&lt;=29.9, "Overweight", TRUE, "Obesity")</f>
        <v>Normal Weight</v>
      </c>
      <c r="J2277" t="str" cm="1">
        <f t="array" ref="J2277">_xlfn.IFS(C2277&lt;5.7, "Normal", C2277&lt;=6.4, "Prediabetes", TRUE, "Diabetes")</f>
        <v>Diabetes</v>
      </c>
    </row>
    <row r="2278" spans="1:10">
      <c r="A2278" t="s">
        <v>4554</v>
      </c>
      <c r="B2278">
        <v>22.79</v>
      </c>
      <c r="C2278">
        <v>6.15</v>
      </c>
      <c r="D2278" t="s">
        <v>4683</v>
      </c>
      <c r="E2278" t="s">
        <v>4682</v>
      </c>
      <c r="F2278" t="s">
        <v>4684</v>
      </c>
      <c r="G2278">
        <v>1</v>
      </c>
      <c r="H2278" t="s">
        <v>4682</v>
      </c>
      <c r="I2278" t="str" cm="1">
        <f t="array" ref="I2278">_xlfn.IFS(B2278&lt;18.5, "Underweight", B2278&lt;=24.9, "Normal Weight", B2278&lt;=29.9, "Overweight", TRUE, "Obesity")</f>
        <v>Normal Weight</v>
      </c>
      <c r="J2278" t="str" cm="1">
        <f t="array" ref="J2278">_xlfn.IFS(C2278&lt;5.7, "Normal", C2278&lt;=6.4, "Prediabetes", TRUE, "Diabetes")</f>
        <v>Prediabetes</v>
      </c>
    </row>
    <row r="2279" spans="1:10">
      <c r="A2279" t="s">
        <v>4556</v>
      </c>
      <c r="B2279">
        <v>17.41</v>
      </c>
      <c r="C2279">
        <v>5.13</v>
      </c>
      <c r="D2279" t="s">
        <v>4683</v>
      </c>
      <c r="E2279" t="s">
        <v>4682</v>
      </c>
      <c r="F2279" t="s">
        <v>4682</v>
      </c>
      <c r="G2279">
        <v>0</v>
      </c>
      <c r="H2279" t="s">
        <v>4682</v>
      </c>
      <c r="I2279" t="str" cm="1">
        <f t="array" ref="I2279">_xlfn.IFS(B2279&lt;18.5, "Underweight", B2279&lt;=24.9, "Normal Weight", B2279&lt;=29.9, "Overweight", TRUE, "Obesity")</f>
        <v>Underweight</v>
      </c>
      <c r="J2279" t="str" cm="1">
        <f t="array" ref="J2279">_xlfn.IFS(C2279&lt;5.7, "Normal", C2279&lt;=6.4, "Prediabetes", TRUE, "Diabetes")</f>
        <v>Normal</v>
      </c>
    </row>
    <row r="2280" spans="1:10">
      <c r="A2280" t="s">
        <v>4558</v>
      </c>
      <c r="B2280">
        <v>19.32</v>
      </c>
      <c r="C2280">
        <v>4.96</v>
      </c>
      <c r="D2280" t="s">
        <v>4683</v>
      </c>
      <c r="E2280" t="s">
        <v>4682</v>
      </c>
      <c r="F2280" t="s">
        <v>4682</v>
      </c>
      <c r="G2280">
        <v>0</v>
      </c>
      <c r="H2280" t="s">
        <v>4682</v>
      </c>
      <c r="I2280" t="str" cm="1">
        <f t="array" ref="I2280">_xlfn.IFS(B2280&lt;18.5, "Underweight", B2280&lt;=24.9, "Normal Weight", B2280&lt;=29.9, "Overweight", TRUE, "Obesity")</f>
        <v>Normal Weight</v>
      </c>
      <c r="J2280" t="str" cm="1">
        <f t="array" ref="J2280">_xlfn.IFS(C2280&lt;5.7, "Normal", C2280&lt;=6.4, "Prediabetes", TRUE, "Diabetes")</f>
        <v>Normal</v>
      </c>
    </row>
    <row r="2281" spans="1:10">
      <c r="A2281" t="s">
        <v>4560</v>
      </c>
      <c r="B2281">
        <v>18.25</v>
      </c>
      <c r="C2281">
        <v>10.95</v>
      </c>
      <c r="D2281" t="s">
        <v>4682</v>
      </c>
      <c r="E2281" t="s">
        <v>4682</v>
      </c>
      <c r="F2281" t="s">
        <v>4682</v>
      </c>
      <c r="G2281">
        <v>0</v>
      </c>
      <c r="H2281" t="s">
        <v>4682</v>
      </c>
      <c r="I2281" t="str" cm="1">
        <f t="array" ref="I2281">_xlfn.IFS(B2281&lt;18.5, "Underweight", B2281&lt;=24.9, "Normal Weight", B2281&lt;=29.9, "Overweight", TRUE, "Obesity")</f>
        <v>Underweight</v>
      </c>
      <c r="J2281" t="str" cm="1">
        <f t="array" ref="J2281">_xlfn.IFS(C2281&lt;5.7, "Normal", C2281&lt;=6.4, "Prediabetes", TRUE, "Diabetes")</f>
        <v>Diabetes</v>
      </c>
    </row>
    <row r="2282" spans="1:10">
      <c r="A2282" t="s">
        <v>4562</v>
      </c>
      <c r="B2282">
        <v>53.13</v>
      </c>
      <c r="C2282">
        <v>4.4400000000000004</v>
      </c>
      <c r="D2282" t="s">
        <v>4682</v>
      </c>
      <c r="E2282" t="s">
        <v>4683</v>
      </c>
      <c r="F2282" t="s">
        <v>4682</v>
      </c>
      <c r="G2282">
        <v>1</v>
      </c>
      <c r="H2282" t="s">
        <v>4682</v>
      </c>
      <c r="I2282" t="str" cm="1">
        <f t="array" ref="I2282">_xlfn.IFS(B2282&lt;18.5, "Underweight", B2282&lt;=24.9, "Normal Weight", B2282&lt;=29.9, "Overweight", TRUE, "Obesity")</f>
        <v>Obesity</v>
      </c>
      <c r="J2282" t="str" cm="1">
        <f t="array" ref="J2282">_xlfn.IFS(C2282&lt;5.7, "Normal", C2282&lt;=6.4, "Prediabetes", TRUE, "Diabetes")</f>
        <v>Normal</v>
      </c>
    </row>
    <row r="2283" spans="1:10">
      <c r="A2283" t="s">
        <v>4564</v>
      </c>
      <c r="B2283">
        <v>20.46</v>
      </c>
      <c r="C2283">
        <v>4.0199999999999996</v>
      </c>
      <c r="D2283" t="s">
        <v>4682</v>
      </c>
      <c r="E2283" t="s">
        <v>4682</v>
      </c>
      <c r="F2283" t="s">
        <v>4682</v>
      </c>
      <c r="G2283">
        <v>0</v>
      </c>
      <c r="H2283" t="s">
        <v>4682</v>
      </c>
      <c r="I2283" t="str" cm="1">
        <f t="array" ref="I2283">_xlfn.IFS(B2283&lt;18.5, "Underweight", B2283&lt;=24.9, "Normal Weight", B2283&lt;=29.9, "Overweight", TRUE, "Obesity")</f>
        <v>Normal Weight</v>
      </c>
      <c r="J2283" t="str" cm="1">
        <f t="array" ref="J2283">_xlfn.IFS(C2283&lt;5.7, "Normal", C2283&lt;=6.4, "Prediabetes", TRUE, "Diabetes")</f>
        <v>Normal</v>
      </c>
    </row>
    <row r="2284" spans="1:10">
      <c r="A2284" t="s">
        <v>4566</v>
      </c>
      <c r="B2284">
        <v>43.01</v>
      </c>
      <c r="C2284">
        <v>5.44</v>
      </c>
      <c r="D2284" t="s">
        <v>4682</v>
      </c>
      <c r="E2284" t="s">
        <v>4683</v>
      </c>
      <c r="F2284" t="s">
        <v>4682</v>
      </c>
      <c r="G2284">
        <v>1</v>
      </c>
      <c r="H2284" t="s">
        <v>4682</v>
      </c>
      <c r="I2284" t="str" cm="1">
        <f t="array" ref="I2284">_xlfn.IFS(B2284&lt;18.5, "Underweight", B2284&lt;=24.9, "Normal Weight", B2284&lt;=29.9, "Overweight", TRUE, "Obesity")</f>
        <v>Obesity</v>
      </c>
      <c r="J2284" t="str" cm="1">
        <f t="array" ref="J2284">_xlfn.IFS(C2284&lt;5.7, "Normal", C2284&lt;=6.4, "Prediabetes", TRUE, "Diabetes")</f>
        <v>Normal</v>
      </c>
    </row>
    <row r="2285" spans="1:10">
      <c r="A2285" t="s">
        <v>4568</v>
      </c>
      <c r="B2285">
        <v>15.01</v>
      </c>
      <c r="C2285">
        <v>4.1500000000000004</v>
      </c>
      <c r="D2285" t="s">
        <v>4682</v>
      </c>
      <c r="E2285" t="s">
        <v>4682</v>
      </c>
      <c r="F2285" t="s">
        <v>4684</v>
      </c>
      <c r="G2285">
        <v>1</v>
      </c>
      <c r="H2285" t="s">
        <v>4682</v>
      </c>
      <c r="I2285" t="str" cm="1">
        <f t="array" ref="I2285">_xlfn.IFS(B2285&lt;18.5, "Underweight", B2285&lt;=24.9, "Normal Weight", B2285&lt;=29.9, "Overweight", TRUE, "Obesity")</f>
        <v>Underweight</v>
      </c>
      <c r="J2285" t="str" cm="1">
        <f t="array" ref="J2285">_xlfn.IFS(C2285&lt;5.7, "Normal", C2285&lt;=6.4, "Prediabetes", TRUE, "Diabetes")</f>
        <v>Normal</v>
      </c>
    </row>
    <row r="2286" spans="1:10">
      <c r="A2286" t="s">
        <v>4570</v>
      </c>
      <c r="B2286">
        <v>41.14</v>
      </c>
      <c r="C2286">
        <v>6.02</v>
      </c>
      <c r="D2286" t="s">
        <v>4682</v>
      </c>
      <c r="E2286" t="s">
        <v>4683</v>
      </c>
      <c r="F2286" t="s">
        <v>4682</v>
      </c>
      <c r="G2286">
        <v>1</v>
      </c>
      <c r="H2286" t="s">
        <v>4682</v>
      </c>
      <c r="I2286" t="str" cm="1">
        <f t="array" ref="I2286">_xlfn.IFS(B2286&lt;18.5, "Underweight", B2286&lt;=24.9, "Normal Weight", B2286&lt;=29.9, "Overweight", TRUE, "Obesity")</f>
        <v>Obesity</v>
      </c>
      <c r="J2286" t="str" cm="1">
        <f t="array" ref="J2286">_xlfn.IFS(C2286&lt;5.7, "Normal", C2286&lt;=6.4, "Prediabetes", TRUE, "Diabetes")</f>
        <v>Prediabetes</v>
      </c>
    </row>
    <row r="2287" spans="1:10">
      <c r="A2287" t="s">
        <v>4572</v>
      </c>
      <c r="B2287">
        <v>16.55</v>
      </c>
      <c r="C2287">
        <v>7.73</v>
      </c>
      <c r="D2287" t="s">
        <v>4682</v>
      </c>
      <c r="E2287" t="s">
        <v>4682</v>
      </c>
      <c r="F2287" t="s">
        <v>4682</v>
      </c>
      <c r="G2287">
        <v>0</v>
      </c>
      <c r="H2287" t="s">
        <v>4682</v>
      </c>
      <c r="I2287" t="str" cm="1">
        <f t="array" ref="I2287">_xlfn.IFS(B2287&lt;18.5, "Underweight", B2287&lt;=24.9, "Normal Weight", B2287&lt;=29.9, "Overweight", TRUE, "Obesity")</f>
        <v>Underweight</v>
      </c>
      <c r="J2287" t="str" cm="1">
        <f t="array" ref="J2287">_xlfn.IFS(C2287&lt;5.7, "Normal", C2287&lt;=6.4, "Prediabetes", TRUE, "Diabetes")</f>
        <v>Diabetes</v>
      </c>
    </row>
    <row r="2288" spans="1:10">
      <c r="A2288" t="s">
        <v>4574</v>
      </c>
      <c r="B2288">
        <v>37.29</v>
      </c>
      <c r="C2288">
        <v>5.03</v>
      </c>
      <c r="D2288" t="s">
        <v>4682</v>
      </c>
      <c r="E2288" t="s">
        <v>4683</v>
      </c>
      <c r="F2288" t="s">
        <v>4682</v>
      </c>
      <c r="G2288">
        <v>1</v>
      </c>
      <c r="H2288" t="s">
        <v>4682</v>
      </c>
      <c r="I2288" t="str" cm="1">
        <f t="array" ref="I2288">_xlfn.IFS(B2288&lt;18.5, "Underweight", B2288&lt;=24.9, "Normal Weight", B2288&lt;=29.9, "Overweight", TRUE, "Obesity")</f>
        <v>Obesity</v>
      </c>
      <c r="J2288" t="str" cm="1">
        <f t="array" ref="J2288">_xlfn.IFS(C2288&lt;5.7, "Normal", C2288&lt;=6.4, "Prediabetes", TRUE, "Diabetes")</f>
        <v>Normal</v>
      </c>
    </row>
    <row r="2289" spans="1:10">
      <c r="A2289" t="s">
        <v>4576</v>
      </c>
      <c r="B2289">
        <v>16.739999999999998</v>
      </c>
      <c r="C2289">
        <v>4.08</v>
      </c>
      <c r="D2289" t="s">
        <v>4683</v>
      </c>
      <c r="E2289" t="s">
        <v>4682</v>
      </c>
      <c r="F2289" t="s">
        <v>4682</v>
      </c>
      <c r="G2289">
        <v>0</v>
      </c>
      <c r="H2289" t="s">
        <v>4682</v>
      </c>
      <c r="I2289" t="str" cm="1">
        <f t="array" ref="I2289">_xlfn.IFS(B2289&lt;18.5, "Underweight", B2289&lt;=24.9, "Normal Weight", B2289&lt;=29.9, "Overweight", TRUE, "Obesity")</f>
        <v>Underweight</v>
      </c>
      <c r="J2289" t="str" cm="1">
        <f t="array" ref="J2289">_xlfn.IFS(C2289&lt;5.7, "Normal", C2289&lt;=6.4, "Prediabetes", TRUE, "Diabetes")</f>
        <v>Normal</v>
      </c>
    </row>
    <row r="2290" spans="1:10">
      <c r="A2290" t="s">
        <v>4578</v>
      </c>
      <c r="B2290">
        <v>34.43</v>
      </c>
      <c r="C2290">
        <v>4.2699999999999996</v>
      </c>
      <c r="D2290" t="s">
        <v>4682</v>
      </c>
      <c r="E2290" t="s">
        <v>4683</v>
      </c>
      <c r="F2290" t="s">
        <v>4682</v>
      </c>
      <c r="G2290">
        <v>1</v>
      </c>
      <c r="H2290" t="s">
        <v>4682</v>
      </c>
      <c r="I2290" t="str" cm="1">
        <f t="array" ref="I2290">_xlfn.IFS(B2290&lt;18.5, "Underweight", B2290&lt;=24.9, "Normal Weight", B2290&lt;=29.9, "Overweight", TRUE, "Obesity")</f>
        <v>Obesity</v>
      </c>
      <c r="J2290" t="str" cm="1">
        <f t="array" ref="J2290">_xlfn.IFS(C2290&lt;5.7, "Normal", C2290&lt;=6.4, "Prediabetes", TRUE, "Diabetes")</f>
        <v>Normal</v>
      </c>
    </row>
    <row r="2291" spans="1:10">
      <c r="A2291" t="s">
        <v>4580</v>
      </c>
      <c r="B2291">
        <v>34.1</v>
      </c>
      <c r="C2291">
        <v>4.07</v>
      </c>
      <c r="D2291" t="s">
        <v>4682</v>
      </c>
      <c r="E2291" t="s">
        <v>4683</v>
      </c>
      <c r="F2291" t="s">
        <v>4682</v>
      </c>
      <c r="G2291">
        <v>1</v>
      </c>
      <c r="H2291" t="s">
        <v>4682</v>
      </c>
      <c r="I2291" t="str" cm="1">
        <f t="array" ref="I2291">_xlfn.IFS(B2291&lt;18.5, "Underweight", B2291&lt;=24.9, "Normal Weight", B2291&lt;=29.9, "Overweight", TRUE, "Obesity")</f>
        <v>Obesity</v>
      </c>
      <c r="J2291" t="str" cm="1">
        <f t="array" ref="J2291">_xlfn.IFS(C2291&lt;5.7, "Normal", C2291&lt;=6.4, "Prediabetes", TRUE, "Diabetes")</f>
        <v>Normal</v>
      </c>
    </row>
    <row r="2292" spans="1:10">
      <c r="A2292" t="s">
        <v>4582</v>
      </c>
      <c r="B2292">
        <v>19.3</v>
      </c>
      <c r="C2292">
        <v>10.36</v>
      </c>
      <c r="D2292" t="s">
        <v>4682</v>
      </c>
      <c r="E2292" t="s">
        <v>4682</v>
      </c>
      <c r="F2292" t="s">
        <v>4682</v>
      </c>
      <c r="G2292">
        <v>0</v>
      </c>
      <c r="H2292" t="s">
        <v>4682</v>
      </c>
      <c r="I2292" t="str" cm="1">
        <f t="array" ref="I2292">_xlfn.IFS(B2292&lt;18.5, "Underweight", B2292&lt;=24.9, "Normal Weight", B2292&lt;=29.9, "Overweight", TRUE, "Obesity")</f>
        <v>Normal Weight</v>
      </c>
      <c r="J2292" t="str" cm="1">
        <f t="array" ref="J2292">_xlfn.IFS(C2292&lt;5.7, "Normal", C2292&lt;=6.4, "Prediabetes", TRUE, "Diabetes")</f>
        <v>Diabetes</v>
      </c>
    </row>
    <row r="2293" spans="1:10">
      <c r="A2293" t="s">
        <v>4584</v>
      </c>
      <c r="B2293">
        <v>33.659999999999997</v>
      </c>
      <c r="C2293">
        <v>5.71</v>
      </c>
      <c r="D2293" t="s">
        <v>4682</v>
      </c>
      <c r="E2293" t="s">
        <v>4683</v>
      </c>
      <c r="F2293" t="s">
        <v>4682</v>
      </c>
      <c r="G2293">
        <v>1</v>
      </c>
      <c r="H2293" t="s">
        <v>4682</v>
      </c>
      <c r="I2293" t="str" cm="1">
        <f t="array" ref="I2293">_xlfn.IFS(B2293&lt;18.5, "Underweight", B2293&lt;=24.9, "Normal Weight", B2293&lt;=29.9, "Overweight", TRUE, "Obesity")</f>
        <v>Obesity</v>
      </c>
      <c r="J2293" t="str" cm="1">
        <f t="array" ref="J2293">_xlfn.IFS(C2293&lt;5.7, "Normal", C2293&lt;=6.4, "Prediabetes", TRUE, "Diabetes")</f>
        <v>Prediabetes</v>
      </c>
    </row>
    <row r="2294" spans="1:10">
      <c r="A2294" t="s">
        <v>4586</v>
      </c>
      <c r="B2294">
        <v>33.33</v>
      </c>
      <c r="C2294">
        <v>6.08</v>
      </c>
      <c r="D2294" t="s">
        <v>4682</v>
      </c>
      <c r="E2294" t="s">
        <v>4683</v>
      </c>
      <c r="F2294" t="s">
        <v>4682</v>
      </c>
      <c r="G2294">
        <v>1</v>
      </c>
      <c r="H2294" t="s">
        <v>4682</v>
      </c>
      <c r="I2294" t="str" cm="1">
        <f t="array" ref="I2294">_xlfn.IFS(B2294&lt;18.5, "Underweight", B2294&lt;=24.9, "Normal Weight", B2294&lt;=29.9, "Overweight", TRUE, "Obesity")</f>
        <v>Obesity</v>
      </c>
      <c r="J2294" t="str" cm="1">
        <f t="array" ref="J2294">_xlfn.IFS(C2294&lt;5.7, "Normal", C2294&lt;=6.4, "Prediabetes", TRUE, "Diabetes")</f>
        <v>Prediabetes</v>
      </c>
    </row>
    <row r="2295" spans="1:10">
      <c r="A2295" t="s">
        <v>4588</v>
      </c>
      <c r="B2295">
        <v>21.84</v>
      </c>
      <c r="C2295">
        <v>5.71</v>
      </c>
      <c r="D2295" t="s">
        <v>4682</v>
      </c>
      <c r="E2295" t="s">
        <v>4683</v>
      </c>
      <c r="F2295" t="s">
        <v>4682</v>
      </c>
      <c r="G2295">
        <v>1</v>
      </c>
      <c r="H2295" t="s">
        <v>4682</v>
      </c>
      <c r="I2295" t="str" cm="1">
        <f t="array" ref="I2295">_xlfn.IFS(B2295&lt;18.5, "Underweight", B2295&lt;=24.9, "Normal Weight", B2295&lt;=29.9, "Overweight", TRUE, "Obesity")</f>
        <v>Normal Weight</v>
      </c>
      <c r="J2295" t="str" cm="1">
        <f t="array" ref="J2295">_xlfn.IFS(C2295&lt;5.7, "Normal", C2295&lt;=6.4, "Prediabetes", TRUE, "Diabetes")</f>
        <v>Prediabetes</v>
      </c>
    </row>
    <row r="2296" spans="1:10">
      <c r="A2296" t="s">
        <v>4590</v>
      </c>
      <c r="B2296">
        <v>16.87</v>
      </c>
      <c r="C2296">
        <v>9.1300000000000008</v>
      </c>
      <c r="D2296" t="s">
        <v>4682</v>
      </c>
      <c r="E2296" t="s">
        <v>4682</v>
      </c>
      <c r="F2296" t="s">
        <v>4682</v>
      </c>
      <c r="G2296">
        <v>0</v>
      </c>
      <c r="H2296" t="s">
        <v>4682</v>
      </c>
      <c r="I2296" t="str" cm="1">
        <f t="array" ref="I2296">_xlfn.IFS(B2296&lt;18.5, "Underweight", B2296&lt;=24.9, "Normal Weight", B2296&lt;=29.9, "Overweight", TRUE, "Obesity")</f>
        <v>Underweight</v>
      </c>
      <c r="J2296" t="str" cm="1">
        <f t="array" ref="J2296">_xlfn.IFS(C2296&lt;5.7, "Normal", C2296&lt;=6.4, "Prediabetes", TRUE, "Diabetes")</f>
        <v>Diabetes</v>
      </c>
    </row>
    <row r="2297" spans="1:10">
      <c r="A2297" t="s">
        <v>4592</v>
      </c>
      <c r="B2297">
        <v>30.14</v>
      </c>
      <c r="C2297">
        <v>5.49</v>
      </c>
      <c r="D2297" t="s">
        <v>4682</v>
      </c>
      <c r="E2297" t="s">
        <v>4683</v>
      </c>
      <c r="F2297" t="s">
        <v>4682</v>
      </c>
      <c r="G2297">
        <v>1</v>
      </c>
      <c r="H2297" t="s">
        <v>4682</v>
      </c>
      <c r="I2297" t="str" cm="1">
        <f t="array" ref="I2297">_xlfn.IFS(B2297&lt;18.5, "Underweight", B2297&lt;=24.9, "Normal Weight", B2297&lt;=29.9, "Overweight", TRUE, "Obesity")</f>
        <v>Obesity</v>
      </c>
      <c r="J2297" t="str" cm="1">
        <f t="array" ref="J2297">_xlfn.IFS(C2297&lt;5.7, "Normal", C2297&lt;=6.4, "Prediabetes", TRUE, "Diabetes")</f>
        <v>Normal</v>
      </c>
    </row>
    <row r="2298" spans="1:10">
      <c r="A2298" t="s">
        <v>4594</v>
      </c>
      <c r="B2298">
        <v>23.21</v>
      </c>
      <c r="C2298">
        <v>4.37</v>
      </c>
      <c r="D2298" t="s">
        <v>4682</v>
      </c>
      <c r="E2298" t="s">
        <v>4683</v>
      </c>
      <c r="F2298" t="s">
        <v>4682</v>
      </c>
      <c r="G2298">
        <v>1</v>
      </c>
      <c r="H2298" t="s">
        <v>4682</v>
      </c>
      <c r="I2298" t="str" cm="1">
        <f t="array" ref="I2298">_xlfn.IFS(B2298&lt;18.5, "Underweight", B2298&lt;=24.9, "Normal Weight", B2298&lt;=29.9, "Overweight", TRUE, "Obesity")</f>
        <v>Normal Weight</v>
      </c>
      <c r="J2298" t="str" cm="1">
        <f t="array" ref="J2298">_xlfn.IFS(C2298&lt;5.7, "Normal", C2298&lt;=6.4, "Prediabetes", TRUE, "Diabetes")</f>
        <v>Normal</v>
      </c>
    </row>
    <row r="2299" spans="1:10">
      <c r="A2299" t="s">
        <v>4596</v>
      </c>
      <c r="B2299">
        <v>17.170000000000002</v>
      </c>
      <c r="C2299">
        <v>8.4600000000000009</v>
      </c>
      <c r="D2299" t="s">
        <v>4682</v>
      </c>
      <c r="E2299" t="s">
        <v>4682</v>
      </c>
      <c r="F2299" t="s">
        <v>4682</v>
      </c>
      <c r="G2299">
        <v>0</v>
      </c>
      <c r="H2299" t="s">
        <v>4682</v>
      </c>
      <c r="I2299" t="str" cm="1">
        <f t="array" ref="I2299">_xlfn.IFS(B2299&lt;18.5, "Underweight", B2299&lt;=24.9, "Normal Weight", B2299&lt;=29.9, "Overweight", TRUE, "Obesity")</f>
        <v>Underweight</v>
      </c>
      <c r="J2299" t="str" cm="1">
        <f t="array" ref="J2299">_xlfn.IFS(C2299&lt;5.7, "Normal", C2299&lt;=6.4, "Prediabetes", TRUE, "Diabetes")</f>
        <v>Diabetes</v>
      </c>
    </row>
    <row r="2300" spans="1:10">
      <c r="A2300" t="s">
        <v>4598</v>
      </c>
      <c r="B2300">
        <v>15.61</v>
      </c>
      <c r="C2300">
        <v>5.28</v>
      </c>
      <c r="D2300" t="s">
        <v>4682</v>
      </c>
      <c r="E2300" t="s">
        <v>4682</v>
      </c>
      <c r="F2300" t="s">
        <v>4682</v>
      </c>
      <c r="G2300">
        <v>1</v>
      </c>
      <c r="H2300" t="s">
        <v>4682</v>
      </c>
      <c r="I2300" t="str" cm="1">
        <f t="array" ref="I2300">_xlfn.IFS(B2300&lt;18.5, "Underweight", B2300&lt;=24.9, "Normal Weight", B2300&lt;=29.9, "Overweight", TRUE, "Obesity")</f>
        <v>Underweight</v>
      </c>
      <c r="J2300" t="str" cm="1">
        <f t="array" ref="J2300">_xlfn.IFS(C2300&lt;5.7, "Normal", C2300&lt;=6.4, "Prediabetes", TRUE, "Diabetes")</f>
        <v>Normal</v>
      </c>
    </row>
    <row r="2301" spans="1:10">
      <c r="A2301" t="s">
        <v>4600</v>
      </c>
      <c r="B2301">
        <v>17.98</v>
      </c>
      <c r="C2301">
        <v>5.33</v>
      </c>
      <c r="D2301" t="s">
        <v>4683</v>
      </c>
      <c r="E2301" t="s">
        <v>4682</v>
      </c>
      <c r="F2301" t="s">
        <v>4684</v>
      </c>
      <c r="G2301">
        <v>1</v>
      </c>
      <c r="H2301" t="s">
        <v>4682</v>
      </c>
      <c r="I2301" t="str" cm="1">
        <f t="array" ref="I2301">_xlfn.IFS(B2301&lt;18.5, "Underweight", B2301&lt;=24.9, "Normal Weight", B2301&lt;=29.9, "Overweight", TRUE, "Obesity")</f>
        <v>Underweight</v>
      </c>
      <c r="J2301" t="str" cm="1">
        <f t="array" ref="J2301">_xlfn.IFS(C2301&lt;5.7, "Normal", C2301&lt;=6.4, "Prediabetes", TRUE, "Diabetes")</f>
        <v>Normal</v>
      </c>
    </row>
    <row r="2302" spans="1:10">
      <c r="A2302" t="s">
        <v>4602</v>
      </c>
      <c r="B2302">
        <v>21.64</v>
      </c>
      <c r="C2302">
        <v>5.5</v>
      </c>
      <c r="D2302" t="s">
        <v>4682</v>
      </c>
      <c r="E2302" t="s">
        <v>4683</v>
      </c>
      <c r="F2302" t="s">
        <v>4682</v>
      </c>
      <c r="G2302">
        <v>1</v>
      </c>
      <c r="H2302" t="s">
        <v>4682</v>
      </c>
      <c r="I2302" t="str" cm="1">
        <f t="array" ref="I2302">_xlfn.IFS(B2302&lt;18.5, "Underweight", B2302&lt;=24.9, "Normal Weight", B2302&lt;=29.9, "Overweight", TRUE, "Obesity")</f>
        <v>Normal Weight</v>
      </c>
      <c r="J2302" t="str" cm="1">
        <f t="array" ref="J2302">_xlfn.IFS(C2302&lt;5.7, "Normal", C2302&lt;=6.4, "Prediabetes", TRUE, "Diabetes")</f>
        <v>Normal</v>
      </c>
    </row>
    <row r="2303" spans="1:10">
      <c r="A2303" t="s">
        <v>4604</v>
      </c>
      <c r="B2303">
        <v>16.399999999999999</v>
      </c>
      <c r="C2303">
        <v>5.4</v>
      </c>
      <c r="D2303" t="s">
        <v>4682</v>
      </c>
      <c r="E2303" t="s">
        <v>4682</v>
      </c>
      <c r="F2303" t="s">
        <v>4684</v>
      </c>
      <c r="G2303">
        <v>1</v>
      </c>
      <c r="H2303" t="s">
        <v>4682</v>
      </c>
      <c r="I2303" t="str" cm="1">
        <f t="array" ref="I2303">_xlfn.IFS(B2303&lt;18.5, "Underweight", B2303&lt;=24.9, "Normal Weight", B2303&lt;=29.9, "Overweight", TRUE, "Obesity")</f>
        <v>Underweight</v>
      </c>
      <c r="J2303" t="str" cm="1">
        <f t="array" ref="J2303">_xlfn.IFS(C2303&lt;5.7, "Normal", C2303&lt;=6.4, "Prediabetes", TRUE, "Diabetes")</f>
        <v>Normal</v>
      </c>
    </row>
    <row r="2304" spans="1:10">
      <c r="A2304" t="s">
        <v>4606</v>
      </c>
      <c r="B2304">
        <v>15.77</v>
      </c>
      <c r="C2304">
        <v>6.05</v>
      </c>
      <c r="D2304" t="s">
        <v>4683</v>
      </c>
      <c r="E2304" t="s">
        <v>4682</v>
      </c>
      <c r="F2304" t="s">
        <v>4682</v>
      </c>
      <c r="G2304">
        <v>1</v>
      </c>
      <c r="H2304" t="s">
        <v>4682</v>
      </c>
      <c r="I2304" t="str" cm="1">
        <f t="array" ref="I2304">_xlfn.IFS(B2304&lt;18.5, "Underweight", B2304&lt;=24.9, "Normal Weight", B2304&lt;=29.9, "Overweight", TRUE, "Obesity")</f>
        <v>Underweight</v>
      </c>
      <c r="J2304" t="str" cm="1">
        <f t="array" ref="J2304">_xlfn.IFS(C2304&lt;5.7, "Normal", C2304&lt;=6.4, "Prediabetes", TRUE, "Diabetes")</f>
        <v>Prediabetes</v>
      </c>
    </row>
    <row r="2305" spans="1:10">
      <c r="A2305" t="s">
        <v>4608</v>
      </c>
      <c r="B2305">
        <v>18.27</v>
      </c>
      <c r="C2305">
        <v>11.46</v>
      </c>
      <c r="D2305" t="s">
        <v>4682</v>
      </c>
      <c r="E2305" t="s">
        <v>4682</v>
      </c>
      <c r="F2305" t="s">
        <v>4682</v>
      </c>
      <c r="G2305">
        <v>0</v>
      </c>
      <c r="H2305" t="s">
        <v>4682</v>
      </c>
      <c r="I2305" t="str" cm="1">
        <f t="array" ref="I2305">_xlfn.IFS(B2305&lt;18.5, "Underweight", B2305&lt;=24.9, "Normal Weight", B2305&lt;=29.9, "Overweight", TRUE, "Obesity")</f>
        <v>Underweight</v>
      </c>
      <c r="J2305" t="str" cm="1">
        <f t="array" ref="J2305">_xlfn.IFS(C2305&lt;5.7, "Normal", C2305&lt;=6.4, "Prediabetes", TRUE, "Diabetes")</f>
        <v>Diabetes</v>
      </c>
    </row>
    <row r="2306" spans="1:10">
      <c r="A2306" t="s">
        <v>4610</v>
      </c>
      <c r="B2306">
        <v>16.489999999999998</v>
      </c>
      <c r="C2306">
        <v>8.48</v>
      </c>
      <c r="D2306" t="s">
        <v>4682</v>
      </c>
      <c r="E2306" t="s">
        <v>4682</v>
      </c>
      <c r="F2306" t="s">
        <v>4682</v>
      </c>
      <c r="G2306">
        <v>0</v>
      </c>
      <c r="H2306" t="s">
        <v>4682</v>
      </c>
      <c r="I2306" t="str" cm="1">
        <f t="array" ref="I2306">_xlfn.IFS(B2306&lt;18.5, "Underweight", B2306&lt;=24.9, "Normal Weight", B2306&lt;=29.9, "Overweight", TRUE, "Obesity")</f>
        <v>Underweight</v>
      </c>
      <c r="J2306" t="str" cm="1">
        <f t="array" ref="J2306">_xlfn.IFS(C2306&lt;5.7, "Normal", C2306&lt;=6.4, "Prediabetes", TRUE, "Diabetes")</f>
        <v>Diabetes</v>
      </c>
    </row>
    <row r="2307" spans="1:10">
      <c r="A2307" t="s">
        <v>4612</v>
      </c>
      <c r="B2307">
        <v>16.14</v>
      </c>
      <c r="C2307">
        <v>4.8600000000000003</v>
      </c>
      <c r="D2307" t="s">
        <v>4682</v>
      </c>
      <c r="E2307" t="s">
        <v>4682</v>
      </c>
      <c r="F2307" t="s">
        <v>4682</v>
      </c>
      <c r="G2307">
        <v>0</v>
      </c>
      <c r="H2307" t="s">
        <v>4682</v>
      </c>
      <c r="I2307" t="str" cm="1">
        <f t="array" ref="I2307">_xlfn.IFS(B2307&lt;18.5, "Underweight", B2307&lt;=24.9, "Normal Weight", B2307&lt;=29.9, "Overweight", TRUE, "Obesity")</f>
        <v>Underweight</v>
      </c>
      <c r="J2307" t="str" cm="1">
        <f t="array" ref="J2307">_xlfn.IFS(C2307&lt;5.7, "Normal", C2307&lt;=6.4, "Prediabetes", TRUE, "Diabetes")</f>
        <v>Normal</v>
      </c>
    </row>
    <row r="2308" spans="1:10">
      <c r="A2308" t="s">
        <v>4614</v>
      </c>
      <c r="B2308">
        <v>20.85</v>
      </c>
      <c r="C2308">
        <v>4.45</v>
      </c>
      <c r="D2308" t="s">
        <v>4683</v>
      </c>
      <c r="E2308" t="s">
        <v>4682</v>
      </c>
      <c r="F2308" t="s">
        <v>4682</v>
      </c>
      <c r="G2308">
        <v>1</v>
      </c>
      <c r="H2308" t="s">
        <v>4682</v>
      </c>
      <c r="I2308" t="str" cm="1">
        <f t="array" ref="I2308">_xlfn.IFS(B2308&lt;18.5, "Underweight", B2308&lt;=24.9, "Normal Weight", B2308&lt;=29.9, "Overweight", TRUE, "Obesity")</f>
        <v>Normal Weight</v>
      </c>
      <c r="J2308" t="str" cm="1">
        <f t="array" ref="J2308">_xlfn.IFS(C2308&lt;5.7, "Normal", C2308&lt;=6.4, "Prediabetes", TRUE, "Diabetes")</f>
        <v>Normal</v>
      </c>
    </row>
    <row r="2309" spans="1:10">
      <c r="A2309" t="s">
        <v>4616</v>
      </c>
      <c r="B2309">
        <v>15.88</v>
      </c>
      <c r="C2309">
        <v>4.3600000000000003</v>
      </c>
      <c r="D2309" t="s">
        <v>4682</v>
      </c>
      <c r="E2309" t="s">
        <v>4682</v>
      </c>
      <c r="F2309" t="s">
        <v>4682</v>
      </c>
      <c r="G2309">
        <v>0</v>
      </c>
      <c r="H2309" t="s">
        <v>4682</v>
      </c>
      <c r="I2309" t="str" cm="1">
        <f t="array" ref="I2309">_xlfn.IFS(B2309&lt;18.5, "Underweight", B2309&lt;=24.9, "Normal Weight", B2309&lt;=29.9, "Overweight", TRUE, "Obesity")</f>
        <v>Underweight</v>
      </c>
      <c r="J2309" t="str" cm="1">
        <f t="array" ref="J2309">_xlfn.IFS(C2309&lt;5.7, "Normal", C2309&lt;=6.4, "Prediabetes", TRUE, "Diabetes")</f>
        <v>Normal</v>
      </c>
    </row>
    <row r="2310" spans="1:10">
      <c r="A2310" t="s">
        <v>4618</v>
      </c>
      <c r="B2310">
        <v>20.66</v>
      </c>
      <c r="C2310">
        <v>5.8</v>
      </c>
      <c r="D2310" t="s">
        <v>4682</v>
      </c>
      <c r="E2310" t="s">
        <v>4683</v>
      </c>
      <c r="F2310" t="s">
        <v>4682</v>
      </c>
      <c r="G2310">
        <v>1</v>
      </c>
      <c r="H2310" t="s">
        <v>4682</v>
      </c>
      <c r="I2310" t="str" cm="1">
        <f t="array" ref="I2310">_xlfn.IFS(B2310&lt;18.5, "Underweight", B2310&lt;=24.9, "Normal Weight", B2310&lt;=29.9, "Overweight", TRUE, "Obesity")</f>
        <v>Normal Weight</v>
      </c>
      <c r="J2310" t="str" cm="1">
        <f t="array" ref="J2310">_xlfn.IFS(C2310&lt;5.7, "Normal", C2310&lt;=6.4, "Prediabetes", TRUE, "Diabetes")</f>
        <v>Prediabetes</v>
      </c>
    </row>
    <row r="2311" spans="1:10">
      <c r="A2311" t="s">
        <v>4620</v>
      </c>
      <c r="B2311">
        <v>20.399999999999999</v>
      </c>
      <c r="C2311">
        <v>5.27</v>
      </c>
      <c r="D2311" t="s">
        <v>4682</v>
      </c>
      <c r="E2311" t="s">
        <v>4682</v>
      </c>
      <c r="F2311" t="s">
        <v>4682</v>
      </c>
      <c r="G2311">
        <v>0</v>
      </c>
      <c r="H2311" t="s">
        <v>4682</v>
      </c>
      <c r="I2311" t="str" cm="1">
        <f t="array" ref="I2311">_xlfn.IFS(B2311&lt;18.5, "Underweight", B2311&lt;=24.9, "Normal Weight", B2311&lt;=29.9, "Overweight", TRUE, "Obesity")</f>
        <v>Normal Weight</v>
      </c>
      <c r="J2311" t="str" cm="1">
        <f t="array" ref="J2311">_xlfn.IFS(C2311&lt;5.7, "Normal", C2311&lt;=6.4, "Prediabetes", TRUE, "Diabetes")</f>
        <v>Normal</v>
      </c>
    </row>
    <row r="2312" spans="1:10">
      <c r="A2312" t="s">
        <v>4622</v>
      </c>
      <c r="B2312">
        <v>25.19</v>
      </c>
      <c r="C2312">
        <v>5.64</v>
      </c>
      <c r="D2312" t="s">
        <v>4683</v>
      </c>
      <c r="E2312" t="s">
        <v>4682</v>
      </c>
      <c r="F2312" t="s">
        <v>4682</v>
      </c>
      <c r="G2312">
        <v>0</v>
      </c>
      <c r="H2312" t="s">
        <v>4682</v>
      </c>
      <c r="I2312" t="str" cm="1">
        <f t="array" ref="I2312">_xlfn.IFS(B2312&lt;18.5, "Underweight", B2312&lt;=24.9, "Normal Weight", B2312&lt;=29.9, "Overweight", TRUE, "Obesity")</f>
        <v>Overweight</v>
      </c>
      <c r="J2312" t="str" cm="1">
        <f t="array" ref="J2312">_xlfn.IFS(C2312&lt;5.7, "Normal", C2312&lt;=6.4, "Prediabetes", TRUE, "Diabetes")</f>
        <v>Normal</v>
      </c>
    </row>
    <row r="2313" spans="1:10">
      <c r="A2313" t="s">
        <v>4624</v>
      </c>
      <c r="B2313">
        <v>20.54</v>
      </c>
      <c r="C2313">
        <v>4.2</v>
      </c>
      <c r="D2313" t="s">
        <v>4683</v>
      </c>
      <c r="E2313" t="s">
        <v>4682</v>
      </c>
      <c r="F2313" t="s">
        <v>4682</v>
      </c>
      <c r="G2313">
        <v>1</v>
      </c>
      <c r="H2313" t="s">
        <v>4682</v>
      </c>
      <c r="I2313" t="str" cm="1">
        <f t="array" ref="I2313">_xlfn.IFS(B2313&lt;18.5, "Underweight", B2313&lt;=24.9, "Normal Weight", B2313&lt;=29.9, "Overweight", TRUE, "Obesity")</f>
        <v>Normal Weight</v>
      </c>
      <c r="J2313" t="str" cm="1">
        <f t="array" ref="J2313">_xlfn.IFS(C2313&lt;5.7, "Normal", C2313&lt;=6.4, "Prediabetes", TRUE, "Diabetes")</f>
        <v>Normal</v>
      </c>
    </row>
    <row r="2314" spans="1:10">
      <c r="A2314" t="s">
        <v>4626</v>
      </c>
      <c r="B2314">
        <v>20.13</v>
      </c>
      <c r="C2314">
        <v>5.42</v>
      </c>
      <c r="D2314" t="s">
        <v>4682</v>
      </c>
      <c r="E2314" t="s">
        <v>4682</v>
      </c>
      <c r="F2314" t="s">
        <v>4682</v>
      </c>
      <c r="G2314">
        <v>0</v>
      </c>
      <c r="H2314" t="s">
        <v>4682</v>
      </c>
      <c r="I2314" t="str" cm="1">
        <f t="array" ref="I2314">_xlfn.IFS(B2314&lt;18.5, "Underweight", B2314&lt;=24.9, "Normal Weight", B2314&lt;=29.9, "Overweight", TRUE, "Obesity")</f>
        <v>Normal Weight</v>
      </c>
      <c r="J2314" t="str" cm="1">
        <f t="array" ref="J2314">_xlfn.IFS(C2314&lt;5.7, "Normal", C2314&lt;=6.4, "Prediabetes", TRUE, "Diabetes")</f>
        <v>Normal</v>
      </c>
    </row>
    <row r="2315" spans="1:10">
      <c r="A2315" t="s">
        <v>4628</v>
      </c>
      <c r="B2315">
        <v>18.93</v>
      </c>
      <c r="C2315">
        <v>6.11</v>
      </c>
      <c r="D2315" t="s">
        <v>4682</v>
      </c>
      <c r="E2315" t="s">
        <v>4682</v>
      </c>
      <c r="F2315" t="s">
        <v>4684</v>
      </c>
      <c r="G2315">
        <v>1</v>
      </c>
      <c r="H2315" t="s">
        <v>4682</v>
      </c>
      <c r="I2315" t="str" cm="1">
        <f t="array" ref="I2315">_xlfn.IFS(B2315&lt;18.5, "Underweight", B2315&lt;=24.9, "Normal Weight", B2315&lt;=29.9, "Overweight", TRUE, "Obesity")</f>
        <v>Normal Weight</v>
      </c>
      <c r="J2315" t="str" cm="1">
        <f t="array" ref="J2315">_xlfn.IFS(C2315&lt;5.7, "Normal", C2315&lt;=6.4, "Prediabetes", TRUE, "Diabetes")</f>
        <v>Prediabetes</v>
      </c>
    </row>
    <row r="2316" spans="1:10">
      <c r="A2316" t="s">
        <v>4630</v>
      </c>
      <c r="B2316">
        <v>24.14</v>
      </c>
      <c r="C2316">
        <v>5.29</v>
      </c>
      <c r="D2316" t="s">
        <v>4682</v>
      </c>
      <c r="E2316" t="s">
        <v>4683</v>
      </c>
      <c r="F2316" t="s">
        <v>4682</v>
      </c>
      <c r="G2316">
        <v>1</v>
      </c>
      <c r="H2316" t="s">
        <v>4682</v>
      </c>
      <c r="I2316" t="str" cm="1">
        <f t="array" ref="I2316">_xlfn.IFS(B2316&lt;18.5, "Underweight", B2316&lt;=24.9, "Normal Weight", B2316&lt;=29.9, "Overweight", TRUE, "Obesity")</f>
        <v>Normal Weight</v>
      </c>
      <c r="J2316" t="str" cm="1">
        <f t="array" ref="J2316">_xlfn.IFS(C2316&lt;5.7, "Normal", C2316&lt;=6.4, "Prediabetes", TRUE, "Diabetes")</f>
        <v>Normal</v>
      </c>
    </row>
    <row r="2317" spans="1:10">
      <c r="A2317" t="s">
        <v>4632</v>
      </c>
      <c r="B2317">
        <v>25.03</v>
      </c>
      <c r="C2317">
        <v>5.91</v>
      </c>
      <c r="D2317" t="s">
        <v>4682</v>
      </c>
      <c r="E2317" t="s">
        <v>4683</v>
      </c>
      <c r="F2317" t="s">
        <v>4682</v>
      </c>
      <c r="G2317">
        <v>1</v>
      </c>
      <c r="H2317" t="s">
        <v>4682</v>
      </c>
      <c r="I2317" t="str" cm="1">
        <f t="array" ref="I2317">_xlfn.IFS(B2317&lt;18.5, "Underweight", B2317&lt;=24.9, "Normal Weight", B2317&lt;=29.9, "Overweight", TRUE, "Obesity")</f>
        <v>Overweight</v>
      </c>
      <c r="J2317" t="str" cm="1">
        <f t="array" ref="J2317">_xlfn.IFS(C2317&lt;5.7, "Normal", C2317&lt;=6.4, "Prediabetes", TRUE, "Diabetes")</f>
        <v>Prediabetes</v>
      </c>
    </row>
    <row r="2318" spans="1:10">
      <c r="A2318" t="s">
        <v>4634</v>
      </c>
      <c r="B2318">
        <v>20.47</v>
      </c>
      <c r="C2318">
        <v>5.81</v>
      </c>
      <c r="D2318" t="s">
        <v>4683</v>
      </c>
      <c r="E2318" t="s">
        <v>4682</v>
      </c>
      <c r="F2318" t="s">
        <v>4682</v>
      </c>
      <c r="G2318">
        <v>1</v>
      </c>
      <c r="H2318" t="s">
        <v>4682</v>
      </c>
      <c r="I2318" t="str" cm="1">
        <f t="array" ref="I2318">_xlfn.IFS(B2318&lt;18.5, "Underweight", B2318&lt;=24.9, "Normal Weight", B2318&lt;=29.9, "Overweight", TRUE, "Obesity")</f>
        <v>Normal Weight</v>
      </c>
      <c r="J2318" t="str" cm="1">
        <f t="array" ref="J2318">_xlfn.IFS(C2318&lt;5.7, "Normal", C2318&lt;=6.4, "Prediabetes", TRUE, "Diabetes")</f>
        <v>Prediabetes</v>
      </c>
    </row>
    <row r="2319" spans="1:10">
      <c r="A2319" t="s">
        <v>4636</v>
      </c>
      <c r="B2319">
        <v>18.82</v>
      </c>
      <c r="C2319">
        <v>5.51</v>
      </c>
      <c r="D2319" t="s">
        <v>4683</v>
      </c>
      <c r="E2319" t="s">
        <v>4682</v>
      </c>
      <c r="F2319" t="s">
        <v>4682</v>
      </c>
      <c r="G2319">
        <v>0</v>
      </c>
      <c r="H2319" t="s">
        <v>4682</v>
      </c>
      <c r="I2319" t="str" cm="1">
        <f t="array" ref="I2319">_xlfn.IFS(B2319&lt;18.5, "Underweight", B2319&lt;=24.9, "Normal Weight", B2319&lt;=29.9, "Overweight", TRUE, "Obesity")</f>
        <v>Normal Weight</v>
      </c>
      <c r="J2319" t="str" cm="1">
        <f t="array" ref="J2319">_xlfn.IFS(C2319&lt;5.7, "Normal", C2319&lt;=6.4, "Prediabetes", TRUE, "Diabetes")</f>
        <v>Normal</v>
      </c>
    </row>
    <row r="2320" spans="1:10">
      <c r="A2320" t="s">
        <v>4638</v>
      </c>
      <c r="B2320">
        <v>17.079999999999998</v>
      </c>
      <c r="C2320">
        <v>5.73</v>
      </c>
      <c r="D2320" t="s">
        <v>4682</v>
      </c>
      <c r="E2320" t="s">
        <v>4682</v>
      </c>
      <c r="F2320" t="s">
        <v>4684</v>
      </c>
      <c r="G2320">
        <v>1</v>
      </c>
      <c r="H2320" t="s">
        <v>4682</v>
      </c>
      <c r="I2320" t="str" cm="1">
        <f t="array" ref="I2320">_xlfn.IFS(B2320&lt;18.5, "Underweight", B2320&lt;=24.9, "Normal Weight", B2320&lt;=29.9, "Overweight", TRUE, "Obesity")</f>
        <v>Underweight</v>
      </c>
      <c r="J2320" t="str" cm="1">
        <f t="array" ref="J2320">_xlfn.IFS(C2320&lt;5.7, "Normal", C2320&lt;=6.4, "Prediabetes", TRUE, "Diabetes")</f>
        <v>Prediabetes</v>
      </c>
    </row>
    <row r="2321" spans="1:10">
      <c r="A2321" t="s">
        <v>4640</v>
      </c>
      <c r="B2321">
        <v>19.21</v>
      </c>
      <c r="C2321">
        <v>5.53</v>
      </c>
      <c r="D2321" t="s">
        <v>4683</v>
      </c>
      <c r="E2321" t="s">
        <v>4682</v>
      </c>
      <c r="F2321" t="s">
        <v>4682</v>
      </c>
      <c r="G2321">
        <v>0</v>
      </c>
      <c r="H2321" t="s">
        <v>4682</v>
      </c>
      <c r="I2321" t="str" cm="1">
        <f t="array" ref="I2321">_xlfn.IFS(B2321&lt;18.5, "Underweight", B2321&lt;=24.9, "Normal Weight", B2321&lt;=29.9, "Overweight", TRUE, "Obesity")</f>
        <v>Normal Weight</v>
      </c>
      <c r="J2321" t="str" cm="1">
        <f t="array" ref="J2321">_xlfn.IFS(C2321&lt;5.7, "Normal", C2321&lt;=6.4, "Prediabetes", TRUE, "Diabetes")</f>
        <v>Normal</v>
      </c>
    </row>
    <row r="2322" spans="1:10">
      <c r="A2322" t="s">
        <v>4642</v>
      </c>
      <c r="B2322">
        <v>17.86</v>
      </c>
      <c r="C2322">
        <v>5.43</v>
      </c>
      <c r="D2322" t="s">
        <v>4682</v>
      </c>
      <c r="E2322" t="s">
        <v>4682</v>
      </c>
      <c r="F2322" t="s">
        <v>4684</v>
      </c>
      <c r="G2322">
        <v>1</v>
      </c>
      <c r="H2322" t="s">
        <v>4682</v>
      </c>
      <c r="I2322" t="str" cm="1">
        <f t="array" ref="I2322">_xlfn.IFS(B2322&lt;18.5, "Underweight", B2322&lt;=24.9, "Normal Weight", B2322&lt;=29.9, "Overweight", TRUE, "Obesity")</f>
        <v>Underweight</v>
      </c>
      <c r="J2322" t="str" cm="1">
        <f t="array" ref="J2322">_xlfn.IFS(C2322&lt;5.7, "Normal", C2322&lt;=6.4, "Prediabetes", TRUE, "Diabetes")</f>
        <v>Normal</v>
      </c>
    </row>
    <row r="2323" spans="1:10">
      <c r="A2323" t="s">
        <v>4644</v>
      </c>
      <c r="B2323">
        <v>21.38</v>
      </c>
      <c r="C2323">
        <v>8.01</v>
      </c>
      <c r="D2323" t="s">
        <v>4682</v>
      </c>
      <c r="E2323" t="s">
        <v>4682</v>
      </c>
      <c r="F2323" t="s">
        <v>4682</v>
      </c>
      <c r="G2323">
        <v>0</v>
      </c>
      <c r="H2323" t="s">
        <v>4682</v>
      </c>
      <c r="I2323" t="str" cm="1">
        <f t="array" ref="I2323">_xlfn.IFS(B2323&lt;18.5, "Underweight", B2323&lt;=24.9, "Normal Weight", B2323&lt;=29.9, "Overweight", TRUE, "Obesity")</f>
        <v>Normal Weight</v>
      </c>
      <c r="J2323" t="str" cm="1">
        <f t="array" ref="J2323">_xlfn.IFS(C2323&lt;5.7, "Normal", C2323&lt;=6.4, "Prediabetes", TRUE, "Diabetes")</f>
        <v>Diabetes</v>
      </c>
    </row>
    <row r="2324" spans="1:10">
      <c r="A2324" t="s">
        <v>4646</v>
      </c>
      <c r="B2324">
        <v>23.35</v>
      </c>
      <c r="C2324">
        <v>5.94</v>
      </c>
      <c r="D2324" t="s">
        <v>4682</v>
      </c>
      <c r="E2324" t="s">
        <v>4682</v>
      </c>
      <c r="F2324" t="s">
        <v>4682</v>
      </c>
      <c r="G2324">
        <v>0</v>
      </c>
      <c r="H2324" t="s">
        <v>4682</v>
      </c>
      <c r="I2324" t="str" cm="1">
        <f t="array" ref="I2324">_xlfn.IFS(B2324&lt;18.5, "Underweight", B2324&lt;=24.9, "Normal Weight", B2324&lt;=29.9, "Overweight", TRUE, "Obesity")</f>
        <v>Normal Weight</v>
      </c>
      <c r="J2324" t="str" cm="1">
        <f t="array" ref="J2324">_xlfn.IFS(C2324&lt;5.7, "Normal", C2324&lt;=6.4, "Prediabetes", TRUE, "Diabetes")</f>
        <v>Prediabetes</v>
      </c>
    </row>
    <row r="2325" spans="1:10">
      <c r="A2325" t="s">
        <v>4648</v>
      </c>
      <c r="B2325">
        <v>22.24</v>
      </c>
      <c r="C2325">
        <v>5.04</v>
      </c>
      <c r="D2325" t="s">
        <v>4682</v>
      </c>
      <c r="E2325" t="s">
        <v>4682</v>
      </c>
      <c r="F2325" t="s">
        <v>4682</v>
      </c>
      <c r="G2325">
        <v>0</v>
      </c>
      <c r="H2325" t="s">
        <v>4682</v>
      </c>
      <c r="I2325" t="str" cm="1">
        <f t="array" ref="I2325">_xlfn.IFS(B2325&lt;18.5, "Underweight", B2325&lt;=24.9, "Normal Weight", B2325&lt;=29.9, "Overweight", TRUE, "Obesity")</f>
        <v>Normal Weight</v>
      </c>
      <c r="J2325" t="str" cm="1">
        <f t="array" ref="J2325">_xlfn.IFS(C2325&lt;5.7, "Normal", C2325&lt;=6.4, "Prediabetes", TRUE, "Diabetes")</f>
        <v>Normal</v>
      </c>
    </row>
    <row r="2326" spans="1:10">
      <c r="A2326" t="s">
        <v>4650</v>
      </c>
      <c r="B2326">
        <v>24.76</v>
      </c>
      <c r="C2326">
        <v>4.54</v>
      </c>
      <c r="D2326" t="s">
        <v>4683</v>
      </c>
      <c r="E2326" t="s">
        <v>4682</v>
      </c>
      <c r="F2326" t="s">
        <v>4682</v>
      </c>
      <c r="G2326">
        <v>0</v>
      </c>
      <c r="H2326" t="s">
        <v>4682</v>
      </c>
      <c r="I2326" t="str" cm="1">
        <f t="array" ref="I2326">_xlfn.IFS(B2326&lt;18.5, "Underweight", B2326&lt;=24.9, "Normal Weight", B2326&lt;=29.9, "Overweight", TRUE, "Obesity")</f>
        <v>Normal Weight</v>
      </c>
      <c r="J2326" t="str" cm="1">
        <f t="array" ref="J2326">_xlfn.IFS(C2326&lt;5.7, "Normal", C2326&lt;=6.4, "Prediabetes", TRUE, "Diabetes")</f>
        <v>Normal</v>
      </c>
    </row>
    <row r="2327" spans="1:10">
      <c r="A2327" t="s">
        <v>4652</v>
      </c>
      <c r="B2327">
        <v>20.100000000000001</v>
      </c>
      <c r="C2327">
        <v>5.6</v>
      </c>
      <c r="D2327" t="s">
        <v>4683</v>
      </c>
      <c r="E2327" t="s">
        <v>4682</v>
      </c>
      <c r="F2327" t="s">
        <v>4684</v>
      </c>
      <c r="G2327">
        <v>1</v>
      </c>
      <c r="H2327" t="s">
        <v>4682</v>
      </c>
      <c r="I2327" t="str" cm="1">
        <f t="array" ref="I2327">_xlfn.IFS(B2327&lt;18.5, "Underweight", B2327&lt;=24.9, "Normal Weight", B2327&lt;=29.9, "Overweight", TRUE, "Obesity")</f>
        <v>Normal Weight</v>
      </c>
      <c r="J2327" t="str" cm="1">
        <f t="array" ref="J2327">_xlfn.IFS(C2327&lt;5.7, "Normal", C2327&lt;=6.4, "Prediabetes", TRUE, "Diabetes")</f>
        <v>Normal</v>
      </c>
    </row>
    <row r="2328" spans="1:10">
      <c r="A2328" t="s">
        <v>4654</v>
      </c>
      <c r="B2328">
        <v>21.77</v>
      </c>
      <c r="C2328">
        <v>10.67</v>
      </c>
      <c r="D2328" t="s">
        <v>4682</v>
      </c>
      <c r="E2328" t="s">
        <v>4682</v>
      </c>
      <c r="F2328" t="s">
        <v>4682</v>
      </c>
      <c r="G2328">
        <v>0</v>
      </c>
      <c r="H2328" t="s">
        <v>4682</v>
      </c>
      <c r="I2328" t="str" cm="1">
        <f t="array" ref="I2328">_xlfn.IFS(B2328&lt;18.5, "Underweight", B2328&lt;=24.9, "Normal Weight", B2328&lt;=29.9, "Overweight", TRUE, "Obesity")</f>
        <v>Normal Weight</v>
      </c>
      <c r="J2328" t="str" cm="1">
        <f t="array" ref="J2328">_xlfn.IFS(C2328&lt;5.7, "Normal", C2328&lt;=6.4, "Prediabetes", TRUE, "Diabetes")</f>
        <v>Diabetes</v>
      </c>
    </row>
    <row r="2329" spans="1:10">
      <c r="A2329" t="s">
        <v>4656</v>
      </c>
      <c r="B2329">
        <v>17.82</v>
      </c>
      <c r="C2329">
        <v>5.26</v>
      </c>
      <c r="D2329" t="s">
        <v>4683</v>
      </c>
      <c r="E2329" t="s">
        <v>4682</v>
      </c>
      <c r="F2329" t="s">
        <v>4682</v>
      </c>
      <c r="G2329">
        <v>1</v>
      </c>
      <c r="H2329" t="s">
        <v>4682</v>
      </c>
      <c r="I2329" t="str" cm="1">
        <f t="array" ref="I2329">_xlfn.IFS(B2329&lt;18.5, "Underweight", B2329&lt;=24.9, "Normal Weight", B2329&lt;=29.9, "Overweight", TRUE, "Obesity")</f>
        <v>Underweight</v>
      </c>
      <c r="J2329" t="str" cm="1">
        <f t="array" ref="J2329">_xlfn.IFS(C2329&lt;5.7, "Normal", C2329&lt;=6.4, "Prediabetes", TRUE, "Diabetes")</f>
        <v>Normal</v>
      </c>
    </row>
    <row r="2330" spans="1:10">
      <c r="A2330" t="s">
        <v>4658</v>
      </c>
      <c r="B2330">
        <v>17.07</v>
      </c>
      <c r="C2330">
        <v>5.22</v>
      </c>
      <c r="D2330" t="s">
        <v>4682</v>
      </c>
      <c r="E2330" t="s">
        <v>4682</v>
      </c>
      <c r="F2330" t="s">
        <v>4684</v>
      </c>
      <c r="G2330">
        <v>1</v>
      </c>
      <c r="H2330" t="s">
        <v>4682</v>
      </c>
      <c r="I2330" t="str" cm="1">
        <f t="array" ref="I2330">_xlfn.IFS(B2330&lt;18.5, "Underweight", B2330&lt;=24.9, "Normal Weight", B2330&lt;=29.9, "Overweight", TRUE, "Obesity")</f>
        <v>Underweight</v>
      </c>
      <c r="J2330" t="str" cm="1">
        <f t="array" ref="J2330">_xlfn.IFS(C2330&lt;5.7, "Normal", C2330&lt;=6.4, "Prediabetes", TRUE, "Diabetes")</f>
        <v>Normal</v>
      </c>
    </row>
    <row r="2331" spans="1:10">
      <c r="A2331" t="s">
        <v>4660</v>
      </c>
      <c r="B2331">
        <v>22.24</v>
      </c>
      <c r="C2331">
        <v>4.29</v>
      </c>
      <c r="D2331" t="s">
        <v>4683</v>
      </c>
      <c r="E2331" t="s">
        <v>4682</v>
      </c>
      <c r="F2331" t="s">
        <v>4682</v>
      </c>
      <c r="G2331">
        <v>0</v>
      </c>
      <c r="H2331" t="s">
        <v>4682</v>
      </c>
      <c r="I2331" t="str" cm="1">
        <f t="array" ref="I2331">_xlfn.IFS(B2331&lt;18.5, "Underweight", B2331&lt;=24.9, "Normal Weight", B2331&lt;=29.9, "Overweight", TRUE, "Obesity")</f>
        <v>Normal Weight</v>
      </c>
      <c r="J2331" t="str" cm="1">
        <f t="array" ref="J2331">_xlfn.IFS(C2331&lt;5.7, "Normal", C2331&lt;=6.4, "Prediabetes", TRUE, "Diabetes")</f>
        <v>Normal</v>
      </c>
    </row>
    <row r="2332" spans="1:10">
      <c r="A2332" t="s">
        <v>4662</v>
      </c>
      <c r="B2332">
        <v>22.34</v>
      </c>
      <c r="C2332">
        <v>5.57</v>
      </c>
      <c r="D2332" t="s">
        <v>4682</v>
      </c>
      <c r="E2332" t="s">
        <v>4682</v>
      </c>
      <c r="F2332" t="s">
        <v>4682</v>
      </c>
      <c r="G2332">
        <v>1</v>
      </c>
      <c r="H2332" t="s">
        <v>4682</v>
      </c>
      <c r="I2332" t="str" cm="1">
        <f t="array" ref="I2332">_xlfn.IFS(B2332&lt;18.5, "Underweight", B2332&lt;=24.9, "Normal Weight", B2332&lt;=29.9, "Overweight", TRUE, "Obesity")</f>
        <v>Normal Weight</v>
      </c>
      <c r="J2332" t="str" cm="1">
        <f t="array" ref="J2332">_xlfn.IFS(C2332&lt;5.7, "Normal", C2332&lt;=6.4, "Prediabetes", TRUE, "Diabetes")</f>
        <v>Normal</v>
      </c>
    </row>
    <row r="2333" spans="1:10">
      <c r="A2333" t="s">
        <v>4664</v>
      </c>
      <c r="B2333">
        <v>17.7</v>
      </c>
      <c r="C2333">
        <v>6.28</v>
      </c>
      <c r="D2333" t="s">
        <v>4682</v>
      </c>
      <c r="E2333" t="s">
        <v>4682</v>
      </c>
      <c r="F2333" t="s">
        <v>4682</v>
      </c>
      <c r="G2333">
        <v>1</v>
      </c>
      <c r="H2333" t="s">
        <v>4682</v>
      </c>
      <c r="I2333" t="str" cm="1">
        <f t="array" ref="I2333">_xlfn.IFS(B2333&lt;18.5, "Underweight", B2333&lt;=24.9, "Normal Weight", B2333&lt;=29.9, "Overweight", TRUE, "Obesity")</f>
        <v>Underweight</v>
      </c>
      <c r="J2333" t="str" cm="1">
        <f t="array" ref="J2333">_xlfn.IFS(C2333&lt;5.7, "Normal", C2333&lt;=6.4, "Prediabetes", TRUE, "Diabetes")</f>
        <v>Prediabetes</v>
      </c>
    </row>
    <row r="2334" spans="1:10">
      <c r="A2334" t="s">
        <v>4666</v>
      </c>
      <c r="B2334">
        <v>16.47</v>
      </c>
      <c r="C2334">
        <v>6.35</v>
      </c>
      <c r="D2334" t="s">
        <v>4682</v>
      </c>
      <c r="E2334" t="s">
        <v>4682</v>
      </c>
      <c r="F2334" t="s">
        <v>4684</v>
      </c>
      <c r="G2334">
        <v>1</v>
      </c>
      <c r="H2334" t="s">
        <v>4682</v>
      </c>
      <c r="I2334" t="str" cm="1">
        <f t="array" ref="I2334">_xlfn.IFS(B2334&lt;18.5, "Underweight", B2334&lt;=24.9, "Normal Weight", B2334&lt;=29.9, "Overweight", TRUE, "Obesity")</f>
        <v>Underweight</v>
      </c>
      <c r="J2334" t="str" cm="1">
        <f t="array" ref="J2334">_xlfn.IFS(C2334&lt;5.7, "Normal", C2334&lt;=6.4, "Prediabetes", TRUE, "Diabetes")</f>
        <v>Prediabetes</v>
      </c>
    </row>
    <row r="2335" spans="1:10">
      <c r="A2335" t="s">
        <v>4668</v>
      </c>
      <c r="B2335">
        <v>17.600000000000001</v>
      </c>
      <c r="C2335">
        <v>4.3899999999999997</v>
      </c>
      <c r="D2335" t="s">
        <v>4682</v>
      </c>
      <c r="E2335" t="s">
        <v>4682</v>
      </c>
      <c r="F2335" t="s">
        <v>4682</v>
      </c>
      <c r="G2335">
        <v>1</v>
      </c>
      <c r="H2335" t="s">
        <v>4682</v>
      </c>
      <c r="I2335" t="str" cm="1">
        <f t="array" ref="I2335">_xlfn.IFS(B2335&lt;18.5, "Underweight", B2335&lt;=24.9, "Normal Weight", B2335&lt;=29.9, "Overweight", TRUE, "Obesity")</f>
        <v>Underweight</v>
      </c>
      <c r="J2335" t="str" cm="1">
        <f t="array" ref="J2335">_xlfn.IFS(C2335&lt;5.7, "Normal", C2335&lt;=6.4, "Prediabetes", TRUE, "Diabetes")</f>
        <v>Normal</v>
      </c>
    </row>
    <row r="2336" spans="1:10">
      <c r="A2336" t="s">
        <v>4670</v>
      </c>
      <c r="B2336">
        <v>17.579999999999998</v>
      </c>
      <c r="C2336">
        <v>4.51</v>
      </c>
      <c r="D2336" t="s">
        <v>4682</v>
      </c>
      <c r="E2336" t="s">
        <v>4682</v>
      </c>
      <c r="F2336" t="s">
        <v>4682</v>
      </c>
      <c r="G2336">
        <v>1</v>
      </c>
      <c r="H2336" t="s">
        <v>4682</v>
      </c>
      <c r="I2336" t="str" cm="1">
        <f t="array" ref="I2336">_xlfn.IFS(B2336&lt;18.5, "Underweight", B2336&lt;=24.9, "Normal Weight", B2336&lt;=29.9, "Overweight", TRUE, "Obesity")</f>
        <v>Underweight</v>
      </c>
      <c r="J2336" t="str" cm="1">
        <f t="array" ref="J2336">_xlfn.IFS(C2336&lt;5.7, "Normal", C2336&lt;=6.4, "Prediabetes", TRUE, "Diabetes")</f>
        <v>Normal</v>
      </c>
    </row>
  </sheetData>
  <autoFilter ref="A1:H2336" xr:uid="{00000000-0001-0000-0100-000000000000}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73"/>
  <sheetViews>
    <sheetView workbookViewId="0">
      <selection activeCell="D1" activeCellId="2" sqref="B1:B1048576 C1:C1048576 D1:D1048576"/>
    </sheetView>
  </sheetViews>
  <sheetFormatPr defaultRowHeight="15"/>
  <cols>
    <col min="1" max="1" width="12.85546875" bestFit="1" customWidth="1"/>
    <col min="6" max="6" width="11.5703125" style="13" bestFit="1" customWidth="1"/>
    <col min="7" max="7" width="13.140625" bestFit="1" customWidth="1"/>
    <col min="10" max="11" width="13.5703125" customWidth="1"/>
  </cols>
  <sheetData>
    <row r="1" spans="1:11" s="2" customFormat="1" ht="18.95" customHeight="1">
      <c r="A1" s="3" t="s">
        <v>0</v>
      </c>
      <c r="B1" s="3" t="s">
        <v>4686</v>
      </c>
      <c r="C1" s="3" t="s">
        <v>4687</v>
      </c>
      <c r="D1" s="3" t="s">
        <v>4688</v>
      </c>
      <c r="E1" s="3" t="s">
        <v>4689</v>
      </c>
      <c r="F1" s="12" t="s">
        <v>4690</v>
      </c>
      <c r="G1" s="3" t="s">
        <v>4691</v>
      </c>
      <c r="H1" s="3" t="s">
        <v>4692</v>
      </c>
      <c r="I1" s="3" t="s">
        <v>4693</v>
      </c>
      <c r="J1" s="3" t="s">
        <v>4694</v>
      </c>
      <c r="K1" s="11" t="s">
        <v>4695</v>
      </c>
    </row>
    <row r="2" spans="1:11">
      <c r="A2" t="s">
        <v>4670</v>
      </c>
      <c r="B2">
        <v>1992</v>
      </c>
      <c r="C2" t="s">
        <v>4696</v>
      </c>
      <c r="D2">
        <v>9</v>
      </c>
      <c r="E2">
        <v>0</v>
      </c>
      <c r="F2" s="13">
        <v>563.84</v>
      </c>
      <c r="G2" t="s">
        <v>4697</v>
      </c>
      <c r="H2" t="s">
        <v>4698</v>
      </c>
      <c r="I2" t="s">
        <v>4699</v>
      </c>
      <c r="J2" s="10">
        <f t="shared" ref="J2:J65" si="0">DATEVALUE(D2&amp;"-"&amp;C2&amp;"-"&amp;B2)</f>
        <v>33794</v>
      </c>
      <c r="K2">
        <f>DATEDIF(J2, DATE(2023, 6, 8), "Y")</f>
        <v>30</v>
      </c>
    </row>
    <row r="3" spans="1:11">
      <c r="A3" t="s">
        <v>4668</v>
      </c>
      <c r="B3">
        <v>1992</v>
      </c>
      <c r="C3" t="s">
        <v>4700</v>
      </c>
      <c r="D3">
        <v>30</v>
      </c>
      <c r="E3">
        <v>0</v>
      </c>
      <c r="F3" s="13">
        <v>570.62</v>
      </c>
      <c r="G3" t="s">
        <v>4697</v>
      </c>
      <c r="H3" t="s">
        <v>4701</v>
      </c>
      <c r="I3" t="s">
        <v>4699</v>
      </c>
      <c r="J3" s="10">
        <f t="shared" si="0"/>
        <v>33938</v>
      </c>
      <c r="K3">
        <f t="shared" ref="K3:K66" si="1">DATEDIF(J3, DATE(2023, 6, 8), "Y")</f>
        <v>30</v>
      </c>
    </row>
    <row r="4" spans="1:11">
      <c r="A4" t="s">
        <v>4666</v>
      </c>
      <c r="B4">
        <v>1993</v>
      </c>
      <c r="C4" t="s">
        <v>4702</v>
      </c>
      <c r="D4">
        <v>30</v>
      </c>
      <c r="E4">
        <v>0</v>
      </c>
      <c r="F4" s="13">
        <v>600</v>
      </c>
      <c r="G4" t="s">
        <v>4697</v>
      </c>
      <c r="H4" t="s">
        <v>4701</v>
      </c>
      <c r="I4" t="s">
        <v>4699</v>
      </c>
      <c r="J4" s="10">
        <f t="shared" si="0"/>
        <v>34150</v>
      </c>
      <c r="K4">
        <f t="shared" si="1"/>
        <v>29</v>
      </c>
    </row>
    <row r="5" spans="1:11">
      <c r="A5" t="s">
        <v>4664</v>
      </c>
      <c r="B5">
        <v>1992</v>
      </c>
      <c r="C5" t="s">
        <v>4703</v>
      </c>
      <c r="D5">
        <v>13</v>
      </c>
      <c r="E5">
        <v>0</v>
      </c>
      <c r="F5" s="13">
        <v>604.54</v>
      </c>
      <c r="G5" t="s">
        <v>4698</v>
      </c>
      <c r="H5" t="s">
        <v>4698</v>
      </c>
      <c r="I5" t="s">
        <v>4699</v>
      </c>
      <c r="J5" s="10">
        <f t="shared" si="0"/>
        <v>33860</v>
      </c>
      <c r="K5">
        <f t="shared" si="1"/>
        <v>30</v>
      </c>
    </row>
    <row r="6" spans="1:11">
      <c r="A6" t="s">
        <v>4662</v>
      </c>
      <c r="B6">
        <v>1998</v>
      </c>
      <c r="C6" t="s">
        <v>4696</v>
      </c>
      <c r="D6">
        <v>27</v>
      </c>
      <c r="E6">
        <v>0</v>
      </c>
      <c r="F6" s="13">
        <v>637.26</v>
      </c>
      <c r="G6" t="s">
        <v>4698</v>
      </c>
      <c r="H6" t="s">
        <v>4698</v>
      </c>
      <c r="I6" t="s">
        <v>4699</v>
      </c>
      <c r="J6" s="10">
        <f t="shared" si="0"/>
        <v>36003</v>
      </c>
      <c r="K6">
        <f t="shared" si="1"/>
        <v>24</v>
      </c>
    </row>
    <row r="7" spans="1:11">
      <c r="A7" t="s">
        <v>4660</v>
      </c>
      <c r="B7">
        <v>2001</v>
      </c>
      <c r="C7" t="s">
        <v>4700</v>
      </c>
      <c r="D7">
        <v>20</v>
      </c>
      <c r="E7">
        <v>0</v>
      </c>
      <c r="F7" s="13">
        <v>646.14</v>
      </c>
      <c r="G7" t="s">
        <v>4698</v>
      </c>
      <c r="H7" t="s">
        <v>4698</v>
      </c>
      <c r="I7" t="s">
        <v>4704</v>
      </c>
      <c r="J7" s="10">
        <f t="shared" si="0"/>
        <v>37215</v>
      </c>
      <c r="K7">
        <f t="shared" si="1"/>
        <v>21</v>
      </c>
    </row>
    <row r="8" spans="1:11">
      <c r="A8" t="s">
        <v>4658</v>
      </c>
      <c r="B8">
        <v>1993</v>
      </c>
      <c r="C8" t="s">
        <v>4702</v>
      </c>
      <c r="D8">
        <v>1</v>
      </c>
      <c r="E8">
        <v>0</v>
      </c>
      <c r="F8" s="13">
        <v>650</v>
      </c>
      <c r="G8" t="s">
        <v>4698</v>
      </c>
      <c r="H8" t="s">
        <v>4698</v>
      </c>
      <c r="I8" t="s">
        <v>4699</v>
      </c>
      <c r="J8" s="10">
        <f t="shared" si="0"/>
        <v>34121</v>
      </c>
      <c r="K8">
        <f t="shared" si="1"/>
        <v>30</v>
      </c>
    </row>
    <row r="9" spans="1:11">
      <c r="A9" t="s">
        <v>4656</v>
      </c>
      <c r="B9">
        <v>1995</v>
      </c>
      <c r="C9" t="s">
        <v>4696</v>
      </c>
      <c r="D9">
        <v>4</v>
      </c>
      <c r="E9">
        <v>0</v>
      </c>
      <c r="F9" s="13">
        <v>650</v>
      </c>
      <c r="G9" t="s">
        <v>4698</v>
      </c>
      <c r="H9" t="s">
        <v>4698</v>
      </c>
      <c r="I9" t="s">
        <v>4699</v>
      </c>
      <c r="J9" s="10">
        <f t="shared" si="0"/>
        <v>34884</v>
      </c>
      <c r="K9">
        <f t="shared" si="1"/>
        <v>27</v>
      </c>
    </row>
    <row r="10" spans="1:11">
      <c r="A10" t="s">
        <v>4654</v>
      </c>
      <c r="B10">
        <v>2002</v>
      </c>
      <c r="C10" t="s">
        <v>4700</v>
      </c>
      <c r="D10">
        <v>29</v>
      </c>
      <c r="E10">
        <v>0</v>
      </c>
      <c r="F10" s="13">
        <v>668</v>
      </c>
      <c r="G10" t="s">
        <v>4698</v>
      </c>
      <c r="H10" t="s">
        <v>4697</v>
      </c>
      <c r="I10" t="s">
        <v>4704</v>
      </c>
      <c r="J10" s="10">
        <f t="shared" si="0"/>
        <v>37589</v>
      </c>
      <c r="K10">
        <f t="shared" si="1"/>
        <v>20</v>
      </c>
    </row>
    <row r="11" spans="1:11">
      <c r="A11" t="s">
        <v>4652</v>
      </c>
      <c r="B11">
        <v>1997</v>
      </c>
      <c r="C11" t="s">
        <v>4700</v>
      </c>
      <c r="D11">
        <v>9</v>
      </c>
      <c r="E11">
        <v>0</v>
      </c>
      <c r="F11" s="13">
        <v>670</v>
      </c>
      <c r="G11" t="s">
        <v>4698</v>
      </c>
      <c r="H11" t="s">
        <v>4698</v>
      </c>
      <c r="I11" t="s">
        <v>4699</v>
      </c>
      <c r="J11" s="10">
        <f t="shared" si="0"/>
        <v>35743</v>
      </c>
      <c r="K11">
        <f t="shared" si="1"/>
        <v>25</v>
      </c>
    </row>
    <row r="12" spans="1:11">
      <c r="A12" t="s">
        <v>4650</v>
      </c>
      <c r="B12">
        <v>2001</v>
      </c>
      <c r="C12" t="s">
        <v>4703</v>
      </c>
      <c r="D12">
        <v>12</v>
      </c>
      <c r="E12">
        <v>0</v>
      </c>
      <c r="F12" s="13">
        <v>687.54</v>
      </c>
      <c r="G12" t="s">
        <v>4698</v>
      </c>
      <c r="H12" t="s">
        <v>4697</v>
      </c>
      <c r="I12" t="s">
        <v>4699</v>
      </c>
      <c r="J12" s="10">
        <f t="shared" si="0"/>
        <v>37146</v>
      </c>
      <c r="K12">
        <f t="shared" si="1"/>
        <v>21</v>
      </c>
    </row>
    <row r="13" spans="1:11">
      <c r="A13" t="s">
        <v>4648</v>
      </c>
      <c r="B13">
        <v>1999</v>
      </c>
      <c r="C13" t="s">
        <v>4705</v>
      </c>
      <c r="D13">
        <v>26</v>
      </c>
      <c r="E13">
        <v>0</v>
      </c>
      <c r="F13" s="13">
        <v>700</v>
      </c>
      <c r="G13" t="s">
        <v>4685</v>
      </c>
      <c r="H13" t="s">
        <v>4698</v>
      </c>
      <c r="I13" t="s">
        <v>4699</v>
      </c>
      <c r="J13" s="10">
        <f t="shared" si="0"/>
        <v>36520</v>
      </c>
      <c r="K13">
        <f t="shared" si="1"/>
        <v>23</v>
      </c>
    </row>
    <row r="14" spans="1:11">
      <c r="A14" t="s">
        <v>4646</v>
      </c>
      <c r="B14">
        <v>1999</v>
      </c>
      <c r="C14" t="s">
        <v>4705</v>
      </c>
      <c r="D14">
        <v>14</v>
      </c>
      <c r="E14">
        <v>0</v>
      </c>
      <c r="F14" s="13">
        <v>722.99</v>
      </c>
      <c r="G14" t="s">
        <v>4698</v>
      </c>
      <c r="H14" t="s">
        <v>4701</v>
      </c>
      <c r="I14" t="s">
        <v>4699</v>
      </c>
      <c r="J14" s="10">
        <f t="shared" si="0"/>
        <v>36508</v>
      </c>
      <c r="K14">
        <f t="shared" si="1"/>
        <v>23</v>
      </c>
    </row>
    <row r="15" spans="1:11">
      <c r="A15" t="s">
        <v>4644</v>
      </c>
      <c r="B15">
        <v>2002</v>
      </c>
      <c r="C15" t="s">
        <v>4685</v>
      </c>
      <c r="D15">
        <v>19</v>
      </c>
      <c r="E15">
        <v>0</v>
      </c>
      <c r="F15" s="13">
        <v>750</v>
      </c>
      <c r="G15" t="s">
        <v>4698</v>
      </c>
      <c r="H15" t="s">
        <v>4701</v>
      </c>
      <c r="I15" t="s">
        <v>4704</v>
      </c>
      <c r="J15" s="10" t="e">
        <f t="shared" si="0"/>
        <v>#VALUE!</v>
      </c>
      <c r="K15" t="e">
        <f t="shared" si="1"/>
        <v>#VALUE!</v>
      </c>
    </row>
    <row r="16" spans="1:11">
      <c r="A16" t="s">
        <v>4642</v>
      </c>
      <c r="B16">
        <v>1993</v>
      </c>
      <c r="C16" t="s">
        <v>4706</v>
      </c>
      <c r="D16">
        <v>9</v>
      </c>
      <c r="E16">
        <v>0</v>
      </c>
      <c r="F16" s="13">
        <v>760</v>
      </c>
      <c r="G16" t="s">
        <v>4698</v>
      </c>
      <c r="H16" t="s">
        <v>4701</v>
      </c>
      <c r="I16" t="s">
        <v>4699</v>
      </c>
      <c r="J16" s="10">
        <f t="shared" si="0"/>
        <v>34190</v>
      </c>
      <c r="K16">
        <f t="shared" si="1"/>
        <v>29</v>
      </c>
    </row>
    <row r="17" spans="1:11">
      <c r="A17" t="s">
        <v>4640</v>
      </c>
      <c r="B17">
        <v>1996</v>
      </c>
      <c r="C17" t="s">
        <v>4707</v>
      </c>
      <c r="D17">
        <v>22</v>
      </c>
      <c r="E17">
        <v>0</v>
      </c>
      <c r="F17" s="13">
        <v>760</v>
      </c>
      <c r="G17" t="s">
        <v>4698</v>
      </c>
      <c r="H17" t="s">
        <v>4698</v>
      </c>
      <c r="I17" t="s">
        <v>4699</v>
      </c>
      <c r="J17" s="10">
        <f t="shared" si="0"/>
        <v>35360</v>
      </c>
      <c r="K17">
        <f t="shared" si="1"/>
        <v>26</v>
      </c>
    </row>
    <row r="18" spans="1:11">
      <c r="A18" t="s">
        <v>4638</v>
      </c>
      <c r="B18">
        <v>1993</v>
      </c>
      <c r="C18" t="s">
        <v>4702</v>
      </c>
      <c r="D18">
        <v>28</v>
      </c>
      <c r="E18">
        <v>0</v>
      </c>
      <c r="F18" s="13">
        <v>770</v>
      </c>
      <c r="G18" t="s">
        <v>4698</v>
      </c>
      <c r="H18" t="s">
        <v>4698</v>
      </c>
      <c r="I18" t="s">
        <v>4699</v>
      </c>
      <c r="J18" s="10">
        <f t="shared" si="0"/>
        <v>34148</v>
      </c>
      <c r="K18">
        <f t="shared" si="1"/>
        <v>29</v>
      </c>
    </row>
    <row r="19" spans="1:11">
      <c r="A19" t="s">
        <v>4636</v>
      </c>
      <c r="B19">
        <v>1996</v>
      </c>
      <c r="C19" t="s">
        <v>4685</v>
      </c>
      <c r="D19">
        <v>18</v>
      </c>
      <c r="E19">
        <v>0</v>
      </c>
      <c r="F19" s="13">
        <v>770.38</v>
      </c>
      <c r="G19" t="s">
        <v>4698</v>
      </c>
      <c r="H19" t="s">
        <v>4685</v>
      </c>
      <c r="I19" t="s">
        <v>4704</v>
      </c>
      <c r="J19" s="10" t="e">
        <f t="shared" si="0"/>
        <v>#VALUE!</v>
      </c>
      <c r="K19" t="e">
        <f t="shared" si="1"/>
        <v>#VALUE!</v>
      </c>
    </row>
    <row r="20" spans="1:11">
      <c r="A20" t="s">
        <v>4634</v>
      </c>
      <c r="B20">
        <v>1995</v>
      </c>
      <c r="C20" t="s">
        <v>4705</v>
      </c>
      <c r="D20">
        <v>7</v>
      </c>
      <c r="E20">
        <v>0</v>
      </c>
      <c r="F20" s="13">
        <v>773.54</v>
      </c>
      <c r="G20" t="s">
        <v>4698</v>
      </c>
      <c r="H20" t="s">
        <v>4697</v>
      </c>
      <c r="I20" t="s">
        <v>4699</v>
      </c>
      <c r="J20" s="10">
        <f t="shared" si="0"/>
        <v>35040</v>
      </c>
      <c r="K20">
        <f t="shared" si="1"/>
        <v>27</v>
      </c>
    </row>
    <row r="21" spans="1:11">
      <c r="A21" t="s">
        <v>4632</v>
      </c>
      <c r="B21">
        <v>2004</v>
      </c>
      <c r="C21" t="s">
        <v>4707</v>
      </c>
      <c r="D21">
        <v>7</v>
      </c>
      <c r="E21">
        <v>0</v>
      </c>
      <c r="F21" s="13">
        <v>830.52</v>
      </c>
      <c r="G21" t="s">
        <v>4698</v>
      </c>
      <c r="H21" t="s">
        <v>4697</v>
      </c>
      <c r="I21" t="s">
        <v>4708</v>
      </c>
      <c r="J21" s="10">
        <f t="shared" si="0"/>
        <v>38267</v>
      </c>
      <c r="K21">
        <f t="shared" si="1"/>
        <v>18</v>
      </c>
    </row>
    <row r="22" spans="1:11">
      <c r="A22" t="s">
        <v>4630</v>
      </c>
      <c r="B22">
        <v>2000</v>
      </c>
      <c r="C22" t="s">
        <v>4700</v>
      </c>
      <c r="D22">
        <v>18</v>
      </c>
      <c r="E22">
        <v>0</v>
      </c>
      <c r="F22" s="13">
        <v>865.41</v>
      </c>
      <c r="G22" t="s">
        <v>4698</v>
      </c>
      <c r="H22" t="s">
        <v>4701</v>
      </c>
      <c r="I22" t="s">
        <v>4699</v>
      </c>
      <c r="J22" s="10">
        <f t="shared" si="0"/>
        <v>36848</v>
      </c>
      <c r="K22">
        <f t="shared" si="1"/>
        <v>22</v>
      </c>
    </row>
    <row r="23" spans="1:11">
      <c r="A23" t="s">
        <v>4628</v>
      </c>
      <c r="B23">
        <v>1993</v>
      </c>
      <c r="C23" t="s">
        <v>4700</v>
      </c>
      <c r="D23">
        <v>27</v>
      </c>
      <c r="E23">
        <v>0</v>
      </c>
      <c r="F23" s="13">
        <v>896.21</v>
      </c>
      <c r="G23" t="s">
        <v>4698</v>
      </c>
      <c r="H23" t="s">
        <v>4701</v>
      </c>
      <c r="I23" t="s">
        <v>4699</v>
      </c>
      <c r="J23" s="10">
        <f t="shared" si="0"/>
        <v>34300</v>
      </c>
      <c r="K23">
        <f t="shared" si="1"/>
        <v>29</v>
      </c>
    </row>
    <row r="24" spans="1:11">
      <c r="A24" t="s">
        <v>4626</v>
      </c>
      <c r="B24">
        <v>1994</v>
      </c>
      <c r="C24" t="s">
        <v>4707</v>
      </c>
      <c r="D24">
        <v>30</v>
      </c>
      <c r="E24">
        <v>0</v>
      </c>
      <c r="F24" s="13">
        <v>915.07</v>
      </c>
      <c r="G24" t="s">
        <v>4698</v>
      </c>
      <c r="H24" t="s">
        <v>4701</v>
      </c>
      <c r="I24" t="s">
        <v>4699</v>
      </c>
      <c r="J24" s="10">
        <f t="shared" si="0"/>
        <v>34637</v>
      </c>
      <c r="K24">
        <f t="shared" si="1"/>
        <v>28</v>
      </c>
    </row>
    <row r="25" spans="1:11">
      <c r="A25" t="s">
        <v>4624</v>
      </c>
      <c r="B25">
        <v>1995</v>
      </c>
      <c r="C25" t="s">
        <v>4707</v>
      </c>
      <c r="D25">
        <v>28</v>
      </c>
      <c r="E25">
        <v>0</v>
      </c>
      <c r="F25" s="13">
        <v>928.59</v>
      </c>
      <c r="G25" t="s">
        <v>4698</v>
      </c>
      <c r="H25" t="s">
        <v>4701</v>
      </c>
      <c r="I25" t="s">
        <v>4699</v>
      </c>
      <c r="J25" s="10">
        <f t="shared" si="0"/>
        <v>35000</v>
      </c>
      <c r="K25">
        <f t="shared" si="1"/>
        <v>27</v>
      </c>
    </row>
    <row r="26" spans="1:11">
      <c r="A26" t="s">
        <v>4622</v>
      </c>
      <c r="B26">
        <v>2001</v>
      </c>
      <c r="C26" t="s">
        <v>4706</v>
      </c>
      <c r="D26">
        <v>19</v>
      </c>
      <c r="E26">
        <v>0</v>
      </c>
      <c r="F26" s="13">
        <v>964.71</v>
      </c>
      <c r="G26" t="s">
        <v>4698</v>
      </c>
      <c r="H26" t="s">
        <v>4697</v>
      </c>
      <c r="I26" t="s">
        <v>4699</v>
      </c>
      <c r="J26" s="10">
        <f t="shared" si="0"/>
        <v>37122</v>
      </c>
      <c r="K26">
        <f t="shared" si="1"/>
        <v>21</v>
      </c>
    </row>
    <row r="27" spans="1:11">
      <c r="A27" t="s">
        <v>4620</v>
      </c>
      <c r="B27">
        <v>1994</v>
      </c>
      <c r="C27" t="s">
        <v>4700</v>
      </c>
      <c r="D27">
        <v>22</v>
      </c>
      <c r="E27">
        <v>0</v>
      </c>
      <c r="F27" s="13">
        <v>1006.65</v>
      </c>
      <c r="G27" t="s">
        <v>4698</v>
      </c>
      <c r="H27" t="s">
        <v>4697</v>
      </c>
      <c r="I27" t="s">
        <v>4699</v>
      </c>
      <c r="J27" s="10">
        <f t="shared" si="0"/>
        <v>34660</v>
      </c>
      <c r="K27">
        <f t="shared" si="1"/>
        <v>28</v>
      </c>
    </row>
    <row r="28" spans="1:11">
      <c r="A28" t="s">
        <v>4618</v>
      </c>
      <c r="B28">
        <v>2000</v>
      </c>
      <c r="C28" t="s">
        <v>4707</v>
      </c>
      <c r="D28">
        <v>9</v>
      </c>
      <c r="E28">
        <v>0</v>
      </c>
      <c r="F28" s="13">
        <v>1012</v>
      </c>
      <c r="G28" t="s">
        <v>4698</v>
      </c>
      <c r="H28" t="s">
        <v>4697</v>
      </c>
      <c r="I28" t="s">
        <v>4699</v>
      </c>
      <c r="J28" s="10">
        <f t="shared" si="0"/>
        <v>36808</v>
      </c>
      <c r="K28">
        <f t="shared" si="1"/>
        <v>22</v>
      </c>
    </row>
    <row r="29" spans="1:11">
      <c r="A29" t="s">
        <v>4616</v>
      </c>
      <c r="B29">
        <v>1999</v>
      </c>
      <c r="C29" t="s">
        <v>4706</v>
      </c>
      <c r="D29">
        <v>5</v>
      </c>
      <c r="E29">
        <v>0</v>
      </c>
      <c r="F29" s="13">
        <v>1019</v>
      </c>
      <c r="G29" t="s">
        <v>4698</v>
      </c>
      <c r="H29" t="s">
        <v>4697</v>
      </c>
      <c r="I29" t="s">
        <v>4699</v>
      </c>
      <c r="J29" s="10">
        <f t="shared" si="0"/>
        <v>36377</v>
      </c>
      <c r="K29">
        <f t="shared" si="1"/>
        <v>23</v>
      </c>
    </row>
    <row r="30" spans="1:11">
      <c r="A30" t="s">
        <v>4614</v>
      </c>
      <c r="B30">
        <v>1995</v>
      </c>
      <c r="C30" t="s">
        <v>4707</v>
      </c>
      <c r="D30">
        <v>5</v>
      </c>
      <c r="E30">
        <v>0</v>
      </c>
      <c r="F30" s="13">
        <v>1033.74</v>
      </c>
      <c r="G30" t="s">
        <v>4698</v>
      </c>
      <c r="H30" t="s">
        <v>4701</v>
      </c>
      <c r="I30" t="s">
        <v>4699</v>
      </c>
      <c r="J30" s="10">
        <f t="shared" si="0"/>
        <v>34977</v>
      </c>
      <c r="K30">
        <f t="shared" si="1"/>
        <v>27</v>
      </c>
    </row>
    <row r="31" spans="1:11">
      <c r="A31" t="s">
        <v>4612</v>
      </c>
      <c r="B31">
        <v>1994</v>
      </c>
      <c r="C31" t="s">
        <v>4700</v>
      </c>
      <c r="D31">
        <v>17</v>
      </c>
      <c r="E31">
        <v>0</v>
      </c>
      <c r="F31" s="13">
        <v>1044</v>
      </c>
      <c r="G31" t="s">
        <v>4698</v>
      </c>
      <c r="H31" t="s">
        <v>4697</v>
      </c>
      <c r="I31" t="s">
        <v>4699</v>
      </c>
      <c r="J31" s="10">
        <f t="shared" si="0"/>
        <v>34655</v>
      </c>
      <c r="K31">
        <f t="shared" si="1"/>
        <v>28</v>
      </c>
    </row>
    <row r="32" spans="1:11">
      <c r="A32" t="s">
        <v>4610</v>
      </c>
      <c r="B32">
        <v>2002</v>
      </c>
      <c r="C32" t="s">
        <v>4696</v>
      </c>
      <c r="D32">
        <v>20</v>
      </c>
      <c r="E32">
        <v>0</v>
      </c>
      <c r="F32" s="13">
        <v>1047</v>
      </c>
      <c r="G32" t="s">
        <v>4698</v>
      </c>
      <c r="H32" t="s">
        <v>4701</v>
      </c>
      <c r="I32" t="s">
        <v>4699</v>
      </c>
      <c r="J32" s="10">
        <f t="shared" si="0"/>
        <v>37457</v>
      </c>
      <c r="K32">
        <f t="shared" si="1"/>
        <v>20</v>
      </c>
    </row>
    <row r="33" spans="1:11">
      <c r="A33" t="s">
        <v>4608</v>
      </c>
      <c r="B33">
        <v>2002</v>
      </c>
      <c r="C33" t="s">
        <v>4696</v>
      </c>
      <c r="D33">
        <v>1</v>
      </c>
      <c r="E33">
        <v>0</v>
      </c>
      <c r="F33" s="13">
        <v>1049</v>
      </c>
      <c r="G33" t="s">
        <v>4698</v>
      </c>
      <c r="H33" t="s">
        <v>4697</v>
      </c>
      <c r="I33" t="s">
        <v>4704</v>
      </c>
      <c r="J33" s="10">
        <f t="shared" si="0"/>
        <v>37438</v>
      </c>
      <c r="K33">
        <f t="shared" si="1"/>
        <v>20</v>
      </c>
    </row>
    <row r="34" spans="1:11">
      <c r="A34" t="s">
        <v>4606</v>
      </c>
      <c r="B34">
        <v>1995</v>
      </c>
      <c r="C34" t="s">
        <v>4702</v>
      </c>
      <c r="D34">
        <v>1</v>
      </c>
      <c r="E34">
        <v>0</v>
      </c>
      <c r="F34" s="13">
        <v>1056</v>
      </c>
      <c r="G34" t="s">
        <v>4698</v>
      </c>
      <c r="H34" t="s">
        <v>4697</v>
      </c>
      <c r="I34" t="s">
        <v>4699</v>
      </c>
      <c r="J34" s="10">
        <f t="shared" si="0"/>
        <v>34851</v>
      </c>
      <c r="K34">
        <f t="shared" si="1"/>
        <v>28</v>
      </c>
    </row>
    <row r="35" spans="1:11">
      <c r="A35" t="s">
        <v>4604</v>
      </c>
      <c r="B35">
        <v>1993</v>
      </c>
      <c r="C35" t="s">
        <v>4703</v>
      </c>
      <c r="D35">
        <v>28</v>
      </c>
      <c r="E35">
        <v>0</v>
      </c>
      <c r="F35" s="13">
        <v>1068</v>
      </c>
      <c r="G35" t="s">
        <v>4698</v>
      </c>
      <c r="H35" t="s">
        <v>4701</v>
      </c>
      <c r="I35" t="s">
        <v>4699</v>
      </c>
      <c r="J35" s="10">
        <f t="shared" si="0"/>
        <v>34240</v>
      </c>
      <c r="K35">
        <f t="shared" si="1"/>
        <v>29</v>
      </c>
    </row>
    <row r="36" spans="1:11">
      <c r="A36" t="s">
        <v>4602</v>
      </c>
      <c r="B36">
        <v>2004</v>
      </c>
      <c r="C36" t="s">
        <v>4706</v>
      </c>
      <c r="D36">
        <v>24</v>
      </c>
      <c r="E36">
        <v>0</v>
      </c>
      <c r="F36" s="13">
        <v>1070</v>
      </c>
      <c r="G36" t="s">
        <v>4698</v>
      </c>
      <c r="H36" t="s">
        <v>4698</v>
      </c>
      <c r="I36" t="s">
        <v>4699</v>
      </c>
      <c r="J36" s="10">
        <f t="shared" si="0"/>
        <v>38223</v>
      </c>
      <c r="K36">
        <f t="shared" si="1"/>
        <v>18</v>
      </c>
    </row>
    <row r="37" spans="1:11">
      <c r="A37" t="s">
        <v>4600</v>
      </c>
      <c r="B37">
        <v>1997</v>
      </c>
      <c r="C37" t="s">
        <v>4706</v>
      </c>
      <c r="D37">
        <v>13</v>
      </c>
      <c r="E37">
        <v>0</v>
      </c>
      <c r="F37" s="13">
        <v>1071</v>
      </c>
      <c r="G37" t="s">
        <v>4698</v>
      </c>
      <c r="H37" t="s">
        <v>4698</v>
      </c>
      <c r="I37" t="s">
        <v>4699</v>
      </c>
      <c r="J37" s="10">
        <f t="shared" si="0"/>
        <v>35655</v>
      </c>
      <c r="K37">
        <f t="shared" si="1"/>
        <v>25</v>
      </c>
    </row>
    <row r="38" spans="1:11">
      <c r="A38" t="s">
        <v>4598</v>
      </c>
      <c r="B38">
        <v>1998</v>
      </c>
      <c r="C38" t="s">
        <v>4705</v>
      </c>
      <c r="D38">
        <v>26</v>
      </c>
      <c r="E38">
        <v>0</v>
      </c>
      <c r="F38" s="13">
        <v>1082</v>
      </c>
      <c r="G38" t="s">
        <v>4698</v>
      </c>
      <c r="H38" t="s">
        <v>4697</v>
      </c>
      <c r="I38" t="s">
        <v>4699</v>
      </c>
      <c r="J38" s="10">
        <f t="shared" si="0"/>
        <v>36155</v>
      </c>
      <c r="K38">
        <f t="shared" si="1"/>
        <v>24</v>
      </c>
    </row>
    <row r="39" spans="1:11">
      <c r="A39" t="s">
        <v>4596</v>
      </c>
      <c r="B39">
        <v>2002</v>
      </c>
      <c r="C39" t="s">
        <v>4706</v>
      </c>
      <c r="D39">
        <v>13</v>
      </c>
      <c r="E39">
        <v>0</v>
      </c>
      <c r="F39" s="13">
        <v>1086</v>
      </c>
      <c r="G39" t="s">
        <v>4698</v>
      </c>
      <c r="H39" t="s">
        <v>4698</v>
      </c>
      <c r="I39" t="s">
        <v>4699</v>
      </c>
      <c r="J39" s="10">
        <f t="shared" si="0"/>
        <v>37481</v>
      </c>
      <c r="K39">
        <f t="shared" si="1"/>
        <v>20</v>
      </c>
    </row>
    <row r="40" spans="1:11">
      <c r="A40" t="s">
        <v>4594</v>
      </c>
      <c r="B40">
        <v>2004</v>
      </c>
      <c r="C40" t="s">
        <v>4700</v>
      </c>
      <c r="D40">
        <v>12</v>
      </c>
      <c r="E40">
        <v>0</v>
      </c>
      <c r="F40" s="13">
        <v>1121.8699999999999</v>
      </c>
      <c r="G40" t="s">
        <v>4698</v>
      </c>
      <c r="H40" t="s">
        <v>4701</v>
      </c>
      <c r="I40" t="s">
        <v>4699</v>
      </c>
      <c r="J40" s="10">
        <f t="shared" si="0"/>
        <v>38303</v>
      </c>
      <c r="K40">
        <f t="shared" si="1"/>
        <v>18</v>
      </c>
    </row>
    <row r="41" spans="1:11">
      <c r="A41" t="s">
        <v>4592</v>
      </c>
      <c r="B41">
        <v>2004</v>
      </c>
      <c r="C41" t="s">
        <v>4702</v>
      </c>
      <c r="D41">
        <v>14</v>
      </c>
      <c r="E41">
        <v>0</v>
      </c>
      <c r="F41" s="13">
        <v>1131.51</v>
      </c>
      <c r="G41" t="s">
        <v>4698</v>
      </c>
      <c r="H41" t="s">
        <v>4701</v>
      </c>
      <c r="I41" t="s">
        <v>4699</v>
      </c>
      <c r="J41" s="10">
        <f t="shared" si="0"/>
        <v>38152</v>
      </c>
      <c r="K41">
        <f t="shared" si="1"/>
        <v>18</v>
      </c>
    </row>
    <row r="42" spans="1:11">
      <c r="A42" t="s">
        <v>4590</v>
      </c>
      <c r="B42">
        <v>2002</v>
      </c>
      <c r="C42" t="s">
        <v>4696</v>
      </c>
      <c r="D42">
        <v>19</v>
      </c>
      <c r="E42">
        <v>0</v>
      </c>
      <c r="F42" s="13">
        <v>1132</v>
      </c>
      <c r="G42" t="s">
        <v>4698</v>
      </c>
      <c r="H42" t="s">
        <v>4701</v>
      </c>
      <c r="I42" t="s">
        <v>4699</v>
      </c>
      <c r="J42" s="10">
        <f t="shared" si="0"/>
        <v>37456</v>
      </c>
      <c r="K42">
        <f t="shared" si="1"/>
        <v>20</v>
      </c>
    </row>
    <row r="43" spans="1:11">
      <c r="A43" t="s">
        <v>4588</v>
      </c>
      <c r="B43">
        <v>2004</v>
      </c>
      <c r="C43" t="s">
        <v>4707</v>
      </c>
      <c r="D43">
        <v>6</v>
      </c>
      <c r="E43">
        <v>0</v>
      </c>
      <c r="F43" s="13">
        <v>1135</v>
      </c>
      <c r="G43" t="s">
        <v>4698</v>
      </c>
      <c r="H43" t="s">
        <v>4698</v>
      </c>
      <c r="I43" t="s">
        <v>4699</v>
      </c>
      <c r="J43" s="10">
        <f t="shared" si="0"/>
        <v>38266</v>
      </c>
      <c r="K43">
        <f t="shared" si="1"/>
        <v>18</v>
      </c>
    </row>
    <row r="44" spans="1:11">
      <c r="A44" t="s">
        <v>4586</v>
      </c>
      <c r="B44">
        <v>2004</v>
      </c>
      <c r="C44" t="s">
        <v>4702</v>
      </c>
      <c r="D44">
        <v>11</v>
      </c>
      <c r="E44">
        <v>0</v>
      </c>
      <c r="F44" s="13">
        <v>1135.94</v>
      </c>
      <c r="G44" t="s">
        <v>4698</v>
      </c>
      <c r="H44" t="s">
        <v>4698</v>
      </c>
      <c r="I44" t="s">
        <v>4699</v>
      </c>
      <c r="J44" s="10">
        <f t="shared" si="0"/>
        <v>38149</v>
      </c>
      <c r="K44">
        <f t="shared" si="1"/>
        <v>18</v>
      </c>
    </row>
    <row r="45" spans="1:11">
      <c r="A45" t="s">
        <v>4584</v>
      </c>
      <c r="B45">
        <v>2004</v>
      </c>
      <c r="C45" t="s">
        <v>4700</v>
      </c>
      <c r="D45">
        <v>28</v>
      </c>
      <c r="E45">
        <v>0</v>
      </c>
      <c r="F45" s="13">
        <v>1136.4000000000001</v>
      </c>
      <c r="G45" t="s">
        <v>4698</v>
      </c>
      <c r="H45" t="s">
        <v>4698</v>
      </c>
      <c r="I45" t="s">
        <v>4699</v>
      </c>
      <c r="J45" s="10">
        <f t="shared" si="0"/>
        <v>38319</v>
      </c>
      <c r="K45">
        <f t="shared" si="1"/>
        <v>18</v>
      </c>
    </row>
    <row r="46" spans="1:11">
      <c r="A46" t="s">
        <v>4582</v>
      </c>
      <c r="B46">
        <v>2002</v>
      </c>
      <c r="C46" t="s">
        <v>4706</v>
      </c>
      <c r="D46">
        <v>11</v>
      </c>
      <c r="E46">
        <v>0</v>
      </c>
      <c r="F46" s="13">
        <v>1137</v>
      </c>
      <c r="G46" t="s">
        <v>4698</v>
      </c>
      <c r="H46" t="s">
        <v>4701</v>
      </c>
      <c r="I46" t="s">
        <v>4699</v>
      </c>
      <c r="J46" s="10">
        <f t="shared" si="0"/>
        <v>37479</v>
      </c>
      <c r="K46">
        <f t="shared" si="1"/>
        <v>20</v>
      </c>
    </row>
    <row r="47" spans="1:11">
      <c r="A47" t="s">
        <v>4685</v>
      </c>
      <c r="B47">
        <v>2004</v>
      </c>
      <c r="C47" t="s">
        <v>4700</v>
      </c>
      <c r="D47">
        <v>6</v>
      </c>
      <c r="E47">
        <v>0</v>
      </c>
      <c r="F47" s="13">
        <v>1137.01</v>
      </c>
      <c r="G47" t="s">
        <v>4698</v>
      </c>
      <c r="H47" t="s">
        <v>4701</v>
      </c>
      <c r="I47" t="s">
        <v>4699</v>
      </c>
      <c r="J47" s="10">
        <f t="shared" si="0"/>
        <v>38297</v>
      </c>
      <c r="K47">
        <f t="shared" si="1"/>
        <v>18</v>
      </c>
    </row>
    <row r="48" spans="1:11">
      <c r="A48" t="s">
        <v>4580</v>
      </c>
      <c r="B48">
        <v>2004</v>
      </c>
      <c r="C48" t="s">
        <v>4707</v>
      </c>
      <c r="D48">
        <v>15</v>
      </c>
      <c r="E48">
        <v>0</v>
      </c>
      <c r="F48" s="13">
        <v>1137.01</v>
      </c>
      <c r="G48" t="s">
        <v>4698</v>
      </c>
      <c r="H48" t="s">
        <v>4701</v>
      </c>
      <c r="I48" t="s">
        <v>4699</v>
      </c>
      <c r="J48" s="10">
        <f t="shared" si="0"/>
        <v>38275</v>
      </c>
      <c r="K48">
        <f t="shared" si="1"/>
        <v>18</v>
      </c>
    </row>
    <row r="49" spans="1:11">
      <c r="A49" t="s">
        <v>4578</v>
      </c>
      <c r="B49">
        <v>2004</v>
      </c>
      <c r="C49" t="s">
        <v>4700</v>
      </c>
      <c r="D49">
        <v>27</v>
      </c>
      <c r="E49">
        <v>0</v>
      </c>
      <c r="F49" s="13">
        <v>1137.47</v>
      </c>
      <c r="G49" t="s">
        <v>4698</v>
      </c>
      <c r="H49" t="s">
        <v>4697</v>
      </c>
      <c r="I49" t="s">
        <v>4699</v>
      </c>
      <c r="J49" s="10">
        <f t="shared" si="0"/>
        <v>38318</v>
      </c>
      <c r="K49">
        <f t="shared" si="1"/>
        <v>18</v>
      </c>
    </row>
    <row r="50" spans="1:11">
      <c r="A50" t="s">
        <v>4576</v>
      </c>
      <c r="B50">
        <v>2001</v>
      </c>
      <c r="C50" t="s">
        <v>4707</v>
      </c>
      <c r="D50">
        <v>25</v>
      </c>
      <c r="E50">
        <v>0</v>
      </c>
      <c r="F50" s="13">
        <v>1141</v>
      </c>
      <c r="G50" t="s">
        <v>4698</v>
      </c>
      <c r="H50" t="s">
        <v>4701</v>
      </c>
      <c r="I50" t="s">
        <v>4699</v>
      </c>
      <c r="J50" s="10">
        <f t="shared" si="0"/>
        <v>37189</v>
      </c>
      <c r="K50">
        <f t="shared" si="1"/>
        <v>21</v>
      </c>
    </row>
    <row r="51" spans="1:11">
      <c r="A51" t="s">
        <v>4574</v>
      </c>
      <c r="B51">
        <v>2004</v>
      </c>
      <c r="C51" t="s">
        <v>4703</v>
      </c>
      <c r="D51">
        <v>12</v>
      </c>
      <c r="E51">
        <v>0</v>
      </c>
      <c r="F51" s="13">
        <v>1141.45</v>
      </c>
      <c r="G51" t="s">
        <v>4698</v>
      </c>
      <c r="H51" t="s">
        <v>4698</v>
      </c>
      <c r="I51" t="s">
        <v>4699</v>
      </c>
      <c r="J51" s="10">
        <f t="shared" si="0"/>
        <v>38242</v>
      </c>
      <c r="K51">
        <f t="shared" si="1"/>
        <v>18</v>
      </c>
    </row>
    <row r="52" spans="1:11">
      <c r="A52" t="s">
        <v>4572</v>
      </c>
      <c r="B52">
        <v>2002</v>
      </c>
      <c r="C52" t="s">
        <v>4707</v>
      </c>
      <c r="D52">
        <v>1</v>
      </c>
      <c r="E52">
        <v>0</v>
      </c>
      <c r="F52" s="13">
        <v>1142</v>
      </c>
      <c r="G52" t="s">
        <v>4698</v>
      </c>
      <c r="H52" t="s">
        <v>4697</v>
      </c>
      <c r="I52" t="s">
        <v>4708</v>
      </c>
      <c r="J52" s="10">
        <f t="shared" si="0"/>
        <v>37530</v>
      </c>
      <c r="K52">
        <f t="shared" si="1"/>
        <v>20</v>
      </c>
    </row>
    <row r="53" spans="1:11">
      <c r="A53" t="s">
        <v>4570</v>
      </c>
      <c r="B53">
        <v>2004</v>
      </c>
      <c r="C53" t="s">
        <v>4702</v>
      </c>
      <c r="D53">
        <v>10</v>
      </c>
      <c r="E53">
        <v>0</v>
      </c>
      <c r="F53" s="13">
        <v>1146.8</v>
      </c>
      <c r="G53" t="s">
        <v>4697</v>
      </c>
      <c r="H53" t="s">
        <v>4697</v>
      </c>
      <c r="I53" t="s">
        <v>4699</v>
      </c>
      <c r="J53" s="10">
        <f t="shared" si="0"/>
        <v>38148</v>
      </c>
      <c r="K53">
        <f t="shared" si="1"/>
        <v>18</v>
      </c>
    </row>
    <row r="54" spans="1:11">
      <c r="A54" t="s">
        <v>4568</v>
      </c>
      <c r="B54">
        <v>2003</v>
      </c>
      <c r="C54" t="s">
        <v>4702</v>
      </c>
      <c r="D54">
        <v>12</v>
      </c>
      <c r="E54">
        <v>0</v>
      </c>
      <c r="F54" s="13">
        <v>1149</v>
      </c>
      <c r="G54" t="s">
        <v>4697</v>
      </c>
      <c r="H54" t="s">
        <v>4701</v>
      </c>
      <c r="I54" t="s">
        <v>4704</v>
      </c>
      <c r="J54" s="10">
        <f t="shared" si="0"/>
        <v>37784</v>
      </c>
      <c r="K54">
        <f t="shared" si="1"/>
        <v>19</v>
      </c>
    </row>
    <row r="55" spans="1:11">
      <c r="A55" t="s">
        <v>4566</v>
      </c>
      <c r="B55">
        <v>2004</v>
      </c>
      <c r="C55" t="s">
        <v>4696</v>
      </c>
      <c r="D55">
        <v>18</v>
      </c>
      <c r="E55">
        <v>0</v>
      </c>
      <c r="F55" s="13">
        <v>1149.4000000000001</v>
      </c>
      <c r="G55" t="s">
        <v>4697</v>
      </c>
      <c r="H55" t="s">
        <v>4697</v>
      </c>
      <c r="I55" t="s">
        <v>4699</v>
      </c>
      <c r="J55" s="10">
        <f t="shared" si="0"/>
        <v>38186</v>
      </c>
      <c r="K55">
        <f t="shared" si="1"/>
        <v>18</v>
      </c>
    </row>
    <row r="56" spans="1:11">
      <c r="A56" t="s">
        <v>4564</v>
      </c>
      <c r="B56">
        <v>1994</v>
      </c>
      <c r="C56" t="s">
        <v>4696</v>
      </c>
      <c r="D56">
        <v>26</v>
      </c>
      <c r="E56">
        <v>0</v>
      </c>
      <c r="F56" s="13">
        <v>1158.32</v>
      </c>
      <c r="G56" t="s">
        <v>4697</v>
      </c>
      <c r="H56" t="s">
        <v>4701</v>
      </c>
      <c r="I56" t="s">
        <v>4699</v>
      </c>
      <c r="J56" s="10">
        <f t="shared" si="0"/>
        <v>34541</v>
      </c>
      <c r="K56">
        <f t="shared" si="1"/>
        <v>28</v>
      </c>
    </row>
    <row r="57" spans="1:11">
      <c r="A57" t="s">
        <v>4562</v>
      </c>
      <c r="B57">
        <v>2004</v>
      </c>
      <c r="C57" t="s">
        <v>4700</v>
      </c>
      <c r="D57">
        <v>11</v>
      </c>
      <c r="E57">
        <v>0</v>
      </c>
      <c r="F57" s="13">
        <v>1163.46</v>
      </c>
      <c r="G57" t="s">
        <v>4697</v>
      </c>
      <c r="H57" t="s">
        <v>4698</v>
      </c>
      <c r="I57" t="s">
        <v>4699</v>
      </c>
      <c r="J57" s="10">
        <f t="shared" si="0"/>
        <v>38302</v>
      </c>
      <c r="K57">
        <f t="shared" si="1"/>
        <v>18</v>
      </c>
    </row>
    <row r="58" spans="1:11">
      <c r="A58" t="s">
        <v>4560</v>
      </c>
      <c r="B58">
        <v>2002</v>
      </c>
      <c r="C58" t="s">
        <v>4702</v>
      </c>
      <c r="D58">
        <v>11</v>
      </c>
      <c r="E58">
        <v>0</v>
      </c>
      <c r="F58" s="13">
        <v>1165</v>
      </c>
      <c r="G58" t="s">
        <v>4697</v>
      </c>
      <c r="H58" t="s">
        <v>4698</v>
      </c>
      <c r="I58" t="s">
        <v>4704</v>
      </c>
      <c r="J58" s="10">
        <f t="shared" si="0"/>
        <v>37418</v>
      </c>
      <c r="K58">
        <f t="shared" si="1"/>
        <v>20</v>
      </c>
    </row>
    <row r="59" spans="1:11">
      <c r="A59" t="s">
        <v>4558</v>
      </c>
      <c r="B59">
        <v>2001</v>
      </c>
      <c r="C59" t="s">
        <v>4700</v>
      </c>
      <c r="D59">
        <v>12</v>
      </c>
      <c r="E59">
        <v>0</v>
      </c>
      <c r="F59" s="13">
        <v>1167</v>
      </c>
      <c r="G59" t="s">
        <v>4697</v>
      </c>
      <c r="H59" t="s">
        <v>4701</v>
      </c>
      <c r="I59" t="s">
        <v>4699</v>
      </c>
      <c r="J59" s="10">
        <f t="shared" si="0"/>
        <v>37207</v>
      </c>
      <c r="K59">
        <f t="shared" si="1"/>
        <v>21</v>
      </c>
    </row>
    <row r="60" spans="1:11">
      <c r="A60" t="s">
        <v>4556</v>
      </c>
      <c r="B60">
        <v>1996</v>
      </c>
      <c r="C60" t="s">
        <v>4706</v>
      </c>
      <c r="D60">
        <v>11</v>
      </c>
      <c r="E60">
        <v>0</v>
      </c>
      <c r="F60" s="13">
        <v>1178</v>
      </c>
      <c r="G60" t="s">
        <v>4697</v>
      </c>
      <c r="H60" t="s">
        <v>4698</v>
      </c>
      <c r="I60" t="s">
        <v>4699</v>
      </c>
      <c r="J60" s="10">
        <f t="shared" si="0"/>
        <v>35288</v>
      </c>
      <c r="K60">
        <f t="shared" si="1"/>
        <v>26</v>
      </c>
    </row>
    <row r="61" spans="1:11">
      <c r="A61" t="s">
        <v>4554</v>
      </c>
      <c r="B61">
        <v>1997</v>
      </c>
      <c r="C61" t="s">
        <v>4702</v>
      </c>
      <c r="D61">
        <v>28</v>
      </c>
      <c r="E61">
        <v>0</v>
      </c>
      <c r="F61" s="13">
        <v>1178.07</v>
      </c>
      <c r="G61" t="s">
        <v>4697</v>
      </c>
      <c r="H61" t="s">
        <v>4697</v>
      </c>
      <c r="I61" t="s">
        <v>4699</v>
      </c>
      <c r="J61" s="10">
        <f t="shared" si="0"/>
        <v>35609</v>
      </c>
      <c r="K61">
        <f t="shared" si="1"/>
        <v>25</v>
      </c>
    </row>
    <row r="62" spans="1:11">
      <c r="A62" t="s">
        <v>4552</v>
      </c>
      <c r="B62">
        <v>2002</v>
      </c>
      <c r="C62" t="s">
        <v>4706</v>
      </c>
      <c r="D62">
        <v>26</v>
      </c>
      <c r="E62">
        <v>0</v>
      </c>
      <c r="F62" s="13">
        <v>1191</v>
      </c>
      <c r="G62" t="s">
        <v>4697</v>
      </c>
      <c r="H62" t="s">
        <v>4701</v>
      </c>
      <c r="I62" t="s">
        <v>4699</v>
      </c>
      <c r="J62" s="10">
        <f t="shared" si="0"/>
        <v>37494</v>
      </c>
      <c r="K62">
        <f t="shared" si="1"/>
        <v>20</v>
      </c>
    </row>
    <row r="63" spans="1:11">
      <c r="A63" t="s">
        <v>4550</v>
      </c>
      <c r="B63">
        <v>1999</v>
      </c>
      <c r="C63" t="s">
        <v>4702</v>
      </c>
      <c r="D63">
        <v>28</v>
      </c>
      <c r="E63">
        <v>0</v>
      </c>
      <c r="F63" s="13">
        <v>1200</v>
      </c>
      <c r="G63" t="s">
        <v>4697</v>
      </c>
      <c r="H63" t="s">
        <v>4698</v>
      </c>
      <c r="I63" t="s">
        <v>4704</v>
      </c>
      <c r="J63" s="10">
        <f t="shared" si="0"/>
        <v>36339</v>
      </c>
      <c r="K63">
        <f t="shared" si="1"/>
        <v>23</v>
      </c>
    </row>
    <row r="64" spans="1:11">
      <c r="A64" t="s">
        <v>4548</v>
      </c>
      <c r="B64">
        <v>1992</v>
      </c>
      <c r="C64" t="s">
        <v>4707</v>
      </c>
      <c r="D64">
        <v>6</v>
      </c>
      <c r="E64">
        <v>0</v>
      </c>
      <c r="F64" s="13">
        <v>1200.55</v>
      </c>
      <c r="G64" t="s">
        <v>4697</v>
      </c>
      <c r="H64" t="s">
        <v>4698</v>
      </c>
      <c r="I64" t="s">
        <v>4699</v>
      </c>
      <c r="J64" s="10">
        <f t="shared" si="0"/>
        <v>33883</v>
      </c>
      <c r="K64">
        <f t="shared" si="1"/>
        <v>30</v>
      </c>
    </row>
    <row r="65" spans="1:11">
      <c r="A65" t="s">
        <v>4546</v>
      </c>
      <c r="B65">
        <v>2004</v>
      </c>
      <c r="C65" t="s">
        <v>4702</v>
      </c>
      <c r="D65">
        <v>2</v>
      </c>
      <c r="E65">
        <v>0</v>
      </c>
      <c r="F65" s="13">
        <v>1210</v>
      </c>
      <c r="G65" t="s">
        <v>4697</v>
      </c>
      <c r="H65" t="s">
        <v>4701</v>
      </c>
      <c r="I65" t="s">
        <v>4699</v>
      </c>
      <c r="J65" s="10">
        <f t="shared" si="0"/>
        <v>38140</v>
      </c>
      <c r="K65">
        <f t="shared" si="1"/>
        <v>19</v>
      </c>
    </row>
    <row r="66" spans="1:11">
      <c r="A66" t="s">
        <v>4544</v>
      </c>
      <c r="B66">
        <v>1996</v>
      </c>
      <c r="C66" t="s">
        <v>4700</v>
      </c>
      <c r="D66">
        <v>4</v>
      </c>
      <c r="E66">
        <v>0</v>
      </c>
      <c r="F66" s="13">
        <v>1220</v>
      </c>
      <c r="G66" t="s">
        <v>4697</v>
      </c>
      <c r="H66" t="s">
        <v>4698</v>
      </c>
      <c r="I66" t="s">
        <v>4704</v>
      </c>
      <c r="J66" s="10">
        <f t="shared" ref="J66:J129" si="2">DATEVALUE(D66&amp;"-"&amp;C66&amp;"-"&amp;B66)</f>
        <v>35373</v>
      </c>
      <c r="K66">
        <f t="shared" si="1"/>
        <v>26</v>
      </c>
    </row>
    <row r="67" spans="1:11">
      <c r="A67" t="s">
        <v>4542</v>
      </c>
      <c r="B67">
        <v>2004</v>
      </c>
      <c r="C67" t="s">
        <v>4696</v>
      </c>
      <c r="D67">
        <v>9</v>
      </c>
      <c r="E67">
        <v>0</v>
      </c>
      <c r="F67" s="13">
        <v>1224</v>
      </c>
      <c r="G67" t="s">
        <v>4697</v>
      </c>
      <c r="H67" t="s">
        <v>4701</v>
      </c>
      <c r="I67" t="s">
        <v>4699</v>
      </c>
      <c r="J67" s="10">
        <f t="shared" si="2"/>
        <v>38177</v>
      </c>
      <c r="K67">
        <f t="shared" ref="K67:K130" si="3">DATEDIF(J67, DATE(2023, 6, 8), "Y")</f>
        <v>18</v>
      </c>
    </row>
    <row r="68" spans="1:11">
      <c r="A68" t="s">
        <v>4540</v>
      </c>
      <c r="B68">
        <v>2004</v>
      </c>
      <c r="C68" t="s">
        <v>4707</v>
      </c>
      <c r="D68">
        <v>16</v>
      </c>
      <c r="E68">
        <v>0</v>
      </c>
      <c r="F68" s="13">
        <v>1228</v>
      </c>
      <c r="G68" t="s">
        <v>4697</v>
      </c>
      <c r="H68" t="s">
        <v>4701</v>
      </c>
      <c r="I68" t="s">
        <v>4704</v>
      </c>
      <c r="J68" s="10">
        <f t="shared" si="2"/>
        <v>38276</v>
      </c>
      <c r="K68">
        <f t="shared" si="3"/>
        <v>18</v>
      </c>
    </row>
    <row r="69" spans="1:11">
      <c r="A69" t="s">
        <v>4538</v>
      </c>
      <c r="B69">
        <v>1998</v>
      </c>
      <c r="C69" t="s">
        <v>4696</v>
      </c>
      <c r="D69">
        <v>13</v>
      </c>
      <c r="E69">
        <v>0</v>
      </c>
      <c r="F69" s="13">
        <v>1234</v>
      </c>
      <c r="G69" t="s">
        <v>4697</v>
      </c>
      <c r="H69" t="s">
        <v>4701</v>
      </c>
      <c r="I69" t="s">
        <v>4699</v>
      </c>
      <c r="J69" s="10">
        <f t="shared" si="2"/>
        <v>35989</v>
      </c>
      <c r="K69">
        <f t="shared" si="3"/>
        <v>24</v>
      </c>
    </row>
    <row r="70" spans="1:11">
      <c r="A70" t="s">
        <v>4536</v>
      </c>
      <c r="B70">
        <v>2002</v>
      </c>
      <c r="C70" t="s">
        <v>4705</v>
      </c>
      <c r="D70">
        <v>12</v>
      </c>
      <c r="E70">
        <v>0</v>
      </c>
      <c r="F70" s="13">
        <v>1237</v>
      </c>
      <c r="G70" t="s">
        <v>4697</v>
      </c>
      <c r="H70" t="s">
        <v>4697</v>
      </c>
      <c r="I70" t="s">
        <v>4699</v>
      </c>
      <c r="J70" s="10">
        <f t="shared" si="2"/>
        <v>37602</v>
      </c>
      <c r="K70">
        <f t="shared" si="3"/>
        <v>20</v>
      </c>
    </row>
    <row r="71" spans="1:11">
      <c r="A71" t="s">
        <v>4534</v>
      </c>
      <c r="B71">
        <v>1998</v>
      </c>
      <c r="C71" t="s">
        <v>4707</v>
      </c>
      <c r="D71">
        <v>11</v>
      </c>
      <c r="E71">
        <v>0</v>
      </c>
      <c r="F71" s="13">
        <v>1240</v>
      </c>
      <c r="G71" t="s">
        <v>4697</v>
      </c>
      <c r="H71" t="s">
        <v>4701</v>
      </c>
      <c r="I71" t="s">
        <v>4704</v>
      </c>
      <c r="J71" s="10">
        <f t="shared" si="2"/>
        <v>36079</v>
      </c>
      <c r="K71">
        <f t="shared" si="3"/>
        <v>24</v>
      </c>
    </row>
    <row r="72" spans="1:11">
      <c r="A72" t="s">
        <v>4532</v>
      </c>
      <c r="B72">
        <v>2002</v>
      </c>
      <c r="C72" t="s">
        <v>4696</v>
      </c>
      <c r="D72">
        <v>1</v>
      </c>
      <c r="E72">
        <v>0</v>
      </c>
      <c r="F72" s="13">
        <v>1241</v>
      </c>
      <c r="G72" t="s">
        <v>4697</v>
      </c>
      <c r="H72" t="s">
        <v>4697</v>
      </c>
      <c r="I72" t="s">
        <v>4699</v>
      </c>
      <c r="J72" s="10">
        <f t="shared" si="2"/>
        <v>37438</v>
      </c>
      <c r="K72">
        <f t="shared" si="3"/>
        <v>20</v>
      </c>
    </row>
    <row r="73" spans="1:11">
      <c r="A73" t="s">
        <v>4530</v>
      </c>
      <c r="B73">
        <v>2003</v>
      </c>
      <c r="C73" t="s">
        <v>4706</v>
      </c>
      <c r="D73">
        <v>2</v>
      </c>
      <c r="E73">
        <v>0</v>
      </c>
      <c r="F73" s="13">
        <v>1241.57</v>
      </c>
      <c r="G73" t="s">
        <v>4697</v>
      </c>
      <c r="H73" t="s">
        <v>4697</v>
      </c>
      <c r="I73" t="s">
        <v>4708</v>
      </c>
      <c r="J73" s="10">
        <f t="shared" si="2"/>
        <v>37835</v>
      </c>
      <c r="K73">
        <f t="shared" si="3"/>
        <v>19</v>
      </c>
    </row>
    <row r="74" spans="1:11">
      <c r="A74" t="s">
        <v>4528</v>
      </c>
      <c r="B74">
        <v>2003</v>
      </c>
      <c r="C74" t="s">
        <v>4703</v>
      </c>
      <c r="D74">
        <v>15</v>
      </c>
      <c r="E74">
        <v>0</v>
      </c>
      <c r="F74" s="13">
        <v>1242.26</v>
      </c>
      <c r="G74" t="s">
        <v>4697</v>
      </c>
      <c r="H74" t="s">
        <v>4701</v>
      </c>
      <c r="I74" t="s">
        <v>4708</v>
      </c>
      <c r="J74" s="10">
        <f t="shared" si="2"/>
        <v>37879</v>
      </c>
      <c r="K74">
        <f t="shared" si="3"/>
        <v>19</v>
      </c>
    </row>
    <row r="75" spans="1:11">
      <c r="A75" t="s">
        <v>4526</v>
      </c>
      <c r="B75">
        <v>2003</v>
      </c>
      <c r="C75" t="s">
        <v>4703</v>
      </c>
      <c r="D75">
        <v>8</v>
      </c>
      <c r="E75">
        <v>0</v>
      </c>
      <c r="F75" s="13">
        <v>1242.82</v>
      </c>
      <c r="G75" t="s">
        <v>4697</v>
      </c>
      <c r="H75" t="s">
        <v>4701</v>
      </c>
      <c r="I75" t="s">
        <v>4708</v>
      </c>
      <c r="J75" s="10">
        <f t="shared" si="2"/>
        <v>37872</v>
      </c>
      <c r="K75">
        <f t="shared" si="3"/>
        <v>19</v>
      </c>
    </row>
    <row r="76" spans="1:11">
      <c r="A76" t="s">
        <v>4524</v>
      </c>
      <c r="B76">
        <v>2003</v>
      </c>
      <c r="C76" t="s">
        <v>4703</v>
      </c>
      <c r="D76">
        <v>15</v>
      </c>
      <c r="E76">
        <v>0</v>
      </c>
      <c r="F76" s="13">
        <v>1252.4100000000001</v>
      </c>
      <c r="G76" t="s">
        <v>4697</v>
      </c>
      <c r="H76" t="s">
        <v>4698</v>
      </c>
      <c r="I76" t="s">
        <v>4708</v>
      </c>
      <c r="J76" s="10">
        <f t="shared" si="2"/>
        <v>37879</v>
      </c>
      <c r="K76">
        <f t="shared" si="3"/>
        <v>19</v>
      </c>
    </row>
    <row r="77" spans="1:11">
      <c r="A77" t="s">
        <v>4522</v>
      </c>
      <c r="B77">
        <v>1997</v>
      </c>
      <c r="C77" t="s">
        <v>4700</v>
      </c>
      <c r="D77">
        <v>4</v>
      </c>
      <c r="E77">
        <v>0</v>
      </c>
      <c r="F77" s="13">
        <v>1253</v>
      </c>
      <c r="G77" t="s">
        <v>4697</v>
      </c>
      <c r="H77" t="s">
        <v>4697</v>
      </c>
      <c r="I77" t="s">
        <v>4699</v>
      </c>
      <c r="J77" s="10">
        <f t="shared" si="2"/>
        <v>35738</v>
      </c>
      <c r="K77">
        <f t="shared" si="3"/>
        <v>25</v>
      </c>
    </row>
    <row r="78" spans="1:11">
      <c r="A78" t="s">
        <v>4520</v>
      </c>
      <c r="B78">
        <v>2003</v>
      </c>
      <c r="C78" t="s">
        <v>4705</v>
      </c>
      <c r="D78">
        <v>10</v>
      </c>
      <c r="E78">
        <v>0</v>
      </c>
      <c r="F78" s="13">
        <v>1253.94</v>
      </c>
      <c r="G78" t="s">
        <v>4697</v>
      </c>
      <c r="H78" t="s">
        <v>4697</v>
      </c>
      <c r="I78" t="s">
        <v>4708</v>
      </c>
      <c r="J78" s="10">
        <f t="shared" si="2"/>
        <v>37965</v>
      </c>
      <c r="K78">
        <f t="shared" si="3"/>
        <v>19</v>
      </c>
    </row>
    <row r="79" spans="1:11">
      <c r="A79" t="s">
        <v>4518</v>
      </c>
      <c r="B79">
        <v>2003</v>
      </c>
      <c r="C79" t="s">
        <v>4707</v>
      </c>
      <c r="D79">
        <v>13</v>
      </c>
      <c r="E79">
        <v>0</v>
      </c>
      <c r="F79" s="13">
        <v>1256.3</v>
      </c>
      <c r="G79" t="s">
        <v>4697</v>
      </c>
      <c r="H79" t="s">
        <v>4698</v>
      </c>
      <c r="I79" t="s">
        <v>4708</v>
      </c>
      <c r="J79" s="10">
        <f t="shared" si="2"/>
        <v>37907</v>
      </c>
      <c r="K79">
        <f t="shared" si="3"/>
        <v>19</v>
      </c>
    </row>
    <row r="80" spans="1:11">
      <c r="A80" t="s">
        <v>4516</v>
      </c>
      <c r="B80">
        <v>2003</v>
      </c>
      <c r="C80" t="s">
        <v>4707</v>
      </c>
      <c r="D80">
        <v>30</v>
      </c>
      <c r="E80">
        <v>0</v>
      </c>
      <c r="F80" s="13">
        <v>1261.44</v>
      </c>
      <c r="G80" t="s">
        <v>4697</v>
      </c>
      <c r="H80" t="s">
        <v>4698</v>
      </c>
      <c r="I80" t="s">
        <v>4708</v>
      </c>
      <c r="J80" s="10">
        <f t="shared" si="2"/>
        <v>37924</v>
      </c>
      <c r="K80">
        <f t="shared" si="3"/>
        <v>19</v>
      </c>
    </row>
    <row r="81" spans="1:11">
      <c r="A81" t="s">
        <v>4514</v>
      </c>
      <c r="B81">
        <v>2003</v>
      </c>
      <c r="C81" t="s">
        <v>4706</v>
      </c>
      <c r="D81">
        <v>15</v>
      </c>
      <c r="E81">
        <v>0</v>
      </c>
      <c r="F81" s="13">
        <v>1261.8599999999999</v>
      </c>
      <c r="G81" t="s">
        <v>4697</v>
      </c>
      <c r="H81" t="s">
        <v>4698</v>
      </c>
      <c r="I81" t="s">
        <v>4708</v>
      </c>
      <c r="J81" s="10">
        <f t="shared" si="2"/>
        <v>37848</v>
      </c>
      <c r="K81">
        <f t="shared" si="3"/>
        <v>19</v>
      </c>
    </row>
    <row r="82" spans="1:11">
      <c r="A82" t="s">
        <v>4512</v>
      </c>
      <c r="B82">
        <v>2003</v>
      </c>
      <c r="C82" t="s">
        <v>4700</v>
      </c>
      <c r="D82">
        <v>21</v>
      </c>
      <c r="E82">
        <v>0</v>
      </c>
      <c r="F82" s="13">
        <v>1263.25</v>
      </c>
      <c r="G82" t="s">
        <v>4697</v>
      </c>
      <c r="H82" t="s">
        <v>4698</v>
      </c>
      <c r="I82" t="s">
        <v>4708</v>
      </c>
      <c r="J82" s="10">
        <f t="shared" si="2"/>
        <v>37946</v>
      </c>
      <c r="K82">
        <f t="shared" si="3"/>
        <v>19</v>
      </c>
    </row>
    <row r="83" spans="1:11">
      <c r="A83" t="s">
        <v>4510</v>
      </c>
      <c r="B83">
        <v>2002</v>
      </c>
      <c r="C83" t="s">
        <v>4705</v>
      </c>
      <c r="D83">
        <v>4</v>
      </c>
      <c r="E83">
        <v>0</v>
      </c>
      <c r="F83" s="13">
        <v>1267</v>
      </c>
      <c r="G83" t="s">
        <v>4697</v>
      </c>
      <c r="H83" t="s">
        <v>4701</v>
      </c>
      <c r="I83" t="s">
        <v>4699</v>
      </c>
      <c r="J83" s="10">
        <f t="shared" si="2"/>
        <v>37594</v>
      </c>
      <c r="K83">
        <f t="shared" si="3"/>
        <v>20</v>
      </c>
    </row>
    <row r="84" spans="1:11">
      <c r="A84" t="s">
        <v>4508</v>
      </c>
      <c r="B84">
        <v>1997</v>
      </c>
      <c r="C84" t="s">
        <v>4707</v>
      </c>
      <c r="D84">
        <v>26</v>
      </c>
      <c r="E84">
        <v>0</v>
      </c>
      <c r="F84" s="13">
        <v>1276</v>
      </c>
      <c r="G84" t="s">
        <v>4697</v>
      </c>
      <c r="H84" t="s">
        <v>4697</v>
      </c>
      <c r="I84" t="s">
        <v>4704</v>
      </c>
      <c r="J84" s="10">
        <f t="shared" si="2"/>
        <v>35729</v>
      </c>
      <c r="K84">
        <f t="shared" si="3"/>
        <v>25</v>
      </c>
    </row>
    <row r="85" spans="1:11">
      <c r="A85" t="s">
        <v>4506</v>
      </c>
      <c r="B85">
        <v>2004</v>
      </c>
      <c r="C85" t="s">
        <v>4703</v>
      </c>
      <c r="D85">
        <v>30</v>
      </c>
      <c r="E85">
        <v>0</v>
      </c>
      <c r="F85" s="13">
        <v>1283</v>
      </c>
      <c r="G85" t="s">
        <v>4697</v>
      </c>
      <c r="H85" t="s">
        <v>4701</v>
      </c>
      <c r="I85" t="s">
        <v>4699</v>
      </c>
      <c r="J85" s="10">
        <f t="shared" si="2"/>
        <v>38260</v>
      </c>
      <c r="K85">
        <f t="shared" si="3"/>
        <v>18</v>
      </c>
    </row>
    <row r="86" spans="1:11">
      <c r="A86" t="s">
        <v>4504</v>
      </c>
      <c r="B86">
        <v>2004</v>
      </c>
      <c r="C86" t="s">
        <v>4696</v>
      </c>
      <c r="D86">
        <v>28</v>
      </c>
      <c r="E86">
        <v>0</v>
      </c>
      <c r="F86" s="13">
        <v>1285</v>
      </c>
      <c r="G86" t="s">
        <v>4697</v>
      </c>
      <c r="H86" t="s">
        <v>4698</v>
      </c>
      <c r="I86" t="s">
        <v>4699</v>
      </c>
      <c r="J86" s="10">
        <f t="shared" si="2"/>
        <v>38196</v>
      </c>
      <c r="K86">
        <f t="shared" si="3"/>
        <v>18</v>
      </c>
    </row>
    <row r="87" spans="1:11">
      <c r="A87" t="s">
        <v>4502</v>
      </c>
      <c r="B87">
        <v>2000</v>
      </c>
      <c r="C87" t="s">
        <v>4702</v>
      </c>
      <c r="D87">
        <v>26</v>
      </c>
      <c r="E87">
        <v>0</v>
      </c>
      <c r="F87" s="13">
        <v>1286</v>
      </c>
      <c r="G87" t="s">
        <v>4697</v>
      </c>
      <c r="H87" t="s">
        <v>4697</v>
      </c>
      <c r="I87" t="s">
        <v>4699</v>
      </c>
      <c r="J87" s="10">
        <f t="shared" si="2"/>
        <v>36703</v>
      </c>
      <c r="K87">
        <f t="shared" si="3"/>
        <v>22</v>
      </c>
    </row>
    <row r="88" spans="1:11">
      <c r="A88" t="s">
        <v>4500</v>
      </c>
      <c r="B88">
        <v>1998</v>
      </c>
      <c r="C88" t="s">
        <v>4702</v>
      </c>
      <c r="D88">
        <v>4</v>
      </c>
      <c r="E88">
        <v>0</v>
      </c>
      <c r="F88" s="13">
        <v>1290.93</v>
      </c>
      <c r="G88" t="s">
        <v>4697</v>
      </c>
      <c r="H88" t="s">
        <v>4697</v>
      </c>
      <c r="I88" t="s">
        <v>4699</v>
      </c>
      <c r="J88" s="10">
        <f t="shared" si="2"/>
        <v>35950</v>
      </c>
      <c r="K88">
        <f t="shared" si="3"/>
        <v>25</v>
      </c>
    </row>
    <row r="89" spans="1:11">
      <c r="A89" t="s">
        <v>4498</v>
      </c>
      <c r="B89">
        <v>2001</v>
      </c>
      <c r="C89" t="s">
        <v>4700</v>
      </c>
      <c r="D89">
        <v>29</v>
      </c>
      <c r="E89">
        <v>0</v>
      </c>
      <c r="F89" s="13">
        <v>1293</v>
      </c>
      <c r="G89" t="s">
        <v>4697</v>
      </c>
      <c r="H89" t="s">
        <v>4698</v>
      </c>
      <c r="I89" t="s">
        <v>4704</v>
      </c>
      <c r="J89" s="10">
        <f t="shared" si="2"/>
        <v>37224</v>
      </c>
      <c r="K89">
        <f t="shared" si="3"/>
        <v>21</v>
      </c>
    </row>
    <row r="90" spans="1:11">
      <c r="A90" t="s">
        <v>4496</v>
      </c>
      <c r="B90">
        <v>2002</v>
      </c>
      <c r="C90" t="s">
        <v>4705</v>
      </c>
      <c r="D90">
        <v>10</v>
      </c>
      <c r="E90">
        <v>0</v>
      </c>
      <c r="F90" s="13">
        <v>1304</v>
      </c>
      <c r="G90" t="s">
        <v>4697</v>
      </c>
      <c r="H90" t="s">
        <v>4697</v>
      </c>
      <c r="I90" t="s">
        <v>4704</v>
      </c>
      <c r="J90" s="10">
        <f t="shared" si="2"/>
        <v>37600</v>
      </c>
      <c r="K90">
        <f t="shared" si="3"/>
        <v>20</v>
      </c>
    </row>
    <row r="91" spans="1:11">
      <c r="A91" t="s">
        <v>4494</v>
      </c>
      <c r="B91">
        <v>1999</v>
      </c>
      <c r="C91" t="s">
        <v>4705</v>
      </c>
      <c r="D91">
        <v>2</v>
      </c>
      <c r="E91">
        <v>0</v>
      </c>
      <c r="F91" s="13">
        <v>1304</v>
      </c>
      <c r="G91" t="s">
        <v>4697</v>
      </c>
      <c r="H91" t="s">
        <v>4697</v>
      </c>
      <c r="I91" t="s">
        <v>4699</v>
      </c>
      <c r="J91" s="10">
        <f t="shared" si="2"/>
        <v>36496</v>
      </c>
      <c r="K91">
        <f t="shared" si="3"/>
        <v>23</v>
      </c>
    </row>
    <row r="92" spans="1:11">
      <c r="A92" t="s">
        <v>4492</v>
      </c>
      <c r="B92">
        <v>2002</v>
      </c>
      <c r="C92" t="s">
        <v>4707</v>
      </c>
      <c r="D92">
        <v>13</v>
      </c>
      <c r="E92">
        <v>0</v>
      </c>
      <c r="F92" s="13">
        <v>1315</v>
      </c>
      <c r="G92" t="s">
        <v>4697</v>
      </c>
      <c r="H92" t="s">
        <v>4697</v>
      </c>
      <c r="I92" t="s">
        <v>4699</v>
      </c>
      <c r="J92" s="10">
        <f t="shared" si="2"/>
        <v>37542</v>
      </c>
      <c r="K92">
        <f t="shared" si="3"/>
        <v>20</v>
      </c>
    </row>
    <row r="93" spans="1:11">
      <c r="A93" t="s">
        <v>4490</v>
      </c>
      <c r="B93">
        <v>1999</v>
      </c>
      <c r="C93" t="s">
        <v>4707</v>
      </c>
      <c r="D93">
        <v>14</v>
      </c>
      <c r="E93">
        <v>0</v>
      </c>
      <c r="F93" s="13">
        <v>1329.17</v>
      </c>
      <c r="G93" t="s">
        <v>4697</v>
      </c>
      <c r="H93" t="s">
        <v>4698</v>
      </c>
      <c r="I93" t="s">
        <v>4699</v>
      </c>
      <c r="J93" s="10">
        <f t="shared" si="2"/>
        <v>36447</v>
      </c>
      <c r="K93">
        <f t="shared" si="3"/>
        <v>23</v>
      </c>
    </row>
    <row r="94" spans="1:11">
      <c r="A94" t="s">
        <v>4488</v>
      </c>
      <c r="B94">
        <v>1998</v>
      </c>
      <c r="C94" t="s">
        <v>4696</v>
      </c>
      <c r="D94">
        <v>12</v>
      </c>
      <c r="E94">
        <v>0</v>
      </c>
      <c r="F94" s="13">
        <v>1332.61</v>
      </c>
      <c r="G94" t="s">
        <v>4697</v>
      </c>
      <c r="H94" t="s">
        <v>4698</v>
      </c>
      <c r="I94" t="s">
        <v>4699</v>
      </c>
      <c r="J94" s="10">
        <f t="shared" si="2"/>
        <v>35988</v>
      </c>
      <c r="K94">
        <f t="shared" si="3"/>
        <v>24</v>
      </c>
    </row>
    <row r="95" spans="1:11">
      <c r="A95" t="s">
        <v>4486</v>
      </c>
      <c r="B95">
        <v>1995</v>
      </c>
      <c r="C95" t="s">
        <v>4696</v>
      </c>
      <c r="D95">
        <v>30</v>
      </c>
      <c r="E95">
        <v>0</v>
      </c>
      <c r="F95" s="13">
        <v>1338</v>
      </c>
      <c r="G95" t="s">
        <v>4697</v>
      </c>
      <c r="H95" t="s">
        <v>4698</v>
      </c>
      <c r="I95" t="s">
        <v>4704</v>
      </c>
      <c r="J95" s="10">
        <f t="shared" si="2"/>
        <v>34910</v>
      </c>
      <c r="K95">
        <f t="shared" si="3"/>
        <v>27</v>
      </c>
    </row>
    <row r="96" spans="1:11">
      <c r="A96" t="s">
        <v>4484</v>
      </c>
      <c r="B96">
        <v>1997</v>
      </c>
      <c r="C96" t="s">
        <v>4700</v>
      </c>
      <c r="D96">
        <v>7</v>
      </c>
      <c r="E96">
        <v>0</v>
      </c>
      <c r="F96" s="13">
        <v>1341.16</v>
      </c>
      <c r="G96" t="s">
        <v>4697</v>
      </c>
      <c r="H96" t="s">
        <v>4697</v>
      </c>
      <c r="I96" t="s">
        <v>4704</v>
      </c>
      <c r="J96" s="10">
        <f t="shared" si="2"/>
        <v>35741</v>
      </c>
      <c r="K96">
        <f t="shared" si="3"/>
        <v>25</v>
      </c>
    </row>
    <row r="97" spans="1:11">
      <c r="A97" t="s">
        <v>4482</v>
      </c>
      <c r="B97">
        <v>1998</v>
      </c>
      <c r="C97" t="s">
        <v>4705</v>
      </c>
      <c r="D97">
        <v>3</v>
      </c>
      <c r="E97">
        <v>0</v>
      </c>
      <c r="F97" s="13">
        <v>1359</v>
      </c>
      <c r="G97" t="s">
        <v>4697</v>
      </c>
      <c r="H97" t="s">
        <v>4701</v>
      </c>
      <c r="I97" t="s">
        <v>4699</v>
      </c>
      <c r="J97" s="10">
        <f t="shared" si="2"/>
        <v>36132</v>
      </c>
      <c r="K97">
        <f t="shared" si="3"/>
        <v>24</v>
      </c>
    </row>
    <row r="98" spans="1:11">
      <c r="A98" t="s">
        <v>4480</v>
      </c>
      <c r="B98">
        <v>2002</v>
      </c>
      <c r="C98" t="s">
        <v>4706</v>
      </c>
      <c r="D98">
        <v>15</v>
      </c>
      <c r="E98">
        <v>0</v>
      </c>
      <c r="F98" s="13">
        <v>1382</v>
      </c>
      <c r="G98" t="s">
        <v>4697</v>
      </c>
      <c r="H98" t="s">
        <v>4701</v>
      </c>
      <c r="I98" t="s">
        <v>4699</v>
      </c>
      <c r="J98" s="10">
        <f t="shared" si="2"/>
        <v>37483</v>
      </c>
      <c r="K98">
        <f t="shared" si="3"/>
        <v>20</v>
      </c>
    </row>
    <row r="99" spans="1:11">
      <c r="A99" t="s">
        <v>4478</v>
      </c>
      <c r="B99">
        <v>1999</v>
      </c>
      <c r="C99" t="s">
        <v>4696</v>
      </c>
      <c r="D99">
        <v>6</v>
      </c>
      <c r="E99">
        <v>0</v>
      </c>
      <c r="F99" s="13">
        <v>1389</v>
      </c>
      <c r="G99" t="s">
        <v>4697</v>
      </c>
      <c r="H99" t="s">
        <v>4697</v>
      </c>
      <c r="I99" t="s">
        <v>4699</v>
      </c>
      <c r="J99" s="10">
        <f t="shared" si="2"/>
        <v>36347</v>
      </c>
      <c r="K99">
        <f t="shared" si="3"/>
        <v>23</v>
      </c>
    </row>
    <row r="100" spans="1:11">
      <c r="A100" t="s">
        <v>4476</v>
      </c>
      <c r="B100">
        <v>2002</v>
      </c>
      <c r="C100" t="s">
        <v>4700</v>
      </c>
      <c r="D100">
        <v>14</v>
      </c>
      <c r="E100">
        <v>0</v>
      </c>
      <c r="F100" s="13">
        <v>1390</v>
      </c>
      <c r="G100" t="s">
        <v>4697</v>
      </c>
      <c r="H100" t="s">
        <v>4697</v>
      </c>
      <c r="I100" t="s">
        <v>4699</v>
      </c>
      <c r="J100" s="10">
        <f t="shared" si="2"/>
        <v>37574</v>
      </c>
      <c r="K100">
        <f t="shared" si="3"/>
        <v>20</v>
      </c>
    </row>
    <row r="101" spans="1:11">
      <c r="A101" t="s">
        <v>4474</v>
      </c>
      <c r="B101">
        <v>2002</v>
      </c>
      <c r="C101" t="s">
        <v>4705</v>
      </c>
      <c r="D101">
        <v>22</v>
      </c>
      <c r="E101">
        <v>0</v>
      </c>
      <c r="F101" s="13">
        <v>1391.53</v>
      </c>
      <c r="G101" t="s">
        <v>4697</v>
      </c>
      <c r="H101" t="s">
        <v>4701</v>
      </c>
      <c r="I101" t="s">
        <v>4699</v>
      </c>
      <c r="J101" s="10">
        <f t="shared" si="2"/>
        <v>37612</v>
      </c>
      <c r="K101">
        <f t="shared" si="3"/>
        <v>20</v>
      </c>
    </row>
    <row r="102" spans="1:11">
      <c r="A102" t="s">
        <v>4472</v>
      </c>
      <c r="B102">
        <v>1998</v>
      </c>
      <c r="C102" t="s">
        <v>4703</v>
      </c>
      <c r="D102">
        <v>5</v>
      </c>
      <c r="E102">
        <v>0</v>
      </c>
      <c r="F102" s="13">
        <v>1400.44</v>
      </c>
      <c r="G102" t="s">
        <v>4697</v>
      </c>
      <c r="H102" t="s">
        <v>4697</v>
      </c>
      <c r="I102" t="s">
        <v>4699</v>
      </c>
      <c r="J102" s="10">
        <f t="shared" si="2"/>
        <v>36043</v>
      </c>
      <c r="K102">
        <f t="shared" si="3"/>
        <v>24</v>
      </c>
    </row>
    <row r="103" spans="1:11">
      <c r="A103" t="s">
        <v>4470</v>
      </c>
      <c r="B103">
        <v>1997</v>
      </c>
      <c r="C103" t="s">
        <v>4707</v>
      </c>
      <c r="D103">
        <v>27</v>
      </c>
      <c r="E103">
        <v>0</v>
      </c>
      <c r="F103" s="13">
        <v>1402</v>
      </c>
      <c r="G103" t="s">
        <v>4697</v>
      </c>
      <c r="H103" t="s">
        <v>4698</v>
      </c>
      <c r="I103" t="s">
        <v>4708</v>
      </c>
      <c r="J103" s="10">
        <f t="shared" si="2"/>
        <v>35730</v>
      </c>
      <c r="K103">
        <f t="shared" si="3"/>
        <v>25</v>
      </c>
    </row>
    <row r="104" spans="1:11">
      <c r="A104" t="s">
        <v>4468</v>
      </c>
      <c r="B104">
        <v>1996</v>
      </c>
      <c r="C104" t="s">
        <v>4702</v>
      </c>
      <c r="D104">
        <v>23</v>
      </c>
      <c r="E104">
        <v>0</v>
      </c>
      <c r="F104" s="13">
        <v>1417</v>
      </c>
      <c r="G104" t="s">
        <v>4697</v>
      </c>
      <c r="H104" t="s">
        <v>4698</v>
      </c>
      <c r="I104" t="s">
        <v>4699</v>
      </c>
      <c r="J104" s="10">
        <f t="shared" si="2"/>
        <v>35239</v>
      </c>
      <c r="K104">
        <f t="shared" si="3"/>
        <v>26</v>
      </c>
    </row>
    <row r="105" spans="1:11">
      <c r="A105" t="s">
        <v>4466</v>
      </c>
      <c r="B105">
        <v>2001</v>
      </c>
      <c r="C105" t="s">
        <v>4706</v>
      </c>
      <c r="D105">
        <v>23</v>
      </c>
      <c r="E105">
        <v>0</v>
      </c>
      <c r="F105" s="13">
        <v>1421</v>
      </c>
      <c r="G105" t="s">
        <v>4697</v>
      </c>
      <c r="H105" t="s">
        <v>4697</v>
      </c>
      <c r="I105" t="s">
        <v>4699</v>
      </c>
      <c r="J105" s="10">
        <f t="shared" si="2"/>
        <v>37126</v>
      </c>
      <c r="K105">
        <f t="shared" si="3"/>
        <v>21</v>
      </c>
    </row>
    <row r="106" spans="1:11">
      <c r="A106" t="s">
        <v>4464</v>
      </c>
      <c r="B106">
        <v>1997</v>
      </c>
      <c r="C106" t="s">
        <v>4705</v>
      </c>
      <c r="D106">
        <v>5</v>
      </c>
      <c r="E106">
        <v>0</v>
      </c>
      <c r="F106" s="13">
        <v>1422</v>
      </c>
      <c r="G106" t="s">
        <v>4697</v>
      </c>
      <c r="H106" t="s">
        <v>4697</v>
      </c>
      <c r="I106" t="s">
        <v>4699</v>
      </c>
      <c r="J106" s="10">
        <f t="shared" si="2"/>
        <v>35769</v>
      </c>
      <c r="K106">
        <f t="shared" si="3"/>
        <v>25</v>
      </c>
    </row>
    <row r="107" spans="1:11">
      <c r="A107" t="s">
        <v>4462</v>
      </c>
      <c r="B107">
        <v>2000</v>
      </c>
      <c r="C107" t="s">
        <v>4703</v>
      </c>
      <c r="D107">
        <v>1</v>
      </c>
      <c r="E107">
        <v>0</v>
      </c>
      <c r="F107" s="13">
        <v>1438</v>
      </c>
      <c r="G107" t="s">
        <v>4697</v>
      </c>
      <c r="H107" t="s">
        <v>4697</v>
      </c>
      <c r="I107" t="s">
        <v>4699</v>
      </c>
      <c r="J107" s="10">
        <f t="shared" si="2"/>
        <v>36770</v>
      </c>
      <c r="K107">
        <f t="shared" si="3"/>
        <v>22</v>
      </c>
    </row>
    <row r="108" spans="1:11">
      <c r="A108" t="s">
        <v>4460</v>
      </c>
      <c r="B108">
        <v>1997</v>
      </c>
      <c r="C108" t="s">
        <v>4702</v>
      </c>
      <c r="D108">
        <v>19</v>
      </c>
      <c r="E108">
        <v>0</v>
      </c>
      <c r="F108" s="13">
        <v>1445</v>
      </c>
      <c r="G108" t="s">
        <v>4697</v>
      </c>
      <c r="H108" t="s">
        <v>4701</v>
      </c>
      <c r="I108" t="s">
        <v>4699</v>
      </c>
      <c r="J108" s="10">
        <f t="shared" si="2"/>
        <v>35600</v>
      </c>
      <c r="K108">
        <f t="shared" si="3"/>
        <v>25</v>
      </c>
    </row>
    <row r="109" spans="1:11">
      <c r="A109" t="s">
        <v>4458</v>
      </c>
      <c r="B109">
        <v>2003</v>
      </c>
      <c r="C109" t="s">
        <v>4702</v>
      </c>
      <c r="D109">
        <v>20</v>
      </c>
      <c r="E109">
        <v>0</v>
      </c>
      <c r="F109" s="13">
        <v>1467</v>
      </c>
      <c r="G109" t="s">
        <v>4697</v>
      </c>
      <c r="H109" t="s">
        <v>4697</v>
      </c>
      <c r="I109" t="s">
        <v>4699</v>
      </c>
      <c r="J109" s="10">
        <f t="shared" si="2"/>
        <v>37792</v>
      </c>
      <c r="K109">
        <f t="shared" si="3"/>
        <v>19</v>
      </c>
    </row>
    <row r="110" spans="1:11">
      <c r="A110" t="s">
        <v>4456</v>
      </c>
      <c r="B110">
        <v>1998</v>
      </c>
      <c r="C110" t="s">
        <v>4705</v>
      </c>
      <c r="D110">
        <v>7</v>
      </c>
      <c r="E110">
        <v>0</v>
      </c>
      <c r="F110" s="13">
        <v>1477</v>
      </c>
      <c r="G110" t="s">
        <v>4697</v>
      </c>
      <c r="H110" t="s">
        <v>4701</v>
      </c>
      <c r="I110" t="s">
        <v>4699</v>
      </c>
      <c r="J110" s="10">
        <f t="shared" si="2"/>
        <v>36136</v>
      </c>
      <c r="K110">
        <f t="shared" si="3"/>
        <v>24</v>
      </c>
    </row>
    <row r="111" spans="1:11">
      <c r="A111" t="s">
        <v>4454</v>
      </c>
      <c r="B111">
        <v>1997</v>
      </c>
      <c r="C111" t="s">
        <v>4702</v>
      </c>
      <c r="D111">
        <v>9</v>
      </c>
      <c r="E111">
        <v>0</v>
      </c>
      <c r="F111" s="13">
        <v>1481</v>
      </c>
      <c r="G111" t="s">
        <v>4697</v>
      </c>
      <c r="H111" t="s">
        <v>4701</v>
      </c>
      <c r="I111" t="s">
        <v>4704</v>
      </c>
      <c r="J111" s="10">
        <f t="shared" si="2"/>
        <v>35590</v>
      </c>
      <c r="K111">
        <f t="shared" si="3"/>
        <v>25</v>
      </c>
    </row>
    <row r="112" spans="1:11">
      <c r="A112" t="s">
        <v>4452</v>
      </c>
      <c r="B112">
        <v>1995</v>
      </c>
      <c r="C112" t="s">
        <v>4707</v>
      </c>
      <c r="D112">
        <v>7</v>
      </c>
      <c r="E112">
        <v>0</v>
      </c>
      <c r="F112" s="13">
        <v>1493</v>
      </c>
      <c r="G112" t="s">
        <v>4697</v>
      </c>
      <c r="H112" t="s">
        <v>4698</v>
      </c>
      <c r="I112" t="s">
        <v>4699</v>
      </c>
      <c r="J112" s="10">
        <f t="shared" si="2"/>
        <v>34979</v>
      </c>
      <c r="K112">
        <f t="shared" si="3"/>
        <v>27</v>
      </c>
    </row>
    <row r="113" spans="1:11">
      <c r="A113" t="s">
        <v>4450</v>
      </c>
      <c r="B113">
        <v>1998</v>
      </c>
      <c r="C113" t="s">
        <v>4702</v>
      </c>
      <c r="D113">
        <v>19</v>
      </c>
      <c r="E113">
        <v>0</v>
      </c>
      <c r="F113" s="13">
        <v>1497</v>
      </c>
      <c r="G113" t="s">
        <v>4697</v>
      </c>
      <c r="H113" t="s">
        <v>4697</v>
      </c>
      <c r="I113" t="s">
        <v>4699</v>
      </c>
      <c r="J113" s="10">
        <f t="shared" si="2"/>
        <v>35965</v>
      </c>
      <c r="K113">
        <f t="shared" si="3"/>
        <v>24</v>
      </c>
    </row>
    <row r="114" spans="1:11">
      <c r="A114" t="s">
        <v>4448</v>
      </c>
      <c r="B114">
        <v>2001</v>
      </c>
      <c r="C114" t="s">
        <v>4706</v>
      </c>
      <c r="D114">
        <v>25</v>
      </c>
      <c r="E114">
        <v>0</v>
      </c>
      <c r="F114" s="13">
        <v>1515.34</v>
      </c>
      <c r="G114" t="s">
        <v>4697</v>
      </c>
      <c r="H114" t="s">
        <v>4698</v>
      </c>
      <c r="I114" t="s">
        <v>4699</v>
      </c>
      <c r="J114" s="10">
        <f t="shared" si="2"/>
        <v>37128</v>
      </c>
      <c r="K114">
        <f t="shared" si="3"/>
        <v>21</v>
      </c>
    </row>
    <row r="115" spans="1:11">
      <c r="A115" t="s">
        <v>4446</v>
      </c>
      <c r="B115">
        <v>2001</v>
      </c>
      <c r="C115" t="s">
        <v>4696</v>
      </c>
      <c r="D115">
        <v>7</v>
      </c>
      <c r="E115">
        <v>0</v>
      </c>
      <c r="F115" s="13">
        <v>1526.31</v>
      </c>
      <c r="G115" t="s">
        <v>4697</v>
      </c>
      <c r="H115" t="s">
        <v>4698</v>
      </c>
      <c r="I115" t="s">
        <v>4708</v>
      </c>
      <c r="J115" s="10">
        <f t="shared" si="2"/>
        <v>37079</v>
      </c>
      <c r="K115">
        <f t="shared" si="3"/>
        <v>21</v>
      </c>
    </row>
    <row r="116" spans="1:11">
      <c r="A116" t="s">
        <v>4444</v>
      </c>
      <c r="B116">
        <v>2001</v>
      </c>
      <c r="C116" t="s">
        <v>4702</v>
      </c>
      <c r="D116">
        <v>2</v>
      </c>
      <c r="E116">
        <v>0</v>
      </c>
      <c r="F116" s="13">
        <v>1532.47</v>
      </c>
      <c r="G116" t="s">
        <v>4697</v>
      </c>
      <c r="H116" t="s">
        <v>4697</v>
      </c>
      <c r="I116" t="s">
        <v>4699</v>
      </c>
      <c r="J116" s="10">
        <f t="shared" si="2"/>
        <v>37044</v>
      </c>
      <c r="K116">
        <f t="shared" si="3"/>
        <v>22</v>
      </c>
    </row>
    <row r="117" spans="1:11">
      <c r="A117" t="s">
        <v>4442</v>
      </c>
      <c r="B117">
        <v>2001</v>
      </c>
      <c r="C117" t="s">
        <v>4705</v>
      </c>
      <c r="D117">
        <v>5</v>
      </c>
      <c r="E117">
        <v>0</v>
      </c>
      <c r="F117" s="13">
        <v>1534.3</v>
      </c>
      <c r="G117" t="s">
        <v>4697</v>
      </c>
      <c r="H117" t="s">
        <v>4697</v>
      </c>
      <c r="I117" t="s">
        <v>4699</v>
      </c>
      <c r="J117" s="10">
        <f t="shared" si="2"/>
        <v>37230</v>
      </c>
      <c r="K117">
        <f t="shared" si="3"/>
        <v>21</v>
      </c>
    </row>
    <row r="118" spans="1:11">
      <c r="A118" t="s">
        <v>4440</v>
      </c>
      <c r="B118">
        <v>1992</v>
      </c>
      <c r="C118" t="s">
        <v>4703</v>
      </c>
      <c r="D118">
        <v>22</v>
      </c>
      <c r="E118">
        <v>0</v>
      </c>
      <c r="F118" s="13">
        <v>1566.88</v>
      </c>
      <c r="G118" t="s">
        <v>4697</v>
      </c>
      <c r="H118" t="s">
        <v>4701</v>
      </c>
      <c r="I118" t="s">
        <v>4699</v>
      </c>
      <c r="J118" s="10">
        <f t="shared" si="2"/>
        <v>33869</v>
      </c>
      <c r="K118">
        <f t="shared" si="3"/>
        <v>30</v>
      </c>
    </row>
    <row r="119" spans="1:11">
      <c r="A119" t="s">
        <v>4438</v>
      </c>
      <c r="B119">
        <v>2004</v>
      </c>
      <c r="C119" t="s">
        <v>4700</v>
      </c>
      <c r="D119">
        <v>19</v>
      </c>
      <c r="E119">
        <v>0</v>
      </c>
      <c r="F119" s="13">
        <v>1607.51</v>
      </c>
      <c r="G119" t="s">
        <v>4697</v>
      </c>
      <c r="H119" t="s">
        <v>4698</v>
      </c>
      <c r="I119" t="s">
        <v>4699</v>
      </c>
      <c r="J119" s="10">
        <f t="shared" si="2"/>
        <v>38310</v>
      </c>
      <c r="K119">
        <f t="shared" si="3"/>
        <v>18</v>
      </c>
    </row>
    <row r="120" spans="1:11">
      <c r="A120" t="s">
        <v>4436</v>
      </c>
      <c r="B120">
        <v>2004</v>
      </c>
      <c r="C120" t="s">
        <v>4696</v>
      </c>
      <c r="D120">
        <v>22</v>
      </c>
      <c r="E120">
        <v>0</v>
      </c>
      <c r="F120" s="13">
        <v>1615.77</v>
      </c>
      <c r="G120" t="s">
        <v>4697</v>
      </c>
      <c r="H120" t="s">
        <v>4701</v>
      </c>
      <c r="I120" t="s">
        <v>4699</v>
      </c>
      <c r="J120" s="10">
        <f t="shared" si="2"/>
        <v>38190</v>
      </c>
      <c r="K120">
        <f t="shared" si="3"/>
        <v>18</v>
      </c>
    </row>
    <row r="121" spans="1:11">
      <c r="A121" t="s">
        <v>4434</v>
      </c>
      <c r="B121">
        <v>1995</v>
      </c>
      <c r="C121" t="s">
        <v>4706</v>
      </c>
      <c r="D121">
        <v>5</v>
      </c>
      <c r="E121">
        <v>0</v>
      </c>
      <c r="F121" s="13">
        <v>1617.16</v>
      </c>
      <c r="G121" t="s">
        <v>4697</v>
      </c>
      <c r="H121" t="s">
        <v>4701</v>
      </c>
      <c r="I121" t="s">
        <v>4699</v>
      </c>
      <c r="J121" s="10">
        <f t="shared" si="2"/>
        <v>34916</v>
      </c>
      <c r="K121">
        <f t="shared" si="3"/>
        <v>27</v>
      </c>
    </row>
    <row r="122" spans="1:11">
      <c r="A122" t="s">
        <v>4432</v>
      </c>
      <c r="B122">
        <v>2003</v>
      </c>
      <c r="C122" t="s">
        <v>4703</v>
      </c>
      <c r="D122">
        <v>14</v>
      </c>
      <c r="E122">
        <v>0</v>
      </c>
      <c r="F122" s="13">
        <v>1621.34</v>
      </c>
      <c r="G122" t="s">
        <v>4697</v>
      </c>
      <c r="H122" t="s">
        <v>4697</v>
      </c>
      <c r="I122" t="s">
        <v>4704</v>
      </c>
      <c r="J122" s="10">
        <f t="shared" si="2"/>
        <v>37878</v>
      </c>
      <c r="K122">
        <f t="shared" si="3"/>
        <v>19</v>
      </c>
    </row>
    <row r="123" spans="1:11">
      <c r="A123" t="s">
        <v>4430</v>
      </c>
      <c r="B123">
        <v>2004</v>
      </c>
      <c r="C123" t="s">
        <v>4706</v>
      </c>
      <c r="D123">
        <v>21</v>
      </c>
      <c r="E123">
        <v>0</v>
      </c>
      <c r="F123" s="13">
        <v>1621.88</v>
      </c>
      <c r="G123" t="s">
        <v>4697</v>
      </c>
      <c r="H123" t="s">
        <v>4697</v>
      </c>
      <c r="I123" t="s">
        <v>4699</v>
      </c>
      <c r="J123" s="10">
        <f t="shared" si="2"/>
        <v>38220</v>
      </c>
      <c r="K123">
        <f t="shared" si="3"/>
        <v>18</v>
      </c>
    </row>
    <row r="124" spans="1:11">
      <c r="A124" t="s">
        <v>4428</v>
      </c>
      <c r="B124">
        <v>2004</v>
      </c>
      <c r="C124" t="s">
        <v>4696</v>
      </c>
      <c r="D124">
        <v>25</v>
      </c>
      <c r="E124">
        <v>0</v>
      </c>
      <c r="F124" s="13">
        <v>1622.19</v>
      </c>
      <c r="G124" t="s">
        <v>4697</v>
      </c>
      <c r="H124" t="s">
        <v>4701</v>
      </c>
      <c r="I124" t="s">
        <v>4699</v>
      </c>
      <c r="J124" s="10">
        <f t="shared" si="2"/>
        <v>38193</v>
      </c>
      <c r="K124">
        <f t="shared" si="3"/>
        <v>18</v>
      </c>
    </row>
    <row r="125" spans="1:11">
      <c r="A125" t="s">
        <v>4426</v>
      </c>
      <c r="B125">
        <v>2003</v>
      </c>
      <c r="C125" t="s">
        <v>4703</v>
      </c>
      <c r="D125">
        <v>9</v>
      </c>
      <c r="E125">
        <v>0</v>
      </c>
      <c r="F125" s="13">
        <v>1625.43</v>
      </c>
      <c r="G125" t="s">
        <v>4697</v>
      </c>
      <c r="H125" t="s">
        <v>4698</v>
      </c>
      <c r="I125" t="s">
        <v>4704</v>
      </c>
      <c r="J125" s="10">
        <f t="shared" si="2"/>
        <v>37873</v>
      </c>
      <c r="K125">
        <f t="shared" si="3"/>
        <v>19</v>
      </c>
    </row>
    <row r="126" spans="1:11">
      <c r="A126" t="s">
        <v>4424</v>
      </c>
      <c r="B126">
        <v>2003</v>
      </c>
      <c r="C126" t="s">
        <v>4705</v>
      </c>
      <c r="D126">
        <v>4</v>
      </c>
      <c r="E126">
        <v>0</v>
      </c>
      <c r="F126" s="13">
        <v>1627.28</v>
      </c>
      <c r="G126" t="s">
        <v>4697</v>
      </c>
      <c r="H126" t="s">
        <v>4697</v>
      </c>
      <c r="I126" t="s">
        <v>4704</v>
      </c>
      <c r="J126" s="10">
        <f t="shared" si="2"/>
        <v>37959</v>
      </c>
      <c r="K126">
        <f t="shared" si="3"/>
        <v>19</v>
      </c>
    </row>
    <row r="127" spans="1:11">
      <c r="A127" t="s">
        <v>4422</v>
      </c>
      <c r="B127">
        <v>2003</v>
      </c>
      <c r="C127" t="s">
        <v>4696</v>
      </c>
      <c r="D127">
        <v>17</v>
      </c>
      <c r="E127">
        <v>0</v>
      </c>
      <c r="F127" s="13">
        <v>1628.47</v>
      </c>
      <c r="G127" t="s">
        <v>4697</v>
      </c>
      <c r="H127" t="s">
        <v>4701</v>
      </c>
      <c r="I127" t="s">
        <v>4704</v>
      </c>
      <c r="J127" s="10">
        <f t="shared" si="2"/>
        <v>37819</v>
      </c>
      <c r="K127">
        <f t="shared" si="3"/>
        <v>19</v>
      </c>
    </row>
    <row r="128" spans="1:11">
      <c r="A128" t="s">
        <v>4420</v>
      </c>
      <c r="B128">
        <v>2004</v>
      </c>
      <c r="C128" t="s">
        <v>4707</v>
      </c>
      <c r="D128">
        <v>4</v>
      </c>
      <c r="E128">
        <v>0</v>
      </c>
      <c r="F128" s="13">
        <v>1629.83</v>
      </c>
      <c r="G128" t="s">
        <v>4697</v>
      </c>
      <c r="H128" t="s">
        <v>4697</v>
      </c>
      <c r="I128" t="s">
        <v>4699</v>
      </c>
      <c r="J128" s="10">
        <f t="shared" si="2"/>
        <v>38264</v>
      </c>
      <c r="K128">
        <f t="shared" si="3"/>
        <v>18</v>
      </c>
    </row>
    <row r="129" spans="1:11">
      <c r="A129" t="s">
        <v>4418</v>
      </c>
      <c r="B129">
        <v>2004</v>
      </c>
      <c r="C129" t="s">
        <v>4705</v>
      </c>
      <c r="D129">
        <v>5</v>
      </c>
      <c r="E129">
        <v>0</v>
      </c>
      <c r="F129" s="13">
        <v>1631.67</v>
      </c>
      <c r="G129" t="s">
        <v>4697</v>
      </c>
      <c r="H129" t="s">
        <v>4698</v>
      </c>
      <c r="I129" t="s">
        <v>4699</v>
      </c>
      <c r="J129" s="10">
        <f t="shared" si="2"/>
        <v>38326</v>
      </c>
      <c r="K129">
        <f t="shared" si="3"/>
        <v>18</v>
      </c>
    </row>
    <row r="130" spans="1:11">
      <c r="A130" t="s">
        <v>4416</v>
      </c>
      <c r="B130">
        <v>2004</v>
      </c>
      <c r="C130" t="s">
        <v>4696</v>
      </c>
      <c r="D130">
        <v>9</v>
      </c>
      <c r="E130">
        <v>0</v>
      </c>
      <c r="F130" s="13">
        <v>1631.82</v>
      </c>
      <c r="G130" t="s">
        <v>4697</v>
      </c>
      <c r="H130" t="s">
        <v>4701</v>
      </c>
      <c r="I130" t="s">
        <v>4699</v>
      </c>
      <c r="J130" s="10">
        <f t="shared" ref="J130:J193" si="4">DATEVALUE(D130&amp;"-"&amp;C130&amp;"-"&amp;B130)</f>
        <v>38177</v>
      </c>
      <c r="K130">
        <f t="shared" si="3"/>
        <v>18</v>
      </c>
    </row>
    <row r="131" spans="1:11">
      <c r="A131" t="s">
        <v>4414</v>
      </c>
      <c r="B131">
        <v>2003</v>
      </c>
      <c r="C131" t="s">
        <v>4707</v>
      </c>
      <c r="D131">
        <v>3</v>
      </c>
      <c r="E131">
        <v>0</v>
      </c>
      <c r="F131" s="13">
        <v>1632.04</v>
      </c>
      <c r="G131" t="s">
        <v>4697</v>
      </c>
      <c r="H131" t="s">
        <v>4697</v>
      </c>
      <c r="I131" t="s">
        <v>4704</v>
      </c>
      <c r="J131" s="10">
        <f t="shared" si="4"/>
        <v>37897</v>
      </c>
      <c r="K131">
        <f t="shared" ref="K131:K194" si="5">DATEDIF(J131, DATE(2023, 6, 8), "Y")</f>
        <v>19</v>
      </c>
    </row>
    <row r="132" spans="1:11">
      <c r="A132" t="s">
        <v>4412</v>
      </c>
      <c r="B132">
        <v>2003</v>
      </c>
      <c r="C132" t="s">
        <v>4703</v>
      </c>
      <c r="D132">
        <v>16</v>
      </c>
      <c r="E132">
        <v>0</v>
      </c>
      <c r="F132" s="13">
        <v>1632.56</v>
      </c>
      <c r="G132" t="s">
        <v>4697</v>
      </c>
      <c r="H132" t="s">
        <v>4697</v>
      </c>
      <c r="I132" t="s">
        <v>4704</v>
      </c>
      <c r="J132" s="10">
        <f t="shared" si="4"/>
        <v>37880</v>
      </c>
      <c r="K132">
        <f t="shared" si="5"/>
        <v>19</v>
      </c>
    </row>
    <row r="133" spans="1:11">
      <c r="A133" t="s">
        <v>4410</v>
      </c>
      <c r="B133">
        <v>2004</v>
      </c>
      <c r="C133" t="s">
        <v>4705</v>
      </c>
      <c r="D133">
        <v>13</v>
      </c>
      <c r="E133">
        <v>0</v>
      </c>
      <c r="F133" s="13">
        <v>1633.04</v>
      </c>
      <c r="G133" t="s">
        <v>4697</v>
      </c>
      <c r="H133" t="s">
        <v>4697</v>
      </c>
      <c r="I133" t="s">
        <v>4699</v>
      </c>
      <c r="J133" s="10">
        <f t="shared" si="4"/>
        <v>38334</v>
      </c>
      <c r="K133">
        <f t="shared" si="5"/>
        <v>18</v>
      </c>
    </row>
    <row r="134" spans="1:11">
      <c r="A134" t="s">
        <v>4408</v>
      </c>
      <c r="B134">
        <v>2004</v>
      </c>
      <c r="C134" t="s">
        <v>4706</v>
      </c>
      <c r="D134">
        <v>8</v>
      </c>
      <c r="E134">
        <v>0</v>
      </c>
      <c r="F134" s="13">
        <v>1633.96</v>
      </c>
      <c r="G134" t="s">
        <v>4697</v>
      </c>
      <c r="H134" t="s">
        <v>4701</v>
      </c>
      <c r="I134" t="s">
        <v>4699</v>
      </c>
      <c r="J134" s="10">
        <f t="shared" si="4"/>
        <v>38207</v>
      </c>
      <c r="K134">
        <f t="shared" si="5"/>
        <v>18</v>
      </c>
    </row>
    <row r="135" spans="1:11">
      <c r="A135" t="s">
        <v>4406</v>
      </c>
      <c r="B135">
        <v>2004</v>
      </c>
      <c r="C135" t="s">
        <v>4702</v>
      </c>
      <c r="D135">
        <v>13</v>
      </c>
      <c r="E135">
        <v>0</v>
      </c>
      <c r="F135" s="13">
        <v>1634.57</v>
      </c>
      <c r="G135" t="s">
        <v>4697</v>
      </c>
      <c r="H135" t="s">
        <v>4697</v>
      </c>
      <c r="I135" t="s">
        <v>4699</v>
      </c>
      <c r="J135" s="10">
        <f t="shared" si="4"/>
        <v>38151</v>
      </c>
      <c r="K135">
        <f t="shared" si="5"/>
        <v>18</v>
      </c>
    </row>
    <row r="136" spans="1:11">
      <c r="A136" t="s">
        <v>4404</v>
      </c>
      <c r="B136">
        <v>2003</v>
      </c>
      <c r="C136" t="s">
        <v>4705</v>
      </c>
      <c r="D136">
        <v>30</v>
      </c>
      <c r="E136">
        <v>0</v>
      </c>
      <c r="F136" s="13">
        <v>1635.73</v>
      </c>
      <c r="G136" t="s">
        <v>4697</v>
      </c>
      <c r="H136" t="s">
        <v>4698</v>
      </c>
      <c r="I136" t="s">
        <v>4704</v>
      </c>
      <c r="J136" s="10">
        <f t="shared" si="4"/>
        <v>37985</v>
      </c>
      <c r="K136">
        <f t="shared" si="5"/>
        <v>19</v>
      </c>
    </row>
    <row r="137" spans="1:11">
      <c r="A137" t="s">
        <v>4402</v>
      </c>
      <c r="B137">
        <v>2003</v>
      </c>
      <c r="C137" t="s">
        <v>4703</v>
      </c>
      <c r="D137">
        <v>16</v>
      </c>
      <c r="E137">
        <v>0</v>
      </c>
      <c r="F137" s="13">
        <v>1639.56</v>
      </c>
      <c r="G137" t="s">
        <v>4697</v>
      </c>
      <c r="H137" t="s">
        <v>4697</v>
      </c>
      <c r="I137" t="s">
        <v>4704</v>
      </c>
      <c r="J137" s="10">
        <f t="shared" si="4"/>
        <v>37880</v>
      </c>
      <c r="K137">
        <f t="shared" si="5"/>
        <v>19</v>
      </c>
    </row>
    <row r="138" spans="1:11">
      <c r="A138" t="s">
        <v>4400</v>
      </c>
      <c r="B138">
        <v>2003</v>
      </c>
      <c r="C138" t="s">
        <v>4706</v>
      </c>
      <c r="D138">
        <v>21</v>
      </c>
      <c r="E138">
        <v>0</v>
      </c>
      <c r="F138" s="13">
        <v>1639.56</v>
      </c>
      <c r="G138" t="s">
        <v>4697</v>
      </c>
      <c r="H138" t="s">
        <v>4697</v>
      </c>
      <c r="I138" t="s">
        <v>4704</v>
      </c>
      <c r="J138" s="10">
        <f t="shared" si="4"/>
        <v>37854</v>
      </c>
      <c r="K138">
        <f t="shared" si="5"/>
        <v>19</v>
      </c>
    </row>
    <row r="139" spans="1:11">
      <c r="A139" t="s">
        <v>4398</v>
      </c>
      <c r="B139">
        <v>2003</v>
      </c>
      <c r="C139" t="s">
        <v>4705</v>
      </c>
      <c r="D139">
        <v>30</v>
      </c>
      <c r="E139">
        <v>0</v>
      </c>
      <c r="F139" s="13">
        <v>1646.43</v>
      </c>
      <c r="G139" t="s">
        <v>4697</v>
      </c>
      <c r="H139" t="s">
        <v>4701</v>
      </c>
      <c r="I139" t="s">
        <v>4704</v>
      </c>
      <c r="J139" s="10">
        <f t="shared" si="4"/>
        <v>37985</v>
      </c>
      <c r="K139">
        <f t="shared" si="5"/>
        <v>19</v>
      </c>
    </row>
    <row r="140" spans="1:11">
      <c r="A140" t="s">
        <v>4396</v>
      </c>
      <c r="B140">
        <v>2000</v>
      </c>
      <c r="C140" t="s">
        <v>4707</v>
      </c>
      <c r="D140">
        <v>23</v>
      </c>
      <c r="E140">
        <v>0</v>
      </c>
      <c r="F140" s="13">
        <v>1665</v>
      </c>
      <c r="G140" t="s">
        <v>4697</v>
      </c>
      <c r="H140" t="s">
        <v>4697</v>
      </c>
      <c r="I140" t="s">
        <v>4699</v>
      </c>
      <c r="J140" s="10">
        <f t="shared" si="4"/>
        <v>36822</v>
      </c>
      <c r="K140">
        <f t="shared" si="5"/>
        <v>22</v>
      </c>
    </row>
    <row r="141" spans="1:11">
      <c r="A141" t="s">
        <v>4394</v>
      </c>
      <c r="B141">
        <v>2000</v>
      </c>
      <c r="C141" t="s">
        <v>4702</v>
      </c>
      <c r="D141">
        <v>10</v>
      </c>
      <c r="E141">
        <v>0</v>
      </c>
      <c r="F141" s="13">
        <v>1674.63</v>
      </c>
      <c r="G141" t="s">
        <v>4697</v>
      </c>
      <c r="H141" t="s">
        <v>4697</v>
      </c>
      <c r="I141" t="s">
        <v>4699</v>
      </c>
      <c r="J141" s="10">
        <f t="shared" si="4"/>
        <v>36687</v>
      </c>
      <c r="K141">
        <f t="shared" si="5"/>
        <v>22</v>
      </c>
    </row>
    <row r="142" spans="1:11">
      <c r="A142" t="s">
        <v>4392</v>
      </c>
      <c r="B142">
        <v>2000</v>
      </c>
      <c r="C142" t="s">
        <v>4707</v>
      </c>
      <c r="D142">
        <v>21</v>
      </c>
      <c r="E142">
        <v>0</v>
      </c>
      <c r="F142" s="13">
        <v>1682.6</v>
      </c>
      <c r="G142" t="s">
        <v>4697</v>
      </c>
      <c r="H142" t="s">
        <v>4697</v>
      </c>
      <c r="I142" t="s">
        <v>4708</v>
      </c>
      <c r="J142" s="10">
        <f t="shared" si="4"/>
        <v>36820</v>
      </c>
      <c r="K142">
        <f t="shared" si="5"/>
        <v>22</v>
      </c>
    </row>
    <row r="143" spans="1:11">
      <c r="A143" t="s">
        <v>4390</v>
      </c>
      <c r="B143">
        <v>2004</v>
      </c>
      <c r="C143" t="s">
        <v>4700</v>
      </c>
      <c r="D143">
        <v>17</v>
      </c>
      <c r="E143">
        <v>0</v>
      </c>
      <c r="F143" s="13">
        <v>1694.8</v>
      </c>
      <c r="G143" t="s">
        <v>4697</v>
      </c>
      <c r="H143" t="s">
        <v>4697</v>
      </c>
      <c r="I143" t="s">
        <v>4709</v>
      </c>
      <c r="J143" s="10">
        <f t="shared" si="4"/>
        <v>38308</v>
      </c>
      <c r="K143">
        <f t="shared" si="5"/>
        <v>18</v>
      </c>
    </row>
    <row r="144" spans="1:11">
      <c r="A144" t="s">
        <v>4388</v>
      </c>
      <c r="B144">
        <v>2004</v>
      </c>
      <c r="C144" t="s">
        <v>4705</v>
      </c>
      <c r="D144">
        <v>10</v>
      </c>
      <c r="E144">
        <v>0</v>
      </c>
      <c r="F144" s="13">
        <v>1702.46</v>
      </c>
      <c r="G144" t="s">
        <v>4697</v>
      </c>
      <c r="H144" t="s">
        <v>4698</v>
      </c>
      <c r="I144" t="s">
        <v>4710</v>
      </c>
      <c r="J144" s="10">
        <f t="shared" si="4"/>
        <v>38331</v>
      </c>
      <c r="K144">
        <f t="shared" si="5"/>
        <v>18</v>
      </c>
    </row>
    <row r="145" spans="1:11">
      <c r="A145" t="s">
        <v>4386</v>
      </c>
      <c r="B145">
        <v>2004</v>
      </c>
      <c r="C145" t="s">
        <v>4700</v>
      </c>
      <c r="D145">
        <v>7</v>
      </c>
      <c r="E145">
        <v>0</v>
      </c>
      <c r="F145" s="13">
        <v>1704.57</v>
      </c>
      <c r="G145" t="s">
        <v>4697</v>
      </c>
      <c r="H145" t="s">
        <v>4701</v>
      </c>
      <c r="I145" t="s">
        <v>4711</v>
      </c>
      <c r="J145" s="10">
        <f t="shared" si="4"/>
        <v>38298</v>
      </c>
      <c r="K145">
        <f t="shared" si="5"/>
        <v>18</v>
      </c>
    </row>
    <row r="146" spans="1:11">
      <c r="A146" t="s">
        <v>4384</v>
      </c>
      <c r="B146">
        <v>2004</v>
      </c>
      <c r="C146" t="s">
        <v>4705</v>
      </c>
      <c r="D146">
        <v>14</v>
      </c>
      <c r="E146">
        <v>0</v>
      </c>
      <c r="F146" s="13">
        <v>1704.7</v>
      </c>
      <c r="G146" t="s">
        <v>4697</v>
      </c>
      <c r="H146" t="s">
        <v>4698</v>
      </c>
      <c r="I146" t="s">
        <v>4712</v>
      </c>
      <c r="J146" s="10">
        <f t="shared" si="4"/>
        <v>38335</v>
      </c>
      <c r="K146">
        <f t="shared" si="5"/>
        <v>18</v>
      </c>
    </row>
    <row r="147" spans="1:11">
      <c r="A147" t="s">
        <v>4382</v>
      </c>
      <c r="B147">
        <v>2004</v>
      </c>
      <c r="C147" t="s">
        <v>4705</v>
      </c>
      <c r="D147">
        <v>6</v>
      </c>
      <c r="E147">
        <v>0</v>
      </c>
      <c r="F147" s="13">
        <v>1705.62</v>
      </c>
      <c r="G147" t="s">
        <v>4697</v>
      </c>
      <c r="H147" t="s">
        <v>4697</v>
      </c>
      <c r="I147" t="s">
        <v>4709</v>
      </c>
      <c r="J147" s="10">
        <f t="shared" si="4"/>
        <v>38327</v>
      </c>
      <c r="K147">
        <f t="shared" si="5"/>
        <v>18</v>
      </c>
    </row>
    <row r="148" spans="1:11">
      <c r="A148" t="s">
        <v>4380</v>
      </c>
      <c r="B148">
        <v>2004</v>
      </c>
      <c r="C148" t="s">
        <v>4707</v>
      </c>
      <c r="D148">
        <v>17</v>
      </c>
      <c r="E148">
        <v>0</v>
      </c>
      <c r="F148" s="13">
        <v>1708</v>
      </c>
      <c r="G148" t="s">
        <v>4698</v>
      </c>
      <c r="H148" t="s">
        <v>4697</v>
      </c>
      <c r="I148" t="s">
        <v>4711</v>
      </c>
      <c r="J148" s="10">
        <f t="shared" si="4"/>
        <v>38277</v>
      </c>
      <c r="K148">
        <f t="shared" si="5"/>
        <v>18</v>
      </c>
    </row>
    <row r="149" spans="1:11">
      <c r="A149" t="s">
        <v>4378</v>
      </c>
      <c r="B149">
        <v>2004</v>
      </c>
      <c r="C149" t="s">
        <v>4705</v>
      </c>
      <c r="D149">
        <v>12</v>
      </c>
      <c r="E149">
        <v>0</v>
      </c>
      <c r="F149" s="13">
        <v>1708.93</v>
      </c>
      <c r="G149" t="s">
        <v>4698</v>
      </c>
      <c r="H149" t="s">
        <v>4701</v>
      </c>
      <c r="I149" t="s">
        <v>4710</v>
      </c>
      <c r="J149" s="10">
        <f t="shared" si="4"/>
        <v>38333</v>
      </c>
      <c r="K149">
        <f t="shared" si="5"/>
        <v>18</v>
      </c>
    </row>
    <row r="150" spans="1:11">
      <c r="A150" t="s">
        <v>4376</v>
      </c>
      <c r="B150">
        <v>2004</v>
      </c>
      <c r="C150" t="s">
        <v>4703</v>
      </c>
      <c r="D150">
        <v>19</v>
      </c>
      <c r="E150">
        <v>1</v>
      </c>
      <c r="F150" s="13">
        <v>1711.03</v>
      </c>
      <c r="G150" t="s">
        <v>4698</v>
      </c>
      <c r="H150" t="s">
        <v>4698</v>
      </c>
      <c r="I150" t="s">
        <v>4699</v>
      </c>
      <c r="J150" s="10">
        <f t="shared" si="4"/>
        <v>38249</v>
      </c>
      <c r="K150">
        <f t="shared" si="5"/>
        <v>18</v>
      </c>
    </row>
    <row r="151" spans="1:11">
      <c r="A151" t="s">
        <v>4374</v>
      </c>
      <c r="B151">
        <v>2004</v>
      </c>
      <c r="C151" t="s">
        <v>4703</v>
      </c>
      <c r="D151">
        <v>21</v>
      </c>
      <c r="E151">
        <v>0</v>
      </c>
      <c r="F151" s="13">
        <v>1712.23</v>
      </c>
      <c r="G151" t="s">
        <v>4698</v>
      </c>
      <c r="H151" t="s">
        <v>4701</v>
      </c>
      <c r="I151" t="s">
        <v>4711</v>
      </c>
      <c r="J151" s="10">
        <f t="shared" si="4"/>
        <v>38251</v>
      </c>
      <c r="K151">
        <f t="shared" si="5"/>
        <v>18</v>
      </c>
    </row>
    <row r="152" spans="1:11">
      <c r="A152" t="s">
        <v>4372</v>
      </c>
      <c r="B152">
        <v>2004</v>
      </c>
      <c r="C152" t="s">
        <v>4702</v>
      </c>
      <c r="D152">
        <v>10</v>
      </c>
      <c r="E152">
        <v>1</v>
      </c>
      <c r="F152" s="13">
        <v>1719.44</v>
      </c>
      <c r="G152" t="s">
        <v>4698</v>
      </c>
      <c r="H152" t="s">
        <v>4698</v>
      </c>
      <c r="I152" t="s">
        <v>4699</v>
      </c>
      <c r="J152" s="10">
        <f t="shared" si="4"/>
        <v>38148</v>
      </c>
      <c r="K152">
        <f t="shared" si="5"/>
        <v>18</v>
      </c>
    </row>
    <row r="153" spans="1:11">
      <c r="A153" t="s">
        <v>4370</v>
      </c>
      <c r="B153">
        <v>2004</v>
      </c>
      <c r="C153" t="s">
        <v>4703</v>
      </c>
      <c r="D153">
        <v>11</v>
      </c>
      <c r="E153">
        <v>1</v>
      </c>
      <c r="F153" s="13">
        <v>1720.35</v>
      </c>
      <c r="G153" t="s">
        <v>4698</v>
      </c>
      <c r="H153" t="s">
        <v>4698</v>
      </c>
      <c r="I153" t="s">
        <v>4699</v>
      </c>
      <c r="J153" s="10">
        <f t="shared" si="4"/>
        <v>38241</v>
      </c>
      <c r="K153">
        <f t="shared" si="5"/>
        <v>18</v>
      </c>
    </row>
    <row r="154" spans="1:11">
      <c r="A154" t="s">
        <v>4368</v>
      </c>
      <c r="B154">
        <v>2004</v>
      </c>
      <c r="C154" t="s">
        <v>4707</v>
      </c>
      <c r="D154">
        <v>21</v>
      </c>
      <c r="E154">
        <v>1</v>
      </c>
      <c r="F154" s="13">
        <v>1725.55</v>
      </c>
      <c r="G154" t="s">
        <v>4698</v>
      </c>
      <c r="H154" t="s">
        <v>4697</v>
      </c>
      <c r="I154" t="s">
        <v>4699</v>
      </c>
      <c r="J154" s="10">
        <f t="shared" si="4"/>
        <v>38281</v>
      </c>
      <c r="K154">
        <f t="shared" si="5"/>
        <v>18</v>
      </c>
    </row>
    <row r="155" spans="1:11">
      <c r="A155" t="s">
        <v>4366</v>
      </c>
      <c r="B155">
        <v>2004</v>
      </c>
      <c r="C155" t="s">
        <v>4703</v>
      </c>
      <c r="D155">
        <v>9</v>
      </c>
      <c r="E155">
        <v>1</v>
      </c>
      <c r="F155" s="13">
        <v>1727.54</v>
      </c>
      <c r="G155" t="s">
        <v>4698</v>
      </c>
      <c r="H155" t="s">
        <v>4701</v>
      </c>
      <c r="I155" t="s">
        <v>4699</v>
      </c>
      <c r="J155" s="10">
        <f t="shared" si="4"/>
        <v>38239</v>
      </c>
      <c r="K155">
        <f t="shared" si="5"/>
        <v>18</v>
      </c>
    </row>
    <row r="156" spans="1:11">
      <c r="A156" t="s">
        <v>4364</v>
      </c>
      <c r="B156">
        <v>2003</v>
      </c>
      <c r="C156" t="s">
        <v>4700</v>
      </c>
      <c r="D156">
        <v>21</v>
      </c>
      <c r="E156">
        <v>0</v>
      </c>
      <c r="F156" s="13">
        <v>1727.79</v>
      </c>
      <c r="G156" t="s">
        <v>4698</v>
      </c>
      <c r="H156" t="s">
        <v>4698</v>
      </c>
      <c r="I156" t="s">
        <v>4708</v>
      </c>
      <c r="J156" s="10">
        <f t="shared" si="4"/>
        <v>37946</v>
      </c>
      <c r="K156">
        <f t="shared" si="5"/>
        <v>19</v>
      </c>
    </row>
    <row r="157" spans="1:11">
      <c r="A157" t="s">
        <v>4362</v>
      </c>
      <c r="B157">
        <v>2003</v>
      </c>
      <c r="C157" t="s">
        <v>4703</v>
      </c>
      <c r="D157">
        <v>1</v>
      </c>
      <c r="E157">
        <v>0</v>
      </c>
      <c r="F157" s="13">
        <v>1728.9</v>
      </c>
      <c r="G157" t="s">
        <v>4698</v>
      </c>
      <c r="H157" t="s">
        <v>4697</v>
      </c>
      <c r="I157" t="s">
        <v>4708</v>
      </c>
      <c r="J157" s="10">
        <f t="shared" si="4"/>
        <v>37865</v>
      </c>
      <c r="K157">
        <f t="shared" si="5"/>
        <v>19</v>
      </c>
    </row>
    <row r="158" spans="1:11">
      <c r="A158" t="s">
        <v>4360</v>
      </c>
      <c r="B158">
        <v>2003</v>
      </c>
      <c r="C158" t="s">
        <v>4700</v>
      </c>
      <c r="D158">
        <v>9</v>
      </c>
      <c r="E158">
        <v>0</v>
      </c>
      <c r="F158" s="13">
        <v>1731.68</v>
      </c>
      <c r="G158" t="s">
        <v>4698</v>
      </c>
      <c r="H158" t="s">
        <v>4697</v>
      </c>
      <c r="I158" t="s">
        <v>4708</v>
      </c>
      <c r="J158" s="10">
        <f t="shared" si="4"/>
        <v>37934</v>
      </c>
      <c r="K158">
        <f t="shared" si="5"/>
        <v>19</v>
      </c>
    </row>
    <row r="159" spans="1:11">
      <c r="A159" t="s">
        <v>4358</v>
      </c>
      <c r="B159">
        <v>2003</v>
      </c>
      <c r="C159" t="s">
        <v>4700</v>
      </c>
      <c r="D159">
        <v>14</v>
      </c>
      <c r="E159">
        <v>0</v>
      </c>
      <c r="F159" s="13">
        <v>1737.38</v>
      </c>
      <c r="G159" t="s">
        <v>4698</v>
      </c>
      <c r="H159" t="s">
        <v>4697</v>
      </c>
      <c r="I159" t="s">
        <v>4708</v>
      </c>
      <c r="J159" s="10">
        <f t="shared" si="4"/>
        <v>37939</v>
      </c>
      <c r="K159">
        <f t="shared" si="5"/>
        <v>19</v>
      </c>
    </row>
    <row r="160" spans="1:11">
      <c r="A160" t="s">
        <v>4356</v>
      </c>
      <c r="B160">
        <v>2003</v>
      </c>
      <c r="C160" t="s">
        <v>4696</v>
      </c>
      <c r="D160">
        <v>25</v>
      </c>
      <c r="E160">
        <v>0</v>
      </c>
      <c r="F160" s="13">
        <v>1743.21</v>
      </c>
      <c r="G160" t="s">
        <v>4698</v>
      </c>
      <c r="H160" t="s">
        <v>4701</v>
      </c>
      <c r="I160" t="s">
        <v>4708</v>
      </c>
      <c r="J160" s="10">
        <f t="shared" si="4"/>
        <v>37827</v>
      </c>
      <c r="K160">
        <f t="shared" si="5"/>
        <v>19</v>
      </c>
    </row>
    <row r="161" spans="1:11">
      <c r="A161" t="s">
        <v>4354</v>
      </c>
      <c r="B161">
        <v>2003</v>
      </c>
      <c r="C161" t="s">
        <v>4696</v>
      </c>
      <c r="D161">
        <v>28</v>
      </c>
      <c r="E161">
        <v>0</v>
      </c>
      <c r="F161" s="13">
        <v>1744.47</v>
      </c>
      <c r="G161" t="s">
        <v>4698</v>
      </c>
      <c r="H161" t="s">
        <v>4701</v>
      </c>
      <c r="I161" t="s">
        <v>4708</v>
      </c>
      <c r="J161" s="10">
        <f t="shared" si="4"/>
        <v>37830</v>
      </c>
      <c r="K161">
        <f t="shared" si="5"/>
        <v>19</v>
      </c>
    </row>
    <row r="162" spans="1:11">
      <c r="A162" t="s">
        <v>4352</v>
      </c>
      <c r="B162">
        <v>2003</v>
      </c>
      <c r="C162" t="s">
        <v>4703</v>
      </c>
      <c r="D162">
        <v>26</v>
      </c>
      <c r="E162">
        <v>0</v>
      </c>
      <c r="F162" s="13">
        <v>1748.77</v>
      </c>
      <c r="G162" t="s">
        <v>4698</v>
      </c>
      <c r="H162" t="s">
        <v>4701</v>
      </c>
      <c r="I162" t="s">
        <v>4708</v>
      </c>
      <c r="J162" s="10">
        <f t="shared" si="4"/>
        <v>37890</v>
      </c>
      <c r="K162">
        <f t="shared" si="5"/>
        <v>19</v>
      </c>
    </row>
    <row r="163" spans="1:11">
      <c r="A163" t="s">
        <v>4350</v>
      </c>
      <c r="B163">
        <v>1998</v>
      </c>
      <c r="C163" t="s">
        <v>4707</v>
      </c>
      <c r="D163">
        <v>7</v>
      </c>
      <c r="E163">
        <v>0</v>
      </c>
      <c r="F163" s="13">
        <v>1756.6</v>
      </c>
      <c r="G163" t="s">
        <v>4698</v>
      </c>
      <c r="H163" t="s">
        <v>4698</v>
      </c>
      <c r="I163" t="s">
        <v>4699</v>
      </c>
      <c r="J163" s="10">
        <f t="shared" si="4"/>
        <v>36075</v>
      </c>
      <c r="K163">
        <f t="shared" si="5"/>
        <v>24</v>
      </c>
    </row>
    <row r="164" spans="1:11">
      <c r="A164" t="s">
        <v>4348</v>
      </c>
      <c r="B164">
        <v>2003</v>
      </c>
      <c r="C164" t="s">
        <v>4700</v>
      </c>
      <c r="D164">
        <v>19</v>
      </c>
      <c r="E164">
        <v>0</v>
      </c>
      <c r="F164" s="13">
        <v>1759.34</v>
      </c>
      <c r="G164" t="s">
        <v>4698</v>
      </c>
      <c r="H164" t="s">
        <v>4701</v>
      </c>
      <c r="I164" t="s">
        <v>4708</v>
      </c>
      <c r="J164" s="10">
        <f t="shared" si="4"/>
        <v>37944</v>
      </c>
      <c r="K164">
        <f t="shared" si="5"/>
        <v>19</v>
      </c>
    </row>
    <row r="165" spans="1:11">
      <c r="A165" t="s">
        <v>4346</v>
      </c>
      <c r="B165">
        <v>2002</v>
      </c>
      <c r="C165" t="s">
        <v>4705</v>
      </c>
      <c r="D165">
        <v>13</v>
      </c>
      <c r="E165">
        <v>0</v>
      </c>
      <c r="F165" s="13">
        <v>1769.53</v>
      </c>
      <c r="G165" t="s">
        <v>4698</v>
      </c>
      <c r="H165" t="s">
        <v>4698</v>
      </c>
      <c r="I165" t="s">
        <v>4704</v>
      </c>
      <c r="J165" s="10">
        <f t="shared" si="4"/>
        <v>37603</v>
      </c>
      <c r="K165">
        <f t="shared" si="5"/>
        <v>20</v>
      </c>
    </row>
    <row r="166" spans="1:11">
      <c r="A166" t="s">
        <v>4344</v>
      </c>
      <c r="B166">
        <v>1999</v>
      </c>
      <c r="C166" t="s">
        <v>4703</v>
      </c>
      <c r="D166">
        <v>25</v>
      </c>
      <c r="E166">
        <v>0</v>
      </c>
      <c r="F166" s="13">
        <v>1815.88</v>
      </c>
      <c r="G166" t="s">
        <v>4698</v>
      </c>
      <c r="H166" t="s">
        <v>4698</v>
      </c>
      <c r="I166" t="s">
        <v>4699</v>
      </c>
      <c r="J166" s="10">
        <f t="shared" si="4"/>
        <v>36428</v>
      </c>
      <c r="K166">
        <f t="shared" si="5"/>
        <v>23</v>
      </c>
    </row>
    <row r="167" spans="1:11">
      <c r="A167" t="s">
        <v>4342</v>
      </c>
      <c r="B167">
        <v>2004</v>
      </c>
      <c r="C167" t="s">
        <v>4706</v>
      </c>
      <c r="D167">
        <v>19</v>
      </c>
      <c r="E167">
        <v>0</v>
      </c>
      <c r="F167" s="13">
        <v>1822.54</v>
      </c>
      <c r="G167" t="s">
        <v>4698</v>
      </c>
      <c r="H167" t="s">
        <v>4701</v>
      </c>
      <c r="I167" t="s">
        <v>4704</v>
      </c>
      <c r="J167" s="10">
        <f t="shared" si="4"/>
        <v>38218</v>
      </c>
      <c r="K167">
        <f t="shared" si="5"/>
        <v>18</v>
      </c>
    </row>
    <row r="168" spans="1:11">
      <c r="A168" t="s">
        <v>4340</v>
      </c>
      <c r="B168">
        <v>1999</v>
      </c>
      <c r="C168" t="s">
        <v>4700</v>
      </c>
      <c r="D168">
        <v>17</v>
      </c>
      <c r="E168">
        <v>0</v>
      </c>
      <c r="F168" s="13">
        <v>1824.29</v>
      </c>
      <c r="G168" t="s">
        <v>4698</v>
      </c>
      <c r="H168" t="s">
        <v>4698</v>
      </c>
      <c r="I168" t="s">
        <v>4699</v>
      </c>
      <c r="J168" s="10">
        <f t="shared" si="4"/>
        <v>36481</v>
      </c>
      <c r="K168">
        <f t="shared" si="5"/>
        <v>23</v>
      </c>
    </row>
    <row r="169" spans="1:11">
      <c r="A169" t="s">
        <v>4338</v>
      </c>
      <c r="B169">
        <v>1999</v>
      </c>
      <c r="C169" t="s">
        <v>4707</v>
      </c>
      <c r="D169">
        <v>1</v>
      </c>
      <c r="E169">
        <v>0</v>
      </c>
      <c r="F169" s="13">
        <v>1826.84</v>
      </c>
      <c r="G169" t="s">
        <v>4698</v>
      </c>
      <c r="H169" t="s">
        <v>4697</v>
      </c>
      <c r="I169" t="s">
        <v>4708</v>
      </c>
      <c r="J169" s="10">
        <f t="shared" si="4"/>
        <v>36434</v>
      </c>
      <c r="K169">
        <f t="shared" si="5"/>
        <v>23</v>
      </c>
    </row>
    <row r="170" spans="1:11">
      <c r="A170" t="s">
        <v>4336</v>
      </c>
      <c r="B170">
        <v>2003</v>
      </c>
      <c r="C170" t="s">
        <v>4706</v>
      </c>
      <c r="D170">
        <v>11</v>
      </c>
      <c r="E170">
        <v>1</v>
      </c>
      <c r="F170" s="13">
        <v>1832.09</v>
      </c>
      <c r="G170" t="s">
        <v>4698</v>
      </c>
      <c r="H170" t="s">
        <v>4698</v>
      </c>
      <c r="I170" t="s">
        <v>4708</v>
      </c>
      <c r="J170" s="10">
        <f t="shared" si="4"/>
        <v>37844</v>
      </c>
      <c r="K170">
        <f t="shared" si="5"/>
        <v>19</v>
      </c>
    </row>
    <row r="171" spans="1:11">
      <c r="A171" t="s">
        <v>4334</v>
      </c>
      <c r="B171">
        <v>2003</v>
      </c>
      <c r="C171" t="s">
        <v>4706</v>
      </c>
      <c r="D171">
        <v>4</v>
      </c>
      <c r="E171">
        <v>1</v>
      </c>
      <c r="F171" s="13">
        <v>1837.24</v>
      </c>
      <c r="G171" t="s">
        <v>4698</v>
      </c>
      <c r="H171" t="s">
        <v>4697</v>
      </c>
      <c r="I171" t="s">
        <v>4708</v>
      </c>
      <c r="J171" s="10">
        <f t="shared" si="4"/>
        <v>37837</v>
      </c>
      <c r="K171">
        <f t="shared" si="5"/>
        <v>19</v>
      </c>
    </row>
    <row r="172" spans="1:11">
      <c r="A172" t="s">
        <v>4332</v>
      </c>
      <c r="B172">
        <v>1999</v>
      </c>
      <c r="C172" t="s">
        <v>4705</v>
      </c>
      <c r="D172">
        <v>12</v>
      </c>
      <c r="E172">
        <v>0</v>
      </c>
      <c r="F172" s="13">
        <v>1837.28</v>
      </c>
      <c r="G172" t="s">
        <v>4698</v>
      </c>
      <c r="H172" t="s">
        <v>4697</v>
      </c>
      <c r="I172" t="s">
        <v>4699</v>
      </c>
      <c r="J172" s="10">
        <f t="shared" si="4"/>
        <v>36506</v>
      </c>
      <c r="K172">
        <f t="shared" si="5"/>
        <v>23</v>
      </c>
    </row>
    <row r="173" spans="1:11">
      <c r="A173" t="s">
        <v>4330</v>
      </c>
      <c r="B173">
        <v>2003</v>
      </c>
      <c r="C173" t="s">
        <v>4696</v>
      </c>
      <c r="D173">
        <v>20</v>
      </c>
      <c r="E173">
        <v>1</v>
      </c>
      <c r="F173" s="13">
        <v>1842.52</v>
      </c>
      <c r="G173" t="s">
        <v>4698</v>
      </c>
      <c r="H173" t="s">
        <v>4697</v>
      </c>
      <c r="I173" t="s">
        <v>4708</v>
      </c>
      <c r="J173" s="10">
        <f t="shared" si="4"/>
        <v>37822</v>
      </c>
      <c r="K173">
        <f t="shared" si="5"/>
        <v>19</v>
      </c>
    </row>
    <row r="174" spans="1:11">
      <c r="A174" t="s">
        <v>4328</v>
      </c>
      <c r="B174">
        <v>1994</v>
      </c>
      <c r="C174" t="s">
        <v>4705</v>
      </c>
      <c r="D174">
        <v>6</v>
      </c>
      <c r="E174">
        <v>0</v>
      </c>
      <c r="F174" s="13">
        <v>1850.55</v>
      </c>
      <c r="G174" t="s">
        <v>4698</v>
      </c>
      <c r="H174" t="s">
        <v>4697</v>
      </c>
      <c r="I174" t="s">
        <v>4704</v>
      </c>
      <c r="J174" s="10">
        <f t="shared" si="4"/>
        <v>34674</v>
      </c>
      <c r="K174">
        <f t="shared" si="5"/>
        <v>28</v>
      </c>
    </row>
    <row r="175" spans="1:11">
      <c r="A175" t="s">
        <v>4326</v>
      </c>
      <c r="B175">
        <v>2004</v>
      </c>
      <c r="C175" t="s">
        <v>4705</v>
      </c>
      <c r="D175">
        <v>27</v>
      </c>
      <c r="E175">
        <v>0</v>
      </c>
      <c r="F175" s="13">
        <v>1863.45</v>
      </c>
      <c r="G175" t="s">
        <v>4698</v>
      </c>
      <c r="H175" t="s">
        <v>4701</v>
      </c>
      <c r="I175" t="s">
        <v>4713</v>
      </c>
      <c r="J175" s="10">
        <f t="shared" si="4"/>
        <v>38348</v>
      </c>
      <c r="K175">
        <f t="shared" si="5"/>
        <v>18</v>
      </c>
    </row>
    <row r="176" spans="1:11">
      <c r="A176" t="s">
        <v>4324</v>
      </c>
      <c r="B176">
        <v>1996</v>
      </c>
      <c r="C176" t="s">
        <v>4696</v>
      </c>
      <c r="D176">
        <v>2</v>
      </c>
      <c r="E176">
        <v>0</v>
      </c>
      <c r="F176" s="13">
        <v>1865.98</v>
      </c>
      <c r="G176" t="s">
        <v>4698</v>
      </c>
      <c r="H176" t="s">
        <v>4698</v>
      </c>
      <c r="I176" t="s">
        <v>4704</v>
      </c>
      <c r="J176" s="10">
        <f t="shared" si="4"/>
        <v>35248</v>
      </c>
      <c r="K176">
        <f t="shared" si="5"/>
        <v>26</v>
      </c>
    </row>
    <row r="177" spans="1:11">
      <c r="A177" t="s">
        <v>4322</v>
      </c>
      <c r="B177">
        <v>2002</v>
      </c>
      <c r="C177" t="s">
        <v>4703</v>
      </c>
      <c r="D177">
        <v>22</v>
      </c>
      <c r="E177">
        <v>0</v>
      </c>
      <c r="F177" s="13">
        <v>1875.34</v>
      </c>
      <c r="G177" t="s">
        <v>4698</v>
      </c>
      <c r="H177" t="s">
        <v>4697</v>
      </c>
      <c r="I177" t="s">
        <v>4708</v>
      </c>
      <c r="J177" s="10">
        <f t="shared" si="4"/>
        <v>37521</v>
      </c>
      <c r="K177">
        <f t="shared" si="5"/>
        <v>20</v>
      </c>
    </row>
    <row r="178" spans="1:11">
      <c r="A178" t="s">
        <v>4320</v>
      </c>
      <c r="B178">
        <v>2002</v>
      </c>
      <c r="C178" t="s">
        <v>4707</v>
      </c>
      <c r="D178">
        <v>29</v>
      </c>
      <c r="E178">
        <v>0</v>
      </c>
      <c r="F178" s="13">
        <v>1877.93</v>
      </c>
      <c r="G178" t="s">
        <v>4698</v>
      </c>
      <c r="H178" t="s">
        <v>4701</v>
      </c>
      <c r="I178" t="s">
        <v>4699</v>
      </c>
      <c r="J178" s="10">
        <f t="shared" si="4"/>
        <v>37558</v>
      </c>
      <c r="K178">
        <f t="shared" si="5"/>
        <v>20</v>
      </c>
    </row>
    <row r="179" spans="1:11">
      <c r="A179" t="s">
        <v>4318</v>
      </c>
      <c r="B179">
        <v>2002</v>
      </c>
      <c r="C179" t="s">
        <v>4706</v>
      </c>
      <c r="D179">
        <v>29</v>
      </c>
      <c r="E179">
        <v>0</v>
      </c>
      <c r="F179" s="13">
        <v>1880.07</v>
      </c>
      <c r="G179" t="s">
        <v>4698</v>
      </c>
      <c r="H179" t="s">
        <v>4697</v>
      </c>
      <c r="I179" t="s">
        <v>4699</v>
      </c>
      <c r="J179" s="10">
        <f t="shared" si="4"/>
        <v>37497</v>
      </c>
      <c r="K179">
        <f t="shared" si="5"/>
        <v>20</v>
      </c>
    </row>
    <row r="180" spans="1:11">
      <c r="A180" t="s">
        <v>4316</v>
      </c>
      <c r="B180">
        <v>2002</v>
      </c>
      <c r="C180" t="s">
        <v>4706</v>
      </c>
      <c r="D180">
        <v>21</v>
      </c>
      <c r="E180">
        <v>0</v>
      </c>
      <c r="F180" s="13">
        <v>1880.49</v>
      </c>
      <c r="G180" t="s">
        <v>4698</v>
      </c>
      <c r="H180" t="s">
        <v>4701</v>
      </c>
      <c r="I180" t="s">
        <v>4708</v>
      </c>
      <c r="J180" s="10">
        <f t="shared" si="4"/>
        <v>37489</v>
      </c>
      <c r="K180">
        <f t="shared" si="5"/>
        <v>20</v>
      </c>
    </row>
    <row r="181" spans="1:11">
      <c r="A181" t="s">
        <v>4314</v>
      </c>
      <c r="B181">
        <v>2001</v>
      </c>
      <c r="C181" t="s">
        <v>4706</v>
      </c>
      <c r="D181">
        <v>10</v>
      </c>
      <c r="E181">
        <v>0</v>
      </c>
      <c r="F181" s="13">
        <v>1906.36</v>
      </c>
      <c r="G181" t="s">
        <v>4698</v>
      </c>
      <c r="H181" t="s">
        <v>4701</v>
      </c>
      <c r="I181" t="s">
        <v>4704</v>
      </c>
      <c r="J181" s="10">
        <f t="shared" si="4"/>
        <v>37113</v>
      </c>
      <c r="K181">
        <f t="shared" si="5"/>
        <v>21</v>
      </c>
    </row>
    <row r="182" spans="1:11">
      <c r="A182" t="s">
        <v>4312</v>
      </c>
      <c r="B182">
        <v>1994</v>
      </c>
      <c r="C182" t="s">
        <v>4707</v>
      </c>
      <c r="D182">
        <v>6</v>
      </c>
      <c r="E182">
        <v>0</v>
      </c>
      <c r="F182" s="13">
        <v>1908.9</v>
      </c>
      <c r="G182" t="s">
        <v>4698</v>
      </c>
      <c r="H182" t="s">
        <v>4698</v>
      </c>
      <c r="I182" t="s">
        <v>4699</v>
      </c>
      <c r="J182" s="10">
        <f t="shared" si="4"/>
        <v>34613</v>
      </c>
      <c r="K182">
        <f t="shared" si="5"/>
        <v>28</v>
      </c>
    </row>
    <row r="183" spans="1:11">
      <c r="A183" t="s">
        <v>4310</v>
      </c>
      <c r="B183">
        <v>2001</v>
      </c>
      <c r="C183" t="s">
        <v>4706</v>
      </c>
      <c r="D183">
        <v>3</v>
      </c>
      <c r="E183">
        <v>0</v>
      </c>
      <c r="F183" s="13">
        <v>1909.53</v>
      </c>
      <c r="G183" t="s">
        <v>4698</v>
      </c>
      <c r="H183" t="s">
        <v>4698</v>
      </c>
      <c r="I183" t="s">
        <v>4704</v>
      </c>
      <c r="J183" s="10">
        <f t="shared" si="4"/>
        <v>37106</v>
      </c>
      <c r="K183">
        <f t="shared" si="5"/>
        <v>21</v>
      </c>
    </row>
    <row r="184" spans="1:11">
      <c r="A184" t="s">
        <v>4308</v>
      </c>
      <c r="B184">
        <v>2001</v>
      </c>
      <c r="C184" t="s">
        <v>4705</v>
      </c>
      <c r="D184">
        <v>9</v>
      </c>
      <c r="E184">
        <v>0</v>
      </c>
      <c r="F184" s="13">
        <v>1917.32</v>
      </c>
      <c r="G184" t="s">
        <v>4698</v>
      </c>
      <c r="H184" t="s">
        <v>4697</v>
      </c>
      <c r="I184" t="s">
        <v>4704</v>
      </c>
      <c r="J184" s="10">
        <f t="shared" si="4"/>
        <v>37234</v>
      </c>
      <c r="K184">
        <f t="shared" si="5"/>
        <v>21</v>
      </c>
    </row>
    <row r="185" spans="1:11">
      <c r="A185" t="s">
        <v>4306</v>
      </c>
      <c r="B185">
        <v>2002</v>
      </c>
      <c r="C185" t="s">
        <v>4703</v>
      </c>
      <c r="D185">
        <v>7</v>
      </c>
      <c r="E185">
        <v>1</v>
      </c>
      <c r="F185" s="13">
        <v>1964.78</v>
      </c>
      <c r="G185" t="s">
        <v>4698</v>
      </c>
      <c r="H185" t="s">
        <v>4701</v>
      </c>
      <c r="I185" t="s">
        <v>4708</v>
      </c>
      <c r="J185" s="10">
        <f t="shared" si="4"/>
        <v>37506</v>
      </c>
      <c r="K185">
        <f t="shared" si="5"/>
        <v>20</v>
      </c>
    </row>
    <row r="186" spans="1:11">
      <c r="A186" t="s">
        <v>4304</v>
      </c>
      <c r="B186">
        <v>2002</v>
      </c>
      <c r="C186" t="s">
        <v>4696</v>
      </c>
      <c r="D186">
        <v>29</v>
      </c>
      <c r="E186">
        <v>0</v>
      </c>
      <c r="F186" s="13">
        <v>1967.02</v>
      </c>
      <c r="G186" t="s">
        <v>4698</v>
      </c>
      <c r="H186" t="s">
        <v>4697</v>
      </c>
      <c r="I186" t="s">
        <v>4711</v>
      </c>
      <c r="J186" s="10">
        <f t="shared" si="4"/>
        <v>37466</v>
      </c>
      <c r="K186">
        <f t="shared" si="5"/>
        <v>20</v>
      </c>
    </row>
    <row r="187" spans="1:11">
      <c r="A187" t="s">
        <v>4302</v>
      </c>
      <c r="B187">
        <v>1998</v>
      </c>
      <c r="C187" t="s">
        <v>4703</v>
      </c>
      <c r="D187">
        <v>28</v>
      </c>
      <c r="E187">
        <v>0</v>
      </c>
      <c r="F187" s="13">
        <v>1969.61</v>
      </c>
      <c r="G187" t="s">
        <v>4698</v>
      </c>
      <c r="H187" t="s">
        <v>4698</v>
      </c>
      <c r="I187" t="s">
        <v>4708</v>
      </c>
      <c r="J187" s="10">
        <f t="shared" si="4"/>
        <v>36066</v>
      </c>
      <c r="K187">
        <f t="shared" si="5"/>
        <v>24</v>
      </c>
    </row>
    <row r="188" spans="1:11">
      <c r="A188" t="s">
        <v>4300</v>
      </c>
      <c r="B188">
        <v>1998</v>
      </c>
      <c r="C188" t="s">
        <v>4707</v>
      </c>
      <c r="D188">
        <v>5</v>
      </c>
      <c r="E188">
        <v>0</v>
      </c>
      <c r="F188" s="13">
        <v>1972.95</v>
      </c>
      <c r="G188" t="s">
        <v>4698</v>
      </c>
      <c r="H188" t="s">
        <v>4701</v>
      </c>
      <c r="I188" t="s">
        <v>4708</v>
      </c>
      <c r="J188" s="10">
        <f t="shared" si="4"/>
        <v>36073</v>
      </c>
      <c r="K188">
        <f t="shared" si="5"/>
        <v>24</v>
      </c>
    </row>
    <row r="189" spans="1:11">
      <c r="A189" t="s">
        <v>4298</v>
      </c>
      <c r="B189">
        <v>1998</v>
      </c>
      <c r="C189" t="s">
        <v>4703</v>
      </c>
      <c r="D189">
        <v>29</v>
      </c>
      <c r="E189">
        <v>0</v>
      </c>
      <c r="F189" s="13">
        <v>1977.82</v>
      </c>
      <c r="G189" t="s">
        <v>4698</v>
      </c>
      <c r="H189" t="s">
        <v>4701</v>
      </c>
      <c r="I189" t="s">
        <v>4708</v>
      </c>
      <c r="J189" s="10">
        <f t="shared" si="4"/>
        <v>36067</v>
      </c>
      <c r="K189">
        <f t="shared" si="5"/>
        <v>24</v>
      </c>
    </row>
    <row r="190" spans="1:11">
      <c r="A190" t="s">
        <v>4296</v>
      </c>
      <c r="B190">
        <v>2002</v>
      </c>
      <c r="C190" t="s">
        <v>4696</v>
      </c>
      <c r="D190">
        <v>16</v>
      </c>
      <c r="E190">
        <v>1</v>
      </c>
      <c r="F190" s="13">
        <v>1980.07</v>
      </c>
      <c r="G190" t="s">
        <v>4698</v>
      </c>
      <c r="H190" t="s">
        <v>4698</v>
      </c>
      <c r="I190" t="s">
        <v>4708</v>
      </c>
      <c r="J190" s="10">
        <f t="shared" si="4"/>
        <v>37453</v>
      </c>
      <c r="K190">
        <f t="shared" si="5"/>
        <v>20</v>
      </c>
    </row>
    <row r="191" spans="1:11">
      <c r="A191" t="s">
        <v>4294</v>
      </c>
      <c r="B191">
        <v>1998</v>
      </c>
      <c r="C191" t="s">
        <v>4705</v>
      </c>
      <c r="D191">
        <v>29</v>
      </c>
      <c r="E191">
        <v>0</v>
      </c>
      <c r="F191" s="13">
        <v>1981.58</v>
      </c>
      <c r="G191" t="s">
        <v>4698</v>
      </c>
      <c r="H191" t="s">
        <v>4701</v>
      </c>
      <c r="I191" t="s">
        <v>4699</v>
      </c>
      <c r="J191" s="10">
        <f t="shared" si="4"/>
        <v>36158</v>
      </c>
      <c r="K191">
        <f t="shared" si="5"/>
        <v>24</v>
      </c>
    </row>
    <row r="192" spans="1:11">
      <c r="A192" t="s">
        <v>4292</v>
      </c>
      <c r="B192">
        <v>2002</v>
      </c>
      <c r="C192" t="s">
        <v>4703</v>
      </c>
      <c r="D192">
        <v>29</v>
      </c>
      <c r="E192">
        <v>0</v>
      </c>
      <c r="F192" s="13">
        <v>1984.45</v>
      </c>
      <c r="G192" t="s">
        <v>4698</v>
      </c>
      <c r="H192" t="s">
        <v>4698</v>
      </c>
      <c r="I192" t="s">
        <v>4711</v>
      </c>
      <c r="J192" s="10">
        <f t="shared" si="4"/>
        <v>37528</v>
      </c>
      <c r="K192">
        <f t="shared" si="5"/>
        <v>20</v>
      </c>
    </row>
    <row r="193" spans="1:11">
      <c r="A193" t="s">
        <v>4290</v>
      </c>
      <c r="B193">
        <v>1998</v>
      </c>
      <c r="C193" t="s">
        <v>4703</v>
      </c>
      <c r="D193">
        <v>14</v>
      </c>
      <c r="E193">
        <v>0</v>
      </c>
      <c r="F193" s="13">
        <v>1986.93</v>
      </c>
      <c r="G193" t="s">
        <v>4698</v>
      </c>
      <c r="H193" t="s">
        <v>4697</v>
      </c>
      <c r="I193" t="s">
        <v>4699</v>
      </c>
      <c r="J193" s="10">
        <f t="shared" si="4"/>
        <v>36052</v>
      </c>
      <c r="K193">
        <f t="shared" si="5"/>
        <v>24</v>
      </c>
    </row>
    <row r="194" spans="1:11">
      <c r="A194" t="s">
        <v>4288</v>
      </c>
      <c r="B194">
        <v>2001</v>
      </c>
      <c r="C194" t="s">
        <v>4706</v>
      </c>
      <c r="D194">
        <v>14</v>
      </c>
      <c r="E194">
        <v>0</v>
      </c>
      <c r="F194" s="13">
        <v>2007.95</v>
      </c>
      <c r="G194" t="s">
        <v>4698</v>
      </c>
      <c r="H194" t="s">
        <v>4697</v>
      </c>
      <c r="I194" t="s">
        <v>4708</v>
      </c>
      <c r="J194" s="10">
        <f t="shared" ref="J194:J257" si="6">DATEVALUE(D194&amp;"-"&amp;C194&amp;"-"&amp;B194)</f>
        <v>37117</v>
      </c>
      <c r="K194">
        <f t="shared" si="5"/>
        <v>21</v>
      </c>
    </row>
    <row r="195" spans="1:11">
      <c r="A195" t="s">
        <v>4286</v>
      </c>
      <c r="B195">
        <v>2001</v>
      </c>
      <c r="C195" t="s">
        <v>4696</v>
      </c>
      <c r="D195">
        <v>1</v>
      </c>
      <c r="E195">
        <v>0</v>
      </c>
      <c r="F195" s="13">
        <v>2020.18</v>
      </c>
      <c r="G195" t="s">
        <v>4698</v>
      </c>
      <c r="H195" t="s">
        <v>4701</v>
      </c>
      <c r="I195" t="s">
        <v>4708</v>
      </c>
      <c r="J195" s="10">
        <f t="shared" si="6"/>
        <v>37073</v>
      </c>
      <c r="K195">
        <f t="shared" ref="K195:K258" si="7">DATEDIF(J195, DATE(2023, 6, 8), "Y")</f>
        <v>21</v>
      </c>
    </row>
    <row r="196" spans="1:11">
      <c r="A196" t="s">
        <v>4284</v>
      </c>
      <c r="B196">
        <v>2001</v>
      </c>
      <c r="C196" t="s">
        <v>4703</v>
      </c>
      <c r="D196">
        <v>6</v>
      </c>
      <c r="E196">
        <v>0</v>
      </c>
      <c r="F196" s="13">
        <v>2020.55</v>
      </c>
      <c r="G196" t="s">
        <v>4698</v>
      </c>
      <c r="H196" t="s">
        <v>4697</v>
      </c>
      <c r="I196" t="s">
        <v>4699</v>
      </c>
      <c r="J196" s="10">
        <f t="shared" si="6"/>
        <v>37140</v>
      </c>
      <c r="K196">
        <f t="shared" si="7"/>
        <v>21</v>
      </c>
    </row>
    <row r="197" spans="1:11">
      <c r="A197" t="s">
        <v>4282</v>
      </c>
      <c r="B197">
        <v>2001</v>
      </c>
      <c r="C197" t="s">
        <v>4706</v>
      </c>
      <c r="D197">
        <v>4</v>
      </c>
      <c r="E197">
        <v>0</v>
      </c>
      <c r="F197" s="13">
        <v>2026.97</v>
      </c>
      <c r="G197" t="s">
        <v>4698</v>
      </c>
      <c r="H197" t="s">
        <v>4697</v>
      </c>
      <c r="I197" t="s">
        <v>4699</v>
      </c>
      <c r="J197" s="10">
        <f t="shared" si="6"/>
        <v>37107</v>
      </c>
      <c r="K197">
        <f t="shared" si="7"/>
        <v>21</v>
      </c>
    </row>
    <row r="198" spans="1:11">
      <c r="A198" t="s">
        <v>4280</v>
      </c>
      <c r="B198">
        <v>2000</v>
      </c>
      <c r="C198" t="s">
        <v>4703</v>
      </c>
      <c r="D198">
        <v>2</v>
      </c>
      <c r="E198">
        <v>0</v>
      </c>
      <c r="F198" s="13">
        <v>2045.69</v>
      </c>
      <c r="G198" t="s">
        <v>4698</v>
      </c>
      <c r="H198" t="s">
        <v>4698</v>
      </c>
      <c r="I198" t="s">
        <v>4704</v>
      </c>
      <c r="J198" s="10">
        <f t="shared" si="6"/>
        <v>36771</v>
      </c>
      <c r="K198">
        <f t="shared" si="7"/>
        <v>22</v>
      </c>
    </row>
    <row r="199" spans="1:11">
      <c r="A199" t="s">
        <v>4278</v>
      </c>
      <c r="B199">
        <v>2000</v>
      </c>
      <c r="C199" t="s">
        <v>4696</v>
      </c>
      <c r="D199">
        <v>26</v>
      </c>
      <c r="E199">
        <v>0</v>
      </c>
      <c r="F199" s="13">
        <v>2055.3200000000002</v>
      </c>
      <c r="G199" t="s">
        <v>4698</v>
      </c>
      <c r="H199" t="s">
        <v>4698</v>
      </c>
      <c r="I199" t="s">
        <v>4704</v>
      </c>
      <c r="J199" s="10">
        <f t="shared" si="6"/>
        <v>36733</v>
      </c>
      <c r="K199">
        <f t="shared" si="7"/>
        <v>22</v>
      </c>
    </row>
    <row r="200" spans="1:11">
      <c r="A200" t="s">
        <v>4276</v>
      </c>
      <c r="B200">
        <v>2004</v>
      </c>
      <c r="C200" t="s">
        <v>4702</v>
      </c>
      <c r="D200">
        <v>12</v>
      </c>
      <c r="E200">
        <v>0</v>
      </c>
      <c r="F200" s="13">
        <v>2094.1</v>
      </c>
      <c r="G200" t="s">
        <v>4698</v>
      </c>
      <c r="H200" t="s">
        <v>4697</v>
      </c>
      <c r="I200" t="s">
        <v>4713</v>
      </c>
      <c r="J200" s="10">
        <f t="shared" si="6"/>
        <v>38150</v>
      </c>
      <c r="K200">
        <f t="shared" si="7"/>
        <v>18</v>
      </c>
    </row>
    <row r="201" spans="1:11">
      <c r="A201" t="s">
        <v>4274</v>
      </c>
      <c r="B201">
        <v>2001</v>
      </c>
      <c r="C201" t="s">
        <v>4706</v>
      </c>
      <c r="D201">
        <v>14</v>
      </c>
      <c r="E201">
        <v>0</v>
      </c>
      <c r="F201" s="13">
        <v>2102.2600000000002</v>
      </c>
      <c r="G201" t="s">
        <v>4698</v>
      </c>
      <c r="H201" t="s">
        <v>4697</v>
      </c>
      <c r="I201" t="s">
        <v>4710</v>
      </c>
      <c r="J201" s="10">
        <f t="shared" si="6"/>
        <v>37117</v>
      </c>
      <c r="K201">
        <f t="shared" si="7"/>
        <v>21</v>
      </c>
    </row>
    <row r="202" spans="1:11">
      <c r="A202" t="s">
        <v>4272</v>
      </c>
      <c r="B202">
        <v>2001</v>
      </c>
      <c r="C202" t="s">
        <v>4702</v>
      </c>
      <c r="D202">
        <v>22</v>
      </c>
      <c r="E202">
        <v>1</v>
      </c>
      <c r="F202" s="13">
        <v>2103.08</v>
      </c>
      <c r="G202" t="s">
        <v>4698</v>
      </c>
      <c r="H202" t="s">
        <v>4697</v>
      </c>
      <c r="I202" t="s">
        <v>4708</v>
      </c>
      <c r="J202" s="10">
        <f t="shared" si="6"/>
        <v>37064</v>
      </c>
      <c r="K202">
        <f t="shared" si="7"/>
        <v>21</v>
      </c>
    </row>
    <row r="203" spans="1:11">
      <c r="A203" t="s">
        <v>4270</v>
      </c>
      <c r="B203">
        <v>2001</v>
      </c>
      <c r="C203" t="s">
        <v>4700</v>
      </c>
      <c r="D203">
        <v>28</v>
      </c>
      <c r="E203">
        <v>0</v>
      </c>
      <c r="F203" s="13">
        <v>2104.11</v>
      </c>
      <c r="G203" t="s">
        <v>4697</v>
      </c>
      <c r="H203" t="s">
        <v>4701</v>
      </c>
      <c r="I203" t="s">
        <v>4711</v>
      </c>
      <c r="J203" s="10">
        <f t="shared" si="6"/>
        <v>37223</v>
      </c>
      <c r="K203">
        <f t="shared" si="7"/>
        <v>21</v>
      </c>
    </row>
    <row r="204" spans="1:11">
      <c r="A204" t="s">
        <v>4268</v>
      </c>
      <c r="B204">
        <v>1989</v>
      </c>
      <c r="C204" t="s">
        <v>4696</v>
      </c>
      <c r="D204">
        <v>21</v>
      </c>
      <c r="E204">
        <v>3</v>
      </c>
      <c r="F204" s="13">
        <v>2106.2600000000002</v>
      </c>
      <c r="G204" t="s">
        <v>4697</v>
      </c>
      <c r="H204" t="s">
        <v>4697</v>
      </c>
      <c r="I204" t="s">
        <v>4699</v>
      </c>
      <c r="J204" s="10">
        <f t="shared" si="6"/>
        <v>32710</v>
      </c>
      <c r="K204">
        <f t="shared" si="7"/>
        <v>33</v>
      </c>
    </row>
    <row r="205" spans="1:11">
      <c r="A205" t="s">
        <v>4266</v>
      </c>
      <c r="B205">
        <v>2003</v>
      </c>
      <c r="C205" t="s">
        <v>4703</v>
      </c>
      <c r="D205">
        <v>30</v>
      </c>
      <c r="E205">
        <v>0</v>
      </c>
      <c r="F205" s="13">
        <v>2117.34</v>
      </c>
      <c r="G205" t="s">
        <v>4697</v>
      </c>
      <c r="H205" t="s">
        <v>4698</v>
      </c>
      <c r="I205" t="s">
        <v>4704</v>
      </c>
      <c r="J205" s="10">
        <f t="shared" si="6"/>
        <v>37894</v>
      </c>
      <c r="K205">
        <f t="shared" si="7"/>
        <v>19</v>
      </c>
    </row>
    <row r="206" spans="1:11">
      <c r="A206" t="s">
        <v>4264</v>
      </c>
      <c r="B206">
        <v>2004</v>
      </c>
      <c r="C206" t="s">
        <v>4700</v>
      </c>
      <c r="D206">
        <v>4</v>
      </c>
      <c r="E206">
        <v>0</v>
      </c>
      <c r="F206" s="13">
        <v>2118.61</v>
      </c>
      <c r="G206" t="s">
        <v>4697</v>
      </c>
      <c r="H206" t="s">
        <v>4701</v>
      </c>
      <c r="I206" t="s">
        <v>4704</v>
      </c>
      <c r="J206" s="10">
        <f t="shared" si="6"/>
        <v>38295</v>
      </c>
      <c r="K206">
        <f t="shared" si="7"/>
        <v>18</v>
      </c>
    </row>
    <row r="207" spans="1:11">
      <c r="A207" t="s">
        <v>4262</v>
      </c>
      <c r="B207">
        <v>2003</v>
      </c>
      <c r="C207" t="s">
        <v>4706</v>
      </c>
      <c r="D207">
        <v>30</v>
      </c>
      <c r="E207">
        <v>0</v>
      </c>
      <c r="F207" s="13">
        <v>2128.4299999999998</v>
      </c>
      <c r="G207" t="s">
        <v>4697</v>
      </c>
      <c r="H207" t="s">
        <v>4701</v>
      </c>
      <c r="I207" t="s">
        <v>4704</v>
      </c>
      <c r="J207" s="10">
        <f t="shared" si="6"/>
        <v>37863</v>
      </c>
      <c r="K207">
        <f t="shared" si="7"/>
        <v>19</v>
      </c>
    </row>
    <row r="208" spans="1:11">
      <c r="A208" t="s">
        <v>4260</v>
      </c>
      <c r="B208">
        <v>2003</v>
      </c>
      <c r="C208" t="s">
        <v>4705</v>
      </c>
      <c r="D208">
        <v>22</v>
      </c>
      <c r="E208">
        <v>0</v>
      </c>
      <c r="F208" s="13">
        <v>2130.6799999999998</v>
      </c>
      <c r="G208" t="s">
        <v>4697</v>
      </c>
      <c r="H208" t="s">
        <v>4698</v>
      </c>
      <c r="I208" t="s">
        <v>4704</v>
      </c>
      <c r="J208" s="10">
        <f t="shared" si="6"/>
        <v>37977</v>
      </c>
      <c r="K208">
        <f t="shared" si="7"/>
        <v>19</v>
      </c>
    </row>
    <row r="209" spans="1:11">
      <c r="A209" t="s">
        <v>4258</v>
      </c>
      <c r="B209">
        <v>2003</v>
      </c>
      <c r="C209" t="s">
        <v>4703</v>
      </c>
      <c r="D209">
        <v>1</v>
      </c>
      <c r="E209">
        <v>0</v>
      </c>
      <c r="F209" s="13">
        <v>2134.9</v>
      </c>
      <c r="G209" t="s">
        <v>4697</v>
      </c>
      <c r="H209" t="s">
        <v>4698</v>
      </c>
      <c r="I209" t="s">
        <v>4704</v>
      </c>
      <c r="J209" s="10">
        <f t="shared" si="6"/>
        <v>37865</v>
      </c>
      <c r="K209">
        <f t="shared" si="7"/>
        <v>19</v>
      </c>
    </row>
    <row r="210" spans="1:11">
      <c r="A210" t="s">
        <v>4256</v>
      </c>
      <c r="B210">
        <v>2003</v>
      </c>
      <c r="C210" t="s">
        <v>4703</v>
      </c>
      <c r="D210">
        <v>26</v>
      </c>
      <c r="E210">
        <v>0</v>
      </c>
      <c r="F210" s="13">
        <v>2136.88</v>
      </c>
      <c r="G210" t="s">
        <v>4697</v>
      </c>
      <c r="H210" t="s">
        <v>4697</v>
      </c>
      <c r="I210" t="s">
        <v>4704</v>
      </c>
      <c r="J210" s="10">
        <f t="shared" si="6"/>
        <v>37890</v>
      </c>
      <c r="K210">
        <f t="shared" si="7"/>
        <v>19</v>
      </c>
    </row>
    <row r="211" spans="1:11">
      <c r="A211" t="s">
        <v>4254</v>
      </c>
      <c r="B211">
        <v>1997</v>
      </c>
      <c r="C211" t="s">
        <v>4703</v>
      </c>
      <c r="D211">
        <v>3</v>
      </c>
      <c r="E211">
        <v>0</v>
      </c>
      <c r="F211" s="13">
        <v>2137.65</v>
      </c>
      <c r="G211" t="s">
        <v>4698</v>
      </c>
      <c r="H211" t="s">
        <v>4701</v>
      </c>
      <c r="I211" t="s">
        <v>4699</v>
      </c>
      <c r="J211" s="10">
        <f t="shared" si="6"/>
        <v>35676</v>
      </c>
      <c r="K211">
        <f t="shared" si="7"/>
        <v>25</v>
      </c>
    </row>
    <row r="212" spans="1:11">
      <c r="A212" t="s">
        <v>4252</v>
      </c>
      <c r="B212">
        <v>2003</v>
      </c>
      <c r="C212" t="s">
        <v>4706</v>
      </c>
      <c r="D212">
        <v>19</v>
      </c>
      <c r="E212">
        <v>0</v>
      </c>
      <c r="F212" s="13">
        <v>2138.0700000000002</v>
      </c>
      <c r="G212" t="s">
        <v>4697</v>
      </c>
      <c r="H212" t="s">
        <v>4701</v>
      </c>
      <c r="I212" t="s">
        <v>4704</v>
      </c>
      <c r="J212" s="10">
        <f t="shared" si="6"/>
        <v>37852</v>
      </c>
      <c r="K212">
        <f t="shared" si="7"/>
        <v>19</v>
      </c>
    </row>
    <row r="213" spans="1:11">
      <c r="A213" t="s">
        <v>4250</v>
      </c>
      <c r="B213">
        <v>2004</v>
      </c>
      <c r="C213" t="s">
        <v>4707</v>
      </c>
      <c r="D213">
        <v>4</v>
      </c>
      <c r="E213">
        <v>0</v>
      </c>
      <c r="F213" s="13">
        <v>2144.85</v>
      </c>
      <c r="G213" t="s">
        <v>4697</v>
      </c>
      <c r="H213" t="s">
        <v>4701</v>
      </c>
      <c r="I213" t="s">
        <v>4708</v>
      </c>
      <c r="J213" s="10">
        <f t="shared" si="6"/>
        <v>38264</v>
      </c>
      <c r="K213">
        <f t="shared" si="7"/>
        <v>18</v>
      </c>
    </row>
    <row r="214" spans="1:11">
      <c r="A214" t="s">
        <v>4248</v>
      </c>
      <c r="B214">
        <v>2000</v>
      </c>
      <c r="C214" t="s">
        <v>4705</v>
      </c>
      <c r="D214">
        <v>27</v>
      </c>
      <c r="E214">
        <v>0</v>
      </c>
      <c r="F214" s="13">
        <v>2150.4699999999998</v>
      </c>
      <c r="G214" t="s">
        <v>4697</v>
      </c>
      <c r="H214" t="s">
        <v>4698</v>
      </c>
      <c r="I214" t="s">
        <v>4708</v>
      </c>
      <c r="J214" s="10">
        <f t="shared" si="6"/>
        <v>36887</v>
      </c>
      <c r="K214">
        <f t="shared" si="7"/>
        <v>22</v>
      </c>
    </row>
    <row r="215" spans="1:11">
      <c r="A215" t="s">
        <v>4246</v>
      </c>
      <c r="B215">
        <v>2000</v>
      </c>
      <c r="C215" t="s">
        <v>4707</v>
      </c>
      <c r="D215">
        <v>22</v>
      </c>
      <c r="E215">
        <v>0</v>
      </c>
      <c r="F215" s="13">
        <v>2154.36</v>
      </c>
      <c r="G215" t="s">
        <v>4697</v>
      </c>
      <c r="H215" t="s">
        <v>4697</v>
      </c>
      <c r="I215" t="s">
        <v>4708</v>
      </c>
      <c r="J215" s="10">
        <f t="shared" si="6"/>
        <v>36821</v>
      </c>
      <c r="K215">
        <f t="shared" si="7"/>
        <v>22</v>
      </c>
    </row>
    <row r="216" spans="1:11">
      <c r="A216" t="s">
        <v>4244</v>
      </c>
      <c r="B216">
        <v>2000</v>
      </c>
      <c r="C216" t="s">
        <v>4700</v>
      </c>
      <c r="D216">
        <v>29</v>
      </c>
      <c r="E216">
        <v>0</v>
      </c>
      <c r="F216" s="13">
        <v>2155.6799999999998</v>
      </c>
      <c r="G216" t="s">
        <v>4697</v>
      </c>
      <c r="H216" t="s">
        <v>4698</v>
      </c>
      <c r="I216" t="s">
        <v>4699</v>
      </c>
      <c r="J216" s="10">
        <f t="shared" si="6"/>
        <v>36859</v>
      </c>
      <c r="K216">
        <f t="shared" si="7"/>
        <v>22</v>
      </c>
    </row>
    <row r="217" spans="1:11">
      <c r="A217" t="s">
        <v>4242</v>
      </c>
      <c r="B217">
        <v>2000</v>
      </c>
      <c r="C217" t="s">
        <v>4705</v>
      </c>
      <c r="D217">
        <v>10</v>
      </c>
      <c r="E217">
        <v>0</v>
      </c>
      <c r="F217" s="13">
        <v>2156.75</v>
      </c>
      <c r="G217" t="s">
        <v>4697</v>
      </c>
      <c r="H217" t="s">
        <v>4697</v>
      </c>
      <c r="I217" t="s">
        <v>4699</v>
      </c>
      <c r="J217" s="10">
        <f t="shared" si="6"/>
        <v>36870</v>
      </c>
      <c r="K217">
        <f t="shared" si="7"/>
        <v>22</v>
      </c>
    </row>
    <row r="218" spans="1:11">
      <c r="A218" t="s">
        <v>4240</v>
      </c>
      <c r="B218">
        <v>2000</v>
      </c>
      <c r="C218" t="s">
        <v>4706</v>
      </c>
      <c r="D218">
        <v>23</v>
      </c>
      <c r="E218">
        <v>0</v>
      </c>
      <c r="F218" s="13">
        <v>2166.73</v>
      </c>
      <c r="G218" t="s">
        <v>4697</v>
      </c>
      <c r="H218" t="s">
        <v>4697</v>
      </c>
      <c r="I218" t="s">
        <v>4708</v>
      </c>
      <c r="J218" s="10">
        <f t="shared" si="6"/>
        <v>36761</v>
      </c>
      <c r="K218">
        <f t="shared" si="7"/>
        <v>22</v>
      </c>
    </row>
    <row r="219" spans="1:11">
      <c r="A219" t="s">
        <v>4238</v>
      </c>
      <c r="B219">
        <v>1994</v>
      </c>
      <c r="C219" t="s">
        <v>4703</v>
      </c>
      <c r="D219">
        <v>27</v>
      </c>
      <c r="E219">
        <v>0</v>
      </c>
      <c r="F219" s="13">
        <v>2170.08</v>
      </c>
      <c r="G219" t="s">
        <v>4697</v>
      </c>
      <c r="H219" t="s">
        <v>4697</v>
      </c>
      <c r="I219" t="s">
        <v>4699</v>
      </c>
      <c r="J219" s="10">
        <f t="shared" si="6"/>
        <v>34604</v>
      </c>
      <c r="K219">
        <f t="shared" si="7"/>
        <v>28</v>
      </c>
    </row>
    <row r="220" spans="1:11">
      <c r="A220" t="s">
        <v>4236</v>
      </c>
      <c r="B220">
        <v>1991</v>
      </c>
      <c r="C220" t="s">
        <v>4705</v>
      </c>
      <c r="D220">
        <v>16</v>
      </c>
      <c r="E220">
        <v>3</v>
      </c>
      <c r="F220" s="13">
        <v>2193.1999999999998</v>
      </c>
      <c r="G220" t="s">
        <v>4697</v>
      </c>
      <c r="H220" t="s">
        <v>4697</v>
      </c>
      <c r="I220" t="s">
        <v>4704</v>
      </c>
      <c r="J220" s="10">
        <f t="shared" si="6"/>
        <v>33588</v>
      </c>
      <c r="K220">
        <f t="shared" si="7"/>
        <v>31</v>
      </c>
    </row>
    <row r="221" spans="1:11">
      <c r="A221" t="s">
        <v>4234</v>
      </c>
      <c r="B221">
        <v>2004</v>
      </c>
      <c r="C221" t="s">
        <v>4705</v>
      </c>
      <c r="D221">
        <v>7</v>
      </c>
      <c r="E221">
        <v>0</v>
      </c>
      <c r="F221" s="13">
        <v>2196.4699999999998</v>
      </c>
      <c r="G221" t="s">
        <v>4697</v>
      </c>
      <c r="H221" t="s">
        <v>4698</v>
      </c>
      <c r="I221" t="s">
        <v>4714</v>
      </c>
      <c r="J221" s="10">
        <f t="shared" si="6"/>
        <v>38328</v>
      </c>
      <c r="K221">
        <f t="shared" si="7"/>
        <v>18</v>
      </c>
    </row>
    <row r="222" spans="1:11">
      <c r="A222" t="s">
        <v>4232</v>
      </c>
      <c r="B222">
        <v>2004</v>
      </c>
      <c r="C222" t="s">
        <v>4703</v>
      </c>
      <c r="D222">
        <v>3</v>
      </c>
      <c r="E222">
        <v>0</v>
      </c>
      <c r="F222" s="13">
        <v>2198.19</v>
      </c>
      <c r="G222" t="s">
        <v>4697</v>
      </c>
      <c r="H222" t="s">
        <v>4701</v>
      </c>
      <c r="I222" t="s">
        <v>4715</v>
      </c>
      <c r="J222" s="10">
        <f t="shared" si="6"/>
        <v>38233</v>
      </c>
      <c r="K222">
        <f t="shared" si="7"/>
        <v>18</v>
      </c>
    </row>
    <row r="223" spans="1:11">
      <c r="A223" t="s">
        <v>4230</v>
      </c>
      <c r="B223">
        <v>2004</v>
      </c>
      <c r="C223" t="s">
        <v>4703</v>
      </c>
      <c r="D223">
        <v>12</v>
      </c>
      <c r="E223">
        <v>0</v>
      </c>
      <c r="F223" s="13">
        <v>2200.83</v>
      </c>
      <c r="G223" t="s">
        <v>4697</v>
      </c>
      <c r="H223" t="s">
        <v>4697</v>
      </c>
      <c r="I223" t="s">
        <v>4714</v>
      </c>
      <c r="J223" s="10">
        <f t="shared" si="6"/>
        <v>38242</v>
      </c>
      <c r="K223">
        <f t="shared" si="7"/>
        <v>18</v>
      </c>
    </row>
    <row r="224" spans="1:11">
      <c r="A224" t="s">
        <v>4228</v>
      </c>
      <c r="B224">
        <v>2004</v>
      </c>
      <c r="C224" t="s">
        <v>4696</v>
      </c>
      <c r="D224">
        <v>27</v>
      </c>
      <c r="E224">
        <v>1</v>
      </c>
      <c r="F224" s="13">
        <v>2201.1</v>
      </c>
      <c r="G224" t="s">
        <v>4697</v>
      </c>
      <c r="H224" t="s">
        <v>4698</v>
      </c>
      <c r="I224" t="s">
        <v>4699</v>
      </c>
      <c r="J224" s="10">
        <f t="shared" si="6"/>
        <v>38195</v>
      </c>
      <c r="K224">
        <f t="shared" si="7"/>
        <v>18</v>
      </c>
    </row>
    <row r="225" spans="1:11">
      <c r="A225" t="s">
        <v>4226</v>
      </c>
      <c r="B225">
        <v>2004</v>
      </c>
      <c r="C225" t="s">
        <v>4706</v>
      </c>
      <c r="D225">
        <v>6</v>
      </c>
      <c r="E225">
        <v>0</v>
      </c>
      <c r="F225" s="13">
        <v>2203.4699999999998</v>
      </c>
      <c r="G225" t="s">
        <v>4697</v>
      </c>
      <c r="H225" t="s">
        <v>4697</v>
      </c>
      <c r="I225" t="s">
        <v>4714</v>
      </c>
      <c r="J225" s="10">
        <f t="shared" si="6"/>
        <v>38205</v>
      </c>
      <c r="K225">
        <f t="shared" si="7"/>
        <v>18</v>
      </c>
    </row>
    <row r="226" spans="1:11">
      <c r="A226" t="s">
        <v>4224</v>
      </c>
      <c r="B226">
        <v>2004</v>
      </c>
      <c r="C226" t="s">
        <v>4707</v>
      </c>
      <c r="D226">
        <v>28</v>
      </c>
      <c r="E226">
        <v>0</v>
      </c>
      <c r="F226" s="13">
        <v>2203.7399999999998</v>
      </c>
      <c r="G226" t="s">
        <v>4697</v>
      </c>
      <c r="H226" t="s">
        <v>4697</v>
      </c>
      <c r="I226" t="s">
        <v>4714</v>
      </c>
      <c r="J226" s="10">
        <f t="shared" si="6"/>
        <v>38288</v>
      </c>
      <c r="K226">
        <f t="shared" si="7"/>
        <v>18</v>
      </c>
    </row>
    <row r="227" spans="1:11">
      <c r="A227" t="s">
        <v>4222</v>
      </c>
      <c r="B227">
        <v>2004</v>
      </c>
      <c r="C227" t="s">
        <v>4700</v>
      </c>
      <c r="D227">
        <v>13</v>
      </c>
      <c r="E227">
        <v>0</v>
      </c>
      <c r="F227" s="13">
        <v>2205.98</v>
      </c>
      <c r="G227" t="s">
        <v>4697</v>
      </c>
      <c r="H227" t="s">
        <v>4698</v>
      </c>
      <c r="I227" t="s">
        <v>4714</v>
      </c>
      <c r="J227" s="10">
        <f t="shared" si="6"/>
        <v>38304</v>
      </c>
      <c r="K227">
        <f t="shared" si="7"/>
        <v>18</v>
      </c>
    </row>
    <row r="228" spans="1:11">
      <c r="A228" t="s">
        <v>4220</v>
      </c>
      <c r="B228">
        <v>2004</v>
      </c>
      <c r="C228" t="s">
        <v>4706</v>
      </c>
      <c r="D228">
        <v>6</v>
      </c>
      <c r="E228">
        <v>0</v>
      </c>
      <c r="F228" s="13">
        <v>2207.6999999999998</v>
      </c>
      <c r="G228" t="s">
        <v>4697</v>
      </c>
      <c r="H228" t="s">
        <v>4697</v>
      </c>
      <c r="I228" t="s">
        <v>4714</v>
      </c>
      <c r="J228" s="10">
        <f t="shared" si="6"/>
        <v>38205</v>
      </c>
      <c r="K228">
        <f t="shared" si="7"/>
        <v>18</v>
      </c>
    </row>
    <row r="229" spans="1:11">
      <c r="A229" t="s">
        <v>4218</v>
      </c>
      <c r="B229">
        <v>2004</v>
      </c>
      <c r="C229" t="s">
        <v>4696</v>
      </c>
      <c r="D229">
        <v>27</v>
      </c>
      <c r="E229">
        <v>0</v>
      </c>
      <c r="F229" s="13">
        <v>2211.13</v>
      </c>
      <c r="G229" t="s">
        <v>4697</v>
      </c>
      <c r="H229" t="s">
        <v>4697</v>
      </c>
      <c r="I229" t="s">
        <v>4714</v>
      </c>
      <c r="J229" s="10">
        <f t="shared" si="6"/>
        <v>38195</v>
      </c>
      <c r="K229">
        <f t="shared" si="7"/>
        <v>18</v>
      </c>
    </row>
    <row r="230" spans="1:11">
      <c r="A230" t="s">
        <v>4216</v>
      </c>
      <c r="B230">
        <v>1994</v>
      </c>
      <c r="C230" t="s">
        <v>4700</v>
      </c>
      <c r="D230">
        <v>17</v>
      </c>
      <c r="E230">
        <v>0</v>
      </c>
      <c r="F230" s="13">
        <v>2213.21</v>
      </c>
      <c r="G230" t="s">
        <v>4697</v>
      </c>
      <c r="H230" t="s">
        <v>4697</v>
      </c>
      <c r="I230" t="s">
        <v>4699</v>
      </c>
      <c r="J230" s="10">
        <f t="shared" si="6"/>
        <v>34655</v>
      </c>
      <c r="K230">
        <f t="shared" si="7"/>
        <v>28</v>
      </c>
    </row>
    <row r="231" spans="1:11">
      <c r="A231" t="s">
        <v>4214</v>
      </c>
      <c r="B231">
        <v>2004</v>
      </c>
      <c r="C231" t="s">
        <v>4702</v>
      </c>
      <c r="D231">
        <v>13</v>
      </c>
      <c r="E231">
        <v>0</v>
      </c>
      <c r="F231" s="13">
        <v>2217.4699999999998</v>
      </c>
      <c r="G231" t="s">
        <v>4697</v>
      </c>
      <c r="H231" t="s">
        <v>4701</v>
      </c>
      <c r="I231" t="s">
        <v>4714</v>
      </c>
      <c r="J231" s="10">
        <f t="shared" si="6"/>
        <v>38151</v>
      </c>
      <c r="K231">
        <f t="shared" si="7"/>
        <v>18</v>
      </c>
    </row>
    <row r="232" spans="1:11">
      <c r="A232" t="s">
        <v>4212</v>
      </c>
      <c r="B232">
        <v>2004</v>
      </c>
      <c r="C232" t="s">
        <v>4703</v>
      </c>
      <c r="D232">
        <v>25</v>
      </c>
      <c r="E232">
        <v>0</v>
      </c>
      <c r="F232" s="13">
        <v>2217.6</v>
      </c>
      <c r="G232" t="s">
        <v>4697</v>
      </c>
      <c r="H232" t="s">
        <v>4701</v>
      </c>
      <c r="I232" t="s">
        <v>4714</v>
      </c>
      <c r="J232" s="10">
        <f t="shared" si="6"/>
        <v>38255</v>
      </c>
      <c r="K232">
        <f t="shared" si="7"/>
        <v>18</v>
      </c>
    </row>
    <row r="233" spans="1:11">
      <c r="A233" t="s">
        <v>4210</v>
      </c>
      <c r="B233">
        <v>2004</v>
      </c>
      <c r="C233" t="s">
        <v>4705</v>
      </c>
      <c r="D233">
        <v>12</v>
      </c>
      <c r="E233">
        <v>1</v>
      </c>
      <c r="F233" s="13">
        <v>2219.4499999999998</v>
      </c>
      <c r="G233" t="s">
        <v>4697</v>
      </c>
      <c r="H233" t="s">
        <v>4701</v>
      </c>
      <c r="I233" t="s">
        <v>4699</v>
      </c>
      <c r="J233" s="10">
        <f t="shared" si="6"/>
        <v>38333</v>
      </c>
      <c r="K233">
        <f t="shared" si="7"/>
        <v>18</v>
      </c>
    </row>
    <row r="234" spans="1:11">
      <c r="A234" t="s">
        <v>4208</v>
      </c>
      <c r="B234">
        <v>2003</v>
      </c>
      <c r="C234" t="s">
        <v>4705</v>
      </c>
      <c r="D234">
        <v>10</v>
      </c>
      <c r="E234">
        <v>1</v>
      </c>
      <c r="F234" s="13">
        <v>2221.56</v>
      </c>
      <c r="G234" t="s">
        <v>4697</v>
      </c>
      <c r="H234" t="s">
        <v>4698</v>
      </c>
      <c r="I234" t="s">
        <v>4704</v>
      </c>
      <c r="J234" s="10">
        <f t="shared" si="6"/>
        <v>37965</v>
      </c>
      <c r="K234">
        <f t="shared" si="7"/>
        <v>19</v>
      </c>
    </row>
    <row r="235" spans="1:11">
      <c r="A235" t="s">
        <v>4206</v>
      </c>
      <c r="B235">
        <v>2000</v>
      </c>
      <c r="C235" t="s">
        <v>4702</v>
      </c>
      <c r="D235">
        <v>30</v>
      </c>
      <c r="E235">
        <v>0</v>
      </c>
      <c r="F235" s="13">
        <v>2250.84</v>
      </c>
      <c r="G235" t="s">
        <v>4697</v>
      </c>
      <c r="H235" t="s">
        <v>4697</v>
      </c>
      <c r="I235" t="s">
        <v>4712</v>
      </c>
      <c r="J235" s="10">
        <f t="shared" si="6"/>
        <v>36707</v>
      </c>
      <c r="K235">
        <f t="shared" si="7"/>
        <v>22</v>
      </c>
    </row>
    <row r="236" spans="1:11">
      <c r="A236" t="s">
        <v>4204</v>
      </c>
      <c r="B236">
        <v>2000</v>
      </c>
      <c r="C236" t="s">
        <v>4705</v>
      </c>
      <c r="D236">
        <v>11</v>
      </c>
      <c r="E236">
        <v>0</v>
      </c>
      <c r="F236" s="13">
        <v>2254.8000000000002</v>
      </c>
      <c r="G236" t="s">
        <v>4697</v>
      </c>
      <c r="H236" t="s">
        <v>4698</v>
      </c>
      <c r="I236" t="s">
        <v>4711</v>
      </c>
      <c r="J236" s="10">
        <f t="shared" si="6"/>
        <v>36871</v>
      </c>
      <c r="K236">
        <f t="shared" si="7"/>
        <v>22</v>
      </c>
    </row>
    <row r="237" spans="1:11">
      <c r="A237" t="s">
        <v>4202</v>
      </c>
      <c r="B237">
        <v>2002</v>
      </c>
      <c r="C237" t="s">
        <v>4696</v>
      </c>
      <c r="D237">
        <v>15</v>
      </c>
      <c r="E237">
        <v>0</v>
      </c>
      <c r="F237" s="13">
        <v>2257.48</v>
      </c>
      <c r="G237" t="s">
        <v>4697</v>
      </c>
      <c r="H237" t="s">
        <v>4701</v>
      </c>
      <c r="I237" t="s">
        <v>4704</v>
      </c>
      <c r="J237" s="10">
        <f t="shared" si="6"/>
        <v>37452</v>
      </c>
      <c r="K237">
        <f t="shared" si="7"/>
        <v>20</v>
      </c>
    </row>
    <row r="238" spans="1:11">
      <c r="A238" t="s">
        <v>4200</v>
      </c>
      <c r="B238">
        <v>2002</v>
      </c>
      <c r="C238" t="s">
        <v>4700</v>
      </c>
      <c r="D238">
        <v>12</v>
      </c>
      <c r="E238">
        <v>0</v>
      </c>
      <c r="F238" s="13">
        <v>2261.5700000000002</v>
      </c>
      <c r="G238" t="s">
        <v>4697</v>
      </c>
      <c r="H238" t="s">
        <v>4701</v>
      </c>
      <c r="I238" t="s">
        <v>4704</v>
      </c>
      <c r="J238" s="10">
        <f t="shared" si="6"/>
        <v>37572</v>
      </c>
      <c r="K238">
        <f t="shared" si="7"/>
        <v>20</v>
      </c>
    </row>
    <row r="239" spans="1:11">
      <c r="A239" t="s">
        <v>4198</v>
      </c>
      <c r="B239">
        <v>1991</v>
      </c>
      <c r="C239" t="s">
        <v>4702</v>
      </c>
      <c r="D239">
        <v>16</v>
      </c>
      <c r="E239">
        <v>3</v>
      </c>
      <c r="F239" s="13">
        <v>2277.7199999999998</v>
      </c>
      <c r="G239" t="s">
        <v>4697</v>
      </c>
      <c r="H239" t="s">
        <v>4701</v>
      </c>
      <c r="I239" t="s">
        <v>4699</v>
      </c>
      <c r="J239" s="10">
        <f t="shared" si="6"/>
        <v>33405</v>
      </c>
      <c r="K239">
        <f t="shared" si="7"/>
        <v>31</v>
      </c>
    </row>
    <row r="240" spans="1:11">
      <c r="A240" t="s">
        <v>4196</v>
      </c>
      <c r="B240">
        <v>1989</v>
      </c>
      <c r="C240" t="s">
        <v>4707</v>
      </c>
      <c r="D240">
        <v>5</v>
      </c>
      <c r="E240">
        <v>3</v>
      </c>
      <c r="F240" s="13">
        <v>2295.2399999999998</v>
      </c>
      <c r="G240" t="s">
        <v>4697</v>
      </c>
      <c r="H240" t="s">
        <v>4701</v>
      </c>
      <c r="I240" t="s">
        <v>4699</v>
      </c>
      <c r="J240" s="10">
        <f t="shared" si="6"/>
        <v>32786</v>
      </c>
      <c r="K240">
        <f t="shared" si="7"/>
        <v>33</v>
      </c>
    </row>
    <row r="241" spans="1:11">
      <c r="A241" t="s">
        <v>4194</v>
      </c>
      <c r="B241">
        <v>1996</v>
      </c>
      <c r="C241" t="s">
        <v>4700</v>
      </c>
      <c r="D241">
        <v>28</v>
      </c>
      <c r="E241">
        <v>0</v>
      </c>
      <c r="F241" s="13">
        <v>2302.3000000000002</v>
      </c>
      <c r="G241" t="s">
        <v>4701</v>
      </c>
      <c r="H241" t="s">
        <v>4697</v>
      </c>
      <c r="I241" t="s">
        <v>4708</v>
      </c>
      <c r="J241" s="10">
        <f t="shared" si="6"/>
        <v>35397</v>
      </c>
      <c r="K241">
        <f t="shared" si="7"/>
        <v>26</v>
      </c>
    </row>
    <row r="242" spans="1:11">
      <c r="A242" t="s">
        <v>4192</v>
      </c>
      <c r="B242">
        <v>2004</v>
      </c>
      <c r="C242" t="s">
        <v>4703</v>
      </c>
      <c r="D242">
        <v>6</v>
      </c>
      <c r="E242">
        <v>2</v>
      </c>
      <c r="F242" s="13">
        <v>2304</v>
      </c>
      <c r="G242" t="s">
        <v>4697</v>
      </c>
      <c r="H242" t="s">
        <v>4698</v>
      </c>
      <c r="I242" t="s">
        <v>4699</v>
      </c>
      <c r="J242" s="10">
        <f t="shared" si="6"/>
        <v>38236</v>
      </c>
      <c r="K242">
        <f t="shared" si="7"/>
        <v>18</v>
      </c>
    </row>
    <row r="243" spans="1:11">
      <c r="A243" t="s">
        <v>4190</v>
      </c>
      <c r="B243">
        <v>1996</v>
      </c>
      <c r="C243" t="s">
        <v>4705</v>
      </c>
      <c r="D243">
        <v>17</v>
      </c>
      <c r="E243">
        <v>0</v>
      </c>
      <c r="F243" s="13">
        <v>2322.62</v>
      </c>
      <c r="G243" t="s">
        <v>4697</v>
      </c>
      <c r="H243" t="s">
        <v>4701</v>
      </c>
      <c r="I243" t="s">
        <v>4699</v>
      </c>
      <c r="J243" s="10">
        <f t="shared" si="6"/>
        <v>35416</v>
      </c>
      <c r="K243">
        <f t="shared" si="7"/>
        <v>26</v>
      </c>
    </row>
    <row r="244" spans="1:11">
      <c r="A244" t="s">
        <v>4188</v>
      </c>
      <c r="B244">
        <v>2003</v>
      </c>
      <c r="C244" t="s">
        <v>4700</v>
      </c>
      <c r="D244">
        <v>18</v>
      </c>
      <c r="E244">
        <v>1</v>
      </c>
      <c r="F244" s="13">
        <v>2331.52</v>
      </c>
      <c r="G244" t="s">
        <v>4697</v>
      </c>
      <c r="H244" t="s">
        <v>4698</v>
      </c>
      <c r="I244" t="s">
        <v>4708</v>
      </c>
      <c r="J244" s="10">
        <f t="shared" si="6"/>
        <v>37943</v>
      </c>
      <c r="K244">
        <f t="shared" si="7"/>
        <v>19</v>
      </c>
    </row>
    <row r="245" spans="1:11">
      <c r="A245" t="s">
        <v>4186</v>
      </c>
      <c r="B245">
        <v>1998</v>
      </c>
      <c r="C245" t="s">
        <v>4707</v>
      </c>
      <c r="D245">
        <v>21</v>
      </c>
      <c r="E245">
        <v>0</v>
      </c>
      <c r="F245" s="13">
        <v>2352.9699999999998</v>
      </c>
      <c r="G245" t="s">
        <v>4698</v>
      </c>
      <c r="H245" t="s">
        <v>4698</v>
      </c>
      <c r="I245" t="s">
        <v>4704</v>
      </c>
      <c r="J245" s="10">
        <f t="shared" si="6"/>
        <v>36089</v>
      </c>
      <c r="K245">
        <f t="shared" si="7"/>
        <v>24</v>
      </c>
    </row>
    <row r="246" spans="1:11">
      <c r="A246" t="s">
        <v>4184</v>
      </c>
      <c r="B246">
        <v>2002</v>
      </c>
      <c r="C246" t="s">
        <v>4700</v>
      </c>
      <c r="D246">
        <v>5</v>
      </c>
      <c r="E246">
        <v>1</v>
      </c>
      <c r="F246" s="13">
        <v>2362.23</v>
      </c>
      <c r="G246" t="s">
        <v>4697</v>
      </c>
      <c r="H246" t="s">
        <v>4701</v>
      </c>
      <c r="I246" t="s">
        <v>4704</v>
      </c>
      <c r="J246" s="10">
        <f t="shared" si="6"/>
        <v>37565</v>
      </c>
      <c r="K246">
        <f t="shared" si="7"/>
        <v>20</v>
      </c>
    </row>
    <row r="247" spans="1:11">
      <c r="A247" t="s">
        <v>4182</v>
      </c>
      <c r="B247">
        <v>1988</v>
      </c>
      <c r="C247" t="s">
        <v>4705</v>
      </c>
      <c r="D247">
        <v>12</v>
      </c>
      <c r="E247">
        <v>3</v>
      </c>
      <c r="F247" s="13">
        <v>2373.3000000000002</v>
      </c>
      <c r="G247" t="s">
        <v>4697</v>
      </c>
      <c r="H247" t="s">
        <v>4697</v>
      </c>
      <c r="I247" t="s">
        <v>4699</v>
      </c>
      <c r="J247" s="10">
        <f t="shared" si="6"/>
        <v>32489</v>
      </c>
      <c r="K247">
        <f t="shared" si="7"/>
        <v>34</v>
      </c>
    </row>
    <row r="248" spans="1:11">
      <c r="A248" t="s">
        <v>4180</v>
      </c>
      <c r="B248">
        <v>1999</v>
      </c>
      <c r="C248" t="s">
        <v>4705</v>
      </c>
      <c r="D248">
        <v>17</v>
      </c>
      <c r="E248">
        <v>0</v>
      </c>
      <c r="F248" s="13">
        <v>2395.17</v>
      </c>
      <c r="G248" t="s">
        <v>4697</v>
      </c>
      <c r="H248" t="s">
        <v>4701</v>
      </c>
      <c r="I248" t="s">
        <v>4716</v>
      </c>
      <c r="J248" s="10">
        <f t="shared" si="6"/>
        <v>36511</v>
      </c>
      <c r="K248">
        <f t="shared" si="7"/>
        <v>23</v>
      </c>
    </row>
    <row r="249" spans="1:11">
      <c r="A249" t="s">
        <v>4178</v>
      </c>
      <c r="B249">
        <v>1999</v>
      </c>
      <c r="C249" t="s">
        <v>4706</v>
      </c>
      <c r="D249">
        <v>10</v>
      </c>
      <c r="E249">
        <v>0</v>
      </c>
      <c r="F249" s="13">
        <v>2396.1</v>
      </c>
      <c r="G249" t="s">
        <v>4697</v>
      </c>
      <c r="H249" t="s">
        <v>4701</v>
      </c>
      <c r="I249" t="s">
        <v>4710</v>
      </c>
      <c r="J249" s="10">
        <f t="shared" si="6"/>
        <v>36382</v>
      </c>
      <c r="K249">
        <f t="shared" si="7"/>
        <v>23</v>
      </c>
    </row>
    <row r="250" spans="1:11">
      <c r="A250" t="s">
        <v>4176</v>
      </c>
      <c r="B250">
        <v>2001</v>
      </c>
      <c r="C250" t="s">
        <v>4702</v>
      </c>
      <c r="D250">
        <v>3</v>
      </c>
      <c r="E250">
        <v>0</v>
      </c>
      <c r="F250" s="13">
        <v>2404.73</v>
      </c>
      <c r="G250" t="s">
        <v>4697</v>
      </c>
      <c r="H250" t="s">
        <v>4698</v>
      </c>
      <c r="I250" t="s">
        <v>4704</v>
      </c>
      <c r="J250" s="10">
        <f t="shared" si="6"/>
        <v>37045</v>
      </c>
      <c r="K250">
        <f t="shared" si="7"/>
        <v>22</v>
      </c>
    </row>
    <row r="251" spans="1:11">
      <c r="A251" t="s">
        <v>4174</v>
      </c>
      <c r="B251">
        <v>1999</v>
      </c>
      <c r="C251" t="s">
        <v>4700</v>
      </c>
      <c r="D251">
        <v>12</v>
      </c>
      <c r="E251">
        <v>1</v>
      </c>
      <c r="F251" s="13">
        <v>2416.96</v>
      </c>
      <c r="G251" t="s">
        <v>4697</v>
      </c>
      <c r="H251" t="s">
        <v>4697</v>
      </c>
      <c r="I251" t="s">
        <v>4708</v>
      </c>
      <c r="J251" s="10">
        <f t="shared" si="6"/>
        <v>36476</v>
      </c>
      <c r="K251">
        <f t="shared" si="7"/>
        <v>23</v>
      </c>
    </row>
    <row r="252" spans="1:11">
      <c r="A252" t="s">
        <v>4172</v>
      </c>
      <c r="B252">
        <v>1999</v>
      </c>
      <c r="C252" t="s">
        <v>4700</v>
      </c>
      <c r="D252">
        <v>21</v>
      </c>
      <c r="E252">
        <v>1</v>
      </c>
      <c r="F252" s="13">
        <v>2438.06</v>
      </c>
      <c r="G252" t="s">
        <v>4697</v>
      </c>
      <c r="H252" t="s">
        <v>4697</v>
      </c>
      <c r="I252" t="s">
        <v>4699</v>
      </c>
      <c r="J252" s="10">
        <f t="shared" si="6"/>
        <v>36485</v>
      </c>
      <c r="K252">
        <f t="shared" si="7"/>
        <v>23</v>
      </c>
    </row>
    <row r="253" spans="1:11">
      <c r="A253" t="s">
        <v>4170</v>
      </c>
      <c r="B253">
        <v>2002</v>
      </c>
      <c r="C253" t="s">
        <v>4696</v>
      </c>
      <c r="D253">
        <v>29</v>
      </c>
      <c r="E253">
        <v>0</v>
      </c>
      <c r="F253" s="13">
        <v>2457.21</v>
      </c>
      <c r="G253" t="s">
        <v>4697</v>
      </c>
      <c r="H253" t="s">
        <v>4701</v>
      </c>
      <c r="I253" t="s">
        <v>4714</v>
      </c>
      <c r="J253" s="10">
        <f t="shared" si="6"/>
        <v>37466</v>
      </c>
      <c r="K253">
        <f t="shared" si="7"/>
        <v>20</v>
      </c>
    </row>
    <row r="254" spans="1:11">
      <c r="A254" t="s">
        <v>4168</v>
      </c>
      <c r="B254">
        <v>1998</v>
      </c>
      <c r="C254" t="s">
        <v>4700</v>
      </c>
      <c r="D254">
        <v>19</v>
      </c>
      <c r="E254">
        <v>0</v>
      </c>
      <c r="F254" s="13">
        <v>2457.5</v>
      </c>
      <c r="G254" t="s">
        <v>4697</v>
      </c>
      <c r="H254" t="s">
        <v>4701</v>
      </c>
      <c r="I254" t="s">
        <v>4708</v>
      </c>
      <c r="J254" s="10">
        <f t="shared" si="6"/>
        <v>36118</v>
      </c>
      <c r="K254">
        <f t="shared" si="7"/>
        <v>24</v>
      </c>
    </row>
    <row r="255" spans="1:11">
      <c r="A255" t="s">
        <v>4166</v>
      </c>
      <c r="B255">
        <v>2002</v>
      </c>
      <c r="C255" t="s">
        <v>4696</v>
      </c>
      <c r="D255">
        <v>11</v>
      </c>
      <c r="E255">
        <v>0</v>
      </c>
      <c r="F255" s="13">
        <v>2459.7199999999998</v>
      </c>
      <c r="G255" t="s">
        <v>4697</v>
      </c>
      <c r="H255" t="s">
        <v>4697</v>
      </c>
      <c r="I255" t="s">
        <v>4714</v>
      </c>
      <c r="J255" s="10">
        <f t="shared" si="6"/>
        <v>37448</v>
      </c>
      <c r="K255">
        <f t="shared" si="7"/>
        <v>20</v>
      </c>
    </row>
    <row r="256" spans="1:11">
      <c r="A256" t="s">
        <v>4164</v>
      </c>
      <c r="B256">
        <v>1998</v>
      </c>
      <c r="C256" t="s">
        <v>4706</v>
      </c>
      <c r="D256">
        <v>17</v>
      </c>
      <c r="E256">
        <v>0</v>
      </c>
      <c r="F256" s="13">
        <v>2464.62</v>
      </c>
      <c r="G256" t="s">
        <v>4697</v>
      </c>
      <c r="H256" t="s">
        <v>4698</v>
      </c>
      <c r="I256" t="s">
        <v>4699</v>
      </c>
      <c r="J256" s="10">
        <f t="shared" si="6"/>
        <v>36024</v>
      </c>
      <c r="K256">
        <f t="shared" si="7"/>
        <v>24</v>
      </c>
    </row>
    <row r="257" spans="1:11">
      <c r="A257" t="s">
        <v>4162</v>
      </c>
      <c r="B257">
        <v>1998</v>
      </c>
      <c r="C257" t="s">
        <v>4696</v>
      </c>
      <c r="D257">
        <v>2</v>
      </c>
      <c r="E257">
        <v>0</v>
      </c>
      <c r="F257" s="13">
        <v>2473.33</v>
      </c>
      <c r="G257" t="s">
        <v>4697</v>
      </c>
      <c r="H257" t="s">
        <v>4698</v>
      </c>
      <c r="I257" t="s">
        <v>4699</v>
      </c>
      <c r="J257" s="10">
        <f t="shared" si="6"/>
        <v>35978</v>
      </c>
      <c r="K257">
        <f t="shared" si="7"/>
        <v>24</v>
      </c>
    </row>
    <row r="258" spans="1:11">
      <c r="A258" t="s">
        <v>4160</v>
      </c>
      <c r="B258">
        <v>1998</v>
      </c>
      <c r="C258" t="s">
        <v>4702</v>
      </c>
      <c r="D258">
        <v>20</v>
      </c>
      <c r="E258">
        <v>0</v>
      </c>
      <c r="F258" s="13">
        <v>2480.98</v>
      </c>
      <c r="G258" t="s">
        <v>4697</v>
      </c>
      <c r="H258" t="s">
        <v>4697</v>
      </c>
      <c r="I258" t="s">
        <v>4699</v>
      </c>
      <c r="J258" s="10">
        <f t="shared" ref="J258:J321" si="8">DATEVALUE(D258&amp;"-"&amp;C258&amp;"-"&amp;B258)</f>
        <v>35966</v>
      </c>
      <c r="K258">
        <f t="shared" si="7"/>
        <v>24</v>
      </c>
    </row>
    <row r="259" spans="1:11">
      <c r="A259" t="s">
        <v>4158</v>
      </c>
      <c r="B259">
        <v>1995</v>
      </c>
      <c r="C259" t="s">
        <v>4700</v>
      </c>
      <c r="D259">
        <v>6</v>
      </c>
      <c r="E259">
        <v>0</v>
      </c>
      <c r="F259" s="13">
        <v>2483.7399999999998</v>
      </c>
      <c r="G259" t="s">
        <v>4698</v>
      </c>
      <c r="H259" t="s">
        <v>4697</v>
      </c>
      <c r="I259" t="s">
        <v>4699</v>
      </c>
      <c r="J259" s="10">
        <f t="shared" si="8"/>
        <v>35009</v>
      </c>
      <c r="K259">
        <f t="shared" ref="K259:K322" si="9">DATEDIF(J259, DATE(2023, 6, 8), "Y")</f>
        <v>27</v>
      </c>
    </row>
    <row r="260" spans="1:11">
      <c r="A260" t="s">
        <v>4156</v>
      </c>
      <c r="B260">
        <v>1995</v>
      </c>
      <c r="C260" t="s">
        <v>4707</v>
      </c>
      <c r="D260">
        <v>14</v>
      </c>
      <c r="E260">
        <v>0</v>
      </c>
      <c r="F260" s="13">
        <v>2494.02</v>
      </c>
      <c r="G260" t="s">
        <v>4698</v>
      </c>
      <c r="H260" t="s">
        <v>4701</v>
      </c>
      <c r="I260" t="s">
        <v>4708</v>
      </c>
      <c r="J260" s="10">
        <f t="shared" si="8"/>
        <v>34986</v>
      </c>
      <c r="K260">
        <f t="shared" si="9"/>
        <v>27</v>
      </c>
    </row>
    <row r="261" spans="1:11">
      <c r="A261" t="s">
        <v>4154</v>
      </c>
      <c r="B261">
        <v>1995</v>
      </c>
      <c r="C261" t="s">
        <v>4696</v>
      </c>
      <c r="D261">
        <v>9</v>
      </c>
      <c r="E261">
        <v>0</v>
      </c>
      <c r="F261" s="13">
        <v>2497.04</v>
      </c>
      <c r="G261" t="s">
        <v>4698</v>
      </c>
      <c r="H261" t="s">
        <v>4698</v>
      </c>
      <c r="I261" t="s">
        <v>4699</v>
      </c>
      <c r="J261" s="10">
        <f t="shared" si="8"/>
        <v>34889</v>
      </c>
      <c r="K261">
        <f t="shared" si="9"/>
        <v>27</v>
      </c>
    </row>
    <row r="262" spans="1:11">
      <c r="A262" t="s">
        <v>4152</v>
      </c>
      <c r="B262">
        <v>1995</v>
      </c>
      <c r="C262" t="s">
        <v>4707</v>
      </c>
      <c r="D262">
        <v>15</v>
      </c>
      <c r="E262">
        <v>0</v>
      </c>
      <c r="F262" s="13">
        <v>2498.41</v>
      </c>
      <c r="G262" t="s">
        <v>4698</v>
      </c>
      <c r="H262" t="s">
        <v>4698</v>
      </c>
      <c r="I262" t="s">
        <v>4699</v>
      </c>
      <c r="J262" s="10">
        <f t="shared" si="8"/>
        <v>34987</v>
      </c>
      <c r="K262">
        <f t="shared" si="9"/>
        <v>27</v>
      </c>
    </row>
    <row r="263" spans="1:11">
      <c r="A263" t="s">
        <v>4150</v>
      </c>
      <c r="B263">
        <v>2004</v>
      </c>
      <c r="C263" t="s">
        <v>4703</v>
      </c>
      <c r="D263">
        <v>6</v>
      </c>
      <c r="E263">
        <v>0</v>
      </c>
      <c r="F263" s="13">
        <v>2500.9299999999998</v>
      </c>
      <c r="G263" t="s">
        <v>4697</v>
      </c>
      <c r="H263" t="s">
        <v>4697</v>
      </c>
      <c r="I263" t="s">
        <v>4704</v>
      </c>
      <c r="J263" s="10">
        <f t="shared" si="8"/>
        <v>38236</v>
      </c>
      <c r="K263">
        <f t="shared" si="9"/>
        <v>18</v>
      </c>
    </row>
    <row r="264" spans="1:11">
      <c r="A264" t="s">
        <v>4148</v>
      </c>
      <c r="B264">
        <v>1991</v>
      </c>
      <c r="C264" t="s">
        <v>4706</v>
      </c>
      <c r="D264">
        <v>5</v>
      </c>
      <c r="E264">
        <v>3</v>
      </c>
      <c r="F264" s="13">
        <v>2510.79</v>
      </c>
      <c r="G264" t="s">
        <v>4697</v>
      </c>
      <c r="H264" t="s">
        <v>4701</v>
      </c>
      <c r="I264" t="s">
        <v>4699</v>
      </c>
      <c r="J264" s="10">
        <f t="shared" si="8"/>
        <v>33455</v>
      </c>
      <c r="K264">
        <f t="shared" si="9"/>
        <v>31</v>
      </c>
    </row>
    <row r="265" spans="1:11">
      <c r="A265" t="s">
        <v>4146</v>
      </c>
      <c r="B265">
        <v>1997</v>
      </c>
      <c r="C265" t="s">
        <v>4700</v>
      </c>
      <c r="D265">
        <v>2</v>
      </c>
      <c r="E265">
        <v>0</v>
      </c>
      <c r="F265" s="13">
        <v>2523.17</v>
      </c>
      <c r="G265" t="s">
        <v>4698</v>
      </c>
      <c r="H265" t="s">
        <v>4701</v>
      </c>
      <c r="I265" t="s">
        <v>4704</v>
      </c>
      <c r="J265" s="10">
        <f t="shared" si="8"/>
        <v>35736</v>
      </c>
      <c r="K265">
        <f t="shared" si="9"/>
        <v>25</v>
      </c>
    </row>
    <row r="266" spans="1:11">
      <c r="A266" t="s">
        <v>4144</v>
      </c>
      <c r="B266">
        <v>2000</v>
      </c>
      <c r="C266" t="s">
        <v>4706</v>
      </c>
      <c r="D266">
        <v>25</v>
      </c>
      <c r="E266">
        <v>0</v>
      </c>
      <c r="F266" s="13">
        <v>2527.8200000000002</v>
      </c>
      <c r="G266" t="s">
        <v>4697</v>
      </c>
      <c r="H266" t="s">
        <v>4698</v>
      </c>
      <c r="I266" t="s">
        <v>4704</v>
      </c>
      <c r="J266" s="10">
        <f t="shared" si="8"/>
        <v>36763</v>
      </c>
      <c r="K266">
        <f t="shared" si="9"/>
        <v>22</v>
      </c>
    </row>
    <row r="267" spans="1:11">
      <c r="A267" t="s">
        <v>4142</v>
      </c>
      <c r="B267">
        <v>1997</v>
      </c>
      <c r="C267" t="s">
        <v>4696</v>
      </c>
      <c r="D267">
        <v>28</v>
      </c>
      <c r="E267">
        <v>0</v>
      </c>
      <c r="F267" s="13">
        <v>2534.39</v>
      </c>
      <c r="G267" t="s">
        <v>4698</v>
      </c>
      <c r="H267" t="s">
        <v>4698</v>
      </c>
      <c r="I267" t="s">
        <v>4704</v>
      </c>
      <c r="J267" s="10">
        <f t="shared" si="8"/>
        <v>35639</v>
      </c>
      <c r="K267">
        <f t="shared" si="9"/>
        <v>25</v>
      </c>
    </row>
    <row r="268" spans="1:11">
      <c r="A268" t="s">
        <v>4140</v>
      </c>
      <c r="B268">
        <v>1990</v>
      </c>
      <c r="C268" t="s">
        <v>4707</v>
      </c>
      <c r="D268">
        <v>1</v>
      </c>
      <c r="E268">
        <v>3</v>
      </c>
      <c r="F268" s="13">
        <v>2540.39</v>
      </c>
      <c r="G268" t="s">
        <v>4697</v>
      </c>
      <c r="H268" t="s">
        <v>4697</v>
      </c>
      <c r="I268" t="s">
        <v>4699</v>
      </c>
      <c r="J268" s="10">
        <f t="shared" si="8"/>
        <v>33147</v>
      </c>
      <c r="K268">
        <f t="shared" si="9"/>
        <v>32</v>
      </c>
    </row>
    <row r="269" spans="1:11">
      <c r="A269" t="s">
        <v>4138</v>
      </c>
      <c r="B269">
        <v>1991</v>
      </c>
      <c r="C269" t="s">
        <v>4700</v>
      </c>
      <c r="D269">
        <v>17</v>
      </c>
      <c r="E269">
        <v>3</v>
      </c>
      <c r="F269" s="13">
        <v>2545.6799999999998</v>
      </c>
      <c r="G269" t="s">
        <v>4697</v>
      </c>
      <c r="H269" t="s">
        <v>4701</v>
      </c>
      <c r="I269" t="s">
        <v>4699</v>
      </c>
      <c r="J269" s="10">
        <f t="shared" si="8"/>
        <v>33559</v>
      </c>
      <c r="K269">
        <f t="shared" si="9"/>
        <v>31</v>
      </c>
    </row>
    <row r="270" spans="1:11">
      <c r="A270" t="s">
        <v>4136</v>
      </c>
      <c r="B270">
        <v>2002</v>
      </c>
      <c r="C270" t="s">
        <v>4707</v>
      </c>
      <c r="D270">
        <v>11</v>
      </c>
      <c r="E270">
        <v>2</v>
      </c>
      <c r="F270" s="13">
        <v>2566.4699999999998</v>
      </c>
      <c r="G270" t="s">
        <v>4697</v>
      </c>
      <c r="H270" t="s">
        <v>4698</v>
      </c>
      <c r="I270" t="s">
        <v>4699</v>
      </c>
      <c r="J270" s="10">
        <f t="shared" si="8"/>
        <v>37540</v>
      </c>
      <c r="K270">
        <f t="shared" si="9"/>
        <v>20</v>
      </c>
    </row>
    <row r="271" spans="1:11">
      <c r="A271" t="s">
        <v>4134</v>
      </c>
      <c r="B271">
        <v>2002</v>
      </c>
      <c r="C271" t="s">
        <v>4696</v>
      </c>
      <c r="D271">
        <v>20</v>
      </c>
      <c r="E271">
        <v>0</v>
      </c>
      <c r="F271" s="13">
        <v>2585.04</v>
      </c>
      <c r="G271" t="s">
        <v>4697</v>
      </c>
      <c r="H271" t="s">
        <v>4697</v>
      </c>
      <c r="I271" t="s">
        <v>4717</v>
      </c>
      <c r="J271" s="10">
        <f t="shared" si="8"/>
        <v>37457</v>
      </c>
      <c r="K271">
        <f t="shared" si="9"/>
        <v>20</v>
      </c>
    </row>
    <row r="272" spans="1:11">
      <c r="A272" t="s">
        <v>4132</v>
      </c>
      <c r="B272">
        <v>2001</v>
      </c>
      <c r="C272" t="s">
        <v>4707</v>
      </c>
      <c r="D272">
        <v>15</v>
      </c>
      <c r="E272">
        <v>1</v>
      </c>
      <c r="F272" s="13">
        <v>2585.27</v>
      </c>
      <c r="G272" t="s">
        <v>4697</v>
      </c>
      <c r="H272" t="s">
        <v>4698</v>
      </c>
      <c r="I272" t="s">
        <v>4708</v>
      </c>
      <c r="J272" s="10">
        <f t="shared" si="8"/>
        <v>37179</v>
      </c>
      <c r="K272">
        <f t="shared" si="9"/>
        <v>21</v>
      </c>
    </row>
    <row r="273" spans="1:11">
      <c r="A273" t="s">
        <v>4130</v>
      </c>
      <c r="B273">
        <v>2001</v>
      </c>
      <c r="C273" t="s">
        <v>4696</v>
      </c>
      <c r="D273">
        <v>28</v>
      </c>
      <c r="E273">
        <v>0</v>
      </c>
      <c r="F273" s="13">
        <v>2585.85</v>
      </c>
      <c r="G273" t="s">
        <v>4697</v>
      </c>
      <c r="H273" t="s">
        <v>4697</v>
      </c>
      <c r="I273" t="s">
        <v>4714</v>
      </c>
      <c r="J273" s="10">
        <f t="shared" si="8"/>
        <v>37100</v>
      </c>
      <c r="K273">
        <f t="shared" si="9"/>
        <v>21</v>
      </c>
    </row>
    <row r="274" spans="1:11">
      <c r="A274" t="s">
        <v>4128</v>
      </c>
      <c r="B274">
        <v>2001</v>
      </c>
      <c r="C274" t="s">
        <v>4706</v>
      </c>
      <c r="D274">
        <v>26</v>
      </c>
      <c r="E274">
        <v>1</v>
      </c>
      <c r="F274" s="13">
        <v>2597.7800000000002</v>
      </c>
      <c r="G274" t="s">
        <v>4697</v>
      </c>
      <c r="H274" t="s">
        <v>4701</v>
      </c>
      <c r="I274" t="s">
        <v>4708</v>
      </c>
      <c r="J274" s="10">
        <f t="shared" si="8"/>
        <v>37129</v>
      </c>
      <c r="K274">
        <f t="shared" si="9"/>
        <v>21</v>
      </c>
    </row>
    <row r="275" spans="1:11">
      <c r="A275" t="s">
        <v>4126</v>
      </c>
      <c r="B275">
        <v>1997</v>
      </c>
      <c r="C275" t="s">
        <v>4706</v>
      </c>
      <c r="D275">
        <v>26</v>
      </c>
      <c r="E275">
        <v>0</v>
      </c>
      <c r="F275" s="13">
        <v>2632.99</v>
      </c>
      <c r="G275" t="s">
        <v>4697</v>
      </c>
      <c r="H275" t="s">
        <v>4701</v>
      </c>
      <c r="I275" t="s">
        <v>4708</v>
      </c>
      <c r="J275" s="10">
        <f t="shared" si="8"/>
        <v>35668</v>
      </c>
      <c r="K275">
        <f t="shared" si="9"/>
        <v>25</v>
      </c>
    </row>
    <row r="276" spans="1:11">
      <c r="A276" t="s">
        <v>4124</v>
      </c>
      <c r="B276">
        <v>2000</v>
      </c>
      <c r="C276" t="s">
        <v>4702</v>
      </c>
      <c r="D276">
        <v>24</v>
      </c>
      <c r="E276">
        <v>1</v>
      </c>
      <c r="F276" s="13">
        <v>2639.04</v>
      </c>
      <c r="G276" t="s">
        <v>4697</v>
      </c>
      <c r="H276" t="s">
        <v>4697</v>
      </c>
      <c r="I276" t="s">
        <v>4704</v>
      </c>
      <c r="J276" s="10">
        <f t="shared" si="8"/>
        <v>36701</v>
      </c>
      <c r="K276">
        <f t="shared" si="9"/>
        <v>22</v>
      </c>
    </row>
    <row r="277" spans="1:11">
      <c r="A277" t="s">
        <v>4122</v>
      </c>
      <c r="B277">
        <v>2000</v>
      </c>
      <c r="C277" t="s">
        <v>4705</v>
      </c>
      <c r="D277">
        <v>9</v>
      </c>
      <c r="E277">
        <v>1</v>
      </c>
      <c r="F277" s="13">
        <v>2643.27</v>
      </c>
      <c r="G277" t="s">
        <v>4697</v>
      </c>
      <c r="H277" t="s">
        <v>4701</v>
      </c>
      <c r="I277" t="s">
        <v>4704</v>
      </c>
      <c r="J277" s="10">
        <f t="shared" si="8"/>
        <v>36869</v>
      </c>
      <c r="K277">
        <f t="shared" si="9"/>
        <v>22</v>
      </c>
    </row>
    <row r="278" spans="1:11">
      <c r="A278" t="s">
        <v>4120</v>
      </c>
      <c r="B278">
        <v>1996</v>
      </c>
      <c r="C278" t="s">
        <v>4706</v>
      </c>
      <c r="D278">
        <v>5</v>
      </c>
      <c r="E278">
        <v>0</v>
      </c>
      <c r="F278" s="13">
        <v>2680.95</v>
      </c>
      <c r="G278" t="s">
        <v>4698</v>
      </c>
      <c r="H278" t="s">
        <v>4697</v>
      </c>
      <c r="I278" t="s">
        <v>4704</v>
      </c>
      <c r="J278" s="10">
        <f t="shared" si="8"/>
        <v>35282</v>
      </c>
      <c r="K278">
        <f t="shared" si="9"/>
        <v>26</v>
      </c>
    </row>
    <row r="279" spans="1:11">
      <c r="A279" t="s">
        <v>4118</v>
      </c>
      <c r="B279">
        <v>1994</v>
      </c>
      <c r="C279" t="s">
        <v>4703</v>
      </c>
      <c r="D279">
        <v>17</v>
      </c>
      <c r="E279">
        <v>0</v>
      </c>
      <c r="F279" s="13">
        <v>2684.69</v>
      </c>
      <c r="G279" t="s">
        <v>4697</v>
      </c>
      <c r="H279" t="s">
        <v>4697</v>
      </c>
      <c r="I279" t="s">
        <v>4699</v>
      </c>
      <c r="J279" s="10">
        <f t="shared" si="8"/>
        <v>34594</v>
      </c>
      <c r="K279">
        <f t="shared" si="9"/>
        <v>28</v>
      </c>
    </row>
    <row r="280" spans="1:11">
      <c r="A280" t="s">
        <v>4116</v>
      </c>
      <c r="B280">
        <v>1994</v>
      </c>
      <c r="C280" t="s">
        <v>4707</v>
      </c>
      <c r="D280">
        <v>2</v>
      </c>
      <c r="E280">
        <v>0</v>
      </c>
      <c r="F280" s="13">
        <v>2689.5</v>
      </c>
      <c r="G280" t="s">
        <v>4698</v>
      </c>
      <c r="H280" t="s">
        <v>4697</v>
      </c>
      <c r="I280" t="s">
        <v>4699</v>
      </c>
      <c r="J280" s="10">
        <f t="shared" si="8"/>
        <v>34609</v>
      </c>
      <c r="K280">
        <f t="shared" si="9"/>
        <v>28</v>
      </c>
    </row>
    <row r="281" spans="1:11">
      <c r="A281" t="s">
        <v>4114</v>
      </c>
      <c r="B281">
        <v>1999</v>
      </c>
      <c r="C281" t="s">
        <v>4702</v>
      </c>
      <c r="D281">
        <v>11</v>
      </c>
      <c r="E281">
        <v>0</v>
      </c>
      <c r="F281" s="13">
        <v>2690.11</v>
      </c>
      <c r="G281" t="s">
        <v>4697</v>
      </c>
      <c r="H281" t="s">
        <v>4697</v>
      </c>
      <c r="I281" t="s">
        <v>4704</v>
      </c>
      <c r="J281" s="10">
        <f t="shared" si="8"/>
        <v>36322</v>
      </c>
      <c r="K281">
        <f t="shared" si="9"/>
        <v>23</v>
      </c>
    </row>
    <row r="282" spans="1:11">
      <c r="A282" t="s">
        <v>4112</v>
      </c>
      <c r="B282">
        <v>1996</v>
      </c>
      <c r="C282" t="s">
        <v>4702</v>
      </c>
      <c r="D282">
        <v>13</v>
      </c>
      <c r="E282">
        <v>0</v>
      </c>
      <c r="F282" s="13">
        <v>2699.57</v>
      </c>
      <c r="G282" t="s">
        <v>4697</v>
      </c>
      <c r="H282" t="s">
        <v>4701</v>
      </c>
      <c r="I282" t="s">
        <v>4704</v>
      </c>
      <c r="J282" s="10">
        <f t="shared" si="8"/>
        <v>35229</v>
      </c>
      <c r="K282">
        <f t="shared" si="9"/>
        <v>26</v>
      </c>
    </row>
    <row r="283" spans="1:11">
      <c r="A283" t="s">
        <v>4110</v>
      </c>
      <c r="B283">
        <v>2003</v>
      </c>
      <c r="C283" t="s">
        <v>4696</v>
      </c>
      <c r="D283">
        <v>17</v>
      </c>
      <c r="E283">
        <v>1</v>
      </c>
      <c r="F283" s="13">
        <v>2709.11</v>
      </c>
      <c r="G283" t="s">
        <v>4697</v>
      </c>
      <c r="H283" t="s">
        <v>4697</v>
      </c>
      <c r="I283" t="s">
        <v>4704</v>
      </c>
      <c r="J283" s="10">
        <f t="shared" si="8"/>
        <v>37819</v>
      </c>
      <c r="K283">
        <f t="shared" si="9"/>
        <v>19</v>
      </c>
    </row>
    <row r="284" spans="1:11">
      <c r="A284" t="s">
        <v>4108</v>
      </c>
      <c r="B284">
        <v>2003</v>
      </c>
      <c r="C284" t="s">
        <v>4700</v>
      </c>
      <c r="D284">
        <v>21</v>
      </c>
      <c r="E284">
        <v>1</v>
      </c>
      <c r="F284" s="13">
        <v>2709.24</v>
      </c>
      <c r="G284" t="s">
        <v>4697</v>
      </c>
      <c r="H284" t="s">
        <v>4697</v>
      </c>
      <c r="I284" t="s">
        <v>4704</v>
      </c>
      <c r="J284" s="10">
        <f t="shared" si="8"/>
        <v>37946</v>
      </c>
      <c r="K284">
        <f t="shared" si="9"/>
        <v>19</v>
      </c>
    </row>
    <row r="285" spans="1:11">
      <c r="A285" t="s">
        <v>4106</v>
      </c>
      <c r="B285">
        <v>2003</v>
      </c>
      <c r="C285" t="s">
        <v>4705</v>
      </c>
      <c r="D285">
        <v>1</v>
      </c>
      <c r="E285">
        <v>1</v>
      </c>
      <c r="F285" s="13">
        <v>2710.83</v>
      </c>
      <c r="G285" t="s">
        <v>4697</v>
      </c>
      <c r="H285" t="s">
        <v>4698</v>
      </c>
      <c r="I285" t="s">
        <v>4704</v>
      </c>
      <c r="J285" s="10">
        <f t="shared" si="8"/>
        <v>37956</v>
      </c>
      <c r="K285">
        <f t="shared" si="9"/>
        <v>19</v>
      </c>
    </row>
    <row r="286" spans="1:11">
      <c r="A286" t="s">
        <v>4104</v>
      </c>
      <c r="B286">
        <v>2003</v>
      </c>
      <c r="C286" t="s">
        <v>4706</v>
      </c>
      <c r="D286">
        <v>6</v>
      </c>
      <c r="E286">
        <v>1</v>
      </c>
      <c r="F286" s="13">
        <v>2719.28</v>
      </c>
      <c r="G286" t="s">
        <v>4697</v>
      </c>
      <c r="H286" t="s">
        <v>4697</v>
      </c>
      <c r="I286" t="s">
        <v>4704</v>
      </c>
      <c r="J286" s="10">
        <f t="shared" si="8"/>
        <v>37839</v>
      </c>
      <c r="K286">
        <f t="shared" si="9"/>
        <v>19</v>
      </c>
    </row>
    <row r="287" spans="1:11">
      <c r="A287" t="s">
        <v>4102</v>
      </c>
      <c r="B287">
        <v>1997</v>
      </c>
      <c r="C287" t="s">
        <v>4707</v>
      </c>
      <c r="D287">
        <v>30</v>
      </c>
      <c r="E287">
        <v>0</v>
      </c>
      <c r="F287" s="13">
        <v>2721.32</v>
      </c>
      <c r="G287" t="s">
        <v>4701</v>
      </c>
      <c r="H287" t="s">
        <v>4698</v>
      </c>
      <c r="I287" t="s">
        <v>4716</v>
      </c>
      <c r="J287" s="10">
        <f t="shared" si="8"/>
        <v>35733</v>
      </c>
      <c r="K287">
        <f t="shared" si="9"/>
        <v>25</v>
      </c>
    </row>
    <row r="288" spans="1:11">
      <c r="A288" t="s">
        <v>4100</v>
      </c>
      <c r="B288">
        <v>1988</v>
      </c>
      <c r="C288" t="s">
        <v>4706</v>
      </c>
      <c r="D288">
        <v>20</v>
      </c>
      <c r="E288">
        <v>3</v>
      </c>
      <c r="F288" s="13">
        <v>2726.06</v>
      </c>
      <c r="G288" t="s">
        <v>4697</v>
      </c>
      <c r="H288" t="s">
        <v>4697</v>
      </c>
      <c r="I288" t="s">
        <v>4699</v>
      </c>
      <c r="J288" s="10">
        <f t="shared" si="8"/>
        <v>32375</v>
      </c>
      <c r="K288">
        <f t="shared" si="9"/>
        <v>34</v>
      </c>
    </row>
    <row r="289" spans="1:11">
      <c r="A289" t="s">
        <v>4098</v>
      </c>
      <c r="B289">
        <v>1997</v>
      </c>
      <c r="C289" t="s">
        <v>4707</v>
      </c>
      <c r="D289">
        <v>6</v>
      </c>
      <c r="E289">
        <v>0</v>
      </c>
      <c r="F289" s="13">
        <v>2727.4</v>
      </c>
      <c r="G289" t="s">
        <v>4698</v>
      </c>
      <c r="H289" t="s">
        <v>4698</v>
      </c>
      <c r="I289" t="s">
        <v>4711</v>
      </c>
      <c r="J289" s="10">
        <f t="shared" si="8"/>
        <v>35709</v>
      </c>
      <c r="K289">
        <f t="shared" si="9"/>
        <v>25</v>
      </c>
    </row>
    <row r="290" spans="1:11">
      <c r="A290" t="s">
        <v>4096</v>
      </c>
      <c r="B290">
        <v>2003</v>
      </c>
      <c r="C290" t="s">
        <v>4705</v>
      </c>
      <c r="D290">
        <v>3</v>
      </c>
      <c r="E290">
        <v>1</v>
      </c>
      <c r="F290" s="13">
        <v>2730.11</v>
      </c>
      <c r="G290" t="s">
        <v>4697</v>
      </c>
      <c r="H290" t="s">
        <v>4698</v>
      </c>
      <c r="I290" t="s">
        <v>4704</v>
      </c>
      <c r="J290" s="10">
        <f t="shared" si="8"/>
        <v>37958</v>
      </c>
      <c r="K290">
        <f t="shared" si="9"/>
        <v>19</v>
      </c>
    </row>
    <row r="291" spans="1:11">
      <c r="A291" t="s">
        <v>4094</v>
      </c>
      <c r="B291">
        <v>2000</v>
      </c>
      <c r="C291" t="s">
        <v>4705</v>
      </c>
      <c r="D291">
        <v>17</v>
      </c>
      <c r="E291">
        <v>0</v>
      </c>
      <c r="F291" s="13">
        <v>2731.91</v>
      </c>
      <c r="G291" t="s">
        <v>4697</v>
      </c>
      <c r="H291" t="s">
        <v>4698</v>
      </c>
      <c r="I291" t="s">
        <v>4714</v>
      </c>
      <c r="J291" s="10">
        <f t="shared" si="8"/>
        <v>36877</v>
      </c>
      <c r="K291">
        <f t="shared" si="9"/>
        <v>22</v>
      </c>
    </row>
    <row r="292" spans="1:11">
      <c r="A292" t="s">
        <v>4092</v>
      </c>
      <c r="B292">
        <v>2000</v>
      </c>
      <c r="C292" t="s">
        <v>4707</v>
      </c>
      <c r="D292">
        <v>3</v>
      </c>
      <c r="E292">
        <v>0</v>
      </c>
      <c r="F292" s="13">
        <v>2741.95</v>
      </c>
      <c r="G292" t="s">
        <v>4697</v>
      </c>
      <c r="H292" t="s">
        <v>4698</v>
      </c>
      <c r="I292" t="s">
        <v>4714</v>
      </c>
      <c r="J292" s="10">
        <f t="shared" si="8"/>
        <v>36802</v>
      </c>
      <c r="K292">
        <f t="shared" si="9"/>
        <v>22</v>
      </c>
    </row>
    <row r="293" spans="1:11">
      <c r="A293" t="s">
        <v>4090</v>
      </c>
      <c r="B293">
        <v>2000</v>
      </c>
      <c r="C293" t="s">
        <v>4707</v>
      </c>
      <c r="D293">
        <v>11</v>
      </c>
      <c r="E293">
        <v>0</v>
      </c>
      <c r="F293" s="13">
        <v>2755.02</v>
      </c>
      <c r="G293" t="s">
        <v>4697</v>
      </c>
      <c r="H293" t="s">
        <v>4701</v>
      </c>
      <c r="I293" t="s">
        <v>4714</v>
      </c>
      <c r="J293" s="10">
        <f t="shared" si="8"/>
        <v>36810</v>
      </c>
      <c r="K293">
        <f t="shared" si="9"/>
        <v>22</v>
      </c>
    </row>
    <row r="294" spans="1:11">
      <c r="A294" t="s">
        <v>4088</v>
      </c>
      <c r="B294">
        <v>1997</v>
      </c>
      <c r="C294" t="s">
        <v>4706</v>
      </c>
      <c r="D294">
        <v>10</v>
      </c>
      <c r="E294">
        <v>0</v>
      </c>
      <c r="F294" s="13">
        <v>2758.99</v>
      </c>
      <c r="G294" t="s">
        <v>4697</v>
      </c>
      <c r="H294" t="s">
        <v>4701</v>
      </c>
      <c r="I294" t="s">
        <v>4704</v>
      </c>
      <c r="J294" s="10">
        <f t="shared" si="8"/>
        <v>35652</v>
      </c>
      <c r="K294">
        <f t="shared" si="9"/>
        <v>25</v>
      </c>
    </row>
    <row r="295" spans="1:11">
      <c r="A295" t="s">
        <v>4086</v>
      </c>
      <c r="B295">
        <v>2004</v>
      </c>
      <c r="C295" t="s">
        <v>4700</v>
      </c>
      <c r="D295">
        <v>14</v>
      </c>
      <c r="E295">
        <v>0</v>
      </c>
      <c r="F295" s="13">
        <v>2773.46</v>
      </c>
      <c r="G295" t="s">
        <v>4697</v>
      </c>
      <c r="H295" t="s">
        <v>4701</v>
      </c>
      <c r="I295" t="s">
        <v>4717</v>
      </c>
      <c r="J295" s="10">
        <f t="shared" si="8"/>
        <v>38305</v>
      </c>
      <c r="K295">
        <f t="shared" si="9"/>
        <v>18</v>
      </c>
    </row>
    <row r="296" spans="1:11">
      <c r="A296" t="s">
        <v>4685</v>
      </c>
      <c r="B296">
        <v>1999</v>
      </c>
      <c r="C296" t="s">
        <v>4702</v>
      </c>
      <c r="D296">
        <v>9</v>
      </c>
      <c r="E296">
        <v>1</v>
      </c>
      <c r="F296" s="13">
        <v>2775.19</v>
      </c>
      <c r="G296" t="s">
        <v>4697</v>
      </c>
      <c r="H296" t="s">
        <v>4701</v>
      </c>
      <c r="I296" t="s">
        <v>4704</v>
      </c>
      <c r="J296" s="10">
        <f t="shared" si="8"/>
        <v>36320</v>
      </c>
      <c r="K296">
        <f t="shared" si="9"/>
        <v>23</v>
      </c>
    </row>
    <row r="297" spans="1:11">
      <c r="A297" t="s">
        <v>4084</v>
      </c>
      <c r="B297">
        <v>1999</v>
      </c>
      <c r="C297" t="s">
        <v>4706</v>
      </c>
      <c r="D297">
        <v>29</v>
      </c>
      <c r="E297">
        <v>1</v>
      </c>
      <c r="F297" s="13">
        <v>2775.19</v>
      </c>
      <c r="G297" t="s">
        <v>4697</v>
      </c>
      <c r="H297" t="s">
        <v>4701</v>
      </c>
      <c r="I297" t="s">
        <v>4704</v>
      </c>
      <c r="J297" s="10">
        <f t="shared" si="8"/>
        <v>36401</v>
      </c>
      <c r="K297">
        <f t="shared" si="9"/>
        <v>23</v>
      </c>
    </row>
    <row r="298" spans="1:11">
      <c r="A298" t="s">
        <v>4082</v>
      </c>
      <c r="B298">
        <v>1999</v>
      </c>
      <c r="C298" t="s">
        <v>4705</v>
      </c>
      <c r="D298">
        <v>24</v>
      </c>
      <c r="E298">
        <v>1</v>
      </c>
      <c r="F298" s="13">
        <v>2789.06</v>
      </c>
      <c r="G298" t="s">
        <v>4697</v>
      </c>
      <c r="H298" t="s">
        <v>4698</v>
      </c>
      <c r="I298" t="s">
        <v>4704</v>
      </c>
      <c r="J298" s="10">
        <f t="shared" si="8"/>
        <v>36518</v>
      </c>
      <c r="K298">
        <f t="shared" si="9"/>
        <v>23</v>
      </c>
    </row>
    <row r="299" spans="1:11">
      <c r="A299" t="s">
        <v>4080</v>
      </c>
      <c r="B299">
        <v>2004</v>
      </c>
      <c r="C299" t="s">
        <v>4706</v>
      </c>
      <c r="D299">
        <v>4</v>
      </c>
      <c r="E299">
        <v>2</v>
      </c>
      <c r="F299" s="13">
        <v>2801.26</v>
      </c>
      <c r="G299" t="s">
        <v>4697</v>
      </c>
      <c r="H299" t="s">
        <v>4698</v>
      </c>
      <c r="I299" t="s">
        <v>4699</v>
      </c>
      <c r="J299" s="10">
        <f t="shared" si="8"/>
        <v>38203</v>
      </c>
      <c r="K299">
        <f t="shared" si="9"/>
        <v>18</v>
      </c>
    </row>
    <row r="300" spans="1:11">
      <c r="A300" t="s">
        <v>4078</v>
      </c>
      <c r="B300">
        <v>2003</v>
      </c>
      <c r="C300" t="s">
        <v>4703</v>
      </c>
      <c r="D300">
        <v>23</v>
      </c>
      <c r="E300">
        <v>2</v>
      </c>
      <c r="F300" s="13">
        <v>2803.7</v>
      </c>
      <c r="G300" t="s">
        <v>4697</v>
      </c>
      <c r="H300" t="s">
        <v>4701</v>
      </c>
      <c r="I300" t="s">
        <v>4704</v>
      </c>
      <c r="J300" s="10">
        <f t="shared" si="8"/>
        <v>37887</v>
      </c>
      <c r="K300">
        <f t="shared" si="9"/>
        <v>19</v>
      </c>
    </row>
    <row r="301" spans="1:11">
      <c r="A301" t="s">
        <v>4076</v>
      </c>
      <c r="B301">
        <v>2000</v>
      </c>
      <c r="C301" t="s">
        <v>4707</v>
      </c>
      <c r="D301">
        <v>1</v>
      </c>
      <c r="E301">
        <v>0</v>
      </c>
      <c r="F301" s="13">
        <v>2819.51</v>
      </c>
      <c r="G301" t="s">
        <v>4697</v>
      </c>
      <c r="H301" t="s">
        <v>4698</v>
      </c>
      <c r="I301" t="s">
        <v>4708</v>
      </c>
      <c r="J301" s="10">
        <f t="shared" si="8"/>
        <v>36800</v>
      </c>
      <c r="K301">
        <f t="shared" si="9"/>
        <v>22</v>
      </c>
    </row>
    <row r="302" spans="1:11">
      <c r="A302" t="s">
        <v>4074</v>
      </c>
      <c r="B302">
        <v>1998</v>
      </c>
      <c r="C302" t="s">
        <v>4700</v>
      </c>
      <c r="D302">
        <v>15</v>
      </c>
      <c r="E302">
        <v>0</v>
      </c>
      <c r="F302" s="13">
        <v>2842.76</v>
      </c>
      <c r="G302" t="s">
        <v>4697</v>
      </c>
      <c r="H302" t="s">
        <v>4698</v>
      </c>
      <c r="I302" t="s">
        <v>4704</v>
      </c>
      <c r="J302" s="10">
        <f t="shared" si="8"/>
        <v>36114</v>
      </c>
      <c r="K302">
        <f t="shared" si="9"/>
        <v>24</v>
      </c>
    </row>
    <row r="303" spans="1:11">
      <c r="A303" t="s">
        <v>4072</v>
      </c>
      <c r="B303">
        <v>1998</v>
      </c>
      <c r="C303" t="s">
        <v>4702</v>
      </c>
      <c r="D303">
        <v>17</v>
      </c>
      <c r="E303">
        <v>0</v>
      </c>
      <c r="F303" s="13">
        <v>2850.68</v>
      </c>
      <c r="G303" t="s">
        <v>4697</v>
      </c>
      <c r="H303" t="s">
        <v>4698</v>
      </c>
      <c r="I303" t="s">
        <v>4704</v>
      </c>
      <c r="J303" s="10">
        <f t="shared" si="8"/>
        <v>35963</v>
      </c>
      <c r="K303">
        <f t="shared" si="9"/>
        <v>24</v>
      </c>
    </row>
    <row r="304" spans="1:11">
      <c r="A304" t="s">
        <v>4070</v>
      </c>
      <c r="B304">
        <v>1998</v>
      </c>
      <c r="C304" t="s">
        <v>4703</v>
      </c>
      <c r="D304">
        <v>4</v>
      </c>
      <c r="E304">
        <v>0</v>
      </c>
      <c r="F304" s="13">
        <v>2855.44</v>
      </c>
      <c r="G304" t="s">
        <v>4697</v>
      </c>
      <c r="H304" t="s">
        <v>4698</v>
      </c>
      <c r="I304" t="s">
        <v>4704</v>
      </c>
      <c r="J304" s="10">
        <f t="shared" si="8"/>
        <v>36042</v>
      </c>
      <c r="K304">
        <f t="shared" si="9"/>
        <v>24</v>
      </c>
    </row>
    <row r="305" spans="1:11">
      <c r="A305" t="s">
        <v>4068</v>
      </c>
      <c r="B305">
        <v>1993</v>
      </c>
      <c r="C305" t="s">
        <v>4700</v>
      </c>
      <c r="D305">
        <v>1</v>
      </c>
      <c r="E305">
        <v>0</v>
      </c>
      <c r="F305" s="13">
        <v>2866.09</v>
      </c>
      <c r="G305" t="s">
        <v>4698</v>
      </c>
      <c r="H305" t="s">
        <v>4698</v>
      </c>
      <c r="I305" t="s">
        <v>4708</v>
      </c>
      <c r="J305" s="10">
        <f t="shared" si="8"/>
        <v>34274</v>
      </c>
      <c r="K305">
        <f t="shared" si="9"/>
        <v>29</v>
      </c>
    </row>
    <row r="306" spans="1:11">
      <c r="A306" t="s">
        <v>4066</v>
      </c>
      <c r="B306">
        <v>1993</v>
      </c>
      <c r="C306" t="s">
        <v>4706</v>
      </c>
      <c r="D306">
        <v>12</v>
      </c>
      <c r="E306">
        <v>0</v>
      </c>
      <c r="F306" s="13">
        <v>2867.12</v>
      </c>
      <c r="G306" t="s">
        <v>4701</v>
      </c>
      <c r="H306" t="s">
        <v>4698</v>
      </c>
      <c r="I306" t="s">
        <v>4699</v>
      </c>
      <c r="J306" s="10">
        <f t="shared" si="8"/>
        <v>34193</v>
      </c>
      <c r="K306">
        <f t="shared" si="9"/>
        <v>29</v>
      </c>
    </row>
    <row r="307" spans="1:11">
      <c r="A307" t="s">
        <v>4064</v>
      </c>
      <c r="B307">
        <v>1996</v>
      </c>
      <c r="C307" t="s">
        <v>4702</v>
      </c>
      <c r="D307">
        <v>21</v>
      </c>
      <c r="E307">
        <v>0</v>
      </c>
      <c r="F307" s="13">
        <v>2897.32</v>
      </c>
      <c r="G307" t="s">
        <v>4698</v>
      </c>
      <c r="H307" t="s">
        <v>4698</v>
      </c>
      <c r="I307" t="s">
        <v>4711</v>
      </c>
      <c r="J307" s="10">
        <f t="shared" si="8"/>
        <v>35237</v>
      </c>
      <c r="K307">
        <f t="shared" si="9"/>
        <v>26</v>
      </c>
    </row>
    <row r="308" spans="1:11">
      <c r="A308" t="s">
        <v>4062</v>
      </c>
      <c r="B308">
        <v>2000</v>
      </c>
      <c r="C308" t="s">
        <v>4696</v>
      </c>
      <c r="D308">
        <v>14</v>
      </c>
      <c r="E308">
        <v>0</v>
      </c>
      <c r="F308" s="13">
        <v>2897.46</v>
      </c>
      <c r="G308" t="s">
        <v>4697</v>
      </c>
      <c r="H308" t="s">
        <v>4701</v>
      </c>
      <c r="I308" t="s">
        <v>4704</v>
      </c>
      <c r="J308" s="10">
        <f t="shared" si="8"/>
        <v>36721</v>
      </c>
      <c r="K308">
        <f t="shared" si="9"/>
        <v>22</v>
      </c>
    </row>
    <row r="309" spans="1:11">
      <c r="A309" t="s">
        <v>4060</v>
      </c>
      <c r="B309">
        <v>1999</v>
      </c>
      <c r="C309" t="s">
        <v>4700</v>
      </c>
      <c r="D309">
        <v>1</v>
      </c>
      <c r="E309">
        <v>0</v>
      </c>
      <c r="F309" s="13">
        <v>2899.49</v>
      </c>
      <c r="G309" t="s">
        <v>4697</v>
      </c>
      <c r="H309" t="s">
        <v>4697</v>
      </c>
      <c r="I309" t="s">
        <v>4714</v>
      </c>
      <c r="J309" s="10">
        <f t="shared" si="8"/>
        <v>36465</v>
      </c>
      <c r="K309">
        <f t="shared" si="9"/>
        <v>23</v>
      </c>
    </row>
    <row r="310" spans="1:11">
      <c r="A310" t="s">
        <v>4058</v>
      </c>
      <c r="B310">
        <v>1996</v>
      </c>
      <c r="C310" t="s">
        <v>4707</v>
      </c>
      <c r="D310">
        <v>24</v>
      </c>
      <c r="E310">
        <v>1</v>
      </c>
      <c r="F310" s="13">
        <v>2902.91</v>
      </c>
      <c r="G310" t="s">
        <v>4697</v>
      </c>
      <c r="H310" t="s">
        <v>4697</v>
      </c>
      <c r="I310" t="s">
        <v>4699</v>
      </c>
      <c r="J310" s="10">
        <f t="shared" si="8"/>
        <v>35362</v>
      </c>
      <c r="K310">
        <f t="shared" si="9"/>
        <v>26</v>
      </c>
    </row>
    <row r="311" spans="1:11">
      <c r="A311" t="s">
        <v>4056</v>
      </c>
      <c r="B311">
        <v>1996</v>
      </c>
      <c r="C311" t="s">
        <v>4702</v>
      </c>
      <c r="D311">
        <v>13</v>
      </c>
      <c r="E311">
        <v>1</v>
      </c>
      <c r="F311" s="13">
        <v>2904.09</v>
      </c>
      <c r="G311" t="s">
        <v>4697</v>
      </c>
      <c r="H311" t="s">
        <v>4697</v>
      </c>
      <c r="I311" t="s">
        <v>4708</v>
      </c>
      <c r="J311" s="10">
        <f t="shared" si="8"/>
        <v>35229</v>
      </c>
      <c r="K311">
        <f t="shared" si="9"/>
        <v>26</v>
      </c>
    </row>
    <row r="312" spans="1:11">
      <c r="A312" t="s">
        <v>4054</v>
      </c>
      <c r="B312">
        <v>2003</v>
      </c>
      <c r="C312" t="s">
        <v>4702</v>
      </c>
      <c r="D312">
        <v>5</v>
      </c>
      <c r="E312">
        <v>2</v>
      </c>
      <c r="F312" s="13">
        <v>2913.57</v>
      </c>
      <c r="G312" t="s">
        <v>4697</v>
      </c>
      <c r="H312" t="s">
        <v>4697</v>
      </c>
      <c r="I312" t="s">
        <v>4708</v>
      </c>
      <c r="J312" s="10">
        <f t="shared" si="8"/>
        <v>37777</v>
      </c>
      <c r="K312">
        <f t="shared" si="9"/>
        <v>20</v>
      </c>
    </row>
    <row r="313" spans="1:11">
      <c r="A313" t="s">
        <v>4052</v>
      </c>
      <c r="B313">
        <v>1996</v>
      </c>
      <c r="C313" t="s">
        <v>4702</v>
      </c>
      <c r="D313">
        <v>30</v>
      </c>
      <c r="E313">
        <v>1</v>
      </c>
      <c r="F313" s="13">
        <v>2927.06</v>
      </c>
      <c r="G313" t="s">
        <v>4697</v>
      </c>
      <c r="H313" t="s">
        <v>4697</v>
      </c>
      <c r="I313" t="s">
        <v>4699</v>
      </c>
      <c r="J313" s="10">
        <f t="shared" si="8"/>
        <v>35246</v>
      </c>
      <c r="K313">
        <f t="shared" si="9"/>
        <v>26</v>
      </c>
    </row>
    <row r="314" spans="1:11">
      <c r="A314" t="s">
        <v>4050</v>
      </c>
      <c r="B314">
        <v>2002</v>
      </c>
      <c r="C314" t="s">
        <v>4703</v>
      </c>
      <c r="D314">
        <v>30</v>
      </c>
      <c r="E314">
        <v>0</v>
      </c>
      <c r="F314" s="13">
        <v>2943.41</v>
      </c>
      <c r="G314" t="s">
        <v>4697</v>
      </c>
      <c r="H314" t="s">
        <v>4698</v>
      </c>
      <c r="I314" t="s">
        <v>4704</v>
      </c>
      <c r="J314" s="10">
        <f t="shared" si="8"/>
        <v>37529</v>
      </c>
      <c r="K314">
        <f t="shared" si="9"/>
        <v>20</v>
      </c>
    </row>
    <row r="315" spans="1:11">
      <c r="A315" t="s">
        <v>4048</v>
      </c>
      <c r="B315">
        <v>1995</v>
      </c>
      <c r="C315" t="s">
        <v>4703</v>
      </c>
      <c r="D315">
        <v>24</v>
      </c>
      <c r="E315">
        <v>0</v>
      </c>
      <c r="F315" s="13">
        <v>2974.13</v>
      </c>
      <c r="G315" t="s">
        <v>4697</v>
      </c>
      <c r="H315" t="s">
        <v>4701</v>
      </c>
      <c r="I315" t="s">
        <v>4708</v>
      </c>
      <c r="J315" s="10">
        <f t="shared" si="8"/>
        <v>34966</v>
      </c>
      <c r="K315">
        <f t="shared" si="9"/>
        <v>27</v>
      </c>
    </row>
    <row r="316" spans="1:11">
      <c r="A316" t="s">
        <v>4046</v>
      </c>
      <c r="B316">
        <v>1987</v>
      </c>
      <c r="C316" t="s">
        <v>4702</v>
      </c>
      <c r="D316">
        <v>18</v>
      </c>
      <c r="E316">
        <v>3</v>
      </c>
      <c r="F316" s="13">
        <v>2979.52</v>
      </c>
      <c r="G316" t="s">
        <v>4697</v>
      </c>
      <c r="H316" t="s">
        <v>4698</v>
      </c>
      <c r="I316" t="s">
        <v>4699</v>
      </c>
      <c r="J316" s="10">
        <f t="shared" si="8"/>
        <v>31946</v>
      </c>
      <c r="K316">
        <f t="shared" si="9"/>
        <v>35</v>
      </c>
    </row>
    <row r="317" spans="1:11">
      <c r="A317" t="s">
        <v>4044</v>
      </c>
      <c r="B317">
        <v>1991</v>
      </c>
      <c r="C317" t="s">
        <v>4700</v>
      </c>
      <c r="D317">
        <v>20</v>
      </c>
      <c r="E317">
        <v>3</v>
      </c>
      <c r="F317" s="13">
        <v>2985.67</v>
      </c>
      <c r="G317" t="s">
        <v>4697</v>
      </c>
      <c r="H317" t="s">
        <v>4697</v>
      </c>
      <c r="I317" t="s">
        <v>4699</v>
      </c>
      <c r="J317" s="10">
        <f t="shared" si="8"/>
        <v>33562</v>
      </c>
      <c r="K317">
        <f t="shared" si="9"/>
        <v>31</v>
      </c>
    </row>
    <row r="318" spans="1:11">
      <c r="A318" t="s">
        <v>4042</v>
      </c>
      <c r="B318">
        <v>2002</v>
      </c>
      <c r="C318" t="s">
        <v>4705</v>
      </c>
      <c r="D318">
        <v>15</v>
      </c>
      <c r="E318">
        <v>0</v>
      </c>
      <c r="F318" s="13">
        <v>3012.22</v>
      </c>
      <c r="G318" t="s">
        <v>4697</v>
      </c>
      <c r="H318" t="s">
        <v>4698</v>
      </c>
      <c r="I318" t="s">
        <v>4704</v>
      </c>
      <c r="J318" s="10">
        <f t="shared" si="8"/>
        <v>37605</v>
      </c>
      <c r="K318">
        <f t="shared" si="9"/>
        <v>20</v>
      </c>
    </row>
    <row r="319" spans="1:11">
      <c r="A319" t="s">
        <v>4040</v>
      </c>
      <c r="B319">
        <v>1988</v>
      </c>
      <c r="C319" t="s">
        <v>4703</v>
      </c>
      <c r="D319">
        <v>28</v>
      </c>
      <c r="E319">
        <v>3</v>
      </c>
      <c r="F319" s="13">
        <v>3018.04</v>
      </c>
      <c r="G319" t="s">
        <v>4697</v>
      </c>
      <c r="H319" t="s">
        <v>4697</v>
      </c>
      <c r="I319" t="s">
        <v>4704</v>
      </c>
      <c r="J319" s="10">
        <f t="shared" si="8"/>
        <v>32414</v>
      </c>
      <c r="K319">
        <f t="shared" si="9"/>
        <v>34</v>
      </c>
    </row>
    <row r="320" spans="1:11">
      <c r="A320" t="s">
        <v>4038</v>
      </c>
      <c r="B320">
        <v>1997</v>
      </c>
      <c r="C320" t="s">
        <v>4705</v>
      </c>
      <c r="D320">
        <v>19</v>
      </c>
      <c r="E320">
        <v>0</v>
      </c>
      <c r="F320" s="13">
        <v>3021.81</v>
      </c>
      <c r="G320" t="s">
        <v>4697</v>
      </c>
      <c r="H320" t="s">
        <v>4698</v>
      </c>
      <c r="I320" t="s">
        <v>4704</v>
      </c>
      <c r="J320" s="10">
        <f t="shared" si="8"/>
        <v>35783</v>
      </c>
      <c r="K320">
        <f t="shared" si="9"/>
        <v>25</v>
      </c>
    </row>
    <row r="321" spans="1:11">
      <c r="A321" t="s">
        <v>4036</v>
      </c>
      <c r="B321">
        <v>1998</v>
      </c>
      <c r="C321" t="s">
        <v>4703</v>
      </c>
      <c r="D321">
        <v>15</v>
      </c>
      <c r="E321">
        <v>0</v>
      </c>
      <c r="F321" s="13">
        <v>3044.21</v>
      </c>
      <c r="G321" t="s">
        <v>4697</v>
      </c>
      <c r="H321" t="s">
        <v>4698</v>
      </c>
      <c r="I321" t="s">
        <v>4714</v>
      </c>
      <c r="J321" s="10">
        <f t="shared" si="8"/>
        <v>36053</v>
      </c>
      <c r="K321">
        <f t="shared" si="9"/>
        <v>24</v>
      </c>
    </row>
    <row r="322" spans="1:11">
      <c r="A322" t="s">
        <v>4034</v>
      </c>
      <c r="B322">
        <v>1998</v>
      </c>
      <c r="C322" t="s">
        <v>4706</v>
      </c>
      <c r="D322">
        <v>9</v>
      </c>
      <c r="E322">
        <v>0</v>
      </c>
      <c r="F322" s="13">
        <v>3046.06</v>
      </c>
      <c r="G322" t="s">
        <v>4697</v>
      </c>
      <c r="H322" t="s">
        <v>4701</v>
      </c>
      <c r="I322" t="s">
        <v>4715</v>
      </c>
      <c r="J322" s="10">
        <f t="shared" ref="J322:J385" si="10">DATEVALUE(D322&amp;"-"&amp;C322&amp;"-"&amp;B322)</f>
        <v>36016</v>
      </c>
      <c r="K322">
        <f t="shared" si="9"/>
        <v>24</v>
      </c>
    </row>
    <row r="323" spans="1:11">
      <c r="A323" t="s">
        <v>4032</v>
      </c>
      <c r="B323">
        <v>1997</v>
      </c>
      <c r="C323" t="s">
        <v>4705</v>
      </c>
      <c r="D323">
        <v>22</v>
      </c>
      <c r="E323">
        <v>0</v>
      </c>
      <c r="F323" s="13">
        <v>3051.73</v>
      </c>
      <c r="G323" t="s">
        <v>4697</v>
      </c>
      <c r="H323" t="s">
        <v>4697</v>
      </c>
      <c r="I323" t="s">
        <v>4708</v>
      </c>
      <c r="J323" s="10">
        <f t="shared" si="10"/>
        <v>35786</v>
      </c>
      <c r="K323">
        <f t="shared" ref="K323:K386" si="11">DATEDIF(J323, DATE(2023, 6, 8), "Y")</f>
        <v>25</v>
      </c>
    </row>
    <row r="324" spans="1:11">
      <c r="A324" t="s">
        <v>4030</v>
      </c>
      <c r="B324">
        <v>2002</v>
      </c>
      <c r="C324" t="s">
        <v>4702</v>
      </c>
      <c r="D324">
        <v>21</v>
      </c>
      <c r="E324">
        <v>2</v>
      </c>
      <c r="F324" s="13">
        <v>3056.39</v>
      </c>
      <c r="G324" t="s">
        <v>4697</v>
      </c>
      <c r="H324" t="s">
        <v>4698</v>
      </c>
      <c r="I324" t="s">
        <v>4699</v>
      </c>
      <c r="J324" s="10">
        <f t="shared" si="10"/>
        <v>37428</v>
      </c>
      <c r="K324">
        <f t="shared" si="11"/>
        <v>20</v>
      </c>
    </row>
    <row r="325" spans="1:11">
      <c r="A325" t="s">
        <v>4028</v>
      </c>
      <c r="B325">
        <v>1994</v>
      </c>
      <c r="C325" t="s">
        <v>4703</v>
      </c>
      <c r="D325">
        <v>26</v>
      </c>
      <c r="E325">
        <v>0</v>
      </c>
      <c r="F325" s="13">
        <v>3062.51</v>
      </c>
      <c r="G325" t="s">
        <v>4698</v>
      </c>
      <c r="H325" t="s">
        <v>4701</v>
      </c>
      <c r="I325" t="s">
        <v>4704</v>
      </c>
      <c r="J325" s="10">
        <f t="shared" si="10"/>
        <v>34603</v>
      </c>
      <c r="K325">
        <f t="shared" si="11"/>
        <v>28</v>
      </c>
    </row>
    <row r="326" spans="1:11">
      <c r="A326" t="s">
        <v>4026</v>
      </c>
      <c r="B326">
        <v>1989</v>
      </c>
      <c r="C326" t="s">
        <v>4707</v>
      </c>
      <c r="D326">
        <v>1</v>
      </c>
      <c r="E326">
        <v>3</v>
      </c>
      <c r="F326" s="13">
        <v>3065.49</v>
      </c>
      <c r="G326" t="s">
        <v>4697</v>
      </c>
      <c r="H326" t="s">
        <v>4701</v>
      </c>
      <c r="I326" t="s">
        <v>4704</v>
      </c>
      <c r="J326" s="10">
        <f t="shared" si="10"/>
        <v>32782</v>
      </c>
      <c r="K326">
        <f t="shared" si="11"/>
        <v>33</v>
      </c>
    </row>
    <row r="327" spans="1:11">
      <c r="A327" t="s">
        <v>4024</v>
      </c>
      <c r="B327">
        <v>1995</v>
      </c>
      <c r="C327" t="s">
        <v>4703</v>
      </c>
      <c r="D327">
        <v>10</v>
      </c>
      <c r="E327">
        <v>0</v>
      </c>
      <c r="F327" s="13">
        <v>3070.81</v>
      </c>
      <c r="G327" t="s">
        <v>4698</v>
      </c>
      <c r="H327" t="s">
        <v>4701</v>
      </c>
      <c r="I327" t="s">
        <v>4718</v>
      </c>
      <c r="J327" s="10">
        <f t="shared" si="10"/>
        <v>34952</v>
      </c>
      <c r="K327">
        <f t="shared" si="11"/>
        <v>27</v>
      </c>
    </row>
    <row r="328" spans="1:11">
      <c r="A328" t="s">
        <v>4022</v>
      </c>
      <c r="B328">
        <v>2001</v>
      </c>
      <c r="C328" t="s">
        <v>4707</v>
      </c>
      <c r="D328">
        <v>13</v>
      </c>
      <c r="E328">
        <v>2</v>
      </c>
      <c r="F328" s="13">
        <v>3077.1</v>
      </c>
      <c r="G328" t="s">
        <v>4697</v>
      </c>
      <c r="H328" t="s">
        <v>4701</v>
      </c>
      <c r="I328" t="s">
        <v>4704</v>
      </c>
      <c r="J328" s="10">
        <f t="shared" si="10"/>
        <v>37177</v>
      </c>
      <c r="K328">
        <f t="shared" si="11"/>
        <v>21</v>
      </c>
    </row>
    <row r="329" spans="1:11">
      <c r="A329" t="s">
        <v>4020</v>
      </c>
      <c r="B329">
        <v>1987</v>
      </c>
      <c r="C329" t="s">
        <v>4706</v>
      </c>
      <c r="D329">
        <v>1</v>
      </c>
      <c r="E329">
        <v>3</v>
      </c>
      <c r="F329" s="13">
        <v>3088.06</v>
      </c>
      <c r="G329" t="s">
        <v>4697</v>
      </c>
      <c r="H329" t="s">
        <v>4697</v>
      </c>
      <c r="I329" t="s">
        <v>4699</v>
      </c>
      <c r="J329" s="10">
        <f t="shared" si="10"/>
        <v>31990</v>
      </c>
      <c r="K329">
        <f t="shared" si="11"/>
        <v>35</v>
      </c>
    </row>
    <row r="330" spans="1:11">
      <c r="A330" t="s">
        <v>4018</v>
      </c>
      <c r="B330">
        <v>1999</v>
      </c>
      <c r="C330" t="s">
        <v>4702</v>
      </c>
      <c r="D330">
        <v>25</v>
      </c>
      <c r="E330">
        <v>0</v>
      </c>
      <c r="F330" s="13">
        <v>3128.35</v>
      </c>
      <c r="G330" t="s">
        <v>4697</v>
      </c>
      <c r="H330" t="s">
        <v>4698</v>
      </c>
      <c r="I330" t="s">
        <v>4717</v>
      </c>
      <c r="J330" s="10">
        <f t="shared" si="10"/>
        <v>36336</v>
      </c>
      <c r="K330">
        <f t="shared" si="11"/>
        <v>23</v>
      </c>
    </row>
    <row r="331" spans="1:11">
      <c r="A331" t="s">
        <v>4016</v>
      </c>
      <c r="B331">
        <v>1994</v>
      </c>
      <c r="C331" t="s">
        <v>4696</v>
      </c>
      <c r="D331">
        <v>10</v>
      </c>
      <c r="E331">
        <v>0</v>
      </c>
      <c r="F331" s="13">
        <v>3161.45</v>
      </c>
      <c r="G331" t="s">
        <v>4697</v>
      </c>
      <c r="H331" t="s">
        <v>4701</v>
      </c>
      <c r="I331" t="s">
        <v>4708</v>
      </c>
      <c r="J331" s="10">
        <f t="shared" si="10"/>
        <v>34525</v>
      </c>
      <c r="K331">
        <f t="shared" si="11"/>
        <v>28</v>
      </c>
    </row>
    <row r="332" spans="1:11">
      <c r="A332" t="s">
        <v>4014</v>
      </c>
      <c r="B332">
        <v>1993</v>
      </c>
      <c r="C332" t="s">
        <v>4703</v>
      </c>
      <c r="D332">
        <v>25</v>
      </c>
      <c r="E332">
        <v>0</v>
      </c>
      <c r="F332" s="13">
        <v>3162.02</v>
      </c>
      <c r="G332" t="s">
        <v>4697</v>
      </c>
      <c r="H332" t="s">
        <v>4698</v>
      </c>
      <c r="I332" t="s">
        <v>4699</v>
      </c>
      <c r="J332" s="10">
        <f t="shared" si="10"/>
        <v>34237</v>
      </c>
      <c r="K332">
        <f t="shared" si="11"/>
        <v>29</v>
      </c>
    </row>
    <row r="333" spans="1:11">
      <c r="A333" t="s">
        <v>4012</v>
      </c>
      <c r="B333">
        <v>2001</v>
      </c>
      <c r="C333" t="s">
        <v>4706</v>
      </c>
      <c r="D333">
        <v>29</v>
      </c>
      <c r="E333">
        <v>1</v>
      </c>
      <c r="F333" s="13">
        <v>3167.46</v>
      </c>
      <c r="G333" t="s">
        <v>4697</v>
      </c>
      <c r="H333" t="s">
        <v>4698</v>
      </c>
      <c r="I333" t="s">
        <v>4714</v>
      </c>
      <c r="J333" s="10">
        <f t="shared" si="10"/>
        <v>37132</v>
      </c>
      <c r="K333">
        <f t="shared" si="11"/>
        <v>21</v>
      </c>
    </row>
    <row r="334" spans="1:11">
      <c r="A334" t="s">
        <v>4010</v>
      </c>
      <c r="B334">
        <v>1994</v>
      </c>
      <c r="C334" t="s">
        <v>4707</v>
      </c>
      <c r="D334">
        <v>25</v>
      </c>
      <c r="E334">
        <v>0</v>
      </c>
      <c r="F334" s="13">
        <v>3171.61</v>
      </c>
      <c r="G334" t="s">
        <v>4697</v>
      </c>
      <c r="H334" t="s">
        <v>4698</v>
      </c>
      <c r="I334" t="s">
        <v>4699</v>
      </c>
      <c r="J334" s="10">
        <f t="shared" si="10"/>
        <v>34632</v>
      </c>
      <c r="K334">
        <f t="shared" si="11"/>
        <v>28</v>
      </c>
    </row>
    <row r="335" spans="1:11">
      <c r="A335" t="s">
        <v>4008</v>
      </c>
      <c r="B335">
        <v>1994</v>
      </c>
      <c r="C335" t="s">
        <v>4696</v>
      </c>
      <c r="D335">
        <v>6</v>
      </c>
      <c r="E335">
        <v>0</v>
      </c>
      <c r="F335" s="13">
        <v>3172.02</v>
      </c>
      <c r="G335" t="s">
        <v>4697</v>
      </c>
      <c r="H335" t="s">
        <v>4701</v>
      </c>
      <c r="I335" t="s">
        <v>4708</v>
      </c>
      <c r="J335" s="10">
        <f t="shared" si="10"/>
        <v>34521</v>
      </c>
      <c r="K335">
        <f t="shared" si="11"/>
        <v>28</v>
      </c>
    </row>
    <row r="336" spans="1:11">
      <c r="A336" t="s">
        <v>4006</v>
      </c>
      <c r="B336">
        <v>1996</v>
      </c>
      <c r="C336" t="s">
        <v>4706</v>
      </c>
      <c r="D336">
        <v>14</v>
      </c>
      <c r="E336">
        <v>0</v>
      </c>
      <c r="F336" s="13">
        <v>3176.29</v>
      </c>
      <c r="G336" t="s">
        <v>4697</v>
      </c>
      <c r="H336" t="s">
        <v>4697</v>
      </c>
      <c r="I336" t="s">
        <v>4704</v>
      </c>
      <c r="J336" s="10">
        <f t="shared" si="10"/>
        <v>35291</v>
      </c>
      <c r="K336">
        <f t="shared" si="11"/>
        <v>26</v>
      </c>
    </row>
    <row r="337" spans="1:11">
      <c r="A337" t="s">
        <v>4004</v>
      </c>
      <c r="B337">
        <v>1996</v>
      </c>
      <c r="C337" t="s">
        <v>4696</v>
      </c>
      <c r="D337">
        <v>3</v>
      </c>
      <c r="E337">
        <v>0</v>
      </c>
      <c r="F337" s="13">
        <v>3176.82</v>
      </c>
      <c r="G337" t="s">
        <v>4697</v>
      </c>
      <c r="H337" t="s">
        <v>4701</v>
      </c>
      <c r="I337" t="s">
        <v>4704</v>
      </c>
      <c r="J337" s="10">
        <f t="shared" si="10"/>
        <v>35249</v>
      </c>
      <c r="K337">
        <f t="shared" si="11"/>
        <v>26</v>
      </c>
    </row>
    <row r="338" spans="1:11">
      <c r="A338" t="s">
        <v>4002</v>
      </c>
      <c r="B338">
        <v>2000</v>
      </c>
      <c r="C338" t="s">
        <v>4703</v>
      </c>
      <c r="D338">
        <v>23</v>
      </c>
      <c r="E338">
        <v>0</v>
      </c>
      <c r="F338" s="13">
        <v>3179.96</v>
      </c>
      <c r="G338" t="s">
        <v>4697</v>
      </c>
      <c r="H338" t="s">
        <v>4697</v>
      </c>
      <c r="I338" t="s">
        <v>4704</v>
      </c>
      <c r="J338" s="10">
        <f t="shared" si="10"/>
        <v>36792</v>
      </c>
      <c r="K338">
        <f t="shared" si="11"/>
        <v>22</v>
      </c>
    </row>
    <row r="339" spans="1:11">
      <c r="A339" t="s">
        <v>4000</v>
      </c>
      <c r="B339">
        <v>2001</v>
      </c>
      <c r="C339" t="s">
        <v>4703</v>
      </c>
      <c r="D339">
        <v>2</v>
      </c>
      <c r="E339">
        <v>2</v>
      </c>
      <c r="F339" s="13">
        <v>3180.51</v>
      </c>
      <c r="G339" t="s">
        <v>4697</v>
      </c>
      <c r="H339" t="s">
        <v>4697</v>
      </c>
      <c r="I339" t="s">
        <v>4699</v>
      </c>
      <c r="J339" s="10">
        <f t="shared" si="10"/>
        <v>37136</v>
      </c>
      <c r="K339">
        <f t="shared" si="11"/>
        <v>21</v>
      </c>
    </row>
    <row r="340" spans="1:11">
      <c r="A340" t="s">
        <v>3998</v>
      </c>
      <c r="B340">
        <v>1996</v>
      </c>
      <c r="C340" t="s">
        <v>4707</v>
      </c>
      <c r="D340">
        <v>11</v>
      </c>
      <c r="E340">
        <v>0</v>
      </c>
      <c r="F340" s="13">
        <v>3201.25</v>
      </c>
      <c r="G340" t="s">
        <v>4697</v>
      </c>
      <c r="H340" t="s">
        <v>4698</v>
      </c>
      <c r="I340" t="s">
        <v>4704</v>
      </c>
      <c r="J340" s="10">
        <f t="shared" si="10"/>
        <v>35349</v>
      </c>
      <c r="K340">
        <f t="shared" si="11"/>
        <v>26</v>
      </c>
    </row>
    <row r="341" spans="1:11">
      <c r="A341" t="s">
        <v>3996</v>
      </c>
      <c r="B341">
        <v>1997</v>
      </c>
      <c r="C341" t="s">
        <v>4696</v>
      </c>
      <c r="D341">
        <v>5</v>
      </c>
      <c r="E341">
        <v>0</v>
      </c>
      <c r="F341" s="13">
        <v>3206.49</v>
      </c>
      <c r="G341" t="s">
        <v>4697</v>
      </c>
      <c r="H341" t="s">
        <v>4698</v>
      </c>
      <c r="I341" t="s">
        <v>4714</v>
      </c>
      <c r="J341" s="10">
        <f t="shared" si="10"/>
        <v>35616</v>
      </c>
      <c r="K341">
        <f t="shared" si="11"/>
        <v>25</v>
      </c>
    </row>
    <row r="342" spans="1:11">
      <c r="A342" t="s">
        <v>3994</v>
      </c>
      <c r="B342">
        <v>1997</v>
      </c>
      <c r="C342" t="s">
        <v>4705</v>
      </c>
      <c r="D342">
        <v>22</v>
      </c>
      <c r="E342">
        <v>1</v>
      </c>
      <c r="F342" s="13">
        <v>3208.79</v>
      </c>
      <c r="G342" t="s">
        <v>4697</v>
      </c>
      <c r="H342" t="s">
        <v>4698</v>
      </c>
      <c r="I342" t="s">
        <v>4708</v>
      </c>
      <c r="J342" s="10">
        <f t="shared" si="10"/>
        <v>35786</v>
      </c>
      <c r="K342">
        <f t="shared" si="11"/>
        <v>25</v>
      </c>
    </row>
    <row r="343" spans="1:11">
      <c r="A343" t="s">
        <v>3992</v>
      </c>
      <c r="B343">
        <v>1997</v>
      </c>
      <c r="C343" t="s">
        <v>4696</v>
      </c>
      <c r="D343">
        <v>6</v>
      </c>
      <c r="E343">
        <v>0</v>
      </c>
      <c r="F343" s="13">
        <v>3213.62</v>
      </c>
      <c r="G343" t="s">
        <v>4697</v>
      </c>
      <c r="H343" t="s">
        <v>4697</v>
      </c>
      <c r="I343" t="s">
        <v>4714</v>
      </c>
      <c r="J343" s="10">
        <f t="shared" si="10"/>
        <v>35617</v>
      </c>
      <c r="K343">
        <f t="shared" si="11"/>
        <v>25</v>
      </c>
    </row>
    <row r="344" spans="1:11">
      <c r="A344" t="s">
        <v>3990</v>
      </c>
      <c r="B344">
        <v>1997</v>
      </c>
      <c r="C344" t="s">
        <v>4706</v>
      </c>
      <c r="D344">
        <v>2</v>
      </c>
      <c r="E344">
        <v>1</v>
      </c>
      <c r="F344" s="13">
        <v>3227.12</v>
      </c>
      <c r="G344" t="s">
        <v>4697</v>
      </c>
      <c r="H344" t="s">
        <v>4698</v>
      </c>
      <c r="I344" t="s">
        <v>4699</v>
      </c>
      <c r="J344" s="10">
        <f t="shared" si="10"/>
        <v>35644</v>
      </c>
      <c r="K344">
        <f t="shared" si="11"/>
        <v>25</v>
      </c>
    </row>
    <row r="345" spans="1:11">
      <c r="A345" t="s">
        <v>3988</v>
      </c>
      <c r="B345">
        <v>1997</v>
      </c>
      <c r="C345" t="s">
        <v>4703</v>
      </c>
      <c r="D345">
        <v>2</v>
      </c>
      <c r="E345">
        <v>1</v>
      </c>
      <c r="F345" s="13">
        <v>3238.44</v>
      </c>
      <c r="G345" t="s">
        <v>4697</v>
      </c>
      <c r="H345" t="s">
        <v>4698</v>
      </c>
      <c r="I345" t="s">
        <v>4699</v>
      </c>
      <c r="J345" s="10">
        <f t="shared" si="10"/>
        <v>35675</v>
      </c>
      <c r="K345">
        <f t="shared" si="11"/>
        <v>25</v>
      </c>
    </row>
    <row r="346" spans="1:11">
      <c r="A346" t="s">
        <v>3986</v>
      </c>
      <c r="B346">
        <v>1991</v>
      </c>
      <c r="C346" t="s">
        <v>4700</v>
      </c>
      <c r="D346">
        <v>13</v>
      </c>
      <c r="E346">
        <v>0</v>
      </c>
      <c r="F346" s="13">
        <v>3260.2</v>
      </c>
      <c r="G346" t="s">
        <v>4698</v>
      </c>
      <c r="H346" t="s">
        <v>4697</v>
      </c>
      <c r="I346" t="s">
        <v>4708</v>
      </c>
      <c r="J346" s="10">
        <f t="shared" si="10"/>
        <v>33555</v>
      </c>
      <c r="K346">
        <f t="shared" si="11"/>
        <v>31</v>
      </c>
    </row>
    <row r="347" spans="1:11">
      <c r="A347" t="s">
        <v>3984</v>
      </c>
      <c r="B347">
        <v>1994</v>
      </c>
      <c r="C347" t="s">
        <v>4705</v>
      </c>
      <c r="D347">
        <v>2</v>
      </c>
      <c r="E347">
        <v>0</v>
      </c>
      <c r="F347" s="13">
        <v>3268.85</v>
      </c>
      <c r="G347" t="s">
        <v>4698</v>
      </c>
      <c r="H347" t="s">
        <v>4701</v>
      </c>
      <c r="I347" t="s">
        <v>4711</v>
      </c>
      <c r="J347" s="10">
        <f t="shared" si="10"/>
        <v>34670</v>
      </c>
      <c r="K347">
        <f t="shared" si="11"/>
        <v>28</v>
      </c>
    </row>
    <row r="348" spans="1:11">
      <c r="A348" t="s">
        <v>3982</v>
      </c>
      <c r="B348">
        <v>1994</v>
      </c>
      <c r="C348" t="s">
        <v>4696</v>
      </c>
      <c r="D348">
        <v>1</v>
      </c>
      <c r="E348">
        <v>1</v>
      </c>
      <c r="F348" s="13">
        <v>3277.16</v>
      </c>
      <c r="G348" t="s">
        <v>4697</v>
      </c>
      <c r="H348" t="s">
        <v>4698</v>
      </c>
      <c r="I348" t="s">
        <v>4708</v>
      </c>
      <c r="J348" s="10">
        <f t="shared" si="10"/>
        <v>34516</v>
      </c>
      <c r="K348">
        <f t="shared" si="11"/>
        <v>28</v>
      </c>
    </row>
    <row r="349" spans="1:11">
      <c r="A349" t="s">
        <v>3980</v>
      </c>
      <c r="B349">
        <v>2001</v>
      </c>
      <c r="C349" t="s">
        <v>4707</v>
      </c>
      <c r="D349">
        <v>6</v>
      </c>
      <c r="E349">
        <v>2</v>
      </c>
      <c r="F349" s="13">
        <v>3279.87</v>
      </c>
      <c r="G349" t="s">
        <v>4697</v>
      </c>
      <c r="H349" t="s">
        <v>4701</v>
      </c>
      <c r="I349" t="s">
        <v>4718</v>
      </c>
      <c r="J349" s="10">
        <f t="shared" si="10"/>
        <v>37170</v>
      </c>
      <c r="K349">
        <f t="shared" si="11"/>
        <v>21</v>
      </c>
    </row>
    <row r="350" spans="1:11">
      <c r="A350" t="s">
        <v>3978</v>
      </c>
      <c r="B350">
        <v>2003</v>
      </c>
      <c r="C350" t="s">
        <v>4696</v>
      </c>
      <c r="D350">
        <v>3</v>
      </c>
      <c r="E350">
        <v>0</v>
      </c>
      <c r="F350" s="13">
        <v>3280.22</v>
      </c>
      <c r="G350" t="s">
        <v>4697</v>
      </c>
      <c r="H350" t="s">
        <v>4698</v>
      </c>
      <c r="I350" t="s">
        <v>4708</v>
      </c>
      <c r="J350" s="10">
        <f t="shared" si="10"/>
        <v>37805</v>
      </c>
      <c r="K350">
        <f t="shared" si="11"/>
        <v>19</v>
      </c>
    </row>
    <row r="351" spans="1:11">
      <c r="A351" t="s">
        <v>3976</v>
      </c>
      <c r="B351">
        <v>1996</v>
      </c>
      <c r="C351" t="s">
        <v>4700</v>
      </c>
      <c r="D351">
        <v>17</v>
      </c>
      <c r="E351">
        <v>1</v>
      </c>
      <c r="F351" s="13">
        <v>3292.53</v>
      </c>
      <c r="G351" t="s">
        <v>4697</v>
      </c>
      <c r="H351" t="s">
        <v>4697</v>
      </c>
      <c r="I351" t="s">
        <v>4704</v>
      </c>
      <c r="J351" s="10">
        <f t="shared" si="10"/>
        <v>35386</v>
      </c>
      <c r="K351">
        <f t="shared" si="11"/>
        <v>26</v>
      </c>
    </row>
    <row r="352" spans="1:11">
      <c r="A352" t="s">
        <v>3974</v>
      </c>
      <c r="B352">
        <v>2003</v>
      </c>
      <c r="C352" t="s">
        <v>4705</v>
      </c>
      <c r="D352">
        <v>5</v>
      </c>
      <c r="E352">
        <v>0</v>
      </c>
      <c r="F352" s="13">
        <v>3300.7</v>
      </c>
      <c r="G352" t="s">
        <v>4697</v>
      </c>
      <c r="H352" t="s">
        <v>4697</v>
      </c>
      <c r="I352" t="s">
        <v>4713</v>
      </c>
      <c r="J352" s="10">
        <f t="shared" si="10"/>
        <v>37960</v>
      </c>
      <c r="K352">
        <f t="shared" si="11"/>
        <v>19</v>
      </c>
    </row>
    <row r="353" spans="1:11">
      <c r="A353" t="s">
        <v>3972</v>
      </c>
      <c r="B353">
        <v>2003</v>
      </c>
      <c r="C353" t="s">
        <v>4700</v>
      </c>
      <c r="D353">
        <v>18</v>
      </c>
      <c r="E353">
        <v>0</v>
      </c>
      <c r="F353" s="13">
        <v>3308.46</v>
      </c>
      <c r="G353" t="s">
        <v>4697</v>
      </c>
      <c r="H353" t="s">
        <v>4701</v>
      </c>
      <c r="I353" t="s">
        <v>4717</v>
      </c>
      <c r="J353" s="10">
        <f t="shared" si="10"/>
        <v>37943</v>
      </c>
      <c r="K353">
        <f t="shared" si="11"/>
        <v>19</v>
      </c>
    </row>
    <row r="354" spans="1:11">
      <c r="A354" t="s">
        <v>3970</v>
      </c>
      <c r="B354">
        <v>1997</v>
      </c>
      <c r="C354" t="s">
        <v>4702</v>
      </c>
      <c r="D354">
        <v>20</v>
      </c>
      <c r="E354">
        <v>1</v>
      </c>
      <c r="F354" s="13">
        <v>3309.79</v>
      </c>
      <c r="G354" t="s">
        <v>4698</v>
      </c>
      <c r="H354" t="s">
        <v>4698</v>
      </c>
      <c r="I354" t="s">
        <v>4718</v>
      </c>
      <c r="J354" s="10">
        <f t="shared" si="10"/>
        <v>35601</v>
      </c>
      <c r="K354">
        <f t="shared" si="11"/>
        <v>25</v>
      </c>
    </row>
    <row r="355" spans="1:11">
      <c r="A355" t="s">
        <v>3968</v>
      </c>
      <c r="B355">
        <v>1991</v>
      </c>
      <c r="C355" t="s">
        <v>4703</v>
      </c>
      <c r="D355">
        <v>1</v>
      </c>
      <c r="E355">
        <v>3</v>
      </c>
      <c r="F355" s="13">
        <v>3342.79</v>
      </c>
      <c r="G355" t="s">
        <v>4697</v>
      </c>
      <c r="H355" t="s">
        <v>4701</v>
      </c>
      <c r="I355" t="s">
        <v>4699</v>
      </c>
      <c r="J355" s="10">
        <f t="shared" si="10"/>
        <v>33482</v>
      </c>
      <c r="K355">
        <f t="shared" si="11"/>
        <v>31</v>
      </c>
    </row>
    <row r="356" spans="1:11">
      <c r="A356" t="s">
        <v>3966</v>
      </c>
      <c r="B356">
        <v>1993</v>
      </c>
      <c r="C356" t="s">
        <v>4707</v>
      </c>
      <c r="D356">
        <v>28</v>
      </c>
      <c r="E356">
        <v>0</v>
      </c>
      <c r="F356" s="13">
        <v>3353.28</v>
      </c>
      <c r="G356" t="s">
        <v>4697</v>
      </c>
      <c r="H356" t="s">
        <v>4701</v>
      </c>
      <c r="I356" t="s">
        <v>4708</v>
      </c>
      <c r="J356" s="10">
        <f t="shared" si="10"/>
        <v>34270</v>
      </c>
      <c r="K356">
        <f t="shared" si="11"/>
        <v>29</v>
      </c>
    </row>
    <row r="357" spans="1:11">
      <c r="A357" t="s">
        <v>3964</v>
      </c>
      <c r="B357">
        <v>1995</v>
      </c>
      <c r="C357" t="s">
        <v>4702</v>
      </c>
      <c r="D357">
        <v>23</v>
      </c>
      <c r="E357">
        <v>0</v>
      </c>
      <c r="F357" s="13">
        <v>3353.47</v>
      </c>
      <c r="G357" t="s">
        <v>4697</v>
      </c>
      <c r="H357" t="s">
        <v>4698</v>
      </c>
      <c r="I357" t="s">
        <v>4704</v>
      </c>
      <c r="J357" s="10">
        <f t="shared" si="10"/>
        <v>34873</v>
      </c>
      <c r="K357">
        <f t="shared" si="11"/>
        <v>27</v>
      </c>
    </row>
    <row r="358" spans="1:11">
      <c r="A358" t="s">
        <v>3962</v>
      </c>
      <c r="B358">
        <v>1993</v>
      </c>
      <c r="C358" t="s">
        <v>4707</v>
      </c>
      <c r="D358">
        <v>7</v>
      </c>
      <c r="E358">
        <v>0</v>
      </c>
      <c r="F358" s="13">
        <v>3366.67</v>
      </c>
      <c r="G358" t="s">
        <v>4697</v>
      </c>
      <c r="H358" t="s">
        <v>4697</v>
      </c>
      <c r="I358" t="s">
        <v>4699</v>
      </c>
      <c r="J358" s="10">
        <f t="shared" si="10"/>
        <v>34249</v>
      </c>
      <c r="K358">
        <f t="shared" si="11"/>
        <v>29</v>
      </c>
    </row>
    <row r="359" spans="1:11">
      <c r="A359" t="s">
        <v>3960</v>
      </c>
      <c r="B359">
        <v>1996</v>
      </c>
      <c r="C359" t="s">
        <v>4705</v>
      </c>
      <c r="D359">
        <v>14</v>
      </c>
      <c r="E359">
        <v>1</v>
      </c>
      <c r="F359" s="13">
        <v>3378.91</v>
      </c>
      <c r="G359" t="s">
        <v>4697</v>
      </c>
      <c r="H359" t="s">
        <v>4701</v>
      </c>
      <c r="I359" t="s">
        <v>4708</v>
      </c>
      <c r="J359" s="10">
        <f t="shared" si="10"/>
        <v>35413</v>
      </c>
      <c r="K359">
        <f t="shared" si="11"/>
        <v>26</v>
      </c>
    </row>
    <row r="360" spans="1:11">
      <c r="A360" t="s">
        <v>3958</v>
      </c>
      <c r="B360">
        <v>1996</v>
      </c>
      <c r="C360" t="s">
        <v>4700</v>
      </c>
      <c r="D360">
        <v>13</v>
      </c>
      <c r="E360">
        <v>0</v>
      </c>
      <c r="F360" s="13">
        <v>3385.4</v>
      </c>
      <c r="G360" t="s">
        <v>4697</v>
      </c>
      <c r="H360" t="s">
        <v>4697</v>
      </c>
      <c r="I360" t="s">
        <v>4714</v>
      </c>
      <c r="J360" s="10">
        <f t="shared" si="10"/>
        <v>35382</v>
      </c>
      <c r="K360">
        <f t="shared" si="11"/>
        <v>26</v>
      </c>
    </row>
    <row r="361" spans="1:11">
      <c r="A361" t="s">
        <v>3956</v>
      </c>
      <c r="B361">
        <v>1996</v>
      </c>
      <c r="C361" t="s">
        <v>4706</v>
      </c>
      <c r="D361">
        <v>10</v>
      </c>
      <c r="E361">
        <v>1</v>
      </c>
      <c r="F361" s="13">
        <v>3392.37</v>
      </c>
      <c r="G361" t="s">
        <v>4697</v>
      </c>
      <c r="H361" t="s">
        <v>4698</v>
      </c>
      <c r="I361" t="s">
        <v>4699</v>
      </c>
      <c r="J361" s="10">
        <f t="shared" si="10"/>
        <v>35287</v>
      </c>
      <c r="K361">
        <f t="shared" si="11"/>
        <v>26</v>
      </c>
    </row>
    <row r="362" spans="1:11">
      <c r="A362" t="s">
        <v>3954</v>
      </c>
      <c r="B362">
        <v>1996</v>
      </c>
      <c r="C362" t="s">
        <v>4707</v>
      </c>
      <c r="D362">
        <v>27</v>
      </c>
      <c r="E362">
        <v>1</v>
      </c>
      <c r="F362" s="13">
        <v>3392.98</v>
      </c>
      <c r="G362" t="s">
        <v>4697</v>
      </c>
      <c r="H362" t="s">
        <v>4698</v>
      </c>
      <c r="I362" t="s">
        <v>4699</v>
      </c>
      <c r="J362" s="10">
        <f t="shared" si="10"/>
        <v>35365</v>
      </c>
      <c r="K362">
        <f t="shared" si="11"/>
        <v>26</v>
      </c>
    </row>
    <row r="363" spans="1:11">
      <c r="A363" t="s">
        <v>3952</v>
      </c>
      <c r="B363">
        <v>2004</v>
      </c>
      <c r="C363" t="s">
        <v>4696</v>
      </c>
      <c r="D363">
        <v>16</v>
      </c>
      <c r="E363">
        <v>2</v>
      </c>
      <c r="F363" s="13">
        <v>3393.36</v>
      </c>
      <c r="G363" t="s">
        <v>4697</v>
      </c>
      <c r="H363" t="s">
        <v>4697</v>
      </c>
      <c r="I363" t="s">
        <v>4715</v>
      </c>
      <c r="J363" s="10">
        <f t="shared" si="10"/>
        <v>38184</v>
      </c>
      <c r="K363">
        <f t="shared" si="11"/>
        <v>18</v>
      </c>
    </row>
    <row r="364" spans="1:11">
      <c r="A364" t="s">
        <v>3950</v>
      </c>
      <c r="B364">
        <v>1996</v>
      </c>
      <c r="C364" t="s">
        <v>4705</v>
      </c>
      <c r="D364">
        <v>19</v>
      </c>
      <c r="E364">
        <v>1</v>
      </c>
      <c r="F364" s="13">
        <v>3410.32</v>
      </c>
      <c r="G364" t="s">
        <v>4697</v>
      </c>
      <c r="H364" t="s">
        <v>4697</v>
      </c>
      <c r="I364" t="s">
        <v>4708</v>
      </c>
      <c r="J364" s="10">
        <f t="shared" si="10"/>
        <v>35418</v>
      </c>
      <c r="K364">
        <f t="shared" si="11"/>
        <v>26</v>
      </c>
    </row>
    <row r="365" spans="1:11">
      <c r="A365" t="s">
        <v>3948</v>
      </c>
      <c r="B365">
        <v>2001</v>
      </c>
      <c r="C365" t="s">
        <v>4705</v>
      </c>
      <c r="D365">
        <v>26</v>
      </c>
      <c r="E365">
        <v>0</v>
      </c>
      <c r="F365" s="13">
        <v>3434.38</v>
      </c>
      <c r="G365" t="s">
        <v>4697</v>
      </c>
      <c r="H365" t="s">
        <v>4697</v>
      </c>
      <c r="I365" t="s">
        <v>4708</v>
      </c>
      <c r="J365" s="10">
        <f t="shared" si="10"/>
        <v>37251</v>
      </c>
      <c r="K365">
        <f t="shared" si="11"/>
        <v>21</v>
      </c>
    </row>
    <row r="366" spans="1:11">
      <c r="A366" t="s">
        <v>3946</v>
      </c>
      <c r="B366">
        <v>1986</v>
      </c>
      <c r="C366" t="s">
        <v>4706</v>
      </c>
      <c r="D366">
        <v>27</v>
      </c>
      <c r="E366">
        <v>3</v>
      </c>
      <c r="F366" s="13">
        <v>3436.5</v>
      </c>
      <c r="G366" t="s">
        <v>4697</v>
      </c>
      <c r="H366" t="s">
        <v>4701</v>
      </c>
      <c r="I366" t="s">
        <v>4699</v>
      </c>
      <c r="J366" s="10">
        <f t="shared" si="10"/>
        <v>31651</v>
      </c>
      <c r="K366">
        <f t="shared" si="11"/>
        <v>36</v>
      </c>
    </row>
    <row r="367" spans="1:11">
      <c r="A367" t="s">
        <v>3944</v>
      </c>
      <c r="B367">
        <v>2000</v>
      </c>
      <c r="C367" t="s">
        <v>4702</v>
      </c>
      <c r="D367">
        <v>20</v>
      </c>
      <c r="E367">
        <v>3</v>
      </c>
      <c r="F367" s="13">
        <v>3443.06</v>
      </c>
      <c r="G367" t="s">
        <v>4697</v>
      </c>
      <c r="H367" t="s">
        <v>4701</v>
      </c>
      <c r="I367" t="s">
        <v>4708</v>
      </c>
      <c r="J367" s="10">
        <f t="shared" si="10"/>
        <v>36697</v>
      </c>
      <c r="K367">
        <f t="shared" si="11"/>
        <v>22</v>
      </c>
    </row>
    <row r="368" spans="1:11">
      <c r="A368" t="s">
        <v>3942</v>
      </c>
      <c r="B368">
        <v>1987</v>
      </c>
      <c r="C368" t="s">
        <v>4703</v>
      </c>
      <c r="D368">
        <v>14</v>
      </c>
      <c r="E368">
        <v>3</v>
      </c>
      <c r="F368" s="13">
        <v>3453.77</v>
      </c>
      <c r="G368" t="s">
        <v>4697</v>
      </c>
      <c r="H368" t="s">
        <v>4701</v>
      </c>
      <c r="I368" t="s">
        <v>4708</v>
      </c>
      <c r="J368" s="10">
        <f t="shared" si="10"/>
        <v>32034</v>
      </c>
      <c r="K368">
        <f t="shared" si="11"/>
        <v>35</v>
      </c>
    </row>
    <row r="369" spans="1:11">
      <c r="A369" t="s">
        <v>3940</v>
      </c>
      <c r="B369">
        <v>2003</v>
      </c>
      <c r="C369" t="s">
        <v>4696</v>
      </c>
      <c r="D369">
        <v>29</v>
      </c>
      <c r="E369">
        <v>0</v>
      </c>
      <c r="F369" s="13">
        <v>3463.51</v>
      </c>
      <c r="G369" t="s">
        <v>4697</v>
      </c>
      <c r="H369" t="s">
        <v>4701</v>
      </c>
      <c r="I369" t="s">
        <v>4713</v>
      </c>
      <c r="J369" s="10">
        <f t="shared" si="10"/>
        <v>37831</v>
      </c>
      <c r="K369">
        <f t="shared" si="11"/>
        <v>19</v>
      </c>
    </row>
    <row r="370" spans="1:11">
      <c r="A370" t="s">
        <v>3938</v>
      </c>
      <c r="B370">
        <v>1993</v>
      </c>
      <c r="C370" t="s">
        <v>4707</v>
      </c>
      <c r="D370">
        <v>12</v>
      </c>
      <c r="E370">
        <v>1</v>
      </c>
      <c r="F370" s="13">
        <v>3471.41</v>
      </c>
      <c r="G370" t="s">
        <v>4697</v>
      </c>
      <c r="H370" t="s">
        <v>4697</v>
      </c>
      <c r="I370" t="s">
        <v>4699</v>
      </c>
      <c r="J370" s="10">
        <f t="shared" si="10"/>
        <v>34254</v>
      </c>
      <c r="K370">
        <f t="shared" si="11"/>
        <v>29</v>
      </c>
    </row>
    <row r="371" spans="1:11">
      <c r="A371" t="s">
        <v>3936</v>
      </c>
      <c r="B371">
        <v>2004</v>
      </c>
      <c r="C371" t="s">
        <v>4702</v>
      </c>
      <c r="D371">
        <v>26</v>
      </c>
      <c r="E371">
        <v>3</v>
      </c>
      <c r="F371" s="13">
        <v>3481.87</v>
      </c>
      <c r="G371" t="s">
        <v>4697</v>
      </c>
      <c r="H371" t="s">
        <v>4698</v>
      </c>
      <c r="I371" t="s">
        <v>4711</v>
      </c>
      <c r="J371" s="10">
        <f t="shared" si="10"/>
        <v>38164</v>
      </c>
      <c r="K371">
        <f t="shared" si="11"/>
        <v>18</v>
      </c>
    </row>
    <row r="372" spans="1:11">
      <c r="A372" t="s">
        <v>3934</v>
      </c>
      <c r="B372">
        <v>1996</v>
      </c>
      <c r="C372" t="s">
        <v>4703</v>
      </c>
      <c r="D372">
        <v>19</v>
      </c>
      <c r="E372">
        <v>2</v>
      </c>
      <c r="F372" s="13">
        <v>3484.33</v>
      </c>
      <c r="G372" t="s">
        <v>4698</v>
      </c>
      <c r="H372" t="s">
        <v>4698</v>
      </c>
      <c r="I372" t="s">
        <v>4708</v>
      </c>
      <c r="J372" s="10">
        <f t="shared" si="10"/>
        <v>35327</v>
      </c>
      <c r="K372">
        <f t="shared" si="11"/>
        <v>26</v>
      </c>
    </row>
    <row r="373" spans="1:11">
      <c r="A373" t="s">
        <v>3932</v>
      </c>
      <c r="B373">
        <v>1996</v>
      </c>
      <c r="C373" t="s">
        <v>4703</v>
      </c>
      <c r="D373">
        <v>18</v>
      </c>
      <c r="E373">
        <v>1</v>
      </c>
      <c r="F373" s="13">
        <v>3490.55</v>
      </c>
      <c r="G373" t="s">
        <v>4701</v>
      </c>
      <c r="H373" t="s">
        <v>4697</v>
      </c>
      <c r="I373" t="s">
        <v>4709</v>
      </c>
      <c r="J373" s="10">
        <f t="shared" si="10"/>
        <v>35326</v>
      </c>
      <c r="K373">
        <f t="shared" si="11"/>
        <v>26</v>
      </c>
    </row>
    <row r="374" spans="1:11">
      <c r="A374" t="s">
        <v>3930</v>
      </c>
      <c r="B374">
        <v>1999</v>
      </c>
      <c r="C374" t="s">
        <v>4703</v>
      </c>
      <c r="D374">
        <v>22</v>
      </c>
      <c r="E374">
        <v>2</v>
      </c>
      <c r="F374" s="13">
        <v>3500.61</v>
      </c>
      <c r="G374" t="s">
        <v>4697</v>
      </c>
      <c r="H374" t="s">
        <v>4697</v>
      </c>
      <c r="I374" t="s">
        <v>4699</v>
      </c>
      <c r="J374" s="10">
        <f t="shared" si="10"/>
        <v>36425</v>
      </c>
      <c r="K374">
        <f t="shared" si="11"/>
        <v>23</v>
      </c>
    </row>
    <row r="375" spans="1:11">
      <c r="A375" t="s">
        <v>3928</v>
      </c>
      <c r="B375">
        <v>1998</v>
      </c>
      <c r="C375" t="s">
        <v>4703</v>
      </c>
      <c r="D375">
        <v>16</v>
      </c>
      <c r="E375">
        <v>2</v>
      </c>
      <c r="F375" s="13">
        <v>3537.7</v>
      </c>
      <c r="G375" t="s">
        <v>4698</v>
      </c>
      <c r="H375" t="s">
        <v>4698</v>
      </c>
      <c r="I375" t="s">
        <v>4704</v>
      </c>
      <c r="J375" s="10">
        <f t="shared" si="10"/>
        <v>36054</v>
      </c>
      <c r="K375">
        <f t="shared" si="11"/>
        <v>24</v>
      </c>
    </row>
    <row r="376" spans="1:11">
      <c r="A376" t="s">
        <v>3926</v>
      </c>
      <c r="B376">
        <v>2003</v>
      </c>
      <c r="C376" t="s">
        <v>4706</v>
      </c>
      <c r="D376">
        <v>24</v>
      </c>
      <c r="E376">
        <v>0</v>
      </c>
      <c r="F376" s="13">
        <v>3538.9</v>
      </c>
      <c r="G376" t="s">
        <v>4697</v>
      </c>
      <c r="H376" t="s">
        <v>4697</v>
      </c>
      <c r="I376" t="s">
        <v>4704</v>
      </c>
      <c r="J376" s="10">
        <f t="shared" si="10"/>
        <v>37857</v>
      </c>
      <c r="K376">
        <f t="shared" si="11"/>
        <v>19</v>
      </c>
    </row>
    <row r="377" spans="1:11">
      <c r="A377" t="s">
        <v>3924</v>
      </c>
      <c r="B377">
        <v>1988</v>
      </c>
      <c r="C377" t="s">
        <v>4707</v>
      </c>
      <c r="D377">
        <v>15</v>
      </c>
      <c r="E377">
        <v>3</v>
      </c>
      <c r="F377" s="13">
        <v>3540.12</v>
      </c>
      <c r="G377" t="s">
        <v>4697</v>
      </c>
      <c r="H377" t="s">
        <v>4701</v>
      </c>
      <c r="I377" t="s">
        <v>4699</v>
      </c>
      <c r="J377" s="10">
        <f t="shared" si="10"/>
        <v>32431</v>
      </c>
      <c r="K377">
        <f t="shared" si="11"/>
        <v>34</v>
      </c>
    </row>
    <row r="378" spans="1:11">
      <c r="A378" t="s">
        <v>3922</v>
      </c>
      <c r="B378">
        <v>1992</v>
      </c>
      <c r="C378" t="s">
        <v>4705</v>
      </c>
      <c r="D378">
        <v>22</v>
      </c>
      <c r="E378">
        <v>0</v>
      </c>
      <c r="F378" s="13">
        <v>3554.2</v>
      </c>
      <c r="G378" t="s">
        <v>4697</v>
      </c>
      <c r="H378" t="s">
        <v>4698</v>
      </c>
      <c r="I378" t="s">
        <v>4708</v>
      </c>
      <c r="J378" s="10">
        <f t="shared" si="10"/>
        <v>33960</v>
      </c>
      <c r="K378">
        <f t="shared" si="11"/>
        <v>30</v>
      </c>
    </row>
    <row r="379" spans="1:11">
      <c r="A379" t="s">
        <v>3920</v>
      </c>
      <c r="B379">
        <v>1994</v>
      </c>
      <c r="C379" t="s">
        <v>4703</v>
      </c>
      <c r="D379">
        <v>24</v>
      </c>
      <c r="E379">
        <v>0</v>
      </c>
      <c r="F379" s="13">
        <v>3556.92</v>
      </c>
      <c r="G379" t="s">
        <v>4697</v>
      </c>
      <c r="H379" t="s">
        <v>4698</v>
      </c>
      <c r="I379" t="s">
        <v>4704</v>
      </c>
      <c r="J379" s="10">
        <f t="shared" si="10"/>
        <v>34601</v>
      </c>
      <c r="K379">
        <f t="shared" si="11"/>
        <v>28</v>
      </c>
    </row>
    <row r="380" spans="1:11">
      <c r="A380" t="s">
        <v>3918</v>
      </c>
      <c r="B380">
        <v>1995</v>
      </c>
      <c r="C380" t="s">
        <v>4707</v>
      </c>
      <c r="D380">
        <v>9</v>
      </c>
      <c r="E380">
        <v>0</v>
      </c>
      <c r="F380" s="13">
        <v>3558.62</v>
      </c>
      <c r="G380" t="s">
        <v>4697</v>
      </c>
      <c r="H380" t="s">
        <v>4698</v>
      </c>
      <c r="I380" t="s">
        <v>4714</v>
      </c>
      <c r="J380" s="10">
        <f t="shared" si="10"/>
        <v>34981</v>
      </c>
      <c r="K380">
        <f t="shared" si="11"/>
        <v>27</v>
      </c>
    </row>
    <row r="381" spans="1:11">
      <c r="A381" t="s">
        <v>3916</v>
      </c>
      <c r="B381">
        <v>1995</v>
      </c>
      <c r="C381" t="s">
        <v>4702</v>
      </c>
      <c r="D381">
        <v>16</v>
      </c>
      <c r="E381">
        <v>1</v>
      </c>
      <c r="F381" s="13">
        <v>3561.89</v>
      </c>
      <c r="G381" t="s">
        <v>4697</v>
      </c>
      <c r="H381" t="s">
        <v>4701</v>
      </c>
      <c r="I381" t="s">
        <v>4699</v>
      </c>
      <c r="J381" s="10">
        <f t="shared" si="10"/>
        <v>34866</v>
      </c>
      <c r="K381">
        <f t="shared" si="11"/>
        <v>27</v>
      </c>
    </row>
    <row r="382" spans="1:11">
      <c r="A382" t="s">
        <v>3914</v>
      </c>
      <c r="B382">
        <v>1981</v>
      </c>
      <c r="C382" t="s">
        <v>4707</v>
      </c>
      <c r="D382">
        <v>10</v>
      </c>
      <c r="E382">
        <v>1</v>
      </c>
      <c r="F382" s="13">
        <v>3562.87</v>
      </c>
      <c r="G382" t="s">
        <v>4697</v>
      </c>
      <c r="H382" t="s">
        <v>4701</v>
      </c>
      <c r="I382" t="s">
        <v>4699</v>
      </c>
      <c r="J382" s="10">
        <f t="shared" si="10"/>
        <v>29869</v>
      </c>
      <c r="K382">
        <f t="shared" si="11"/>
        <v>41</v>
      </c>
    </row>
    <row r="383" spans="1:11">
      <c r="A383" t="s">
        <v>3912</v>
      </c>
      <c r="B383">
        <v>1988</v>
      </c>
      <c r="C383" t="s">
        <v>4706</v>
      </c>
      <c r="D383">
        <v>18</v>
      </c>
      <c r="E383">
        <v>3</v>
      </c>
      <c r="F383" s="13">
        <v>3569.96</v>
      </c>
      <c r="G383" t="s">
        <v>4697</v>
      </c>
      <c r="H383" t="s">
        <v>4701</v>
      </c>
      <c r="I383" t="s">
        <v>4704</v>
      </c>
      <c r="J383" s="10">
        <f t="shared" si="10"/>
        <v>32373</v>
      </c>
      <c r="K383">
        <f t="shared" si="11"/>
        <v>34</v>
      </c>
    </row>
    <row r="384" spans="1:11">
      <c r="A384" t="s">
        <v>3910</v>
      </c>
      <c r="B384">
        <v>1995</v>
      </c>
      <c r="C384" t="s">
        <v>4706</v>
      </c>
      <c r="D384">
        <v>23</v>
      </c>
      <c r="E384">
        <v>1</v>
      </c>
      <c r="F384" s="13">
        <v>3578</v>
      </c>
      <c r="G384" t="s">
        <v>4697</v>
      </c>
      <c r="H384" t="s">
        <v>4698</v>
      </c>
      <c r="I384" t="s">
        <v>4708</v>
      </c>
      <c r="J384" s="10">
        <f t="shared" si="10"/>
        <v>34934</v>
      </c>
      <c r="K384">
        <f t="shared" si="11"/>
        <v>27</v>
      </c>
    </row>
    <row r="385" spans="1:11">
      <c r="A385" t="s">
        <v>3908</v>
      </c>
      <c r="B385">
        <v>2001</v>
      </c>
      <c r="C385" t="s">
        <v>4700</v>
      </c>
      <c r="D385">
        <v>11</v>
      </c>
      <c r="E385">
        <v>2</v>
      </c>
      <c r="F385" s="13">
        <v>3579.83</v>
      </c>
      <c r="G385" t="s">
        <v>4697</v>
      </c>
      <c r="H385" t="s">
        <v>4697</v>
      </c>
      <c r="I385" t="s">
        <v>4704</v>
      </c>
      <c r="J385" s="10">
        <f t="shared" si="10"/>
        <v>37206</v>
      </c>
      <c r="K385">
        <f t="shared" si="11"/>
        <v>21</v>
      </c>
    </row>
    <row r="386" spans="1:11">
      <c r="A386" t="s">
        <v>3906</v>
      </c>
      <c r="B386">
        <v>1986</v>
      </c>
      <c r="C386" t="s">
        <v>4705</v>
      </c>
      <c r="D386">
        <v>27</v>
      </c>
      <c r="E386">
        <v>3</v>
      </c>
      <c r="F386" s="13">
        <v>3589.14</v>
      </c>
      <c r="G386" t="s">
        <v>4697</v>
      </c>
      <c r="H386" t="s">
        <v>4697</v>
      </c>
      <c r="I386" t="s">
        <v>4699</v>
      </c>
      <c r="J386" s="10">
        <f t="shared" ref="J386:J449" si="12">DATEVALUE(D386&amp;"-"&amp;C386&amp;"-"&amp;B386)</f>
        <v>31773</v>
      </c>
      <c r="K386">
        <f t="shared" si="11"/>
        <v>36</v>
      </c>
    </row>
    <row r="387" spans="1:11">
      <c r="A387" t="s">
        <v>3904</v>
      </c>
      <c r="B387">
        <v>1999</v>
      </c>
      <c r="C387" t="s">
        <v>4702</v>
      </c>
      <c r="D387">
        <v>6</v>
      </c>
      <c r="E387">
        <v>3</v>
      </c>
      <c r="F387" s="13">
        <v>3591.48</v>
      </c>
      <c r="G387" t="s">
        <v>4697</v>
      </c>
      <c r="H387" t="s">
        <v>4698</v>
      </c>
      <c r="I387" t="s">
        <v>4708</v>
      </c>
      <c r="J387" s="10">
        <f t="shared" si="12"/>
        <v>36317</v>
      </c>
      <c r="K387">
        <f t="shared" ref="K387:K450" si="13">DATEDIF(J387, DATE(2023, 6, 8), "Y")</f>
        <v>24</v>
      </c>
    </row>
    <row r="388" spans="1:11">
      <c r="A388" t="s">
        <v>3902</v>
      </c>
      <c r="B388">
        <v>1997</v>
      </c>
      <c r="C388" t="s">
        <v>4700</v>
      </c>
      <c r="D388">
        <v>4</v>
      </c>
      <c r="E388">
        <v>1</v>
      </c>
      <c r="F388" s="13">
        <v>3594.17</v>
      </c>
      <c r="G388" t="s">
        <v>4697</v>
      </c>
      <c r="H388" t="s">
        <v>4697</v>
      </c>
      <c r="I388" t="s">
        <v>4704</v>
      </c>
      <c r="J388" s="10">
        <f t="shared" si="12"/>
        <v>35738</v>
      </c>
      <c r="K388">
        <f t="shared" si="13"/>
        <v>25</v>
      </c>
    </row>
    <row r="389" spans="1:11">
      <c r="A389" t="s">
        <v>3900</v>
      </c>
      <c r="B389">
        <v>1999</v>
      </c>
      <c r="C389" t="s">
        <v>4706</v>
      </c>
      <c r="D389">
        <v>12</v>
      </c>
      <c r="E389">
        <v>3</v>
      </c>
      <c r="F389" s="13">
        <v>3597.6</v>
      </c>
      <c r="G389" t="s">
        <v>4697</v>
      </c>
      <c r="H389" t="s">
        <v>4697</v>
      </c>
      <c r="I389" t="s">
        <v>4708</v>
      </c>
      <c r="J389" s="10">
        <f t="shared" si="12"/>
        <v>36384</v>
      </c>
      <c r="K389">
        <f t="shared" si="13"/>
        <v>23</v>
      </c>
    </row>
    <row r="390" spans="1:11">
      <c r="A390" t="s">
        <v>3898</v>
      </c>
      <c r="B390">
        <v>1988</v>
      </c>
      <c r="C390" t="s">
        <v>4700</v>
      </c>
      <c r="D390">
        <v>4</v>
      </c>
      <c r="E390">
        <v>3</v>
      </c>
      <c r="F390" s="13">
        <v>3603.6</v>
      </c>
      <c r="G390" t="s">
        <v>4697</v>
      </c>
      <c r="H390" t="s">
        <v>4701</v>
      </c>
      <c r="I390" t="s">
        <v>4699</v>
      </c>
      <c r="J390" s="10">
        <f t="shared" si="12"/>
        <v>32451</v>
      </c>
      <c r="K390">
        <f t="shared" si="13"/>
        <v>34</v>
      </c>
    </row>
    <row r="391" spans="1:11">
      <c r="A391" t="s">
        <v>3896</v>
      </c>
      <c r="B391">
        <v>1990</v>
      </c>
      <c r="C391" t="s">
        <v>4707</v>
      </c>
      <c r="D391">
        <v>11</v>
      </c>
      <c r="E391">
        <v>3</v>
      </c>
      <c r="F391" s="13">
        <v>3606.43</v>
      </c>
      <c r="G391" t="s">
        <v>4697</v>
      </c>
      <c r="H391" t="s">
        <v>4701</v>
      </c>
      <c r="I391" t="s">
        <v>4699</v>
      </c>
      <c r="J391" s="10">
        <f t="shared" si="12"/>
        <v>33157</v>
      </c>
      <c r="K391">
        <f t="shared" si="13"/>
        <v>32</v>
      </c>
    </row>
    <row r="392" spans="1:11">
      <c r="A392" t="s">
        <v>3894</v>
      </c>
      <c r="B392">
        <v>1985</v>
      </c>
      <c r="C392" t="s">
        <v>4702</v>
      </c>
      <c r="D392">
        <v>14</v>
      </c>
      <c r="E392">
        <v>3</v>
      </c>
      <c r="F392" s="13">
        <v>3622.13</v>
      </c>
      <c r="G392" t="s">
        <v>4697</v>
      </c>
      <c r="H392" t="s">
        <v>4701</v>
      </c>
      <c r="I392" t="s">
        <v>4699</v>
      </c>
      <c r="J392" s="10">
        <f t="shared" si="12"/>
        <v>31212</v>
      </c>
      <c r="K392">
        <f t="shared" si="13"/>
        <v>37</v>
      </c>
    </row>
    <row r="393" spans="1:11">
      <c r="A393" t="s">
        <v>3892</v>
      </c>
      <c r="B393">
        <v>1992</v>
      </c>
      <c r="C393" t="s">
        <v>4700</v>
      </c>
      <c r="D393">
        <v>17</v>
      </c>
      <c r="E393">
        <v>0</v>
      </c>
      <c r="F393" s="13">
        <v>3645.09</v>
      </c>
      <c r="G393" t="s">
        <v>4701</v>
      </c>
      <c r="H393" t="s">
        <v>4697</v>
      </c>
      <c r="I393" t="s">
        <v>4716</v>
      </c>
      <c r="J393" s="10">
        <f t="shared" si="12"/>
        <v>33925</v>
      </c>
      <c r="K393">
        <f t="shared" si="13"/>
        <v>30</v>
      </c>
    </row>
    <row r="394" spans="1:11">
      <c r="A394" t="s">
        <v>3890</v>
      </c>
      <c r="B394">
        <v>1990</v>
      </c>
      <c r="C394" t="s">
        <v>4700</v>
      </c>
      <c r="D394">
        <v>8</v>
      </c>
      <c r="E394">
        <v>3</v>
      </c>
      <c r="F394" s="13">
        <v>3653.29</v>
      </c>
      <c r="G394" t="s">
        <v>4697</v>
      </c>
      <c r="H394" t="s">
        <v>4698</v>
      </c>
      <c r="I394" t="s">
        <v>4708</v>
      </c>
      <c r="J394" s="10">
        <f t="shared" si="12"/>
        <v>33185</v>
      </c>
      <c r="K394">
        <f t="shared" si="13"/>
        <v>32</v>
      </c>
    </row>
    <row r="395" spans="1:11">
      <c r="A395" t="s">
        <v>3888</v>
      </c>
      <c r="B395">
        <v>1992</v>
      </c>
      <c r="C395" t="s">
        <v>4703</v>
      </c>
      <c r="D395">
        <v>14</v>
      </c>
      <c r="E395">
        <v>1</v>
      </c>
      <c r="F395" s="13">
        <v>3659.35</v>
      </c>
      <c r="G395" t="s">
        <v>4698</v>
      </c>
      <c r="H395" t="s">
        <v>4701</v>
      </c>
      <c r="I395" t="s">
        <v>4708</v>
      </c>
      <c r="J395" s="10">
        <f t="shared" si="12"/>
        <v>33861</v>
      </c>
      <c r="K395">
        <f t="shared" si="13"/>
        <v>30</v>
      </c>
    </row>
    <row r="396" spans="1:11">
      <c r="A396" t="s">
        <v>3886</v>
      </c>
      <c r="B396">
        <v>1984</v>
      </c>
      <c r="C396" t="s">
        <v>4696</v>
      </c>
      <c r="D396">
        <v>6</v>
      </c>
      <c r="E396">
        <v>3</v>
      </c>
      <c r="F396" s="13">
        <v>3678.86</v>
      </c>
      <c r="G396" t="s">
        <v>4697</v>
      </c>
      <c r="H396" t="s">
        <v>4698</v>
      </c>
      <c r="I396" t="s">
        <v>4699</v>
      </c>
      <c r="J396" s="10">
        <f t="shared" si="12"/>
        <v>30869</v>
      </c>
      <c r="K396">
        <f t="shared" si="13"/>
        <v>38</v>
      </c>
    </row>
    <row r="397" spans="1:11">
      <c r="A397" t="s">
        <v>3884</v>
      </c>
      <c r="B397">
        <v>2003</v>
      </c>
      <c r="C397" t="s">
        <v>4696</v>
      </c>
      <c r="D397">
        <v>10</v>
      </c>
      <c r="E397">
        <v>0</v>
      </c>
      <c r="F397" s="13">
        <v>3688.35</v>
      </c>
      <c r="G397" t="s">
        <v>4697</v>
      </c>
      <c r="H397" t="s">
        <v>4697</v>
      </c>
      <c r="I397" t="s">
        <v>4717</v>
      </c>
      <c r="J397" s="10">
        <f t="shared" si="12"/>
        <v>37812</v>
      </c>
      <c r="K397">
        <f t="shared" si="13"/>
        <v>19</v>
      </c>
    </row>
    <row r="398" spans="1:11">
      <c r="A398" t="s">
        <v>3882</v>
      </c>
      <c r="B398">
        <v>1981</v>
      </c>
      <c r="C398" t="s">
        <v>4705</v>
      </c>
      <c r="D398">
        <v>14</v>
      </c>
      <c r="E398">
        <v>1</v>
      </c>
      <c r="F398" s="13">
        <v>3688.38</v>
      </c>
      <c r="G398" t="s">
        <v>4697</v>
      </c>
      <c r="H398" t="s">
        <v>4697</v>
      </c>
      <c r="I398" t="s">
        <v>4699</v>
      </c>
      <c r="J398" s="10">
        <f t="shared" si="12"/>
        <v>29934</v>
      </c>
      <c r="K398">
        <f t="shared" si="13"/>
        <v>41</v>
      </c>
    </row>
    <row r="399" spans="1:11">
      <c r="A399" t="s">
        <v>3880</v>
      </c>
      <c r="B399">
        <v>1995</v>
      </c>
      <c r="C399" t="s">
        <v>4707</v>
      </c>
      <c r="D399">
        <v>21</v>
      </c>
      <c r="E399">
        <v>2</v>
      </c>
      <c r="F399" s="13">
        <v>3693.43</v>
      </c>
      <c r="G399" t="s">
        <v>4697</v>
      </c>
      <c r="H399" t="s">
        <v>4698</v>
      </c>
      <c r="I399" t="s">
        <v>4708</v>
      </c>
      <c r="J399" s="10">
        <f t="shared" si="12"/>
        <v>34993</v>
      </c>
      <c r="K399">
        <f t="shared" si="13"/>
        <v>27</v>
      </c>
    </row>
    <row r="400" spans="1:11">
      <c r="A400" t="s">
        <v>3878</v>
      </c>
      <c r="B400">
        <v>1988</v>
      </c>
      <c r="C400" t="s">
        <v>4706</v>
      </c>
      <c r="D400">
        <v>18</v>
      </c>
      <c r="E400">
        <v>3</v>
      </c>
      <c r="F400" s="13">
        <v>3699.54</v>
      </c>
      <c r="G400" t="s">
        <v>4697</v>
      </c>
      <c r="H400" t="s">
        <v>4698</v>
      </c>
      <c r="I400" t="s">
        <v>4699</v>
      </c>
      <c r="J400" s="10">
        <f t="shared" si="12"/>
        <v>32373</v>
      </c>
      <c r="K400">
        <f t="shared" si="13"/>
        <v>34</v>
      </c>
    </row>
    <row r="401" spans="1:11">
      <c r="A401" t="s">
        <v>3876</v>
      </c>
      <c r="B401">
        <v>1989</v>
      </c>
      <c r="C401" t="s">
        <v>4705</v>
      </c>
      <c r="D401">
        <v>2</v>
      </c>
      <c r="E401">
        <v>0</v>
      </c>
      <c r="F401" s="13">
        <v>3704.35</v>
      </c>
      <c r="G401" t="s">
        <v>4697</v>
      </c>
      <c r="H401" t="s">
        <v>4697</v>
      </c>
      <c r="I401" t="s">
        <v>4699</v>
      </c>
      <c r="J401" s="10">
        <f t="shared" si="12"/>
        <v>32844</v>
      </c>
      <c r="K401">
        <f t="shared" si="13"/>
        <v>33</v>
      </c>
    </row>
    <row r="402" spans="1:11">
      <c r="A402" t="s">
        <v>3874</v>
      </c>
      <c r="B402">
        <v>2004</v>
      </c>
      <c r="C402" t="s">
        <v>4700</v>
      </c>
      <c r="D402">
        <v>5</v>
      </c>
      <c r="E402">
        <v>0</v>
      </c>
      <c r="F402" s="13">
        <v>3722.23</v>
      </c>
      <c r="G402" t="s">
        <v>4697</v>
      </c>
      <c r="H402" t="s">
        <v>4697</v>
      </c>
      <c r="I402" t="s">
        <v>4713</v>
      </c>
      <c r="J402" s="10">
        <f t="shared" si="12"/>
        <v>38296</v>
      </c>
      <c r="K402">
        <f t="shared" si="13"/>
        <v>18</v>
      </c>
    </row>
    <row r="403" spans="1:11">
      <c r="A403" t="s">
        <v>3872</v>
      </c>
      <c r="B403">
        <v>1986</v>
      </c>
      <c r="C403" t="s">
        <v>4705</v>
      </c>
      <c r="D403">
        <v>1</v>
      </c>
      <c r="E403">
        <v>3</v>
      </c>
      <c r="F403" s="13">
        <v>3731.6</v>
      </c>
      <c r="G403" t="s">
        <v>4697</v>
      </c>
      <c r="H403" t="s">
        <v>4697</v>
      </c>
      <c r="I403" t="s">
        <v>4699</v>
      </c>
      <c r="J403" s="10">
        <f t="shared" si="12"/>
        <v>31747</v>
      </c>
      <c r="K403">
        <f t="shared" si="13"/>
        <v>36</v>
      </c>
    </row>
    <row r="404" spans="1:11">
      <c r="A404" t="s">
        <v>3870</v>
      </c>
      <c r="B404">
        <v>1994</v>
      </c>
      <c r="C404" t="s">
        <v>4706</v>
      </c>
      <c r="D404">
        <v>22</v>
      </c>
      <c r="E404">
        <v>0</v>
      </c>
      <c r="F404" s="13">
        <v>3732.63</v>
      </c>
      <c r="G404" t="s">
        <v>4697</v>
      </c>
      <c r="H404" t="s">
        <v>4698</v>
      </c>
      <c r="I404" t="s">
        <v>4714</v>
      </c>
      <c r="J404" s="10">
        <f t="shared" si="12"/>
        <v>34568</v>
      </c>
      <c r="K404">
        <f t="shared" si="13"/>
        <v>28</v>
      </c>
    </row>
    <row r="405" spans="1:11">
      <c r="A405" t="s">
        <v>3868</v>
      </c>
      <c r="B405">
        <v>1993</v>
      </c>
      <c r="C405" t="s">
        <v>4702</v>
      </c>
      <c r="D405">
        <v>22</v>
      </c>
      <c r="E405">
        <v>0</v>
      </c>
      <c r="F405" s="13">
        <v>3736.46</v>
      </c>
      <c r="G405" t="s">
        <v>4697</v>
      </c>
      <c r="H405" t="s">
        <v>4697</v>
      </c>
      <c r="I405" t="s">
        <v>4704</v>
      </c>
      <c r="J405" s="10">
        <f t="shared" si="12"/>
        <v>34142</v>
      </c>
      <c r="K405">
        <f t="shared" si="13"/>
        <v>29</v>
      </c>
    </row>
    <row r="406" spans="1:11">
      <c r="A406" t="s">
        <v>3866</v>
      </c>
      <c r="B406">
        <v>1986</v>
      </c>
      <c r="C406" t="s">
        <v>4703</v>
      </c>
      <c r="D406">
        <v>9</v>
      </c>
      <c r="E406">
        <v>3</v>
      </c>
      <c r="F406" s="13">
        <v>3748.56</v>
      </c>
      <c r="G406" t="s">
        <v>4697</v>
      </c>
      <c r="H406" t="s">
        <v>4697</v>
      </c>
      <c r="I406" t="s">
        <v>4699</v>
      </c>
      <c r="J406" s="10">
        <f t="shared" si="12"/>
        <v>31664</v>
      </c>
      <c r="K406">
        <f t="shared" si="13"/>
        <v>36</v>
      </c>
    </row>
    <row r="407" spans="1:11">
      <c r="A407" t="s">
        <v>3864</v>
      </c>
      <c r="B407">
        <v>1991</v>
      </c>
      <c r="C407" t="s">
        <v>4707</v>
      </c>
      <c r="D407">
        <v>28</v>
      </c>
      <c r="E407">
        <v>0</v>
      </c>
      <c r="F407" s="13">
        <v>3756.62</v>
      </c>
      <c r="G407" t="s">
        <v>4697</v>
      </c>
      <c r="H407" t="s">
        <v>4697</v>
      </c>
      <c r="I407" t="s">
        <v>4699</v>
      </c>
      <c r="J407" s="10">
        <f t="shared" si="12"/>
        <v>33539</v>
      </c>
      <c r="K407">
        <f t="shared" si="13"/>
        <v>31</v>
      </c>
    </row>
    <row r="408" spans="1:11">
      <c r="A408" t="s">
        <v>3862</v>
      </c>
      <c r="B408">
        <v>1991</v>
      </c>
      <c r="C408" t="s">
        <v>4706</v>
      </c>
      <c r="D408">
        <v>25</v>
      </c>
      <c r="E408">
        <v>0</v>
      </c>
      <c r="F408" s="13">
        <v>3757.84</v>
      </c>
      <c r="G408" t="s">
        <v>4697</v>
      </c>
      <c r="H408" t="s">
        <v>4701</v>
      </c>
      <c r="I408" t="s">
        <v>4699</v>
      </c>
      <c r="J408" s="10">
        <f t="shared" si="12"/>
        <v>33475</v>
      </c>
      <c r="K408">
        <f t="shared" si="13"/>
        <v>31</v>
      </c>
    </row>
    <row r="409" spans="1:11">
      <c r="A409" t="s">
        <v>3860</v>
      </c>
      <c r="B409">
        <v>1991</v>
      </c>
      <c r="C409" t="s">
        <v>4707</v>
      </c>
      <c r="D409">
        <v>24</v>
      </c>
      <c r="E409">
        <v>0</v>
      </c>
      <c r="F409" s="13">
        <v>3761.29</v>
      </c>
      <c r="G409" t="s">
        <v>4697</v>
      </c>
      <c r="H409" t="s">
        <v>4698</v>
      </c>
      <c r="I409" t="s">
        <v>4708</v>
      </c>
      <c r="J409" s="10">
        <f t="shared" si="12"/>
        <v>33535</v>
      </c>
      <c r="K409">
        <f t="shared" si="13"/>
        <v>31</v>
      </c>
    </row>
    <row r="410" spans="1:11">
      <c r="A410" t="s">
        <v>3858</v>
      </c>
      <c r="B410">
        <v>1994</v>
      </c>
      <c r="C410" t="s">
        <v>4700</v>
      </c>
      <c r="D410">
        <v>21</v>
      </c>
      <c r="E410">
        <v>1</v>
      </c>
      <c r="F410" s="13">
        <v>3766.88</v>
      </c>
      <c r="G410" t="s">
        <v>4697</v>
      </c>
      <c r="H410" t="s">
        <v>4701</v>
      </c>
      <c r="I410" t="s">
        <v>4699</v>
      </c>
      <c r="J410" s="10">
        <f t="shared" si="12"/>
        <v>34659</v>
      </c>
      <c r="K410">
        <f t="shared" si="13"/>
        <v>28</v>
      </c>
    </row>
    <row r="411" spans="1:11">
      <c r="A411" t="s">
        <v>3856</v>
      </c>
      <c r="B411">
        <v>1987</v>
      </c>
      <c r="C411" t="s">
        <v>4707</v>
      </c>
      <c r="D411">
        <v>24</v>
      </c>
      <c r="E411">
        <v>3</v>
      </c>
      <c r="F411" s="13">
        <v>3773.23</v>
      </c>
      <c r="G411" t="s">
        <v>4697</v>
      </c>
      <c r="H411" t="s">
        <v>4698</v>
      </c>
      <c r="I411" t="s">
        <v>4699</v>
      </c>
      <c r="J411" s="10">
        <f t="shared" si="12"/>
        <v>32074</v>
      </c>
      <c r="K411">
        <f t="shared" si="13"/>
        <v>35</v>
      </c>
    </row>
    <row r="412" spans="1:11">
      <c r="A412" t="s">
        <v>3854</v>
      </c>
      <c r="B412">
        <v>1981</v>
      </c>
      <c r="C412" t="s">
        <v>4705</v>
      </c>
      <c r="D412">
        <v>13</v>
      </c>
      <c r="E412">
        <v>1</v>
      </c>
      <c r="F412" s="13">
        <v>3785.77</v>
      </c>
      <c r="G412" t="s">
        <v>4697</v>
      </c>
      <c r="H412" t="s">
        <v>4701</v>
      </c>
      <c r="I412" t="s">
        <v>4699</v>
      </c>
      <c r="J412" s="10">
        <f t="shared" si="12"/>
        <v>29933</v>
      </c>
      <c r="K412">
        <f t="shared" si="13"/>
        <v>41</v>
      </c>
    </row>
    <row r="413" spans="1:11">
      <c r="A413" t="s">
        <v>3852</v>
      </c>
      <c r="B413">
        <v>1988</v>
      </c>
      <c r="C413" t="s">
        <v>4706</v>
      </c>
      <c r="D413">
        <v>28</v>
      </c>
      <c r="E413">
        <v>3</v>
      </c>
      <c r="F413" s="13">
        <v>3793.55</v>
      </c>
      <c r="G413" t="s">
        <v>4697</v>
      </c>
      <c r="H413" t="s">
        <v>4698</v>
      </c>
      <c r="I413" t="s">
        <v>4699</v>
      </c>
      <c r="J413" s="10">
        <f t="shared" si="12"/>
        <v>32383</v>
      </c>
      <c r="K413">
        <f t="shared" si="13"/>
        <v>34</v>
      </c>
    </row>
    <row r="414" spans="1:11">
      <c r="A414" t="s">
        <v>3850</v>
      </c>
      <c r="B414">
        <v>1999</v>
      </c>
      <c r="C414" t="s">
        <v>4702</v>
      </c>
      <c r="D414">
        <v>24</v>
      </c>
      <c r="E414">
        <v>0</v>
      </c>
      <c r="F414" s="13">
        <v>3796.36</v>
      </c>
      <c r="G414" t="s">
        <v>4697</v>
      </c>
      <c r="H414" t="s">
        <v>4698</v>
      </c>
      <c r="I414" t="s">
        <v>4704</v>
      </c>
      <c r="J414" s="10">
        <f t="shared" si="12"/>
        <v>36335</v>
      </c>
      <c r="K414">
        <f t="shared" si="13"/>
        <v>23</v>
      </c>
    </row>
    <row r="415" spans="1:11">
      <c r="A415" t="s">
        <v>3848</v>
      </c>
      <c r="B415">
        <v>1981</v>
      </c>
      <c r="C415" t="s">
        <v>4703</v>
      </c>
      <c r="D415">
        <v>29</v>
      </c>
      <c r="E415">
        <v>1</v>
      </c>
      <c r="F415" s="13">
        <v>3797.2</v>
      </c>
      <c r="G415" t="s">
        <v>4697</v>
      </c>
      <c r="H415" t="s">
        <v>4698</v>
      </c>
      <c r="I415" t="s">
        <v>4704</v>
      </c>
      <c r="J415" s="10">
        <f t="shared" si="12"/>
        <v>29858</v>
      </c>
      <c r="K415">
        <f t="shared" si="13"/>
        <v>41</v>
      </c>
    </row>
    <row r="416" spans="1:11">
      <c r="A416" t="s">
        <v>3846</v>
      </c>
      <c r="B416">
        <v>1994</v>
      </c>
      <c r="C416" t="s">
        <v>4706</v>
      </c>
      <c r="D416">
        <v>12</v>
      </c>
      <c r="E416">
        <v>2</v>
      </c>
      <c r="F416" s="13">
        <v>3847.67</v>
      </c>
      <c r="G416" t="s">
        <v>4698</v>
      </c>
      <c r="H416" t="s">
        <v>4697</v>
      </c>
      <c r="I416" t="s">
        <v>4708</v>
      </c>
      <c r="J416" s="10">
        <f t="shared" si="12"/>
        <v>34558</v>
      </c>
      <c r="K416">
        <f t="shared" si="13"/>
        <v>28</v>
      </c>
    </row>
    <row r="417" spans="1:11">
      <c r="A417" t="s">
        <v>3844</v>
      </c>
      <c r="B417">
        <v>1991</v>
      </c>
      <c r="C417" t="s">
        <v>4706</v>
      </c>
      <c r="D417">
        <v>19</v>
      </c>
      <c r="E417">
        <v>0</v>
      </c>
      <c r="F417" s="13">
        <v>3857.76</v>
      </c>
      <c r="G417" t="s">
        <v>4698</v>
      </c>
      <c r="H417" t="s">
        <v>4701</v>
      </c>
      <c r="I417" t="s">
        <v>4711</v>
      </c>
      <c r="J417" s="10">
        <f t="shared" si="12"/>
        <v>33469</v>
      </c>
      <c r="K417">
        <f t="shared" si="13"/>
        <v>31</v>
      </c>
    </row>
    <row r="418" spans="1:11">
      <c r="A418" t="s">
        <v>3842</v>
      </c>
      <c r="B418">
        <v>2001</v>
      </c>
      <c r="C418" t="s">
        <v>4702</v>
      </c>
      <c r="D418">
        <v>6</v>
      </c>
      <c r="E418">
        <v>0</v>
      </c>
      <c r="F418" s="13">
        <v>3858.51</v>
      </c>
      <c r="G418" t="s">
        <v>4697</v>
      </c>
      <c r="H418" t="s">
        <v>4698</v>
      </c>
      <c r="I418" t="s">
        <v>4713</v>
      </c>
      <c r="J418" s="10">
        <f t="shared" si="12"/>
        <v>37048</v>
      </c>
      <c r="K418">
        <f t="shared" si="13"/>
        <v>22</v>
      </c>
    </row>
    <row r="419" spans="1:11">
      <c r="A419" t="s">
        <v>3840</v>
      </c>
      <c r="B419">
        <v>2001</v>
      </c>
      <c r="C419" t="s">
        <v>4707</v>
      </c>
      <c r="D419">
        <v>18</v>
      </c>
      <c r="E419">
        <v>3</v>
      </c>
      <c r="F419" s="13">
        <v>3861.21</v>
      </c>
      <c r="G419" t="s">
        <v>4697</v>
      </c>
      <c r="H419" t="s">
        <v>4697</v>
      </c>
      <c r="I419" t="s">
        <v>4711</v>
      </c>
      <c r="J419" s="10">
        <f t="shared" si="12"/>
        <v>37182</v>
      </c>
      <c r="K419">
        <f t="shared" si="13"/>
        <v>21</v>
      </c>
    </row>
    <row r="420" spans="1:11">
      <c r="A420" t="s">
        <v>3838</v>
      </c>
      <c r="B420">
        <v>1990</v>
      </c>
      <c r="C420" t="s">
        <v>4702</v>
      </c>
      <c r="D420">
        <v>24</v>
      </c>
      <c r="E420">
        <v>0</v>
      </c>
      <c r="F420" s="13">
        <v>3866.86</v>
      </c>
      <c r="G420" t="s">
        <v>4701</v>
      </c>
      <c r="H420" t="s">
        <v>4701</v>
      </c>
      <c r="I420" t="s">
        <v>4704</v>
      </c>
      <c r="J420" s="10">
        <f t="shared" si="12"/>
        <v>33048</v>
      </c>
      <c r="K420">
        <f t="shared" si="13"/>
        <v>32</v>
      </c>
    </row>
    <row r="421" spans="1:11">
      <c r="A421" t="s">
        <v>3836</v>
      </c>
      <c r="B421">
        <v>1991</v>
      </c>
      <c r="C421" t="s">
        <v>4696</v>
      </c>
      <c r="D421">
        <v>25</v>
      </c>
      <c r="E421">
        <v>1</v>
      </c>
      <c r="F421" s="13">
        <v>3875.73</v>
      </c>
      <c r="G421" t="s">
        <v>4697</v>
      </c>
      <c r="H421" t="s">
        <v>4698</v>
      </c>
      <c r="I421" t="s">
        <v>4699</v>
      </c>
      <c r="J421" s="10">
        <f t="shared" si="12"/>
        <v>33444</v>
      </c>
      <c r="K421">
        <f t="shared" si="13"/>
        <v>31</v>
      </c>
    </row>
    <row r="422" spans="1:11">
      <c r="A422" t="s">
        <v>3834</v>
      </c>
      <c r="B422">
        <v>1996</v>
      </c>
      <c r="C422" t="s">
        <v>4707</v>
      </c>
      <c r="D422">
        <v>23</v>
      </c>
      <c r="E422">
        <v>2</v>
      </c>
      <c r="F422" s="13">
        <v>3877.3</v>
      </c>
      <c r="G422" t="s">
        <v>4701</v>
      </c>
      <c r="H422" t="s">
        <v>4698</v>
      </c>
      <c r="I422" t="s">
        <v>4704</v>
      </c>
      <c r="J422" s="10">
        <f t="shared" si="12"/>
        <v>35361</v>
      </c>
      <c r="K422">
        <f t="shared" si="13"/>
        <v>26</v>
      </c>
    </row>
    <row r="423" spans="1:11">
      <c r="A423" t="s">
        <v>3832</v>
      </c>
      <c r="B423">
        <v>2004</v>
      </c>
      <c r="C423" t="s">
        <v>4696</v>
      </c>
      <c r="D423">
        <v>13</v>
      </c>
      <c r="E423">
        <v>0</v>
      </c>
      <c r="F423" s="13">
        <v>3889.2</v>
      </c>
      <c r="G423" t="s">
        <v>4697</v>
      </c>
      <c r="H423" t="s">
        <v>4697</v>
      </c>
      <c r="I423" t="s">
        <v>4704</v>
      </c>
      <c r="J423" s="10">
        <f t="shared" si="12"/>
        <v>38181</v>
      </c>
      <c r="K423">
        <f t="shared" si="13"/>
        <v>18</v>
      </c>
    </row>
    <row r="424" spans="1:11">
      <c r="A424" t="s">
        <v>3830</v>
      </c>
      <c r="B424">
        <v>1993</v>
      </c>
      <c r="C424" t="s">
        <v>4703</v>
      </c>
      <c r="D424">
        <v>14</v>
      </c>
      <c r="E424">
        <v>0</v>
      </c>
      <c r="F424" s="13">
        <v>3898.35</v>
      </c>
      <c r="G424" t="s">
        <v>4697</v>
      </c>
      <c r="H424" t="s">
        <v>4697</v>
      </c>
      <c r="I424" t="s">
        <v>4704</v>
      </c>
      <c r="J424" s="10">
        <f t="shared" si="12"/>
        <v>34226</v>
      </c>
      <c r="K424">
        <f t="shared" si="13"/>
        <v>29</v>
      </c>
    </row>
    <row r="425" spans="1:11">
      <c r="A425" t="s">
        <v>3828</v>
      </c>
      <c r="B425">
        <v>1981</v>
      </c>
      <c r="C425" t="s">
        <v>4706</v>
      </c>
      <c r="D425">
        <v>27</v>
      </c>
      <c r="E425">
        <v>1</v>
      </c>
      <c r="F425" s="13">
        <v>3902.07</v>
      </c>
      <c r="G425" t="s">
        <v>4697</v>
      </c>
      <c r="H425" t="s">
        <v>4697</v>
      </c>
      <c r="I425" t="s">
        <v>4699</v>
      </c>
      <c r="J425" s="10">
        <f t="shared" si="12"/>
        <v>29825</v>
      </c>
      <c r="K425">
        <f t="shared" si="13"/>
        <v>41</v>
      </c>
    </row>
    <row r="426" spans="1:11">
      <c r="A426" t="s">
        <v>3826</v>
      </c>
      <c r="B426">
        <v>1997</v>
      </c>
      <c r="C426" t="s">
        <v>4700</v>
      </c>
      <c r="D426">
        <v>24</v>
      </c>
      <c r="E426">
        <v>3</v>
      </c>
      <c r="F426" s="13">
        <v>3906.13</v>
      </c>
      <c r="G426" t="s">
        <v>4698</v>
      </c>
      <c r="H426" t="s">
        <v>4698</v>
      </c>
      <c r="I426" t="s">
        <v>4708</v>
      </c>
      <c r="J426" s="10">
        <f t="shared" si="12"/>
        <v>35758</v>
      </c>
      <c r="K426">
        <f t="shared" si="13"/>
        <v>25</v>
      </c>
    </row>
    <row r="427" spans="1:11">
      <c r="A427" t="s">
        <v>3824</v>
      </c>
      <c r="B427">
        <v>1985</v>
      </c>
      <c r="C427" t="s">
        <v>4696</v>
      </c>
      <c r="D427">
        <v>5</v>
      </c>
      <c r="E427">
        <v>3</v>
      </c>
      <c r="F427" s="13">
        <v>3910.44</v>
      </c>
      <c r="G427" t="s">
        <v>4697</v>
      </c>
      <c r="H427" t="s">
        <v>4697</v>
      </c>
      <c r="I427" t="s">
        <v>4699</v>
      </c>
      <c r="J427" s="10">
        <f t="shared" si="12"/>
        <v>31233</v>
      </c>
      <c r="K427">
        <f t="shared" si="13"/>
        <v>37</v>
      </c>
    </row>
    <row r="428" spans="1:11">
      <c r="A428" t="s">
        <v>3822</v>
      </c>
      <c r="B428">
        <v>2000</v>
      </c>
      <c r="C428" t="s">
        <v>4696</v>
      </c>
      <c r="D428">
        <v>10</v>
      </c>
      <c r="E428">
        <v>2</v>
      </c>
      <c r="F428" s="13">
        <v>3925.76</v>
      </c>
      <c r="G428" t="s">
        <v>4697</v>
      </c>
      <c r="H428" t="s">
        <v>4697</v>
      </c>
      <c r="I428" t="s">
        <v>4714</v>
      </c>
      <c r="J428" s="10">
        <f t="shared" si="12"/>
        <v>36717</v>
      </c>
      <c r="K428">
        <f t="shared" si="13"/>
        <v>22</v>
      </c>
    </row>
    <row r="429" spans="1:11">
      <c r="A429" t="s">
        <v>3820</v>
      </c>
      <c r="B429">
        <v>2002</v>
      </c>
      <c r="C429" t="s">
        <v>4702</v>
      </c>
      <c r="D429">
        <v>15</v>
      </c>
      <c r="E429">
        <v>0</v>
      </c>
      <c r="F429" s="13">
        <v>3931.51</v>
      </c>
      <c r="G429" t="s">
        <v>4697</v>
      </c>
      <c r="H429" t="s">
        <v>4698</v>
      </c>
      <c r="I429" t="s">
        <v>4708</v>
      </c>
      <c r="J429" s="10">
        <f t="shared" si="12"/>
        <v>37422</v>
      </c>
      <c r="K429">
        <f t="shared" si="13"/>
        <v>20</v>
      </c>
    </row>
    <row r="430" spans="1:11">
      <c r="A430" t="s">
        <v>3818</v>
      </c>
      <c r="B430">
        <v>1988</v>
      </c>
      <c r="C430" t="s">
        <v>4707</v>
      </c>
      <c r="D430">
        <v>24</v>
      </c>
      <c r="E430">
        <v>0</v>
      </c>
      <c r="F430" s="13">
        <v>3935.18</v>
      </c>
      <c r="G430" t="s">
        <v>4698</v>
      </c>
      <c r="H430" t="s">
        <v>4701</v>
      </c>
      <c r="I430" t="s">
        <v>4699</v>
      </c>
      <c r="J430" s="10">
        <f t="shared" si="12"/>
        <v>32440</v>
      </c>
      <c r="K430">
        <f t="shared" si="13"/>
        <v>34</v>
      </c>
    </row>
    <row r="431" spans="1:11">
      <c r="A431" t="s">
        <v>3816</v>
      </c>
      <c r="B431">
        <v>1993</v>
      </c>
      <c r="C431" t="s">
        <v>4703</v>
      </c>
      <c r="D431">
        <v>29</v>
      </c>
      <c r="E431">
        <v>0</v>
      </c>
      <c r="F431" s="13">
        <v>3943.6</v>
      </c>
      <c r="G431" t="s">
        <v>4697</v>
      </c>
      <c r="H431" t="s">
        <v>4698</v>
      </c>
      <c r="I431" t="s">
        <v>4714</v>
      </c>
      <c r="J431" s="10">
        <f t="shared" si="12"/>
        <v>34241</v>
      </c>
      <c r="K431">
        <f t="shared" si="13"/>
        <v>29</v>
      </c>
    </row>
    <row r="432" spans="1:11">
      <c r="A432" t="s">
        <v>3814</v>
      </c>
      <c r="B432">
        <v>1993</v>
      </c>
      <c r="C432" t="s">
        <v>4700</v>
      </c>
      <c r="D432">
        <v>11</v>
      </c>
      <c r="E432">
        <v>1</v>
      </c>
      <c r="F432" s="13">
        <v>3947.41</v>
      </c>
      <c r="G432" t="s">
        <v>4697</v>
      </c>
      <c r="H432" t="s">
        <v>4697</v>
      </c>
      <c r="I432" t="s">
        <v>4699</v>
      </c>
      <c r="J432" s="10">
        <f t="shared" si="12"/>
        <v>34284</v>
      </c>
      <c r="K432">
        <f t="shared" si="13"/>
        <v>29</v>
      </c>
    </row>
    <row r="433" spans="1:11">
      <c r="A433" t="s">
        <v>3812</v>
      </c>
      <c r="B433">
        <v>1999</v>
      </c>
      <c r="C433" t="s">
        <v>4696</v>
      </c>
      <c r="D433">
        <v>10</v>
      </c>
      <c r="E433">
        <v>0</v>
      </c>
      <c r="F433" s="13">
        <v>3955.98</v>
      </c>
      <c r="G433" t="s">
        <v>4697</v>
      </c>
      <c r="H433" t="s">
        <v>4698</v>
      </c>
      <c r="I433" t="s">
        <v>4717</v>
      </c>
      <c r="J433" s="10">
        <f t="shared" si="12"/>
        <v>36351</v>
      </c>
      <c r="K433">
        <f t="shared" si="13"/>
        <v>23</v>
      </c>
    </row>
    <row r="434" spans="1:11">
      <c r="A434" t="s">
        <v>3810</v>
      </c>
      <c r="B434">
        <v>1995</v>
      </c>
      <c r="C434" t="s">
        <v>4696</v>
      </c>
      <c r="D434">
        <v>11</v>
      </c>
      <c r="E434">
        <v>1</v>
      </c>
      <c r="F434" s="13">
        <v>3956.07</v>
      </c>
      <c r="G434" t="s">
        <v>4697</v>
      </c>
      <c r="H434" t="s">
        <v>4697</v>
      </c>
      <c r="I434" t="s">
        <v>4704</v>
      </c>
      <c r="J434" s="10">
        <f t="shared" si="12"/>
        <v>34891</v>
      </c>
      <c r="K434">
        <f t="shared" si="13"/>
        <v>27</v>
      </c>
    </row>
    <row r="435" spans="1:11">
      <c r="A435" t="s">
        <v>3808</v>
      </c>
      <c r="B435">
        <v>1990</v>
      </c>
      <c r="C435" t="s">
        <v>4696</v>
      </c>
      <c r="D435">
        <v>29</v>
      </c>
      <c r="E435">
        <v>0</v>
      </c>
      <c r="F435" s="13">
        <v>3972.92</v>
      </c>
      <c r="G435" t="s">
        <v>4697</v>
      </c>
      <c r="H435" t="s">
        <v>4698</v>
      </c>
      <c r="I435" t="s">
        <v>4699</v>
      </c>
      <c r="J435" s="10">
        <f t="shared" si="12"/>
        <v>33083</v>
      </c>
      <c r="K435">
        <f t="shared" si="13"/>
        <v>32</v>
      </c>
    </row>
    <row r="436" spans="1:11">
      <c r="A436" t="s">
        <v>3806</v>
      </c>
      <c r="B436">
        <v>1996</v>
      </c>
      <c r="C436" t="s">
        <v>4706</v>
      </c>
      <c r="D436">
        <v>17</v>
      </c>
      <c r="E436">
        <v>2</v>
      </c>
      <c r="F436" s="13">
        <v>3981.98</v>
      </c>
      <c r="G436" t="s">
        <v>4697</v>
      </c>
      <c r="H436" t="s">
        <v>4697</v>
      </c>
      <c r="I436" t="s">
        <v>4699</v>
      </c>
      <c r="J436" s="10">
        <f t="shared" si="12"/>
        <v>35294</v>
      </c>
      <c r="K436">
        <f t="shared" si="13"/>
        <v>26</v>
      </c>
    </row>
    <row r="437" spans="1:11">
      <c r="A437" t="s">
        <v>3804</v>
      </c>
      <c r="B437">
        <v>1996</v>
      </c>
      <c r="C437" t="s">
        <v>4703</v>
      </c>
      <c r="D437">
        <v>8</v>
      </c>
      <c r="E437">
        <v>2</v>
      </c>
      <c r="F437" s="13">
        <v>3987.93</v>
      </c>
      <c r="G437" t="s">
        <v>4697</v>
      </c>
      <c r="H437" t="s">
        <v>4697</v>
      </c>
      <c r="I437" t="s">
        <v>4708</v>
      </c>
      <c r="J437" s="10">
        <f t="shared" si="12"/>
        <v>35316</v>
      </c>
      <c r="K437">
        <f t="shared" si="13"/>
        <v>26</v>
      </c>
    </row>
    <row r="438" spans="1:11">
      <c r="A438" t="s">
        <v>3802</v>
      </c>
      <c r="B438">
        <v>1990</v>
      </c>
      <c r="C438" t="s">
        <v>4700</v>
      </c>
      <c r="D438">
        <v>22</v>
      </c>
      <c r="E438">
        <v>0</v>
      </c>
      <c r="F438" s="13">
        <v>3989.84</v>
      </c>
      <c r="G438" t="s">
        <v>4697</v>
      </c>
      <c r="H438" t="s">
        <v>4697</v>
      </c>
      <c r="I438" t="s">
        <v>4708</v>
      </c>
      <c r="J438" s="10">
        <f t="shared" si="12"/>
        <v>33199</v>
      </c>
      <c r="K438">
        <f t="shared" si="13"/>
        <v>32</v>
      </c>
    </row>
    <row r="439" spans="1:11">
      <c r="A439" t="s">
        <v>3800</v>
      </c>
      <c r="B439">
        <v>1990</v>
      </c>
      <c r="C439" t="s">
        <v>4700</v>
      </c>
      <c r="D439">
        <v>1</v>
      </c>
      <c r="E439">
        <v>0</v>
      </c>
      <c r="F439" s="13">
        <v>3994.18</v>
      </c>
      <c r="G439" t="s">
        <v>4697</v>
      </c>
      <c r="H439" t="s">
        <v>4697</v>
      </c>
      <c r="I439" t="s">
        <v>4699</v>
      </c>
      <c r="J439" s="10">
        <f t="shared" si="12"/>
        <v>33178</v>
      </c>
      <c r="K439">
        <f t="shared" si="13"/>
        <v>32</v>
      </c>
    </row>
    <row r="440" spans="1:11">
      <c r="A440" t="s">
        <v>3798</v>
      </c>
      <c r="B440">
        <v>1989</v>
      </c>
      <c r="C440" t="s">
        <v>4696</v>
      </c>
      <c r="D440">
        <v>10</v>
      </c>
      <c r="E440">
        <v>3</v>
      </c>
      <c r="F440" s="13">
        <v>4002.36</v>
      </c>
      <c r="G440" t="s">
        <v>4697</v>
      </c>
      <c r="H440" t="s">
        <v>4701</v>
      </c>
      <c r="I440" t="s">
        <v>4699</v>
      </c>
      <c r="J440" s="10">
        <f t="shared" si="12"/>
        <v>32699</v>
      </c>
      <c r="K440">
        <f t="shared" si="13"/>
        <v>33</v>
      </c>
    </row>
    <row r="441" spans="1:11">
      <c r="A441" t="s">
        <v>3796</v>
      </c>
      <c r="B441">
        <v>2000</v>
      </c>
      <c r="C441" t="s">
        <v>4703</v>
      </c>
      <c r="D441">
        <v>13</v>
      </c>
      <c r="E441">
        <v>3</v>
      </c>
      <c r="F441" s="13">
        <v>4005.42</v>
      </c>
      <c r="G441" t="s">
        <v>4697</v>
      </c>
      <c r="H441" t="s">
        <v>4701</v>
      </c>
      <c r="I441" t="s">
        <v>4709</v>
      </c>
      <c r="J441" s="10">
        <f t="shared" si="12"/>
        <v>36782</v>
      </c>
      <c r="K441">
        <f t="shared" si="13"/>
        <v>22</v>
      </c>
    </row>
    <row r="442" spans="1:11">
      <c r="A442" t="s">
        <v>3794</v>
      </c>
      <c r="B442">
        <v>1992</v>
      </c>
      <c r="C442" t="s">
        <v>4707</v>
      </c>
      <c r="D442">
        <v>11</v>
      </c>
      <c r="E442">
        <v>1</v>
      </c>
      <c r="F442" s="13">
        <v>4032.24</v>
      </c>
      <c r="G442" t="s">
        <v>4698</v>
      </c>
      <c r="H442" t="s">
        <v>4698</v>
      </c>
      <c r="I442" t="s">
        <v>4704</v>
      </c>
      <c r="J442" s="10">
        <f t="shared" si="12"/>
        <v>33888</v>
      </c>
      <c r="K442">
        <f t="shared" si="13"/>
        <v>30</v>
      </c>
    </row>
    <row r="443" spans="1:11">
      <c r="A443" t="s">
        <v>3792</v>
      </c>
      <c r="B443">
        <v>1984</v>
      </c>
      <c r="C443" t="s">
        <v>4696</v>
      </c>
      <c r="D443">
        <v>7</v>
      </c>
      <c r="E443">
        <v>3</v>
      </c>
      <c r="F443" s="13">
        <v>4038.41</v>
      </c>
      <c r="G443" t="s">
        <v>4697</v>
      </c>
      <c r="H443" t="s">
        <v>4701</v>
      </c>
      <c r="I443" t="s">
        <v>4699</v>
      </c>
      <c r="J443" s="10">
        <f t="shared" si="12"/>
        <v>30870</v>
      </c>
      <c r="K443">
        <f t="shared" si="13"/>
        <v>38</v>
      </c>
    </row>
    <row r="444" spans="1:11">
      <c r="A444" t="s">
        <v>3790</v>
      </c>
      <c r="B444">
        <v>1983</v>
      </c>
      <c r="C444" t="s">
        <v>4700</v>
      </c>
      <c r="D444">
        <v>10</v>
      </c>
      <c r="E444">
        <v>3</v>
      </c>
      <c r="F444" s="13">
        <v>4039.9</v>
      </c>
      <c r="G444" t="s">
        <v>4697</v>
      </c>
      <c r="H444" t="s">
        <v>4701</v>
      </c>
      <c r="I444" t="s">
        <v>4699</v>
      </c>
      <c r="J444" s="10">
        <f t="shared" si="12"/>
        <v>30630</v>
      </c>
      <c r="K444">
        <f t="shared" si="13"/>
        <v>39</v>
      </c>
    </row>
    <row r="445" spans="1:11">
      <c r="A445" t="s">
        <v>3788</v>
      </c>
      <c r="B445">
        <v>1993</v>
      </c>
      <c r="C445" t="s">
        <v>4705</v>
      </c>
      <c r="D445">
        <v>26</v>
      </c>
      <c r="E445">
        <v>1</v>
      </c>
      <c r="F445" s="13">
        <v>4040.56</v>
      </c>
      <c r="G445" t="s">
        <v>4698</v>
      </c>
      <c r="H445" t="s">
        <v>4698</v>
      </c>
      <c r="I445" t="s">
        <v>4709</v>
      </c>
      <c r="J445" s="10">
        <f t="shared" si="12"/>
        <v>34329</v>
      </c>
      <c r="K445">
        <f t="shared" si="13"/>
        <v>29</v>
      </c>
    </row>
    <row r="446" spans="1:11">
      <c r="A446" t="s">
        <v>3786</v>
      </c>
      <c r="B446">
        <v>1988</v>
      </c>
      <c r="C446" t="s">
        <v>4700</v>
      </c>
      <c r="D446">
        <v>30</v>
      </c>
      <c r="E446">
        <v>3</v>
      </c>
      <c r="F446" s="13">
        <v>4047.94</v>
      </c>
      <c r="G446" t="s">
        <v>4697</v>
      </c>
      <c r="H446" t="s">
        <v>4701</v>
      </c>
      <c r="I446" t="s">
        <v>4699</v>
      </c>
      <c r="J446" s="10">
        <f t="shared" si="12"/>
        <v>32477</v>
      </c>
      <c r="K446">
        <f t="shared" si="13"/>
        <v>34</v>
      </c>
    </row>
    <row r="447" spans="1:11">
      <c r="A447" t="s">
        <v>3784</v>
      </c>
      <c r="B447">
        <v>1993</v>
      </c>
      <c r="C447" t="s">
        <v>4706</v>
      </c>
      <c r="D447">
        <v>13</v>
      </c>
      <c r="E447">
        <v>2</v>
      </c>
      <c r="F447" s="13">
        <v>4058.12</v>
      </c>
      <c r="G447" t="s">
        <v>4697</v>
      </c>
      <c r="H447" t="s">
        <v>4701</v>
      </c>
      <c r="I447" t="s">
        <v>4699</v>
      </c>
      <c r="J447" s="10">
        <f t="shared" si="12"/>
        <v>34194</v>
      </c>
      <c r="K447">
        <f t="shared" si="13"/>
        <v>29</v>
      </c>
    </row>
    <row r="448" spans="1:11">
      <c r="A448" t="s">
        <v>3782</v>
      </c>
      <c r="B448">
        <v>1995</v>
      </c>
      <c r="C448" t="s">
        <v>4703</v>
      </c>
      <c r="D448">
        <v>14</v>
      </c>
      <c r="E448">
        <v>2</v>
      </c>
      <c r="F448" s="13">
        <v>4058.71</v>
      </c>
      <c r="G448" t="s">
        <v>4698</v>
      </c>
      <c r="H448" t="s">
        <v>4698</v>
      </c>
      <c r="I448" t="s">
        <v>4704</v>
      </c>
      <c r="J448" s="10">
        <f t="shared" si="12"/>
        <v>34956</v>
      </c>
      <c r="K448">
        <f t="shared" si="13"/>
        <v>27</v>
      </c>
    </row>
    <row r="449" spans="1:11">
      <c r="A449" t="s">
        <v>3780</v>
      </c>
      <c r="B449">
        <v>1983</v>
      </c>
      <c r="C449" t="s">
        <v>4703</v>
      </c>
      <c r="D449">
        <v>16</v>
      </c>
      <c r="E449">
        <v>3</v>
      </c>
      <c r="F449" s="13">
        <v>4070.42</v>
      </c>
      <c r="G449" t="s">
        <v>4697</v>
      </c>
      <c r="H449" t="s">
        <v>4701</v>
      </c>
      <c r="I449" t="s">
        <v>4699</v>
      </c>
      <c r="J449" s="10">
        <f t="shared" si="12"/>
        <v>30575</v>
      </c>
      <c r="K449">
        <f t="shared" si="13"/>
        <v>39</v>
      </c>
    </row>
    <row r="450" spans="1:11">
      <c r="A450" t="s">
        <v>3778</v>
      </c>
      <c r="B450">
        <v>2002</v>
      </c>
      <c r="C450" t="s">
        <v>4707</v>
      </c>
      <c r="D450">
        <v>18</v>
      </c>
      <c r="E450">
        <v>0</v>
      </c>
      <c r="F450" s="13">
        <v>4070.51</v>
      </c>
      <c r="G450" t="s">
        <v>4697</v>
      </c>
      <c r="H450" t="s">
        <v>4701</v>
      </c>
      <c r="I450" t="s">
        <v>4704</v>
      </c>
      <c r="J450" s="10">
        <f t="shared" ref="J450:J513" si="14">DATEVALUE(D450&amp;"-"&amp;C450&amp;"-"&amp;B450)</f>
        <v>37547</v>
      </c>
      <c r="K450">
        <f t="shared" si="13"/>
        <v>20</v>
      </c>
    </row>
    <row r="451" spans="1:11">
      <c r="A451" t="s">
        <v>3776</v>
      </c>
      <c r="B451">
        <v>1990</v>
      </c>
      <c r="C451" t="s">
        <v>4705</v>
      </c>
      <c r="D451">
        <v>1</v>
      </c>
      <c r="E451">
        <v>1</v>
      </c>
      <c r="F451" s="13">
        <v>4074.45</v>
      </c>
      <c r="G451" t="s">
        <v>4698</v>
      </c>
      <c r="H451" t="s">
        <v>4697</v>
      </c>
      <c r="I451" t="s">
        <v>4699</v>
      </c>
      <c r="J451" s="10">
        <f t="shared" si="14"/>
        <v>33208</v>
      </c>
      <c r="K451">
        <f t="shared" ref="K451:K514" si="15">DATEDIF(J451, DATE(2023, 6, 8), "Y")</f>
        <v>32</v>
      </c>
    </row>
    <row r="452" spans="1:11">
      <c r="A452" t="s">
        <v>3774</v>
      </c>
      <c r="B452">
        <v>1990</v>
      </c>
      <c r="C452" t="s">
        <v>4705</v>
      </c>
      <c r="D452">
        <v>14</v>
      </c>
      <c r="E452">
        <v>1</v>
      </c>
      <c r="F452" s="13">
        <v>4076.5</v>
      </c>
      <c r="G452" t="s">
        <v>4697</v>
      </c>
      <c r="H452" t="s">
        <v>4698</v>
      </c>
      <c r="I452" t="s">
        <v>4708</v>
      </c>
      <c r="J452" s="10">
        <f t="shared" si="14"/>
        <v>33221</v>
      </c>
      <c r="K452">
        <f t="shared" si="15"/>
        <v>32</v>
      </c>
    </row>
    <row r="453" spans="1:11">
      <c r="A453" t="s">
        <v>3772</v>
      </c>
      <c r="B453">
        <v>1994</v>
      </c>
      <c r="C453" t="s">
        <v>4706</v>
      </c>
      <c r="D453">
        <v>21</v>
      </c>
      <c r="E453">
        <v>1</v>
      </c>
      <c r="F453" s="13">
        <v>4133.6400000000003</v>
      </c>
      <c r="G453" t="s">
        <v>4697</v>
      </c>
      <c r="H453" t="s">
        <v>4698</v>
      </c>
      <c r="I453" t="s">
        <v>4704</v>
      </c>
      <c r="J453" s="10">
        <f t="shared" si="14"/>
        <v>34567</v>
      </c>
      <c r="K453">
        <f t="shared" si="15"/>
        <v>28</v>
      </c>
    </row>
    <row r="454" spans="1:11">
      <c r="A454" t="s">
        <v>3770</v>
      </c>
      <c r="B454">
        <v>1991</v>
      </c>
      <c r="C454" t="s">
        <v>4706</v>
      </c>
      <c r="D454">
        <v>6</v>
      </c>
      <c r="E454">
        <v>0</v>
      </c>
      <c r="F454" s="13">
        <v>4134.08</v>
      </c>
      <c r="G454" t="s">
        <v>4697</v>
      </c>
      <c r="H454" t="s">
        <v>4701</v>
      </c>
      <c r="I454" t="s">
        <v>4704</v>
      </c>
      <c r="J454" s="10">
        <f t="shared" si="14"/>
        <v>33456</v>
      </c>
      <c r="K454">
        <f t="shared" si="15"/>
        <v>31</v>
      </c>
    </row>
    <row r="455" spans="1:11">
      <c r="A455" t="s">
        <v>3768</v>
      </c>
      <c r="B455">
        <v>1992</v>
      </c>
      <c r="C455" t="s">
        <v>4702</v>
      </c>
      <c r="D455">
        <v>18</v>
      </c>
      <c r="E455">
        <v>0</v>
      </c>
      <c r="F455" s="13">
        <v>4137.5200000000004</v>
      </c>
      <c r="G455" t="s">
        <v>4697</v>
      </c>
      <c r="H455" t="s">
        <v>4698</v>
      </c>
      <c r="I455" t="s">
        <v>4714</v>
      </c>
      <c r="J455" s="10">
        <f t="shared" si="14"/>
        <v>33773</v>
      </c>
      <c r="K455">
        <f t="shared" si="15"/>
        <v>30</v>
      </c>
    </row>
    <row r="456" spans="1:11">
      <c r="A456" t="s">
        <v>3766</v>
      </c>
      <c r="B456">
        <v>1992</v>
      </c>
      <c r="C456" t="s">
        <v>4702</v>
      </c>
      <c r="D456">
        <v>28</v>
      </c>
      <c r="E456">
        <v>1</v>
      </c>
      <c r="F456" s="13">
        <v>4149.74</v>
      </c>
      <c r="G456" t="s">
        <v>4697</v>
      </c>
      <c r="H456" t="s">
        <v>4701</v>
      </c>
      <c r="I456" t="s">
        <v>4708</v>
      </c>
      <c r="J456" s="10">
        <f t="shared" si="14"/>
        <v>33783</v>
      </c>
      <c r="K456">
        <f t="shared" si="15"/>
        <v>30</v>
      </c>
    </row>
    <row r="457" spans="1:11">
      <c r="A457" t="s">
        <v>3764</v>
      </c>
      <c r="B457">
        <v>1992</v>
      </c>
      <c r="C457" t="s">
        <v>4706</v>
      </c>
      <c r="D457">
        <v>4</v>
      </c>
      <c r="E457">
        <v>1</v>
      </c>
      <c r="F457" s="13">
        <v>4151.03</v>
      </c>
      <c r="G457" t="s">
        <v>4697</v>
      </c>
      <c r="H457" t="s">
        <v>4697</v>
      </c>
      <c r="I457" t="s">
        <v>4699</v>
      </c>
      <c r="J457" s="10">
        <f t="shared" si="14"/>
        <v>33820</v>
      </c>
      <c r="K457">
        <f t="shared" si="15"/>
        <v>30</v>
      </c>
    </row>
    <row r="458" spans="1:11">
      <c r="A458" t="s">
        <v>3762</v>
      </c>
      <c r="B458">
        <v>1998</v>
      </c>
      <c r="C458" t="s">
        <v>4700</v>
      </c>
      <c r="D458">
        <v>26</v>
      </c>
      <c r="E458">
        <v>0</v>
      </c>
      <c r="F458" s="13">
        <v>4154.97</v>
      </c>
      <c r="G458" t="s">
        <v>4697</v>
      </c>
      <c r="H458" t="s">
        <v>4701</v>
      </c>
      <c r="I458" t="s">
        <v>4704</v>
      </c>
      <c r="J458" s="10">
        <f t="shared" si="14"/>
        <v>36125</v>
      </c>
      <c r="K458">
        <f t="shared" si="15"/>
        <v>24</v>
      </c>
    </row>
    <row r="459" spans="1:11">
      <c r="A459" t="s">
        <v>3760</v>
      </c>
      <c r="B459">
        <v>1984</v>
      </c>
      <c r="C459" t="s">
        <v>4703</v>
      </c>
      <c r="D459">
        <v>16</v>
      </c>
      <c r="E459">
        <v>3</v>
      </c>
      <c r="F459" s="13">
        <v>4163.21</v>
      </c>
      <c r="G459" t="s">
        <v>4697</v>
      </c>
      <c r="H459" t="s">
        <v>4697</v>
      </c>
      <c r="I459" t="s">
        <v>4704</v>
      </c>
      <c r="J459" s="10">
        <f t="shared" si="14"/>
        <v>30941</v>
      </c>
      <c r="K459">
        <f t="shared" si="15"/>
        <v>38</v>
      </c>
    </row>
    <row r="460" spans="1:11">
      <c r="A460" t="s">
        <v>3758</v>
      </c>
      <c r="B460">
        <v>1989</v>
      </c>
      <c r="C460" t="s">
        <v>4702</v>
      </c>
      <c r="D460">
        <v>25</v>
      </c>
      <c r="E460">
        <v>0</v>
      </c>
      <c r="F460" s="13">
        <v>4185.1000000000004</v>
      </c>
      <c r="G460" t="s">
        <v>4697</v>
      </c>
      <c r="H460" t="s">
        <v>4698</v>
      </c>
      <c r="I460" t="s">
        <v>4699</v>
      </c>
      <c r="J460" s="10">
        <f t="shared" si="14"/>
        <v>32684</v>
      </c>
      <c r="K460">
        <f t="shared" si="15"/>
        <v>33</v>
      </c>
    </row>
    <row r="461" spans="1:11">
      <c r="A461" t="s">
        <v>3756</v>
      </c>
      <c r="B461">
        <v>1995</v>
      </c>
      <c r="C461" t="s">
        <v>4707</v>
      </c>
      <c r="D461">
        <v>3</v>
      </c>
      <c r="E461">
        <v>0</v>
      </c>
      <c r="F461" s="13">
        <v>4188.7299999999996</v>
      </c>
      <c r="G461" t="s">
        <v>4697</v>
      </c>
      <c r="H461" t="s">
        <v>4697</v>
      </c>
      <c r="I461" t="s">
        <v>4713</v>
      </c>
      <c r="J461" s="10">
        <f t="shared" si="14"/>
        <v>34975</v>
      </c>
      <c r="K461">
        <f t="shared" si="15"/>
        <v>27</v>
      </c>
    </row>
    <row r="462" spans="1:11">
      <c r="A462" t="s">
        <v>3754</v>
      </c>
      <c r="B462">
        <v>1997</v>
      </c>
      <c r="C462" t="s">
        <v>4703</v>
      </c>
      <c r="D462">
        <v>6</v>
      </c>
      <c r="E462">
        <v>2</v>
      </c>
      <c r="F462" s="13">
        <v>4189.1099999999997</v>
      </c>
      <c r="G462" t="s">
        <v>4697</v>
      </c>
      <c r="H462" t="s">
        <v>4697</v>
      </c>
      <c r="I462" t="s">
        <v>4704</v>
      </c>
      <c r="J462" s="10">
        <f t="shared" si="14"/>
        <v>35679</v>
      </c>
      <c r="K462">
        <f t="shared" si="15"/>
        <v>25</v>
      </c>
    </row>
    <row r="463" spans="1:11">
      <c r="A463" t="s">
        <v>3752</v>
      </c>
      <c r="B463">
        <v>1998</v>
      </c>
      <c r="C463" t="s">
        <v>4705</v>
      </c>
      <c r="D463">
        <v>14</v>
      </c>
      <c r="E463">
        <v>3</v>
      </c>
      <c r="F463" s="13">
        <v>4234.93</v>
      </c>
      <c r="G463" t="s">
        <v>4697</v>
      </c>
      <c r="H463" t="s">
        <v>4701</v>
      </c>
      <c r="I463" t="s">
        <v>4708</v>
      </c>
      <c r="J463" s="10">
        <f t="shared" si="14"/>
        <v>36143</v>
      </c>
      <c r="K463">
        <f t="shared" si="15"/>
        <v>24</v>
      </c>
    </row>
    <row r="464" spans="1:11">
      <c r="A464" t="s">
        <v>3750</v>
      </c>
      <c r="B464">
        <v>1992</v>
      </c>
      <c r="C464" t="s">
        <v>4702</v>
      </c>
      <c r="D464">
        <v>27</v>
      </c>
      <c r="E464">
        <v>1</v>
      </c>
      <c r="F464" s="13">
        <v>4237.13</v>
      </c>
      <c r="G464" t="s">
        <v>4698</v>
      </c>
      <c r="H464" t="s">
        <v>4701</v>
      </c>
      <c r="I464" t="s">
        <v>4711</v>
      </c>
      <c r="J464" s="10">
        <f t="shared" si="14"/>
        <v>33782</v>
      </c>
      <c r="K464">
        <f t="shared" si="15"/>
        <v>30</v>
      </c>
    </row>
    <row r="465" spans="1:11">
      <c r="A465" t="s">
        <v>3748</v>
      </c>
      <c r="B465">
        <v>1991</v>
      </c>
      <c r="C465" t="s">
        <v>4700</v>
      </c>
      <c r="D465">
        <v>3</v>
      </c>
      <c r="E465">
        <v>1</v>
      </c>
      <c r="F465" s="13">
        <v>4239.8900000000003</v>
      </c>
      <c r="G465" t="s">
        <v>4697</v>
      </c>
      <c r="H465" t="s">
        <v>4697</v>
      </c>
      <c r="I465" t="s">
        <v>4704</v>
      </c>
      <c r="J465" s="10">
        <f t="shared" si="14"/>
        <v>33545</v>
      </c>
      <c r="K465">
        <f t="shared" si="15"/>
        <v>31</v>
      </c>
    </row>
    <row r="466" spans="1:11">
      <c r="A466" t="s">
        <v>3746</v>
      </c>
      <c r="B466">
        <v>1991</v>
      </c>
      <c r="C466" t="s">
        <v>4705</v>
      </c>
      <c r="D466">
        <v>1</v>
      </c>
      <c r="E466">
        <v>1</v>
      </c>
      <c r="F466" s="13">
        <v>4243.59</v>
      </c>
      <c r="G466" t="s">
        <v>4698</v>
      </c>
      <c r="H466" t="s">
        <v>4701</v>
      </c>
      <c r="I466" t="s">
        <v>4704</v>
      </c>
      <c r="J466" s="10">
        <f t="shared" si="14"/>
        <v>33573</v>
      </c>
      <c r="K466">
        <f t="shared" si="15"/>
        <v>31</v>
      </c>
    </row>
    <row r="467" spans="1:11">
      <c r="A467" t="s">
        <v>3744</v>
      </c>
      <c r="B467">
        <v>1982</v>
      </c>
      <c r="C467" t="s">
        <v>4702</v>
      </c>
      <c r="D467">
        <v>16</v>
      </c>
      <c r="E467">
        <v>3</v>
      </c>
      <c r="F467" s="13">
        <v>4250.24</v>
      </c>
      <c r="G467" t="s">
        <v>4697</v>
      </c>
      <c r="H467" t="s">
        <v>4698</v>
      </c>
      <c r="I467" t="s">
        <v>4699</v>
      </c>
      <c r="J467" s="10">
        <f t="shared" si="14"/>
        <v>30118</v>
      </c>
      <c r="K467">
        <f t="shared" si="15"/>
        <v>40</v>
      </c>
    </row>
    <row r="468" spans="1:11">
      <c r="A468" t="s">
        <v>3742</v>
      </c>
      <c r="B468">
        <v>1995</v>
      </c>
      <c r="C468" t="s">
        <v>4707</v>
      </c>
      <c r="D468">
        <v>14</v>
      </c>
      <c r="E468">
        <v>3</v>
      </c>
      <c r="F468" s="13">
        <v>4260.74</v>
      </c>
      <c r="G468" t="s">
        <v>4698</v>
      </c>
      <c r="H468" t="s">
        <v>4697</v>
      </c>
      <c r="I468" t="s">
        <v>4708</v>
      </c>
      <c r="J468" s="10">
        <f t="shared" si="14"/>
        <v>34986</v>
      </c>
      <c r="K468">
        <f t="shared" si="15"/>
        <v>27</v>
      </c>
    </row>
    <row r="469" spans="1:11">
      <c r="A469" t="s">
        <v>3740</v>
      </c>
      <c r="B469">
        <v>1983</v>
      </c>
      <c r="C469" t="s">
        <v>4700</v>
      </c>
      <c r="D469">
        <v>20</v>
      </c>
      <c r="E469">
        <v>3</v>
      </c>
      <c r="F469" s="13">
        <v>4265.01</v>
      </c>
      <c r="G469" t="s">
        <v>4697</v>
      </c>
      <c r="H469" t="s">
        <v>4701</v>
      </c>
      <c r="I469" t="s">
        <v>4704</v>
      </c>
      <c r="J469" s="10">
        <f t="shared" si="14"/>
        <v>30640</v>
      </c>
      <c r="K469">
        <f t="shared" si="15"/>
        <v>39</v>
      </c>
    </row>
    <row r="470" spans="1:11">
      <c r="A470" t="s">
        <v>3738</v>
      </c>
      <c r="B470">
        <v>1992</v>
      </c>
      <c r="C470" t="s">
        <v>4702</v>
      </c>
      <c r="D470">
        <v>18</v>
      </c>
      <c r="E470">
        <v>2</v>
      </c>
      <c r="F470" s="13">
        <v>4266.17</v>
      </c>
      <c r="G470" t="s">
        <v>4698</v>
      </c>
      <c r="H470" t="s">
        <v>4697</v>
      </c>
      <c r="I470" t="s">
        <v>4699</v>
      </c>
      <c r="J470" s="10">
        <f t="shared" si="14"/>
        <v>33773</v>
      </c>
      <c r="K470">
        <f t="shared" si="15"/>
        <v>30</v>
      </c>
    </row>
    <row r="471" spans="1:11">
      <c r="A471" t="s">
        <v>3736</v>
      </c>
      <c r="B471">
        <v>2003</v>
      </c>
      <c r="C471" t="s">
        <v>4702</v>
      </c>
      <c r="D471">
        <v>8</v>
      </c>
      <c r="E471">
        <v>0</v>
      </c>
      <c r="F471" s="13">
        <v>4278.55</v>
      </c>
      <c r="G471" t="s">
        <v>4697</v>
      </c>
      <c r="H471" t="s">
        <v>4701</v>
      </c>
      <c r="I471" t="s">
        <v>4717</v>
      </c>
      <c r="J471" s="10">
        <f t="shared" si="14"/>
        <v>37780</v>
      </c>
      <c r="K471">
        <f t="shared" si="15"/>
        <v>20</v>
      </c>
    </row>
    <row r="472" spans="1:11">
      <c r="A472" t="s">
        <v>3734</v>
      </c>
      <c r="B472">
        <v>2000</v>
      </c>
      <c r="C472" t="s">
        <v>4700</v>
      </c>
      <c r="D472">
        <v>25</v>
      </c>
      <c r="E472">
        <v>3</v>
      </c>
      <c r="F472" s="13">
        <v>4296.2700000000004</v>
      </c>
      <c r="G472" t="s">
        <v>4697</v>
      </c>
      <c r="H472" t="s">
        <v>4698</v>
      </c>
      <c r="I472" t="s">
        <v>4704</v>
      </c>
      <c r="J472" s="10">
        <f t="shared" si="14"/>
        <v>36855</v>
      </c>
      <c r="K472">
        <f t="shared" si="15"/>
        <v>22</v>
      </c>
    </row>
    <row r="473" spans="1:11">
      <c r="A473" t="s">
        <v>3732</v>
      </c>
      <c r="B473">
        <v>1988</v>
      </c>
      <c r="C473" t="s">
        <v>4705</v>
      </c>
      <c r="D473">
        <v>19</v>
      </c>
      <c r="E473">
        <v>0</v>
      </c>
      <c r="F473" s="13">
        <v>4320.41</v>
      </c>
      <c r="G473" t="s">
        <v>4697</v>
      </c>
      <c r="H473" t="s">
        <v>4701</v>
      </c>
      <c r="I473" t="s">
        <v>4704</v>
      </c>
      <c r="J473" s="10">
        <f t="shared" si="14"/>
        <v>32496</v>
      </c>
      <c r="K473">
        <f t="shared" si="15"/>
        <v>34</v>
      </c>
    </row>
    <row r="474" spans="1:11">
      <c r="A474" t="s">
        <v>3730</v>
      </c>
      <c r="B474">
        <v>1994</v>
      </c>
      <c r="C474" t="s">
        <v>4700</v>
      </c>
      <c r="D474">
        <v>2</v>
      </c>
      <c r="E474">
        <v>1</v>
      </c>
      <c r="F474" s="13">
        <v>4337.74</v>
      </c>
      <c r="G474" t="s">
        <v>4697</v>
      </c>
      <c r="H474" t="s">
        <v>4701</v>
      </c>
      <c r="I474" t="s">
        <v>4714</v>
      </c>
      <c r="J474" s="10">
        <f t="shared" si="14"/>
        <v>34640</v>
      </c>
      <c r="K474">
        <f t="shared" si="15"/>
        <v>28</v>
      </c>
    </row>
    <row r="475" spans="1:11">
      <c r="A475" t="s">
        <v>3728</v>
      </c>
      <c r="B475">
        <v>1994</v>
      </c>
      <c r="C475" t="s">
        <v>4707</v>
      </c>
      <c r="D475">
        <v>26</v>
      </c>
      <c r="E475">
        <v>2</v>
      </c>
      <c r="F475" s="13">
        <v>4340.4399999999996</v>
      </c>
      <c r="G475" t="s">
        <v>4697</v>
      </c>
      <c r="H475" t="s">
        <v>4701</v>
      </c>
      <c r="I475" t="s">
        <v>4699</v>
      </c>
      <c r="J475" s="10">
        <f t="shared" si="14"/>
        <v>34633</v>
      </c>
      <c r="K475">
        <f t="shared" si="15"/>
        <v>28</v>
      </c>
    </row>
    <row r="476" spans="1:11">
      <c r="A476" t="s">
        <v>3726</v>
      </c>
      <c r="B476">
        <v>1991</v>
      </c>
      <c r="C476" t="s">
        <v>4702</v>
      </c>
      <c r="D476">
        <v>1</v>
      </c>
      <c r="E476">
        <v>0</v>
      </c>
      <c r="F476" s="13">
        <v>4347.0200000000004</v>
      </c>
      <c r="G476" t="s">
        <v>4697</v>
      </c>
      <c r="H476" t="s">
        <v>4701</v>
      </c>
      <c r="I476" t="s">
        <v>4714</v>
      </c>
      <c r="J476" s="10">
        <f t="shared" si="14"/>
        <v>33390</v>
      </c>
      <c r="K476">
        <f t="shared" si="15"/>
        <v>32</v>
      </c>
    </row>
    <row r="477" spans="1:11">
      <c r="A477" t="s">
        <v>3724</v>
      </c>
      <c r="B477">
        <v>1994</v>
      </c>
      <c r="C477" t="s">
        <v>4700</v>
      </c>
      <c r="D477">
        <v>1</v>
      </c>
      <c r="E477">
        <v>2</v>
      </c>
      <c r="F477" s="13">
        <v>4349.46</v>
      </c>
      <c r="G477" t="s">
        <v>4697</v>
      </c>
      <c r="H477" t="s">
        <v>4697</v>
      </c>
      <c r="I477" t="s">
        <v>4699</v>
      </c>
      <c r="J477" s="10">
        <f t="shared" si="14"/>
        <v>34639</v>
      </c>
      <c r="K477">
        <f t="shared" si="15"/>
        <v>28</v>
      </c>
    </row>
    <row r="478" spans="1:11">
      <c r="A478" t="s">
        <v>3722</v>
      </c>
      <c r="B478">
        <v>1991</v>
      </c>
      <c r="C478" t="s">
        <v>4703</v>
      </c>
      <c r="D478">
        <v>13</v>
      </c>
      <c r="E478">
        <v>1</v>
      </c>
      <c r="F478" s="13">
        <v>4350.51</v>
      </c>
      <c r="G478" t="s">
        <v>4697</v>
      </c>
      <c r="H478" t="s">
        <v>4697</v>
      </c>
      <c r="I478" t="s">
        <v>4699</v>
      </c>
      <c r="J478" s="10">
        <f t="shared" si="14"/>
        <v>33494</v>
      </c>
      <c r="K478">
        <f t="shared" si="15"/>
        <v>31</v>
      </c>
    </row>
    <row r="479" spans="1:11">
      <c r="A479" t="s">
        <v>3720</v>
      </c>
      <c r="B479">
        <v>1990</v>
      </c>
      <c r="C479" t="s">
        <v>4706</v>
      </c>
      <c r="D479">
        <v>28</v>
      </c>
      <c r="E479">
        <v>0</v>
      </c>
      <c r="F479" s="13">
        <v>4357.04</v>
      </c>
      <c r="G479" t="s">
        <v>4697</v>
      </c>
      <c r="H479" t="s">
        <v>4698</v>
      </c>
      <c r="I479" t="s">
        <v>4704</v>
      </c>
      <c r="J479" s="10">
        <f t="shared" si="14"/>
        <v>33113</v>
      </c>
      <c r="K479">
        <f t="shared" si="15"/>
        <v>32</v>
      </c>
    </row>
    <row r="480" spans="1:11">
      <c r="A480" t="s">
        <v>3718</v>
      </c>
      <c r="B480">
        <v>1997</v>
      </c>
      <c r="C480" t="s">
        <v>4700</v>
      </c>
      <c r="D480">
        <v>29</v>
      </c>
      <c r="E480">
        <v>3</v>
      </c>
      <c r="F480" s="13">
        <v>4391.6499999999996</v>
      </c>
      <c r="G480" t="s">
        <v>4697</v>
      </c>
      <c r="H480" t="s">
        <v>4697</v>
      </c>
      <c r="I480" t="s">
        <v>4708</v>
      </c>
      <c r="J480" s="10">
        <f t="shared" si="14"/>
        <v>35763</v>
      </c>
      <c r="K480">
        <f t="shared" si="15"/>
        <v>25</v>
      </c>
    </row>
    <row r="481" spans="1:11">
      <c r="A481" t="s">
        <v>3716</v>
      </c>
      <c r="B481">
        <v>1982</v>
      </c>
      <c r="C481" t="s">
        <v>4702</v>
      </c>
      <c r="D481">
        <v>29</v>
      </c>
      <c r="E481">
        <v>3</v>
      </c>
      <c r="F481" s="13">
        <v>4392.7</v>
      </c>
      <c r="G481" t="s">
        <v>4697</v>
      </c>
      <c r="H481" t="s">
        <v>4697</v>
      </c>
      <c r="I481" t="s">
        <v>4699</v>
      </c>
      <c r="J481" s="10">
        <f t="shared" si="14"/>
        <v>30131</v>
      </c>
      <c r="K481">
        <f t="shared" si="15"/>
        <v>40</v>
      </c>
    </row>
    <row r="482" spans="1:11">
      <c r="A482" t="s">
        <v>3714</v>
      </c>
      <c r="B482">
        <v>1988</v>
      </c>
      <c r="C482" t="s">
        <v>4696</v>
      </c>
      <c r="D482">
        <v>18</v>
      </c>
      <c r="E482">
        <v>3</v>
      </c>
      <c r="F482" s="13">
        <v>4397.3100000000004</v>
      </c>
      <c r="G482" t="s">
        <v>4697</v>
      </c>
      <c r="H482" t="s">
        <v>4697</v>
      </c>
      <c r="I482" t="s">
        <v>4699</v>
      </c>
      <c r="J482" s="10">
        <f t="shared" si="14"/>
        <v>32342</v>
      </c>
      <c r="K482">
        <f t="shared" si="15"/>
        <v>34</v>
      </c>
    </row>
    <row r="483" spans="1:11">
      <c r="A483" t="s">
        <v>3712</v>
      </c>
      <c r="B483">
        <v>1986</v>
      </c>
      <c r="C483" t="s">
        <v>4706</v>
      </c>
      <c r="D483">
        <v>11</v>
      </c>
      <c r="E483">
        <v>0</v>
      </c>
      <c r="F483" s="13">
        <v>4399.7299999999996</v>
      </c>
      <c r="G483" t="s">
        <v>4698</v>
      </c>
      <c r="H483" t="s">
        <v>4697</v>
      </c>
      <c r="I483" t="s">
        <v>4699</v>
      </c>
      <c r="J483" s="10">
        <f t="shared" si="14"/>
        <v>31635</v>
      </c>
      <c r="K483">
        <f t="shared" si="15"/>
        <v>36</v>
      </c>
    </row>
    <row r="484" spans="1:11">
      <c r="A484" t="s">
        <v>3710</v>
      </c>
      <c r="B484">
        <v>1986</v>
      </c>
      <c r="C484" t="s">
        <v>4696</v>
      </c>
      <c r="D484">
        <v>13</v>
      </c>
      <c r="E484">
        <v>0</v>
      </c>
      <c r="F484" s="13">
        <v>4402.2299999999996</v>
      </c>
      <c r="G484" t="s">
        <v>4697</v>
      </c>
      <c r="H484" t="s">
        <v>4697</v>
      </c>
      <c r="I484" t="s">
        <v>4708</v>
      </c>
      <c r="J484" s="10">
        <f t="shared" si="14"/>
        <v>31606</v>
      </c>
      <c r="K484">
        <f t="shared" si="15"/>
        <v>36</v>
      </c>
    </row>
    <row r="485" spans="1:11">
      <c r="A485" t="s">
        <v>3708</v>
      </c>
      <c r="B485">
        <v>1988</v>
      </c>
      <c r="C485" t="s">
        <v>4703</v>
      </c>
      <c r="D485">
        <v>16</v>
      </c>
      <c r="E485">
        <v>0</v>
      </c>
      <c r="F485" s="13">
        <v>4415.16</v>
      </c>
      <c r="G485" t="s">
        <v>4697</v>
      </c>
      <c r="H485" t="s">
        <v>4701</v>
      </c>
      <c r="I485" t="s">
        <v>4699</v>
      </c>
      <c r="J485" s="10">
        <f t="shared" si="14"/>
        <v>32402</v>
      </c>
      <c r="K485">
        <f t="shared" si="15"/>
        <v>34</v>
      </c>
    </row>
    <row r="486" spans="1:11">
      <c r="A486" t="s">
        <v>3706</v>
      </c>
      <c r="B486">
        <v>1992</v>
      </c>
      <c r="C486" t="s">
        <v>4706</v>
      </c>
      <c r="D486">
        <v>15</v>
      </c>
      <c r="E486">
        <v>0</v>
      </c>
      <c r="F486" s="13">
        <v>4420.95</v>
      </c>
      <c r="G486" t="s">
        <v>4697</v>
      </c>
      <c r="H486" t="s">
        <v>4698</v>
      </c>
      <c r="I486" t="s">
        <v>4719</v>
      </c>
      <c r="J486" s="10">
        <f t="shared" si="14"/>
        <v>33831</v>
      </c>
      <c r="K486">
        <f t="shared" si="15"/>
        <v>30</v>
      </c>
    </row>
    <row r="487" spans="1:11">
      <c r="A487" t="s">
        <v>3704</v>
      </c>
      <c r="B487">
        <v>1994</v>
      </c>
      <c r="C487" t="s">
        <v>4705</v>
      </c>
      <c r="D487">
        <v>29</v>
      </c>
      <c r="E487">
        <v>2</v>
      </c>
      <c r="F487" s="13">
        <v>4428.8900000000003</v>
      </c>
      <c r="G487" t="s">
        <v>4698</v>
      </c>
      <c r="H487" t="s">
        <v>4701</v>
      </c>
      <c r="I487" t="s">
        <v>4718</v>
      </c>
      <c r="J487" s="10">
        <f t="shared" si="14"/>
        <v>34697</v>
      </c>
      <c r="K487">
        <f t="shared" si="15"/>
        <v>28</v>
      </c>
    </row>
    <row r="488" spans="1:11">
      <c r="A488" t="s">
        <v>3702</v>
      </c>
      <c r="B488">
        <v>1993</v>
      </c>
      <c r="C488" t="s">
        <v>4703</v>
      </c>
      <c r="D488">
        <v>4</v>
      </c>
      <c r="E488">
        <v>2</v>
      </c>
      <c r="F488" s="13">
        <v>4433.3900000000003</v>
      </c>
      <c r="G488" t="s">
        <v>4697</v>
      </c>
      <c r="H488" t="s">
        <v>4698</v>
      </c>
      <c r="I488" t="s">
        <v>4704</v>
      </c>
      <c r="J488" s="10">
        <f t="shared" si="14"/>
        <v>34216</v>
      </c>
      <c r="K488">
        <f t="shared" si="15"/>
        <v>29</v>
      </c>
    </row>
    <row r="489" spans="1:11">
      <c r="A489" t="s">
        <v>3700</v>
      </c>
      <c r="B489">
        <v>1993</v>
      </c>
      <c r="C489" t="s">
        <v>4705</v>
      </c>
      <c r="D489">
        <v>23</v>
      </c>
      <c r="E489">
        <v>2</v>
      </c>
      <c r="F489" s="13">
        <v>4433.92</v>
      </c>
      <c r="G489" t="s">
        <v>4697</v>
      </c>
      <c r="H489" t="s">
        <v>4697</v>
      </c>
      <c r="I489" t="s">
        <v>4704</v>
      </c>
      <c r="J489" s="10">
        <f t="shared" si="14"/>
        <v>34326</v>
      </c>
      <c r="K489">
        <f t="shared" si="15"/>
        <v>29</v>
      </c>
    </row>
    <row r="490" spans="1:11">
      <c r="A490" t="s">
        <v>3698</v>
      </c>
      <c r="B490">
        <v>1994</v>
      </c>
      <c r="C490" t="s">
        <v>4707</v>
      </c>
      <c r="D490">
        <v>8</v>
      </c>
      <c r="E490">
        <v>2</v>
      </c>
      <c r="F490" s="13">
        <v>4435.09</v>
      </c>
      <c r="G490" t="s">
        <v>4698</v>
      </c>
      <c r="H490" t="s">
        <v>4697</v>
      </c>
      <c r="I490" t="s">
        <v>4711</v>
      </c>
      <c r="J490" s="10">
        <f t="shared" si="14"/>
        <v>34615</v>
      </c>
      <c r="K490">
        <f t="shared" si="15"/>
        <v>28</v>
      </c>
    </row>
    <row r="491" spans="1:11">
      <c r="A491" t="s">
        <v>3696</v>
      </c>
      <c r="B491">
        <v>1994</v>
      </c>
      <c r="C491" t="s">
        <v>4707</v>
      </c>
      <c r="D491">
        <v>24</v>
      </c>
      <c r="E491">
        <v>2</v>
      </c>
      <c r="F491" s="13">
        <v>4438.26</v>
      </c>
      <c r="G491" t="s">
        <v>4697</v>
      </c>
      <c r="H491" t="s">
        <v>4698</v>
      </c>
      <c r="I491" t="s">
        <v>4718</v>
      </c>
      <c r="J491" s="10">
        <f t="shared" si="14"/>
        <v>34631</v>
      </c>
      <c r="K491">
        <f t="shared" si="15"/>
        <v>28</v>
      </c>
    </row>
    <row r="492" spans="1:11">
      <c r="A492" t="s">
        <v>3694</v>
      </c>
      <c r="B492">
        <v>1991</v>
      </c>
      <c r="C492" t="s">
        <v>4703</v>
      </c>
      <c r="D492">
        <v>3</v>
      </c>
      <c r="E492">
        <v>1</v>
      </c>
      <c r="F492" s="13">
        <v>4441.21</v>
      </c>
      <c r="G492" t="s">
        <v>4701</v>
      </c>
      <c r="H492" t="s">
        <v>4697</v>
      </c>
      <c r="I492" t="s">
        <v>4716</v>
      </c>
      <c r="J492" s="10">
        <f t="shared" si="14"/>
        <v>33484</v>
      </c>
      <c r="K492">
        <f t="shared" si="15"/>
        <v>31</v>
      </c>
    </row>
    <row r="493" spans="1:11">
      <c r="A493" t="s">
        <v>3692</v>
      </c>
      <c r="B493">
        <v>1994</v>
      </c>
      <c r="C493" t="s">
        <v>4702</v>
      </c>
      <c r="D493">
        <v>28</v>
      </c>
      <c r="E493">
        <v>3</v>
      </c>
      <c r="F493" s="13">
        <v>4449.46</v>
      </c>
      <c r="G493" t="s">
        <v>4701</v>
      </c>
      <c r="H493" t="s">
        <v>4697</v>
      </c>
      <c r="I493" t="s">
        <v>4699</v>
      </c>
      <c r="J493" s="10">
        <f t="shared" si="14"/>
        <v>34513</v>
      </c>
      <c r="K493">
        <f t="shared" si="15"/>
        <v>28</v>
      </c>
    </row>
    <row r="494" spans="1:11">
      <c r="A494" t="s">
        <v>3690</v>
      </c>
      <c r="B494">
        <v>1990</v>
      </c>
      <c r="C494" t="s">
        <v>4706</v>
      </c>
      <c r="D494">
        <v>8</v>
      </c>
      <c r="E494">
        <v>1</v>
      </c>
      <c r="F494" s="13">
        <v>4454.3999999999996</v>
      </c>
      <c r="G494" t="s">
        <v>4697</v>
      </c>
      <c r="H494" t="s">
        <v>4698</v>
      </c>
      <c r="I494" t="s">
        <v>4704</v>
      </c>
      <c r="J494" s="10">
        <f t="shared" si="14"/>
        <v>33093</v>
      </c>
      <c r="K494">
        <f t="shared" si="15"/>
        <v>32</v>
      </c>
    </row>
    <row r="495" spans="1:11">
      <c r="A495" t="s">
        <v>3688</v>
      </c>
      <c r="B495">
        <v>1990</v>
      </c>
      <c r="C495" t="s">
        <v>4696</v>
      </c>
      <c r="D495">
        <v>15</v>
      </c>
      <c r="E495">
        <v>1</v>
      </c>
      <c r="F495" s="13">
        <v>4462.72</v>
      </c>
      <c r="G495" t="s">
        <v>4697</v>
      </c>
      <c r="H495" t="s">
        <v>4698</v>
      </c>
      <c r="I495" t="s">
        <v>4704</v>
      </c>
      <c r="J495" s="10">
        <f t="shared" si="14"/>
        <v>33069</v>
      </c>
      <c r="K495">
        <f t="shared" si="15"/>
        <v>32</v>
      </c>
    </row>
    <row r="496" spans="1:11">
      <c r="A496" t="s">
        <v>3686</v>
      </c>
      <c r="B496">
        <v>1991</v>
      </c>
      <c r="C496" t="s">
        <v>4696</v>
      </c>
      <c r="D496">
        <v>4</v>
      </c>
      <c r="E496">
        <v>2</v>
      </c>
      <c r="F496" s="13">
        <v>4463.21</v>
      </c>
      <c r="G496" t="s">
        <v>4698</v>
      </c>
      <c r="H496" t="s">
        <v>4698</v>
      </c>
      <c r="I496" t="s">
        <v>4699</v>
      </c>
      <c r="J496" s="10">
        <f t="shared" si="14"/>
        <v>33423</v>
      </c>
      <c r="K496">
        <f t="shared" si="15"/>
        <v>31</v>
      </c>
    </row>
    <row r="497" spans="1:11">
      <c r="A497" t="s">
        <v>3684</v>
      </c>
      <c r="B497">
        <v>1999</v>
      </c>
      <c r="C497" t="s">
        <v>4700</v>
      </c>
      <c r="D497">
        <v>20</v>
      </c>
      <c r="E497">
        <v>3</v>
      </c>
      <c r="F497" s="13">
        <v>4466.62</v>
      </c>
      <c r="G497" t="s">
        <v>4697</v>
      </c>
      <c r="H497" t="s">
        <v>4697</v>
      </c>
      <c r="I497" t="s">
        <v>4704</v>
      </c>
      <c r="J497" s="10">
        <f t="shared" si="14"/>
        <v>36484</v>
      </c>
      <c r="K497">
        <f t="shared" si="15"/>
        <v>23</v>
      </c>
    </row>
    <row r="498" spans="1:11">
      <c r="A498" t="s">
        <v>3682</v>
      </c>
      <c r="B498">
        <v>2004</v>
      </c>
      <c r="C498" t="s">
        <v>4696</v>
      </c>
      <c r="D498">
        <v>18</v>
      </c>
      <c r="E498">
        <v>0</v>
      </c>
      <c r="F498" s="13">
        <v>4468.25</v>
      </c>
      <c r="G498" t="s">
        <v>4697</v>
      </c>
      <c r="H498" t="s">
        <v>4697</v>
      </c>
      <c r="I498" t="s">
        <v>4704</v>
      </c>
      <c r="J498" s="10">
        <f t="shared" si="14"/>
        <v>38186</v>
      </c>
      <c r="K498">
        <f t="shared" si="15"/>
        <v>18</v>
      </c>
    </row>
    <row r="499" spans="1:11">
      <c r="A499" t="s">
        <v>3680</v>
      </c>
      <c r="B499">
        <v>1992</v>
      </c>
      <c r="C499" t="s">
        <v>4696</v>
      </c>
      <c r="D499">
        <v>12</v>
      </c>
      <c r="E499">
        <v>0</v>
      </c>
      <c r="F499" s="13">
        <v>4488.58</v>
      </c>
      <c r="G499" t="s">
        <v>4697</v>
      </c>
      <c r="H499" t="s">
        <v>4698</v>
      </c>
      <c r="I499" t="s">
        <v>4704</v>
      </c>
      <c r="J499" s="10">
        <f t="shared" si="14"/>
        <v>33797</v>
      </c>
      <c r="K499">
        <f t="shared" si="15"/>
        <v>30</v>
      </c>
    </row>
    <row r="500" spans="1:11">
      <c r="A500" t="s">
        <v>3678</v>
      </c>
      <c r="B500">
        <v>1988</v>
      </c>
      <c r="C500" t="s">
        <v>4702</v>
      </c>
      <c r="D500">
        <v>26</v>
      </c>
      <c r="E500">
        <v>0</v>
      </c>
      <c r="F500" s="13">
        <v>4500.34</v>
      </c>
      <c r="G500" t="s">
        <v>4697</v>
      </c>
      <c r="H500" t="s">
        <v>4701</v>
      </c>
      <c r="I500" t="s">
        <v>4718</v>
      </c>
      <c r="J500" s="10">
        <f t="shared" si="14"/>
        <v>32320</v>
      </c>
      <c r="K500">
        <f t="shared" si="15"/>
        <v>34</v>
      </c>
    </row>
    <row r="501" spans="1:11">
      <c r="A501" t="s">
        <v>3676</v>
      </c>
      <c r="B501">
        <v>1997</v>
      </c>
      <c r="C501" t="s">
        <v>4707</v>
      </c>
      <c r="D501">
        <v>13</v>
      </c>
      <c r="E501">
        <v>4</v>
      </c>
      <c r="F501" s="13">
        <v>4504.66</v>
      </c>
      <c r="G501" t="s">
        <v>4701</v>
      </c>
      <c r="H501" t="s">
        <v>4697</v>
      </c>
      <c r="I501" t="s">
        <v>4699</v>
      </c>
      <c r="J501" s="10">
        <f t="shared" si="14"/>
        <v>35716</v>
      </c>
      <c r="K501">
        <f t="shared" si="15"/>
        <v>25</v>
      </c>
    </row>
    <row r="502" spans="1:11">
      <c r="A502" t="s">
        <v>3674</v>
      </c>
      <c r="B502">
        <v>1982</v>
      </c>
      <c r="C502" t="s">
        <v>4703</v>
      </c>
      <c r="D502">
        <v>27</v>
      </c>
      <c r="E502">
        <v>3</v>
      </c>
      <c r="F502" s="13">
        <v>4511.41</v>
      </c>
      <c r="G502" t="s">
        <v>4697</v>
      </c>
      <c r="H502" t="s">
        <v>4698</v>
      </c>
      <c r="I502" t="s">
        <v>4699</v>
      </c>
      <c r="J502" s="10">
        <f t="shared" si="14"/>
        <v>30221</v>
      </c>
      <c r="K502">
        <f t="shared" si="15"/>
        <v>40</v>
      </c>
    </row>
    <row r="503" spans="1:11">
      <c r="A503" t="s">
        <v>3672</v>
      </c>
      <c r="B503">
        <v>1980</v>
      </c>
      <c r="C503" t="s">
        <v>4702</v>
      </c>
      <c r="D503">
        <v>16</v>
      </c>
      <c r="E503">
        <v>2</v>
      </c>
      <c r="F503" s="13">
        <v>4515.71</v>
      </c>
      <c r="G503" t="s">
        <v>4697</v>
      </c>
      <c r="H503" t="s">
        <v>4698</v>
      </c>
      <c r="I503" t="s">
        <v>4699</v>
      </c>
      <c r="J503" s="10">
        <f t="shared" si="14"/>
        <v>29388</v>
      </c>
      <c r="K503">
        <f t="shared" si="15"/>
        <v>42</v>
      </c>
    </row>
    <row r="504" spans="1:11">
      <c r="A504" t="s">
        <v>3670</v>
      </c>
      <c r="B504">
        <v>2003</v>
      </c>
      <c r="C504" t="s">
        <v>4707</v>
      </c>
      <c r="D504">
        <v>2</v>
      </c>
      <c r="E504">
        <v>0</v>
      </c>
      <c r="F504" s="13">
        <v>4518.3999999999996</v>
      </c>
      <c r="G504" t="s">
        <v>4697</v>
      </c>
      <c r="H504" t="s">
        <v>4698</v>
      </c>
      <c r="I504" t="s">
        <v>4720</v>
      </c>
      <c r="J504" s="10">
        <f t="shared" si="14"/>
        <v>37896</v>
      </c>
      <c r="K504">
        <f t="shared" si="15"/>
        <v>19</v>
      </c>
    </row>
    <row r="505" spans="1:11">
      <c r="A505" t="s">
        <v>3668</v>
      </c>
      <c r="B505">
        <v>1987</v>
      </c>
      <c r="C505" t="s">
        <v>4705</v>
      </c>
      <c r="D505">
        <v>5</v>
      </c>
      <c r="E505">
        <v>3</v>
      </c>
      <c r="F505" s="13">
        <v>4518.7700000000004</v>
      </c>
      <c r="G505" t="s">
        <v>4697</v>
      </c>
      <c r="H505" t="s">
        <v>4698</v>
      </c>
      <c r="I505" t="s">
        <v>4704</v>
      </c>
      <c r="J505" s="10">
        <f t="shared" si="14"/>
        <v>32116</v>
      </c>
      <c r="K505">
        <f t="shared" si="15"/>
        <v>35</v>
      </c>
    </row>
    <row r="506" spans="1:11">
      <c r="A506" t="s">
        <v>3666</v>
      </c>
      <c r="B506">
        <v>1988</v>
      </c>
      <c r="C506" t="s">
        <v>4705</v>
      </c>
      <c r="D506">
        <v>21</v>
      </c>
      <c r="E506">
        <v>0</v>
      </c>
      <c r="F506" s="13">
        <v>4518.83</v>
      </c>
      <c r="G506" t="s">
        <v>4697</v>
      </c>
      <c r="H506" t="s">
        <v>4697</v>
      </c>
      <c r="I506" t="s">
        <v>4718</v>
      </c>
      <c r="J506" s="10">
        <f t="shared" si="14"/>
        <v>32498</v>
      </c>
      <c r="K506">
        <f t="shared" si="15"/>
        <v>34</v>
      </c>
    </row>
    <row r="507" spans="1:11">
      <c r="A507" t="s">
        <v>3664</v>
      </c>
      <c r="B507">
        <v>1992</v>
      </c>
      <c r="C507" t="s">
        <v>4706</v>
      </c>
      <c r="D507">
        <v>13</v>
      </c>
      <c r="E507">
        <v>1</v>
      </c>
      <c r="F507" s="13">
        <v>4527.18</v>
      </c>
      <c r="G507" t="s">
        <v>4697</v>
      </c>
      <c r="H507" t="s">
        <v>4697</v>
      </c>
      <c r="I507" t="s">
        <v>4704</v>
      </c>
      <c r="J507" s="10">
        <f t="shared" si="14"/>
        <v>33829</v>
      </c>
      <c r="K507">
        <f t="shared" si="15"/>
        <v>30</v>
      </c>
    </row>
    <row r="508" spans="1:11">
      <c r="A508" t="s">
        <v>3662</v>
      </c>
      <c r="B508">
        <v>1993</v>
      </c>
      <c r="C508" t="s">
        <v>4702</v>
      </c>
      <c r="D508">
        <v>29</v>
      </c>
      <c r="E508">
        <v>2</v>
      </c>
      <c r="F508" s="13">
        <v>4529.4799999999996</v>
      </c>
      <c r="G508" t="s">
        <v>4697</v>
      </c>
      <c r="H508" t="s">
        <v>4701</v>
      </c>
      <c r="I508" t="s">
        <v>4708</v>
      </c>
      <c r="J508" s="10">
        <f t="shared" si="14"/>
        <v>34149</v>
      </c>
      <c r="K508">
        <f t="shared" si="15"/>
        <v>29</v>
      </c>
    </row>
    <row r="509" spans="1:11">
      <c r="A509" t="s">
        <v>3660</v>
      </c>
      <c r="B509">
        <v>1988</v>
      </c>
      <c r="C509" t="s">
        <v>4702</v>
      </c>
      <c r="D509">
        <v>13</v>
      </c>
      <c r="E509">
        <v>1</v>
      </c>
      <c r="F509" s="13">
        <v>4536.26</v>
      </c>
      <c r="G509" t="s">
        <v>4697</v>
      </c>
      <c r="H509" t="s">
        <v>4697</v>
      </c>
      <c r="I509" t="s">
        <v>4708</v>
      </c>
      <c r="J509" s="10">
        <f t="shared" si="14"/>
        <v>32307</v>
      </c>
      <c r="K509">
        <f t="shared" si="15"/>
        <v>34</v>
      </c>
    </row>
    <row r="510" spans="1:11">
      <c r="A510" t="s">
        <v>3658</v>
      </c>
      <c r="B510">
        <v>1990</v>
      </c>
      <c r="C510" t="s">
        <v>4700</v>
      </c>
      <c r="D510">
        <v>17</v>
      </c>
      <c r="E510">
        <v>0</v>
      </c>
      <c r="F510" s="13">
        <v>4544.2299999999996</v>
      </c>
      <c r="G510" t="s">
        <v>4697</v>
      </c>
      <c r="H510" t="s">
        <v>4701</v>
      </c>
      <c r="I510" t="s">
        <v>4714</v>
      </c>
      <c r="J510" s="10">
        <f t="shared" si="14"/>
        <v>33194</v>
      </c>
      <c r="K510">
        <f t="shared" si="15"/>
        <v>32</v>
      </c>
    </row>
    <row r="511" spans="1:11">
      <c r="A511" t="s">
        <v>3656</v>
      </c>
      <c r="B511">
        <v>2004</v>
      </c>
      <c r="C511" t="s">
        <v>4705</v>
      </c>
      <c r="D511">
        <v>22</v>
      </c>
      <c r="E511">
        <v>4</v>
      </c>
      <c r="F511" s="13">
        <v>4561.1899999999996</v>
      </c>
      <c r="G511" t="s">
        <v>4697</v>
      </c>
      <c r="H511" t="s">
        <v>4697</v>
      </c>
      <c r="I511" t="s">
        <v>4714</v>
      </c>
      <c r="J511" s="10">
        <f t="shared" si="14"/>
        <v>38343</v>
      </c>
      <c r="K511">
        <f t="shared" si="15"/>
        <v>18</v>
      </c>
    </row>
    <row r="512" spans="1:11">
      <c r="A512" t="s">
        <v>3654</v>
      </c>
      <c r="B512">
        <v>1990</v>
      </c>
      <c r="C512" t="s">
        <v>4703</v>
      </c>
      <c r="D512">
        <v>20</v>
      </c>
      <c r="E512">
        <v>1</v>
      </c>
      <c r="F512" s="13">
        <v>4562.84</v>
      </c>
      <c r="G512" t="s">
        <v>4697</v>
      </c>
      <c r="H512" t="s">
        <v>4697</v>
      </c>
      <c r="I512" t="s">
        <v>4699</v>
      </c>
      <c r="J512" s="10">
        <f t="shared" si="14"/>
        <v>33136</v>
      </c>
      <c r="K512">
        <f t="shared" si="15"/>
        <v>32</v>
      </c>
    </row>
    <row r="513" spans="1:11">
      <c r="A513" t="s">
        <v>3652</v>
      </c>
      <c r="B513">
        <v>1996</v>
      </c>
      <c r="C513" t="s">
        <v>4705</v>
      </c>
      <c r="D513">
        <v>25</v>
      </c>
      <c r="E513">
        <v>2</v>
      </c>
      <c r="F513" s="13">
        <v>4564.1899999999996</v>
      </c>
      <c r="G513" t="s">
        <v>4697</v>
      </c>
      <c r="H513" t="s">
        <v>4697</v>
      </c>
      <c r="I513" t="s">
        <v>4714</v>
      </c>
      <c r="J513" s="10">
        <f t="shared" si="14"/>
        <v>35424</v>
      </c>
      <c r="K513">
        <f t="shared" si="15"/>
        <v>26</v>
      </c>
    </row>
    <row r="514" spans="1:11">
      <c r="A514" t="s">
        <v>3650</v>
      </c>
      <c r="B514">
        <v>1989</v>
      </c>
      <c r="C514" t="s">
        <v>4703</v>
      </c>
      <c r="D514">
        <v>18</v>
      </c>
      <c r="E514">
        <v>0</v>
      </c>
      <c r="F514" s="13">
        <v>4571.41</v>
      </c>
      <c r="G514" t="s">
        <v>4697</v>
      </c>
      <c r="H514" t="s">
        <v>4697</v>
      </c>
      <c r="I514" t="s">
        <v>4704</v>
      </c>
      <c r="J514" s="10">
        <f t="shared" ref="J514:J577" si="16">DATEVALUE(D514&amp;"-"&amp;C514&amp;"-"&amp;B514)</f>
        <v>32769</v>
      </c>
      <c r="K514">
        <f t="shared" si="15"/>
        <v>33</v>
      </c>
    </row>
    <row r="515" spans="1:11">
      <c r="A515" t="s">
        <v>3648</v>
      </c>
      <c r="B515">
        <v>2000</v>
      </c>
      <c r="C515" t="s">
        <v>4696</v>
      </c>
      <c r="D515">
        <v>2</v>
      </c>
      <c r="E515">
        <v>0</v>
      </c>
      <c r="F515" s="13">
        <v>4608.03</v>
      </c>
      <c r="G515" t="s">
        <v>4697</v>
      </c>
      <c r="H515" t="s">
        <v>4698</v>
      </c>
      <c r="I515" t="s">
        <v>4708</v>
      </c>
      <c r="J515" s="10">
        <f t="shared" si="16"/>
        <v>36709</v>
      </c>
      <c r="K515">
        <f t="shared" ref="K515:K578" si="17">DATEDIF(J515, DATE(2023, 6, 8), "Y")</f>
        <v>22</v>
      </c>
    </row>
    <row r="516" spans="1:11">
      <c r="A516" t="s">
        <v>3646</v>
      </c>
      <c r="B516">
        <v>1998</v>
      </c>
      <c r="C516" t="s">
        <v>4702</v>
      </c>
      <c r="D516">
        <v>29</v>
      </c>
      <c r="E516">
        <v>3</v>
      </c>
      <c r="F516" s="13">
        <v>4618.08</v>
      </c>
      <c r="G516" t="s">
        <v>4697</v>
      </c>
      <c r="H516" t="s">
        <v>4701</v>
      </c>
      <c r="I516" t="s">
        <v>4704</v>
      </c>
      <c r="J516" s="10">
        <f t="shared" si="16"/>
        <v>35975</v>
      </c>
      <c r="K516">
        <f t="shared" si="17"/>
        <v>24</v>
      </c>
    </row>
    <row r="517" spans="1:11">
      <c r="A517" t="s">
        <v>3644</v>
      </c>
      <c r="B517">
        <v>1985</v>
      </c>
      <c r="C517" t="s">
        <v>4702</v>
      </c>
      <c r="D517">
        <v>22</v>
      </c>
      <c r="E517">
        <v>0</v>
      </c>
      <c r="F517" s="13">
        <v>4646.76</v>
      </c>
      <c r="G517" t="s">
        <v>4701</v>
      </c>
      <c r="H517" t="s">
        <v>4701</v>
      </c>
      <c r="I517" t="s">
        <v>4708</v>
      </c>
      <c r="J517" s="10">
        <f t="shared" si="16"/>
        <v>31220</v>
      </c>
      <c r="K517">
        <f t="shared" si="17"/>
        <v>37</v>
      </c>
    </row>
    <row r="518" spans="1:11">
      <c r="A518" t="s">
        <v>3642</v>
      </c>
      <c r="B518">
        <v>1996</v>
      </c>
      <c r="C518" t="s">
        <v>4707</v>
      </c>
      <c r="D518">
        <v>25</v>
      </c>
      <c r="E518">
        <v>3</v>
      </c>
      <c r="F518" s="13">
        <v>4661.29</v>
      </c>
      <c r="G518" t="s">
        <v>4697</v>
      </c>
      <c r="H518" t="s">
        <v>4701</v>
      </c>
      <c r="I518" t="s">
        <v>4718</v>
      </c>
      <c r="J518" s="10">
        <f t="shared" si="16"/>
        <v>35363</v>
      </c>
      <c r="K518">
        <f t="shared" si="17"/>
        <v>26</v>
      </c>
    </row>
    <row r="519" spans="1:11">
      <c r="A519" t="s">
        <v>3640</v>
      </c>
      <c r="B519">
        <v>1990</v>
      </c>
      <c r="C519" t="s">
        <v>4706</v>
      </c>
      <c r="D519">
        <v>5</v>
      </c>
      <c r="E519">
        <v>1</v>
      </c>
      <c r="F519" s="13">
        <v>4667.6099999999997</v>
      </c>
      <c r="G519" t="s">
        <v>4698</v>
      </c>
      <c r="H519" t="s">
        <v>4698</v>
      </c>
      <c r="I519" t="s">
        <v>4711</v>
      </c>
      <c r="J519" s="10">
        <f t="shared" si="16"/>
        <v>33090</v>
      </c>
      <c r="K519">
        <f t="shared" si="17"/>
        <v>32</v>
      </c>
    </row>
    <row r="520" spans="1:11">
      <c r="A520" t="s">
        <v>3638</v>
      </c>
      <c r="B520">
        <v>1990</v>
      </c>
      <c r="C520" t="s">
        <v>4703</v>
      </c>
      <c r="D520">
        <v>26</v>
      </c>
      <c r="E520">
        <v>2</v>
      </c>
      <c r="F520" s="13">
        <v>4670.6400000000003</v>
      </c>
      <c r="G520" t="s">
        <v>4697</v>
      </c>
      <c r="H520" t="s">
        <v>4697</v>
      </c>
      <c r="I520" t="s">
        <v>4708</v>
      </c>
      <c r="J520" s="10">
        <f t="shared" si="16"/>
        <v>33142</v>
      </c>
      <c r="K520">
        <f t="shared" si="17"/>
        <v>32</v>
      </c>
    </row>
    <row r="521" spans="1:11">
      <c r="A521" t="s">
        <v>3636</v>
      </c>
      <c r="B521">
        <v>1990</v>
      </c>
      <c r="C521" t="s">
        <v>4696</v>
      </c>
      <c r="D521">
        <v>13</v>
      </c>
      <c r="E521">
        <v>2</v>
      </c>
      <c r="F521" s="13">
        <v>4673.3900000000003</v>
      </c>
      <c r="G521" t="s">
        <v>4697</v>
      </c>
      <c r="H521" t="s">
        <v>4701</v>
      </c>
      <c r="I521" t="s">
        <v>4699</v>
      </c>
      <c r="J521" s="10">
        <f t="shared" si="16"/>
        <v>33067</v>
      </c>
      <c r="K521">
        <f t="shared" si="17"/>
        <v>32</v>
      </c>
    </row>
    <row r="522" spans="1:11">
      <c r="A522" t="s">
        <v>3634</v>
      </c>
      <c r="B522">
        <v>1979</v>
      </c>
      <c r="C522" t="s">
        <v>4707</v>
      </c>
      <c r="D522">
        <v>18</v>
      </c>
      <c r="E522">
        <v>2</v>
      </c>
      <c r="F522" s="13">
        <v>4674.2</v>
      </c>
      <c r="G522" t="s">
        <v>4697</v>
      </c>
      <c r="H522" t="s">
        <v>4701</v>
      </c>
      <c r="I522" t="s">
        <v>4699</v>
      </c>
      <c r="J522" s="10">
        <f t="shared" si="16"/>
        <v>29146</v>
      </c>
      <c r="K522">
        <f t="shared" si="17"/>
        <v>43</v>
      </c>
    </row>
    <row r="523" spans="1:11">
      <c r="A523" t="s">
        <v>3632</v>
      </c>
      <c r="B523">
        <v>2003</v>
      </c>
      <c r="C523" t="s">
        <v>4707</v>
      </c>
      <c r="D523">
        <v>4</v>
      </c>
      <c r="E523">
        <v>0</v>
      </c>
      <c r="F523" s="13">
        <v>4678.8</v>
      </c>
      <c r="G523" t="s">
        <v>4697</v>
      </c>
      <c r="H523" t="s">
        <v>4701</v>
      </c>
      <c r="I523" t="s">
        <v>4717</v>
      </c>
      <c r="J523" s="10">
        <f t="shared" si="16"/>
        <v>37898</v>
      </c>
      <c r="K523">
        <f t="shared" si="17"/>
        <v>19</v>
      </c>
    </row>
    <row r="524" spans="1:11">
      <c r="A524" t="s">
        <v>3630</v>
      </c>
      <c r="B524">
        <v>1990</v>
      </c>
      <c r="C524" t="s">
        <v>4703</v>
      </c>
      <c r="D524">
        <v>4</v>
      </c>
      <c r="E524">
        <v>2</v>
      </c>
      <c r="F524" s="13">
        <v>4686.3900000000003</v>
      </c>
      <c r="G524" t="s">
        <v>4698</v>
      </c>
      <c r="H524" t="s">
        <v>4698</v>
      </c>
      <c r="I524" t="s">
        <v>4699</v>
      </c>
      <c r="J524" s="10">
        <f t="shared" si="16"/>
        <v>33120</v>
      </c>
      <c r="K524">
        <f t="shared" si="17"/>
        <v>32</v>
      </c>
    </row>
    <row r="525" spans="1:11">
      <c r="A525" t="s">
        <v>3628</v>
      </c>
      <c r="B525">
        <v>2003</v>
      </c>
      <c r="C525" t="s">
        <v>4702</v>
      </c>
      <c r="D525">
        <v>22</v>
      </c>
      <c r="E525">
        <v>5</v>
      </c>
      <c r="F525" s="13">
        <v>4687.8</v>
      </c>
      <c r="G525" t="s">
        <v>4697</v>
      </c>
      <c r="H525" t="s">
        <v>4698</v>
      </c>
      <c r="I525" t="s">
        <v>4708</v>
      </c>
      <c r="J525" s="10">
        <f t="shared" si="16"/>
        <v>37794</v>
      </c>
      <c r="K525">
        <f t="shared" si="17"/>
        <v>19</v>
      </c>
    </row>
    <row r="526" spans="1:11">
      <c r="A526" t="s">
        <v>3626</v>
      </c>
      <c r="B526">
        <v>1977</v>
      </c>
      <c r="C526" t="s">
        <v>4705</v>
      </c>
      <c r="D526">
        <v>4</v>
      </c>
      <c r="E526">
        <v>2</v>
      </c>
      <c r="F526" s="13">
        <v>4699.47</v>
      </c>
      <c r="G526" t="s">
        <v>4697</v>
      </c>
      <c r="H526" t="s">
        <v>4698</v>
      </c>
      <c r="I526" t="s">
        <v>4699</v>
      </c>
      <c r="J526" s="10">
        <f t="shared" si="16"/>
        <v>28463</v>
      </c>
      <c r="K526">
        <f t="shared" si="17"/>
        <v>45</v>
      </c>
    </row>
    <row r="527" spans="1:11">
      <c r="A527" t="s">
        <v>3624</v>
      </c>
      <c r="B527">
        <v>1981</v>
      </c>
      <c r="C527" t="s">
        <v>4706</v>
      </c>
      <c r="D527">
        <v>12</v>
      </c>
      <c r="E527">
        <v>1</v>
      </c>
      <c r="F527" s="13">
        <v>4712.12</v>
      </c>
      <c r="G527" t="s">
        <v>4697</v>
      </c>
      <c r="H527" t="s">
        <v>4698</v>
      </c>
      <c r="I527" t="s">
        <v>4708</v>
      </c>
      <c r="J527" s="10">
        <f t="shared" si="16"/>
        <v>29810</v>
      </c>
      <c r="K527">
        <f t="shared" si="17"/>
        <v>41</v>
      </c>
    </row>
    <row r="528" spans="1:11">
      <c r="A528" t="s">
        <v>3622</v>
      </c>
      <c r="B528">
        <v>1992</v>
      </c>
      <c r="C528" t="s">
        <v>4707</v>
      </c>
      <c r="D528">
        <v>9</v>
      </c>
      <c r="E528">
        <v>1</v>
      </c>
      <c r="F528" s="13">
        <v>4718.2</v>
      </c>
      <c r="G528" t="s">
        <v>4697</v>
      </c>
      <c r="H528" t="s">
        <v>4698</v>
      </c>
      <c r="I528" t="s">
        <v>4714</v>
      </c>
      <c r="J528" s="10">
        <f t="shared" si="16"/>
        <v>33886</v>
      </c>
      <c r="K528">
        <f t="shared" si="17"/>
        <v>30</v>
      </c>
    </row>
    <row r="529" spans="1:11">
      <c r="A529" t="s">
        <v>3620</v>
      </c>
      <c r="B529">
        <v>1992</v>
      </c>
      <c r="C529" t="s">
        <v>4703</v>
      </c>
      <c r="D529">
        <v>28</v>
      </c>
      <c r="E529">
        <v>1</v>
      </c>
      <c r="F529" s="13">
        <v>4719.5200000000004</v>
      </c>
      <c r="G529" t="s">
        <v>4697</v>
      </c>
      <c r="H529" t="s">
        <v>4697</v>
      </c>
      <c r="I529" t="s">
        <v>4714</v>
      </c>
      <c r="J529" s="10">
        <f t="shared" si="16"/>
        <v>33875</v>
      </c>
      <c r="K529">
        <f t="shared" si="17"/>
        <v>30</v>
      </c>
    </row>
    <row r="530" spans="1:11">
      <c r="A530" t="s">
        <v>3618</v>
      </c>
      <c r="B530">
        <v>1994</v>
      </c>
      <c r="C530" t="s">
        <v>4706</v>
      </c>
      <c r="D530">
        <v>12</v>
      </c>
      <c r="E530">
        <v>2</v>
      </c>
      <c r="F530" s="13">
        <v>4719.74</v>
      </c>
      <c r="G530" t="s">
        <v>4697</v>
      </c>
      <c r="H530" t="s">
        <v>4701</v>
      </c>
      <c r="I530" t="s">
        <v>4704</v>
      </c>
      <c r="J530" s="10">
        <f t="shared" si="16"/>
        <v>34558</v>
      </c>
      <c r="K530">
        <f t="shared" si="17"/>
        <v>28</v>
      </c>
    </row>
    <row r="531" spans="1:11">
      <c r="A531" t="s">
        <v>3616</v>
      </c>
      <c r="B531">
        <v>1980</v>
      </c>
      <c r="C531" t="s">
        <v>4696</v>
      </c>
      <c r="D531">
        <v>2</v>
      </c>
      <c r="E531">
        <v>2</v>
      </c>
      <c r="F531" s="13">
        <v>4728.71</v>
      </c>
      <c r="G531" t="s">
        <v>4697</v>
      </c>
      <c r="H531" t="s">
        <v>4698</v>
      </c>
      <c r="I531" t="s">
        <v>4704</v>
      </c>
      <c r="J531" s="10">
        <f t="shared" si="16"/>
        <v>29404</v>
      </c>
      <c r="K531">
        <f t="shared" si="17"/>
        <v>42</v>
      </c>
    </row>
    <row r="532" spans="1:11">
      <c r="A532" t="s">
        <v>3614</v>
      </c>
      <c r="B532">
        <v>1986</v>
      </c>
      <c r="C532" t="s">
        <v>4703</v>
      </c>
      <c r="D532">
        <v>5</v>
      </c>
      <c r="E532">
        <v>3</v>
      </c>
      <c r="F532" s="13">
        <v>4734.6400000000003</v>
      </c>
      <c r="G532" t="s">
        <v>4697</v>
      </c>
      <c r="H532" t="s">
        <v>4701</v>
      </c>
      <c r="I532" t="s">
        <v>4699</v>
      </c>
      <c r="J532" s="10">
        <f t="shared" si="16"/>
        <v>31660</v>
      </c>
      <c r="K532">
        <f t="shared" si="17"/>
        <v>36</v>
      </c>
    </row>
    <row r="533" spans="1:11">
      <c r="A533" t="s">
        <v>3612</v>
      </c>
      <c r="B533">
        <v>1991</v>
      </c>
      <c r="C533" t="s">
        <v>4707</v>
      </c>
      <c r="D533">
        <v>12</v>
      </c>
      <c r="E533">
        <v>1</v>
      </c>
      <c r="F533" s="13">
        <v>4738.2700000000004</v>
      </c>
      <c r="G533" t="s">
        <v>4697</v>
      </c>
      <c r="H533" t="s">
        <v>4698</v>
      </c>
      <c r="I533" t="s">
        <v>4704</v>
      </c>
      <c r="J533" s="10">
        <f t="shared" si="16"/>
        <v>33523</v>
      </c>
      <c r="K533">
        <f t="shared" si="17"/>
        <v>31</v>
      </c>
    </row>
    <row r="534" spans="1:11">
      <c r="A534" t="s">
        <v>3610</v>
      </c>
      <c r="B534">
        <v>2004</v>
      </c>
      <c r="C534" t="s">
        <v>4700</v>
      </c>
      <c r="D534">
        <v>24</v>
      </c>
      <c r="E534">
        <v>0</v>
      </c>
      <c r="F534" s="13">
        <v>4740.78</v>
      </c>
      <c r="G534" t="s">
        <v>4697</v>
      </c>
      <c r="H534" t="s">
        <v>4698</v>
      </c>
      <c r="I534" t="s">
        <v>4717</v>
      </c>
      <c r="J534" s="10">
        <f t="shared" si="16"/>
        <v>38315</v>
      </c>
      <c r="K534">
        <f t="shared" si="17"/>
        <v>18</v>
      </c>
    </row>
    <row r="535" spans="1:11">
      <c r="A535" t="s">
        <v>3608</v>
      </c>
      <c r="B535">
        <v>1987</v>
      </c>
      <c r="C535" t="s">
        <v>4702</v>
      </c>
      <c r="D535">
        <v>5</v>
      </c>
      <c r="E535">
        <v>1</v>
      </c>
      <c r="F535" s="13">
        <v>4746.34</v>
      </c>
      <c r="G535" t="s">
        <v>4697</v>
      </c>
      <c r="H535" t="s">
        <v>4697</v>
      </c>
      <c r="I535" t="s">
        <v>4708</v>
      </c>
      <c r="J535" s="10">
        <f t="shared" si="16"/>
        <v>31933</v>
      </c>
      <c r="K535">
        <f t="shared" si="17"/>
        <v>36</v>
      </c>
    </row>
    <row r="536" spans="1:11">
      <c r="A536" t="s">
        <v>3606</v>
      </c>
      <c r="B536">
        <v>1987</v>
      </c>
      <c r="C536" t="s">
        <v>4703</v>
      </c>
      <c r="D536">
        <v>2</v>
      </c>
      <c r="E536">
        <v>1</v>
      </c>
      <c r="F536" s="13">
        <v>4747.05</v>
      </c>
      <c r="G536" t="s">
        <v>4697</v>
      </c>
      <c r="H536" t="s">
        <v>4697</v>
      </c>
      <c r="I536" t="s">
        <v>4699</v>
      </c>
      <c r="J536" s="10">
        <f t="shared" si="16"/>
        <v>32022</v>
      </c>
      <c r="K536">
        <f t="shared" si="17"/>
        <v>35</v>
      </c>
    </row>
    <row r="537" spans="1:11">
      <c r="A537" t="s">
        <v>3604</v>
      </c>
      <c r="B537">
        <v>1987</v>
      </c>
      <c r="C537" t="s">
        <v>4700</v>
      </c>
      <c r="D537">
        <v>22</v>
      </c>
      <c r="E537">
        <v>1</v>
      </c>
      <c r="F537" s="13">
        <v>4751.07</v>
      </c>
      <c r="G537" t="s">
        <v>4698</v>
      </c>
      <c r="H537" t="s">
        <v>4701</v>
      </c>
      <c r="I537" t="s">
        <v>4708</v>
      </c>
      <c r="J537" s="10">
        <f t="shared" si="16"/>
        <v>32103</v>
      </c>
      <c r="K537">
        <f t="shared" si="17"/>
        <v>35</v>
      </c>
    </row>
    <row r="538" spans="1:11">
      <c r="A538" t="s">
        <v>3602</v>
      </c>
      <c r="B538">
        <v>1992</v>
      </c>
      <c r="C538" t="s">
        <v>4706</v>
      </c>
      <c r="D538">
        <v>16</v>
      </c>
      <c r="E538">
        <v>2</v>
      </c>
      <c r="F538" s="13">
        <v>4753.6400000000003</v>
      </c>
      <c r="G538" t="s">
        <v>4697</v>
      </c>
      <c r="H538" t="s">
        <v>4698</v>
      </c>
      <c r="I538" t="s">
        <v>4699</v>
      </c>
      <c r="J538" s="10">
        <f t="shared" si="16"/>
        <v>33832</v>
      </c>
      <c r="K538">
        <f t="shared" si="17"/>
        <v>30</v>
      </c>
    </row>
    <row r="539" spans="1:11">
      <c r="A539" t="s">
        <v>3600</v>
      </c>
      <c r="B539">
        <v>1987</v>
      </c>
      <c r="C539" t="s">
        <v>4703</v>
      </c>
      <c r="D539">
        <v>27</v>
      </c>
      <c r="E539">
        <v>1</v>
      </c>
      <c r="F539" s="13">
        <v>4762.33</v>
      </c>
      <c r="G539" t="s">
        <v>4698</v>
      </c>
      <c r="H539" t="s">
        <v>4698</v>
      </c>
      <c r="I539" t="s">
        <v>4708</v>
      </c>
      <c r="J539" s="10">
        <f t="shared" si="16"/>
        <v>32047</v>
      </c>
      <c r="K539">
        <f t="shared" si="17"/>
        <v>35</v>
      </c>
    </row>
    <row r="540" spans="1:11">
      <c r="A540" t="s">
        <v>3598</v>
      </c>
      <c r="B540">
        <v>1989</v>
      </c>
      <c r="C540" t="s">
        <v>4706</v>
      </c>
      <c r="D540">
        <v>1</v>
      </c>
      <c r="E540">
        <v>1</v>
      </c>
      <c r="F540" s="13">
        <v>4766.0200000000004</v>
      </c>
      <c r="G540" t="s">
        <v>4697</v>
      </c>
      <c r="H540" t="s">
        <v>4698</v>
      </c>
      <c r="I540" t="s">
        <v>4708</v>
      </c>
      <c r="J540" s="10">
        <f t="shared" si="16"/>
        <v>32721</v>
      </c>
      <c r="K540">
        <f t="shared" si="17"/>
        <v>33</v>
      </c>
    </row>
    <row r="541" spans="1:11">
      <c r="A541" t="s">
        <v>3596</v>
      </c>
      <c r="B541">
        <v>1989</v>
      </c>
      <c r="C541" t="s">
        <v>4705</v>
      </c>
      <c r="D541">
        <v>9</v>
      </c>
      <c r="E541">
        <v>1</v>
      </c>
      <c r="F541" s="13">
        <v>4779.6000000000004</v>
      </c>
      <c r="G541" t="s">
        <v>4697</v>
      </c>
      <c r="H541" t="s">
        <v>4698</v>
      </c>
      <c r="I541" t="s">
        <v>4699</v>
      </c>
      <c r="J541" s="10">
        <f t="shared" si="16"/>
        <v>32851</v>
      </c>
      <c r="K541">
        <f t="shared" si="17"/>
        <v>33</v>
      </c>
    </row>
    <row r="542" spans="1:11">
      <c r="A542" t="s">
        <v>3594</v>
      </c>
      <c r="B542">
        <v>1987</v>
      </c>
      <c r="C542" t="s">
        <v>4702</v>
      </c>
      <c r="D542">
        <v>22</v>
      </c>
      <c r="E542">
        <v>3</v>
      </c>
      <c r="F542" s="13">
        <v>4787.42</v>
      </c>
      <c r="G542" t="s">
        <v>4697</v>
      </c>
      <c r="H542" t="s">
        <v>4698</v>
      </c>
      <c r="I542" t="s">
        <v>4699</v>
      </c>
      <c r="J542" s="10">
        <f t="shared" si="16"/>
        <v>31950</v>
      </c>
      <c r="K542">
        <f t="shared" si="17"/>
        <v>35</v>
      </c>
    </row>
    <row r="543" spans="1:11">
      <c r="A543" t="s">
        <v>3592</v>
      </c>
      <c r="B543">
        <v>1989</v>
      </c>
      <c r="C543" t="s">
        <v>4705</v>
      </c>
      <c r="D543">
        <v>16</v>
      </c>
      <c r="E543">
        <v>1</v>
      </c>
      <c r="F543" s="13">
        <v>4795.66</v>
      </c>
      <c r="G543" t="s">
        <v>4697</v>
      </c>
      <c r="H543" t="s">
        <v>4701</v>
      </c>
      <c r="I543" t="s">
        <v>4699</v>
      </c>
      <c r="J543" s="10">
        <f t="shared" si="16"/>
        <v>32858</v>
      </c>
      <c r="K543">
        <f t="shared" si="17"/>
        <v>33</v>
      </c>
    </row>
    <row r="544" spans="1:11">
      <c r="A544" t="s">
        <v>3590</v>
      </c>
      <c r="B544">
        <v>1978</v>
      </c>
      <c r="C544" t="s">
        <v>4707</v>
      </c>
      <c r="D544">
        <v>3</v>
      </c>
      <c r="E544">
        <v>2</v>
      </c>
      <c r="F544" s="13">
        <v>4812.34</v>
      </c>
      <c r="G544" t="s">
        <v>4697</v>
      </c>
      <c r="H544" t="s">
        <v>4698</v>
      </c>
      <c r="I544" t="s">
        <v>4699</v>
      </c>
      <c r="J544" s="10">
        <f t="shared" si="16"/>
        <v>28766</v>
      </c>
      <c r="K544">
        <f t="shared" si="17"/>
        <v>44</v>
      </c>
    </row>
    <row r="545" spans="1:11">
      <c r="A545" t="s">
        <v>3588</v>
      </c>
      <c r="B545">
        <v>1981</v>
      </c>
      <c r="C545" t="s">
        <v>4696</v>
      </c>
      <c r="D545">
        <v>3</v>
      </c>
      <c r="E545">
        <v>1</v>
      </c>
      <c r="F545" s="13">
        <v>4827.1000000000004</v>
      </c>
      <c r="G545" t="s">
        <v>4697</v>
      </c>
      <c r="H545" t="s">
        <v>4701</v>
      </c>
      <c r="I545" t="s">
        <v>4699</v>
      </c>
      <c r="J545" s="10">
        <f t="shared" si="16"/>
        <v>29770</v>
      </c>
      <c r="K545">
        <f t="shared" si="17"/>
        <v>41</v>
      </c>
    </row>
    <row r="546" spans="1:11">
      <c r="A546" t="s">
        <v>3586</v>
      </c>
      <c r="B546">
        <v>1995</v>
      </c>
      <c r="C546" t="s">
        <v>4705</v>
      </c>
      <c r="D546">
        <v>1</v>
      </c>
      <c r="E546">
        <v>3</v>
      </c>
      <c r="F546" s="13">
        <v>4827.8999999999996</v>
      </c>
      <c r="G546" t="s">
        <v>4701</v>
      </c>
      <c r="H546" t="s">
        <v>4697</v>
      </c>
      <c r="I546" t="s">
        <v>4685</v>
      </c>
      <c r="J546" s="10">
        <f t="shared" si="16"/>
        <v>35034</v>
      </c>
      <c r="K546">
        <f t="shared" si="17"/>
        <v>27</v>
      </c>
    </row>
    <row r="547" spans="1:11">
      <c r="A547" t="s">
        <v>3584</v>
      </c>
      <c r="B547">
        <v>2002</v>
      </c>
      <c r="C547" t="s">
        <v>4702</v>
      </c>
      <c r="D547">
        <v>27</v>
      </c>
      <c r="E547">
        <v>5</v>
      </c>
      <c r="F547" s="13">
        <v>4830.63</v>
      </c>
      <c r="G547" t="s">
        <v>4697</v>
      </c>
      <c r="H547" t="s">
        <v>4701</v>
      </c>
      <c r="I547" t="s">
        <v>4708</v>
      </c>
      <c r="J547" s="10">
        <f t="shared" si="16"/>
        <v>37434</v>
      </c>
      <c r="K547">
        <f t="shared" si="17"/>
        <v>20</v>
      </c>
    </row>
    <row r="548" spans="1:11">
      <c r="A548" t="s">
        <v>3582</v>
      </c>
      <c r="B548">
        <v>2000</v>
      </c>
      <c r="C548" t="s">
        <v>4705</v>
      </c>
      <c r="D548">
        <v>11</v>
      </c>
      <c r="E548">
        <v>0</v>
      </c>
      <c r="F548" s="13">
        <v>4835.43</v>
      </c>
      <c r="G548" t="s">
        <v>4697</v>
      </c>
      <c r="H548" t="s">
        <v>4697</v>
      </c>
      <c r="I548" t="s">
        <v>4717</v>
      </c>
      <c r="J548" s="10">
        <f t="shared" si="16"/>
        <v>36871</v>
      </c>
      <c r="K548">
        <f t="shared" si="17"/>
        <v>22</v>
      </c>
    </row>
    <row r="549" spans="1:11">
      <c r="A549" t="s">
        <v>3580</v>
      </c>
      <c r="B549">
        <v>1992</v>
      </c>
      <c r="C549" t="s">
        <v>4703</v>
      </c>
      <c r="D549">
        <v>10</v>
      </c>
      <c r="E549">
        <v>3</v>
      </c>
      <c r="F549" s="13">
        <v>4837.58</v>
      </c>
      <c r="G549" t="s">
        <v>4698</v>
      </c>
      <c r="H549" t="s">
        <v>4697</v>
      </c>
      <c r="I549" t="s">
        <v>4699</v>
      </c>
      <c r="J549" s="10">
        <f t="shared" si="16"/>
        <v>33857</v>
      </c>
      <c r="K549">
        <f t="shared" si="17"/>
        <v>30</v>
      </c>
    </row>
    <row r="550" spans="1:11">
      <c r="A550" t="s">
        <v>3578</v>
      </c>
      <c r="B550">
        <v>1984</v>
      </c>
      <c r="C550" t="s">
        <v>4707</v>
      </c>
      <c r="D550">
        <v>15</v>
      </c>
      <c r="E550">
        <v>3</v>
      </c>
      <c r="F550" s="13">
        <v>4839.18</v>
      </c>
      <c r="G550" t="s">
        <v>4697</v>
      </c>
      <c r="H550" t="s">
        <v>4701</v>
      </c>
      <c r="I550" t="s">
        <v>4704</v>
      </c>
      <c r="J550" s="10">
        <f t="shared" si="16"/>
        <v>30970</v>
      </c>
      <c r="K550">
        <f t="shared" si="17"/>
        <v>38</v>
      </c>
    </row>
    <row r="551" spans="1:11">
      <c r="A551" t="s">
        <v>3576</v>
      </c>
      <c r="B551">
        <v>1995</v>
      </c>
      <c r="C551" t="s">
        <v>4703</v>
      </c>
      <c r="D551">
        <v>29</v>
      </c>
      <c r="E551">
        <v>0</v>
      </c>
      <c r="F551" s="13">
        <v>4840.95</v>
      </c>
      <c r="G551" t="s">
        <v>4697</v>
      </c>
      <c r="H551" t="s">
        <v>4701</v>
      </c>
      <c r="I551" t="s">
        <v>4717</v>
      </c>
      <c r="J551" s="10">
        <f t="shared" si="16"/>
        <v>34971</v>
      </c>
      <c r="K551">
        <f t="shared" si="17"/>
        <v>27</v>
      </c>
    </row>
    <row r="552" spans="1:11">
      <c r="A552" t="s">
        <v>3574</v>
      </c>
      <c r="B552">
        <v>1979</v>
      </c>
      <c r="C552" t="s">
        <v>4705</v>
      </c>
      <c r="D552">
        <v>13</v>
      </c>
      <c r="E552">
        <v>2</v>
      </c>
      <c r="F552" s="13">
        <v>4843.79</v>
      </c>
      <c r="G552" t="s">
        <v>4697</v>
      </c>
      <c r="H552" t="s">
        <v>4698</v>
      </c>
      <c r="I552" t="s">
        <v>4699</v>
      </c>
      <c r="J552" s="10">
        <f t="shared" si="16"/>
        <v>29202</v>
      </c>
      <c r="K552">
        <f t="shared" si="17"/>
        <v>43</v>
      </c>
    </row>
    <row r="553" spans="1:11">
      <c r="A553" t="s">
        <v>3572</v>
      </c>
      <c r="B553">
        <v>1974</v>
      </c>
      <c r="C553" t="s">
        <v>4703</v>
      </c>
      <c r="D553">
        <v>11</v>
      </c>
      <c r="E553">
        <v>0</v>
      </c>
      <c r="F553" s="13">
        <v>4844.67</v>
      </c>
      <c r="G553" t="s">
        <v>4697</v>
      </c>
      <c r="H553" t="s">
        <v>4697</v>
      </c>
      <c r="I553" t="s">
        <v>4699</v>
      </c>
      <c r="J553" s="10">
        <f t="shared" si="16"/>
        <v>27283</v>
      </c>
      <c r="K553">
        <f t="shared" si="17"/>
        <v>48</v>
      </c>
    </row>
    <row r="554" spans="1:11">
      <c r="A554" t="s">
        <v>3570</v>
      </c>
      <c r="B554">
        <v>2001</v>
      </c>
      <c r="C554" t="s">
        <v>4702</v>
      </c>
      <c r="D554">
        <v>7</v>
      </c>
      <c r="E554">
        <v>0</v>
      </c>
      <c r="F554" s="13">
        <v>4846.53</v>
      </c>
      <c r="G554" t="s">
        <v>4697</v>
      </c>
      <c r="H554" t="s">
        <v>4698</v>
      </c>
      <c r="I554" t="s">
        <v>4717</v>
      </c>
      <c r="J554" s="10">
        <f t="shared" si="16"/>
        <v>37049</v>
      </c>
      <c r="K554">
        <f t="shared" si="17"/>
        <v>22</v>
      </c>
    </row>
    <row r="555" spans="1:11">
      <c r="A555" t="s">
        <v>3568</v>
      </c>
      <c r="B555">
        <v>1995</v>
      </c>
      <c r="C555" t="s">
        <v>4705</v>
      </c>
      <c r="D555">
        <v>27</v>
      </c>
      <c r="E555">
        <v>3</v>
      </c>
      <c r="F555" s="13">
        <v>4846.92</v>
      </c>
      <c r="G555" t="s">
        <v>4697</v>
      </c>
      <c r="H555" t="s">
        <v>4698</v>
      </c>
      <c r="I555" t="s">
        <v>4718</v>
      </c>
      <c r="J555" s="10">
        <f t="shared" si="16"/>
        <v>35060</v>
      </c>
      <c r="K555">
        <f t="shared" si="17"/>
        <v>27</v>
      </c>
    </row>
    <row r="556" spans="1:11">
      <c r="A556" t="s">
        <v>3566</v>
      </c>
      <c r="B556">
        <v>1989</v>
      </c>
      <c r="C556" t="s">
        <v>4703</v>
      </c>
      <c r="D556">
        <v>1</v>
      </c>
      <c r="E556">
        <v>3</v>
      </c>
      <c r="F556" s="13">
        <v>4859.8900000000003</v>
      </c>
      <c r="G556" t="s">
        <v>4697</v>
      </c>
      <c r="H556" t="s">
        <v>4698</v>
      </c>
      <c r="I556" t="s">
        <v>4708</v>
      </c>
      <c r="J556" s="10">
        <f t="shared" si="16"/>
        <v>32752</v>
      </c>
      <c r="K556">
        <f t="shared" si="17"/>
        <v>33</v>
      </c>
    </row>
    <row r="557" spans="1:11">
      <c r="A557" t="s">
        <v>3564</v>
      </c>
      <c r="B557">
        <v>1997</v>
      </c>
      <c r="C557" t="s">
        <v>4703</v>
      </c>
      <c r="D557">
        <v>29</v>
      </c>
      <c r="E557">
        <v>4</v>
      </c>
      <c r="F557" s="13">
        <v>4877.9799999999996</v>
      </c>
      <c r="G557" t="s">
        <v>4697</v>
      </c>
      <c r="H557" t="s">
        <v>4698</v>
      </c>
      <c r="I557" t="s">
        <v>4704</v>
      </c>
      <c r="J557" s="10">
        <f t="shared" si="16"/>
        <v>35702</v>
      </c>
      <c r="K557">
        <f t="shared" si="17"/>
        <v>25</v>
      </c>
    </row>
    <row r="558" spans="1:11">
      <c r="A558" t="s">
        <v>3562</v>
      </c>
      <c r="B558">
        <v>1986</v>
      </c>
      <c r="C558" t="s">
        <v>4705</v>
      </c>
      <c r="D558">
        <v>23</v>
      </c>
      <c r="E558">
        <v>0</v>
      </c>
      <c r="F558" s="13">
        <v>4883.87</v>
      </c>
      <c r="G558" t="s">
        <v>4697</v>
      </c>
      <c r="H558" t="s">
        <v>4701</v>
      </c>
      <c r="I558" t="s">
        <v>4708</v>
      </c>
      <c r="J558" s="10">
        <f t="shared" si="16"/>
        <v>31769</v>
      </c>
      <c r="K558">
        <f t="shared" si="17"/>
        <v>36</v>
      </c>
    </row>
    <row r="559" spans="1:11">
      <c r="A559" t="s">
        <v>3560</v>
      </c>
      <c r="B559">
        <v>1986</v>
      </c>
      <c r="C559" t="s">
        <v>4707</v>
      </c>
      <c r="D559">
        <v>27</v>
      </c>
      <c r="E559">
        <v>0</v>
      </c>
      <c r="F559" s="13">
        <v>4889.04</v>
      </c>
      <c r="G559" t="s">
        <v>4697</v>
      </c>
      <c r="H559" t="s">
        <v>4701</v>
      </c>
      <c r="I559" t="s">
        <v>4699</v>
      </c>
      <c r="J559" s="10">
        <f t="shared" si="16"/>
        <v>31712</v>
      </c>
      <c r="K559">
        <f t="shared" si="17"/>
        <v>36</v>
      </c>
    </row>
    <row r="560" spans="1:11">
      <c r="A560" t="s">
        <v>3558</v>
      </c>
      <c r="B560">
        <v>1989</v>
      </c>
      <c r="C560" t="s">
        <v>4696</v>
      </c>
      <c r="D560">
        <v>10</v>
      </c>
      <c r="E560">
        <v>2</v>
      </c>
      <c r="F560" s="13">
        <v>4890</v>
      </c>
      <c r="G560" t="s">
        <v>4698</v>
      </c>
      <c r="H560" t="s">
        <v>4697</v>
      </c>
      <c r="I560" t="s">
        <v>4699</v>
      </c>
      <c r="J560" s="10">
        <f t="shared" si="16"/>
        <v>32699</v>
      </c>
      <c r="K560">
        <f t="shared" si="17"/>
        <v>33</v>
      </c>
    </row>
    <row r="561" spans="1:11">
      <c r="A561" t="s">
        <v>3556</v>
      </c>
      <c r="B561">
        <v>1990</v>
      </c>
      <c r="C561" t="s">
        <v>4700</v>
      </c>
      <c r="D561">
        <v>28</v>
      </c>
      <c r="E561">
        <v>3</v>
      </c>
      <c r="F561" s="13">
        <v>4894.3900000000003</v>
      </c>
      <c r="G561" t="s">
        <v>4697</v>
      </c>
      <c r="H561" t="s">
        <v>4698</v>
      </c>
      <c r="I561" t="s">
        <v>4699</v>
      </c>
      <c r="J561" s="10">
        <f t="shared" si="16"/>
        <v>33205</v>
      </c>
      <c r="K561">
        <f t="shared" si="17"/>
        <v>32</v>
      </c>
    </row>
    <row r="562" spans="1:11">
      <c r="A562" t="s">
        <v>3554</v>
      </c>
      <c r="B562">
        <v>1988</v>
      </c>
      <c r="C562" t="s">
        <v>4703</v>
      </c>
      <c r="D562">
        <v>23</v>
      </c>
      <c r="E562">
        <v>1</v>
      </c>
      <c r="F562" s="13">
        <v>4894.75</v>
      </c>
      <c r="G562" t="s">
        <v>4698</v>
      </c>
      <c r="H562" t="s">
        <v>4698</v>
      </c>
      <c r="I562" t="s">
        <v>4704</v>
      </c>
      <c r="J562" s="10">
        <f t="shared" si="16"/>
        <v>32409</v>
      </c>
      <c r="K562">
        <f t="shared" si="17"/>
        <v>34</v>
      </c>
    </row>
    <row r="563" spans="1:11">
      <c r="A563" t="s">
        <v>3552</v>
      </c>
      <c r="B563">
        <v>1993</v>
      </c>
      <c r="C563" t="s">
        <v>4696</v>
      </c>
      <c r="D563">
        <v>10</v>
      </c>
      <c r="E563">
        <v>2</v>
      </c>
      <c r="F563" s="13">
        <v>4906.41</v>
      </c>
      <c r="G563" t="s">
        <v>4697</v>
      </c>
      <c r="H563" t="s">
        <v>4701</v>
      </c>
      <c r="I563" t="s">
        <v>4704</v>
      </c>
      <c r="J563" s="10">
        <f t="shared" si="16"/>
        <v>34160</v>
      </c>
      <c r="K563">
        <f t="shared" si="17"/>
        <v>29</v>
      </c>
    </row>
    <row r="564" spans="1:11">
      <c r="A564" t="s">
        <v>3550</v>
      </c>
      <c r="B564">
        <v>1981</v>
      </c>
      <c r="C564" t="s">
        <v>4707</v>
      </c>
      <c r="D564">
        <v>18</v>
      </c>
      <c r="E564">
        <v>1</v>
      </c>
      <c r="F564" s="13">
        <v>4911.8900000000003</v>
      </c>
      <c r="G564" t="s">
        <v>4697</v>
      </c>
      <c r="H564" t="s">
        <v>4698</v>
      </c>
      <c r="I564" t="s">
        <v>4699</v>
      </c>
      <c r="J564" s="10">
        <f t="shared" si="16"/>
        <v>29877</v>
      </c>
      <c r="K564">
        <f t="shared" si="17"/>
        <v>41</v>
      </c>
    </row>
    <row r="565" spans="1:11">
      <c r="A565" t="s">
        <v>3548</v>
      </c>
      <c r="B565">
        <v>2002</v>
      </c>
      <c r="C565" t="s">
        <v>4706</v>
      </c>
      <c r="D565">
        <v>21</v>
      </c>
      <c r="E565">
        <v>5</v>
      </c>
      <c r="F565" s="13">
        <v>4915.0600000000004</v>
      </c>
      <c r="G565" t="s">
        <v>4697</v>
      </c>
      <c r="H565" t="s">
        <v>4701</v>
      </c>
      <c r="I565" t="s">
        <v>4718</v>
      </c>
      <c r="J565" s="10">
        <f t="shared" si="16"/>
        <v>37489</v>
      </c>
      <c r="K565">
        <f t="shared" si="17"/>
        <v>20</v>
      </c>
    </row>
    <row r="566" spans="1:11">
      <c r="A566" t="s">
        <v>3546</v>
      </c>
      <c r="B566">
        <v>1993</v>
      </c>
      <c r="C566" t="s">
        <v>4706</v>
      </c>
      <c r="D566">
        <v>10</v>
      </c>
      <c r="E566">
        <v>2</v>
      </c>
      <c r="F566" s="13">
        <v>4922.92</v>
      </c>
      <c r="G566" t="s">
        <v>4697</v>
      </c>
      <c r="H566" t="s">
        <v>4697</v>
      </c>
      <c r="I566" t="s">
        <v>4704</v>
      </c>
      <c r="J566" s="10">
        <f t="shared" si="16"/>
        <v>34191</v>
      </c>
      <c r="K566">
        <f t="shared" si="17"/>
        <v>29</v>
      </c>
    </row>
    <row r="567" spans="1:11">
      <c r="A567" t="s">
        <v>3544</v>
      </c>
      <c r="B567">
        <v>1991</v>
      </c>
      <c r="C567" t="s">
        <v>4706</v>
      </c>
      <c r="D567">
        <v>23</v>
      </c>
      <c r="E567">
        <v>2</v>
      </c>
      <c r="F567" s="13">
        <v>4931.6499999999996</v>
      </c>
      <c r="G567" t="s">
        <v>4697</v>
      </c>
      <c r="H567" t="s">
        <v>4698</v>
      </c>
      <c r="I567" t="s">
        <v>4708</v>
      </c>
      <c r="J567" s="10">
        <f t="shared" si="16"/>
        <v>33473</v>
      </c>
      <c r="K567">
        <f t="shared" si="17"/>
        <v>31</v>
      </c>
    </row>
    <row r="568" spans="1:11">
      <c r="A568" t="s">
        <v>3542</v>
      </c>
      <c r="B568">
        <v>1991</v>
      </c>
      <c r="C568" t="s">
        <v>4700</v>
      </c>
      <c r="D568">
        <v>27</v>
      </c>
      <c r="E568">
        <v>2</v>
      </c>
      <c r="F568" s="13">
        <v>4934.71</v>
      </c>
      <c r="G568" t="s">
        <v>4697</v>
      </c>
      <c r="H568" t="s">
        <v>4698</v>
      </c>
      <c r="I568" t="s">
        <v>4708</v>
      </c>
      <c r="J568" s="10">
        <f t="shared" si="16"/>
        <v>33569</v>
      </c>
      <c r="K568">
        <f t="shared" si="17"/>
        <v>31</v>
      </c>
    </row>
    <row r="569" spans="1:11">
      <c r="A569" t="s">
        <v>3540</v>
      </c>
      <c r="B569">
        <v>1974</v>
      </c>
      <c r="C569" t="s">
        <v>4702</v>
      </c>
      <c r="D569">
        <v>26</v>
      </c>
      <c r="E569">
        <v>0</v>
      </c>
      <c r="F569" s="13">
        <v>4942.0600000000004</v>
      </c>
      <c r="G569" t="s">
        <v>4697</v>
      </c>
      <c r="H569" t="s">
        <v>4697</v>
      </c>
      <c r="I569" t="s">
        <v>4699</v>
      </c>
      <c r="J569" s="10">
        <f t="shared" si="16"/>
        <v>27206</v>
      </c>
      <c r="K569">
        <f t="shared" si="17"/>
        <v>48</v>
      </c>
    </row>
    <row r="570" spans="1:11">
      <c r="A570" t="s">
        <v>3538</v>
      </c>
      <c r="B570">
        <v>1991</v>
      </c>
      <c r="C570" t="s">
        <v>4706</v>
      </c>
      <c r="D570">
        <v>30</v>
      </c>
      <c r="E570">
        <v>2</v>
      </c>
      <c r="F570" s="13">
        <v>4949.76</v>
      </c>
      <c r="G570" t="s">
        <v>4697</v>
      </c>
      <c r="H570" t="s">
        <v>4701</v>
      </c>
      <c r="I570" t="s">
        <v>4699</v>
      </c>
      <c r="J570" s="10">
        <f t="shared" si="16"/>
        <v>33480</v>
      </c>
      <c r="K570">
        <f t="shared" si="17"/>
        <v>31</v>
      </c>
    </row>
    <row r="571" spans="1:11">
      <c r="A571" t="s">
        <v>3536</v>
      </c>
      <c r="B571">
        <v>1973</v>
      </c>
      <c r="C571" t="s">
        <v>4700</v>
      </c>
      <c r="D571">
        <v>7</v>
      </c>
      <c r="E571">
        <v>0</v>
      </c>
      <c r="F571" s="13">
        <v>4985.22</v>
      </c>
      <c r="G571" t="s">
        <v>4697</v>
      </c>
      <c r="H571" t="s">
        <v>4698</v>
      </c>
      <c r="I571" t="s">
        <v>4699</v>
      </c>
      <c r="J571" s="10">
        <f t="shared" si="16"/>
        <v>26975</v>
      </c>
      <c r="K571">
        <f t="shared" si="17"/>
        <v>49</v>
      </c>
    </row>
    <row r="572" spans="1:11">
      <c r="A572" t="s">
        <v>3534</v>
      </c>
      <c r="B572">
        <v>1988</v>
      </c>
      <c r="C572" t="s">
        <v>4702</v>
      </c>
      <c r="D572">
        <v>24</v>
      </c>
      <c r="E572">
        <v>0</v>
      </c>
      <c r="F572" s="13">
        <v>4992.38</v>
      </c>
      <c r="G572" t="s">
        <v>4697</v>
      </c>
      <c r="H572" t="s">
        <v>4698</v>
      </c>
      <c r="I572" t="s">
        <v>4714</v>
      </c>
      <c r="J572" s="10">
        <f t="shared" si="16"/>
        <v>32318</v>
      </c>
      <c r="K572">
        <f t="shared" si="17"/>
        <v>34</v>
      </c>
    </row>
    <row r="573" spans="1:11">
      <c r="A573" t="s">
        <v>3532</v>
      </c>
      <c r="B573">
        <v>2001</v>
      </c>
      <c r="C573" t="s">
        <v>4707</v>
      </c>
      <c r="D573">
        <v>5</v>
      </c>
      <c r="E573">
        <v>0</v>
      </c>
      <c r="F573" s="13">
        <v>4999.04</v>
      </c>
      <c r="G573" t="s">
        <v>4697</v>
      </c>
      <c r="H573" t="s">
        <v>4697</v>
      </c>
      <c r="I573" t="s">
        <v>4708</v>
      </c>
      <c r="J573" s="10">
        <f t="shared" si="16"/>
        <v>37169</v>
      </c>
      <c r="K573">
        <f t="shared" si="17"/>
        <v>21</v>
      </c>
    </row>
    <row r="574" spans="1:11">
      <c r="A574" t="s">
        <v>3530</v>
      </c>
      <c r="B574">
        <v>1988</v>
      </c>
      <c r="C574" t="s">
        <v>4703</v>
      </c>
      <c r="D574">
        <v>4</v>
      </c>
      <c r="E574">
        <v>1</v>
      </c>
      <c r="F574" s="13">
        <v>5002.78</v>
      </c>
      <c r="G574" t="s">
        <v>4697</v>
      </c>
      <c r="H574" t="s">
        <v>4697</v>
      </c>
      <c r="I574" t="s">
        <v>4699</v>
      </c>
      <c r="J574" s="10">
        <f t="shared" si="16"/>
        <v>32390</v>
      </c>
      <c r="K574">
        <f t="shared" si="17"/>
        <v>34</v>
      </c>
    </row>
    <row r="575" spans="1:11">
      <c r="A575" t="s">
        <v>3528</v>
      </c>
      <c r="B575">
        <v>1977</v>
      </c>
      <c r="C575" t="s">
        <v>4702</v>
      </c>
      <c r="D575">
        <v>9</v>
      </c>
      <c r="E575">
        <v>2</v>
      </c>
      <c r="F575" s="13">
        <v>5003.7700000000004</v>
      </c>
      <c r="G575" t="s">
        <v>4697</v>
      </c>
      <c r="H575" t="s">
        <v>4698</v>
      </c>
      <c r="I575" t="s">
        <v>4699</v>
      </c>
      <c r="J575" s="10">
        <f t="shared" si="16"/>
        <v>28285</v>
      </c>
      <c r="K575">
        <f t="shared" si="17"/>
        <v>45</v>
      </c>
    </row>
    <row r="576" spans="1:11">
      <c r="A576" t="s">
        <v>3526</v>
      </c>
      <c r="B576">
        <v>1988</v>
      </c>
      <c r="C576" t="s">
        <v>4696</v>
      </c>
      <c r="D576">
        <v>8</v>
      </c>
      <c r="E576">
        <v>1</v>
      </c>
      <c r="F576" s="13">
        <v>5003.8500000000004</v>
      </c>
      <c r="G576" t="s">
        <v>4697</v>
      </c>
      <c r="H576" t="s">
        <v>4698</v>
      </c>
      <c r="I576" t="s">
        <v>4708</v>
      </c>
      <c r="J576" s="10">
        <f t="shared" si="16"/>
        <v>32332</v>
      </c>
      <c r="K576">
        <f t="shared" si="17"/>
        <v>34</v>
      </c>
    </row>
    <row r="577" spans="1:11">
      <c r="A577" t="s">
        <v>3524</v>
      </c>
      <c r="B577">
        <v>1988</v>
      </c>
      <c r="C577" t="s">
        <v>4700</v>
      </c>
      <c r="D577">
        <v>9</v>
      </c>
      <c r="E577">
        <v>1</v>
      </c>
      <c r="F577" s="13">
        <v>5012.47</v>
      </c>
      <c r="G577" t="s">
        <v>4697</v>
      </c>
      <c r="H577" t="s">
        <v>4698</v>
      </c>
      <c r="I577" t="s">
        <v>4708</v>
      </c>
      <c r="J577" s="10">
        <f t="shared" si="16"/>
        <v>32456</v>
      </c>
      <c r="K577">
        <f t="shared" si="17"/>
        <v>34</v>
      </c>
    </row>
    <row r="578" spans="1:11">
      <c r="A578" t="s">
        <v>3522</v>
      </c>
      <c r="B578">
        <v>1985</v>
      </c>
      <c r="C578" t="s">
        <v>4705</v>
      </c>
      <c r="D578">
        <v>28</v>
      </c>
      <c r="E578">
        <v>0</v>
      </c>
      <c r="F578" s="13">
        <v>5028.1499999999996</v>
      </c>
      <c r="G578" t="s">
        <v>4701</v>
      </c>
      <c r="H578" t="s">
        <v>4697</v>
      </c>
      <c r="I578" t="s">
        <v>4704</v>
      </c>
      <c r="J578" s="10">
        <f t="shared" ref="J578:J641" si="18">DATEVALUE(D578&amp;"-"&amp;C578&amp;"-"&amp;B578)</f>
        <v>31409</v>
      </c>
      <c r="K578">
        <f t="shared" si="17"/>
        <v>37</v>
      </c>
    </row>
    <row r="579" spans="1:11">
      <c r="A579" t="s">
        <v>3520</v>
      </c>
      <c r="B579">
        <v>1991</v>
      </c>
      <c r="C579" t="s">
        <v>4703</v>
      </c>
      <c r="D579">
        <v>10</v>
      </c>
      <c r="E579">
        <v>2</v>
      </c>
      <c r="F579" s="13">
        <v>5031.2700000000004</v>
      </c>
      <c r="G579" t="s">
        <v>4698</v>
      </c>
      <c r="H579" t="s">
        <v>4701</v>
      </c>
      <c r="I579" t="s">
        <v>4711</v>
      </c>
      <c r="J579" s="10">
        <f t="shared" si="18"/>
        <v>33491</v>
      </c>
      <c r="K579">
        <f t="shared" ref="K579:K642" si="19">DATEDIF(J579, DATE(2023, 6, 8), "Y")</f>
        <v>31</v>
      </c>
    </row>
    <row r="580" spans="1:11">
      <c r="A580" t="s">
        <v>3518</v>
      </c>
      <c r="B580">
        <v>1986</v>
      </c>
      <c r="C580" t="s">
        <v>4702</v>
      </c>
      <c r="D580">
        <v>29</v>
      </c>
      <c r="E580">
        <v>3</v>
      </c>
      <c r="F580" s="13">
        <v>5034.1000000000004</v>
      </c>
      <c r="G580" t="s">
        <v>4697</v>
      </c>
      <c r="H580" t="s">
        <v>4697</v>
      </c>
      <c r="I580" t="s">
        <v>4699</v>
      </c>
      <c r="J580" s="10">
        <f t="shared" si="18"/>
        <v>31592</v>
      </c>
      <c r="K580">
        <f t="shared" si="19"/>
        <v>36</v>
      </c>
    </row>
    <row r="581" spans="1:11">
      <c r="A581" t="s">
        <v>3516</v>
      </c>
      <c r="B581">
        <v>1997</v>
      </c>
      <c r="C581" t="s">
        <v>4705</v>
      </c>
      <c r="D581">
        <v>4</v>
      </c>
      <c r="E581">
        <v>0</v>
      </c>
      <c r="F581" s="13">
        <v>5038.57</v>
      </c>
      <c r="G581" t="s">
        <v>4697</v>
      </c>
      <c r="H581" t="s">
        <v>4697</v>
      </c>
      <c r="I581" t="s">
        <v>4713</v>
      </c>
      <c r="J581" s="10">
        <f t="shared" si="18"/>
        <v>35768</v>
      </c>
      <c r="K581">
        <f t="shared" si="19"/>
        <v>25</v>
      </c>
    </row>
    <row r="582" spans="1:11">
      <c r="A582" t="s">
        <v>3514</v>
      </c>
      <c r="B582">
        <v>2001</v>
      </c>
      <c r="C582" t="s">
        <v>4707</v>
      </c>
      <c r="D582">
        <v>16</v>
      </c>
      <c r="E582">
        <v>0</v>
      </c>
      <c r="F582" s="13">
        <v>5043.13</v>
      </c>
      <c r="G582" t="s">
        <v>4697</v>
      </c>
      <c r="H582" t="s">
        <v>4698</v>
      </c>
      <c r="I582" t="s">
        <v>4708</v>
      </c>
      <c r="J582" s="10">
        <f t="shared" si="18"/>
        <v>37180</v>
      </c>
      <c r="K582">
        <f t="shared" si="19"/>
        <v>21</v>
      </c>
    </row>
    <row r="583" spans="1:11">
      <c r="A583" t="s">
        <v>3512</v>
      </c>
      <c r="B583">
        <v>1997</v>
      </c>
      <c r="C583" t="s">
        <v>4696</v>
      </c>
      <c r="D583">
        <v>29</v>
      </c>
      <c r="E583">
        <v>0</v>
      </c>
      <c r="F583" s="13">
        <v>5045.1499999999996</v>
      </c>
      <c r="G583" t="s">
        <v>4697</v>
      </c>
      <c r="H583" t="s">
        <v>4697</v>
      </c>
      <c r="I583" t="s">
        <v>4704</v>
      </c>
      <c r="J583" s="10">
        <f t="shared" si="18"/>
        <v>35640</v>
      </c>
      <c r="K583">
        <f t="shared" si="19"/>
        <v>25</v>
      </c>
    </row>
    <row r="584" spans="1:11">
      <c r="A584" t="s">
        <v>3510</v>
      </c>
      <c r="B584">
        <v>1980</v>
      </c>
      <c r="C584" t="s">
        <v>4703</v>
      </c>
      <c r="D584">
        <v>7</v>
      </c>
      <c r="E584">
        <v>2</v>
      </c>
      <c r="F584" s="13">
        <v>5054.05</v>
      </c>
      <c r="G584" t="s">
        <v>4697</v>
      </c>
      <c r="H584" t="s">
        <v>4697</v>
      </c>
      <c r="I584" t="s">
        <v>4699</v>
      </c>
      <c r="J584" s="10">
        <f t="shared" si="18"/>
        <v>29471</v>
      </c>
      <c r="K584">
        <f t="shared" si="19"/>
        <v>42</v>
      </c>
    </row>
    <row r="585" spans="1:11">
      <c r="A585" t="s">
        <v>3508</v>
      </c>
      <c r="B585">
        <v>1993</v>
      </c>
      <c r="C585" t="s">
        <v>4702</v>
      </c>
      <c r="D585">
        <v>11</v>
      </c>
      <c r="E585">
        <v>0</v>
      </c>
      <c r="F585" s="13">
        <v>5059.5600000000004</v>
      </c>
      <c r="G585" t="s">
        <v>4697</v>
      </c>
      <c r="H585" t="s">
        <v>4701</v>
      </c>
      <c r="I585" t="s">
        <v>4717</v>
      </c>
      <c r="J585" s="10">
        <f t="shared" si="18"/>
        <v>34131</v>
      </c>
      <c r="K585">
        <f t="shared" si="19"/>
        <v>29</v>
      </c>
    </row>
    <row r="586" spans="1:11">
      <c r="A586" t="s">
        <v>3506</v>
      </c>
      <c r="B586">
        <v>1978</v>
      </c>
      <c r="C586" t="s">
        <v>4700</v>
      </c>
      <c r="D586">
        <v>22</v>
      </c>
      <c r="E586">
        <v>2</v>
      </c>
      <c r="F586" s="13">
        <v>5077.1899999999996</v>
      </c>
      <c r="G586" t="s">
        <v>4697</v>
      </c>
      <c r="H586" t="s">
        <v>4698</v>
      </c>
      <c r="I586" t="s">
        <v>4704</v>
      </c>
      <c r="J586" s="10">
        <f t="shared" si="18"/>
        <v>28816</v>
      </c>
      <c r="K586">
        <f t="shared" si="19"/>
        <v>44</v>
      </c>
    </row>
    <row r="587" spans="1:11">
      <c r="A587" t="s">
        <v>3504</v>
      </c>
      <c r="B587">
        <v>1997</v>
      </c>
      <c r="C587" t="s">
        <v>4696</v>
      </c>
      <c r="D587">
        <v>14</v>
      </c>
      <c r="E587">
        <v>5</v>
      </c>
      <c r="F587" s="13">
        <v>5080.1000000000004</v>
      </c>
      <c r="G587" t="s">
        <v>4698</v>
      </c>
      <c r="H587" t="s">
        <v>4697</v>
      </c>
      <c r="I587" t="s">
        <v>4708</v>
      </c>
      <c r="J587" s="10">
        <f t="shared" si="18"/>
        <v>35625</v>
      </c>
      <c r="K587">
        <f t="shared" si="19"/>
        <v>25</v>
      </c>
    </row>
    <row r="588" spans="1:11">
      <c r="A588" t="s">
        <v>3502</v>
      </c>
      <c r="B588">
        <v>1999</v>
      </c>
      <c r="C588" t="s">
        <v>4702</v>
      </c>
      <c r="D588">
        <v>19</v>
      </c>
      <c r="E588">
        <v>0</v>
      </c>
      <c r="F588" s="13">
        <v>5087.92</v>
      </c>
      <c r="G588" t="s">
        <v>4697</v>
      </c>
      <c r="H588" t="s">
        <v>4697</v>
      </c>
      <c r="I588" t="s">
        <v>4720</v>
      </c>
      <c r="J588" s="10">
        <f t="shared" si="18"/>
        <v>36330</v>
      </c>
      <c r="K588">
        <f t="shared" si="19"/>
        <v>23</v>
      </c>
    </row>
    <row r="589" spans="1:11">
      <c r="A589" t="s">
        <v>3500</v>
      </c>
      <c r="B589">
        <v>1987</v>
      </c>
      <c r="C589" t="s">
        <v>4700</v>
      </c>
      <c r="D589">
        <v>18</v>
      </c>
      <c r="E589">
        <v>1</v>
      </c>
      <c r="F589" s="13">
        <v>5116.5</v>
      </c>
      <c r="G589" t="s">
        <v>4697</v>
      </c>
      <c r="H589" t="s">
        <v>4697</v>
      </c>
      <c r="I589" t="s">
        <v>4704</v>
      </c>
      <c r="J589" s="10">
        <f t="shared" si="18"/>
        <v>32099</v>
      </c>
      <c r="K589">
        <f t="shared" si="19"/>
        <v>35</v>
      </c>
    </row>
    <row r="590" spans="1:11">
      <c r="A590" t="s">
        <v>3498</v>
      </c>
      <c r="B590">
        <v>1988</v>
      </c>
      <c r="C590" t="s">
        <v>4700</v>
      </c>
      <c r="D590">
        <v>1</v>
      </c>
      <c r="E590">
        <v>2</v>
      </c>
      <c r="F590" s="13">
        <v>5124.1899999999996</v>
      </c>
      <c r="G590" t="s">
        <v>4697</v>
      </c>
      <c r="H590" t="s">
        <v>4698</v>
      </c>
      <c r="I590" t="s">
        <v>4699</v>
      </c>
      <c r="J590" s="10">
        <f t="shared" si="18"/>
        <v>32448</v>
      </c>
      <c r="K590">
        <f t="shared" si="19"/>
        <v>34</v>
      </c>
    </row>
    <row r="591" spans="1:11">
      <c r="A591" t="s">
        <v>3496</v>
      </c>
      <c r="B591">
        <v>1987</v>
      </c>
      <c r="C591" t="s">
        <v>4703</v>
      </c>
      <c r="D591">
        <v>13</v>
      </c>
      <c r="E591">
        <v>1</v>
      </c>
      <c r="F591" s="13">
        <v>5125.22</v>
      </c>
      <c r="G591" t="s">
        <v>4701</v>
      </c>
      <c r="H591" t="s">
        <v>4697</v>
      </c>
      <c r="I591" t="s">
        <v>4704</v>
      </c>
      <c r="J591" s="10">
        <f t="shared" si="18"/>
        <v>32033</v>
      </c>
      <c r="K591">
        <f t="shared" si="19"/>
        <v>35</v>
      </c>
    </row>
    <row r="592" spans="1:11">
      <c r="A592" t="s">
        <v>3494</v>
      </c>
      <c r="B592">
        <v>1988</v>
      </c>
      <c r="C592" t="s">
        <v>4703</v>
      </c>
      <c r="D592">
        <v>15</v>
      </c>
      <c r="E592">
        <v>3</v>
      </c>
      <c r="F592" s="13">
        <v>5136.75</v>
      </c>
      <c r="G592" t="s">
        <v>4697</v>
      </c>
      <c r="H592" t="s">
        <v>4701</v>
      </c>
      <c r="I592" t="s">
        <v>4699</v>
      </c>
      <c r="J592" s="10">
        <f t="shared" si="18"/>
        <v>32401</v>
      </c>
      <c r="K592">
        <f t="shared" si="19"/>
        <v>34</v>
      </c>
    </row>
    <row r="593" spans="1:11">
      <c r="A593" t="s">
        <v>3492</v>
      </c>
      <c r="B593">
        <v>1993</v>
      </c>
      <c r="C593" t="s">
        <v>4705</v>
      </c>
      <c r="D593">
        <v>10</v>
      </c>
      <c r="E593">
        <v>3</v>
      </c>
      <c r="F593" s="13">
        <v>5138.26</v>
      </c>
      <c r="G593" t="s">
        <v>4697</v>
      </c>
      <c r="H593" t="s">
        <v>4697</v>
      </c>
      <c r="I593" t="s">
        <v>4699</v>
      </c>
      <c r="J593" s="10">
        <f t="shared" si="18"/>
        <v>34313</v>
      </c>
      <c r="K593">
        <f t="shared" si="19"/>
        <v>29</v>
      </c>
    </row>
    <row r="594" spans="1:11">
      <c r="A594" t="s">
        <v>3490</v>
      </c>
      <c r="B594">
        <v>1984</v>
      </c>
      <c r="C594" t="s">
        <v>4706</v>
      </c>
      <c r="D594">
        <v>22</v>
      </c>
      <c r="E594">
        <v>3</v>
      </c>
      <c r="F594" s="13">
        <v>5144.18</v>
      </c>
      <c r="G594" t="s">
        <v>4697</v>
      </c>
      <c r="H594" t="s">
        <v>4701</v>
      </c>
      <c r="I594" t="s">
        <v>4699</v>
      </c>
      <c r="J594" s="10">
        <f t="shared" si="18"/>
        <v>30916</v>
      </c>
      <c r="K594">
        <f t="shared" si="19"/>
        <v>38</v>
      </c>
    </row>
    <row r="595" spans="1:11">
      <c r="A595" t="s">
        <v>3488</v>
      </c>
      <c r="B595">
        <v>1990</v>
      </c>
      <c r="C595" t="s">
        <v>4706</v>
      </c>
      <c r="D595">
        <v>22</v>
      </c>
      <c r="E595">
        <v>1</v>
      </c>
      <c r="F595" s="13">
        <v>5148.55</v>
      </c>
      <c r="G595" t="s">
        <v>4697</v>
      </c>
      <c r="H595" t="s">
        <v>4697</v>
      </c>
      <c r="I595" t="s">
        <v>4714</v>
      </c>
      <c r="J595" s="10">
        <f t="shared" si="18"/>
        <v>33107</v>
      </c>
      <c r="K595">
        <f t="shared" si="19"/>
        <v>32</v>
      </c>
    </row>
    <row r="596" spans="1:11">
      <c r="A596" t="s">
        <v>3486</v>
      </c>
      <c r="B596">
        <v>1990</v>
      </c>
      <c r="C596" t="s">
        <v>4707</v>
      </c>
      <c r="D596">
        <v>9</v>
      </c>
      <c r="E596">
        <v>2</v>
      </c>
      <c r="F596" s="13">
        <v>5152.13</v>
      </c>
      <c r="G596" t="s">
        <v>4697</v>
      </c>
      <c r="H596" t="s">
        <v>4697</v>
      </c>
      <c r="I596" t="s">
        <v>4708</v>
      </c>
      <c r="J596" s="10">
        <f t="shared" si="18"/>
        <v>33155</v>
      </c>
      <c r="K596">
        <f t="shared" si="19"/>
        <v>32</v>
      </c>
    </row>
    <row r="597" spans="1:11">
      <c r="A597" t="s">
        <v>3484</v>
      </c>
      <c r="B597">
        <v>1991</v>
      </c>
      <c r="C597" t="s">
        <v>4706</v>
      </c>
      <c r="D597">
        <v>29</v>
      </c>
      <c r="E597">
        <v>3</v>
      </c>
      <c r="F597" s="13">
        <v>5166.96</v>
      </c>
      <c r="G597" t="s">
        <v>4697</v>
      </c>
      <c r="H597" t="s">
        <v>4697</v>
      </c>
      <c r="I597" t="s">
        <v>4704</v>
      </c>
      <c r="J597" s="10">
        <f t="shared" si="18"/>
        <v>33479</v>
      </c>
      <c r="K597">
        <f t="shared" si="19"/>
        <v>31</v>
      </c>
    </row>
    <row r="598" spans="1:11">
      <c r="A598" t="s">
        <v>3482</v>
      </c>
      <c r="B598">
        <v>1984</v>
      </c>
      <c r="C598" t="s">
        <v>4707</v>
      </c>
      <c r="D598">
        <v>16</v>
      </c>
      <c r="E598">
        <v>3</v>
      </c>
      <c r="F598" s="13">
        <v>5177.12</v>
      </c>
      <c r="G598" t="s">
        <v>4697</v>
      </c>
      <c r="H598" t="s">
        <v>4701</v>
      </c>
      <c r="I598" t="s">
        <v>4699</v>
      </c>
      <c r="J598" s="10">
        <f t="shared" si="18"/>
        <v>30971</v>
      </c>
      <c r="K598">
        <f t="shared" si="19"/>
        <v>38</v>
      </c>
    </row>
    <row r="599" spans="1:11">
      <c r="A599" t="s">
        <v>3480</v>
      </c>
      <c r="B599">
        <v>1979</v>
      </c>
      <c r="C599" t="s">
        <v>4703</v>
      </c>
      <c r="D599">
        <v>12</v>
      </c>
      <c r="E599">
        <v>2</v>
      </c>
      <c r="F599" s="13">
        <v>5195.58</v>
      </c>
      <c r="G599" t="s">
        <v>4697</v>
      </c>
      <c r="H599" t="s">
        <v>4697</v>
      </c>
      <c r="I599" t="s">
        <v>4699</v>
      </c>
      <c r="J599" s="10">
        <f t="shared" si="18"/>
        <v>29110</v>
      </c>
      <c r="K599">
        <f t="shared" si="19"/>
        <v>43</v>
      </c>
    </row>
    <row r="600" spans="1:11">
      <c r="A600" t="s">
        <v>3478</v>
      </c>
      <c r="B600">
        <v>2004</v>
      </c>
      <c r="C600" t="s">
        <v>4702</v>
      </c>
      <c r="D600">
        <v>6</v>
      </c>
      <c r="E600">
        <v>0</v>
      </c>
      <c r="F600" s="13">
        <v>5198.6899999999996</v>
      </c>
      <c r="G600" t="s">
        <v>4697</v>
      </c>
      <c r="H600" t="s">
        <v>4697</v>
      </c>
      <c r="I600" t="s">
        <v>4721</v>
      </c>
      <c r="J600" s="10">
        <f t="shared" si="18"/>
        <v>38144</v>
      </c>
      <c r="K600">
        <f t="shared" si="19"/>
        <v>19</v>
      </c>
    </row>
    <row r="601" spans="1:11">
      <c r="A601" t="s">
        <v>3476</v>
      </c>
      <c r="B601">
        <v>1983</v>
      </c>
      <c r="C601" t="s">
        <v>4707</v>
      </c>
      <c r="D601">
        <v>24</v>
      </c>
      <c r="E601">
        <v>3</v>
      </c>
      <c r="F601" s="13">
        <v>5207.97</v>
      </c>
      <c r="G601" t="s">
        <v>4697</v>
      </c>
      <c r="H601" t="s">
        <v>4697</v>
      </c>
      <c r="I601" t="s">
        <v>4704</v>
      </c>
      <c r="J601" s="10">
        <f t="shared" si="18"/>
        <v>30613</v>
      </c>
      <c r="K601">
        <f t="shared" si="19"/>
        <v>39</v>
      </c>
    </row>
    <row r="602" spans="1:11">
      <c r="A602" t="s">
        <v>3474</v>
      </c>
      <c r="B602">
        <v>1993</v>
      </c>
      <c r="C602" t="s">
        <v>4702</v>
      </c>
      <c r="D602">
        <v>17</v>
      </c>
      <c r="E602">
        <v>3</v>
      </c>
      <c r="F602" s="13">
        <v>5209.58</v>
      </c>
      <c r="G602" t="s">
        <v>4698</v>
      </c>
      <c r="H602" t="s">
        <v>4698</v>
      </c>
      <c r="I602" t="s">
        <v>4718</v>
      </c>
      <c r="J602" s="10">
        <f t="shared" si="18"/>
        <v>34137</v>
      </c>
      <c r="K602">
        <f t="shared" si="19"/>
        <v>29</v>
      </c>
    </row>
    <row r="603" spans="1:11">
      <c r="A603" t="s">
        <v>3472</v>
      </c>
      <c r="B603">
        <v>1999</v>
      </c>
      <c r="C603" t="s">
        <v>4705</v>
      </c>
      <c r="D603">
        <v>1</v>
      </c>
      <c r="E603">
        <v>0</v>
      </c>
      <c r="F603" s="13">
        <v>5213.22</v>
      </c>
      <c r="G603" t="s">
        <v>4697</v>
      </c>
      <c r="H603" t="s">
        <v>4701</v>
      </c>
      <c r="I603" t="s">
        <v>4704</v>
      </c>
      <c r="J603" s="10">
        <f t="shared" si="18"/>
        <v>36495</v>
      </c>
      <c r="K603">
        <f t="shared" si="19"/>
        <v>23</v>
      </c>
    </row>
    <row r="604" spans="1:11">
      <c r="A604" t="s">
        <v>3470</v>
      </c>
      <c r="B604">
        <v>1995</v>
      </c>
      <c r="C604" t="s">
        <v>4702</v>
      </c>
      <c r="D604">
        <v>6</v>
      </c>
      <c r="E604">
        <v>0</v>
      </c>
      <c r="F604" s="13">
        <v>5216.4799999999996</v>
      </c>
      <c r="G604" t="s">
        <v>4697</v>
      </c>
      <c r="H604" t="s">
        <v>4697</v>
      </c>
      <c r="I604" t="s">
        <v>4713</v>
      </c>
      <c r="J604" s="10">
        <f t="shared" si="18"/>
        <v>34856</v>
      </c>
      <c r="K604">
        <f t="shared" si="19"/>
        <v>28</v>
      </c>
    </row>
    <row r="605" spans="1:11">
      <c r="A605" t="s">
        <v>3468</v>
      </c>
      <c r="B605">
        <v>1987</v>
      </c>
      <c r="C605" t="s">
        <v>4702</v>
      </c>
      <c r="D605">
        <v>29</v>
      </c>
      <c r="E605">
        <v>0</v>
      </c>
      <c r="F605" s="13">
        <v>5227.99</v>
      </c>
      <c r="G605" t="s">
        <v>4697</v>
      </c>
      <c r="H605" t="s">
        <v>4701</v>
      </c>
      <c r="I605" t="s">
        <v>4714</v>
      </c>
      <c r="J605" s="10">
        <f t="shared" si="18"/>
        <v>31957</v>
      </c>
      <c r="K605">
        <f t="shared" si="19"/>
        <v>35</v>
      </c>
    </row>
    <row r="606" spans="1:11">
      <c r="A606" t="s">
        <v>3466</v>
      </c>
      <c r="B606">
        <v>1987</v>
      </c>
      <c r="C606" t="s">
        <v>4705</v>
      </c>
      <c r="D606">
        <v>26</v>
      </c>
      <c r="E606">
        <v>1</v>
      </c>
      <c r="F606" s="13">
        <v>5240.7700000000004</v>
      </c>
      <c r="G606" t="s">
        <v>4697</v>
      </c>
      <c r="H606" t="s">
        <v>4697</v>
      </c>
      <c r="I606" t="s">
        <v>4708</v>
      </c>
      <c r="J606" s="10">
        <f t="shared" si="18"/>
        <v>32137</v>
      </c>
      <c r="K606">
        <f t="shared" si="19"/>
        <v>35</v>
      </c>
    </row>
    <row r="607" spans="1:11">
      <c r="A607" t="s">
        <v>3464</v>
      </c>
      <c r="B607">
        <v>1987</v>
      </c>
      <c r="C607" t="s">
        <v>4696</v>
      </c>
      <c r="D607">
        <v>5</v>
      </c>
      <c r="E607">
        <v>1</v>
      </c>
      <c r="F607" s="13">
        <v>5245.23</v>
      </c>
      <c r="G607" t="s">
        <v>4697</v>
      </c>
      <c r="H607" t="s">
        <v>4697</v>
      </c>
      <c r="I607" t="s">
        <v>4699</v>
      </c>
      <c r="J607" s="10">
        <f t="shared" si="18"/>
        <v>31963</v>
      </c>
      <c r="K607">
        <f t="shared" si="19"/>
        <v>35</v>
      </c>
    </row>
    <row r="608" spans="1:11">
      <c r="A608" t="s">
        <v>3462</v>
      </c>
      <c r="B608">
        <v>1987</v>
      </c>
      <c r="C608" t="s">
        <v>4703</v>
      </c>
      <c r="D608">
        <v>9</v>
      </c>
      <c r="E608">
        <v>1</v>
      </c>
      <c r="F608" s="13">
        <v>5246.05</v>
      </c>
      <c r="G608" t="s">
        <v>4697</v>
      </c>
      <c r="H608" t="s">
        <v>4698</v>
      </c>
      <c r="I608" t="s">
        <v>4708</v>
      </c>
      <c r="J608" s="10">
        <f t="shared" si="18"/>
        <v>32029</v>
      </c>
      <c r="K608">
        <f t="shared" si="19"/>
        <v>35</v>
      </c>
    </row>
    <row r="609" spans="1:11">
      <c r="A609" t="s">
        <v>3460</v>
      </c>
      <c r="B609">
        <v>1990</v>
      </c>
      <c r="C609" t="s">
        <v>4696</v>
      </c>
      <c r="D609">
        <v>6</v>
      </c>
      <c r="E609">
        <v>3</v>
      </c>
      <c r="F609" s="13">
        <v>5253.52</v>
      </c>
      <c r="G609" t="s">
        <v>4698</v>
      </c>
      <c r="H609" t="s">
        <v>4698</v>
      </c>
      <c r="I609" t="s">
        <v>4708</v>
      </c>
      <c r="J609" s="10">
        <f t="shared" si="18"/>
        <v>33060</v>
      </c>
      <c r="K609">
        <f t="shared" si="19"/>
        <v>32</v>
      </c>
    </row>
    <row r="610" spans="1:11">
      <c r="A610" t="s">
        <v>3458</v>
      </c>
      <c r="B610">
        <v>1989</v>
      </c>
      <c r="C610" t="s">
        <v>4700</v>
      </c>
      <c r="D610">
        <v>25</v>
      </c>
      <c r="E610">
        <v>2</v>
      </c>
      <c r="F610" s="13">
        <v>5257.51</v>
      </c>
      <c r="G610" t="s">
        <v>4697</v>
      </c>
      <c r="H610" t="s">
        <v>4697</v>
      </c>
      <c r="I610" t="s">
        <v>4704</v>
      </c>
      <c r="J610" s="10">
        <f t="shared" si="18"/>
        <v>32837</v>
      </c>
      <c r="K610">
        <f t="shared" si="19"/>
        <v>33</v>
      </c>
    </row>
    <row r="611" spans="1:11">
      <c r="A611" t="s">
        <v>3456</v>
      </c>
      <c r="B611">
        <v>1989</v>
      </c>
      <c r="C611" t="s">
        <v>4696</v>
      </c>
      <c r="D611">
        <v>19</v>
      </c>
      <c r="E611">
        <v>2</v>
      </c>
      <c r="F611" s="13">
        <v>5261.47</v>
      </c>
      <c r="G611" t="s">
        <v>4697</v>
      </c>
      <c r="H611" t="s">
        <v>4697</v>
      </c>
      <c r="I611" t="s">
        <v>4704</v>
      </c>
      <c r="J611" s="10">
        <f t="shared" si="18"/>
        <v>32708</v>
      </c>
      <c r="K611">
        <f t="shared" si="19"/>
        <v>33</v>
      </c>
    </row>
    <row r="612" spans="1:11">
      <c r="A612" t="s">
        <v>3454</v>
      </c>
      <c r="B612">
        <v>1986</v>
      </c>
      <c r="C612" t="s">
        <v>4707</v>
      </c>
      <c r="D612">
        <v>25</v>
      </c>
      <c r="E612">
        <v>0</v>
      </c>
      <c r="F612" s="13">
        <v>5266.37</v>
      </c>
      <c r="G612" t="s">
        <v>4697</v>
      </c>
      <c r="H612" t="s">
        <v>4697</v>
      </c>
      <c r="I612" t="s">
        <v>4704</v>
      </c>
      <c r="J612" s="10">
        <f t="shared" si="18"/>
        <v>31710</v>
      </c>
      <c r="K612">
        <f t="shared" si="19"/>
        <v>36</v>
      </c>
    </row>
    <row r="613" spans="1:11">
      <c r="A613" t="s">
        <v>3452</v>
      </c>
      <c r="B613">
        <v>1986</v>
      </c>
      <c r="C613" t="s">
        <v>4703</v>
      </c>
      <c r="D613">
        <v>20</v>
      </c>
      <c r="E613">
        <v>0</v>
      </c>
      <c r="F613" s="13">
        <v>5267.82</v>
      </c>
      <c r="G613" t="s">
        <v>4697</v>
      </c>
      <c r="H613" t="s">
        <v>4697</v>
      </c>
      <c r="I613" t="s">
        <v>4704</v>
      </c>
      <c r="J613" s="10">
        <f t="shared" si="18"/>
        <v>31675</v>
      </c>
      <c r="K613">
        <f t="shared" si="19"/>
        <v>36</v>
      </c>
    </row>
    <row r="614" spans="1:11">
      <c r="A614" t="s">
        <v>3450</v>
      </c>
      <c r="B614">
        <v>1986</v>
      </c>
      <c r="C614" t="s">
        <v>4707</v>
      </c>
      <c r="D614">
        <v>20</v>
      </c>
      <c r="E614">
        <v>0</v>
      </c>
      <c r="F614" s="13">
        <v>5272.18</v>
      </c>
      <c r="G614" t="s">
        <v>4697</v>
      </c>
      <c r="H614" t="s">
        <v>4698</v>
      </c>
      <c r="I614" t="s">
        <v>4704</v>
      </c>
      <c r="J614" s="10">
        <f t="shared" si="18"/>
        <v>31705</v>
      </c>
      <c r="K614">
        <f t="shared" si="19"/>
        <v>36</v>
      </c>
    </row>
    <row r="615" spans="1:11">
      <c r="A615" t="s">
        <v>3448</v>
      </c>
      <c r="B615">
        <v>1987</v>
      </c>
      <c r="C615" t="s">
        <v>4703</v>
      </c>
      <c r="D615">
        <v>1</v>
      </c>
      <c r="E615">
        <v>3</v>
      </c>
      <c r="F615" s="13">
        <v>5275.86</v>
      </c>
      <c r="G615" t="s">
        <v>4697</v>
      </c>
      <c r="H615" t="s">
        <v>4697</v>
      </c>
      <c r="I615" t="s">
        <v>4699</v>
      </c>
      <c r="J615" s="10">
        <f t="shared" si="18"/>
        <v>32021</v>
      </c>
      <c r="K615">
        <f t="shared" si="19"/>
        <v>35</v>
      </c>
    </row>
    <row r="616" spans="1:11">
      <c r="A616" t="s">
        <v>3446</v>
      </c>
      <c r="B616">
        <v>1974</v>
      </c>
      <c r="C616" t="s">
        <v>4700</v>
      </c>
      <c r="D616">
        <v>12</v>
      </c>
      <c r="E616">
        <v>0</v>
      </c>
      <c r="F616" s="13">
        <v>5291.71</v>
      </c>
      <c r="G616" t="s">
        <v>4697</v>
      </c>
      <c r="H616" t="s">
        <v>4697</v>
      </c>
      <c r="I616" t="s">
        <v>4704</v>
      </c>
      <c r="J616" s="10">
        <f t="shared" si="18"/>
        <v>27345</v>
      </c>
      <c r="K616">
        <f t="shared" si="19"/>
        <v>48</v>
      </c>
    </row>
    <row r="617" spans="1:11">
      <c r="A617" t="s">
        <v>3444</v>
      </c>
      <c r="B617">
        <v>2004</v>
      </c>
      <c r="C617" t="s">
        <v>4706</v>
      </c>
      <c r="D617">
        <v>22</v>
      </c>
      <c r="E617">
        <v>0</v>
      </c>
      <c r="F617" s="13">
        <v>5293.67</v>
      </c>
      <c r="G617" t="s">
        <v>4697</v>
      </c>
      <c r="H617" t="s">
        <v>4697</v>
      </c>
      <c r="I617" t="s">
        <v>4721</v>
      </c>
      <c r="J617" s="10">
        <f t="shared" si="18"/>
        <v>38221</v>
      </c>
      <c r="K617">
        <f t="shared" si="19"/>
        <v>18</v>
      </c>
    </row>
    <row r="618" spans="1:11">
      <c r="A618" t="s">
        <v>3442</v>
      </c>
      <c r="B618">
        <v>2000</v>
      </c>
      <c r="C618" t="s">
        <v>4703</v>
      </c>
      <c r="D618">
        <v>9</v>
      </c>
      <c r="E618">
        <v>0</v>
      </c>
      <c r="F618" s="13">
        <v>5306.7</v>
      </c>
      <c r="G618" t="s">
        <v>4697</v>
      </c>
      <c r="H618" t="s">
        <v>4698</v>
      </c>
      <c r="I618" t="s">
        <v>4704</v>
      </c>
      <c r="J618" s="10">
        <f t="shared" si="18"/>
        <v>36778</v>
      </c>
      <c r="K618">
        <f t="shared" si="19"/>
        <v>22</v>
      </c>
    </row>
    <row r="619" spans="1:11">
      <c r="A619" t="s">
        <v>3440</v>
      </c>
      <c r="B619">
        <v>1994</v>
      </c>
      <c r="C619" t="s">
        <v>4700</v>
      </c>
      <c r="D619">
        <v>13</v>
      </c>
      <c r="E619">
        <v>3</v>
      </c>
      <c r="F619" s="13">
        <v>5312.17</v>
      </c>
      <c r="G619" t="s">
        <v>4697</v>
      </c>
      <c r="H619" t="s">
        <v>4697</v>
      </c>
      <c r="I619" t="s">
        <v>4704</v>
      </c>
      <c r="J619" s="10">
        <f t="shared" si="18"/>
        <v>34651</v>
      </c>
      <c r="K619">
        <f t="shared" si="19"/>
        <v>28</v>
      </c>
    </row>
    <row r="620" spans="1:11">
      <c r="A620" t="s">
        <v>3438</v>
      </c>
      <c r="B620">
        <v>1974</v>
      </c>
      <c r="C620" t="s">
        <v>4703</v>
      </c>
      <c r="D620">
        <v>2</v>
      </c>
      <c r="E620">
        <v>0</v>
      </c>
      <c r="F620" s="13">
        <v>5322.24</v>
      </c>
      <c r="G620" t="s">
        <v>4697</v>
      </c>
      <c r="H620" t="s">
        <v>4701</v>
      </c>
      <c r="I620" t="s">
        <v>4704</v>
      </c>
      <c r="J620" s="10">
        <f t="shared" si="18"/>
        <v>27274</v>
      </c>
      <c r="K620">
        <f t="shared" si="19"/>
        <v>48</v>
      </c>
    </row>
    <row r="621" spans="1:11">
      <c r="A621" t="s">
        <v>3436</v>
      </c>
      <c r="B621">
        <v>1992</v>
      </c>
      <c r="C621" t="s">
        <v>4702</v>
      </c>
      <c r="D621">
        <v>18</v>
      </c>
      <c r="E621">
        <v>3</v>
      </c>
      <c r="F621" s="13">
        <v>5325.65</v>
      </c>
      <c r="G621" t="s">
        <v>4697</v>
      </c>
      <c r="H621" t="s">
        <v>4701</v>
      </c>
      <c r="I621" t="s">
        <v>4708</v>
      </c>
      <c r="J621" s="10">
        <f t="shared" si="18"/>
        <v>33773</v>
      </c>
      <c r="K621">
        <f t="shared" si="19"/>
        <v>30</v>
      </c>
    </row>
    <row r="622" spans="1:11">
      <c r="A622" t="s">
        <v>3434</v>
      </c>
      <c r="B622">
        <v>1991</v>
      </c>
      <c r="C622" t="s">
        <v>4706</v>
      </c>
      <c r="D622">
        <v>28</v>
      </c>
      <c r="E622">
        <v>2</v>
      </c>
      <c r="F622" s="13">
        <v>5327.4</v>
      </c>
      <c r="G622" t="s">
        <v>4697</v>
      </c>
      <c r="H622" t="s">
        <v>4701</v>
      </c>
      <c r="I622" t="s">
        <v>4704</v>
      </c>
      <c r="J622" s="10">
        <f t="shared" si="18"/>
        <v>33478</v>
      </c>
      <c r="K622">
        <f t="shared" si="19"/>
        <v>31</v>
      </c>
    </row>
    <row r="623" spans="1:11">
      <c r="A623" t="s">
        <v>3432</v>
      </c>
      <c r="B623">
        <v>1972</v>
      </c>
      <c r="C623" t="s">
        <v>4705</v>
      </c>
      <c r="D623">
        <v>15</v>
      </c>
      <c r="E623">
        <v>0</v>
      </c>
      <c r="F623" s="13">
        <v>5344.81</v>
      </c>
      <c r="G623" t="s">
        <v>4697</v>
      </c>
      <c r="H623" t="s">
        <v>4698</v>
      </c>
      <c r="I623" t="s">
        <v>4699</v>
      </c>
      <c r="J623" s="10">
        <f t="shared" si="18"/>
        <v>26648</v>
      </c>
      <c r="K623">
        <f t="shared" si="19"/>
        <v>50</v>
      </c>
    </row>
    <row r="624" spans="1:11">
      <c r="A624" t="s">
        <v>3430</v>
      </c>
      <c r="B624">
        <v>1989</v>
      </c>
      <c r="C624" t="s">
        <v>4700</v>
      </c>
      <c r="D624">
        <v>7</v>
      </c>
      <c r="E624">
        <v>1</v>
      </c>
      <c r="F624" s="13">
        <v>5354.07</v>
      </c>
      <c r="G624" t="s">
        <v>4697</v>
      </c>
      <c r="H624" t="s">
        <v>4698</v>
      </c>
      <c r="I624" t="s">
        <v>4714</v>
      </c>
      <c r="J624" s="10">
        <f t="shared" si="18"/>
        <v>32819</v>
      </c>
      <c r="K624">
        <f t="shared" si="19"/>
        <v>33</v>
      </c>
    </row>
    <row r="625" spans="1:11">
      <c r="A625" t="s">
        <v>3428</v>
      </c>
      <c r="B625">
        <v>1994</v>
      </c>
      <c r="C625" t="s">
        <v>4705</v>
      </c>
      <c r="D625">
        <v>7</v>
      </c>
      <c r="E625">
        <v>0</v>
      </c>
      <c r="F625" s="13">
        <v>5364.66</v>
      </c>
      <c r="G625" t="s">
        <v>4697</v>
      </c>
      <c r="H625" t="s">
        <v>4701</v>
      </c>
      <c r="I625" t="s">
        <v>4708</v>
      </c>
      <c r="J625" s="10">
        <f t="shared" si="18"/>
        <v>34675</v>
      </c>
      <c r="K625">
        <f t="shared" si="19"/>
        <v>28</v>
      </c>
    </row>
    <row r="626" spans="1:11">
      <c r="A626" t="s">
        <v>3426</v>
      </c>
      <c r="B626">
        <v>1986</v>
      </c>
      <c r="C626" t="s">
        <v>4702</v>
      </c>
      <c r="D626">
        <v>1</v>
      </c>
      <c r="E626">
        <v>1</v>
      </c>
      <c r="F626" s="13">
        <v>5373.36</v>
      </c>
      <c r="G626" t="s">
        <v>4697</v>
      </c>
      <c r="H626" t="s">
        <v>4697</v>
      </c>
      <c r="I626" t="s">
        <v>4704</v>
      </c>
      <c r="J626" s="10">
        <f t="shared" si="18"/>
        <v>31564</v>
      </c>
      <c r="K626">
        <f t="shared" si="19"/>
        <v>37</v>
      </c>
    </row>
    <row r="627" spans="1:11">
      <c r="A627" t="s">
        <v>3424</v>
      </c>
      <c r="B627">
        <v>1989</v>
      </c>
      <c r="C627" t="s">
        <v>4700</v>
      </c>
      <c r="D627">
        <v>18</v>
      </c>
      <c r="E627">
        <v>2</v>
      </c>
      <c r="F627" s="13">
        <v>5375.04</v>
      </c>
      <c r="G627" t="s">
        <v>4697</v>
      </c>
      <c r="H627" t="s">
        <v>4701</v>
      </c>
      <c r="I627" t="s">
        <v>4708</v>
      </c>
      <c r="J627" s="10">
        <f t="shared" si="18"/>
        <v>32830</v>
      </c>
      <c r="K627">
        <f t="shared" si="19"/>
        <v>33</v>
      </c>
    </row>
    <row r="628" spans="1:11">
      <c r="A628" t="s">
        <v>3422</v>
      </c>
      <c r="B628">
        <v>1986</v>
      </c>
      <c r="C628" t="s">
        <v>4696</v>
      </c>
      <c r="D628">
        <v>22</v>
      </c>
      <c r="E628">
        <v>1</v>
      </c>
      <c r="F628" s="13">
        <v>5377.46</v>
      </c>
      <c r="G628" t="s">
        <v>4697</v>
      </c>
      <c r="H628" t="s">
        <v>4698</v>
      </c>
      <c r="I628" t="s">
        <v>4704</v>
      </c>
      <c r="J628" s="10">
        <f t="shared" si="18"/>
        <v>31615</v>
      </c>
      <c r="K628">
        <f t="shared" si="19"/>
        <v>36</v>
      </c>
    </row>
    <row r="629" spans="1:11">
      <c r="A629" t="s">
        <v>3420</v>
      </c>
      <c r="B629">
        <v>1984</v>
      </c>
      <c r="C629" t="s">
        <v>4702</v>
      </c>
      <c r="D629">
        <v>1</v>
      </c>
      <c r="E629">
        <v>0</v>
      </c>
      <c r="F629" s="13">
        <v>5383.54</v>
      </c>
      <c r="G629" t="s">
        <v>4697</v>
      </c>
      <c r="H629" t="s">
        <v>4698</v>
      </c>
      <c r="I629" t="s">
        <v>4708</v>
      </c>
      <c r="J629" s="10">
        <f t="shared" si="18"/>
        <v>30834</v>
      </c>
      <c r="K629">
        <f t="shared" si="19"/>
        <v>39</v>
      </c>
    </row>
    <row r="630" spans="1:11">
      <c r="A630" t="s">
        <v>3418</v>
      </c>
      <c r="B630">
        <v>1988</v>
      </c>
      <c r="C630" t="s">
        <v>4706</v>
      </c>
      <c r="D630">
        <v>8</v>
      </c>
      <c r="E630">
        <v>1</v>
      </c>
      <c r="F630" s="13">
        <v>5385.34</v>
      </c>
      <c r="G630" t="s">
        <v>4697</v>
      </c>
      <c r="H630" t="s">
        <v>4698</v>
      </c>
      <c r="I630" t="s">
        <v>4704</v>
      </c>
      <c r="J630" s="10">
        <f t="shared" si="18"/>
        <v>32363</v>
      </c>
      <c r="K630">
        <f t="shared" si="19"/>
        <v>34</v>
      </c>
    </row>
    <row r="631" spans="1:11">
      <c r="A631" t="s">
        <v>3416</v>
      </c>
      <c r="B631">
        <v>1989</v>
      </c>
      <c r="C631" t="s">
        <v>4700</v>
      </c>
      <c r="D631">
        <v>6</v>
      </c>
      <c r="E631">
        <v>3</v>
      </c>
      <c r="F631" s="13">
        <v>5396.44</v>
      </c>
      <c r="G631" t="s">
        <v>4697</v>
      </c>
      <c r="H631" t="s">
        <v>4698</v>
      </c>
      <c r="I631" t="s">
        <v>4699</v>
      </c>
      <c r="J631" s="10">
        <f t="shared" si="18"/>
        <v>32818</v>
      </c>
      <c r="K631">
        <f t="shared" si="19"/>
        <v>33</v>
      </c>
    </row>
    <row r="632" spans="1:11">
      <c r="A632" t="s">
        <v>3414</v>
      </c>
      <c r="B632">
        <v>1984</v>
      </c>
      <c r="C632" t="s">
        <v>4703</v>
      </c>
      <c r="D632">
        <v>3</v>
      </c>
      <c r="E632">
        <v>0</v>
      </c>
      <c r="F632" s="13">
        <v>5397.62</v>
      </c>
      <c r="G632" t="s">
        <v>4697</v>
      </c>
      <c r="H632" t="s">
        <v>4697</v>
      </c>
      <c r="I632" t="s">
        <v>4699</v>
      </c>
      <c r="J632" s="10">
        <f t="shared" si="18"/>
        <v>30928</v>
      </c>
      <c r="K632">
        <f t="shared" si="19"/>
        <v>38</v>
      </c>
    </row>
    <row r="633" spans="1:11">
      <c r="A633" t="s">
        <v>3412</v>
      </c>
      <c r="B633">
        <v>1984</v>
      </c>
      <c r="C633" t="s">
        <v>4706</v>
      </c>
      <c r="D633">
        <v>1</v>
      </c>
      <c r="E633">
        <v>0</v>
      </c>
      <c r="F633" s="13">
        <v>5400.98</v>
      </c>
      <c r="G633" t="s">
        <v>4697</v>
      </c>
      <c r="H633" t="s">
        <v>4697</v>
      </c>
      <c r="I633" t="s">
        <v>4699</v>
      </c>
      <c r="J633" s="10">
        <f t="shared" si="18"/>
        <v>30895</v>
      </c>
      <c r="K633">
        <f t="shared" si="19"/>
        <v>38</v>
      </c>
    </row>
    <row r="634" spans="1:11">
      <c r="A634" t="s">
        <v>3410</v>
      </c>
      <c r="B634">
        <v>1985</v>
      </c>
      <c r="C634" t="s">
        <v>4705</v>
      </c>
      <c r="D634">
        <v>23</v>
      </c>
      <c r="E634">
        <v>3</v>
      </c>
      <c r="F634" s="13">
        <v>5402.89</v>
      </c>
      <c r="G634" t="s">
        <v>4697</v>
      </c>
      <c r="H634" t="s">
        <v>4701</v>
      </c>
      <c r="I634" t="s">
        <v>4699</v>
      </c>
      <c r="J634" s="10">
        <f t="shared" si="18"/>
        <v>31404</v>
      </c>
      <c r="K634">
        <f t="shared" si="19"/>
        <v>37</v>
      </c>
    </row>
    <row r="635" spans="1:11">
      <c r="A635" t="s">
        <v>3408</v>
      </c>
      <c r="B635">
        <v>1975</v>
      </c>
      <c r="C635" t="s">
        <v>4703</v>
      </c>
      <c r="D635">
        <v>27</v>
      </c>
      <c r="E635">
        <v>1</v>
      </c>
      <c r="F635" s="13">
        <v>5411.99</v>
      </c>
      <c r="G635" t="s">
        <v>4697</v>
      </c>
      <c r="H635" t="s">
        <v>4698</v>
      </c>
      <c r="I635" t="s">
        <v>4704</v>
      </c>
      <c r="J635" s="10">
        <f t="shared" si="18"/>
        <v>27664</v>
      </c>
      <c r="K635">
        <f t="shared" si="19"/>
        <v>47</v>
      </c>
    </row>
    <row r="636" spans="1:11">
      <c r="A636" t="s">
        <v>3406</v>
      </c>
      <c r="B636">
        <v>1982</v>
      </c>
      <c r="C636" t="s">
        <v>4703</v>
      </c>
      <c r="D636">
        <v>27</v>
      </c>
      <c r="E636">
        <v>0</v>
      </c>
      <c r="F636" s="13">
        <v>5415.66</v>
      </c>
      <c r="G636" t="s">
        <v>4697</v>
      </c>
      <c r="H636" t="s">
        <v>4698</v>
      </c>
      <c r="I636" t="s">
        <v>4699</v>
      </c>
      <c r="J636" s="10">
        <f t="shared" si="18"/>
        <v>30221</v>
      </c>
      <c r="K636">
        <f t="shared" si="19"/>
        <v>40</v>
      </c>
    </row>
    <row r="637" spans="1:11">
      <c r="A637" t="s">
        <v>3404</v>
      </c>
      <c r="B637">
        <v>1991</v>
      </c>
      <c r="C637" t="s">
        <v>4696</v>
      </c>
      <c r="D637">
        <v>6</v>
      </c>
      <c r="E637">
        <v>3</v>
      </c>
      <c r="F637" s="13">
        <v>5425.02</v>
      </c>
      <c r="G637" t="s">
        <v>4697</v>
      </c>
      <c r="H637" t="s">
        <v>4701</v>
      </c>
      <c r="I637" t="s">
        <v>4704</v>
      </c>
      <c r="J637" s="10">
        <f t="shared" si="18"/>
        <v>33425</v>
      </c>
      <c r="K637">
        <f t="shared" si="19"/>
        <v>31</v>
      </c>
    </row>
    <row r="638" spans="1:11">
      <c r="A638" t="s">
        <v>3402</v>
      </c>
      <c r="B638">
        <v>1992</v>
      </c>
      <c r="C638" t="s">
        <v>4703</v>
      </c>
      <c r="D638">
        <v>17</v>
      </c>
      <c r="E638">
        <v>3</v>
      </c>
      <c r="F638" s="13">
        <v>5428.73</v>
      </c>
      <c r="G638" t="s">
        <v>4698</v>
      </c>
      <c r="H638" t="s">
        <v>4701</v>
      </c>
      <c r="I638" t="s">
        <v>4718</v>
      </c>
      <c r="J638" s="10">
        <f t="shared" si="18"/>
        <v>33864</v>
      </c>
      <c r="K638">
        <f t="shared" si="19"/>
        <v>30</v>
      </c>
    </row>
    <row r="639" spans="1:11">
      <c r="A639" t="s">
        <v>3400</v>
      </c>
      <c r="B639">
        <v>1978</v>
      </c>
      <c r="C639" t="s">
        <v>4702</v>
      </c>
      <c r="D639">
        <v>8</v>
      </c>
      <c r="E639">
        <v>2</v>
      </c>
      <c r="F639" s="13">
        <v>5428.98</v>
      </c>
      <c r="G639" t="s">
        <v>4697</v>
      </c>
      <c r="H639" t="s">
        <v>4697</v>
      </c>
      <c r="I639" t="s">
        <v>4704</v>
      </c>
      <c r="J639" s="10">
        <f t="shared" si="18"/>
        <v>28649</v>
      </c>
      <c r="K639">
        <f t="shared" si="19"/>
        <v>45</v>
      </c>
    </row>
    <row r="640" spans="1:11">
      <c r="A640" t="s">
        <v>3398</v>
      </c>
      <c r="B640">
        <v>1982</v>
      </c>
      <c r="C640" t="s">
        <v>4706</v>
      </c>
      <c r="D640">
        <v>25</v>
      </c>
      <c r="E640">
        <v>0</v>
      </c>
      <c r="F640" s="13">
        <v>5438.75</v>
      </c>
      <c r="G640" t="s">
        <v>4698</v>
      </c>
      <c r="H640" t="s">
        <v>4697</v>
      </c>
      <c r="I640" t="s">
        <v>4699</v>
      </c>
      <c r="J640" s="10">
        <f t="shared" si="18"/>
        <v>30188</v>
      </c>
      <c r="K640">
        <f t="shared" si="19"/>
        <v>40</v>
      </c>
    </row>
    <row r="641" spans="1:11">
      <c r="A641" t="s">
        <v>3396</v>
      </c>
      <c r="B641">
        <v>1986</v>
      </c>
      <c r="C641" t="s">
        <v>4705</v>
      </c>
      <c r="D641">
        <v>25</v>
      </c>
      <c r="E641">
        <v>0</v>
      </c>
      <c r="F641" s="13">
        <v>5458.05</v>
      </c>
      <c r="G641" t="s">
        <v>4697</v>
      </c>
      <c r="H641" t="s">
        <v>4697</v>
      </c>
      <c r="I641" t="s">
        <v>4714</v>
      </c>
      <c r="J641" s="10">
        <f t="shared" si="18"/>
        <v>31771</v>
      </c>
      <c r="K641">
        <f t="shared" si="19"/>
        <v>36</v>
      </c>
    </row>
    <row r="642" spans="1:11">
      <c r="A642" t="s">
        <v>3394</v>
      </c>
      <c r="B642">
        <v>1973</v>
      </c>
      <c r="C642" t="s">
        <v>4707</v>
      </c>
      <c r="D642">
        <v>24</v>
      </c>
      <c r="E642">
        <v>0</v>
      </c>
      <c r="F642" s="13">
        <v>5466.88</v>
      </c>
      <c r="G642" t="s">
        <v>4697</v>
      </c>
      <c r="H642" t="s">
        <v>4697</v>
      </c>
      <c r="I642" t="s">
        <v>4699</v>
      </c>
      <c r="J642" s="10">
        <f t="shared" ref="J642:J705" si="20">DATEVALUE(D642&amp;"-"&amp;C642&amp;"-"&amp;B642)</f>
        <v>26961</v>
      </c>
      <c r="K642">
        <f t="shared" si="19"/>
        <v>49</v>
      </c>
    </row>
    <row r="643" spans="1:11">
      <c r="A643" t="s">
        <v>3392</v>
      </c>
      <c r="B643">
        <v>1986</v>
      </c>
      <c r="C643" t="s">
        <v>4705</v>
      </c>
      <c r="D643">
        <v>2</v>
      </c>
      <c r="E643">
        <v>0</v>
      </c>
      <c r="F643" s="13">
        <v>5469.01</v>
      </c>
      <c r="G643" t="s">
        <v>4697</v>
      </c>
      <c r="H643" t="s">
        <v>4697</v>
      </c>
      <c r="I643" t="s">
        <v>4714</v>
      </c>
      <c r="J643" s="10">
        <f t="shared" si="20"/>
        <v>31748</v>
      </c>
      <c r="K643">
        <f t="shared" ref="K643:K706" si="21">DATEDIF(J643, DATE(2023, 6, 8), "Y")</f>
        <v>36</v>
      </c>
    </row>
    <row r="644" spans="1:11">
      <c r="A644" t="s">
        <v>3390</v>
      </c>
      <c r="B644">
        <v>1986</v>
      </c>
      <c r="C644" t="s">
        <v>4696</v>
      </c>
      <c r="D644">
        <v>12</v>
      </c>
      <c r="E644">
        <v>1</v>
      </c>
      <c r="F644" s="13">
        <v>5472.45</v>
      </c>
      <c r="G644" t="s">
        <v>4697</v>
      </c>
      <c r="H644" t="s">
        <v>4698</v>
      </c>
      <c r="I644" t="s">
        <v>4708</v>
      </c>
      <c r="J644" s="10">
        <f t="shared" si="20"/>
        <v>31605</v>
      </c>
      <c r="K644">
        <f t="shared" si="21"/>
        <v>36</v>
      </c>
    </row>
    <row r="645" spans="1:11">
      <c r="A645" t="s">
        <v>3388</v>
      </c>
      <c r="B645">
        <v>1986</v>
      </c>
      <c r="C645" t="s">
        <v>4703</v>
      </c>
      <c r="D645">
        <v>30</v>
      </c>
      <c r="E645">
        <v>1</v>
      </c>
      <c r="F645" s="13">
        <v>5478.04</v>
      </c>
      <c r="G645" t="s">
        <v>4697</v>
      </c>
      <c r="H645" t="s">
        <v>4698</v>
      </c>
      <c r="I645" t="s">
        <v>4699</v>
      </c>
      <c r="J645" s="10">
        <f t="shared" si="20"/>
        <v>31685</v>
      </c>
      <c r="K645">
        <f t="shared" si="21"/>
        <v>36</v>
      </c>
    </row>
    <row r="646" spans="1:11">
      <c r="A646" t="s">
        <v>3386</v>
      </c>
      <c r="B646">
        <v>1984</v>
      </c>
      <c r="C646" t="s">
        <v>4706</v>
      </c>
      <c r="D646">
        <v>26</v>
      </c>
      <c r="E646">
        <v>1</v>
      </c>
      <c r="F646" s="13">
        <v>5484.47</v>
      </c>
      <c r="G646" t="s">
        <v>4697</v>
      </c>
      <c r="H646" t="s">
        <v>4697</v>
      </c>
      <c r="I646" t="s">
        <v>4699</v>
      </c>
      <c r="J646" s="10">
        <f t="shared" si="20"/>
        <v>30920</v>
      </c>
      <c r="K646">
        <f t="shared" si="21"/>
        <v>38</v>
      </c>
    </row>
    <row r="647" spans="1:11">
      <c r="A647" t="s">
        <v>3384</v>
      </c>
      <c r="B647">
        <v>1984</v>
      </c>
      <c r="C647" t="s">
        <v>4706</v>
      </c>
      <c r="D647">
        <v>17</v>
      </c>
      <c r="E647">
        <v>1</v>
      </c>
      <c r="F647" s="13">
        <v>5488.26</v>
      </c>
      <c r="G647" t="s">
        <v>4697</v>
      </c>
      <c r="H647" t="s">
        <v>4698</v>
      </c>
      <c r="I647" t="s">
        <v>4708</v>
      </c>
      <c r="J647" s="10">
        <f t="shared" si="20"/>
        <v>30911</v>
      </c>
      <c r="K647">
        <f t="shared" si="21"/>
        <v>38</v>
      </c>
    </row>
    <row r="648" spans="1:11">
      <c r="A648" t="s">
        <v>3382</v>
      </c>
      <c r="B648">
        <v>1988</v>
      </c>
      <c r="C648" t="s">
        <v>4696</v>
      </c>
      <c r="D648">
        <v>29</v>
      </c>
      <c r="E648">
        <v>3</v>
      </c>
      <c r="F648" s="13">
        <v>5503.36</v>
      </c>
      <c r="G648" t="s">
        <v>4697</v>
      </c>
      <c r="H648" t="s">
        <v>4697</v>
      </c>
      <c r="I648" t="s">
        <v>4704</v>
      </c>
      <c r="J648" s="10">
        <f t="shared" si="20"/>
        <v>32353</v>
      </c>
      <c r="K648">
        <f t="shared" si="21"/>
        <v>34</v>
      </c>
    </row>
    <row r="649" spans="1:11">
      <c r="A649" t="s">
        <v>3380</v>
      </c>
      <c r="B649">
        <v>1981</v>
      </c>
      <c r="C649" t="s">
        <v>4700</v>
      </c>
      <c r="D649">
        <v>7</v>
      </c>
      <c r="E649">
        <v>1</v>
      </c>
      <c r="F649" s="13">
        <v>5539.4</v>
      </c>
      <c r="G649" t="s">
        <v>4697</v>
      </c>
      <c r="H649" t="s">
        <v>4697</v>
      </c>
      <c r="I649" t="s">
        <v>4699</v>
      </c>
      <c r="J649" s="10">
        <f t="shared" si="20"/>
        <v>29897</v>
      </c>
      <c r="K649">
        <f t="shared" si="21"/>
        <v>41</v>
      </c>
    </row>
    <row r="650" spans="1:11">
      <c r="A650" t="s">
        <v>3378</v>
      </c>
      <c r="B650">
        <v>1980</v>
      </c>
      <c r="C650" t="s">
        <v>4705</v>
      </c>
      <c r="D650">
        <v>7</v>
      </c>
      <c r="E650">
        <v>2</v>
      </c>
      <c r="F650" s="13">
        <v>5540.35</v>
      </c>
      <c r="G650" t="s">
        <v>4697</v>
      </c>
      <c r="H650" t="s">
        <v>4697</v>
      </c>
      <c r="I650" t="s">
        <v>4704</v>
      </c>
      <c r="J650" s="10">
        <f t="shared" si="20"/>
        <v>29562</v>
      </c>
      <c r="K650">
        <f t="shared" si="21"/>
        <v>42</v>
      </c>
    </row>
    <row r="651" spans="1:11">
      <c r="A651" t="s">
        <v>3376</v>
      </c>
      <c r="B651">
        <v>1999</v>
      </c>
      <c r="C651" t="s">
        <v>4703</v>
      </c>
      <c r="D651">
        <v>22</v>
      </c>
      <c r="E651">
        <v>0</v>
      </c>
      <c r="F651" s="13">
        <v>5552.61</v>
      </c>
      <c r="G651" t="s">
        <v>4697</v>
      </c>
      <c r="H651" t="s">
        <v>4698</v>
      </c>
      <c r="I651" t="s">
        <v>4720</v>
      </c>
      <c r="J651" s="10">
        <f t="shared" si="20"/>
        <v>36425</v>
      </c>
      <c r="K651">
        <f t="shared" si="21"/>
        <v>23</v>
      </c>
    </row>
    <row r="652" spans="1:11">
      <c r="A652" t="s">
        <v>3374</v>
      </c>
      <c r="B652">
        <v>1974</v>
      </c>
      <c r="C652" t="s">
        <v>4703</v>
      </c>
      <c r="D652">
        <v>18</v>
      </c>
      <c r="E652">
        <v>0</v>
      </c>
      <c r="F652" s="13">
        <v>5576.35</v>
      </c>
      <c r="G652" t="s">
        <v>4697</v>
      </c>
      <c r="H652" t="s">
        <v>4698</v>
      </c>
      <c r="I652" t="s">
        <v>4699</v>
      </c>
      <c r="J652" s="10">
        <f t="shared" si="20"/>
        <v>27290</v>
      </c>
      <c r="K652">
        <f t="shared" si="21"/>
        <v>48</v>
      </c>
    </row>
    <row r="653" spans="1:11">
      <c r="A653" t="s">
        <v>3372</v>
      </c>
      <c r="B653">
        <v>1985</v>
      </c>
      <c r="C653" t="s">
        <v>4703</v>
      </c>
      <c r="D653">
        <v>5</v>
      </c>
      <c r="E653">
        <v>3</v>
      </c>
      <c r="F653" s="13">
        <v>5582.95</v>
      </c>
      <c r="G653" t="s">
        <v>4697</v>
      </c>
      <c r="H653" t="s">
        <v>4701</v>
      </c>
      <c r="I653" t="s">
        <v>4704</v>
      </c>
      <c r="J653" s="10">
        <f t="shared" si="20"/>
        <v>31295</v>
      </c>
      <c r="K653">
        <f t="shared" si="21"/>
        <v>37</v>
      </c>
    </row>
    <row r="654" spans="1:11">
      <c r="A654" t="s">
        <v>3370</v>
      </c>
      <c r="B654">
        <v>1986</v>
      </c>
      <c r="C654" t="s">
        <v>4700</v>
      </c>
      <c r="D654">
        <v>21</v>
      </c>
      <c r="E654">
        <v>2</v>
      </c>
      <c r="F654" s="13">
        <v>5584.31</v>
      </c>
      <c r="G654" t="s">
        <v>4698</v>
      </c>
      <c r="H654" t="s">
        <v>4701</v>
      </c>
      <c r="I654" t="s">
        <v>4699</v>
      </c>
      <c r="J654" s="10">
        <f t="shared" si="20"/>
        <v>31737</v>
      </c>
      <c r="K654">
        <f t="shared" si="21"/>
        <v>36</v>
      </c>
    </row>
    <row r="655" spans="1:11">
      <c r="A655" t="s">
        <v>3368</v>
      </c>
      <c r="B655">
        <v>1983</v>
      </c>
      <c r="C655" t="s">
        <v>4707</v>
      </c>
      <c r="D655">
        <v>3</v>
      </c>
      <c r="E655">
        <v>3</v>
      </c>
      <c r="F655" s="13">
        <v>5587.59</v>
      </c>
      <c r="G655" t="s">
        <v>4697</v>
      </c>
      <c r="H655" t="s">
        <v>4701</v>
      </c>
      <c r="I655" t="s">
        <v>4699</v>
      </c>
      <c r="J655" s="10">
        <f t="shared" si="20"/>
        <v>30592</v>
      </c>
      <c r="K655">
        <f t="shared" si="21"/>
        <v>39</v>
      </c>
    </row>
    <row r="656" spans="1:11">
      <c r="A656" t="s">
        <v>3366</v>
      </c>
      <c r="B656">
        <v>1988</v>
      </c>
      <c r="C656" t="s">
        <v>4700</v>
      </c>
      <c r="D656">
        <v>18</v>
      </c>
      <c r="E656">
        <v>1</v>
      </c>
      <c r="F656" s="13">
        <v>5594.85</v>
      </c>
      <c r="G656" t="s">
        <v>4697</v>
      </c>
      <c r="H656" t="s">
        <v>4698</v>
      </c>
      <c r="I656" t="s">
        <v>4714</v>
      </c>
      <c r="J656" s="10">
        <f t="shared" si="20"/>
        <v>32465</v>
      </c>
      <c r="K656">
        <f t="shared" si="21"/>
        <v>34</v>
      </c>
    </row>
    <row r="657" spans="1:11">
      <c r="A657" t="s">
        <v>3364</v>
      </c>
      <c r="B657">
        <v>1978</v>
      </c>
      <c r="C657" t="s">
        <v>4703</v>
      </c>
      <c r="D657">
        <v>11</v>
      </c>
      <c r="E657">
        <v>2</v>
      </c>
      <c r="F657" s="13">
        <v>5612.83</v>
      </c>
      <c r="G657" t="s">
        <v>4697</v>
      </c>
      <c r="H657" t="s">
        <v>4698</v>
      </c>
      <c r="I657" t="s">
        <v>4699</v>
      </c>
      <c r="J657" s="10">
        <f t="shared" si="20"/>
        <v>28744</v>
      </c>
      <c r="K657">
        <f t="shared" si="21"/>
        <v>44</v>
      </c>
    </row>
    <row r="658" spans="1:11">
      <c r="A658" t="s">
        <v>3362</v>
      </c>
      <c r="B658">
        <v>1994</v>
      </c>
      <c r="C658" t="s">
        <v>4700</v>
      </c>
      <c r="D658">
        <v>15</v>
      </c>
      <c r="E658">
        <v>5</v>
      </c>
      <c r="F658" s="13">
        <v>5615.37</v>
      </c>
      <c r="G658" t="s">
        <v>4697</v>
      </c>
      <c r="H658" t="s">
        <v>4698</v>
      </c>
      <c r="I658" t="s">
        <v>4708</v>
      </c>
      <c r="J658" s="10">
        <f t="shared" si="20"/>
        <v>34653</v>
      </c>
      <c r="K658">
        <f t="shared" si="21"/>
        <v>28</v>
      </c>
    </row>
    <row r="659" spans="1:11">
      <c r="A659" t="s">
        <v>3360</v>
      </c>
      <c r="B659">
        <v>1987</v>
      </c>
      <c r="C659" t="s">
        <v>4705</v>
      </c>
      <c r="D659">
        <v>9</v>
      </c>
      <c r="E659">
        <v>1</v>
      </c>
      <c r="F659" s="13">
        <v>5630.46</v>
      </c>
      <c r="G659" t="s">
        <v>4697</v>
      </c>
      <c r="H659" t="s">
        <v>4698</v>
      </c>
      <c r="I659" t="s">
        <v>4704</v>
      </c>
      <c r="J659" s="10">
        <f t="shared" si="20"/>
        <v>32120</v>
      </c>
      <c r="K659">
        <f t="shared" si="21"/>
        <v>35</v>
      </c>
    </row>
    <row r="660" spans="1:11">
      <c r="A660" t="s">
        <v>3358</v>
      </c>
      <c r="B660">
        <v>1983</v>
      </c>
      <c r="C660" t="s">
        <v>4702</v>
      </c>
      <c r="D660">
        <v>8</v>
      </c>
      <c r="E660">
        <v>0</v>
      </c>
      <c r="F660" s="13">
        <v>5649.72</v>
      </c>
      <c r="G660" t="s">
        <v>4697</v>
      </c>
      <c r="H660" t="s">
        <v>4698</v>
      </c>
      <c r="I660" t="s">
        <v>4708</v>
      </c>
      <c r="J660" s="10">
        <f t="shared" si="20"/>
        <v>30475</v>
      </c>
      <c r="K660">
        <f t="shared" si="21"/>
        <v>40</v>
      </c>
    </row>
    <row r="661" spans="1:11">
      <c r="A661" t="s">
        <v>3356</v>
      </c>
      <c r="B661">
        <v>1978</v>
      </c>
      <c r="C661" t="s">
        <v>4703</v>
      </c>
      <c r="D661">
        <v>27</v>
      </c>
      <c r="E661">
        <v>2</v>
      </c>
      <c r="F661" s="13">
        <v>5650.14</v>
      </c>
      <c r="G661" t="s">
        <v>4697</v>
      </c>
      <c r="H661" t="s">
        <v>4701</v>
      </c>
      <c r="I661" t="s">
        <v>4699</v>
      </c>
      <c r="J661" s="10">
        <f t="shared" si="20"/>
        <v>28760</v>
      </c>
      <c r="K661">
        <f t="shared" si="21"/>
        <v>44</v>
      </c>
    </row>
    <row r="662" spans="1:11">
      <c r="A662" t="s">
        <v>3354</v>
      </c>
      <c r="B662">
        <v>1983</v>
      </c>
      <c r="C662" t="s">
        <v>4703</v>
      </c>
      <c r="D662">
        <v>3</v>
      </c>
      <c r="E662">
        <v>0</v>
      </c>
      <c r="F662" s="13">
        <v>5662.23</v>
      </c>
      <c r="G662" t="s">
        <v>4697</v>
      </c>
      <c r="H662" t="s">
        <v>4701</v>
      </c>
      <c r="I662" t="s">
        <v>4699</v>
      </c>
      <c r="J662" s="10">
        <f t="shared" si="20"/>
        <v>30562</v>
      </c>
      <c r="K662">
        <f t="shared" si="21"/>
        <v>39</v>
      </c>
    </row>
    <row r="663" spans="1:11">
      <c r="A663" t="s">
        <v>3352</v>
      </c>
      <c r="B663">
        <v>1984</v>
      </c>
      <c r="C663" t="s">
        <v>4706</v>
      </c>
      <c r="D663">
        <v>12</v>
      </c>
      <c r="E663">
        <v>3</v>
      </c>
      <c r="F663" s="13">
        <v>5679.13</v>
      </c>
      <c r="G663" t="s">
        <v>4697</v>
      </c>
      <c r="H663" t="s">
        <v>4697</v>
      </c>
      <c r="I663" t="s">
        <v>4699</v>
      </c>
      <c r="J663" s="10">
        <f t="shared" si="20"/>
        <v>30906</v>
      </c>
      <c r="K663">
        <f t="shared" si="21"/>
        <v>38</v>
      </c>
    </row>
    <row r="664" spans="1:11">
      <c r="A664" t="s">
        <v>3350</v>
      </c>
      <c r="B664">
        <v>1972</v>
      </c>
      <c r="C664" t="s">
        <v>4707</v>
      </c>
      <c r="D664">
        <v>28</v>
      </c>
      <c r="E664">
        <v>0</v>
      </c>
      <c r="F664" s="13">
        <v>5690.79</v>
      </c>
      <c r="G664" t="s">
        <v>4697</v>
      </c>
      <c r="H664" t="s">
        <v>4701</v>
      </c>
      <c r="I664" t="s">
        <v>4699</v>
      </c>
      <c r="J664" s="10">
        <f t="shared" si="20"/>
        <v>26600</v>
      </c>
      <c r="K664">
        <f t="shared" si="21"/>
        <v>50</v>
      </c>
    </row>
    <row r="665" spans="1:11">
      <c r="A665" t="s">
        <v>3348</v>
      </c>
      <c r="B665">
        <v>1992</v>
      </c>
      <c r="C665" t="s">
        <v>4700</v>
      </c>
      <c r="D665">
        <v>3</v>
      </c>
      <c r="E665">
        <v>3</v>
      </c>
      <c r="F665" s="13">
        <v>5693.43</v>
      </c>
      <c r="G665" t="s">
        <v>4697</v>
      </c>
      <c r="H665" t="s">
        <v>4698</v>
      </c>
      <c r="I665" t="s">
        <v>4704</v>
      </c>
      <c r="J665" s="10">
        <f t="shared" si="20"/>
        <v>33911</v>
      </c>
      <c r="K665">
        <f t="shared" si="21"/>
        <v>30</v>
      </c>
    </row>
    <row r="666" spans="1:11">
      <c r="A666" t="s">
        <v>3346</v>
      </c>
      <c r="B666">
        <v>1974</v>
      </c>
      <c r="C666" t="s">
        <v>4696</v>
      </c>
      <c r="D666">
        <v>6</v>
      </c>
      <c r="E666">
        <v>0</v>
      </c>
      <c r="F666" s="13">
        <v>5698.74</v>
      </c>
      <c r="G666" t="s">
        <v>4697</v>
      </c>
      <c r="H666" t="s">
        <v>4697</v>
      </c>
      <c r="I666" t="s">
        <v>4704</v>
      </c>
      <c r="J666" s="10">
        <f t="shared" si="20"/>
        <v>27216</v>
      </c>
      <c r="K666">
        <f t="shared" si="21"/>
        <v>48</v>
      </c>
    </row>
    <row r="667" spans="1:11">
      <c r="A667" t="s">
        <v>3344</v>
      </c>
      <c r="B667">
        <v>1981</v>
      </c>
      <c r="C667" t="s">
        <v>4702</v>
      </c>
      <c r="D667">
        <v>15</v>
      </c>
      <c r="E667">
        <v>0</v>
      </c>
      <c r="F667" s="13">
        <v>5699.84</v>
      </c>
      <c r="G667" t="s">
        <v>4697</v>
      </c>
      <c r="H667" t="s">
        <v>4698</v>
      </c>
      <c r="I667" t="s">
        <v>4699</v>
      </c>
      <c r="J667" s="10">
        <f t="shared" si="20"/>
        <v>29752</v>
      </c>
      <c r="K667">
        <f t="shared" si="21"/>
        <v>41</v>
      </c>
    </row>
    <row r="668" spans="1:11">
      <c r="A668" t="s">
        <v>3342</v>
      </c>
      <c r="B668">
        <v>1993</v>
      </c>
      <c r="C668" t="s">
        <v>4700</v>
      </c>
      <c r="D668">
        <v>3</v>
      </c>
      <c r="E668">
        <v>4</v>
      </c>
      <c r="F668" s="13">
        <v>5708.87</v>
      </c>
      <c r="G668" t="s">
        <v>4697</v>
      </c>
      <c r="H668" t="s">
        <v>4701</v>
      </c>
      <c r="I668" t="s">
        <v>4708</v>
      </c>
      <c r="J668" s="10">
        <f t="shared" si="20"/>
        <v>34276</v>
      </c>
      <c r="K668">
        <f t="shared" si="21"/>
        <v>29</v>
      </c>
    </row>
    <row r="669" spans="1:11">
      <c r="A669" t="s">
        <v>3340</v>
      </c>
      <c r="B669">
        <v>1981</v>
      </c>
      <c r="C669" t="s">
        <v>4706</v>
      </c>
      <c r="D669">
        <v>30</v>
      </c>
      <c r="E669">
        <v>0</v>
      </c>
      <c r="F669" s="13">
        <v>5709.16</v>
      </c>
      <c r="G669" t="s">
        <v>4698</v>
      </c>
      <c r="H669" t="s">
        <v>4698</v>
      </c>
      <c r="I669" t="s">
        <v>4699</v>
      </c>
      <c r="J669" s="10">
        <f t="shared" si="20"/>
        <v>29828</v>
      </c>
      <c r="K669">
        <f t="shared" si="21"/>
        <v>41</v>
      </c>
    </row>
    <row r="670" spans="1:11">
      <c r="A670" t="s">
        <v>3338</v>
      </c>
      <c r="B670">
        <v>1971</v>
      </c>
      <c r="C670" t="s">
        <v>4705</v>
      </c>
      <c r="D670">
        <v>18</v>
      </c>
      <c r="E670">
        <v>0</v>
      </c>
      <c r="F670" s="13">
        <v>5720.38</v>
      </c>
      <c r="G670" t="s">
        <v>4697</v>
      </c>
      <c r="H670" t="s">
        <v>4701</v>
      </c>
      <c r="I670" t="s">
        <v>4699</v>
      </c>
      <c r="J670" s="10">
        <f t="shared" si="20"/>
        <v>26285</v>
      </c>
      <c r="K670">
        <f t="shared" si="21"/>
        <v>51</v>
      </c>
    </row>
    <row r="671" spans="1:11">
      <c r="A671" t="s">
        <v>3336</v>
      </c>
      <c r="B671">
        <v>1987</v>
      </c>
      <c r="C671" t="s">
        <v>4707</v>
      </c>
      <c r="D671">
        <v>19</v>
      </c>
      <c r="E671">
        <v>2</v>
      </c>
      <c r="F671" s="13">
        <v>5729.01</v>
      </c>
      <c r="G671" t="s">
        <v>4701</v>
      </c>
      <c r="H671" t="s">
        <v>4697</v>
      </c>
      <c r="I671" t="s">
        <v>4704</v>
      </c>
      <c r="J671" s="10">
        <f t="shared" si="20"/>
        <v>32069</v>
      </c>
      <c r="K671">
        <f t="shared" si="21"/>
        <v>35</v>
      </c>
    </row>
    <row r="672" spans="1:11">
      <c r="A672" t="s">
        <v>3334</v>
      </c>
      <c r="B672">
        <v>1972</v>
      </c>
      <c r="C672" t="s">
        <v>4706</v>
      </c>
      <c r="D672">
        <v>21</v>
      </c>
      <c r="E672">
        <v>0</v>
      </c>
      <c r="F672" s="13">
        <v>5741.67</v>
      </c>
      <c r="G672" t="s">
        <v>4697</v>
      </c>
      <c r="H672" t="s">
        <v>4698</v>
      </c>
      <c r="I672" t="s">
        <v>4699</v>
      </c>
      <c r="J672" s="10">
        <f t="shared" si="20"/>
        <v>26532</v>
      </c>
      <c r="K672">
        <f t="shared" si="21"/>
        <v>50</v>
      </c>
    </row>
    <row r="673" spans="1:11">
      <c r="A673" t="s">
        <v>3332</v>
      </c>
      <c r="B673">
        <v>1993</v>
      </c>
      <c r="C673" t="s">
        <v>4702</v>
      </c>
      <c r="D673">
        <v>10</v>
      </c>
      <c r="E673">
        <v>0</v>
      </c>
      <c r="F673" s="13">
        <v>5748.13</v>
      </c>
      <c r="G673" t="s">
        <v>4697</v>
      </c>
      <c r="H673" t="s">
        <v>4701</v>
      </c>
      <c r="I673" t="s">
        <v>4717</v>
      </c>
      <c r="J673" s="10">
        <f t="shared" si="20"/>
        <v>34130</v>
      </c>
      <c r="K673">
        <f t="shared" si="21"/>
        <v>29</v>
      </c>
    </row>
    <row r="674" spans="1:11">
      <c r="A674" t="s">
        <v>3330</v>
      </c>
      <c r="B674">
        <v>1983</v>
      </c>
      <c r="C674" t="s">
        <v>4706</v>
      </c>
      <c r="D674">
        <v>30</v>
      </c>
      <c r="E674">
        <v>0</v>
      </c>
      <c r="F674" s="13">
        <v>5757.41</v>
      </c>
      <c r="G674" t="s">
        <v>4697</v>
      </c>
      <c r="H674" t="s">
        <v>4698</v>
      </c>
      <c r="I674" t="s">
        <v>4710</v>
      </c>
      <c r="J674" s="10">
        <f t="shared" si="20"/>
        <v>30558</v>
      </c>
      <c r="K674">
        <f t="shared" si="21"/>
        <v>39</v>
      </c>
    </row>
    <row r="675" spans="1:11">
      <c r="A675" t="s">
        <v>3328</v>
      </c>
      <c r="B675">
        <v>2004</v>
      </c>
      <c r="C675" t="s">
        <v>4700</v>
      </c>
      <c r="D675">
        <v>1</v>
      </c>
      <c r="E675">
        <v>0</v>
      </c>
      <c r="F675" s="13">
        <v>5778.71</v>
      </c>
      <c r="G675" t="s">
        <v>4697</v>
      </c>
      <c r="H675" t="s">
        <v>4698</v>
      </c>
      <c r="I675" t="s">
        <v>4721</v>
      </c>
      <c r="J675" s="10">
        <f t="shared" si="20"/>
        <v>38292</v>
      </c>
      <c r="K675">
        <f t="shared" si="21"/>
        <v>18</v>
      </c>
    </row>
    <row r="676" spans="1:11">
      <c r="A676" t="s">
        <v>3326</v>
      </c>
      <c r="B676">
        <v>1980</v>
      </c>
      <c r="C676" t="s">
        <v>4703</v>
      </c>
      <c r="D676">
        <v>18</v>
      </c>
      <c r="E676">
        <v>2</v>
      </c>
      <c r="F676" s="13">
        <v>5807.06</v>
      </c>
      <c r="G676" t="s">
        <v>4697</v>
      </c>
      <c r="H676" t="s">
        <v>4698</v>
      </c>
      <c r="I676" t="s">
        <v>4699</v>
      </c>
      <c r="J676" s="10">
        <f t="shared" si="20"/>
        <v>29482</v>
      </c>
      <c r="K676">
        <f t="shared" si="21"/>
        <v>42</v>
      </c>
    </row>
    <row r="677" spans="1:11">
      <c r="A677" t="s">
        <v>3324</v>
      </c>
      <c r="B677">
        <v>1972</v>
      </c>
      <c r="C677" t="s">
        <v>4700</v>
      </c>
      <c r="D677">
        <v>2</v>
      </c>
      <c r="E677">
        <v>0</v>
      </c>
      <c r="F677" s="13">
        <v>5812.9</v>
      </c>
      <c r="G677" t="s">
        <v>4697</v>
      </c>
      <c r="H677" t="s">
        <v>4697</v>
      </c>
      <c r="I677" t="s">
        <v>4699</v>
      </c>
      <c r="J677" s="10">
        <f t="shared" si="20"/>
        <v>26605</v>
      </c>
      <c r="K677">
        <f t="shared" si="21"/>
        <v>50</v>
      </c>
    </row>
    <row r="678" spans="1:11">
      <c r="A678" t="s">
        <v>3322</v>
      </c>
      <c r="B678">
        <v>2002</v>
      </c>
      <c r="C678" t="s">
        <v>4696</v>
      </c>
      <c r="D678">
        <v>22</v>
      </c>
      <c r="E678">
        <v>0</v>
      </c>
      <c r="F678" s="13">
        <v>5816.58</v>
      </c>
      <c r="G678" t="s">
        <v>4697</v>
      </c>
      <c r="H678" t="s">
        <v>4697</v>
      </c>
      <c r="I678" t="s">
        <v>4720</v>
      </c>
      <c r="J678" s="10">
        <f t="shared" si="20"/>
        <v>37459</v>
      </c>
      <c r="K678">
        <f t="shared" si="21"/>
        <v>20</v>
      </c>
    </row>
    <row r="679" spans="1:11">
      <c r="A679" t="s">
        <v>3320</v>
      </c>
      <c r="B679">
        <v>1971</v>
      </c>
      <c r="C679" t="s">
        <v>4703</v>
      </c>
      <c r="D679">
        <v>27</v>
      </c>
      <c r="E679">
        <v>0</v>
      </c>
      <c r="F679" s="13">
        <v>5832.6</v>
      </c>
      <c r="G679" t="s">
        <v>4697</v>
      </c>
      <c r="H679" t="s">
        <v>4698</v>
      </c>
      <c r="I679" t="s">
        <v>4704</v>
      </c>
      <c r="J679" s="10">
        <f t="shared" si="20"/>
        <v>26203</v>
      </c>
      <c r="K679">
        <f t="shared" si="21"/>
        <v>51</v>
      </c>
    </row>
    <row r="680" spans="1:11">
      <c r="A680" t="s">
        <v>3318</v>
      </c>
      <c r="B680">
        <v>1987</v>
      </c>
      <c r="C680" t="s">
        <v>4696</v>
      </c>
      <c r="D680">
        <v>27</v>
      </c>
      <c r="E680">
        <v>2</v>
      </c>
      <c r="F680" s="13">
        <v>5836.52</v>
      </c>
      <c r="G680" t="s">
        <v>4697</v>
      </c>
      <c r="H680" t="s">
        <v>4698</v>
      </c>
      <c r="I680" t="s">
        <v>4699</v>
      </c>
      <c r="J680" s="10">
        <f t="shared" si="20"/>
        <v>31985</v>
      </c>
      <c r="K680">
        <f t="shared" si="21"/>
        <v>35</v>
      </c>
    </row>
    <row r="681" spans="1:11">
      <c r="A681" t="s">
        <v>3316</v>
      </c>
      <c r="B681">
        <v>1995</v>
      </c>
      <c r="C681" t="s">
        <v>4706</v>
      </c>
      <c r="D681">
        <v>20</v>
      </c>
      <c r="E681">
        <v>0</v>
      </c>
      <c r="F681" s="13">
        <v>5843.99</v>
      </c>
      <c r="G681" t="s">
        <v>4697</v>
      </c>
      <c r="H681" t="s">
        <v>4697</v>
      </c>
      <c r="I681" t="s">
        <v>4713</v>
      </c>
      <c r="J681" s="10">
        <f t="shared" si="20"/>
        <v>34931</v>
      </c>
      <c r="K681">
        <f t="shared" si="21"/>
        <v>27</v>
      </c>
    </row>
    <row r="682" spans="1:11">
      <c r="A682" t="s">
        <v>3314</v>
      </c>
      <c r="B682">
        <v>1987</v>
      </c>
      <c r="C682" t="s">
        <v>4703</v>
      </c>
      <c r="D682">
        <v>30</v>
      </c>
      <c r="E682">
        <v>2</v>
      </c>
      <c r="F682" s="13">
        <v>5846.92</v>
      </c>
      <c r="G682" t="s">
        <v>4697</v>
      </c>
      <c r="H682" t="s">
        <v>4697</v>
      </c>
      <c r="I682" t="s">
        <v>4699</v>
      </c>
      <c r="J682" s="10">
        <f t="shared" si="20"/>
        <v>32050</v>
      </c>
      <c r="K682">
        <f t="shared" si="21"/>
        <v>35</v>
      </c>
    </row>
    <row r="683" spans="1:11">
      <c r="A683" t="s">
        <v>3312</v>
      </c>
      <c r="B683">
        <v>1985</v>
      </c>
      <c r="C683" t="s">
        <v>4702</v>
      </c>
      <c r="D683">
        <v>18</v>
      </c>
      <c r="E683">
        <v>3</v>
      </c>
      <c r="F683" s="13">
        <v>5847.24</v>
      </c>
      <c r="G683" t="s">
        <v>4697</v>
      </c>
      <c r="H683" t="s">
        <v>4701</v>
      </c>
      <c r="I683" t="s">
        <v>4699</v>
      </c>
      <c r="J683" s="10">
        <f t="shared" si="20"/>
        <v>31216</v>
      </c>
      <c r="K683">
        <f t="shared" si="21"/>
        <v>37</v>
      </c>
    </row>
    <row r="684" spans="1:11">
      <c r="A684" t="s">
        <v>3310</v>
      </c>
      <c r="B684">
        <v>1984</v>
      </c>
      <c r="C684" t="s">
        <v>4700</v>
      </c>
      <c r="D684">
        <v>22</v>
      </c>
      <c r="E684">
        <v>1</v>
      </c>
      <c r="F684" s="13">
        <v>5855.9</v>
      </c>
      <c r="G684" t="s">
        <v>4697</v>
      </c>
      <c r="H684" t="s">
        <v>4698</v>
      </c>
      <c r="I684" t="s">
        <v>4704</v>
      </c>
      <c r="J684" s="10">
        <f t="shared" si="20"/>
        <v>31008</v>
      </c>
      <c r="K684">
        <f t="shared" si="21"/>
        <v>38</v>
      </c>
    </row>
    <row r="685" spans="1:11">
      <c r="A685" t="s">
        <v>3308</v>
      </c>
      <c r="B685">
        <v>1993</v>
      </c>
      <c r="C685" t="s">
        <v>4707</v>
      </c>
      <c r="D685">
        <v>19</v>
      </c>
      <c r="E685">
        <v>0</v>
      </c>
      <c r="F685" s="13">
        <v>5877.02</v>
      </c>
      <c r="G685" t="s">
        <v>4697</v>
      </c>
      <c r="H685" t="s">
        <v>4697</v>
      </c>
      <c r="I685" t="s">
        <v>4717</v>
      </c>
      <c r="J685" s="10">
        <f t="shared" si="20"/>
        <v>34261</v>
      </c>
      <c r="K685">
        <f t="shared" si="21"/>
        <v>29</v>
      </c>
    </row>
    <row r="686" spans="1:11">
      <c r="A686" t="s">
        <v>3306</v>
      </c>
      <c r="B686">
        <v>1982</v>
      </c>
      <c r="C686" t="s">
        <v>4696</v>
      </c>
      <c r="D686">
        <v>8</v>
      </c>
      <c r="E686">
        <v>0</v>
      </c>
      <c r="F686" s="13">
        <v>5910.94</v>
      </c>
      <c r="G686" t="s">
        <v>4697</v>
      </c>
      <c r="H686" t="s">
        <v>4701</v>
      </c>
      <c r="I686" t="s">
        <v>4708</v>
      </c>
      <c r="J686" s="10">
        <f t="shared" si="20"/>
        <v>30140</v>
      </c>
      <c r="K686">
        <f t="shared" si="21"/>
        <v>40</v>
      </c>
    </row>
    <row r="687" spans="1:11">
      <c r="A687" t="s">
        <v>3304</v>
      </c>
      <c r="B687">
        <v>1982</v>
      </c>
      <c r="C687" t="s">
        <v>4705</v>
      </c>
      <c r="D687">
        <v>21</v>
      </c>
      <c r="E687">
        <v>0</v>
      </c>
      <c r="F687" s="13">
        <v>5920.1</v>
      </c>
      <c r="G687" t="s">
        <v>4697</v>
      </c>
      <c r="H687" t="s">
        <v>4701</v>
      </c>
      <c r="I687" t="s">
        <v>4699</v>
      </c>
      <c r="J687" s="10">
        <f t="shared" si="20"/>
        <v>30306</v>
      </c>
      <c r="K687">
        <f t="shared" si="21"/>
        <v>40</v>
      </c>
    </row>
    <row r="688" spans="1:11">
      <c r="A688" t="s">
        <v>3302</v>
      </c>
      <c r="B688">
        <v>1987</v>
      </c>
      <c r="C688" t="s">
        <v>4696</v>
      </c>
      <c r="D688">
        <v>29</v>
      </c>
      <c r="E688">
        <v>3</v>
      </c>
      <c r="F688" s="13">
        <v>5926.85</v>
      </c>
      <c r="G688" t="s">
        <v>4698</v>
      </c>
      <c r="H688" t="s">
        <v>4698</v>
      </c>
      <c r="I688" t="s">
        <v>4708</v>
      </c>
      <c r="J688" s="10">
        <f t="shared" si="20"/>
        <v>31987</v>
      </c>
      <c r="K688">
        <f t="shared" si="21"/>
        <v>35</v>
      </c>
    </row>
    <row r="689" spans="1:11">
      <c r="A689" t="s">
        <v>3300</v>
      </c>
      <c r="B689">
        <v>1993</v>
      </c>
      <c r="C689" t="s">
        <v>4706</v>
      </c>
      <c r="D689">
        <v>13</v>
      </c>
      <c r="E689">
        <v>0</v>
      </c>
      <c r="F689" s="13">
        <v>5926.93</v>
      </c>
      <c r="G689" t="s">
        <v>4697</v>
      </c>
      <c r="H689" t="s">
        <v>4697</v>
      </c>
      <c r="I689" t="s">
        <v>4713</v>
      </c>
      <c r="J689" s="10">
        <f t="shared" si="20"/>
        <v>34194</v>
      </c>
      <c r="K689">
        <f t="shared" si="21"/>
        <v>29</v>
      </c>
    </row>
    <row r="690" spans="1:11">
      <c r="A690" t="s">
        <v>3298</v>
      </c>
      <c r="B690">
        <v>1994</v>
      </c>
      <c r="C690" t="s">
        <v>4696</v>
      </c>
      <c r="D690">
        <v>30</v>
      </c>
      <c r="E690">
        <v>0</v>
      </c>
      <c r="F690" s="13">
        <v>5927.65</v>
      </c>
      <c r="G690" t="s">
        <v>4697</v>
      </c>
      <c r="H690" t="s">
        <v>4701</v>
      </c>
      <c r="I690" t="s">
        <v>4704</v>
      </c>
      <c r="J690" s="10">
        <f t="shared" si="20"/>
        <v>34545</v>
      </c>
      <c r="K690">
        <f t="shared" si="21"/>
        <v>28</v>
      </c>
    </row>
    <row r="691" spans="1:11">
      <c r="A691" t="s">
        <v>3296</v>
      </c>
      <c r="B691">
        <v>1987</v>
      </c>
      <c r="C691" t="s">
        <v>4696</v>
      </c>
      <c r="D691">
        <v>14</v>
      </c>
      <c r="E691">
        <v>3</v>
      </c>
      <c r="F691" s="13">
        <v>5934.38</v>
      </c>
      <c r="G691" t="s">
        <v>4698</v>
      </c>
      <c r="H691" t="s">
        <v>4697</v>
      </c>
      <c r="I691" t="s">
        <v>4699</v>
      </c>
      <c r="J691" s="10">
        <f t="shared" si="20"/>
        <v>31972</v>
      </c>
      <c r="K691">
        <f t="shared" si="21"/>
        <v>35</v>
      </c>
    </row>
    <row r="692" spans="1:11">
      <c r="A692" t="s">
        <v>3294</v>
      </c>
      <c r="B692">
        <v>2003</v>
      </c>
      <c r="C692" t="s">
        <v>4706</v>
      </c>
      <c r="D692">
        <v>13</v>
      </c>
      <c r="E692">
        <v>0</v>
      </c>
      <c r="F692" s="13">
        <v>5957.35</v>
      </c>
      <c r="G692" t="s">
        <v>4697</v>
      </c>
      <c r="H692" t="s">
        <v>4697</v>
      </c>
      <c r="I692" t="s">
        <v>4704</v>
      </c>
      <c r="J692" s="10">
        <f t="shared" si="20"/>
        <v>37846</v>
      </c>
      <c r="K692">
        <f t="shared" si="21"/>
        <v>19</v>
      </c>
    </row>
    <row r="693" spans="1:11">
      <c r="A693" t="s">
        <v>3292</v>
      </c>
      <c r="B693">
        <v>2004</v>
      </c>
      <c r="C693" t="s">
        <v>4696</v>
      </c>
      <c r="D693">
        <v>15</v>
      </c>
      <c r="E693">
        <v>0</v>
      </c>
      <c r="F693" s="13">
        <v>5960.91</v>
      </c>
      <c r="G693" t="s">
        <v>4697</v>
      </c>
      <c r="H693" t="s">
        <v>4701</v>
      </c>
      <c r="I693" t="s">
        <v>4720</v>
      </c>
      <c r="J693" s="10">
        <f t="shared" si="20"/>
        <v>38183</v>
      </c>
      <c r="K693">
        <f t="shared" si="21"/>
        <v>18</v>
      </c>
    </row>
    <row r="694" spans="1:11">
      <c r="A694" t="s">
        <v>3290</v>
      </c>
      <c r="B694">
        <v>1980</v>
      </c>
      <c r="C694" t="s">
        <v>4706</v>
      </c>
      <c r="D694">
        <v>5</v>
      </c>
      <c r="E694">
        <v>0</v>
      </c>
      <c r="F694" s="13">
        <v>5966.89</v>
      </c>
      <c r="G694" t="s">
        <v>4697</v>
      </c>
      <c r="H694" t="s">
        <v>4698</v>
      </c>
      <c r="I694" t="s">
        <v>4699</v>
      </c>
      <c r="J694" s="10">
        <f t="shared" si="20"/>
        <v>29438</v>
      </c>
      <c r="K694">
        <f t="shared" si="21"/>
        <v>42</v>
      </c>
    </row>
    <row r="695" spans="1:11">
      <c r="A695" t="s">
        <v>3288</v>
      </c>
      <c r="B695">
        <v>1980</v>
      </c>
      <c r="C695" t="s">
        <v>4696</v>
      </c>
      <c r="D695">
        <v>21</v>
      </c>
      <c r="E695">
        <v>0</v>
      </c>
      <c r="F695" s="13">
        <v>5969.72</v>
      </c>
      <c r="G695" t="s">
        <v>4698</v>
      </c>
      <c r="H695" t="s">
        <v>4698</v>
      </c>
      <c r="I695" t="s">
        <v>4708</v>
      </c>
      <c r="J695" s="10">
        <f t="shared" si="20"/>
        <v>29423</v>
      </c>
      <c r="K695">
        <f t="shared" si="21"/>
        <v>42</v>
      </c>
    </row>
    <row r="696" spans="1:11">
      <c r="A696" t="s">
        <v>3286</v>
      </c>
      <c r="B696">
        <v>1989</v>
      </c>
      <c r="C696" t="s">
        <v>4696</v>
      </c>
      <c r="D696">
        <v>22</v>
      </c>
      <c r="E696">
        <v>3</v>
      </c>
      <c r="F696" s="13">
        <v>5972.38</v>
      </c>
      <c r="G696" t="s">
        <v>4697</v>
      </c>
      <c r="H696" t="s">
        <v>4697</v>
      </c>
      <c r="I696" t="s">
        <v>4708</v>
      </c>
      <c r="J696" s="10">
        <f t="shared" si="20"/>
        <v>32711</v>
      </c>
      <c r="K696">
        <f t="shared" si="21"/>
        <v>33</v>
      </c>
    </row>
    <row r="697" spans="1:11">
      <c r="A697" t="s">
        <v>3284</v>
      </c>
      <c r="B697">
        <v>1984</v>
      </c>
      <c r="C697" t="s">
        <v>4703</v>
      </c>
      <c r="D697">
        <v>19</v>
      </c>
      <c r="E697">
        <v>1</v>
      </c>
      <c r="F697" s="13">
        <v>5974.38</v>
      </c>
      <c r="G697" t="s">
        <v>4697</v>
      </c>
      <c r="H697" t="s">
        <v>4698</v>
      </c>
      <c r="I697" t="s">
        <v>4699</v>
      </c>
      <c r="J697" s="10">
        <f t="shared" si="20"/>
        <v>30944</v>
      </c>
      <c r="K697">
        <f t="shared" si="21"/>
        <v>38</v>
      </c>
    </row>
    <row r="698" spans="1:11">
      <c r="A698" t="s">
        <v>3282</v>
      </c>
      <c r="B698">
        <v>1984</v>
      </c>
      <c r="C698" t="s">
        <v>4700</v>
      </c>
      <c r="D698">
        <v>11</v>
      </c>
      <c r="E698">
        <v>1</v>
      </c>
      <c r="F698" s="13">
        <v>5976.83</v>
      </c>
      <c r="G698" t="s">
        <v>4697</v>
      </c>
      <c r="H698" t="s">
        <v>4697</v>
      </c>
      <c r="I698" t="s">
        <v>4699</v>
      </c>
      <c r="J698" s="10">
        <f t="shared" si="20"/>
        <v>30997</v>
      </c>
      <c r="K698">
        <f t="shared" si="21"/>
        <v>38</v>
      </c>
    </row>
    <row r="699" spans="1:11">
      <c r="A699" t="s">
        <v>3280</v>
      </c>
      <c r="B699">
        <v>1970</v>
      </c>
      <c r="C699" t="s">
        <v>4702</v>
      </c>
      <c r="D699">
        <v>25</v>
      </c>
      <c r="E699">
        <v>0</v>
      </c>
      <c r="F699" s="13">
        <v>5979.66</v>
      </c>
      <c r="G699" t="s">
        <v>4697</v>
      </c>
      <c r="H699" t="s">
        <v>4698</v>
      </c>
      <c r="I699" t="s">
        <v>4699</v>
      </c>
      <c r="J699" s="10">
        <f t="shared" si="20"/>
        <v>25744</v>
      </c>
      <c r="K699">
        <f t="shared" si="21"/>
        <v>52</v>
      </c>
    </row>
    <row r="700" spans="1:11">
      <c r="A700" t="s">
        <v>3278</v>
      </c>
      <c r="B700">
        <v>1980</v>
      </c>
      <c r="C700" t="s">
        <v>4707</v>
      </c>
      <c r="D700">
        <v>10</v>
      </c>
      <c r="E700">
        <v>0</v>
      </c>
      <c r="F700" s="13">
        <v>5979.73</v>
      </c>
      <c r="G700" t="s">
        <v>4697</v>
      </c>
      <c r="H700" t="s">
        <v>4697</v>
      </c>
      <c r="I700" t="s">
        <v>4708</v>
      </c>
      <c r="J700" s="10">
        <f t="shared" si="20"/>
        <v>29504</v>
      </c>
      <c r="K700">
        <f t="shared" si="21"/>
        <v>42</v>
      </c>
    </row>
    <row r="701" spans="1:11">
      <c r="A701" t="s">
        <v>3276</v>
      </c>
      <c r="B701">
        <v>1974</v>
      </c>
      <c r="C701" t="s">
        <v>4707</v>
      </c>
      <c r="D701">
        <v>11</v>
      </c>
      <c r="E701">
        <v>0</v>
      </c>
      <c r="F701" s="13">
        <v>5979.99</v>
      </c>
      <c r="G701" t="s">
        <v>4697</v>
      </c>
      <c r="H701" t="s">
        <v>4698</v>
      </c>
      <c r="I701" t="s">
        <v>4699</v>
      </c>
      <c r="J701" s="10">
        <f t="shared" si="20"/>
        <v>27313</v>
      </c>
      <c r="K701">
        <f t="shared" si="21"/>
        <v>48</v>
      </c>
    </row>
    <row r="702" spans="1:11">
      <c r="A702" t="s">
        <v>3274</v>
      </c>
      <c r="B702">
        <v>1988</v>
      </c>
      <c r="C702" t="s">
        <v>4702</v>
      </c>
      <c r="D702">
        <v>10</v>
      </c>
      <c r="E702">
        <v>2</v>
      </c>
      <c r="F702" s="13">
        <v>5989.52</v>
      </c>
      <c r="G702" t="s">
        <v>4697</v>
      </c>
      <c r="H702" t="s">
        <v>4701</v>
      </c>
      <c r="I702" t="s">
        <v>4704</v>
      </c>
      <c r="J702" s="10">
        <f t="shared" si="20"/>
        <v>32304</v>
      </c>
      <c r="K702">
        <f t="shared" si="21"/>
        <v>34</v>
      </c>
    </row>
    <row r="703" spans="1:11">
      <c r="A703" t="s">
        <v>3272</v>
      </c>
      <c r="B703">
        <v>1974</v>
      </c>
      <c r="C703" t="s">
        <v>4706</v>
      </c>
      <c r="D703">
        <v>17</v>
      </c>
      <c r="E703">
        <v>0</v>
      </c>
      <c r="F703" s="13">
        <v>5990.17</v>
      </c>
      <c r="G703" t="s">
        <v>4697</v>
      </c>
      <c r="H703" t="s">
        <v>4697</v>
      </c>
      <c r="I703" t="s">
        <v>4699</v>
      </c>
      <c r="J703" s="10">
        <f t="shared" si="20"/>
        <v>27258</v>
      </c>
      <c r="K703">
        <f t="shared" si="21"/>
        <v>48</v>
      </c>
    </row>
    <row r="704" spans="1:11">
      <c r="A704" t="s">
        <v>3270</v>
      </c>
      <c r="B704">
        <v>1980</v>
      </c>
      <c r="C704" t="s">
        <v>4706</v>
      </c>
      <c r="D704">
        <v>8</v>
      </c>
      <c r="E704">
        <v>2</v>
      </c>
      <c r="F704" s="13">
        <v>5993.62</v>
      </c>
      <c r="G704" t="s">
        <v>4697</v>
      </c>
      <c r="H704" t="s">
        <v>4698</v>
      </c>
      <c r="I704" t="s">
        <v>4699</v>
      </c>
      <c r="J704" s="10">
        <f t="shared" si="20"/>
        <v>29441</v>
      </c>
      <c r="K704">
        <f t="shared" si="21"/>
        <v>42</v>
      </c>
    </row>
    <row r="705" spans="1:11">
      <c r="A705" t="s">
        <v>3268</v>
      </c>
      <c r="B705">
        <v>1989</v>
      </c>
      <c r="C705" t="s">
        <v>4706</v>
      </c>
      <c r="D705">
        <v>16</v>
      </c>
      <c r="E705">
        <v>4</v>
      </c>
      <c r="F705" s="13">
        <v>6059.17</v>
      </c>
      <c r="G705" t="s">
        <v>4697</v>
      </c>
      <c r="H705" t="s">
        <v>4701</v>
      </c>
      <c r="I705" t="s">
        <v>4708</v>
      </c>
      <c r="J705" s="10">
        <f t="shared" si="20"/>
        <v>32736</v>
      </c>
      <c r="K705">
        <f t="shared" si="21"/>
        <v>33</v>
      </c>
    </row>
    <row r="706" spans="1:11">
      <c r="A706" t="s">
        <v>3266</v>
      </c>
      <c r="B706">
        <v>1996</v>
      </c>
      <c r="C706" t="s">
        <v>4696</v>
      </c>
      <c r="D706">
        <v>28</v>
      </c>
      <c r="E706">
        <v>0</v>
      </c>
      <c r="F706" s="13">
        <v>6061.8</v>
      </c>
      <c r="G706" t="s">
        <v>4697</v>
      </c>
      <c r="H706" t="s">
        <v>4698</v>
      </c>
      <c r="I706" t="s">
        <v>4704</v>
      </c>
      <c r="J706" s="10">
        <f t="shared" ref="J706:J769" si="22">DATEVALUE(D706&amp;"-"&amp;C706&amp;"-"&amp;B706)</f>
        <v>35274</v>
      </c>
      <c r="K706">
        <f t="shared" si="21"/>
        <v>26</v>
      </c>
    </row>
    <row r="707" spans="1:11">
      <c r="A707" t="s">
        <v>3264</v>
      </c>
      <c r="B707">
        <v>1994</v>
      </c>
      <c r="C707" t="s">
        <v>4700</v>
      </c>
      <c r="D707">
        <v>8</v>
      </c>
      <c r="E707">
        <v>0</v>
      </c>
      <c r="F707" s="13">
        <v>6064.37</v>
      </c>
      <c r="G707" t="s">
        <v>4697</v>
      </c>
      <c r="H707" t="s">
        <v>4697</v>
      </c>
      <c r="I707" t="s">
        <v>4708</v>
      </c>
      <c r="J707" s="10">
        <f t="shared" si="22"/>
        <v>34646</v>
      </c>
      <c r="K707">
        <f t="shared" ref="K707:K770" si="23">DATEDIF(J707, DATE(2023, 6, 8), "Y")</f>
        <v>28</v>
      </c>
    </row>
    <row r="708" spans="1:11">
      <c r="A708" t="s">
        <v>3262</v>
      </c>
      <c r="B708">
        <v>1984</v>
      </c>
      <c r="C708" t="s">
        <v>4703</v>
      </c>
      <c r="D708">
        <v>21</v>
      </c>
      <c r="E708">
        <v>1</v>
      </c>
      <c r="F708" s="13">
        <v>6067.13</v>
      </c>
      <c r="G708" t="s">
        <v>4698</v>
      </c>
      <c r="H708" t="s">
        <v>4701</v>
      </c>
      <c r="I708" t="s">
        <v>4711</v>
      </c>
      <c r="J708" s="10">
        <f t="shared" si="22"/>
        <v>30946</v>
      </c>
      <c r="K708">
        <f t="shared" si="23"/>
        <v>38</v>
      </c>
    </row>
    <row r="709" spans="1:11">
      <c r="A709" t="s">
        <v>3260</v>
      </c>
      <c r="B709">
        <v>1979</v>
      </c>
      <c r="C709" t="s">
        <v>4706</v>
      </c>
      <c r="D709">
        <v>8</v>
      </c>
      <c r="E709">
        <v>2</v>
      </c>
      <c r="F709" s="13">
        <v>6074.37</v>
      </c>
      <c r="G709" t="s">
        <v>4697</v>
      </c>
      <c r="H709" t="s">
        <v>4697</v>
      </c>
      <c r="I709" t="s">
        <v>4704</v>
      </c>
      <c r="J709" s="10">
        <f t="shared" si="22"/>
        <v>29075</v>
      </c>
      <c r="K709">
        <f t="shared" si="23"/>
        <v>43</v>
      </c>
    </row>
    <row r="710" spans="1:11">
      <c r="A710" t="s">
        <v>3258</v>
      </c>
      <c r="B710">
        <v>1984</v>
      </c>
      <c r="C710" t="s">
        <v>4707</v>
      </c>
      <c r="D710">
        <v>14</v>
      </c>
      <c r="E710">
        <v>1</v>
      </c>
      <c r="F710" s="13">
        <v>6079.67</v>
      </c>
      <c r="G710" t="s">
        <v>4701</v>
      </c>
      <c r="H710" t="s">
        <v>4701</v>
      </c>
      <c r="I710" t="s">
        <v>4716</v>
      </c>
      <c r="J710" s="10">
        <f t="shared" si="22"/>
        <v>30969</v>
      </c>
      <c r="K710">
        <f t="shared" si="23"/>
        <v>38</v>
      </c>
    </row>
    <row r="711" spans="1:11">
      <c r="A711" t="s">
        <v>3256</v>
      </c>
      <c r="B711">
        <v>1984</v>
      </c>
      <c r="C711" t="s">
        <v>4696</v>
      </c>
      <c r="D711">
        <v>25</v>
      </c>
      <c r="E711">
        <v>2</v>
      </c>
      <c r="F711" s="13">
        <v>6082.41</v>
      </c>
      <c r="G711" t="s">
        <v>4701</v>
      </c>
      <c r="H711" t="s">
        <v>4697</v>
      </c>
      <c r="I711" t="s">
        <v>4708</v>
      </c>
      <c r="J711" s="10">
        <f t="shared" si="22"/>
        <v>30888</v>
      </c>
      <c r="K711">
        <f t="shared" si="23"/>
        <v>38</v>
      </c>
    </row>
    <row r="712" spans="1:11">
      <c r="A712" t="s">
        <v>3254</v>
      </c>
      <c r="B712">
        <v>1970</v>
      </c>
      <c r="C712" t="s">
        <v>4702</v>
      </c>
      <c r="D712">
        <v>9</v>
      </c>
      <c r="E712">
        <v>0</v>
      </c>
      <c r="F712" s="13">
        <v>6098.38</v>
      </c>
      <c r="G712" t="s">
        <v>4697</v>
      </c>
      <c r="H712" t="s">
        <v>4697</v>
      </c>
      <c r="I712" t="s">
        <v>4699</v>
      </c>
      <c r="J712" s="10">
        <f t="shared" si="22"/>
        <v>25728</v>
      </c>
      <c r="K712">
        <f t="shared" si="23"/>
        <v>52</v>
      </c>
    </row>
    <row r="713" spans="1:11">
      <c r="A713" t="s">
        <v>3252</v>
      </c>
      <c r="B713">
        <v>1995</v>
      </c>
      <c r="C713" t="s">
        <v>4703</v>
      </c>
      <c r="D713">
        <v>9</v>
      </c>
      <c r="E713">
        <v>0</v>
      </c>
      <c r="F713" s="13">
        <v>6111.95</v>
      </c>
      <c r="G713" t="s">
        <v>4697</v>
      </c>
      <c r="H713" t="s">
        <v>4698</v>
      </c>
      <c r="I713" t="s">
        <v>4720</v>
      </c>
      <c r="J713" s="10">
        <f t="shared" si="22"/>
        <v>34951</v>
      </c>
      <c r="K713">
        <f t="shared" si="23"/>
        <v>27</v>
      </c>
    </row>
    <row r="714" spans="1:11">
      <c r="A714" t="s">
        <v>3250</v>
      </c>
      <c r="B714">
        <v>1985</v>
      </c>
      <c r="C714" t="s">
        <v>4696</v>
      </c>
      <c r="D714">
        <v>21</v>
      </c>
      <c r="E714">
        <v>1</v>
      </c>
      <c r="F714" s="13">
        <v>6112.35</v>
      </c>
      <c r="G714" t="s">
        <v>4697</v>
      </c>
      <c r="H714" t="s">
        <v>4701</v>
      </c>
      <c r="I714" t="s">
        <v>4704</v>
      </c>
      <c r="J714" s="10">
        <f t="shared" si="22"/>
        <v>31249</v>
      </c>
      <c r="K714">
        <f t="shared" si="23"/>
        <v>37</v>
      </c>
    </row>
    <row r="715" spans="1:11">
      <c r="A715" t="s">
        <v>3248</v>
      </c>
      <c r="B715">
        <v>1991</v>
      </c>
      <c r="C715" t="s">
        <v>4696</v>
      </c>
      <c r="D715">
        <v>25</v>
      </c>
      <c r="E715">
        <v>3</v>
      </c>
      <c r="F715" s="13">
        <v>6113.23</v>
      </c>
      <c r="G715" t="s">
        <v>4697</v>
      </c>
      <c r="H715" t="s">
        <v>4697</v>
      </c>
      <c r="I715" t="s">
        <v>4714</v>
      </c>
      <c r="J715" s="10">
        <f t="shared" si="22"/>
        <v>33444</v>
      </c>
      <c r="K715">
        <f t="shared" si="23"/>
        <v>31</v>
      </c>
    </row>
    <row r="716" spans="1:11">
      <c r="A716" t="s">
        <v>3246</v>
      </c>
      <c r="B716">
        <v>1983</v>
      </c>
      <c r="C716" t="s">
        <v>4706</v>
      </c>
      <c r="D716">
        <v>11</v>
      </c>
      <c r="E716">
        <v>1</v>
      </c>
      <c r="F716" s="13">
        <v>6117.49</v>
      </c>
      <c r="G716" t="s">
        <v>4697</v>
      </c>
      <c r="H716" t="s">
        <v>4698</v>
      </c>
      <c r="I716" t="s">
        <v>4704</v>
      </c>
      <c r="J716" s="10">
        <f t="shared" si="22"/>
        <v>30539</v>
      </c>
      <c r="K716">
        <f t="shared" si="23"/>
        <v>39</v>
      </c>
    </row>
    <row r="717" spans="1:11">
      <c r="A717" t="s">
        <v>3244</v>
      </c>
      <c r="B717">
        <v>1983</v>
      </c>
      <c r="C717" t="s">
        <v>4700</v>
      </c>
      <c r="D717">
        <v>16</v>
      </c>
      <c r="E717">
        <v>1</v>
      </c>
      <c r="F717" s="13">
        <v>6123.57</v>
      </c>
      <c r="G717" t="s">
        <v>4698</v>
      </c>
      <c r="H717" t="s">
        <v>4697</v>
      </c>
      <c r="I717" t="s">
        <v>4704</v>
      </c>
      <c r="J717" s="10">
        <f t="shared" si="22"/>
        <v>30636</v>
      </c>
      <c r="K717">
        <f t="shared" si="23"/>
        <v>39</v>
      </c>
    </row>
    <row r="718" spans="1:11">
      <c r="A718" t="s">
        <v>3242</v>
      </c>
      <c r="B718">
        <v>1990</v>
      </c>
      <c r="C718" t="s">
        <v>4706</v>
      </c>
      <c r="D718">
        <v>18</v>
      </c>
      <c r="E718">
        <v>3</v>
      </c>
      <c r="F718" s="13">
        <v>6128.8</v>
      </c>
      <c r="G718" t="s">
        <v>4697</v>
      </c>
      <c r="H718" t="s">
        <v>4698</v>
      </c>
      <c r="I718" t="s">
        <v>4704</v>
      </c>
      <c r="J718" s="10">
        <f t="shared" si="22"/>
        <v>33103</v>
      </c>
      <c r="K718">
        <f t="shared" si="23"/>
        <v>32</v>
      </c>
    </row>
    <row r="719" spans="1:11">
      <c r="A719" t="s">
        <v>3240</v>
      </c>
      <c r="B719">
        <v>1969</v>
      </c>
      <c r="C719" t="s">
        <v>4700</v>
      </c>
      <c r="D719">
        <v>9</v>
      </c>
      <c r="E719">
        <v>0</v>
      </c>
      <c r="F719" s="13">
        <v>6138.5</v>
      </c>
      <c r="G719" t="s">
        <v>4697</v>
      </c>
      <c r="H719" t="s">
        <v>4697</v>
      </c>
      <c r="I719" t="s">
        <v>4708</v>
      </c>
      <c r="J719" s="10">
        <f t="shared" si="22"/>
        <v>25516</v>
      </c>
      <c r="K719">
        <f t="shared" si="23"/>
        <v>53</v>
      </c>
    </row>
    <row r="720" spans="1:11">
      <c r="A720" t="s">
        <v>3238</v>
      </c>
      <c r="B720">
        <v>1978</v>
      </c>
      <c r="C720" t="s">
        <v>4703</v>
      </c>
      <c r="D720">
        <v>5</v>
      </c>
      <c r="E720">
        <v>2</v>
      </c>
      <c r="F720" s="13">
        <v>6138.58</v>
      </c>
      <c r="G720" t="s">
        <v>4697</v>
      </c>
      <c r="H720" t="s">
        <v>4701</v>
      </c>
      <c r="I720" t="s">
        <v>4699</v>
      </c>
      <c r="J720" s="10">
        <f t="shared" si="22"/>
        <v>28738</v>
      </c>
      <c r="K720">
        <f t="shared" si="23"/>
        <v>44</v>
      </c>
    </row>
    <row r="721" spans="1:11">
      <c r="A721" t="s">
        <v>3236</v>
      </c>
      <c r="B721">
        <v>1976</v>
      </c>
      <c r="C721" t="s">
        <v>4705</v>
      </c>
      <c r="D721">
        <v>12</v>
      </c>
      <c r="E721">
        <v>2</v>
      </c>
      <c r="F721" s="13">
        <v>6139.14</v>
      </c>
      <c r="G721" t="s">
        <v>4697</v>
      </c>
      <c r="H721" t="s">
        <v>4698</v>
      </c>
      <c r="I721" t="s">
        <v>4699</v>
      </c>
      <c r="J721" s="10">
        <f t="shared" si="22"/>
        <v>28106</v>
      </c>
      <c r="K721">
        <f t="shared" si="23"/>
        <v>46</v>
      </c>
    </row>
    <row r="722" spans="1:11">
      <c r="A722" t="s">
        <v>3234</v>
      </c>
      <c r="B722">
        <v>1970</v>
      </c>
      <c r="C722" t="s">
        <v>4707</v>
      </c>
      <c r="D722">
        <v>14</v>
      </c>
      <c r="E722">
        <v>0</v>
      </c>
      <c r="F722" s="13">
        <v>6147.12</v>
      </c>
      <c r="G722" t="s">
        <v>4697</v>
      </c>
      <c r="H722" t="s">
        <v>4698</v>
      </c>
      <c r="I722" t="s">
        <v>4704</v>
      </c>
      <c r="J722" s="10">
        <f t="shared" si="22"/>
        <v>25855</v>
      </c>
      <c r="K722">
        <f t="shared" si="23"/>
        <v>52</v>
      </c>
    </row>
    <row r="723" spans="1:11">
      <c r="A723" t="s">
        <v>3232</v>
      </c>
      <c r="B723">
        <v>1973</v>
      </c>
      <c r="C723" t="s">
        <v>4700</v>
      </c>
      <c r="D723">
        <v>6</v>
      </c>
      <c r="E723">
        <v>0</v>
      </c>
      <c r="F723" s="13">
        <v>6152.05</v>
      </c>
      <c r="G723" t="s">
        <v>4697</v>
      </c>
      <c r="H723" t="s">
        <v>4698</v>
      </c>
      <c r="I723" t="s">
        <v>4699</v>
      </c>
      <c r="J723" s="10">
        <f t="shared" si="22"/>
        <v>26974</v>
      </c>
      <c r="K723">
        <f t="shared" si="23"/>
        <v>49</v>
      </c>
    </row>
    <row r="724" spans="1:11">
      <c r="A724" t="s">
        <v>3230</v>
      </c>
      <c r="B724">
        <v>1985</v>
      </c>
      <c r="C724" t="s">
        <v>4707</v>
      </c>
      <c r="D724">
        <v>15</v>
      </c>
      <c r="E724">
        <v>3</v>
      </c>
      <c r="F724" s="13">
        <v>6159.57</v>
      </c>
      <c r="G724" t="s">
        <v>4697</v>
      </c>
      <c r="H724" t="s">
        <v>4701</v>
      </c>
      <c r="I724" t="s">
        <v>4704</v>
      </c>
      <c r="J724" s="10">
        <f t="shared" si="22"/>
        <v>31335</v>
      </c>
      <c r="K724">
        <f t="shared" si="23"/>
        <v>37</v>
      </c>
    </row>
    <row r="725" spans="1:11">
      <c r="A725" t="s">
        <v>3228</v>
      </c>
      <c r="B725">
        <v>1984</v>
      </c>
      <c r="C725" t="s">
        <v>4707</v>
      </c>
      <c r="D725">
        <v>6</v>
      </c>
      <c r="E725">
        <v>3</v>
      </c>
      <c r="F725" s="13">
        <v>6170.96</v>
      </c>
      <c r="G725" t="s">
        <v>4697</v>
      </c>
      <c r="H725" t="s">
        <v>4701</v>
      </c>
      <c r="I725" t="s">
        <v>4699</v>
      </c>
      <c r="J725" s="10">
        <f t="shared" si="22"/>
        <v>30961</v>
      </c>
      <c r="K725">
        <f t="shared" si="23"/>
        <v>38</v>
      </c>
    </row>
    <row r="726" spans="1:11">
      <c r="A726" t="s">
        <v>3226</v>
      </c>
      <c r="B726">
        <v>1985</v>
      </c>
      <c r="C726" t="s">
        <v>4706</v>
      </c>
      <c r="D726">
        <v>9</v>
      </c>
      <c r="E726">
        <v>3</v>
      </c>
      <c r="F726" s="13">
        <v>6183.32</v>
      </c>
      <c r="G726" t="s">
        <v>4697</v>
      </c>
      <c r="H726" t="s">
        <v>4697</v>
      </c>
      <c r="I726" t="s">
        <v>4704</v>
      </c>
      <c r="J726" s="10">
        <f t="shared" si="22"/>
        <v>31268</v>
      </c>
      <c r="K726">
        <f t="shared" si="23"/>
        <v>37</v>
      </c>
    </row>
    <row r="727" spans="1:11">
      <c r="A727" t="s">
        <v>3224</v>
      </c>
      <c r="B727">
        <v>1970</v>
      </c>
      <c r="C727" t="s">
        <v>4707</v>
      </c>
      <c r="D727">
        <v>5</v>
      </c>
      <c r="E727">
        <v>0</v>
      </c>
      <c r="F727" s="13">
        <v>6183.46</v>
      </c>
      <c r="G727" t="s">
        <v>4697</v>
      </c>
      <c r="H727" t="s">
        <v>4697</v>
      </c>
      <c r="I727" t="s">
        <v>4704</v>
      </c>
      <c r="J727" s="10">
        <f t="shared" si="22"/>
        <v>25846</v>
      </c>
      <c r="K727">
        <f t="shared" si="23"/>
        <v>52</v>
      </c>
    </row>
    <row r="728" spans="1:11">
      <c r="A728" t="s">
        <v>3222</v>
      </c>
      <c r="B728">
        <v>1988</v>
      </c>
      <c r="C728" t="s">
        <v>4700</v>
      </c>
      <c r="D728">
        <v>1</v>
      </c>
      <c r="E728">
        <v>3</v>
      </c>
      <c r="F728" s="13">
        <v>6184.3</v>
      </c>
      <c r="G728" t="s">
        <v>4697</v>
      </c>
      <c r="H728" t="s">
        <v>4698</v>
      </c>
      <c r="I728" t="s">
        <v>4699</v>
      </c>
      <c r="J728" s="10">
        <f t="shared" si="22"/>
        <v>32448</v>
      </c>
      <c r="K728">
        <f t="shared" si="23"/>
        <v>34</v>
      </c>
    </row>
    <row r="729" spans="1:11">
      <c r="A729" t="s">
        <v>3220</v>
      </c>
      <c r="B729">
        <v>1981</v>
      </c>
      <c r="C729" t="s">
        <v>4700</v>
      </c>
      <c r="D729">
        <v>22</v>
      </c>
      <c r="E729">
        <v>0</v>
      </c>
      <c r="F729" s="13">
        <v>6185.32</v>
      </c>
      <c r="G729" t="s">
        <v>4697</v>
      </c>
      <c r="H729" t="s">
        <v>4701</v>
      </c>
      <c r="I729" t="s">
        <v>4699</v>
      </c>
      <c r="J729" s="10">
        <f t="shared" si="22"/>
        <v>29912</v>
      </c>
      <c r="K729">
        <f t="shared" si="23"/>
        <v>41</v>
      </c>
    </row>
    <row r="730" spans="1:11">
      <c r="A730" t="s">
        <v>3218</v>
      </c>
      <c r="B730">
        <v>1981</v>
      </c>
      <c r="C730" t="s">
        <v>4707</v>
      </c>
      <c r="D730">
        <v>1</v>
      </c>
      <c r="E730">
        <v>0</v>
      </c>
      <c r="F730" s="13">
        <v>6186.13</v>
      </c>
      <c r="G730" t="s">
        <v>4697</v>
      </c>
      <c r="H730" t="s">
        <v>4698</v>
      </c>
      <c r="I730" t="s">
        <v>4708</v>
      </c>
      <c r="J730" s="10">
        <f t="shared" si="22"/>
        <v>29860</v>
      </c>
      <c r="K730">
        <f t="shared" si="23"/>
        <v>41</v>
      </c>
    </row>
    <row r="731" spans="1:11">
      <c r="A731" t="s">
        <v>3216</v>
      </c>
      <c r="B731">
        <v>1988</v>
      </c>
      <c r="C731" t="s">
        <v>4707</v>
      </c>
      <c r="D731">
        <v>23</v>
      </c>
      <c r="E731">
        <v>3</v>
      </c>
      <c r="F731" s="13">
        <v>6196.45</v>
      </c>
      <c r="G731" t="s">
        <v>4697</v>
      </c>
      <c r="H731" t="s">
        <v>4701</v>
      </c>
      <c r="I731" t="s">
        <v>4708</v>
      </c>
      <c r="J731" s="10">
        <f t="shared" si="22"/>
        <v>32439</v>
      </c>
      <c r="K731">
        <f t="shared" si="23"/>
        <v>34</v>
      </c>
    </row>
    <row r="732" spans="1:11">
      <c r="A732" t="s">
        <v>3214</v>
      </c>
      <c r="B732">
        <v>1985</v>
      </c>
      <c r="C732" t="s">
        <v>4696</v>
      </c>
      <c r="D732">
        <v>22</v>
      </c>
      <c r="E732">
        <v>2</v>
      </c>
      <c r="F732" s="13">
        <v>6198.75</v>
      </c>
      <c r="G732" t="s">
        <v>4697</v>
      </c>
      <c r="H732" t="s">
        <v>4701</v>
      </c>
      <c r="I732" t="s">
        <v>4704</v>
      </c>
      <c r="J732" s="10">
        <f t="shared" si="22"/>
        <v>31250</v>
      </c>
      <c r="K732">
        <f t="shared" si="23"/>
        <v>37</v>
      </c>
    </row>
    <row r="733" spans="1:11">
      <c r="A733" t="s">
        <v>4685</v>
      </c>
      <c r="B733">
        <v>1985</v>
      </c>
      <c r="C733" t="s">
        <v>4705</v>
      </c>
      <c r="D733">
        <v>20</v>
      </c>
      <c r="E733">
        <v>2</v>
      </c>
      <c r="F733" s="13">
        <v>6203.9</v>
      </c>
      <c r="G733" t="s">
        <v>4701</v>
      </c>
      <c r="H733" t="s">
        <v>4697</v>
      </c>
      <c r="I733" t="s">
        <v>4704</v>
      </c>
      <c r="J733" s="10">
        <f t="shared" si="22"/>
        <v>31401</v>
      </c>
      <c r="K733">
        <f t="shared" si="23"/>
        <v>37</v>
      </c>
    </row>
    <row r="734" spans="1:11">
      <c r="A734" t="s">
        <v>3212</v>
      </c>
      <c r="B734">
        <v>1985</v>
      </c>
      <c r="C734" t="s">
        <v>4703</v>
      </c>
      <c r="D734">
        <v>22</v>
      </c>
      <c r="E734">
        <v>2</v>
      </c>
      <c r="F734" s="13">
        <v>6203.9</v>
      </c>
      <c r="G734" t="s">
        <v>4697</v>
      </c>
      <c r="H734" t="s">
        <v>4697</v>
      </c>
      <c r="I734" t="s">
        <v>4704</v>
      </c>
      <c r="J734" s="10">
        <f t="shared" si="22"/>
        <v>31312</v>
      </c>
      <c r="K734">
        <f t="shared" si="23"/>
        <v>37</v>
      </c>
    </row>
    <row r="735" spans="1:11">
      <c r="A735" t="s">
        <v>3210</v>
      </c>
      <c r="B735">
        <v>1999</v>
      </c>
      <c r="C735" t="s">
        <v>4703</v>
      </c>
      <c r="D735">
        <v>10</v>
      </c>
      <c r="E735">
        <v>0</v>
      </c>
      <c r="F735" s="13">
        <v>6207.26</v>
      </c>
      <c r="G735" t="s">
        <v>4697</v>
      </c>
      <c r="H735" t="s">
        <v>4697</v>
      </c>
      <c r="I735" t="s">
        <v>4720</v>
      </c>
      <c r="J735" s="10">
        <f t="shared" si="22"/>
        <v>36413</v>
      </c>
      <c r="K735">
        <f t="shared" si="23"/>
        <v>23</v>
      </c>
    </row>
    <row r="736" spans="1:11">
      <c r="A736" t="s">
        <v>3208</v>
      </c>
      <c r="B736">
        <v>1992</v>
      </c>
      <c r="C736" t="s">
        <v>4706</v>
      </c>
      <c r="D736">
        <v>12</v>
      </c>
      <c r="E736">
        <v>0</v>
      </c>
      <c r="F736" s="13">
        <v>6208.5</v>
      </c>
      <c r="G736" t="s">
        <v>4697</v>
      </c>
      <c r="H736" t="s">
        <v>4701</v>
      </c>
      <c r="I736" t="s">
        <v>4717</v>
      </c>
      <c r="J736" s="10">
        <f t="shared" si="22"/>
        <v>33828</v>
      </c>
      <c r="K736">
        <f t="shared" si="23"/>
        <v>30</v>
      </c>
    </row>
    <row r="737" spans="1:11">
      <c r="A737" t="s">
        <v>3206</v>
      </c>
      <c r="B737">
        <v>1972</v>
      </c>
      <c r="C737" t="s">
        <v>4702</v>
      </c>
      <c r="D737">
        <v>29</v>
      </c>
      <c r="E737">
        <v>0</v>
      </c>
      <c r="F737" s="13">
        <v>6219.93</v>
      </c>
      <c r="G737" t="s">
        <v>4697</v>
      </c>
      <c r="H737" t="s">
        <v>4697</v>
      </c>
      <c r="I737" t="s">
        <v>4699</v>
      </c>
      <c r="J737" s="10">
        <f t="shared" si="22"/>
        <v>26479</v>
      </c>
      <c r="K737">
        <f t="shared" si="23"/>
        <v>50</v>
      </c>
    </row>
    <row r="738" spans="1:11">
      <c r="A738" t="s">
        <v>3204</v>
      </c>
      <c r="B738">
        <v>1978</v>
      </c>
      <c r="C738" t="s">
        <v>4703</v>
      </c>
      <c r="D738">
        <v>19</v>
      </c>
      <c r="E738">
        <v>2</v>
      </c>
      <c r="F738" s="13">
        <v>6236.95</v>
      </c>
      <c r="G738" t="s">
        <v>4697</v>
      </c>
      <c r="H738" t="s">
        <v>4697</v>
      </c>
      <c r="I738" t="s">
        <v>4699</v>
      </c>
      <c r="J738" s="10">
        <f t="shared" si="22"/>
        <v>28752</v>
      </c>
      <c r="K738">
        <f t="shared" si="23"/>
        <v>44</v>
      </c>
    </row>
    <row r="739" spans="1:11">
      <c r="A739" t="s">
        <v>3202</v>
      </c>
      <c r="B739">
        <v>1983</v>
      </c>
      <c r="C739" t="s">
        <v>4706</v>
      </c>
      <c r="D739">
        <v>11</v>
      </c>
      <c r="E739">
        <v>1</v>
      </c>
      <c r="F739" s="13">
        <v>6238.3</v>
      </c>
      <c r="G739" t="s">
        <v>4697</v>
      </c>
      <c r="H739" t="s">
        <v>4701</v>
      </c>
      <c r="I739" t="s">
        <v>4708</v>
      </c>
      <c r="J739" s="10">
        <f t="shared" si="22"/>
        <v>30539</v>
      </c>
      <c r="K739">
        <f t="shared" si="23"/>
        <v>39</v>
      </c>
    </row>
    <row r="740" spans="1:11">
      <c r="A740" t="s">
        <v>3200</v>
      </c>
      <c r="B740">
        <v>1979</v>
      </c>
      <c r="C740" t="s">
        <v>4707</v>
      </c>
      <c r="D740">
        <v>10</v>
      </c>
      <c r="E740">
        <v>0</v>
      </c>
      <c r="F740" s="13">
        <v>6250.44</v>
      </c>
      <c r="G740" t="s">
        <v>4697</v>
      </c>
      <c r="H740" t="s">
        <v>4701</v>
      </c>
      <c r="I740" t="s">
        <v>4708</v>
      </c>
      <c r="J740" s="10">
        <f t="shared" si="22"/>
        <v>29138</v>
      </c>
      <c r="K740">
        <f t="shared" si="23"/>
        <v>43</v>
      </c>
    </row>
    <row r="741" spans="1:11">
      <c r="A741" t="s">
        <v>3198</v>
      </c>
      <c r="B741">
        <v>1972</v>
      </c>
      <c r="C741" t="s">
        <v>4700</v>
      </c>
      <c r="D741">
        <v>11</v>
      </c>
      <c r="E741">
        <v>0</v>
      </c>
      <c r="F741" s="13">
        <v>6253.85</v>
      </c>
      <c r="G741" t="s">
        <v>4697</v>
      </c>
      <c r="H741" t="s">
        <v>4697</v>
      </c>
      <c r="I741" t="s">
        <v>4699</v>
      </c>
      <c r="J741" s="10">
        <f t="shared" si="22"/>
        <v>26614</v>
      </c>
      <c r="K741">
        <f t="shared" si="23"/>
        <v>50</v>
      </c>
    </row>
    <row r="742" spans="1:11">
      <c r="A742" t="s">
        <v>3196</v>
      </c>
      <c r="B742">
        <v>1972</v>
      </c>
      <c r="C742" t="s">
        <v>4703</v>
      </c>
      <c r="D742">
        <v>8</v>
      </c>
      <c r="E742">
        <v>0</v>
      </c>
      <c r="F742" s="13">
        <v>6254.13</v>
      </c>
      <c r="G742" t="s">
        <v>4697</v>
      </c>
      <c r="H742" t="s">
        <v>4697</v>
      </c>
      <c r="I742" t="s">
        <v>4704</v>
      </c>
      <c r="J742" s="10">
        <f t="shared" si="22"/>
        <v>26550</v>
      </c>
      <c r="K742">
        <f t="shared" si="23"/>
        <v>50</v>
      </c>
    </row>
    <row r="743" spans="1:11">
      <c r="A743" t="s">
        <v>3194</v>
      </c>
      <c r="B743">
        <v>1970</v>
      </c>
      <c r="C743" t="s">
        <v>4707</v>
      </c>
      <c r="D743">
        <v>11</v>
      </c>
      <c r="E743">
        <v>0</v>
      </c>
      <c r="F743" s="13">
        <v>6255.38</v>
      </c>
      <c r="G743" t="s">
        <v>4697</v>
      </c>
      <c r="H743" t="s">
        <v>4697</v>
      </c>
      <c r="I743" t="s">
        <v>4699</v>
      </c>
      <c r="J743" s="10">
        <f t="shared" si="22"/>
        <v>25852</v>
      </c>
      <c r="K743">
        <f t="shared" si="23"/>
        <v>52</v>
      </c>
    </row>
    <row r="744" spans="1:11">
      <c r="A744" t="s">
        <v>3192</v>
      </c>
      <c r="B744">
        <v>1995</v>
      </c>
      <c r="C744" t="s">
        <v>4707</v>
      </c>
      <c r="D744">
        <v>17</v>
      </c>
      <c r="E744">
        <v>0</v>
      </c>
      <c r="F744" s="13">
        <v>6261.2</v>
      </c>
      <c r="G744" t="s">
        <v>4697</v>
      </c>
      <c r="H744" t="s">
        <v>4701</v>
      </c>
      <c r="I744" t="s">
        <v>4720</v>
      </c>
      <c r="J744" s="10">
        <f t="shared" si="22"/>
        <v>34989</v>
      </c>
      <c r="K744">
        <f t="shared" si="23"/>
        <v>27</v>
      </c>
    </row>
    <row r="745" spans="1:11">
      <c r="A745" t="s">
        <v>3190</v>
      </c>
      <c r="B745">
        <v>1984</v>
      </c>
      <c r="C745" t="s">
        <v>4703</v>
      </c>
      <c r="D745">
        <v>25</v>
      </c>
      <c r="E745">
        <v>3</v>
      </c>
      <c r="F745" s="13">
        <v>6269.33</v>
      </c>
      <c r="G745" t="s">
        <v>4697</v>
      </c>
      <c r="H745" t="s">
        <v>4701</v>
      </c>
      <c r="I745" t="s">
        <v>4699</v>
      </c>
      <c r="J745" s="10">
        <f t="shared" si="22"/>
        <v>30950</v>
      </c>
      <c r="K745">
        <f t="shared" si="23"/>
        <v>38</v>
      </c>
    </row>
    <row r="746" spans="1:11">
      <c r="A746" t="s">
        <v>3188</v>
      </c>
      <c r="B746">
        <v>1981</v>
      </c>
      <c r="C746" t="s">
        <v>4702</v>
      </c>
      <c r="D746">
        <v>30</v>
      </c>
      <c r="E746">
        <v>1</v>
      </c>
      <c r="F746" s="13">
        <v>6272.48</v>
      </c>
      <c r="G746" t="s">
        <v>4701</v>
      </c>
      <c r="H746" t="s">
        <v>4698</v>
      </c>
      <c r="I746" t="s">
        <v>4699</v>
      </c>
      <c r="J746" s="10">
        <f t="shared" si="22"/>
        <v>29767</v>
      </c>
      <c r="K746">
        <f t="shared" si="23"/>
        <v>41</v>
      </c>
    </row>
    <row r="747" spans="1:11">
      <c r="A747" t="s">
        <v>3186</v>
      </c>
      <c r="B747">
        <v>1993</v>
      </c>
      <c r="C747" t="s">
        <v>4707</v>
      </c>
      <c r="D747">
        <v>16</v>
      </c>
      <c r="E747">
        <v>0</v>
      </c>
      <c r="F747" s="13">
        <v>6276.3</v>
      </c>
      <c r="G747" t="s">
        <v>4697</v>
      </c>
      <c r="H747" t="s">
        <v>4701</v>
      </c>
      <c r="I747" t="s">
        <v>4713</v>
      </c>
      <c r="J747" s="10">
        <f t="shared" si="22"/>
        <v>34258</v>
      </c>
      <c r="K747">
        <f t="shared" si="23"/>
        <v>29</v>
      </c>
    </row>
    <row r="748" spans="1:11">
      <c r="A748" t="s">
        <v>3184</v>
      </c>
      <c r="B748">
        <v>1981</v>
      </c>
      <c r="C748" t="s">
        <v>4700</v>
      </c>
      <c r="D748">
        <v>24</v>
      </c>
      <c r="E748">
        <v>1</v>
      </c>
      <c r="F748" s="13">
        <v>6282.24</v>
      </c>
      <c r="G748" t="s">
        <v>4697</v>
      </c>
      <c r="H748" t="s">
        <v>4701</v>
      </c>
      <c r="I748" t="s">
        <v>4708</v>
      </c>
      <c r="J748" s="10">
        <f t="shared" si="22"/>
        <v>29914</v>
      </c>
      <c r="K748">
        <f t="shared" si="23"/>
        <v>41</v>
      </c>
    </row>
    <row r="749" spans="1:11">
      <c r="A749" t="s">
        <v>3182</v>
      </c>
      <c r="B749">
        <v>1981</v>
      </c>
      <c r="C749" t="s">
        <v>4706</v>
      </c>
      <c r="D749">
        <v>26</v>
      </c>
      <c r="E749">
        <v>1</v>
      </c>
      <c r="F749" s="13">
        <v>6289.75</v>
      </c>
      <c r="G749" t="s">
        <v>4697</v>
      </c>
      <c r="H749" t="s">
        <v>4698</v>
      </c>
      <c r="I749" t="s">
        <v>4699</v>
      </c>
      <c r="J749" s="10">
        <f t="shared" si="22"/>
        <v>29824</v>
      </c>
      <c r="K749">
        <f t="shared" si="23"/>
        <v>41</v>
      </c>
    </row>
    <row r="750" spans="1:11">
      <c r="A750" t="s">
        <v>3180</v>
      </c>
      <c r="B750">
        <v>1996</v>
      </c>
      <c r="C750" t="s">
        <v>4696</v>
      </c>
      <c r="D750">
        <v>4</v>
      </c>
      <c r="E750">
        <v>0</v>
      </c>
      <c r="F750" s="13">
        <v>6293.63</v>
      </c>
      <c r="G750" t="s">
        <v>4697</v>
      </c>
      <c r="H750" t="s">
        <v>4698</v>
      </c>
      <c r="I750" t="s">
        <v>4717</v>
      </c>
      <c r="J750" s="10">
        <f t="shared" si="22"/>
        <v>35250</v>
      </c>
      <c r="K750">
        <f t="shared" si="23"/>
        <v>26</v>
      </c>
    </row>
    <row r="751" spans="1:11">
      <c r="A751" t="s">
        <v>3178</v>
      </c>
      <c r="B751">
        <v>1974</v>
      </c>
      <c r="C751" t="s">
        <v>4703</v>
      </c>
      <c r="D751">
        <v>17</v>
      </c>
      <c r="E751">
        <v>0</v>
      </c>
      <c r="F751" s="13">
        <v>6302.23</v>
      </c>
      <c r="G751" t="s">
        <v>4697</v>
      </c>
      <c r="H751" t="s">
        <v>4701</v>
      </c>
      <c r="I751" t="s">
        <v>4699</v>
      </c>
      <c r="J751" s="10">
        <f t="shared" si="22"/>
        <v>27289</v>
      </c>
      <c r="K751">
        <f t="shared" si="23"/>
        <v>48</v>
      </c>
    </row>
    <row r="752" spans="1:11">
      <c r="A752" t="s">
        <v>3176</v>
      </c>
      <c r="B752">
        <v>1969</v>
      </c>
      <c r="C752" t="s">
        <v>4703</v>
      </c>
      <c r="D752">
        <v>4</v>
      </c>
      <c r="E752">
        <v>0</v>
      </c>
      <c r="F752" s="13">
        <v>6305.61</v>
      </c>
      <c r="G752" t="s">
        <v>4697</v>
      </c>
      <c r="H752" t="s">
        <v>4697</v>
      </c>
      <c r="I752" t="s">
        <v>4704</v>
      </c>
      <c r="J752" s="10">
        <f t="shared" si="22"/>
        <v>25450</v>
      </c>
      <c r="K752">
        <f t="shared" si="23"/>
        <v>53</v>
      </c>
    </row>
    <row r="753" spans="1:11">
      <c r="A753" t="s">
        <v>3174</v>
      </c>
      <c r="B753">
        <v>2004</v>
      </c>
      <c r="C753" t="s">
        <v>4696</v>
      </c>
      <c r="D753">
        <v>27</v>
      </c>
      <c r="E753">
        <v>0</v>
      </c>
      <c r="F753" s="13">
        <v>6311.11</v>
      </c>
      <c r="G753" t="s">
        <v>4697</v>
      </c>
      <c r="H753" t="s">
        <v>4697</v>
      </c>
      <c r="I753" t="s">
        <v>4708</v>
      </c>
      <c r="J753" s="10">
        <f t="shared" si="22"/>
        <v>38195</v>
      </c>
      <c r="K753">
        <f t="shared" si="23"/>
        <v>18</v>
      </c>
    </row>
    <row r="754" spans="1:11">
      <c r="A754" t="s">
        <v>3172</v>
      </c>
      <c r="B754">
        <v>1985</v>
      </c>
      <c r="C754" t="s">
        <v>4700</v>
      </c>
      <c r="D754">
        <v>19</v>
      </c>
      <c r="E754">
        <v>2</v>
      </c>
      <c r="F754" s="13">
        <v>6311.95</v>
      </c>
      <c r="G754" t="s">
        <v>4697</v>
      </c>
      <c r="H754" t="s">
        <v>4701</v>
      </c>
      <c r="I754" t="s">
        <v>4708</v>
      </c>
      <c r="J754" s="10">
        <f t="shared" si="22"/>
        <v>31370</v>
      </c>
      <c r="K754">
        <f t="shared" si="23"/>
        <v>37</v>
      </c>
    </row>
    <row r="755" spans="1:11">
      <c r="A755" t="s">
        <v>3170</v>
      </c>
      <c r="B755">
        <v>1985</v>
      </c>
      <c r="C755" t="s">
        <v>4705</v>
      </c>
      <c r="D755">
        <v>15</v>
      </c>
      <c r="E755">
        <v>2</v>
      </c>
      <c r="F755" s="13">
        <v>6313.76</v>
      </c>
      <c r="G755" t="s">
        <v>4697</v>
      </c>
      <c r="H755" t="s">
        <v>4701</v>
      </c>
      <c r="I755" t="s">
        <v>4699</v>
      </c>
      <c r="J755" s="10">
        <f t="shared" si="22"/>
        <v>31396</v>
      </c>
      <c r="K755">
        <f t="shared" si="23"/>
        <v>37</v>
      </c>
    </row>
    <row r="756" spans="1:11">
      <c r="A756" t="s">
        <v>3168</v>
      </c>
      <c r="B756">
        <v>1990</v>
      </c>
      <c r="C756" t="s">
        <v>4706</v>
      </c>
      <c r="D756">
        <v>13</v>
      </c>
      <c r="E756">
        <v>3</v>
      </c>
      <c r="F756" s="13">
        <v>6334.34</v>
      </c>
      <c r="G756" t="s">
        <v>4697</v>
      </c>
      <c r="H756" t="s">
        <v>4697</v>
      </c>
      <c r="I756" t="s">
        <v>4714</v>
      </c>
      <c r="J756" s="10">
        <f t="shared" si="22"/>
        <v>33098</v>
      </c>
      <c r="K756">
        <f t="shared" si="23"/>
        <v>32</v>
      </c>
    </row>
    <row r="757" spans="1:11">
      <c r="A757" t="s">
        <v>3166</v>
      </c>
      <c r="B757">
        <v>1986</v>
      </c>
      <c r="C757" t="s">
        <v>4703</v>
      </c>
      <c r="D757">
        <v>25</v>
      </c>
      <c r="E757">
        <v>3</v>
      </c>
      <c r="F757" s="13">
        <v>6335.64</v>
      </c>
      <c r="G757" t="s">
        <v>4697</v>
      </c>
      <c r="H757" t="s">
        <v>4697</v>
      </c>
      <c r="I757" t="s">
        <v>4699</v>
      </c>
      <c r="J757" s="10">
        <f t="shared" si="22"/>
        <v>31680</v>
      </c>
      <c r="K757">
        <f t="shared" si="23"/>
        <v>36</v>
      </c>
    </row>
    <row r="758" spans="1:11">
      <c r="A758" t="s">
        <v>3164</v>
      </c>
      <c r="B758">
        <v>1983</v>
      </c>
      <c r="C758" t="s">
        <v>4707</v>
      </c>
      <c r="D758">
        <v>21</v>
      </c>
      <c r="E758">
        <v>2</v>
      </c>
      <c r="F758" s="13">
        <v>6338.08</v>
      </c>
      <c r="G758" t="s">
        <v>4697</v>
      </c>
      <c r="H758" t="s">
        <v>4701</v>
      </c>
      <c r="I758" t="s">
        <v>4699</v>
      </c>
      <c r="J758" s="10">
        <f t="shared" si="22"/>
        <v>30610</v>
      </c>
      <c r="K758">
        <f t="shared" si="23"/>
        <v>39</v>
      </c>
    </row>
    <row r="759" spans="1:11">
      <c r="A759" t="s">
        <v>3162</v>
      </c>
      <c r="B759">
        <v>1983</v>
      </c>
      <c r="C759" t="s">
        <v>4706</v>
      </c>
      <c r="D759">
        <v>19</v>
      </c>
      <c r="E759">
        <v>2</v>
      </c>
      <c r="F759" s="13">
        <v>6356.27</v>
      </c>
      <c r="G759" t="s">
        <v>4698</v>
      </c>
      <c r="H759" t="s">
        <v>4697</v>
      </c>
      <c r="I759" t="s">
        <v>4699</v>
      </c>
      <c r="J759" s="10">
        <f t="shared" si="22"/>
        <v>30547</v>
      </c>
      <c r="K759">
        <f t="shared" si="23"/>
        <v>39</v>
      </c>
    </row>
    <row r="760" spans="1:11">
      <c r="A760" t="s">
        <v>3160</v>
      </c>
      <c r="B760">
        <v>1980</v>
      </c>
      <c r="C760" t="s">
        <v>4707</v>
      </c>
      <c r="D760">
        <v>30</v>
      </c>
      <c r="E760">
        <v>0</v>
      </c>
      <c r="F760" s="13">
        <v>6358.78</v>
      </c>
      <c r="G760" t="s">
        <v>4697</v>
      </c>
      <c r="H760" t="s">
        <v>4701</v>
      </c>
      <c r="I760" t="s">
        <v>4704</v>
      </c>
      <c r="J760" s="10">
        <f t="shared" si="22"/>
        <v>29524</v>
      </c>
      <c r="K760">
        <f t="shared" si="23"/>
        <v>42</v>
      </c>
    </row>
    <row r="761" spans="1:11">
      <c r="A761" t="s">
        <v>3158</v>
      </c>
      <c r="B761">
        <v>1989</v>
      </c>
      <c r="C761" t="s">
        <v>4702</v>
      </c>
      <c r="D761">
        <v>24</v>
      </c>
      <c r="E761">
        <v>3</v>
      </c>
      <c r="F761" s="13">
        <v>6360.99</v>
      </c>
      <c r="G761" t="s">
        <v>4697</v>
      </c>
      <c r="H761" t="s">
        <v>4697</v>
      </c>
      <c r="I761" t="s">
        <v>4704</v>
      </c>
      <c r="J761" s="10">
        <f t="shared" si="22"/>
        <v>32683</v>
      </c>
      <c r="K761">
        <f t="shared" si="23"/>
        <v>33</v>
      </c>
    </row>
    <row r="762" spans="1:11">
      <c r="A762" t="s">
        <v>3156</v>
      </c>
      <c r="B762">
        <v>1996</v>
      </c>
      <c r="C762" t="s">
        <v>4696</v>
      </c>
      <c r="D762">
        <v>7</v>
      </c>
      <c r="E762">
        <v>0</v>
      </c>
      <c r="F762" s="13">
        <v>6361.47</v>
      </c>
      <c r="G762" t="s">
        <v>4697</v>
      </c>
      <c r="H762" t="s">
        <v>4698</v>
      </c>
      <c r="I762" t="s">
        <v>4717</v>
      </c>
      <c r="J762" s="10">
        <f t="shared" si="22"/>
        <v>35253</v>
      </c>
      <c r="K762">
        <f t="shared" si="23"/>
        <v>26</v>
      </c>
    </row>
    <row r="763" spans="1:11">
      <c r="A763" t="s">
        <v>3154</v>
      </c>
      <c r="B763">
        <v>1970</v>
      </c>
      <c r="C763" t="s">
        <v>4700</v>
      </c>
      <c r="D763">
        <v>9</v>
      </c>
      <c r="E763">
        <v>0</v>
      </c>
      <c r="F763" s="13">
        <v>6367.31</v>
      </c>
      <c r="G763" t="s">
        <v>4697</v>
      </c>
      <c r="H763" t="s">
        <v>4701</v>
      </c>
      <c r="I763" t="s">
        <v>4699</v>
      </c>
      <c r="J763" s="10">
        <f t="shared" si="22"/>
        <v>25881</v>
      </c>
      <c r="K763">
        <f t="shared" si="23"/>
        <v>52</v>
      </c>
    </row>
    <row r="764" spans="1:11">
      <c r="A764" t="s">
        <v>3152</v>
      </c>
      <c r="B764">
        <v>1984</v>
      </c>
      <c r="C764" t="s">
        <v>4706</v>
      </c>
      <c r="D764">
        <v>13</v>
      </c>
      <c r="E764">
        <v>1</v>
      </c>
      <c r="F764" s="13">
        <v>6373.56</v>
      </c>
      <c r="G764" t="s">
        <v>4697</v>
      </c>
      <c r="H764" t="s">
        <v>4701</v>
      </c>
      <c r="I764" t="s">
        <v>4704</v>
      </c>
      <c r="J764" s="10">
        <f t="shared" si="22"/>
        <v>30907</v>
      </c>
      <c r="K764">
        <f t="shared" si="23"/>
        <v>38</v>
      </c>
    </row>
    <row r="765" spans="1:11">
      <c r="A765" t="s">
        <v>3150</v>
      </c>
      <c r="B765">
        <v>1976</v>
      </c>
      <c r="C765" t="s">
        <v>4700</v>
      </c>
      <c r="D765">
        <v>18</v>
      </c>
      <c r="E765">
        <v>2</v>
      </c>
      <c r="F765" s="13">
        <v>6374.16</v>
      </c>
      <c r="G765" t="s">
        <v>4697</v>
      </c>
      <c r="H765" t="s">
        <v>4697</v>
      </c>
      <c r="I765" t="s">
        <v>4699</v>
      </c>
      <c r="J765" s="10">
        <f t="shared" si="22"/>
        <v>28082</v>
      </c>
      <c r="K765">
        <f t="shared" si="23"/>
        <v>46</v>
      </c>
    </row>
    <row r="766" spans="1:11">
      <c r="A766" t="s">
        <v>3148</v>
      </c>
      <c r="B766">
        <v>1982</v>
      </c>
      <c r="C766" t="s">
        <v>4706</v>
      </c>
      <c r="D766">
        <v>6</v>
      </c>
      <c r="E766">
        <v>1</v>
      </c>
      <c r="F766" s="13">
        <v>6389.38</v>
      </c>
      <c r="G766" t="s">
        <v>4701</v>
      </c>
      <c r="H766" t="s">
        <v>4697</v>
      </c>
      <c r="I766" t="s">
        <v>4704</v>
      </c>
      <c r="J766" s="10">
        <f t="shared" si="22"/>
        <v>30169</v>
      </c>
      <c r="K766">
        <f t="shared" si="23"/>
        <v>40</v>
      </c>
    </row>
    <row r="767" spans="1:11">
      <c r="A767" t="s">
        <v>3146</v>
      </c>
      <c r="B767">
        <v>1997</v>
      </c>
      <c r="C767" t="s">
        <v>4706</v>
      </c>
      <c r="D767">
        <v>16</v>
      </c>
      <c r="E767">
        <v>0</v>
      </c>
      <c r="F767" s="13">
        <v>6389.53</v>
      </c>
      <c r="G767" t="s">
        <v>4697</v>
      </c>
      <c r="H767" t="s">
        <v>4697</v>
      </c>
      <c r="I767" t="s">
        <v>4717</v>
      </c>
      <c r="J767" s="10">
        <f t="shared" si="22"/>
        <v>35658</v>
      </c>
      <c r="K767">
        <f t="shared" si="23"/>
        <v>25</v>
      </c>
    </row>
    <row r="768" spans="1:11">
      <c r="A768" t="s">
        <v>3144</v>
      </c>
      <c r="B768">
        <v>1982</v>
      </c>
      <c r="C768" t="s">
        <v>4707</v>
      </c>
      <c r="D768">
        <v>28</v>
      </c>
      <c r="E768">
        <v>1</v>
      </c>
      <c r="F768" s="13">
        <v>6393.6</v>
      </c>
      <c r="G768" t="s">
        <v>4697</v>
      </c>
      <c r="H768" t="s">
        <v>4701</v>
      </c>
      <c r="I768" t="s">
        <v>4704</v>
      </c>
      <c r="J768" s="10">
        <f t="shared" si="22"/>
        <v>30252</v>
      </c>
      <c r="K768">
        <f t="shared" si="23"/>
        <v>40</v>
      </c>
    </row>
    <row r="769" spans="1:11">
      <c r="A769" t="s">
        <v>3142</v>
      </c>
      <c r="B769">
        <v>1987</v>
      </c>
      <c r="C769" t="s">
        <v>4703</v>
      </c>
      <c r="D769">
        <v>9</v>
      </c>
      <c r="E769">
        <v>2</v>
      </c>
      <c r="F769" s="13">
        <v>6402.29</v>
      </c>
      <c r="G769" t="s">
        <v>4697</v>
      </c>
      <c r="H769" t="s">
        <v>4698</v>
      </c>
      <c r="I769" t="s">
        <v>4714</v>
      </c>
      <c r="J769" s="10">
        <f t="shared" si="22"/>
        <v>32029</v>
      </c>
      <c r="K769">
        <f t="shared" si="23"/>
        <v>35</v>
      </c>
    </row>
    <row r="770" spans="1:11">
      <c r="A770" t="s">
        <v>3140</v>
      </c>
      <c r="B770">
        <v>1985</v>
      </c>
      <c r="C770" t="s">
        <v>4705</v>
      </c>
      <c r="D770">
        <v>10</v>
      </c>
      <c r="E770">
        <v>2</v>
      </c>
      <c r="F770" s="13">
        <v>6406.41</v>
      </c>
      <c r="G770" t="s">
        <v>4701</v>
      </c>
      <c r="H770" t="s">
        <v>4698</v>
      </c>
      <c r="I770" t="s">
        <v>4716</v>
      </c>
      <c r="J770" s="10">
        <f t="shared" ref="J770:J833" si="24">DATEVALUE(D770&amp;"-"&amp;C770&amp;"-"&amp;B770)</f>
        <v>31391</v>
      </c>
      <c r="K770">
        <f t="shared" si="23"/>
        <v>37</v>
      </c>
    </row>
    <row r="771" spans="1:11">
      <c r="A771" t="s">
        <v>3138</v>
      </c>
      <c r="B771">
        <v>1970</v>
      </c>
      <c r="C771" t="s">
        <v>4706</v>
      </c>
      <c r="D771">
        <v>20</v>
      </c>
      <c r="E771">
        <v>0</v>
      </c>
      <c r="F771" s="13">
        <v>6407.05</v>
      </c>
      <c r="G771" t="s">
        <v>4697</v>
      </c>
      <c r="H771" t="s">
        <v>4701</v>
      </c>
      <c r="I771" t="s">
        <v>4699</v>
      </c>
      <c r="J771" s="10">
        <f t="shared" si="24"/>
        <v>25800</v>
      </c>
      <c r="K771">
        <f t="shared" ref="K771:K834" si="25">DATEDIF(J771, DATE(2023, 6, 8), "Y")</f>
        <v>52</v>
      </c>
    </row>
    <row r="772" spans="1:11">
      <c r="A772" t="s">
        <v>3136</v>
      </c>
      <c r="B772">
        <v>1971</v>
      </c>
      <c r="C772" t="s">
        <v>4706</v>
      </c>
      <c r="D772">
        <v>22</v>
      </c>
      <c r="E772">
        <v>0</v>
      </c>
      <c r="F772" s="13">
        <v>6412.34</v>
      </c>
      <c r="G772" t="s">
        <v>4697</v>
      </c>
      <c r="H772" t="s">
        <v>4698</v>
      </c>
      <c r="I772" t="s">
        <v>4699</v>
      </c>
      <c r="J772" s="10">
        <f t="shared" si="24"/>
        <v>26167</v>
      </c>
      <c r="K772">
        <f t="shared" si="25"/>
        <v>51</v>
      </c>
    </row>
    <row r="773" spans="1:11">
      <c r="A773" t="s">
        <v>3134</v>
      </c>
      <c r="B773">
        <v>1987</v>
      </c>
      <c r="C773" t="s">
        <v>4703</v>
      </c>
      <c r="D773">
        <v>4</v>
      </c>
      <c r="E773">
        <v>3</v>
      </c>
      <c r="F773" s="13">
        <v>6414.18</v>
      </c>
      <c r="G773" t="s">
        <v>4697</v>
      </c>
      <c r="H773" t="s">
        <v>4697</v>
      </c>
      <c r="I773" t="s">
        <v>4708</v>
      </c>
      <c r="J773" s="10">
        <f t="shared" si="24"/>
        <v>32024</v>
      </c>
      <c r="K773">
        <f t="shared" si="25"/>
        <v>35</v>
      </c>
    </row>
    <row r="774" spans="1:11">
      <c r="A774" t="s">
        <v>3132</v>
      </c>
      <c r="B774">
        <v>1976</v>
      </c>
      <c r="C774" t="s">
        <v>4705</v>
      </c>
      <c r="D774">
        <v>30</v>
      </c>
      <c r="E774">
        <v>2</v>
      </c>
      <c r="F774" s="13">
        <v>6417.28</v>
      </c>
      <c r="G774" t="s">
        <v>4697</v>
      </c>
      <c r="H774" t="s">
        <v>4698</v>
      </c>
      <c r="I774" t="s">
        <v>4699</v>
      </c>
      <c r="J774" s="10">
        <f t="shared" si="24"/>
        <v>28124</v>
      </c>
      <c r="K774">
        <f t="shared" si="25"/>
        <v>46</v>
      </c>
    </row>
    <row r="775" spans="1:11">
      <c r="A775" t="s">
        <v>3130</v>
      </c>
      <c r="B775">
        <v>1975</v>
      </c>
      <c r="C775" t="s">
        <v>4706</v>
      </c>
      <c r="D775">
        <v>5</v>
      </c>
      <c r="E775">
        <v>1</v>
      </c>
      <c r="F775" s="13">
        <v>6423.48</v>
      </c>
      <c r="G775" t="s">
        <v>4697</v>
      </c>
      <c r="H775" t="s">
        <v>4698</v>
      </c>
      <c r="I775" t="s">
        <v>4699</v>
      </c>
      <c r="J775" s="10">
        <f t="shared" si="24"/>
        <v>27611</v>
      </c>
      <c r="K775">
        <f t="shared" si="25"/>
        <v>47</v>
      </c>
    </row>
    <row r="776" spans="1:11">
      <c r="A776" t="s">
        <v>3128</v>
      </c>
      <c r="B776">
        <v>1985</v>
      </c>
      <c r="C776" t="s">
        <v>4696</v>
      </c>
      <c r="D776">
        <v>22</v>
      </c>
      <c r="E776">
        <v>3</v>
      </c>
      <c r="F776" s="13">
        <v>6435.62</v>
      </c>
      <c r="G776" t="s">
        <v>4698</v>
      </c>
      <c r="H776" t="s">
        <v>4697</v>
      </c>
      <c r="I776" t="s">
        <v>4699</v>
      </c>
      <c r="J776" s="10">
        <f t="shared" si="24"/>
        <v>31250</v>
      </c>
      <c r="K776">
        <f t="shared" si="25"/>
        <v>37</v>
      </c>
    </row>
    <row r="777" spans="1:11">
      <c r="A777" t="s">
        <v>3126</v>
      </c>
      <c r="B777">
        <v>1984</v>
      </c>
      <c r="C777" t="s">
        <v>4706</v>
      </c>
      <c r="D777">
        <v>26</v>
      </c>
      <c r="E777">
        <v>2</v>
      </c>
      <c r="F777" s="13">
        <v>6455.86</v>
      </c>
      <c r="G777" t="s">
        <v>4698</v>
      </c>
      <c r="H777" t="s">
        <v>4698</v>
      </c>
      <c r="I777" t="s">
        <v>4704</v>
      </c>
      <c r="J777" s="10">
        <f t="shared" si="24"/>
        <v>30920</v>
      </c>
      <c r="K777">
        <f t="shared" si="25"/>
        <v>38</v>
      </c>
    </row>
    <row r="778" spans="1:11">
      <c r="A778" t="s">
        <v>3124</v>
      </c>
      <c r="B778">
        <v>1984</v>
      </c>
      <c r="C778" t="s">
        <v>4700</v>
      </c>
      <c r="D778">
        <v>1</v>
      </c>
      <c r="E778">
        <v>2</v>
      </c>
      <c r="F778" s="13">
        <v>6457.84</v>
      </c>
      <c r="G778" t="s">
        <v>4697</v>
      </c>
      <c r="H778" t="s">
        <v>4698</v>
      </c>
      <c r="I778" t="s">
        <v>4704</v>
      </c>
      <c r="J778" s="10">
        <f t="shared" si="24"/>
        <v>30987</v>
      </c>
      <c r="K778">
        <f t="shared" si="25"/>
        <v>38</v>
      </c>
    </row>
    <row r="779" spans="1:11">
      <c r="A779" t="s">
        <v>3122</v>
      </c>
      <c r="B779">
        <v>1981</v>
      </c>
      <c r="C779" t="s">
        <v>4696</v>
      </c>
      <c r="D779">
        <v>27</v>
      </c>
      <c r="E779">
        <v>1</v>
      </c>
      <c r="F779" s="13">
        <v>6473.15</v>
      </c>
      <c r="G779" t="s">
        <v>4697</v>
      </c>
      <c r="H779" t="s">
        <v>4697</v>
      </c>
      <c r="I779" t="s">
        <v>4699</v>
      </c>
      <c r="J779" s="10">
        <f t="shared" si="24"/>
        <v>29794</v>
      </c>
      <c r="K779">
        <f t="shared" si="25"/>
        <v>41</v>
      </c>
    </row>
    <row r="780" spans="1:11">
      <c r="A780" t="s">
        <v>3120</v>
      </c>
      <c r="B780">
        <v>1980</v>
      </c>
      <c r="C780" t="s">
        <v>4702</v>
      </c>
      <c r="D780">
        <v>8</v>
      </c>
      <c r="E780">
        <v>0</v>
      </c>
      <c r="F780" s="13">
        <v>6474.01</v>
      </c>
      <c r="G780" t="s">
        <v>4697</v>
      </c>
      <c r="H780" t="s">
        <v>4698</v>
      </c>
      <c r="I780" t="s">
        <v>4708</v>
      </c>
      <c r="J780" s="10">
        <f t="shared" si="24"/>
        <v>29380</v>
      </c>
      <c r="K780">
        <f t="shared" si="25"/>
        <v>43</v>
      </c>
    </row>
    <row r="781" spans="1:11">
      <c r="A781" t="s">
        <v>3118</v>
      </c>
      <c r="B781">
        <v>1970</v>
      </c>
      <c r="C781" t="s">
        <v>4705</v>
      </c>
      <c r="D781">
        <v>1</v>
      </c>
      <c r="E781">
        <v>0</v>
      </c>
      <c r="F781" s="13">
        <v>6481.67</v>
      </c>
      <c r="G781" t="s">
        <v>4697</v>
      </c>
      <c r="H781" t="s">
        <v>4697</v>
      </c>
      <c r="I781" t="s">
        <v>4699</v>
      </c>
      <c r="J781" s="10">
        <f t="shared" si="24"/>
        <v>25903</v>
      </c>
      <c r="K781">
        <f t="shared" si="25"/>
        <v>52</v>
      </c>
    </row>
    <row r="782" spans="1:11">
      <c r="A782" t="s">
        <v>3116</v>
      </c>
      <c r="B782">
        <v>1982</v>
      </c>
      <c r="C782" t="s">
        <v>4707</v>
      </c>
      <c r="D782">
        <v>9</v>
      </c>
      <c r="E782">
        <v>1</v>
      </c>
      <c r="F782" s="13">
        <v>6496.89</v>
      </c>
      <c r="G782" t="s">
        <v>4697</v>
      </c>
      <c r="H782" t="s">
        <v>4698</v>
      </c>
      <c r="I782" t="s">
        <v>4708</v>
      </c>
      <c r="J782" s="10">
        <f t="shared" si="24"/>
        <v>30233</v>
      </c>
      <c r="K782">
        <f t="shared" si="25"/>
        <v>40</v>
      </c>
    </row>
    <row r="783" spans="1:11">
      <c r="A783" t="s">
        <v>3114</v>
      </c>
      <c r="B783">
        <v>1982</v>
      </c>
      <c r="C783" t="s">
        <v>4706</v>
      </c>
      <c r="D783">
        <v>28</v>
      </c>
      <c r="E783">
        <v>1</v>
      </c>
      <c r="F783" s="13">
        <v>6500.24</v>
      </c>
      <c r="G783" t="s">
        <v>4697</v>
      </c>
      <c r="H783" t="s">
        <v>4697</v>
      </c>
      <c r="I783" t="s">
        <v>4699</v>
      </c>
      <c r="J783" s="10">
        <f t="shared" si="24"/>
        <v>30191</v>
      </c>
      <c r="K783">
        <f t="shared" si="25"/>
        <v>40</v>
      </c>
    </row>
    <row r="784" spans="1:11">
      <c r="A784" t="s">
        <v>3112</v>
      </c>
      <c r="B784">
        <v>1994</v>
      </c>
      <c r="C784" t="s">
        <v>4696</v>
      </c>
      <c r="D784">
        <v>7</v>
      </c>
      <c r="E784">
        <v>0</v>
      </c>
      <c r="F784" s="13">
        <v>6512.24</v>
      </c>
      <c r="G784" t="s">
        <v>4697</v>
      </c>
      <c r="H784" t="s">
        <v>4701</v>
      </c>
      <c r="I784" t="s">
        <v>4717</v>
      </c>
      <c r="J784" s="10">
        <f t="shared" si="24"/>
        <v>34522</v>
      </c>
      <c r="K784">
        <f t="shared" si="25"/>
        <v>28</v>
      </c>
    </row>
    <row r="785" spans="1:11">
      <c r="A785" t="s">
        <v>3110</v>
      </c>
      <c r="B785">
        <v>1976</v>
      </c>
      <c r="C785" t="s">
        <v>4707</v>
      </c>
      <c r="D785">
        <v>23</v>
      </c>
      <c r="E785">
        <v>2</v>
      </c>
      <c r="F785" s="13">
        <v>6529.21</v>
      </c>
      <c r="G785" t="s">
        <v>4697</v>
      </c>
      <c r="H785" t="s">
        <v>4701</v>
      </c>
      <c r="I785" t="s">
        <v>4699</v>
      </c>
      <c r="J785" s="10">
        <f t="shared" si="24"/>
        <v>28056</v>
      </c>
      <c r="K785">
        <f t="shared" si="25"/>
        <v>46</v>
      </c>
    </row>
    <row r="786" spans="1:11">
      <c r="A786" t="s">
        <v>3108</v>
      </c>
      <c r="B786">
        <v>1982</v>
      </c>
      <c r="C786" t="s">
        <v>4706</v>
      </c>
      <c r="D786">
        <v>12</v>
      </c>
      <c r="E786">
        <v>3</v>
      </c>
      <c r="F786" s="13">
        <v>6532.04</v>
      </c>
      <c r="G786" t="s">
        <v>4697</v>
      </c>
      <c r="H786" t="s">
        <v>4701</v>
      </c>
      <c r="I786" t="s">
        <v>4699</v>
      </c>
      <c r="J786" s="10">
        <f t="shared" si="24"/>
        <v>30175</v>
      </c>
      <c r="K786">
        <f t="shared" si="25"/>
        <v>40</v>
      </c>
    </row>
    <row r="787" spans="1:11">
      <c r="A787" t="s">
        <v>3106</v>
      </c>
      <c r="B787">
        <v>1982</v>
      </c>
      <c r="C787" t="s">
        <v>4707</v>
      </c>
      <c r="D787">
        <v>2</v>
      </c>
      <c r="E787">
        <v>3</v>
      </c>
      <c r="F787" s="13">
        <v>6536.68</v>
      </c>
      <c r="G787" t="s">
        <v>4697</v>
      </c>
      <c r="H787" t="s">
        <v>4697</v>
      </c>
      <c r="I787" t="s">
        <v>4704</v>
      </c>
      <c r="J787" s="10">
        <f t="shared" si="24"/>
        <v>30226</v>
      </c>
      <c r="K787">
        <f t="shared" si="25"/>
        <v>40</v>
      </c>
    </row>
    <row r="788" spans="1:11">
      <c r="A788" t="s">
        <v>3104</v>
      </c>
      <c r="B788">
        <v>1969</v>
      </c>
      <c r="C788" t="s">
        <v>4705</v>
      </c>
      <c r="D788">
        <v>3</v>
      </c>
      <c r="E788">
        <v>0</v>
      </c>
      <c r="F788" s="13">
        <v>6546.16</v>
      </c>
      <c r="G788" t="s">
        <v>4697</v>
      </c>
      <c r="H788" t="s">
        <v>4698</v>
      </c>
      <c r="I788" t="s">
        <v>4699</v>
      </c>
      <c r="J788" s="10">
        <f t="shared" si="24"/>
        <v>25540</v>
      </c>
      <c r="K788">
        <f t="shared" si="25"/>
        <v>53</v>
      </c>
    </row>
    <row r="789" spans="1:11">
      <c r="A789" t="s">
        <v>3102</v>
      </c>
      <c r="B789">
        <v>1986</v>
      </c>
      <c r="C789" t="s">
        <v>4705</v>
      </c>
      <c r="D789">
        <v>18</v>
      </c>
      <c r="E789">
        <v>3</v>
      </c>
      <c r="F789" s="13">
        <v>6548.2</v>
      </c>
      <c r="G789" t="s">
        <v>4697</v>
      </c>
      <c r="H789" t="s">
        <v>4698</v>
      </c>
      <c r="I789" t="s">
        <v>4704</v>
      </c>
      <c r="J789" s="10">
        <f t="shared" si="24"/>
        <v>31764</v>
      </c>
      <c r="K789">
        <f t="shared" si="25"/>
        <v>36</v>
      </c>
    </row>
    <row r="790" spans="1:11">
      <c r="A790" t="s">
        <v>3100</v>
      </c>
      <c r="B790">
        <v>1989</v>
      </c>
      <c r="C790" t="s">
        <v>4706</v>
      </c>
      <c r="D790">
        <v>6</v>
      </c>
      <c r="E790">
        <v>3</v>
      </c>
      <c r="F790" s="13">
        <v>6551.75</v>
      </c>
      <c r="G790" t="s">
        <v>4697</v>
      </c>
      <c r="H790" t="s">
        <v>4697</v>
      </c>
      <c r="I790" t="s">
        <v>4714</v>
      </c>
      <c r="J790" s="10">
        <f t="shared" si="24"/>
        <v>32726</v>
      </c>
      <c r="K790">
        <f t="shared" si="25"/>
        <v>33</v>
      </c>
    </row>
    <row r="791" spans="1:11">
      <c r="A791" t="s">
        <v>3098</v>
      </c>
      <c r="B791">
        <v>1968</v>
      </c>
      <c r="C791" t="s">
        <v>4705</v>
      </c>
      <c r="D791">
        <v>11</v>
      </c>
      <c r="E791">
        <v>0</v>
      </c>
      <c r="F791" s="13">
        <v>6552.01</v>
      </c>
      <c r="G791" t="s">
        <v>4698</v>
      </c>
      <c r="H791" t="s">
        <v>4697</v>
      </c>
      <c r="I791" t="s">
        <v>4699</v>
      </c>
      <c r="J791" s="10">
        <f t="shared" si="24"/>
        <v>25183</v>
      </c>
      <c r="K791">
        <f t="shared" si="25"/>
        <v>54</v>
      </c>
    </row>
    <row r="792" spans="1:11">
      <c r="A792" t="s">
        <v>3096</v>
      </c>
      <c r="B792">
        <v>1984</v>
      </c>
      <c r="C792" t="s">
        <v>4703</v>
      </c>
      <c r="D792">
        <v>20</v>
      </c>
      <c r="E792">
        <v>1</v>
      </c>
      <c r="F792" s="13">
        <v>6555.07</v>
      </c>
      <c r="G792" t="s">
        <v>4697</v>
      </c>
      <c r="H792" t="s">
        <v>4697</v>
      </c>
      <c r="I792" t="s">
        <v>4714</v>
      </c>
      <c r="J792" s="10">
        <f t="shared" si="24"/>
        <v>30945</v>
      </c>
      <c r="K792">
        <f t="shared" si="25"/>
        <v>38</v>
      </c>
    </row>
    <row r="793" spans="1:11">
      <c r="A793" t="s">
        <v>3094</v>
      </c>
      <c r="B793">
        <v>1981</v>
      </c>
      <c r="C793" t="s">
        <v>4696</v>
      </c>
      <c r="D793">
        <v>20</v>
      </c>
      <c r="E793">
        <v>0</v>
      </c>
      <c r="F793" s="13">
        <v>6571.02</v>
      </c>
      <c r="G793" t="s">
        <v>4697</v>
      </c>
      <c r="H793" t="s">
        <v>4701</v>
      </c>
      <c r="I793" t="s">
        <v>4704</v>
      </c>
      <c r="J793" s="10">
        <f t="shared" si="24"/>
        <v>29787</v>
      </c>
      <c r="K793">
        <f t="shared" si="25"/>
        <v>41</v>
      </c>
    </row>
    <row r="794" spans="1:11">
      <c r="A794" t="s">
        <v>3092</v>
      </c>
      <c r="B794">
        <v>1984</v>
      </c>
      <c r="C794" t="s">
        <v>4707</v>
      </c>
      <c r="D794">
        <v>5</v>
      </c>
      <c r="E794">
        <v>2</v>
      </c>
      <c r="F794" s="13">
        <v>6571.54</v>
      </c>
      <c r="G794" t="s">
        <v>4697</v>
      </c>
      <c r="H794" t="s">
        <v>4698</v>
      </c>
      <c r="I794" t="s">
        <v>4708</v>
      </c>
      <c r="J794" s="10">
        <f t="shared" si="24"/>
        <v>30960</v>
      </c>
      <c r="K794">
        <f t="shared" si="25"/>
        <v>38</v>
      </c>
    </row>
    <row r="795" spans="1:11">
      <c r="A795" t="s">
        <v>3090</v>
      </c>
      <c r="B795">
        <v>1982</v>
      </c>
      <c r="C795" t="s">
        <v>4700</v>
      </c>
      <c r="D795">
        <v>22</v>
      </c>
      <c r="E795">
        <v>2</v>
      </c>
      <c r="F795" s="13">
        <v>6593.51</v>
      </c>
      <c r="G795" t="s">
        <v>4697</v>
      </c>
      <c r="H795" t="s">
        <v>4701</v>
      </c>
      <c r="I795" t="s">
        <v>4699</v>
      </c>
      <c r="J795" s="10">
        <f t="shared" si="24"/>
        <v>30277</v>
      </c>
      <c r="K795">
        <f t="shared" si="25"/>
        <v>40</v>
      </c>
    </row>
    <row r="796" spans="1:11">
      <c r="A796" t="s">
        <v>3088</v>
      </c>
      <c r="B796">
        <v>1982</v>
      </c>
      <c r="C796" t="s">
        <v>4705</v>
      </c>
      <c r="D796">
        <v>29</v>
      </c>
      <c r="E796">
        <v>1</v>
      </c>
      <c r="F796" s="13">
        <v>6600.21</v>
      </c>
      <c r="G796" t="s">
        <v>4698</v>
      </c>
      <c r="H796" t="s">
        <v>4697</v>
      </c>
      <c r="I796" t="s">
        <v>4711</v>
      </c>
      <c r="J796" s="10">
        <f t="shared" si="24"/>
        <v>30314</v>
      </c>
      <c r="K796">
        <f t="shared" si="25"/>
        <v>40</v>
      </c>
    </row>
    <row r="797" spans="1:11">
      <c r="A797" t="s">
        <v>3086</v>
      </c>
      <c r="B797">
        <v>1982</v>
      </c>
      <c r="C797" t="s">
        <v>4700</v>
      </c>
      <c r="D797">
        <v>7</v>
      </c>
      <c r="E797">
        <v>2</v>
      </c>
      <c r="F797" s="13">
        <v>6600.36</v>
      </c>
      <c r="G797" t="s">
        <v>4697</v>
      </c>
      <c r="H797" t="s">
        <v>4698</v>
      </c>
      <c r="I797" t="s">
        <v>4708</v>
      </c>
      <c r="J797" s="10">
        <f t="shared" si="24"/>
        <v>30262</v>
      </c>
      <c r="K797">
        <f t="shared" si="25"/>
        <v>40</v>
      </c>
    </row>
    <row r="798" spans="1:11">
      <c r="A798" t="s">
        <v>3084</v>
      </c>
      <c r="B798">
        <v>1982</v>
      </c>
      <c r="C798" t="s">
        <v>4706</v>
      </c>
      <c r="D798">
        <v>28</v>
      </c>
      <c r="E798">
        <v>1</v>
      </c>
      <c r="F798" s="13">
        <v>6610.11</v>
      </c>
      <c r="G798" t="s">
        <v>4698</v>
      </c>
      <c r="H798" t="s">
        <v>4697</v>
      </c>
      <c r="I798" t="s">
        <v>4709</v>
      </c>
      <c r="J798" s="10">
        <f t="shared" si="24"/>
        <v>30191</v>
      </c>
      <c r="K798">
        <f t="shared" si="25"/>
        <v>40</v>
      </c>
    </row>
    <row r="799" spans="1:11">
      <c r="A799" t="s">
        <v>3082</v>
      </c>
      <c r="B799">
        <v>1973</v>
      </c>
      <c r="C799" t="s">
        <v>4706</v>
      </c>
      <c r="D799">
        <v>29</v>
      </c>
      <c r="E799">
        <v>0</v>
      </c>
      <c r="F799" s="13">
        <v>6630.31</v>
      </c>
      <c r="G799" t="s">
        <v>4697</v>
      </c>
      <c r="H799" t="s">
        <v>4701</v>
      </c>
      <c r="I799" t="s">
        <v>4699</v>
      </c>
      <c r="J799" s="10">
        <f t="shared" si="24"/>
        <v>26905</v>
      </c>
      <c r="K799">
        <f t="shared" si="25"/>
        <v>49</v>
      </c>
    </row>
    <row r="800" spans="1:11">
      <c r="A800" t="s">
        <v>3080</v>
      </c>
      <c r="B800">
        <v>2003</v>
      </c>
      <c r="C800" t="s">
        <v>4703</v>
      </c>
      <c r="D800">
        <v>4</v>
      </c>
      <c r="E800">
        <v>0</v>
      </c>
      <c r="F800" s="13">
        <v>6638.16</v>
      </c>
      <c r="G800" t="s">
        <v>4697</v>
      </c>
      <c r="H800" t="s">
        <v>4701</v>
      </c>
      <c r="I800" t="s">
        <v>4704</v>
      </c>
      <c r="J800" s="10">
        <f t="shared" si="24"/>
        <v>37868</v>
      </c>
      <c r="K800">
        <f t="shared" si="25"/>
        <v>19</v>
      </c>
    </row>
    <row r="801" spans="1:11">
      <c r="A801" t="s">
        <v>3078</v>
      </c>
      <c r="B801">
        <v>1990</v>
      </c>
      <c r="C801" t="s">
        <v>4702</v>
      </c>
      <c r="D801">
        <v>6</v>
      </c>
      <c r="E801">
        <v>3</v>
      </c>
      <c r="F801" s="13">
        <v>6639.3</v>
      </c>
      <c r="G801" t="s">
        <v>4697</v>
      </c>
      <c r="H801" t="s">
        <v>4697</v>
      </c>
      <c r="I801" t="s">
        <v>4717</v>
      </c>
      <c r="J801" s="10">
        <f t="shared" si="24"/>
        <v>33030</v>
      </c>
      <c r="K801">
        <f t="shared" si="25"/>
        <v>33</v>
      </c>
    </row>
    <row r="802" spans="1:11">
      <c r="A802" t="s">
        <v>3076</v>
      </c>
      <c r="B802">
        <v>1984</v>
      </c>
      <c r="C802" t="s">
        <v>4705</v>
      </c>
      <c r="D802">
        <v>8</v>
      </c>
      <c r="E802">
        <v>2</v>
      </c>
      <c r="F802" s="13">
        <v>6640.54</v>
      </c>
      <c r="G802" t="s">
        <v>4697</v>
      </c>
      <c r="H802" t="s">
        <v>4698</v>
      </c>
      <c r="I802" t="s">
        <v>4710</v>
      </c>
      <c r="J802" s="10">
        <f t="shared" si="24"/>
        <v>31024</v>
      </c>
      <c r="K802">
        <f t="shared" si="25"/>
        <v>38</v>
      </c>
    </row>
    <row r="803" spans="1:11">
      <c r="A803" t="s">
        <v>3074</v>
      </c>
      <c r="B803">
        <v>1970</v>
      </c>
      <c r="C803" t="s">
        <v>4700</v>
      </c>
      <c r="D803">
        <v>8</v>
      </c>
      <c r="E803">
        <v>0</v>
      </c>
      <c r="F803" s="13">
        <v>6651.26</v>
      </c>
      <c r="G803" t="s">
        <v>4697</v>
      </c>
      <c r="H803" t="s">
        <v>4698</v>
      </c>
      <c r="I803" t="s">
        <v>4699</v>
      </c>
      <c r="J803" s="10">
        <f t="shared" si="24"/>
        <v>25880</v>
      </c>
      <c r="K803">
        <f t="shared" si="25"/>
        <v>52</v>
      </c>
    </row>
    <row r="804" spans="1:11">
      <c r="A804" t="s">
        <v>3072</v>
      </c>
      <c r="B804">
        <v>1984</v>
      </c>
      <c r="C804" t="s">
        <v>4696</v>
      </c>
      <c r="D804">
        <v>1</v>
      </c>
      <c r="E804">
        <v>3</v>
      </c>
      <c r="F804" s="13">
        <v>6652.53</v>
      </c>
      <c r="G804" t="s">
        <v>4698</v>
      </c>
      <c r="H804" t="s">
        <v>4697</v>
      </c>
      <c r="I804" t="s">
        <v>4699</v>
      </c>
      <c r="J804" s="10">
        <f t="shared" si="24"/>
        <v>30864</v>
      </c>
      <c r="K804">
        <f t="shared" si="25"/>
        <v>38</v>
      </c>
    </row>
    <row r="805" spans="1:11">
      <c r="A805" t="s">
        <v>3070</v>
      </c>
      <c r="B805">
        <v>1989</v>
      </c>
      <c r="C805" t="s">
        <v>4700</v>
      </c>
      <c r="D805">
        <v>19</v>
      </c>
      <c r="E805">
        <v>5</v>
      </c>
      <c r="F805" s="13">
        <v>6653.79</v>
      </c>
      <c r="G805" t="s">
        <v>4697</v>
      </c>
      <c r="H805" t="s">
        <v>4701</v>
      </c>
      <c r="I805" t="s">
        <v>4699</v>
      </c>
      <c r="J805" s="10">
        <f t="shared" si="24"/>
        <v>32831</v>
      </c>
      <c r="K805">
        <f t="shared" si="25"/>
        <v>33</v>
      </c>
    </row>
    <row r="806" spans="1:11">
      <c r="A806" t="s">
        <v>3068</v>
      </c>
      <c r="B806">
        <v>1982</v>
      </c>
      <c r="C806" t="s">
        <v>4703</v>
      </c>
      <c r="D806">
        <v>27</v>
      </c>
      <c r="E806">
        <v>3</v>
      </c>
      <c r="F806" s="13">
        <v>6664.32</v>
      </c>
      <c r="G806" t="s">
        <v>4697</v>
      </c>
      <c r="H806" t="s">
        <v>4697</v>
      </c>
      <c r="I806" t="s">
        <v>4699</v>
      </c>
      <c r="J806" s="10">
        <f t="shared" si="24"/>
        <v>30221</v>
      </c>
      <c r="K806">
        <f t="shared" si="25"/>
        <v>40</v>
      </c>
    </row>
    <row r="807" spans="1:11">
      <c r="A807" t="s">
        <v>3066</v>
      </c>
      <c r="B807">
        <v>1981</v>
      </c>
      <c r="C807" t="s">
        <v>4703</v>
      </c>
      <c r="D807">
        <v>17</v>
      </c>
      <c r="E807">
        <v>1</v>
      </c>
      <c r="F807" s="13">
        <v>6664.69</v>
      </c>
      <c r="G807" t="s">
        <v>4698</v>
      </c>
      <c r="H807" t="s">
        <v>4701</v>
      </c>
      <c r="I807" t="s">
        <v>4704</v>
      </c>
      <c r="J807" s="10">
        <f t="shared" si="24"/>
        <v>29846</v>
      </c>
      <c r="K807">
        <f t="shared" si="25"/>
        <v>41</v>
      </c>
    </row>
    <row r="808" spans="1:11">
      <c r="A808" t="s">
        <v>3064</v>
      </c>
      <c r="B808">
        <v>1989</v>
      </c>
      <c r="C808" t="s">
        <v>4707</v>
      </c>
      <c r="D808">
        <v>20</v>
      </c>
      <c r="E808">
        <v>5</v>
      </c>
      <c r="F808" s="13">
        <v>6666.24</v>
      </c>
      <c r="G808" t="s">
        <v>4698</v>
      </c>
      <c r="H808" t="s">
        <v>4701</v>
      </c>
      <c r="I808" t="s">
        <v>4708</v>
      </c>
      <c r="J808" s="10">
        <f t="shared" si="24"/>
        <v>32801</v>
      </c>
      <c r="K808">
        <f t="shared" si="25"/>
        <v>33</v>
      </c>
    </row>
    <row r="809" spans="1:11">
      <c r="A809" t="s">
        <v>3062</v>
      </c>
      <c r="B809">
        <v>1985</v>
      </c>
      <c r="C809" t="s">
        <v>4696</v>
      </c>
      <c r="D809">
        <v>9</v>
      </c>
      <c r="E809">
        <v>2</v>
      </c>
      <c r="F809" s="13">
        <v>6686.43</v>
      </c>
      <c r="G809" t="s">
        <v>4697</v>
      </c>
      <c r="H809" t="s">
        <v>4698</v>
      </c>
      <c r="I809" t="s">
        <v>4704</v>
      </c>
      <c r="J809" s="10">
        <f t="shared" si="24"/>
        <v>31237</v>
      </c>
      <c r="K809">
        <f t="shared" si="25"/>
        <v>37</v>
      </c>
    </row>
    <row r="810" spans="1:11">
      <c r="A810" t="s">
        <v>3060</v>
      </c>
      <c r="B810">
        <v>1968</v>
      </c>
      <c r="C810" t="s">
        <v>4696</v>
      </c>
      <c r="D810">
        <v>13</v>
      </c>
      <c r="E810">
        <v>0</v>
      </c>
      <c r="F810" s="13">
        <v>6700.56</v>
      </c>
      <c r="G810" t="s">
        <v>4698</v>
      </c>
      <c r="H810" t="s">
        <v>4701</v>
      </c>
      <c r="I810" t="s">
        <v>4704</v>
      </c>
      <c r="J810" s="10">
        <f t="shared" si="24"/>
        <v>25032</v>
      </c>
      <c r="K810">
        <f t="shared" si="25"/>
        <v>54</v>
      </c>
    </row>
    <row r="811" spans="1:11">
      <c r="A811" t="s">
        <v>3058</v>
      </c>
      <c r="B811">
        <v>1971</v>
      </c>
      <c r="C811" t="s">
        <v>4705</v>
      </c>
      <c r="D811">
        <v>12</v>
      </c>
      <c r="E811">
        <v>0</v>
      </c>
      <c r="F811" s="13">
        <v>6706.47</v>
      </c>
      <c r="G811" t="s">
        <v>4697</v>
      </c>
      <c r="H811" t="s">
        <v>4701</v>
      </c>
      <c r="I811" t="s">
        <v>4699</v>
      </c>
      <c r="J811" s="10">
        <f t="shared" si="24"/>
        <v>26279</v>
      </c>
      <c r="K811">
        <f t="shared" si="25"/>
        <v>51</v>
      </c>
    </row>
    <row r="812" spans="1:11">
      <c r="A812" t="s">
        <v>3056</v>
      </c>
      <c r="B812">
        <v>1983</v>
      </c>
      <c r="C812" t="s">
        <v>4702</v>
      </c>
      <c r="D812">
        <v>12</v>
      </c>
      <c r="E812">
        <v>2</v>
      </c>
      <c r="F812" s="13">
        <v>6710.19</v>
      </c>
      <c r="G812" t="s">
        <v>4698</v>
      </c>
      <c r="H812" t="s">
        <v>4698</v>
      </c>
      <c r="I812" t="s">
        <v>4704</v>
      </c>
      <c r="J812" s="10">
        <f t="shared" si="24"/>
        <v>30479</v>
      </c>
      <c r="K812">
        <f t="shared" si="25"/>
        <v>39</v>
      </c>
    </row>
    <row r="813" spans="1:11">
      <c r="A813" t="s">
        <v>3054</v>
      </c>
      <c r="B813">
        <v>1994</v>
      </c>
      <c r="C813" t="s">
        <v>4702</v>
      </c>
      <c r="D813">
        <v>13</v>
      </c>
      <c r="E813">
        <v>0</v>
      </c>
      <c r="F813" s="13">
        <v>6721.37</v>
      </c>
      <c r="G813" t="s">
        <v>4697</v>
      </c>
      <c r="H813" t="s">
        <v>4701</v>
      </c>
      <c r="I813" t="s">
        <v>4704</v>
      </c>
      <c r="J813" s="10">
        <f t="shared" si="24"/>
        <v>34498</v>
      </c>
      <c r="K813">
        <f t="shared" si="25"/>
        <v>28</v>
      </c>
    </row>
    <row r="814" spans="1:11">
      <c r="A814" t="s">
        <v>3052</v>
      </c>
      <c r="B814">
        <v>1978</v>
      </c>
      <c r="C814" t="s">
        <v>4707</v>
      </c>
      <c r="D814">
        <v>21</v>
      </c>
      <c r="E814">
        <v>2</v>
      </c>
      <c r="F814" s="13">
        <v>6737.98</v>
      </c>
      <c r="G814" t="s">
        <v>4697</v>
      </c>
      <c r="H814" t="s">
        <v>4698</v>
      </c>
      <c r="I814" t="s">
        <v>4699</v>
      </c>
      <c r="J814" s="10">
        <f t="shared" si="24"/>
        <v>28784</v>
      </c>
      <c r="K814">
        <f t="shared" si="25"/>
        <v>44</v>
      </c>
    </row>
    <row r="815" spans="1:11">
      <c r="A815" t="s">
        <v>3050</v>
      </c>
      <c r="B815">
        <v>1968</v>
      </c>
      <c r="C815" t="s">
        <v>4696</v>
      </c>
      <c r="D815">
        <v>18</v>
      </c>
      <c r="E815">
        <v>0</v>
      </c>
      <c r="F815" s="13">
        <v>6738.84</v>
      </c>
      <c r="G815" t="s">
        <v>4698</v>
      </c>
      <c r="H815" t="s">
        <v>4701</v>
      </c>
      <c r="I815" t="s">
        <v>4704</v>
      </c>
      <c r="J815" s="10">
        <f t="shared" si="24"/>
        <v>25037</v>
      </c>
      <c r="K815">
        <f t="shared" si="25"/>
        <v>54</v>
      </c>
    </row>
    <row r="816" spans="1:11">
      <c r="A816" t="s">
        <v>3048</v>
      </c>
      <c r="B816">
        <v>1986</v>
      </c>
      <c r="C816" t="s">
        <v>4706</v>
      </c>
      <c r="D816">
        <v>7</v>
      </c>
      <c r="E816">
        <v>3</v>
      </c>
      <c r="F816" s="13">
        <v>6746.74</v>
      </c>
      <c r="G816" t="s">
        <v>4698</v>
      </c>
      <c r="H816" t="s">
        <v>4697</v>
      </c>
      <c r="I816" t="s">
        <v>4711</v>
      </c>
      <c r="J816" s="10">
        <f t="shared" si="24"/>
        <v>31631</v>
      </c>
      <c r="K816">
        <f t="shared" si="25"/>
        <v>36</v>
      </c>
    </row>
    <row r="817" spans="1:11">
      <c r="A817" t="s">
        <v>3046</v>
      </c>
      <c r="B817">
        <v>1986</v>
      </c>
      <c r="C817" t="s">
        <v>4702</v>
      </c>
      <c r="D817">
        <v>5</v>
      </c>
      <c r="E817">
        <v>3</v>
      </c>
      <c r="F817" s="13">
        <v>6748.59</v>
      </c>
      <c r="G817" t="s">
        <v>4698</v>
      </c>
      <c r="H817" t="s">
        <v>4701</v>
      </c>
      <c r="I817" t="s">
        <v>4711</v>
      </c>
      <c r="J817" s="10">
        <f t="shared" si="24"/>
        <v>31568</v>
      </c>
      <c r="K817">
        <f t="shared" si="25"/>
        <v>37</v>
      </c>
    </row>
    <row r="818" spans="1:11">
      <c r="A818" t="s">
        <v>3044</v>
      </c>
      <c r="B818">
        <v>1970</v>
      </c>
      <c r="C818" t="s">
        <v>4702</v>
      </c>
      <c r="D818">
        <v>17</v>
      </c>
      <c r="E818">
        <v>0</v>
      </c>
      <c r="F818" s="13">
        <v>6749.63</v>
      </c>
      <c r="G818" t="s">
        <v>4697</v>
      </c>
      <c r="H818" t="s">
        <v>4701</v>
      </c>
      <c r="I818" t="s">
        <v>4699</v>
      </c>
      <c r="J818" s="10">
        <f t="shared" si="24"/>
        <v>25736</v>
      </c>
      <c r="K818">
        <f t="shared" si="25"/>
        <v>52</v>
      </c>
    </row>
    <row r="819" spans="1:11">
      <c r="A819" t="s">
        <v>3042</v>
      </c>
      <c r="B819">
        <v>1966</v>
      </c>
      <c r="C819" t="s">
        <v>4705</v>
      </c>
      <c r="D819">
        <v>9</v>
      </c>
      <c r="E819">
        <v>0</v>
      </c>
      <c r="F819" s="13">
        <v>6750.27</v>
      </c>
      <c r="G819" t="s">
        <v>4698</v>
      </c>
      <c r="H819" t="s">
        <v>4697</v>
      </c>
      <c r="I819" t="s">
        <v>4699</v>
      </c>
      <c r="J819" s="10">
        <f t="shared" si="24"/>
        <v>24450</v>
      </c>
      <c r="K819">
        <f t="shared" si="25"/>
        <v>56</v>
      </c>
    </row>
    <row r="820" spans="1:11">
      <c r="A820" t="s">
        <v>3040</v>
      </c>
      <c r="B820">
        <v>1988</v>
      </c>
      <c r="C820" t="s">
        <v>4707</v>
      </c>
      <c r="D820">
        <v>10</v>
      </c>
      <c r="E820">
        <v>3</v>
      </c>
      <c r="F820" s="13">
        <v>6753.04</v>
      </c>
      <c r="G820" t="s">
        <v>4697</v>
      </c>
      <c r="H820" t="s">
        <v>4697</v>
      </c>
      <c r="I820" t="s">
        <v>4714</v>
      </c>
      <c r="J820" s="10">
        <f t="shared" si="24"/>
        <v>32426</v>
      </c>
      <c r="K820">
        <f t="shared" si="25"/>
        <v>34</v>
      </c>
    </row>
    <row r="821" spans="1:11">
      <c r="A821" t="s">
        <v>3038</v>
      </c>
      <c r="B821">
        <v>1981</v>
      </c>
      <c r="C821" t="s">
        <v>4703</v>
      </c>
      <c r="D821">
        <v>21</v>
      </c>
      <c r="E821">
        <v>1</v>
      </c>
      <c r="F821" s="13">
        <v>6770.19</v>
      </c>
      <c r="G821" t="s">
        <v>4697</v>
      </c>
      <c r="H821" t="s">
        <v>4698</v>
      </c>
      <c r="I821" t="s">
        <v>4699</v>
      </c>
      <c r="J821" s="10">
        <f t="shared" si="24"/>
        <v>29850</v>
      </c>
      <c r="K821">
        <f t="shared" si="25"/>
        <v>41</v>
      </c>
    </row>
    <row r="822" spans="1:11">
      <c r="A822" t="s">
        <v>3036</v>
      </c>
      <c r="B822">
        <v>1981</v>
      </c>
      <c r="C822" t="s">
        <v>4703</v>
      </c>
      <c r="D822">
        <v>3</v>
      </c>
      <c r="E822">
        <v>1</v>
      </c>
      <c r="F822" s="13">
        <v>6775.96</v>
      </c>
      <c r="G822" t="s">
        <v>4697</v>
      </c>
      <c r="H822" t="s">
        <v>4698</v>
      </c>
      <c r="I822" t="s">
        <v>4708</v>
      </c>
      <c r="J822" s="10">
        <f t="shared" si="24"/>
        <v>29832</v>
      </c>
      <c r="K822">
        <f t="shared" si="25"/>
        <v>41</v>
      </c>
    </row>
    <row r="823" spans="1:11">
      <c r="A823" t="s">
        <v>3034</v>
      </c>
      <c r="B823">
        <v>1981</v>
      </c>
      <c r="C823" t="s">
        <v>4707</v>
      </c>
      <c r="D823">
        <v>8</v>
      </c>
      <c r="E823">
        <v>1</v>
      </c>
      <c r="F823" s="13">
        <v>6781.35</v>
      </c>
      <c r="G823" t="s">
        <v>4697</v>
      </c>
      <c r="H823" t="s">
        <v>4701</v>
      </c>
      <c r="I823" t="s">
        <v>4699</v>
      </c>
      <c r="J823" s="10">
        <f t="shared" si="24"/>
        <v>29867</v>
      </c>
      <c r="K823">
        <f t="shared" si="25"/>
        <v>41</v>
      </c>
    </row>
    <row r="824" spans="1:11">
      <c r="A824" t="s">
        <v>3032</v>
      </c>
      <c r="B824">
        <v>1980</v>
      </c>
      <c r="C824" t="s">
        <v>4700</v>
      </c>
      <c r="D824">
        <v>23</v>
      </c>
      <c r="E824">
        <v>2</v>
      </c>
      <c r="F824" s="13">
        <v>6781.52</v>
      </c>
      <c r="G824" t="s">
        <v>4697</v>
      </c>
      <c r="H824" t="s">
        <v>4697</v>
      </c>
      <c r="I824" t="s">
        <v>4699</v>
      </c>
      <c r="J824" s="10">
        <f t="shared" si="24"/>
        <v>29548</v>
      </c>
      <c r="K824">
        <f t="shared" si="25"/>
        <v>42</v>
      </c>
    </row>
    <row r="825" spans="1:11">
      <c r="A825" t="s">
        <v>3030</v>
      </c>
      <c r="B825">
        <v>1985</v>
      </c>
      <c r="C825" t="s">
        <v>4705</v>
      </c>
      <c r="D825">
        <v>24</v>
      </c>
      <c r="E825">
        <v>3</v>
      </c>
      <c r="F825" s="13">
        <v>6796.86</v>
      </c>
      <c r="G825" t="s">
        <v>4698</v>
      </c>
      <c r="H825" t="s">
        <v>4698</v>
      </c>
      <c r="I825" t="s">
        <v>4704</v>
      </c>
      <c r="J825" s="10">
        <f t="shared" si="24"/>
        <v>31405</v>
      </c>
      <c r="K825">
        <f t="shared" si="25"/>
        <v>37</v>
      </c>
    </row>
    <row r="826" spans="1:11">
      <c r="A826" t="s">
        <v>3028</v>
      </c>
      <c r="B826">
        <v>1991</v>
      </c>
      <c r="C826" t="s">
        <v>4702</v>
      </c>
      <c r="D826">
        <v>29</v>
      </c>
      <c r="E826">
        <v>5</v>
      </c>
      <c r="F826" s="13">
        <v>6799.46</v>
      </c>
      <c r="G826" t="s">
        <v>4701</v>
      </c>
      <c r="H826" t="s">
        <v>4697</v>
      </c>
      <c r="I826" t="s">
        <v>4716</v>
      </c>
      <c r="J826" s="10">
        <f t="shared" si="24"/>
        <v>33418</v>
      </c>
      <c r="K826">
        <f t="shared" si="25"/>
        <v>31</v>
      </c>
    </row>
    <row r="827" spans="1:11">
      <c r="A827" t="s">
        <v>3026</v>
      </c>
      <c r="B827">
        <v>1975</v>
      </c>
      <c r="C827" t="s">
        <v>4706</v>
      </c>
      <c r="D827">
        <v>17</v>
      </c>
      <c r="E827">
        <v>1</v>
      </c>
      <c r="F827" s="13">
        <v>6809.46</v>
      </c>
      <c r="G827" t="s">
        <v>4697</v>
      </c>
      <c r="H827" t="s">
        <v>4701</v>
      </c>
      <c r="I827" t="s">
        <v>4704</v>
      </c>
      <c r="J827" s="10">
        <f t="shared" si="24"/>
        <v>27623</v>
      </c>
      <c r="K827">
        <f t="shared" si="25"/>
        <v>47</v>
      </c>
    </row>
    <row r="828" spans="1:11">
      <c r="A828" t="s">
        <v>3024</v>
      </c>
      <c r="B828">
        <v>1994</v>
      </c>
      <c r="C828" t="s">
        <v>4696</v>
      </c>
      <c r="D828">
        <v>8</v>
      </c>
      <c r="E828">
        <v>0</v>
      </c>
      <c r="F828" s="13">
        <v>6827.69</v>
      </c>
      <c r="G828" t="s">
        <v>4697</v>
      </c>
      <c r="H828" t="s">
        <v>4697</v>
      </c>
      <c r="I828" t="s">
        <v>4717</v>
      </c>
      <c r="J828" s="10">
        <f t="shared" si="24"/>
        <v>34523</v>
      </c>
      <c r="K828">
        <f t="shared" si="25"/>
        <v>28</v>
      </c>
    </row>
    <row r="829" spans="1:11">
      <c r="A829" t="s">
        <v>3022</v>
      </c>
      <c r="B829">
        <v>1979</v>
      </c>
      <c r="C829" t="s">
        <v>4696</v>
      </c>
      <c r="D829">
        <v>15</v>
      </c>
      <c r="E829">
        <v>0</v>
      </c>
      <c r="F829" s="13">
        <v>6837.37</v>
      </c>
      <c r="G829" t="s">
        <v>4698</v>
      </c>
      <c r="H829" t="s">
        <v>4701</v>
      </c>
      <c r="I829" t="s">
        <v>4711</v>
      </c>
      <c r="J829" s="10">
        <f t="shared" si="24"/>
        <v>29051</v>
      </c>
      <c r="K829">
        <f t="shared" si="25"/>
        <v>43</v>
      </c>
    </row>
    <row r="830" spans="1:11">
      <c r="A830" t="s">
        <v>3020</v>
      </c>
      <c r="B830">
        <v>2000</v>
      </c>
      <c r="C830" t="s">
        <v>4700</v>
      </c>
      <c r="D830">
        <v>30</v>
      </c>
      <c r="E830">
        <v>0</v>
      </c>
      <c r="F830" s="13">
        <v>6842.28</v>
      </c>
      <c r="G830" t="s">
        <v>4697</v>
      </c>
      <c r="H830" t="s">
        <v>4701</v>
      </c>
      <c r="I830" t="s">
        <v>4704</v>
      </c>
      <c r="J830" s="10">
        <f t="shared" si="24"/>
        <v>36860</v>
      </c>
      <c r="K830">
        <f t="shared" si="25"/>
        <v>22</v>
      </c>
    </row>
    <row r="831" spans="1:11">
      <c r="A831" t="s">
        <v>3018</v>
      </c>
      <c r="B831">
        <v>1977</v>
      </c>
      <c r="C831" t="s">
        <v>4702</v>
      </c>
      <c r="D831">
        <v>15</v>
      </c>
      <c r="E831">
        <v>2</v>
      </c>
      <c r="F831" s="13">
        <v>6843.17</v>
      </c>
      <c r="G831" t="s">
        <v>4697</v>
      </c>
      <c r="H831" t="s">
        <v>4701</v>
      </c>
      <c r="I831" t="s">
        <v>4699</v>
      </c>
      <c r="J831" s="10">
        <f t="shared" si="24"/>
        <v>28291</v>
      </c>
      <c r="K831">
        <f t="shared" si="25"/>
        <v>45</v>
      </c>
    </row>
    <row r="832" spans="1:11">
      <c r="A832" t="s">
        <v>3016</v>
      </c>
      <c r="B832">
        <v>1979</v>
      </c>
      <c r="C832" t="s">
        <v>4700</v>
      </c>
      <c r="D832">
        <v>4</v>
      </c>
      <c r="E832">
        <v>1</v>
      </c>
      <c r="F832" s="13">
        <v>6849.03</v>
      </c>
      <c r="G832" t="s">
        <v>4697</v>
      </c>
      <c r="H832" t="s">
        <v>4697</v>
      </c>
      <c r="I832" t="s">
        <v>4708</v>
      </c>
      <c r="J832" s="10">
        <f t="shared" si="24"/>
        <v>29163</v>
      </c>
      <c r="K832">
        <f t="shared" si="25"/>
        <v>43</v>
      </c>
    </row>
    <row r="833" spans="1:11">
      <c r="A833" t="s">
        <v>3014</v>
      </c>
      <c r="B833">
        <v>1981</v>
      </c>
      <c r="C833" t="s">
        <v>4702</v>
      </c>
      <c r="D833">
        <v>19</v>
      </c>
      <c r="E833">
        <v>1</v>
      </c>
      <c r="F833" s="13">
        <v>6858.48</v>
      </c>
      <c r="G833" t="s">
        <v>4697</v>
      </c>
      <c r="H833" t="s">
        <v>4697</v>
      </c>
      <c r="I833" t="s">
        <v>4710</v>
      </c>
      <c r="J833" s="10">
        <f t="shared" si="24"/>
        <v>29756</v>
      </c>
      <c r="K833">
        <f t="shared" si="25"/>
        <v>41</v>
      </c>
    </row>
    <row r="834" spans="1:11">
      <c r="A834" t="s">
        <v>3012</v>
      </c>
      <c r="B834">
        <v>1978</v>
      </c>
      <c r="C834" t="s">
        <v>4706</v>
      </c>
      <c r="D834">
        <v>5</v>
      </c>
      <c r="E834">
        <v>2</v>
      </c>
      <c r="F834" s="13">
        <v>6863.49</v>
      </c>
      <c r="G834" t="s">
        <v>4697</v>
      </c>
      <c r="H834" t="s">
        <v>4701</v>
      </c>
      <c r="I834" t="s">
        <v>4699</v>
      </c>
      <c r="J834" s="10">
        <f t="shared" ref="J834:J897" si="26">DATEVALUE(D834&amp;"-"&amp;C834&amp;"-"&amp;B834)</f>
        <v>28707</v>
      </c>
      <c r="K834">
        <f t="shared" si="25"/>
        <v>44</v>
      </c>
    </row>
    <row r="835" spans="1:11">
      <c r="A835" t="s">
        <v>3010</v>
      </c>
      <c r="B835">
        <v>1969</v>
      </c>
      <c r="C835" t="s">
        <v>4707</v>
      </c>
      <c r="D835">
        <v>23</v>
      </c>
      <c r="E835">
        <v>0</v>
      </c>
      <c r="F835" s="13">
        <v>6868.39</v>
      </c>
      <c r="G835" t="s">
        <v>4697</v>
      </c>
      <c r="H835" t="s">
        <v>4697</v>
      </c>
      <c r="I835" t="s">
        <v>4699</v>
      </c>
      <c r="J835" s="10">
        <f t="shared" si="26"/>
        <v>25499</v>
      </c>
      <c r="K835">
        <f t="shared" ref="K835:K898" si="27">DATEDIF(J835, DATE(2023, 6, 8), "Y")</f>
        <v>53</v>
      </c>
    </row>
    <row r="836" spans="1:11">
      <c r="A836" t="s">
        <v>3008</v>
      </c>
      <c r="B836">
        <v>1981</v>
      </c>
      <c r="C836" t="s">
        <v>4702</v>
      </c>
      <c r="D836">
        <v>23</v>
      </c>
      <c r="E836">
        <v>2</v>
      </c>
      <c r="F836" s="13">
        <v>6875.96</v>
      </c>
      <c r="G836" t="s">
        <v>4697</v>
      </c>
      <c r="H836" t="s">
        <v>4697</v>
      </c>
      <c r="I836" t="s">
        <v>4708</v>
      </c>
      <c r="J836" s="10">
        <f t="shared" si="26"/>
        <v>29760</v>
      </c>
      <c r="K836">
        <f t="shared" si="27"/>
        <v>41</v>
      </c>
    </row>
    <row r="837" spans="1:11">
      <c r="A837" t="s">
        <v>3006</v>
      </c>
      <c r="B837">
        <v>2004</v>
      </c>
      <c r="C837" t="s">
        <v>4705</v>
      </c>
      <c r="D837">
        <v>24</v>
      </c>
      <c r="E837">
        <v>0</v>
      </c>
      <c r="F837" s="13">
        <v>6876.53</v>
      </c>
      <c r="G837" t="s">
        <v>4697</v>
      </c>
      <c r="H837" t="s">
        <v>4701</v>
      </c>
      <c r="I837" t="s">
        <v>4704</v>
      </c>
      <c r="J837" s="10">
        <f t="shared" si="26"/>
        <v>38345</v>
      </c>
      <c r="K837">
        <f t="shared" si="27"/>
        <v>18</v>
      </c>
    </row>
    <row r="838" spans="1:11">
      <c r="A838" t="s">
        <v>3004</v>
      </c>
      <c r="B838">
        <v>1985</v>
      </c>
      <c r="C838" t="s">
        <v>4703</v>
      </c>
      <c r="D838">
        <v>10</v>
      </c>
      <c r="E838">
        <v>2</v>
      </c>
      <c r="F838" s="13">
        <v>6877.98</v>
      </c>
      <c r="G838" t="s">
        <v>4697</v>
      </c>
      <c r="H838" t="s">
        <v>4701</v>
      </c>
      <c r="I838" t="s">
        <v>4714</v>
      </c>
      <c r="J838" s="10">
        <f t="shared" si="26"/>
        <v>31300</v>
      </c>
      <c r="K838">
        <f t="shared" si="27"/>
        <v>37</v>
      </c>
    </row>
    <row r="839" spans="1:11">
      <c r="A839" t="s">
        <v>3002</v>
      </c>
      <c r="B839">
        <v>1989</v>
      </c>
      <c r="C839" t="s">
        <v>4705</v>
      </c>
      <c r="D839">
        <v>21</v>
      </c>
      <c r="E839">
        <v>3</v>
      </c>
      <c r="F839" s="13">
        <v>6895.19</v>
      </c>
      <c r="G839" t="s">
        <v>4697</v>
      </c>
      <c r="H839" t="s">
        <v>4698</v>
      </c>
      <c r="I839" t="s">
        <v>4714</v>
      </c>
      <c r="J839" s="10">
        <f t="shared" si="26"/>
        <v>32863</v>
      </c>
      <c r="K839">
        <f t="shared" si="27"/>
        <v>33</v>
      </c>
    </row>
    <row r="840" spans="1:11">
      <c r="A840" t="s">
        <v>3000</v>
      </c>
      <c r="B840">
        <v>1984</v>
      </c>
      <c r="C840" t="s">
        <v>4703</v>
      </c>
      <c r="D840">
        <v>5</v>
      </c>
      <c r="E840">
        <v>2</v>
      </c>
      <c r="F840" s="13">
        <v>6933.24</v>
      </c>
      <c r="G840" t="s">
        <v>4697</v>
      </c>
      <c r="H840" t="s">
        <v>4698</v>
      </c>
      <c r="I840" t="s">
        <v>4704</v>
      </c>
      <c r="J840" s="10">
        <f t="shared" si="26"/>
        <v>30930</v>
      </c>
      <c r="K840">
        <f t="shared" si="27"/>
        <v>38</v>
      </c>
    </row>
    <row r="841" spans="1:11">
      <c r="A841" t="s">
        <v>2998</v>
      </c>
      <c r="B841">
        <v>1978</v>
      </c>
      <c r="C841" t="s">
        <v>4700</v>
      </c>
      <c r="D841">
        <v>29</v>
      </c>
      <c r="E841">
        <v>2</v>
      </c>
      <c r="F841" s="13">
        <v>6938.11</v>
      </c>
      <c r="G841" t="s">
        <v>4697</v>
      </c>
      <c r="H841" t="s">
        <v>4697</v>
      </c>
      <c r="I841" t="s">
        <v>4699</v>
      </c>
      <c r="J841" s="10">
        <f t="shared" si="26"/>
        <v>28823</v>
      </c>
      <c r="K841">
        <f t="shared" si="27"/>
        <v>44</v>
      </c>
    </row>
    <row r="842" spans="1:11">
      <c r="A842" t="s">
        <v>2996</v>
      </c>
      <c r="B842">
        <v>1980</v>
      </c>
      <c r="C842" t="s">
        <v>4706</v>
      </c>
      <c r="D842">
        <v>30</v>
      </c>
      <c r="E842">
        <v>1</v>
      </c>
      <c r="F842" s="13">
        <v>6940.91</v>
      </c>
      <c r="G842" t="s">
        <v>4697</v>
      </c>
      <c r="H842" t="s">
        <v>4697</v>
      </c>
      <c r="I842" t="s">
        <v>4704</v>
      </c>
      <c r="J842" s="10">
        <f t="shared" si="26"/>
        <v>29463</v>
      </c>
      <c r="K842">
        <f t="shared" si="27"/>
        <v>42</v>
      </c>
    </row>
    <row r="843" spans="1:11">
      <c r="A843" t="s">
        <v>2994</v>
      </c>
      <c r="B843">
        <v>1980</v>
      </c>
      <c r="C843" t="s">
        <v>4707</v>
      </c>
      <c r="D843">
        <v>5</v>
      </c>
      <c r="E843">
        <v>2</v>
      </c>
      <c r="F843" s="13">
        <v>6940.94</v>
      </c>
      <c r="G843" t="s">
        <v>4697</v>
      </c>
      <c r="H843" t="s">
        <v>4698</v>
      </c>
      <c r="I843" t="s">
        <v>4699</v>
      </c>
      <c r="J843" s="10">
        <f t="shared" si="26"/>
        <v>29499</v>
      </c>
      <c r="K843">
        <f t="shared" si="27"/>
        <v>42</v>
      </c>
    </row>
    <row r="844" spans="1:11">
      <c r="A844" t="s">
        <v>2992</v>
      </c>
      <c r="B844">
        <v>1978</v>
      </c>
      <c r="C844" t="s">
        <v>4705</v>
      </c>
      <c r="D844">
        <v>15</v>
      </c>
      <c r="E844">
        <v>0</v>
      </c>
      <c r="F844" s="13">
        <v>6948.7</v>
      </c>
      <c r="G844" t="s">
        <v>4701</v>
      </c>
      <c r="H844" t="s">
        <v>4697</v>
      </c>
      <c r="I844" t="s">
        <v>4704</v>
      </c>
      <c r="J844" s="10">
        <f t="shared" si="26"/>
        <v>28839</v>
      </c>
      <c r="K844">
        <f t="shared" si="27"/>
        <v>44</v>
      </c>
    </row>
    <row r="845" spans="1:11">
      <c r="A845" t="s">
        <v>2990</v>
      </c>
      <c r="B845">
        <v>1980</v>
      </c>
      <c r="C845" t="s">
        <v>4706</v>
      </c>
      <c r="D845">
        <v>18</v>
      </c>
      <c r="E845">
        <v>2</v>
      </c>
      <c r="F845" s="13">
        <v>6951.12</v>
      </c>
      <c r="G845" t="s">
        <v>4697</v>
      </c>
      <c r="H845" t="s">
        <v>4697</v>
      </c>
      <c r="I845" t="s">
        <v>4699</v>
      </c>
      <c r="J845" s="10">
        <f t="shared" si="26"/>
        <v>29451</v>
      </c>
      <c r="K845">
        <f t="shared" si="27"/>
        <v>42</v>
      </c>
    </row>
    <row r="846" spans="1:11">
      <c r="A846" t="s">
        <v>2988</v>
      </c>
      <c r="B846">
        <v>1975</v>
      </c>
      <c r="C846" t="s">
        <v>4702</v>
      </c>
      <c r="D846">
        <v>3</v>
      </c>
      <c r="E846">
        <v>1</v>
      </c>
      <c r="F846" s="13">
        <v>6965.21</v>
      </c>
      <c r="G846" t="s">
        <v>4697</v>
      </c>
      <c r="H846" t="s">
        <v>4698</v>
      </c>
      <c r="I846" t="s">
        <v>4699</v>
      </c>
      <c r="J846" s="10">
        <f t="shared" si="26"/>
        <v>27548</v>
      </c>
      <c r="K846">
        <f t="shared" si="27"/>
        <v>48</v>
      </c>
    </row>
    <row r="847" spans="1:11">
      <c r="A847" t="s">
        <v>2986</v>
      </c>
      <c r="B847">
        <v>1985</v>
      </c>
      <c r="C847" t="s">
        <v>4705</v>
      </c>
      <c r="D847">
        <v>10</v>
      </c>
      <c r="E847">
        <v>3</v>
      </c>
      <c r="F847" s="13">
        <v>6985.51</v>
      </c>
      <c r="G847" t="s">
        <v>4697</v>
      </c>
      <c r="H847" t="s">
        <v>4697</v>
      </c>
      <c r="I847" t="s">
        <v>4710</v>
      </c>
      <c r="J847" s="10">
        <f t="shared" si="26"/>
        <v>31391</v>
      </c>
      <c r="K847">
        <f t="shared" si="27"/>
        <v>37</v>
      </c>
    </row>
    <row r="848" spans="1:11">
      <c r="A848" t="s">
        <v>2984</v>
      </c>
      <c r="B848">
        <v>1982</v>
      </c>
      <c r="C848" t="s">
        <v>4707</v>
      </c>
      <c r="D848">
        <v>18</v>
      </c>
      <c r="E848">
        <v>2</v>
      </c>
      <c r="F848" s="13">
        <v>6986.7</v>
      </c>
      <c r="G848" t="s">
        <v>4698</v>
      </c>
      <c r="H848" t="s">
        <v>4701</v>
      </c>
      <c r="I848" t="s">
        <v>4704</v>
      </c>
      <c r="J848" s="10">
        <f t="shared" si="26"/>
        <v>30242</v>
      </c>
      <c r="K848">
        <f t="shared" si="27"/>
        <v>40</v>
      </c>
    </row>
    <row r="849" spans="1:11">
      <c r="A849" t="s">
        <v>2982</v>
      </c>
      <c r="B849">
        <v>1982</v>
      </c>
      <c r="C849" t="s">
        <v>4703</v>
      </c>
      <c r="D849">
        <v>1</v>
      </c>
      <c r="E849">
        <v>3</v>
      </c>
      <c r="F849" s="13">
        <v>6989.95</v>
      </c>
      <c r="G849" t="s">
        <v>4697</v>
      </c>
      <c r="H849" t="s">
        <v>4701</v>
      </c>
      <c r="I849" t="s">
        <v>4699</v>
      </c>
      <c r="J849" s="10">
        <f t="shared" si="26"/>
        <v>30195</v>
      </c>
      <c r="K849">
        <f t="shared" si="27"/>
        <v>40</v>
      </c>
    </row>
    <row r="850" spans="1:11">
      <c r="A850" t="s">
        <v>2980</v>
      </c>
      <c r="B850">
        <v>1969</v>
      </c>
      <c r="C850" t="s">
        <v>4696</v>
      </c>
      <c r="D850">
        <v>6</v>
      </c>
      <c r="E850">
        <v>0</v>
      </c>
      <c r="F850" s="13">
        <v>7003.1</v>
      </c>
      <c r="G850" t="s">
        <v>4697</v>
      </c>
      <c r="H850" t="s">
        <v>4698</v>
      </c>
      <c r="I850" t="s">
        <v>4699</v>
      </c>
      <c r="J850" s="10">
        <f t="shared" si="26"/>
        <v>25390</v>
      </c>
      <c r="K850">
        <f t="shared" si="27"/>
        <v>53</v>
      </c>
    </row>
    <row r="851" spans="1:11">
      <c r="A851" t="s">
        <v>2978</v>
      </c>
      <c r="B851">
        <v>1978</v>
      </c>
      <c r="C851" t="s">
        <v>4702</v>
      </c>
      <c r="D851">
        <v>2</v>
      </c>
      <c r="E851">
        <v>2</v>
      </c>
      <c r="F851" s="13">
        <v>7033.08</v>
      </c>
      <c r="G851" t="s">
        <v>4697</v>
      </c>
      <c r="H851" t="s">
        <v>4697</v>
      </c>
      <c r="I851" t="s">
        <v>4699</v>
      </c>
      <c r="J851" s="10">
        <f t="shared" si="26"/>
        <v>28643</v>
      </c>
      <c r="K851">
        <f t="shared" si="27"/>
        <v>45</v>
      </c>
    </row>
    <row r="852" spans="1:11">
      <c r="A852" t="s">
        <v>2976</v>
      </c>
      <c r="B852">
        <v>1995</v>
      </c>
      <c r="C852" t="s">
        <v>4707</v>
      </c>
      <c r="D852">
        <v>29</v>
      </c>
      <c r="E852">
        <v>0</v>
      </c>
      <c r="F852" s="13">
        <v>7042.11</v>
      </c>
      <c r="G852" t="s">
        <v>4697</v>
      </c>
      <c r="H852" t="s">
        <v>4698</v>
      </c>
      <c r="I852" t="s">
        <v>4704</v>
      </c>
      <c r="J852" s="10">
        <f t="shared" si="26"/>
        <v>35001</v>
      </c>
      <c r="K852">
        <f t="shared" si="27"/>
        <v>27</v>
      </c>
    </row>
    <row r="853" spans="1:11">
      <c r="A853" t="s">
        <v>2974</v>
      </c>
      <c r="B853">
        <v>1980</v>
      </c>
      <c r="C853" t="s">
        <v>4696</v>
      </c>
      <c r="D853">
        <v>26</v>
      </c>
      <c r="E853">
        <v>1</v>
      </c>
      <c r="F853" s="13">
        <v>7045.5</v>
      </c>
      <c r="G853" t="s">
        <v>4697</v>
      </c>
      <c r="H853" t="s">
        <v>4701</v>
      </c>
      <c r="I853" t="s">
        <v>4708</v>
      </c>
      <c r="J853" s="10">
        <f t="shared" si="26"/>
        <v>29428</v>
      </c>
      <c r="K853">
        <f t="shared" si="27"/>
        <v>42</v>
      </c>
    </row>
    <row r="854" spans="1:11">
      <c r="A854" t="s">
        <v>2972</v>
      </c>
      <c r="B854">
        <v>1980</v>
      </c>
      <c r="C854" t="s">
        <v>4707</v>
      </c>
      <c r="D854">
        <v>22</v>
      </c>
      <c r="E854">
        <v>1</v>
      </c>
      <c r="F854" s="13">
        <v>7046.72</v>
      </c>
      <c r="G854" t="s">
        <v>4697</v>
      </c>
      <c r="H854" t="s">
        <v>4698</v>
      </c>
      <c r="I854" t="s">
        <v>4699</v>
      </c>
      <c r="J854" s="10">
        <f t="shared" si="26"/>
        <v>29516</v>
      </c>
      <c r="K854">
        <f t="shared" si="27"/>
        <v>42</v>
      </c>
    </row>
    <row r="855" spans="1:11">
      <c r="A855" t="s">
        <v>2970</v>
      </c>
      <c r="B855">
        <v>1980</v>
      </c>
      <c r="C855" t="s">
        <v>4696</v>
      </c>
      <c r="D855">
        <v>21</v>
      </c>
      <c r="E855">
        <v>0</v>
      </c>
      <c r="F855" s="13">
        <v>7050.02</v>
      </c>
      <c r="G855" t="s">
        <v>4697</v>
      </c>
      <c r="H855" t="s">
        <v>4701</v>
      </c>
      <c r="I855" t="s">
        <v>4714</v>
      </c>
      <c r="J855" s="10">
        <f t="shared" si="26"/>
        <v>29423</v>
      </c>
      <c r="K855">
        <f t="shared" si="27"/>
        <v>42</v>
      </c>
    </row>
    <row r="856" spans="1:11">
      <c r="A856" t="s">
        <v>2968</v>
      </c>
      <c r="B856">
        <v>1980</v>
      </c>
      <c r="C856" t="s">
        <v>4702</v>
      </c>
      <c r="D856">
        <v>28</v>
      </c>
      <c r="E856">
        <v>1</v>
      </c>
      <c r="F856" s="13">
        <v>7050.64</v>
      </c>
      <c r="G856" t="s">
        <v>4697</v>
      </c>
      <c r="H856" t="s">
        <v>4698</v>
      </c>
      <c r="I856" t="s">
        <v>4708</v>
      </c>
      <c r="J856" s="10">
        <f t="shared" si="26"/>
        <v>29400</v>
      </c>
      <c r="K856">
        <f t="shared" si="27"/>
        <v>42</v>
      </c>
    </row>
    <row r="857" spans="1:11">
      <c r="A857" t="s">
        <v>2966</v>
      </c>
      <c r="B857">
        <v>1978</v>
      </c>
      <c r="C857" t="s">
        <v>4702</v>
      </c>
      <c r="D857">
        <v>24</v>
      </c>
      <c r="E857">
        <v>2</v>
      </c>
      <c r="F857" s="13">
        <v>7054.41</v>
      </c>
      <c r="G857" t="s">
        <v>4697</v>
      </c>
      <c r="H857" t="s">
        <v>4697</v>
      </c>
      <c r="I857" t="s">
        <v>4699</v>
      </c>
      <c r="J857" s="10">
        <f t="shared" si="26"/>
        <v>28665</v>
      </c>
      <c r="K857">
        <f t="shared" si="27"/>
        <v>44</v>
      </c>
    </row>
    <row r="858" spans="1:11">
      <c r="A858" t="s">
        <v>2964</v>
      </c>
      <c r="B858">
        <v>1982</v>
      </c>
      <c r="C858" t="s">
        <v>4707</v>
      </c>
      <c r="D858">
        <v>6</v>
      </c>
      <c r="E858">
        <v>1</v>
      </c>
      <c r="F858" s="13">
        <v>7077.19</v>
      </c>
      <c r="G858" t="s">
        <v>4697</v>
      </c>
      <c r="H858" t="s">
        <v>4698</v>
      </c>
      <c r="I858" t="s">
        <v>4714</v>
      </c>
      <c r="J858" s="10">
        <f t="shared" si="26"/>
        <v>30230</v>
      </c>
      <c r="K858">
        <f t="shared" si="27"/>
        <v>40</v>
      </c>
    </row>
    <row r="859" spans="1:11">
      <c r="A859" t="s">
        <v>2962</v>
      </c>
      <c r="B859">
        <v>1992</v>
      </c>
      <c r="C859" t="s">
        <v>4702</v>
      </c>
      <c r="D859">
        <v>18</v>
      </c>
      <c r="E859">
        <v>0</v>
      </c>
      <c r="F859" s="13">
        <v>7096.98</v>
      </c>
      <c r="G859" t="s">
        <v>4697</v>
      </c>
      <c r="H859" t="s">
        <v>4697</v>
      </c>
      <c r="I859" t="s">
        <v>4704</v>
      </c>
      <c r="J859" s="10">
        <f t="shared" si="26"/>
        <v>33773</v>
      </c>
      <c r="K859">
        <f t="shared" si="27"/>
        <v>30</v>
      </c>
    </row>
    <row r="860" spans="1:11">
      <c r="A860" t="s">
        <v>2960</v>
      </c>
      <c r="B860">
        <v>1987</v>
      </c>
      <c r="C860" t="s">
        <v>4706</v>
      </c>
      <c r="D860">
        <v>11</v>
      </c>
      <c r="E860">
        <v>3</v>
      </c>
      <c r="F860" s="13">
        <v>7106.81</v>
      </c>
      <c r="G860" t="s">
        <v>4697</v>
      </c>
      <c r="H860" t="s">
        <v>4701</v>
      </c>
      <c r="I860" t="s">
        <v>4704</v>
      </c>
      <c r="J860" s="10">
        <f t="shared" si="26"/>
        <v>32000</v>
      </c>
      <c r="K860">
        <f t="shared" si="27"/>
        <v>35</v>
      </c>
    </row>
    <row r="861" spans="1:11">
      <c r="A861" t="s">
        <v>2958</v>
      </c>
      <c r="B861">
        <v>1968</v>
      </c>
      <c r="C861" t="s">
        <v>4702</v>
      </c>
      <c r="D861">
        <v>29</v>
      </c>
      <c r="E861">
        <v>0</v>
      </c>
      <c r="F861" s="13">
        <v>7125.25</v>
      </c>
      <c r="G861" t="s">
        <v>4698</v>
      </c>
      <c r="H861" t="s">
        <v>4697</v>
      </c>
      <c r="I861" t="s">
        <v>4699</v>
      </c>
      <c r="J861" s="10">
        <f t="shared" si="26"/>
        <v>25018</v>
      </c>
      <c r="K861">
        <f t="shared" si="27"/>
        <v>54</v>
      </c>
    </row>
    <row r="862" spans="1:11">
      <c r="A862" t="s">
        <v>2956</v>
      </c>
      <c r="B862">
        <v>1993</v>
      </c>
      <c r="C862" t="s">
        <v>4706</v>
      </c>
      <c r="D862">
        <v>1</v>
      </c>
      <c r="E862">
        <v>0</v>
      </c>
      <c r="F862" s="13">
        <v>7128.64</v>
      </c>
      <c r="G862" t="s">
        <v>4697</v>
      </c>
      <c r="H862" t="s">
        <v>4697</v>
      </c>
      <c r="I862" t="s">
        <v>4717</v>
      </c>
      <c r="J862" s="10">
        <f t="shared" si="26"/>
        <v>34182</v>
      </c>
      <c r="K862">
        <f t="shared" si="27"/>
        <v>29</v>
      </c>
    </row>
    <row r="863" spans="1:11">
      <c r="A863" t="s">
        <v>2954</v>
      </c>
      <c r="B863">
        <v>1984</v>
      </c>
      <c r="C863" t="s">
        <v>4696</v>
      </c>
      <c r="D863">
        <v>7</v>
      </c>
      <c r="E863">
        <v>2</v>
      </c>
      <c r="F863" s="13">
        <v>7133.9</v>
      </c>
      <c r="G863" t="s">
        <v>4697</v>
      </c>
      <c r="H863" t="s">
        <v>4701</v>
      </c>
      <c r="I863" t="s">
        <v>4714</v>
      </c>
      <c r="J863" s="10">
        <f t="shared" si="26"/>
        <v>30870</v>
      </c>
      <c r="K863">
        <f t="shared" si="27"/>
        <v>38</v>
      </c>
    </row>
    <row r="864" spans="1:11">
      <c r="A864" t="s">
        <v>2952</v>
      </c>
      <c r="B864">
        <v>1999</v>
      </c>
      <c r="C864" t="s">
        <v>4706</v>
      </c>
      <c r="D864">
        <v>8</v>
      </c>
      <c r="E864">
        <v>0</v>
      </c>
      <c r="F864" s="13">
        <v>7144.4</v>
      </c>
      <c r="G864" t="s">
        <v>4697</v>
      </c>
      <c r="H864" t="s">
        <v>4701</v>
      </c>
      <c r="I864" t="s">
        <v>4721</v>
      </c>
      <c r="J864" s="10">
        <f t="shared" si="26"/>
        <v>36380</v>
      </c>
      <c r="K864">
        <f t="shared" si="27"/>
        <v>23</v>
      </c>
    </row>
    <row r="865" spans="1:11">
      <c r="A865" t="s">
        <v>2950</v>
      </c>
      <c r="B865">
        <v>1984</v>
      </c>
      <c r="C865" t="s">
        <v>4700</v>
      </c>
      <c r="D865">
        <v>21</v>
      </c>
      <c r="E865">
        <v>2</v>
      </c>
      <c r="F865" s="13">
        <v>7144.86</v>
      </c>
      <c r="G865" t="s">
        <v>4697</v>
      </c>
      <c r="H865" t="s">
        <v>4697</v>
      </c>
      <c r="I865" t="s">
        <v>4714</v>
      </c>
      <c r="J865" s="10">
        <f t="shared" si="26"/>
        <v>31007</v>
      </c>
      <c r="K865">
        <f t="shared" si="27"/>
        <v>38</v>
      </c>
    </row>
    <row r="866" spans="1:11">
      <c r="A866" t="s">
        <v>2948</v>
      </c>
      <c r="B866">
        <v>1976</v>
      </c>
      <c r="C866" t="s">
        <v>4702</v>
      </c>
      <c r="D866">
        <v>24</v>
      </c>
      <c r="E866">
        <v>0</v>
      </c>
      <c r="F866" s="13">
        <v>7147.11</v>
      </c>
      <c r="G866" t="s">
        <v>4698</v>
      </c>
      <c r="H866" t="s">
        <v>4697</v>
      </c>
      <c r="I866" t="s">
        <v>4708</v>
      </c>
      <c r="J866" s="10">
        <f t="shared" si="26"/>
        <v>27935</v>
      </c>
      <c r="K866">
        <f t="shared" si="27"/>
        <v>46</v>
      </c>
    </row>
    <row r="867" spans="1:11">
      <c r="A867" t="s">
        <v>2946</v>
      </c>
      <c r="B867">
        <v>1978</v>
      </c>
      <c r="C867" t="s">
        <v>4696</v>
      </c>
      <c r="D867">
        <v>30</v>
      </c>
      <c r="E867">
        <v>1</v>
      </c>
      <c r="F867" s="13">
        <v>7147.47</v>
      </c>
      <c r="G867" t="s">
        <v>4697</v>
      </c>
      <c r="H867" t="s">
        <v>4698</v>
      </c>
      <c r="I867" t="s">
        <v>4699</v>
      </c>
      <c r="J867" s="10">
        <f t="shared" si="26"/>
        <v>28701</v>
      </c>
      <c r="K867">
        <f t="shared" si="27"/>
        <v>44</v>
      </c>
    </row>
    <row r="868" spans="1:11">
      <c r="A868" t="s">
        <v>2944</v>
      </c>
      <c r="B868">
        <v>1984</v>
      </c>
      <c r="C868" t="s">
        <v>4702</v>
      </c>
      <c r="D868">
        <v>29</v>
      </c>
      <c r="E868">
        <v>3</v>
      </c>
      <c r="F868" s="13">
        <v>7151.09</v>
      </c>
      <c r="G868" t="s">
        <v>4697</v>
      </c>
      <c r="H868" t="s">
        <v>4697</v>
      </c>
      <c r="I868" t="s">
        <v>4708</v>
      </c>
      <c r="J868" s="10">
        <f t="shared" si="26"/>
        <v>30862</v>
      </c>
      <c r="K868">
        <f t="shared" si="27"/>
        <v>38</v>
      </c>
    </row>
    <row r="869" spans="1:11">
      <c r="A869" t="s">
        <v>2942</v>
      </c>
      <c r="B869">
        <v>1978</v>
      </c>
      <c r="C869" t="s">
        <v>4703</v>
      </c>
      <c r="D869">
        <v>6</v>
      </c>
      <c r="E869">
        <v>1</v>
      </c>
      <c r="F869" s="13">
        <v>7152.67</v>
      </c>
      <c r="G869" t="s">
        <v>4698</v>
      </c>
      <c r="H869" t="s">
        <v>4697</v>
      </c>
      <c r="I869" t="s">
        <v>4699</v>
      </c>
      <c r="J869" s="10">
        <f t="shared" si="26"/>
        <v>28739</v>
      </c>
      <c r="K869">
        <f t="shared" si="27"/>
        <v>44</v>
      </c>
    </row>
    <row r="870" spans="1:11">
      <c r="A870" t="s">
        <v>2940</v>
      </c>
      <c r="B870">
        <v>1981</v>
      </c>
      <c r="C870" t="s">
        <v>4696</v>
      </c>
      <c r="D870">
        <v>17</v>
      </c>
      <c r="E870">
        <v>1</v>
      </c>
      <c r="F870" s="13">
        <v>7153.55</v>
      </c>
      <c r="G870" t="s">
        <v>4697</v>
      </c>
      <c r="H870" t="s">
        <v>4701</v>
      </c>
      <c r="I870" t="s">
        <v>4704</v>
      </c>
      <c r="J870" s="10">
        <f t="shared" si="26"/>
        <v>29784</v>
      </c>
      <c r="K870">
        <f t="shared" si="27"/>
        <v>41</v>
      </c>
    </row>
    <row r="871" spans="1:11">
      <c r="A871" t="s">
        <v>2938</v>
      </c>
      <c r="B871">
        <v>1980</v>
      </c>
      <c r="C871" t="s">
        <v>4702</v>
      </c>
      <c r="D871">
        <v>22</v>
      </c>
      <c r="E871">
        <v>2</v>
      </c>
      <c r="F871" s="13">
        <v>7160.09</v>
      </c>
      <c r="G871" t="s">
        <v>4697</v>
      </c>
      <c r="H871" t="s">
        <v>4697</v>
      </c>
      <c r="I871" t="s">
        <v>4708</v>
      </c>
      <c r="J871" s="10">
        <f t="shared" si="26"/>
        <v>29394</v>
      </c>
      <c r="K871">
        <f t="shared" si="27"/>
        <v>42</v>
      </c>
    </row>
    <row r="872" spans="1:11">
      <c r="A872" t="s">
        <v>2936</v>
      </c>
      <c r="B872">
        <v>1980</v>
      </c>
      <c r="C872" t="s">
        <v>4707</v>
      </c>
      <c r="D872">
        <v>7</v>
      </c>
      <c r="E872">
        <v>2</v>
      </c>
      <c r="F872" s="13">
        <v>7160.33</v>
      </c>
      <c r="G872" t="s">
        <v>4697</v>
      </c>
      <c r="H872" t="s">
        <v>4701</v>
      </c>
      <c r="I872" t="s">
        <v>4699</v>
      </c>
      <c r="J872" s="10">
        <f t="shared" si="26"/>
        <v>29501</v>
      </c>
      <c r="K872">
        <f t="shared" si="27"/>
        <v>42</v>
      </c>
    </row>
    <row r="873" spans="1:11">
      <c r="A873" t="s">
        <v>2934</v>
      </c>
      <c r="B873">
        <v>1980</v>
      </c>
      <c r="C873" t="s">
        <v>4703</v>
      </c>
      <c r="D873">
        <v>30</v>
      </c>
      <c r="E873">
        <v>2</v>
      </c>
      <c r="F873" s="13">
        <v>7162.01</v>
      </c>
      <c r="G873" t="s">
        <v>4697</v>
      </c>
      <c r="H873" t="s">
        <v>4698</v>
      </c>
      <c r="I873" t="s">
        <v>4699</v>
      </c>
      <c r="J873" s="10">
        <f t="shared" si="26"/>
        <v>29494</v>
      </c>
      <c r="K873">
        <f t="shared" si="27"/>
        <v>42</v>
      </c>
    </row>
    <row r="874" spans="1:11">
      <c r="A874" t="s">
        <v>2932</v>
      </c>
      <c r="B874">
        <v>1982</v>
      </c>
      <c r="C874" t="s">
        <v>4706</v>
      </c>
      <c r="D874">
        <v>16</v>
      </c>
      <c r="E874">
        <v>2</v>
      </c>
      <c r="F874" s="13">
        <v>7173.36</v>
      </c>
      <c r="G874" t="s">
        <v>4698</v>
      </c>
      <c r="H874" t="s">
        <v>4697</v>
      </c>
      <c r="I874" t="s">
        <v>4711</v>
      </c>
      <c r="J874" s="10">
        <f t="shared" si="26"/>
        <v>30179</v>
      </c>
      <c r="K874">
        <f t="shared" si="27"/>
        <v>40</v>
      </c>
    </row>
    <row r="875" spans="1:11">
      <c r="A875" t="s">
        <v>2930</v>
      </c>
      <c r="B875">
        <v>1975</v>
      </c>
      <c r="C875" t="s">
        <v>4696</v>
      </c>
      <c r="D875">
        <v>19</v>
      </c>
      <c r="E875">
        <v>1</v>
      </c>
      <c r="F875" s="13">
        <v>7175.51</v>
      </c>
      <c r="G875" t="s">
        <v>4697</v>
      </c>
      <c r="H875" t="s">
        <v>4698</v>
      </c>
      <c r="I875" t="s">
        <v>4699</v>
      </c>
      <c r="J875" s="10">
        <f t="shared" si="26"/>
        <v>27594</v>
      </c>
      <c r="K875">
        <f t="shared" si="27"/>
        <v>47</v>
      </c>
    </row>
    <row r="876" spans="1:11">
      <c r="A876" t="s">
        <v>2928</v>
      </c>
      <c r="B876">
        <v>1968</v>
      </c>
      <c r="C876" t="s">
        <v>4706</v>
      </c>
      <c r="D876">
        <v>26</v>
      </c>
      <c r="E876">
        <v>0</v>
      </c>
      <c r="F876" s="13">
        <v>7179.52</v>
      </c>
      <c r="G876" t="s">
        <v>4698</v>
      </c>
      <c r="H876" t="s">
        <v>4698</v>
      </c>
      <c r="I876" t="s">
        <v>4699</v>
      </c>
      <c r="J876" s="10">
        <f t="shared" si="26"/>
        <v>25076</v>
      </c>
      <c r="K876">
        <f t="shared" si="27"/>
        <v>54</v>
      </c>
    </row>
    <row r="877" spans="1:11">
      <c r="A877" t="s">
        <v>2926</v>
      </c>
      <c r="B877">
        <v>1982</v>
      </c>
      <c r="C877" t="s">
        <v>4703</v>
      </c>
      <c r="D877">
        <v>14</v>
      </c>
      <c r="E877">
        <v>3</v>
      </c>
      <c r="F877" s="13">
        <v>7196.87</v>
      </c>
      <c r="G877" t="s">
        <v>4698</v>
      </c>
      <c r="H877" t="s">
        <v>4697</v>
      </c>
      <c r="I877" t="s">
        <v>4708</v>
      </c>
      <c r="J877" s="10">
        <f t="shared" si="26"/>
        <v>30208</v>
      </c>
      <c r="K877">
        <f t="shared" si="27"/>
        <v>40</v>
      </c>
    </row>
    <row r="878" spans="1:11">
      <c r="A878" t="s">
        <v>2924</v>
      </c>
      <c r="B878">
        <v>1983</v>
      </c>
      <c r="C878" t="s">
        <v>4706</v>
      </c>
      <c r="D878">
        <v>11</v>
      </c>
      <c r="E878">
        <v>2</v>
      </c>
      <c r="F878" s="13">
        <v>7201.7</v>
      </c>
      <c r="G878" t="s">
        <v>4697</v>
      </c>
      <c r="H878" t="s">
        <v>4698</v>
      </c>
      <c r="I878" t="s">
        <v>4704</v>
      </c>
      <c r="J878" s="10">
        <f t="shared" si="26"/>
        <v>30539</v>
      </c>
      <c r="K878">
        <f t="shared" si="27"/>
        <v>39</v>
      </c>
    </row>
    <row r="879" spans="1:11">
      <c r="A879" t="s">
        <v>2922</v>
      </c>
      <c r="B879">
        <v>1983</v>
      </c>
      <c r="C879" t="s">
        <v>4700</v>
      </c>
      <c r="D879">
        <v>21</v>
      </c>
      <c r="E879">
        <v>2</v>
      </c>
      <c r="F879" s="13">
        <v>7209.49</v>
      </c>
      <c r="G879" t="s">
        <v>4697</v>
      </c>
      <c r="H879" t="s">
        <v>4698</v>
      </c>
      <c r="I879" t="s">
        <v>4704</v>
      </c>
      <c r="J879" s="10">
        <f t="shared" si="26"/>
        <v>30641</v>
      </c>
      <c r="K879">
        <f t="shared" si="27"/>
        <v>39</v>
      </c>
    </row>
    <row r="880" spans="1:11">
      <c r="A880" t="s">
        <v>2920</v>
      </c>
      <c r="B880">
        <v>1991</v>
      </c>
      <c r="C880" t="s">
        <v>4702</v>
      </c>
      <c r="D880">
        <v>28</v>
      </c>
      <c r="E880">
        <v>3</v>
      </c>
      <c r="F880" s="13">
        <v>7220.25</v>
      </c>
      <c r="G880" t="s">
        <v>4697</v>
      </c>
      <c r="H880" t="s">
        <v>4697</v>
      </c>
      <c r="I880" t="s">
        <v>4717</v>
      </c>
      <c r="J880" s="10">
        <f t="shared" si="26"/>
        <v>33417</v>
      </c>
      <c r="K880">
        <f t="shared" si="27"/>
        <v>31</v>
      </c>
    </row>
    <row r="881" spans="1:11">
      <c r="A881" t="s">
        <v>2918</v>
      </c>
      <c r="B881">
        <v>1977</v>
      </c>
      <c r="C881" t="s">
        <v>4703</v>
      </c>
      <c r="D881">
        <v>15</v>
      </c>
      <c r="E881">
        <v>0</v>
      </c>
      <c r="F881" s="13">
        <v>7222.79</v>
      </c>
      <c r="G881" t="s">
        <v>4698</v>
      </c>
      <c r="H881" t="s">
        <v>4698</v>
      </c>
      <c r="I881" t="s">
        <v>4704</v>
      </c>
      <c r="J881" s="10">
        <f t="shared" si="26"/>
        <v>28383</v>
      </c>
      <c r="K881">
        <f t="shared" si="27"/>
        <v>45</v>
      </c>
    </row>
    <row r="882" spans="1:11">
      <c r="A882" t="s">
        <v>2916</v>
      </c>
      <c r="B882">
        <v>1986</v>
      </c>
      <c r="C882" t="s">
        <v>4696</v>
      </c>
      <c r="D882">
        <v>13</v>
      </c>
      <c r="E882">
        <v>3</v>
      </c>
      <c r="F882" s="13">
        <v>7228.22</v>
      </c>
      <c r="G882" t="s">
        <v>4697</v>
      </c>
      <c r="H882" t="s">
        <v>4701</v>
      </c>
      <c r="I882" t="s">
        <v>4714</v>
      </c>
      <c r="J882" s="10">
        <f t="shared" si="26"/>
        <v>31606</v>
      </c>
      <c r="K882">
        <f t="shared" si="27"/>
        <v>36</v>
      </c>
    </row>
    <row r="883" spans="1:11">
      <c r="A883" t="s">
        <v>2914</v>
      </c>
      <c r="B883">
        <v>1986</v>
      </c>
      <c r="C883" t="s">
        <v>4703</v>
      </c>
      <c r="D883">
        <v>2</v>
      </c>
      <c r="E883">
        <v>4</v>
      </c>
      <c r="F883" s="13">
        <v>7243.81</v>
      </c>
      <c r="G883" t="s">
        <v>4697</v>
      </c>
      <c r="H883" t="s">
        <v>4698</v>
      </c>
      <c r="I883" t="s">
        <v>4699</v>
      </c>
      <c r="J883" s="10">
        <f t="shared" si="26"/>
        <v>31657</v>
      </c>
      <c r="K883">
        <f t="shared" si="27"/>
        <v>36</v>
      </c>
    </row>
    <row r="884" spans="1:11">
      <c r="A884" t="s">
        <v>2912</v>
      </c>
      <c r="B884">
        <v>1982</v>
      </c>
      <c r="C884" t="s">
        <v>4696</v>
      </c>
      <c r="D884">
        <v>24</v>
      </c>
      <c r="E884">
        <v>3</v>
      </c>
      <c r="F884" s="13">
        <v>7248.71</v>
      </c>
      <c r="G884" t="s">
        <v>4697</v>
      </c>
      <c r="H884" t="s">
        <v>4701</v>
      </c>
      <c r="I884" t="s">
        <v>4699</v>
      </c>
      <c r="J884" s="10">
        <f t="shared" si="26"/>
        <v>30156</v>
      </c>
      <c r="K884">
        <f t="shared" si="27"/>
        <v>40</v>
      </c>
    </row>
    <row r="885" spans="1:11">
      <c r="A885" t="s">
        <v>2910</v>
      </c>
      <c r="B885">
        <v>1981</v>
      </c>
      <c r="C885" t="s">
        <v>4706</v>
      </c>
      <c r="D885">
        <v>14</v>
      </c>
      <c r="E885">
        <v>2</v>
      </c>
      <c r="F885" s="13">
        <v>7256.72</v>
      </c>
      <c r="G885" t="s">
        <v>4698</v>
      </c>
      <c r="H885" t="s">
        <v>4697</v>
      </c>
      <c r="I885" t="s">
        <v>4704</v>
      </c>
      <c r="J885" s="10">
        <f t="shared" si="26"/>
        <v>29812</v>
      </c>
      <c r="K885">
        <f t="shared" si="27"/>
        <v>41</v>
      </c>
    </row>
    <row r="886" spans="1:11">
      <c r="A886" t="s">
        <v>2908</v>
      </c>
      <c r="B886">
        <v>1981</v>
      </c>
      <c r="C886" t="s">
        <v>4702</v>
      </c>
      <c r="D886">
        <v>13</v>
      </c>
      <c r="E886">
        <v>2</v>
      </c>
      <c r="F886" s="13">
        <v>7261.74</v>
      </c>
      <c r="G886" t="s">
        <v>4698</v>
      </c>
      <c r="H886" t="s">
        <v>4698</v>
      </c>
      <c r="I886" t="s">
        <v>4704</v>
      </c>
      <c r="J886" s="10">
        <f t="shared" si="26"/>
        <v>29750</v>
      </c>
      <c r="K886">
        <f t="shared" si="27"/>
        <v>41</v>
      </c>
    </row>
    <row r="887" spans="1:11">
      <c r="A887" t="s">
        <v>2906</v>
      </c>
      <c r="B887">
        <v>1973</v>
      </c>
      <c r="C887" t="s">
        <v>4707</v>
      </c>
      <c r="D887">
        <v>25</v>
      </c>
      <c r="E887">
        <v>0</v>
      </c>
      <c r="F887" s="13">
        <v>7265.58</v>
      </c>
      <c r="G887" t="s">
        <v>4697</v>
      </c>
      <c r="H887" t="s">
        <v>4697</v>
      </c>
      <c r="I887" t="s">
        <v>4699</v>
      </c>
      <c r="J887" s="10">
        <f t="shared" si="26"/>
        <v>26962</v>
      </c>
      <c r="K887">
        <f t="shared" si="27"/>
        <v>49</v>
      </c>
    </row>
    <row r="888" spans="1:11">
      <c r="A888" t="s">
        <v>2904</v>
      </c>
      <c r="B888">
        <v>1981</v>
      </c>
      <c r="C888" t="s">
        <v>4706</v>
      </c>
      <c r="D888">
        <v>4</v>
      </c>
      <c r="E888">
        <v>2</v>
      </c>
      <c r="F888" s="13">
        <v>7265.7</v>
      </c>
      <c r="G888" t="s">
        <v>4698</v>
      </c>
      <c r="H888" t="s">
        <v>4698</v>
      </c>
      <c r="I888" t="s">
        <v>4704</v>
      </c>
      <c r="J888" s="10">
        <f t="shared" si="26"/>
        <v>29802</v>
      </c>
      <c r="K888">
        <f t="shared" si="27"/>
        <v>41</v>
      </c>
    </row>
    <row r="889" spans="1:11">
      <c r="A889" t="s">
        <v>2902</v>
      </c>
      <c r="B889">
        <v>1976</v>
      </c>
      <c r="C889" t="s">
        <v>4705</v>
      </c>
      <c r="D889">
        <v>18</v>
      </c>
      <c r="E889">
        <v>2</v>
      </c>
      <c r="F889" s="13">
        <v>7273.02</v>
      </c>
      <c r="G889" t="s">
        <v>4697</v>
      </c>
      <c r="H889" t="s">
        <v>4701</v>
      </c>
      <c r="I889" t="s">
        <v>4699</v>
      </c>
      <c r="J889" s="10">
        <f t="shared" si="26"/>
        <v>28112</v>
      </c>
      <c r="K889">
        <f t="shared" si="27"/>
        <v>46</v>
      </c>
    </row>
    <row r="890" spans="1:11">
      <c r="A890" t="s">
        <v>2900</v>
      </c>
      <c r="B890">
        <v>1985</v>
      </c>
      <c r="C890" t="s">
        <v>4700</v>
      </c>
      <c r="D890">
        <v>2</v>
      </c>
      <c r="E890">
        <v>3</v>
      </c>
      <c r="F890" s="13">
        <v>7281.51</v>
      </c>
      <c r="G890" t="s">
        <v>4697</v>
      </c>
      <c r="H890" t="s">
        <v>4701</v>
      </c>
      <c r="I890" t="s">
        <v>4704</v>
      </c>
      <c r="J890" s="10">
        <f t="shared" si="26"/>
        <v>31353</v>
      </c>
      <c r="K890">
        <f t="shared" si="27"/>
        <v>37</v>
      </c>
    </row>
    <row r="891" spans="1:11">
      <c r="A891" t="s">
        <v>2898</v>
      </c>
      <c r="B891">
        <v>1966</v>
      </c>
      <c r="C891" t="s">
        <v>4705</v>
      </c>
      <c r="D891">
        <v>26</v>
      </c>
      <c r="E891">
        <v>0</v>
      </c>
      <c r="F891" s="13">
        <v>7302.46</v>
      </c>
      <c r="G891" t="s">
        <v>4698</v>
      </c>
      <c r="H891" t="s">
        <v>4701</v>
      </c>
      <c r="I891" t="s">
        <v>4704</v>
      </c>
      <c r="J891" s="10">
        <f t="shared" si="26"/>
        <v>24467</v>
      </c>
      <c r="K891">
        <f t="shared" si="27"/>
        <v>56</v>
      </c>
    </row>
    <row r="892" spans="1:11">
      <c r="A892" t="s">
        <v>2896</v>
      </c>
      <c r="B892">
        <v>1965</v>
      </c>
      <c r="C892" t="s">
        <v>4702</v>
      </c>
      <c r="D892">
        <v>6</v>
      </c>
      <c r="E892">
        <v>0</v>
      </c>
      <c r="F892" s="13">
        <v>7304.65</v>
      </c>
      <c r="G892" t="s">
        <v>4698</v>
      </c>
      <c r="H892" t="s">
        <v>4698</v>
      </c>
      <c r="I892" t="s">
        <v>4699</v>
      </c>
      <c r="J892" s="10">
        <f t="shared" si="26"/>
        <v>23899</v>
      </c>
      <c r="K892">
        <f t="shared" si="27"/>
        <v>58</v>
      </c>
    </row>
    <row r="893" spans="1:11">
      <c r="A893" t="s">
        <v>2894</v>
      </c>
      <c r="B893">
        <v>1965</v>
      </c>
      <c r="C893" t="s">
        <v>4702</v>
      </c>
      <c r="D893">
        <v>25</v>
      </c>
      <c r="E893">
        <v>0</v>
      </c>
      <c r="F893" s="13">
        <v>7318.21</v>
      </c>
      <c r="G893" t="s">
        <v>4698</v>
      </c>
      <c r="H893" t="s">
        <v>4701</v>
      </c>
      <c r="I893" t="s">
        <v>4699</v>
      </c>
      <c r="J893" s="10">
        <f t="shared" si="26"/>
        <v>23918</v>
      </c>
      <c r="K893">
        <f t="shared" si="27"/>
        <v>57</v>
      </c>
    </row>
    <row r="894" spans="1:11">
      <c r="A894" t="s">
        <v>2892</v>
      </c>
      <c r="B894">
        <v>1972</v>
      </c>
      <c r="C894" t="s">
        <v>4706</v>
      </c>
      <c r="D894">
        <v>11</v>
      </c>
      <c r="E894">
        <v>0</v>
      </c>
      <c r="F894" s="13">
        <v>7318.22</v>
      </c>
      <c r="G894" t="s">
        <v>4697</v>
      </c>
      <c r="H894" t="s">
        <v>4698</v>
      </c>
      <c r="I894" t="s">
        <v>4704</v>
      </c>
      <c r="J894" s="10">
        <f t="shared" si="26"/>
        <v>26522</v>
      </c>
      <c r="K894">
        <f t="shared" si="27"/>
        <v>50</v>
      </c>
    </row>
    <row r="895" spans="1:11">
      <c r="A895" t="s">
        <v>2890</v>
      </c>
      <c r="B895">
        <v>1965</v>
      </c>
      <c r="C895" t="s">
        <v>4696</v>
      </c>
      <c r="D895">
        <v>11</v>
      </c>
      <c r="E895">
        <v>0</v>
      </c>
      <c r="F895" s="13">
        <v>7322.86</v>
      </c>
      <c r="G895" t="s">
        <v>4698</v>
      </c>
      <c r="H895" t="s">
        <v>4698</v>
      </c>
      <c r="I895" t="s">
        <v>4704</v>
      </c>
      <c r="J895" s="10">
        <f t="shared" si="26"/>
        <v>23934</v>
      </c>
      <c r="K895">
        <f t="shared" si="27"/>
        <v>57</v>
      </c>
    </row>
    <row r="896" spans="1:11">
      <c r="A896" t="s">
        <v>2888</v>
      </c>
      <c r="B896">
        <v>2004</v>
      </c>
      <c r="C896" t="s">
        <v>4700</v>
      </c>
      <c r="D896">
        <v>15</v>
      </c>
      <c r="E896">
        <v>0</v>
      </c>
      <c r="F896" s="13">
        <v>7323.73</v>
      </c>
      <c r="G896" t="s">
        <v>4697</v>
      </c>
      <c r="H896" t="s">
        <v>4697</v>
      </c>
      <c r="I896" t="s">
        <v>4714</v>
      </c>
      <c r="J896" s="10">
        <f t="shared" si="26"/>
        <v>38306</v>
      </c>
      <c r="K896">
        <f t="shared" si="27"/>
        <v>18</v>
      </c>
    </row>
    <row r="897" spans="1:11">
      <c r="A897" t="s">
        <v>2886</v>
      </c>
      <c r="B897">
        <v>1979</v>
      </c>
      <c r="C897" t="s">
        <v>4702</v>
      </c>
      <c r="D897">
        <v>19</v>
      </c>
      <c r="E897">
        <v>0</v>
      </c>
      <c r="F897" s="13">
        <v>7325.05</v>
      </c>
      <c r="G897" t="s">
        <v>4697</v>
      </c>
      <c r="H897" t="s">
        <v>4698</v>
      </c>
      <c r="I897" t="s">
        <v>4714</v>
      </c>
      <c r="J897" s="10">
        <f t="shared" si="26"/>
        <v>29025</v>
      </c>
      <c r="K897">
        <f t="shared" si="27"/>
        <v>43</v>
      </c>
    </row>
    <row r="898" spans="1:11">
      <c r="A898" t="s">
        <v>2884</v>
      </c>
      <c r="B898">
        <v>1984</v>
      </c>
      <c r="C898" t="s">
        <v>4696</v>
      </c>
      <c r="D898">
        <v>25</v>
      </c>
      <c r="E898">
        <v>3</v>
      </c>
      <c r="F898" s="13">
        <v>7325.47</v>
      </c>
      <c r="G898" t="s">
        <v>4697</v>
      </c>
      <c r="H898" t="s">
        <v>4701</v>
      </c>
      <c r="I898" t="s">
        <v>4704</v>
      </c>
      <c r="J898" s="10">
        <f t="shared" ref="J898:J961" si="28">DATEVALUE(D898&amp;"-"&amp;C898&amp;"-"&amp;B898)</f>
        <v>30888</v>
      </c>
      <c r="K898">
        <f t="shared" si="27"/>
        <v>38</v>
      </c>
    </row>
    <row r="899" spans="1:11">
      <c r="A899" t="s">
        <v>2882</v>
      </c>
      <c r="B899">
        <v>1979</v>
      </c>
      <c r="C899" t="s">
        <v>4703</v>
      </c>
      <c r="D899">
        <v>19</v>
      </c>
      <c r="E899">
        <v>1</v>
      </c>
      <c r="F899" s="13">
        <v>7337.75</v>
      </c>
      <c r="G899" t="s">
        <v>4697</v>
      </c>
      <c r="H899" t="s">
        <v>4698</v>
      </c>
      <c r="I899" t="s">
        <v>4708</v>
      </c>
      <c r="J899" s="10">
        <f t="shared" si="28"/>
        <v>29117</v>
      </c>
      <c r="K899">
        <f t="shared" ref="K899:K962" si="29">DATEDIF(J899, DATE(2023, 6, 8), "Y")</f>
        <v>43</v>
      </c>
    </row>
    <row r="900" spans="1:11">
      <c r="A900" t="s">
        <v>2880</v>
      </c>
      <c r="B900">
        <v>1986</v>
      </c>
      <c r="C900" t="s">
        <v>4702</v>
      </c>
      <c r="D900">
        <v>15</v>
      </c>
      <c r="E900">
        <v>3</v>
      </c>
      <c r="F900" s="13">
        <v>7339.93</v>
      </c>
      <c r="G900" t="s">
        <v>4697</v>
      </c>
      <c r="H900" t="s">
        <v>4697</v>
      </c>
      <c r="I900" t="s">
        <v>4704</v>
      </c>
      <c r="J900" s="10">
        <f t="shared" si="28"/>
        <v>31578</v>
      </c>
      <c r="K900">
        <f t="shared" si="29"/>
        <v>36</v>
      </c>
    </row>
    <row r="901" spans="1:11">
      <c r="A901" t="s">
        <v>2878</v>
      </c>
      <c r="B901">
        <v>1977</v>
      </c>
      <c r="C901" t="s">
        <v>4705</v>
      </c>
      <c r="D901">
        <v>18</v>
      </c>
      <c r="E901">
        <v>0</v>
      </c>
      <c r="F901" s="13">
        <v>7345.08</v>
      </c>
      <c r="G901" t="s">
        <v>4697</v>
      </c>
      <c r="H901" t="s">
        <v>4701</v>
      </c>
      <c r="I901" t="s">
        <v>4708</v>
      </c>
      <c r="J901" s="10">
        <f t="shared" si="28"/>
        <v>28477</v>
      </c>
      <c r="K901">
        <f t="shared" si="29"/>
        <v>45</v>
      </c>
    </row>
    <row r="902" spans="1:11">
      <c r="A902" t="s">
        <v>2876</v>
      </c>
      <c r="B902">
        <v>1979</v>
      </c>
      <c r="C902" t="s">
        <v>4702</v>
      </c>
      <c r="D902">
        <v>26</v>
      </c>
      <c r="E902">
        <v>1</v>
      </c>
      <c r="F902" s="13">
        <v>7345.73</v>
      </c>
      <c r="G902" t="s">
        <v>4697</v>
      </c>
      <c r="H902" t="s">
        <v>4701</v>
      </c>
      <c r="I902" t="s">
        <v>4699</v>
      </c>
      <c r="J902" s="10">
        <f t="shared" si="28"/>
        <v>29032</v>
      </c>
      <c r="K902">
        <f t="shared" si="29"/>
        <v>43</v>
      </c>
    </row>
    <row r="903" spans="1:11">
      <c r="A903" t="s">
        <v>2874</v>
      </c>
      <c r="B903">
        <v>1977</v>
      </c>
      <c r="C903" t="s">
        <v>4705</v>
      </c>
      <c r="D903">
        <v>1</v>
      </c>
      <c r="E903">
        <v>0</v>
      </c>
      <c r="F903" s="13">
        <v>7348.14</v>
      </c>
      <c r="G903" t="s">
        <v>4697</v>
      </c>
      <c r="H903" t="s">
        <v>4701</v>
      </c>
      <c r="I903" t="s">
        <v>4708</v>
      </c>
      <c r="J903" s="10">
        <f t="shared" si="28"/>
        <v>28460</v>
      </c>
      <c r="K903">
        <f t="shared" si="29"/>
        <v>45</v>
      </c>
    </row>
    <row r="904" spans="1:11">
      <c r="A904" t="s">
        <v>2872</v>
      </c>
      <c r="B904">
        <v>1993</v>
      </c>
      <c r="C904" t="s">
        <v>4707</v>
      </c>
      <c r="D904">
        <v>5</v>
      </c>
      <c r="E904">
        <v>0</v>
      </c>
      <c r="F904" s="13">
        <v>7349.12</v>
      </c>
      <c r="G904" t="s">
        <v>4697</v>
      </c>
      <c r="H904" t="s">
        <v>4697</v>
      </c>
      <c r="I904" t="s">
        <v>4717</v>
      </c>
      <c r="J904" s="10">
        <f t="shared" si="28"/>
        <v>34247</v>
      </c>
      <c r="K904">
        <f t="shared" si="29"/>
        <v>29</v>
      </c>
    </row>
    <row r="905" spans="1:11">
      <c r="A905" t="s">
        <v>2870</v>
      </c>
      <c r="B905">
        <v>1983</v>
      </c>
      <c r="C905" t="s">
        <v>4702</v>
      </c>
      <c r="D905">
        <v>21</v>
      </c>
      <c r="E905">
        <v>3</v>
      </c>
      <c r="F905" s="13">
        <v>7357.49</v>
      </c>
      <c r="G905" t="s">
        <v>4697</v>
      </c>
      <c r="H905" t="s">
        <v>4697</v>
      </c>
      <c r="I905" t="s">
        <v>4704</v>
      </c>
      <c r="J905" s="10">
        <f t="shared" si="28"/>
        <v>30488</v>
      </c>
      <c r="K905">
        <f t="shared" si="29"/>
        <v>39</v>
      </c>
    </row>
    <row r="906" spans="1:11">
      <c r="A906" t="s">
        <v>2868</v>
      </c>
      <c r="B906">
        <v>1981</v>
      </c>
      <c r="C906" t="s">
        <v>4696</v>
      </c>
      <c r="D906">
        <v>16</v>
      </c>
      <c r="E906">
        <v>1</v>
      </c>
      <c r="F906" s="13">
        <v>7358.18</v>
      </c>
      <c r="G906" t="s">
        <v>4697</v>
      </c>
      <c r="H906" t="s">
        <v>4698</v>
      </c>
      <c r="I906" t="s">
        <v>4714</v>
      </c>
      <c r="J906" s="10">
        <f t="shared" si="28"/>
        <v>29783</v>
      </c>
      <c r="K906">
        <f t="shared" si="29"/>
        <v>41</v>
      </c>
    </row>
    <row r="907" spans="1:11">
      <c r="A907" t="s">
        <v>2866</v>
      </c>
      <c r="B907">
        <v>1965</v>
      </c>
      <c r="C907" t="s">
        <v>4705</v>
      </c>
      <c r="D907">
        <v>9</v>
      </c>
      <c r="E907">
        <v>0</v>
      </c>
      <c r="F907" s="13">
        <v>7362.31</v>
      </c>
      <c r="G907" t="s">
        <v>4698</v>
      </c>
      <c r="H907" t="s">
        <v>4698</v>
      </c>
      <c r="I907" t="s">
        <v>4699</v>
      </c>
      <c r="J907" s="10">
        <f t="shared" si="28"/>
        <v>24085</v>
      </c>
      <c r="K907">
        <f t="shared" si="29"/>
        <v>57</v>
      </c>
    </row>
    <row r="908" spans="1:11">
      <c r="A908" t="s">
        <v>2864</v>
      </c>
      <c r="B908">
        <v>1981</v>
      </c>
      <c r="C908" t="s">
        <v>4700</v>
      </c>
      <c r="D908">
        <v>24</v>
      </c>
      <c r="E908">
        <v>2</v>
      </c>
      <c r="F908" s="13">
        <v>7371.77</v>
      </c>
      <c r="G908" t="s">
        <v>4697</v>
      </c>
      <c r="H908" t="s">
        <v>4701</v>
      </c>
      <c r="I908" t="s">
        <v>4708</v>
      </c>
      <c r="J908" s="10">
        <f t="shared" si="28"/>
        <v>29914</v>
      </c>
      <c r="K908">
        <f t="shared" si="29"/>
        <v>41</v>
      </c>
    </row>
    <row r="909" spans="1:11">
      <c r="A909" t="s">
        <v>2862</v>
      </c>
      <c r="B909">
        <v>1993</v>
      </c>
      <c r="C909" t="s">
        <v>4696</v>
      </c>
      <c r="D909">
        <v>22</v>
      </c>
      <c r="E909">
        <v>0</v>
      </c>
      <c r="F909" s="13">
        <v>7388.85</v>
      </c>
      <c r="G909" t="s">
        <v>4697</v>
      </c>
      <c r="H909" t="s">
        <v>4697</v>
      </c>
      <c r="I909" t="s">
        <v>4720</v>
      </c>
      <c r="J909" s="10">
        <f t="shared" si="28"/>
        <v>34172</v>
      </c>
      <c r="K909">
        <f t="shared" si="29"/>
        <v>29</v>
      </c>
    </row>
    <row r="910" spans="1:11">
      <c r="A910" t="s">
        <v>2860</v>
      </c>
      <c r="B910">
        <v>1965</v>
      </c>
      <c r="C910" t="s">
        <v>4705</v>
      </c>
      <c r="D910">
        <v>5</v>
      </c>
      <c r="E910">
        <v>0</v>
      </c>
      <c r="F910" s="13">
        <v>7403.98</v>
      </c>
      <c r="G910" t="s">
        <v>4698</v>
      </c>
      <c r="H910" t="s">
        <v>4697</v>
      </c>
      <c r="I910" t="s">
        <v>4699</v>
      </c>
      <c r="J910" s="10">
        <f t="shared" si="28"/>
        <v>24081</v>
      </c>
      <c r="K910">
        <f t="shared" si="29"/>
        <v>57</v>
      </c>
    </row>
    <row r="911" spans="1:11">
      <c r="A911" t="s">
        <v>2858</v>
      </c>
      <c r="B911">
        <v>1983</v>
      </c>
      <c r="C911" t="s">
        <v>4703</v>
      </c>
      <c r="D911">
        <v>19</v>
      </c>
      <c r="E911">
        <v>3</v>
      </c>
      <c r="F911" s="13">
        <v>7418.52</v>
      </c>
      <c r="G911" t="s">
        <v>4697</v>
      </c>
      <c r="H911" t="s">
        <v>4697</v>
      </c>
      <c r="I911" t="s">
        <v>4708</v>
      </c>
      <c r="J911" s="10">
        <f t="shared" si="28"/>
        <v>30578</v>
      </c>
      <c r="K911">
        <f t="shared" si="29"/>
        <v>39</v>
      </c>
    </row>
    <row r="912" spans="1:11">
      <c r="A912" t="s">
        <v>2856</v>
      </c>
      <c r="B912">
        <v>1978</v>
      </c>
      <c r="C912" t="s">
        <v>4700</v>
      </c>
      <c r="D912">
        <v>12</v>
      </c>
      <c r="E912">
        <v>0</v>
      </c>
      <c r="F912" s="13">
        <v>7419.48</v>
      </c>
      <c r="G912" t="s">
        <v>4697</v>
      </c>
      <c r="H912" t="s">
        <v>4697</v>
      </c>
      <c r="I912" t="s">
        <v>4704</v>
      </c>
      <c r="J912" s="10">
        <f t="shared" si="28"/>
        <v>28806</v>
      </c>
      <c r="K912">
        <f t="shared" si="29"/>
        <v>44</v>
      </c>
    </row>
    <row r="913" spans="1:11">
      <c r="A913" t="s">
        <v>2854</v>
      </c>
      <c r="B913">
        <v>1978</v>
      </c>
      <c r="C913" t="s">
        <v>4705</v>
      </c>
      <c r="D913">
        <v>2</v>
      </c>
      <c r="E913">
        <v>0</v>
      </c>
      <c r="F913" s="13">
        <v>7421.19</v>
      </c>
      <c r="G913" t="s">
        <v>4697</v>
      </c>
      <c r="H913" t="s">
        <v>4698</v>
      </c>
      <c r="I913" t="s">
        <v>4704</v>
      </c>
      <c r="J913" s="10">
        <f t="shared" si="28"/>
        <v>28826</v>
      </c>
      <c r="K913">
        <f t="shared" si="29"/>
        <v>44</v>
      </c>
    </row>
    <row r="914" spans="1:11">
      <c r="A914" t="s">
        <v>2852</v>
      </c>
      <c r="B914">
        <v>1977</v>
      </c>
      <c r="C914" t="s">
        <v>4706</v>
      </c>
      <c r="D914">
        <v>25</v>
      </c>
      <c r="E914">
        <v>1</v>
      </c>
      <c r="F914" s="13">
        <v>7441.05</v>
      </c>
      <c r="G914" t="s">
        <v>4698</v>
      </c>
      <c r="H914" t="s">
        <v>4697</v>
      </c>
      <c r="I914" t="s">
        <v>4708</v>
      </c>
      <c r="J914" s="10">
        <f t="shared" si="28"/>
        <v>28362</v>
      </c>
      <c r="K914">
        <f t="shared" si="29"/>
        <v>45</v>
      </c>
    </row>
    <row r="915" spans="1:11">
      <c r="A915" t="s">
        <v>2850</v>
      </c>
      <c r="B915">
        <v>1979</v>
      </c>
      <c r="C915" t="s">
        <v>4703</v>
      </c>
      <c r="D915">
        <v>1</v>
      </c>
      <c r="E915">
        <v>2</v>
      </c>
      <c r="F915" s="13">
        <v>7441.5</v>
      </c>
      <c r="G915" t="s">
        <v>4698</v>
      </c>
      <c r="H915" t="s">
        <v>4697</v>
      </c>
      <c r="I915" t="s">
        <v>4708</v>
      </c>
      <c r="J915" s="10">
        <f t="shared" si="28"/>
        <v>29099</v>
      </c>
      <c r="K915">
        <f t="shared" si="29"/>
        <v>43</v>
      </c>
    </row>
    <row r="916" spans="1:11">
      <c r="A916" t="s">
        <v>2848</v>
      </c>
      <c r="B916">
        <v>1980</v>
      </c>
      <c r="C916" t="s">
        <v>4696</v>
      </c>
      <c r="D916">
        <v>7</v>
      </c>
      <c r="E916">
        <v>1</v>
      </c>
      <c r="F916" s="13">
        <v>7443.64</v>
      </c>
      <c r="G916" t="s">
        <v>4697</v>
      </c>
      <c r="H916" t="s">
        <v>4698</v>
      </c>
      <c r="I916" t="s">
        <v>4704</v>
      </c>
      <c r="J916" s="10">
        <f t="shared" si="28"/>
        <v>29409</v>
      </c>
      <c r="K916">
        <f t="shared" si="29"/>
        <v>42</v>
      </c>
    </row>
    <row r="917" spans="1:11">
      <c r="A917" t="s">
        <v>2846</v>
      </c>
      <c r="B917">
        <v>1977</v>
      </c>
      <c r="C917" t="s">
        <v>4703</v>
      </c>
      <c r="D917">
        <v>25</v>
      </c>
      <c r="E917">
        <v>1</v>
      </c>
      <c r="F917" s="13">
        <v>7445.92</v>
      </c>
      <c r="G917" t="s">
        <v>4698</v>
      </c>
      <c r="H917" t="s">
        <v>4701</v>
      </c>
      <c r="I917" t="s">
        <v>4708</v>
      </c>
      <c r="J917" s="10">
        <f t="shared" si="28"/>
        <v>28393</v>
      </c>
      <c r="K917">
        <f t="shared" si="29"/>
        <v>45</v>
      </c>
    </row>
    <row r="918" spans="1:11">
      <c r="A918" t="s">
        <v>2844</v>
      </c>
      <c r="B918">
        <v>1977</v>
      </c>
      <c r="C918" t="s">
        <v>4703</v>
      </c>
      <c r="D918">
        <v>30</v>
      </c>
      <c r="E918">
        <v>0</v>
      </c>
      <c r="F918" s="13">
        <v>7448.4</v>
      </c>
      <c r="G918" t="s">
        <v>4698</v>
      </c>
      <c r="H918" t="s">
        <v>4698</v>
      </c>
      <c r="I918" t="s">
        <v>4718</v>
      </c>
      <c r="J918" s="10">
        <f t="shared" si="28"/>
        <v>28398</v>
      </c>
      <c r="K918">
        <f t="shared" si="29"/>
        <v>45</v>
      </c>
    </row>
    <row r="919" spans="1:11">
      <c r="A919" t="s">
        <v>2842</v>
      </c>
      <c r="B919">
        <v>2001</v>
      </c>
      <c r="C919" t="s">
        <v>4702</v>
      </c>
      <c r="D919">
        <v>1</v>
      </c>
      <c r="E919">
        <v>0</v>
      </c>
      <c r="F919" s="13">
        <v>7450.36</v>
      </c>
      <c r="G919" t="s">
        <v>4697</v>
      </c>
      <c r="H919" t="s">
        <v>4697</v>
      </c>
      <c r="I919" t="s">
        <v>4704</v>
      </c>
      <c r="J919" s="10">
        <f t="shared" si="28"/>
        <v>37043</v>
      </c>
      <c r="K919">
        <f t="shared" si="29"/>
        <v>22</v>
      </c>
    </row>
    <row r="920" spans="1:11">
      <c r="A920" t="s">
        <v>2840</v>
      </c>
      <c r="B920">
        <v>1967</v>
      </c>
      <c r="C920" t="s">
        <v>4706</v>
      </c>
      <c r="D920">
        <v>4</v>
      </c>
      <c r="E920">
        <v>0</v>
      </c>
      <c r="F920" s="13">
        <v>7463.51</v>
      </c>
      <c r="G920" t="s">
        <v>4698</v>
      </c>
      <c r="H920" t="s">
        <v>4698</v>
      </c>
      <c r="I920" t="s">
        <v>4699</v>
      </c>
      <c r="J920" s="10">
        <f t="shared" si="28"/>
        <v>24688</v>
      </c>
      <c r="K920">
        <f t="shared" si="29"/>
        <v>55</v>
      </c>
    </row>
    <row r="921" spans="1:11">
      <c r="A921" t="s">
        <v>2838</v>
      </c>
      <c r="B921">
        <v>1996</v>
      </c>
      <c r="C921" t="s">
        <v>4702</v>
      </c>
      <c r="D921">
        <v>14</v>
      </c>
      <c r="E921">
        <v>0</v>
      </c>
      <c r="F921" s="13">
        <v>7487.38</v>
      </c>
      <c r="G921" t="s">
        <v>4697</v>
      </c>
      <c r="H921" t="s">
        <v>4698</v>
      </c>
      <c r="I921" t="s">
        <v>4704</v>
      </c>
      <c r="J921" s="10">
        <f t="shared" si="28"/>
        <v>35230</v>
      </c>
      <c r="K921">
        <f t="shared" si="29"/>
        <v>26</v>
      </c>
    </row>
    <row r="922" spans="1:11">
      <c r="A922" t="s">
        <v>2836</v>
      </c>
      <c r="B922">
        <v>1988</v>
      </c>
      <c r="C922" t="s">
        <v>4705</v>
      </c>
      <c r="D922">
        <v>15</v>
      </c>
      <c r="E922">
        <v>3</v>
      </c>
      <c r="F922" s="13">
        <v>7494.63</v>
      </c>
      <c r="G922" t="s">
        <v>4697</v>
      </c>
      <c r="H922" t="s">
        <v>4698</v>
      </c>
      <c r="I922" t="s">
        <v>4713</v>
      </c>
      <c r="J922" s="10">
        <f t="shared" si="28"/>
        <v>32492</v>
      </c>
      <c r="K922">
        <f t="shared" si="29"/>
        <v>34</v>
      </c>
    </row>
    <row r="923" spans="1:11">
      <c r="A923" t="s">
        <v>2834</v>
      </c>
      <c r="B923">
        <v>1997</v>
      </c>
      <c r="C923" t="s">
        <v>4707</v>
      </c>
      <c r="D923">
        <v>28</v>
      </c>
      <c r="E923">
        <v>0</v>
      </c>
      <c r="F923" s="13">
        <v>7504.3</v>
      </c>
      <c r="G923" t="s">
        <v>4697</v>
      </c>
      <c r="H923" t="s">
        <v>4701</v>
      </c>
      <c r="I923" t="s">
        <v>4704</v>
      </c>
      <c r="J923" s="10">
        <f t="shared" si="28"/>
        <v>35731</v>
      </c>
      <c r="K923">
        <f t="shared" si="29"/>
        <v>25</v>
      </c>
    </row>
    <row r="924" spans="1:11">
      <c r="A924" t="s">
        <v>2832</v>
      </c>
      <c r="B924">
        <v>1983</v>
      </c>
      <c r="C924" t="s">
        <v>4696</v>
      </c>
      <c r="D924">
        <v>10</v>
      </c>
      <c r="E924">
        <v>4</v>
      </c>
      <c r="F924" s="13">
        <v>7512.27</v>
      </c>
      <c r="G924" t="s">
        <v>4698</v>
      </c>
      <c r="H924" t="s">
        <v>4697</v>
      </c>
      <c r="I924" t="s">
        <v>4708</v>
      </c>
      <c r="J924" s="10">
        <f t="shared" si="28"/>
        <v>30507</v>
      </c>
      <c r="K924">
        <f t="shared" si="29"/>
        <v>39</v>
      </c>
    </row>
    <row r="925" spans="1:11">
      <c r="A925" t="s">
        <v>2830</v>
      </c>
      <c r="B925">
        <v>1978</v>
      </c>
      <c r="C925" t="s">
        <v>4707</v>
      </c>
      <c r="D925">
        <v>18</v>
      </c>
      <c r="E925">
        <v>1</v>
      </c>
      <c r="F925" s="13">
        <v>7518.03</v>
      </c>
      <c r="G925" t="s">
        <v>4697</v>
      </c>
      <c r="H925" t="s">
        <v>4698</v>
      </c>
      <c r="I925" t="s">
        <v>4704</v>
      </c>
      <c r="J925" s="10">
        <f t="shared" si="28"/>
        <v>28781</v>
      </c>
      <c r="K925">
        <f t="shared" si="29"/>
        <v>44</v>
      </c>
    </row>
    <row r="926" spans="1:11">
      <c r="A926" t="s">
        <v>2828</v>
      </c>
      <c r="B926">
        <v>1976</v>
      </c>
      <c r="C926" t="s">
        <v>4707</v>
      </c>
      <c r="D926">
        <v>10</v>
      </c>
      <c r="E926">
        <v>0</v>
      </c>
      <c r="F926" s="13">
        <v>7526.71</v>
      </c>
      <c r="G926" t="s">
        <v>4698</v>
      </c>
      <c r="H926" t="s">
        <v>4701</v>
      </c>
      <c r="I926" t="s">
        <v>4704</v>
      </c>
      <c r="J926" s="10">
        <f t="shared" si="28"/>
        <v>28043</v>
      </c>
      <c r="K926">
        <f t="shared" si="29"/>
        <v>46</v>
      </c>
    </row>
    <row r="927" spans="1:11">
      <c r="A927" t="s">
        <v>2826</v>
      </c>
      <c r="B927">
        <v>1978</v>
      </c>
      <c r="C927" t="s">
        <v>4705</v>
      </c>
      <c r="D927">
        <v>14</v>
      </c>
      <c r="E927">
        <v>2</v>
      </c>
      <c r="F927" s="13">
        <v>7531.7</v>
      </c>
      <c r="G927" t="s">
        <v>4697</v>
      </c>
      <c r="H927" t="s">
        <v>4701</v>
      </c>
      <c r="I927" t="s">
        <v>4699</v>
      </c>
      <c r="J927" s="10">
        <f t="shared" si="28"/>
        <v>28838</v>
      </c>
      <c r="K927">
        <f t="shared" si="29"/>
        <v>44</v>
      </c>
    </row>
    <row r="928" spans="1:11">
      <c r="A928" t="s">
        <v>2824</v>
      </c>
      <c r="B928">
        <v>1984</v>
      </c>
      <c r="C928" t="s">
        <v>4706</v>
      </c>
      <c r="D928">
        <v>22</v>
      </c>
      <c r="E928">
        <v>3</v>
      </c>
      <c r="F928" s="13">
        <v>7537.16</v>
      </c>
      <c r="G928" t="s">
        <v>4697</v>
      </c>
      <c r="H928" t="s">
        <v>4697</v>
      </c>
      <c r="I928" t="s">
        <v>4704</v>
      </c>
      <c r="J928" s="10">
        <f t="shared" si="28"/>
        <v>30916</v>
      </c>
      <c r="K928">
        <f t="shared" si="29"/>
        <v>38</v>
      </c>
    </row>
    <row r="929" spans="1:11">
      <c r="A929" t="s">
        <v>2822</v>
      </c>
      <c r="B929">
        <v>1988</v>
      </c>
      <c r="C929" t="s">
        <v>4705</v>
      </c>
      <c r="D929">
        <v>15</v>
      </c>
      <c r="E929">
        <v>3</v>
      </c>
      <c r="F929" s="13">
        <v>7538.52</v>
      </c>
      <c r="G929" t="s">
        <v>4697</v>
      </c>
      <c r="H929" t="s">
        <v>4697</v>
      </c>
      <c r="I929" t="s">
        <v>4704</v>
      </c>
      <c r="J929" s="10">
        <f t="shared" si="28"/>
        <v>32492</v>
      </c>
      <c r="K929">
        <f t="shared" si="29"/>
        <v>34</v>
      </c>
    </row>
    <row r="930" spans="1:11">
      <c r="A930" t="s">
        <v>2820</v>
      </c>
      <c r="B930">
        <v>1994</v>
      </c>
      <c r="C930" t="s">
        <v>4706</v>
      </c>
      <c r="D930">
        <v>14</v>
      </c>
      <c r="E930">
        <v>0</v>
      </c>
      <c r="F930" s="13">
        <v>7567.13</v>
      </c>
      <c r="G930" t="s">
        <v>4697</v>
      </c>
      <c r="H930" t="s">
        <v>4697</v>
      </c>
      <c r="I930" t="s">
        <v>4717</v>
      </c>
      <c r="J930" s="10">
        <f t="shared" si="28"/>
        <v>34560</v>
      </c>
      <c r="K930">
        <f t="shared" si="29"/>
        <v>28</v>
      </c>
    </row>
    <row r="931" spans="1:11">
      <c r="A931" t="s">
        <v>2818</v>
      </c>
      <c r="B931">
        <v>1967</v>
      </c>
      <c r="C931" t="s">
        <v>4696</v>
      </c>
      <c r="D931">
        <v>17</v>
      </c>
      <c r="E931">
        <v>0</v>
      </c>
      <c r="F931" s="13">
        <v>7585.62</v>
      </c>
      <c r="G931" t="s">
        <v>4698</v>
      </c>
      <c r="H931" t="s">
        <v>4697</v>
      </c>
      <c r="I931" t="s">
        <v>4699</v>
      </c>
      <c r="J931" s="10">
        <f t="shared" si="28"/>
        <v>24670</v>
      </c>
      <c r="K931">
        <f t="shared" si="29"/>
        <v>55</v>
      </c>
    </row>
    <row r="932" spans="1:11">
      <c r="A932" t="s">
        <v>2816</v>
      </c>
      <c r="B932">
        <v>1997</v>
      </c>
      <c r="C932" t="s">
        <v>4703</v>
      </c>
      <c r="D932">
        <v>30</v>
      </c>
      <c r="E932">
        <v>0</v>
      </c>
      <c r="F932" s="13">
        <v>7607.03</v>
      </c>
      <c r="G932" t="s">
        <v>4697</v>
      </c>
      <c r="H932" t="s">
        <v>4697</v>
      </c>
      <c r="I932" t="s">
        <v>4704</v>
      </c>
      <c r="J932" s="10">
        <f t="shared" si="28"/>
        <v>35703</v>
      </c>
      <c r="K932">
        <f t="shared" si="29"/>
        <v>25</v>
      </c>
    </row>
    <row r="933" spans="1:11">
      <c r="A933" t="s">
        <v>2814</v>
      </c>
      <c r="B933">
        <v>1968</v>
      </c>
      <c r="C933" t="s">
        <v>4696</v>
      </c>
      <c r="D933">
        <v>3</v>
      </c>
      <c r="E933">
        <v>0</v>
      </c>
      <c r="F933" s="13">
        <v>7609.6</v>
      </c>
      <c r="G933" t="s">
        <v>4698</v>
      </c>
      <c r="H933" t="s">
        <v>4697</v>
      </c>
      <c r="I933" t="s">
        <v>4704</v>
      </c>
      <c r="J933" s="10">
        <f t="shared" si="28"/>
        <v>25022</v>
      </c>
      <c r="K933">
        <f t="shared" si="29"/>
        <v>54</v>
      </c>
    </row>
    <row r="934" spans="1:11">
      <c r="A934" t="s">
        <v>2812</v>
      </c>
      <c r="B934">
        <v>1996</v>
      </c>
      <c r="C934" t="s">
        <v>4703</v>
      </c>
      <c r="D934">
        <v>17</v>
      </c>
      <c r="E934">
        <v>0</v>
      </c>
      <c r="F934" s="13">
        <v>7623.13</v>
      </c>
      <c r="G934" t="s">
        <v>4697</v>
      </c>
      <c r="H934" t="s">
        <v>4698</v>
      </c>
      <c r="I934" t="s">
        <v>4708</v>
      </c>
      <c r="J934" s="10">
        <f t="shared" si="28"/>
        <v>35325</v>
      </c>
      <c r="K934">
        <f t="shared" si="29"/>
        <v>26</v>
      </c>
    </row>
    <row r="935" spans="1:11">
      <c r="A935" t="s">
        <v>2810</v>
      </c>
      <c r="B935">
        <v>1978</v>
      </c>
      <c r="C935" t="s">
        <v>4700</v>
      </c>
      <c r="D935">
        <v>28</v>
      </c>
      <c r="E935">
        <v>1</v>
      </c>
      <c r="F935" s="13">
        <v>7623.52</v>
      </c>
      <c r="G935" t="s">
        <v>4697</v>
      </c>
      <c r="H935" t="s">
        <v>4701</v>
      </c>
      <c r="I935" t="s">
        <v>4708</v>
      </c>
      <c r="J935" s="10">
        <f t="shared" si="28"/>
        <v>28822</v>
      </c>
      <c r="K935">
        <f t="shared" si="29"/>
        <v>44</v>
      </c>
    </row>
    <row r="936" spans="1:11">
      <c r="A936" t="s">
        <v>2808</v>
      </c>
      <c r="B936">
        <v>1978</v>
      </c>
      <c r="C936" t="s">
        <v>4700</v>
      </c>
      <c r="D936">
        <v>6</v>
      </c>
      <c r="E936">
        <v>1</v>
      </c>
      <c r="F936" s="13">
        <v>7624.63</v>
      </c>
      <c r="G936" t="s">
        <v>4697</v>
      </c>
      <c r="H936" t="s">
        <v>4701</v>
      </c>
      <c r="I936" t="s">
        <v>4708</v>
      </c>
      <c r="J936" s="10">
        <f t="shared" si="28"/>
        <v>28800</v>
      </c>
      <c r="K936">
        <f t="shared" si="29"/>
        <v>44</v>
      </c>
    </row>
    <row r="937" spans="1:11">
      <c r="A937" t="s">
        <v>2806</v>
      </c>
      <c r="B937">
        <v>1978</v>
      </c>
      <c r="C937" t="s">
        <v>4700</v>
      </c>
      <c r="D937">
        <v>29</v>
      </c>
      <c r="E937">
        <v>1</v>
      </c>
      <c r="F937" s="13">
        <v>7626.99</v>
      </c>
      <c r="G937" t="s">
        <v>4697</v>
      </c>
      <c r="H937" t="s">
        <v>4697</v>
      </c>
      <c r="I937" t="s">
        <v>4708</v>
      </c>
      <c r="J937" s="10">
        <f t="shared" si="28"/>
        <v>28823</v>
      </c>
      <c r="K937">
        <f t="shared" si="29"/>
        <v>44</v>
      </c>
    </row>
    <row r="938" spans="1:11">
      <c r="A938" t="s">
        <v>2804</v>
      </c>
      <c r="B938">
        <v>1978</v>
      </c>
      <c r="C938" t="s">
        <v>4706</v>
      </c>
      <c r="D938">
        <v>24</v>
      </c>
      <c r="E938">
        <v>1</v>
      </c>
      <c r="F938" s="13">
        <v>7633.72</v>
      </c>
      <c r="G938" t="s">
        <v>4697</v>
      </c>
      <c r="H938" t="s">
        <v>4701</v>
      </c>
      <c r="I938" t="s">
        <v>4699</v>
      </c>
      <c r="J938" s="10">
        <f t="shared" si="28"/>
        <v>28726</v>
      </c>
      <c r="K938">
        <f t="shared" si="29"/>
        <v>44</v>
      </c>
    </row>
    <row r="939" spans="1:11">
      <c r="A939" t="s">
        <v>2802</v>
      </c>
      <c r="B939">
        <v>2001</v>
      </c>
      <c r="C939" t="s">
        <v>4705</v>
      </c>
      <c r="D939">
        <v>13</v>
      </c>
      <c r="E939">
        <v>0</v>
      </c>
      <c r="F939" s="13">
        <v>7636.92</v>
      </c>
      <c r="G939" t="s">
        <v>4697</v>
      </c>
      <c r="H939" t="s">
        <v>4698</v>
      </c>
      <c r="I939" t="s">
        <v>4704</v>
      </c>
      <c r="J939" s="10">
        <f t="shared" si="28"/>
        <v>37238</v>
      </c>
      <c r="K939">
        <f t="shared" si="29"/>
        <v>21</v>
      </c>
    </row>
    <row r="940" spans="1:11">
      <c r="A940" t="s">
        <v>2800</v>
      </c>
      <c r="B940">
        <v>1980</v>
      </c>
      <c r="C940" t="s">
        <v>4702</v>
      </c>
      <c r="D940">
        <v>20</v>
      </c>
      <c r="E940">
        <v>1</v>
      </c>
      <c r="F940" s="13">
        <v>7639.42</v>
      </c>
      <c r="G940" t="s">
        <v>4697</v>
      </c>
      <c r="H940" t="s">
        <v>4697</v>
      </c>
      <c r="I940" t="s">
        <v>4714</v>
      </c>
      <c r="J940" s="10">
        <f t="shared" si="28"/>
        <v>29392</v>
      </c>
      <c r="K940">
        <f t="shared" si="29"/>
        <v>42</v>
      </c>
    </row>
    <row r="941" spans="1:11">
      <c r="A941" t="s">
        <v>2798</v>
      </c>
      <c r="B941">
        <v>1980</v>
      </c>
      <c r="C941" t="s">
        <v>4696</v>
      </c>
      <c r="D941">
        <v>24</v>
      </c>
      <c r="E941">
        <v>2</v>
      </c>
      <c r="F941" s="13">
        <v>7640.31</v>
      </c>
      <c r="G941" t="s">
        <v>4697</v>
      </c>
      <c r="H941" t="s">
        <v>4701</v>
      </c>
      <c r="I941" t="s">
        <v>4699</v>
      </c>
      <c r="J941" s="10">
        <f t="shared" si="28"/>
        <v>29426</v>
      </c>
      <c r="K941">
        <f t="shared" si="29"/>
        <v>42</v>
      </c>
    </row>
    <row r="942" spans="1:11">
      <c r="A942" t="s">
        <v>2796</v>
      </c>
      <c r="B942">
        <v>1999</v>
      </c>
      <c r="C942" t="s">
        <v>4702</v>
      </c>
      <c r="D942">
        <v>15</v>
      </c>
      <c r="E942">
        <v>0</v>
      </c>
      <c r="F942" s="13">
        <v>7642.05</v>
      </c>
      <c r="G942" t="s">
        <v>4697</v>
      </c>
      <c r="H942" t="s">
        <v>4697</v>
      </c>
      <c r="I942" t="s">
        <v>4720</v>
      </c>
      <c r="J942" s="10">
        <f t="shared" si="28"/>
        <v>36326</v>
      </c>
      <c r="K942">
        <f t="shared" si="29"/>
        <v>23</v>
      </c>
    </row>
    <row r="943" spans="1:11">
      <c r="A943" t="s">
        <v>2794</v>
      </c>
      <c r="B943">
        <v>1980</v>
      </c>
      <c r="C943" t="s">
        <v>4707</v>
      </c>
      <c r="D943">
        <v>16</v>
      </c>
      <c r="E943">
        <v>1</v>
      </c>
      <c r="F943" s="13">
        <v>7650.77</v>
      </c>
      <c r="G943" t="s">
        <v>4697</v>
      </c>
      <c r="H943" t="s">
        <v>4697</v>
      </c>
      <c r="I943" t="s">
        <v>4714</v>
      </c>
      <c r="J943" s="10">
        <f t="shared" si="28"/>
        <v>29510</v>
      </c>
      <c r="K943">
        <f t="shared" si="29"/>
        <v>42</v>
      </c>
    </row>
    <row r="944" spans="1:11">
      <c r="A944" t="s">
        <v>2792</v>
      </c>
      <c r="B944">
        <v>1993</v>
      </c>
      <c r="C944" t="s">
        <v>4706</v>
      </c>
      <c r="D944">
        <v>10</v>
      </c>
      <c r="E944">
        <v>0</v>
      </c>
      <c r="F944" s="13">
        <v>7650.8</v>
      </c>
      <c r="G944" t="s">
        <v>4697</v>
      </c>
      <c r="H944" t="s">
        <v>4697</v>
      </c>
      <c r="I944" t="s">
        <v>4704</v>
      </c>
      <c r="J944" s="10">
        <f t="shared" si="28"/>
        <v>34191</v>
      </c>
      <c r="K944">
        <f t="shared" si="29"/>
        <v>29</v>
      </c>
    </row>
    <row r="945" spans="1:11">
      <c r="A945" t="s">
        <v>2790</v>
      </c>
      <c r="B945">
        <v>1998</v>
      </c>
      <c r="C945" t="s">
        <v>4703</v>
      </c>
      <c r="D945">
        <v>30</v>
      </c>
      <c r="E945">
        <v>0</v>
      </c>
      <c r="F945" s="13">
        <v>7652.26</v>
      </c>
      <c r="G945" t="s">
        <v>4697</v>
      </c>
      <c r="H945" t="s">
        <v>4698</v>
      </c>
      <c r="I945" t="s">
        <v>4715</v>
      </c>
      <c r="J945" s="10">
        <f t="shared" si="28"/>
        <v>36068</v>
      </c>
      <c r="K945">
        <f t="shared" si="29"/>
        <v>24</v>
      </c>
    </row>
    <row r="946" spans="1:11">
      <c r="A946" t="s">
        <v>2788</v>
      </c>
      <c r="B946">
        <v>1965</v>
      </c>
      <c r="C946" t="s">
        <v>4705</v>
      </c>
      <c r="D946">
        <v>27</v>
      </c>
      <c r="E946">
        <v>0</v>
      </c>
      <c r="F946" s="13">
        <v>7657.69</v>
      </c>
      <c r="G946" t="s">
        <v>4698</v>
      </c>
      <c r="H946" t="s">
        <v>4698</v>
      </c>
      <c r="I946" t="s">
        <v>4704</v>
      </c>
      <c r="J946" s="10">
        <f t="shared" si="28"/>
        <v>24103</v>
      </c>
      <c r="K946">
        <f t="shared" si="29"/>
        <v>57</v>
      </c>
    </row>
    <row r="947" spans="1:11">
      <c r="A947" t="s">
        <v>2786</v>
      </c>
      <c r="B947">
        <v>1976</v>
      </c>
      <c r="C947" t="s">
        <v>4707</v>
      </c>
      <c r="D947">
        <v>9</v>
      </c>
      <c r="E947">
        <v>2</v>
      </c>
      <c r="F947" s="13">
        <v>7662.47</v>
      </c>
      <c r="G947" t="s">
        <v>4697</v>
      </c>
      <c r="H947" t="s">
        <v>4701</v>
      </c>
      <c r="I947" t="s">
        <v>4708</v>
      </c>
      <c r="J947" s="10">
        <f t="shared" si="28"/>
        <v>28042</v>
      </c>
      <c r="K947">
        <f t="shared" si="29"/>
        <v>46</v>
      </c>
    </row>
    <row r="948" spans="1:11">
      <c r="A948" t="s">
        <v>2784</v>
      </c>
      <c r="B948">
        <v>1996</v>
      </c>
      <c r="C948" t="s">
        <v>4700</v>
      </c>
      <c r="D948">
        <v>24</v>
      </c>
      <c r="E948">
        <v>0</v>
      </c>
      <c r="F948" s="13">
        <v>7670.75</v>
      </c>
      <c r="G948" t="s">
        <v>4697</v>
      </c>
      <c r="H948" t="s">
        <v>4697</v>
      </c>
      <c r="I948" t="s">
        <v>4721</v>
      </c>
      <c r="J948" s="10">
        <f t="shared" si="28"/>
        <v>35393</v>
      </c>
      <c r="K948">
        <f t="shared" si="29"/>
        <v>26</v>
      </c>
    </row>
    <row r="949" spans="1:11">
      <c r="A949" t="s">
        <v>2782</v>
      </c>
      <c r="B949">
        <v>1995</v>
      </c>
      <c r="C949" t="s">
        <v>4703</v>
      </c>
      <c r="D949">
        <v>13</v>
      </c>
      <c r="E949">
        <v>0</v>
      </c>
      <c r="F949" s="13">
        <v>7676.4</v>
      </c>
      <c r="G949" t="s">
        <v>4697</v>
      </c>
      <c r="H949" t="s">
        <v>4701</v>
      </c>
      <c r="I949" t="s">
        <v>4704</v>
      </c>
      <c r="J949" s="10">
        <f t="shared" si="28"/>
        <v>34955</v>
      </c>
      <c r="K949">
        <f t="shared" si="29"/>
        <v>27</v>
      </c>
    </row>
    <row r="950" spans="1:11">
      <c r="A950" t="s">
        <v>2780</v>
      </c>
      <c r="B950">
        <v>1971</v>
      </c>
      <c r="C950" t="s">
        <v>4707</v>
      </c>
      <c r="D950">
        <v>11</v>
      </c>
      <c r="E950">
        <v>0</v>
      </c>
      <c r="F950" s="13">
        <v>7680.92</v>
      </c>
      <c r="G950" t="s">
        <v>4697</v>
      </c>
      <c r="H950" t="s">
        <v>4701</v>
      </c>
      <c r="I950" t="s">
        <v>4699</v>
      </c>
      <c r="J950" s="10">
        <f t="shared" si="28"/>
        <v>26217</v>
      </c>
      <c r="K950">
        <f t="shared" si="29"/>
        <v>51</v>
      </c>
    </row>
    <row r="951" spans="1:11">
      <c r="A951" t="s">
        <v>2778</v>
      </c>
      <c r="B951">
        <v>1981</v>
      </c>
      <c r="C951" t="s">
        <v>4705</v>
      </c>
      <c r="D951">
        <v>19</v>
      </c>
      <c r="E951">
        <v>1</v>
      </c>
      <c r="F951" s="13">
        <v>7681.17</v>
      </c>
      <c r="G951" t="s">
        <v>4697</v>
      </c>
      <c r="H951" t="s">
        <v>4697</v>
      </c>
      <c r="I951" t="s">
        <v>4719</v>
      </c>
      <c r="J951" s="10">
        <f t="shared" si="28"/>
        <v>29939</v>
      </c>
      <c r="K951">
        <f t="shared" si="29"/>
        <v>41</v>
      </c>
    </row>
    <row r="952" spans="1:11">
      <c r="A952" t="s">
        <v>2776</v>
      </c>
      <c r="B952">
        <v>1982</v>
      </c>
      <c r="C952" t="s">
        <v>4705</v>
      </c>
      <c r="D952">
        <v>18</v>
      </c>
      <c r="E952">
        <v>3</v>
      </c>
      <c r="F952" s="13">
        <v>7682.67</v>
      </c>
      <c r="G952" t="s">
        <v>4697</v>
      </c>
      <c r="H952" t="s">
        <v>4701</v>
      </c>
      <c r="I952" t="s">
        <v>4699</v>
      </c>
      <c r="J952" s="10">
        <f t="shared" si="28"/>
        <v>30303</v>
      </c>
      <c r="K952">
        <f t="shared" si="29"/>
        <v>40</v>
      </c>
    </row>
    <row r="953" spans="1:11">
      <c r="A953" t="s">
        <v>2774</v>
      </c>
      <c r="B953">
        <v>1987</v>
      </c>
      <c r="C953" t="s">
        <v>4696</v>
      </c>
      <c r="D953">
        <v>12</v>
      </c>
      <c r="E953">
        <v>3</v>
      </c>
      <c r="F953" s="13">
        <v>7684.62</v>
      </c>
      <c r="G953" t="s">
        <v>4697</v>
      </c>
      <c r="H953" t="s">
        <v>4698</v>
      </c>
      <c r="I953" t="s">
        <v>4717</v>
      </c>
      <c r="J953" s="10">
        <f t="shared" si="28"/>
        <v>31970</v>
      </c>
      <c r="K953">
        <f t="shared" si="29"/>
        <v>35</v>
      </c>
    </row>
    <row r="954" spans="1:11">
      <c r="A954" t="s">
        <v>2772</v>
      </c>
      <c r="B954">
        <v>1978</v>
      </c>
      <c r="C954" t="s">
        <v>4705</v>
      </c>
      <c r="D954">
        <v>29</v>
      </c>
      <c r="E954">
        <v>2</v>
      </c>
      <c r="F954" s="13">
        <v>7726.85</v>
      </c>
      <c r="G954" t="s">
        <v>4701</v>
      </c>
      <c r="H954" t="s">
        <v>4697</v>
      </c>
      <c r="I954" t="s">
        <v>4708</v>
      </c>
      <c r="J954" s="10">
        <f t="shared" si="28"/>
        <v>28853</v>
      </c>
      <c r="K954">
        <f t="shared" si="29"/>
        <v>44</v>
      </c>
    </row>
    <row r="955" spans="1:11">
      <c r="A955" t="s">
        <v>2770</v>
      </c>
      <c r="B955">
        <v>1979</v>
      </c>
      <c r="C955" t="s">
        <v>4702</v>
      </c>
      <c r="D955">
        <v>2</v>
      </c>
      <c r="E955">
        <v>1</v>
      </c>
      <c r="F955" s="13">
        <v>7727.25</v>
      </c>
      <c r="G955" t="s">
        <v>4697</v>
      </c>
      <c r="H955" t="s">
        <v>4698</v>
      </c>
      <c r="I955" t="s">
        <v>4704</v>
      </c>
      <c r="J955" s="10">
        <f t="shared" si="28"/>
        <v>29008</v>
      </c>
      <c r="K955">
        <f t="shared" si="29"/>
        <v>44</v>
      </c>
    </row>
    <row r="956" spans="1:11">
      <c r="A956" t="s">
        <v>2768</v>
      </c>
      <c r="B956">
        <v>1980</v>
      </c>
      <c r="C956" t="s">
        <v>4703</v>
      </c>
      <c r="D956">
        <v>10</v>
      </c>
      <c r="E956">
        <v>2</v>
      </c>
      <c r="F956" s="13">
        <v>7729.65</v>
      </c>
      <c r="G956" t="s">
        <v>4698</v>
      </c>
      <c r="H956" t="s">
        <v>4701</v>
      </c>
      <c r="I956" t="s">
        <v>4711</v>
      </c>
      <c r="J956" s="10">
        <f t="shared" si="28"/>
        <v>29474</v>
      </c>
      <c r="K956">
        <f t="shared" si="29"/>
        <v>42</v>
      </c>
    </row>
    <row r="957" spans="1:11">
      <c r="A957" t="s">
        <v>2766</v>
      </c>
      <c r="B957">
        <v>1978</v>
      </c>
      <c r="C957" t="s">
        <v>4705</v>
      </c>
      <c r="D957">
        <v>4</v>
      </c>
      <c r="E957">
        <v>2</v>
      </c>
      <c r="F957" s="13">
        <v>7731.43</v>
      </c>
      <c r="G957" t="s">
        <v>4698</v>
      </c>
      <c r="H957" t="s">
        <v>4697</v>
      </c>
      <c r="I957" t="s">
        <v>4699</v>
      </c>
      <c r="J957" s="10">
        <f t="shared" si="28"/>
        <v>28828</v>
      </c>
      <c r="K957">
        <f t="shared" si="29"/>
        <v>44</v>
      </c>
    </row>
    <row r="958" spans="1:11">
      <c r="A958" t="s">
        <v>2764</v>
      </c>
      <c r="B958">
        <v>1977</v>
      </c>
      <c r="C958" t="s">
        <v>4706</v>
      </c>
      <c r="D958">
        <v>29</v>
      </c>
      <c r="E958">
        <v>0</v>
      </c>
      <c r="F958" s="13">
        <v>7731.86</v>
      </c>
      <c r="G958" t="s">
        <v>4697</v>
      </c>
      <c r="H958" t="s">
        <v>4698</v>
      </c>
      <c r="I958" t="s">
        <v>4704</v>
      </c>
      <c r="J958" s="10">
        <f t="shared" si="28"/>
        <v>28366</v>
      </c>
      <c r="K958">
        <f t="shared" si="29"/>
        <v>45</v>
      </c>
    </row>
    <row r="959" spans="1:11">
      <c r="A959" t="s">
        <v>2762</v>
      </c>
      <c r="B959">
        <v>1965</v>
      </c>
      <c r="C959" t="s">
        <v>4696</v>
      </c>
      <c r="D959">
        <v>18</v>
      </c>
      <c r="E959">
        <v>0</v>
      </c>
      <c r="F959" s="13">
        <v>7736.39</v>
      </c>
      <c r="G959" t="s">
        <v>4698</v>
      </c>
      <c r="H959" t="s">
        <v>4697</v>
      </c>
      <c r="I959" t="s">
        <v>4699</v>
      </c>
      <c r="J959" s="10">
        <f t="shared" si="28"/>
        <v>23941</v>
      </c>
      <c r="K959">
        <f t="shared" si="29"/>
        <v>57</v>
      </c>
    </row>
    <row r="960" spans="1:11">
      <c r="A960" t="s">
        <v>2760</v>
      </c>
      <c r="B960">
        <v>1978</v>
      </c>
      <c r="C960" t="s">
        <v>4703</v>
      </c>
      <c r="D960">
        <v>4</v>
      </c>
      <c r="E960">
        <v>2</v>
      </c>
      <c r="F960" s="13">
        <v>7740.34</v>
      </c>
      <c r="G960" t="s">
        <v>4701</v>
      </c>
      <c r="H960" t="s">
        <v>4701</v>
      </c>
      <c r="I960" t="s">
        <v>4708</v>
      </c>
      <c r="J960" s="10">
        <f t="shared" si="28"/>
        <v>28737</v>
      </c>
      <c r="K960">
        <f t="shared" si="29"/>
        <v>44</v>
      </c>
    </row>
    <row r="961" spans="1:11">
      <c r="A961" t="s">
        <v>2758</v>
      </c>
      <c r="B961">
        <v>1976</v>
      </c>
      <c r="C961" t="s">
        <v>4705</v>
      </c>
      <c r="D961">
        <v>12</v>
      </c>
      <c r="E961">
        <v>1</v>
      </c>
      <c r="F961" s="13">
        <v>7742.11</v>
      </c>
      <c r="G961" t="s">
        <v>4698</v>
      </c>
      <c r="H961" t="s">
        <v>4697</v>
      </c>
      <c r="I961" t="s">
        <v>4699</v>
      </c>
      <c r="J961" s="10">
        <f t="shared" si="28"/>
        <v>28106</v>
      </c>
      <c r="K961">
        <f t="shared" si="29"/>
        <v>46</v>
      </c>
    </row>
    <row r="962" spans="1:11">
      <c r="A962" t="s">
        <v>2756</v>
      </c>
      <c r="B962">
        <v>1981</v>
      </c>
      <c r="C962" t="s">
        <v>4702</v>
      </c>
      <c r="D962">
        <v>30</v>
      </c>
      <c r="E962">
        <v>2</v>
      </c>
      <c r="F962" s="13">
        <v>7749.16</v>
      </c>
      <c r="G962" t="s">
        <v>4697</v>
      </c>
      <c r="H962" t="s">
        <v>4701</v>
      </c>
      <c r="I962" t="s">
        <v>4704</v>
      </c>
      <c r="J962" s="10">
        <f t="shared" ref="J962:J1025" si="30">DATEVALUE(D962&amp;"-"&amp;C962&amp;"-"&amp;B962)</f>
        <v>29767</v>
      </c>
      <c r="K962">
        <f t="shared" si="29"/>
        <v>41</v>
      </c>
    </row>
    <row r="963" spans="1:11">
      <c r="A963" t="s">
        <v>2754</v>
      </c>
      <c r="B963">
        <v>1997</v>
      </c>
      <c r="C963" t="s">
        <v>4705</v>
      </c>
      <c r="D963">
        <v>21</v>
      </c>
      <c r="E963">
        <v>0</v>
      </c>
      <c r="F963" s="13">
        <v>7763.06</v>
      </c>
      <c r="G963" t="s">
        <v>4697</v>
      </c>
      <c r="H963" t="s">
        <v>4701</v>
      </c>
      <c r="I963" t="s">
        <v>4704</v>
      </c>
      <c r="J963" s="10">
        <f t="shared" si="30"/>
        <v>35785</v>
      </c>
      <c r="K963">
        <f t="shared" ref="K963:K1026" si="31">DATEDIF(J963, DATE(2023, 6, 8), "Y")</f>
        <v>25</v>
      </c>
    </row>
    <row r="964" spans="1:11">
      <c r="A964" t="s">
        <v>2752</v>
      </c>
      <c r="B964">
        <v>1974</v>
      </c>
      <c r="C964" t="s">
        <v>4705</v>
      </c>
      <c r="D964">
        <v>6</v>
      </c>
      <c r="E964">
        <v>0</v>
      </c>
      <c r="F964" s="13">
        <v>7789.64</v>
      </c>
      <c r="G964" t="s">
        <v>4701</v>
      </c>
      <c r="H964" t="s">
        <v>4698</v>
      </c>
      <c r="I964" t="s">
        <v>4699</v>
      </c>
      <c r="J964" s="10">
        <f t="shared" si="30"/>
        <v>27369</v>
      </c>
      <c r="K964">
        <f t="shared" si="31"/>
        <v>48</v>
      </c>
    </row>
    <row r="965" spans="1:11">
      <c r="A965" t="s">
        <v>2750</v>
      </c>
      <c r="B965">
        <v>1999</v>
      </c>
      <c r="C965" t="s">
        <v>4705</v>
      </c>
      <c r="D965">
        <v>25</v>
      </c>
      <c r="E965">
        <v>0</v>
      </c>
      <c r="F965" s="13">
        <v>7794.68</v>
      </c>
      <c r="G965" t="s">
        <v>4697</v>
      </c>
      <c r="H965" t="s">
        <v>4697</v>
      </c>
      <c r="I965" t="s">
        <v>4720</v>
      </c>
      <c r="J965" s="10">
        <f t="shared" si="30"/>
        <v>36519</v>
      </c>
      <c r="K965">
        <f t="shared" si="31"/>
        <v>23</v>
      </c>
    </row>
    <row r="966" spans="1:11">
      <c r="A966" t="s">
        <v>2748</v>
      </c>
      <c r="B966">
        <v>1997</v>
      </c>
      <c r="C966" t="s">
        <v>4705</v>
      </c>
      <c r="D966">
        <v>2</v>
      </c>
      <c r="E966">
        <v>0</v>
      </c>
      <c r="F966" s="13">
        <v>7803.77</v>
      </c>
      <c r="G966" t="s">
        <v>4697</v>
      </c>
      <c r="H966" t="s">
        <v>4698</v>
      </c>
      <c r="I966" t="s">
        <v>4704</v>
      </c>
      <c r="J966" s="10">
        <f t="shared" si="30"/>
        <v>35766</v>
      </c>
      <c r="K966">
        <f t="shared" si="31"/>
        <v>25</v>
      </c>
    </row>
    <row r="967" spans="1:11">
      <c r="A967" t="s">
        <v>2746</v>
      </c>
      <c r="B967">
        <v>1974</v>
      </c>
      <c r="C967" t="s">
        <v>4700</v>
      </c>
      <c r="D967">
        <v>9</v>
      </c>
      <c r="E967">
        <v>0</v>
      </c>
      <c r="F967" s="13">
        <v>7804.16</v>
      </c>
      <c r="G967" t="s">
        <v>4697</v>
      </c>
      <c r="H967" t="s">
        <v>4698</v>
      </c>
      <c r="I967" t="s">
        <v>4699</v>
      </c>
      <c r="J967" s="10">
        <f t="shared" si="30"/>
        <v>27342</v>
      </c>
      <c r="K967">
        <f t="shared" si="31"/>
        <v>48</v>
      </c>
    </row>
    <row r="968" spans="1:11">
      <c r="A968" t="s">
        <v>2744</v>
      </c>
      <c r="B968">
        <v>1991</v>
      </c>
      <c r="C968" t="s">
        <v>4705</v>
      </c>
      <c r="D968">
        <v>21</v>
      </c>
      <c r="E968">
        <v>3</v>
      </c>
      <c r="F968" s="13">
        <v>7812.67</v>
      </c>
      <c r="G968" t="s">
        <v>4697</v>
      </c>
      <c r="H968" t="s">
        <v>4701</v>
      </c>
      <c r="I968" t="s">
        <v>4704</v>
      </c>
      <c r="J968" s="10">
        <f t="shared" si="30"/>
        <v>33593</v>
      </c>
      <c r="K968">
        <f t="shared" si="31"/>
        <v>31</v>
      </c>
    </row>
    <row r="969" spans="1:11">
      <c r="A969" t="s">
        <v>2742</v>
      </c>
      <c r="B969">
        <v>1989</v>
      </c>
      <c r="C969" t="s">
        <v>4707</v>
      </c>
      <c r="D969">
        <v>12</v>
      </c>
      <c r="E969">
        <v>3</v>
      </c>
      <c r="F969" s="13">
        <v>7824.37</v>
      </c>
      <c r="G969" t="s">
        <v>4697</v>
      </c>
      <c r="H969" t="s">
        <v>4697</v>
      </c>
      <c r="I969" t="s">
        <v>4704</v>
      </c>
      <c r="J969" s="10">
        <f t="shared" si="30"/>
        <v>32793</v>
      </c>
      <c r="K969">
        <f t="shared" si="31"/>
        <v>33</v>
      </c>
    </row>
    <row r="970" spans="1:11">
      <c r="A970" t="s">
        <v>2740</v>
      </c>
      <c r="B970">
        <v>2001</v>
      </c>
      <c r="C970" t="s">
        <v>4707</v>
      </c>
      <c r="D970">
        <v>5</v>
      </c>
      <c r="E970">
        <v>0</v>
      </c>
      <c r="F970" s="13">
        <v>7844.8</v>
      </c>
      <c r="G970" t="s">
        <v>4697</v>
      </c>
      <c r="H970" t="s">
        <v>4697</v>
      </c>
      <c r="I970" t="s">
        <v>4704</v>
      </c>
      <c r="J970" s="10">
        <f t="shared" si="30"/>
        <v>37169</v>
      </c>
      <c r="K970">
        <f t="shared" si="31"/>
        <v>21</v>
      </c>
    </row>
    <row r="971" spans="1:11">
      <c r="A971" t="s">
        <v>2738</v>
      </c>
      <c r="B971">
        <v>1994</v>
      </c>
      <c r="C971" t="s">
        <v>4700</v>
      </c>
      <c r="D971">
        <v>17</v>
      </c>
      <c r="E971">
        <v>0</v>
      </c>
      <c r="F971" s="13">
        <v>7851.85</v>
      </c>
      <c r="G971" t="s">
        <v>4697</v>
      </c>
      <c r="H971" t="s">
        <v>4698</v>
      </c>
      <c r="I971" t="s">
        <v>4704</v>
      </c>
      <c r="J971" s="10">
        <f t="shared" si="30"/>
        <v>34655</v>
      </c>
      <c r="K971">
        <f t="shared" si="31"/>
        <v>28</v>
      </c>
    </row>
    <row r="972" spans="1:11">
      <c r="A972" t="s">
        <v>2736</v>
      </c>
      <c r="B972">
        <v>1962</v>
      </c>
      <c r="C972" t="s">
        <v>4707</v>
      </c>
      <c r="D972">
        <v>10</v>
      </c>
      <c r="E972">
        <v>0</v>
      </c>
      <c r="F972" s="13">
        <v>7896.41</v>
      </c>
      <c r="G972" t="s">
        <v>4698</v>
      </c>
      <c r="H972" t="s">
        <v>4697</v>
      </c>
      <c r="I972" t="s">
        <v>4699</v>
      </c>
      <c r="J972" s="10">
        <f t="shared" si="30"/>
        <v>22929</v>
      </c>
      <c r="K972">
        <f t="shared" si="31"/>
        <v>60</v>
      </c>
    </row>
    <row r="973" spans="1:11">
      <c r="A973" t="s">
        <v>2734</v>
      </c>
      <c r="B973">
        <v>1977</v>
      </c>
      <c r="C973" t="s">
        <v>4696</v>
      </c>
      <c r="D973">
        <v>20</v>
      </c>
      <c r="E973">
        <v>0</v>
      </c>
      <c r="F973" s="13">
        <v>7935.29</v>
      </c>
      <c r="G973" t="s">
        <v>4697</v>
      </c>
      <c r="H973" t="s">
        <v>4701</v>
      </c>
      <c r="I973" t="s">
        <v>4714</v>
      </c>
      <c r="J973" s="10">
        <f t="shared" si="30"/>
        <v>28326</v>
      </c>
      <c r="K973">
        <f t="shared" si="31"/>
        <v>45</v>
      </c>
    </row>
    <row r="974" spans="1:11">
      <c r="A974" t="s">
        <v>2732</v>
      </c>
      <c r="B974">
        <v>1987</v>
      </c>
      <c r="C974" t="s">
        <v>4707</v>
      </c>
      <c r="D974">
        <v>29</v>
      </c>
      <c r="E974">
        <v>3</v>
      </c>
      <c r="F974" s="13">
        <v>7948.22</v>
      </c>
      <c r="G974" t="s">
        <v>4697</v>
      </c>
      <c r="H974" t="s">
        <v>4698</v>
      </c>
      <c r="I974" t="s">
        <v>4713</v>
      </c>
      <c r="J974" s="10">
        <f t="shared" si="30"/>
        <v>32079</v>
      </c>
      <c r="K974">
        <f t="shared" si="31"/>
        <v>35</v>
      </c>
    </row>
    <row r="975" spans="1:11">
      <c r="A975" t="s">
        <v>2730</v>
      </c>
      <c r="B975">
        <v>1966</v>
      </c>
      <c r="C975" t="s">
        <v>4696</v>
      </c>
      <c r="D975">
        <v>9</v>
      </c>
      <c r="E975">
        <v>0</v>
      </c>
      <c r="F975" s="13">
        <v>7953.72</v>
      </c>
      <c r="G975" t="s">
        <v>4698</v>
      </c>
      <c r="H975" t="s">
        <v>4698</v>
      </c>
      <c r="I975" t="s">
        <v>4704</v>
      </c>
      <c r="J975" s="10">
        <f t="shared" si="30"/>
        <v>24297</v>
      </c>
      <c r="K975">
        <f t="shared" si="31"/>
        <v>56</v>
      </c>
    </row>
    <row r="976" spans="1:11">
      <c r="A976" t="s">
        <v>2728</v>
      </c>
      <c r="B976">
        <v>1981</v>
      </c>
      <c r="C976" t="s">
        <v>4705</v>
      </c>
      <c r="D976">
        <v>28</v>
      </c>
      <c r="E976">
        <v>3</v>
      </c>
      <c r="F976" s="13">
        <v>7954.52</v>
      </c>
      <c r="G976" t="s">
        <v>4697</v>
      </c>
      <c r="H976" t="s">
        <v>4697</v>
      </c>
      <c r="I976" t="s">
        <v>4708</v>
      </c>
      <c r="J976" s="10">
        <f t="shared" si="30"/>
        <v>29948</v>
      </c>
      <c r="K976">
        <f t="shared" si="31"/>
        <v>41</v>
      </c>
    </row>
    <row r="977" spans="1:11">
      <c r="A977" t="s">
        <v>2726</v>
      </c>
      <c r="B977">
        <v>1970</v>
      </c>
      <c r="C977" t="s">
        <v>4702</v>
      </c>
      <c r="D977">
        <v>19</v>
      </c>
      <c r="E977">
        <v>0</v>
      </c>
      <c r="F977" s="13">
        <v>7958.13</v>
      </c>
      <c r="G977" t="s">
        <v>4697</v>
      </c>
      <c r="H977" t="s">
        <v>4697</v>
      </c>
      <c r="I977" t="s">
        <v>4699</v>
      </c>
      <c r="J977" s="10">
        <f t="shared" si="30"/>
        <v>25738</v>
      </c>
      <c r="K977">
        <f t="shared" si="31"/>
        <v>52</v>
      </c>
    </row>
    <row r="978" spans="1:11">
      <c r="A978" t="s">
        <v>2724</v>
      </c>
      <c r="B978">
        <v>1975</v>
      </c>
      <c r="C978" t="s">
        <v>4706</v>
      </c>
      <c r="D978">
        <v>10</v>
      </c>
      <c r="E978">
        <v>1</v>
      </c>
      <c r="F978" s="13">
        <v>7966.81</v>
      </c>
      <c r="G978" t="s">
        <v>4697</v>
      </c>
      <c r="H978" t="s">
        <v>4697</v>
      </c>
      <c r="I978" t="s">
        <v>4699</v>
      </c>
      <c r="J978" s="10">
        <f t="shared" si="30"/>
        <v>27616</v>
      </c>
      <c r="K978">
        <f t="shared" si="31"/>
        <v>47</v>
      </c>
    </row>
    <row r="979" spans="1:11">
      <c r="A979" t="s">
        <v>2722</v>
      </c>
      <c r="B979">
        <v>1972</v>
      </c>
      <c r="C979" t="s">
        <v>4700</v>
      </c>
      <c r="D979">
        <v>23</v>
      </c>
      <c r="E979">
        <v>0</v>
      </c>
      <c r="F979" s="13">
        <v>7980.34</v>
      </c>
      <c r="G979" t="s">
        <v>4697</v>
      </c>
      <c r="H979" t="s">
        <v>4697</v>
      </c>
      <c r="I979" t="s">
        <v>4699</v>
      </c>
      <c r="J979" s="10">
        <f t="shared" si="30"/>
        <v>26626</v>
      </c>
      <c r="K979">
        <f t="shared" si="31"/>
        <v>50</v>
      </c>
    </row>
    <row r="980" spans="1:11">
      <c r="A980" t="s">
        <v>2720</v>
      </c>
      <c r="B980">
        <v>1983</v>
      </c>
      <c r="C980" t="s">
        <v>4706</v>
      </c>
      <c r="D980">
        <v>28</v>
      </c>
      <c r="E980">
        <v>3</v>
      </c>
      <c r="F980" s="13">
        <v>7985.82</v>
      </c>
      <c r="G980" t="s">
        <v>4697</v>
      </c>
      <c r="H980" t="s">
        <v>4701</v>
      </c>
      <c r="I980" t="s">
        <v>4714</v>
      </c>
      <c r="J980" s="10">
        <f t="shared" si="30"/>
        <v>30556</v>
      </c>
      <c r="K980">
        <f t="shared" si="31"/>
        <v>39</v>
      </c>
    </row>
    <row r="981" spans="1:11">
      <c r="A981" t="s">
        <v>2718</v>
      </c>
      <c r="B981">
        <v>1983</v>
      </c>
      <c r="C981" t="s">
        <v>4706</v>
      </c>
      <c r="D981">
        <v>20</v>
      </c>
      <c r="E981">
        <v>3</v>
      </c>
      <c r="F981" s="13">
        <v>7986.48</v>
      </c>
      <c r="G981" t="s">
        <v>4697</v>
      </c>
      <c r="H981" t="s">
        <v>4698</v>
      </c>
      <c r="I981" t="s">
        <v>4714</v>
      </c>
      <c r="J981" s="10">
        <f t="shared" si="30"/>
        <v>30548</v>
      </c>
      <c r="K981">
        <f t="shared" si="31"/>
        <v>39</v>
      </c>
    </row>
    <row r="982" spans="1:11">
      <c r="A982" t="s">
        <v>2716</v>
      </c>
      <c r="B982">
        <v>1962</v>
      </c>
      <c r="C982" t="s">
        <v>4706</v>
      </c>
      <c r="D982">
        <v>22</v>
      </c>
      <c r="E982">
        <v>0</v>
      </c>
      <c r="F982" s="13">
        <v>8004.96</v>
      </c>
      <c r="G982" t="s">
        <v>4698</v>
      </c>
      <c r="H982" t="s">
        <v>4701</v>
      </c>
      <c r="I982" t="s">
        <v>4699</v>
      </c>
      <c r="J982" s="10">
        <f t="shared" si="30"/>
        <v>22880</v>
      </c>
      <c r="K982">
        <f t="shared" si="31"/>
        <v>60</v>
      </c>
    </row>
    <row r="983" spans="1:11">
      <c r="A983" t="s">
        <v>2714</v>
      </c>
      <c r="B983">
        <v>1995</v>
      </c>
      <c r="C983" t="s">
        <v>4703</v>
      </c>
      <c r="D983">
        <v>18</v>
      </c>
      <c r="E983">
        <v>0</v>
      </c>
      <c r="F983" s="13">
        <v>8014.62</v>
      </c>
      <c r="G983" t="s">
        <v>4697</v>
      </c>
      <c r="H983" t="s">
        <v>4698</v>
      </c>
      <c r="I983" t="s">
        <v>4704</v>
      </c>
      <c r="J983" s="10">
        <f t="shared" si="30"/>
        <v>34960</v>
      </c>
      <c r="K983">
        <f t="shared" si="31"/>
        <v>27</v>
      </c>
    </row>
    <row r="984" spans="1:11">
      <c r="A984" t="s">
        <v>2712</v>
      </c>
      <c r="B984">
        <v>1980</v>
      </c>
      <c r="C984" t="s">
        <v>4700</v>
      </c>
      <c r="D984">
        <v>8</v>
      </c>
      <c r="E984">
        <v>2</v>
      </c>
      <c r="F984" s="13">
        <v>8017.06</v>
      </c>
      <c r="G984" t="s">
        <v>4697</v>
      </c>
      <c r="H984" t="s">
        <v>4697</v>
      </c>
      <c r="I984" t="s">
        <v>4704</v>
      </c>
      <c r="J984" s="10">
        <f t="shared" si="30"/>
        <v>29533</v>
      </c>
      <c r="K984">
        <f t="shared" si="31"/>
        <v>42</v>
      </c>
    </row>
    <row r="985" spans="1:11">
      <c r="A985" t="s">
        <v>2710</v>
      </c>
      <c r="B985">
        <v>1989</v>
      </c>
      <c r="C985" t="s">
        <v>4700</v>
      </c>
      <c r="D985">
        <v>3</v>
      </c>
      <c r="E985">
        <v>3</v>
      </c>
      <c r="F985" s="13">
        <v>8021.11</v>
      </c>
      <c r="G985" t="s">
        <v>4697</v>
      </c>
      <c r="H985" t="s">
        <v>4701</v>
      </c>
      <c r="I985" t="s">
        <v>4704</v>
      </c>
      <c r="J985" s="10">
        <f t="shared" si="30"/>
        <v>32815</v>
      </c>
      <c r="K985">
        <f t="shared" si="31"/>
        <v>33</v>
      </c>
    </row>
    <row r="986" spans="1:11">
      <c r="A986" t="s">
        <v>2708</v>
      </c>
      <c r="B986">
        <v>1978</v>
      </c>
      <c r="C986" t="s">
        <v>4696</v>
      </c>
      <c r="D986">
        <v>17</v>
      </c>
      <c r="E986">
        <v>1</v>
      </c>
      <c r="F986" s="13">
        <v>8023.14</v>
      </c>
      <c r="G986" t="s">
        <v>4697</v>
      </c>
      <c r="H986" t="s">
        <v>4698</v>
      </c>
      <c r="I986" t="s">
        <v>4704</v>
      </c>
      <c r="J986" s="10">
        <f t="shared" si="30"/>
        <v>28688</v>
      </c>
      <c r="K986">
        <f t="shared" si="31"/>
        <v>44</v>
      </c>
    </row>
    <row r="987" spans="1:11">
      <c r="A987" t="s">
        <v>2706</v>
      </c>
      <c r="B987">
        <v>1976</v>
      </c>
      <c r="C987" t="s">
        <v>4705</v>
      </c>
      <c r="D987">
        <v>20</v>
      </c>
      <c r="E987">
        <v>0</v>
      </c>
      <c r="F987" s="13">
        <v>8026.67</v>
      </c>
      <c r="G987" t="s">
        <v>4697</v>
      </c>
      <c r="H987" t="s">
        <v>4697</v>
      </c>
      <c r="I987" t="s">
        <v>4704</v>
      </c>
      <c r="J987" s="10">
        <f t="shared" si="30"/>
        <v>28114</v>
      </c>
      <c r="K987">
        <f t="shared" si="31"/>
        <v>46</v>
      </c>
    </row>
    <row r="988" spans="1:11">
      <c r="A988" t="s">
        <v>2704</v>
      </c>
      <c r="B988">
        <v>1977</v>
      </c>
      <c r="C988" t="s">
        <v>4700</v>
      </c>
      <c r="D988">
        <v>6</v>
      </c>
      <c r="E988">
        <v>2</v>
      </c>
      <c r="F988" s="13">
        <v>8027.97</v>
      </c>
      <c r="G988" t="s">
        <v>4698</v>
      </c>
      <c r="H988" t="s">
        <v>4697</v>
      </c>
      <c r="I988" t="s">
        <v>4708</v>
      </c>
      <c r="J988" s="10">
        <f t="shared" si="30"/>
        <v>28435</v>
      </c>
      <c r="K988">
        <f t="shared" si="31"/>
        <v>45</v>
      </c>
    </row>
    <row r="989" spans="1:11">
      <c r="A989" t="s">
        <v>2702</v>
      </c>
      <c r="B989">
        <v>2003</v>
      </c>
      <c r="C989" t="s">
        <v>4705</v>
      </c>
      <c r="D989">
        <v>12</v>
      </c>
      <c r="E989">
        <v>0</v>
      </c>
      <c r="F989" s="13">
        <v>8035.64</v>
      </c>
      <c r="G989" t="s">
        <v>4697</v>
      </c>
      <c r="H989" t="s">
        <v>4697</v>
      </c>
      <c r="I989" t="s">
        <v>4704</v>
      </c>
      <c r="J989" s="10">
        <f t="shared" si="30"/>
        <v>37967</v>
      </c>
      <c r="K989">
        <f t="shared" si="31"/>
        <v>19</v>
      </c>
    </row>
    <row r="990" spans="1:11">
      <c r="A990" t="s">
        <v>2700</v>
      </c>
      <c r="B990">
        <v>1985</v>
      </c>
      <c r="C990" t="s">
        <v>4700</v>
      </c>
      <c r="D990">
        <v>28</v>
      </c>
      <c r="E990">
        <v>3</v>
      </c>
      <c r="F990" s="13">
        <v>8059.06</v>
      </c>
      <c r="G990" t="s">
        <v>4697</v>
      </c>
      <c r="H990" t="s">
        <v>4698</v>
      </c>
      <c r="I990" t="s">
        <v>4704</v>
      </c>
      <c r="J990" s="10">
        <f t="shared" si="30"/>
        <v>31379</v>
      </c>
      <c r="K990">
        <f t="shared" si="31"/>
        <v>37</v>
      </c>
    </row>
    <row r="991" spans="1:11">
      <c r="A991" t="s">
        <v>2698</v>
      </c>
      <c r="B991">
        <v>1982</v>
      </c>
      <c r="C991" t="s">
        <v>4705</v>
      </c>
      <c r="D991">
        <v>27</v>
      </c>
      <c r="E991">
        <v>3</v>
      </c>
      <c r="F991" s="13">
        <v>8059.68</v>
      </c>
      <c r="G991" t="s">
        <v>4697</v>
      </c>
      <c r="H991" t="s">
        <v>4698</v>
      </c>
      <c r="I991" t="s">
        <v>4704</v>
      </c>
      <c r="J991" s="10">
        <f t="shared" si="30"/>
        <v>30312</v>
      </c>
      <c r="K991">
        <f t="shared" si="31"/>
        <v>40</v>
      </c>
    </row>
    <row r="992" spans="1:11">
      <c r="A992" t="s">
        <v>2696</v>
      </c>
      <c r="B992">
        <v>1970</v>
      </c>
      <c r="C992" t="s">
        <v>4705</v>
      </c>
      <c r="D992">
        <v>12</v>
      </c>
      <c r="E992">
        <v>0</v>
      </c>
      <c r="F992" s="13">
        <v>8062.31</v>
      </c>
      <c r="G992" t="s">
        <v>4697</v>
      </c>
      <c r="H992" t="s">
        <v>4701</v>
      </c>
      <c r="I992" t="s">
        <v>4699</v>
      </c>
      <c r="J992" s="10">
        <f t="shared" si="30"/>
        <v>25914</v>
      </c>
      <c r="K992">
        <f t="shared" si="31"/>
        <v>52</v>
      </c>
    </row>
    <row r="993" spans="1:11">
      <c r="A993" t="s">
        <v>2694</v>
      </c>
      <c r="B993">
        <v>1975</v>
      </c>
      <c r="C993" t="s">
        <v>4702</v>
      </c>
      <c r="D993">
        <v>28</v>
      </c>
      <c r="E993">
        <v>1</v>
      </c>
      <c r="F993" s="13">
        <v>8062.76</v>
      </c>
      <c r="G993" t="s">
        <v>4698</v>
      </c>
      <c r="H993" t="s">
        <v>4698</v>
      </c>
      <c r="I993" t="s">
        <v>4708</v>
      </c>
      <c r="J993" s="10">
        <f t="shared" si="30"/>
        <v>27573</v>
      </c>
      <c r="K993">
        <f t="shared" si="31"/>
        <v>47</v>
      </c>
    </row>
    <row r="994" spans="1:11">
      <c r="A994" t="s">
        <v>2692</v>
      </c>
      <c r="B994">
        <v>1965</v>
      </c>
      <c r="C994" t="s">
        <v>4706</v>
      </c>
      <c r="D994">
        <v>11</v>
      </c>
      <c r="E994">
        <v>0</v>
      </c>
      <c r="F994" s="13">
        <v>8067.83</v>
      </c>
      <c r="G994" t="s">
        <v>4698</v>
      </c>
      <c r="H994" t="s">
        <v>4701</v>
      </c>
      <c r="I994" t="s">
        <v>4699</v>
      </c>
      <c r="J994" s="10">
        <f t="shared" si="30"/>
        <v>23965</v>
      </c>
      <c r="K994">
        <f t="shared" si="31"/>
        <v>57</v>
      </c>
    </row>
    <row r="995" spans="1:11">
      <c r="A995" t="s">
        <v>2690</v>
      </c>
      <c r="B995">
        <v>1975</v>
      </c>
      <c r="C995" t="s">
        <v>4705</v>
      </c>
      <c r="D995">
        <v>15</v>
      </c>
      <c r="E995">
        <v>1</v>
      </c>
      <c r="F995" s="13">
        <v>8068.19</v>
      </c>
      <c r="G995" t="s">
        <v>4698</v>
      </c>
      <c r="H995" t="s">
        <v>4697</v>
      </c>
      <c r="I995" t="s">
        <v>4708</v>
      </c>
      <c r="J995" s="10">
        <f t="shared" si="30"/>
        <v>27743</v>
      </c>
      <c r="K995">
        <f t="shared" si="31"/>
        <v>47</v>
      </c>
    </row>
    <row r="996" spans="1:11">
      <c r="A996" t="s">
        <v>2688</v>
      </c>
      <c r="B996">
        <v>1965</v>
      </c>
      <c r="C996" t="s">
        <v>4707</v>
      </c>
      <c r="D996">
        <v>21</v>
      </c>
      <c r="E996">
        <v>0</v>
      </c>
      <c r="F996" s="13">
        <v>8071.57</v>
      </c>
      <c r="G996" t="s">
        <v>4698</v>
      </c>
      <c r="H996" t="s">
        <v>4701</v>
      </c>
      <c r="I996" t="s">
        <v>4708</v>
      </c>
      <c r="J996" s="10">
        <f t="shared" si="30"/>
        <v>24036</v>
      </c>
      <c r="K996">
        <f t="shared" si="31"/>
        <v>57</v>
      </c>
    </row>
    <row r="997" spans="1:11">
      <c r="A997" t="s">
        <v>2686</v>
      </c>
      <c r="B997">
        <v>1993</v>
      </c>
      <c r="C997" t="s">
        <v>4700</v>
      </c>
      <c r="D997">
        <v>7</v>
      </c>
      <c r="E997">
        <v>0</v>
      </c>
      <c r="F997" s="13">
        <v>8077.41</v>
      </c>
      <c r="G997" t="s">
        <v>4697</v>
      </c>
      <c r="H997" t="s">
        <v>4701</v>
      </c>
      <c r="I997" t="s">
        <v>4720</v>
      </c>
      <c r="J997" s="10">
        <f t="shared" si="30"/>
        <v>34280</v>
      </c>
      <c r="K997">
        <f t="shared" si="31"/>
        <v>29</v>
      </c>
    </row>
    <row r="998" spans="1:11">
      <c r="A998" t="s">
        <v>2684</v>
      </c>
      <c r="B998">
        <v>2001</v>
      </c>
      <c r="C998" t="s">
        <v>4706</v>
      </c>
      <c r="D998">
        <v>28</v>
      </c>
      <c r="E998">
        <v>0</v>
      </c>
      <c r="F998" s="13">
        <v>8081.26</v>
      </c>
      <c r="G998" t="s">
        <v>4697</v>
      </c>
      <c r="H998" t="s">
        <v>4697</v>
      </c>
      <c r="I998" t="s">
        <v>4704</v>
      </c>
      <c r="J998" s="10">
        <f t="shared" si="30"/>
        <v>37131</v>
      </c>
      <c r="K998">
        <f t="shared" si="31"/>
        <v>21</v>
      </c>
    </row>
    <row r="999" spans="1:11">
      <c r="A999" t="s">
        <v>2682</v>
      </c>
      <c r="B999">
        <v>1994</v>
      </c>
      <c r="C999" t="s">
        <v>4707</v>
      </c>
      <c r="D999">
        <v>12</v>
      </c>
      <c r="E999">
        <v>0</v>
      </c>
      <c r="F999" s="13">
        <v>8081.74</v>
      </c>
      <c r="G999" t="s">
        <v>4697</v>
      </c>
      <c r="H999" t="s">
        <v>4697</v>
      </c>
      <c r="I999" t="s">
        <v>4720</v>
      </c>
      <c r="J999" s="10">
        <f t="shared" si="30"/>
        <v>34619</v>
      </c>
      <c r="K999">
        <f t="shared" si="31"/>
        <v>28</v>
      </c>
    </row>
    <row r="1000" spans="1:11">
      <c r="A1000" t="s">
        <v>2680</v>
      </c>
      <c r="B1000">
        <v>1975</v>
      </c>
      <c r="C1000" t="s">
        <v>4705</v>
      </c>
      <c r="D1000">
        <v>21</v>
      </c>
      <c r="E1000">
        <v>1</v>
      </c>
      <c r="F1000" s="13">
        <v>8083.92</v>
      </c>
      <c r="G1000" t="s">
        <v>4698</v>
      </c>
      <c r="H1000" t="s">
        <v>4698</v>
      </c>
      <c r="I1000" t="s">
        <v>4699</v>
      </c>
      <c r="J1000" s="10">
        <f t="shared" si="30"/>
        <v>27749</v>
      </c>
      <c r="K1000">
        <f t="shared" si="31"/>
        <v>47</v>
      </c>
    </row>
    <row r="1001" spans="1:11">
      <c r="A1001" t="s">
        <v>2678</v>
      </c>
      <c r="B1001">
        <v>1967</v>
      </c>
      <c r="C1001" t="s">
        <v>4702</v>
      </c>
      <c r="D1001">
        <v>10</v>
      </c>
      <c r="E1001">
        <v>0</v>
      </c>
      <c r="F1001" s="13">
        <v>8091.3</v>
      </c>
      <c r="G1001" t="s">
        <v>4698</v>
      </c>
      <c r="H1001" t="s">
        <v>4701</v>
      </c>
      <c r="I1001" t="s">
        <v>4704</v>
      </c>
      <c r="J1001" s="10">
        <f t="shared" si="30"/>
        <v>24633</v>
      </c>
      <c r="K1001">
        <f t="shared" si="31"/>
        <v>55</v>
      </c>
    </row>
    <row r="1002" spans="1:11">
      <c r="A1002" t="s">
        <v>2676</v>
      </c>
      <c r="B1002">
        <v>1973</v>
      </c>
      <c r="C1002" t="s">
        <v>4707</v>
      </c>
      <c r="D1002">
        <v>11</v>
      </c>
      <c r="E1002">
        <v>0</v>
      </c>
      <c r="F1002" s="13">
        <v>8112.59</v>
      </c>
      <c r="G1002" t="s">
        <v>4697</v>
      </c>
      <c r="H1002" t="s">
        <v>4697</v>
      </c>
      <c r="I1002" t="s">
        <v>4699</v>
      </c>
      <c r="J1002" s="10">
        <f t="shared" si="30"/>
        <v>26948</v>
      </c>
      <c r="K1002">
        <f t="shared" si="31"/>
        <v>49</v>
      </c>
    </row>
    <row r="1003" spans="1:11">
      <c r="A1003" t="s">
        <v>2674</v>
      </c>
      <c r="B1003">
        <v>1978</v>
      </c>
      <c r="C1003" t="s">
        <v>4703</v>
      </c>
      <c r="D1003">
        <v>1</v>
      </c>
      <c r="E1003">
        <v>2</v>
      </c>
      <c r="F1003" s="13">
        <v>8116.27</v>
      </c>
      <c r="G1003" t="s">
        <v>4698</v>
      </c>
      <c r="H1003" t="s">
        <v>4701</v>
      </c>
      <c r="I1003" t="s">
        <v>4704</v>
      </c>
      <c r="J1003" s="10">
        <f t="shared" si="30"/>
        <v>28734</v>
      </c>
      <c r="K1003">
        <f t="shared" si="31"/>
        <v>44</v>
      </c>
    </row>
    <row r="1004" spans="1:11">
      <c r="A1004" t="s">
        <v>2672</v>
      </c>
      <c r="B1004">
        <v>1973</v>
      </c>
      <c r="C1004" t="s">
        <v>4705</v>
      </c>
      <c r="D1004">
        <v>16</v>
      </c>
      <c r="E1004">
        <v>0</v>
      </c>
      <c r="F1004" s="13">
        <v>8116.68</v>
      </c>
      <c r="G1004" t="s">
        <v>4698</v>
      </c>
      <c r="H1004" t="s">
        <v>4701</v>
      </c>
      <c r="I1004" t="s">
        <v>4708</v>
      </c>
      <c r="J1004" s="10">
        <f t="shared" si="30"/>
        <v>27014</v>
      </c>
      <c r="K1004">
        <f t="shared" si="31"/>
        <v>49</v>
      </c>
    </row>
    <row r="1005" spans="1:11">
      <c r="A1005" t="s">
        <v>2670</v>
      </c>
      <c r="B1005">
        <v>1973</v>
      </c>
      <c r="C1005" t="s">
        <v>4706</v>
      </c>
      <c r="D1005">
        <v>30</v>
      </c>
      <c r="E1005">
        <v>0</v>
      </c>
      <c r="F1005" s="13">
        <v>8124.41</v>
      </c>
      <c r="G1005" t="s">
        <v>4698</v>
      </c>
      <c r="H1005" t="s">
        <v>4701</v>
      </c>
      <c r="I1005" t="s">
        <v>4699</v>
      </c>
      <c r="J1005" s="10">
        <f t="shared" si="30"/>
        <v>26906</v>
      </c>
      <c r="K1005">
        <f t="shared" si="31"/>
        <v>49</v>
      </c>
    </row>
    <row r="1006" spans="1:11">
      <c r="A1006" t="s">
        <v>2668</v>
      </c>
      <c r="B1006">
        <v>1973</v>
      </c>
      <c r="C1006" t="s">
        <v>4703</v>
      </c>
      <c r="D1006">
        <v>3</v>
      </c>
      <c r="E1006">
        <v>0</v>
      </c>
      <c r="F1006" s="13">
        <v>8125.78</v>
      </c>
      <c r="G1006" t="s">
        <v>4697</v>
      </c>
      <c r="H1006" t="s">
        <v>4697</v>
      </c>
      <c r="I1006" t="s">
        <v>4699</v>
      </c>
      <c r="J1006" s="10">
        <f t="shared" si="30"/>
        <v>26910</v>
      </c>
      <c r="K1006">
        <f t="shared" si="31"/>
        <v>49</v>
      </c>
    </row>
    <row r="1007" spans="1:11">
      <c r="A1007" t="s">
        <v>2666</v>
      </c>
      <c r="B1007">
        <v>1990</v>
      </c>
      <c r="C1007" t="s">
        <v>4702</v>
      </c>
      <c r="D1007">
        <v>21</v>
      </c>
      <c r="E1007">
        <v>3</v>
      </c>
      <c r="F1007" s="13">
        <v>8157.92</v>
      </c>
      <c r="G1007" t="s">
        <v>4697</v>
      </c>
      <c r="H1007" t="s">
        <v>4698</v>
      </c>
      <c r="I1007" t="s">
        <v>4713</v>
      </c>
      <c r="J1007" s="10">
        <f t="shared" si="30"/>
        <v>33045</v>
      </c>
      <c r="K1007">
        <f t="shared" si="31"/>
        <v>32</v>
      </c>
    </row>
    <row r="1008" spans="1:11">
      <c r="A1008" t="s">
        <v>2664</v>
      </c>
      <c r="B1008">
        <v>1982</v>
      </c>
      <c r="C1008" t="s">
        <v>4702</v>
      </c>
      <c r="D1008">
        <v>28</v>
      </c>
      <c r="E1008">
        <v>4</v>
      </c>
      <c r="F1008" s="13">
        <v>8162.72</v>
      </c>
      <c r="G1008" t="s">
        <v>4698</v>
      </c>
      <c r="H1008" t="s">
        <v>4698</v>
      </c>
      <c r="I1008" t="s">
        <v>4704</v>
      </c>
      <c r="J1008" s="10">
        <f t="shared" si="30"/>
        <v>30130</v>
      </c>
      <c r="K1008">
        <f t="shared" si="31"/>
        <v>40</v>
      </c>
    </row>
    <row r="1009" spans="1:11">
      <c r="A1009" t="s">
        <v>2662</v>
      </c>
      <c r="B1009">
        <v>1963</v>
      </c>
      <c r="C1009" t="s">
        <v>4700</v>
      </c>
      <c r="D1009">
        <v>5</v>
      </c>
      <c r="E1009">
        <v>0</v>
      </c>
      <c r="F1009" s="13">
        <v>8177.9</v>
      </c>
      <c r="G1009" t="s">
        <v>4698</v>
      </c>
      <c r="H1009" t="s">
        <v>4701</v>
      </c>
      <c r="I1009" t="s">
        <v>4699</v>
      </c>
      <c r="J1009" s="10">
        <f t="shared" si="30"/>
        <v>23320</v>
      </c>
      <c r="K1009">
        <f t="shared" si="31"/>
        <v>59</v>
      </c>
    </row>
    <row r="1010" spans="1:11">
      <c r="A1010" t="s">
        <v>2660</v>
      </c>
      <c r="B1010">
        <v>1983</v>
      </c>
      <c r="C1010" t="s">
        <v>4702</v>
      </c>
      <c r="D1010">
        <v>8</v>
      </c>
      <c r="E1010">
        <v>3</v>
      </c>
      <c r="F1010" s="13">
        <v>8179.51</v>
      </c>
      <c r="G1010" t="s">
        <v>4697</v>
      </c>
      <c r="H1010" t="s">
        <v>4697</v>
      </c>
      <c r="I1010" t="s">
        <v>4719</v>
      </c>
      <c r="J1010" s="10">
        <f t="shared" si="30"/>
        <v>30475</v>
      </c>
      <c r="K1010">
        <f t="shared" si="31"/>
        <v>40</v>
      </c>
    </row>
    <row r="1011" spans="1:11">
      <c r="A1011" t="s">
        <v>2658</v>
      </c>
      <c r="B1011">
        <v>1997</v>
      </c>
      <c r="C1011" t="s">
        <v>4707</v>
      </c>
      <c r="D1011">
        <v>21</v>
      </c>
      <c r="E1011">
        <v>0</v>
      </c>
      <c r="F1011" s="13">
        <v>8182.89</v>
      </c>
      <c r="G1011" t="s">
        <v>4697</v>
      </c>
      <c r="H1011" t="s">
        <v>4701</v>
      </c>
      <c r="I1011" t="s">
        <v>4720</v>
      </c>
      <c r="J1011" s="10">
        <f t="shared" si="30"/>
        <v>35724</v>
      </c>
      <c r="K1011">
        <f t="shared" si="31"/>
        <v>25</v>
      </c>
    </row>
    <row r="1012" spans="1:11">
      <c r="A1012" t="s">
        <v>2656</v>
      </c>
      <c r="B1012">
        <v>1962</v>
      </c>
      <c r="C1012" t="s">
        <v>4700</v>
      </c>
      <c r="D1012">
        <v>23</v>
      </c>
      <c r="E1012">
        <v>0</v>
      </c>
      <c r="F1012" s="13">
        <v>8188.12</v>
      </c>
      <c r="G1012" t="s">
        <v>4698</v>
      </c>
      <c r="H1012" t="s">
        <v>4698</v>
      </c>
      <c r="I1012" t="s">
        <v>4699</v>
      </c>
      <c r="J1012" s="10">
        <f t="shared" si="30"/>
        <v>22973</v>
      </c>
      <c r="K1012">
        <f t="shared" si="31"/>
        <v>60</v>
      </c>
    </row>
    <row r="1013" spans="1:11">
      <c r="A1013" t="s">
        <v>2654</v>
      </c>
      <c r="B1013">
        <v>1978</v>
      </c>
      <c r="C1013" t="s">
        <v>4707</v>
      </c>
      <c r="D1013">
        <v>24</v>
      </c>
      <c r="E1013">
        <v>2</v>
      </c>
      <c r="F1013" s="13">
        <v>8211.1</v>
      </c>
      <c r="G1013" t="s">
        <v>4697</v>
      </c>
      <c r="H1013" t="s">
        <v>4698</v>
      </c>
      <c r="I1013" t="s">
        <v>4699</v>
      </c>
      <c r="J1013" s="10">
        <f t="shared" si="30"/>
        <v>28787</v>
      </c>
      <c r="K1013">
        <f t="shared" si="31"/>
        <v>44</v>
      </c>
    </row>
    <row r="1014" spans="1:11">
      <c r="A1014" t="s">
        <v>2652</v>
      </c>
      <c r="B1014">
        <v>1978</v>
      </c>
      <c r="C1014" t="s">
        <v>4702</v>
      </c>
      <c r="D1014">
        <v>30</v>
      </c>
      <c r="E1014">
        <v>2</v>
      </c>
      <c r="F1014" s="13">
        <v>8219.2000000000007</v>
      </c>
      <c r="G1014" t="s">
        <v>4697</v>
      </c>
      <c r="H1014" t="s">
        <v>4697</v>
      </c>
      <c r="I1014" t="s">
        <v>4699</v>
      </c>
      <c r="J1014" s="10">
        <f t="shared" si="30"/>
        <v>28671</v>
      </c>
      <c r="K1014">
        <f t="shared" si="31"/>
        <v>44</v>
      </c>
    </row>
    <row r="1015" spans="1:11">
      <c r="A1015" t="s">
        <v>2650</v>
      </c>
      <c r="B1015">
        <v>1976</v>
      </c>
      <c r="C1015" t="s">
        <v>4703</v>
      </c>
      <c r="D1015">
        <v>3</v>
      </c>
      <c r="E1015">
        <v>1</v>
      </c>
      <c r="F1015" s="13">
        <v>8232.64</v>
      </c>
      <c r="G1015" t="s">
        <v>4697</v>
      </c>
      <c r="H1015" t="s">
        <v>4698</v>
      </c>
      <c r="I1015" t="s">
        <v>4699</v>
      </c>
      <c r="J1015" s="10">
        <f t="shared" si="30"/>
        <v>28006</v>
      </c>
      <c r="K1015">
        <f t="shared" si="31"/>
        <v>46</v>
      </c>
    </row>
    <row r="1016" spans="1:11">
      <c r="A1016" t="s">
        <v>2648</v>
      </c>
      <c r="B1016">
        <v>1976</v>
      </c>
      <c r="C1016" t="s">
        <v>4702</v>
      </c>
      <c r="D1016">
        <v>30</v>
      </c>
      <c r="E1016">
        <v>1</v>
      </c>
      <c r="F1016" s="13">
        <v>8233.1</v>
      </c>
      <c r="G1016" t="s">
        <v>4697</v>
      </c>
      <c r="H1016" t="s">
        <v>4697</v>
      </c>
      <c r="I1016" t="s">
        <v>4699</v>
      </c>
      <c r="J1016" s="10">
        <f t="shared" si="30"/>
        <v>27941</v>
      </c>
      <c r="K1016">
        <f t="shared" si="31"/>
        <v>46</v>
      </c>
    </row>
    <row r="1017" spans="1:11">
      <c r="A1017" t="s">
        <v>2646</v>
      </c>
      <c r="B1017">
        <v>1976</v>
      </c>
      <c r="C1017" t="s">
        <v>4703</v>
      </c>
      <c r="D1017">
        <v>2</v>
      </c>
      <c r="E1017">
        <v>1</v>
      </c>
      <c r="F1017" s="13">
        <v>8240.59</v>
      </c>
      <c r="G1017" t="s">
        <v>4697</v>
      </c>
      <c r="H1017" t="s">
        <v>4697</v>
      </c>
      <c r="I1017" t="s">
        <v>4699</v>
      </c>
      <c r="J1017" s="10">
        <f t="shared" si="30"/>
        <v>28005</v>
      </c>
      <c r="K1017">
        <f t="shared" si="31"/>
        <v>46</v>
      </c>
    </row>
    <row r="1018" spans="1:11">
      <c r="A1018" t="s">
        <v>2644</v>
      </c>
      <c r="B1018">
        <v>1982</v>
      </c>
      <c r="C1018" t="s">
        <v>4703</v>
      </c>
      <c r="D1018">
        <v>27</v>
      </c>
      <c r="E1018">
        <v>3</v>
      </c>
      <c r="F1018" s="13">
        <v>8252.2800000000007</v>
      </c>
      <c r="G1018" t="s">
        <v>4697</v>
      </c>
      <c r="H1018" t="s">
        <v>4697</v>
      </c>
      <c r="I1018" t="s">
        <v>4714</v>
      </c>
      <c r="J1018" s="10">
        <f t="shared" si="30"/>
        <v>30221</v>
      </c>
      <c r="K1018">
        <f t="shared" si="31"/>
        <v>40</v>
      </c>
    </row>
    <row r="1019" spans="1:11">
      <c r="A1019" t="s">
        <v>2642</v>
      </c>
      <c r="B1019">
        <v>1964</v>
      </c>
      <c r="C1019" t="s">
        <v>4703</v>
      </c>
      <c r="D1019">
        <v>5</v>
      </c>
      <c r="E1019">
        <v>0</v>
      </c>
      <c r="F1019" s="13">
        <v>8268</v>
      </c>
      <c r="G1019" t="s">
        <v>4698</v>
      </c>
      <c r="H1019" t="s">
        <v>4698</v>
      </c>
      <c r="I1019" t="s">
        <v>4699</v>
      </c>
      <c r="J1019" s="10">
        <f t="shared" si="30"/>
        <v>23625</v>
      </c>
      <c r="K1019">
        <f t="shared" si="31"/>
        <v>58</v>
      </c>
    </row>
    <row r="1020" spans="1:11">
      <c r="A1020" t="s">
        <v>2640</v>
      </c>
      <c r="B1020">
        <v>1974</v>
      </c>
      <c r="C1020" t="s">
        <v>4706</v>
      </c>
      <c r="D1020">
        <v>5</v>
      </c>
      <c r="E1020">
        <v>0</v>
      </c>
      <c r="F1020" s="13">
        <v>8269.0400000000009</v>
      </c>
      <c r="G1020" t="s">
        <v>4697</v>
      </c>
      <c r="H1020" t="s">
        <v>4701</v>
      </c>
      <c r="I1020" t="s">
        <v>4708</v>
      </c>
      <c r="J1020" s="10">
        <f t="shared" si="30"/>
        <v>27246</v>
      </c>
      <c r="K1020">
        <f t="shared" si="31"/>
        <v>48</v>
      </c>
    </row>
    <row r="1021" spans="1:11">
      <c r="A1021" t="s">
        <v>2638</v>
      </c>
      <c r="B1021">
        <v>2000</v>
      </c>
      <c r="C1021" t="s">
        <v>4700</v>
      </c>
      <c r="D1021">
        <v>28</v>
      </c>
      <c r="E1021">
        <v>0</v>
      </c>
      <c r="F1021" s="13">
        <v>8271.4599999999991</v>
      </c>
      <c r="G1021" t="s">
        <v>4697</v>
      </c>
      <c r="H1021" t="s">
        <v>4701</v>
      </c>
      <c r="I1021" t="s">
        <v>4715</v>
      </c>
      <c r="J1021" s="10">
        <f t="shared" si="30"/>
        <v>36858</v>
      </c>
      <c r="K1021">
        <f t="shared" si="31"/>
        <v>22</v>
      </c>
    </row>
    <row r="1022" spans="1:11">
      <c r="A1022" t="s">
        <v>2636</v>
      </c>
      <c r="B1022">
        <v>1974</v>
      </c>
      <c r="C1022" t="s">
        <v>4703</v>
      </c>
      <c r="D1022">
        <v>26</v>
      </c>
      <c r="E1022">
        <v>0</v>
      </c>
      <c r="F1022" s="13">
        <v>8277.52</v>
      </c>
      <c r="G1022" t="s">
        <v>4697</v>
      </c>
      <c r="H1022" t="s">
        <v>4697</v>
      </c>
      <c r="I1022" t="s">
        <v>4708</v>
      </c>
      <c r="J1022" s="10">
        <f t="shared" si="30"/>
        <v>27298</v>
      </c>
      <c r="K1022">
        <f t="shared" si="31"/>
        <v>48</v>
      </c>
    </row>
    <row r="1023" spans="1:11">
      <c r="A1023" t="s">
        <v>2634</v>
      </c>
      <c r="B1023">
        <v>1974</v>
      </c>
      <c r="C1023" t="s">
        <v>4705</v>
      </c>
      <c r="D1023">
        <v>22</v>
      </c>
      <c r="E1023">
        <v>0</v>
      </c>
      <c r="F1023" s="13">
        <v>8280.6200000000008</v>
      </c>
      <c r="G1023" t="s">
        <v>4697</v>
      </c>
      <c r="H1023" t="s">
        <v>4697</v>
      </c>
      <c r="I1023" t="s">
        <v>4699</v>
      </c>
      <c r="J1023" s="10">
        <f t="shared" si="30"/>
        <v>27385</v>
      </c>
      <c r="K1023">
        <f t="shared" si="31"/>
        <v>48</v>
      </c>
    </row>
    <row r="1024" spans="1:11">
      <c r="A1024" t="s">
        <v>2632</v>
      </c>
      <c r="B1024">
        <v>1974</v>
      </c>
      <c r="C1024" t="s">
        <v>4702</v>
      </c>
      <c r="D1024">
        <v>6</v>
      </c>
      <c r="E1024">
        <v>0</v>
      </c>
      <c r="F1024" s="13">
        <v>8283.68</v>
      </c>
      <c r="G1024" t="s">
        <v>4697</v>
      </c>
      <c r="H1024" t="s">
        <v>4698</v>
      </c>
      <c r="I1024" t="s">
        <v>4699</v>
      </c>
      <c r="J1024" s="10">
        <f t="shared" si="30"/>
        <v>27186</v>
      </c>
      <c r="K1024">
        <f t="shared" si="31"/>
        <v>49</v>
      </c>
    </row>
    <row r="1025" spans="1:11">
      <c r="A1025" t="s">
        <v>2630</v>
      </c>
      <c r="B1025">
        <v>1978</v>
      </c>
      <c r="C1025" t="s">
        <v>4702</v>
      </c>
      <c r="D1025">
        <v>26</v>
      </c>
      <c r="E1025">
        <v>2</v>
      </c>
      <c r="F1025" s="13">
        <v>8302.5400000000009</v>
      </c>
      <c r="G1025" t="s">
        <v>4698</v>
      </c>
      <c r="H1025" t="s">
        <v>4698</v>
      </c>
      <c r="I1025" t="s">
        <v>4711</v>
      </c>
      <c r="J1025" s="10">
        <f t="shared" si="30"/>
        <v>28667</v>
      </c>
      <c r="K1025">
        <f t="shared" si="31"/>
        <v>44</v>
      </c>
    </row>
    <row r="1026" spans="1:11">
      <c r="A1026" t="s">
        <v>2628</v>
      </c>
      <c r="B1026">
        <v>1979</v>
      </c>
      <c r="C1026" t="s">
        <v>4706</v>
      </c>
      <c r="D1026">
        <v>7</v>
      </c>
      <c r="E1026">
        <v>2</v>
      </c>
      <c r="F1026" s="13">
        <v>8310.84</v>
      </c>
      <c r="G1026" t="s">
        <v>4697</v>
      </c>
      <c r="H1026" t="s">
        <v>4697</v>
      </c>
      <c r="I1026" t="s">
        <v>4704</v>
      </c>
      <c r="J1026" s="10">
        <f t="shared" ref="J1026:J1089" si="32">DATEVALUE(D1026&amp;"-"&amp;C1026&amp;"-"&amp;B1026)</f>
        <v>29074</v>
      </c>
      <c r="K1026">
        <f t="shared" si="31"/>
        <v>43</v>
      </c>
    </row>
    <row r="1027" spans="1:11">
      <c r="A1027" t="s">
        <v>2626</v>
      </c>
      <c r="B1027">
        <v>1993</v>
      </c>
      <c r="C1027" t="s">
        <v>4702</v>
      </c>
      <c r="D1027">
        <v>22</v>
      </c>
      <c r="E1027">
        <v>0</v>
      </c>
      <c r="F1027" s="13">
        <v>8314.65</v>
      </c>
      <c r="G1027" t="s">
        <v>4697</v>
      </c>
      <c r="H1027" t="s">
        <v>4701</v>
      </c>
      <c r="I1027" t="s">
        <v>4704</v>
      </c>
      <c r="J1027" s="10">
        <f t="shared" si="32"/>
        <v>34142</v>
      </c>
      <c r="K1027">
        <f t="shared" ref="K1027:K1090" si="33">DATEDIF(J1027, DATE(2023, 6, 8), "Y")</f>
        <v>29</v>
      </c>
    </row>
    <row r="1028" spans="1:11">
      <c r="A1028" t="s">
        <v>2624</v>
      </c>
      <c r="B1028">
        <v>1976</v>
      </c>
      <c r="C1028" t="s">
        <v>4696</v>
      </c>
      <c r="D1028">
        <v>12</v>
      </c>
      <c r="E1028">
        <v>1</v>
      </c>
      <c r="F1028" s="13">
        <v>8334.4599999999991</v>
      </c>
      <c r="G1028" t="s">
        <v>4698</v>
      </c>
      <c r="H1028" t="s">
        <v>4697</v>
      </c>
      <c r="I1028" t="s">
        <v>4711</v>
      </c>
      <c r="J1028" s="10">
        <f t="shared" si="32"/>
        <v>27953</v>
      </c>
      <c r="K1028">
        <f t="shared" si="33"/>
        <v>46</v>
      </c>
    </row>
    <row r="1029" spans="1:11">
      <c r="A1029" t="s">
        <v>2622</v>
      </c>
      <c r="B1029">
        <v>1976</v>
      </c>
      <c r="C1029" t="s">
        <v>4696</v>
      </c>
      <c r="D1029">
        <v>20</v>
      </c>
      <c r="E1029">
        <v>1</v>
      </c>
      <c r="F1029" s="13">
        <v>8334.59</v>
      </c>
      <c r="G1029" t="s">
        <v>4698</v>
      </c>
      <c r="H1029" t="s">
        <v>4697</v>
      </c>
      <c r="I1029" t="s">
        <v>4711</v>
      </c>
      <c r="J1029" s="10">
        <f t="shared" si="32"/>
        <v>27961</v>
      </c>
      <c r="K1029">
        <f t="shared" si="33"/>
        <v>46</v>
      </c>
    </row>
    <row r="1030" spans="1:11">
      <c r="A1030" t="s">
        <v>2620</v>
      </c>
      <c r="B1030">
        <v>1976</v>
      </c>
      <c r="C1030" t="s">
        <v>4696</v>
      </c>
      <c r="D1030">
        <v>7</v>
      </c>
      <c r="E1030">
        <v>1</v>
      </c>
      <c r="F1030" s="13">
        <v>8342.91</v>
      </c>
      <c r="G1030" t="s">
        <v>4698</v>
      </c>
      <c r="H1030" t="s">
        <v>4701</v>
      </c>
      <c r="I1030" t="s">
        <v>4711</v>
      </c>
      <c r="J1030" s="10">
        <f t="shared" si="32"/>
        <v>27948</v>
      </c>
      <c r="K1030">
        <f t="shared" si="33"/>
        <v>46</v>
      </c>
    </row>
    <row r="1031" spans="1:11">
      <c r="A1031" t="s">
        <v>2618</v>
      </c>
      <c r="B1031">
        <v>1976</v>
      </c>
      <c r="C1031" t="s">
        <v>4702</v>
      </c>
      <c r="D1031">
        <v>12</v>
      </c>
      <c r="E1031">
        <v>2</v>
      </c>
      <c r="F1031" s="13">
        <v>8347.16</v>
      </c>
      <c r="G1031" t="s">
        <v>4697</v>
      </c>
      <c r="H1031" t="s">
        <v>4701</v>
      </c>
      <c r="I1031" t="s">
        <v>4699</v>
      </c>
      <c r="J1031" s="10">
        <f t="shared" si="32"/>
        <v>27923</v>
      </c>
      <c r="K1031">
        <f t="shared" si="33"/>
        <v>46</v>
      </c>
    </row>
    <row r="1032" spans="1:11">
      <c r="A1032" t="s">
        <v>2616</v>
      </c>
      <c r="B1032">
        <v>1963</v>
      </c>
      <c r="C1032" t="s">
        <v>4703</v>
      </c>
      <c r="D1032">
        <v>21</v>
      </c>
      <c r="E1032">
        <v>0</v>
      </c>
      <c r="F1032" s="13">
        <v>8355.5400000000009</v>
      </c>
      <c r="G1032" t="s">
        <v>4698</v>
      </c>
      <c r="H1032" t="s">
        <v>4698</v>
      </c>
      <c r="I1032" t="s">
        <v>4704</v>
      </c>
      <c r="J1032" s="10">
        <f t="shared" si="32"/>
        <v>23275</v>
      </c>
      <c r="K1032">
        <f t="shared" si="33"/>
        <v>59</v>
      </c>
    </row>
    <row r="1033" spans="1:11">
      <c r="A1033" t="s">
        <v>2614</v>
      </c>
      <c r="B1033">
        <v>1971</v>
      </c>
      <c r="C1033" t="s">
        <v>4703</v>
      </c>
      <c r="D1033">
        <v>4</v>
      </c>
      <c r="E1033">
        <v>0</v>
      </c>
      <c r="F1033" s="13">
        <v>8396.6200000000008</v>
      </c>
      <c r="G1033" t="s">
        <v>4697</v>
      </c>
      <c r="H1033" t="s">
        <v>4698</v>
      </c>
      <c r="I1033" t="s">
        <v>4699</v>
      </c>
      <c r="J1033" s="10">
        <f t="shared" si="32"/>
        <v>26180</v>
      </c>
      <c r="K1033">
        <f t="shared" si="33"/>
        <v>51</v>
      </c>
    </row>
    <row r="1034" spans="1:11">
      <c r="A1034" t="s">
        <v>2612</v>
      </c>
      <c r="B1034">
        <v>1971</v>
      </c>
      <c r="C1034" t="s">
        <v>4703</v>
      </c>
      <c r="D1034">
        <v>18</v>
      </c>
      <c r="E1034">
        <v>0</v>
      </c>
      <c r="F1034" s="13">
        <v>8400.01</v>
      </c>
      <c r="G1034" t="s">
        <v>4697</v>
      </c>
      <c r="H1034" t="s">
        <v>4698</v>
      </c>
      <c r="I1034" t="s">
        <v>4699</v>
      </c>
      <c r="J1034" s="10">
        <f t="shared" si="32"/>
        <v>26194</v>
      </c>
      <c r="K1034">
        <f t="shared" si="33"/>
        <v>51</v>
      </c>
    </row>
    <row r="1035" spans="1:11">
      <c r="A1035" t="s">
        <v>2610</v>
      </c>
      <c r="B1035">
        <v>1979</v>
      </c>
      <c r="C1035" t="s">
        <v>4702</v>
      </c>
      <c r="D1035">
        <v>11</v>
      </c>
      <c r="E1035">
        <v>3</v>
      </c>
      <c r="F1035" s="13">
        <v>8410.0499999999993</v>
      </c>
      <c r="G1035" t="s">
        <v>4697</v>
      </c>
      <c r="H1035" t="s">
        <v>4697</v>
      </c>
      <c r="I1035" t="s">
        <v>4704</v>
      </c>
      <c r="J1035" s="10">
        <f t="shared" si="32"/>
        <v>29017</v>
      </c>
      <c r="K1035">
        <f t="shared" si="33"/>
        <v>43</v>
      </c>
    </row>
    <row r="1036" spans="1:11">
      <c r="A1036" t="s">
        <v>2608</v>
      </c>
      <c r="B1036">
        <v>1977</v>
      </c>
      <c r="C1036" t="s">
        <v>4703</v>
      </c>
      <c r="D1036">
        <v>4</v>
      </c>
      <c r="E1036">
        <v>2</v>
      </c>
      <c r="F1036" s="13">
        <v>8413.4599999999991</v>
      </c>
      <c r="G1036" t="s">
        <v>4698</v>
      </c>
      <c r="H1036" t="s">
        <v>4701</v>
      </c>
      <c r="I1036" t="s">
        <v>4704</v>
      </c>
      <c r="J1036" s="10">
        <f t="shared" si="32"/>
        <v>28372</v>
      </c>
      <c r="K1036">
        <f t="shared" si="33"/>
        <v>45</v>
      </c>
    </row>
    <row r="1037" spans="1:11">
      <c r="A1037" t="s">
        <v>2606</v>
      </c>
      <c r="B1037">
        <v>1975</v>
      </c>
      <c r="C1037" t="s">
        <v>4703</v>
      </c>
      <c r="D1037">
        <v>28</v>
      </c>
      <c r="E1037">
        <v>1</v>
      </c>
      <c r="F1037" s="13">
        <v>8428.07</v>
      </c>
      <c r="G1037" t="s">
        <v>4698</v>
      </c>
      <c r="H1037" t="s">
        <v>4697</v>
      </c>
      <c r="I1037" t="s">
        <v>4704</v>
      </c>
      <c r="J1037" s="10">
        <f t="shared" si="32"/>
        <v>27665</v>
      </c>
      <c r="K1037">
        <f t="shared" si="33"/>
        <v>47</v>
      </c>
    </row>
    <row r="1038" spans="1:11">
      <c r="A1038" t="s">
        <v>2604</v>
      </c>
      <c r="B1038">
        <v>1963</v>
      </c>
      <c r="C1038" t="s">
        <v>4703</v>
      </c>
      <c r="D1038">
        <v>24</v>
      </c>
      <c r="E1038">
        <v>0</v>
      </c>
      <c r="F1038" s="13">
        <v>8440.0499999999993</v>
      </c>
      <c r="G1038" t="s">
        <v>4698</v>
      </c>
      <c r="H1038" t="s">
        <v>4697</v>
      </c>
      <c r="I1038" t="s">
        <v>4699</v>
      </c>
      <c r="J1038" s="10">
        <f t="shared" si="32"/>
        <v>23278</v>
      </c>
      <c r="K1038">
        <f t="shared" si="33"/>
        <v>59</v>
      </c>
    </row>
    <row r="1039" spans="1:11">
      <c r="A1039" t="s">
        <v>2602</v>
      </c>
      <c r="B1039">
        <v>1972</v>
      </c>
      <c r="C1039" t="s">
        <v>4703</v>
      </c>
      <c r="D1039">
        <v>9</v>
      </c>
      <c r="E1039">
        <v>0</v>
      </c>
      <c r="F1039" s="13">
        <v>8442.67</v>
      </c>
      <c r="G1039" t="s">
        <v>4697</v>
      </c>
      <c r="H1039" t="s">
        <v>4698</v>
      </c>
      <c r="I1039" t="s">
        <v>4699</v>
      </c>
      <c r="J1039" s="10">
        <f t="shared" si="32"/>
        <v>26551</v>
      </c>
      <c r="K1039">
        <f t="shared" si="33"/>
        <v>50</v>
      </c>
    </row>
    <row r="1040" spans="1:11">
      <c r="A1040" t="s">
        <v>2600</v>
      </c>
      <c r="B1040">
        <v>1972</v>
      </c>
      <c r="C1040" t="s">
        <v>4703</v>
      </c>
      <c r="D1040">
        <v>4</v>
      </c>
      <c r="E1040">
        <v>0</v>
      </c>
      <c r="F1040" s="13">
        <v>8444.4699999999993</v>
      </c>
      <c r="G1040" t="s">
        <v>4698</v>
      </c>
      <c r="H1040" t="s">
        <v>4701</v>
      </c>
      <c r="I1040" t="s">
        <v>4708</v>
      </c>
      <c r="J1040" s="10">
        <f t="shared" si="32"/>
        <v>26546</v>
      </c>
      <c r="K1040">
        <f t="shared" si="33"/>
        <v>50</v>
      </c>
    </row>
    <row r="1041" spans="1:11">
      <c r="A1041" t="s">
        <v>2598</v>
      </c>
      <c r="B1041">
        <v>1966</v>
      </c>
      <c r="C1041" t="s">
        <v>4702</v>
      </c>
      <c r="D1041">
        <v>12</v>
      </c>
      <c r="E1041">
        <v>0</v>
      </c>
      <c r="F1041" s="13">
        <v>8448.66</v>
      </c>
      <c r="G1041" t="s">
        <v>4698</v>
      </c>
      <c r="H1041" t="s">
        <v>4701</v>
      </c>
      <c r="I1041" t="s">
        <v>4699</v>
      </c>
      <c r="J1041" s="10">
        <f t="shared" si="32"/>
        <v>24270</v>
      </c>
      <c r="K1041">
        <f t="shared" si="33"/>
        <v>56</v>
      </c>
    </row>
    <row r="1042" spans="1:11">
      <c r="A1042" t="s">
        <v>2596</v>
      </c>
      <c r="B1042">
        <v>1984</v>
      </c>
      <c r="C1042" t="s">
        <v>4702</v>
      </c>
      <c r="D1042">
        <v>19</v>
      </c>
      <c r="E1042">
        <v>3</v>
      </c>
      <c r="F1042" s="13">
        <v>8450.82</v>
      </c>
      <c r="G1042" t="s">
        <v>4697</v>
      </c>
      <c r="H1042" t="s">
        <v>4697</v>
      </c>
      <c r="I1042" t="s">
        <v>4713</v>
      </c>
      <c r="J1042" s="10">
        <f t="shared" si="32"/>
        <v>30852</v>
      </c>
      <c r="K1042">
        <f t="shared" si="33"/>
        <v>38</v>
      </c>
    </row>
    <row r="1043" spans="1:11">
      <c r="A1043" t="s">
        <v>2594</v>
      </c>
      <c r="B1043">
        <v>1972</v>
      </c>
      <c r="C1043" t="s">
        <v>4705</v>
      </c>
      <c r="D1043">
        <v>26</v>
      </c>
      <c r="E1043">
        <v>0</v>
      </c>
      <c r="F1043" s="13">
        <v>8457.82</v>
      </c>
      <c r="G1043" t="s">
        <v>4697</v>
      </c>
      <c r="H1043" t="s">
        <v>4698</v>
      </c>
      <c r="I1043" t="s">
        <v>4708</v>
      </c>
      <c r="J1043" s="10">
        <f t="shared" si="32"/>
        <v>26659</v>
      </c>
      <c r="K1043">
        <f t="shared" si="33"/>
        <v>50</v>
      </c>
    </row>
    <row r="1044" spans="1:11">
      <c r="A1044" t="s">
        <v>2592</v>
      </c>
      <c r="B1044">
        <v>1992</v>
      </c>
      <c r="C1044" t="s">
        <v>4703</v>
      </c>
      <c r="D1044">
        <v>9</v>
      </c>
      <c r="E1044">
        <v>0</v>
      </c>
      <c r="F1044" s="13">
        <v>8466.35</v>
      </c>
      <c r="G1044" t="s">
        <v>4697</v>
      </c>
      <c r="H1044" t="s">
        <v>4697</v>
      </c>
      <c r="I1044" t="s">
        <v>4704</v>
      </c>
      <c r="J1044" s="10">
        <f t="shared" si="32"/>
        <v>33856</v>
      </c>
      <c r="K1044">
        <f t="shared" si="33"/>
        <v>30</v>
      </c>
    </row>
    <row r="1045" spans="1:11">
      <c r="A1045" t="s">
        <v>2590</v>
      </c>
      <c r="B1045">
        <v>1993</v>
      </c>
      <c r="C1045" t="s">
        <v>4700</v>
      </c>
      <c r="D1045">
        <v>10</v>
      </c>
      <c r="E1045">
        <v>0</v>
      </c>
      <c r="F1045" s="13">
        <v>8471.65</v>
      </c>
      <c r="G1045" t="s">
        <v>4697</v>
      </c>
      <c r="H1045" t="s">
        <v>4701</v>
      </c>
      <c r="I1045" t="s">
        <v>4704</v>
      </c>
      <c r="J1045" s="10">
        <f t="shared" si="32"/>
        <v>34283</v>
      </c>
      <c r="K1045">
        <f t="shared" si="33"/>
        <v>29</v>
      </c>
    </row>
    <row r="1046" spans="1:11">
      <c r="A1046" t="s">
        <v>2588</v>
      </c>
      <c r="B1046">
        <v>1977</v>
      </c>
      <c r="C1046" t="s">
        <v>4705</v>
      </c>
      <c r="D1046">
        <v>26</v>
      </c>
      <c r="E1046">
        <v>2</v>
      </c>
      <c r="F1046" s="13">
        <v>8515.76</v>
      </c>
      <c r="G1046" t="s">
        <v>4697</v>
      </c>
      <c r="H1046" t="s">
        <v>4697</v>
      </c>
      <c r="I1046" t="s">
        <v>4699</v>
      </c>
      <c r="J1046" s="10">
        <f t="shared" si="32"/>
        <v>28485</v>
      </c>
      <c r="K1046">
        <f t="shared" si="33"/>
        <v>45</v>
      </c>
    </row>
    <row r="1047" spans="1:11">
      <c r="A1047" t="s">
        <v>2586</v>
      </c>
      <c r="B1047">
        <v>1977</v>
      </c>
      <c r="C1047" t="s">
        <v>4702</v>
      </c>
      <c r="D1047">
        <v>21</v>
      </c>
      <c r="E1047">
        <v>2</v>
      </c>
      <c r="F1047" s="13">
        <v>8516.83</v>
      </c>
      <c r="G1047" t="s">
        <v>4697</v>
      </c>
      <c r="H1047" t="s">
        <v>4701</v>
      </c>
      <c r="I1047" t="s">
        <v>4699</v>
      </c>
      <c r="J1047" s="10">
        <f t="shared" si="32"/>
        <v>28297</v>
      </c>
      <c r="K1047">
        <f t="shared" si="33"/>
        <v>45</v>
      </c>
    </row>
    <row r="1048" spans="1:11">
      <c r="A1048" t="s">
        <v>2584</v>
      </c>
      <c r="B1048">
        <v>1977</v>
      </c>
      <c r="C1048" t="s">
        <v>4705</v>
      </c>
      <c r="D1048">
        <v>29</v>
      </c>
      <c r="E1048">
        <v>2</v>
      </c>
      <c r="F1048" s="13">
        <v>8520.0300000000007</v>
      </c>
      <c r="G1048" t="s">
        <v>4697</v>
      </c>
      <c r="H1048" t="s">
        <v>4698</v>
      </c>
      <c r="I1048" t="s">
        <v>4708</v>
      </c>
      <c r="J1048" s="10">
        <f t="shared" si="32"/>
        <v>28488</v>
      </c>
      <c r="K1048">
        <f t="shared" si="33"/>
        <v>45</v>
      </c>
    </row>
    <row r="1049" spans="1:11">
      <c r="A1049" t="s">
        <v>2582</v>
      </c>
      <c r="B1049">
        <v>1979</v>
      </c>
      <c r="C1049" t="s">
        <v>4706</v>
      </c>
      <c r="D1049">
        <v>13</v>
      </c>
      <c r="E1049">
        <v>3</v>
      </c>
      <c r="F1049" s="13">
        <v>8522</v>
      </c>
      <c r="G1049" t="s">
        <v>4697</v>
      </c>
      <c r="H1049" t="s">
        <v>4697</v>
      </c>
      <c r="I1049" t="s">
        <v>4708</v>
      </c>
      <c r="J1049" s="10">
        <f t="shared" si="32"/>
        <v>29080</v>
      </c>
      <c r="K1049">
        <f t="shared" si="33"/>
        <v>43</v>
      </c>
    </row>
    <row r="1050" spans="1:11">
      <c r="A1050" t="s">
        <v>2580</v>
      </c>
      <c r="B1050">
        <v>1977</v>
      </c>
      <c r="C1050" t="s">
        <v>4696</v>
      </c>
      <c r="D1050">
        <v>26</v>
      </c>
      <c r="E1050">
        <v>2</v>
      </c>
      <c r="F1050" s="13">
        <v>8527.5300000000007</v>
      </c>
      <c r="G1050" t="s">
        <v>4697</v>
      </c>
      <c r="H1050" t="s">
        <v>4697</v>
      </c>
      <c r="I1050" t="s">
        <v>4699</v>
      </c>
      <c r="J1050" s="10">
        <f t="shared" si="32"/>
        <v>28332</v>
      </c>
      <c r="K1050">
        <f t="shared" si="33"/>
        <v>45</v>
      </c>
    </row>
    <row r="1051" spans="1:11">
      <c r="A1051" t="s">
        <v>2578</v>
      </c>
      <c r="B1051" t="s">
        <v>4685</v>
      </c>
      <c r="C1051" t="s">
        <v>4696</v>
      </c>
      <c r="D1051">
        <v>24</v>
      </c>
      <c r="E1051">
        <v>0</v>
      </c>
      <c r="F1051" s="13">
        <v>8534.67</v>
      </c>
      <c r="G1051" t="s">
        <v>4697</v>
      </c>
      <c r="H1051" t="s">
        <v>4698</v>
      </c>
      <c r="I1051" t="s">
        <v>4714</v>
      </c>
      <c r="J1051" s="10" t="e">
        <f t="shared" si="32"/>
        <v>#VALUE!</v>
      </c>
      <c r="K1051" t="e">
        <f t="shared" si="33"/>
        <v>#VALUE!</v>
      </c>
    </row>
    <row r="1052" spans="1:11">
      <c r="A1052" t="s">
        <v>2576</v>
      </c>
      <c r="B1052">
        <v>1981</v>
      </c>
      <c r="C1052" t="s">
        <v>4705</v>
      </c>
      <c r="D1052">
        <v>27</v>
      </c>
      <c r="E1052">
        <v>3</v>
      </c>
      <c r="F1052" s="13">
        <v>8538.2900000000009</v>
      </c>
      <c r="G1052" t="s">
        <v>4697</v>
      </c>
      <c r="H1052" t="s">
        <v>4698</v>
      </c>
      <c r="I1052" t="s">
        <v>4714</v>
      </c>
      <c r="J1052" s="10">
        <f t="shared" si="32"/>
        <v>29947</v>
      </c>
      <c r="K1052">
        <f t="shared" si="33"/>
        <v>41</v>
      </c>
    </row>
    <row r="1053" spans="1:11">
      <c r="A1053" t="s">
        <v>2574</v>
      </c>
      <c r="B1053">
        <v>1975</v>
      </c>
      <c r="C1053" t="s">
        <v>4700</v>
      </c>
      <c r="D1053">
        <v>6</v>
      </c>
      <c r="E1053">
        <v>1</v>
      </c>
      <c r="F1053" s="13">
        <v>8539.67</v>
      </c>
      <c r="G1053" t="s">
        <v>4697</v>
      </c>
      <c r="H1053" t="s">
        <v>4698</v>
      </c>
      <c r="I1053" t="s">
        <v>4708</v>
      </c>
      <c r="J1053" s="10">
        <f t="shared" si="32"/>
        <v>27704</v>
      </c>
      <c r="K1053">
        <f t="shared" si="33"/>
        <v>47</v>
      </c>
    </row>
    <row r="1054" spans="1:11">
      <c r="A1054" t="s">
        <v>2572</v>
      </c>
      <c r="B1054" t="s">
        <v>4685</v>
      </c>
      <c r="C1054" t="s">
        <v>4705</v>
      </c>
      <c r="D1054">
        <v>12</v>
      </c>
      <c r="E1054">
        <v>1</v>
      </c>
      <c r="F1054" s="13">
        <v>8547.69</v>
      </c>
      <c r="G1054" t="s">
        <v>4697</v>
      </c>
      <c r="H1054" t="s">
        <v>4701</v>
      </c>
      <c r="I1054" t="s">
        <v>4699</v>
      </c>
      <c r="J1054" s="10" t="e">
        <f t="shared" si="32"/>
        <v>#VALUE!</v>
      </c>
      <c r="K1054" t="e">
        <f t="shared" si="33"/>
        <v>#VALUE!</v>
      </c>
    </row>
    <row r="1055" spans="1:11">
      <c r="A1055" t="s">
        <v>2570</v>
      </c>
      <c r="B1055">
        <v>1975</v>
      </c>
      <c r="C1055" t="s">
        <v>4706</v>
      </c>
      <c r="D1055">
        <v>6</v>
      </c>
      <c r="E1055">
        <v>1</v>
      </c>
      <c r="F1055" s="13">
        <v>8551.35</v>
      </c>
      <c r="G1055" t="s">
        <v>4697</v>
      </c>
      <c r="H1055" t="s">
        <v>4697</v>
      </c>
      <c r="I1055" t="s">
        <v>4708</v>
      </c>
      <c r="J1055" s="10">
        <f t="shared" si="32"/>
        <v>27612</v>
      </c>
      <c r="K1055">
        <f t="shared" si="33"/>
        <v>47</v>
      </c>
    </row>
    <row r="1056" spans="1:11">
      <c r="A1056" t="s">
        <v>2568</v>
      </c>
      <c r="B1056">
        <v>1975</v>
      </c>
      <c r="C1056" t="s">
        <v>4706</v>
      </c>
      <c r="D1056">
        <v>21</v>
      </c>
      <c r="E1056">
        <v>1</v>
      </c>
      <c r="F1056" s="13">
        <v>8556.91</v>
      </c>
      <c r="G1056" t="s">
        <v>4697</v>
      </c>
      <c r="H1056" t="s">
        <v>4701</v>
      </c>
      <c r="I1056" t="s">
        <v>4708</v>
      </c>
      <c r="J1056" s="10">
        <f t="shared" si="32"/>
        <v>27627</v>
      </c>
      <c r="K1056">
        <f t="shared" si="33"/>
        <v>47</v>
      </c>
    </row>
    <row r="1057" spans="1:11">
      <c r="A1057" t="s">
        <v>2566</v>
      </c>
      <c r="B1057">
        <v>1988</v>
      </c>
      <c r="C1057" t="s">
        <v>4703</v>
      </c>
      <c r="D1057">
        <v>21</v>
      </c>
      <c r="E1057">
        <v>3</v>
      </c>
      <c r="F1057" s="13">
        <v>8567.25</v>
      </c>
      <c r="G1057" t="s">
        <v>4697</v>
      </c>
      <c r="H1057" t="s">
        <v>4701</v>
      </c>
      <c r="I1057" t="s">
        <v>4704</v>
      </c>
      <c r="J1057" s="10">
        <f t="shared" si="32"/>
        <v>32407</v>
      </c>
      <c r="K1057">
        <f t="shared" si="33"/>
        <v>34</v>
      </c>
    </row>
    <row r="1058" spans="1:11">
      <c r="A1058" t="s">
        <v>2564</v>
      </c>
      <c r="B1058">
        <v>1975</v>
      </c>
      <c r="C1058" t="s">
        <v>4703</v>
      </c>
      <c r="D1058">
        <v>26</v>
      </c>
      <c r="E1058">
        <v>1</v>
      </c>
      <c r="F1058" s="13">
        <v>8569.86</v>
      </c>
      <c r="G1058" t="s">
        <v>4697</v>
      </c>
      <c r="H1058" t="s">
        <v>4698</v>
      </c>
      <c r="I1058" t="s">
        <v>4699</v>
      </c>
      <c r="J1058" s="10">
        <f t="shared" si="32"/>
        <v>27663</v>
      </c>
      <c r="K1058">
        <f t="shared" si="33"/>
        <v>47</v>
      </c>
    </row>
    <row r="1059" spans="1:11">
      <c r="A1059" t="s">
        <v>2562</v>
      </c>
      <c r="B1059">
        <v>1982</v>
      </c>
      <c r="C1059" t="s">
        <v>4705</v>
      </c>
      <c r="D1059">
        <v>6</v>
      </c>
      <c r="E1059">
        <v>3</v>
      </c>
      <c r="F1059" s="13">
        <v>8572.0400000000009</v>
      </c>
      <c r="G1059" t="s">
        <v>4697</v>
      </c>
      <c r="H1059" t="s">
        <v>4697</v>
      </c>
      <c r="I1059" t="s">
        <v>4717</v>
      </c>
      <c r="J1059" s="10">
        <f t="shared" si="32"/>
        <v>30291</v>
      </c>
      <c r="K1059">
        <f t="shared" si="33"/>
        <v>40</v>
      </c>
    </row>
    <row r="1060" spans="1:11">
      <c r="A1060" t="s">
        <v>2560</v>
      </c>
      <c r="B1060">
        <v>1987</v>
      </c>
      <c r="C1060" t="s">
        <v>4700</v>
      </c>
      <c r="D1060">
        <v>11</v>
      </c>
      <c r="E1060">
        <v>3</v>
      </c>
      <c r="F1060" s="13">
        <v>8573.2999999999993</v>
      </c>
      <c r="G1060" t="s">
        <v>4697</v>
      </c>
      <c r="H1060" t="s">
        <v>4697</v>
      </c>
      <c r="I1060" t="s">
        <v>4717</v>
      </c>
      <c r="J1060" s="10">
        <f t="shared" si="32"/>
        <v>32092</v>
      </c>
      <c r="K1060">
        <f t="shared" si="33"/>
        <v>35</v>
      </c>
    </row>
    <row r="1061" spans="1:11">
      <c r="A1061" t="s">
        <v>2558</v>
      </c>
      <c r="B1061">
        <v>1983</v>
      </c>
      <c r="C1061" t="s">
        <v>4705</v>
      </c>
      <c r="D1061">
        <v>30</v>
      </c>
      <c r="E1061">
        <v>5</v>
      </c>
      <c r="F1061" s="13">
        <v>8582.2999999999993</v>
      </c>
      <c r="G1061" t="s">
        <v>4697</v>
      </c>
      <c r="H1061" t="s">
        <v>4701</v>
      </c>
      <c r="I1061" t="s">
        <v>4699</v>
      </c>
      <c r="J1061" s="10">
        <f t="shared" si="32"/>
        <v>30680</v>
      </c>
      <c r="K1061">
        <f t="shared" si="33"/>
        <v>39</v>
      </c>
    </row>
    <row r="1062" spans="1:11">
      <c r="A1062" t="s">
        <v>2556</v>
      </c>
      <c r="B1062">
        <v>1983</v>
      </c>
      <c r="C1062" t="s">
        <v>4696</v>
      </c>
      <c r="D1062">
        <v>25</v>
      </c>
      <c r="E1062">
        <v>5</v>
      </c>
      <c r="F1062" s="13">
        <v>8596.83</v>
      </c>
      <c r="G1062" t="s">
        <v>4697</v>
      </c>
      <c r="H1062" t="s">
        <v>4698</v>
      </c>
      <c r="I1062" t="s">
        <v>4699</v>
      </c>
      <c r="J1062" s="10">
        <f t="shared" si="32"/>
        <v>30522</v>
      </c>
      <c r="K1062">
        <f t="shared" si="33"/>
        <v>39</v>
      </c>
    </row>
    <row r="1063" spans="1:11">
      <c r="A1063" t="s">
        <v>2554</v>
      </c>
      <c r="B1063">
        <v>1973</v>
      </c>
      <c r="C1063" t="s">
        <v>4696</v>
      </c>
      <c r="D1063">
        <v>11</v>
      </c>
      <c r="E1063">
        <v>0</v>
      </c>
      <c r="F1063" s="13">
        <v>8601.33</v>
      </c>
      <c r="G1063" t="s">
        <v>4697</v>
      </c>
      <c r="H1063" t="s">
        <v>4701</v>
      </c>
      <c r="I1063" t="s">
        <v>4699</v>
      </c>
      <c r="J1063" s="10">
        <f t="shared" si="32"/>
        <v>26856</v>
      </c>
      <c r="K1063">
        <f t="shared" si="33"/>
        <v>49</v>
      </c>
    </row>
    <row r="1064" spans="1:11">
      <c r="A1064" t="s">
        <v>2552</v>
      </c>
      <c r="B1064">
        <v>1977</v>
      </c>
      <c r="C1064" t="s">
        <v>4703</v>
      </c>
      <c r="D1064">
        <v>24</v>
      </c>
      <c r="E1064">
        <v>2</v>
      </c>
      <c r="F1064" s="13">
        <v>8603.82</v>
      </c>
      <c r="G1064" t="s">
        <v>4697</v>
      </c>
      <c r="H1064" t="s">
        <v>4701</v>
      </c>
      <c r="I1064" t="s">
        <v>4710</v>
      </c>
      <c r="J1064" s="10">
        <f t="shared" si="32"/>
        <v>28392</v>
      </c>
      <c r="K1064">
        <f t="shared" si="33"/>
        <v>45</v>
      </c>
    </row>
    <row r="1065" spans="1:11">
      <c r="A1065" t="s">
        <v>2550</v>
      </c>
      <c r="B1065">
        <v>1977</v>
      </c>
      <c r="C1065" t="s">
        <v>4700</v>
      </c>
      <c r="D1065">
        <v>12</v>
      </c>
      <c r="E1065">
        <v>2</v>
      </c>
      <c r="F1065" s="13">
        <v>8604.48</v>
      </c>
      <c r="G1065" t="s">
        <v>4698</v>
      </c>
      <c r="H1065" t="s">
        <v>4697</v>
      </c>
      <c r="I1065" t="s">
        <v>4711</v>
      </c>
      <c r="J1065" s="10">
        <f t="shared" si="32"/>
        <v>28441</v>
      </c>
      <c r="K1065">
        <f t="shared" si="33"/>
        <v>45</v>
      </c>
    </row>
    <row r="1066" spans="1:11">
      <c r="A1066" t="s">
        <v>2548</v>
      </c>
      <c r="B1066">
        <v>1977</v>
      </c>
      <c r="C1066" t="s">
        <v>4707</v>
      </c>
      <c r="D1066">
        <v>15</v>
      </c>
      <c r="E1066">
        <v>3</v>
      </c>
      <c r="F1066" s="13">
        <v>8605.36</v>
      </c>
      <c r="G1066" t="s">
        <v>4697</v>
      </c>
      <c r="H1066" t="s">
        <v>4697</v>
      </c>
      <c r="I1066" t="s">
        <v>4699</v>
      </c>
      <c r="J1066" s="10">
        <f t="shared" si="32"/>
        <v>28413</v>
      </c>
      <c r="K1066">
        <f t="shared" si="33"/>
        <v>45</v>
      </c>
    </row>
    <row r="1067" spans="1:11">
      <c r="A1067" t="s">
        <v>2546</v>
      </c>
      <c r="B1067">
        <v>1979</v>
      </c>
      <c r="C1067" t="s">
        <v>4696</v>
      </c>
      <c r="D1067">
        <v>17</v>
      </c>
      <c r="E1067">
        <v>3</v>
      </c>
      <c r="F1067" s="13">
        <v>8606.2199999999993</v>
      </c>
      <c r="G1067" t="s">
        <v>4701</v>
      </c>
      <c r="H1067" t="s">
        <v>4697</v>
      </c>
      <c r="I1067" t="s">
        <v>4716</v>
      </c>
      <c r="J1067" s="10">
        <f t="shared" si="32"/>
        <v>29053</v>
      </c>
      <c r="K1067">
        <f t="shared" si="33"/>
        <v>43</v>
      </c>
    </row>
    <row r="1068" spans="1:11">
      <c r="A1068" t="s">
        <v>2544</v>
      </c>
      <c r="B1068">
        <v>1977</v>
      </c>
      <c r="C1068" t="s">
        <v>4703</v>
      </c>
      <c r="D1068">
        <v>2</v>
      </c>
      <c r="E1068">
        <v>3</v>
      </c>
      <c r="F1068" s="13">
        <v>8615.2999999999993</v>
      </c>
      <c r="G1068" t="s">
        <v>4697</v>
      </c>
      <c r="H1068" t="s">
        <v>4698</v>
      </c>
      <c r="I1068" t="s">
        <v>4708</v>
      </c>
      <c r="J1068" s="10">
        <f t="shared" si="32"/>
        <v>28370</v>
      </c>
      <c r="K1068">
        <f t="shared" si="33"/>
        <v>45</v>
      </c>
    </row>
    <row r="1069" spans="1:11">
      <c r="A1069" t="s">
        <v>2542</v>
      </c>
      <c r="B1069">
        <v>1975</v>
      </c>
      <c r="C1069" t="s">
        <v>4706</v>
      </c>
      <c r="D1069">
        <v>3</v>
      </c>
      <c r="E1069">
        <v>1</v>
      </c>
      <c r="F1069" s="13">
        <v>8627.5400000000009</v>
      </c>
      <c r="G1069" t="s">
        <v>4697</v>
      </c>
      <c r="H1069" t="s">
        <v>4697</v>
      </c>
      <c r="I1069" t="s">
        <v>4718</v>
      </c>
      <c r="J1069" s="10">
        <f t="shared" si="32"/>
        <v>27609</v>
      </c>
      <c r="K1069">
        <f t="shared" si="33"/>
        <v>47</v>
      </c>
    </row>
    <row r="1070" spans="1:11">
      <c r="A1070" t="s">
        <v>2540</v>
      </c>
      <c r="B1070">
        <v>1965</v>
      </c>
      <c r="C1070" t="s">
        <v>4707</v>
      </c>
      <c r="D1070">
        <v>21</v>
      </c>
      <c r="E1070">
        <v>0</v>
      </c>
      <c r="F1070" s="13">
        <v>8665.09</v>
      </c>
      <c r="G1070" t="s">
        <v>4698</v>
      </c>
      <c r="H1070" t="s">
        <v>4697</v>
      </c>
      <c r="I1070" t="s">
        <v>4704</v>
      </c>
      <c r="J1070" s="10">
        <f t="shared" si="32"/>
        <v>24036</v>
      </c>
      <c r="K1070">
        <f t="shared" si="33"/>
        <v>57</v>
      </c>
    </row>
    <row r="1071" spans="1:11">
      <c r="A1071" t="s">
        <v>2538</v>
      </c>
      <c r="B1071">
        <v>1969</v>
      </c>
      <c r="C1071" t="s">
        <v>4706</v>
      </c>
      <c r="D1071">
        <v>10</v>
      </c>
      <c r="E1071">
        <v>0</v>
      </c>
      <c r="F1071" s="13">
        <v>8665.14</v>
      </c>
      <c r="G1071" t="s">
        <v>4697</v>
      </c>
      <c r="H1071" t="s">
        <v>4698</v>
      </c>
      <c r="I1071" t="s">
        <v>4699</v>
      </c>
      <c r="J1071" s="10">
        <f t="shared" si="32"/>
        <v>25425</v>
      </c>
      <c r="K1071">
        <f t="shared" si="33"/>
        <v>53</v>
      </c>
    </row>
    <row r="1072" spans="1:11">
      <c r="A1072" t="s">
        <v>2536</v>
      </c>
      <c r="B1072">
        <v>1974</v>
      </c>
      <c r="C1072" t="s">
        <v>4706</v>
      </c>
      <c r="D1072">
        <v>16</v>
      </c>
      <c r="E1072">
        <v>0</v>
      </c>
      <c r="F1072" s="13">
        <v>8671.19</v>
      </c>
      <c r="G1072" t="s">
        <v>4697</v>
      </c>
      <c r="H1072" t="s">
        <v>4701</v>
      </c>
      <c r="I1072" t="s">
        <v>4704</v>
      </c>
      <c r="J1072" s="10">
        <f t="shared" si="32"/>
        <v>27257</v>
      </c>
      <c r="K1072">
        <f t="shared" si="33"/>
        <v>48</v>
      </c>
    </row>
    <row r="1073" spans="1:11">
      <c r="A1073" t="s">
        <v>2534</v>
      </c>
      <c r="B1073">
        <v>1973</v>
      </c>
      <c r="C1073" t="s">
        <v>4707</v>
      </c>
      <c r="D1073">
        <v>11</v>
      </c>
      <c r="E1073">
        <v>0</v>
      </c>
      <c r="F1073" s="13">
        <v>8688.86</v>
      </c>
      <c r="G1073" t="s">
        <v>4697</v>
      </c>
      <c r="H1073" t="s">
        <v>4701</v>
      </c>
      <c r="I1073" t="s">
        <v>4718</v>
      </c>
      <c r="J1073" s="10">
        <f t="shared" si="32"/>
        <v>26948</v>
      </c>
      <c r="K1073">
        <f t="shared" si="33"/>
        <v>49</v>
      </c>
    </row>
    <row r="1074" spans="1:11">
      <c r="A1074" t="s">
        <v>2532</v>
      </c>
      <c r="B1074">
        <v>1980</v>
      </c>
      <c r="C1074" t="s">
        <v>4707</v>
      </c>
      <c r="D1074">
        <v>28</v>
      </c>
      <c r="E1074">
        <v>2</v>
      </c>
      <c r="F1074" s="13">
        <v>8701.84</v>
      </c>
      <c r="G1074" t="s">
        <v>4697</v>
      </c>
      <c r="H1074" t="s">
        <v>4698</v>
      </c>
      <c r="I1074" t="s">
        <v>4717</v>
      </c>
      <c r="J1074" s="10">
        <f t="shared" si="32"/>
        <v>29522</v>
      </c>
      <c r="K1074">
        <f t="shared" si="33"/>
        <v>42</v>
      </c>
    </row>
    <row r="1075" spans="1:11">
      <c r="A1075" t="s">
        <v>2530</v>
      </c>
      <c r="B1075">
        <v>1973</v>
      </c>
      <c r="C1075" t="s">
        <v>4702</v>
      </c>
      <c r="D1075">
        <v>25</v>
      </c>
      <c r="E1075">
        <v>1</v>
      </c>
      <c r="F1075" s="13">
        <v>8703.4599999999991</v>
      </c>
      <c r="G1075" t="s">
        <v>4698</v>
      </c>
      <c r="H1075" t="s">
        <v>4698</v>
      </c>
      <c r="I1075" t="s">
        <v>4708</v>
      </c>
      <c r="J1075" s="10">
        <f t="shared" si="32"/>
        <v>26840</v>
      </c>
      <c r="K1075">
        <f t="shared" si="33"/>
        <v>49</v>
      </c>
    </row>
    <row r="1076" spans="1:11">
      <c r="A1076" t="s">
        <v>2528</v>
      </c>
      <c r="B1076">
        <v>1976</v>
      </c>
      <c r="C1076" t="s">
        <v>4702</v>
      </c>
      <c r="D1076">
        <v>17</v>
      </c>
      <c r="E1076">
        <v>2</v>
      </c>
      <c r="F1076" s="13">
        <v>8733.23</v>
      </c>
      <c r="G1076" t="s">
        <v>4697</v>
      </c>
      <c r="H1076" t="s">
        <v>4698</v>
      </c>
      <c r="I1076" t="s">
        <v>4704</v>
      </c>
      <c r="J1076" s="10">
        <f t="shared" si="32"/>
        <v>27928</v>
      </c>
      <c r="K1076">
        <f t="shared" si="33"/>
        <v>46</v>
      </c>
    </row>
    <row r="1077" spans="1:11">
      <c r="A1077" t="s">
        <v>2526</v>
      </c>
      <c r="B1077">
        <v>1999</v>
      </c>
      <c r="C1077" t="s">
        <v>4706</v>
      </c>
      <c r="D1077">
        <v>23</v>
      </c>
      <c r="E1077">
        <v>0</v>
      </c>
      <c r="F1077" s="13">
        <v>8747.68</v>
      </c>
      <c r="G1077" t="s">
        <v>4697</v>
      </c>
      <c r="H1077" t="s">
        <v>4698</v>
      </c>
      <c r="I1077" t="s">
        <v>4708</v>
      </c>
      <c r="J1077" s="10">
        <f t="shared" si="32"/>
        <v>36395</v>
      </c>
      <c r="K1077">
        <f t="shared" si="33"/>
        <v>23</v>
      </c>
    </row>
    <row r="1078" spans="1:11">
      <c r="A1078" t="s">
        <v>2524</v>
      </c>
      <c r="B1078">
        <v>1969</v>
      </c>
      <c r="C1078" t="s">
        <v>4703</v>
      </c>
      <c r="D1078">
        <v>9</v>
      </c>
      <c r="E1078">
        <v>0</v>
      </c>
      <c r="F1078" s="13">
        <v>8760.1200000000008</v>
      </c>
      <c r="G1078" t="s">
        <v>4697</v>
      </c>
      <c r="H1078" t="s">
        <v>4701</v>
      </c>
      <c r="I1078" t="s">
        <v>4699</v>
      </c>
      <c r="J1078" s="10">
        <f t="shared" si="32"/>
        <v>25455</v>
      </c>
      <c r="K1078">
        <f t="shared" si="33"/>
        <v>53</v>
      </c>
    </row>
    <row r="1079" spans="1:11">
      <c r="A1079" t="s">
        <v>2522</v>
      </c>
      <c r="B1079">
        <v>1974</v>
      </c>
      <c r="C1079" t="s">
        <v>4703</v>
      </c>
      <c r="D1079">
        <v>6</v>
      </c>
      <c r="E1079">
        <v>1</v>
      </c>
      <c r="F1079" s="13">
        <v>8765.25</v>
      </c>
      <c r="G1079" t="s">
        <v>4697</v>
      </c>
      <c r="H1079" t="s">
        <v>4698</v>
      </c>
      <c r="I1079" t="s">
        <v>4704</v>
      </c>
      <c r="J1079" s="10">
        <f t="shared" si="32"/>
        <v>27278</v>
      </c>
      <c r="K1079">
        <f t="shared" si="33"/>
        <v>48</v>
      </c>
    </row>
    <row r="1080" spans="1:11">
      <c r="A1080" t="s">
        <v>2520</v>
      </c>
      <c r="B1080">
        <v>1971</v>
      </c>
      <c r="C1080" t="s">
        <v>4706</v>
      </c>
      <c r="D1080">
        <v>23</v>
      </c>
      <c r="E1080">
        <v>0</v>
      </c>
      <c r="F1080" s="13">
        <v>8782.4699999999993</v>
      </c>
      <c r="G1080" t="s">
        <v>4697</v>
      </c>
      <c r="H1080" t="s">
        <v>4698</v>
      </c>
      <c r="I1080" t="s">
        <v>4708</v>
      </c>
      <c r="J1080" s="10">
        <f t="shared" si="32"/>
        <v>26168</v>
      </c>
      <c r="K1080">
        <f t="shared" si="33"/>
        <v>51</v>
      </c>
    </row>
    <row r="1081" spans="1:11">
      <c r="A1081" t="s">
        <v>2518</v>
      </c>
      <c r="B1081">
        <v>1971</v>
      </c>
      <c r="C1081" t="s">
        <v>4702</v>
      </c>
      <c r="D1081">
        <v>18</v>
      </c>
      <c r="E1081">
        <v>0</v>
      </c>
      <c r="F1081" s="13">
        <v>8798.59</v>
      </c>
      <c r="G1081" t="s">
        <v>4697</v>
      </c>
      <c r="H1081" t="s">
        <v>4701</v>
      </c>
      <c r="I1081" t="s">
        <v>4708</v>
      </c>
      <c r="J1081" s="10">
        <f t="shared" si="32"/>
        <v>26102</v>
      </c>
      <c r="K1081">
        <f t="shared" si="33"/>
        <v>51</v>
      </c>
    </row>
    <row r="1082" spans="1:11">
      <c r="A1082" t="s">
        <v>2516</v>
      </c>
      <c r="B1082">
        <v>1965</v>
      </c>
      <c r="C1082" t="s">
        <v>4706</v>
      </c>
      <c r="D1082">
        <v>29</v>
      </c>
      <c r="E1082">
        <v>0</v>
      </c>
      <c r="F1082" s="13">
        <v>8800.49</v>
      </c>
      <c r="G1082" t="s">
        <v>4698</v>
      </c>
      <c r="H1082" t="s">
        <v>4697</v>
      </c>
      <c r="I1082" t="s">
        <v>4699</v>
      </c>
      <c r="J1082" s="10">
        <f t="shared" si="32"/>
        <v>23983</v>
      </c>
      <c r="K1082">
        <f t="shared" si="33"/>
        <v>57</v>
      </c>
    </row>
    <row r="1083" spans="1:11">
      <c r="A1083" t="s">
        <v>2514</v>
      </c>
      <c r="B1083">
        <v>2001</v>
      </c>
      <c r="C1083" t="s">
        <v>4700</v>
      </c>
      <c r="D1083">
        <v>7</v>
      </c>
      <c r="E1083">
        <v>0</v>
      </c>
      <c r="F1083" s="13">
        <v>8821.8799999999992</v>
      </c>
      <c r="G1083" t="s">
        <v>4697</v>
      </c>
      <c r="H1083" t="s">
        <v>4698</v>
      </c>
      <c r="I1083" t="s">
        <v>4715</v>
      </c>
      <c r="J1083" s="10">
        <f t="shared" si="32"/>
        <v>37202</v>
      </c>
      <c r="K1083">
        <f t="shared" si="33"/>
        <v>21</v>
      </c>
    </row>
    <row r="1084" spans="1:11">
      <c r="A1084" t="s">
        <v>2512</v>
      </c>
      <c r="B1084">
        <v>1976</v>
      </c>
      <c r="C1084" t="s">
        <v>4702</v>
      </c>
      <c r="D1084">
        <v>14</v>
      </c>
      <c r="E1084">
        <v>2</v>
      </c>
      <c r="F1084" s="13">
        <v>8823.2800000000007</v>
      </c>
      <c r="G1084" t="s">
        <v>4697</v>
      </c>
      <c r="H1084" t="s">
        <v>4701</v>
      </c>
      <c r="I1084" t="s">
        <v>4708</v>
      </c>
      <c r="J1084" s="10">
        <f t="shared" si="32"/>
        <v>27925</v>
      </c>
      <c r="K1084">
        <f t="shared" si="33"/>
        <v>46</v>
      </c>
    </row>
    <row r="1085" spans="1:11">
      <c r="A1085" t="s">
        <v>2510</v>
      </c>
      <c r="B1085">
        <v>1976</v>
      </c>
      <c r="C1085" t="s">
        <v>4707</v>
      </c>
      <c r="D1085">
        <v>19</v>
      </c>
      <c r="E1085">
        <v>1</v>
      </c>
      <c r="F1085" s="13">
        <v>8823.99</v>
      </c>
      <c r="G1085" t="s">
        <v>4697</v>
      </c>
      <c r="H1085" t="s">
        <v>4698</v>
      </c>
      <c r="I1085" t="s">
        <v>4714</v>
      </c>
      <c r="J1085" s="10">
        <f t="shared" si="32"/>
        <v>28052</v>
      </c>
      <c r="K1085">
        <f t="shared" si="33"/>
        <v>46</v>
      </c>
    </row>
    <row r="1086" spans="1:11">
      <c r="A1086" t="s">
        <v>2508</v>
      </c>
      <c r="B1086">
        <v>1988</v>
      </c>
      <c r="C1086" t="s">
        <v>4706</v>
      </c>
      <c r="D1086">
        <v>22</v>
      </c>
      <c r="E1086">
        <v>3</v>
      </c>
      <c r="F1086" s="13">
        <v>8824.27</v>
      </c>
      <c r="G1086" t="s">
        <v>4697</v>
      </c>
      <c r="H1086" t="s">
        <v>4701</v>
      </c>
      <c r="I1086" t="s">
        <v>4713</v>
      </c>
      <c r="J1086" s="10">
        <f t="shared" si="32"/>
        <v>32377</v>
      </c>
      <c r="K1086">
        <f t="shared" si="33"/>
        <v>34</v>
      </c>
    </row>
    <row r="1087" spans="1:11">
      <c r="A1087" t="s">
        <v>2506</v>
      </c>
      <c r="B1087">
        <v>1976</v>
      </c>
      <c r="C1087" t="s">
        <v>4696</v>
      </c>
      <c r="D1087">
        <v>14</v>
      </c>
      <c r="E1087">
        <v>2</v>
      </c>
      <c r="F1087" s="13">
        <v>8825.09</v>
      </c>
      <c r="G1087" t="s">
        <v>4697</v>
      </c>
      <c r="H1087" t="s">
        <v>4698</v>
      </c>
      <c r="I1087" t="s">
        <v>4708</v>
      </c>
      <c r="J1087" s="10">
        <f t="shared" si="32"/>
        <v>27955</v>
      </c>
      <c r="K1087">
        <f t="shared" si="33"/>
        <v>46</v>
      </c>
    </row>
    <row r="1088" spans="1:11">
      <c r="A1088" t="s">
        <v>2504</v>
      </c>
      <c r="B1088">
        <v>1972</v>
      </c>
      <c r="C1088" t="s">
        <v>4700</v>
      </c>
      <c r="D1088">
        <v>14</v>
      </c>
      <c r="E1088">
        <v>0</v>
      </c>
      <c r="F1088" s="13">
        <v>8827.2099999999991</v>
      </c>
      <c r="G1088" t="s">
        <v>4698</v>
      </c>
      <c r="H1088" t="s">
        <v>4701</v>
      </c>
      <c r="I1088" t="s">
        <v>4704</v>
      </c>
      <c r="J1088" s="10">
        <f t="shared" si="32"/>
        <v>26617</v>
      </c>
      <c r="K1088">
        <f t="shared" si="33"/>
        <v>50</v>
      </c>
    </row>
    <row r="1089" spans="1:11">
      <c r="A1089" t="s">
        <v>2502</v>
      </c>
      <c r="B1089">
        <v>1972</v>
      </c>
      <c r="C1089" t="s">
        <v>4700</v>
      </c>
      <c r="D1089">
        <v>22</v>
      </c>
      <c r="E1089">
        <v>0</v>
      </c>
      <c r="F1089" s="13">
        <v>8835.26</v>
      </c>
      <c r="G1089" t="s">
        <v>4698</v>
      </c>
      <c r="H1089" t="s">
        <v>4697</v>
      </c>
      <c r="I1089" t="s">
        <v>4704</v>
      </c>
      <c r="J1089" s="10">
        <f t="shared" si="32"/>
        <v>26625</v>
      </c>
      <c r="K1089">
        <f t="shared" si="33"/>
        <v>50</v>
      </c>
    </row>
    <row r="1090" spans="1:11">
      <c r="A1090" t="s">
        <v>2500</v>
      </c>
      <c r="B1090">
        <v>1974</v>
      </c>
      <c r="C1090" t="s">
        <v>4702</v>
      </c>
      <c r="D1090">
        <v>18</v>
      </c>
      <c r="E1090">
        <v>1</v>
      </c>
      <c r="F1090" s="13">
        <v>8871.15</v>
      </c>
      <c r="G1090" t="s">
        <v>4697</v>
      </c>
      <c r="H1090" t="s">
        <v>4698</v>
      </c>
      <c r="I1090" t="s">
        <v>4699</v>
      </c>
      <c r="J1090" s="10">
        <f t="shared" ref="J1090:J1153" si="34">DATEVALUE(D1090&amp;"-"&amp;C1090&amp;"-"&amp;B1090)</f>
        <v>27198</v>
      </c>
      <c r="K1090">
        <f t="shared" si="33"/>
        <v>48</v>
      </c>
    </row>
    <row r="1091" spans="1:11">
      <c r="A1091" t="s">
        <v>2498</v>
      </c>
      <c r="B1091">
        <v>1973</v>
      </c>
      <c r="C1091" t="s">
        <v>4703</v>
      </c>
      <c r="D1091">
        <v>9</v>
      </c>
      <c r="E1091">
        <v>0</v>
      </c>
      <c r="F1091" s="13">
        <v>8890.59</v>
      </c>
      <c r="G1091" t="s">
        <v>4697</v>
      </c>
      <c r="H1091" t="s">
        <v>4698</v>
      </c>
      <c r="I1091" t="s">
        <v>4704</v>
      </c>
      <c r="J1091" s="10">
        <f t="shared" si="34"/>
        <v>26916</v>
      </c>
      <c r="K1091">
        <f t="shared" ref="K1091:K1154" si="35">DATEDIF(J1091, DATE(2023, 6, 8), "Y")</f>
        <v>49</v>
      </c>
    </row>
    <row r="1092" spans="1:11">
      <c r="A1092" t="s">
        <v>2496</v>
      </c>
      <c r="B1092">
        <v>1978</v>
      </c>
      <c r="C1092" t="s">
        <v>4705</v>
      </c>
      <c r="D1092">
        <v>16</v>
      </c>
      <c r="E1092">
        <v>3</v>
      </c>
      <c r="F1092" s="13">
        <v>8891.14</v>
      </c>
      <c r="G1092" t="s">
        <v>4697</v>
      </c>
      <c r="H1092" t="s">
        <v>4698</v>
      </c>
      <c r="I1092" t="s">
        <v>4718</v>
      </c>
      <c r="J1092" s="10">
        <f t="shared" si="34"/>
        <v>28840</v>
      </c>
      <c r="K1092">
        <f t="shared" si="35"/>
        <v>44</v>
      </c>
    </row>
    <row r="1093" spans="1:11">
      <c r="A1093" t="s">
        <v>2494</v>
      </c>
      <c r="B1093">
        <v>1997</v>
      </c>
      <c r="C1093" t="s">
        <v>4700</v>
      </c>
      <c r="D1093">
        <v>28</v>
      </c>
      <c r="E1093">
        <v>0</v>
      </c>
      <c r="F1093" s="13">
        <v>8906.14</v>
      </c>
      <c r="G1093" t="s">
        <v>4697</v>
      </c>
      <c r="H1093" t="s">
        <v>4697</v>
      </c>
      <c r="I1093" t="s">
        <v>4704</v>
      </c>
      <c r="J1093" s="10">
        <f t="shared" si="34"/>
        <v>35762</v>
      </c>
      <c r="K1093">
        <f t="shared" si="35"/>
        <v>25</v>
      </c>
    </row>
    <row r="1094" spans="1:11">
      <c r="A1094" t="s">
        <v>2492</v>
      </c>
      <c r="B1094">
        <v>1967</v>
      </c>
      <c r="C1094" t="s">
        <v>4703</v>
      </c>
      <c r="D1094">
        <v>6</v>
      </c>
      <c r="E1094">
        <v>0</v>
      </c>
      <c r="F1094" s="13">
        <v>8908.4699999999993</v>
      </c>
      <c r="G1094" t="s">
        <v>4698</v>
      </c>
      <c r="H1094" t="s">
        <v>4697</v>
      </c>
      <c r="I1094" t="s">
        <v>4699</v>
      </c>
      <c r="J1094" s="10">
        <f t="shared" si="34"/>
        <v>24721</v>
      </c>
      <c r="K1094">
        <f t="shared" si="35"/>
        <v>55</v>
      </c>
    </row>
    <row r="1095" spans="1:11">
      <c r="A1095" t="s">
        <v>2490</v>
      </c>
      <c r="B1095">
        <v>1975</v>
      </c>
      <c r="C1095" t="s">
        <v>4696</v>
      </c>
      <c r="D1095">
        <v>7</v>
      </c>
      <c r="E1095">
        <v>1</v>
      </c>
      <c r="F1095" s="13">
        <v>8930.93</v>
      </c>
      <c r="G1095" t="s">
        <v>4697</v>
      </c>
      <c r="H1095" t="s">
        <v>4697</v>
      </c>
      <c r="I1095" t="s">
        <v>4704</v>
      </c>
      <c r="J1095" s="10">
        <f t="shared" si="34"/>
        <v>27582</v>
      </c>
      <c r="K1095">
        <f t="shared" si="35"/>
        <v>47</v>
      </c>
    </row>
    <row r="1096" spans="1:11">
      <c r="A1096" t="s">
        <v>2488</v>
      </c>
      <c r="B1096">
        <v>1972</v>
      </c>
      <c r="C1096" t="s">
        <v>4702</v>
      </c>
      <c r="D1096">
        <v>6</v>
      </c>
      <c r="E1096">
        <v>0</v>
      </c>
      <c r="F1096" s="13">
        <v>8932.08</v>
      </c>
      <c r="G1096" t="s">
        <v>4697</v>
      </c>
      <c r="H1096" t="s">
        <v>4701</v>
      </c>
      <c r="I1096" t="s">
        <v>4708</v>
      </c>
      <c r="J1096" s="10">
        <f t="shared" si="34"/>
        <v>26456</v>
      </c>
      <c r="K1096">
        <f t="shared" si="35"/>
        <v>51</v>
      </c>
    </row>
    <row r="1097" spans="1:11">
      <c r="A1097" t="s">
        <v>2486</v>
      </c>
      <c r="B1097">
        <v>1976</v>
      </c>
      <c r="C1097" t="s">
        <v>4705</v>
      </c>
      <c r="D1097">
        <v>25</v>
      </c>
      <c r="E1097">
        <v>3</v>
      </c>
      <c r="F1097" s="13">
        <v>8944.1200000000008</v>
      </c>
      <c r="G1097" t="s">
        <v>4698</v>
      </c>
      <c r="H1097" t="s">
        <v>4697</v>
      </c>
      <c r="I1097" t="s">
        <v>4699</v>
      </c>
      <c r="J1097" s="10">
        <f t="shared" si="34"/>
        <v>28119</v>
      </c>
      <c r="K1097">
        <f t="shared" si="35"/>
        <v>46</v>
      </c>
    </row>
    <row r="1098" spans="1:11">
      <c r="A1098" t="s">
        <v>2484</v>
      </c>
      <c r="B1098">
        <v>1992</v>
      </c>
      <c r="C1098" t="s">
        <v>4703</v>
      </c>
      <c r="D1098">
        <v>27</v>
      </c>
      <c r="E1098">
        <v>0</v>
      </c>
      <c r="F1098" s="13">
        <v>8954.99</v>
      </c>
      <c r="G1098" t="s">
        <v>4697</v>
      </c>
      <c r="H1098" t="s">
        <v>4698</v>
      </c>
      <c r="I1098" t="s">
        <v>4720</v>
      </c>
      <c r="J1098" s="10">
        <f t="shared" si="34"/>
        <v>33874</v>
      </c>
      <c r="K1098">
        <f t="shared" si="35"/>
        <v>30</v>
      </c>
    </row>
    <row r="1099" spans="1:11">
      <c r="A1099" t="s">
        <v>2482</v>
      </c>
      <c r="B1099">
        <v>1974</v>
      </c>
      <c r="C1099" t="s">
        <v>4706</v>
      </c>
      <c r="D1099">
        <v>17</v>
      </c>
      <c r="E1099">
        <v>1</v>
      </c>
      <c r="F1099" s="13">
        <v>8964.06</v>
      </c>
      <c r="G1099" t="s">
        <v>4698</v>
      </c>
      <c r="H1099" t="s">
        <v>4697</v>
      </c>
      <c r="I1099" t="s">
        <v>4711</v>
      </c>
      <c r="J1099" s="10">
        <f t="shared" si="34"/>
        <v>27258</v>
      </c>
      <c r="K1099">
        <f t="shared" si="35"/>
        <v>48</v>
      </c>
    </row>
    <row r="1100" spans="1:11">
      <c r="A1100" t="s">
        <v>2480</v>
      </c>
      <c r="B1100">
        <v>1983</v>
      </c>
      <c r="C1100" t="s">
        <v>4696</v>
      </c>
      <c r="D1100">
        <v>15</v>
      </c>
      <c r="E1100">
        <v>5</v>
      </c>
      <c r="F1100" s="13">
        <v>8965.7999999999993</v>
      </c>
      <c r="G1100" t="s">
        <v>4697</v>
      </c>
      <c r="H1100" t="s">
        <v>4698</v>
      </c>
      <c r="I1100" t="s">
        <v>4704</v>
      </c>
      <c r="J1100" s="10">
        <f t="shared" si="34"/>
        <v>30512</v>
      </c>
      <c r="K1100">
        <f t="shared" si="35"/>
        <v>39</v>
      </c>
    </row>
    <row r="1101" spans="1:11">
      <c r="A1101" t="s">
        <v>2478</v>
      </c>
      <c r="B1101">
        <v>1974</v>
      </c>
      <c r="C1101" t="s">
        <v>4703</v>
      </c>
      <c r="D1101">
        <v>8</v>
      </c>
      <c r="E1101">
        <v>2</v>
      </c>
      <c r="F1101" s="13">
        <v>8968.33</v>
      </c>
      <c r="G1101" t="s">
        <v>4698</v>
      </c>
      <c r="H1101" t="s">
        <v>4697</v>
      </c>
      <c r="I1101" t="s">
        <v>4708</v>
      </c>
      <c r="J1101" s="10">
        <f t="shared" si="34"/>
        <v>27280</v>
      </c>
      <c r="K1101">
        <f t="shared" si="35"/>
        <v>48</v>
      </c>
    </row>
    <row r="1102" spans="1:11">
      <c r="A1102" t="s">
        <v>2476</v>
      </c>
      <c r="B1102">
        <v>1974</v>
      </c>
      <c r="C1102" t="s">
        <v>4696</v>
      </c>
      <c r="D1102">
        <v>21</v>
      </c>
      <c r="E1102">
        <v>2</v>
      </c>
      <c r="F1102" s="13">
        <v>8978.19</v>
      </c>
      <c r="G1102" t="s">
        <v>4697</v>
      </c>
      <c r="H1102" t="s">
        <v>4697</v>
      </c>
      <c r="I1102" t="s">
        <v>4699</v>
      </c>
      <c r="J1102" s="10">
        <f t="shared" si="34"/>
        <v>27231</v>
      </c>
      <c r="K1102">
        <f t="shared" si="35"/>
        <v>48</v>
      </c>
    </row>
    <row r="1103" spans="1:11">
      <c r="A1103" t="s">
        <v>2474</v>
      </c>
      <c r="B1103">
        <v>1973</v>
      </c>
      <c r="C1103" t="s">
        <v>4707</v>
      </c>
      <c r="D1103">
        <v>11</v>
      </c>
      <c r="E1103">
        <v>0</v>
      </c>
      <c r="F1103" s="13">
        <v>8988.16</v>
      </c>
      <c r="G1103" t="s">
        <v>4697</v>
      </c>
      <c r="H1103" t="s">
        <v>4701</v>
      </c>
      <c r="I1103" t="s">
        <v>4704</v>
      </c>
      <c r="J1103" s="10">
        <f t="shared" si="34"/>
        <v>26948</v>
      </c>
      <c r="K1103">
        <f t="shared" si="35"/>
        <v>49</v>
      </c>
    </row>
    <row r="1104" spans="1:11">
      <c r="A1104" t="s">
        <v>2472</v>
      </c>
      <c r="B1104">
        <v>1979</v>
      </c>
      <c r="C1104" t="s">
        <v>4705</v>
      </c>
      <c r="D1104">
        <v>16</v>
      </c>
      <c r="E1104">
        <v>2</v>
      </c>
      <c r="F1104" s="13">
        <v>8998.43</v>
      </c>
      <c r="G1104" t="s">
        <v>4697</v>
      </c>
      <c r="H1104" t="s">
        <v>4701</v>
      </c>
      <c r="I1104" t="s">
        <v>4713</v>
      </c>
      <c r="J1104" s="10">
        <f t="shared" si="34"/>
        <v>29205</v>
      </c>
      <c r="K1104">
        <f t="shared" si="35"/>
        <v>43</v>
      </c>
    </row>
    <row r="1105" spans="1:11">
      <c r="A1105" t="s">
        <v>2470</v>
      </c>
      <c r="B1105">
        <v>1993</v>
      </c>
      <c r="C1105" t="s">
        <v>4705</v>
      </c>
      <c r="D1105">
        <v>1</v>
      </c>
      <c r="E1105">
        <v>0</v>
      </c>
      <c r="F1105" s="13">
        <v>9010.2000000000007</v>
      </c>
      <c r="G1105" t="s">
        <v>4697</v>
      </c>
      <c r="H1105" t="s">
        <v>4698</v>
      </c>
      <c r="I1105" t="s">
        <v>4720</v>
      </c>
      <c r="J1105" s="10">
        <f t="shared" si="34"/>
        <v>34304</v>
      </c>
      <c r="K1105">
        <f t="shared" si="35"/>
        <v>29</v>
      </c>
    </row>
    <row r="1106" spans="1:11">
      <c r="A1106" t="s">
        <v>2468</v>
      </c>
      <c r="B1106">
        <v>1972</v>
      </c>
      <c r="C1106" t="s">
        <v>4705</v>
      </c>
      <c r="D1106">
        <v>7</v>
      </c>
      <c r="E1106">
        <v>1</v>
      </c>
      <c r="F1106" s="13">
        <v>9048.0300000000007</v>
      </c>
      <c r="G1106" t="s">
        <v>4697</v>
      </c>
      <c r="H1106" t="s">
        <v>4697</v>
      </c>
      <c r="I1106" t="s">
        <v>4699</v>
      </c>
      <c r="J1106" s="10">
        <f t="shared" si="34"/>
        <v>26640</v>
      </c>
      <c r="K1106">
        <f t="shared" si="35"/>
        <v>50</v>
      </c>
    </row>
    <row r="1107" spans="1:11">
      <c r="A1107" t="s">
        <v>2466</v>
      </c>
      <c r="B1107">
        <v>1972</v>
      </c>
      <c r="C1107" t="s">
        <v>4705</v>
      </c>
      <c r="D1107">
        <v>2</v>
      </c>
      <c r="E1107">
        <v>1</v>
      </c>
      <c r="F1107" s="13">
        <v>9058.73</v>
      </c>
      <c r="G1107" t="s">
        <v>4698</v>
      </c>
      <c r="H1107" t="s">
        <v>4697</v>
      </c>
      <c r="I1107" t="s">
        <v>4699</v>
      </c>
      <c r="J1107" s="10">
        <f t="shared" si="34"/>
        <v>26635</v>
      </c>
      <c r="K1107">
        <f t="shared" si="35"/>
        <v>50</v>
      </c>
    </row>
    <row r="1108" spans="1:11">
      <c r="A1108" t="s">
        <v>2464</v>
      </c>
      <c r="B1108">
        <v>1977</v>
      </c>
      <c r="C1108" t="s">
        <v>4700</v>
      </c>
      <c r="D1108">
        <v>4</v>
      </c>
      <c r="E1108">
        <v>2</v>
      </c>
      <c r="F1108" s="13">
        <v>9095.07</v>
      </c>
      <c r="G1108" t="s">
        <v>4697</v>
      </c>
      <c r="H1108" t="s">
        <v>4697</v>
      </c>
      <c r="I1108" t="s">
        <v>4714</v>
      </c>
      <c r="J1108" s="10">
        <f t="shared" si="34"/>
        <v>28433</v>
      </c>
      <c r="K1108">
        <f t="shared" si="35"/>
        <v>45</v>
      </c>
    </row>
    <row r="1109" spans="1:11">
      <c r="A1109" t="s">
        <v>2462</v>
      </c>
      <c r="B1109">
        <v>1965</v>
      </c>
      <c r="C1109" t="s">
        <v>4700</v>
      </c>
      <c r="D1109">
        <v>9</v>
      </c>
      <c r="E1109">
        <v>0</v>
      </c>
      <c r="F1109" s="13">
        <v>9095.94</v>
      </c>
      <c r="G1109" t="s">
        <v>4698</v>
      </c>
      <c r="H1109" t="s">
        <v>4701</v>
      </c>
      <c r="I1109" t="s">
        <v>4708</v>
      </c>
      <c r="J1109" s="10">
        <f t="shared" si="34"/>
        <v>24055</v>
      </c>
      <c r="K1109">
        <f t="shared" si="35"/>
        <v>57</v>
      </c>
    </row>
    <row r="1110" spans="1:11">
      <c r="A1110" t="s">
        <v>2460</v>
      </c>
      <c r="B1110">
        <v>1977</v>
      </c>
      <c r="C1110" t="s">
        <v>4705</v>
      </c>
      <c r="D1110">
        <v>2</v>
      </c>
      <c r="E1110">
        <v>3</v>
      </c>
      <c r="F1110" s="13">
        <v>9101.7999999999993</v>
      </c>
      <c r="G1110" t="s">
        <v>4697</v>
      </c>
      <c r="H1110" t="s">
        <v>4701</v>
      </c>
      <c r="I1110" t="s">
        <v>4708</v>
      </c>
      <c r="J1110" s="10">
        <f t="shared" si="34"/>
        <v>28461</v>
      </c>
      <c r="K1110">
        <f t="shared" si="35"/>
        <v>45</v>
      </c>
    </row>
    <row r="1111" spans="1:11">
      <c r="A1111" t="s">
        <v>2458</v>
      </c>
      <c r="B1111">
        <v>1970</v>
      </c>
      <c r="C1111" t="s">
        <v>4706</v>
      </c>
      <c r="D1111">
        <v>12</v>
      </c>
      <c r="E1111">
        <v>0</v>
      </c>
      <c r="F1111" s="13">
        <v>9140.9500000000007</v>
      </c>
      <c r="G1111" t="s">
        <v>4698</v>
      </c>
      <c r="H1111" t="s">
        <v>4698</v>
      </c>
      <c r="I1111" t="s">
        <v>4699</v>
      </c>
      <c r="J1111" s="10">
        <f t="shared" si="34"/>
        <v>25792</v>
      </c>
      <c r="K1111">
        <f t="shared" si="35"/>
        <v>52</v>
      </c>
    </row>
    <row r="1112" spans="1:11">
      <c r="A1112" t="s">
        <v>2456</v>
      </c>
      <c r="B1112">
        <v>1970</v>
      </c>
      <c r="C1112" t="s">
        <v>4707</v>
      </c>
      <c r="D1112">
        <v>18</v>
      </c>
      <c r="E1112">
        <v>0</v>
      </c>
      <c r="F1112" s="13">
        <v>9144.57</v>
      </c>
      <c r="G1112" t="s">
        <v>4698</v>
      </c>
      <c r="H1112" t="s">
        <v>4697</v>
      </c>
      <c r="I1112" t="s">
        <v>4708</v>
      </c>
      <c r="J1112" s="10">
        <f t="shared" si="34"/>
        <v>25859</v>
      </c>
      <c r="K1112">
        <f t="shared" si="35"/>
        <v>52</v>
      </c>
    </row>
    <row r="1113" spans="1:11">
      <c r="A1113" t="s">
        <v>2454</v>
      </c>
      <c r="B1113">
        <v>1982</v>
      </c>
      <c r="C1113" t="s">
        <v>4705</v>
      </c>
      <c r="D1113">
        <v>8</v>
      </c>
      <c r="E1113">
        <v>3</v>
      </c>
      <c r="F1113" s="13">
        <v>9147.5</v>
      </c>
      <c r="G1113" t="s">
        <v>4697</v>
      </c>
      <c r="H1113" t="s">
        <v>4701</v>
      </c>
      <c r="I1113" t="s">
        <v>4704</v>
      </c>
      <c r="J1113" s="10">
        <f t="shared" si="34"/>
        <v>30293</v>
      </c>
      <c r="K1113">
        <f t="shared" si="35"/>
        <v>40</v>
      </c>
    </row>
    <row r="1114" spans="1:11">
      <c r="A1114" t="s">
        <v>2452</v>
      </c>
      <c r="B1114">
        <v>1990</v>
      </c>
      <c r="C1114" t="s">
        <v>4706</v>
      </c>
      <c r="D1114">
        <v>23</v>
      </c>
      <c r="E1114">
        <v>3</v>
      </c>
      <c r="F1114" s="13">
        <v>9159.51</v>
      </c>
      <c r="G1114" t="s">
        <v>4697</v>
      </c>
      <c r="H1114" t="s">
        <v>4697</v>
      </c>
      <c r="I1114" t="s">
        <v>4717</v>
      </c>
      <c r="J1114" s="10">
        <f t="shared" si="34"/>
        <v>33108</v>
      </c>
      <c r="K1114">
        <f t="shared" si="35"/>
        <v>32</v>
      </c>
    </row>
    <row r="1115" spans="1:11">
      <c r="A1115" t="s">
        <v>2450</v>
      </c>
      <c r="B1115">
        <v>1970</v>
      </c>
      <c r="C1115" t="s">
        <v>4707</v>
      </c>
      <c r="D1115">
        <v>24</v>
      </c>
      <c r="E1115">
        <v>0</v>
      </c>
      <c r="F1115" s="13">
        <v>9171.75</v>
      </c>
      <c r="G1115" t="s">
        <v>4697</v>
      </c>
      <c r="H1115" t="s">
        <v>4697</v>
      </c>
      <c r="I1115" t="s">
        <v>4704</v>
      </c>
      <c r="J1115" s="10">
        <f t="shared" si="34"/>
        <v>25865</v>
      </c>
      <c r="K1115">
        <f t="shared" si="35"/>
        <v>52</v>
      </c>
    </row>
    <row r="1116" spans="1:11">
      <c r="A1116" t="s">
        <v>2448</v>
      </c>
      <c r="B1116">
        <v>1971</v>
      </c>
      <c r="C1116" t="s">
        <v>4705</v>
      </c>
      <c r="D1116">
        <v>29</v>
      </c>
      <c r="E1116">
        <v>0</v>
      </c>
      <c r="F1116" s="13">
        <v>9174.14</v>
      </c>
      <c r="G1116" t="s">
        <v>4698</v>
      </c>
      <c r="H1116" t="s">
        <v>4701</v>
      </c>
      <c r="I1116" t="s">
        <v>4704</v>
      </c>
      <c r="J1116" s="10">
        <f t="shared" si="34"/>
        <v>26296</v>
      </c>
      <c r="K1116">
        <f t="shared" si="35"/>
        <v>51</v>
      </c>
    </row>
    <row r="1117" spans="1:11">
      <c r="A1117" t="s">
        <v>2446</v>
      </c>
      <c r="B1117">
        <v>1973</v>
      </c>
      <c r="C1117" t="s">
        <v>4705</v>
      </c>
      <c r="D1117">
        <v>25</v>
      </c>
      <c r="E1117">
        <v>1</v>
      </c>
      <c r="F1117" s="13">
        <v>9182.17</v>
      </c>
      <c r="G1117" t="s">
        <v>4697</v>
      </c>
      <c r="H1117" t="s">
        <v>4698</v>
      </c>
      <c r="I1117" t="s">
        <v>4708</v>
      </c>
      <c r="J1117" s="10">
        <f t="shared" si="34"/>
        <v>27023</v>
      </c>
      <c r="K1117">
        <f t="shared" si="35"/>
        <v>49</v>
      </c>
    </row>
    <row r="1118" spans="1:11">
      <c r="A1118" t="s">
        <v>2444</v>
      </c>
      <c r="B1118">
        <v>1976</v>
      </c>
      <c r="C1118" t="s">
        <v>4703</v>
      </c>
      <c r="D1118">
        <v>10</v>
      </c>
      <c r="E1118">
        <v>2</v>
      </c>
      <c r="F1118" s="13">
        <v>9193.84</v>
      </c>
      <c r="G1118" t="s">
        <v>4697</v>
      </c>
      <c r="H1118" t="s">
        <v>4701</v>
      </c>
      <c r="I1118" t="s">
        <v>4704</v>
      </c>
      <c r="J1118" s="10">
        <f t="shared" si="34"/>
        <v>28013</v>
      </c>
      <c r="K1118">
        <f t="shared" si="35"/>
        <v>46</v>
      </c>
    </row>
    <row r="1119" spans="1:11">
      <c r="A1119" t="s">
        <v>2442</v>
      </c>
      <c r="B1119">
        <v>1986</v>
      </c>
      <c r="C1119" t="s">
        <v>4705</v>
      </c>
      <c r="D1119">
        <v>25</v>
      </c>
      <c r="E1119">
        <v>3</v>
      </c>
      <c r="F1119" s="13">
        <v>9210.06</v>
      </c>
      <c r="G1119" t="s">
        <v>4697</v>
      </c>
      <c r="H1119" t="s">
        <v>4698</v>
      </c>
      <c r="I1119" t="s">
        <v>4717</v>
      </c>
      <c r="J1119" s="10">
        <f t="shared" si="34"/>
        <v>31771</v>
      </c>
      <c r="K1119">
        <f t="shared" si="35"/>
        <v>36</v>
      </c>
    </row>
    <row r="1120" spans="1:11">
      <c r="A1120" t="s">
        <v>2440</v>
      </c>
      <c r="B1120">
        <v>1981</v>
      </c>
      <c r="C1120" t="s">
        <v>4705</v>
      </c>
      <c r="D1120">
        <v>5</v>
      </c>
      <c r="E1120">
        <v>5</v>
      </c>
      <c r="F1120" s="13">
        <v>9222.4</v>
      </c>
      <c r="G1120" t="s">
        <v>4697</v>
      </c>
      <c r="H1120" t="s">
        <v>4698</v>
      </c>
      <c r="I1120" t="s">
        <v>4710</v>
      </c>
      <c r="J1120" s="10">
        <f t="shared" si="34"/>
        <v>29925</v>
      </c>
      <c r="K1120">
        <f t="shared" si="35"/>
        <v>41</v>
      </c>
    </row>
    <row r="1121" spans="1:11">
      <c r="A1121" t="s">
        <v>2438</v>
      </c>
      <c r="B1121">
        <v>1975</v>
      </c>
      <c r="C1121" t="s">
        <v>4705</v>
      </c>
      <c r="D1121">
        <v>6</v>
      </c>
      <c r="E1121">
        <v>2</v>
      </c>
      <c r="F1121" s="13">
        <v>9225.26</v>
      </c>
      <c r="G1121" t="s">
        <v>4698</v>
      </c>
      <c r="H1121" t="s">
        <v>4698</v>
      </c>
      <c r="I1121" t="s">
        <v>4709</v>
      </c>
      <c r="J1121" s="10">
        <f t="shared" si="34"/>
        <v>27734</v>
      </c>
      <c r="K1121">
        <f t="shared" si="35"/>
        <v>47</v>
      </c>
    </row>
    <row r="1122" spans="1:11">
      <c r="A1122" t="s">
        <v>2436</v>
      </c>
      <c r="B1122">
        <v>1980</v>
      </c>
      <c r="C1122" t="s">
        <v>4707</v>
      </c>
      <c r="D1122">
        <v>5</v>
      </c>
      <c r="E1122">
        <v>2</v>
      </c>
      <c r="F1122" s="13">
        <v>9247.94</v>
      </c>
      <c r="G1122" t="s">
        <v>4697</v>
      </c>
      <c r="H1122" t="s">
        <v>4701</v>
      </c>
      <c r="I1122" t="s">
        <v>4717</v>
      </c>
      <c r="J1122" s="10">
        <f t="shared" si="34"/>
        <v>29499</v>
      </c>
      <c r="K1122">
        <f t="shared" si="35"/>
        <v>42</v>
      </c>
    </row>
    <row r="1123" spans="1:11">
      <c r="A1123" t="s">
        <v>2434</v>
      </c>
      <c r="B1123">
        <v>1974</v>
      </c>
      <c r="C1123" t="s">
        <v>4706</v>
      </c>
      <c r="D1123">
        <v>21</v>
      </c>
      <c r="E1123">
        <v>1</v>
      </c>
      <c r="F1123" s="13">
        <v>9249.5</v>
      </c>
      <c r="G1123" t="s">
        <v>4697</v>
      </c>
      <c r="H1123" t="s">
        <v>4701</v>
      </c>
      <c r="I1123" t="s">
        <v>4704</v>
      </c>
      <c r="J1123" s="10">
        <f t="shared" si="34"/>
        <v>27262</v>
      </c>
      <c r="K1123">
        <f t="shared" si="35"/>
        <v>48</v>
      </c>
    </row>
    <row r="1124" spans="1:11">
      <c r="A1124" t="s">
        <v>2432</v>
      </c>
      <c r="B1124">
        <v>1971</v>
      </c>
      <c r="C1124" t="s">
        <v>4706</v>
      </c>
      <c r="D1124">
        <v>6</v>
      </c>
      <c r="E1124">
        <v>0</v>
      </c>
      <c r="F1124" s="13">
        <v>9264.7999999999993</v>
      </c>
      <c r="G1124" t="s">
        <v>4697</v>
      </c>
      <c r="H1124" t="s">
        <v>4701</v>
      </c>
      <c r="I1124" t="s">
        <v>4708</v>
      </c>
      <c r="J1124" s="10">
        <f t="shared" si="34"/>
        <v>26151</v>
      </c>
      <c r="K1124">
        <f t="shared" si="35"/>
        <v>51</v>
      </c>
    </row>
    <row r="1125" spans="1:11">
      <c r="A1125" t="s">
        <v>2430</v>
      </c>
      <c r="B1125">
        <v>1973</v>
      </c>
      <c r="C1125" t="s">
        <v>4707</v>
      </c>
      <c r="D1125">
        <v>27</v>
      </c>
      <c r="E1125">
        <v>1</v>
      </c>
      <c r="F1125" s="13">
        <v>9282.48</v>
      </c>
      <c r="G1125" t="s">
        <v>4698</v>
      </c>
      <c r="H1125" t="s">
        <v>4697</v>
      </c>
      <c r="I1125" t="s">
        <v>4711</v>
      </c>
      <c r="J1125" s="10">
        <f t="shared" si="34"/>
        <v>26964</v>
      </c>
      <c r="K1125">
        <f t="shared" si="35"/>
        <v>49</v>
      </c>
    </row>
    <row r="1126" spans="1:11">
      <c r="A1126" t="s">
        <v>2428</v>
      </c>
      <c r="B1126">
        <v>1971</v>
      </c>
      <c r="C1126" t="s">
        <v>4696</v>
      </c>
      <c r="D1126">
        <v>2</v>
      </c>
      <c r="E1126">
        <v>0</v>
      </c>
      <c r="F1126" s="13">
        <v>9283.56</v>
      </c>
      <c r="G1126" t="s">
        <v>4697</v>
      </c>
      <c r="H1126" t="s">
        <v>4698</v>
      </c>
      <c r="I1126" t="s">
        <v>4699</v>
      </c>
      <c r="J1126" s="10">
        <f t="shared" si="34"/>
        <v>26116</v>
      </c>
      <c r="K1126">
        <f t="shared" si="35"/>
        <v>51</v>
      </c>
    </row>
    <row r="1127" spans="1:11">
      <c r="A1127" t="s">
        <v>2426</v>
      </c>
      <c r="B1127">
        <v>1969</v>
      </c>
      <c r="C1127" t="s">
        <v>4700</v>
      </c>
      <c r="D1127">
        <v>26</v>
      </c>
      <c r="E1127">
        <v>0</v>
      </c>
      <c r="F1127" s="13">
        <v>9285.8700000000008</v>
      </c>
      <c r="G1127" t="s">
        <v>4697</v>
      </c>
      <c r="H1127" t="s">
        <v>4698</v>
      </c>
      <c r="I1127" t="s">
        <v>4699</v>
      </c>
      <c r="J1127" s="10">
        <f t="shared" si="34"/>
        <v>25533</v>
      </c>
      <c r="K1127">
        <f t="shared" si="35"/>
        <v>53</v>
      </c>
    </row>
    <row r="1128" spans="1:11">
      <c r="A1128" t="s">
        <v>2424</v>
      </c>
      <c r="B1128">
        <v>1973</v>
      </c>
      <c r="C1128" t="s">
        <v>4707</v>
      </c>
      <c r="D1128">
        <v>16</v>
      </c>
      <c r="E1128">
        <v>1</v>
      </c>
      <c r="F1128" s="13">
        <v>9288.0300000000007</v>
      </c>
      <c r="G1128" t="s">
        <v>4697</v>
      </c>
      <c r="H1128" t="s">
        <v>4698</v>
      </c>
      <c r="I1128" t="s">
        <v>4712</v>
      </c>
      <c r="J1128" s="10">
        <f t="shared" si="34"/>
        <v>26953</v>
      </c>
      <c r="K1128">
        <f t="shared" si="35"/>
        <v>49</v>
      </c>
    </row>
    <row r="1129" spans="1:11">
      <c r="A1129" t="s">
        <v>2422</v>
      </c>
      <c r="B1129">
        <v>1973</v>
      </c>
      <c r="C1129" t="s">
        <v>4703</v>
      </c>
      <c r="D1129">
        <v>18</v>
      </c>
      <c r="E1129">
        <v>1</v>
      </c>
      <c r="F1129" s="13">
        <v>9290.14</v>
      </c>
      <c r="G1129" t="s">
        <v>4698</v>
      </c>
      <c r="H1129" t="s">
        <v>4698</v>
      </c>
      <c r="I1129" t="s">
        <v>4711</v>
      </c>
      <c r="J1129" s="10">
        <f t="shared" si="34"/>
        <v>26925</v>
      </c>
      <c r="K1129">
        <f t="shared" si="35"/>
        <v>49</v>
      </c>
    </row>
    <row r="1130" spans="1:11">
      <c r="A1130" t="s">
        <v>2420</v>
      </c>
      <c r="B1130">
        <v>1976</v>
      </c>
      <c r="C1130" t="s">
        <v>4700</v>
      </c>
      <c r="D1130">
        <v>3</v>
      </c>
      <c r="E1130">
        <v>3</v>
      </c>
      <c r="F1130" s="13">
        <v>9301.89</v>
      </c>
      <c r="G1130" t="s">
        <v>4697</v>
      </c>
      <c r="H1130" t="s">
        <v>4701</v>
      </c>
      <c r="I1130" t="s">
        <v>4704</v>
      </c>
      <c r="J1130" s="10">
        <f t="shared" si="34"/>
        <v>28067</v>
      </c>
      <c r="K1130">
        <f t="shared" si="35"/>
        <v>46</v>
      </c>
    </row>
    <row r="1131" spans="1:11">
      <c r="A1131" t="s">
        <v>2418</v>
      </c>
      <c r="B1131">
        <v>1973</v>
      </c>
      <c r="C1131" t="s">
        <v>4707</v>
      </c>
      <c r="D1131">
        <v>16</v>
      </c>
      <c r="E1131">
        <v>2</v>
      </c>
      <c r="F1131" s="13">
        <v>9304.7000000000007</v>
      </c>
      <c r="G1131" t="s">
        <v>4698</v>
      </c>
      <c r="H1131" t="s">
        <v>4698</v>
      </c>
      <c r="I1131" t="s">
        <v>4699</v>
      </c>
      <c r="J1131" s="10">
        <f t="shared" si="34"/>
        <v>26953</v>
      </c>
      <c r="K1131">
        <f t="shared" si="35"/>
        <v>49</v>
      </c>
    </row>
    <row r="1132" spans="1:11">
      <c r="A1132" t="s">
        <v>2416</v>
      </c>
      <c r="B1132">
        <v>1963</v>
      </c>
      <c r="C1132" t="s">
        <v>4702</v>
      </c>
      <c r="D1132">
        <v>8</v>
      </c>
      <c r="E1132">
        <v>0</v>
      </c>
      <c r="F1132" s="13">
        <v>9310.81</v>
      </c>
      <c r="G1132" t="s">
        <v>4698</v>
      </c>
      <c r="H1132" t="s">
        <v>4701</v>
      </c>
      <c r="I1132" t="s">
        <v>4699</v>
      </c>
      <c r="J1132" s="10">
        <f t="shared" si="34"/>
        <v>23170</v>
      </c>
      <c r="K1132">
        <f t="shared" si="35"/>
        <v>60</v>
      </c>
    </row>
    <row r="1133" spans="1:11">
      <c r="A1133" t="s">
        <v>2414</v>
      </c>
      <c r="B1133">
        <v>1977</v>
      </c>
      <c r="C1133" t="s">
        <v>4707</v>
      </c>
      <c r="D1133">
        <v>12</v>
      </c>
      <c r="E1133">
        <v>2</v>
      </c>
      <c r="F1133" s="13">
        <v>9315.41</v>
      </c>
      <c r="G1133" t="s">
        <v>4697</v>
      </c>
      <c r="H1133" t="s">
        <v>4701</v>
      </c>
      <c r="I1133" t="s">
        <v>4714</v>
      </c>
      <c r="J1133" s="10">
        <f t="shared" si="34"/>
        <v>28410</v>
      </c>
      <c r="K1133">
        <f t="shared" si="35"/>
        <v>45</v>
      </c>
    </row>
    <row r="1134" spans="1:11">
      <c r="A1134" t="s">
        <v>2412</v>
      </c>
      <c r="B1134">
        <v>1988</v>
      </c>
      <c r="C1134" t="s">
        <v>4696</v>
      </c>
      <c r="D1134">
        <v>9</v>
      </c>
      <c r="E1134">
        <v>3</v>
      </c>
      <c r="F1134" s="13">
        <v>9320.26</v>
      </c>
      <c r="G1134" t="s">
        <v>4697</v>
      </c>
      <c r="H1134" t="s">
        <v>4701</v>
      </c>
      <c r="I1134" t="s">
        <v>4704</v>
      </c>
      <c r="J1134" s="10">
        <f t="shared" si="34"/>
        <v>32333</v>
      </c>
      <c r="K1134">
        <f t="shared" si="35"/>
        <v>34</v>
      </c>
    </row>
    <row r="1135" spans="1:11">
      <c r="A1135" t="s">
        <v>2410</v>
      </c>
      <c r="B1135">
        <v>1996</v>
      </c>
      <c r="C1135" t="s">
        <v>4707</v>
      </c>
      <c r="D1135">
        <v>12</v>
      </c>
      <c r="E1135">
        <v>0</v>
      </c>
      <c r="F1135" s="13">
        <v>9338.61</v>
      </c>
      <c r="G1135" t="s">
        <v>4697</v>
      </c>
      <c r="H1135" t="s">
        <v>4701</v>
      </c>
      <c r="I1135" t="s">
        <v>4720</v>
      </c>
      <c r="J1135" s="10">
        <f t="shared" si="34"/>
        <v>35350</v>
      </c>
      <c r="K1135">
        <f t="shared" si="35"/>
        <v>26</v>
      </c>
    </row>
    <row r="1136" spans="1:11">
      <c r="A1136" t="s">
        <v>2408</v>
      </c>
      <c r="B1136">
        <v>1988</v>
      </c>
      <c r="C1136" t="s">
        <v>4696</v>
      </c>
      <c r="D1136">
        <v>1</v>
      </c>
      <c r="E1136">
        <v>3</v>
      </c>
      <c r="F1136" s="13">
        <v>9344.2000000000007</v>
      </c>
      <c r="G1136" t="s">
        <v>4697</v>
      </c>
      <c r="H1136" t="s">
        <v>4701</v>
      </c>
      <c r="I1136" t="s">
        <v>4717</v>
      </c>
      <c r="J1136" s="10">
        <f t="shared" si="34"/>
        <v>32325</v>
      </c>
      <c r="K1136">
        <f t="shared" si="35"/>
        <v>34</v>
      </c>
    </row>
    <row r="1137" spans="1:11">
      <c r="A1137" t="s">
        <v>2406</v>
      </c>
      <c r="B1137">
        <v>1971</v>
      </c>
      <c r="C1137" t="s">
        <v>4707</v>
      </c>
      <c r="D1137">
        <v>8</v>
      </c>
      <c r="E1137">
        <v>0</v>
      </c>
      <c r="F1137" s="13">
        <v>9361.33</v>
      </c>
      <c r="G1137" t="s">
        <v>4698</v>
      </c>
      <c r="H1137" t="s">
        <v>4701</v>
      </c>
      <c r="I1137" t="s">
        <v>4711</v>
      </c>
      <c r="J1137" s="10">
        <f t="shared" si="34"/>
        <v>26214</v>
      </c>
      <c r="K1137">
        <f t="shared" si="35"/>
        <v>51</v>
      </c>
    </row>
    <row r="1138" spans="1:11">
      <c r="A1138" t="s">
        <v>2404</v>
      </c>
      <c r="B1138">
        <v>1969</v>
      </c>
      <c r="C1138" t="s">
        <v>4700</v>
      </c>
      <c r="D1138">
        <v>24</v>
      </c>
      <c r="E1138">
        <v>0</v>
      </c>
      <c r="F1138" s="13">
        <v>9377.4500000000007</v>
      </c>
      <c r="G1138" t="s">
        <v>4697</v>
      </c>
      <c r="H1138" t="s">
        <v>4698</v>
      </c>
      <c r="I1138" t="s">
        <v>4699</v>
      </c>
      <c r="J1138" s="10">
        <f t="shared" si="34"/>
        <v>25531</v>
      </c>
      <c r="K1138">
        <f t="shared" si="35"/>
        <v>53</v>
      </c>
    </row>
    <row r="1139" spans="1:11">
      <c r="A1139" t="s">
        <v>2402</v>
      </c>
      <c r="B1139">
        <v>1971</v>
      </c>
      <c r="C1139" t="s">
        <v>4700</v>
      </c>
      <c r="D1139">
        <v>26</v>
      </c>
      <c r="E1139">
        <v>1</v>
      </c>
      <c r="F1139" s="13">
        <v>9377.9</v>
      </c>
      <c r="G1139" t="s">
        <v>4697</v>
      </c>
      <c r="H1139" t="s">
        <v>4701</v>
      </c>
      <c r="I1139" t="s">
        <v>4699</v>
      </c>
      <c r="J1139" s="10">
        <f t="shared" si="34"/>
        <v>26263</v>
      </c>
      <c r="K1139">
        <f t="shared" si="35"/>
        <v>51</v>
      </c>
    </row>
    <row r="1140" spans="1:11">
      <c r="A1140" t="s">
        <v>2400</v>
      </c>
      <c r="B1140">
        <v>1975</v>
      </c>
      <c r="C1140" t="s">
        <v>4705</v>
      </c>
      <c r="D1140">
        <v>2</v>
      </c>
      <c r="E1140">
        <v>1</v>
      </c>
      <c r="F1140" s="13">
        <v>9380.75</v>
      </c>
      <c r="G1140" t="s">
        <v>4697</v>
      </c>
      <c r="H1140" t="s">
        <v>4697</v>
      </c>
      <c r="I1140" t="s">
        <v>4714</v>
      </c>
      <c r="J1140" s="10">
        <f t="shared" si="34"/>
        <v>27730</v>
      </c>
      <c r="K1140">
        <f t="shared" si="35"/>
        <v>47</v>
      </c>
    </row>
    <row r="1141" spans="1:11">
      <c r="A1141" t="s">
        <v>2398</v>
      </c>
      <c r="B1141">
        <v>1971</v>
      </c>
      <c r="C1141" t="s">
        <v>4705</v>
      </c>
      <c r="D1141">
        <v>29</v>
      </c>
      <c r="E1141">
        <v>1</v>
      </c>
      <c r="F1141" s="13">
        <v>9386.16</v>
      </c>
      <c r="G1141" t="s">
        <v>4698</v>
      </c>
      <c r="H1141" t="s">
        <v>4697</v>
      </c>
      <c r="I1141" t="s">
        <v>4699</v>
      </c>
      <c r="J1141" s="10">
        <f t="shared" si="34"/>
        <v>26296</v>
      </c>
      <c r="K1141">
        <f t="shared" si="35"/>
        <v>51</v>
      </c>
    </row>
    <row r="1142" spans="1:11">
      <c r="A1142" t="s">
        <v>2396</v>
      </c>
      <c r="B1142">
        <v>1971</v>
      </c>
      <c r="C1142" t="s">
        <v>4707</v>
      </c>
      <c r="D1142">
        <v>20</v>
      </c>
      <c r="E1142">
        <v>1</v>
      </c>
      <c r="F1142" s="13">
        <v>9391.35</v>
      </c>
      <c r="G1142" t="s">
        <v>4698</v>
      </c>
      <c r="H1142" t="s">
        <v>4698</v>
      </c>
      <c r="I1142" t="s">
        <v>4708</v>
      </c>
      <c r="J1142" s="10">
        <f t="shared" si="34"/>
        <v>26226</v>
      </c>
      <c r="K1142">
        <f t="shared" si="35"/>
        <v>51</v>
      </c>
    </row>
    <row r="1143" spans="1:11">
      <c r="A1143" t="s">
        <v>2394</v>
      </c>
      <c r="B1143">
        <v>1976</v>
      </c>
      <c r="C1143" t="s">
        <v>4707</v>
      </c>
      <c r="D1143">
        <v>17</v>
      </c>
      <c r="E1143">
        <v>2</v>
      </c>
      <c r="F1143" s="13">
        <v>9411.01</v>
      </c>
      <c r="G1143" t="s">
        <v>4697</v>
      </c>
      <c r="H1143" t="s">
        <v>4698</v>
      </c>
      <c r="I1143" t="s">
        <v>4714</v>
      </c>
      <c r="J1143" s="10">
        <f t="shared" si="34"/>
        <v>28050</v>
      </c>
      <c r="K1143">
        <f t="shared" si="35"/>
        <v>46</v>
      </c>
    </row>
    <row r="1144" spans="1:11">
      <c r="A1144" t="s">
        <v>2392</v>
      </c>
      <c r="B1144">
        <v>1976</v>
      </c>
      <c r="C1144" t="s">
        <v>4707</v>
      </c>
      <c r="D1144">
        <v>30</v>
      </c>
      <c r="E1144">
        <v>3</v>
      </c>
      <c r="F1144" s="13">
        <v>9414.92</v>
      </c>
      <c r="G1144" t="s">
        <v>4697</v>
      </c>
      <c r="H1144" t="s">
        <v>4697</v>
      </c>
      <c r="I1144" t="s">
        <v>4708</v>
      </c>
      <c r="J1144" s="10">
        <f t="shared" si="34"/>
        <v>28063</v>
      </c>
      <c r="K1144">
        <f t="shared" si="35"/>
        <v>46</v>
      </c>
    </row>
    <row r="1145" spans="1:11">
      <c r="A1145" t="s">
        <v>2390</v>
      </c>
      <c r="B1145">
        <v>1976</v>
      </c>
      <c r="C1145" t="s">
        <v>4700</v>
      </c>
      <c r="D1145">
        <v>3</v>
      </c>
      <c r="E1145">
        <v>2</v>
      </c>
      <c r="F1145" s="13">
        <v>9432.93</v>
      </c>
      <c r="G1145" t="s">
        <v>4697</v>
      </c>
      <c r="H1145" t="s">
        <v>4701</v>
      </c>
      <c r="I1145" t="s">
        <v>4714</v>
      </c>
      <c r="J1145" s="10">
        <f t="shared" si="34"/>
        <v>28067</v>
      </c>
      <c r="K1145">
        <f t="shared" si="35"/>
        <v>46</v>
      </c>
    </row>
    <row r="1146" spans="1:11">
      <c r="A1146" t="s">
        <v>2388</v>
      </c>
      <c r="B1146">
        <v>1974</v>
      </c>
      <c r="C1146" t="s">
        <v>4700</v>
      </c>
      <c r="D1146">
        <v>27</v>
      </c>
      <c r="E1146">
        <v>1</v>
      </c>
      <c r="F1146" s="13">
        <v>9447.25</v>
      </c>
      <c r="G1146" t="s">
        <v>4697</v>
      </c>
      <c r="H1146" t="s">
        <v>4701</v>
      </c>
      <c r="I1146" t="s">
        <v>4714</v>
      </c>
      <c r="J1146" s="10">
        <f t="shared" si="34"/>
        <v>27360</v>
      </c>
      <c r="K1146">
        <f t="shared" si="35"/>
        <v>48</v>
      </c>
    </row>
    <row r="1147" spans="1:11">
      <c r="A1147" t="s">
        <v>2386</v>
      </c>
      <c r="B1147">
        <v>1974</v>
      </c>
      <c r="C1147" t="s">
        <v>4702</v>
      </c>
      <c r="D1147">
        <v>8</v>
      </c>
      <c r="E1147">
        <v>1</v>
      </c>
      <c r="F1147" s="13">
        <v>9447.3799999999992</v>
      </c>
      <c r="G1147" t="s">
        <v>4697</v>
      </c>
      <c r="H1147" t="s">
        <v>4698</v>
      </c>
      <c r="I1147" t="s">
        <v>4714</v>
      </c>
      <c r="J1147" s="10">
        <f t="shared" si="34"/>
        <v>27188</v>
      </c>
      <c r="K1147">
        <f t="shared" si="35"/>
        <v>49</v>
      </c>
    </row>
    <row r="1148" spans="1:11">
      <c r="A1148" t="s">
        <v>2384</v>
      </c>
      <c r="B1148">
        <v>1987</v>
      </c>
      <c r="C1148" t="s">
        <v>4700</v>
      </c>
      <c r="D1148">
        <v>14</v>
      </c>
      <c r="E1148">
        <v>3</v>
      </c>
      <c r="F1148" s="13">
        <v>9448.42</v>
      </c>
      <c r="G1148" t="s">
        <v>4697</v>
      </c>
      <c r="H1148" t="s">
        <v>4698</v>
      </c>
      <c r="I1148" t="s">
        <v>4717</v>
      </c>
      <c r="J1148" s="10">
        <f t="shared" si="34"/>
        <v>32095</v>
      </c>
      <c r="K1148">
        <f t="shared" si="35"/>
        <v>35</v>
      </c>
    </row>
    <row r="1149" spans="1:11">
      <c r="A1149" t="s">
        <v>2382</v>
      </c>
      <c r="B1149">
        <v>1979</v>
      </c>
      <c r="C1149" t="s">
        <v>4696</v>
      </c>
      <c r="D1149">
        <v>17</v>
      </c>
      <c r="E1149">
        <v>2</v>
      </c>
      <c r="F1149" s="13">
        <v>9453.92</v>
      </c>
      <c r="G1149" t="s">
        <v>4697</v>
      </c>
      <c r="H1149" t="s">
        <v>4697</v>
      </c>
      <c r="I1149" t="s">
        <v>4717</v>
      </c>
      <c r="J1149" s="10">
        <f t="shared" si="34"/>
        <v>29053</v>
      </c>
      <c r="K1149">
        <f t="shared" si="35"/>
        <v>43</v>
      </c>
    </row>
    <row r="1150" spans="1:11">
      <c r="A1150" t="s">
        <v>2380</v>
      </c>
      <c r="B1150">
        <v>1969</v>
      </c>
      <c r="C1150" t="s">
        <v>4702</v>
      </c>
      <c r="D1150">
        <v>4</v>
      </c>
      <c r="E1150">
        <v>0</v>
      </c>
      <c r="F1150" s="13">
        <v>9487.64</v>
      </c>
      <c r="G1150" t="s">
        <v>4697</v>
      </c>
      <c r="H1150" t="s">
        <v>4697</v>
      </c>
      <c r="I1150" t="s">
        <v>4699</v>
      </c>
      <c r="J1150" s="10">
        <f t="shared" si="34"/>
        <v>25358</v>
      </c>
      <c r="K1150">
        <f t="shared" si="35"/>
        <v>54</v>
      </c>
    </row>
    <row r="1151" spans="1:11">
      <c r="A1151" t="s">
        <v>2378</v>
      </c>
      <c r="B1151">
        <v>1976</v>
      </c>
      <c r="C1151" t="s">
        <v>4700</v>
      </c>
      <c r="D1151">
        <v>28</v>
      </c>
      <c r="E1151">
        <v>3</v>
      </c>
      <c r="F1151" s="13">
        <v>9500.57</v>
      </c>
      <c r="G1151" t="s">
        <v>4697</v>
      </c>
      <c r="H1151" t="s">
        <v>4698</v>
      </c>
      <c r="I1151" t="s">
        <v>4718</v>
      </c>
      <c r="J1151" s="10">
        <f t="shared" si="34"/>
        <v>28092</v>
      </c>
      <c r="K1151">
        <f t="shared" si="35"/>
        <v>46</v>
      </c>
    </row>
    <row r="1152" spans="1:11">
      <c r="A1152" t="s">
        <v>2376</v>
      </c>
      <c r="B1152">
        <v>1969</v>
      </c>
      <c r="C1152" t="s">
        <v>4706</v>
      </c>
      <c r="D1152">
        <v>24</v>
      </c>
      <c r="E1152">
        <v>0</v>
      </c>
      <c r="F1152" s="13">
        <v>9504.31</v>
      </c>
      <c r="G1152" t="s">
        <v>4698</v>
      </c>
      <c r="H1152" t="s">
        <v>4697</v>
      </c>
      <c r="I1152" t="s">
        <v>4699</v>
      </c>
      <c r="J1152" s="10">
        <f t="shared" si="34"/>
        <v>25439</v>
      </c>
      <c r="K1152">
        <f t="shared" si="35"/>
        <v>53</v>
      </c>
    </row>
    <row r="1153" spans="1:11">
      <c r="A1153" t="s">
        <v>2374</v>
      </c>
      <c r="B1153">
        <v>1992</v>
      </c>
      <c r="C1153" t="s">
        <v>4706</v>
      </c>
      <c r="D1153">
        <v>22</v>
      </c>
      <c r="E1153">
        <v>0</v>
      </c>
      <c r="F1153" s="13">
        <v>9507.68</v>
      </c>
      <c r="G1153" t="s">
        <v>4697</v>
      </c>
      <c r="H1153" t="s">
        <v>4701</v>
      </c>
      <c r="I1153" t="s">
        <v>4704</v>
      </c>
      <c r="J1153" s="10">
        <f t="shared" si="34"/>
        <v>33838</v>
      </c>
      <c r="K1153">
        <f t="shared" si="35"/>
        <v>30</v>
      </c>
    </row>
    <row r="1154" spans="1:11">
      <c r="A1154" t="s">
        <v>2372</v>
      </c>
      <c r="B1154">
        <v>1971</v>
      </c>
      <c r="C1154" t="s">
        <v>4700</v>
      </c>
      <c r="D1154">
        <v>29</v>
      </c>
      <c r="E1154">
        <v>0</v>
      </c>
      <c r="F1154" s="13">
        <v>9528.9</v>
      </c>
      <c r="G1154" t="s">
        <v>4697</v>
      </c>
      <c r="H1154" t="s">
        <v>4697</v>
      </c>
      <c r="I1154" t="s">
        <v>4708</v>
      </c>
      <c r="J1154" s="10">
        <f t="shared" ref="J1154:J1217" si="36">DATEVALUE(D1154&amp;"-"&amp;C1154&amp;"-"&amp;B1154)</f>
        <v>26266</v>
      </c>
      <c r="K1154">
        <f t="shared" si="35"/>
        <v>51</v>
      </c>
    </row>
    <row r="1155" spans="1:11">
      <c r="A1155" t="s">
        <v>2370</v>
      </c>
      <c r="B1155">
        <v>1973</v>
      </c>
      <c r="C1155" t="s">
        <v>4705</v>
      </c>
      <c r="D1155">
        <v>21</v>
      </c>
      <c r="E1155">
        <v>0</v>
      </c>
      <c r="F1155" s="13">
        <v>9538.65</v>
      </c>
      <c r="G1155" t="s">
        <v>4697</v>
      </c>
      <c r="H1155" t="s">
        <v>4698</v>
      </c>
      <c r="I1155" t="s">
        <v>4717</v>
      </c>
      <c r="J1155" s="10">
        <f t="shared" si="36"/>
        <v>27019</v>
      </c>
      <c r="K1155">
        <f t="shared" ref="K1155:K1218" si="37">DATEDIF(J1155, DATE(2023, 6, 8), "Y")</f>
        <v>49</v>
      </c>
    </row>
    <row r="1156" spans="1:11">
      <c r="A1156" t="s">
        <v>2368</v>
      </c>
      <c r="B1156">
        <v>1975</v>
      </c>
      <c r="C1156" t="s">
        <v>4696</v>
      </c>
      <c r="D1156">
        <v>28</v>
      </c>
      <c r="E1156">
        <v>1</v>
      </c>
      <c r="F1156" s="13">
        <v>9540.17</v>
      </c>
      <c r="G1156" t="s">
        <v>4697</v>
      </c>
      <c r="H1156" t="s">
        <v>4697</v>
      </c>
      <c r="I1156" t="s">
        <v>4714</v>
      </c>
      <c r="J1156" s="10">
        <f t="shared" si="36"/>
        <v>27603</v>
      </c>
      <c r="K1156">
        <f t="shared" si="37"/>
        <v>47</v>
      </c>
    </row>
    <row r="1157" spans="1:11">
      <c r="A1157" t="s">
        <v>2366</v>
      </c>
      <c r="B1157">
        <v>1972</v>
      </c>
      <c r="C1157" t="s">
        <v>4703</v>
      </c>
      <c r="D1157">
        <v>22</v>
      </c>
      <c r="E1157">
        <v>0</v>
      </c>
      <c r="F1157" s="13">
        <v>9541.7000000000007</v>
      </c>
      <c r="G1157" t="s">
        <v>4697</v>
      </c>
      <c r="H1157" t="s">
        <v>4701</v>
      </c>
      <c r="I1157" t="s">
        <v>4714</v>
      </c>
      <c r="J1157" s="10">
        <f t="shared" si="36"/>
        <v>26564</v>
      </c>
      <c r="K1157">
        <f t="shared" si="37"/>
        <v>50</v>
      </c>
    </row>
    <row r="1158" spans="1:11">
      <c r="A1158" t="s">
        <v>2364</v>
      </c>
      <c r="B1158">
        <v>1972</v>
      </c>
      <c r="C1158" t="s">
        <v>4703</v>
      </c>
      <c r="D1158">
        <v>22</v>
      </c>
      <c r="E1158">
        <v>1</v>
      </c>
      <c r="F1158" s="13">
        <v>9549.57</v>
      </c>
      <c r="G1158" t="s">
        <v>4697</v>
      </c>
      <c r="H1158" t="s">
        <v>4701</v>
      </c>
      <c r="I1158" t="s">
        <v>4699</v>
      </c>
      <c r="J1158" s="10">
        <f t="shared" si="36"/>
        <v>26564</v>
      </c>
      <c r="K1158">
        <f t="shared" si="37"/>
        <v>50</v>
      </c>
    </row>
    <row r="1159" spans="1:11">
      <c r="A1159" t="s">
        <v>2362</v>
      </c>
      <c r="B1159">
        <v>1974</v>
      </c>
      <c r="C1159" t="s">
        <v>4706</v>
      </c>
      <c r="D1159">
        <v>14</v>
      </c>
      <c r="E1159">
        <v>3</v>
      </c>
      <c r="F1159" s="13">
        <v>9563.0300000000007</v>
      </c>
      <c r="G1159" t="s">
        <v>4698</v>
      </c>
      <c r="H1159" t="s">
        <v>4701</v>
      </c>
      <c r="I1159" t="s">
        <v>4708</v>
      </c>
      <c r="J1159" s="10">
        <f t="shared" si="36"/>
        <v>27255</v>
      </c>
      <c r="K1159">
        <f t="shared" si="37"/>
        <v>48</v>
      </c>
    </row>
    <row r="1160" spans="1:11">
      <c r="A1160" t="s">
        <v>2360</v>
      </c>
      <c r="B1160">
        <v>1973</v>
      </c>
      <c r="C1160" t="s">
        <v>4705</v>
      </c>
      <c r="D1160">
        <v>1</v>
      </c>
      <c r="E1160">
        <v>1</v>
      </c>
      <c r="F1160" s="13">
        <v>9566.99</v>
      </c>
      <c r="G1160" t="s">
        <v>4697</v>
      </c>
      <c r="H1160" t="s">
        <v>4701</v>
      </c>
      <c r="I1160" t="s">
        <v>4704</v>
      </c>
      <c r="J1160" s="10">
        <f t="shared" si="36"/>
        <v>26999</v>
      </c>
      <c r="K1160">
        <f t="shared" si="37"/>
        <v>49</v>
      </c>
    </row>
    <row r="1161" spans="1:11">
      <c r="A1161" t="s">
        <v>2358</v>
      </c>
      <c r="B1161">
        <v>1966</v>
      </c>
      <c r="C1161" t="s">
        <v>4705</v>
      </c>
      <c r="D1161">
        <v>4</v>
      </c>
      <c r="E1161">
        <v>0</v>
      </c>
      <c r="F1161" s="13">
        <v>9582.5400000000009</v>
      </c>
      <c r="G1161" t="s">
        <v>4698</v>
      </c>
      <c r="H1161" t="s">
        <v>4697</v>
      </c>
      <c r="I1161" t="s">
        <v>4699</v>
      </c>
      <c r="J1161" s="10">
        <f t="shared" si="36"/>
        <v>24445</v>
      </c>
      <c r="K1161">
        <f t="shared" si="37"/>
        <v>56</v>
      </c>
    </row>
    <row r="1162" spans="1:11">
      <c r="A1162" t="s">
        <v>2356</v>
      </c>
      <c r="B1162">
        <v>1973</v>
      </c>
      <c r="C1162" t="s">
        <v>4700</v>
      </c>
      <c r="D1162">
        <v>28</v>
      </c>
      <c r="E1162">
        <v>1</v>
      </c>
      <c r="F1162" s="13">
        <v>9583.89</v>
      </c>
      <c r="G1162" t="s">
        <v>4697</v>
      </c>
      <c r="H1162" t="s">
        <v>4698</v>
      </c>
      <c r="I1162" t="s">
        <v>4704</v>
      </c>
      <c r="J1162" s="10">
        <f t="shared" si="36"/>
        <v>26996</v>
      </c>
      <c r="K1162">
        <f t="shared" si="37"/>
        <v>49</v>
      </c>
    </row>
    <row r="1163" spans="1:11">
      <c r="A1163" t="s">
        <v>2354</v>
      </c>
      <c r="B1163">
        <v>1981</v>
      </c>
      <c r="C1163" t="s">
        <v>4707</v>
      </c>
      <c r="D1163">
        <v>18</v>
      </c>
      <c r="E1163">
        <v>1</v>
      </c>
      <c r="F1163" s="13">
        <v>9584.0400000000009</v>
      </c>
      <c r="G1163" t="s">
        <v>4697</v>
      </c>
      <c r="H1163" t="s">
        <v>4701</v>
      </c>
      <c r="I1163" t="s">
        <v>4717</v>
      </c>
      <c r="J1163" s="10">
        <f t="shared" si="36"/>
        <v>29877</v>
      </c>
      <c r="K1163">
        <f t="shared" si="37"/>
        <v>41</v>
      </c>
    </row>
    <row r="1164" spans="1:11">
      <c r="A1164" t="s">
        <v>2352</v>
      </c>
      <c r="B1164">
        <v>1964</v>
      </c>
      <c r="C1164" t="s">
        <v>4705</v>
      </c>
      <c r="D1164">
        <v>15</v>
      </c>
      <c r="E1164">
        <v>0</v>
      </c>
      <c r="F1164" s="13">
        <v>9597.6299999999992</v>
      </c>
      <c r="G1164" t="s">
        <v>4698</v>
      </c>
      <c r="H1164" t="s">
        <v>4698</v>
      </c>
      <c r="I1164" t="s">
        <v>4699</v>
      </c>
      <c r="J1164" s="10">
        <f t="shared" si="36"/>
        <v>23726</v>
      </c>
      <c r="K1164">
        <f t="shared" si="37"/>
        <v>58</v>
      </c>
    </row>
    <row r="1165" spans="1:11">
      <c r="A1165" t="s">
        <v>2350</v>
      </c>
      <c r="B1165">
        <v>1972</v>
      </c>
      <c r="C1165" t="s">
        <v>4705</v>
      </c>
      <c r="D1165">
        <v>27</v>
      </c>
      <c r="E1165">
        <v>1</v>
      </c>
      <c r="F1165" s="13">
        <v>9617.66</v>
      </c>
      <c r="G1165" t="s">
        <v>4698</v>
      </c>
      <c r="H1165" t="s">
        <v>4698</v>
      </c>
      <c r="I1165" t="s">
        <v>4711</v>
      </c>
      <c r="J1165" s="10">
        <f t="shared" si="36"/>
        <v>26660</v>
      </c>
      <c r="K1165">
        <f t="shared" si="37"/>
        <v>50</v>
      </c>
    </row>
    <row r="1166" spans="1:11">
      <c r="A1166" t="s">
        <v>2348</v>
      </c>
      <c r="B1166">
        <v>1982</v>
      </c>
      <c r="C1166" t="s">
        <v>4706</v>
      </c>
      <c r="D1166">
        <v>29</v>
      </c>
      <c r="E1166">
        <v>3</v>
      </c>
      <c r="F1166" s="13">
        <v>9619.18</v>
      </c>
      <c r="G1166" t="s">
        <v>4697</v>
      </c>
      <c r="H1166" t="s">
        <v>4701</v>
      </c>
      <c r="I1166" t="s">
        <v>4713</v>
      </c>
      <c r="J1166" s="10">
        <f t="shared" si="36"/>
        <v>30192</v>
      </c>
      <c r="K1166">
        <f t="shared" si="37"/>
        <v>40</v>
      </c>
    </row>
    <row r="1167" spans="1:11">
      <c r="A1167" t="s">
        <v>2346</v>
      </c>
      <c r="B1167">
        <v>1975</v>
      </c>
      <c r="C1167" t="s">
        <v>4707</v>
      </c>
      <c r="D1167">
        <v>29</v>
      </c>
      <c r="E1167">
        <v>3</v>
      </c>
      <c r="F1167" s="13">
        <v>9620.33</v>
      </c>
      <c r="G1167" t="s">
        <v>4698</v>
      </c>
      <c r="H1167" t="s">
        <v>4698</v>
      </c>
      <c r="I1167" t="s">
        <v>4704</v>
      </c>
      <c r="J1167" s="10">
        <f t="shared" si="36"/>
        <v>27696</v>
      </c>
      <c r="K1167">
        <f t="shared" si="37"/>
        <v>47</v>
      </c>
    </row>
    <row r="1168" spans="1:11">
      <c r="A1168" t="s">
        <v>2344</v>
      </c>
      <c r="B1168">
        <v>1970</v>
      </c>
      <c r="C1168" t="s">
        <v>4705</v>
      </c>
      <c r="D1168">
        <v>16</v>
      </c>
      <c r="E1168">
        <v>0</v>
      </c>
      <c r="F1168" s="13">
        <v>9625.92</v>
      </c>
      <c r="G1168" t="s">
        <v>4697</v>
      </c>
      <c r="H1168" t="s">
        <v>4698</v>
      </c>
      <c r="I1168" t="s">
        <v>4708</v>
      </c>
      <c r="J1168" s="10">
        <f t="shared" si="36"/>
        <v>25918</v>
      </c>
      <c r="K1168">
        <f t="shared" si="37"/>
        <v>52</v>
      </c>
    </row>
    <row r="1169" spans="1:11">
      <c r="A1169" t="s">
        <v>2342</v>
      </c>
      <c r="B1169">
        <v>1998</v>
      </c>
      <c r="C1169" t="s">
        <v>4702</v>
      </c>
      <c r="D1169">
        <v>23</v>
      </c>
      <c r="E1169">
        <v>0</v>
      </c>
      <c r="F1169" s="13">
        <v>9628.7900000000009</v>
      </c>
      <c r="G1169" t="s">
        <v>4697</v>
      </c>
      <c r="H1169" t="s">
        <v>4697</v>
      </c>
      <c r="I1169" t="s">
        <v>4720</v>
      </c>
      <c r="J1169" s="10">
        <f t="shared" si="36"/>
        <v>35969</v>
      </c>
      <c r="K1169">
        <f t="shared" si="37"/>
        <v>24</v>
      </c>
    </row>
    <row r="1170" spans="1:11">
      <c r="A1170" t="s">
        <v>2340</v>
      </c>
      <c r="B1170">
        <v>1979</v>
      </c>
      <c r="C1170" t="s">
        <v>4705</v>
      </c>
      <c r="D1170">
        <v>19</v>
      </c>
      <c r="E1170">
        <v>2</v>
      </c>
      <c r="F1170" s="13">
        <v>9630.2999999999993</v>
      </c>
      <c r="G1170" t="s">
        <v>4697</v>
      </c>
      <c r="H1170" t="s">
        <v>4697</v>
      </c>
      <c r="I1170" t="s">
        <v>4717</v>
      </c>
      <c r="J1170" s="10">
        <f t="shared" si="36"/>
        <v>29208</v>
      </c>
      <c r="K1170">
        <f t="shared" si="37"/>
        <v>43</v>
      </c>
    </row>
    <row r="1171" spans="1:11">
      <c r="A1171" t="s">
        <v>2338</v>
      </c>
      <c r="B1171">
        <v>1972</v>
      </c>
      <c r="C1171" t="s">
        <v>4707</v>
      </c>
      <c r="D1171">
        <v>23</v>
      </c>
      <c r="E1171">
        <v>2</v>
      </c>
      <c r="F1171" s="13">
        <v>9630.4</v>
      </c>
      <c r="G1171" t="s">
        <v>4697</v>
      </c>
      <c r="H1171" t="s">
        <v>4697</v>
      </c>
      <c r="I1171" t="s">
        <v>4708</v>
      </c>
      <c r="J1171" s="10">
        <f t="shared" si="36"/>
        <v>26595</v>
      </c>
      <c r="K1171">
        <f t="shared" si="37"/>
        <v>50</v>
      </c>
    </row>
    <row r="1172" spans="1:11">
      <c r="A1172" t="s">
        <v>2336</v>
      </c>
      <c r="B1172">
        <v>1968</v>
      </c>
      <c r="C1172" t="s">
        <v>4702</v>
      </c>
      <c r="D1172">
        <v>22</v>
      </c>
      <c r="E1172">
        <v>0</v>
      </c>
      <c r="F1172" s="13">
        <v>9630.91</v>
      </c>
      <c r="G1172" t="s">
        <v>4698</v>
      </c>
      <c r="H1172" t="s">
        <v>4697</v>
      </c>
      <c r="I1172" t="s">
        <v>4699</v>
      </c>
      <c r="J1172" s="10">
        <f t="shared" si="36"/>
        <v>25011</v>
      </c>
      <c r="K1172">
        <f t="shared" si="37"/>
        <v>54</v>
      </c>
    </row>
    <row r="1173" spans="1:11">
      <c r="A1173" t="s">
        <v>2334</v>
      </c>
      <c r="B1173">
        <v>1970</v>
      </c>
      <c r="C1173" t="s">
        <v>4703</v>
      </c>
      <c r="D1173">
        <v>30</v>
      </c>
      <c r="E1173">
        <v>0</v>
      </c>
      <c r="F1173" s="13">
        <v>9634.5400000000009</v>
      </c>
      <c r="G1173" t="s">
        <v>4697</v>
      </c>
      <c r="H1173" t="s">
        <v>4697</v>
      </c>
      <c r="I1173" t="s">
        <v>4708</v>
      </c>
      <c r="J1173" s="10">
        <f t="shared" si="36"/>
        <v>25841</v>
      </c>
      <c r="K1173">
        <f t="shared" si="37"/>
        <v>52</v>
      </c>
    </row>
    <row r="1174" spans="1:11">
      <c r="A1174" t="s">
        <v>2332</v>
      </c>
      <c r="B1174">
        <v>1971</v>
      </c>
      <c r="C1174" t="s">
        <v>4696</v>
      </c>
      <c r="D1174">
        <v>19</v>
      </c>
      <c r="E1174">
        <v>0</v>
      </c>
      <c r="F1174" s="13">
        <v>9644.25</v>
      </c>
      <c r="G1174" t="s">
        <v>4697</v>
      </c>
      <c r="H1174" t="s">
        <v>4701</v>
      </c>
      <c r="I1174" t="s">
        <v>4704</v>
      </c>
      <c r="J1174" s="10">
        <f t="shared" si="36"/>
        <v>26133</v>
      </c>
      <c r="K1174">
        <f t="shared" si="37"/>
        <v>51</v>
      </c>
    </row>
    <row r="1175" spans="1:11">
      <c r="A1175" t="s">
        <v>2330</v>
      </c>
      <c r="B1175">
        <v>1974</v>
      </c>
      <c r="C1175" t="s">
        <v>4696</v>
      </c>
      <c r="D1175">
        <v>8</v>
      </c>
      <c r="E1175">
        <v>0</v>
      </c>
      <c r="F1175" s="13">
        <v>9653.81</v>
      </c>
      <c r="G1175" t="s">
        <v>4697</v>
      </c>
      <c r="H1175" t="s">
        <v>4697</v>
      </c>
      <c r="I1175" t="s">
        <v>4708</v>
      </c>
      <c r="J1175" s="10">
        <f t="shared" si="36"/>
        <v>27218</v>
      </c>
      <c r="K1175">
        <f t="shared" si="37"/>
        <v>48</v>
      </c>
    </row>
    <row r="1176" spans="1:11">
      <c r="A1176" t="s">
        <v>2328</v>
      </c>
      <c r="B1176">
        <v>1981</v>
      </c>
      <c r="C1176" t="s">
        <v>4706</v>
      </c>
      <c r="D1176">
        <v>8</v>
      </c>
      <c r="E1176">
        <v>1</v>
      </c>
      <c r="F1176" s="13">
        <v>9664.34</v>
      </c>
      <c r="G1176" t="s">
        <v>4697</v>
      </c>
      <c r="H1176" t="s">
        <v>4698</v>
      </c>
      <c r="I1176" t="s">
        <v>4708</v>
      </c>
      <c r="J1176" s="10">
        <f t="shared" si="36"/>
        <v>29806</v>
      </c>
      <c r="K1176">
        <f t="shared" si="37"/>
        <v>41</v>
      </c>
    </row>
    <row r="1177" spans="1:11">
      <c r="A1177" t="s">
        <v>2326</v>
      </c>
      <c r="B1177">
        <v>1966</v>
      </c>
      <c r="C1177" t="s">
        <v>4703</v>
      </c>
      <c r="D1177">
        <v>16</v>
      </c>
      <c r="E1177">
        <v>0</v>
      </c>
      <c r="F1177" s="13">
        <v>9684.2900000000009</v>
      </c>
      <c r="G1177" t="s">
        <v>4698</v>
      </c>
      <c r="H1177" t="s">
        <v>4697</v>
      </c>
      <c r="I1177" t="s">
        <v>4699</v>
      </c>
      <c r="J1177" s="10">
        <f t="shared" si="36"/>
        <v>24366</v>
      </c>
      <c r="K1177">
        <f t="shared" si="37"/>
        <v>56</v>
      </c>
    </row>
    <row r="1178" spans="1:11">
      <c r="A1178" t="s">
        <v>2324</v>
      </c>
      <c r="B1178">
        <v>1964</v>
      </c>
      <c r="C1178" t="s">
        <v>4700</v>
      </c>
      <c r="D1178">
        <v>7</v>
      </c>
      <c r="E1178">
        <v>0</v>
      </c>
      <c r="F1178" s="13">
        <v>9698.42</v>
      </c>
      <c r="G1178" t="s">
        <v>4698</v>
      </c>
      <c r="H1178" t="s">
        <v>4698</v>
      </c>
      <c r="I1178" t="s">
        <v>4699</v>
      </c>
      <c r="J1178" s="10">
        <f t="shared" si="36"/>
        <v>23688</v>
      </c>
      <c r="K1178">
        <f t="shared" si="37"/>
        <v>58</v>
      </c>
    </row>
    <row r="1179" spans="1:11">
      <c r="A1179" t="s">
        <v>2322</v>
      </c>
      <c r="B1179">
        <v>1977</v>
      </c>
      <c r="C1179" t="s">
        <v>4703</v>
      </c>
      <c r="D1179">
        <v>19</v>
      </c>
      <c r="E1179">
        <v>3</v>
      </c>
      <c r="F1179" s="13">
        <v>9704.67</v>
      </c>
      <c r="G1179" t="s">
        <v>4697</v>
      </c>
      <c r="H1179" t="s">
        <v>4698</v>
      </c>
      <c r="I1179" t="s">
        <v>4714</v>
      </c>
      <c r="J1179" s="10">
        <f t="shared" si="36"/>
        <v>28387</v>
      </c>
      <c r="K1179">
        <f t="shared" si="37"/>
        <v>45</v>
      </c>
    </row>
    <row r="1180" spans="1:11">
      <c r="A1180" t="s">
        <v>2320</v>
      </c>
      <c r="B1180">
        <v>1972</v>
      </c>
      <c r="C1180" t="s">
        <v>4696</v>
      </c>
      <c r="D1180">
        <v>10</v>
      </c>
      <c r="E1180">
        <v>0</v>
      </c>
      <c r="F1180" s="13">
        <v>9710.7099999999991</v>
      </c>
      <c r="G1180" t="s">
        <v>4697</v>
      </c>
      <c r="H1180" t="s">
        <v>4701</v>
      </c>
      <c r="I1180" t="s">
        <v>4717</v>
      </c>
      <c r="J1180" s="10">
        <f t="shared" si="36"/>
        <v>26490</v>
      </c>
      <c r="K1180">
        <f t="shared" si="37"/>
        <v>50</v>
      </c>
    </row>
    <row r="1181" spans="1:11">
      <c r="A1181" t="s">
        <v>2318</v>
      </c>
      <c r="B1181">
        <v>1975</v>
      </c>
      <c r="C1181" t="s">
        <v>4702</v>
      </c>
      <c r="D1181">
        <v>27</v>
      </c>
      <c r="E1181">
        <v>2</v>
      </c>
      <c r="F1181" s="13">
        <v>9715.84</v>
      </c>
      <c r="G1181" t="s">
        <v>4697</v>
      </c>
      <c r="H1181" t="s">
        <v>4701</v>
      </c>
      <c r="I1181" t="s">
        <v>4714</v>
      </c>
      <c r="J1181" s="10">
        <f t="shared" si="36"/>
        <v>27572</v>
      </c>
      <c r="K1181">
        <f t="shared" si="37"/>
        <v>47</v>
      </c>
    </row>
    <row r="1182" spans="1:11">
      <c r="A1182" t="s">
        <v>2316</v>
      </c>
      <c r="B1182">
        <v>1970</v>
      </c>
      <c r="C1182" t="s">
        <v>4703</v>
      </c>
      <c r="D1182">
        <v>12</v>
      </c>
      <c r="E1182">
        <v>0</v>
      </c>
      <c r="F1182" s="13">
        <v>9722.77</v>
      </c>
      <c r="G1182" t="s">
        <v>4698</v>
      </c>
      <c r="H1182" t="s">
        <v>4701</v>
      </c>
      <c r="I1182" t="s">
        <v>4711</v>
      </c>
      <c r="J1182" s="10">
        <f t="shared" si="36"/>
        <v>25823</v>
      </c>
      <c r="K1182">
        <f t="shared" si="37"/>
        <v>52</v>
      </c>
    </row>
    <row r="1183" spans="1:11">
      <c r="A1183" t="s">
        <v>2314</v>
      </c>
      <c r="B1183">
        <v>1970</v>
      </c>
      <c r="C1183" t="s">
        <v>4706</v>
      </c>
      <c r="D1183">
        <v>18</v>
      </c>
      <c r="E1183">
        <v>1</v>
      </c>
      <c r="F1183" s="13">
        <v>9724.5300000000007</v>
      </c>
      <c r="G1183" t="s">
        <v>4698</v>
      </c>
      <c r="H1183" t="s">
        <v>4701</v>
      </c>
      <c r="I1183" t="s">
        <v>4708</v>
      </c>
      <c r="J1183" s="10">
        <f t="shared" si="36"/>
        <v>25798</v>
      </c>
      <c r="K1183">
        <f t="shared" si="37"/>
        <v>52</v>
      </c>
    </row>
    <row r="1184" spans="1:11">
      <c r="A1184" t="s">
        <v>2312</v>
      </c>
      <c r="B1184">
        <v>1970</v>
      </c>
      <c r="C1184" t="s">
        <v>4696</v>
      </c>
      <c r="D1184">
        <v>4</v>
      </c>
      <c r="E1184">
        <v>1</v>
      </c>
      <c r="F1184" s="13">
        <v>9748.91</v>
      </c>
      <c r="G1184" t="s">
        <v>4697</v>
      </c>
      <c r="H1184" t="s">
        <v>4701</v>
      </c>
      <c r="I1184" t="s">
        <v>4699</v>
      </c>
      <c r="J1184" s="10">
        <f t="shared" si="36"/>
        <v>25753</v>
      </c>
      <c r="K1184">
        <f t="shared" si="37"/>
        <v>52</v>
      </c>
    </row>
    <row r="1185" spans="1:11">
      <c r="A1185" t="s">
        <v>2310</v>
      </c>
      <c r="B1185">
        <v>2001</v>
      </c>
      <c r="C1185" t="s">
        <v>4696</v>
      </c>
      <c r="D1185">
        <v>14</v>
      </c>
      <c r="E1185">
        <v>0</v>
      </c>
      <c r="F1185" s="13">
        <v>9753.49</v>
      </c>
      <c r="G1185" t="s">
        <v>4697</v>
      </c>
      <c r="H1185" t="s">
        <v>4697</v>
      </c>
      <c r="I1185" t="s">
        <v>4704</v>
      </c>
      <c r="J1185" s="10">
        <f t="shared" si="36"/>
        <v>37086</v>
      </c>
      <c r="K1185">
        <f t="shared" si="37"/>
        <v>21</v>
      </c>
    </row>
    <row r="1186" spans="1:11">
      <c r="A1186" t="s">
        <v>2308</v>
      </c>
      <c r="B1186">
        <v>1965</v>
      </c>
      <c r="C1186" t="s">
        <v>4703</v>
      </c>
      <c r="D1186">
        <v>5</v>
      </c>
      <c r="E1186">
        <v>0</v>
      </c>
      <c r="F1186" s="13">
        <v>9764.08</v>
      </c>
      <c r="G1186" t="s">
        <v>4698</v>
      </c>
      <c r="H1186" t="s">
        <v>4701</v>
      </c>
      <c r="I1186" t="s">
        <v>4704</v>
      </c>
      <c r="J1186" s="10">
        <f t="shared" si="36"/>
        <v>23990</v>
      </c>
      <c r="K1186">
        <f t="shared" si="37"/>
        <v>57</v>
      </c>
    </row>
    <row r="1187" spans="1:11">
      <c r="A1187" t="s">
        <v>2306</v>
      </c>
      <c r="B1187">
        <v>1973</v>
      </c>
      <c r="C1187" t="s">
        <v>4696</v>
      </c>
      <c r="D1187">
        <v>7</v>
      </c>
      <c r="E1187">
        <v>1</v>
      </c>
      <c r="F1187" s="13">
        <v>9778.35</v>
      </c>
      <c r="G1187" t="s">
        <v>4697</v>
      </c>
      <c r="H1187" t="s">
        <v>4697</v>
      </c>
      <c r="I1187" t="s">
        <v>4714</v>
      </c>
      <c r="J1187" s="10">
        <f t="shared" si="36"/>
        <v>26852</v>
      </c>
      <c r="K1187">
        <f t="shared" si="37"/>
        <v>49</v>
      </c>
    </row>
    <row r="1188" spans="1:11">
      <c r="A1188" t="s">
        <v>2304</v>
      </c>
      <c r="B1188">
        <v>1996</v>
      </c>
      <c r="C1188" t="s">
        <v>4706</v>
      </c>
      <c r="D1188">
        <v>8</v>
      </c>
      <c r="E1188">
        <v>0</v>
      </c>
      <c r="F1188" s="13">
        <v>9787.32</v>
      </c>
      <c r="G1188" t="s">
        <v>4697</v>
      </c>
      <c r="H1188" t="s">
        <v>4698</v>
      </c>
      <c r="I1188" t="s">
        <v>4715</v>
      </c>
      <c r="J1188" s="10">
        <f t="shared" si="36"/>
        <v>35285</v>
      </c>
      <c r="K1188">
        <f t="shared" si="37"/>
        <v>26</v>
      </c>
    </row>
    <row r="1189" spans="1:11">
      <c r="A1189" t="s">
        <v>2302</v>
      </c>
      <c r="B1189">
        <v>1977</v>
      </c>
      <c r="C1189" t="s">
        <v>4702</v>
      </c>
      <c r="D1189">
        <v>7</v>
      </c>
      <c r="E1189">
        <v>5</v>
      </c>
      <c r="F1189" s="13">
        <v>9788.8700000000008</v>
      </c>
      <c r="G1189" t="s">
        <v>4698</v>
      </c>
      <c r="H1189" t="s">
        <v>4697</v>
      </c>
      <c r="I1189" t="s">
        <v>4699</v>
      </c>
      <c r="J1189" s="10">
        <f t="shared" si="36"/>
        <v>28283</v>
      </c>
      <c r="K1189">
        <f t="shared" si="37"/>
        <v>46</v>
      </c>
    </row>
    <row r="1190" spans="1:11">
      <c r="A1190" t="s">
        <v>2300</v>
      </c>
      <c r="B1190">
        <v>1973</v>
      </c>
      <c r="C1190" t="s">
        <v>4703</v>
      </c>
      <c r="D1190">
        <v>17</v>
      </c>
      <c r="E1190">
        <v>2</v>
      </c>
      <c r="F1190" s="13">
        <v>9800.89</v>
      </c>
      <c r="G1190" t="s">
        <v>4697</v>
      </c>
      <c r="H1190" t="s">
        <v>4701</v>
      </c>
      <c r="I1190" t="s">
        <v>4699</v>
      </c>
      <c r="J1190" s="10">
        <f t="shared" si="36"/>
        <v>26924</v>
      </c>
      <c r="K1190">
        <f t="shared" si="37"/>
        <v>49</v>
      </c>
    </row>
    <row r="1191" spans="1:11">
      <c r="A1191" t="s">
        <v>2298</v>
      </c>
      <c r="B1191">
        <v>1972</v>
      </c>
      <c r="C1191" t="s">
        <v>4702</v>
      </c>
      <c r="D1191">
        <v>28</v>
      </c>
      <c r="E1191">
        <v>0</v>
      </c>
      <c r="F1191" s="13">
        <v>9819.25</v>
      </c>
      <c r="G1191" t="s">
        <v>4697</v>
      </c>
      <c r="H1191" t="s">
        <v>4697</v>
      </c>
      <c r="I1191" t="s">
        <v>4717</v>
      </c>
      <c r="J1191" s="10">
        <f t="shared" si="36"/>
        <v>26478</v>
      </c>
      <c r="K1191">
        <f t="shared" si="37"/>
        <v>50</v>
      </c>
    </row>
    <row r="1192" spans="1:11">
      <c r="A1192" t="s">
        <v>2296</v>
      </c>
      <c r="B1192">
        <v>1972</v>
      </c>
      <c r="C1192" t="s">
        <v>4703</v>
      </c>
      <c r="D1192">
        <v>26</v>
      </c>
      <c r="E1192">
        <v>0</v>
      </c>
      <c r="F1192" s="13">
        <v>9836.2099999999991</v>
      </c>
      <c r="G1192" t="s">
        <v>4697</v>
      </c>
      <c r="H1192" t="s">
        <v>4698</v>
      </c>
      <c r="I1192" t="s">
        <v>4717</v>
      </c>
      <c r="J1192" s="10">
        <f t="shared" si="36"/>
        <v>26568</v>
      </c>
      <c r="K1192">
        <f t="shared" si="37"/>
        <v>50</v>
      </c>
    </row>
    <row r="1193" spans="1:11">
      <c r="A1193" t="s">
        <v>2294</v>
      </c>
      <c r="B1193">
        <v>1992</v>
      </c>
      <c r="C1193" t="s">
        <v>4706</v>
      </c>
      <c r="D1193">
        <v>13</v>
      </c>
      <c r="E1193">
        <v>0</v>
      </c>
      <c r="F1193" s="13">
        <v>9844.4500000000007</v>
      </c>
      <c r="G1193" t="s">
        <v>4697</v>
      </c>
      <c r="H1193" t="s">
        <v>4701</v>
      </c>
      <c r="I1193" t="s">
        <v>4704</v>
      </c>
      <c r="J1193" s="10">
        <f t="shared" si="36"/>
        <v>33829</v>
      </c>
      <c r="K1193">
        <f t="shared" si="37"/>
        <v>30</v>
      </c>
    </row>
    <row r="1194" spans="1:11">
      <c r="A1194" t="s">
        <v>2292</v>
      </c>
      <c r="B1194">
        <v>1968</v>
      </c>
      <c r="C1194" t="s">
        <v>4700</v>
      </c>
      <c r="D1194">
        <v>4</v>
      </c>
      <c r="E1194">
        <v>0</v>
      </c>
      <c r="F1194" s="13">
        <v>9850.43</v>
      </c>
      <c r="G1194" t="s">
        <v>4698</v>
      </c>
      <c r="H1194" t="s">
        <v>4698</v>
      </c>
      <c r="I1194" t="s">
        <v>4708</v>
      </c>
      <c r="J1194" s="10">
        <f t="shared" si="36"/>
        <v>25146</v>
      </c>
      <c r="K1194">
        <f t="shared" si="37"/>
        <v>54</v>
      </c>
    </row>
    <row r="1195" spans="1:11">
      <c r="A1195" t="s">
        <v>2290</v>
      </c>
      <c r="B1195">
        <v>1971</v>
      </c>
      <c r="C1195" t="s">
        <v>4707</v>
      </c>
      <c r="D1195">
        <v>23</v>
      </c>
      <c r="E1195">
        <v>1</v>
      </c>
      <c r="F1195" s="13">
        <v>9855.1299999999992</v>
      </c>
      <c r="G1195" t="s">
        <v>4697</v>
      </c>
      <c r="H1195" t="s">
        <v>4698</v>
      </c>
      <c r="I1195" t="s">
        <v>4699</v>
      </c>
      <c r="J1195" s="10">
        <f t="shared" si="36"/>
        <v>26229</v>
      </c>
      <c r="K1195">
        <f t="shared" si="37"/>
        <v>51</v>
      </c>
    </row>
    <row r="1196" spans="1:11">
      <c r="A1196" t="s">
        <v>2288</v>
      </c>
      <c r="B1196">
        <v>1971</v>
      </c>
      <c r="C1196" t="s">
        <v>4696</v>
      </c>
      <c r="D1196">
        <v>17</v>
      </c>
      <c r="E1196">
        <v>1</v>
      </c>
      <c r="F1196" s="13">
        <v>9861.0300000000007</v>
      </c>
      <c r="G1196" t="s">
        <v>4697</v>
      </c>
      <c r="H1196" t="s">
        <v>4697</v>
      </c>
      <c r="I1196" t="s">
        <v>4708</v>
      </c>
      <c r="J1196" s="10">
        <f t="shared" si="36"/>
        <v>26131</v>
      </c>
      <c r="K1196">
        <f t="shared" si="37"/>
        <v>51</v>
      </c>
    </row>
    <row r="1197" spans="1:11">
      <c r="A1197" t="s">
        <v>2286</v>
      </c>
      <c r="B1197">
        <v>1969</v>
      </c>
      <c r="C1197" t="s">
        <v>4707</v>
      </c>
      <c r="D1197">
        <v>20</v>
      </c>
      <c r="E1197">
        <v>0</v>
      </c>
      <c r="F1197" s="13">
        <v>9863.4699999999993</v>
      </c>
      <c r="G1197" t="s">
        <v>4698</v>
      </c>
      <c r="H1197" t="s">
        <v>4698</v>
      </c>
      <c r="I1197" t="s">
        <v>4704</v>
      </c>
      <c r="J1197" s="10">
        <f t="shared" si="36"/>
        <v>25496</v>
      </c>
      <c r="K1197">
        <f t="shared" si="37"/>
        <v>53</v>
      </c>
    </row>
    <row r="1198" spans="1:11">
      <c r="A1198" t="s">
        <v>2284</v>
      </c>
      <c r="B1198">
        <v>1971</v>
      </c>
      <c r="C1198" t="s">
        <v>4700</v>
      </c>
      <c r="D1198">
        <v>9</v>
      </c>
      <c r="E1198">
        <v>0</v>
      </c>
      <c r="F1198" s="13">
        <v>9866.2999999999993</v>
      </c>
      <c r="G1198" t="s">
        <v>4697</v>
      </c>
      <c r="H1198" t="s">
        <v>4698</v>
      </c>
      <c r="I1198" t="s">
        <v>4714</v>
      </c>
      <c r="J1198" s="10">
        <f t="shared" si="36"/>
        <v>26246</v>
      </c>
      <c r="K1198">
        <f t="shared" si="37"/>
        <v>51</v>
      </c>
    </row>
    <row r="1199" spans="1:11">
      <c r="A1199" t="s">
        <v>2282</v>
      </c>
      <c r="B1199">
        <v>1969</v>
      </c>
      <c r="C1199" t="s">
        <v>4706</v>
      </c>
      <c r="D1199">
        <v>13</v>
      </c>
      <c r="E1199">
        <v>0</v>
      </c>
      <c r="F1199" s="13">
        <v>9869.81</v>
      </c>
      <c r="G1199" t="s">
        <v>4698</v>
      </c>
      <c r="H1199" t="s">
        <v>4698</v>
      </c>
      <c r="I1199" t="s">
        <v>4704</v>
      </c>
      <c r="J1199" s="10">
        <f t="shared" si="36"/>
        <v>25428</v>
      </c>
      <c r="K1199">
        <f t="shared" si="37"/>
        <v>53</v>
      </c>
    </row>
    <row r="1200" spans="1:11">
      <c r="A1200" t="s">
        <v>2280</v>
      </c>
      <c r="B1200">
        <v>1998</v>
      </c>
      <c r="C1200" t="s">
        <v>4696</v>
      </c>
      <c r="D1200">
        <v>6</v>
      </c>
      <c r="E1200">
        <v>0</v>
      </c>
      <c r="F1200" s="13">
        <v>9870.59</v>
      </c>
      <c r="G1200" t="s">
        <v>4697</v>
      </c>
      <c r="H1200" t="s">
        <v>4697</v>
      </c>
      <c r="I1200" t="s">
        <v>4715</v>
      </c>
      <c r="J1200" s="10">
        <f t="shared" si="36"/>
        <v>35982</v>
      </c>
      <c r="K1200">
        <f t="shared" si="37"/>
        <v>24</v>
      </c>
    </row>
    <row r="1201" spans="1:11">
      <c r="A1201" t="s">
        <v>2278</v>
      </c>
      <c r="B1201">
        <v>1971</v>
      </c>
      <c r="C1201" t="s">
        <v>4705</v>
      </c>
      <c r="D1201">
        <v>22</v>
      </c>
      <c r="E1201">
        <v>1</v>
      </c>
      <c r="F1201" s="13">
        <v>9872.7000000000007</v>
      </c>
      <c r="G1201" t="s">
        <v>4697</v>
      </c>
      <c r="H1201" t="s">
        <v>4697</v>
      </c>
      <c r="I1201" t="s">
        <v>4708</v>
      </c>
      <c r="J1201" s="10">
        <f t="shared" si="36"/>
        <v>26289</v>
      </c>
      <c r="K1201">
        <f t="shared" si="37"/>
        <v>51</v>
      </c>
    </row>
    <row r="1202" spans="1:11">
      <c r="A1202" t="s">
        <v>2276</v>
      </c>
      <c r="B1202">
        <v>1971</v>
      </c>
      <c r="C1202" t="s">
        <v>4696</v>
      </c>
      <c r="D1202">
        <v>3</v>
      </c>
      <c r="E1202">
        <v>0</v>
      </c>
      <c r="F1202" s="13">
        <v>9875.68</v>
      </c>
      <c r="G1202" t="s">
        <v>4697</v>
      </c>
      <c r="H1202" t="s">
        <v>4698</v>
      </c>
      <c r="I1202" t="s">
        <v>4714</v>
      </c>
      <c r="J1202" s="10">
        <f t="shared" si="36"/>
        <v>26117</v>
      </c>
      <c r="K1202">
        <f t="shared" si="37"/>
        <v>51</v>
      </c>
    </row>
    <row r="1203" spans="1:11">
      <c r="A1203" t="s">
        <v>2274</v>
      </c>
      <c r="B1203">
        <v>1971</v>
      </c>
      <c r="C1203" t="s">
        <v>4707</v>
      </c>
      <c r="D1203">
        <v>3</v>
      </c>
      <c r="E1203">
        <v>1</v>
      </c>
      <c r="F1203" s="13">
        <v>9877.61</v>
      </c>
      <c r="G1203" t="s">
        <v>4697</v>
      </c>
      <c r="H1203" t="s">
        <v>4701</v>
      </c>
      <c r="I1203" t="s">
        <v>4699</v>
      </c>
      <c r="J1203" s="10">
        <f t="shared" si="36"/>
        <v>26209</v>
      </c>
      <c r="K1203">
        <f t="shared" si="37"/>
        <v>51</v>
      </c>
    </row>
    <row r="1204" spans="1:11">
      <c r="A1204" t="s">
        <v>2272</v>
      </c>
      <c r="B1204">
        <v>1971</v>
      </c>
      <c r="C1204" t="s">
        <v>4700</v>
      </c>
      <c r="D1204">
        <v>8</v>
      </c>
      <c r="E1204">
        <v>1</v>
      </c>
      <c r="F1204" s="13">
        <v>9880.07</v>
      </c>
      <c r="G1204" t="s">
        <v>4697</v>
      </c>
      <c r="H1204" t="s">
        <v>4698</v>
      </c>
      <c r="I1204" t="s">
        <v>4708</v>
      </c>
      <c r="J1204" s="10">
        <f t="shared" si="36"/>
        <v>26245</v>
      </c>
      <c r="K1204">
        <f t="shared" si="37"/>
        <v>51</v>
      </c>
    </row>
    <row r="1205" spans="1:11">
      <c r="A1205" t="s">
        <v>2270</v>
      </c>
      <c r="B1205">
        <v>1966</v>
      </c>
      <c r="C1205" t="s">
        <v>4700</v>
      </c>
      <c r="D1205">
        <v>5</v>
      </c>
      <c r="E1205">
        <v>0</v>
      </c>
      <c r="F1205" s="13">
        <v>9890.23</v>
      </c>
      <c r="G1205" t="s">
        <v>4698</v>
      </c>
      <c r="H1205" t="s">
        <v>4698</v>
      </c>
      <c r="I1205" t="s">
        <v>4699</v>
      </c>
      <c r="J1205" s="10">
        <f t="shared" si="36"/>
        <v>24416</v>
      </c>
      <c r="K1205">
        <f t="shared" si="37"/>
        <v>56</v>
      </c>
    </row>
    <row r="1206" spans="1:11">
      <c r="A1206" t="s">
        <v>2268</v>
      </c>
      <c r="B1206">
        <v>1996</v>
      </c>
      <c r="C1206" t="s">
        <v>4696</v>
      </c>
      <c r="D1206">
        <v>8</v>
      </c>
      <c r="E1206">
        <v>0</v>
      </c>
      <c r="F1206" s="13">
        <v>9894.69</v>
      </c>
      <c r="G1206" t="s">
        <v>4697</v>
      </c>
      <c r="H1206" t="s">
        <v>4698</v>
      </c>
      <c r="I1206" t="s">
        <v>4704</v>
      </c>
      <c r="J1206" s="10">
        <f t="shared" si="36"/>
        <v>35254</v>
      </c>
      <c r="K1206">
        <f t="shared" si="37"/>
        <v>26</v>
      </c>
    </row>
    <row r="1207" spans="1:11">
      <c r="A1207" t="s">
        <v>2266</v>
      </c>
      <c r="B1207">
        <v>1962</v>
      </c>
      <c r="C1207" t="s">
        <v>4706</v>
      </c>
      <c r="D1207">
        <v>17</v>
      </c>
      <c r="E1207">
        <v>0</v>
      </c>
      <c r="F1207" s="13">
        <v>9907.83</v>
      </c>
      <c r="G1207" t="s">
        <v>4698</v>
      </c>
      <c r="H1207" t="s">
        <v>4697</v>
      </c>
      <c r="I1207" t="s">
        <v>4699</v>
      </c>
      <c r="J1207" s="10">
        <f t="shared" si="36"/>
        <v>22875</v>
      </c>
      <c r="K1207">
        <f t="shared" si="37"/>
        <v>60</v>
      </c>
    </row>
    <row r="1208" spans="1:11">
      <c r="A1208" t="s">
        <v>2264</v>
      </c>
      <c r="B1208">
        <v>1972</v>
      </c>
      <c r="C1208" t="s">
        <v>4703</v>
      </c>
      <c r="D1208">
        <v>14</v>
      </c>
      <c r="E1208">
        <v>1</v>
      </c>
      <c r="F1208" s="13">
        <v>9910.36</v>
      </c>
      <c r="G1208" t="s">
        <v>4697</v>
      </c>
      <c r="H1208" t="s">
        <v>4698</v>
      </c>
      <c r="I1208" t="s">
        <v>4704</v>
      </c>
      <c r="J1208" s="10">
        <f t="shared" si="36"/>
        <v>26556</v>
      </c>
      <c r="K1208">
        <f t="shared" si="37"/>
        <v>50</v>
      </c>
    </row>
    <row r="1209" spans="1:11">
      <c r="A1209" t="s">
        <v>2262</v>
      </c>
      <c r="B1209">
        <v>1985</v>
      </c>
      <c r="C1209" t="s">
        <v>4706</v>
      </c>
      <c r="D1209">
        <v>19</v>
      </c>
      <c r="E1209">
        <v>3</v>
      </c>
      <c r="F1209" s="13">
        <v>9930.64</v>
      </c>
      <c r="G1209" t="s">
        <v>4697</v>
      </c>
      <c r="H1209" t="s">
        <v>4698</v>
      </c>
      <c r="I1209" t="s">
        <v>4713</v>
      </c>
      <c r="J1209" s="10">
        <f t="shared" si="36"/>
        <v>31278</v>
      </c>
      <c r="K1209">
        <f t="shared" si="37"/>
        <v>37</v>
      </c>
    </row>
    <row r="1210" spans="1:11">
      <c r="A1210" t="s">
        <v>2260</v>
      </c>
      <c r="B1210">
        <v>1983</v>
      </c>
      <c r="C1210" t="s">
        <v>4705</v>
      </c>
      <c r="D1210">
        <v>3</v>
      </c>
      <c r="E1210">
        <v>3</v>
      </c>
      <c r="F1210" s="13">
        <v>9931.9599999999991</v>
      </c>
      <c r="G1210" t="s">
        <v>4697</v>
      </c>
      <c r="H1210" t="s">
        <v>4697</v>
      </c>
      <c r="I1210" t="s">
        <v>4704</v>
      </c>
      <c r="J1210" s="10">
        <f t="shared" si="36"/>
        <v>30653</v>
      </c>
      <c r="K1210">
        <f t="shared" si="37"/>
        <v>39</v>
      </c>
    </row>
    <row r="1211" spans="1:11">
      <c r="A1211" t="s">
        <v>2258</v>
      </c>
      <c r="B1211">
        <v>1964</v>
      </c>
      <c r="C1211" t="s">
        <v>4703</v>
      </c>
      <c r="D1211">
        <v>11</v>
      </c>
      <c r="E1211">
        <v>0</v>
      </c>
      <c r="F1211" s="13">
        <v>9933.44</v>
      </c>
      <c r="G1211" t="s">
        <v>4698</v>
      </c>
      <c r="H1211" t="s">
        <v>4698</v>
      </c>
      <c r="I1211" t="s">
        <v>4699</v>
      </c>
      <c r="J1211" s="10">
        <f t="shared" si="36"/>
        <v>23631</v>
      </c>
      <c r="K1211">
        <f t="shared" si="37"/>
        <v>58</v>
      </c>
    </row>
    <row r="1212" spans="1:11">
      <c r="A1212" t="s">
        <v>2256</v>
      </c>
      <c r="B1212">
        <v>1971</v>
      </c>
      <c r="C1212" t="s">
        <v>4705</v>
      </c>
      <c r="D1212">
        <v>26</v>
      </c>
      <c r="E1212">
        <v>1</v>
      </c>
      <c r="F1212" s="13">
        <v>9957.7199999999993</v>
      </c>
      <c r="G1212" t="s">
        <v>4697</v>
      </c>
      <c r="H1212" t="s">
        <v>4698</v>
      </c>
      <c r="I1212" t="s">
        <v>4712</v>
      </c>
      <c r="J1212" s="10">
        <f t="shared" si="36"/>
        <v>26293</v>
      </c>
      <c r="K1212">
        <f t="shared" si="37"/>
        <v>51</v>
      </c>
    </row>
    <row r="1213" spans="1:11">
      <c r="A1213" t="s">
        <v>2254</v>
      </c>
      <c r="B1213">
        <v>1971</v>
      </c>
      <c r="C1213" t="s">
        <v>4707</v>
      </c>
      <c r="D1213">
        <v>6</v>
      </c>
      <c r="E1213">
        <v>1</v>
      </c>
      <c r="F1213" s="13">
        <v>9964.06</v>
      </c>
      <c r="G1213" t="s">
        <v>4697</v>
      </c>
      <c r="H1213" t="s">
        <v>4697</v>
      </c>
      <c r="I1213" t="s">
        <v>4710</v>
      </c>
      <c r="J1213" s="10">
        <f t="shared" si="36"/>
        <v>26212</v>
      </c>
      <c r="K1213">
        <f t="shared" si="37"/>
        <v>51</v>
      </c>
    </row>
    <row r="1214" spans="1:11">
      <c r="A1214" t="s">
        <v>2252</v>
      </c>
      <c r="B1214">
        <v>1970</v>
      </c>
      <c r="C1214" t="s">
        <v>4706</v>
      </c>
      <c r="D1214">
        <v>11</v>
      </c>
      <c r="E1214">
        <v>0</v>
      </c>
      <c r="F1214" s="13">
        <v>9991.0400000000009</v>
      </c>
      <c r="G1214" t="s">
        <v>4697</v>
      </c>
      <c r="H1214" t="s">
        <v>4698</v>
      </c>
      <c r="I1214" t="s">
        <v>4704</v>
      </c>
      <c r="J1214" s="10">
        <f t="shared" si="36"/>
        <v>25791</v>
      </c>
      <c r="K1214">
        <f t="shared" si="37"/>
        <v>52</v>
      </c>
    </row>
    <row r="1215" spans="1:11">
      <c r="A1215" t="s">
        <v>2250</v>
      </c>
      <c r="B1215">
        <v>1988</v>
      </c>
      <c r="C1215" t="s">
        <v>4696</v>
      </c>
      <c r="D1215">
        <v>3</v>
      </c>
      <c r="E1215">
        <v>3</v>
      </c>
      <c r="F1215" s="13">
        <v>10011.44</v>
      </c>
      <c r="G1215" t="s">
        <v>4698</v>
      </c>
      <c r="H1215" t="s">
        <v>4698</v>
      </c>
      <c r="I1215" t="s">
        <v>4720</v>
      </c>
      <c r="J1215" s="10">
        <f t="shared" si="36"/>
        <v>32327</v>
      </c>
      <c r="K1215">
        <f t="shared" si="37"/>
        <v>34</v>
      </c>
    </row>
    <row r="1216" spans="1:11">
      <c r="A1216" t="s">
        <v>2248</v>
      </c>
      <c r="B1216">
        <v>1979</v>
      </c>
      <c r="C1216" t="s">
        <v>4705</v>
      </c>
      <c r="D1216">
        <v>28</v>
      </c>
      <c r="E1216">
        <v>2</v>
      </c>
      <c r="F1216" s="13">
        <v>10027.15</v>
      </c>
      <c r="G1216" t="s">
        <v>4698</v>
      </c>
      <c r="H1216" t="s">
        <v>4701</v>
      </c>
      <c r="I1216" t="s">
        <v>4717</v>
      </c>
      <c r="J1216" s="10">
        <f t="shared" si="36"/>
        <v>29217</v>
      </c>
      <c r="K1216">
        <f t="shared" si="37"/>
        <v>43</v>
      </c>
    </row>
    <row r="1217" spans="1:11">
      <c r="A1217" t="s">
        <v>2246</v>
      </c>
      <c r="B1217">
        <v>1974</v>
      </c>
      <c r="C1217" t="s">
        <v>4706</v>
      </c>
      <c r="D1217">
        <v>30</v>
      </c>
      <c r="E1217">
        <v>2</v>
      </c>
      <c r="F1217" s="13">
        <v>10043.25</v>
      </c>
      <c r="G1217" t="s">
        <v>4698</v>
      </c>
      <c r="H1217" t="s">
        <v>4697</v>
      </c>
      <c r="I1217" t="s">
        <v>4714</v>
      </c>
      <c r="J1217" s="10">
        <f t="shared" si="36"/>
        <v>27271</v>
      </c>
      <c r="K1217">
        <f t="shared" si="37"/>
        <v>48</v>
      </c>
    </row>
    <row r="1218" spans="1:11">
      <c r="A1218" t="s">
        <v>2244</v>
      </c>
      <c r="B1218">
        <v>1969</v>
      </c>
      <c r="C1218" t="s">
        <v>4706</v>
      </c>
      <c r="D1218">
        <v>22</v>
      </c>
      <c r="E1218">
        <v>1</v>
      </c>
      <c r="F1218" s="13">
        <v>10065.41</v>
      </c>
      <c r="G1218" t="s">
        <v>4698</v>
      </c>
      <c r="H1218" t="s">
        <v>4697</v>
      </c>
      <c r="I1218" t="s">
        <v>4708</v>
      </c>
      <c r="J1218" s="10">
        <f t="shared" ref="J1218:J1281" si="38">DATEVALUE(D1218&amp;"-"&amp;C1218&amp;"-"&amp;B1218)</f>
        <v>25437</v>
      </c>
      <c r="K1218">
        <f t="shared" si="37"/>
        <v>53</v>
      </c>
    </row>
    <row r="1219" spans="1:11">
      <c r="A1219" t="s">
        <v>2242</v>
      </c>
      <c r="B1219">
        <v>1969</v>
      </c>
      <c r="C1219" t="s">
        <v>4707</v>
      </c>
      <c r="D1219">
        <v>27</v>
      </c>
      <c r="E1219">
        <v>0</v>
      </c>
      <c r="F1219" s="13">
        <v>10072.06</v>
      </c>
      <c r="G1219" t="s">
        <v>4698</v>
      </c>
      <c r="H1219" t="s">
        <v>4701</v>
      </c>
      <c r="I1219" t="s">
        <v>4718</v>
      </c>
      <c r="J1219" s="10">
        <f t="shared" si="38"/>
        <v>25503</v>
      </c>
      <c r="K1219">
        <f t="shared" ref="K1219:K1282" si="39">DATEDIF(J1219, DATE(2023, 6, 8), "Y")</f>
        <v>53</v>
      </c>
    </row>
    <row r="1220" spans="1:11">
      <c r="A1220" t="s">
        <v>2240</v>
      </c>
      <c r="B1220">
        <v>1969</v>
      </c>
      <c r="C1220" t="s">
        <v>4696</v>
      </c>
      <c r="D1220">
        <v>3</v>
      </c>
      <c r="E1220">
        <v>1</v>
      </c>
      <c r="F1220" s="13">
        <v>10085.85</v>
      </c>
      <c r="G1220" t="s">
        <v>4698</v>
      </c>
      <c r="H1220" t="s">
        <v>4698</v>
      </c>
      <c r="I1220" t="s">
        <v>4708</v>
      </c>
      <c r="J1220" s="10">
        <f t="shared" si="38"/>
        <v>25387</v>
      </c>
      <c r="K1220">
        <f t="shared" si="39"/>
        <v>53</v>
      </c>
    </row>
    <row r="1221" spans="1:11">
      <c r="A1221" t="s">
        <v>2238</v>
      </c>
      <c r="B1221">
        <v>1976</v>
      </c>
      <c r="C1221" t="s">
        <v>4705</v>
      </c>
      <c r="D1221">
        <v>19</v>
      </c>
      <c r="E1221">
        <v>5</v>
      </c>
      <c r="F1221" s="13">
        <v>10096.969999999999</v>
      </c>
      <c r="G1221" t="s">
        <v>4698</v>
      </c>
      <c r="H1221" t="s">
        <v>4697</v>
      </c>
      <c r="I1221" t="s">
        <v>4708</v>
      </c>
      <c r="J1221" s="10">
        <f t="shared" si="38"/>
        <v>28113</v>
      </c>
      <c r="K1221">
        <f t="shared" si="39"/>
        <v>46</v>
      </c>
    </row>
    <row r="1222" spans="1:11">
      <c r="A1222" t="s">
        <v>2236</v>
      </c>
      <c r="B1222">
        <v>1972</v>
      </c>
      <c r="C1222" t="s">
        <v>4707</v>
      </c>
      <c r="D1222">
        <v>19</v>
      </c>
      <c r="E1222">
        <v>1</v>
      </c>
      <c r="F1222" s="13">
        <v>10106.129999999999</v>
      </c>
      <c r="G1222" t="s">
        <v>4698</v>
      </c>
      <c r="H1222" t="s">
        <v>4701</v>
      </c>
      <c r="I1222" t="s">
        <v>4714</v>
      </c>
      <c r="J1222" s="10">
        <f t="shared" si="38"/>
        <v>26591</v>
      </c>
      <c r="K1222">
        <f t="shared" si="39"/>
        <v>50</v>
      </c>
    </row>
    <row r="1223" spans="1:11">
      <c r="A1223" t="s">
        <v>2234</v>
      </c>
      <c r="B1223">
        <v>1972</v>
      </c>
      <c r="C1223" t="s">
        <v>4706</v>
      </c>
      <c r="D1223">
        <v>8</v>
      </c>
      <c r="E1223">
        <v>2</v>
      </c>
      <c r="F1223" s="13">
        <v>10107.219999999999</v>
      </c>
      <c r="G1223" t="s">
        <v>4698</v>
      </c>
      <c r="H1223" t="s">
        <v>4701</v>
      </c>
      <c r="I1223" t="s">
        <v>4699</v>
      </c>
      <c r="J1223" s="10">
        <f t="shared" si="38"/>
        <v>26519</v>
      </c>
      <c r="K1223">
        <f t="shared" si="39"/>
        <v>50</v>
      </c>
    </row>
    <row r="1224" spans="1:11">
      <c r="A1224" t="s">
        <v>2232</v>
      </c>
      <c r="B1224">
        <v>1975</v>
      </c>
      <c r="C1224" t="s">
        <v>4696</v>
      </c>
      <c r="D1224">
        <v>2</v>
      </c>
      <c r="E1224">
        <v>3</v>
      </c>
      <c r="F1224" s="13">
        <v>10115.01</v>
      </c>
      <c r="G1224" t="s">
        <v>4698</v>
      </c>
      <c r="H1224" t="s">
        <v>4698</v>
      </c>
      <c r="I1224" t="s">
        <v>4704</v>
      </c>
      <c r="J1224" s="10">
        <f t="shared" si="38"/>
        <v>27577</v>
      </c>
      <c r="K1224">
        <f t="shared" si="39"/>
        <v>47</v>
      </c>
    </row>
    <row r="1225" spans="1:11">
      <c r="A1225" t="s">
        <v>2230</v>
      </c>
      <c r="B1225">
        <v>1972</v>
      </c>
      <c r="C1225" t="s">
        <v>4700</v>
      </c>
      <c r="D1225">
        <v>16</v>
      </c>
      <c r="E1225">
        <v>2</v>
      </c>
      <c r="F1225" s="13">
        <v>10118.42</v>
      </c>
      <c r="G1225" t="s">
        <v>4698</v>
      </c>
      <c r="H1225" t="s">
        <v>4698</v>
      </c>
      <c r="I1225" t="s">
        <v>4708</v>
      </c>
      <c r="J1225" s="10">
        <f t="shared" si="38"/>
        <v>26619</v>
      </c>
      <c r="K1225">
        <f t="shared" si="39"/>
        <v>50</v>
      </c>
    </row>
    <row r="1226" spans="1:11">
      <c r="A1226" t="s">
        <v>2228</v>
      </c>
      <c r="B1226">
        <v>1997</v>
      </c>
      <c r="C1226" t="s">
        <v>4703</v>
      </c>
      <c r="D1226">
        <v>5</v>
      </c>
      <c r="E1226">
        <v>0</v>
      </c>
      <c r="F1226" s="13">
        <v>10139.84</v>
      </c>
      <c r="G1226" t="s">
        <v>4698</v>
      </c>
      <c r="H1226" t="s">
        <v>4697</v>
      </c>
      <c r="I1226" t="s">
        <v>4704</v>
      </c>
      <c r="J1226" s="10">
        <f t="shared" si="38"/>
        <v>35678</v>
      </c>
      <c r="K1226">
        <f t="shared" si="39"/>
        <v>25</v>
      </c>
    </row>
    <row r="1227" spans="1:11">
      <c r="A1227" t="s">
        <v>2226</v>
      </c>
      <c r="B1227">
        <v>1974</v>
      </c>
      <c r="C1227" t="s">
        <v>4705</v>
      </c>
      <c r="D1227">
        <v>30</v>
      </c>
      <c r="E1227">
        <v>3</v>
      </c>
      <c r="F1227" s="13">
        <v>10141.14</v>
      </c>
      <c r="G1227" t="s">
        <v>4698</v>
      </c>
      <c r="H1227" t="s">
        <v>4701</v>
      </c>
      <c r="I1227" t="s">
        <v>4711</v>
      </c>
      <c r="J1227" s="10">
        <f t="shared" si="38"/>
        <v>27393</v>
      </c>
      <c r="K1227">
        <f t="shared" si="39"/>
        <v>48</v>
      </c>
    </row>
    <row r="1228" spans="1:11">
      <c r="A1228" t="s">
        <v>2224</v>
      </c>
      <c r="B1228">
        <v>1981</v>
      </c>
      <c r="C1228" t="s">
        <v>4702</v>
      </c>
      <c r="D1228">
        <v>12</v>
      </c>
      <c r="E1228">
        <v>1</v>
      </c>
      <c r="F1228" s="13">
        <v>10146.129999999999</v>
      </c>
      <c r="G1228" t="s">
        <v>4698</v>
      </c>
      <c r="H1228" t="s">
        <v>4701</v>
      </c>
      <c r="I1228" t="s">
        <v>4713</v>
      </c>
      <c r="J1228" s="10">
        <f t="shared" si="38"/>
        <v>29749</v>
      </c>
      <c r="K1228">
        <f t="shared" si="39"/>
        <v>41</v>
      </c>
    </row>
    <row r="1229" spans="1:11">
      <c r="A1229" t="s">
        <v>2222</v>
      </c>
      <c r="B1229">
        <v>1973</v>
      </c>
      <c r="C1229" t="s">
        <v>4707</v>
      </c>
      <c r="D1229">
        <v>13</v>
      </c>
      <c r="E1229">
        <v>2</v>
      </c>
      <c r="F1229" s="13">
        <v>10156.780000000001</v>
      </c>
      <c r="G1229" t="s">
        <v>4698</v>
      </c>
      <c r="H1229" t="s">
        <v>4697</v>
      </c>
      <c r="I1229" t="s">
        <v>4704</v>
      </c>
      <c r="J1229" s="10">
        <f t="shared" si="38"/>
        <v>26950</v>
      </c>
      <c r="K1229">
        <f t="shared" si="39"/>
        <v>49</v>
      </c>
    </row>
    <row r="1230" spans="1:11">
      <c r="A1230" t="s">
        <v>2220</v>
      </c>
      <c r="B1230">
        <v>1972</v>
      </c>
      <c r="C1230" t="s">
        <v>4696</v>
      </c>
      <c r="D1230">
        <v>10</v>
      </c>
      <c r="E1230">
        <v>0</v>
      </c>
      <c r="F1230" s="13">
        <v>10160.870000000001</v>
      </c>
      <c r="G1230" t="s">
        <v>4698</v>
      </c>
      <c r="H1230" t="s">
        <v>4698</v>
      </c>
      <c r="I1230" t="s">
        <v>4713</v>
      </c>
      <c r="J1230" s="10">
        <f t="shared" si="38"/>
        <v>26490</v>
      </c>
      <c r="K1230">
        <f t="shared" si="39"/>
        <v>50</v>
      </c>
    </row>
    <row r="1231" spans="1:11">
      <c r="A1231" t="s">
        <v>2218</v>
      </c>
      <c r="B1231">
        <v>1985</v>
      </c>
      <c r="C1231" t="s">
        <v>4707</v>
      </c>
      <c r="D1231">
        <v>16</v>
      </c>
      <c r="E1231">
        <v>3</v>
      </c>
      <c r="F1231" s="13">
        <v>10191.82</v>
      </c>
      <c r="G1231" t="s">
        <v>4698</v>
      </c>
      <c r="H1231" t="s">
        <v>4697</v>
      </c>
      <c r="I1231" t="s">
        <v>4720</v>
      </c>
      <c r="J1231" s="10">
        <f t="shared" si="38"/>
        <v>31336</v>
      </c>
      <c r="K1231">
        <f t="shared" si="39"/>
        <v>37</v>
      </c>
    </row>
    <row r="1232" spans="1:11">
      <c r="A1232" t="s">
        <v>2216</v>
      </c>
      <c r="B1232">
        <v>1970</v>
      </c>
      <c r="C1232" t="s">
        <v>4705</v>
      </c>
      <c r="D1232">
        <v>24</v>
      </c>
      <c r="E1232">
        <v>0</v>
      </c>
      <c r="F1232" s="13">
        <v>10197.77</v>
      </c>
      <c r="G1232" t="s">
        <v>4698</v>
      </c>
      <c r="H1232" t="s">
        <v>4701</v>
      </c>
      <c r="I1232" t="s">
        <v>4714</v>
      </c>
      <c r="J1232" s="10">
        <f t="shared" si="38"/>
        <v>25926</v>
      </c>
      <c r="K1232">
        <f t="shared" si="39"/>
        <v>52</v>
      </c>
    </row>
    <row r="1233" spans="1:11">
      <c r="A1233" t="s">
        <v>2214</v>
      </c>
      <c r="B1233">
        <v>1967</v>
      </c>
      <c r="C1233" t="s">
        <v>4703</v>
      </c>
      <c r="D1233">
        <v>26</v>
      </c>
      <c r="E1233">
        <v>0</v>
      </c>
      <c r="F1233" s="13">
        <v>10214.64</v>
      </c>
      <c r="G1233" t="s">
        <v>4698</v>
      </c>
      <c r="H1233" t="s">
        <v>4697</v>
      </c>
      <c r="I1233" t="s">
        <v>4708</v>
      </c>
      <c r="J1233" s="10">
        <f t="shared" si="38"/>
        <v>24741</v>
      </c>
      <c r="K1233">
        <f t="shared" si="39"/>
        <v>55</v>
      </c>
    </row>
    <row r="1234" spans="1:11">
      <c r="A1234" t="s">
        <v>2212</v>
      </c>
      <c r="B1234">
        <v>1967</v>
      </c>
      <c r="C1234" t="s">
        <v>4702</v>
      </c>
      <c r="D1234">
        <v>28</v>
      </c>
      <c r="E1234">
        <v>0</v>
      </c>
      <c r="F1234" s="13">
        <v>10226.280000000001</v>
      </c>
      <c r="G1234" t="s">
        <v>4698</v>
      </c>
      <c r="H1234" t="s">
        <v>4698</v>
      </c>
      <c r="I1234" t="s">
        <v>4699</v>
      </c>
      <c r="J1234" s="10">
        <f t="shared" si="38"/>
        <v>24651</v>
      </c>
      <c r="K1234">
        <f t="shared" si="39"/>
        <v>55</v>
      </c>
    </row>
    <row r="1235" spans="1:11">
      <c r="A1235" t="s">
        <v>2210</v>
      </c>
      <c r="B1235">
        <v>1968</v>
      </c>
      <c r="C1235" t="s">
        <v>4703</v>
      </c>
      <c r="D1235">
        <v>23</v>
      </c>
      <c r="E1235">
        <v>0</v>
      </c>
      <c r="F1235" s="13">
        <v>10231.5</v>
      </c>
      <c r="G1235" t="s">
        <v>4698</v>
      </c>
      <c r="H1235" t="s">
        <v>4701</v>
      </c>
      <c r="I1235" t="s">
        <v>4704</v>
      </c>
      <c r="J1235" s="10">
        <f t="shared" si="38"/>
        <v>25104</v>
      </c>
      <c r="K1235">
        <f t="shared" si="39"/>
        <v>54</v>
      </c>
    </row>
    <row r="1236" spans="1:11">
      <c r="A1236" t="s">
        <v>2208</v>
      </c>
      <c r="B1236">
        <v>1975</v>
      </c>
      <c r="C1236" t="s">
        <v>4706</v>
      </c>
      <c r="D1236">
        <v>15</v>
      </c>
      <c r="E1236">
        <v>1</v>
      </c>
      <c r="F1236" s="13">
        <v>10259.129999999999</v>
      </c>
      <c r="G1236" t="s">
        <v>4698</v>
      </c>
      <c r="H1236" t="s">
        <v>4697</v>
      </c>
      <c r="I1236" t="s">
        <v>4708</v>
      </c>
      <c r="J1236" s="10">
        <f t="shared" si="38"/>
        <v>27621</v>
      </c>
      <c r="K1236">
        <f t="shared" si="39"/>
        <v>47</v>
      </c>
    </row>
    <row r="1237" spans="1:11">
      <c r="A1237" t="s">
        <v>2206</v>
      </c>
      <c r="B1237">
        <v>1973</v>
      </c>
      <c r="C1237" t="s">
        <v>4703</v>
      </c>
      <c r="D1237">
        <v>5</v>
      </c>
      <c r="E1237">
        <v>3</v>
      </c>
      <c r="F1237" s="13">
        <v>10264.44</v>
      </c>
      <c r="G1237" t="s">
        <v>4698</v>
      </c>
      <c r="H1237" t="s">
        <v>4697</v>
      </c>
      <c r="I1237" t="s">
        <v>4704</v>
      </c>
      <c r="J1237" s="10">
        <f t="shared" si="38"/>
        <v>26912</v>
      </c>
      <c r="K1237">
        <f t="shared" si="39"/>
        <v>49</v>
      </c>
    </row>
    <row r="1238" spans="1:11">
      <c r="A1238" t="s">
        <v>2204</v>
      </c>
      <c r="B1238">
        <v>1973</v>
      </c>
      <c r="C1238" t="s">
        <v>4700</v>
      </c>
      <c r="D1238">
        <v>27</v>
      </c>
      <c r="E1238">
        <v>3</v>
      </c>
      <c r="F1238" s="13">
        <v>10269.459999999999</v>
      </c>
      <c r="G1238" t="s">
        <v>4698</v>
      </c>
      <c r="H1238" t="s">
        <v>4698</v>
      </c>
      <c r="I1238" t="s">
        <v>4704</v>
      </c>
      <c r="J1238" s="10">
        <f t="shared" si="38"/>
        <v>26995</v>
      </c>
      <c r="K1238">
        <f t="shared" si="39"/>
        <v>49</v>
      </c>
    </row>
    <row r="1239" spans="1:11">
      <c r="A1239" t="s">
        <v>2202</v>
      </c>
      <c r="B1239">
        <v>1970</v>
      </c>
      <c r="C1239" t="s">
        <v>4702</v>
      </c>
      <c r="D1239">
        <v>21</v>
      </c>
      <c r="E1239">
        <v>0</v>
      </c>
      <c r="F1239" s="13">
        <v>10274.33</v>
      </c>
      <c r="G1239" t="s">
        <v>4698</v>
      </c>
      <c r="H1239" t="s">
        <v>4701</v>
      </c>
      <c r="I1239" t="s">
        <v>4714</v>
      </c>
      <c r="J1239" s="10">
        <f t="shared" si="38"/>
        <v>25740</v>
      </c>
      <c r="K1239">
        <f t="shared" si="39"/>
        <v>52</v>
      </c>
    </row>
    <row r="1240" spans="1:11">
      <c r="A1240" t="s">
        <v>2200</v>
      </c>
      <c r="B1240">
        <v>1988</v>
      </c>
      <c r="C1240" t="s">
        <v>4703</v>
      </c>
      <c r="D1240">
        <v>14</v>
      </c>
      <c r="E1240">
        <v>3</v>
      </c>
      <c r="F1240" s="13">
        <v>10276.99</v>
      </c>
      <c r="G1240" t="s">
        <v>4698</v>
      </c>
      <c r="H1240" t="s">
        <v>4701</v>
      </c>
      <c r="I1240" t="s">
        <v>4717</v>
      </c>
      <c r="J1240" s="10">
        <f t="shared" si="38"/>
        <v>32400</v>
      </c>
      <c r="K1240">
        <f t="shared" si="39"/>
        <v>34</v>
      </c>
    </row>
    <row r="1241" spans="1:11">
      <c r="A1241" t="s">
        <v>2198</v>
      </c>
      <c r="B1241">
        <v>1963</v>
      </c>
      <c r="C1241" t="s">
        <v>4703</v>
      </c>
      <c r="D1241">
        <v>24</v>
      </c>
      <c r="E1241">
        <v>0</v>
      </c>
      <c r="F1241" s="13">
        <v>10308.040000000001</v>
      </c>
      <c r="G1241" t="s">
        <v>4698</v>
      </c>
      <c r="H1241" t="s">
        <v>4701</v>
      </c>
      <c r="I1241" t="s">
        <v>4699</v>
      </c>
      <c r="J1241" s="10">
        <f t="shared" si="38"/>
        <v>23278</v>
      </c>
      <c r="K1241">
        <f t="shared" si="39"/>
        <v>59</v>
      </c>
    </row>
    <row r="1242" spans="1:11">
      <c r="A1242" t="s">
        <v>2196</v>
      </c>
      <c r="B1242">
        <v>1962</v>
      </c>
      <c r="C1242" t="s">
        <v>4696</v>
      </c>
      <c r="D1242">
        <v>12</v>
      </c>
      <c r="E1242">
        <v>0</v>
      </c>
      <c r="F1242" s="13">
        <v>10310.780000000001</v>
      </c>
      <c r="G1242" t="s">
        <v>4698</v>
      </c>
      <c r="H1242" t="s">
        <v>4698</v>
      </c>
      <c r="I1242" t="s">
        <v>4704</v>
      </c>
      <c r="J1242" s="10">
        <f t="shared" si="38"/>
        <v>22839</v>
      </c>
      <c r="K1242">
        <f t="shared" si="39"/>
        <v>60</v>
      </c>
    </row>
    <row r="1243" spans="1:11">
      <c r="A1243" t="s">
        <v>2194</v>
      </c>
      <c r="B1243">
        <v>1991</v>
      </c>
      <c r="C1243" t="s">
        <v>4700</v>
      </c>
      <c r="D1243">
        <v>17</v>
      </c>
      <c r="E1243">
        <v>3</v>
      </c>
      <c r="F1243" s="13">
        <v>10315.91</v>
      </c>
      <c r="G1243" t="s">
        <v>4698</v>
      </c>
      <c r="H1243" t="s">
        <v>4697</v>
      </c>
      <c r="I1243" t="s">
        <v>4704</v>
      </c>
      <c r="J1243" s="10">
        <f t="shared" si="38"/>
        <v>33559</v>
      </c>
      <c r="K1243">
        <f t="shared" si="39"/>
        <v>31</v>
      </c>
    </row>
    <row r="1244" spans="1:11">
      <c r="A1244" t="s">
        <v>2192</v>
      </c>
      <c r="B1244">
        <v>1991</v>
      </c>
      <c r="C1244" t="s">
        <v>4706</v>
      </c>
      <c r="D1244">
        <v>21</v>
      </c>
      <c r="E1244">
        <v>3</v>
      </c>
      <c r="F1244" s="13">
        <v>10322.9</v>
      </c>
      <c r="G1244" t="s">
        <v>4698</v>
      </c>
      <c r="H1244" t="s">
        <v>4701</v>
      </c>
      <c r="I1244" t="s">
        <v>4720</v>
      </c>
      <c r="J1244" s="10">
        <f t="shared" si="38"/>
        <v>33471</v>
      </c>
      <c r="K1244">
        <f t="shared" si="39"/>
        <v>31</v>
      </c>
    </row>
    <row r="1245" spans="1:11">
      <c r="A1245" t="s">
        <v>2190</v>
      </c>
      <c r="B1245">
        <v>1970</v>
      </c>
      <c r="C1245" t="s">
        <v>4705</v>
      </c>
      <c r="D1245">
        <v>1</v>
      </c>
      <c r="E1245">
        <v>2</v>
      </c>
      <c r="F1245" s="13">
        <v>10325.209999999999</v>
      </c>
      <c r="G1245" t="s">
        <v>4698</v>
      </c>
      <c r="H1245" t="s">
        <v>4698</v>
      </c>
      <c r="I1245" t="s">
        <v>4708</v>
      </c>
      <c r="J1245" s="10">
        <f t="shared" si="38"/>
        <v>25903</v>
      </c>
      <c r="K1245">
        <f t="shared" si="39"/>
        <v>52</v>
      </c>
    </row>
    <row r="1246" spans="1:11">
      <c r="A1246" t="s">
        <v>2188</v>
      </c>
      <c r="B1246">
        <v>1982</v>
      </c>
      <c r="C1246" t="s">
        <v>4696</v>
      </c>
      <c r="D1246">
        <v>21</v>
      </c>
      <c r="E1246">
        <v>3</v>
      </c>
      <c r="F1246" s="13">
        <v>10329.06</v>
      </c>
      <c r="G1246" t="s">
        <v>4698</v>
      </c>
      <c r="H1246" t="s">
        <v>4701</v>
      </c>
      <c r="I1246" t="s">
        <v>4717</v>
      </c>
      <c r="J1246" s="10">
        <f t="shared" si="38"/>
        <v>30153</v>
      </c>
      <c r="K1246">
        <f t="shared" si="39"/>
        <v>40</v>
      </c>
    </row>
    <row r="1247" spans="1:11">
      <c r="A1247" t="s">
        <v>2186</v>
      </c>
      <c r="B1247">
        <v>1968</v>
      </c>
      <c r="C1247" t="s">
        <v>4696</v>
      </c>
      <c r="D1247">
        <v>19</v>
      </c>
      <c r="E1247">
        <v>0</v>
      </c>
      <c r="F1247" s="13">
        <v>10338.93</v>
      </c>
      <c r="G1247" t="s">
        <v>4698</v>
      </c>
      <c r="H1247" t="s">
        <v>4701</v>
      </c>
      <c r="I1247" t="s">
        <v>4699</v>
      </c>
      <c r="J1247" s="10">
        <f t="shared" si="38"/>
        <v>25038</v>
      </c>
      <c r="K1247">
        <f t="shared" si="39"/>
        <v>54</v>
      </c>
    </row>
    <row r="1248" spans="1:11">
      <c r="A1248" t="s">
        <v>2184</v>
      </c>
      <c r="B1248">
        <v>1973</v>
      </c>
      <c r="C1248" t="s">
        <v>4706</v>
      </c>
      <c r="D1248">
        <v>8</v>
      </c>
      <c r="E1248">
        <v>0</v>
      </c>
      <c r="F1248" s="13">
        <v>10345.93</v>
      </c>
      <c r="G1248" t="s">
        <v>4698</v>
      </c>
      <c r="H1248" t="s">
        <v>4697</v>
      </c>
      <c r="I1248" t="s">
        <v>4717</v>
      </c>
      <c r="J1248" s="10">
        <f t="shared" si="38"/>
        <v>26884</v>
      </c>
      <c r="K1248">
        <f t="shared" si="39"/>
        <v>49</v>
      </c>
    </row>
    <row r="1249" spans="1:11">
      <c r="A1249" t="s">
        <v>2182</v>
      </c>
      <c r="B1249">
        <v>1974</v>
      </c>
      <c r="C1249" t="s">
        <v>4703</v>
      </c>
      <c r="D1249">
        <v>29</v>
      </c>
      <c r="E1249">
        <v>0</v>
      </c>
      <c r="F1249" s="13">
        <v>10352.48</v>
      </c>
      <c r="G1249" t="s">
        <v>4698</v>
      </c>
      <c r="H1249" t="s">
        <v>4701</v>
      </c>
      <c r="I1249" t="s">
        <v>4704</v>
      </c>
      <c r="J1249" s="10">
        <f t="shared" si="38"/>
        <v>27301</v>
      </c>
      <c r="K1249">
        <f t="shared" si="39"/>
        <v>48</v>
      </c>
    </row>
    <row r="1250" spans="1:11">
      <c r="A1250" t="s">
        <v>2180</v>
      </c>
      <c r="B1250">
        <v>1969</v>
      </c>
      <c r="C1250" t="s">
        <v>4702</v>
      </c>
      <c r="D1250">
        <v>17</v>
      </c>
      <c r="E1250">
        <v>0</v>
      </c>
      <c r="F1250" s="13">
        <v>10355.64</v>
      </c>
      <c r="G1250" t="s">
        <v>4698</v>
      </c>
      <c r="H1250" t="s">
        <v>4701</v>
      </c>
      <c r="I1250" t="s">
        <v>4704</v>
      </c>
      <c r="J1250" s="10">
        <f t="shared" si="38"/>
        <v>25371</v>
      </c>
      <c r="K1250">
        <f t="shared" si="39"/>
        <v>53</v>
      </c>
    </row>
    <row r="1251" spans="1:11">
      <c r="A1251" t="s">
        <v>2178</v>
      </c>
      <c r="B1251">
        <v>1971</v>
      </c>
      <c r="C1251" t="s">
        <v>4703</v>
      </c>
      <c r="D1251">
        <v>6</v>
      </c>
      <c r="E1251">
        <v>0</v>
      </c>
      <c r="F1251" s="13">
        <v>10356.67</v>
      </c>
      <c r="G1251" t="s">
        <v>4698</v>
      </c>
      <c r="H1251" t="s">
        <v>4701</v>
      </c>
      <c r="I1251" t="s">
        <v>4713</v>
      </c>
      <c r="J1251" s="10">
        <f t="shared" si="38"/>
        <v>26182</v>
      </c>
      <c r="K1251">
        <f t="shared" si="39"/>
        <v>51</v>
      </c>
    </row>
    <row r="1252" spans="1:11">
      <c r="A1252" t="s">
        <v>2176</v>
      </c>
      <c r="B1252">
        <v>1973</v>
      </c>
      <c r="C1252" t="s">
        <v>4703</v>
      </c>
      <c r="D1252">
        <v>29</v>
      </c>
      <c r="E1252">
        <v>2</v>
      </c>
      <c r="F1252" s="13">
        <v>10370.91</v>
      </c>
      <c r="G1252" t="s">
        <v>4698</v>
      </c>
      <c r="H1252" t="s">
        <v>4698</v>
      </c>
      <c r="I1252" t="s">
        <v>4714</v>
      </c>
      <c r="J1252" s="10">
        <f t="shared" si="38"/>
        <v>26936</v>
      </c>
      <c r="K1252">
        <f t="shared" si="39"/>
        <v>49</v>
      </c>
    </row>
    <row r="1253" spans="1:11">
      <c r="A1253" t="s">
        <v>2174</v>
      </c>
      <c r="B1253">
        <v>1973</v>
      </c>
      <c r="C1253" t="s">
        <v>4703</v>
      </c>
      <c r="D1253">
        <v>19</v>
      </c>
      <c r="E1253">
        <v>3</v>
      </c>
      <c r="F1253" s="13">
        <v>10381.48</v>
      </c>
      <c r="G1253" t="s">
        <v>4698</v>
      </c>
      <c r="H1253" t="s">
        <v>4698</v>
      </c>
      <c r="I1253" t="s">
        <v>4699</v>
      </c>
      <c r="J1253" s="10">
        <f t="shared" si="38"/>
        <v>26926</v>
      </c>
      <c r="K1253">
        <f t="shared" si="39"/>
        <v>49</v>
      </c>
    </row>
    <row r="1254" spans="1:11">
      <c r="A1254" t="s">
        <v>2172</v>
      </c>
      <c r="B1254">
        <v>1969</v>
      </c>
      <c r="C1254" t="s">
        <v>4696</v>
      </c>
      <c r="D1254">
        <v>7</v>
      </c>
      <c r="E1254">
        <v>0</v>
      </c>
      <c r="F1254" s="13">
        <v>10403.27</v>
      </c>
      <c r="G1254" t="s">
        <v>4698</v>
      </c>
      <c r="H1254" t="s">
        <v>4697</v>
      </c>
      <c r="I1254" t="s">
        <v>4719</v>
      </c>
      <c r="J1254" s="10">
        <f t="shared" si="38"/>
        <v>25391</v>
      </c>
      <c r="K1254">
        <f t="shared" si="39"/>
        <v>53</v>
      </c>
    </row>
    <row r="1255" spans="1:11">
      <c r="A1255" t="s">
        <v>2170</v>
      </c>
      <c r="B1255">
        <v>1975</v>
      </c>
      <c r="C1255" t="s">
        <v>4702</v>
      </c>
      <c r="D1255">
        <v>5</v>
      </c>
      <c r="E1255">
        <v>4</v>
      </c>
      <c r="F1255" s="13">
        <v>10407.09</v>
      </c>
      <c r="G1255" t="s">
        <v>4698</v>
      </c>
      <c r="H1255" t="s">
        <v>4701</v>
      </c>
      <c r="I1255" t="s">
        <v>4709</v>
      </c>
      <c r="J1255" s="10">
        <f t="shared" si="38"/>
        <v>27550</v>
      </c>
      <c r="K1255">
        <f t="shared" si="39"/>
        <v>48</v>
      </c>
    </row>
    <row r="1256" spans="1:11">
      <c r="A1256" t="s">
        <v>2168</v>
      </c>
      <c r="B1256">
        <v>1980</v>
      </c>
      <c r="C1256" t="s">
        <v>4707</v>
      </c>
      <c r="D1256">
        <v>24</v>
      </c>
      <c r="E1256">
        <v>2</v>
      </c>
      <c r="F1256" s="13">
        <v>10407.98</v>
      </c>
      <c r="G1256" t="s">
        <v>4698</v>
      </c>
      <c r="H1256" t="s">
        <v>4701</v>
      </c>
      <c r="I1256" t="s">
        <v>4717</v>
      </c>
      <c r="J1256" s="10">
        <f t="shared" si="38"/>
        <v>29518</v>
      </c>
      <c r="K1256">
        <f t="shared" si="39"/>
        <v>42</v>
      </c>
    </row>
    <row r="1257" spans="1:11">
      <c r="A1257" t="s">
        <v>2166</v>
      </c>
      <c r="B1257">
        <v>1973</v>
      </c>
      <c r="C1257" t="s">
        <v>4707</v>
      </c>
      <c r="D1257">
        <v>11</v>
      </c>
      <c r="E1257">
        <v>0</v>
      </c>
      <c r="F1257" s="13">
        <v>10419.59</v>
      </c>
      <c r="G1257" t="s">
        <v>4698</v>
      </c>
      <c r="H1257" t="s">
        <v>4697</v>
      </c>
      <c r="I1257" t="s">
        <v>4713</v>
      </c>
      <c r="J1257" s="10">
        <f t="shared" si="38"/>
        <v>26948</v>
      </c>
      <c r="K1257">
        <f t="shared" si="39"/>
        <v>49</v>
      </c>
    </row>
    <row r="1258" spans="1:11">
      <c r="A1258" t="s">
        <v>2164</v>
      </c>
      <c r="B1258">
        <v>1979</v>
      </c>
      <c r="C1258" t="s">
        <v>4700</v>
      </c>
      <c r="D1258">
        <v>25</v>
      </c>
      <c r="E1258">
        <v>2</v>
      </c>
      <c r="F1258" s="13">
        <v>10419.65</v>
      </c>
      <c r="G1258" t="s">
        <v>4698</v>
      </c>
      <c r="H1258" t="s">
        <v>4697</v>
      </c>
      <c r="I1258" t="s">
        <v>4713</v>
      </c>
      <c r="J1258" s="10">
        <f t="shared" si="38"/>
        <v>29184</v>
      </c>
      <c r="K1258">
        <f t="shared" si="39"/>
        <v>43</v>
      </c>
    </row>
    <row r="1259" spans="1:11">
      <c r="A1259" t="s">
        <v>2162</v>
      </c>
      <c r="B1259">
        <v>1968</v>
      </c>
      <c r="C1259" t="s">
        <v>4705</v>
      </c>
      <c r="D1259">
        <v>27</v>
      </c>
      <c r="E1259">
        <v>0</v>
      </c>
      <c r="F1259" s="13">
        <v>10422.92</v>
      </c>
      <c r="G1259" t="s">
        <v>4698</v>
      </c>
      <c r="H1259" t="s">
        <v>4701</v>
      </c>
      <c r="I1259" t="s">
        <v>4718</v>
      </c>
      <c r="J1259" s="10">
        <f t="shared" si="38"/>
        <v>25199</v>
      </c>
      <c r="K1259">
        <f t="shared" si="39"/>
        <v>54</v>
      </c>
    </row>
    <row r="1260" spans="1:11">
      <c r="A1260" t="s">
        <v>2160</v>
      </c>
      <c r="B1260">
        <v>1968</v>
      </c>
      <c r="C1260" t="s">
        <v>4706</v>
      </c>
      <c r="D1260">
        <v>23</v>
      </c>
      <c r="E1260">
        <v>0</v>
      </c>
      <c r="F1260" s="13">
        <v>10435.07</v>
      </c>
      <c r="G1260" t="s">
        <v>4698</v>
      </c>
      <c r="H1260" t="s">
        <v>4701</v>
      </c>
      <c r="I1260" t="s">
        <v>4711</v>
      </c>
      <c r="J1260" s="10">
        <f t="shared" si="38"/>
        <v>25073</v>
      </c>
      <c r="K1260">
        <f t="shared" si="39"/>
        <v>54</v>
      </c>
    </row>
    <row r="1261" spans="1:11">
      <c r="A1261" t="s">
        <v>2158</v>
      </c>
      <c r="B1261">
        <v>1968</v>
      </c>
      <c r="C1261" t="s">
        <v>4706</v>
      </c>
      <c r="D1261">
        <v>29</v>
      </c>
      <c r="E1261">
        <v>1</v>
      </c>
      <c r="F1261" s="13">
        <v>10436.1</v>
      </c>
      <c r="G1261" t="s">
        <v>4698</v>
      </c>
      <c r="H1261" t="s">
        <v>4698</v>
      </c>
      <c r="I1261" t="s">
        <v>4708</v>
      </c>
      <c r="J1261" s="10">
        <f t="shared" si="38"/>
        <v>25079</v>
      </c>
      <c r="K1261">
        <f t="shared" si="39"/>
        <v>54</v>
      </c>
    </row>
    <row r="1262" spans="1:11">
      <c r="A1262" t="s">
        <v>2156</v>
      </c>
      <c r="B1262">
        <v>1968</v>
      </c>
      <c r="C1262" t="s">
        <v>4700</v>
      </c>
      <c r="D1262">
        <v>8</v>
      </c>
      <c r="E1262">
        <v>1</v>
      </c>
      <c r="F1262" s="13">
        <v>10450.549999999999</v>
      </c>
      <c r="G1262" t="s">
        <v>4698</v>
      </c>
      <c r="H1262" t="s">
        <v>4701</v>
      </c>
      <c r="I1262" t="s">
        <v>4708</v>
      </c>
      <c r="J1262" s="10">
        <f t="shared" si="38"/>
        <v>25150</v>
      </c>
      <c r="K1262">
        <f t="shared" si="39"/>
        <v>54</v>
      </c>
    </row>
    <row r="1263" spans="1:11">
      <c r="A1263" t="s">
        <v>2154</v>
      </c>
      <c r="B1263">
        <v>1964</v>
      </c>
      <c r="C1263" t="s">
        <v>4707</v>
      </c>
      <c r="D1263">
        <v>14</v>
      </c>
      <c r="E1263">
        <v>0</v>
      </c>
      <c r="F1263" s="13">
        <v>10455.1</v>
      </c>
      <c r="G1263" t="s">
        <v>4698</v>
      </c>
      <c r="H1263" t="s">
        <v>4701</v>
      </c>
      <c r="I1263" t="s">
        <v>4704</v>
      </c>
      <c r="J1263" s="10">
        <f t="shared" si="38"/>
        <v>23664</v>
      </c>
      <c r="K1263">
        <f t="shared" si="39"/>
        <v>58</v>
      </c>
    </row>
    <row r="1264" spans="1:11">
      <c r="A1264" t="s">
        <v>2152</v>
      </c>
      <c r="B1264">
        <v>1976</v>
      </c>
      <c r="C1264" t="s">
        <v>4706</v>
      </c>
      <c r="D1264">
        <v>3</v>
      </c>
      <c r="E1264">
        <v>2</v>
      </c>
      <c r="F1264" s="13">
        <v>10455.14</v>
      </c>
      <c r="G1264" t="s">
        <v>4698</v>
      </c>
      <c r="H1264" t="s">
        <v>4697</v>
      </c>
      <c r="I1264" t="s">
        <v>4717</v>
      </c>
      <c r="J1264" s="10">
        <f t="shared" si="38"/>
        <v>27975</v>
      </c>
      <c r="K1264">
        <f t="shared" si="39"/>
        <v>46</v>
      </c>
    </row>
    <row r="1265" spans="1:11">
      <c r="A1265" t="s">
        <v>2150</v>
      </c>
      <c r="B1265">
        <v>1964</v>
      </c>
      <c r="C1265" t="s">
        <v>4696</v>
      </c>
      <c r="D1265">
        <v>27</v>
      </c>
      <c r="E1265">
        <v>0</v>
      </c>
      <c r="F1265" s="13">
        <v>10459.19</v>
      </c>
      <c r="G1265" t="s">
        <v>4698</v>
      </c>
      <c r="H1265" t="s">
        <v>4701</v>
      </c>
      <c r="I1265" t="s">
        <v>4699</v>
      </c>
      <c r="J1265" s="10">
        <f t="shared" si="38"/>
        <v>23585</v>
      </c>
      <c r="K1265">
        <f t="shared" si="39"/>
        <v>58</v>
      </c>
    </row>
    <row r="1266" spans="1:11">
      <c r="A1266" t="s">
        <v>2148</v>
      </c>
      <c r="B1266">
        <v>1969</v>
      </c>
      <c r="C1266" t="s">
        <v>4703</v>
      </c>
      <c r="D1266">
        <v>22</v>
      </c>
      <c r="E1266">
        <v>1</v>
      </c>
      <c r="F1266" s="13">
        <v>10461.98</v>
      </c>
      <c r="G1266" t="s">
        <v>4698</v>
      </c>
      <c r="H1266" t="s">
        <v>4701</v>
      </c>
      <c r="I1266" t="s">
        <v>4704</v>
      </c>
      <c r="J1266" s="10">
        <f t="shared" si="38"/>
        <v>25468</v>
      </c>
      <c r="K1266">
        <f t="shared" si="39"/>
        <v>53</v>
      </c>
    </row>
    <row r="1267" spans="1:11">
      <c r="A1267" t="s">
        <v>2146</v>
      </c>
      <c r="B1267">
        <v>1987</v>
      </c>
      <c r="C1267" t="s">
        <v>4702</v>
      </c>
      <c r="D1267">
        <v>28</v>
      </c>
      <c r="E1267">
        <v>3</v>
      </c>
      <c r="F1267" s="13">
        <v>10464.83</v>
      </c>
      <c r="G1267" t="s">
        <v>4698</v>
      </c>
      <c r="H1267" t="s">
        <v>4701</v>
      </c>
      <c r="I1267" t="s">
        <v>4704</v>
      </c>
      <c r="J1267" s="10">
        <f t="shared" si="38"/>
        <v>31956</v>
      </c>
      <c r="K1267">
        <f t="shared" si="39"/>
        <v>35</v>
      </c>
    </row>
    <row r="1268" spans="1:11">
      <c r="A1268" t="s">
        <v>2144</v>
      </c>
      <c r="B1268">
        <v>1978</v>
      </c>
      <c r="C1268" t="s">
        <v>4706</v>
      </c>
      <c r="D1268">
        <v>21</v>
      </c>
      <c r="E1268">
        <v>2</v>
      </c>
      <c r="F1268" s="13">
        <v>10486.55</v>
      </c>
      <c r="G1268" t="s">
        <v>4698</v>
      </c>
      <c r="H1268" t="s">
        <v>4698</v>
      </c>
      <c r="I1268" t="s">
        <v>4713</v>
      </c>
      <c r="J1268" s="10">
        <f t="shared" si="38"/>
        <v>28723</v>
      </c>
      <c r="K1268">
        <f t="shared" si="39"/>
        <v>44</v>
      </c>
    </row>
    <row r="1269" spans="1:11">
      <c r="A1269" t="s">
        <v>2142</v>
      </c>
      <c r="B1269">
        <v>1972</v>
      </c>
      <c r="C1269" t="s">
        <v>4707</v>
      </c>
      <c r="D1269">
        <v>19</v>
      </c>
      <c r="E1269">
        <v>2</v>
      </c>
      <c r="F1269" s="13">
        <v>10493.95</v>
      </c>
      <c r="G1269" t="s">
        <v>4698</v>
      </c>
      <c r="H1269" t="s">
        <v>4701</v>
      </c>
      <c r="I1269" t="s">
        <v>4704</v>
      </c>
      <c r="J1269" s="10">
        <f t="shared" si="38"/>
        <v>26591</v>
      </c>
      <c r="K1269">
        <f t="shared" si="39"/>
        <v>50</v>
      </c>
    </row>
    <row r="1270" spans="1:11">
      <c r="A1270" t="s">
        <v>2140</v>
      </c>
      <c r="B1270">
        <v>1977</v>
      </c>
      <c r="C1270" t="s">
        <v>4707</v>
      </c>
      <c r="D1270">
        <v>25</v>
      </c>
      <c r="E1270">
        <v>2</v>
      </c>
      <c r="F1270" s="13">
        <v>10495.6</v>
      </c>
      <c r="G1270" t="s">
        <v>4698</v>
      </c>
      <c r="H1270" t="s">
        <v>4701</v>
      </c>
      <c r="I1270" t="s">
        <v>4704</v>
      </c>
      <c r="J1270" s="10">
        <f t="shared" si="38"/>
        <v>28423</v>
      </c>
      <c r="K1270">
        <f t="shared" si="39"/>
        <v>45</v>
      </c>
    </row>
    <row r="1271" spans="1:11">
      <c r="A1271" t="s">
        <v>2138</v>
      </c>
      <c r="B1271">
        <v>1971</v>
      </c>
      <c r="C1271" t="s">
        <v>4703</v>
      </c>
      <c r="D1271">
        <v>26</v>
      </c>
      <c r="E1271">
        <v>0</v>
      </c>
      <c r="F1271" s="13">
        <v>10546.48</v>
      </c>
      <c r="G1271" t="s">
        <v>4698</v>
      </c>
      <c r="H1271" t="s">
        <v>4698</v>
      </c>
      <c r="I1271" t="s">
        <v>4708</v>
      </c>
      <c r="J1271" s="10">
        <f t="shared" si="38"/>
        <v>26202</v>
      </c>
      <c r="K1271">
        <f t="shared" si="39"/>
        <v>51</v>
      </c>
    </row>
    <row r="1272" spans="1:11">
      <c r="A1272" t="s">
        <v>2136</v>
      </c>
      <c r="B1272">
        <v>1971</v>
      </c>
      <c r="C1272" t="s">
        <v>4702</v>
      </c>
      <c r="D1272">
        <v>29</v>
      </c>
      <c r="E1272">
        <v>3</v>
      </c>
      <c r="F1272" s="13">
        <v>10560.49</v>
      </c>
      <c r="G1272" t="s">
        <v>4698</v>
      </c>
      <c r="H1272" t="s">
        <v>4697</v>
      </c>
      <c r="I1272" t="s">
        <v>4699</v>
      </c>
      <c r="J1272" s="10">
        <f t="shared" si="38"/>
        <v>26113</v>
      </c>
      <c r="K1272">
        <f t="shared" si="39"/>
        <v>51</v>
      </c>
    </row>
    <row r="1273" spans="1:11">
      <c r="A1273" t="s">
        <v>2134</v>
      </c>
      <c r="B1273">
        <v>1969</v>
      </c>
      <c r="C1273" t="s">
        <v>4696</v>
      </c>
      <c r="D1273">
        <v>17</v>
      </c>
      <c r="E1273">
        <v>0</v>
      </c>
      <c r="F1273" s="13">
        <v>10564.88</v>
      </c>
      <c r="G1273" t="s">
        <v>4698</v>
      </c>
      <c r="H1273" t="s">
        <v>4701</v>
      </c>
      <c r="I1273" t="s">
        <v>4714</v>
      </c>
      <c r="J1273" s="10">
        <f t="shared" si="38"/>
        <v>25401</v>
      </c>
      <c r="K1273">
        <f t="shared" si="39"/>
        <v>53</v>
      </c>
    </row>
    <row r="1274" spans="1:11">
      <c r="A1274" t="s">
        <v>2132</v>
      </c>
      <c r="B1274">
        <v>1966</v>
      </c>
      <c r="C1274" t="s">
        <v>4705</v>
      </c>
      <c r="D1274">
        <v>11</v>
      </c>
      <c r="E1274">
        <v>0</v>
      </c>
      <c r="F1274" s="13">
        <v>10577.09</v>
      </c>
      <c r="G1274" t="s">
        <v>4698</v>
      </c>
      <c r="H1274" t="s">
        <v>4698</v>
      </c>
      <c r="I1274" t="s">
        <v>4708</v>
      </c>
      <c r="J1274" s="10">
        <f t="shared" si="38"/>
        <v>24452</v>
      </c>
      <c r="K1274">
        <f t="shared" si="39"/>
        <v>56</v>
      </c>
    </row>
    <row r="1275" spans="1:11">
      <c r="A1275" t="s">
        <v>2130</v>
      </c>
      <c r="B1275">
        <v>1969</v>
      </c>
      <c r="C1275" t="s">
        <v>4705</v>
      </c>
      <c r="D1275">
        <v>25</v>
      </c>
      <c r="E1275">
        <v>1</v>
      </c>
      <c r="F1275" s="13">
        <v>10579.71</v>
      </c>
      <c r="G1275" t="s">
        <v>4698</v>
      </c>
      <c r="H1275" t="s">
        <v>4698</v>
      </c>
      <c r="I1275" t="s">
        <v>4699</v>
      </c>
      <c r="J1275" s="10">
        <f t="shared" si="38"/>
        <v>25562</v>
      </c>
      <c r="K1275">
        <f t="shared" si="39"/>
        <v>53</v>
      </c>
    </row>
    <row r="1276" spans="1:11">
      <c r="A1276" t="s">
        <v>2128</v>
      </c>
      <c r="B1276">
        <v>1966</v>
      </c>
      <c r="C1276" t="s">
        <v>4700</v>
      </c>
      <c r="D1276">
        <v>3</v>
      </c>
      <c r="E1276">
        <v>0</v>
      </c>
      <c r="F1276" s="13">
        <v>10594.23</v>
      </c>
      <c r="G1276" t="s">
        <v>4698</v>
      </c>
      <c r="H1276" t="s">
        <v>4698</v>
      </c>
      <c r="I1276" t="s">
        <v>4699</v>
      </c>
      <c r="J1276" s="10">
        <f t="shared" si="38"/>
        <v>24414</v>
      </c>
      <c r="K1276">
        <f t="shared" si="39"/>
        <v>56</v>
      </c>
    </row>
    <row r="1277" spans="1:11">
      <c r="A1277" t="s">
        <v>2126</v>
      </c>
      <c r="B1277">
        <v>1967</v>
      </c>
      <c r="C1277" t="s">
        <v>4700</v>
      </c>
      <c r="D1277">
        <v>29</v>
      </c>
      <c r="E1277">
        <v>0</v>
      </c>
      <c r="F1277" s="13">
        <v>10594.5</v>
      </c>
      <c r="G1277" t="s">
        <v>4698</v>
      </c>
      <c r="H1277" t="s">
        <v>4701</v>
      </c>
      <c r="I1277" t="s">
        <v>4704</v>
      </c>
      <c r="J1277" s="10">
        <f t="shared" si="38"/>
        <v>24805</v>
      </c>
      <c r="K1277">
        <f t="shared" si="39"/>
        <v>55</v>
      </c>
    </row>
    <row r="1278" spans="1:11">
      <c r="A1278" t="s">
        <v>2124</v>
      </c>
      <c r="B1278">
        <v>1972</v>
      </c>
      <c r="C1278" t="s">
        <v>4705</v>
      </c>
      <c r="D1278">
        <v>14</v>
      </c>
      <c r="E1278">
        <v>3</v>
      </c>
      <c r="F1278" s="13">
        <v>10600.55</v>
      </c>
      <c r="G1278" t="s">
        <v>4698</v>
      </c>
      <c r="H1278" t="s">
        <v>4701</v>
      </c>
      <c r="I1278" t="s">
        <v>4704</v>
      </c>
      <c r="J1278" s="10">
        <f t="shared" si="38"/>
        <v>26647</v>
      </c>
      <c r="K1278">
        <f t="shared" si="39"/>
        <v>50</v>
      </c>
    </row>
    <row r="1279" spans="1:11">
      <c r="A1279" t="s">
        <v>2122</v>
      </c>
      <c r="B1279">
        <v>1966</v>
      </c>
      <c r="C1279" t="s">
        <v>4696</v>
      </c>
      <c r="D1279">
        <v>20</v>
      </c>
      <c r="E1279">
        <v>0</v>
      </c>
      <c r="F1279" s="13">
        <v>10601.41</v>
      </c>
      <c r="G1279" t="s">
        <v>4698</v>
      </c>
      <c r="H1279" t="s">
        <v>4697</v>
      </c>
      <c r="I1279" t="s">
        <v>4708</v>
      </c>
      <c r="J1279" s="10">
        <f t="shared" si="38"/>
        <v>24308</v>
      </c>
      <c r="K1279">
        <f t="shared" si="39"/>
        <v>56</v>
      </c>
    </row>
    <row r="1280" spans="1:11">
      <c r="A1280" t="s">
        <v>2120</v>
      </c>
      <c r="B1280">
        <v>1967</v>
      </c>
      <c r="C1280" t="s">
        <v>4702</v>
      </c>
      <c r="D1280">
        <v>23</v>
      </c>
      <c r="E1280">
        <v>0</v>
      </c>
      <c r="F1280" s="13">
        <v>10601.63</v>
      </c>
      <c r="G1280" t="s">
        <v>4698</v>
      </c>
      <c r="H1280" t="s">
        <v>4697</v>
      </c>
      <c r="I1280" t="s">
        <v>4704</v>
      </c>
      <c r="J1280" s="10">
        <f t="shared" si="38"/>
        <v>24646</v>
      </c>
      <c r="K1280">
        <f t="shared" si="39"/>
        <v>55</v>
      </c>
    </row>
    <row r="1281" spans="1:11">
      <c r="A1281" t="s">
        <v>2118</v>
      </c>
      <c r="B1281">
        <v>1966</v>
      </c>
      <c r="C1281" t="s">
        <v>4696</v>
      </c>
      <c r="D1281">
        <v>2</v>
      </c>
      <c r="E1281">
        <v>0</v>
      </c>
      <c r="F1281" s="13">
        <v>10602.39</v>
      </c>
      <c r="G1281" t="s">
        <v>4698</v>
      </c>
      <c r="H1281" t="s">
        <v>4698</v>
      </c>
      <c r="I1281" t="s">
        <v>4708</v>
      </c>
      <c r="J1281" s="10">
        <f t="shared" si="38"/>
        <v>24290</v>
      </c>
      <c r="K1281">
        <f t="shared" si="39"/>
        <v>56</v>
      </c>
    </row>
    <row r="1282" spans="1:11">
      <c r="A1282" t="s">
        <v>2116</v>
      </c>
      <c r="B1282">
        <v>1965</v>
      </c>
      <c r="C1282" t="s">
        <v>4702</v>
      </c>
      <c r="D1282">
        <v>27</v>
      </c>
      <c r="E1282">
        <v>0</v>
      </c>
      <c r="F1282" s="13">
        <v>10608.67</v>
      </c>
      <c r="G1282" t="s">
        <v>4698</v>
      </c>
      <c r="H1282" t="s">
        <v>4698</v>
      </c>
      <c r="I1282" t="s">
        <v>4704</v>
      </c>
      <c r="J1282" s="10">
        <f t="shared" ref="J1282:J1345" si="40">DATEVALUE(D1282&amp;"-"&amp;C1282&amp;"-"&amp;B1282)</f>
        <v>23920</v>
      </c>
      <c r="K1282">
        <f t="shared" si="39"/>
        <v>57</v>
      </c>
    </row>
    <row r="1283" spans="1:11">
      <c r="A1283" t="s">
        <v>2114</v>
      </c>
      <c r="B1283">
        <v>1992</v>
      </c>
      <c r="C1283" t="s">
        <v>4696</v>
      </c>
      <c r="D1283">
        <v>23</v>
      </c>
      <c r="E1283">
        <v>0</v>
      </c>
      <c r="F1283" s="13">
        <v>10617.04</v>
      </c>
      <c r="G1283" t="s">
        <v>4698</v>
      </c>
      <c r="H1283" t="s">
        <v>4698</v>
      </c>
      <c r="I1283" t="s">
        <v>4720</v>
      </c>
      <c r="J1283" s="10">
        <f t="shared" si="40"/>
        <v>33808</v>
      </c>
      <c r="K1283">
        <f t="shared" ref="K1283:K1346" si="41">DATEDIF(J1283, DATE(2023, 6, 8), "Y")</f>
        <v>30</v>
      </c>
    </row>
    <row r="1284" spans="1:11">
      <c r="A1284" t="s">
        <v>2112</v>
      </c>
      <c r="B1284">
        <v>1990</v>
      </c>
      <c r="C1284" t="s">
        <v>4696</v>
      </c>
      <c r="D1284">
        <v>6</v>
      </c>
      <c r="E1284">
        <v>3</v>
      </c>
      <c r="F1284" s="13">
        <v>10620.26</v>
      </c>
      <c r="G1284" t="s">
        <v>4698</v>
      </c>
      <c r="H1284" t="s">
        <v>4698</v>
      </c>
      <c r="I1284" t="s">
        <v>4704</v>
      </c>
      <c r="J1284" s="10">
        <f t="shared" si="40"/>
        <v>33060</v>
      </c>
      <c r="K1284">
        <f t="shared" si="41"/>
        <v>32</v>
      </c>
    </row>
    <row r="1285" spans="1:11">
      <c r="A1285" t="s">
        <v>2110</v>
      </c>
      <c r="B1285">
        <v>1964</v>
      </c>
      <c r="C1285" t="s">
        <v>4706</v>
      </c>
      <c r="D1285">
        <v>8</v>
      </c>
      <c r="E1285">
        <v>0</v>
      </c>
      <c r="F1285" s="13">
        <v>10627.81</v>
      </c>
      <c r="G1285" t="s">
        <v>4698</v>
      </c>
      <c r="H1285" t="s">
        <v>4698</v>
      </c>
      <c r="I1285" t="s">
        <v>4699</v>
      </c>
      <c r="J1285" s="10">
        <f t="shared" si="40"/>
        <v>23597</v>
      </c>
      <c r="K1285">
        <f t="shared" si="41"/>
        <v>58</v>
      </c>
    </row>
    <row r="1286" spans="1:11">
      <c r="A1286" t="s">
        <v>2108</v>
      </c>
      <c r="B1286">
        <v>1976</v>
      </c>
      <c r="C1286" t="s">
        <v>4700</v>
      </c>
      <c r="D1286">
        <v>22</v>
      </c>
      <c r="E1286">
        <v>2</v>
      </c>
      <c r="F1286" s="13">
        <v>10665.44</v>
      </c>
      <c r="G1286" t="s">
        <v>4698</v>
      </c>
      <c r="H1286" t="s">
        <v>4697</v>
      </c>
      <c r="I1286" t="s">
        <v>4717</v>
      </c>
      <c r="J1286" s="10">
        <f t="shared" si="40"/>
        <v>28086</v>
      </c>
      <c r="K1286">
        <f t="shared" si="41"/>
        <v>46</v>
      </c>
    </row>
    <row r="1287" spans="1:11">
      <c r="A1287" t="s">
        <v>2106</v>
      </c>
      <c r="B1287">
        <v>1962</v>
      </c>
      <c r="C1287" t="s">
        <v>4703</v>
      </c>
      <c r="D1287">
        <v>7</v>
      </c>
      <c r="E1287">
        <v>0</v>
      </c>
      <c r="F1287" s="13">
        <v>10676.83</v>
      </c>
      <c r="G1287" t="s">
        <v>4698</v>
      </c>
      <c r="H1287" t="s">
        <v>4698</v>
      </c>
      <c r="I1287" t="s">
        <v>4699</v>
      </c>
      <c r="J1287" s="10">
        <f t="shared" si="40"/>
        <v>22896</v>
      </c>
      <c r="K1287">
        <f t="shared" si="41"/>
        <v>60</v>
      </c>
    </row>
    <row r="1288" spans="1:11">
      <c r="A1288" t="s">
        <v>2104</v>
      </c>
      <c r="B1288">
        <v>1977</v>
      </c>
      <c r="C1288" t="s">
        <v>4706</v>
      </c>
      <c r="D1288">
        <v>2</v>
      </c>
      <c r="E1288">
        <v>2</v>
      </c>
      <c r="F1288" s="13">
        <v>10690.11</v>
      </c>
      <c r="G1288" t="s">
        <v>4698</v>
      </c>
      <c r="H1288" t="s">
        <v>4697</v>
      </c>
      <c r="I1288" t="s">
        <v>4717</v>
      </c>
      <c r="J1288" s="10">
        <f t="shared" si="40"/>
        <v>28339</v>
      </c>
      <c r="K1288">
        <f t="shared" si="41"/>
        <v>45</v>
      </c>
    </row>
    <row r="1289" spans="1:11">
      <c r="A1289" t="s">
        <v>2102</v>
      </c>
      <c r="B1289">
        <v>1976</v>
      </c>
      <c r="C1289" t="s">
        <v>4703</v>
      </c>
      <c r="D1289">
        <v>30</v>
      </c>
      <c r="E1289">
        <v>2</v>
      </c>
      <c r="F1289" s="13">
        <v>10698.38</v>
      </c>
      <c r="G1289" t="s">
        <v>4698</v>
      </c>
      <c r="H1289" t="s">
        <v>4701</v>
      </c>
      <c r="I1289" t="s">
        <v>4713</v>
      </c>
      <c r="J1289" s="10">
        <f t="shared" si="40"/>
        <v>28033</v>
      </c>
      <c r="K1289">
        <f t="shared" si="41"/>
        <v>46</v>
      </c>
    </row>
    <row r="1290" spans="1:11">
      <c r="A1290" t="s">
        <v>2100</v>
      </c>
      <c r="B1290">
        <v>1972</v>
      </c>
      <c r="C1290" t="s">
        <v>4707</v>
      </c>
      <c r="D1290">
        <v>24</v>
      </c>
      <c r="E1290">
        <v>3</v>
      </c>
      <c r="F1290" s="13">
        <v>10702.64</v>
      </c>
      <c r="G1290" t="s">
        <v>4698</v>
      </c>
      <c r="H1290" t="s">
        <v>4698</v>
      </c>
      <c r="I1290" t="s">
        <v>4699</v>
      </c>
      <c r="J1290" s="10">
        <f t="shared" si="40"/>
        <v>26596</v>
      </c>
      <c r="K1290">
        <f t="shared" si="41"/>
        <v>50</v>
      </c>
    </row>
    <row r="1291" spans="1:11">
      <c r="A1291" t="s">
        <v>2098</v>
      </c>
      <c r="B1291">
        <v>1967</v>
      </c>
      <c r="C1291" t="s">
        <v>4696</v>
      </c>
      <c r="D1291">
        <v>30</v>
      </c>
      <c r="E1291">
        <v>0</v>
      </c>
      <c r="F1291" s="13">
        <v>10704.47</v>
      </c>
      <c r="G1291" t="s">
        <v>4698</v>
      </c>
      <c r="H1291" t="s">
        <v>4697</v>
      </c>
      <c r="I1291" t="s">
        <v>4708</v>
      </c>
      <c r="J1291" s="10">
        <f t="shared" si="40"/>
        <v>24683</v>
      </c>
      <c r="K1291">
        <f t="shared" si="41"/>
        <v>55</v>
      </c>
    </row>
    <row r="1292" spans="1:11">
      <c r="A1292" t="s">
        <v>2096</v>
      </c>
      <c r="B1292">
        <v>1967</v>
      </c>
      <c r="C1292" t="s">
        <v>4707</v>
      </c>
      <c r="D1292">
        <v>5</v>
      </c>
      <c r="E1292">
        <v>0</v>
      </c>
      <c r="F1292" s="13">
        <v>10713.64</v>
      </c>
      <c r="G1292" t="s">
        <v>4698</v>
      </c>
      <c r="H1292" t="s">
        <v>4698</v>
      </c>
      <c r="I1292" t="s">
        <v>4708</v>
      </c>
      <c r="J1292" s="10">
        <f t="shared" si="40"/>
        <v>24750</v>
      </c>
      <c r="K1292">
        <f t="shared" si="41"/>
        <v>55</v>
      </c>
    </row>
    <row r="1293" spans="1:11">
      <c r="A1293" t="s">
        <v>2094</v>
      </c>
      <c r="B1293">
        <v>1992</v>
      </c>
      <c r="C1293" t="s">
        <v>4702</v>
      </c>
      <c r="D1293">
        <v>25</v>
      </c>
      <c r="E1293">
        <v>0</v>
      </c>
      <c r="F1293" s="13">
        <v>10719.57</v>
      </c>
      <c r="G1293" t="s">
        <v>4698</v>
      </c>
      <c r="H1293" t="s">
        <v>4701</v>
      </c>
      <c r="I1293" t="s">
        <v>4704</v>
      </c>
      <c r="J1293" s="10">
        <f t="shared" si="40"/>
        <v>33780</v>
      </c>
      <c r="K1293">
        <f t="shared" si="41"/>
        <v>30</v>
      </c>
    </row>
    <row r="1294" spans="1:11">
      <c r="A1294" t="s">
        <v>2092</v>
      </c>
      <c r="B1294">
        <v>1974</v>
      </c>
      <c r="C1294" t="s">
        <v>4705</v>
      </c>
      <c r="D1294">
        <v>9</v>
      </c>
      <c r="E1294">
        <v>4</v>
      </c>
      <c r="F1294" s="13">
        <v>10736.87</v>
      </c>
      <c r="G1294" t="s">
        <v>4698</v>
      </c>
      <c r="H1294" t="s">
        <v>4701</v>
      </c>
      <c r="I1294" t="s">
        <v>4711</v>
      </c>
      <c r="J1294" s="10">
        <f t="shared" si="40"/>
        <v>27372</v>
      </c>
      <c r="K1294">
        <f t="shared" si="41"/>
        <v>48</v>
      </c>
    </row>
    <row r="1295" spans="1:11">
      <c r="A1295" t="s">
        <v>2090</v>
      </c>
      <c r="B1295">
        <v>1986</v>
      </c>
      <c r="C1295" t="s">
        <v>4706</v>
      </c>
      <c r="D1295">
        <v>29</v>
      </c>
      <c r="E1295">
        <v>3</v>
      </c>
      <c r="F1295" s="13">
        <v>10749.02</v>
      </c>
      <c r="G1295" t="s">
        <v>4698</v>
      </c>
      <c r="H1295" t="s">
        <v>4701</v>
      </c>
      <c r="I1295" t="s">
        <v>4720</v>
      </c>
      <c r="J1295" s="10">
        <f t="shared" si="40"/>
        <v>31653</v>
      </c>
      <c r="K1295">
        <f t="shared" si="41"/>
        <v>36</v>
      </c>
    </row>
    <row r="1296" spans="1:11">
      <c r="A1296" t="s">
        <v>2088</v>
      </c>
      <c r="B1296">
        <v>1989</v>
      </c>
      <c r="C1296" t="s">
        <v>4700</v>
      </c>
      <c r="D1296">
        <v>25</v>
      </c>
      <c r="E1296">
        <v>3</v>
      </c>
      <c r="F1296" s="13">
        <v>10769.75</v>
      </c>
      <c r="G1296" t="s">
        <v>4698</v>
      </c>
      <c r="H1296" t="s">
        <v>4697</v>
      </c>
      <c r="I1296" t="s">
        <v>4721</v>
      </c>
      <c r="J1296" s="10">
        <f t="shared" si="40"/>
        <v>32837</v>
      </c>
      <c r="K1296">
        <f t="shared" si="41"/>
        <v>33</v>
      </c>
    </row>
    <row r="1297" spans="1:11">
      <c r="A1297" t="s">
        <v>2086</v>
      </c>
      <c r="B1297">
        <v>1967</v>
      </c>
      <c r="C1297" t="s">
        <v>4700</v>
      </c>
      <c r="D1297">
        <v>11</v>
      </c>
      <c r="E1297">
        <v>1</v>
      </c>
      <c r="F1297" s="13">
        <v>10791.96</v>
      </c>
      <c r="G1297" t="s">
        <v>4698</v>
      </c>
      <c r="H1297" t="s">
        <v>4697</v>
      </c>
      <c r="I1297" t="s">
        <v>4708</v>
      </c>
      <c r="J1297" s="10">
        <f t="shared" si="40"/>
        <v>24787</v>
      </c>
      <c r="K1297">
        <f t="shared" si="41"/>
        <v>55</v>
      </c>
    </row>
    <row r="1298" spans="1:11">
      <c r="A1298" t="s">
        <v>2084</v>
      </c>
      <c r="B1298">
        <v>1999</v>
      </c>
      <c r="C1298" t="s">
        <v>4705</v>
      </c>
      <c r="D1298">
        <v>24</v>
      </c>
      <c r="E1298">
        <v>0</v>
      </c>
      <c r="F1298" s="13">
        <v>10795.94</v>
      </c>
      <c r="G1298" t="s">
        <v>4698</v>
      </c>
      <c r="H1298" t="s">
        <v>4701</v>
      </c>
      <c r="I1298" t="s">
        <v>4708</v>
      </c>
      <c r="J1298" s="10">
        <f t="shared" si="40"/>
        <v>36518</v>
      </c>
      <c r="K1298">
        <f t="shared" si="41"/>
        <v>23</v>
      </c>
    </row>
    <row r="1299" spans="1:11">
      <c r="A1299" t="s">
        <v>2082</v>
      </c>
      <c r="B1299">
        <v>1967</v>
      </c>
      <c r="C1299" t="s">
        <v>4707</v>
      </c>
      <c r="D1299">
        <v>23</v>
      </c>
      <c r="E1299">
        <v>0</v>
      </c>
      <c r="F1299" s="13">
        <v>10796.35</v>
      </c>
      <c r="G1299" t="s">
        <v>4698</v>
      </c>
      <c r="H1299" t="s">
        <v>4701</v>
      </c>
      <c r="I1299" t="s">
        <v>4710</v>
      </c>
      <c r="J1299" s="10">
        <f t="shared" si="40"/>
        <v>24768</v>
      </c>
      <c r="K1299">
        <f t="shared" si="41"/>
        <v>55</v>
      </c>
    </row>
    <row r="1300" spans="1:11">
      <c r="A1300" t="s">
        <v>2080</v>
      </c>
      <c r="B1300">
        <v>1970</v>
      </c>
      <c r="C1300" t="s">
        <v>4707</v>
      </c>
      <c r="D1300">
        <v>28</v>
      </c>
      <c r="E1300">
        <v>1</v>
      </c>
      <c r="F1300" s="13">
        <v>10797.34</v>
      </c>
      <c r="G1300" t="s">
        <v>4698</v>
      </c>
      <c r="H1300" t="s">
        <v>4697</v>
      </c>
      <c r="I1300" t="s">
        <v>4715</v>
      </c>
      <c r="J1300" s="10">
        <f t="shared" si="40"/>
        <v>25869</v>
      </c>
      <c r="K1300">
        <f t="shared" si="41"/>
        <v>52</v>
      </c>
    </row>
    <row r="1301" spans="1:11">
      <c r="A1301" t="s">
        <v>2078</v>
      </c>
      <c r="B1301">
        <v>1970</v>
      </c>
      <c r="C1301" t="s">
        <v>4705</v>
      </c>
      <c r="D1301">
        <v>18</v>
      </c>
      <c r="E1301">
        <v>2</v>
      </c>
      <c r="F1301" s="13">
        <v>10806.84</v>
      </c>
      <c r="G1301" t="s">
        <v>4698</v>
      </c>
      <c r="H1301" t="s">
        <v>4697</v>
      </c>
      <c r="I1301" t="s">
        <v>4708</v>
      </c>
      <c r="J1301" s="10">
        <f t="shared" si="40"/>
        <v>25920</v>
      </c>
      <c r="K1301">
        <f t="shared" si="41"/>
        <v>52</v>
      </c>
    </row>
    <row r="1302" spans="1:11">
      <c r="A1302" t="s">
        <v>2076</v>
      </c>
      <c r="B1302">
        <v>1967</v>
      </c>
      <c r="C1302" t="s">
        <v>4707</v>
      </c>
      <c r="D1302">
        <v>2</v>
      </c>
      <c r="E1302">
        <v>1</v>
      </c>
      <c r="F1302" s="13">
        <v>10807.49</v>
      </c>
      <c r="G1302" t="s">
        <v>4698</v>
      </c>
      <c r="H1302" t="s">
        <v>4697</v>
      </c>
      <c r="I1302" t="s">
        <v>4699</v>
      </c>
      <c r="J1302" s="10">
        <f t="shared" si="40"/>
        <v>24747</v>
      </c>
      <c r="K1302">
        <f t="shared" si="41"/>
        <v>55</v>
      </c>
    </row>
    <row r="1303" spans="1:11">
      <c r="A1303" t="s">
        <v>2074</v>
      </c>
      <c r="B1303">
        <v>1968</v>
      </c>
      <c r="C1303" t="s">
        <v>4696</v>
      </c>
      <c r="D1303">
        <v>28</v>
      </c>
      <c r="E1303">
        <v>1</v>
      </c>
      <c r="F1303" s="13">
        <v>10825.25</v>
      </c>
      <c r="G1303" t="s">
        <v>4698</v>
      </c>
      <c r="H1303" t="s">
        <v>4698</v>
      </c>
      <c r="I1303" t="s">
        <v>4704</v>
      </c>
      <c r="J1303" s="10">
        <f t="shared" si="40"/>
        <v>25047</v>
      </c>
      <c r="K1303">
        <f t="shared" si="41"/>
        <v>54</v>
      </c>
    </row>
    <row r="1304" spans="1:11">
      <c r="A1304" t="s">
        <v>2072</v>
      </c>
      <c r="B1304">
        <v>1971</v>
      </c>
      <c r="C1304" t="s">
        <v>4705</v>
      </c>
      <c r="D1304">
        <v>20</v>
      </c>
      <c r="E1304">
        <v>2</v>
      </c>
      <c r="F1304" s="13">
        <v>10848.13</v>
      </c>
      <c r="G1304" t="s">
        <v>4698</v>
      </c>
      <c r="H1304" t="s">
        <v>4698</v>
      </c>
      <c r="I1304" t="s">
        <v>4704</v>
      </c>
      <c r="J1304" s="10">
        <f t="shared" si="40"/>
        <v>26287</v>
      </c>
      <c r="K1304">
        <f t="shared" si="41"/>
        <v>51</v>
      </c>
    </row>
    <row r="1305" spans="1:11">
      <c r="A1305" t="s">
        <v>2070</v>
      </c>
      <c r="B1305">
        <v>1994</v>
      </c>
      <c r="C1305" t="s">
        <v>4703</v>
      </c>
      <c r="D1305">
        <v>6</v>
      </c>
      <c r="E1305">
        <v>0</v>
      </c>
      <c r="F1305" s="13">
        <v>10886.66</v>
      </c>
      <c r="G1305" t="s">
        <v>4698</v>
      </c>
      <c r="H1305" t="s">
        <v>4698</v>
      </c>
      <c r="I1305" t="s">
        <v>4704</v>
      </c>
      <c r="J1305" s="10">
        <f t="shared" si="40"/>
        <v>34583</v>
      </c>
      <c r="K1305">
        <f t="shared" si="41"/>
        <v>28</v>
      </c>
    </row>
    <row r="1306" spans="1:11">
      <c r="A1306" t="s">
        <v>2068</v>
      </c>
      <c r="B1306">
        <v>1968</v>
      </c>
      <c r="C1306" t="s">
        <v>4700</v>
      </c>
      <c r="D1306">
        <v>13</v>
      </c>
      <c r="E1306">
        <v>0</v>
      </c>
      <c r="F1306" s="13">
        <v>10923.93</v>
      </c>
      <c r="G1306" t="s">
        <v>4698</v>
      </c>
      <c r="H1306" t="s">
        <v>4701</v>
      </c>
      <c r="I1306" t="s">
        <v>4714</v>
      </c>
      <c r="J1306" s="10">
        <f t="shared" si="40"/>
        <v>25155</v>
      </c>
      <c r="K1306">
        <f t="shared" si="41"/>
        <v>54</v>
      </c>
    </row>
    <row r="1307" spans="1:11">
      <c r="A1307" t="s">
        <v>2066</v>
      </c>
      <c r="B1307">
        <v>1968</v>
      </c>
      <c r="C1307" t="s">
        <v>4700</v>
      </c>
      <c r="D1307">
        <v>12</v>
      </c>
      <c r="E1307">
        <v>1</v>
      </c>
      <c r="F1307" s="13">
        <v>10928.85</v>
      </c>
      <c r="G1307" t="s">
        <v>4698</v>
      </c>
      <c r="H1307" t="s">
        <v>4698</v>
      </c>
      <c r="I1307" t="s">
        <v>4699</v>
      </c>
      <c r="J1307" s="10">
        <f t="shared" si="40"/>
        <v>25154</v>
      </c>
      <c r="K1307">
        <f t="shared" si="41"/>
        <v>54</v>
      </c>
    </row>
    <row r="1308" spans="1:11">
      <c r="A1308" t="s">
        <v>2064</v>
      </c>
      <c r="B1308">
        <v>1969</v>
      </c>
      <c r="C1308" t="s">
        <v>4700</v>
      </c>
      <c r="D1308">
        <v>10</v>
      </c>
      <c r="E1308">
        <v>1</v>
      </c>
      <c r="F1308" s="13">
        <v>10942.13</v>
      </c>
      <c r="G1308" t="s">
        <v>4698</v>
      </c>
      <c r="H1308" t="s">
        <v>4698</v>
      </c>
      <c r="I1308" t="s">
        <v>4704</v>
      </c>
      <c r="J1308" s="10">
        <f t="shared" si="40"/>
        <v>25517</v>
      </c>
      <c r="K1308">
        <f t="shared" si="41"/>
        <v>53</v>
      </c>
    </row>
    <row r="1309" spans="1:11">
      <c r="A1309" t="s">
        <v>2062</v>
      </c>
      <c r="B1309">
        <v>1965</v>
      </c>
      <c r="C1309" t="s">
        <v>4705</v>
      </c>
      <c r="D1309">
        <v>4</v>
      </c>
      <c r="E1309">
        <v>0</v>
      </c>
      <c r="F1309" s="13">
        <v>10959.33</v>
      </c>
      <c r="G1309" t="s">
        <v>4698</v>
      </c>
      <c r="H1309" t="s">
        <v>4698</v>
      </c>
      <c r="I1309" t="s">
        <v>4708</v>
      </c>
      <c r="J1309" s="10">
        <f t="shared" si="40"/>
        <v>24080</v>
      </c>
      <c r="K1309">
        <f t="shared" si="41"/>
        <v>57</v>
      </c>
    </row>
    <row r="1310" spans="1:11">
      <c r="A1310" t="s">
        <v>2060</v>
      </c>
      <c r="B1310">
        <v>1969</v>
      </c>
      <c r="C1310" t="s">
        <v>4706</v>
      </c>
      <c r="D1310">
        <v>14</v>
      </c>
      <c r="E1310">
        <v>1</v>
      </c>
      <c r="F1310" s="13">
        <v>10959.69</v>
      </c>
      <c r="G1310" t="s">
        <v>4698</v>
      </c>
      <c r="H1310" t="s">
        <v>4698</v>
      </c>
      <c r="I1310" t="s">
        <v>4704</v>
      </c>
      <c r="J1310" s="10">
        <f t="shared" si="40"/>
        <v>25429</v>
      </c>
      <c r="K1310">
        <f t="shared" si="41"/>
        <v>53</v>
      </c>
    </row>
    <row r="1311" spans="1:11">
      <c r="A1311" t="s">
        <v>2058</v>
      </c>
      <c r="B1311">
        <v>1965</v>
      </c>
      <c r="C1311" t="s">
        <v>4702</v>
      </c>
      <c r="D1311">
        <v>19</v>
      </c>
      <c r="E1311">
        <v>0</v>
      </c>
      <c r="F1311" s="13">
        <v>10965.45</v>
      </c>
      <c r="G1311" t="s">
        <v>4698</v>
      </c>
      <c r="H1311" t="s">
        <v>4697</v>
      </c>
      <c r="I1311" t="s">
        <v>4708</v>
      </c>
      <c r="J1311" s="10">
        <f t="shared" si="40"/>
        <v>23912</v>
      </c>
      <c r="K1311">
        <f t="shared" si="41"/>
        <v>57</v>
      </c>
    </row>
    <row r="1312" spans="1:11">
      <c r="A1312" t="s">
        <v>2056</v>
      </c>
      <c r="B1312">
        <v>1966</v>
      </c>
      <c r="C1312" t="s">
        <v>4696</v>
      </c>
      <c r="D1312">
        <v>9</v>
      </c>
      <c r="E1312">
        <v>0</v>
      </c>
      <c r="F1312" s="13">
        <v>10976.25</v>
      </c>
      <c r="G1312" t="s">
        <v>4698</v>
      </c>
      <c r="H1312" t="s">
        <v>4697</v>
      </c>
      <c r="I1312" t="s">
        <v>4704</v>
      </c>
      <c r="J1312" s="10">
        <f t="shared" si="40"/>
        <v>24297</v>
      </c>
      <c r="K1312">
        <f t="shared" si="41"/>
        <v>56</v>
      </c>
    </row>
    <row r="1313" spans="1:11">
      <c r="A1313" t="s">
        <v>2054</v>
      </c>
      <c r="B1313">
        <v>1973</v>
      </c>
      <c r="C1313" t="s">
        <v>4707</v>
      </c>
      <c r="D1313">
        <v>21</v>
      </c>
      <c r="E1313">
        <v>4</v>
      </c>
      <c r="F1313" s="13">
        <v>10977.21</v>
      </c>
      <c r="G1313" t="s">
        <v>4698</v>
      </c>
      <c r="H1313" t="s">
        <v>4701</v>
      </c>
      <c r="I1313" t="s">
        <v>4699</v>
      </c>
      <c r="J1313" s="10">
        <f t="shared" si="40"/>
        <v>26958</v>
      </c>
      <c r="K1313">
        <f t="shared" si="41"/>
        <v>49</v>
      </c>
    </row>
    <row r="1314" spans="1:11">
      <c r="A1314" t="s">
        <v>2052</v>
      </c>
      <c r="B1314">
        <v>1965</v>
      </c>
      <c r="C1314" t="s">
        <v>4705</v>
      </c>
      <c r="D1314">
        <v>18</v>
      </c>
      <c r="E1314">
        <v>0</v>
      </c>
      <c r="F1314" s="13">
        <v>10982.5</v>
      </c>
      <c r="G1314" t="s">
        <v>4698</v>
      </c>
      <c r="H1314" t="s">
        <v>4698</v>
      </c>
      <c r="I1314" t="s">
        <v>4699</v>
      </c>
      <c r="J1314" s="10">
        <f t="shared" si="40"/>
        <v>24094</v>
      </c>
      <c r="K1314">
        <f t="shared" si="41"/>
        <v>57</v>
      </c>
    </row>
    <row r="1315" spans="1:11">
      <c r="A1315" t="s">
        <v>2050</v>
      </c>
      <c r="B1315">
        <v>2000</v>
      </c>
      <c r="C1315" t="s">
        <v>4703</v>
      </c>
      <c r="D1315">
        <v>17</v>
      </c>
      <c r="E1315">
        <v>0</v>
      </c>
      <c r="F1315" s="13">
        <v>10991.58</v>
      </c>
      <c r="G1315" t="s">
        <v>4698</v>
      </c>
      <c r="H1315" t="s">
        <v>4698</v>
      </c>
      <c r="I1315" t="s">
        <v>4704</v>
      </c>
      <c r="J1315" s="10">
        <f t="shared" si="40"/>
        <v>36786</v>
      </c>
      <c r="K1315">
        <f t="shared" si="41"/>
        <v>22</v>
      </c>
    </row>
    <row r="1316" spans="1:11">
      <c r="A1316" t="s">
        <v>2048</v>
      </c>
      <c r="B1316">
        <v>1968</v>
      </c>
      <c r="C1316" t="s">
        <v>4707</v>
      </c>
      <c r="D1316">
        <v>24</v>
      </c>
      <c r="E1316">
        <v>2</v>
      </c>
      <c r="F1316" s="13">
        <v>11013.71</v>
      </c>
      <c r="G1316" t="s">
        <v>4698</v>
      </c>
      <c r="H1316" t="s">
        <v>4701</v>
      </c>
      <c r="I1316" t="s">
        <v>4699</v>
      </c>
      <c r="J1316" s="10">
        <f t="shared" si="40"/>
        <v>25135</v>
      </c>
      <c r="K1316">
        <f t="shared" si="41"/>
        <v>54</v>
      </c>
    </row>
    <row r="1317" spans="1:11">
      <c r="A1317" t="s">
        <v>2046</v>
      </c>
      <c r="B1317">
        <v>1974</v>
      </c>
      <c r="C1317" t="s">
        <v>4705</v>
      </c>
      <c r="D1317">
        <v>15</v>
      </c>
      <c r="E1317">
        <v>4</v>
      </c>
      <c r="F1317" s="13">
        <v>11015.17</v>
      </c>
      <c r="G1317" t="s">
        <v>4698</v>
      </c>
      <c r="H1317" t="s">
        <v>4701</v>
      </c>
      <c r="I1317" t="s">
        <v>4704</v>
      </c>
      <c r="J1317" s="10">
        <f t="shared" si="40"/>
        <v>27378</v>
      </c>
      <c r="K1317">
        <f t="shared" si="41"/>
        <v>48</v>
      </c>
    </row>
    <row r="1318" spans="1:11">
      <c r="A1318" t="s">
        <v>2044</v>
      </c>
      <c r="B1318">
        <v>1991</v>
      </c>
      <c r="C1318" t="s">
        <v>4702</v>
      </c>
      <c r="D1318">
        <v>26</v>
      </c>
      <c r="E1318">
        <v>3</v>
      </c>
      <c r="F1318" s="13">
        <v>11018.05</v>
      </c>
      <c r="G1318" t="s">
        <v>4698</v>
      </c>
      <c r="H1318" t="s">
        <v>4697</v>
      </c>
      <c r="I1318" t="s">
        <v>4704</v>
      </c>
      <c r="J1318" s="10">
        <f t="shared" si="40"/>
        <v>33415</v>
      </c>
      <c r="K1318">
        <f t="shared" si="41"/>
        <v>31</v>
      </c>
    </row>
    <row r="1319" spans="1:11">
      <c r="A1319" t="s">
        <v>2042</v>
      </c>
      <c r="B1319">
        <v>1996</v>
      </c>
      <c r="C1319" t="s">
        <v>4696</v>
      </c>
      <c r="D1319">
        <v>21</v>
      </c>
      <c r="E1319">
        <v>0</v>
      </c>
      <c r="F1319" s="13">
        <v>11028.56</v>
      </c>
      <c r="G1319" t="s">
        <v>4698</v>
      </c>
      <c r="H1319" t="s">
        <v>4698</v>
      </c>
      <c r="I1319" t="s">
        <v>4704</v>
      </c>
      <c r="J1319" s="10">
        <f t="shared" si="40"/>
        <v>35267</v>
      </c>
      <c r="K1319">
        <f t="shared" si="41"/>
        <v>26</v>
      </c>
    </row>
    <row r="1320" spans="1:11">
      <c r="A1320" t="s">
        <v>2040</v>
      </c>
      <c r="B1320">
        <v>1974</v>
      </c>
      <c r="C1320" t="s">
        <v>4705</v>
      </c>
      <c r="D1320">
        <v>10</v>
      </c>
      <c r="E1320">
        <v>4</v>
      </c>
      <c r="F1320" s="13">
        <v>11033.66</v>
      </c>
      <c r="G1320" t="s">
        <v>4698</v>
      </c>
      <c r="H1320" t="s">
        <v>4698</v>
      </c>
      <c r="I1320" t="s">
        <v>4704</v>
      </c>
      <c r="J1320" s="10">
        <f t="shared" si="40"/>
        <v>27373</v>
      </c>
      <c r="K1320">
        <f t="shared" si="41"/>
        <v>48</v>
      </c>
    </row>
    <row r="1321" spans="1:11">
      <c r="A1321" t="s">
        <v>2038</v>
      </c>
      <c r="B1321">
        <v>1989</v>
      </c>
      <c r="C1321" t="s">
        <v>4707</v>
      </c>
      <c r="D1321">
        <v>25</v>
      </c>
      <c r="E1321">
        <v>3</v>
      </c>
      <c r="F1321" s="13">
        <v>11037.51</v>
      </c>
      <c r="G1321" t="s">
        <v>4698</v>
      </c>
      <c r="H1321" t="s">
        <v>4701</v>
      </c>
      <c r="I1321" t="s">
        <v>4704</v>
      </c>
      <c r="J1321" s="10">
        <f t="shared" si="40"/>
        <v>32806</v>
      </c>
      <c r="K1321">
        <f t="shared" si="41"/>
        <v>33</v>
      </c>
    </row>
    <row r="1322" spans="1:11">
      <c r="A1322" t="s">
        <v>2036</v>
      </c>
      <c r="B1322">
        <v>1974</v>
      </c>
      <c r="C1322" t="s">
        <v>4706</v>
      </c>
      <c r="D1322">
        <v>30</v>
      </c>
      <c r="E1322">
        <v>0</v>
      </c>
      <c r="F1322" s="13">
        <v>11037.85</v>
      </c>
      <c r="G1322" t="s">
        <v>4698</v>
      </c>
      <c r="H1322" t="s">
        <v>4697</v>
      </c>
      <c r="I1322" t="s">
        <v>4713</v>
      </c>
      <c r="J1322" s="10">
        <f t="shared" si="40"/>
        <v>27271</v>
      </c>
      <c r="K1322">
        <f t="shared" si="41"/>
        <v>48</v>
      </c>
    </row>
    <row r="1323" spans="1:11">
      <c r="A1323" t="s">
        <v>2034</v>
      </c>
      <c r="B1323">
        <v>2001</v>
      </c>
      <c r="C1323" t="s">
        <v>4705</v>
      </c>
      <c r="D1323">
        <v>17</v>
      </c>
      <c r="E1323">
        <v>0</v>
      </c>
      <c r="F1323" s="13">
        <v>11046.02</v>
      </c>
      <c r="G1323" t="s">
        <v>4698</v>
      </c>
      <c r="H1323" t="s">
        <v>4701</v>
      </c>
      <c r="I1323" t="s">
        <v>4720</v>
      </c>
      <c r="J1323" s="10">
        <f t="shared" si="40"/>
        <v>37242</v>
      </c>
      <c r="K1323">
        <f t="shared" si="41"/>
        <v>21</v>
      </c>
    </row>
    <row r="1324" spans="1:11">
      <c r="A1324" t="s">
        <v>2032</v>
      </c>
      <c r="B1324">
        <v>2000</v>
      </c>
      <c r="C1324" t="s">
        <v>4703</v>
      </c>
      <c r="D1324">
        <v>18</v>
      </c>
      <c r="E1324">
        <v>0</v>
      </c>
      <c r="F1324" s="13">
        <v>11068.7</v>
      </c>
      <c r="G1324" t="s">
        <v>4698</v>
      </c>
      <c r="H1324" t="s">
        <v>4701</v>
      </c>
      <c r="I1324" t="s">
        <v>4708</v>
      </c>
      <c r="J1324" s="10">
        <f t="shared" si="40"/>
        <v>36787</v>
      </c>
      <c r="K1324">
        <f t="shared" si="41"/>
        <v>22</v>
      </c>
    </row>
    <row r="1325" spans="1:11">
      <c r="A1325" t="s">
        <v>2030</v>
      </c>
      <c r="B1325">
        <v>1971</v>
      </c>
      <c r="C1325" t="s">
        <v>4700</v>
      </c>
      <c r="D1325">
        <v>9</v>
      </c>
      <c r="E1325">
        <v>0</v>
      </c>
      <c r="F1325" s="13">
        <v>11068.77</v>
      </c>
      <c r="G1325" t="s">
        <v>4698</v>
      </c>
      <c r="H1325" t="s">
        <v>4697</v>
      </c>
      <c r="I1325" t="s">
        <v>4704</v>
      </c>
      <c r="J1325" s="10">
        <f t="shared" si="40"/>
        <v>26246</v>
      </c>
      <c r="K1325">
        <f t="shared" si="41"/>
        <v>51</v>
      </c>
    </row>
    <row r="1326" spans="1:11">
      <c r="A1326" t="s">
        <v>2028</v>
      </c>
      <c r="B1326">
        <v>1966</v>
      </c>
      <c r="C1326" t="s">
        <v>4700</v>
      </c>
      <c r="D1326">
        <v>7</v>
      </c>
      <c r="E1326">
        <v>0</v>
      </c>
      <c r="F1326" s="13">
        <v>11070.54</v>
      </c>
      <c r="G1326" t="s">
        <v>4698</v>
      </c>
      <c r="H1326" t="s">
        <v>4698</v>
      </c>
      <c r="I1326" t="s">
        <v>4708</v>
      </c>
      <c r="J1326" s="10">
        <f t="shared" si="40"/>
        <v>24418</v>
      </c>
      <c r="K1326">
        <f t="shared" si="41"/>
        <v>56</v>
      </c>
    </row>
    <row r="1327" spans="1:11">
      <c r="A1327" t="s">
        <v>2026</v>
      </c>
      <c r="B1327">
        <v>1966</v>
      </c>
      <c r="C1327" t="s">
        <v>4700</v>
      </c>
      <c r="D1327">
        <v>20</v>
      </c>
      <c r="E1327">
        <v>0</v>
      </c>
      <c r="F1327" s="13">
        <v>11073.18</v>
      </c>
      <c r="G1327" t="s">
        <v>4698</v>
      </c>
      <c r="H1327" t="s">
        <v>4698</v>
      </c>
      <c r="I1327" t="s">
        <v>4708</v>
      </c>
      <c r="J1327" s="10">
        <f t="shared" si="40"/>
        <v>24431</v>
      </c>
      <c r="K1327">
        <f t="shared" si="41"/>
        <v>56</v>
      </c>
    </row>
    <row r="1328" spans="1:11">
      <c r="A1328" t="s">
        <v>2024</v>
      </c>
      <c r="B1328">
        <v>1967</v>
      </c>
      <c r="C1328" t="s">
        <v>4703</v>
      </c>
      <c r="D1328">
        <v>4</v>
      </c>
      <c r="E1328">
        <v>0</v>
      </c>
      <c r="F1328" s="13">
        <v>11082.58</v>
      </c>
      <c r="G1328" t="s">
        <v>4698</v>
      </c>
      <c r="H1328" t="s">
        <v>4697</v>
      </c>
      <c r="I1328" t="s">
        <v>4704</v>
      </c>
      <c r="J1328" s="10">
        <f t="shared" si="40"/>
        <v>24719</v>
      </c>
      <c r="K1328">
        <f t="shared" si="41"/>
        <v>55</v>
      </c>
    </row>
    <row r="1329" spans="1:11">
      <c r="A1329" t="s">
        <v>2022</v>
      </c>
      <c r="B1329">
        <v>1972</v>
      </c>
      <c r="C1329" t="s">
        <v>4707</v>
      </c>
      <c r="D1329">
        <v>7</v>
      </c>
      <c r="E1329">
        <v>3</v>
      </c>
      <c r="F1329" s="13">
        <v>11085.59</v>
      </c>
      <c r="G1329" t="s">
        <v>4698</v>
      </c>
      <c r="H1329" t="s">
        <v>4697</v>
      </c>
      <c r="I1329" t="s">
        <v>4704</v>
      </c>
      <c r="J1329" s="10">
        <f t="shared" si="40"/>
        <v>26579</v>
      </c>
      <c r="K1329">
        <f t="shared" si="41"/>
        <v>50</v>
      </c>
    </row>
    <row r="1330" spans="1:11">
      <c r="A1330" t="s">
        <v>2020</v>
      </c>
      <c r="B1330">
        <v>1966</v>
      </c>
      <c r="C1330" t="s">
        <v>4703</v>
      </c>
      <c r="D1330">
        <v>9</v>
      </c>
      <c r="E1330">
        <v>0</v>
      </c>
      <c r="F1330" s="13">
        <v>11090.72</v>
      </c>
      <c r="G1330" t="s">
        <v>4698</v>
      </c>
      <c r="H1330" t="s">
        <v>4701</v>
      </c>
      <c r="I1330" t="s">
        <v>4699</v>
      </c>
      <c r="J1330" s="10">
        <f t="shared" si="40"/>
        <v>24359</v>
      </c>
      <c r="K1330">
        <f t="shared" si="41"/>
        <v>56</v>
      </c>
    </row>
    <row r="1331" spans="1:11">
      <c r="A1331" t="s">
        <v>2018</v>
      </c>
      <c r="B1331">
        <v>1966</v>
      </c>
      <c r="C1331" t="s">
        <v>4696</v>
      </c>
      <c r="D1331">
        <v>5</v>
      </c>
      <c r="E1331">
        <v>0</v>
      </c>
      <c r="F1331" s="13">
        <v>11093.62</v>
      </c>
      <c r="G1331" t="s">
        <v>4698</v>
      </c>
      <c r="H1331" t="s">
        <v>4701</v>
      </c>
      <c r="I1331" t="s">
        <v>4699</v>
      </c>
      <c r="J1331" s="10">
        <f t="shared" si="40"/>
        <v>24293</v>
      </c>
      <c r="K1331">
        <f t="shared" si="41"/>
        <v>56</v>
      </c>
    </row>
    <row r="1332" spans="1:11">
      <c r="A1332" t="s">
        <v>2016</v>
      </c>
      <c r="B1332">
        <v>1980</v>
      </c>
      <c r="C1332" t="s">
        <v>4706</v>
      </c>
      <c r="D1332">
        <v>20</v>
      </c>
      <c r="E1332">
        <v>2</v>
      </c>
      <c r="F1332" s="13">
        <v>11103.33</v>
      </c>
      <c r="G1332" t="s">
        <v>4698</v>
      </c>
      <c r="H1332" t="s">
        <v>4701</v>
      </c>
      <c r="I1332" t="s">
        <v>4717</v>
      </c>
      <c r="J1332" s="10">
        <f t="shared" si="40"/>
        <v>29453</v>
      </c>
      <c r="K1332">
        <f t="shared" si="41"/>
        <v>42</v>
      </c>
    </row>
    <row r="1333" spans="1:11">
      <c r="A1333" t="s">
        <v>2014</v>
      </c>
      <c r="B1333">
        <v>1969</v>
      </c>
      <c r="C1333" t="s">
        <v>4700</v>
      </c>
      <c r="D1333">
        <v>30</v>
      </c>
      <c r="E1333">
        <v>2</v>
      </c>
      <c r="F1333" s="13">
        <v>11150.78</v>
      </c>
      <c r="G1333" t="s">
        <v>4698</v>
      </c>
      <c r="H1333" t="s">
        <v>4697</v>
      </c>
      <c r="I1333" t="s">
        <v>4708</v>
      </c>
      <c r="J1333" s="10">
        <f t="shared" si="40"/>
        <v>25537</v>
      </c>
      <c r="K1333">
        <f t="shared" si="41"/>
        <v>53</v>
      </c>
    </row>
    <row r="1334" spans="1:11">
      <c r="A1334" t="s">
        <v>2012</v>
      </c>
      <c r="B1334">
        <v>1969</v>
      </c>
      <c r="C1334" t="s">
        <v>4702</v>
      </c>
      <c r="D1334">
        <v>25</v>
      </c>
      <c r="E1334">
        <v>2</v>
      </c>
      <c r="F1334" s="13">
        <v>11163.57</v>
      </c>
      <c r="G1334" t="s">
        <v>4698</v>
      </c>
      <c r="H1334" t="s">
        <v>4697</v>
      </c>
      <c r="I1334" t="s">
        <v>4708</v>
      </c>
      <c r="J1334" s="10">
        <f t="shared" si="40"/>
        <v>25379</v>
      </c>
      <c r="K1334">
        <f t="shared" si="41"/>
        <v>53</v>
      </c>
    </row>
    <row r="1335" spans="1:11">
      <c r="A1335" t="s">
        <v>2010</v>
      </c>
      <c r="B1335">
        <v>1966</v>
      </c>
      <c r="C1335" t="s">
        <v>4706</v>
      </c>
      <c r="D1335">
        <v>6</v>
      </c>
      <c r="E1335">
        <v>0</v>
      </c>
      <c r="F1335" s="13">
        <v>11165.42</v>
      </c>
      <c r="G1335" t="s">
        <v>4698</v>
      </c>
      <c r="H1335" t="s">
        <v>4701</v>
      </c>
      <c r="I1335" t="s">
        <v>4711</v>
      </c>
      <c r="J1335" s="10">
        <f t="shared" si="40"/>
        <v>24325</v>
      </c>
      <c r="K1335">
        <f t="shared" si="41"/>
        <v>56</v>
      </c>
    </row>
    <row r="1336" spans="1:11">
      <c r="A1336" t="s">
        <v>2008</v>
      </c>
      <c r="B1336">
        <v>1972</v>
      </c>
      <c r="C1336" t="s">
        <v>4703</v>
      </c>
      <c r="D1336">
        <v>3</v>
      </c>
      <c r="E1336">
        <v>0</v>
      </c>
      <c r="F1336" s="13">
        <v>11186.2</v>
      </c>
      <c r="G1336" t="s">
        <v>4698</v>
      </c>
      <c r="H1336" t="s">
        <v>4697</v>
      </c>
      <c r="I1336" t="s">
        <v>4717</v>
      </c>
      <c r="J1336" s="10">
        <f t="shared" si="40"/>
        <v>26545</v>
      </c>
      <c r="K1336">
        <f t="shared" si="41"/>
        <v>50</v>
      </c>
    </row>
    <row r="1337" spans="1:11">
      <c r="A1337" t="s">
        <v>2006</v>
      </c>
      <c r="B1337">
        <v>1970</v>
      </c>
      <c r="C1337" t="s">
        <v>4702</v>
      </c>
      <c r="D1337">
        <v>14</v>
      </c>
      <c r="E1337">
        <v>2</v>
      </c>
      <c r="F1337" s="13">
        <v>11187.66</v>
      </c>
      <c r="G1337" t="s">
        <v>4698</v>
      </c>
      <c r="H1337" t="s">
        <v>4697</v>
      </c>
      <c r="I1337" t="s">
        <v>4704</v>
      </c>
      <c r="J1337" s="10">
        <f t="shared" si="40"/>
        <v>25733</v>
      </c>
      <c r="K1337">
        <f t="shared" si="41"/>
        <v>52</v>
      </c>
    </row>
    <row r="1338" spans="1:11">
      <c r="A1338" t="s">
        <v>2004</v>
      </c>
      <c r="B1338">
        <v>1976</v>
      </c>
      <c r="C1338" t="s">
        <v>4702</v>
      </c>
      <c r="D1338">
        <v>28</v>
      </c>
      <c r="E1338">
        <v>2</v>
      </c>
      <c r="F1338" s="13">
        <v>11217.35</v>
      </c>
      <c r="G1338" t="s">
        <v>4698</v>
      </c>
      <c r="H1338" t="s">
        <v>4697</v>
      </c>
      <c r="I1338" t="s">
        <v>4713</v>
      </c>
      <c r="J1338" s="10">
        <f t="shared" si="40"/>
        <v>27939</v>
      </c>
      <c r="K1338">
        <f t="shared" si="41"/>
        <v>46</v>
      </c>
    </row>
    <row r="1339" spans="1:11">
      <c r="A1339" t="s">
        <v>2002</v>
      </c>
      <c r="B1339">
        <v>1969</v>
      </c>
      <c r="C1339" t="s">
        <v>4705</v>
      </c>
      <c r="D1339">
        <v>30</v>
      </c>
      <c r="E1339">
        <v>2</v>
      </c>
      <c r="F1339" s="13">
        <v>11244.38</v>
      </c>
      <c r="G1339" t="s">
        <v>4698</v>
      </c>
      <c r="H1339" t="s">
        <v>4701</v>
      </c>
      <c r="I1339" t="s">
        <v>4711</v>
      </c>
      <c r="J1339" s="10">
        <f t="shared" si="40"/>
        <v>25567</v>
      </c>
      <c r="K1339">
        <f t="shared" si="41"/>
        <v>53</v>
      </c>
    </row>
    <row r="1340" spans="1:11">
      <c r="A1340" t="s">
        <v>2000</v>
      </c>
      <c r="B1340">
        <v>1989</v>
      </c>
      <c r="C1340" t="s">
        <v>4705</v>
      </c>
      <c r="D1340">
        <v>17</v>
      </c>
      <c r="E1340">
        <v>3</v>
      </c>
      <c r="F1340" s="13">
        <v>11250.43</v>
      </c>
      <c r="G1340" t="s">
        <v>4698</v>
      </c>
      <c r="H1340" t="s">
        <v>4697</v>
      </c>
      <c r="I1340" t="s">
        <v>4720</v>
      </c>
      <c r="J1340" s="10">
        <f t="shared" si="40"/>
        <v>32859</v>
      </c>
      <c r="K1340">
        <f t="shared" si="41"/>
        <v>33</v>
      </c>
    </row>
    <row r="1341" spans="1:11">
      <c r="A1341" t="s">
        <v>1998</v>
      </c>
      <c r="B1341">
        <v>1969</v>
      </c>
      <c r="C1341" t="s">
        <v>4706</v>
      </c>
      <c r="D1341">
        <v>20</v>
      </c>
      <c r="E1341">
        <v>3</v>
      </c>
      <c r="F1341" s="13">
        <v>11253.42</v>
      </c>
      <c r="G1341" t="s">
        <v>4698</v>
      </c>
      <c r="H1341" t="s">
        <v>4701</v>
      </c>
      <c r="I1341" t="s">
        <v>4708</v>
      </c>
      <c r="J1341" s="10">
        <f t="shared" si="40"/>
        <v>25435</v>
      </c>
      <c r="K1341">
        <f t="shared" si="41"/>
        <v>53</v>
      </c>
    </row>
    <row r="1342" spans="1:11">
      <c r="A1342" t="s">
        <v>1996</v>
      </c>
      <c r="B1342">
        <v>1981</v>
      </c>
      <c r="C1342" t="s">
        <v>4707</v>
      </c>
      <c r="D1342">
        <v>2</v>
      </c>
      <c r="E1342">
        <v>1</v>
      </c>
      <c r="F1342" s="13">
        <v>11255.29</v>
      </c>
      <c r="G1342" t="s">
        <v>4698</v>
      </c>
      <c r="H1342" t="s">
        <v>4701</v>
      </c>
      <c r="I1342" t="s">
        <v>4720</v>
      </c>
      <c r="J1342" s="10">
        <f t="shared" si="40"/>
        <v>29861</v>
      </c>
      <c r="K1342">
        <f t="shared" si="41"/>
        <v>41</v>
      </c>
    </row>
    <row r="1343" spans="1:11">
      <c r="A1343" t="s">
        <v>1994</v>
      </c>
      <c r="B1343">
        <v>1969</v>
      </c>
      <c r="C1343" t="s">
        <v>4707</v>
      </c>
      <c r="D1343">
        <v>11</v>
      </c>
      <c r="E1343">
        <v>3</v>
      </c>
      <c r="F1343" s="13">
        <v>11264.54</v>
      </c>
      <c r="G1343" t="s">
        <v>4698</v>
      </c>
      <c r="H1343" t="s">
        <v>4697</v>
      </c>
      <c r="I1343" t="s">
        <v>4708</v>
      </c>
      <c r="J1343" s="10">
        <f t="shared" si="40"/>
        <v>25487</v>
      </c>
      <c r="K1343">
        <f t="shared" si="41"/>
        <v>53</v>
      </c>
    </row>
    <row r="1344" spans="1:11">
      <c r="A1344" t="s">
        <v>1992</v>
      </c>
      <c r="B1344">
        <v>1971</v>
      </c>
      <c r="C1344" t="s">
        <v>4705</v>
      </c>
      <c r="D1344">
        <v>26</v>
      </c>
      <c r="E1344">
        <v>0</v>
      </c>
      <c r="F1344" s="13">
        <v>11265.71</v>
      </c>
      <c r="G1344" t="s">
        <v>4698</v>
      </c>
      <c r="H1344" t="s">
        <v>4701</v>
      </c>
      <c r="I1344" t="s">
        <v>4713</v>
      </c>
      <c r="J1344" s="10">
        <f t="shared" si="40"/>
        <v>26293</v>
      </c>
      <c r="K1344">
        <f t="shared" si="41"/>
        <v>51</v>
      </c>
    </row>
    <row r="1345" spans="1:11">
      <c r="A1345" t="s">
        <v>1990</v>
      </c>
      <c r="B1345">
        <v>2004</v>
      </c>
      <c r="C1345" t="s">
        <v>4707</v>
      </c>
      <c r="D1345">
        <v>4</v>
      </c>
      <c r="E1345">
        <v>1</v>
      </c>
      <c r="F1345" s="13">
        <v>11272.33</v>
      </c>
      <c r="G1345" t="s">
        <v>4698</v>
      </c>
      <c r="H1345" t="s">
        <v>4697</v>
      </c>
      <c r="I1345" t="s">
        <v>4710</v>
      </c>
      <c r="J1345" s="10">
        <f t="shared" si="40"/>
        <v>38264</v>
      </c>
      <c r="K1345">
        <f t="shared" si="41"/>
        <v>18</v>
      </c>
    </row>
    <row r="1346" spans="1:11">
      <c r="A1346" t="s">
        <v>1988</v>
      </c>
      <c r="B1346">
        <v>1967</v>
      </c>
      <c r="C1346" t="s">
        <v>4702</v>
      </c>
      <c r="D1346">
        <v>14</v>
      </c>
      <c r="E1346">
        <v>0</v>
      </c>
      <c r="F1346" s="13">
        <v>11286.54</v>
      </c>
      <c r="G1346" t="s">
        <v>4698</v>
      </c>
      <c r="H1346" t="s">
        <v>4698</v>
      </c>
      <c r="I1346" t="s">
        <v>4714</v>
      </c>
      <c r="J1346" s="10">
        <f t="shared" ref="J1346:J1409" si="42">DATEVALUE(D1346&amp;"-"&amp;C1346&amp;"-"&amp;B1346)</f>
        <v>24637</v>
      </c>
      <c r="K1346">
        <f t="shared" si="41"/>
        <v>55</v>
      </c>
    </row>
    <row r="1347" spans="1:11">
      <c r="A1347" t="s">
        <v>1986</v>
      </c>
      <c r="B1347">
        <v>1970</v>
      </c>
      <c r="C1347" t="s">
        <v>4702</v>
      </c>
      <c r="D1347">
        <v>22</v>
      </c>
      <c r="E1347">
        <v>3</v>
      </c>
      <c r="F1347" s="13">
        <v>11289.11</v>
      </c>
      <c r="G1347" t="s">
        <v>4698</v>
      </c>
      <c r="H1347" t="s">
        <v>4701</v>
      </c>
      <c r="I1347" t="s">
        <v>4704</v>
      </c>
      <c r="J1347" s="10">
        <f t="shared" si="42"/>
        <v>25741</v>
      </c>
      <c r="K1347">
        <f t="shared" ref="K1347:K1410" si="43">DATEDIF(J1347, DATE(2023, 6, 8), "Y")</f>
        <v>52</v>
      </c>
    </row>
    <row r="1348" spans="1:11">
      <c r="A1348" t="s">
        <v>1984</v>
      </c>
      <c r="B1348">
        <v>1988</v>
      </c>
      <c r="C1348" t="s">
        <v>4700</v>
      </c>
      <c r="D1348">
        <v>14</v>
      </c>
      <c r="E1348">
        <v>3</v>
      </c>
      <c r="F1348" s="13">
        <v>11294.57</v>
      </c>
      <c r="G1348" t="s">
        <v>4698</v>
      </c>
      <c r="H1348" t="s">
        <v>4701</v>
      </c>
      <c r="I1348" t="s">
        <v>4721</v>
      </c>
      <c r="J1348" s="10">
        <f t="shared" si="42"/>
        <v>32461</v>
      </c>
      <c r="K1348">
        <f t="shared" si="43"/>
        <v>34</v>
      </c>
    </row>
    <row r="1349" spans="1:11">
      <c r="A1349" t="s">
        <v>1982</v>
      </c>
      <c r="B1349">
        <v>1972</v>
      </c>
      <c r="C1349" t="s">
        <v>4703</v>
      </c>
      <c r="D1349">
        <v>25</v>
      </c>
      <c r="E1349">
        <v>4</v>
      </c>
      <c r="F1349" s="13">
        <v>11299.34</v>
      </c>
      <c r="G1349" t="s">
        <v>4698</v>
      </c>
      <c r="H1349" t="s">
        <v>4697</v>
      </c>
      <c r="I1349" t="s">
        <v>4708</v>
      </c>
      <c r="J1349" s="10">
        <f t="shared" si="42"/>
        <v>26567</v>
      </c>
      <c r="K1349">
        <f t="shared" si="43"/>
        <v>50</v>
      </c>
    </row>
    <row r="1350" spans="1:11">
      <c r="A1350" t="s">
        <v>1980</v>
      </c>
      <c r="B1350">
        <v>1968</v>
      </c>
      <c r="C1350" t="s">
        <v>4707</v>
      </c>
      <c r="D1350">
        <v>6</v>
      </c>
      <c r="E1350">
        <v>1</v>
      </c>
      <c r="F1350" s="13">
        <v>11305.93</v>
      </c>
      <c r="G1350" t="s">
        <v>4698</v>
      </c>
      <c r="H1350" t="s">
        <v>4701</v>
      </c>
      <c r="I1350" t="s">
        <v>4704</v>
      </c>
      <c r="J1350" s="10">
        <f t="shared" si="42"/>
        <v>25117</v>
      </c>
      <c r="K1350">
        <f t="shared" si="43"/>
        <v>54</v>
      </c>
    </row>
    <row r="1351" spans="1:11">
      <c r="A1351" t="s">
        <v>1978</v>
      </c>
      <c r="B1351">
        <v>1963</v>
      </c>
      <c r="C1351" t="s">
        <v>4700</v>
      </c>
      <c r="D1351">
        <v>22</v>
      </c>
      <c r="E1351">
        <v>0</v>
      </c>
      <c r="F1351" s="13">
        <v>11312.33</v>
      </c>
      <c r="G1351" t="s">
        <v>4698</v>
      </c>
      <c r="H1351" t="s">
        <v>4698</v>
      </c>
      <c r="I1351" t="s">
        <v>4704</v>
      </c>
      <c r="J1351" s="10">
        <f t="shared" si="42"/>
        <v>23337</v>
      </c>
      <c r="K1351">
        <f t="shared" si="43"/>
        <v>59</v>
      </c>
    </row>
    <row r="1352" spans="1:11">
      <c r="A1352" t="s">
        <v>1976</v>
      </c>
      <c r="B1352">
        <v>1995</v>
      </c>
      <c r="C1352" t="s">
        <v>4705</v>
      </c>
      <c r="D1352">
        <v>10</v>
      </c>
      <c r="E1352">
        <v>0</v>
      </c>
      <c r="F1352" s="13">
        <v>11318.57</v>
      </c>
      <c r="G1352" t="s">
        <v>4698</v>
      </c>
      <c r="H1352" t="s">
        <v>4697</v>
      </c>
      <c r="I1352" t="s">
        <v>4720</v>
      </c>
      <c r="J1352" s="10">
        <f t="shared" si="42"/>
        <v>35043</v>
      </c>
      <c r="K1352">
        <f t="shared" si="43"/>
        <v>27</v>
      </c>
    </row>
    <row r="1353" spans="1:11">
      <c r="A1353" t="s">
        <v>1974</v>
      </c>
      <c r="B1353">
        <v>1963</v>
      </c>
      <c r="C1353" t="s">
        <v>4696</v>
      </c>
      <c r="D1353">
        <v>11</v>
      </c>
      <c r="E1353">
        <v>0</v>
      </c>
      <c r="F1353" s="13">
        <v>11319.12</v>
      </c>
      <c r="G1353" t="s">
        <v>4698</v>
      </c>
      <c r="H1353" t="s">
        <v>4701</v>
      </c>
      <c r="I1353" t="s">
        <v>4704</v>
      </c>
      <c r="J1353" s="10">
        <f t="shared" si="42"/>
        <v>23203</v>
      </c>
      <c r="K1353">
        <f t="shared" si="43"/>
        <v>59</v>
      </c>
    </row>
    <row r="1354" spans="1:11">
      <c r="A1354" t="s">
        <v>1972</v>
      </c>
      <c r="B1354">
        <v>2002</v>
      </c>
      <c r="C1354" t="s">
        <v>4703</v>
      </c>
      <c r="D1354">
        <v>20</v>
      </c>
      <c r="E1354">
        <v>0</v>
      </c>
      <c r="F1354" s="13">
        <v>11321.49</v>
      </c>
      <c r="G1354" t="s">
        <v>4698</v>
      </c>
      <c r="H1354" t="s">
        <v>4698</v>
      </c>
      <c r="I1354" t="s">
        <v>4704</v>
      </c>
      <c r="J1354" s="10">
        <f t="shared" si="42"/>
        <v>37519</v>
      </c>
      <c r="K1354">
        <f t="shared" si="43"/>
        <v>20</v>
      </c>
    </row>
    <row r="1355" spans="1:11">
      <c r="A1355" t="s">
        <v>1970</v>
      </c>
      <c r="B1355">
        <v>1989</v>
      </c>
      <c r="C1355" t="s">
        <v>4706</v>
      </c>
      <c r="D1355">
        <v>19</v>
      </c>
      <c r="E1355">
        <v>1</v>
      </c>
      <c r="F1355" s="13">
        <v>11326.71</v>
      </c>
      <c r="G1355" t="s">
        <v>4698</v>
      </c>
      <c r="H1355" t="s">
        <v>4698</v>
      </c>
      <c r="I1355" t="s">
        <v>4699</v>
      </c>
      <c r="J1355" s="10">
        <f t="shared" si="42"/>
        <v>32739</v>
      </c>
      <c r="K1355">
        <f t="shared" si="43"/>
        <v>33</v>
      </c>
    </row>
    <row r="1356" spans="1:11">
      <c r="A1356" t="s">
        <v>1968</v>
      </c>
      <c r="B1356">
        <v>1968</v>
      </c>
      <c r="C1356" t="s">
        <v>4700</v>
      </c>
      <c r="D1356">
        <v>2</v>
      </c>
      <c r="E1356">
        <v>0</v>
      </c>
      <c r="F1356" s="13">
        <v>11344.32</v>
      </c>
      <c r="G1356" t="s">
        <v>4698</v>
      </c>
      <c r="H1356" t="s">
        <v>4697</v>
      </c>
      <c r="I1356" t="s">
        <v>4713</v>
      </c>
      <c r="J1356" s="10">
        <f t="shared" si="42"/>
        <v>25144</v>
      </c>
      <c r="K1356">
        <f t="shared" si="43"/>
        <v>54</v>
      </c>
    </row>
    <row r="1357" spans="1:11">
      <c r="A1357" t="s">
        <v>1966</v>
      </c>
      <c r="B1357">
        <v>1964</v>
      </c>
      <c r="C1357" t="s">
        <v>4696</v>
      </c>
      <c r="D1357">
        <v>12</v>
      </c>
      <c r="E1357">
        <v>0</v>
      </c>
      <c r="F1357" s="13">
        <v>11345.52</v>
      </c>
      <c r="G1357" t="s">
        <v>4698</v>
      </c>
      <c r="H1357" t="s">
        <v>4698</v>
      </c>
      <c r="I1357" t="s">
        <v>4708</v>
      </c>
      <c r="J1357" s="10">
        <f t="shared" si="42"/>
        <v>23570</v>
      </c>
      <c r="K1357">
        <f t="shared" si="43"/>
        <v>58</v>
      </c>
    </row>
    <row r="1358" spans="1:11">
      <c r="A1358" t="s">
        <v>1964</v>
      </c>
      <c r="B1358">
        <v>1965</v>
      </c>
      <c r="C1358" t="s">
        <v>4700</v>
      </c>
      <c r="D1358">
        <v>29</v>
      </c>
      <c r="E1358">
        <v>0</v>
      </c>
      <c r="F1358" s="13">
        <v>11353.23</v>
      </c>
      <c r="G1358" t="s">
        <v>4698</v>
      </c>
      <c r="H1358" t="s">
        <v>4701</v>
      </c>
      <c r="I1358" t="s">
        <v>4704</v>
      </c>
      <c r="J1358" s="10">
        <f t="shared" si="42"/>
        <v>24075</v>
      </c>
      <c r="K1358">
        <f t="shared" si="43"/>
        <v>57</v>
      </c>
    </row>
    <row r="1359" spans="1:11">
      <c r="A1359" t="s">
        <v>1962</v>
      </c>
      <c r="B1359">
        <v>1965</v>
      </c>
      <c r="C1359" t="s">
        <v>4703</v>
      </c>
      <c r="D1359">
        <v>26</v>
      </c>
      <c r="E1359">
        <v>0</v>
      </c>
      <c r="F1359" s="13">
        <v>11356.66</v>
      </c>
      <c r="G1359" t="s">
        <v>4698</v>
      </c>
      <c r="H1359" t="s">
        <v>4698</v>
      </c>
      <c r="I1359" t="s">
        <v>4704</v>
      </c>
      <c r="J1359" s="10">
        <f t="shared" si="42"/>
        <v>24011</v>
      </c>
      <c r="K1359">
        <f t="shared" si="43"/>
        <v>57</v>
      </c>
    </row>
    <row r="1360" spans="1:11">
      <c r="A1360" t="s">
        <v>1960</v>
      </c>
      <c r="B1360">
        <v>1964</v>
      </c>
      <c r="C1360" t="s">
        <v>4696</v>
      </c>
      <c r="D1360">
        <v>4</v>
      </c>
      <c r="E1360">
        <v>0</v>
      </c>
      <c r="F1360" s="13">
        <v>11362.76</v>
      </c>
      <c r="G1360" t="s">
        <v>4698</v>
      </c>
      <c r="H1360" t="s">
        <v>4701</v>
      </c>
      <c r="I1360" t="s">
        <v>4708</v>
      </c>
      <c r="J1360" s="10">
        <f t="shared" si="42"/>
        <v>23562</v>
      </c>
      <c r="K1360">
        <f t="shared" si="43"/>
        <v>58</v>
      </c>
    </row>
    <row r="1361" spans="1:11">
      <c r="A1361" t="s">
        <v>1958</v>
      </c>
      <c r="B1361">
        <v>1964</v>
      </c>
      <c r="C1361" t="s">
        <v>4696</v>
      </c>
      <c r="D1361">
        <v>3</v>
      </c>
      <c r="E1361">
        <v>0</v>
      </c>
      <c r="F1361" s="13">
        <v>11363.28</v>
      </c>
      <c r="G1361" t="s">
        <v>4698</v>
      </c>
      <c r="H1361" t="s">
        <v>4701</v>
      </c>
      <c r="I1361" t="s">
        <v>4699</v>
      </c>
      <c r="J1361" s="10">
        <f t="shared" si="42"/>
        <v>23561</v>
      </c>
      <c r="K1361">
        <f t="shared" si="43"/>
        <v>58</v>
      </c>
    </row>
    <row r="1362" spans="1:11">
      <c r="A1362" t="s">
        <v>1956</v>
      </c>
      <c r="B1362">
        <v>1964</v>
      </c>
      <c r="C1362" t="s">
        <v>4705</v>
      </c>
      <c r="D1362">
        <v>13</v>
      </c>
      <c r="E1362">
        <v>0</v>
      </c>
      <c r="F1362" s="13">
        <v>11365.95</v>
      </c>
      <c r="G1362" t="s">
        <v>4698</v>
      </c>
      <c r="H1362" t="s">
        <v>4697</v>
      </c>
      <c r="I1362" t="s">
        <v>4708</v>
      </c>
      <c r="J1362" s="10">
        <f t="shared" si="42"/>
        <v>23724</v>
      </c>
      <c r="K1362">
        <f t="shared" si="43"/>
        <v>58</v>
      </c>
    </row>
    <row r="1363" spans="1:11">
      <c r="A1363" t="s">
        <v>1954</v>
      </c>
      <c r="B1363">
        <v>1979</v>
      </c>
      <c r="C1363" t="s">
        <v>4702</v>
      </c>
      <c r="D1363">
        <v>7</v>
      </c>
      <c r="E1363">
        <v>2</v>
      </c>
      <c r="F1363" s="13">
        <v>11369.39</v>
      </c>
      <c r="G1363" t="s">
        <v>4698</v>
      </c>
      <c r="H1363" t="s">
        <v>4701</v>
      </c>
      <c r="I1363" t="s">
        <v>4720</v>
      </c>
      <c r="J1363" s="10">
        <f t="shared" si="42"/>
        <v>29013</v>
      </c>
      <c r="K1363">
        <f t="shared" si="43"/>
        <v>44</v>
      </c>
    </row>
    <row r="1364" spans="1:11">
      <c r="A1364" t="s">
        <v>1952</v>
      </c>
      <c r="B1364">
        <v>1972</v>
      </c>
      <c r="C1364" t="s">
        <v>4705</v>
      </c>
      <c r="D1364">
        <v>6</v>
      </c>
      <c r="E1364">
        <v>0</v>
      </c>
      <c r="F1364" s="13">
        <v>11378.57</v>
      </c>
      <c r="G1364" t="s">
        <v>4698</v>
      </c>
      <c r="H1364" t="s">
        <v>4697</v>
      </c>
      <c r="I1364" t="s">
        <v>4713</v>
      </c>
      <c r="J1364" s="10">
        <f t="shared" si="42"/>
        <v>26639</v>
      </c>
      <c r="K1364">
        <f t="shared" si="43"/>
        <v>50</v>
      </c>
    </row>
    <row r="1365" spans="1:11">
      <c r="A1365" t="s">
        <v>1950</v>
      </c>
      <c r="B1365">
        <v>1964</v>
      </c>
      <c r="C1365" t="s">
        <v>4702</v>
      </c>
      <c r="D1365">
        <v>13</v>
      </c>
      <c r="E1365">
        <v>0</v>
      </c>
      <c r="F1365" s="13">
        <v>11381.33</v>
      </c>
      <c r="G1365" t="s">
        <v>4698</v>
      </c>
      <c r="H1365" t="s">
        <v>4697</v>
      </c>
      <c r="I1365" t="s">
        <v>4699</v>
      </c>
      <c r="J1365" s="10">
        <f t="shared" si="42"/>
        <v>23541</v>
      </c>
      <c r="K1365">
        <f t="shared" si="43"/>
        <v>58</v>
      </c>
    </row>
    <row r="1366" spans="1:11">
      <c r="A1366" t="s">
        <v>1948</v>
      </c>
      <c r="B1366">
        <v>1997</v>
      </c>
      <c r="C1366" t="s">
        <v>4696</v>
      </c>
      <c r="D1366">
        <v>28</v>
      </c>
      <c r="E1366">
        <v>0</v>
      </c>
      <c r="F1366" s="13">
        <v>11388.27</v>
      </c>
      <c r="G1366" t="s">
        <v>4698</v>
      </c>
      <c r="H1366" t="s">
        <v>4697</v>
      </c>
      <c r="I1366" t="s">
        <v>4720</v>
      </c>
      <c r="J1366" s="10">
        <f t="shared" si="42"/>
        <v>35639</v>
      </c>
      <c r="K1366">
        <f t="shared" si="43"/>
        <v>25</v>
      </c>
    </row>
    <row r="1367" spans="1:11">
      <c r="A1367" t="s">
        <v>1946</v>
      </c>
      <c r="B1367">
        <v>1967</v>
      </c>
      <c r="C1367" t="s">
        <v>4705</v>
      </c>
      <c r="D1367">
        <v>19</v>
      </c>
      <c r="E1367">
        <v>1</v>
      </c>
      <c r="F1367" s="13">
        <v>11394.07</v>
      </c>
      <c r="G1367" t="s">
        <v>4698</v>
      </c>
      <c r="H1367" t="s">
        <v>4701</v>
      </c>
      <c r="I1367" t="s">
        <v>4712</v>
      </c>
      <c r="J1367" s="10">
        <f t="shared" si="42"/>
        <v>24825</v>
      </c>
      <c r="K1367">
        <f t="shared" si="43"/>
        <v>55</v>
      </c>
    </row>
    <row r="1368" spans="1:11">
      <c r="A1368" t="s">
        <v>1944</v>
      </c>
      <c r="B1368">
        <v>1970</v>
      </c>
      <c r="C1368" t="s">
        <v>4707</v>
      </c>
      <c r="D1368">
        <v>2</v>
      </c>
      <c r="E1368">
        <v>2</v>
      </c>
      <c r="F1368" s="13">
        <v>11396.9</v>
      </c>
      <c r="G1368" t="s">
        <v>4698</v>
      </c>
      <c r="H1368" t="s">
        <v>4698</v>
      </c>
      <c r="I1368" t="s">
        <v>4714</v>
      </c>
      <c r="J1368" s="10">
        <f t="shared" si="42"/>
        <v>25843</v>
      </c>
      <c r="K1368">
        <f t="shared" si="43"/>
        <v>52</v>
      </c>
    </row>
    <row r="1369" spans="1:11">
      <c r="A1369" t="s">
        <v>1942</v>
      </c>
      <c r="B1369">
        <v>1970</v>
      </c>
      <c r="C1369" t="s">
        <v>4707</v>
      </c>
      <c r="D1369">
        <v>7</v>
      </c>
      <c r="E1369">
        <v>3</v>
      </c>
      <c r="F1369" s="13">
        <v>11411.69</v>
      </c>
      <c r="G1369" t="s">
        <v>4698</v>
      </c>
      <c r="H1369" t="s">
        <v>4697</v>
      </c>
      <c r="I1369" t="s">
        <v>4708</v>
      </c>
      <c r="J1369" s="10">
        <f t="shared" si="42"/>
        <v>25848</v>
      </c>
      <c r="K1369">
        <f t="shared" si="43"/>
        <v>52</v>
      </c>
    </row>
    <row r="1370" spans="1:11">
      <c r="A1370" t="s">
        <v>1940</v>
      </c>
      <c r="B1370">
        <v>1983</v>
      </c>
      <c r="C1370" t="s">
        <v>4707</v>
      </c>
      <c r="D1370">
        <v>23</v>
      </c>
      <c r="E1370">
        <v>3</v>
      </c>
      <c r="F1370" s="13">
        <v>11412.02</v>
      </c>
      <c r="G1370" t="s">
        <v>4698</v>
      </c>
      <c r="H1370" t="s">
        <v>4701</v>
      </c>
      <c r="I1370" t="s">
        <v>4717</v>
      </c>
      <c r="J1370" s="10">
        <f t="shared" si="42"/>
        <v>30612</v>
      </c>
      <c r="K1370">
        <f t="shared" si="43"/>
        <v>39</v>
      </c>
    </row>
    <row r="1371" spans="1:11">
      <c r="A1371" t="s">
        <v>1938</v>
      </c>
      <c r="B1371">
        <v>1985</v>
      </c>
      <c r="C1371" t="s">
        <v>4702</v>
      </c>
      <c r="D1371">
        <v>9</v>
      </c>
      <c r="E1371">
        <v>3</v>
      </c>
      <c r="F1371" s="13">
        <v>11419.49</v>
      </c>
      <c r="G1371" t="s">
        <v>4698</v>
      </c>
      <c r="H1371" t="s">
        <v>4701</v>
      </c>
      <c r="I1371" t="s">
        <v>4704</v>
      </c>
      <c r="J1371" s="10">
        <f t="shared" si="42"/>
        <v>31207</v>
      </c>
      <c r="K1371">
        <f t="shared" si="43"/>
        <v>37</v>
      </c>
    </row>
    <row r="1372" spans="1:11">
      <c r="A1372" t="s">
        <v>1936</v>
      </c>
      <c r="B1372">
        <v>1980</v>
      </c>
      <c r="C1372" t="s">
        <v>4696</v>
      </c>
      <c r="D1372">
        <v>17</v>
      </c>
      <c r="E1372">
        <v>2</v>
      </c>
      <c r="F1372" s="13">
        <v>11435.74</v>
      </c>
      <c r="G1372" t="s">
        <v>4698</v>
      </c>
      <c r="H1372" t="s">
        <v>4698</v>
      </c>
      <c r="I1372" t="s">
        <v>4717</v>
      </c>
      <c r="J1372" s="10">
        <f t="shared" si="42"/>
        <v>29419</v>
      </c>
      <c r="K1372">
        <f t="shared" si="43"/>
        <v>42</v>
      </c>
    </row>
    <row r="1373" spans="1:11">
      <c r="A1373" t="s">
        <v>1934</v>
      </c>
      <c r="B1373">
        <v>1971</v>
      </c>
      <c r="C1373" t="s">
        <v>4703</v>
      </c>
      <c r="D1373">
        <v>12</v>
      </c>
      <c r="E1373">
        <v>3</v>
      </c>
      <c r="F1373" s="13">
        <v>11436.74</v>
      </c>
      <c r="G1373" t="s">
        <v>4698</v>
      </c>
      <c r="H1373" t="s">
        <v>4698</v>
      </c>
      <c r="I1373" t="s">
        <v>4704</v>
      </c>
      <c r="J1373" s="10">
        <f t="shared" si="42"/>
        <v>26188</v>
      </c>
      <c r="K1373">
        <f t="shared" si="43"/>
        <v>51</v>
      </c>
    </row>
    <row r="1374" spans="1:11">
      <c r="A1374" t="s">
        <v>1932</v>
      </c>
      <c r="B1374">
        <v>1966</v>
      </c>
      <c r="C1374" t="s">
        <v>4702</v>
      </c>
      <c r="D1374">
        <v>14</v>
      </c>
      <c r="E1374">
        <v>0</v>
      </c>
      <c r="F1374" s="13">
        <v>11454.02</v>
      </c>
      <c r="G1374" t="s">
        <v>4698</v>
      </c>
      <c r="H1374" t="s">
        <v>4701</v>
      </c>
      <c r="I1374" t="s">
        <v>4704</v>
      </c>
      <c r="J1374" s="10">
        <f t="shared" si="42"/>
        <v>24272</v>
      </c>
      <c r="K1374">
        <f t="shared" si="43"/>
        <v>56</v>
      </c>
    </row>
    <row r="1375" spans="1:11">
      <c r="A1375" t="s">
        <v>1930</v>
      </c>
      <c r="B1375">
        <v>1965</v>
      </c>
      <c r="C1375" t="s">
        <v>4702</v>
      </c>
      <c r="D1375">
        <v>23</v>
      </c>
      <c r="E1375">
        <v>0</v>
      </c>
      <c r="F1375" s="13">
        <v>11455.28</v>
      </c>
      <c r="G1375" t="s">
        <v>4698</v>
      </c>
      <c r="H1375" t="s">
        <v>4697</v>
      </c>
      <c r="I1375" t="s">
        <v>4708</v>
      </c>
      <c r="J1375" s="10">
        <f t="shared" si="42"/>
        <v>23916</v>
      </c>
      <c r="K1375">
        <f t="shared" si="43"/>
        <v>57</v>
      </c>
    </row>
    <row r="1376" spans="1:11">
      <c r="A1376" t="s">
        <v>1928</v>
      </c>
      <c r="B1376">
        <v>1966</v>
      </c>
      <c r="C1376" t="s">
        <v>4703</v>
      </c>
      <c r="D1376">
        <v>7</v>
      </c>
      <c r="E1376">
        <v>0</v>
      </c>
      <c r="F1376" s="13">
        <v>11478.14</v>
      </c>
      <c r="G1376" t="s">
        <v>4698</v>
      </c>
      <c r="H1376" t="s">
        <v>4697</v>
      </c>
      <c r="I1376" t="s">
        <v>4713</v>
      </c>
      <c r="J1376" s="10">
        <f t="shared" si="42"/>
        <v>24357</v>
      </c>
      <c r="K1376">
        <f t="shared" si="43"/>
        <v>56</v>
      </c>
    </row>
    <row r="1377" spans="1:11">
      <c r="A1377" t="s">
        <v>1926</v>
      </c>
      <c r="B1377">
        <v>2004</v>
      </c>
      <c r="C1377" t="s">
        <v>4703</v>
      </c>
      <c r="D1377">
        <v>10</v>
      </c>
      <c r="E1377">
        <v>0</v>
      </c>
      <c r="F1377" s="13">
        <v>11482.63</v>
      </c>
      <c r="G1377" t="s">
        <v>4698</v>
      </c>
      <c r="H1377" t="s">
        <v>4697</v>
      </c>
      <c r="I1377" t="s">
        <v>4699</v>
      </c>
      <c r="J1377" s="10">
        <f t="shared" si="42"/>
        <v>38240</v>
      </c>
      <c r="K1377">
        <f t="shared" si="43"/>
        <v>18</v>
      </c>
    </row>
    <row r="1378" spans="1:11">
      <c r="A1378" t="s">
        <v>1924</v>
      </c>
      <c r="B1378">
        <v>1970</v>
      </c>
      <c r="C1378" t="s">
        <v>4707</v>
      </c>
      <c r="D1378">
        <v>13</v>
      </c>
      <c r="E1378">
        <v>3</v>
      </c>
      <c r="F1378" s="13">
        <v>11488.32</v>
      </c>
      <c r="G1378" t="s">
        <v>4698</v>
      </c>
      <c r="H1378" t="s">
        <v>4701</v>
      </c>
      <c r="I1378" t="s">
        <v>4716</v>
      </c>
      <c r="J1378" s="10">
        <f t="shared" si="42"/>
        <v>25854</v>
      </c>
      <c r="K1378">
        <f t="shared" si="43"/>
        <v>52</v>
      </c>
    </row>
    <row r="1379" spans="1:11">
      <c r="A1379" t="s">
        <v>1922</v>
      </c>
      <c r="B1379">
        <v>1983</v>
      </c>
      <c r="C1379" t="s">
        <v>4702</v>
      </c>
      <c r="D1379">
        <v>7</v>
      </c>
      <c r="E1379">
        <v>3</v>
      </c>
      <c r="F1379" s="13">
        <v>11492.46</v>
      </c>
      <c r="G1379" t="s">
        <v>4698</v>
      </c>
      <c r="H1379" t="s">
        <v>4698</v>
      </c>
      <c r="I1379" t="s">
        <v>4720</v>
      </c>
      <c r="J1379" s="10">
        <f t="shared" si="42"/>
        <v>30474</v>
      </c>
      <c r="K1379">
        <f t="shared" si="43"/>
        <v>40</v>
      </c>
    </row>
    <row r="1380" spans="1:11">
      <c r="A1380" t="s">
        <v>1920</v>
      </c>
      <c r="B1380">
        <v>1969</v>
      </c>
      <c r="C1380" t="s">
        <v>4706</v>
      </c>
      <c r="D1380">
        <v>11</v>
      </c>
      <c r="E1380">
        <v>0</v>
      </c>
      <c r="F1380" s="13">
        <v>11497.69</v>
      </c>
      <c r="G1380" t="s">
        <v>4698</v>
      </c>
      <c r="H1380" t="s">
        <v>4701</v>
      </c>
      <c r="I1380" t="s">
        <v>4704</v>
      </c>
      <c r="J1380" s="10">
        <f t="shared" si="42"/>
        <v>25426</v>
      </c>
      <c r="K1380">
        <f t="shared" si="43"/>
        <v>53</v>
      </c>
    </row>
    <row r="1381" spans="1:11">
      <c r="A1381" t="s">
        <v>1918</v>
      </c>
      <c r="B1381">
        <v>1989</v>
      </c>
      <c r="C1381" t="s">
        <v>4707</v>
      </c>
      <c r="D1381">
        <v>6</v>
      </c>
      <c r="E1381">
        <v>3</v>
      </c>
      <c r="F1381" s="13">
        <v>11511.61</v>
      </c>
      <c r="G1381" t="s">
        <v>4698</v>
      </c>
      <c r="H1381" t="s">
        <v>4698</v>
      </c>
      <c r="I1381" t="s">
        <v>4720</v>
      </c>
      <c r="J1381" s="10">
        <f t="shared" si="42"/>
        <v>32787</v>
      </c>
      <c r="K1381">
        <f t="shared" si="43"/>
        <v>33</v>
      </c>
    </row>
    <row r="1382" spans="1:11">
      <c r="A1382" t="s">
        <v>1916</v>
      </c>
      <c r="B1382">
        <v>1968</v>
      </c>
      <c r="C1382" t="s">
        <v>4702</v>
      </c>
      <c r="D1382">
        <v>24</v>
      </c>
      <c r="E1382">
        <v>1</v>
      </c>
      <c r="F1382" s="13">
        <v>11512.41</v>
      </c>
      <c r="G1382" t="s">
        <v>4698</v>
      </c>
      <c r="H1382" t="s">
        <v>4701</v>
      </c>
      <c r="I1382" t="s">
        <v>4714</v>
      </c>
      <c r="J1382" s="10">
        <f t="shared" si="42"/>
        <v>25013</v>
      </c>
      <c r="K1382">
        <f t="shared" si="43"/>
        <v>54</v>
      </c>
    </row>
    <row r="1383" spans="1:11">
      <c r="A1383" t="s">
        <v>1914</v>
      </c>
      <c r="B1383">
        <v>1971</v>
      </c>
      <c r="C1383" t="s">
        <v>4705</v>
      </c>
      <c r="D1383">
        <v>19</v>
      </c>
      <c r="E1383">
        <v>4</v>
      </c>
      <c r="F1383" s="13">
        <v>11520.1</v>
      </c>
      <c r="G1383" t="s">
        <v>4698</v>
      </c>
      <c r="H1383" t="s">
        <v>4701</v>
      </c>
      <c r="I1383" t="s">
        <v>4704</v>
      </c>
      <c r="J1383" s="10">
        <f t="shared" si="42"/>
        <v>26286</v>
      </c>
      <c r="K1383">
        <f t="shared" si="43"/>
        <v>51</v>
      </c>
    </row>
    <row r="1384" spans="1:11">
      <c r="A1384" t="s">
        <v>1912</v>
      </c>
      <c r="B1384">
        <v>1988</v>
      </c>
      <c r="C1384" t="s">
        <v>4702</v>
      </c>
      <c r="D1384">
        <v>12</v>
      </c>
      <c r="E1384">
        <v>3</v>
      </c>
      <c r="F1384" s="13">
        <v>11524.25</v>
      </c>
      <c r="G1384" t="s">
        <v>4698</v>
      </c>
      <c r="H1384" t="s">
        <v>4701</v>
      </c>
      <c r="I1384" t="s">
        <v>4720</v>
      </c>
      <c r="J1384" s="10">
        <f t="shared" si="42"/>
        <v>32306</v>
      </c>
      <c r="K1384">
        <f t="shared" si="43"/>
        <v>34</v>
      </c>
    </row>
    <row r="1385" spans="1:11">
      <c r="A1385" t="s">
        <v>1910</v>
      </c>
      <c r="B1385">
        <v>1970</v>
      </c>
      <c r="C1385" t="s">
        <v>4696</v>
      </c>
      <c r="D1385">
        <v>23</v>
      </c>
      <c r="E1385">
        <v>0</v>
      </c>
      <c r="F1385" s="13">
        <v>11530.12</v>
      </c>
      <c r="G1385" t="s">
        <v>4698</v>
      </c>
      <c r="H1385" t="s">
        <v>4701</v>
      </c>
      <c r="I1385" t="s">
        <v>4704</v>
      </c>
      <c r="J1385" s="10">
        <f t="shared" si="42"/>
        <v>25772</v>
      </c>
      <c r="K1385">
        <f t="shared" si="43"/>
        <v>52</v>
      </c>
    </row>
    <row r="1386" spans="1:11">
      <c r="A1386" t="s">
        <v>1908</v>
      </c>
      <c r="B1386">
        <v>1965</v>
      </c>
      <c r="C1386" t="s">
        <v>4707</v>
      </c>
      <c r="D1386">
        <v>3</v>
      </c>
      <c r="E1386">
        <v>0</v>
      </c>
      <c r="F1386" s="13">
        <v>11534.87</v>
      </c>
      <c r="G1386" t="s">
        <v>4698</v>
      </c>
      <c r="H1386" t="s">
        <v>4701</v>
      </c>
      <c r="I1386" t="s">
        <v>4718</v>
      </c>
      <c r="J1386" s="10">
        <f t="shared" si="42"/>
        <v>24018</v>
      </c>
      <c r="K1386">
        <f t="shared" si="43"/>
        <v>57</v>
      </c>
    </row>
    <row r="1387" spans="1:11">
      <c r="A1387" t="s">
        <v>1906</v>
      </c>
      <c r="B1387">
        <v>1968</v>
      </c>
      <c r="C1387" t="s">
        <v>4700</v>
      </c>
      <c r="D1387">
        <v>14</v>
      </c>
      <c r="E1387">
        <v>2</v>
      </c>
      <c r="F1387" s="13">
        <v>11538.42</v>
      </c>
      <c r="G1387" t="s">
        <v>4698</v>
      </c>
      <c r="H1387" t="s">
        <v>4701</v>
      </c>
      <c r="I1387" t="s">
        <v>4708</v>
      </c>
      <c r="J1387" s="10">
        <f t="shared" si="42"/>
        <v>25156</v>
      </c>
      <c r="K1387">
        <f t="shared" si="43"/>
        <v>54</v>
      </c>
    </row>
    <row r="1388" spans="1:11">
      <c r="A1388" t="s">
        <v>1904</v>
      </c>
      <c r="B1388">
        <v>1971</v>
      </c>
      <c r="C1388" t="s">
        <v>4705</v>
      </c>
      <c r="D1388">
        <v>1</v>
      </c>
      <c r="E1388">
        <v>0</v>
      </c>
      <c r="F1388" s="13">
        <v>11540.25</v>
      </c>
      <c r="G1388" t="s">
        <v>4698</v>
      </c>
      <c r="H1388" t="s">
        <v>4701</v>
      </c>
      <c r="I1388" t="s">
        <v>4704</v>
      </c>
      <c r="J1388" s="10">
        <f t="shared" si="42"/>
        <v>26268</v>
      </c>
      <c r="K1388">
        <f t="shared" si="43"/>
        <v>51</v>
      </c>
    </row>
    <row r="1389" spans="1:11">
      <c r="A1389" t="s">
        <v>1902</v>
      </c>
      <c r="B1389">
        <v>1973</v>
      </c>
      <c r="C1389" t="s">
        <v>4696</v>
      </c>
      <c r="D1389">
        <v>23</v>
      </c>
      <c r="E1389">
        <v>5</v>
      </c>
      <c r="F1389" s="13">
        <v>11552.9</v>
      </c>
      <c r="G1389" t="s">
        <v>4698</v>
      </c>
      <c r="H1389" t="s">
        <v>4697</v>
      </c>
      <c r="I1389" t="s">
        <v>4708</v>
      </c>
      <c r="J1389" s="10">
        <f t="shared" si="42"/>
        <v>26868</v>
      </c>
      <c r="K1389">
        <f t="shared" si="43"/>
        <v>49</v>
      </c>
    </row>
    <row r="1390" spans="1:11">
      <c r="A1390" t="s">
        <v>1900</v>
      </c>
      <c r="B1390">
        <v>1965</v>
      </c>
      <c r="C1390" t="s">
        <v>4707</v>
      </c>
      <c r="D1390">
        <v>27</v>
      </c>
      <c r="E1390">
        <v>1</v>
      </c>
      <c r="F1390" s="13">
        <v>11554.22</v>
      </c>
      <c r="G1390" t="s">
        <v>4698</v>
      </c>
      <c r="H1390" t="s">
        <v>4701</v>
      </c>
      <c r="I1390" t="s">
        <v>4699</v>
      </c>
      <c r="J1390" s="10">
        <f t="shared" si="42"/>
        <v>24042</v>
      </c>
      <c r="K1390">
        <f t="shared" si="43"/>
        <v>57</v>
      </c>
    </row>
    <row r="1391" spans="1:11">
      <c r="A1391" t="s">
        <v>1898</v>
      </c>
      <c r="B1391">
        <v>1965</v>
      </c>
      <c r="C1391" t="s">
        <v>4705</v>
      </c>
      <c r="D1391">
        <v>25</v>
      </c>
      <c r="E1391">
        <v>0</v>
      </c>
      <c r="F1391" s="13">
        <v>11566.3</v>
      </c>
      <c r="G1391" t="s">
        <v>4698</v>
      </c>
      <c r="H1391" t="s">
        <v>4698</v>
      </c>
      <c r="I1391" t="s">
        <v>4711</v>
      </c>
      <c r="J1391" s="10">
        <f t="shared" si="42"/>
        <v>24101</v>
      </c>
      <c r="K1391">
        <f t="shared" si="43"/>
        <v>57</v>
      </c>
    </row>
    <row r="1392" spans="1:11">
      <c r="A1392" t="s">
        <v>1896</v>
      </c>
      <c r="B1392">
        <v>1965</v>
      </c>
      <c r="C1392" t="s">
        <v>4700</v>
      </c>
      <c r="D1392">
        <v>6</v>
      </c>
      <c r="E1392">
        <v>1</v>
      </c>
      <c r="F1392" s="13">
        <v>11576.13</v>
      </c>
      <c r="G1392" t="s">
        <v>4698</v>
      </c>
      <c r="H1392" t="s">
        <v>4698</v>
      </c>
      <c r="I1392" t="s">
        <v>4708</v>
      </c>
      <c r="J1392" s="10">
        <f t="shared" si="42"/>
        <v>24052</v>
      </c>
      <c r="K1392">
        <f t="shared" si="43"/>
        <v>57</v>
      </c>
    </row>
    <row r="1393" spans="1:11">
      <c r="A1393" t="s">
        <v>1894</v>
      </c>
      <c r="B1393">
        <v>1964</v>
      </c>
      <c r="C1393" t="s">
        <v>4702</v>
      </c>
      <c r="D1393">
        <v>20</v>
      </c>
      <c r="E1393">
        <v>0</v>
      </c>
      <c r="F1393" s="13">
        <v>11602.75</v>
      </c>
      <c r="G1393" t="s">
        <v>4698</v>
      </c>
      <c r="H1393" t="s">
        <v>4701</v>
      </c>
      <c r="I1393" t="s">
        <v>4719</v>
      </c>
      <c r="J1393" s="10">
        <f t="shared" si="42"/>
        <v>23548</v>
      </c>
      <c r="K1393">
        <f t="shared" si="43"/>
        <v>58</v>
      </c>
    </row>
    <row r="1394" spans="1:11">
      <c r="A1394" t="s">
        <v>1892</v>
      </c>
      <c r="B1394">
        <v>1986</v>
      </c>
      <c r="C1394" t="s">
        <v>4696</v>
      </c>
      <c r="D1394">
        <v>17</v>
      </c>
      <c r="E1394">
        <v>3</v>
      </c>
      <c r="F1394" s="13">
        <v>11625.11</v>
      </c>
      <c r="G1394" t="s">
        <v>4698</v>
      </c>
      <c r="H1394" t="s">
        <v>4698</v>
      </c>
      <c r="I1394" t="s">
        <v>4721</v>
      </c>
      <c r="J1394" s="10">
        <f t="shared" si="42"/>
        <v>31610</v>
      </c>
      <c r="K1394">
        <f t="shared" si="43"/>
        <v>36</v>
      </c>
    </row>
    <row r="1395" spans="1:11">
      <c r="A1395" t="s">
        <v>1890</v>
      </c>
      <c r="B1395">
        <v>1966</v>
      </c>
      <c r="C1395" t="s">
        <v>4707</v>
      </c>
      <c r="D1395">
        <v>4</v>
      </c>
      <c r="E1395">
        <v>0</v>
      </c>
      <c r="F1395" s="13">
        <v>11657.72</v>
      </c>
      <c r="G1395" t="s">
        <v>4698</v>
      </c>
      <c r="H1395" t="s">
        <v>4697</v>
      </c>
      <c r="I1395" t="s">
        <v>4714</v>
      </c>
      <c r="J1395" s="10">
        <f t="shared" si="42"/>
        <v>24384</v>
      </c>
      <c r="K1395">
        <f t="shared" si="43"/>
        <v>56</v>
      </c>
    </row>
    <row r="1396" spans="1:11">
      <c r="A1396" t="s">
        <v>1888</v>
      </c>
      <c r="B1396">
        <v>1994</v>
      </c>
      <c r="C1396" t="s">
        <v>4696</v>
      </c>
      <c r="D1396">
        <v>20</v>
      </c>
      <c r="E1396">
        <v>0</v>
      </c>
      <c r="F1396" s="13">
        <v>11657.81</v>
      </c>
      <c r="G1396" t="s">
        <v>4698</v>
      </c>
      <c r="H1396" t="s">
        <v>4697</v>
      </c>
      <c r="I1396" t="s">
        <v>4715</v>
      </c>
      <c r="J1396" s="10">
        <f t="shared" si="42"/>
        <v>34535</v>
      </c>
      <c r="K1396">
        <f t="shared" si="43"/>
        <v>28</v>
      </c>
    </row>
    <row r="1397" spans="1:11">
      <c r="A1397" t="s">
        <v>1886</v>
      </c>
      <c r="B1397">
        <v>1966</v>
      </c>
      <c r="C1397" t="s">
        <v>4696</v>
      </c>
      <c r="D1397">
        <v>6</v>
      </c>
      <c r="E1397">
        <v>0</v>
      </c>
      <c r="F1397" s="13">
        <v>11658.12</v>
      </c>
      <c r="G1397" t="s">
        <v>4698</v>
      </c>
      <c r="H1397" t="s">
        <v>4701</v>
      </c>
      <c r="I1397" t="s">
        <v>4714</v>
      </c>
      <c r="J1397" s="10">
        <f t="shared" si="42"/>
        <v>24294</v>
      </c>
      <c r="K1397">
        <f t="shared" si="43"/>
        <v>56</v>
      </c>
    </row>
    <row r="1398" spans="1:11">
      <c r="A1398" t="s">
        <v>1884</v>
      </c>
      <c r="B1398">
        <v>1966</v>
      </c>
      <c r="C1398" t="s">
        <v>4706</v>
      </c>
      <c r="D1398">
        <v>23</v>
      </c>
      <c r="E1398">
        <v>0</v>
      </c>
      <c r="F1398" s="13">
        <v>11658.38</v>
      </c>
      <c r="G1398" t="s">
        <v>4698</v>
      </c>
      <c r="H1398" t="s">
        <v>4698</v>
      </c>
      <c r="I1398" t="s">
        <v>4714</v>
      </c>
      <c r="J1398" s="10">
        <f t="shared" si="42"/>
        <v>24342</v>
      </c>
      <c r="K1398">
        <f t="shared" si="43"/>
        <v>56</v>
      </c>
    </row>
    <row r="1399" spans="1:11">
      <c r="A1399" t="s">
        <v>1882</v>
      </c>
      <c r="B1399">
        <v>1966</v>
      </c>
      <c r="C1399" t="s">
        <v>4700</v>
      </c>
      <c r="D1399">
        <v>9</v>
      </c>
      <c r="E1399">
        <v>1</v>
      </c>
      <c r="F1399" s="13">
        <v>11674.13</v>
      </c>
      <c r="G1399" t="s">
        <v>4698</v>
      </c>
      <c r="H1399" t="s">
        <v>4701</v>
      </c>
      <c r="I1399" t="s">
        <v>4708</v>
      </c>
      <c r="J1399" s="10">
        <f t="shared" si="42"/>
        <v>24420</v>
      </c>
      <c r="K1399">
        <f t="shared" si="43"/>
        <v>56</v>
      </c>
    </row>
    <row r="1400" spans="1:11">
      <c r="A1400" t="s">
        <v>1880</v>
      </c>
      <c r="B1400">
        <v>1970</v>
      </c>
      <c r="C1400" t="s">
        <v>4705</v>
      </c>
      <c r="D1400">
        <v>1</v>
      </c>
      <c r="E1400">
        <v>0</v>
      </c>
      <c r="F1400" s="13">
        <v>11696.52</v>
      </c>
      <c r="G1400" t="s">
        <v>4698</v>
      </c>
      <c r="H1400" t="s">
        <v>4701</v>
      </c>
      <c r="I1400" t="s">
        <v>4717</v>
      </c>
      <c r="J1400" s="10">
        <f t="shared" si="42"/>
        <v>25903</v>
      </c>
      <c r="K1400">
        <f t="shared" si="43"/>
        <v>52</v>
      </c>
    </row>
    <row r="1401" spans="1:11">
      <c r="A1401" t="s">
        <v>1878</v>
      </c>
      <c r="B1401">
        <v>1982</v>
      </c>
      <c r="C1401" t="s">
        <v>4707</v>
      </c>
      <c r="D1401">
        <v>21</v>
      </c>
      <c r="E1401">
        <v>3</v>
      </c>
      <c r="F1401" s="13">
        <v>11712.97</v>
      </c>
      <c r="G1401" t="s">
        <v>4698</v>
      </c>
      <c r="H1401" t="s">
        <v>4697</v>
      </c>
      <c r="I1401" t="s">
        <v>4717</v>
      </c>
      <c r="J1401" s="10">
        <f t="shared" si="42"/>
        <v>30245</v>
      </c>
      <c r="K1401">
        <f t="shared" si="43"/>
        <v>40</v>
      </c>
    </row>
    <row r="1402" spans="1:11">
      <c r="A1402" t="s">
        <v>1876</v>
      </c>
      <c r="B1402">
        <v>1969</v>
      </c>
      <c r="C1402" t="s">
        <v>4707</v>
      </c>
      <c r="D1402">
        <v>12</v>
      </c>
      <c r="E1402">
        <v>2</v>
      </c>
      <c r="F1402" s="13">
        <v>11729.68</v>
      </c>
      <c r="G1402" t="s">
        <v>4698</v>
      </c>
      <c r="H1402" t="s">
        <v>4701</v>
      </c>
      <c r="I1402" t="s">
        <v>4714</v>
      </c>
      <c r="J1402" s="10">
        <f t="shared" si="42"/>
        <v>25488</v>
      </c>
      <c r="K1402">
        <f t="shared" si="43"/>
        <v>53</v>
      </c>
    </row>
    <row r="1403" spans="1:11">
      <c r="A1403" t="s">
        <v>1874</v>
      </c>
      <c r="B1403">
        <v>1984</v>
      </c>
      <c r="C1403" t="s">
        <v>4700</v>
      </c>
      <c r="D1403">
        <v>26</v>
      </c>
      <c r="E1403">
        <v>3</v>
      </c>
      <c r="F1403" s="13">
        <v>11730.82</v>
      </c>
      <c r="G1403" t="s">
        <v>4698</v>
      </c>
      <c r="H1403" t="s">
        <v>4698</v>
      </c>
      <c r="I1403" t="s">
        <v>4720</v>
      </c>
      <c r="J1403" s="10">
        <f t="shared" si="42"/>
        <v>31012</v>
      </c>
      <c r="K1403">
        <f t="shared" si="43"/>
        <v>38</v>
      </c>
    </row>
    <row r="1404" spans="1:11">
      <c r="A1404" t="s">
        <v>1872</v>
      </c>
      <c r="B1404">
        <v>1964</v>
      </c>
      <c r="C1404" t="s">
        <v>4700</v>
      </c>
      <c r="D1404">
        <v>9</v>
      </c>
      <c r="E1404">
        <v>0</v>
      </c>
      <c r="F1404" s="13">
        <v>11735.88</v>
      </c>
      <c r="G1404" t="s">
        <v>4698</v>
      </c>
      <c r="H1404" t="s">
        <v>4701</v>
      </c>
      <c r="I1404" t="s">
        <v>4704</v>
      </c>
      <c r="J1404" s="10">
        <f t="shared" si="42"/>
        <v>23690</v>
      </c>
      <c r="K1404">
        <f t="shared" si="43"/>
        <v>58</v>
      </c>
    </row>
    <row r="1405" spans="1:11">
      <c r="A1405" t="s">
        <v>1870</v>
      </c>
      <c r="B1405">
        <v>1988</v>
      </c>
      <c r="C1405" t="s">
        <v>4703</v>
      </c>
      <c r="D1405">
        <v>5</v>
      </c>
      <c r="E1405">
        <v>2</v>
      </c>
      <c r="F1405" s="13">
        <v>11737.85</v>
      </c>
      <c r="G1405" t="s">
        <v>4698</v>
      </c>
      <c r="H1405" t="s">
        <v>4701</v>
      </c>
      <c r="I1405" t="s">
        <v>4708</v>
      </c>
      <c r="J1405" s="10">
        <f t="shared" si="42"/>
        <v>32391</v>
      </c>
      <c r="K1405">
        <f t="shared" si="43"/>
        <v>34</v>
      </c>
    </row>
    <row r="1406" spans="1:11">
      <c r="A1406" t="s">
        <v>1868</v>
      </c>
      <c r="B1406">
        <v>1969</v>
      </c>
      <c r="C1406" t="s">
        <v>4700</v>
      </c>
      <c r="D1406">
        <v>12</v>
      </c>
      <c r="E1406">
        <v>3</v>
      </c>
      <c r="F1406" s="13">
        <v>11741.73</v>
      </c>
      <c r="G1406" t="s">
        <v>4698</v>
      </c>
      <c r="H1406" t="s">
        <v>4701</v>
      </c>
      <c r="I1406" t="s">
        <v>4708</v>
      </c>
      <c r="J1406" s="10">
        <f t="shared" si="42"/>
        <v>25519</v>
      </c>
      <c r="K1406">
        <f t="shared" si="43"/>
        <v>53</v>
      </c>
    </row>
    <row r="1407" spans="1:11">
      <c r="A1407" t="s">
        <v>1866</v>
      </c>
      <c r="B1407">
        <v>1963</v>
      </c>
      <c r="C1407" t="s">
        <v>4702</v>
      </c>
      <c r="D1407">
        <v>9</v>
      </c>
      <c r="E1407">
        <v>0</v>
      </c>
      <c r="F1407" s="13">
        <v>11743.3</v>
      </c>
      <c r="G1407" t="s">
        <v>4698</v>
      </c>
      <c r="H1407" t="s">
        <v>4698</v>
      </c>
      <c r="I1407" t="s">
        <v>4699</v>
      </c>
      <c r="J1407" s="10">
        <f t="shared" si="42"/>
        <v>23171</v>
      </c>
      <c r="K1407">
        <f t="shared" si="43"/>
        <v>59</v>
      </c>
    </row>
    <row r="1408" spans="1:11">
      <c r="A1408" t="s">
        <v>1864</v>
      </c>
      <c r="B1408">
        <v>1964</v>
      </c>
      <c r="C1408" t="s">
        <v>4705</v>
      </c>
      <c r="D1408">
        <v>2</v>
      </c>
      <c r="E1408">
        <v>0</v>
      </c>
      <c r="F1408" s="13">
        <v>11743.93</v>
      </c>
      <c r="G1408" t="s">
        <v>4698</v>
      </c>
      <c r="H1408" t="s">
        <v>4701</v>
      </c>
      <c r="I1408" t="s">
        <v>4704</v>
      </c>
      <c r="J1408" s="10">
        <f t="shared" si="42"/>
        <v>23713</v>
      </c>
      <c r="K1408">
        <f t="shared" si="43"/>
        <v>58</v>
      </c>
    </row>
    <row r="1409" spans="1:11">
      <c r="A1409" t="s">
        <v>1862</v>
      </c>
      <c r="B1409">
        <v>1979</v>
      </c>
      <c r="C1409" t="s">
        <v>4700</v>
      </c>
      <c r="D1409">
        <v>6</v>
      </c>
      <c r="E1409">
        <v>2</v>
      </c>
      <c r="F1409" s="13">
        <v>11752.68</v>
      </c>
      <c r="G1409" t="s">
        <v>4698</v>
      </c>
      <c r="H1409" t="s">
        <v>4701</v>
      </c>
      <c r="I1409" t="s">
        <v>4720</v>
      </c>
      <c r="J1409" s="10">
        <f t="shared" si="42"/>
        <v>29165</v>
      </c>
      <c r="K1409">
        <f t="shared" si="43"/>
        <v>43</v>
      </c>
    </row>
    <row r="1410" spans="1:11">
      <c r="A1410" t="s">
        <v>1860</v>
      </c>
      <c r="B1410">
        <v>1966</v>
      </c>
      <c r="C1410" t="s">
        <v>4696</v>
      </c>
      <c r="D1410">
        <v>25</v>
      </c>
      <c r="E1410">
        <v>1</v>
      </c>
      <c r="F1410" s="13">
        <v>11763</v>
      </c>
      <c r="G1410" t="s">
        <v>4698</v>
      </c>
      <c r="H1410" t="s">
        <v>4698</v>
      </c>
      <c r="I1410" t="s">
        <v>4711</v>
      </c>
      <c r="J1410" s="10">
        <f t="shared" ref="J1410:J1473" si="44">DATEVALUE(D1410&amp;"-"&amp;C1410&amp;"-"&amp;B1410)</f>
        <v>24313</v>
      </c>
      <c r="K1410">
        <f t="shared" si="43"/>
        <v>56</v>
      </c>
    </row>
    <row r="1411" spans="1:11">
      <c r="A1411" t="s">
        <v>1858</v>
      </c>
      <c r="B1411">
        <v>1982</v>
      </c>
      <c r="C1411" t="s">
        <v>4700</v>
      </c>
      <c r="D1411">
        <v>20</v>
      </c>
      <c r="E1411">
        <v>3</v>
      </c>
      <c r="F1411" s="13">
        <v>11773.06</v>
      </c>
      <c r="G1411" t="s">
        <v>4698</v>
      </c>
      <c r="H1411" t="s">
        <v>4698</v>
      </c>
      <c r="I1411" t="s">
        <v>4720</v>
      </c>
      <c r="J1411" s="10">
        <f t="shared" si="44"/>
        <v>30275</v>
      </c>
      <c r="K1411">
        <f t="shared" ref="K1411:K1474" si="45">DATEDIF(J1411, DATE(2023, 6, 8), "Y")</f>
        <v>40</v>
      </c>
    </row>
    <row r="1412" spans="1:11">
      <c r="A1412" t="s">
        <v>1856</v>
      </c>
      <c r="B1412">
        <v>1965</v>
      </c>
      <c r="C1412" t="s">
        <v>4707</v>
      </c>
      <c r="D1412">
        <v>3</v>
      </c>
      <c r="E1412">
        <v>0</v>
      </c>
      <c r="F1412" s="13">
        <v>11830.61</v>
      </c>
      <c r="G1412" t="s">
        <v>4698</v>
      </c>
      <c r="H1412" t="s">
        <v>4701</v>
      </c>
      <c r="I1412" t="s">
        <v>4704</v>
      </c>
      <c r="J1412" s="10">
        <f t="shared" si="44"/>
        <v>24018</v>
      </c>
      <c r="K1412">
        <f t="shared" si="45"/>
        <v>57</v>
      </c>
    </row>
    <row r="1413" spans="1:11">
      <c r="A1413" t="s">
        <v>1854</v>
      </c>
      <c r="B1413">
        <v>1964</v>
      </c>
      <c r="C1413" t="s">
        <v>4702</v>
      </c>
      <c r="D1413">
        <v>27</v>
      </c>
      <c r="E1413">
        <v>0</v>
      </c>
      <c r="F1413" s="13">
        <v>11833.78</v>
      </c>
      <c r="G1413" t="s">
        <v>4698</v>
      </c>
      <c r="H1413" t="s">
        <v>4698</v>
      </c>
      <c r="I1413" t="s">
        <v>4699</v>
      </c>
      <c r="J1413" s="10">
        <f t="shared" si="44"/>
        <v>23555</v>
      </c>
      <c r="K1413">
        <f t="shared" si="45"/>
        <v>58</v>
      </c>
    </row>
    <row r="1414" spans="1:11">
      <c r="A1414" t="s">
        <v>1852</v>
      </c>
      <c r="B1414">
        <v>1964</v>
      </c>
      <c r="C1414" t="s">
        <v>4703</v>
      </c>
      <c r="D1414">
        <v>11</v>
      </c>
      <c r="E1414">
        <v>0</v>
      </c>
      <c r="F1414" s="13">
        <v>11837.16</v>
      </c>
      <c r="G1414" t="s">
        <v>4698</v>
      </c>
      <c r="H1414" t="s">
        <v>4698</v>
      </c>
      <c r="I1414" t="s">
        <v>4708</v>
      </c>
      <c r="J1414" s="10">
        <f t="shared" si="44"/>
        <v>23631</v>
      </c>
      <c r="K1414">
        <f t="shared" si="45"/>
        <v>58</v>
      </c>
    </row>
    <row r="1415" spans="1:11">
      <c r="A1415" t="s">
        <v>1850</v>
      </c>
      <c r="B1415">
        <v>1965</v>
      </c>
      <c r="C1415" t="s">
        <v>4703</v>
      </c>
      <c r="D1415">
        <v>25</v>
      </c>
      <c r="E1415">
        <v>0</v>
      </c>
      <c r="F1415" s="13">
        <v>11840.78</v>
      </c>
      <c r="G1415" t="s">
        <v>4698</v>
      </c>
      <c r="H1415" t="s">
        <v>4697</v>
      </c>
      <c r="I1415" t="s">
        <v>4704</v>
      </c>
      <c r="J1415" s="10">
        <f t="shared" si="44"/>
        <v>24010</v>
      </c>
      <c r="K1415">
        <f t="shared" si="45"/>
        <v>57</v>
      </c>
    </row>
    <row r="1416" spans="1:11">
      <c r="A1416" t="s">
        <v>1848</v>
      </c>
      <c r="B1416">
        <v>1964</v>
      </c>
      <c r="C1416" t="s">
        <v>4696</v>
      </c>
      <c r="D1416">
        <v>11</v>
      </c>
      <c r="E1416">
        <v>0</v>
      </c>
      <c r="F1416" s="13">
        <v>11842.44</v>
      </c>
      <c r="G1416" t="s">
        <v>4698</v>
      </c>
      <c r="H1416" t="s">
        <v>4697</v>
      </c>
      <c r="I1416" t="s">
        <v>4708</v>
      </c>
      <c r="J1416" s="10">
        <f t="shared" si="44"/>
        <v>23569</v>
      </c>
      <c r="K1416">
        <f t="shared" si="45"/>
        <v>58</v>
      </c>
    </row>
    <row r="1417" spans="1:11">
      <c r="A1417" t="s">
        <v>1846</v>
      </c>
      <c r="B1417">
        <v>1965</v>
      </c>
      <c r="C1417" t="s">
        <v>4700</v>
      </c>
      <c r="D1417">
        <v>10</v>
      </c>
      <c r="E1417">
        <v>0</v>
      </c>
      <c r="F1417" s="13">
        <v>11842.62</v>
      </c>
      <c r="G1417" t="s">
        <v>4698</v>
      </c>
      <c r="H1417" t="s">
        <v>4698</v>
      </c>
      <c r="I1417" t="s">
        <v>4704</v>
      </c>
      <c r="J1417" s="10">
        <f t="shared" si="44"/>
        <v>24056</v>
      </c>
      <c r="K1417">
        <f t="shared" si="45"/>
        <v>57</v>
      </c>
    </row>
    <row r="1418" spans="1:11">
      <c r="A1418" t="s">
        <v>1844</v>
      </c>
      <c r="B1418">
        <v>1964</v>
      </c>
      <c r="C1418" t="s">
        <v>4702</v>
      </c>
      <c r="D1418">
        <v>27</v>
      </c>
      <c r="E1418">
        <v>0</v>
      </c>
      <c r="F1418" s="13">
        <v>11848.14</v>
      </c>
      <c r="G1418" t="s">
        <v>4698</v>
      </c>
      <c r="H1418" t="s">
        <v>4697</v>
      </c>
      <c r="I1418" t="s">
        <v>4708</v>
      </c>
      <c r="J1418" s="10">
        <f t="shared" si="44"/>
        <v>23555</v>
      </c>
      <c r="K1418">
        <f t="shared" si="45"/>
        <v>58</v>
      </c>
    </row>
    <row r="1419" spans="1:11">
      <c r="A1419" t="s">
        <v>1842</v>
      </c>
      <c r="B1419">
        <v>1964</v>
      </c>
      <c r="C1419" t="s">
        <v>4703</v>
      </c>
      <c r="D1419">
        <v>29</v>
      </c>
      <c r="E1419">
        <v>0</v>
      </c>
      <c r="F1419" s="13">
        <v>11856.41</v>
      </c>
      <c r="G1419" t="s">
        <v>4698</v>
      </c>
      <c r="H1419" t="s">
        <v>4697</v>
      </c>
      <c r="I1419" t="s">
        <v>4699</v>
      </c>
      <c r="J1419" s="10">
        <f t="shared" si="44"/>
        <v>23649</v>
      </c>
      <c r="K1419">
        <f t="shared" si="45"/>
        <v>58</v>
      </c>
    </row>
    <row r="1420" spans="1:11">
      <c r="A1420" t="s">
        <v>1840</v>
      </c>
      <c r="B1420">
        <v>1974</v>
      </c>
      <c r="C1420" t="s">
        <v>4696</v>
      </c>
      <c r="D1420">
        <v>7</v>
      </c>
      <c r="E1420">
        <v>0</v>
      </c>
      <c r="F1420" s="13">
        <v>11858.56</v>
      </c>
      <c r="G1420" t="s">
        <v>4698</v>
      </c>
      <c r="H1420" t="s">
        <v>4698</v>
      </c>
      <c r="I1420" t="s">
        <v>4708</v>
      </c>
      <c r="J1420" s="10">
        <f t="shared" si="44"/>
        <v>27217</v>
      </c>
      <c r="K1420">
        <f t="shared" si="45"/>
        <v>48</v>
      </c>
    </row>
    <row r="1421" spans="1:11">
      <c r="A1421" t="s">
        <v>1838</v>
      </c>
      <c r="B1421">
        <v>1967</v>
      </c>
      <c r="C1421" t="s">
        <v>4706</v>
      </c>
      <c r="D1421">
        <v>24</v>
      </c>
      <c r="E1421">
        <v>1</v>
      </c>
      <c r="F1421" s="13">
        <v>11879.1</v>
      </c>
      <c r="G1421" t="s">
        <v>4698</v>
      </c>
      <c r="H1421" t="s">
        <v>4698</v>
      </c>
      <c r="I1421" t="s">
        <v>4714</v>
      </c>
      <c r="J1421" s="10">
        <f t="shared" si="44"/>
        <v>24708</v>
      </c>
      <c r="K1421">
        <f t="shared" si="45"/>
        <v>55</v>
      </c>
    </row>
    <row r="1422" spans="1:11">
      <c r="A1422" t="s">
        <v>1836</v>
      </c>
      <c r="B1422">
        <v>1967</v>
      </c>
      <c r="C1422" t="s">
        <v>4696</v>
      </c>
      <c r="D1422">
        <v>14</v>
      </c>
      <c r="E1422">
        <v>2</v>
      </c>
      <c r="F1422" s="13">
        <v>11881.36</v>
      </c>
      <c r="G1422" t="s">
        <v>4698</v>
      </c>
      <c r="H1422" t="s">
        <v>4697</v>
      </c>
      <c r="I1422" t="s">
        <v>4708</v>
      </c>
      <c r="J1422" s="10">
        <f t="shared" si="44"/>
        <v>24667</v>
      </c>
      <c r="K1422">
        <f t="shared" si="45"/>
        <v>55</v>
      </c>
    </row>
    <row r="1423" spans="1:11">
      <c r="A1423" t="s">
        <v>1834</v>
      </c>
      <c r="B1423">
        <v>1967</v>
      </c>
      <c r="C1423" t="s">
        <v>4707</v>
      </c>
      <c r="D1423">
        <v>29</v>
      </c>
      <c r="E1423">
        <v>2</v>
      </c>
      <c r="F1423" s="13">
        <v>11881.97</v>
      </c>
      <c r="G1423" t="s">
        <v>4698</v>
      </c>
      <c r="H1423" t="s">
        <v>4701</v>
      </c>
      <c r="I1423" t="s">
        <v>4699</v>
      </c>
      <c r="J1423" s="10">
        <f t="shared" si="44"/>
        <v>24774</v>
      </c>
      <c r="K1423">
        <f t="shared" si="45"/>
        <v>55</v>
      </c>
    </row>
    <row r="1424" spans="1:11">
      <c r="A1424" t="s">
        <v>1832</v>
      </c>
      <c r="B1424">
        <v>2004</v>
      </c>
      <c r="C1424" t="s">
        <v>4702</v>
      </c>
      <c r="D1424">
        <v>2</v>
      </c>
      <c r="E1424">
        <v>2</v>
      </c>
      <c r="F1424" s="13">
        <v>11884.05</v>
      </c>
      <c r="G1424" t="s">
        <v>4698</v>
      </c>
      <c r="H1424" t="s">
        <v>4698</v>
      </c>
      <c r="I1424" t="s">
        <v>4699</v>
      </c>
      <c r="J1424" s="10">
        <f t="shared" si="44"/>
        <v>38140</v>
      </c>
      <c r="K1424">
        <f t="shared" si="45"/>
        <v>19</v>
      </c>
    </row>
    <row r="1425" spans="1:11">
      <c r="A1425" t="s">
        <v>1830</v>
      </c>
      <c r="B1425">
        <v>1964</v>
      </c>
      <c r="C1425" t="s">
        <v>4700</v>
      </c>
      <c r="D1425">
        <v>19</v>
      </c>
      <c r="E1425">
        <v>0</v>
      </c>
      <c r="F1425" s="13">
        <v>11918.2</v>
      </c>
      <c r="G1425" t="s">
        <v>4698</v>
      </c>
      <c r="H1425" t="s">
        <v>4701</v>
      </c>
      <c r="I1425" t="s">
        <v>4717</v>
      </c>
      <c r="J1425" s="10">
        <f t="shared" si="44"/>
        <v>23700</v>
      </c>
      <c r="K1425">
        <f t="shared" si="45"/>
        <v>58</v>
      </c>
    </row>
    <row r="1426" spans="1:11">
      <c r="A1426" t="s">
        <v>1828</v>
      </c>
      <c r="B1426">
        <v>1964</v>
      </c>
      <c r="C1426" t="s">
        <v>4705</v>
      </c>
      <c r="D1426">
        <v>20</v>
      </c>
      <c r="E1426">
        <v>0</v>
      </c>
      <c r="F1426" s="13">
        <v>11931.13</v>
      </c>
      <c r="G1426" t="s">
        <v>4698</v>
      </c>
      <c r="H1426" t="s">
        <v>4701</v>
      </c>
      <c r="I1426" t="s">
        <v>4710</v>
      </c>
      <c r="J1426" s="10">
        <f t="shared" si="44"/>
        <v>23731</v>
      </c>
      <c r="K1426">
        <f t="shared" si="45"/>
        <v>58</v>
      </c>
    </row>
    <row r="1427" spans="1:11">
      <c r="A1427" t="s">
        <v>1826</v>
      </c>
      <c r="B1427">
        <v>1964</v>
      </c>
      <c r="C1427" t="s">
        <v>4706</v>
      </c>
      <c r="D1427">
        <v>2</v>
      </c>
      <c r="E1427">
        <v>0</v>
      </c>
      <c r="F1427" s="13">
        <v>11938.26</v>
      </c>
      <c r="G1427" t="s">
        <v>4698</v>
      </c>
      <c r="H1427" t="s">
        <v>4698</v>
      </c>
      <c r="I1427" t="s">
        <v>4710</v>
      </c>
      <c r="J1427" s="10">
        <f t="shared" si="44"/>
        <v>23591</v>
      </c>
      <c r="K1427">
        <f t="shared" si="45"/>
        <v>58</v>
      </c>
    </row>
    <row r="1428" spans="1:11">
      <c r="A1428" t="s">
        <v>1824</v>
      </c>
      <c r="B1428">
        <v>1991</v>
      </c>
      <c r="C1428" t="s">
        <v>4707</v>
      </c>
      <c r="D1428">
        <v>19</v>
      </c>
      <c r="E1428">
        <v>3</v>
      </c>
      <c r="F1428" s="13">
        <v>11941.83</v>
      </c>
      <c r="G1428" t="s">
        <v>4698</v>
      </c>
      <c r="H1428" t="s">
        <v>4701</v>
      </c>
      <c r="I1428" t="s">
        <v>4715</v>
      </c>
      <c r="J1428" s="10">
        <f t="shared" si="44"/>
        <v>33530</v>
      </c>
      <c r="K1428">
        <f t="shared" si="45"/>
        <v>31</v>
      </c>
    </row>
    <row r="1429" spans="1:11">
      <c r="A1429" t="s">
        <v>1822</v>
      </c>
      <c r="B1429">
        <v>1964</v>
      </c>
      <c r="C1429" t="s">
        <v>4705</v>
      </c>
      <c r="D1429">
        <v>25</v>
      </c>
      <c r="E1429">
        <v>0</v>
      </c>
      <c r="F1429" s="13">
        <v>11944.59</v>
      </c>
      <c r="G1429" t="s">
        <v>4698</v>
      </c>
      <c r="H1429" t="s">
        <v>4697</v>
      </c>
      <c r="I1429" t="s">
        <v>4711</v>
      </c>
      <c r="J1429" s="10">
        <f t="shared" si="44"/>
        <v>23736</v>
      </c>
      <c r="K1429">
        <f t="shared" si="45"/>
        <v>58</v>
      </c>
    </row>
    <row r="1430" spans="1:11">
      <c r="A1430" t="s">
        <v>1820</v>
      </c>
      <c r="B1430">
        <v>1965</v>
      </c>
      <c r="C1430" t="s">
        <v>4700</v>
      </c>
      <c r="D1430">
        <v>1</v>
      </c>
      <c r="E1430">
        <v>1</v>
      </c>
      <c r="F1430" s="13">
        <v>11945.13</v>
      </c>
      <c r="G1430" t="s">
        <v>4698</v>
      </c>
      <c r="H1430" t="s">
        <v>4697</v>
      </c>
      <c r="I1430" t="s">
        <v>4704</v>
      </c>
      <c r="J1430" s="10">
        <f t="shared" si="44"/>
        <v>24047</v>
      </c>
      <c r="K1430">
        <f t="shared" si="45"/>
        <v>57</v>
      </c>
    </row>
    <row r="1431" spans="1:11">
      <c r="A1431" t="s">
        <v>1818</v>
      </c>
      <c r="B1431">
        <v>1964</v>
      </c>
      <c r="C1431" t="s">
        <v>4703</v>
      </c>
      <c r="D1431">
        <v>29</v>
      </c>
      <c r="E1431">
        <v>1</v>
      </c>
      <c r="F1431" s="13">
        <v>11946.63</v>
      </c>
      <c r="G1431" t="s">
        <v>4698</v>
      </c>
      <c r="H1431" t="s">
        <v>4697</v>
      </c>
      <c r="I1431" t="s">
        <v>4699</v>
      </c>
      <c r="J1431" s="10">
        <f t="shared" si="44"/>
        <v>23649</v>
      </c>
      <c r="K1431">
        <f t="shared" si="45"/>
        <v>58</v>
      </c>
    </row>
    <row r="1432" spans="1:11">
      <c r="A1432" t="s">
        <v>1816</v>
      </c>
      <c r="B1432">
        <v>1967</v>
      </c>
      <c r="C1432" t="s">
        <v>4705</v>
      </c>
      <c r="D1432">
        <v>22</v>
      </c>
      <c r="E1432">
        <v>3</v>
      </c>
      <c r="F1432" s="13">
        <v>11987.17</v>
      </c>
      <c r="G1432" t="s">
        <v>4698</v>
      </c>
      <c r="H1432" t="s">
        <v>4698</v>
      </c>
      <c r="I1432" t="s">
        <v>4699</v>
      </c>
      <c r="J1432" s="10">
        <f t="shared" si="44"/>
        <v>24828</v>
      </c>
      <c r="K1432">
        <f t="shared" si="45"/>
        <v>55</v>
      </c>
    </row>
    <row r="1433" spans="1:11">
      <c r="A1433" t="s">
        <v>1814</v>
      </c>
      <c r="B1433">
        <v>1983</v>
      </c>
      <c r="C1433" t="s">
        <v>4696</v>
      </c>
      <c r="D1433">
        <v>4</v>
      </c>
      <c r="E1433">
        <v>3</v>
      </c>
      <c r="F1433" s="13">
        <v>11987.68</v>
      </c>
      <c r="G1433" t="s">
        <v>4698</v>
      </c>
      <c r="H1433" t="s">
        <v>4697</v>
      </c>
      <c r="I1433" t="s">
        <v>4720</v>
      </c>
      <c r="J1433" s="10">
        <f t="shared" si="44"/>
        <v>30501</v>
      </c>
      <c r="K1433">
        <f t="shared" si="45"/>
        <v>39</v>
      </c>
    </row>
    <row r="1434" spans="1:11">
      <c r="A1434" t="s">
        <v>1812</v>
      </c>
      <c r="B1434">
        <v>1993</v>
      </c>
      <c r="C1434" t="s">
        <v>4705</v>
      </c>
      <c r="D1434">
        <v>12</v>
      </c>
      <c r="E1434">
        <v>0</v>
      </c>
      <c r="F1434" s="13">
        <v>11994.89</v>
      </c>
      <c r="G1434" t="s">
        <v>4698</v>
      </c>
      <c r="H1434" t="s">
        <v>4697</v>
      </c>
      <c r="I1434" t="s">
        <v>4704</v>
      </c>
      <c r="J1434" s="10">
        <f t="shared" si="44"/>
        <v>34315</v>
      </c>
      <c r="K1434">
        <f t="shared" si="45"/>
        <v>29</v>
      </c>
    </row>
    <row r="1435" spans="1:11">
      <c r="A1435" t="s">
        <v>1810</v>
      </c>
      <c r="B1435">
        <v>1982</v>
      </c>
      <c r="C1435" t="s">
        <v>4707</v>
      </c>
      <c r="D1435">
        <v>17</v>
      </c>
      <c r="E1435">
        <v>3</v>
      </c>
      <c r="F1435" s="13">
        <v>12001.29</v>
      </c>
      <c r="G1435" t="s">
        <v>4698</v>
      </c>
      <c r="H1435" t="s">
        <v>4698</v>
      </c>
      <c r="I1435" t="s">
        <v>4717</v>
      </c>
      <c r="J1435" s="10">
        <f t="shared" si="44"/>
        <v>30241</v>
      </c>
      <c r="K1435">
        <f t="shared" si="45"/>
        <v>40</v>
      </c>
    </row>
    <row r="1436" spans="1:11">
      <c r="A1436" t="s">
        <v>1808</v>
      </c>
      <c r="B1436">
        <v>1965</v>
      </c>
      <c r="C1436" t="s">
        <v>4702</v>
      </c>
      <c r="D1436">
        <v>9</v>
      </c>
      <c r="E1436">
        <v>0</v>
      </c>
      <c r="F1436" s="13">
        <v>12029.29</v>
      </c>
      <c r="G1436" t="s">
        <v>4698</v>
      </c>
      <c r="H1436" t="s">
        <v>4697</v>
      </c>
      <c r="I1436" t="s">
        <v>4714</v>
      </c>
      <c r="J1436" s="10">
        <f t="shared" si="44"/>
        <v>23902</v>
      </c>
      <c r="K1436">
        <f t="shared" si="45"/>
        <v>57</v>
      </c>
    </row>
    <row r="1437" spans="1:11">
      <c r="A1437" t="s">
        <v>1806</v>
      </c>
      <c r="B1437">
        <v>1965</v>
      </c>
      <c r="C1437" t="s">
        <v>4707</v>
      </c>
      <c r="D1437">
        <v>29</v>
      </c>
      <c r="E1437">
        <v>1</v>
      </c>
      <c r="F1437" s="13">
        <v>12032.33</v>
      </c>
      <c r="G1437" t="s">
        <v>4698</v>
      </c>
      <c r="H1437" t="s">
        <v>4701</v>
      </c>
      <c r="I1437" t="s">
        <v>4708</v>
      </c>
      <c r="J1437" s="10">
        <f t="shared" si="44"/>
        <v>24044</v>
      </c>
      <c r="K1437">
        <f t="shared" si="45"/>
        <v>57</v>
      </c>
    </row>
    <row r="1438" spans="1:11">
      <c r="A1438" t="s">
        <v>1804</v>
      </c>
      <c r="B1438">
        <v>1979</v>
      </c>
      <c r="C1438" t="s">
        <v>4707</v>
      </c>
      <c r="D1438">
        <v>16</v>
      </c>
      <c r="E1438">
        <v>2</v>
      </c>
      <c r="F1438" s="13">
        <v>12035.18</v>
      </c>
      <c r="G1438" t="s">
        <v>4698</v>
      </c>
      <c r="H1438" t="s">
        <v>4698</v>
      </c>
      <c r="I1438" t="s">
        <v>4717</v>
      </c>
      <c r="J1438" s="10">
        <f t="shared" si="44"/>
        <v>29144</v>
      </c>
      <c r="K1438">
        <f t="shared" si="45"/>
        <v>43</v>
      </c>
    </row>
    <row r="1439" spans="1:11">
      <c r="A1439" t="s">
        <v>1802</v>
      </c>
      <c r="B1439">
        <v>1966</v>
      </c>
      <c r="C1439" t="s">
        <v>4700</v>
      </c>
      <c r="D1439">
        <v>24</v>
      </c>
      <c r="E1439">
        <v>1</v>
      </c>
      <c r="F1439" s="13">
        <v>12044.34</v>
      </c>
      <c r="G1439" t="s">
        <v>4698</v>
      </c>
      <c r="H1439" t="s">
        <v>4701</v>
      </c>
      <c r="I1439" t="s">
        <v>4704</v>
      </c>
      <c r="J1439" s="10">
        <f t="shared" si="44"/>
        <v>24435</v>
      </c>
      <c r="K1439">
        <f t="shared" si="45"/>
        <v>56</v>
      </c>
    </row>
    <row r="1440" spans="1:11">
      <c r="A1440" t="s">
        <v>1800</v>
      </c>
      <c r="B1440">
        <v>1986</v>
      </c>
      <c r="C1440" t="s">
        <v>4703</v>
      </c>
      <c r="D1440">
        <v>7</v>
      </c>
      <c r="E1440">
        <v>3</v>
      </c>
      <c r="F1440" s="13">
        <v>12048.13</v>
      </c>
      <c r="G1440" t="s">
        <v>4698</v>
      </c>
      <c r="H1440" t="s">
        <v>4697</v>
      </c>
      <c r="I1440" t="s">
        <v>4720</v>
      </c>
      <c r="J1440" s="10">
        <f t="shared" si="44"/>
        <v>31662</v>
      </c>
      <c r="K1440">
        <f t="shared" si="45"/>
        <v>36</v>
      </c>
    </row>
    <row r="1441" spans="1:11">
      <c r="A1441" t="s">
        <v>1798</v>
      </c>
      <c r="B1441">
        <v>1984</v>
      </c>
      <c r="C1441" t="s">
        <v>4703</v>
      </c>
      <c r="D1441">
        <v>2</v>
      </c>
      <c r="E1441">
        <v>3</v>
      </c>
      <c r="F1441" s="13">
        <v>12091.34</v>
      </c>
      <c r="G1441" t="s">
        <v>4698</v>
      </c>
      <c r="H1441" t="s">
        <v>4697</v>
      </c>
      <c r="I1441" t="s">
        <v>4721</v>
      </c>
      <c r="J1441" s="10">
        <f t="shared" si="44"/>
        <v>30927</v>
      </c>
      <c r="K1441">
        <f t="shared" si="45"/>
        <v>38</v>
      </c>
    </row>
    <row r="1442" spans="1:11">
      <c r="A1442" t="s">
        <v>1796</v>
      </c>
      <c r="B1442">
        <v>1968</v>
      </c>
      <c r="C1442" t="s">
        <v>4702</v>
      </c>
      <c r="D1442">
        <v>21</v>
      </c>
      <c r="E1442">
        <v>3</v>
      </c>
      <c r="F1442" s="13">
        <v>12094.48</v>
      </c>
      <c r="G1442" t="s">
        <v>4698</v>
      </c>
      <c r="H1442" t="s">
        <v>4698</v>
      </c>
      <c r="I1442" t="s">
        <v>4708</v>
      </c>
      <c r="J1442" s="10">
        <f t="shared" si="44"/>
        <v>25010</v>
      </c>
      <c r="K1442">
        <f t="shared" si="45"/>
        <v>54</v>
      </c>
    </row>
    <row r="1443" spans="1:11">
      <c r="A1443" t="s">
        <v>1794</v>
      </c>
      <c r="B1443">
        <v>1968</v>
      </c>
      <c r="C1443" t="s">
        <v>4705</v>
      </c>
      <c r="D1443">
        <v>9</v>
      </c>
      <c r="E1443">
        <v>2</v>
      </c>
      <c r="F1443" s="13">
        <v>12096.65</v>
      </c>
      <c r="G1443" t="s">
        <v>4698</v>
      </c>
      <c r="H1443" t="s">
        <v>4701</v>
      </c>
      <c r="I1443" t="s">
        <v>4714</v>
      </c>
      <c r="J1443" s="10">
        <f t="shared" si="44"/>
        <v>25181</v>
      </c>
      <c r="K1443">
        <f t="shared" si="45"/>
        <v>54</v>
      </c>
    </row>
    <row r="1444" spans="1:11">
      <c r="A1444" t="s">
        <v>1792</v>
      </c>
      <c r="B1444">
        <v>1968</v>
      </c>
      <c r="C1444" t="s">
        <v>4707</v>
      </c>
      <c r="D1444">
        <v>25</v>
      </c>
      <c r="E1444">
        <v>3</v>
      </c>
      <c r="F1444" s="13">
        <v>12105.32</v>
      </c>
      <c r="G1444" t="s">
        <v>4698</v>
      </c>
      <c r="H1444" t="s">
        <v>4698</v>
      </c>
      <c r="I1444" t="s">
        <v>4708</v>
      </c>
      <c r="J1444" s="10">
        <f t="shared" si="44"/>
        <v>25136</v>
      </c>
      <c r="K1444">
        <f t="shared" si="45"/>
        <v>54</v>
      </c>
    </row>
    <row r="1445" spans="1:11">
      <c r="A1445" t="s">
        <v>1790</v>
      </c>
      <c r="B1445">
        <v>1963</v>
      </c>
      <c r="C1445" t="s">
        <v>4696</v>
      </c>
      <c r="D1445">
        <v>20</v>
      </c>
      <c r="E1445">
        <v>0</v>
      </c>
      <c r="F1445" s="13">
        <v>12124.99</v>
      </c>
      <c r="G1445" t="s">
        <v>4698</v>
      </c>
      <c r="H1445" t="s">
        <v>4701</v>
      </c>
      <c r="I1445" t="s">
        <v>4704</v>
      </c>
      <c r="J1445" s="10">
        <f t="shared" si="44"/>
        <v>23212</v>
      </c>
      <c r="K1445">
        <f t="shared" si="45"/>
        <v>59</v>
      </c>
    </row>
    <row r="1446" spans="1:11">
      <c r="A1446" t="s">
        <v>1788</v>
      </c>
      <c r="B1446">
        <v>1963</v>
      </c>
      <c r="C1446" t="s">
        <v>4702</v>
      </c>
      <c r="D1446">
        <v>4</v>
      </c>
      <c r="E1446">
        <v>0</v>
      </c>
      <c r="F1446" s="13">
        <v>12129.61</v>
      </c>
      <c r="G1446" t="s">
        <v>4698</v>
      </c>
      <c r="H1446" t="s">
        <v>4701</v>
      </c>
      <c r="I1446" t="s">
        <v>4704</v>
      </c>
      <c r="J1446" s="10">
        <f t="shared" si="44"/>
        <v>23166</v>
      </c>
      <c r="K1446">
        <f t="shared" si="45"/>
        <v>60</v>
      </c>
    </row>
    <row r="1447" spans="1:11">
      <c r="A1447" t="s">
        <v>1786</v>
      </c>
      <c r="B1447">
        <v>1991</v>
      </c>
      <c r="C1447" t="s">
        <v>4700</v>
      </c>
      <c r="D1447">
        <v>6</v>
      </c>
      <c r="E1447">
        <v>3</v>
      </c>
      <c r="F1447" s="13">
        <v>12130.8</v>
      </c>
      <c r="G1447" t="s">
        <v>4698</v>
      </c>
      <c r="H1447" t="s">
        <v>4698</v>
      </c>
      <c r="I1447" t="s">
        <v>4720</v>
      </c>
      <c r="J1447" s="10">
        <f t="shared" si="44"/>
        <v>33548</v>
      </c>
      <c r="K1447">
        <f t="shared" si="45"/>
        <v>31</v>
      </c>
    </row>
    <row r="1448" spans="1:11">
      <c r="A1448" t="s">
        <v>1784</v>
      </c>
      <c r="B1448">
        <v>1974</v>
      </c>
      <c r="C1448" t="s">
        <v>4703</v>
      </c>
      <c r="D1448">
        <v>16</v>
      </c>
      <c r="E1448">
        <v>0</v>
      </c>
      <c r="F1448" s="13">
        <v>12137.6</v>
      </c>
      <c r="G1448" t="s">
        <v>4698</v>
      </c>
      <c r="H1448" t="s">
        <v>4698</v>
      </c>
      <c r="I1448" t="s">
        <v>4704</v>
      </c>
      <c r="J1448" s="10">
        <f t="shared" si="44"/>
        <v>27288</v>
      </c>
      <c r="K1448">
        <f t="shared" si="45"/>
        <v>48</v>
      </c>
    </row>
    <row r="1449" spans="1:11">
      <c r="A1449" t="s">
        <v>1782</v>
      </c>
      <c r="B1449">
        <v>1962</v>
      </c>
      <c r="C1449" t="s">
        <v>4700</v>
      </c>
      <c r="D1449">
        <v>4</v>
      </c>
      <c r="E1449">
        <v>0</v>
      </c>
      <c r="F1449" s="13">
        <v>12142.58</v>
      </c>
      <c r="G1449" t="s">
        <v>4698</v>
      </c>
      <c r="H1449" t="s">
        <v>4697</v>
      </c>
      <c r="I1449" t="s">
        <v>4699</v>
      </c>
      <c r="J1449" s="10">
        <f t="shared" si="44"/>
        <v>22954</v>
      </c>
      <c r="K1449">
        <f t="shared" si="45"/>
        <v>60</v>
      </c>
    </row>
    <row r="1450" spans="1:11">
      <c r="A1450" t="s">
        <v>1780</v>
      </c>
      <c r="B1450">
        <v>1962</v>
      </c>
      <c r="C1450" t="s">
        <v>4703</v>
      </c>
      <c r="D1450">
        <v>15</v>
      </c>
      <c r="E1450">
        <v>0</v>
      </c>
      <c r="F1450" s="13">
        <v>12146.97</v>
      </c>
      <c r="G1450" t="s">
        <v>4698</v>
      </c>
      <c r="H1450" t="s">
        <v>4698</v>
      </c>
      <c r="I1450" t="s">
        <v>4708</v>
      </c>
      <c r="J1450" s="10">
        <f t="shared" si="44"/>
        <v>22904</v>
      </c>
      <c r="K1450">
        <f t="shared" si="45"/>
        <v>60</v>
      </c>
    </row>
    <row r="1451" spans="1:11">
      <c r="A1451" t="s">
        <v>1778</v>
      </c>
      <c r="B1451">
        <v>1987</v>
      </c>
      <c r="C1451" t="s">
        <v>4707</v>
      </c>
      <c r="D1451">
        <v>5</v>
      </c>
      <c r="E1451">
        <v>3</v>
      </c>
      <c r="F1451" s="13">
        <v>12148.2</v>
      </c>
      <c r="G1451" t="s">
        <v>4698</v>
      </c>
      <c r="H1451" t="s">
        <v>4698</v>
      </c>
      <c r="I1451" t="s">
        <v>4704</v>
      </c>
      <c r="J1451" s="10">
        <f t="shared" si="44"/>
        <v>32055</v>
      </c>
      <c r="K1451">
        <f t="shared" si="45"/>
        <v>35</v>
      </c>
    </row>
    <row r="1452" spans="1:11">
      <c r="A1452" t="s">
        <v>1776</v>
      </c>
      <c r="B1452">
        <v>1991</v>
      </c>
      <c r="C1452" t="s">
        <v>4706</v>
      </c>
      <c r="D1452">
        <v>29</v>
      </c>
      <c r="E1452">
        <v>3</v>
      </c>
      <c r="F1452" s="13">
        <v>12198.64</v>
      </c>
      <c r="G1452" t="s">
        <v>4698</v>
      </c>
      <c r="H1452" t="s">
        <v>4698</v>
      </c>
      <c r="I1452" t="s">
        <v>4720</v>
      </c>
      <c r="J1452" s="10">
        <f t="shared" si="44"/>
        <v>33479</v>
      </c>
      <c r="K1452">
        <f t="shared" si="45"/>
        <v>31</v>
      </c>
    </row>
    <row r="1453" spans="1:11">
      <c r="A1453" t="s">
        <v>1774</v>
      </c>
      <c r="B1453">
        <v>1977</v>
      </c>
      <c r="C1453" t="s">
        <v>4706</v>
      </c>
      <c r="D1453">
        <v>14</v>
      </c>
      <c r="E1453">
        <v>2</v>
      </c>
      <c r="F1453" s="13">
        <v>12218.7</v>
      </c>
      <c r="G1453" t="s">
        <v>4698</v>
      </c>
      <c r="H1453" t="s">
        <v>4701</v>
      </c>
      <c r="I1453" t="s">
        <v>4704</v>
      </c>
      <c r="J1453" s="10">
        <f t="shared" si="44"/>
        <v>28351</v>
      </c>
      <c r="K1453">
        <f t="shared" si="45"/>
        <v>45</v>
      </c>
    </row>
    <row r="1454" spans="1:11">
      <c r="A1454" t="s">
        <v>1772</v>
      </c>
      <c r="B1454">
        <v>1964</v>
      </c>
      <c r="C1454" t="s">
        <v>4696</v>
      </c>
      <c r="D1454">
        <v>20</v>
      </c>
      <c r="E1454">
        <v>0</v>
      </c>
      <c r="F1454" s="13">
        <v>12222.9</v>
      </c>
      <c r="G1454" t="s">
        <v>4698</v>
      </c>
      <c r="H1454" t="s">
        <v>4697</v>
      </c>
      <c r="I1454" t="s">
        <v>4704</v>
      </c>
      <c r="J1454" s="10">
        <f t="shared" si="44"/>
        <v>23578</v>
      </c>
      <c r="K1454">
        <f t="shared" si="45"/>
        <v>58</v>
      </c>
    </row>
    <row r="1455" spans="1:11">
      <c r="A1455" t="s">
        <v>1770</v>
      </c>
      <c r="B1455">
        <v>1964</v>
      </c>
      <c r="C1455" t="s">
        <v>4696</v>
      </c>
      <c r="D1455">
        <v>2</v>
      </c>
      <c r="E1455">
        <v>0</v>
      </c>
      <c r="F1455" s="13">
        <v>12224.35</v>
      </c>
      <c r="G1455" t="s">
        <v>4698</v>
      </c>
      <c r="H1455" t="s">
        <v>4701</v>
      </c>
      <c r="I1455" t="s">
        <v>4704</v>
      </c>
      <c r="J1455" s="10">
        <f t="shared" si="44"/>
        <v>23560</v>
      </c>
      <c r="K1455">
        <f t="shared" si="45"/>
        <v>58</v>
      </c>
    </row>
    <row r="1456" spans="1:11">
      <c r="A1456" t="s">
        <v>1768</v>
      </c>
      <c r="B1456">
        <v>1964</v>
      </c>
      <c r="C1456" t="s">
        <v>4702</v>
      </c>
      <c r="D1456">
        <v>24</v>
      </c>
      <c r="E1456">
        <v>0</v>
      </c>
      <c r="F1456" s="13">
        <v>12231.61</v>
      </c>
      <c r="G1456" t="s">
        <v>4698</v>
      </c>
      <c r="H1456" t="s">
        <v>4698</v>
      </c>
      <c r="I1456" t="s">
        <v>4704</v>
      </c>
      <c r="J1456" s="10">
        <f t="shared" si="44"/>
        <v>23552</v>
      </c>
      <c r="K1456">
        <f t="shared" si="45"/>
        <v>58</v>
      </c>
    </row>
    <row r="1457" spans="1:11">
      <c r="A1457" t="s">
        <v>1766</v>
      </c>
      <c r="B1457">
        <v>1963</v>
      </c>
      <c r="C1457" t="s">
        <v>4696</v>
      </c>
      <c r="D1457">
        <v>19</v>
      </c>
      <c r="E1457">
        <v>0</v>
      </c>
      <c r="F1457" s="13">
        <v>12233.83</v>
      </c>
      <c r="G1457" t="s">
        <v>4698</v>
      </c>
      <c r="H1457" t="s">
        <v>4701</v>
      </c>
      <c r="I1457" t="s">
        <v>4708</v>
      </c>
      <c r="J1457" s="10">
        <f t="shared" si="44"/>
        <v>23211</v>
      </c>
      <c r="K1457">
        <f t="shared" si="45"/>
        <v>59</v>
      </c>
    </row>
    <row r="1458" spans="1:11">
      <c r="A1458" t="s">
        <v>1764</v>
      </c>
      <c r="B1458">
        <v>1964</v>
      </c>
      <c r="C1458" t="s">
        <v>4707</v>
      </c>
      <c r="D1458">
        <v>15</v>
      </c>
      <c r="E1458">
        <v>0</v>
      </c>
      <c r="F1458" s="13">
        <v>12235.84</v>
      </c>
      <c r="G1458" t="s">
        <v>4698</v>
      </c>
      <c r="H1458" t="s">
        <v>4698</v>
      </c>
      <c r="I1458" t="s">
        <v>4704</v>
      </c>
      <c r="J1458" s="10">
        <f t="shared" si="44"/>
        <v>23665</v>
      </c>
      <c r="K1458">
        <f t="shared" si="45"/>
        <v>58</v>
      </c>
    </row>
    <row r="1459" spans="1:11">
      <c r="A1459" t="s">
        <v>1762</v>
      </c>
      <c r="B1459">
        <v>1966</v>
      </c>
      <c r="C1459" t="s">
        <v>4696</v>
      </c>
      <c r="D1459">
        <v>29</v>
      </c>
      <c r="E1459">
        <v>0</v>
      </c>
      <c r="F1459" s="13">
        <v>12237.73</v>
      </c>
      <c r="G1459" t="s">
        <v>4698</v>
      </c>
      <c r="H1459" t="s">
        <v>4698</v>
      </c>
      <c r="I1459" t="s">
        <v>4704</v>
      </c>
      <c r="J1459" s="10">
        <f t="shared" si="44"/>
        <v>24317</v>
      </c>
      <c r="K1459">
        <f t="shared" si="45"/>
        <v>56</v>
      </c>
    </row>
    <row r="1460" spans="1:11">
      <c r="A1460" t="s">
        <v>1760</v>
      </c>
      <c r="B1460">
        <v>1963</v>
      </c>
      <c r="C1460" t="s">
        <v>4696</v>
      </c>
      <c r="D1460">
        <v>17</v>
      </c>
      <c r="E1460">
        <v>0</v>
      </c>
      <c r="F1460" s="13">
        <v>12244.53</v>
      </c>
      <c r="G1460" t="s">
        <v>4698</v>
      </c>
      <c r="H1460" t="s">
        <v>4701</v>
      </c>
      <c r="I1460" t="s">
        <v>4699</v>
      </c>
      <c r="J1460" s="10">
        <f t="shared" si="44"/>
        <v>23209</v>
      </c>
      <c r="K1460">
        <f t="shared" si="45"/>
        <v>59</v>
      </c>
    </row>
    <row r="1461" spans="1:11">
      <c r="A1461" t="s">
        <v>1758</v>
      </c>
      <c r="B1461">
        <v>1974</v>
      </c>
      <c r="C1461" t="s">
        <v>4702</v>
      </c>
      <c r="D1461">
        <v>23</v>
      </c>
      <c r="E1461">
        <v>0</v>
      </c>
      <c r="F1461" s="13">
        <v>12245.17</v>
      </c>
      <c r="G1461" t="s">
        <v>4698</v>
      </c>
      <c r="H1461" t="s">
        <v>4701</v>
      </c>
      <c r="I1461" t="s">
        <v>4704</v>
      </c>
      <c r="J1461" s="10">
        <f t="shared" si="44"/>
        <v>27203</v>
      </c>
      <c r="K1461">
        <f t="shared" si="45"/>
        <v>48</v>
      </c>
    </row>
    <row r="1462" spans="1:11">
      <c r="A1462" t="s">
        <v>1756</v>
      </c>
      <c r="B1462">
        <v>1989</v>
      </c>
      <c r="C1462" t="s">
        <v>4700</v>
      </c>
      <c r="D1462">
        <v>23</v>
      </c>
      <c r="E1462">
        <v>3</v>
      </c>
      <c r="F1462" s="13">
        <v>12254.44</v>
      </c>
      <c r="G1462" t="s">
        <v>4698</v>
      </c>
      <c r="H1462" t="s">
        <v>4698</v>
      </c>
      <c r="I1462" t="s">
        <v>4720</v>
      </c>
      <c r="J1462" s="10">
        <f t="shared" si="44"/>
        <v>32835</v>
      </c>
      <c r="K1462">
        <f t="shared" si="45"/>
        <v>33</v>
      </c>
    </row>
    <row r="1463" spans="1:11">
      <c r="A1463" t="s">
        <v>1754</v>
      </c>
      <c r="B1463">
        <v>1986</v>
      </c>
      <c r="C1463" t="s">
        <v>4706</v>
      </c>
      <c r="D1463">
        <v>13</v>
      </c>
      <c r="E1463">
        <v>3</v>
      </c>
      <c r="F1463" s="13">
        <v>12255.04</v>
      </c>
      <c r="G1463" t="s">
        <v>4698</v>
      </c>
      <c r="H1463" t="s">
        <v>4697</v>
      </c>
      <c r="I1463" t="s">
        <v>4720</v>
      </c>
      <c r="J1463" s="10">
        <f t="shared" si="44"/>
        <v>31637</v>
      </c>
      <c r="K1463">
        <f t="shared" si="45"/>
        <v>36</v>
      </c>
    </row>
    <row r="1464" spans="1:11">
      <c r="A1464" t="s">
        <v>1752</v>
      </c>
      <c r="B1464">
        <v>1966</v>
      </c>
      <c r="C1464" t="s">
        <v>4705</v>
      </c>
      <c r="D1464">
        <v>6</v>
      </c>
      <c r="E1464">
        <v>2</v>
      </c>
      <c r="F1464" s="13">
        <v>12265.51</v>
      </c>
      <c r="G1464" t="s">
        <v>4698</v>
      </c>
      <c r="H1464" t="s">
        <v>4698</v>
      </c>
      <c r="I1464" t="s">
        <v>4699</v>
      </c>
      <c r="J1464" s="10">
        <f t="shared" si="44"/>
        <v>24447</v>
      </c>
      <c r="K1464">
        <f t="shared" si="45"/>
        <v>56</v>
      </c>
    </row>
    <row r="1465" spans="1:11">
      <c r="A1465" t="s">
        <v>1750</v>
      </c>
      <c r="B1465">
        <v>1967</v>
      </c>
      <c r="C1465" t="s">
        <v>4705</v>
      </c>
      <c r="D1465">
        <v>30</v>
      </c>
      <c r="E1465">
        <v>2</v>
      </c>
      <c r="F1465" s="13">
        <v>12268.63</v>
      </c>
      <c r="G1465" t="s">
        <v>4698</v>
      </c>
      <c r="H1465" t="s">
        <v>4701</v>
      </c>
      <c r="I1465" t="s">
        <v>4704</v>
      </c>
      <c r="J1465" s="10">
        <f t="shared" si="44"/>
        <v>24836</v>
      </c>
      <c r="K1465">
        <f t="shared" si="45"/>
        <v>55</v>
      </c>
    </row>
    <row r="1466" spans="1:11">
      <c r="A1466" t="s">
        <v>1748</v>
      </c>
      <c r="B1466">
        <v>1967</v>
      </c>
      <c r="C1466" t="s">
        <v>4706</v>
      </c>
      <c r="D1466">
        <v>28</v>
      </c>
      <c r="E1466">
        <v>2</v>
      </c>
      <c r="F1466" s="13">
        <v>12269.69</v>
      </c>
      <c r="G1466" t="s">
        <v>4698</v>
      </c>
      <c r="H1466" t="s">
        <v>4697</v>
      </c>
      <c r="I1466" t="s">
        <v>4704</v>
      </c>
      <c r="J1466" s="10">
        <f t="shared" si="44"/>
        <v>24712</v>
      </c>
      <c r="K1466">
        <f t="shared" si="45"/>
        <v>55</v>
      </c>
    </row>
    <row r="1467" spans="1:11">
      <c r="A1467" t="s">
        <v>1746</v>
      </c>
      <c r="B1467">
        <v>1966</v>
      </c>
      <c r="C1467" t="s">
        <v>4700</v>
      </c>
      <c r="D1467">
        <v>16</v>
      </c>
      <c r="E1467">
        <v>0</v>
      </c>
      <c r="F1467" s="13">
        <v>12282.03</v>
      </c>
      <c r="G1467" t="s">
        <v>4698</v>
      </c>
      <c r="H1467" t="s">
        <v>4701</v>
      </c>
      <c r="I1467" t="s">
        <v>4713</v>
      </c>
      <c r="J1467" s="10">
        <f t="shared" si="44"/>
        <v>24427</v>
      </c>
      <c r="K1467">
        <f t="shared" si="45"/>
        <v>56</v>
      </c>
    </row>
    <row r="1468" spans="1:11">
      <c r="A1468" t="s">
        <v>1744</v>
      </c>
      <c r="B1468">
        <v>1990</v>
      </c>
      <c r="C1468" t="s">
        <v>4707</v>
      </c>
      <c r="D1468">
        <v>29</v>
      </c>
      <c r="E1468">
        <v>3</v>
      </c>
      <c r="F1468" s="13">
        <v>12282.38</v>
      </c>
      <c r="G1468" t="s">
        <v>4698</v>
      </c>
      <c r="H1468" t="s">
        <v>4701</v>
      </c>
      <c r="I1468" t="s">
        <v>4708</v>
      </c>
      <c r="J1468" s="10">
        <f t="shared" si="44"/>
        <v>33175</v>
      </c>
      <c r="K1468">
        <f t="shared" si="45"/>
        <v>32</v>
      </c>
    </row>
    <row r="1469" spans="1:11">
      <c r="A1469" t="s">
        <v>1742</v>
      </c>
      <c r="B1469">
        <v>1963</v>
      </c>
      <c r="C1469" t="s">
        <v>4707</v>
      </c>
      <c r="D1469">
        <v>28</v>
      </c>
      <c r="E1469">
        <v>0</v>
      </c>
      <c r="F1469" s="13">
        <v>12299.59</v>
      </c>
      <c r="G1469" t="s">
        <v>4698</v>
      </c>
      <c r="H1469" t="s">
        <v>4701</v>
      </c>
      <c r="I1469" t="s">
        <v>4713</v>
      </c>
      <c r="J1469" s="10">
        <f t="shared" si="44"/>
        <v>23312</v>
      </c>
      <c r="K1469">
        <f t="shared" si="45"/>
        <v>59</v>
      </c>
    </row>
    <row r="1470" spans="1:11">
      <c r="A1470" t="s">
        <v>1740</v>
      </c>
      <c r="B1470">
        <v>1963</v>
      </c>
      <c r="C1470" t="s">
        <v>4706</v>
      </c>
      <c r="D1470">
        <v>29</v>
      </c>
      <c r="E1470">
        <v>0</v>
      </c>
      <c r="F1470" s="13">
        <v>12323.94</v>
      </c>
      <c r="G1470" t="s">
        <v>4698</v>
      </c>
      <c r="H1470" t="s">
        <v>4698</v>
      </c>
      <c r="I1470" t="s">
        <v>4718</v>
      </c>
      <c r="J1470" s="10">
        <f t="shared" si="44"/>
        <v>23252</v>
      </c>
      <c r="K1470">
        <f t="shared" si="45"/>
        <v>59</v>
      </c>
    </row>
    <row r="1471" spans="1:11">
      <c r="A1471" t="s">
        <v>1738</v>
      </c>
      <c r="B1471">
        <v>1963</v>
      </c>
      <c r="C1471" t="s">
        <v>4706</v>
      </c>
      <c r="D1471">
        <v>2</v>
      </c>
      <c r="E1471">
        <v>1</v>
      </c>
      <c r="F1471" s="13">
        <v>12333.83</v>
      </c>
      <c r="G1471" t="s">
        <v>4698</v>
      </c>
      <c r="H1471" t="s">
        <v>4697</v>
      </c>
      <c r="I1471" t="s">
        <v>4708</v>
      </c>
      <c r="J1471" s="10">
        <f t="shared" si="44"/>
        <v>23225</v>
      </c>
      <c r="K1471">
        <f t="shared" si="45"/>
        <v>59</v>
      </c>
    </row>
    <row r="1472" spans="1:11">
      <c r="A1472" t="s">
        <v>1736</v>
      </c>
      <c r="B1472">
        <v>1963</v>
      </c>
      <c r="C1472" t="s">
        <v>4703</v>
      </c>
      <c r="D1472">
        <v>22</v>
      </c>
      <c r="E1472">
        <v>1</v>
      </c>
      <c r="F1472" s="13">
        <v>12347.17</v>
      </c>
      <c r="G1472" t="s">
        <v>4698</v>
      </c>
      <c r="H1472" t="s">
        <v>4698</v>
      </c>
      <c r="I1472" t="s">
        <v>4708</v>
      </c>
      <c r="J1472" s="10">
        <f t="shared" si="44"/>
        <v>23276</v>
      </c>
      <c r="K1472">
        <f t="shared" si="45"/>
        <v>59</v>
      </c>
    </row>
    <row r="1473" spans="1:11">
      <c r="A1473" t="s">
        <v>1734</v>
      </c>
      <c r="B1473">
        <v>1966</v>
      </c>
      <c r="C1473" t="s">
        <v>4705</v>
      </c>
      <c r="D1473">
        <v>29</v>
      </c>
      <c r="E1473">
        <v>3</v>
      </c>
      <c r="F1473" s="13">
        <v>12363.55</v>
      </c>
      <c r="G1473" t="s">
        <v>4698</v>
      </c>
      <c r="H1473" t="s">
        <v>4698</v>
      </c>
      <c r="I1473" t="s">
        <v>4708</v>
      </c>
      <c r="J1473" s="10">
        <f t="shared" si="44"/>
        <v>24470</v>
      </c>
      <c r="K1473">
        <f t="shared" si="45"/>
        <v>56</v>
      </c>
    </row>
    <row r="1474" spans="1:11">
      <c r="A1474" t="s">
        <v>1732</v>
      </c>
      <c r="B1474">
        <v>1962</v>
      </c>
      <c r="C1474" t="s">
        <v>4703</v>
      </c>
      <c r="D1474">
        <v>26</v>
      </c>
      <c r="E1474">
        <v>0</v>
      </c>
      <c r="F1474" s="13">
        <v>12369.89</v>
      </c>
      <c r="G1474" t="s">
        <v>4698</v>
      </c>
      <c r="H1474" t="s">
        <v>4697</v>
      </c>
      <c r="I1474" t="s">
        <v>4714</v>
      </c>
      <c r="J1474" s="10">
        <f t="shared" ref="J1474:J1537" si="46">DATEVALUE(D1474&amp;"-"&amp;C1474&amp;"-"&amp;B1474)</f>
        <v>22915</v>
      </c>
      <c r="K1474">
        <f t="shared" si="45"/>
        <v>60</v>
      </c>
    </row>
    <row r="1475" spans="1:11">
      <c r="A1475" t="s">
        <v>1730</v>
      </c>
      <c r="B1475">
        <v>1989</v>
      </c>
      <c r="C1475" t="s">
        <v>4705</v>
      </c>
      <c r="D1475">
        <v>29</v>
      </c>
      <c r="E1475">
        <v>0</v>
      </c>
      <c r="F1475" s="13">
        <v>12404.88</v>
      </c>
      <c r="G1475" t="s">
        <v>4698</v>
      </c>
      <c r="H1475" t="s">
        <v>4698</v>
      </c>
      <c r="I1475" t="s">
        <v>4711</v>
      </c>
      <c r="J1475" s="10">
        <f t="shared" si="46"/>
        <v>32871</v>
      </c>
      <c r="K1475">
        <f t="shared" ref="K1475:K1538" si="47">DATEDIF(J1475, DATE(2023, 6, 8), "Y")</f>
        <v>33</v>
      </c>
    </row>
    <row r="1476" spans="1:11">
      <c r="A1476" t="s">
        <v>1728</v>
      </c>
      <c r="B1476">
        <v>1972</v>
      </c>
      <c r="C1476" t="s">
        <v>4706</v>
      </c>
      <c r="D1476">
        <v>21</v>
      </c>
      <c r="E1476">
        <v>0</v>
      </c>
      <c r="F1476" s="13">
        <v>12407.3</v>
      </c>
      <c r="G1476" t="s">
        <v>4698</v>
      </c>
      <c r="H1476" t="s">
        <v>4697</v>
      </c>
      <c r="I1476" t="s">
        <v>4717</v>
      </c>
      <c r="J1476" s="10">
        <f t="shared" si="46"/>
        <v>26532</v>
      </c>
      <c r="K1476">
        <f t="shared" si="47"/>
        <v>50</v>
      </c>
    </row>
    <row r="1477" spans="1:11">
      <c r="A1477" t="s">
        <v>1726</v>
      </c>
      <c r="B1477">
        <v>1979</v>
      </c>
      <c r="C1477" t="s">
        <v>4696</v>
      </c>
      <c r="D1477">
        <v>14</v>
      </c>
      <c r="E1477">
        <v>2</v>
      </c>
      <c r="F1477" s="13">
        <v>12408.29</v>
      </c>
      <c r="G1477" t="s">
        <v>4698</v>
      </c>
      <c r="H1477" t="s">
        <v>4701</v>
      </c>
      <c r="I1477" t="s">
        <v>4721</v>
      </c>
      <c r="J1477" s="10">
        <f t="shared" si="46"/>
        <v>29050</v>
      </c>
      <c r="K1477">
        <f t="shared" si="47"/>
        <v>43</v>
      </c>
    </row>
    <row r="1478" spans="1:11">
      <c r="A1478" t="s">
        <v>1724</v>
      </c>
      <c r="B1478">
        <v>1964</v>
      </c>
      <c r="C1478" t="s">
        <v>4706</v>
      </c>
      <c r="D1478">
        <v>4</v>
      </c>
      <c r="E1478">
        <v>0</v>
      </c>
      <c r="F1478" s="13">
        <v>12430.95</v>
      </c>
      <c r="G1478" t="s">
        <v>4698</v>
      </c>
      <c r="H1478" t="s">
        <v>4698</v>
      </c>
      <c r="I1478" t="s">
        <v>4714</v>
      </c>
      <c r="J1478" s="10">
        <f t="shared" si="46"/>
        <v>23593</v>
      </c>
      <c r="K1478">
        <f t="shared" si="47"/>
        <v>58</v>
      </c>
    </row>
    <row r="1479" spans="1:11">
      <c r="A1479" t="s">
        <v>1722</v>
      </c>
      <c r="B1479">
        <v>1995</v>
      </c>
      <c r="C1479" t="s">
        <v>4706</v>
      </c>
      <c r="D1479">
        <v>9</v>
      </c>
      <c r="E1479">
        <v>0</v>
      </c>
      <c r="F1479" s="13">
        <v>12452.25</v>
      </c>
      <c r="G1479" t="s">
        <v>4698</v>
      </c>
      <c r="H1479" t="s">
        <v>4698</v>
      </c>
      <c r="I1479" t="s">
        <v>4704</v>
      </c>
      <c r="J1479" s="10">
        <f t="shared" si="46"/>
        <v>34920</v>
      </c>
      <c r="K1479">
        <f t="shared" si="47"/>
        <v>27</v>
      </c>
    </row>
    <row r="1480" spans="1:11">
      <c r="A1480" t="s">
        <v>1720</v>
      </c>
      <c r="B1480">
        <v>1968</v>
      </c>
      <c r="C1480" t="s">
        <v>4700</v>
      </c>
      <c r="D1480">
        <v>26</v>
      </c>
      <c r="E1480">
        <v>3</v>
      </c>
      <c r="F1480" s="13">
        <v>12475.35</v>
      </c>
      <c r="G1480" t="s">
        <v>4698</v>
      </c>
      <c r="H1480" t="s">
        <v>4701</v>
      </c>
      <c r="I1480" t="s">
        <v>4704</v>
      </c>
      <c r="J1480" s="10">
        <f t="shared" si="46"/>
        <v>25168</v>
      </c>
      <c r="K1480">
        <f t="shared" si="47"/>
        <v>54</v>
      </c>
    </row>
    <row r="1481" spans="1:11">
      <c r="A1481" t="s">
        <v>1718</v>
      </c>
      <c r="B1481">
        <v>1968</v>
      </c>
      <c r="C1481" t="s">
        <v>4700</v>
      </c>
      <c r="D1481">
        <v>12</v>
      </c>
      <c r="E1481">
        <v>3</v>
      </c>
      <c r="F1481" s="13">
        <v>12479.71</v>
      </c>
      <c r="G1481" t="s">
        <v>4698</v>
      </c>
      <c r="H1481" t="s">
        <v>4698</v>
      </c>
      <c r="I1481" t="s">
        <v>4704</v>
      </c>
      <c r="J1481" s="10">
        <f t="shared" si="46"/>
        <v>25154</v>
      </c>
      <c r="K1481">
        <f t="shared" si="47"/>
        <v>54</v>
      </c>
    </row>
    <row r="1482" spans="1:11">
      <c r="A1482" t="s">
        <v>1716</v>
      </c>
      <c r="B1482">
        <v>1967</v>
      </c>
      <c r="C1482" t="s">
        <v>4703</v>
      </c>
      <c r="D1482">
        <v>1</v>
      </c>
      <c r="E1482">
        <v>3</v>
      </c>
      <c r="F1482" s="13">
        <v>12485.8</v>
      </c>
      <c r="G1482" t="s">
        <v>4698</v>
      </c>
      <c r="H1482" t="s">
        <v>4698</v>
      </c>
      <c r="I1482" t="s">
        <v>4699</v>
      </c>
      <c r="J1482" s="10">
        <f t="shared" si="46"/>
        <v>24716</v>
      </c>
      <c r="K1482">
        <f t="shared" si="47"/>
        <v>55</v>
      </c>
    </row>
    <row r="1483" spans="1:11">
      <c r="A1483" t="s">
        <v>1714</v>
      </c>
      <c r="B1483">
        <v>1968</v>
      </c>
      <c r="C1483" t="s">
        <v>4705</v>
      </c>
      <c r="D1483">
        <v>3</v>
      </c>
      <c r="E1483">
        <v>3</v>
      </c>
      <c r="F1483" s="13">
        <v>12495.29</v>
      </c>
      <c r="G1483" t="s">
        <v>4698</v>
      </c>
      <c r="H1483" t="s">
        <v>4698</v>
      </c>
      <c r="I1483" t="s">
        <v>4704</v>
      </c>
      <c r="J1483" s="10">
        <f t="shared" si="46"/>
        <v>25175</v>
      </c>
      <c r="K1483">
        <f t="shared" si="47"/>
        <v>54</v>
      </c>
    </row>
    <row r="1484" spans="1:11">
      <c r="A1484" t="s">
        <v>1712</v>
      </c>
      <c r="B1484">
        <v>1966</v>
      </c>
      <c r="C1484" t="s">
        <v>4696</v>
      </c>
      <c r="D1484">
        <v>12</v>
      </c>
      <c r="E1484">
        <v>0</v>
      </c>
      <c r="F1484" s="13">
        <v>12499.88</v>
      </c>
      <c r="G1484" t="s">
        <v>4698</v>
      </c>
      <c r="H1484" t="s">
        <v>4697</v>
      </c>
      <c r="I1484" t="s">
        <v>4704</v>
      </c>
      <c r="J1484" s="10">
        <f t="shared" si="46"/>
        <v>24300</v>
      </c>
      <c r="K1484">
        <f t="shared" si="47"/>
        <v>56</v>
      </c>
    </row>
    <row r="1485" spans="1:11">
      <c r="A1485" t="s">
        <v>1710</v>
      </c>
      <c r="B1485">
        <v>1962</v>
      </c>
      <c r="C1485" t="s">
        <v>4707</v>
      </c>
      <c r="D1485">
        <v>16</v>
      </c>
      <c r="E1485">
        <v>0</v>
      </c>
      <c r="F1485" s="13">
        <v>12523.6</v>
      </c>
      <c r="G1485" t="s">
        <v>4698</v>
      </c>
      <c r="H1485" t="s">
        <v>4698</v>
      </c>
      <c r="I1485" t="s">
        <v>4704</v>
      </c>
      <c r="J1485" s="10">
        <f t="shared" si="46"/>
        <v>22935</v>
      </c>
      <c r="K1485">
        <f t="shared" si="47"/>
        <v>60</v>
      </c>
    </row>
    <row r="1486" spans="1:11">
      <c r="A1486" t="s">
        <v>1708</v>
      </c>
      <c r="B1486">
        <v>1961</v>
      </c>
      <c r="C1486" t="s">
        <v>4700</v>
      </c>
      <c r="D1486">
        <v>28</v>
      </c>
      <c r="E1486">
        <v>0</v>
      </c>
      <c r="F1486" s="13">
        <v>12557.61</v>
      </c>
      <c r="G1486" t="s">
        <v>4698</v>
      </c>
      <c r="H1486" t="s">
        <v>4698</v>
      </c>
      <c r="I1486" t="s">
        <v>4699</v>
      </c>
      <c r="J1486" s="10">
        <f t="shared" si="46"/>
        <v>22613</v>
      </c>
      <c r="K1486">
        <f t="shared" si="47"/>
        <v>61</v>
      </c>
    </row>
    <row r="1487" spans="1:11">
      <c r="A1487" t="s">
        <v>1706</v>
      </c>
      <c r="B1487">
        <v>1961</v>
      </c>
      <c r="C1487" t="s">
        <v>4700</v>
      </c>
      <c r="D1487">
        <v>28</v>
      </c>
      <c r="E1487">
        <v>0</v>
      </c>
      <c r="F1487" s="13">
        <v>12574.05</v>
      </c>
      <c r="G1487" t="s">
        <v>4698</v>
      </c>
      <c r="H1487" t="s">
        <v>4701</v>
      </c>
      <c r="I1487" t="s">
        <v>4708</v>
      </c>
      <c r="J1487" s="10">
        <f t="shared" si="46"/>
        <v>22613</v>
      </c>
      <c r="K1487">
        <f t="shared" si="47"/>
        <v>61</v>
      </c>
    </row>
    <row r="1488" spans="1:11">
      <c r="A1488" t="s">
        <v>1704</v>
      </c>
      <c r="B1488">
        <v>1969</v>
      </c>
      <c r="C1488" t="s">
        <v>4700</v>
      </c>
      <c r="D1488">
        <v>26</v>
      </c>
      <c r="E1488">
        <v>0</v>
      </c>
      <c r="F1488" s="13">
        <v>12579.92</v>
      </c>
      <c r="G1488" t="s">
        <v>4698</v>
      </c>
      <c r="H1488" t="s">
        <v>4701</v>
      </c>
      <c r="I1488" t="s">
        <v>4713</v>
      </c>
      <c r="J1488" s="10">
        <f t="shared" si="46"/>
        <v>25533</v>
      </c>
      <c r="K1488">
        <f t="shared" si="47"/>
        <v>53</v>
      </c>
    </row>
    <row r="1489" spans="1:11">
      <c r="A1489" t="s">
        <v>1702</v>
      </c>
      <c r="B1489">
        <v>1970</v>
      </c>
      <c r="C1489" t="s">
        <v>4702</v>
      </c>
      <c r="D1489">
        <v>18</v>
      </c>
      <c r="E1489">
        <v>5</v>
      </c>
      <c r="F1489" s="13">
        <v>12592.53</v>
      </c>
      <c r="G1489" t="s">
        <v>4698</v>
      </c>
      <c r="H1489" t="s">
        <v>4697</v>
      </c>
      <c r="I1489" t="s">
        <v>4699</v>
      </c>
      <c r="J1489" s="10">
        <f t="shared" si="46"/>
        <v>25737</v>
      </c>
      <c r="K1489">
        <f t="shared" si="47"/>
        <v>52</v>
      </c>
    </row>
    <row r="1490" spans="1:11">
      <c r="A1490" t="s">
        <v>1700</v>
      </c>
      <c r="B1490">
        <v>1988</v>
      </c>
      <c r="C1490" t="s">
        <v>4706</v>
      </c>
      <c r="D1490">
        <v>11</v>
      </c>
      <c r="E1490">
        <v>3</v>
      </c>
      <c r="F1490" s="13">
        <v>12600.46</v>
      </c>
      <c r="G1490" t="s">
        <v>4698</v>
      </c>
      <c r="H1490" t="s">
        <v>4701</v>
      </c>
      <c r="I1490" t="s">
        <v>4715</v>
      </c>
      <c r="J1490" s="10">
        <f t="shared" si="46"/>
        <v>32366</v>
      </c>
      <c r="K1490">
        <f t="shared" si="47"/>
        <v>34</v>
      </c>
    </row>
    <row r="1491" spans="1:11">
      <c r="A1491" t="s">
        <v>1698</v>
      </c>
      <c r="B1491">
        <v>1998</v>
      </c>
      <c r="C1491" t="s">
        <v>4700</v>
      </c>
      <c r="D1491">
        <v>18</v>
      </c>
      <c r="E1491">
        <v>1</v>
      </c>
      <c r="F1491" s="13">
        <v>12609.89</v>
      </c>
      <c r="G1491" t="s">
        <v>4698</v>
      </c>
      <c r="H1491" t="s">
        <v>4698</v>
      </c>
      <c r="I1491" t="s">
        <v>4704</v>
      </c>
      <c r="J1491" s="10">
        <f t="shared" si="46"/>
        <v>36117</v>
      </c>
      <c r="K1491">
        <f t="shared" si="47"/>
        <v>24</v>
      </c>
    </row>
    <row r="1492" spans="1:11">
      <c r="A1492" t="s">
        <v>1696</v>
      </c>
      <c r="B1492">
        <v>1963</v>
      </c>
      <c r="C1492" t="s">
        <v>4706</v>
      </c>
      <c r="D1492">
        <v>19</v>
      </c>
      <c r="E1492">
        <v>0</v>
      </c>
      <c r="F1492" s="13">
        <v>12622.18</v>
      </c>
      <c r="G1492" t="s">
        <v>4698</v>
      </c>
      <c r="H1492" t="s">
        <v>4701</v>
      </c>
      <c r="I1492" t="s">
        <v>4704</v>
      </c>
      <c r="J1492" s="10">
        <f t="shared" si="46"/>
        <v>23242</v>
      </c>
      <c r="K1492">
        <f t="shared" si="47"/>
        <v>59</v>
      </c>
    </row>
    <row r="1493" spans="1:11">
      <c r="A1493" t="s">
        <v>1694</v>
      </c>
      <c r="B1493">
        <v>1970</v>
      </c>
      <c r="C1493" t="s">
        <v>4705</v>
      </c>
      <c r="D1493">
        <v>28</v>
      </c>
      <c r="E1493">
        <v>0</v>
      </c>
      <c r="F1493" s="13">
        <v>12624.74</v>
      </c>
      <c r="G1493" t="s">
        <v>4698</v>
      </c>
      <c r="H1493" t="s">
        <v>4701</v>
      </c>
      <c r="I1493" t="s">
        <v>4704</v>
      </c>
      <c r="J1493" s="10">
        <f t="shared" si="46"/>
        <v>25930</v>
      </c>
      <c r="K1493">
        <f t="shared" si="47"/>
        <v>52</v>
      </c>
    </row>
    <row r="1494" spans="1:11">
      <c r="A1494" t="s">
        <v>1692</v>
      </c>
      <c r="B1494">
        <v>1965</v>
      </c>
      <c r="C1494" t="s">
        <v>4707</v>
      </c>
      <c r="D1494">
        <v>4</v>
      </c>
      <c r="E1494">
        <v>2</v>
      </c>
      <c r="F1494" s="13">
        <v>12629.17</v>
      </c>
      <c r="G1494" t="s">
        <v>4698</v>
      </c>
      <c r="H1494" t="s">
        <v>4701</v>
      </c>
      <c r="I1494" t="s">
        <v>4699</v>
      </c>
      <c r="J1494" s="10">
        <f t="shared" si="46"/>
        <v>24019</v>
      </c>
      <c r="K1494">
        <f t="shared" si="47"/>
        <v>57</v>
      </c>
    </row>
    <row r="1495" spans="1:11">
      <c r="A1495" t="s">
        <v>1690</v>
      </c>
      <c r="B1495">
        <v>1962</v>
      </c>
      <c r="C1495" t="s">
        <v>4700</v>
      </c>
      <c r="D1495">
        <v>22</v>
      </c>
      <c r="E1495">
        <v>0</v>
      </c>
      <c r="F1495" s="13">
        <v>12629.9</v>
      </c>
      <c r="G1495" t="s">
        <v>4698</v>
      </c>
      <c r="H1495" t="s">
        <v>4698</v>
      </c>
      <c r="I1495" t="s">
        <v>4699</v>
      </c>
      <c r="J1495" s="10">
        <f t="shared" si="46"/>
        <v>22972</v>
      </c>
      <c r="K1495">
        <f t="shared" si="47"/>
        <v>60</v>
      </c>
    </row>
    <row r="1496" spans="1:11">
      <c r="A1496" t="s">
        <v>1688</v>
      </c>
      <c r="B1496">
        <v>1962</v>
      </c>
      <c r="C1496" t="s">
        <v>4696</v>
      </c>
      <c r="D1496">
        <v>22</v>
      </c>
      <c r="E1496">
        <v>0</v>
      </c>
      <c r="F1496" s="13">
        <v>12638.2</v>
      </c>
      <c r="G1496" t="s">
        <v>4698</v>
      </c>
      <c r="H1496" t="s">
        <v>4701</v>
      </c>
      <c r="I1496" t="s">
        <v>4708</v>
      </c>
      <c r="J1496" s="10">
        <f t="shared" si="46"/>
        <v>22849</v>
      </c>
      <c r="K1496">
        <f t="shared" si="47"/>
        <v>60</v>
      </c>
    </row>
    <row r="1497" spans="1:11">
      <c r="A1497" t="s">
        <v>1686</v>
      </c>
      <c r="B1497">
        <v>1972</v>
      </c>
      <c r="C1497" t="s">
        <v>4703</v>
      </c>
      <c r="D1497">
        <v>5</v>
      </c>
      <c r="E1497">
        <v>0</v>
      </c>
      <c r="F1497" s="13">
        <v>12640.24</v>
      </c>
      <c r="G1497" t="s">
        <v>4698</v>
      </c>
      <c r="H1497" t="s">
        <v>4701</v>
      </c>
      <c r="I1497" t="s">
        <v>4708</v>
      </c>
      <c r="J1497" s="10">
        <f t="shared" si="46"/>
        <v>26547</v>
      </c>
      <c r="K1497">
        <f t="shared" si="47"/>
        <v>50</v>
      </c>
    </row>
    <row r="1498" spans="1:11">
      <c r="A1498" t="s">
        <v>1684</v>
      </c>
      <c r="B1498">
        <v>1966</v>
      </c>
      <c r="C1498" t="s">
        <v>4705</v>
      </c>
      <c r="D1498">
        <v>17</v>
      </c>
      <c r="E1498">
        <v>2</v>
      </c>
      <c r="F1498" s="13">
        <v>12643.38</v>
      </c>
      <c r="G1498" t="s">
        <v>4698</v>
      </c>
      <c r="H1498" t="s">
        <v>4701</v>
      </c>
      <c r="I1498" t="s">
        <v>4704</v>
      </c>
      <c r="J1498" s="10">
        <f t="shared" si="46"/>
        <v>24458</v>
      </c>
      <c r="K1498">
        <f t="shared" si="47"/>
        <v>56</v>
      </c>
    </row>
    <row r="1499" spans="1:11">
      <c r="A1499" t="s">
        <v>1682</v>
      </c>
      <c r="B1499">
        <v>1962</v>
      </c>
      <c r="C1499" t="s">
        <v>4696</v>
      </c>
      <c r="D1499">
        <v>11</v>
      </c>
      <c r="E1499">
        <v>0</v>
      </c>
      <c r="F1499" s="13">
        <v>12644.59</v>
      </c>
      <c r="G1499" t="s">
        <v>4698</v>
      </c>
      <c r="H1499" t="s">
        <v>4697</v>
      </c>
      <c r="I1499" t="s">
        <v>4708</v>
      </c>
      <c r="J1499" s="10">
        <f t="shared" si="46"/>
        <v>22838</v>
      </c>
      <c r="K1499">
        <f t="shared" si="47"/>
        <v>60</v>
      </c>
    </row>
    <row r="1500" spans="1:11">
      <c r="A1500" t="s">
        <v>1680</v>
      </c>
      <c r="B1500">
        <v>1965</v>
      </c>
      <c r="C1500" t="s">
        <v>4703</v>
      </c>
      <c r="D1500">
        <v>14</v>
      </c>
      <c r="E1500">
        <v>2</v>
      </c>
      <c r="F1500" s="13">
        <v>12646.21</v>
      </c>
      <c r="G1500" t="s">
        <v>4698</v>
      </c>
      <c r="H1500" t="s">
        <v>4697</v>
      </c>
      <c r="I1500" t="s">
        <v>4708</v>
      </c>
      <c r="J1500" s="10">
        <f t="shared" si="46"/>
        <v>23999</v>
      </c>
      <c r="K1500">
        <f t="shared" si="47"/>
        <v>57</v>
      </c>
    </row>
    <row r="1501" spans="1:11">
      <c r="A1501" t="s">
        <v>1678</v>
      </c>
      <c r="B1501">
        <v>1962</v>
      </c>
      <c r="C1501" t="s">
        <v>4706</v>
      </c>
      <c r="D1501">
        <v>27</v>
      </c>
      <c r="E1501">
        <v>0</v>
      </c>
      <c r="F1501" s="13">
        <v>12648.7</v>
      </c>
      <c r="G1501" t="s">
        <v>4698</v>
      </c>
      <c r="H1501" t="s">
        <v>4697</v>
      </c>
      <c r="I1501" t="s">
        <v>4699</v>
      </c>
      <c r="J1501" s="10">
        <f t="shared" si="46"/>
        <v>22885</v>
      </c>
      <c r="K1501">
        <f t="shared" si="47"/>
        <v>60</v>
      </c>
    </row>
    <row r="1502" spans="1:11">
      <c r="A1502" t="s">
        <v>1676</v>
      </c>
      <c r="B1502">
        <v>1974</v>
      </c>
      <c r="C1502" t="s">
        <v>4703</v>
      </c>
      <c r="D1502">
        <v>24</v>
      </c>
      <c r="E1502">
        <v>0</v>
      </c>
      <c r="F1502" s="13">
        <v>12697.48</v>
      </c>
      <c r="G1502" t="s">
        <v>4698</v>
      </c>
      <c r="H1502" t="s">
        <v>4698</v>
      </c>
      <c r="I1502" t="s">
        <v>4717</v>
      </c>
      <c r="J1502" s="10">
        <f t="shared" si="46"/>
        <v>27296</v>
      </c>
      <c r="K1502">
        <f t="shared" si="47"/>
        <v>48</v>
      </c>
    </row>
    <row r="1503" spans="1:11">
      <c r="A1503" t="s">
        <v>1674</v>
      </c>
      <c r="B1503">
        <v>1992</v>
      </c>
      <c r="C1503" t="s">
        <v>4696</v>
      </c>
      <c r="D1503">
        <v>7</v>
      </c>
      <c r="E1503">
        <v>0</v>
      </c>
      <c r="F1503" s="13">
        <v>12699.56</v>
      </c>
      <c r="G1503" t="s">
        <v>4698</v>
      </c>
      <c r="H1503" t="s">
        <v>4697</v>
      </c>
      <c r="I1503" t="s">
        <v>4708</v>
      </c>
      <c r="J1503" s="10">
        <f t="shared" si="46"/>
        <v>33792</v>
      </c>
      <c r="K1503">
        <f t="shared" si="47"/>
        <v>30</v>
      </c>
    </row>
    <row r="1504" spans="1:11">
      <c r="A1504" t="s">
        <v>1672</v>
      </c>
      <c r="B1504">
        <v>1964</v>
      </c>
      <c r="C1504" t="s">
        <v>4700</v>
      </c>
      <c r="D1504">
        <v>28</v>
      </c>
      <c r="E1504">
        <v>0</v>
      </c>
      <c r="F1504" s="13">
        <v>12700.63</v>
      </c>
      <c r="G1504" t="s">
        <v>4698</v>
      </c>
      <c r="H1504" t="s">
        <v>4698</v>
      </c>
      <c r="I1504" t="s">
        <v>4708</v>
      </c>
      <c r="J1504" s="10">
        <f t="shared" si="46"/>
        <v>23709</v>
      </c>
      <c r="K1504">
        <f t="shared" si="47"/>
        <v>58</v>
      </c>
    </row>
    <row r="1505" spans="1:11">
      <c r="A1505" t="s">
        <v>1670</v>
      </c>
      <c r="B1505">
        <v>1970</v>
      </c>
      <c r="C1505" t="s">
        <v>4696</v>
      </c>
      <c r="D1505">
        <v>8</v>
      </c>
      <c r="E1505">
        <v>0</v>
      </c>
      <c r="F1505" s="13">
        <v>12713</v>
      </c>
      <c r="G1505" t="s">
        <v>4698</v>
      </c>
      <c r="H1505" t="s">
        <v>4701</v>
      </c>
      <c r="I1505" t="s">
        <v>4708</v>
      </c>
      <c r="J1505" s="10">
        <f t="shared" si="46"/>
        <v>25757</v>
      </c>
      <c r="K1505">
        <f t="shared" si="47"/>
        <v>52</v>
      </c>
    </row>
    <row r="1506" spans="1:11">
      <c r="A1506" t="s">
        <v>1668</v>
      </c>
      <c r="B1506">
        <v>1988</v>
      </c>
      <c r="C1506" t="s">
        <v>4696</v>
      </c>
      <c r="D1506">
        <v>17</v>
      </c>
      <c r="E1506">
        <v>3</v>
      </c>
      <c r="F1506" s="13">
        <v>12718.21</v>
      </c>
      <c r="G1506" t="s">
        <v>4698</v>
      </c>
      <c r="H1506" t="s">
        <v>4701</v>
      </c>
      <c r="I1506" t="s">
        <v>4720</v>
      </c>
      <c r="J1506" s="10">
        <f t="shared" si="46"/>
        <v>32341</v>
      </c>
      <c r="K1506">
        <f t="shared" si="47"/>
        <v>34</v>
      </c>
    </row>
    <row r="1507" spans="1:11">
      <c r="A1507" t="s">
        <v>1666</v>
      </c>
      <c r="B1507">
        <v>1962</v>
      </c>
      <c r="C1507" t="s">
        <v>4703</v>
      </c>
      <c r="D1507">
        <v>2</v>
      </c>
      <c r="E1507">
        <v>0</v>
      </c>
      <c r="F1507" s="13">
        <v>12731</v>
      </c>
      <c r="G1507" t="s">
        <v>4698</v>
      </c>
      <c r="H1507" t="s">
        <v>4698</v>
      </c>
      <c r="I1507" t="s">
        <v>4711</v>
      </c>
      <c r="J1507" s="10">
        <f t="shared" si="46"/>
        <v>22891</v>
      </c>
      <c r="K1507">
        <f t="shared" si="47"/>
        <v>60</v>
      </c>
    </row>
    <row r="1508" spans="1:11">
      <c r="A1508" t="s">
        <v>1664</v>
      </c>
      <c r="B1508">
        <v>1962</v>
      </c>
      <c r="C1508" t="s">
        <v>4707</v>
      </c>
      <c r="D1508">
        <v>1</v>
      </c>
      <c r="E1508">
        <v>0</v>
      </c>
      <c r="F1508" s="13">
        <v>12741.17</v>
      </c>
      <c r="G1508" t="s">
        <v>4698</v>
      </c>
      <c r="H1508" t="s">
        <v>4701</v>
      </c>
      <c r="I1508" t="s">
        <v>4718</v>
      </c>
      <c r="J1508" s="10">
        <f t="shared" si="46"/>
        <v>22920</v>
      </c>
      <c r="K1508">
        <f t="shared" si="47"/>
        <v>60</v>
      </c>
    </row>
    <row r="1509" spans="1:11">
      <c r="A1509" t="s">
        <v>1662</v>
      </c>
      <c r="B1509">
        <v>1975</v>
      </c>
      <c r="C1509" t="s">
        <v>4703</v>
      </c>
      <c r="D1509">
        <v>25</v>
      </c>
      <c r="E1509">
        <v>1</v>
      </c>
      <c r="F1509" s="13">
        <v>12770.27</v>
      </c>
      <c r="G1509" t="s">
        <v>4698</v>
      </c>
      <c r="H1509" t="s">
        <v>4698</v>
      </c>
      <c r="I1509" t="s">
        <v>4717</v>
      </c>
      <c r="J1509" s="10">
        <f t="shared" si="46"/>
        <v>27662</v>
      </c>
      <c r="K1509">
        <f t="shared" si="47"/>
        <v>47</v>
      </c>
    </row>
    <row r="1510" spans="1:11">
      <c r="A1510" t="s">
        <v>1660</v>
      </c>
      <c r="B1510">
        <v>1972</v>
      </c>
      <c r="C1510" t="s">
        <v>4707</v>
      </c>
      <c r="D1510">
        <v>7</v>
      </c>
      <c r="E1510">
        <v>0</v>
      </c>
      <c r="F1510" s="13">
        <v>12776.05</v>
      </c>
      <c r="G1510" t="s">
        <v>4698</v>
      </c>
      <c r="H1510" t="s">
        <v>4698</v>
      </c>
      <c r="I1510" t="s">
        <v>4720</v>
      </c>
      <c r="J1510" s="10">
        <f t="shared" si="46"/>
        <v>26579</v>
      </c>
      <c r="K1510">
        <f t="shared" si="47"/>
        <v>50</v>
      </c>
    </row>
    <row r="1511" spans="1:11">
      <c r="A1511" t="s">
        <v>1658</v>
      </c>
      <c r="B1511">
        <v>1963</v>
      </c>
      <c r="C1511" t="s">
        <v>4705</v>
      </c>
      <c r="D1511">
        <v>5</v>
      </c>
      <c r="E1511">
        <v>0</v>
      </c>
      <c r="F1511" s="13">
        <v>12788.03</v>
      </c>
      <c r="G1511" t="s">
        <v>4698</v>
      </c>
      <c r="H1511" t="s">
        <v>4698</v>
      </c>
      <c r="I1511" t="s">
        <v>4713</v>
      </c>
      <c r="J1511" s="10">
        <f t="shared" si="46"/>
        <v>23350</v>
      </c>
      <c r="K1511">
        <f t="shared" si="47"/>
        <v>59</v>
      </c>
    </row>
    <row r="1512" spans="1:11">
      <c r="A1512" t="s">
        <v>1656</v>
      </c>
      <c r="B1512">
        <v>1983</v>
      </c>
      <c r="C1512" t="s">
        <v>4707</v>
      </c>
      <c r="D1512">
        <v>29</v>
      </c>
      <c r="E1512">
        <v>3</v>
      </c>
      <c r="F1512" s="13">
        <v>12788.18</v>
      </c>
      <c r="G1512" t="s">
        <v>4698</v>
      </c>
      <c r="H1512" t="s">
        <v>4701</v>
      </c>
      <c r="I1512" t="s">
        <v>4720</v>
      </c>
      <c r="J1512" s="10">
        <f t="shared" si="46"/>
        <v>30618</v>
      </c>
      <c r="K1512">
        <f t="shared" si="47"/>
        <v>39</v>
      </c>
    </row>
    <row r="1513" spans="1:11">
      <c r="A1513" t="s">
        <v>1654</v>
      </c>
      <c r="B1513">
        <v>1978</v>
      </c>
      <c r="C1513" t="s">
        <v>4696</v>
      </c>
      <c r="D1513">
        <v>24</v>
      </c>
      <c r="E1513">
        <v>0</v>
      </c>
      <c r="F1513" s="13">
        <v>12797.21</v>
      </c>
      <c r="G1513" t="s">
        <v>4698</v>
      </c>
      <c r="H1513" t="s">
        <v>4701</v>
      </c>
      <c r="I1513" t="s">
        <v>4714</v>
      </c>
      <c r="J1513" s="10">
        <f t="shared" si="46"/>
        <v>28695</v>
      </c>
      <c r="K1513">
        <f t="shared" si="47"/>
        <v>44</v>
      </c>
    </row>
    <row r="1514" spans="1:11">
      <c r="A1514" t="s">
        <v>1652</v>
      </c>
      <c r="B1514">
        <v>1963</v>
      </c>
      <c r="C1514" t="s">
        <v>4696</v>
      </c>
      <c r="D1514">
        <v>20</v>
      </c>
      <c r="E1514">
        <v>0</v>
      </c>
      <c r="F1514" s="13">
        <v>12815.44</v>
      </c>
      <c r="G1514" t="s">
        <v>4698</v>
      </c>
      <c r="H1514" t="s">
        <v>4698</v>
      </c>
      <c r="I1514" t="s">
        <v>4714</v>
      </c>
      <c r="J1514" s="10">
        <f t="shared" si="46"/>
        <v>23212</v>
      </c>
      <c r="K1514">
        <f t="shared" si="47"/>
        <v>59</v>
      </c>
    </row>
    <row r="1515" spans="1:11">
      <c r="A1515" t="s">
        <v>1650</v>
      </c>
      <c r="B1515">
        <v>1967</v>
      </c>
      <c r="C1515" t="s">
        <v>4703</v>
      </c>
      <c r="D1515">
        <v>25</v>
      </c>
      <c r="E1515">
        <v>0</v>
      </c>
      <c r="F1515" s="13">
        <v>12823.25</v>
      </c>
      <c r="G1515" t="s">
        <v>4698</v>
      </c>
      <c r="H1515" t="s">
        <v>4698</v>
      </c>
      <c r="I1515" t="s">
        <v>4717</v>
      </c>
      <c r="J1515" s="10">
        <f t="shared" si="46"/>
        <v>24740</v>
      </c>
      <c r="K1515">
        <f t="shared" si="47"/>
        <v>55</v>
      </c>
    </row>
    <row r="1516" spans="1:11">
      <c r="A1516" t="s">
        <v>1648</v>
      </c>
      <c r="B1516">
        <v>2004</v>
      </c>
      <c r="C1516" t="s">
        <v>4700</v>
      </c>
      <c r="D1516">
        <v>9</v>
      </c>
      <c r="E1516">
        <v>2</v>
      </c>
      <c r="F1516" s="13">
        <v>12829.46</v>
      </c>
      <c r="G1516" t="s">
        <v>4698</v>
      </c>
      <c r="H1516" t="s">
        <v>4698</v>
      </c>
      <c r="I1516" t="s">
        <v>4711</v>
      </c>
      <c r="J1516" s="10">
        <f t="shared" si="46"/>
        <v>38300</v>
      </c>
      <c r="K1516">
        <f t="shared" si="47"/>
        <v>18</v>
      </c>
    </row>
    <row r="1517" spans="1:11">
      <c r="A1517" t="s">
        <v>1646</v>
      </c>
      <c r="B1517">
        <v>1993</v>
      </c>
      <c r="C1517" t="s">
        <v>4703</v>
      </c>
      <c r="D1517">
        <v>27</v>
      </c>
      <c r="E1517">
        <v>0</v>
      </c>
      <c r="F1517" s="13">
        <v>12847.24</v>
      </c>
      <c r="G1517" t="s">
        <v>4698</v>
      </c>
      <c r="H1517" t="s">
        <v>4697</v>
      </c>
      <c r="I1517" t="s">
        <v>4704</v>
      </c>
      <c r="J1517" s="10">
        <f t="shared" si="46"/>
        <v>34239</v>
      </c>
      <c r="K1517">
        <f t="shared" si="47"/>
        <v>29</v>
      </c>
    </row>
    <row r="1518" spans="1:11">
      <c r="A1518" t="s">
        <v>1644</v>
      </c>
      <c r="B1518">
        <v>1973</v>
      </c>
      <c r="C1518" t="s">
        <v>4703</v>
      </c>
      <c r="D1518">
        <v>22</v>
      </c>
      <c r="E1518">
        <v>0</v>
      </c>
      <c r="F1518" s="13">
        <v>12852.37</v>
      </c>
      <c r="G1518" t="s">
        <v>4698</v>
      </c>
      <c r="H1518" t="s">
        <v>4701</v>
      </c>
      <c r="I1518" t="s">
        <v>4704</v>
      </c>
      <c r="J1518" s="10">
        <f t="shared" si="46"/>
        <v>26929</v>
      </c>
      <c r="K1518">
        <f t="shared" si="47"/>
        <v>49</v>
      </c>
    </row>
    <row r="1519" spans="1:11">
      <c r="A1519" t="s">
        <v>1642</v>
      </c>
      <c r="B1519">
        <v>1963</v>
      </c>
      <c r="C1519" t="s">
        <v>4703</v>
      </c>
      <c r="D1519">
        <v>27</v>
      </c>
      <c r="E1519">
        <v>0</v>
      </c>
      <c r="F1519" s="13">
        <v>12856.84</v>
      </c>
      <c r="G1519" t="s">
        <v>4698</v>
      </c>
      <c r="H1519" t="s">
        <v>4698</v>
      </c>
      <c r="I1519" t="s">
        <v>4717</v>
      </c>
      <c r="J1519" s="10">
        <f t="shared" si="46"/>
        <v>23281</v>
      </c>
      <c r="K1519">
        <f t="shared" si="47"/>
        <v>59</v>
      </c>
    </row>
    <row r="1520" spans="1:11">
      <c r="A1520" t="s">
        <v>1640</v>
      </c>
      <c r="B1520">
        <v>1984</v>
      </c>
      <c r="C1520" t="s">
        <v>4706</v>
      </c>
      <c r="D1520">
        <v>6</v>
      </c>
      <c r="E1520">
        <v>3</v>
      </c>
      <c r="F1520" s="13">
        <v>12870.31</v>
      </c>
      <c r="G1520" t="s">
        <v>4698</v>
      </c>
      <c r="H1520" t="s">
        <v>4698</v>
      </c>
      <c r="I1520" t="s">
        <v>4704</v>
      </c>
      <c r="J1520" s="10">
        <f t="shared" si="46"/>
        <v>30900</v>
      </c>
      <c r="K1520">
        <f t="shared" si="47"/>
        <v>38</v>
      </c>
    </row>
    <row r="1521" spans="1:11">
      <c r="A1521" t="s">
        <v>1638</v>
      </c>
      <c r="B1521">
        <v>2004</v>
      </c>
      <c r="C1521" t="s">
        <v>4696</v>
      </c>
      <c r="D1521">
        <v>9</v>
      </c>
      <c r="E1521">
        <v>0</v>
      </c>
      <c r="F1521" s="13">
        <v>12890.06</v>
      </c>
      <c r="G1521" t="s">
        <v>4698</v>
      </c>
      <c r="H1521" t="s">
        <v>4701</v>
      </c>
      <c r="I1521" t="s">
        <v>4710</v>
      </c>
      <c r="J1521" s="10">
        <f t="shared" si="46"/>
        <v>38177</v>
      </c>
      <c r="K1521">
        <f t="shared" si="47"/>
        <v>18</v>
      </c>
    </row>
    <row r="1522" spans="1:11">
      <c r="A1522" t="s">
        <v>1636</v>
      </c>
      <c r="B1522">
        <v>1963</v>
      </c>
      <c r="C1522" t="s">
        <v>4706</v>
      </c>
      <c r="D1522">
        <v>16</v>
      </c>
      <c r="E1522">
        <v>1</v>
      </c>
      <c r="F1522" s="13">
        <v>12913.99</v>
      </c>
      <c r="G1522" t="s">
        <v>4698</v>
      </c>
      <c r="H1522" t="s">
        <v>4697</v>
      </c>
      <c r="I1522" t="s">
        <v>4711</v>
      </c>
      <c r="J1522" s="10">
        <f t="shared" si="46"/>
        <v>23239</v>
      </c>
      <c r="K1522">
        <f t="shared" si="47"/>
        <v>59</v>
      </c>
    </row>
    <row r="1523" spans="1:11">
      <c r="A1523" t="s">
        <v>1634</v>
      </c>
      <c r="B1523">
        <v>1963</v>
      </c>
      <c r="C1523" t="s">
        <v>4703</v>
      </c>
      <c r="D1523">
        <v>1</v>
      </c>
      <c r="E1523">
        <v>2</v>
      </c>
      <c r="F1523" s="13">
        <v>12925.89</v>
      </c>
      <c r="G1523" t="s">
        <v>4698</v>
      </c>
      <c r="H1523" t="s">
        <v>4697</v>
      </c>
      <c r="I1523" t="s">
        <v>4699</v>
      </c>
      <c r="J1523" s="10">
        <f t="shared" si="46"/>
        <v>23255</v>
      </c>
      <c r="K1523">
        <f t="shared" si="47"/>
        <v>59</v>
      </c>
    </row>
    <row r="1524" spans="1:11">
      <c r="A1524" t="s">
        <v>1632</v>
      </c>
      <c r="B1524">
        <v>1963</v>
      </c>
      <c r="C1524" t="s">
        <v>4706</v>
      </c>
      <c r="D1524">
        <v>14</v>
      </c>
      <c r="E1524">
        <v>2</v>
      </c>
      <c r="F1524" s="13">
        <v>12928.79</v>
      </c>
      <c r="G1524" t="s">
        <v>4698</v>
      </c>
      <c r="H1524" t="s">
        <v>4697</v>
      </c>
      <c r="I1524" t="s">
        <v>4699</v>
      </c>
      <c r="J1524" s="10">
        <f t="shared" si="46"/>
        <v>23237</v>
      </c>
      <c r="K1524">
        <f t="shared" si="47"/>
        <v>59</v>
      </c>
    </row>
    <row r="1525" spans="1:11">
      <c r="A1525" t="s">
        <v>1630</v>
      </c>
      <c r="B1525">
        <v>1966</v>
      </c>
      <c r="C1525" t="s">
        <v>4705</v>
      </c>
      <c r="D1525">
        <v>22</v>
      </c>
      <c r="E1525">
        <v>4</v>
      </c>
      <c r="F1525" s="13">
        <v>12949.16</v>
      </c>
      <c r="G1525" t="s">
        <v>4698</v>
      </c>
      <c r="H1525" t="s">
        <v>4698</v>
      </c>
      <c r="I1525" t="s">
        <v>4699</v>
      </c>
      <c r="J1525" s="10">
        <f t="shared" si="46"/>
        <v>24463</v>
      </c>
      <c r="K1525">
        <f t="shared" si="47"/>
        <v>56</v>
      </c>
    </row>
    <row r="1526" spans="1:11">
      <c r="A1526" t="s">
        <v>1628</v>
      </c>
      <c r="B1526">
        <v>1961</v>
      </c>
      <c r="C1526" t="s">
        <v>4706</v>
      </c>
      <c r="D1526">
        <v>20</v>
      </c>
      <c r="E1526">
        <v>0</v>
      </c>
      <c r="F1526" s="13">
        <v>12950.07</v>
      </c>
      <c r="G1526" t="s">
        <v>4698</v>
      </c>
      <c r="H1526" t="s">
        <v>4701</v>
      </c>
      <c r="I1526" t="s">
        <v>4704</v>
      </c>
      <c r="J1526" s="10">
        <f t="shared" si="46"/>
        <v>22513</v>
      </c>
      <c r="K1526">
        <f t="shared" si="47"/>
        <v>61</v>
      </c>
    </row>
    <row r="1527" spans="1:11">
      <c r="A1527" t="s">
        <v>1626</v>
      </c>
      <c r="B1527">
        <v>1960</v>
      </c>
      <c r="C1527" t="s">
        <v>4700</v>
      </c>
      <c r="D1527">
        <v>4</v>
      </c>
      <c r="E1527">
        <v>0</v>
      </c>
      <c r="F1527" s="13">
        <v>12957.12</v>
      </c>
      <c r="G1527" t="s">
        <v>4698</v>
      </c>
      <c r="H1527" t="s">
        <v>4701</v>
      </c>
      <c r="I1527" t="s">
        <v>4708</v>
      </c>
      <c r="J1527" s="10">
        <f t="shared" si="46"/>
        <v>22224</v>
      </c>
      <c r="K1527">
        <f t="shared" si="47"/>
        <v>62</v>
      </c>
    </row>
    <row r="1528" spans="1:11">
      <c r="A1528" t="s">
        <v>1624</v>
      </c>
      <c r="B1528">
        <v>1960</v>
      </c>
      <c r="C1528" t="s">
        <v>4702</v>
      </c>
      <c r="D1528">
        <v>22</v>
      </c>
      <c r="E1528">
        <v>0</v>
      </c>
      <c r="F1528" s="13">
        <v>12979.36</v>
      </c>
      <c r="G1528" t="s">
        <v>4698</v>
      </c>
      <c r="H1528" t="s">
        <v>4701</v>
      </c>
      <c r="I1528" t="s">
        <v>4708</v>
      </c>
      <c r="J1528" s="10">
        <f t="shared" si="46"/>
        <v>22089</v>
      </c>
      <c r="K1528">
        <f t="shared" si="47"/>
        <v>62</v>
      </c>
    </row>
    <row r="1529" spans="1:11">
      <c r="A1529" t="s">
        <v>1622</v>
      </c>
      <c r="B1529">
        <v>1960</v>
      </c>
      <c r="C1529" t="s">
        <v>4703</v>
      </c>
      <c r="D1529">
        <v>23</v>
      </c>
      <c r="E1529">
        <v>0</v>
      </c>
      <c r="F1529" s="13">
        <v>12981.35</v>
      </c>
      <c r="G1529" t="s">
        <v>4698</v>
      </c>
      <c r="H1529" t="s">
        <v>4698</v>
      </c>
      <c r="I1529" t="s">
        <v>4699</v>
      </c>
      <c r="J1529" s="10">
        <f t="shared" si="46"/>
        <v>22182</v>
      </c>
      <c r="K1529">
        <f t="shared" si="47"/>
        <v>62</v>
      </c>
    </row>
    <row r="1530" spans="1:11">
      <c r="A1530" t="s">
        <v>1620</v>
      </c>
      <c r="B1530">
        <v>1960</v>
      </c>
      <c r="C1530" t="s">
        <v>4700</v>
      </c>
      <c r="D1530">
        <v>28</v>
      </c>
      <c r="E1530">
        <v>0</v>
      </c>
      <c r="F1530" s="13">
        <v>12982.87</v>
      </c>
      <c r="G1530" t="s">
        <v>4698</v>
      </c>
      <c r="H1530" t="s">
        <v>4701</v>
      </c>
      <c r="I1530" t="s">
        <v>4699</v>
      </c>
      <c r="J1530" s="10">
        <f t="shared" si="46"/>
        <v>22248</v>
      </c>
      <c r="K1530">
        <f t="shared" si="47"/>
        <v>62</v>
      </c>
    </row>
    <row r="1531" spans="1:11">
      <c r="A1531" t="s">
        <v>1618</v>
      </c>
      <c r="B1531">
        <v>1979</v>
      </c>
      <c r="C1531" t="s">
        <v>4700</v>
      </c>
      <c r="D1531">
        <v>27</v>
      </c>
      <c r="E1531">
        <v>2</v>
      </c>
      <c r="F1531" s="13">
        <v>12994.12</v>
      </c>
      <c r="G1531" t="s">
        <v>4698</v>
      </c>
      <c r="H1531" t="s">
        <v>4697</v>
      </c>
      <c r="I1531" t="s">
        <v>4720</v>
      </c>
      <c r="J1531" s="10">
        <f t="shared" si="46"/>
        <v>29186</v>
      </c>
      <c r="K1531">
        <f t="shared" si="47"/>
        <v>43</v>
      </c>
    </row>
    <row r="1532" spans="1:11">
      <c r="A1532" t="s">
        <v>1616</v>
      </c>
      <c r="B1532">
        <v>1981</v>
      </c>
      <c r="C1532" t="s">
        <v>4707</v>
      </c>
      <c r="D1532">
        <v>30</v>
      </c>
      <c r="E1532">
        <v>1</v>
      </c>
      <c r="F1532" s="13">
        <v>13002.91</v>
      </c>
      <c r="G1532" t="s">
        <v>4698</v>
      </c>
      <c r="H1532" t="s">
        <v>4701</v>
      </c>
      <c r="I1532" t="s">
        <v>4704</v>
      </c>
      <c r="J1532" s="10">
        <f t="shared" si="46"/>
        <v>29889</v>
      </c>
      <c r="K1532">
        <f t="shared" si="47"/>
        <v>41</v>
      </c>
    </row>
    <row r="1533" spans="1:11">
      <c r="A1533" t="s">
        <v>1614</v>
      </c>
      <c r="B1533">
        <v>1962</v>
      </c>
      <c r="C1533" t="s">
        <v>4702</v>
      </c>
      <c r="D1533">
        <v>24</v>
      </c>
      <c r="E1533">
        <v>0</v>
      </c>
      <c r="F1533" s="13">
        <v>13004.95</v>
      </c>
      <c r="G1533" t="s">
        <v>4698</v>
      </c>
      <c r="H1533" t="s">
        <v>4701</v>
      </c>
      <c r="I1533" t="s">
        <v>4704</v>
      </c>
      <c r="J1533" s="10">
        <f t="shared" si="46"/>
        <v>22821</v>
      </c>
      <c r="K1533">
        <f t="shared" si="47"/>
        <v>60</v>
      </c>
    </row>
    <row r="1534" spans="1:11">
      <c r="A1534" t="s">
        <v>1612</v>
      </c>
      <c r="B1534">
        <v>1969</v>
      </c>
      <c r="C1534" t="s">
        <v>4705</v>
      </c>
      <c r="D1534">
        <v>13</v>
      </c>
      <c r="E1534">
        <v>0</v>
      </c>
      <c r="F1534" s="13">
        <v>13008.07</v>
      </c>
      <c r="G1534" t="s">
        <v>4698</v>
      </c>
      <c r="H1534" t="s">
        <v>4698</v>
      </c>
      <c r="I1534" t="s">
        <v>4704</v>
      </c>
      <c r="J1534" s="10">
        <f t="shared" si="46"/>
        <v>25550</v>
      </c>
      <c r="K1534">
        <f t="shared" si="47"/>
        <v>53</v>
      </c>
    </row>
    <row r="1535" spans="1:11">
      <c r="A1535" t="s">
        <v>1610</v>
      </c>
      <c r="B1535">
        <v>1972</v>
      </c>
      <c r="C1535" t="s">
        <v>4703</v>
      </c>
      <c r="D1535">
        <v>27</v>
      </c>
      <c r="E1535">
        <v>0</v>
      </c>
      <c r="F1535" s="13">
        <v>13010.86</v>
      </c>
      <c r="G1535" t="s">
        <v>4698</v>
      </c>
      <c r="H1535" t="s">
        <v>4697</v>
      </c>
      <c r="I1535" t="s">
        <v>4704</v>
      </c>
      <c r="J1535" s="10">
        <f t="shared" si="46"/>
        <v>26569</v>
      </c>
      <c r="K1535">
        <f t="shared" si="47"/>
        <v>50</v>
      </c>
    </row>
    <row r="1536" spans="1:11">
      <c r="A1536" t="s">
        <v>1608</v>
      </c>
      <c r="B1536">
        <v>1962</v>
      </c>
      <c r="C1536" t="s">
        <v>4696</v>
      </c>
      <c r="D1536">
        <v>20</v>
      </c>
      <c r="E1536">
        <v>0</v>
      </c>
      <c r="F1536" s="13">
        <v>13012.21</v>
      </c>
      <c r="G1536" t="s">
        <v>4698</v>
      </c>
      <c r="H1536" t="s">
        <v>4701</v>
      </c>
      <c r="I1536" t="s">
        <v>4704</v>
      </c>
      <c r="J1536" s="10">
        <f t="shared" si="46"/>
        <v>22847</v>
      </c>
      <c r="K1536">
        <f t="shared" si="47"/>
        <v>60</v>
      </c>
    </row>
    <row r="1537" spans="1:11">
      <c r="A1537" t="s">
        <v>1606</v>
      </c>
      <c r="B1537">
        <v>1964</v>
      </c>
      <c r="C1537" t="s">
        <v>4703</v>
      </c>
      <c r="D1537">
        <v>23</v>
      </c>
      <c r="E1537">
        <v>1</v>
      </c>
      <c r="F1537" s="13">
        <v>13019.16</v>
      </c>
      <c r="G1537" t="s">
        <v>4698</v>
      </c>
      <c r="H1537" t="s">
        <v>4701</v>
      </c>
      <c r="I1537" t="s">
        <v>4714</v>
      </c>
      <c r="J1537" s="10">
        <f t="shared" si="46"/>
        <v>23643</v>
      </c>
      <c r="K1537">
        <f t="shared" si="47"/>
        <v>58</v>
      </c>
    </row>
    <row r="1538" spans="1:11">
      <c r="A1538" t="s">
        <v>1604</v>
      </c>
      <c r="B1538">
        <v>1965</v>
      </c>
      <c r="C1538" t="s">
        <v>4700</v>
      </c>
      <c r="D1538">
        <v>4</v>
      </c>
      <c r="E1538">
        <v>0</v>
      </c>
      <c r="F1538" s="13">
        <v>13023.93</v>
      </c>
      <c r="G1538" t="s">
        <v>4698</v>
      </c>
      <c r="H1538" t="s">
        <v>4697</v>
      </c>
      <c r="I1538" t="s">
        <v>4713</v>
      </c>
      <c r="J1538" s="10">
        <f t="shared" ref="J1538:J1601" si="48">DATEVALUE(D1538&amp;"-"&amp;C1538&amp;"-"&amp;B1538)</f>
        <v>24050</v>
      </c>
      <c r="K1538">
        <f t="shared" si="47"/>
        <v>57</v>
      </c>
    </row>
    <row r="1539" spans="1:11">
      <c r="A1539" t="s">
        <v>1602</v>
      </c>
      <c r="B1539">
        <v>1961</v>
      </c>
      <c r="C1539" t="s">
        <v>4700</v>
      </c>
      <c r="D1539">
        <v>9</v>
      </c>
      <c r="E1539">
        <v>0</v>
      </c>
      <c r="F1539" s="13">
        <v>13041.92</v>
      </c>
      <c r="G1539" t="s">
        <v>4698</v>
      </c>
      <c r="H1539" t="s">
        <v>4701</v>
      </c>
      <c r="I1539" t="s">
        <v>4708</v>
      </c>
      <c r="J1539" s="10">
        <f t="shared" si="48"/>
        <v>22594</v>
      </c>
      <c r="K1539">
        <f t="shared" ref="K1539:K1602" si="49">DATEDIF(J1539, DATE(2023, 6, 8), "Y")</f>
        <v>61</v>
      </c>
    </row>
    <row r="1540" spans="1:11">
      <c r="A1540" t="s">
        <v>1600</v>
      </c>
      <c r="B1540">
        <v>1969</v>
      </c>
      <c r="C1540" t="s">
        <v>4703</v>
      </c>
      <c r="D1540">
        <v>23</v>
      </c>
      <c r="E1540">
        <v>0</v>
      </c>
      <c r="F1540" s="13">
        <v>13044.41</v>
      </c>
      <c r="G1540" t="s">
        <v>4698</v>
      </c>
      <c r="H1540" t="s">
        <v>4701</v>
      </c>
      <c r="I1540" t="s">
        <v>4704</v>
      </c>
      <c r="J1540" s="10">
        <f t="shared" si="48"/>
        <v>25469</v>
      </c>
      <c r="K1540">
        <f t="shared" si="49"/>
        <v>53</v>
      </c>
    </row>
    <row r="1541" spans="1:11">
      <c r="A1541" t="s">
        <v>1598</v>
      </c>
      <c r="B1541">
        <v>1967</v>
      </c>
      <c r="C1541" t="s">
        <v>4706</v>
      </c>
      <c r="D1541">
        <v>6</v>
      </c>
      <c r="E1541">
        <v>3</v>
      </c>
      <c r="F1541" s="13">
        <v>13047.33</v>
      </c>
      <c r="G1541" t="s">
        <v>4698</v>
      </c>
      <c r="H1541" t="s">
        <v>4698</v>
      </c>
      <c r="I1541" t="s">
        <v>4714</v>
      </c>
      <c r="J1541" s="10">
        <f t="shared" si="48"/>
        <v>24690</v>
      </c>
      <c r="K1541">
        <f t="shared" si="49"/>
        <v>55</v>
      </c>
    </row>
    <row r="1542" spans="1:11">
      <c r="A1542" t="s">
        <v>1596</v>
      </c>
      <c r="B1542">
        <v>1985</v>
      </c>
      <c r="C1542" t="s">
        <v>4707</v>
      </c>
      <c r="D1542">
        <v>26</v>
      </c>
      <c r="E1542">
        <v>3</v>
      </c>
      <c r="F1542" s="13">
        <v>13051.22</v>
      </c>
      <c r="G1542" t="s">
        <v>4698</v>
      </c>
      <c r="H1542" t="s">
        <v>4701</v>
      </c>
      <c r="I1542" t="s">
        <v>4720</v>
      </c>
      <c r="J1542" s="10">
        <f t="shared" si="48"/>
        <v>31346</v>
      </c>
      <c r="K1542">
        <f t="shared" si="49"/>
        <v>37</v>
      </c>
    </row>
    <row r="1543" spans="1:11">
      <c r="A1543" t="s">
        <v>1594</v>
      </c>
      <c r="B1543">
        <v>1961</v>
      </c>
      <c r="C1543" t="s">
        <v>4700</v>
      </c>
      <c r="D1543">
        <v>6</v>
      </c>
      <c r="E1543">
        <v>0</v>
      </c>
      <c r="F1543" s="13">
        <v>13063.88</v>
      </c>
      <c r="G1543" t="s">
        <v>4698</v>
      </c>
      <c r="H1543" t="s">
        <v>4697</v>
      </c>
      <c r="I1543" t="s">
        <v>4708</v>
      </c>
      <c r="J1543" s="10">
        <f t="shared" si="48"/>
        <v>22591</v>
      </c>
      <c r="K1543">
        <f t="shared" si="49"/>
        <v>61</v>
      </c>
    </row>
    <row r="1544" spans="1:11">
      <c r="A1544" t="s">
        <v>1592</v>
      </c>
      <c r="B1544">
        <v>1978</v>
      </c>
      <c r="C1544" t="s">
        <v>4696</v>
      </c>
      <c r="D1544">
        <v>17</v>
      </c>
      <c r="E1544">
        <v>2</v>
      </c>
      <c r="F1544" s="13">
        <v>13101.74</v>
      </c>
      <c r="G1544" t="s">
        <v>4698</v>
      </c>
      <c r="H1544" t="s">
        <v>4697</v>
      </c>
      <c r="I1544" t="s">
        <v>4720</v>
      </c>
      <c r="J1544" s="10">
        <f t="shared" si="48"/>
        <v>28688</v>
      </c>
      <c r="K1544">
        <f t="shared" si="49"/>
        <v>44</v>
      </c>
    </row>
    <row r="1545" spans="1:11">
      <c r="A1545" t="s">
        <v>1590</v>
      </c>
      <c r="B1545">
        <v>1971</v>
      </c>
      <c r="C1545" t="s">
        <v>4707</v>
      </c>
      <c r="D1545">
        <v>30</v>
      </c>
      <c r="E1545">
        <v>0</v>
      </c>
      <c r="F1545" s="13">
        <v>13110.79</v>
      </c>
      <c r="G1545" t="s">
        <v>4698</v>
      </c>
      <c r="H1545" t="s">
        <v>4697</v>
      </c>
      <c r="I1545" t="s">
        <v>4708</v>
      </c>
      <c r="J1545" s="10">
        <f t="shared" si="48"/>
        <v>26236</v>
      </c>
      <c r="K1545">
        <f t="shared" si="49"/>
        <v>51</v>
      </c>
    </row>
    <row r="1546" spans="1:11">
      <c r="A1546" t="s">
        <v>1588</v>
      </c>
      <c r="B1546">
        <v>1962</v>
      </c>
      <c r="C1546" t="s">
        <v>4706</v>
      </c>
      <c r="D1546">
        <v>2</v>
      </c>
      <c r="E1546">
        <v>1</v>
      </c>
      <c r="F1546" s="13">
        <v>13112.6</v>
      </c>
      <c r="G1546" t="s">
        <v>4698</v>
      </c>
      <c r="H1546" t="s">
        <v>4698</v>
      </c>
      <c r="I1546" t="s">
        <v>4704</v>
      </c>
      <c r="J1546" s="10">
        <f t="shared" si="48"/>
        <v>22860</v>
      </c>
      <c r="K1546">
        <f t="shared" si="49"/>
        <v>60</v>
      </c>
    </row>
    <row r="1547" spans="1:11">
      <c r="A1547" t="s">
        <v>1586</v>
      </c>
      <c r="B1547">
        <v>1992</v>
      </c>
      <c r="C1547" t="s">
        <v>4706</v>
      </c>
      <c r="D1547">
        <v>12</v>
      </c>
      <c r="E1547">
        <v>0</v>
      </c>
      <c r="F1547" s="13">
        <v>13113.51</v>
      </c>
      <c r="G1547" t="s">
        <v>4698</v>
      </c>
      <c r="H1547" t="s">
        <v>4697</v>
      </c>
      <c r="I1547" t="s">
        <v>4720</v>
      </c>
      <c r="J1547" s="10">
        <f t="shared" si="48"/>
        <v>33828</v>
      </c>
      <c r="K1547">
        <f t="shared" si="49"/>
        <v>30</v>
      </c>
    </row>
    <row r="1548" spans="1:11">
      <c r="A1548" t="s">
        <v>1584</v>
      </c>
      <c r="B1548">
        <v>1963</v>
      </c>
      <c r="C1548" t="s">
        <v>4703</v>
      </c>
      <c r="D1548">
        <v>14</v>
      </c>
      <c r="E1548">
        <v>0</v>
      </c>
      <c r="F1548" s="13">
        <v>13116.84</v>
      </c>
      <c r="G1548" t="s">
        <v>4698</v>
      </c>
      <c r="H1548" t="s">
        <v>4701</v>
      </c>
      <c r="I1548" t="s">
        <v>4704</v>
      </c>
      <c r="J1548" s="10">
        <f t="shared" si="48"/>
        <v>23268</v>
      </c>
      <c r="K1548">
        <f t="shared" si="49"/>
        <v>59</v>
      </c>
    </row>
    <row r="1549" spans="1:11">
      <c r="A1549" t="s">
        <v>1582</v>
      </c>
      <c r="B1549">
        <v>1999</v>
      </c>
      <c r="C1549" t="s">
        <v>4706</v>
      </c>
      <c r="D1549">
        <v>16</v>
      </c>
      <c r="E1549">
        <v>0</v>
      </c>
      <c r="F1549" s="13">
        <v>13126.68</v>
      </c>
      <c r="G1549" t="s">
        <v>4698</v>
      </c>
      <c r="H1549" t="s">
        <v>4698</v>
      </c>
      <c r="I1549" t="s">
        <v>4708</v>
      </c>
      <c r="J1549" s="10">
        <f t="shared" si="48"/>
        <v>36388</v>
      </c>
      <c r="K1549">
        <f t="shared" si="49"/>
        <v>23</v>
      </c>
    </row>
    <row r="1550" spans="1:11">
      <c r="A1550" t="s">
        <v>1580</v>
      </c>
      <c r="B1550">
        <v>1961</v>
      </c>
      <c r="C1550" t="s">
        <v>4703</v>
      </c>
      <c r="D1550">
        <v>7</v>
      </c>
      <c r="E1550">
        <v>0</v>
      </c>
      <c r="F1550" s="13">
        <v>13129.6</v>
      </c>
      <c r="G1550" t="s">
        <v>4698</v>
      </c>
      <c r="H1550" t="s">
        <v>4697</v>
      </c>
      <c r="I1550" t="s">
        <v>4718</v>
      </c>
      <c r="J1550" s="10">
        <f t="shared" si="48"/>
        <v>22531</v>
      </c>
      <c r="K1550">
        <f t="shared" si="49"/>
        <v>61</v>
      </c>
    </row>
    <row r="1551" spans="1:11">
      <c r="A1551" t="s">
        <v>1578</v>
      </c>
      <c r="B1551">
        <v>1961</v>
      </c>
      <c r="C1551" t="s">
        <v>4705</v>
      </c>
      <c r="D1551">
        <v>6</v>
      </c>
      <c r="E1551">
        <v>0</v>
      </c>
      <c r="F1551" s="13">
        <v>13143.34</v>
      </c>
      <c r="G1551" t="s">
        <v>4698</v>
      </c>
      <c r="H1551" t="s">
        <v>4697</v>
      </c>
      <c r="I1551" t="s">
        <v>4719</v>
      </c>
      <c r="J1551" s="10">
        <f t="shared" si="48"/>
        <v>22621</v>
      </c>
      <c r="K1551">
        <f t="shared" si="49"/>
        <v>61</v>
      </c>
    </row>
    <row r="1552" spans="1:11">
      <c r="A1552" t="s">
        <v>1576</v>
      </c>
      <c r="B1552">
        <v>1961</v>
      </c>
      <c r="C1552" t="s">
        <v>4705</v>
      </c>
      <c r="D1552">
        <v>6</v>
      </c>
      <c r="E1552">
        <v>0</v>
      </c>
      <c r="F1552" s="13">
        <v>13143.86</v>
      </c>
      <c r="G1552" t="s">
        <v>4698</v>
      </c>
      <c r="H1552" t="s">
        <v>4697</v>
      </c>
      <c r="I1552" t="s">
        <v>4711</v>
      </c>
      <c r="J1552" s="10">
        <f t="shared" si="48"/>
        <v>22621</v>
      </c>
      <c r="K1552">
        <f t="shared" si="49"/>
        <v>61</v>
      </c>
    </row>
    <row r="1553" spans="1:11">
      <c r="A1553" t="s">
        <v>1574</v>
      </c>
      <c r="B1553">
        <v>1962</v>
      </c>
      <c r="C1553" t="s">
        <v>4706</v>
      </c>
      <c r="D1553">
        <v>5</v>
      </c>
      <c r="E1553">
        <v>0</v>
      </c>
      <c r="F1553" s="13">
        <v>13204.29</v>
      </c>
      <c r="G1553" t="s">
        <v>4698</v>
      </c>
      <c r="H1553" t="s">
        <v>4701</v>
      </c>
      <c r="I1553" t="s">
        <v>4714</v>
      </c>
      <c r="J1553" s="10">
        <f t="shared" si="48"/>
        <v>22863</v>
      </c>
      <c r="K1553">
        <f t="shared" si="49"/>
        <v>60</v>
      </c>
    </row>
    <row r="1554" spans="1:11">
      <c r="A1554" t="s">
        <v>1572</v>
      </c>
      <c r="B1554">
        <v>1982</v>
      </c>
      <c r="C1554" t="s">
        <v>4707</v>
      </c>
      <c r="D1554">
        <v>15</v>
      </c>
      <c r="E1554">
        <v>3</v>
      </c>
      <c r="F1554" s="13">
        <v>13214.43</v>
      </c>
      <c r="G1554" t="s">
        <v>4698</v>
      </c>
      <c r="H1554" t="s">
        <v>4697</v>
      </c>
      <c r="I1554" t="s">
        <v>4704</v>
      </c>
      <c r="J1554" s="10">
        <f t="shared" si="48"/>
        <v>30239</v>
      </c>
      <c r="K1554">
        <f t="shared" si="49"/>
        <v>40</v>
      </c>
    </row>
    <row r="1555" spans="1:11">
      <c r="A1555" t="s">
        <v>1570</v>
      </c>
      <c r="B1555">
        <v>1962</v>
      </c>
      <c r="C1555" t="s">
        <v>4705</v>
      </c>
      <c r="D1555">
        <v>7</v>
      </c>
      <c r="E1555">
        <v>0</v>
      </c>
      <c r="F1555" s="13">
        <v>13217.09</v>
      </c>
      <c r="G1555" t="s">
        <v>4698</v>
      </c>
      <c r="H1555" t="s">
        <v>4701</v>
      </c>
      <c r="I1555" t="s">
        <v>4714</v>
      </c>
      <c r="J1555" s="10">
        <f t="shared" si="48"/>
        <v>22987</v>
      </c>
      <c r="K1555">
        <f t="shared" si="49"/>
        <v>60</v>
      </c>
    </row>
    <row r="1556" spans="1:11">
      <c r="A1556" t="s">
        <v>1568</v>
      </c>
      <c r="B1556">
        <v>1965</v>
      </c>
      <c r="C1556" t="s">
        <v>4700</v>
      </c>
      <c r="D1556">
        <v>13</v>
      </c>
      <c r="E1556">
        <v>2</v>
      </c>
      <c r="F1556" s="13">
        <v>13224.06</v>
      </c>
      <c r="G1556" t="s">
        <v>4698</v>
      </c>
      <c r="H1556" t="s">
        <v>4698</v>
      </c>
      <c r="I1556" t="s">
        <v>4714</v>
      </c>
      <c r="J1556" s="10">
        <f t="shared" si="48"/>
        <v>24059</v>
      </c>
      <c r="K1556">
        <f t="shared" si="49"/>
        <v>57</v>
      </c>
    </row>
    <row r="1557" spans="1:11">
      <c r="A1557" t="s">
        <v>1566</v>
      </c>
      <c r="B1557">
        <v>1962</v>
      </c>
      <c r="C1557" t="s">
        <v>4700</v>
      </c>
      <c r="D1557">
        <v>24</v>
      </c>
      <c r="E1557">
        <v>1</v>
      </c>
      <c r="F1557" s="13">
        <v>13224.69</v>
      </c>
      <c r="G1557" t="s">
        <v>4698</v>
      </c>
      <c r="H1557" t="s">
        <v>4697</v>
      </c>
      <c r="I1557" t="s">
        <v>4708</v>
      </c>
      <c r="J1557" s="10">
        <f t="shared" si="48"/>
        <v>22974</v>
      </c>
      <c r="K1557">
        <f t="shared" si="49"/>
        <v>60</v>
      </c>
    </row>
    <row r="1558" spans="1:11">
      <c r="A1558" t="s">
        <v>1564</v>
      </c>
      <c r="B1558">
        <v>1962</v>
      </c>
      <c r="C1558" t="s">
        <v>4707</v>
      </c>
      <c r="D1558">
        <v>11</v>
      </c>
      <c r="E1558">
        <v>0</v>
      </c>
      <c r="F1558" s="13">
        <v>13228.85</v>
      </c>
      <c r="G1558" t="s">
        <v>4698</v>
      </c>
      <c r="H1558" t="s">
        <v>4698</v>
      </c>
      <c r="I1558" t="s">
        <v>4715</v>
      </c>
      <c r="J1558" s="10">
        <f t="shared" si="48"/>
        <v>22930</v>
      </c>
      <c r="K1558">
        <f t="shared" si="49"/>
        <v>60</v>
      </c>
    </row>
    <row r="1559" spans="1:11">
      <c r="A1559" t="s">
        <v>1562</v>
      </c>
      <c r="B1559">
        <v>1994</v>
      </c>
      <c r="C1559" t="s">
        <v>4696</v>
      </c>
      <c r="D1559">
        <v>1</v>
      </c>
      <c r="E1559">
        <v>0</v>
      </c>
      <c r="F1559" s="13">
        <v>13292.52</v>
      </c>
      <c r="G1559" t="s">
        <v>4698</v>
      </c>
      <c r="H1559" t="s">
        <v>4698</v>
      </c>
      <c r="I1559" t="s">
        <v>4704</v>
      </c>
      <c r="J1559" s="10">
        <f t="shared" si="48"/>
        <v>34516</v>
      </c>
      <c r="K1559">
        <f t="shared" si="49"/>
        <v>28</v>
      </c>
    </row>
    <row r="1560" spans="1:11">
      <c r="A1560" t="s">
        <v>1560</v>
      </c>
      <c r="B1560">
        <v>1976</v>
      </c>
      <c r="C1560" t="s">
        <v>4706</v>
      </c>
      <c r="D1560">
        <v>23</v>
      </c>
      <c r="E1560">
        <v>2</v>
      </c>
      <c r="F1560" s="13">
        <v>13333.71</v>
      </c>
      <c r="G1560" t="s">
        <v>4698</v>
      </c>
      <c r="H1560" t="s">
        <v>4697</v>
      </c>
      <c r="I1560" t="s">
        <v>4704</v>
      </c>
      <c r="J1560" s="10">
        <f t="shared" si="48"/>
        <v>27995</v>
      </c>
      <c r="K1560">
        <f t="shared" si="49"/>
        <v>46</v>
      </c>
    </row>
    <row r="1561" spans="1:11">
      <c r="A1561" t="s">
        <v>1558</v>
      </c>
      <c r="B1561">
        <v>1960</v>
      </c>
      <c r="C1561" t="s">
        <v>4700</v>
      </c>
      <c r="D1561">
        <v>11</v>
      </c>
      <c r="E1561">
        <v>0</v>
      </c>
      <c r="F1561" s="13">
        <v>13352.1</v>
      </c>
      <c r="G1561" t="s">
        <v>4698</v>
      </c>
      <c r="H1561" t="s">
        <v>4701</v>
      </c>
      <c r="I1561" t="s">
        <v>4704</v>
      </c>
      <c r="J1561" s="10">
        <f t="shared" si="48"/>
        <v>22231</v>
      </c>
      <c r="K1561">
        <f t="shared" si="49"/>
        <v>62</v>
      </c>
    </row>
    <row r="1562" spans="1:11">
      <c r="A1562" t="s">
        <v>1556</v>
      </c>
      <c r="B1562">
        <v>1990</v>
      </c>
      <c r="C1562" t="s">
        <v>4707</v>
      </c>
      <c r="D1562">
        <v>2</v>
      </c>
      <c r="E1562">
        <v>3</v>
      </c>
      <c r="F1562" s="13">
        <v>13360.94</v>
      </c>
      <c r="G1562" t="s">
        <v>4698</v>
      </c>
      <c r="H1562" t="s">
        <v>4701</v>
      </c>
      <c r="I1562" t="s">
        <v>4704</v>
      </c>
      <c r="J1562" s="10">
        <f t="shared" si="48"/>
        <v>33148</v>
      </c>
      <c r="K1562">
        <f t="shared" si="49"/>
        <v>32</v>
      </c>
    </row>
    <row r="1563" spans="1:11">
      <c r="A1563" t="s">
        <v>1554</v>
      </c>
      <c r="B1563">
        <v>1964</v>
      </c>
      <c r="C1563" t="s">
        <v>4703</v>
      </c>
      <c r="D1563">
        <v>24</v>
      </c>
      <c r="E1563">
        <v>0</v>
      </c>
      <c r="F1563" s="13">
        <v>13375.76</v>
      </c>
      <c r="G1563" t="s">
        <v>4698</v>
      </c>
      <c r="H1563" t="s">
        <v>4697</v>
      </c>
      <c r="I1563" t="s">
        <v>4713</v>
      </c>
      <c r="J1563" s="10">
        <f t="shared" si="48"/>
        <v>23644</v>
      </c>
      <c r="K1563">
        <f t="shared" si="49"/>
        <v>58</v>
      </c>
    </row>
    <row r="1564" spans="1:11">
      <c r="A1564" t="s">
        <v>1552</v>
      </c>
      <c r="B1564">
        <v>1979</v>
      </c>
      <c r="C1564" t="s">
        <v>4703</v>
      </c>
      <c r="D1564">
        <v>30</v>
      </c>
      <c r="E1564">
        <v>2</v>
      </c>
      <c r="F1564" s="13">
        <v>13377.41</v>
      </c>
      <c r="G1564" t="s">
        <v>4698</v>
      </c>
      <c r="H1564" t="s">
        <v>4698</v>
      </c>
      <c r="I1564" t="s">
        <v>4720</v>
      </c>
      <c r="J1564" s="10">
        <f t="shared" si="48"/>
        <v>29128</v>
      </c>
      <c r="K1564">
        <f t="shared" si="49"/>
        <v>43</v>
      </c>
    </row>
    <row r="1565" spans="1:11">
      <c r="A1565" t="s">
        <v>1550</v>
      </c>
      <c r="B1565">
        <v>1984</v>
      </c>
      <c r="C1565" t="s">
        <v>4702</v>
      </c>
      <c r="D1565">
        <v>6</v>
      </c>
      <c r="E1565">
        <v>3</v>
      </c>
      <c r="F1565" s="13">
        <v>13383.67</v>
      </c>
      <c r="G1565" t="s">
        <v>4698</v>
      </c>
      <c r="H1565" t="s">
        <v>4697</v>
      </c>
      <c r="I1565" t="s">
        <v>4715</v>
      </c>
      <c r="J1565" s="10">
        <f t="shared" si="48"/>
        <v>30839</v>
      </c>
      <c r="K1565">
        <f t="shared" si="49"/>
        <v>39</v>
      </c>
    </row>
    <row r="1566" spans="1:11">
      <c r="A1566" t="s">
        <v>1548</v>
      </c>
      <c r="B1566">
        <v>1959</v>
      </c>
      <c r="C1566" t="s">
        <v>4705</v>
      </c>
      <c r="D1566">
        <v>9</v>
      </c>
      <c r="E1566">
        <v>0</v>
      </c>
      <c r="F1566" s="13">
        <v>13390.56</v>
      </c>
      <c r="G1566" t="s">
        <v>4698</v>
      </c>
      <c r="H1566" t="s">
        <v>4698</v>
      </c>
      <c r="I1566" t="s">
        <v>4708</v>
      </c>
      <c r="J1566" s="10">
        <f t="shared" si="48"/>
        <v>21893</v>
      </c>
      <c r="K1566">
        <f t="shared" si="49"/>
        <v>63</v>
      </c>
    </row>
    <row r="1567" spans="1:11">
      <c r="A1567" t="s">
        <v>1546</v>
      </c>
      <c r="B1567">
        <v>1959</v>
      </c>
      <c r="C1567" t="s">
        <v>4700</v>
      </c>
      <c r="D1567">
        <v>25</v>
      </c>
      <c r="E1567">
        <v>0</v>
      </c>
      <c r="F1567" s="13">
        <v>13393.76</v>
      </c>
      <c r="G1567" t="s">
        <v>4698</v>
      </c>
      <c r="H1567" t="s">
        <v>4701</v>
      </c>
      <c r="I1567" t="s">
        <v>4708</v>
      </c>
      <c r="J1567" s="10">
        <f t="shared" si="48"/>
        <v>21879</v>
      </c>
      <c r="K1567">
        <f t="shared" si="49"/>
        <v>63</v>
      </c>
    </row>
    <row r="1568" spans="1:11">
      <c r="A1568" t="s">
        <v>1544</v>
      </c>
      <c r="B1568">
        <v>1959</v>
      </c>
      <c r="C1568" t="s">
        <v>4705</v>
      </c>
      <c r="D1568">
        <v>20</v>
      </c>
      <c r="E1568">
        <v>0</v>
      </c>
      <c r="F1568" s="13">
        <v>13405.39</v>
      </c>
      <c r="G1568" t="s">
        <v>4698</v>
      </c>
      <c r="H1568" t="s">
        <v>4698</v>
      </c>
      <c r="I1568" t="s">
        <v>4699</v>
      </c>
      <c r="J1568" s="10">
        <f t="shared" si="48"/>
        <v>21904</v>
      </c>
      <c r="K1568">
        <f t="shared" si="49"/>
        <v>63</v>
      </c>
    </row>
    <row r="1569" spans="1:11">
      <c r="A1569" t="s">
        <v>1542</v>
      </c>
      <c r="B1569">
        <v>1992</v>
      </c>
      <c r="C1569" t="s">
        <v>4705</v>
      </c>
      <c r="D1569">
        <v>19</v>
      </c>
      <c r="E1569">
        <v>0</v>
      </c>
      <c r="F1569" s="13">
        <v>13412.97</v>
      </c>
      <c r="G1569" t="s">
        <v>4698</v>
      </c>
      <c r="H1569" t="s">
        <v>4698</v>
      </c>
      <c r="I1569" t="s">
        <v>4715</v>
      </c>
      <c r="J1569" s="10">
        <f t="shared" si="48"/>
        <v>33957</v>
      </c>
      <c r="K1569">
        <f t="shared" si="49"/>
        <v>30</v>
      </c>
    </row>
    <row r="1570" spans="1:11">
      <c r="A1570" t="s">
        <v>1540</v>
      </c>
      <c r="B1570">
        <v>1961</v>
      </c>
      <c r="C1570" t="s">
        <v>4696</v>
      </c>
      <c r="D1570">
        <v>22</v>
      </c>
      <c r="E1570">
        <v>0</v>
      </c>
      <c r="F1570" s="13">
        <v>13415.04</v>
      </c>
      <c r="G1570" t="s">
        <v>4698</v>
      </c>
      <c r="H1570" t="s">
        <v>4697</v>
      </c>
      <c r="I1570" t="s">
        <v>4704</v>
      </c>
      <c r="J1570" s="10">
        <f t="shared" si="48"/>
        <v>22484</v>
      </c>
      <c r="K1570">
        <f t="shared" si="49"/>
        <v>61</v>
      </c>
    </row>
    <row r="1571" spans="1:11">
      <c r="A1571" t="s">
        <v>1538</v>
      </c>
      <c r="B1571">
        <v>1994</v>
      </c>
      <c r="C1571" t="s">
        <v>4702</v>
      </c>
      <c r="D1571">
        <v>17</v>
      </c>
      <c r="E1571">
        <v>0</v>
      </c>
      <c r="F1571" s="13">
        <v>13417.05</v>
      </c>
      <c r="G1571" t="s">
        <v>4698</v>
      </c>
      <c r="H1571" t="s">
        <v>4698</v>
      </c>
      <c r="I1571" t="s">
        <v>4704</v>
      </c>
      <c r="J1571" s="10">
        <f t="shared" si="48"/>
        <v>34502</v>
      </c>
      <c r="K1571">
        <f t="shared" si="49"/>
        <v>28</v>
      </c>
    </row>
    <row r="1572" spans="1:11">
      <c r="A1572" t="s">
        <v>1536</v>
      </c>
      <c r="B1572">
        <v>1961</v>
      </c>
      <c r="C1572" t="s">
        <v>4700</v>
      </c>
      <c r="D1572">
        <v>3</v>
      </c>
      <c r="E1572">
        <v>0</v>
      </c>
      <c r="F1572" s="13">
        <v>13429.04</v>
      </c>
      <c r="G1572" t="s">
        <v>4698</v>
      </c>
      <c r="H1572" t="s">
        <v>4698</v>
      </c>
      <c r="I1572" t="s">
        <v>4704</v>
      </c>
      <c r="J1572" s="10">
        <f t="shared" si="48"/>
        <v>22588</v>
      </c>
      <c r="K1572">
        <f t="shared" si="49"/>
        <v>61</v>
      </c>
    </row>
    <row r="1573" spans="1:11">
      <c r="A1573" t="s">
        <v>1534</v>
      </c>
      <c r="B1573">
        <v>1966</v>
      </c>
      <c r="C1573" t="s">
        <v>4700</v>
      </c>
      <c r="D1573">
        <v>14</v>
      </c>
      <c r="E1573">
        <v>3</v>
      </c>
      <c r="F1573" s="13">
        <v>13430.27</v>
      </c>
      <c r="G1573" t="s">
        <v>4698</v>
      </c>
      <c r="H1573" t="s">
        <v>4698</v>
      </c>
      <c r="I1573" t="s">
        <v>4714</v>
      </c>
      <c r="J1573" s="10">
        <f t="shared" si="48"/>
        <v>24425</v>
      </c>
      <c r="K1573">
        <f t="shared" si="49"/>
        <v>56</v>
      </c>
    </row>
    <row r="1574" spans="1:11">
      <c r="A1574" t="s">
        <v>1532</v>
      </c>
      <c r="B1574">
        <v>1975</v>
      </c>
      <c r="C1574" t="s">
        <v>4702</v>
      </c>
      <c r="D1574">
        <v>29</v>
      </c>
      <c r="E1574">
        <v>1</v>
      </c>
      <c r="F1574" s="13">
        <v>13440.7</v>
      </c>
      <c r="G1574" t="s">
        <v>4698</v>
      </c>
      <c r="H1574" t="s">
        <v>4697</v>
      </c>
      <c r="I1574" t="s">
        <v>4704</v>
      </c>
      <c r="J1574" s="10">
        <f t="shared" si="48"/>
        <v>27574</v>
      </c>
      <c r="K1574">
        <f t="shared" si="49"/>
        <v>47</v>
      </c>
    </row>
    <row r="1575" spans="1:11">
      <c r="A1575" t="s">
        <v>1530</v>
      </c>
      <c r="B1575">
        <v>1960</v>
      </c>
      <c r="C1575" t="s">
        <v>4706</v>
      </c>
      <c r="D1575">
        <v>13</v>
      </c>
      <c r="E1575">
        <v>0</v>
      </c>
      <c r="F1575" s="13">
        <v>13451.12</v>
      </c>
      <c r="G1575" t="s">
        <v>4698</v>
      </c>
      <c r="H1575" t="s">
        <v>4701</v>
      </c>
      <c r="I1575" t="s">
        <v>4708</v>
      </c>
      <c r="J1575" s="10">
        <f t="shared" si="48"/>
        <v>22141</v>
      </c>
      <c r="K1575">
        <f t="shared" si="49"/>
        <v>62</v>
      </c>
    </row>
    <row r="1576" spans="1:11">
      <c r="A1576" t="s">
        <v>1528</v>
      </c>
      <c r="B1576">
        <v>1960</v>
      </c>
      <c r="C1576" t="s">
        <v>4696</v>
      </c>
      <c r="D1576">
        <v>11</v>
      </c>
      <c r="E1576">
        <v>0</v>
      </c>
      <c r="F1576" s="13">
        <v>13457.96</v>
      </c>
      <c r="G1576" t="s">
        <v>4698</v>
      </c>
      <c r="H1576" t="s">
        <v>4701</v>
      </c>
      <c r="I1576" t="s">
        <v>4699</v>
      </c>
      <c r="J1576" s="10">
        <f t="shared" si="48"/>
        <v>22108</v>
      </c>
      <c r="K1576">
        <f t="shared" si="49"/>
        <v>62</v>
      </c>
    </row>
    <row r="1577" spans="1:11">
      <c r="A1577" t="s">
        <v>1526</v>
      </c>
      <c r="B1577">
        <v>1960</v>
      </c>
      <c r="C1577" t="s">
        <v>4705</v>
      </c>
      <c r="D1577">
        <v>16</v>
      </c>
      <c r="E1577">
        <v>0</v>
      </c>
      <c r="F1577" s="13">
        <v>13462.52</v>
      </c>
      <c r="G1577" t="s">
        <v>4698</v>
      </c>
      <c r="H1577" t="s">
        <v>4697</v>
      </c>
      <c r="I1577" t="s">
        <v>4708</v>
      </c>
      <c r="J1577" s="10">
        <f t="shared" si="48"/>
        <v>22266</v>
      </c>
      <c r="K1577">
        <f t="shared" si="49"/>
        <v>62</v>
      </c>
    </row>
    <row r="1578" spans="1:11">
      <c r="A1578" t="s">
        <v>1524</v>
      </c>
      <c r="B1578">
        <v>1985</v>
      </c>
      <c r="C1578" t="s">
        <v>4706</v>
      </c>
      <c r="D1578">
        <v>19</v>
      </c>
      <c r="E1578">
        <v>3</v>
      </c>
      <c r="F1578" s="13">
        <v>13465.8</v>
      </c>
      <c r="G1578" t="s">
        <v>4698</v>
      </c>
      <c r="H1578" t="s">
        <v>4701</v>
      </c>
      <c r="I1578" t="s">
        <v>4704</v>
      </c>
      <c r="J1578" s="10">
        <f t="shared" si="48"/>
        <v>31278</v>
      </c>
      <c r="K1578">
        <f t="shared" si="49"/>
        <v>37</v>
      </c>
    </row>
    <row r="1579" spans="1:11">
      <c r="A1579" t="s">
        <v>1522</v>
      </c>
      <c r="B1579">
        <v>1960</v>
      </c>
      <c r="C1579" t="s">
        <v>4696</v>
      </c>
      <c r="D1579">
        <v>28</v>
      </c>
      <c r="E1579">
        <v>0</v>
      </c>
      <c r="F1579" s="13">
        <v>13470.8</v>
      </c>
      <c r="G1579" t="s">
        <v>4698</v>
      </c>
      <c r="H1579" t="s">
        <v>4697</v>
      </c>
      <c r="I1579" t="s">
        <v>4699</v>
      </c>
      <c r="J1579" s="10">
        <f t="shared" si="48"/>
        <v>22125</v>
      </c>
      <c r="K1579">
        <f t="shared" si="49"/>
        <v>62</v>
      </c>
    </row>
    <row r="1580" spans="1:11">
      <c r="A1580" t="s">
        <v>1520</v>
      </c>
      <c r="B1580">
        <v>1960</v>
      </c>
      <c r="C1580" t="s">
        <v>4696</v>
      </c>
      <c r="D1580">
        <v>24</v>
      </c>
      <c r="E1580">
        <v>0</v>
      </c>
      <c r="F1580" s="13">
        <v>13470.86</v>
      </c>
      <c r="G1580" t="s">
        <v>4698</v>
      </c>
      <c r="H1580" t="s">
        <v>4698</v>
      </c>
      <c r="I1580" t="s">
        <v>4708</v>
      </c>
      <c r="J1580" s="10">
        <f t="shared" si="48"/>
        <v>22121</v>
      </c>
      <c r="K1580">
        <f t="shared" si="49"/>
        <v>62</v>
      </c>
    </row>
    <row r="1581" spans="1:11">
      <c r="A1581" t="s">
        <v>1518</v>
      </c>
      <c r="B1581">
        <v>1975</v>
      </c>
      <c r="C1581" t="s">
        <v>4706</v>
      </c>
      <c r="D1581">
        <v>7</v>
      </c>
      <c r="E1581">
        <v>1</v>
      </c>
      <c r="F1581" s="13">
        <v>13472.19</v>
      </c>
      <c r="G1581" t="s">
        <v>4698</v>
      </c>
      <c r="H1581" t="s">
        <v>4697</v>
      </c>
      <c r="I1581" t="s">
        <v>4704</v>
      </c>
      <c r="J1581" s="10">
        <f t="shared" si="48"/>
        <v>27613</v>
      </c>
      <c r="K1581">
        <f t="shared" si="49"/>
        <v>47</v>
      </c>
    </row>
    <row r="1582" spans="1:11">
      <c r="A1582" t="s">
        <v>1516</v>
      </c>
      <c r="B1582">
        <v>1990</v>
      </c>
      <c r="C1582" t="s">
        <v>4706</v>
      </c>
      <c r="D1582">
        <v>30</v>
      </c>
      <c r="E1582">
        <v>3</v>
      </c>
      <c r="F1582" s="13">
        <v>13480.83</v>
      </c>
      <c r="G1582" t="s">
        <v>4698</v>
      </c>
      <c r="H1582" t="s">
        <v>4697</v>
      </c>
      <c r="I1582" t="s">
        <v>4715</v>
      </c>
      <c r="J1582" s="10">
        <f t="shared" si="48"/>
        <v>33115</v>
      </c>
      <c r="K1582">
        <f t="shared" si="49"/>
        <v>32</v>
      </c>
    </row>
    <row r="1583" spans="1:11">
      <c r="A1583" t="s">
        <v>1514</v>
      </c>
      <c r="B1583">
        <v>1963</v>
      </c>
      <c r="C1583" t="s">
        <v>4707</v>
      </c>
      <c r="D1583">
        <v>14</v>
      </c>
      <c r="E1583">
        <v>0</v>
      </c>
      <c r="F1583" s="13">
        <v>13511.28</v>
      </c>
      <c r="G1583" t="s">
        <v>4698</v>
      </c>
      <c r="H1583" t="s">
        <v>4701</v>
      </c>
      <c r="I1583" t="s">
        <v>4704</v>
      </c>
      <c r="J1583" s="10">
        <f t="shared" si="48"/>
        <v>23298</v>
      </c>
      <c r="K1583">
        <f t="shared" si="49"/>
        <v>59</v>
      </c>
    </row>
    <row r="1584" spans="1:11">
      <c r="A1584" t="s">
        <v>1512</v>
      </c>
      <c r="B1584">
        <v>1960</v>
      </c>
      <c r="C1584" t="s">
        <v>4696</v>
      </c>
      <c r="D1584">
        <v>11</v>
      </c>
      <c r="E1584">
        <v>0</v>
      </c>
      <c r="F1584" s="13">
        <v>13555</v>
      </c>
      <c r="G1584" t="s">
        <v>4698</v>
      </c>
      <c r="H1584" t="s">
        <v>4698</v>
      </c>
      <c r="I1584" t="s">
        <v>4718</v>
      </c>
      <c r="J1584" s="10">
        <f t="shared" si="48"/>
        <v>22108</v>
      </c>
      <c r="K1584">
        <f t="shared" si="49"/>
        <v>62</v>
      </c>
    </row>
    <row r="1585" spans="1:11">
      <c r="A1585" t="s">
        <v>1510</v>
      </c>
      <c r="B1585">
        <v>1968</v>
      </c>
      <c r="C1585" t="s">
        <v>4696</v>
      </c>
      <c r="D1585">
        <v>15</v>
      </c>
      <c r="E1585">
        <v>0</v>
      </c>
      <c r="F1585" s="13">
        <v>13566.04</v>
      </c>
      <c r="G1585" t="s">
        <v>4698</v>
      </c>
      <c r="H1585" t="s">
        <v>4698</v>
      </c>
      <c r="I1585" t="s">
        <v>4720</v>
      </c>
      <c r="J1585" s="10">
        <f t="shared" si="48"/>
        <v>25034</v>
      </c>
      <c r="K1585">
        <f t="shared" si="49"/>
        <v>54</v>
      </c>
    </row>
    <row r="1586" spans="1:11">
      <c r="A1586" t="s">
        <v>1508</v>
      </c>
      <c r="B1586">
        <v>1992</v>
      </c>
      <c r="C1586" t="s">
        <v>4706</v>
      </c>
      <c r="D1586">
        <v>14</v>
      </c>
      <c r="E1586">
        <v>0</v>
      </c>
      <c r="F1586" s="13">
        <v>13588.17</v>
      </c>
      <c r="G1586" t="s">
        <v>4698</v>
      </c>
      <c r="H1586" t="s">
        <v>4701</v>
      </c>
      <c r="I1586" t="s">
        <v>4704</v>
      </c>
      <c r="J1586" s="10">
        <f t="shared" si="48"/>
        <v>33830</v>
      </c>
      <c r="K1586">
        <f t="shared" si="49"/>
        <v>30</v>
      </c>
    </row>
    <row r="1587" spans="1:11">
      <c r="A1587" t="s">
        <v>1506</v>
      </c>
      <c r="B1587">
        <v>1964</v>
      </c>
      <c r="C1587" t="s">
        <v>4703</v>
      </c>
      <c r="D1587">
        <v>10</v>
      </c>
      <c r="E1587">
        <v>2</v>
      </c>
      <c r="F1587" s="13">
        <v>13607.37</v>
      </c>
      <c r="G1587" t="s">
        <v>4698</v>
      </c>
      <c r="H1587" t="s">
        <v>4701</v>
      </c>
      <c r="I1587" t="s">
        <v>4714</v>
      </c>
      <c r="J1587" s="10">
        <f t="shared" si="48"/>
        <v>23630</v>
      </c>
      <c r="K1587">
        <f t="shared" si="49"/>
        <v>58</v>
      </c>
    </row>
    <row r="1588" spans="1:11">
      <c r="A1588" t="s">
        <v>1504</v>
      </c>
      <c r="B1588">
        <v>1961</v>
      </c>
      <c r="C1588" t="s">
        <v>4700</v>
      </c>
      <c r="D1588">
        <v>18</v>
      </c>
      <c r="E1588">
        <v>0</v>
      </c>
      <c r="F1588" s="13">
        <v>13616.36</v>
      </c>
      <c r="G1588" t="s">
        <v>4698</v>
      </c>
      <c r="H1588" t="s">
        <v>4698</v>
      </c>
      <c r="I1588" t="s">
        <v>4714</v>
      </c>
      <c r="J1588" s="10">
        <f t="shared" si="48"/>
        <v>22603</v>
      </c>
      <c r="K1588">
        <f t="shared" si="49"/>
        <v>61</v>
      </c>
    </row>
    <row r="1589" spans="1:11">
      <c r="A1589" t="s">
        <v>1502</v>
      </c>
      <c r="B1589">
        <v>1969</v>
      </c>
      <c r="C1589" t="s">
        <v>4696</v>
      </c>
      <c r="D1589">
        <v>26</v>
      </c>
      <c r="E1589">
        <v>0</v>
      </c>
      <c r="F1589" s="13">
        <v>13622.01</v>
      </c>
      <c r="G1589" t="s">
        <v>4698</v>
      </c>
      <c r="H1589" t="s">
        <v>4698</v>
      </c>
      <c r="I1589" t="s">
        <v>4704</v>
      </c>
      <c r="J1589" s="10">
        <f t="shared" si="48"/>
        <v>25410</v>
      </c>
      <c r="K1589">
        <f t="shared" si="49"/>
        <v>53</v>
      </c>
    </row>
    <row r="1590" spans="1:11">
      <c r="A1590" t="s">
        <v>1500</v>
      </c>
      <c r="B1590">
        <v>1961</v>
      </c>
      <c r="C1590" t="s">
        <v>4705</v>
      </c>
      <c r="D1590">
        <v>24</v>
      </c>
      <c r="E1590">
        <v>0</v>
      </c>
      <c r="F1590" s="13">
        <v>13635.64</v>
      </c>
      <c r="G1590" t="s">
        <v>4698</v>
      </c>
      <c r="H1590" t="s">
        <v>4698</v>
      </c>
      <c r="I1590" t="s">
        <v>4714</v>
      </c>
      <c r="J1590" s="10">
        <f t="shared" si="48"/>
        <v>22639</v>
      </c>
      <c r="K1590">
        <f t="shared" si="49"/>
        <v>61</v>
      </c>
    </row>
    <row r="1591" spans="1:11">
      <c r="A1591" t="s">
        <v>1498</v>
      </c>
      <c r="B1591">
        <v>1984</v>
      </c>
      <c r="C1591" t="s">
        <v>4696</v>
      </c>
      <c r="D1591">
        <v>20</v>
      </c>
      <c r="E1591">
        <v>3</v>
      </c>
      <c r="F1591" s="13">
        <v>13638.06</v>
      </c>
      <c r="G1591" t="s">
        <v>4698</v>
      </c>
      <c r="H1591" t="s">
        <v>4698</v>
      </c>
      <c r="I1591" t="s">
        <v>4715</v>
      </c>
      <c r="J1591" s="10">
        <f t="shared" si="48"/>
        <v>30883</v>
      </c>
      <c r="K1591">
        <f t="shared" si="49"/>
        <v>38</v>
      </c>
    </row>
    <row r="1592" spans="1:11">
      <c r="A1592" t="s">
        <v>1496</v>
      </c>
      <c r="B1592">
        <v>1963</v>
      </c>
      <c r="C1592" t="s">
        <v>4706</v>
      </c>
      <c r="D1592">
        <v>4</v>
      </c>
      <c r="E1592">
        <v>0</v>
      </c>
      <c r="F1592" s="13">
        <v>13677.68</v>
      </c>
      <c r="G1592" t="s">
        <v>4698</v>
      </c>
      <c r="H1592" t="s">
        <v>4697</v>
      </c>
      <c r="I1592" t="s">
        <v>4717</v>
      </c>
      <c r="J1592" s="10">
        <f t="shared" si="48"/>
        <v>23227</v>
      </c>
      <c r="K1592">
        <f t="shared" si="49"/>
        <v>59</v>
      </c>
    </row>
    <row r="1593" spans="1:11">
      <c r="A1593" t="s">
        <v>1494</v>
      </c>
      <c r="B1593">
        <v>1985</v>
      </c>
      <c r="C1593" t="s">
        <v>4703</v>
      </c>
      <c r="D1593">
        <v>14</v>
      </c>
      <c r="E1593">
        <v>3</v>
      </c>
      <c r="F1593" s="13">
        <v>13685.51</v>
      </c>
      <c r="G1593" t="s">
        <v>4698</v>
      </c>
      <c r="H1593" t="s">
        <v>4701</v>
      </c>
      <c r="I1593" t="s">
        <v>4720</v>
      </c>
      <c r="J1593" s="10">
        <f t="shared" si="48"/>
        <v>31304</v>
      </c>
      <c r="K1593">
        <f t="shared" si="49"/>
        <v>37</v>
      </c>
    </row>
    <row r="1594" spans="1:11">
      <c r="A1594" t="s">
        <v>1492</v>
      </c>
      <c r="B1594">
        <v>1986</v>
      </c>
      <c r="C1594" t="s">
        <v>4700</v>
      </c>
      <c r="D1594">
        <v>24</v>
      </c>
      <c r="E1594">
        <v>3</v>
      </c>
      <c r="F1594" s="13">
        <v>13714.55</v>
      </c>
      <c r="G1594" t="s">
        <v>4698</v>
      </c>
      <c r="H1594" t="s">
        <v>4697</v>
      </c>
      <c r="I1594" t="s">
        <v>4715</v>
      </c>
      <c r="J1594" s="10">
        <f t="shared" si="48"/>
        <v>31740</v>
      </c>
      <c r="K1594">
        <f t="shared" si="49"/>
        <v>36</v>
      </c>
    </row>
    <row r="1595" spans="1:11">
      <c r="A1595" t="s">
        <v>1490</v>
      </c>
      <c r="B1595">
        <v>1981</v>
      </c>
      <c r="C1595" t="s">
        <v>4706</v>
      </c>
      <c r="D1595">
        <v>2</v>
      </c>
      <c r="E1595">
        <v>1</v>
      </c>
      <c r="F1595" s="13">
        <v>13725.47</v>
      </c>
      <c r="G1595" t="s">
        <v>4698</v>
      </c>
      <c r="H1595" t="s">
        <v>4697</v>
      </c>
      <c r="I1595" t="s">
        <v>4714</v>
      </c>
      <c r="J1595" s="10">
        <f t="shared" si="48"/>
        <v>29800</v>
      </c>
      <c r="K1595">
        <f t="shared" si="49"/>
        <v>41</v>
      </c>
    </row>
    <row r="1596" spans="1:11">
      <c r="A1596" t="s">
        <v>1488</v>
      </c>
      <c r="B1596">
        <v>1985</v>
      </c>
      <c r="C1596" t="s">
        <v>4706</v>
      </c>
      <c r="D1596">
        <v>29</v>
      </c>
      <c r="E1596">
        <v>3</v>
      </c>
      <c r="F1596" s="13">
        <v>13726.21</v>
      </c>
      <c r="G1596" t="s">
        <v>4698</v>
      </c>
      <c r="H1596" t="s">
        <v>4698</v>
      </c>
      <c r="I1596" t="s">
        <v>4720</v>
      </c>
      <c r="J1596" s="10">
        <f t="shared" si="48"/>
        <v>31288</v>
      </c>
      <c r="K1596">
        <f t="shared" si="49"/>
        <v>37</v>
      </c>
    </row>
    <row r="1597" spans="1:11">
      <c r="A1597" t="s">
        <v>1486</v>
      </c>
      <c r="B1597">
        <v>1969</v>
      </c>
      <c r="C1597" t="s">
        <v>4707</v>
      </c>
      <c r="D1597">
        <v>23</v>
      </c>
      <c r="E1597">
        <v>0</v>
      </c>
      <c r="F1597" s="13">
        <v>13746.74</v>
      </c>
      <c r="G1597" t="s">
        <v>4698</v>
      </c>
      <c r="H1597" t="s">
        <v>4697</v>
      </c>
      <c r="I1597" t="s">
        <v>4720</v>
      </c>
      <c r="J1597" s="10">
        <f t="shared" si="48"/>
        <v>25499</v>
      </c>
      <c r="K1597">
        <f t="shared" si="49"/>
        <v>53</v>
      </c>
    </row>
    <row r="1598" spans="1:11">
      <c r="A1598" t="s">
        <v>1484</v>
      </c>
      <c r="B1598">
        <v>2004</v>
      </c>
      <c r="C1598" t="s">
        <v>4696</v>
      </c>
      <c r="D1598">
        <v>16</v>
      </c>
      <c r="E1598">
        <v>0</v>
      </c>
      <c r="F1598" s="13">
        <v>13747.87</v>
      </c>
      <c r="G1598" t="s">
        <v>4698</v>
      </c>
      <c r="H1598" t="s">
        <v>4697</v>
      </c>
      <c r="I1598" t="s">
        <v>4712</v>
      </c>
      <c r="J1598" s="10">
        <f t="shared" si="48"/>
        <v>38184</v>
      </c>
      <c r="K1598">
        <f t="shared" si="49"/>
        <v>18</v>
      </c>
    </row>
    <row r="1599" spans="1:11">
      <c r="A1599" t="s">
        <v>1482</v>
      </c>
      <c r="B1599">
        <v>1959</v>
      </c>
      <c r="C1599" t="s">
        <v>4706</v>
      </c>
      <c r="D1599">
        <v>6</v>
      </c>
      <c r="E1599">
        <v>0</v>
      </c>
      <c r="F1599" s="13">
        <v>13770.1</v>
      </c>
      <c r="G1599" t="s">
        <v>4698</v>
      </c>
      <c r="H1599" t="s">
        <v>4701</v>
      </c>
      <c r="I1599" t="s">
        <v>4704</v>
      </c>
      <c r="J1599" s="10">
        <f t="shared" si="48"/>
        <v>21768</v>
      </c>
      <c r="K1599">
        <f t="shared" si="49"/>
        <v>63</v>
      </c>
    </row>
    <row r="1600" spans="1:11">
      <c r="A1600" t="s">
        <v>1480</v>
      </c>
      <c r="B1600">
        <v>1966</v>
      </c>
      <c r="C1600" t="s">
        <v>4700</v>
      </c>
      <c r="D1600">
        <v>10</v>
      </c>
      <c r="E1600">
        <v>0</v>
      </c>
      <c r="F1600" s="13">
        <v>13801.61</v>
      </c>
      <c r="G1600" t="s">
        <v>4698</v>
      </c>
      <c r="H1600" t="s">
        <v>4698</v>
      </c>
      <c r="I1600" t="s">
        <v>4720</v>
      </c>
      <c r="J1600" s="10">
        <f t="shared" si="48"/>
        <v>24421</v>
      </c>
      <c r="K1600">
        <f t="shared" si="49"/>
        <v>56</v>
      </c>
    </row>
    <row r="1601" spans="1:11">
      <c r="A1601" t="s">
        <v>1478</v>
      </c>
      <c r="B1601">
        <v>1986</v>
      </c>
      <c r="C1601" t="s">
        <v>4705</v>
      </c>
      <c r="D1601">
        <v>8</v>
      </c>
      <c r="E1601">
        <v>3</v>
      </c>
      <c r="F1601" s="13">
        <v>13819.49</v>
      </c>
      <c r="G1601" t="s">
        <v>4698</v>
      </c>
      <c r="H1601" t="s">
        <v>4697</v>
      </c>
      <c r="I1601" t="s">
        <v>4704</v>
      </c>
      <c r="J1601" s="10">
        <f t="shared" si="48"/>
        <v>31754</v>
      </c>
      <c r="K1601">
        <f t="shared" si="49"/>
        <v>36</v>
      </c>
    </row>
    <row r="1602" spans="1:11">
      <c r="A1602" t="s">
        <v>1476</v>
      </c>
      <c r="B1602">
        <v>1958</v>
      </c>
      <c r="C1602" t="s">
        <v>4700</v>
      </c>
      <c r="D1602">
        <v>25</v>
      </c>
      <c r="E1602">
        <v>0</v>
      </c>
      <c r="F1602" s="13">
        <v>13822.8</v>
      </c>
      <c r="G1602" t="s">
        <v>4698</v>
      </c>
      <c r="H1602" t="s">
        <v>4698</v>
      </c>
      <c r="I1602" t="s">
        <v>4708</v>
      </c>
      <c r="J1602" s="10">
        <f t="shared" ref="J1602:J1665" si="50">DATEVALUE(D1602&amp;"-"&amp;C1602&amp;"-"&amp;B1602)</f>
        <v>21514</v>
      </c>
      <c r="K1602">
        <f t="shared" si="49"/>
        <v>64</v>
      </c>
    </row>
    <row r="1603" spans="1:11">
      <c r="A1603" t="s">
        <v>1474</v>
      </c>
      <c r="B1603">
        <v>1958</v>
      </c>
      <c r="C1603" t="s">
        <v>4705</v>
      </c>
      <c r="D1603">
        <v>10</v>
      </c>
      <c r="E1603">
        <v>0</v>
      </c>
      <c r="F1603" s="13">
        <v>13831.12</v>
      </c>
      <c r="G1603" t="s">
        <v>4698</v>
      </c>
      <c r="H1603" t="s">
        <v>4701</v>
      </c>
      <c r="I1603" t="s">
        <v>4699</v>
      </c>
      <c r="J1603" s="10">
        <f t="shared" si="50"/>
        <v>21529</v>
      </c>
      <c r="K1603">
        <f t="shared" ref="K1603:K1666" si="51">DATEDIF(J1603, DATE(2023, 6, 8), "Y")</f>
        <v>64</v>
      </c>
    </row>
    <row r="1604" spans="1:11">
      <c r="A1604" t="s">
        <v>1472</v>
      </c>
      <c r="B1604">
        <v>2003</v>
      </c>
      <c r="C1604" t="s">
        <v>4702</v>
      </c>
      <c r="D1604">
        <v>7</v>
      </c>
      <c r="E1604">
        <v>0</v>
      </c>
      <c r="F1604" s="13">
        <v>13844.51</v>
      </c>
      <c r="G1604" t="s">
        <v>4697</v>
      </c>
      <c r="H1604" t="s">
        <v>4701</v>
      </c>
      <c r="I1604" t="s">
        <v>4708</v>
      </c>
      <c r="J1604" s="10">
        <f t="shared" si="50"/>
        <v>37779</v>
      </c>
      <c r="K1604">
        <f t="shared" si="51"/>
        <v>20</v>
      </c>
    </row>
    <row r="1605" spans="1:11">
      <c r="A1605" t="s">
        <v>1470</v>
      </c>
      <c r="B1605">
        <v>1960</v>
      </c>
      <c r="C1605" t="s">
        <v>4696</v>
      </c>
      <c r="D1605">
        <v>21</v>
      </c>
      <c r="E1605">
        <v>0</v>
      </c>
      <c r="F1605" s="13">
        <v>13844.8</v>
      </c>
      <c r="G1605" t="s">
        <v>4697</v>
      </c>
      <c r="H1605" t="s">
        <v>4697</v>
      </c>
      <c r="I1605" t="s">
        <v>4704</v>
      </c>
      <c r="J1605" s="10">
        <f t="shared" si="50"/>
        <v>22118</v>
      </c>
      <c r="K1605">
        <f t="shared" si="51"/>
        <v>62</v>
      </c>
    </row>
    <row r="1606" spans="1:11">
      <c r="A1606" t="s">
        <v>1468</v>
      </c>
      <c r="B1606">
        <v>1978</v>
      </c>
      <c r="C1606" t="s">
        <v>4705</v>
      </c>
      <c r="D1606">
        <v>19</v>
      </c>
      <c r="E1606">
        <v>2</v>
      </c>
      <c r="F1606" s="13">
        <v>13874.89</v>
      </c>
      <c r="G1606" t="s">
        <v>4697</v>
      </c>
      <c r="H1606" t="s">
        <v>4701</v>
      </c>
      <c r="I1606" t="s">
        <v>4704</v>
      </c>
      <c r="J1606" s="10">
        <f t="shared" si="50"/>
        <v>28843</v>
      </c>
      <c r="K1606">
        <f t="shared" si="51"/>
        <v>44</v>
      </c>
    </row>
    <row r="1607" spans="1:11">
      <c r="A1607" t="s">
        <v>1466</v>
      </c>
      <c r="B1607">
        <v>1959</v>
      </c>
      <c r="C1607" t="s">
        <v>4707</v>
      </c>
      <c r="D1607">
        <v>5</v>
      </c>
      <c r="E1607">
        <v>0</v>
      </c>
      <c r="F1607" s="13">
        <v>13880.95</v>
      </c>
      <c r="G1607" t="s">
        <v>4697</v>
      </c>
      <c r="H1607" t="s">
        <v>4697</v>
      </c>
      <c r="I1607" t="s">
        <v>4708</v>
      </c>
      <c r="J1607" s="10">
        <f t="shared" si="50"/>
        <v>21828</v>
      </c>
      <c r="K1607">
        <f t="shared" si="51"/>
        <v>63</v>
      </c>
    </row>
    <row r="1608" spans="1:11">
      <c r="A1608" t="s">
        <v>1464</v>
      </c>
      <c r="B1608">
        <v>1985</v>
      </c>
      <c r="C1608" t="s">
        <v>4703</v>
      </c>
      <c r="D1608">
        <v>25</v>
      </c>
      <c r="E1608">
        <v>3</v>
      </c>
      <c r="F1608" s="13">
        <v>13886.4</v>
      </c>
      <c r="G1608" t="s">
        <v>4697</v>
      </c>
      <c r="H1608" t="s">
        <v>4697</v>
      </c>
      <c r="I1608" t="s">
        <v>4704</v>
      </c>
      <c r="J1608" s="10">
        <f t="shared" si="50"/>
        <v>31315</v>
      </c>
      <c r="K1608">
        <f t="shared" si="51"/>
        <v>37</v>
      </c>
    </row>
    <row r="1609" spans="1:11">
      <c r="A1609" t="s">
        <v>1462</v>
      </c>
      <c r="B1609">
        <v>1959</v>
      </c>
      <c r="C1609" t="s">
        <v>4705</v>
      </c>
      <c r="D1609">
        <v>29</v>
      </c>
      <c r="E1609">
        <v>0</v>
      </c>
      <c r="F1609" s="13">
        <v>13887.2</v>
      </c>
      <c r="G1609" t="s">
        <v>4697</v>
      </c>
      <c r="H1609" t="s">
        <v>4698</v>
      </c>
      <c r="I1609" t="s">
        <v>4699</v>
      </c>
      <c r="J1609" s="10">
        <f t="shared" si="50"/>
        <v>21913</v>
      </c>
      <c r="K1609">
        <f t="shared" si="51"/>
        <v>63</v>
      </c>
    </row>
    <row r="1610" spans="1:11">
      <c r="A1610" t="s">
        <v>1460</v>
      </c>
      <c r="B1610">
        <v>1959</v>
      </c>
      <c r="C1610" t="s">
        <v>4696</v>
      </c>
      <c r="D1610">
        <v>7</v>
      </c>
      <c r="E1610">
        <v>0</v>
      </c>
      <c r="F1610" s="13">
        <v>13887.97</v>
      </c>
      <c r="G1610" t="s">
        <v>4697</v>
      </c>
      <c r="H1610" t="s">
        <v>4697</v>
      </c>
      <c r="I1610" t="s">
        <v>4699</v>
      </c>
      <c r="J1610" s="10">
        <f t="shared" si="50"/>
        <v>21738</v>
      </c>
      <c r="K1610">
        <f t="shared" si="51"/>
        <v>63</v>
      </c>
    </row>
    <row r="1611" spans="1:11">
      <c r="A1611" t="s">
        <v>1458</v>
      </c>
      <c r="B1611">
        <v>1962</v>
      </c>
      <c r="C1611" t="s">
        <v>4696</v>
      </c>
      <c r="D1611">
        <v>27</v>
      </c>
      <c r="E1611">
        <v>3</v>
      </c>
      <c r="F1611" s="13">
        <v>13919.82</v>
      </c>
      <c r="G1611" t="s">
        <v>4697</v>
      </c>
      <c r="H1611" t="s">
        <v>4697</v>
      </c>
      <c r="I1611" t="s">
        <v>4699</v>
      </c>
      <c r="J1611" s="10">
        <f t="shared" si="50"/>
        <v>22854</v>
      </c>
      <c r="K1611">
        <f t="shared" si="51"/>
        <v>60</v>
      </c>
    </row>
    <row r="1612" spans="1:11">
      <c r="A1612" t="s">
        <v>1456</v>
      </c>
      <c r="B1612">
        <v>1960</v>
      </c>
      <c r="C1612" t="s">
        <v>4702</v>
      </c>
      <c r="D1612">
        <v>18</v>
      </c>
      <c r="E1612">
        <v>1</v>
      </c>
      <c r="F1612" s="13">
        <v>13937.67</v>
      </c>
      <c r="G1612" t="s">
        <v>4697</v>
      </c>
      <c r="H1612" t="s">
        <v>4701</v>
      </c>
      <c r="I1612" t="s">
        <v>4704</v>
      </c>
      <c r="J1612" s="10">
        <f t="shared" si="50"/>
        <v>22085</v>
      </c>
      <c r="K1612">
        <f t="shared" si="51"/>
        <v>62</v>
      </c>
    </row>
    <row r="1613" spans="1:11">
      <c r="A1613" t="s">
        <v>1454</v>
      </c>
      <c r="B1613">
        <v>1959</v>
      </c>
      <c r="C1613" t="s">
        <v>4706</v>
      </c>
      <c r="D1613">
        <v>29</v>
      </c>
      <c r="E1613">
        <v>0</v>
      </c>
      <c r="F1613" s="13">
        <v>13974.46</v>
      </c>
      <c r="G1613" t="s">
        <v>4697</v>
      </c>
      <c r="H1613" t="s">
        <v>4697</v>
      </c>
      <c r="I1613" t="s">
        <v>4710</v>
      </c>
      <c r="J1613" s="10">
        <f t="shared" si="50"/>
        <v>21791</v>
      </c>
      <c r="K1613">
        <f t="shared" si="51"/>
        <v>63</v>
      </c>
    </row>
    <row r="1614" spans="1:11">
      <c r="A1614" t="s">
        <v>1452</v>
      </c>
      <c r="B1614">
        <v>1990</v>
      </c>
      <c r="C1614" t="s">
        <v>4696</v>
      </c>
      <c r="D1614">
        <v>13</v>
      </c>
      <c r="E1614">
        <v>3</v>
      </c>
      <c r="F1614" s="13">
        <v>13979.45</v>
      </c>
      <c r="G1614" t="s">
        <v>4697</v>
      </c>
      <c r="H1614" t="s">
        <v>4701</v>
      </c>
      <c r="I1614" t="s">
        <v>4715</v>
      </c>
      <c r="J1614" s="10">
        <f t="shared" si="50"/>
        <v>33067</v>
      </c>
      <c r="K1614">
        <f t="shared" si="51"/>
        <v>32</v>
      </c>
    </row>
    <row r="1615" spans="1:11">
      <c r="A1615" t="s">
        <v>1450</v>
      </c>
      <c r="B1615">
        <v>1959</v>
      </c>
      <c r="C1615" t="s">
        <v>4703</v>
      </c>
      <c r="D1615">
        <v>6</v>
      </c>
      <c r="E1615">
        <v>0</v>
      </c>
      <c r="F1615" s="13">
        <v>13981.85</v>
      </c>
      <c r="G1615" t="s">
        <v>4697</v>
      </c>
      <c r="H1615" t="s">
        <v>4701</v>
      </c>
      <c r="I1615" t="s">
        <v>4711</v>
      </c>
      <c r="J1615" s="10">
        <f t="shared" si="50"/>
        <v>21799</v>
      </c>
      <c r="K1615">
        <f t="shared" si="51"/>
        <v>63</v>
      </c>
    </row>
    <row r="1616" spans="1:11">
      <c r="A1616" t="s">
        <v>1448</v>
      </c>
      <c r="B1616">
        <v>1963</v>
      </c>
      <c r="C1616" t="s">
        <v>4705</v>
      </c>
      <c r="D1616">
        <v>23</v>
      </c>
      <c r="E1616">
        <v>3</v>
      </c>
      <c r="F1616" s="13">
        <v>14001.13</v>
      </c>
      <c r="G1616" t="s">
        <v>4697</v>
      </c>
      <c r="H1616" t="s">
        <v>4701</v>
      </c>
      <c r="I1616" t="s">
        <v>4699</v>
      </c>
      <c r="J1616" s="10">
        <f t="shared" si="50"/>
        <v>23368</v>
      </c>
      <c r="K1616">
        <f t="shared" si="51"/>
        <v>59</v>
      </c>
    </row>
    <row r="1617" spans="1:11">
      <c r="A1617" t="s">
        <v>1446</v>
      </c>
      <c r="B1617">
        <v>1963</v>
      </c>
      <c r="C1617" t="s">
        <v>4696</v>
      </c>
      <c r="D1617">
        <v>6</v>
      </c>
      <c r="E1617">
        <v>3</v>
      </c>
      <c r="F1617" s="13">
        <v>14001.29</v>
      </c>
      <c r="G1617" t="s">
        <v>4697</v>
      </c>
      <c r="H1617" t="s">
        <v>4697</v>
      </c>
      <c r="I1617" t="s">
        <v>4699</v>
      </c>
      <c r="J1617" s="10">
        <f t="shared" si="50"/>
        <v>23198</v>
      </c>
      <c r="K1617">
        <f t="shared" si="51"/>
        <v>59</v>
      </c>
    </row>
    <row r="1618" spans="1:11">
      <c r="A1618" t="s">
        <v>1444</v>
      </c>
      <c r="B1618">
        <v>1963</v>
      </c>
      <c r="C1618" t="s">
        <v>4696</v>
      </c>
      <c r="D1618">
        <v>8</v>
      </c>
      <c r="E1618">
        <v>3</v>
      </c>
      <c r="F1618" s="13">
        <v>14007.22</v>
      </c>
      <c r="G1618" t="s">
        <v>4697</v>
      </c>
      <c r="H1618" t="s">
        <v>4698</v>
      </c>
      <c r="I1618" t="s">
        <v>4708</v>
      </c>
      <c r="J1618" s="10">
        <f t="shared" si="50"/>
        <v>23200</v>
      </c>
      <c r="K1618">
        <f t="shared" si="51"/>
        <v>59</v>
      </c>
    </row>
    <row r="1619" spans="1:11">
      <c r="A1619" t="s">
        <v>1442</v>
      </c>
      <c r="B1619">
        <v>1960</v>
      </c>
      <c r="C1619" t="s">
        <v>4700</v>
      </c>
      <c r="D1619">
        <v>8</v>
      </c>
      <c r="E1619">
        <v>0</v>
      </c>
      <c r="F1619" s="13">
        <v>14043.48</v>
      </c>
      <c r="G1619" t="s">
        <v>4697</v>
      </c>
      <c r="H1619" t="s">
        <v>4698</v>
      </c>
      <c r="I1619" t="s">
        <v>4714</v>
      </c>
      <c r="J1619" s="10">
        <f t="shared" si="50"/>
        <v>22228</v>
      </c>
      <c r="K1619">
        <f t="shared" si="51"/>
        <v>62</v>
      </c>
    </row>
    <row r="1620" spans="1:11">
      <c r="A1620" t="s">
        <v>1440</v>
      </c>
      <c r="B1620">
        <v>1991</v>
      </c>
      <c r="C1620" t="s">
        <v>4703</v>
      </c>
      <c r="D1620">
        <v>12</v>
      </c>
      <c r="E1620">
        <v>3</v>
      </c>
      <c r="F1620" s="13">
        <v>14081.93</v>
      </c>
      <c r="G1620" t="s">
        <v>4697</v>
      </c>
      <c r="H1620" t="s">
        <v>4698</v>
      </c>
      <c r="I1620" t="s">
        <v>4704</v>
      </c>
      <c r="J1620" s="10">
        <f t="shared" si="50"/>
        <v>33493</v>
      </c>
      <c r="K1620">
        <f t="shared" si="51"/>
        <v>31</v>
      </c>
    </row>
    <row r="1621" spans="1:11">
      <c r="A1621" t="s">
        <v>1438</v>
      </c>
      <c r="B1621">
        <v>1976</v>
      </c>
      <c r="C1621" t="s">
        <v>4703</v>
      </c>
      <c r="D1621">
        <v>26</v>
      </c>
      <c r="E1621">
        <v>2</v>
      </c>
      <c r="F1621" s="13">
        <v>14098.07</v>
      </c>
      <c r="G1621" t="s">
        <v>4697</v>
      </c>
      <c r="H1621" t="s">
        <v>4698</v>
      </c>
      <c r="I1621" t="s">
        <v>4715</v>
      </c>
      <c r="J1621" s="10">
        <f t="shared" si="50"/>
        <v>28029</v>
      </c>
      <c r="K1621">
        <f t="shared" si="51"/>
        <v>46</v>
      </c>
    </row>
    <row r="1622" spans="1:11">
      <c r="A1622" t="s">
        <v>1436</v>
      </c>
      <c r="B1622">
        <v>1961</v>
      </c>
      <c r="C1622" t="s">
        <v>4702</v>
      </c>
      <c r="D1622">
        <v>14</v>
      </c>
      <c r="E1622">
        <v>2</v>
      </c>
      <c r="F1622" s="13">
        <v>14119.62</v>
      </c>
      <c r="G1622" t="s">
        <v>4697</v>
      </c>
      <c r="H1622" t="s">
        <v>4701</v>
      </c>
      <c r="I1622" t="s">
        <v>4704</v>
      </c>
      <c r="J1622" s="10">
        <f t="shared" si="50"/>
        <v>22446</v>
      </c>
      <c r="K1622">
        <f t="shared" si="51"/>
        <v>61</v>
      </c>
    </row>
    <row r="1623" spans="1:11">
      <c r="A1623" t="s">
        <v>1434</v>
      </c>
      <c r="B1623">
        <v>2004</v>
      </c>
      <c r="C1623" t="s">
        <v>4696</v>
      </c>
      <c r="D1623">
        <v>6</v>
      </c>
      <c r="E1623">
        <v>0</v>
      </c>
      <c r="F1623" s="13">
        <v>14133.04</v>
      </c>
      <c r="G1623" t="s">
        <v>4697</v>
      </c>
      <c r="H1623" t="s">
        <v>4698</v>
      </c>
      <c r="I1623" t="s">
        <v>4699</v>
      </c>
      <c r="J1623" s="10">
        <f t="shared" si="50"/>
        <v>38174</v>
      </c>
      <c r="K1623">
        <f t="shared" si="51"/>
        <v>18</v>
      </c>
    </row>
    <row r="1624" spans="1:11">
      <c r="A1624" t="s">
        <v>1432</v>
      </c>
      <c r="B1624">
        <v>1984</v>
      </c>
      <c r="C1624" t="s">
        <v>4696</v>
      </c>
      <c r="D1624">
        <v>7</v>
      </c>
      <c r="E1624">
        <v>3</v>
      </c>
      <c r="F1624" s="13">
        <v>14152.46</v>
      </c>
      <c r="G1624" t="s">
        <v>4697</v>
      </c>
      <c r="H1624" t="s">
        <v>4701</v>
      </c>
      <c r="I1624" t="s">
        <v>4704</v>
      </c>
      <c r="J1624" s="10">
        <f t="shared" si="50"/>
        <v>30870</v>
      </c>
      <c r="K1624">
        <f t="shared" si="51"/>
        <v>38</v>
      </c>
    </row>
    <row r="1625" spans="1:11">
      <c r="A1625" t="s">
        <v>1430</v>
      </c>
      <c r="B1625">
        <v>1968</v>
      </c>
      <c r="C1625" t="s">
        <v>4705</v>
      </c>
      <c r="D1625">
        <v>25</v>
      </c>
      <c r="E1625">
        <v>0</v>
      </c>
      <c r="F1625" s="13">
        <v>14193.55</v>
      </c>
      <c r="G1625" t="s">
        <v>4697</v>
      </c>
      <c r="H1625" t="s">
        <v>4701</v>
      </c>
      <c r="I1625" t="s">
        <v>4720</v>
      </c>
      <c r="J1625" s="10">
        <f t="shared" si="50"/>
        <v>25197</v>
      </c>
      <c r="K1625">
        <f t="shared" si="51"/>
        <v>54</v>
      </c>
    </row>
    <row r="1626" spans="1:11">
      <c r="A1626" t="s">
        <v>1428</v>
      </c>
      <c r="B1626">
        <v>1983</v>
      </c>
      <c r="C1626" t="s">
        <v>4700</v>
      </c>
      <c r="D1626">
        <v>17</v>
      </c>
      <c r="E1626">
        <v>3</v>
      </c>
      <c r="F1626" s="13">
        <v>14209.4</v>
      </c>
      <c r="G1626" t="s">
        <v>4697</v>
      </c>
      <c r="H1626" t="s">
        <v>4701</v>
      </c>
      <c r="I1626" t="s">
        <v>4720</v>
      </c>
      <c r="J1626" s="10">
        <f t="shared" si="50"/>
        <v>30637</v>
      </c>
      <c r="K1626">
        <f t="shared" si="51"/>
        <v>39</v>
      </c>
    </row>
    <row r="1627" spans="1:11">
      <c r="A1627" t="s">
        <v>1426</v>
      </c>
      <c r="B1627">
        <v>1958</v>
      </c>
      <c r="C1627" t="s">
        <v>4703</v>
      </c>
      <c r="D1627">
        <v>21</v>
      </c>
      <c r="E1627">
        <v>0</v>
      </c>
      <c r="F1627" s="13">
        <v>14210.54</v>
      </c>
      <c r="G1627" t="s">
        <v>4697</v>
      </c>
      <c r="H1627" t="s">
        <v>4697</v>
      </c>
      <c r="I1627" t="s">
        <v>4704</v>
      </c>
      <c r="J1627" s="10">
        <f t="shared" si="50"/>
        <v>21449</v>
      </c>
      <c r="K1627">
        <f t="shared" si="51"/>
        <v>64</v>
      </c>
    </row>
    <row r="1628" spans="1:11">
      <c r="A1628" t="s">
        <v>1424</v>
      </c>
      <c r="B1628">
        <v>1961</v>
      </c>
      <c r="C1628" t="s">
        <v>4703</v>
      </c>
      <c r="D1628">
        <v>25</v>
      </c>
      <c r="E1628">
        <v>2</v>
      </c>
      <c r="F1628" s="13">
        <v>14235.07</v>
      </c>
      <c r="G1628" t="s">
        <v>4697</v>
      </c>
      <c r="H1628" t="s">
        <v>4701</v>
      </c>
      <c r="I1628" t="s">
        <v>4708</v>
      </c>
      <c r="J1628" s="10">
        <f t="shared" si="50"/>
        <v>22549</v>
      </c>
      <c r="K1628">
        <f t="shared" si="51"/>
        <v>61</v>
      </c>
    </row>
    <row r="1629" spans="1:11">
      <c r="A1629" t="s">
        <v>1422</v>
      </c>
      <c r="B1629">
        <v>1959</v>
      </c>
      <c r="C1629" t="s">
        <v>4707</v>
      </c>
      <c r="D1629">
        <v>10</v>
      </c>
      <c r="E1629">
        <v>0</v>
      </c>
      <c r="F1629" s="13">
        <v>14254.61</v>
      </c>
      <c r="G1629" t="s">
        <v>4697</v>
      </c>
      <c r="H1629" t="s">
        <v>4701</v>
      </c>
      <c r="I1629" t="s">
        <v>4704</v>
      </c>
      <c r="J1629" s="10">
        <f t="shared" si="50"/>
        <v>21833</v>
      </c>
      <c r="K1629">
        <f t="shared" si="51"/>
        <v>63</v>
      </c>
    </row>
    <row r="1630" spans="1:11">
      <c r="A1630" t="s">
        <v>1420</v>
      </c>
      <c r="B1630">
        <v>1959</v>
      </c>
      <c r="C1630" t="s">
        <v>4700</v>
      </c>
      <c r="D1630">
        <v>8</v>
      </c>
      <c r="E1630">
        <v>0</v>
      </c>
      <c r="F1630" s="13">
        <v>14256.19</v>
      </c>
      <c r="G1630" t="s">
        <v>4697</v>
      </c>
      <c r="H1630" t="s">
        <v>4698</v>
      </c>
      <c r="I1630" t="s">
        <v>4704</v>
      </c>
      <c r="J1630" s="10">
        <f t="shared" si="50"/>
        <v>21862</v>
      </c>
      <c r="K1630">
        <f t="shared" si="51"/>
        <v>63</v>
      </c>
    </row>
    <row r="1631" spans="1:11">
      <c r="A1631" t="s">
        <v>1418</v>
      </c>
      <c r="B1631">
        <v>1974</v>
      </c>
      <c r="C1631" t="s">
        <v>4705</v>
      </c>
      <c r="D1631">
        <v>26</v>
      </c>
      <c r="E1631">
        <v>0</v>
      </c>
      <c r="F1631" s="13">
        <v>14256.79</v>
      </c>
      <c r="G1631" t="s">
        <v>4697</v>
      </c>
      <c r="H1631" t="s">
        <v>4697</v>
      </c>
      <c r="I1631" t="s">
        <v>4720</v>
      </c>
      <c r="J1631" s="10">
        <f t="shared" si="50"/>
        <v>27389</v>
      </c>
      <c r="K1631">
        <f t="shared" si="51"/>
        <v>48</v>
      </c>
    </row>
    <row r="1632" spans="1:11">
      <c r="A1632" t="s">
        <v>1416</v>
      </c>
      <c r="B1632">
        <v>1972</v>
      </c>
      <c r="C1632" t="s">
        <v>4696</v>
      </c>
      <c r="D1632">
        <v>13</v>
      </c>
      <c r="E1632">
        <v>0</v>
      </c>
      <c r="F1632" s="13">
        <v>14258.33</v>
      </c>
      <c r="G1632" t="s">
        <v>4697</v>
      </c>
      <c r="H1632" t="s">
        <v>4697</v>
      </c>
      <c r="I1632" t="s">
        <v>4720</v>
      </c>
      <c r="J1632" s="10">
        <f t="shared" si="50"/>
        <v>26493</v>
      </c>
      <c r="K1632">
        <f t="shared" si="51"/>
        <v>50</v>
      </c>
    </row>
    <row r="1633" spans="1:11">
      <c r="A1633" t="s">
        <v>1414</v>
      </c>
      <c r="B1633">
        <v>2004</v>
      </c>
      <c r="C1633" t="s">
        <v>4703</v>
      </c>
      <c r="D1633">
        <v>6</v>
      </c>
      <c r="E1633">
        <v>0</v>
      </c>
      <c r="F1633" s="13">
        <v>14283.46</v>
      </c>
      <c r="G1633" t="s">
        <v>4697</v>
      </c>
      <c r="H1633" t="s">
        <v>4697</v>
      </c>
      <c r="I1633" t="s">
        <v>4714</v>
      </c>
      <c r="J1633" s="10">
        <f t="shared" si="50"/>
        <v>38236</v>
      </c>
      <c r="K1633">
        <f t="shared" si="51"/>
        <v>18</v>
      </c>
    </row>
    <row r="1634" spans="1:11">
      <c r="A1634" t="s">
        <v>1412</v>
      </c>
      <c r="B1634">
        <v>1968</v>
      </c>
      <c r="C1634" t="s">
        <v>4705</v>
      </c>
      <c r="D1634">
        <v>15</v>
      </c>
      <c r="E1634">
        <v>0</v>
      </c>
      <c r="F1634" s="13">
        <v>14285.9</v>
      </c>
      <c r="G1634" t="s">
        <v>4697</v>
      </c>
      <c r="H1634" t="s">
        <v>4698</v>
      </c>
      <c r="I1634" t="s">
        <v>4704</v>
      </c>
      <c r="J1634" s="10">
        <f t="shared" si="50"/>
        <v>25187</v>
      </c>
      <c r="K1634">
        <f t="shared" si="51"/>
        <v>54</v>
      </c>
    </row>
    <row r="1635" spans="1:11">
      <c r="A1635" t="s">
        <v>1410</v>
      </c>
      <c r="B1635">
        <v>1958</v>
      </c>
      <c r="C1635" t="s">
        <v>4707</v>
      </c>
      <c r="D1635">
        <v>15</v>
      </c>
      <c r="E1635">
        <v>0</v>
      </c>
      <c r="F1635" s="13">
        <v>14313.85</v>
      </c>
      <c r="G1635" t="s">
        <v>4697</v>
      </c>
      <c r="H1635" t="s">
        <v>4698</v>
      </c>
      <c r="I1635" t="s">
        <v>4699</v>
      </c>
      <c r="J1635" s="10">
        <f t="shared" si="50"/>
        <v>21473</v>
      </c>
      <c r="K1635">
        <f t="shared" si="51"/>
        <v>64</v>
      </c>
    </row>
    <row r="1636" spans="1:11">
      <c r="A1636" t="s">
        <v>1408</v>
      </c>
      <c r="B1636">
        <v>1958</v>
      </c>
      <c r="C1636" t="s">
        <v>4696</v>
      </c>
      <c r="D1636">
        <v>10</v>
      </c>
      <c r="E1636">
        <v>0</v>
      </c>
      <c r="F1636" s="13">
        <v>14319.03</v>
      </c>
      <c r="G1636" t="s">
        <v>4697</v>
      </c>
      <c r="H1636" t="s">
        <v>4697</v>
      </c>
      <c r="I1636" t="s">
        <v>4708</v>
      </c>
      <c r="J1636" s="10">
        <f t="shared" si="50"/>
        <v>21376</v>
      </c>
      <c r="K1636">
        <f t="shared" si="51"/>
        <v>64</v>
      </c>
    </row>
    <row r="1637" spans="1:11">
      <c r="A1637" t="s">
        <v>1406</v>
      </c>
      <c r="B1637">
        <v>1969</v>
      </c>
      <c r="C1637" t="s">
        <v>4703</v>
      </c>
      <c r="D1637">
        <v>26</v>
      </c>
      <c r="E1637">
        <v>0</v>
      </c>
      <c r="F1637" s="13">
        <v>14337.91</v>
      </c>
      <c r="G1637" t="s">
        <v>4697</v>
      </c>
      <c r="H1637" t="s">
        <v>4698</v>
      </c>
      <c r="I1637" t="s">
        <v>4721</v>
      </c>
      <c r="J1637" s="10">
        <f t="shared" si="50"/>
        <v>25472</v>
      </c>
      <c r="K1637">
        <f t="shared" si="51"/>
        <v>53</v>
      </c>
    </row>
    <row r="1638" spans="1:11">
      <c r="A1638" t="s">
        <v>1404</v>
      </c>
      <c r="B1638">
        <v>1959</v>
      </c>
      <c r="C1638" t="s">
        <v>4705</v>
      </c>
      <c r="D1638">
        <v>24</v>
      </c>
      <c r="E1638">
        <v>1</v>
      </c>
      <c r="F1638" s="13">
        <v>14349.85</v>
      </c>
      <c r="G1638" t="s">
        <v>4697</v>
      </c>
      <c r="H1638" t="s">
        <v>4697</v>
      </c>
      <c r="I1638" t="s">
        <v>4704</v>
      </c>
      <c r="J1638" s="10">
        <f t="shared" si="50"/>
        <v>21908</v>
      </c>
      <c r="K1638">
        <f t="shared" si="51"/>
        <v>63</v>
      </c>
    </row>
    <row r="1639" spans="1:11">
      <c r="A1639" t="s">
        <v>1402</v>
      </c>
      <c r="B1639">
        <v>1967</v>
      </c>
      <c r="C1639" t="s">
        <v>4707</v>
      </c>
      <c r="D1639">
        <v>10</v>
      </c>
      <c r="E1639">
        <v>0</v>
      </c>
      <c r="F1639" s="13">
        <v>14355.43</v>
      </c>
      <c r="G1639" t="s">
        <v>4697</v>
      </c>
      <c r="H1639" t="s">
        <v>4701</v>
      </c>
      <c r="I1639" t="s">
        <v>4720</v>
      </c>
      <c r="J1639" s="10">
        <f t="shared" si="50"/>
        <v>24755</v>
      </c>
      <c r="K1639">
        <f t="shared" si="51"/>
        <v>55</v>
      </c>
    </row>
    <row r="1640" spans="1:11">
      <c r="A1640" t="s">
        <v>1400</v>
      </c>
      <c r="B1640">
        <v>1988</v>
      </c>
      <c r="C1640" t="s">
        <v>4700</v>
      </c>
      <c r="D1640">
        <v>16</v>
      </c>
      <c r="E1640">
        <v>1</v>
      </c>
      <c r="F1640" s="13">
        <v>14358.36</v>
      </c>
      <c r="G1640" t="s">
        <v>4697</v>
      </c>
      <c r="H1640" t="s">
        <v>4697</v>
      </c>
      <c r="I1640" t="s">
        <v>4708</v>
      </c>
      <c r="J1640" s="10">
        <f t="shared" si="50"/>
        <v>32463</v>
      </c>
      <c r="K1640">
        <f t="shared" si="51"/>
        <v>34</v>
      </c>
    </row>
    <row r="1641" spans="1:11">
      <c r="A1641" t="s">
        <v>1398</v>
      </c>
      <c r="B1641">
        <v>1963</v>
      </c>
      <c r="C1641" t="s">
        <v>4696</v>
      </c>
      <c r="D1641">
        <v>16</v>
      </c>
      <c r="E1641">
        <v>3</v>
      </c>
      <c r="F1641" s="13">
        <v>14382.71</v>
      </c>
      <c r="G1641" t="s">
        <v>4697</v>
      </c>
      <c r="H1641" t="s">
        <v>4697</v>
      </c>
      <c r="I1641" t="s">
        <v>4704</v>
      </c>
      <c r="J1641" s="10">
        <f t="shared" si="50"/>
        <v>23208</v>
      </c>
      <c r="K1641">
        <f t="shared" si="51"/>
        <v>59</v>
      </c>
    </row>
    <row r="1642" spans="1:11">
      <c r="A1642" t="s">
        <v>1396</v>
      </c>
      <c r="B1642">
        <v>1965</v>
      </c>
      <c r="C1642" t="s">
        <v>4702</v>
      </c>
      <c r="D1642">
        <v>22</v>
      </c>
      <c r="E1642">
        <v>4</v>
      </c>
      <c r="F1642" s="13">
        <v>14394.4</v>
      </c>
      <c r="G1642" t="s">
        <v>4697</v>
      </c>
      <c r="H1642" t="s">
        <v>4698</v>
      </c>
      <c r="I1642" t="s">
        <v>4714</v>
      </c>
      <c r="J1642" s="10">
        <f t="shared" si="50"/>
        <v>23915</v>
      </c>
      <c r="K1642">
        <f t="shared" si="51"/>
        <v>57</v>
      </c>
    </row>
    <row r="1643" spans="1:11">
      <c r="A1643" t="s">
        <v>1394</v>
      </c>
      <c r="B1643">
        <v>1958</v>
      </c>
      <c r="C1643" t="s">
        <v>4703</v>
      </c>
      <c r="D1643">
        <v>14</v>
      </c>
      <c r="E1643">
        <v>0</v>
      </c>
      <c r="F1643" s="13">
        <v>14394.56</v>
      </c>
      <c r="G1643" t="s">
        <v>4697</v>
      </c>
      <c r="H1643" t="s">
        <v>4701</v>
      </c>
      <c r="I1643" t="s">
        <v>4712</v>
      </c>
      <c r="J1643" s="10">
        <f t="shared" si="50"/>
        <v>21442</v>
      </c>
      <c r="K1643">
        <f t="shared" si="51"/>
        <v>64</v>
      </c>
    </row>
    <row r="1644" spans="1:11">
      <c r="A1644" t="s">
        <v>1392</v>
      </c>
      <c r="B1644">
        <v>1958</v>
      </c>
      <c r="C1644" t="s">
        <v>4696</v>
      </c>
      <c r="D1644">
        <v>29</v>
      </c>
      <c r="E1644">
        <v>0</v>
      </c>
      <c r="F1644" s="13">
        <v>14410.93</v>
      </c>
      <c r="G1644" t="s">
        <v>4697</v>
      </c>
      <c r="H1644" t="s">
        <v>4697</v>
      </c>
      <c r="I1644" t="s">
        <v>4711</v>
      </c>
      <c r="J1644" s="10">
        <f t="shared" si="50"/>
        <v>21395</v>
      </c>
      <c r="K1644">
        <f t="shared" si="51"/>
        <v>64</v>
      </c>
    </row>
    <row r="1645" spans="1:11">
      <c r="A1645" t="s">
        <v>1390</v>
      </c>
      <c r="B1645">
        <v>1958</v>
      </c>
      <c r="C1645" t="s">
        <v>4703</v>
      </c>
      <c r="D1645">
        <v>20</v>
      </c>
      <c r="E1645">
        <v>1</v>
      </c>
      <c r="F1645" s="13">
        <v>14418.28</v>
      </c>
      <c r="G1645" t="s">
        <v>4697</v>
      </c>
      <c r="H1645" t="s">
        <v>4698</v>
      </c>
      <c r="I1645" t="s">
        <v>4699</v>
      </c>
      <c r="J1645" s="10">
        <f t="shared" si="50"/>
        <v>21448</v>
      </c>
      <c r="K1645">
        <f t="shared" si="51"/>
        <v>64</v>
      </c>
    </row>
    <row r="1646" spans="1:11">
      <c r="A1646" t="s">
        <v>1388</v>
      </c>
      <c r="B1646">
        <v>1999</v>
      </c>
      <c r="C1646" t="s">
        <v>4706</v>
      </c>
      <c r="D1646">
        <v>10</v>
      </c>
      <c r="E1646">
        <v>2</v>
      </c>
      <c r="F1646" s="13">
        <v>14426.07</v>
      </c>
      <c r="G1646" t="s">
        <v>4697</v>
      </c>
      <c r="H1646" t="s">
        <v>4701</v>
      </c>
      <c r="I1646" t="s">
        <v>4704</v>
      </c>
      <c r="J1646" s="10">
        <f t="shared" si="50"/>
        <v>36382</v>
      </c>
      <c r="K1646">
        <f t="shared" si="51"/>
        <v>23</v>
      </c>
    </row>
    <row r="1647" spans="1:11">
      <c r="A1647" t="s">
        <v>1386</v>
      </c>
      <c r="B1647">
        <v>1967</v>
      </c>
      <c r="C1647" t="s">
        <v>4706</v>
      </c>
      <c r="D1647">
        <v>15</v>
      </c>
      <c r="E1647">
        <v>0</v>
      </c>
      <c r="F1647" s="13">
        <v>14426.66</v>
      </c>
      <c r="G1647" t="s">
        <v>4697</v>
      </c>
      <c r="H1647" t="s">
        <v>4697</v>
      </c>
      <c r="I1647" t="s">
        <v>4720</v>
      </c>
      <c r="J1647" s="10">
        <f t="shared" si="50"/>
        <v>24699</v>
      </c>
      <c r="K1647">
        <f t="shared" si="51"/>
        <v>55</v>
      </c>
    </row>
    <row r="1648" spans="1:11">
      <c r="A1648" t="s">
        <v>1384</v>
      </c>
      <c r="B1648">
        <v>1967</v>
      </c>
      <c r="C1648" t="s">
        <v>4700</v>
      </c>
      <c r="D1648">
        <v>4</v>
      </c>
      <c r="E1648">
        <v>0</v>
      </c>
      <c r="F1648" s="13">
        <v>14427.63</v>
      </c>
      <c r="G1648" t="s">
        <v>4697</v>
      </c>
      <c r="H1648" t="s">
        <v>4697</v>
      </c>
      <c r="I1648" t="s">
        <v>4717</v>
      </c>
      <c r="J1648" s="10">
        <f t="shared" si="50"/>
        <v>24780</v>
      </c>
      <c r="K1648">
        <f t="shared" si="51"/>
        <v>55</v>
      </c>
    </row>
    <row r="1649" spans="1:11">
      <c r="A1649" t="s">
        <v>1382</v>
      </c>
      <c r="B1649">
        <v>1959</v>
      </c>
      <c r="C1649" t="s">
        <v>4702</v>
      </c>
      <c r="D1649">
        <v>29</v>
      </c>
      <c r="E1649">
        <v>0</v>
      </c>
      <c r="F1649" s="13">
        <v>14449.85</v>
      </c>
      <c r="G1649" t="s">
        <v>4697</v>
      </c>
      <c r="H1649" t="s">
        <v>4701</v>
      </c>
      <c r="I1649" t="s">
        <v>4714</v>
      </c>
      <c r="J1649" s="10">
        <f t="shared" si="50"/>
        <v>21730</v>
      </c>
      <c r="K1649">
        <f t="shared" si="51"/>
        <v>63</v>
      </c>
    </row>
    <row r="1650" spans="1:11">
      <c r="A1650" t="s">
        <v>1380</v>
      </c>
      <c r="B1650">
        <v>1959</v>
      </c>
      <c r="C1650" t="s">
        <v>4706</v>
      </c>
      <c r="D1650">
        <v>3</v>
      </c>
      <c r="E1650">
        <v>0</v>
      </c>
      <c r="F1650" s="13">
        <v>14451.84</v>
      </c>
      <c r="G1650" t="s">
        <v>4697</v>
      </c>
      <c r="H1650" t="s">
        <v>4698</v>
      </c>
      <c r="I1650" t="s">
        <v>4715</v>
      </c>
      <c r="J1650" s="10">
        <f t="shared" si="50"/>
        <v>21765</v>
      </c>
      <c r="K1650">
        <f t="shared" si="51"/>
        <v>63</v>
      </c>
    </row>
    <row r="1651" spans="1:11">
      <c r="A1651" t="s">
        <v>1378</v>
      </c>
      <c r="B1651">
        <v>1996</v>
      </c>
      <c r="C1651" t="s">
        <v>4700</v>
      </c>
      <c r="D1651">
        <v>10</v>
      </c>
      <c r="E1651">
        <v>2</v>
      </c>
      <c r="F1651" s="13">
        <v>14455.64</v>
      </c>
      <c r="G1651" t="s">
        <v>4697</v>
      </c>
      <c r="H1651" t="s">
        <v>4698</v>
      </c>
      <c r="I1651" t="s">
        <v>4714</v>
      </c>
      <c r="J1651" s="10">
        <f t="shared" si="50"/>
        <v>35379</v>
      </c>
      <c r="K1651">
        <f t="shared" si="51"/>
        <v>26</v>
      </c>
    </row>
    <row r="1652" spans="1:11">
      <c r="A1652" t="s">
        <v>1376</v>
      </c>
      <c r="B1652">
        <v>1976</v>
      </c>
      <c r="C1652" t="s">
        <v>4700</v>
      </c>
      <c r="D1652">
        <v>27</v>
      </c>
      <c r="E1652">
        <v>2</v>
      </c>
      <c r="F1652" s="13">
        <v>14470.01</v>
      </c>
      <c r="G1652" t="s">
        <v>4697</v>
      </c>
      <c r="H1652" t="s">
        <v>4698</v>
      </c>
      <c r="I1652" t="s">
        <v>4704</v>
      </c>
      <c r="J1652" s="10">
        <f t="shared" si="50"/>
        <v>28091</v>
      </c>
      <c r="K1652">
        <f t="shared" si="51"/>
        <v>46</v>
      </c>
    </row>
    <row r="1653" spans="1:11">
      <c r="A1653" t="s">
        <v>1374</v>
      </c>
      <c r="B1653">
        <v>1959</v>
      </c>
      <c r="C1653" t="s">
        <v>4700</v>
      </c>
      <c r="D1653">
        <v>20</v>
      </c>
      <c r="E1653">
        <v>1</v>
      </c>
      <c r="F1653" s="13">
        <v>14474.68</v>
      </c>
      <c r="G1653" t="s">
        <v>4697</v>
      </c>
      <c r="H1653" t="s">
        <v>4697</v>
      </c>
      <c r="I1653" t="s">
        <v>4699</v>
      </c>
      <c r="J1653" s="10">
        <f t="shared" si="50"/>
        <v>21874</v>
      </c>
      <c r="K1653">
        <f t="shared" si="51"/>
        <v>63</v>
      </c>
    </row>
    <row r="1654" spans="1:11">
      <c r="A1654" t="s">
        <v>1372</v>
      </c>
      <c r="B1654">
        <v>1979</v>
      </c>
      <c r="C1654" t="s">
        <v>4707</v>
      </c>
      <c r="D1654">
        <v>20</v>
      </c>
      <c r="E1654">
        <v>5</v>
      </c>
      <c r="F1654" s="13">
        <v>14478.33</v>
      </c>
      <c r="G1654" t="s">
        <v>4697</v>
      </c>
      <c r="H1654" t="s">
        <v>4697</v>
      </c>
      <c r="I1654" t="s">
        <v>4699</v>
      </c>
      <c r="J1654" s="10">
        <f t="shared" si="50"/>
        <v>29148</v>
      </c>
      <c r="K1654">
        <f t="shared" si="51"/>
        <v>43</v>
      </c>
    </row>
    <row r="1655" spans="1:11">
      <c r="A1655" t="s">
        <v>1370</v>
      </c>
      <c r="B1655">
        <v>1989</v>
      </c>
      <c r="C1655" t="s">
        <v>4696</v>
      </c>
      <c r="D1655">
        <v>22</v>
      </c>
      <c r="E1655">
        <v>3</v>
      </c>
      <c r="F1655" s="13">
        <v>14507.46</v>
      </c>
      <c r="G1655" t="s">
        <v>4697</v>
      </c>
      <c r="H1655" t="s">
        <v>4698</v>
      </c>
      <c r="I1655" t="s">
        <v>4704</v>
      </c>
      <c r="J1655" s="10">
        <f t="shared" si="50"/>
        <v>32711</v>
      </c>
      <c r="K1655">
        <f t="shared" si="51"/>
        <v>33</v>
      </c>
    </row>
    <row r="1656" spans="1:11">
      <c r="A1656" t="s">
        <v>1368</v>
      </c>
      <c r="B1656">
        <v>1989</v>
      </c>
      <c r="C1656" t="s">
        <v>4696</v>
      </c>
      <c r="D1656">
        <v>14</v>
      </c>
      <c r="E1656">
        <v>3</v>
      </c>
      <c r="F1656" s="13">
        <v>14547.26</v>
      </c>
      <c r="G1656" t="s">
        <v>4697</v>
      </c>
      <c r="H1656" t="s">
        <v>4698</v>
      </c>
      <c r="I1656" t="s">
        <v>4708</v>
      </c>
      <c r="J1656" s="10">
        <f t="shared" si="50"/>
        <v>32703</v>
      </c>
      <c r="K1656">
        <f t="shared" si="51"/>
        <v>33</v>
      </c>
    </row>
    <row r="1657" spans="1:11">
      <c r="A1657" t="s">
        <v>1366</v>
      </c>
      <c r="B1657">
        <v>1998</v>
      </c>
      <c r="C1657" t="s">
        <v>4703</v>
      </c>
      <c r="D1657">
        <v>12</v>
      </c>
      <c r="E1657">
        <v>0</v>
      </c>
      <c r="F1657" s="13">
        <v>14571.89</v>
      </c>
      <c r="G1657" t="s">
        <v>4697</v>
      </c>
      <c r="H1657" t="s">
        <v>4701</v>
      </c>
      <c r="I1657" t="s">
        <v>4714</v>
      </c>
      <c r="J1657" s="10">
        <f t="shared" si="50"/>
        <v>36050</v>
      </c>
      <c r="K1657">
        <f t="shared" si="51"/>
        <v>24</v>
      </c>
    </row>
    <row r="1658" spans="1:11">
      <c r="A1658" t="s">
        <v>1364</v>
      </c>
      <c r="B1658">
        <v>1962</v>
      </c>
      <c r="C1658" t="s">
        <v>4705</v>
      </c>
      <c r="D1658">
        <v>3</v>
      </c>
      <c r="E1658">
        <v>0</v>
      </c>
      <c r="F1658" s="13">
        <v>14574.64</v>
      </c>
      <c r="G1658" t="s">
        <v>4697</v>
      </c>
      <c r="H1658" t="s">
        <v>4701</v>
      </c>
      <c r="I1658" t="s">
        <v>4713</v>
      </c>
      <c r="J1658" s="10">
        <f t="shared" si="50"/>
        <v>22983</v>
      </c>
      <c r="K1658">
        <f t="shared" si="51"/>
        <v>60</v>
      </c>
    </row>
    <row r="1659" spans="1:11">
      <c r="A1659" t="s">
        <v>1362</v>
      </c>
      <c r="B1659">
        <v>1963</v>
      </c>
      <c r="C1659" t="s">
        <v>4707</v>
      </c>
      <c r="D1659">
        <v>14</v>
      </c>
      <c r="E1659">
        <v>3</v>
      </c>
      <c r="F1659" s="13">
        <v>14590.63</v>
      </c>
      <c r="G1659" t="s">
        <v>4697</v>
      </c>
      <c r="H1659" t="s">
        <v>4701</v>
      </c>
      <c r="I1659" t="s">
        <v>4714</v>
      </c>
      <c r="J1659" s="10">
        <f t="shared" si="50"/>
        <v>23298</v>
      </c>
      <c r="K1659">
        <f t="shared" si="51"/>
        <v>59</v>
      </c>
    </row>
    <row r="1660" spans="1:11">
      <c r="A1660" t="s">
        <v>1360</v>
      </c>
      <c r="B1660">
        <v>1967</v>
      </c>
      <c r="C1660" t="s">
        <v>4696</v>
      </c>
      <c r="D1660">
        <v>18</v>
      </c>
      <c r="E1660">
        <v>0</v>
      </c>
      <c r="F1660" s="13">
        <v>14600.62</v>
      </c>
      <c r="G1660" t="s">
        <v>4697</v>
      </c>
      <c r="H1660" t="s">
        <v>4698</v>
      </c>
      <c r="I1660" t="s">
        <v>4721</v>
      </c>
      <c r="J1660" s="10">
        <f t="shared" si="50"/>
        <v>24671</v>
      </c>
      <c r="K1660">
        <f t="shared" si="51"/>
        <v>55</v>
      </c>
    </row>
    <row r="1661" spans="1:11">
      <c r="A1661" t="s">
        <v>1358</v>
      </c>
      <c r="B1661">
        <v>1965</v>
      </c>
      <c r="C1661" t="s">
        <v>4700</v>
      </c>
      <c r="D1661">
        <v>8</v>
      </c>
      <c r="E1661">
        <v>0</v>
      </c>
      <c r="F1661" s="13">
        <v>14612.33</v>
      </c>
      <c r="G1661" t="s">
        <v>4697</v>
      </c>
      <c r="H1661" t="s">
        <v>4698</v>
      </c>
      <c r="I1661" t="s">
        <v>4717</v>
      </c>
      <c r="J1661" s="10">
        <f t="shared" si="50"/>
        <v>24054</v>
      </c>
      <c r="K1661">
        <f t="shared" si="51"/>
        <v>57</v>
      </c>
    </row>
    <row r="1662" spans="1:11">
      <c r="A1662" t="s">
        <v>1356</v>
      </c>
      <c r="B1662">
        <v>1991</v>
      </c>
      <c r="C1662" t="s">
        <v>4706</v>
      </c>
      <c r="D1662">
        <v>21</v>
      </c>
      <c r="E1662">
        <v>3</v>
      </c>
      <c r="F1662" s="13">
        <v>14630.52</v>
      </c>
      <c r="G1662" t="s">
        <v>4697</v>
      </c>
      <c r="H1662" t="s">
        <v>4698</v>
      </c>
      <c r="I1662" t="s">
        <v>4708</v>
      </c>
      <c r="J1662" s="10">
        <f t="shared" si="50"/>
        <v>33471</v>
      </c>
      <c r="K1662">
        <f t="shared" si="51"/>
        <v>31</v>
      </c>
    </row>
    <row r="1663" spans="1:11">
      <c r="A1663" t="s">
        <v>1354</v>
      </c>
      <c r="B1663">
        <v>1967</v>
      </c>
      <c r="C1663" t="s">
        <v>4703</v>
      </c>
      <c r="D1663">
        <v>1</v>
      </c>
      <c r="E1663">
        <v>0</v>
      </c>
      <c r="F1663" s="13">
        <v>14640.35</v>
      </c>
      <c r="G1663" t="s">
        <v>4697</v>
      </c>
      <c r="H1663" t="s">
        <v>4698</v>
      </c>
      <c r="I1663" t="s">
        <v>4720</v>
      </c>
      <c r="J1663" s="10">
        <f t="shared" si="50"/>
        <v>24716</v>
      </c>
      <c r="K1663">
        <f t="shared" si="51"/>
        <v>55</v>
      </c>
    </row>
    <row r="1664" spans="1:11">
      <c r="A1664" t="s">
        <v>1352</v>
      </c>
      <c r="B1664">
        <v>1981</v>
      </c>
      <c r="C1664" t="s">
        <v>4700</v>
      </c>
      <c r="D1664">
        <v>13</v>
      </c>
      <c r="E1664">
        <v>1</v>
      </c>
      <c r="F1664" s="13">
        <v>14657.2</v>
      </c>
      <c r="G1664" t="s">
        <v>4697</v>
      </c>
      <c r="H1664" t="s">
        <v>4701</v>
      </c>
      <c r="I1664" t="s">
        <v>4704</v>
      </c>
      <c r="J1664" s="10">
        <f t="shared" si="50"/>
        <v>29903</v>
      </c>
      <c r="K1664">
        <f t="shared" si="51"/>
        <v>41</v>
      </c>
    </row>
    <row r="1665" spans="1:11">
      <c r="A1665" t="s">
        <v>1350</v>
      </c>
      <c r="B1665">
        <v>1969</v>
      </c>
      <c r="C1665" t="s">
        <v>4707</v>
      </c>
      <c r="D1665">
        <v>20</v>
      </c>
      <c r="E1665">
        <v>0</v>
      </c>
      <c r="F1665" s="13">
        <v>14665.75</v>
      </c>
      <c r="G1665" t="s">
        <v>4697</v>
      </c>
      <c r="H1665" t="s">
        <v>4701</v>
      </c>
      <c r="I1665" t="s">
        <v>4704</v>
      </c>
      <c r="J1665" s="10">
        <f t="shared" si="50"/>
        <v>25496</v>
      </c>
      <c r="K1665">
        <f t="shared" si="51"/>
        <v>53</v>
      </c>
    </row>
    <row r="1666" spans="1:11">
      <c r="A1666" t="s">
        <v>1348</v>
      </c>
      <c r="B1666">
        <v>1958</v>
      </c>
      <c r="C1666" t="s">
        <v>4696</v>
      </c>
      <c r="D1666">
        <v>23</v>
      </c>
      <c r="E1666">
        <v>0</v>
      </c>
      <c r="F1666" s="13">
        <v>14692.67</v>
      </c>
      <c r="G1666" t="s">
        <v>4697</v>
      </c>
      <c r="H1666" t="s">
        <v>4701</v>
      </c>
      <c r="I1666" t="s">
        <v>4704</v>
      </c>
      <c r="J1666" s="10">
        <f t="shared" ref="J1666:J1729" si="52">DATEVALUE(D1666&amp;"-"&amp;C1666&amp;"-"&amp;B1666)</f>
        <v>21389</v>
      </c>
      <c r="K1666">
        <f t="shared" si="51"/>
        <v>64</v>
      </c>
    </row>
    <row r="1667" spans="1:11">
      <c r="A1667" t="s">
        <v>1346</v>
      </c>
      <c r="B1667">
        <v>1982</v>
      </c>
      <c r="C1667" t="s">
        <v>4703</v>
      </c>
      <c r="D1667">
        <v>4</v>
      </c>
      <c r="E1667">
        <v>3</v>
      </c>
      <c r="F1667" s="13">
        <v>14696.77</v>
      </c>
      <c r="G1667" t="s">
        <v>4697</v>
      </c>
      <c r="H1667" t="s">
        <v>4697</v>
      </c>
      <c r="I1667" t="s">
        <v>4708</v>
      </c>
      <c r="J1667" s="10">
        <f t="shared" si="52"/>
        <v>30198</v>
      </c>
      <c r="K1667">
        <f t="shared" ref="K1667:K1730" si="53">DATEDIF(J1667, DATE(2023, 6, 8), "Y")</f>
        <v>40</v>
      </c>
    </row>
    <row r="1668" spans="1:11">
      <c r="A1668" t="s">
        <v>1344</v>
      </c>
      <c r="B1668">
        <v>2002</v>
      </c>
      <c r="C1668" t="s">
        <v>4703</v>
      </c>
      <c r="D1668">
        <v>24</v>
      </c>
      <c r="E1668">
        <v>0</v>
      </c>
      <c r="F1668" s="13">
        <v>14711.74</v>
      </c>
      <c r="G1668" t="s">
        <v>4697</v>
      </c>
      <c r="H1668" t="s">
        <v>4697</v>
      </c>
      <c r="I1668" t="s">
        <v>4704</v>
      </c>
      <c r="J1668" s="10">
        <f t="shared" si="52"/>
        <v>37523</v>
      </c>
      <c r="K1668">
        <f t="shared" si="53"/>
        <v>20</v>
      </c>
    </row>
    <row r="1669" spans="1:11">
      <c r="A1669" t="s">
        <v>1342</v>
      </c>
      <c r="B1669">
        <v>1962</v>
      </c>
      <c r="C1669" t="s">
        <v>4696</v>
      </c>
      <c r="D1669">
        <v>29</v>
      </c>
      <c r="E1669">
        <v>0</v>
      </c>
      <c r="F1669" s="13">
        <v>14738.43</v>
      </c>
      <c r="G1669" t="s">
        <v>4697</v>
      </c>
      <c r="H1669" t="s">
        <v>4698</v>
      </c>
      <c r="I1669" t="s">
        <v>4717</v>
      </c>
      <c r="J1669" s="10">
        <f t="shared" si="52"/>
        <v>22856</v>
      </c>
      <c r="K1669">
        <f t="shared" si="53"/>
        <v>60</v>
      </c>
    </row>
    <row r="1670" spans="1:11">
      <c r="A1670" t="s">
        <v>1340</v>
      </c>
      <c r="B1670">
        <v>1965</v>
      </c>
      <c r="C1670" t="s">
        <v>4696</v>
      </c>
      <c r="D1670">
        <v>27</v>
      </c>
      <c r="E1670">
        <v>0</v>
      </c>
      <c r="F1670" s="13">
        <v>14750.42</v>
      </c>
      <c r="G1670" t="s">
        <v>4697</v>
      </c>
      <c r="H1670" t="s">
        <v>4697</v>
      </c>
      <c r="I1670" t="s">
        <v>4720</v>
      </c>
      <c r="J1670" s="10">
        <f t="shared" si="52"/>
        <v>23950</v>
      </c>
      <c r="K1670">
        <f t="shared" si="53"/>
        <v>57</v>
      </c>
    </row>
    <row r="1671" spans="1:11">
      <c r="A1671" t="s">
        <v>1338</v>
      </c>
      <c r="B1671">
        <v>1975</v>
      </c>
      <c r="C1671" t="s">
        <v>4705</v>
      </c>
      <c r="D1671">
        <v>10</v>
      </c>
      <c r="E1671">
        <v>1</v>
      </c>
      <c r="F1671" s="13">
        <v>14819</v>
      </c>
      <c r="G1671" t="s">
        <v>4697</v>
      </c>
      <c r="H1671" t="s">
        <v>4698</v>
      </c>
      <c r="I1671" t="s">
        <v>4715</v>
      </c>
      <c r="J1671" s="10">
        <f t="shared" si="52"/>
        <v>27738</v>
      </c>
      <c r="K1671">
        <f t="shared" si="53"/>
        <v>47</v>
      </c>
    </row>
    <row r="1672" spans="1:11">
      <c r="A1672" t="s">
        <v>1336</v>
      </c>
      <c r="B1672">
        <v>1979</v>
      </c>
      <c r="C1672" t="s">
        <v>4707</v>
      </c>
      <c r="D1672">
        <v>18</v>
      </c>
      <c r="E1672">
        <v>2</v>
      </c>
      <c r="F1672" s="13">
        <v>14839.34</v>
      </c>
      <c r="G1672" t="s">
        <v>4697</v>
      </c>
      <c r="H1672" t="s">
        <v>4698</v>
      </c>
      <c r="I1672" t="s">
        <v>4720</v>
      </c>
      <c r="J1672" s="10">
        <f t="shared" si="52"/>
        <v>29146</v>
      </c>
      <c r="K1672">
        <f t="shared" si="53"/>
        <v>43</v>
      </c>
    </row>
    <row r="1673" spans="1:11">
      <c r="A1673" t="s">
        <v>1334</v>
      </c>
      <c r="B1673">
        <v>1981</v>
      </c>
      <c r="C1673" t="s">
        <v>4702</v>
      </c>
      <c r="D1673">
        <v>5</v>
      </c>
      <c r="E1673">
        <v>1</v>
      </c>
      <c r="F1673" s="13">
        <v>14843.96</v>
      </c>
      <c r="G1673" t="s">
        <v>4697</v>
      </c>
      <c r="H1673" t="s">
        <v>4698</v>
      </c>
      <c r="I1673" t="s">
        <v>4720</v>
      </c>
      <c r="J1673" s="10">
        <f t="shared" si="52"/>
        <v>29742</v>
      </c>
      <c r="K1673">
        <f t="shared" si="53"/>
        <v>42</v>
      </c>
    </row>
    <row r="1674" spans="1:11">
      <c r="A1674" t="s">
        <v>1332</v>
      </c>
      <c r="B1674">
        <v>1970</v>
      </c>
      <c r="C1674" t="s">
        <v>4700</v>
      </c>
      <c r="D1674">
        <v>11</v>
      </c>
      <c r="E1674">
        <v>0</v>
      </c>
      <c r="F1674" s="13">
        <v>14847.63</v>
      </c>
      <c r="G1674" t="s">
        <v>4697</v>
      </c>
      <c r="H1674" t="s">
        <v>4697</v>
      </c>
      <c r="I1674" t="s">
        <v>4715</v>
      </c>
      <c r="J1674" s="10">
        <f t="shared" si="52"/>
        <v>25883</v>
      </c>
      <c r="K1674">
        <f t="shared" si="53"/>
        <v>52</v>
      </c>
    </row>
    <row r="1675" spans="1:11">
      <c r="A1675" t="s">
        <v>1330</v>
      </c>
      <c r="B1675">
        <v>1958</v>
      </c>
      <c r="C1675" t="s">
        <v>4707</v>
      </c>
      <c r="D1675">
        <v>17</v>
      </c>
      <c r="E1675">
        <v>0</v>
      </c>
      <c r="F1675" s="13">
        <v>14901.52</v>
      </c>
      <c r="G1675" t="s">
        <v>4697</v>
      </c>
      <c r="H1675" t="s">
        <v>4697</v>
      </c>
      <c r="I1675" t="s">
        <v>4714</v>
      </c>
      <c r="J1675" s="10">
        <f t="shared" si="52"/>
        <v>21475</v>
      </c>
      <c r="K1675">
        <f t="shared" si="53"/>
        <v>64</v>
      </c>
    </row>
    <row r="1676" spans="1:11">
      <c r="A1676" t="s">
        <v>1328</v>
      </c>
      <c r="B1676">
        <v>1981</v>
      </c>
      <c r="C1676" t="s">
        <v>4696</v>
      </c>
      <c r="D1676">
        <v>4</v>
      </c>
      <c r="E1676">
        <v>1</v>
      </c>
      <c r="F1676" s="13">
        <v>14908.27</v>
      </c>
      <c r="G1676" t="s">
        <v>4697</v>
      </c>
      <c r="H1676" t="s">
        <v>4701</v>
      </c>
      <c r="I1676" t="s">
        <v>4708</v>
      </c>
      <c r="J1676" s="10">
        <f t="shared" si="52"/>
        <v>29771</v>
      </c>
      <c r="K1676">
        <f t="shared" si="53"/>
        <v>41</v>
      </c>
    </row>
    <row r="1677" spans="1:11">
      <c r="A1677" t="s">
        <v>1326</v>
      </c>
      <c r="B1677">
        <v>1968</v>
      </c>
      <c r="C1677" t="s">
        <v>4700</v>
      </c>
      <c r="D1677">
        <v>8</v>
      </c>
      <c r="E1677">
        <v>0</v>
      </c>
      <c r="F1677" s="13">
        <v>14926.97</v>
      </c>
      <c r="G1677" t="s">
        <v>4697</v>
      </c>
      <c r="H1677" t="s">
        <v>4697</v>
      </c>
      <c r="I1677" t="s">
        <v>4704</v>
      </c>
      <c r="J1677" s="10">
        <f t="shared" si="52"/>
        <v>25150</v>
      </c>
      <c r="K1677">
        <f t="shared" si="53"/>
        <v>54</v>
      </c>
    </row>
    <row r="1678" spans="1:11">
      <c r="A1678" t="s">
        <v>1324</v>
      </c>
      <c r="B1678">
        <v>1962</v>
      </c>
      <c r="C1678" t="s">
        <v>4700</v>
      </c>
      <c r="D1678">
        <v>29</v>
      </c>
      <c r="E1678">
        <v>0</v>
      </c>
      <c r="F1678" s="13">
        <v>14945.34</v>
      </c>
      <c r="G1678" t="s">
        <v>4697</v>
      </c>
      <c r="H1678" t="s">
        <v>4701</v>
      </c>
      <c r="I1678" t="s">
        <v>4717</v>
      </c>
      <c r="J1678" s="10">
        <f t="shared" si="52"/>
        <v>22979</v>
      </c>
      <c r="K1678">
        <f t="shared" si="53"/>
        <v>60</v>
      </c>
    </row>
    <row r="1679" spans="1:11">
      <c r="A1679" t="s">
        <v>1322</v>
      </c>
      <c r="B1679">
        <v>1958</v>
      </c>
      <c r="C1679" t="s">
        <v>4696</v>
      </c>
      <c r="D1679">
        <v>29</v>
      </c>
      <c r="E1679">
        <v>2</v>
      </c>
      <c r="F1679" s="13">
        <v>14988.43</v>
      </c>
      <c r="G1679" t="s">
        <v>4697</v>
      </c>
      <c r="H1679" t="s">
        <v>4698</v>
      </c>
      <c r="I1679" t="s">
        <v>4708</v>
      </c>
      <c r="J1679" s="10">
        <f t="shared" si="52"/>
        <v>21395</v>
      </c>
      <c r="K1679">
        <f t="shared" si="53"/>
        <v>64</v>
      </c>
    </row>
    <row r="1680" spans="1:11">
      <c r="A1680" t="s">
        <v>1320</v>
      </c>
      <c r="B1680">
        <v>1995</v>
      </c>
      <c r="C1680" t="s">
        <v>4706</v>
      </c>
      <c r="D1680">
        <v>2</v>
      </c>
      <c r="E1680">
        <v>2</v>
      </c>
      <c r="F1680" s="13">
        <v>15006.58</v>
      </c>
      <c r="G1680" t="s">
        <v>4697</v>
      </c>
      <c r="H1680" t="s">
        <v>4697</v>
      </c>
      <c r="I1680" t="s">
        <v>4714</v>
      </c>
      <c r="J1680" s="10">
        <f t="shared" si="52"/>
        <v>34913</v>
      </c>
      <c r="K1680">
        <f t="shared" si="53"/>
        <v>27</v>
      </c>
    </row>
    <row r="1681" spans="1:11">
      <c r="A1681" t="s">
        <v>1318</v>
      </c>
      <c r="B1681">
        <v>1960</v>
      </c>
      <c r="C1681" t="s">
        <v>4706</v>
      </c>
      <c r="D1681">
        <v>8</v>
      </c>
      <c r="E1681">
        <v>2</v>
      </c>
      <c r="F1681" s="13">
        <v>15019.76</v>
      </c>
      <c r="G1681" t="s">
        <v>4697</v>
      </c>
      <c r="H1681" t="s">
        <v>4697</v>
      </c>
      <c r="I1681" t="s">
        <v>4704</v>
      </c>
      <c r="J1681" s="10">
        <f t="shared" si="52"/>
        <v>22136</v>
      </c>
      <c r="K1681">
        <f t="shared" si="53"/>
        <v>62</v>
      </c>
    </row>
    <row r="1682" spans="1:11">
      <c r="A1682" t="s">
        <v>1316</v>
      </c>
      <c r="B1682">
        <v>1979</v>
      </c>
      <c r="C1682" t="s">
        <v>4700</v>
      </c>
      <c r="D1682">
        <v>25</v>
      </c>
      <c r="E1682">
        <v>2</v>
      </c>
      <c r="F1682" s="13">
        <v>15025.76</v>
      </c>
      <c r="G1682" t="s">
        <v>4697</v>
      </c>
      <c r="H1682" t="s">
        <v>4701</v>
      </c>
      <c r="I1682" t="s">
        <v>4708</v>
      </c>
      <c r="J1682" s="10">
        <f t="shared" si="52"/>
        <v>29184</v>
      </c>
      <c r="K1682">
        <f t="shared" si="53"/>
        <v>43</v>
      </c>
    </row>
    <row r="1683" spans="1:11">
      <c r="A1683" t="s">
        <v>1314</v>
      </c>
      <c r="B1683">
        <v>1970</v>
      </c>
      <c r="C1683" t="s">
        <v>4703</v>
      </c>
      <c r="D1683">
        <v>11</v>
      </c>
      <c r="E1683">
        <v>0</v>
      </c>
      <c r="F1683" s="13">
        <v>15026.3</v>
      </c>
      <c r="G1683" t="s">
        <v>4697</v>
      </c>
      <c r="H1683" t="s">
        <v>4698</v>
      </c>
      <c r="I1683" t="s">
        <v>4708</v>
      </c>
      <c r="J1683" s="10">
        <f t="shared" si="52"/>
        <v>25822</v>
      </c>
      <c r="K1683">
        <f t="shared" si="53"/>
        <v>52</v>
      </c>
    </row>
    <row r="1684" spans="1:11">
      <c r="A1684" t="s">
        <v>1312</v>
      </c>
      <c r="B1684">
        <v>1971</v>
      </c>
      <c r="C1684" t="s">
        <v>4706</v>
      </c>
      <c r="D1684">
        <v>15</v>
      </c>
      <c r="E1684">
        <v>0</v>
      </c>
      <c r="F1684" s="13">
        <v>15038.51</v>
      </c>
      <c r="G1684" t="s">
        <v>4697</v>
      </c>
      <c r="H1684" t="s">
        <v>4698</v>
      </c>
      <c r="I1684" t="s">
        <v>4715</v>
      </c>
      <c r="J1684" s="10">
        <f t="shared" si="52"/>
        <v>26160</v>
      </c>
      <c r="K1684">
        <f t="shared" si="53"/>
        <v>51</v>
      </c>
    </row>
    <row r="1685" spans="1:11">
      <c r="A1685" t="s">
        <v>1310</v>
      </c>
      <c r="B1685">
        <v>1968</v>
      </c>
      <c r="C1685" t="s">
        <v>4702</v>
      </c>
      <c r="D1685">
        <v>12</v>
      </c>
      <c r="E1685">
        <v>0</v>
      </c>
      <c r="F1685" s="13">
        <v>15052.68</v>
      </c>
      <c r="G1685" t="s">
        <v>4697</v>
      </c>
      <c r="H1685" t="s">
        <v>4697</v>
      </c>
      <c r="I1685" t="s">
        <v>4721</v>
      </c>
      <c r="J1685" s="10">
        <f t="shared" si="52"/>
        <v>25001</v>
      </c>
      <c r="K1685">
        <f t="shared" si="53"/>
        <v>54</v>
      </c>
    </row>
    <row r="1686" spans="1:11">
      <c r="A1686" t="s">
        <v>1308</v>
      </c>
      <c r="B1686">
        <v>1975</v>
      </c>
      <c r="C1686" t="s">
        <v>4707</v>
      </c>
      <c r="D1686">
        <v>26</v>
      </c>
      <c r="E1686">
        <v>1</v>
      </c>
      <c r="F1686" s="13">
        <v>15090.35</v>
      </c>
      <c r="G1686" t="s">
        <v>4697</v>
      </c>
      <c r="H1686" t="s">
        <v>4701</v>
      </c>
      <c r="I1686" t="s">
        <v>4715</v>
      </c>
      <c r="J1686" s="10">
        <f t="shared" si="52"/>
        <v>27693</v>
      </c>
      <c r="K1686">
        <f t="shared" si="53"/>
        <v>47</v>
      </c>
    </row>
    <row r="1687" spans="1:11">
      <c r="A1687" t="s">
        <v>1306</v>
      </c>
      <c r="B1687">
        <v>1972</v>
      </c>
      <c r="C1687" t="s">
        <v>4700</v>
      </c>
      <c r="D1687">
        <v>7</v>
      </c>
      <c r="E1687">
        <v>0</v>
      </c>
      <c r="F1687" s="13">
        <v>15103.69</v>
      </c>
      <c r="G1687" t="s">
        <v>4697</v>
      </c>
      <c r="H1687" t="s">
        <v>4701</v>
      </c>
      <c r="I1687" t="s">
        <v>4704</v>
      </c>
      <c r="J1687" s="10">
        <f t="shared" si="52"/>
        <v>26610</v>
      </c>
      <c r="K1687">
        <f t="shared" si="53"/>
        <v>50</v>
      </c>
    </row>
    <row r="1688" spans="1:11">
      <c r="A1688" t="s">
        <v>1304</v>
      </c>
      <c r="B1688">
        <v>1978</v>
      </c>
      <c r="C1688" t="s">
        <v>4703</v>
      </c>
      <c r="D1688">
        <v>5</v>
      </c>
      <c r="E1688">
        <v>2</v>
      </c>
      <c r="F1688" s="13">
        <v>15123.19</v>
      </c>
      <c r="G1688" t="s">
        <v>4697</v>
      </c>
      <c r="H1688" t="s">
        <v>4701</v>
      </c>
      <c r="I1688" t="s">
        <v>4708</v>
      </c>
      <c r="J1688" s="10">
        <f t="shared" si="52"/>
        <v>28738</v>
      </c>
      <c r="K1688">
        <f t="shared" si="53"/>
        <v>44</v>
      </c>
    </row>
    <row r="1689" spans="1:11">
      <c r="A1689" t="s">
        <v>1302</v>
      </c>
      <c r="B1689">
        <v>1971</v>
      </c>
      <c r="C1689" t="s">
        <v>4700</v>
      </c>
      <c r="D1689">
        <v>25</v>
      </c>
      <c r="E1689">
        <v>0</v>
      </c>
      <c r="F1689" s="13">
        <v>15150.44</v>
      </c>
      <c r="G1689" t="s">
        <v>4697</v>
      </c>
      <c r="H1689" t="s">
        <v>4701</v>
      </c>
      <c r="I1689" t="s">
        <v>4715</v>
      </c>
      <c r="J1689" s="10">
        <f t="shared" si="52"/>
        <v>26262</v>
      </c>
      <c r="K1689">
        <f t="shared" si="53"/>
        <v>51</v>
      </c>
    </row>
    <row r="1690" spans="1:11">
      <c r="A1690" t="s">
        <v>1300</v>
      </c>
      <c r="B1690">
        <v>1962</v>
      </c>
      <c r="C1690" t="s">
        <v>4707</v>
      </c>
      <c r="D1690">
        <v>25</v>
      </c>
      <c r="E1690">
        <v>0</v>
      </c>
      <c r="F1690" s="13">
        <v>15161.25</v>
      </c>
      <c r="G1690" t="s">
        <v>4697</v>
      </c>
      <c r="H1690" t="s">
        <v>4697</v>
      </c>
      <c r="I1690" t="s">
        <v>4704</v>
      </c>
      <c r="J1690" s="10">
        <f t="shared" si="52"/>
        <v>22944</v>
      </c>
      <c r="K1690">
        <f t="shared" si="53"/>
        <v>60</v>
      </c>
    </row>
    <row r="1691" spans="1:11">
      <c r="A1691" t="s">
        <v>1298</v>
      </c>
      <c r="B1691">
        <v>1959</v>
      </c>
      <c r="C1691" t="s">
        <v>4702</v>
      </c>
      <c r="D1691">
        <v>4</v>
      </c>
      <c r="E1691">
        <v>3</v>
      </c>
      <c r="F1691" s="13">
        <v>15161.53</v>
      </c>
      <c r="G1691" t="s">
        <v>4697</v>
      </c>
      <c r="H1691" t="s">
        <v>4701</v>
      </c>
      <c r="I1691" t="s">
        <v>4699</v>
      </c>
      <c r="J1691" s="10">
        <f t="shared" si="52"/>
        <v>21705</v>
      </c>
      <c r="K1691">
        <f t="shared" si="53"/>
        <v>64</v>
      </c>
    </row>
    <row r="1692" spans="1:11">
      <c r="A1692" t="s">
        <v>1296</v>
      </c>
      <c r="B1692">
        <v>1959</v>
      </c>
      <c r="C1692" t="s">
        <v>4705</v>
      </c>
      <c r="D1692">
        <v>3</v>
      </c>
      <c r="E1692">
        <v>3</v>
      </c>
      <c r="F1692" s="13">
        <v>15170.07</v>
      </c>
      <c r="G1692" t="s">
        <v>4697</v>
      </c>
      <c r="H1692" t="s">
        <v>4698</v>
      </c>
      <c r="I1692" t="s">
        <v>4708</v>
      </c>
      <c r="J1692" s="10">
        <f t="shared" si="52"/>
        <v>21887</v>
      </c>
      <c r="K1692">
        <f t="shared" si="53"/>
        <v>63</v>
      </c>
    </row>
    <row r="1693" spans="1:11">
      <c r="A1693" t="s">
        <v>1294</v>
      </c>
      <c r="B1693">
        <v>1962</v>
      </c>
      <c r="C1693" t="s">
        <v>4702</v>
      </c>
      <c r="D1693">
        <v>17</v>
      </c>
      <c r="E1693">
        <v>0</v>
      </c>
      <c r="F1693" s="13">
        <v>15174.81</v>
      </c>
      <c r="G1693" t="s">
        <v>4697</v>
      </c>
      <c r="H1693" t="s">
        <v>4701</v>
      </c>
      <c r="I1693" t="s">
        <v>4704</v>
      </c>
      <c r="J1693" s="10">
        <f t="shared" si="52"/>
        <v>22814</v>
      </c>
      <c r="K1693">
        <f t="shared" si="53"/>
        <v>60</v>
      </c>
    </row>
    <row r="1694" spans="1:11">
      <c r="A1694" t="s">
        <v>1292</v>
      </c>
      <c r="B1694">
        <v>1978</v>
      </c>
      <c r="C1694" t="s">
        <v>4700</v>
      </c>
      <c r="D1694">
        <v>23</v>
      </c>
      <c r="E1694">
        <v>2</v>
      </c>
      <c r="F1694" s="13">
        <v>15207.92</v>
      </c>
      <c r="G1694" t="s">
        <v>4697</v>
      </c>
      <c r="H1694" t="s">
        <v>4701</v>
      </c>
      <c r="I1694" t="s">
        <v>4704</v>
      </c>
      <c r="J1694" s="10">
        <f t="shared" si="52"/>
        <v>28817</v>
      </c>
      <c r="K1694">
        <f t="shared" si="53"/>
        <v>44</v>
      </c>
    </row>
    <row r="1695" spans="1:11">
      <c r="A1695" t="s">
        <v>1290</v>
      </c>
      <c r="B1695">
        <v>1960</v>
      </c>
      <c r="C1695" t="s">
        <v>4696</v>
      </c>
      <c r="D1695">
        <v>25</v>
      </c>
      <c r="E1695">
        <v>2</v>
      </c>
      <c r="F1695" s="13">
        <v>15230.32</v>
      </c>
      <c r="G1695" t="s">
        <v>4697</v>
      </c>
      <c r="H1695" t="s">
        <v>4697</v>
      </c>
      <c r="I1695" t="s">
        <v>4714</v>
      </c>
      <c r="J1695" s="10">
        <f t="shared" si="52"/>
        <v>22122</v>
      </c>
      <c r="K1695">
        <f t="shared" si="53"/>
        <v>62</v>
      </c>
    </row>
    <row r="1696" spans="1:11">
      <c r="A1696" t="s">
        <v>1288</v>
      </c>
      <c r="B1696">
        <v>1969</v>
      </c>
      <c r="C1696" t="s">
        <v>4703</v>
      </c>
      <c r="D1696">
        <v>16</v>
      </c>
      <c r="E1696">
        <v>0</v>
      </c>
      <c r="F1696" s="13">
        <v>15260.52</v>
      </c>
      <c r="G1696" t="s">
        <v>4697</v>
      </c>
      <c r="H1696" t="s">
        <v>4697</v>
      </c>
      <c r="I1696" t="s">
        <v>4715</v>
      </c>
      <c r="J1696" s="10">
        <f t="shared" si="52"/>
        <v>25462</v>
      </c>
      <c r="K1696">
        <f t="shared" si="53"/>
        <v>53</v>
      </c>
    </row>
    <row r="1697" spans="1:11">
      <c r="A1697" t="s">
        <v>1286</v>
      </c>
      <c r="B1697">
        <v>1963</v>
      </c>
      <c r="C1697" t="s">
        <v>4705</v>
      </c>
      <c r="D1697">
        <v>13</v>
      </c>
      <c r="E1697">
        <v>0</v>
      </c>
      <c r="F1697" s="13">
        <v>15322.77</v>
      </c>
      <c r="G1697" t="s">
        <v>4697</v>
      </c>
      <c r="H1697" t="s">
        <v>4698</v>
      </c>
      <c r="I1697" t="s">
        <v>4717</v>
      </c>
      <c r="J1697" s="10">
        <f t="shared" si="52"/>
        <v>23358</v>
      </c>
      <c r="K1697">
        <f t="shared" si="53"/>
        <v>59</v>
      </c>
    </row>
    <row r="1698" spans="1:11">
      <c r="A1698" t="s">
        <v>1284</v>
      </c>
      <c r="B1698">
        <v>2001</v>
      </c>
      <c r="C1698" t="s">
        <v>4696</v>
      </c>
      <c r="D1698">
        <v>14</v>
      </c>
      <c r="E1698">
        <v>1</v>
      </c>
      <c r="F1698" s="13">
        <v>15359.1</v>
      </c>
      <c r="G1698" t="s">
        <v>4697</v>
      </c>
      <c r="H1698" t="s">
        <v>4698</v>
      </c>
      <c r="I1698" t="s">
        <v>4714</v>
      </c>
      <c r="J1698" s="10">
        <f t="shared" si="52"/>
        <v>37086</v>
      </c>
      <c r="K1698">
        <f t="shared" si="53"/>
        <v>21</v>
      </c>
    </row>
    <row r="1699" spans="1:11">
      <c r="A1699" t="s">
        <v>1282</v>
      </c>
      <c r="B1699">
        <v>1988</v>
      </c>
      <c r="C1699" t="s">
        <v>4705</v>
      </c>
      <c r="D1699">
        <v>17</v>
      </c>
      <c r="E1699">
        <v>3</v>
      </c>
      <c r="F1699" s="13">
        <v>15361.5</v>
      </c>
      <c r="G1699" t="s">
        <v>4697</v>
      </c>
      <c r="H1699" t="s">
        <v>4698</v>
      </c>
      <c r="I1699" t="s">
        <v>4715</v>
      </c>
      <c r="J1699" s="10">
        <f t="shared" si="52"/>
        <v>32494</v>
      </c>
      <c r="K1699">
        <f t="shared" si="53"/>
        <v>34</v>
      </c>
    </row>
    <row r="1700" spans="1:11">
      <c r="A1700" t="s">
        <v>1280</v>
      </c>
      <c r="B1700">
        <v>1968</v>
      </c>
      <c r="C1700" t="s">
        <v>4696</v>
      </c>
      <c r="D1700">
        <v>18</v>
      </c>
      <c r="E1700">
        <v>0</v>
      </c>
      <c r="F1700" s="13">
        <v>15363.77</v>
      </c>
      <c r="G1700" t="s">
        <v>4697</v>
      </c>
      <c r="H1700" t="s">
        <v>4701</v>
      </c>
      <c r="I1700" t="s">
        <v>4720</v>
      </c>
      <c r="J1700" s="10">
        <f t="shared" si="52"/>
        <v>25037</v>
      </c>
      <c r="K1700">
        <f t="shared" si="53"/>
        <v>54</v>
      </c>
    </row>
    <row r="1701" spans="1:11">
      <c r="A1701" t="s">
        <v>1278</v>
      </c>
      <c r="B1701">
        <v>1962</v>
      </c>
      <c r="C1701" t="s">
        <v>4703</v>
      </c>
      <c r="D1701">
        <v>6</v>
      </c>
      <c r="E1701">
        <v>0</v>
      </c>
      <c r="F1701" s="13">
        <v>15368.22</v>
      </c>
      <c r="G1701" t="s">
        <v>4697</v>
      </c>
      <c r="H1701" t="s">
        <v>4697</v>
      </c>
      <c r="I1701" t="s">
        <v>4708</v>
      </c>
      <c r="J1701" s="10">
        <f t="shared" si="52"/>
        <v>22895</v>
      </c>
      <c r="K1701">
        <f t="shared" si="53"/>
        <v>60</v>
      </c>
    </row>
    <row r="1702" spans="1:11">
      <c r="A1702" t="s">
        <v>1276</v>
      </c>
      <c r="B1702">
        <v>1964</v>
      </c>
      <c r="C1702" t="s">
        <v>4703</v>
      </c>
      <c r="D1702">
        <v>4</v>
      </c>
      <c r="E1702">
        <v>0</v>
      </c>
      <c r="F1702" s="13">
        <v>15377.77</v>
      </c>
      <c r="G1702" t="s">
        <v>4697</v>
      </c>
      <c r="H1702" t="s">
        <v>4697</v>
      </c>
      <c r="I1702" t="s">
        <v>4704</v>
      </c>
      <c r="J1702" s="10">
        <f t="shared" si="52"/>
        <v>23624</v>
      </c>
      <c r="K1702">
        <f t="shared" si="53"/>
        <v>58</v>
      </c>
    </row>
    <row r="1703" spans="1:11">
      <c r="A1703" t="s">
        <v>1274</v>
      </c>
      <c r="B1703">
        <v>1990</v>
      </c>
      <c r="C1703" t="s">
        <v>4707</v>
      </c>
      <c r="D1703">
        <v>25</v>
      </c>
      <c r="E1703">
        <v>3</v>
      </c>
      <c r="F1703" s="13">
        <v>15440.2</v>
      </c>
      <c r="G1703" t="s">
        <v>4697</v>
      </c>
      <c r="H1703" t="s">
        <v>4701</v>
      </c>
      <c r="I1703" t="s">
        <v>4704</v>
      </c>
      <c r="J1703" s="10">
        <f t="shared" si="52"/>
        <v>33171</v>
      </c>
      <c r="K1703">
        <f t="shared" si="53"/>
        <v>32</v>
      </c>
    </row>
    <row r="1704" spans="1:11">
      <c r="A1704" t="s">
        <v>1272</v>
      </c>
      <c r="B1704">
        <v>1976</v>
      </c>
      <c r="C1704" t="s">
        <v>4696</v>
      </c>
      <c r="D1704">
        <v>20</v>
      </c>
      <c r="E1704">
        <v>2</v>
      </c>
      <c r="F1704" s="13">
        <v>15450.48</v>
      </c>
      <c r="G1704" t="s">
        <v>4697</v>
      </c>
      <c r="H1704" t="s">
        <v>4701</v>
      </c>
      <c r="I1704" t="s">
        <v>4720</v>
      </c>
      <c r="J1704" s="10">
        <f t="shared" si="52"/>
        <v>27961</v>
      </c>
      <c r="K1704">
        <f t="shared" si="53"/>
        <v>46</v>
      </c>
    </row>
    <row r="1705" spans="1:11">
      <c r="A1705" t="s">
        <v>1270</v>
      </c>
      <c r="B1705">
        <v>2004</v>
      </c>
      <c r="C1705" t="s">
        <v>4696</v>
      </c>
      <c r="D1705">
        <v>17</v>
      </c>
      <c r="E1705">
        <v>0</v>
      </c>
      <c r="F1705" s="13">
        <v>15518.18</v>
      </c>
      <c r="G1705" t="s">
        <v>4697</v>
      </c>
      <c r="H1705" t="s">
        <v>4698</v>
      </c>
      <c r="I1705" t="s">
        <v>4709</v>
      </c>
      <c r="J1705" s="10">
        <f t="shared" si="52"/>
        <v>38185</v>
      </c>
      <c r="K1705">
        <f t="shared" si="53"/>
        <v>18</v>
      </c>
    </row>
    <row r="1706" spans="1:11">
      <c r="A1706" t="s">
        <v>1268</v>
      </c>
      <c r="B1706">
        <v>1974</v>
      </c>
      <c r="C1706" t="s">
        <v>4702</v>
      </c>
      <c r="D1706">
        <v>28</v>
      </c>
      <c r="E1706">
        <v>0</v>
      </c>
      <c r="F1706" s="13">
        <v>15532.16</v>
      </c>
      <c r="G1706" t="s">
        <v>4697</v>
      </c>
      <c r="H1706" t="s">
        <v>4697</v>
      </c>
      <c r="I1706" t="s">
        <v>4720</v>
      </c>
      <c r="J1706" s="10">
        <f t="shared" si="52"/>
        <v>27208</v>
      </c>
      <c r="K1706">
        <f t="shared" si="53"/>
        <v>48</v>
      </c>
    </row>
    <row r="1707" spans="1:11">
      <c r="A1707" t="s">
        <v>1266</v>
      </c>
      <c r="B1707">
        <v>1959</v>
      </c>
      <c r="C1707" t="s">
        <v>4707</v>
      </c>
      <c r="D1707">
        <v>2</v>
      </c>
      <c r="E1707">
        <v>3</v>
      </c>
      <c r="F1707" s="13">
        <v>15555.19</v>
      </c>
      <c r="G1707" t="s">
        <v>4697</v>
      </c>
      <c r="H1707" t="s">
        <v>4698</v>
      </c>
      <c r="I1707" t="s">
        <v>4704</v>
      </c>
      <c r="J1707" s="10">
        <f t="shared" si="52"/>
        <v>21825</v>
      </c>
      <c r="K1707">
        <f t="shared" si="53"/>
        <v>63</v>
      </c>
    </row>
    <row r="1708" spans="1:11">
      <c r="A1708" t="s">
        <v>1264</v>
      </c>
      <c r="B1708">
        <v>1974</v>
      </c>
      <c r="C1708" t="s">
        <v>4696</v>
      </c>
      <c r="D1708">
        <v>30</v>
      </c>
      <c r="E1708">
        <v>0</v>
      </c>
      <c r="F1708" s="13">
        <v>15556.67</v>
      </c>
      <c r="G1708" t="s">
        <v>4697</v>
      </c>
      <c r="H1708" t="s">
        <v>4697</v>
      </c>
      <c r="I1708" t="s">
        <v>4704</v>
      </c>
      <c r="J1708" s="10">
        <f t="shared" si="52"/>
        <v>27240</v>
      </c>
      <c r="K1708">
        <f t="shared" si="53"/>
        <v>48</v>
      </c>
    </row>
    <row r="1709" spans="1:11">
      <c r="A1709" t="s">
        <v>1262</v>
      </c>
      <c r="B1709">
        <v>1965</v>
      </c>
      <c r="C1709" t="s">
        <v>4707</v>
      </c>
      <c r="D1709">
        <v>28</v>
      </c>
      <c r="E1709">
        <v>0</v>
      </c>
      <c r="F1709" s="13">
        <v>15608.58</v>
      </c>
      <c r="G1709" t="s">
        <v>4697</v>
      </c>
      <c r="H1709" t="s">
        <v>4697</v>
      </c>
      <c r="I1709" t="s">
        <v>4720</v>
      </c>
      <c r="J1709" s="10">
        <f t="shared" si="52"/>
        <v>24043</v>
      </c>
      <c r="K1709">
        <f t="shared" si="53"/>
        <v>57</v>
      </c>
    </row>
    <row r="1710" spans="1:11">
      <c r="A1710" t="s">
        <v>1260</v>
      </c>
      <c r="B1710">
        <v>1960</v>
      </c>
      <c r="C1710" t="s">
        <v>4702</v>
      </c>
      <c r="D1710">
        <v>6</v>
      </c>
      <c r="E1710">
        <v>3</v>
      </c>
      <c r="F1710" s="13">
        <v>15612.19</v>
      </c>
      <c r="G1710" t="s">
        <v>4697</v>
      </c>
      <c r="H1710" t="s">
        <v>4697</v>
      </c>
      <c r="I1710" t="s">
        <v>4704</v>
      </c>
      <c r="J1710" s="10">
        <f t="shared" si="52"/>
        <v>22073</v>
      </c>
      <c r="K1710">
        <f t="shared" si="53"/>
        <v>63</v>
      </c>
    </row>
    <row r="1711" spans="1:11">
      <c r="A1711" t="s">
        <v>1258</v>
      </c>
      <c r="B1711">
        <v>1988</v>
      </c>
      <c r="C1711" t="s">
        <v>4705</v>
      </c>
      <c r="D1711">
        <v>22</v>
      </c>
      <c r="E1711">
        <v>3</v>
      </c>
      <c r="F1711" s="13">
        <v>15646.28</v>
      </c>
      <c r="G1711" t="s">
        <v>4697</v>
      </c>
      <c r="H1711" t="s">
        <v>4697</v>
      </c>
      <c r="I1711" t="s">
        <v>4708</v>
      </c>
      <c r="J1711" s="10">
        <f t="shared" si="52"/>
        <v>32499</v>
      </c>
      <c r="K1711">
        <f t="shared" si="53"/>
        <v>34</v>
      </c>
    </row>
    <row r="1712" spans="1:11">
      <c r="A1712" t="s">
        <v>1256</v>
      </c>
      <c r="B1712">
        <v>1973</v>
      </c>
      <c r="C1712" t="s">
        <v>4702</v>
      </c>
      <c r="D1712">
        <v>26</v>
      </c>
      <c r="E1712">
        <v>0</v>
      </c>
      <c r="F1712" s="13">
        <v>15670.3</v>
      </c>
      <c r="G1712" t="s">
        <v>4697</v>
      </c>
      <c r="H1712" t="s">
        <v>4697</v>
      </c>
      <c r="I1712" t="s">
        <v>4720</v>
      </c>
      <c r="J1712" s="10">
        <f t="shared" si="52"/>
        <v>26841</v>
      </c>
      <c r="K1712">
        <f t="shared" si="53"/>
        <v>49</v>
      </c>
    </row>
    <row r="1713" spans="1:11">
      <c r="A1713" t="s">
        <v>1254</v>
      </c>
      <c r="B1713">
        <v>1976</v>
      </c>
      <c r="C1713" t="s">
        <v>4703</v>
      </c>
      <c r="D1713">
        <v>20</v>
      </c>
      <c r="E1713">
        <v>2</v>
      </c>
      <c r="F1713" s="13">
        <v>15698.86</v>
      </c>
      <c r="G1713" t="s">
        <v>4697</v>
      </c>
      <c r="H1713" t="s">
        <v>4697</v>
      </c>
      <c r="I1713" t="s">
        <v>4704</v>
      </c>
      <c r="J1713" s="10">
        <f t="shared" si="52"/>
        <v>28023</v>
      </c>
      <c r="K1713">
        <f t="shared" si="53"/>
        <v>46</v>
      </c>
    </row>
    <row r="1714" spans="1:11">
      <c r="A1714" t="s">
        <v>1252</v>
      </c>
      <c r="B1714">
        <v>1974</v>
      </c>
      <c r="C1714" t="s">
        <v>4706</v>
      </c>
      <c r="D1714">
        <v>29</v>
      </c>
      <c r="E1714">
        <v>0</v>
      </c>
      <c r="F1714" s="13">
        <v>15746.62</v>
      </c>
      <c r="G1714" t="s">
        <v>4697</v>
      </c>
      <c r="H1714" t="s">
        <v>4701</v>
      </c>
      <c r="I1714" t="s">
        <v>4704</v>
      </c>
      <c r="J1714" s="10">
        <f t="shared" si="52"/>
        <v>27270</v>
      </c>
      <c r="K1714">
        <f t="shared" si="53"/>
        <v>48</v>
      </c>
    </row>
    <row r="1715" spans="1:11">
      <c r="A1715" t="s">
        <v>1250</v>
      </c>
      <c r="B1715">
        <v>1997</v>
      </c>
      <c r="C1715" t="s">
        <v>4707</v>
      </c>
      <c r="D1715">
        <v>9</v>
      </c>
      <c r="E1715">
        <v>0</v>
      </c>
      <c r="F1715" s="13">
        <v>15817.99</v>
      </c>
      <c r="G1715" t="s">
        <v>4697</v>
      </c>
      <c r="H1715" t="s">
        <v>4697</v>
      </c>
      <c r="I1715" t="s">
        <v>4704</v>
      </c>
      <c r="J1715" s="10">
        <f t="shared" si="52"/>
        <v>35712</v>
      </c>
      <c r="K1715">
        <f t="shared" si="53"/>
        <v>25</v>
      </c>
    </row>
    <row r="1716" spans="1:11">
      <c r="A1716" t="s">
        <v>1248</v>
      </c>
      <c r="B1716">
        <v>1984</v>
      </c>
      <c r="C1716" t="s">
        <v>4702</v>
      </c>
      <c r="D1716">
        <v>26</v>
      </c>
      <c r="E1716">
        <v>0</v>
      </c>
      <c r="F1716" s="13">
        <v>15820.7</v>
      </c>
      <c r="G1716" t="s">
        <v>4697</v>
      </c>
      <c r="H1716" t="s">
        <v>4698</v>
      </c>
      <c r="I1716" t="s">
        <v>4708</v>
      </c>
      <c r="J1716" s="10">
        <f t="shared" si="52"/>
        <v>30859</v>
      </c>
      <c r="K1716">
        <f t="shared" si="53"/>
        <v>38</v>
      </c>
    </row>
    <row r="1717" spans="1:11">
      <c r="A1717" t="s">
        <v>1246</v>
      </c>
      <c r="B1717">
        <v>1982</v>
      </c>
      <c r="C1717" t="s">
        <v>4700</v>
      </c>
      <c r="D1717">
        <v>11</v>
      </c>
      <c r="E1717">
        <v>4</v>
      </c>
      <c r="F1717" s="13">
        <v>15828.82</v>
      </c>
      <c r="G1717" t="s">
        <v>4697</v>
      </c>
      <c r="H1717" t="s">
        <v>4698</v>
      </c>
      <c r="I1717" t="s">
        <v>4708</v>
      </c>
      <c r="J1717" s="10">
        <f t="shared" si="52"/>
        <v>30266</v>
      </c>
      <c r="K1717">
        <f t="shared" si="53"/>
        <v>40</v>
      </c>
    </row>
    <row r="1718" spans="1:11">
      <c r="A1718" t="s">
        <v>1244</v>
      </c>
      <c r="B1718">
        <v>1962</v>
      </c>
      <c r="C1718" t="s">
        <v>4705</v>
      </c>
      <c r="D1718">
        <v>25</v>
      </c>
      <c r="E1718">
        <v>0</v>
      </c>
      <c r="F1718" s="13">
        <v>15840.81</v>
      </c>
      <c r="G1718" t="s">
        <v>4697</v>
      </c>
      <c r="H1718" t="s">
        <v>4701</v>
      </c>
      <c r="I1718" t="s">
        <v>4721</v>
      </c>
      <c r="J1718" s="10">
        <f t="shared" si="52"/>
        <v>23005</v>
      </c>
      <c r="K1718">
        <f t="shared" si="53"/>
        <v>60</v>
      </c>
    </row>
    <row r="1719" spans="1:11">
      <c r="A1719" t="s">
        <v>1242</v>
      </c>
      <c r="B1719">
        <v>1980</v>
      </c>
      <c r="C1719" t="s">
        <v>4707</v>
      </c>
      <c r="D1719">
        <v>12</v>
      </c>
      <c r="E1719">
        <v>2</v>
      </c>
      <c r="F1719" s="13">
        <v>15922.29</v>
      </c>
      <c r="G1719" t="s">
        <v>4697</v>
      </c>
      <c r="H1719" t="s">
        <v>4698</v>
      </c>
      <c r="I1719" t="s">
        <v>4720</v>
      </c>
      <c r="J1719" s="10">
        <f t="shared" si="52"/>
        <v>29506</v>
      </c>
      <c r="K1719">
        <f t="shared" si="53"/>
        <v>42</v>
      </c>
    </row>
    <row r="1720" spans="1:11">
      <c r="A1720" t="s">
        <v>1240</v>
      </c>
      <c r="B1720">
        <v>1982</v>
      </c>
      <c r="C1720" t="s">
        <v>4696</v>
      </c>
      <c r="D1720">
        <v>24</v>
      </c>
      <c r="E1720">
        <v>3</v>
      </c>
      <c r="F1720" s="13">
        <v>15965.29</v>
      </c>
      <c r="G1720" t="s">
        <v>4697</v>
      </c>
      <c r="H1720" t="s">
        <v>4701</v>
      </c>
      <c r="I1720" t="s">
        <v>4704</v>
      </c>
      <c r="J1720" s="10">
        <f t="shared" si="52"/>
        <v>30156</v>
      </c>
      <c r="K1720">
        <f t="shared" si="53"/>
        <v>40</v>
      </c>
    </row>
    <row r="1721" spans="1:11">
      <c r="A1721" t="s">
        <v>1238</v>
      </c>
      <c r="B1721">
        <v>1980</v>
      </c>
      <c r="C1721" t="s">
        <v>4703</v>
      </c>
      <c r="D1721">
        <v>19</v>
      </c>
      <c r="E1721">
        <v>2</v>
      </c>
      <c r="F1721" s="13">
        <v>15966.19</v>
      </c>
      <c r="G1721" t="s">
        <v>4697</v>
      </c>
      <c r="H1721" t="s">
        <v>4697</v>
      </c>
      <c r="I1721" t="s">
        <v>4704</v>
      </c>
      <c r="J1721" s="10">
        <f t="shared" si="52"/>
        <v>29483</v>
      </c>
      <c r="K1721">
        <f t="shared" si="53"/>
        <v>42</v>
      </c>
    </row>
    <row r="1722" spans="1:11">
      <c r="A1722" t="s">
        <v>1236</v>
      </c>
      <c r="B1722">
        <v>1988</v>
      </c>
      <c r="C1722" t="s">
        <v>4705</v>
      </c>
      <c r="D1722">
        <v>5</v>
      </c>
      <c r="E1722">
        <v>3</v>
      </c>
      <c r="F1722" s="13">
        <v>16059.06</v>
      </c>
      <c r="G1722" t="s">
        <v>4697</v>
      </c>
      <c r="H1722" t="s">
        <v>4698</v>
      </c>
      <c r="I1722" t="s">
        <v>4704</v>
      </c>
      <c r="J1722" s="10">
        <f t="shared" si="52"/>
        <v>32482</v>
      </c>
      <c r="K1722">
        <f t="shared" si="53"/>
        <v>34</v>
      </c>
    </row>
    <row r="1723" spans="1:11">
      <c r="A1723" t="s">
        <v>1234</v>
      </c>
      <c r="B1723">
        <v>1978</v>
      </c>
      <c r="C1723" t="s">
        <v>4703</v>
      </c>
      <c r="D1723">
        <v>16</v>
      </c>
      <c r="E1723">
        <v>2</v>
      </c>
      <c r="F1723" s="13">
        <v>16062.89</v>
      </c>
      <c r="G1723" t="s">
        <v>4697</v>
      </c>
      <c r="H1723" t="s">
        <v>4697</v>
      </c>
      <c r="I1723" t="s">
        <v>4720</v>
      </c>
      <c r="J1723" s="10">
        <f t="shared" si="52"/>
        <v>28749</v>
      </c>
      <c r="K1723">
        <f t="shared" si="53"/>
        <v>44</v>
      </c>
    </row>
    <row r="1724" spans="1:11">
      <c r="A1724" t="s">
        <v>1232</v>
      </c>
      <c r="B1724">
        <v>1958</v>
      </c>
      <c r="C1724" t="s">
        <v>4707</v>
      </c>
      <c r="D1724">
        <v>22</v>
      </c>
      <c r="E1724">
        <v>2</v>
      </c>
      <c r="F1724" s="13">
        <v>16069.08</v>
      </c>
      <c r="G1724" t="s">
        <v>4697</v>
      </c>
      <c r="H1724" t="s">
        <v>4697</v>
      </c>
      <c r="I1724" t="s">
        <v>4714</v>
      </c>
      <c r="J1724" s="10">
        <f t="shared" si="52"/>
        <v>21480</v>
      </c>
      <c r="K1724">
        <f t="shared" si="53"/>
        <v>64</v>
      </c>
    </row>
    <row r="1725" spans="1:11">
      <c r="A1725" t="s">
        <v>1230</v>
      </c>
      <c r="B1725">
        <v>1958</v>
      </c>
      <c r="C1725" t="s">
        <v>4702</v>
      </c>
      <c r="D1725">
        <v>21</v>
      </c>
      <c r="E1725">
        <v>3</v>
      </c>
      <c r="F1725" s="13">
        <v>16085.13</v>
      </c>
      <c r="G1725" t="s">
        <v>4697</v>
      </c>
      <c r="H1725" t="s">
        <v>4697</v>
      </c>
      <c r="I1725" t="s">
        <v>4699</v>
      </c>
      <c r="J1725" s="10">
        <f t="shared" si="52"/>
        <v>21357</v>
      </c>
      <c r="K1725">
        <f t="shared" si="53"/>
        <v>64</v>
      </c>
    </row>
    <row r="1726" spans="1:11">
      <c r="A1726" t="s">
        <v>1228</v>
      </c>
      <c r="B1726">
        <v>1985</v>
      </c>
      <c r="C1726" t="s">
        <v>4706</v>
      </c>
      <c r="D1726">
        <v>27</v>
      </c>
      <c r="E1726">
        <v>3</v>
      </c>
      <c r="F1726" s="13">
        <v>16097.94</v>
      </c>
      <c r="G1726" t="s">
        <v>4697</v>
      </c>
      <c r="H1726" t="s">
        <v>4698</v>
      </c>
      <c r="I1726" t="s">
        <v>4704</v>
      </c>
      <c r="J1726" s="10">
        <f t="shared" si="52"/>
        <v>31286</v>
      </c>
      <c r="K1726">
        <f t="shared" si="53"/>
        <v>37</v>
      </c>
    </row>
    <row r="1727" spans="1:11">
      <c r="A1727" t="s">
        <v>1226</v>
      </c>
      <c r="B1727">
        <v>1993</v>
      </c>
      <c r="C1727" t="s">
        <v>4706</v>
      </c>
      <c r="D1727">
        <v>8</v>
      </c>
      <c r="E1727">
        <v>0</v>
      </c>
      <c r="F1727" s="13">
        <v>16115.3</v>
      </c>
      <c r="G1727" t="s">
        <v>4697</v>
      </c>
      <c r="H1727" t="s">
        <v>4701</v>
      </c>
      <c r="I1727" t="s">
        <v>4714</v>
      </c>
      <c r="J1727" s="10">
        <f t="shared" si="52"/>
        <v>34189</v>
      </c>
      <c r="K1727">
        <f t="shared" si="53"/>
        <v>29</v>
      </c>
    </row>
    <row r="1728" spans="1:11">
      <c r="A1728" t="s">
        <v>1224</v>
      </c>
      <c r="B1728">
        <v>1987</v>
      </c>
      <c r="C1728" t="s">
        <v>4707</v>
      </c>
      <c r="D1728">
        <v>6</v>
      </c>
      <c r="E1728">
        <v>3</v>
      </c>
      <c r="F1728" s="13">
        <v>16122.65</v>
      </c>
      <c r="G1728" t="s">
        <v>4697</v>
      </c>
      <c r="H1728" t="s">
        <v>4701</v>
      </c>
      <c r="I1728" t="s">
        <v>4708</v>
      </c>
      <c r="J1728" s="10">
        <f t="shared" si="52"/>
        <v>32056</v>
      </c>
      <c r="K1728">
        <f t="shared" si="53"/>
        <v>35</v>
      </c>
    </row>
    <row r="1729" spans="1:11">
      <c r="A1729" t="s">
        <v>1222</v>
      </c>
      <c r="B1729">
        <v>1993</v>
      </c>
      <c r="C1729" t="s">
        <v>4705</v>
      </c>
      <c r="D1729">
        <v>12</v>
      </c>
      <c r="E1729">
        <v>0</v>
      </c>
      <c r="F1729" s="13">
        <v>16138.76</v>
      </c>
      <c r="G1729" t="s">
        <v>4697</v>
      </c>
      <c r="H1729" t="s">
        <v>4698</v>
      </c>
      <c r="I1729" t="s">
        <v>4718</v>
      </c>
      <c r="J1729" s="10">
        <f t="shared" si="52"/>
        <v>34315</v>
      </c>
      <c r="K1729">
        <f t="shared" si="53"/>
        <v>29</v>
      </c>
    </row>
    <row r="1730" spans="1:11">
      <c r="A1730" t="s">
        <v>1220</v>
      </c>
      <c r="B1730">
        <v>1982</v>
      </c>
      <c r="C1730" t="s">
        <v>4696</v>
      </c>
      <c r="D1730">
        <v>6</v>
      </c>
      <c r="E1730">
        <v>3</v>
      </c>
      <c r="F1730" s="13">
        <v>16152.04</v>
      </c>
      <c r="G1730" t="s">
        <v>4697</v>
      </c>
      <c r="H1730" t="s">
        <v>4701</v>
      </c>
      <c r="I1730" t="s">
        <v>4720</v>
      </c>
      <c r="J1730" s="10">
        <f t="shared" ref="J1730:J1793" si="54">DATEVALUE(D1730&amp;"-"&amp;C1730&amp;"-"&amp;B1730)</f>
        <v>30138</v>
      </c>
      <c r="K1730">
        <f t="shared" si="53"/>
        <v>40</v>
      </c>
    </row>
    <row r="1731" spans="1:11">
      <c r="A1731" t="s">
        <v>1218</v>
      </c>
      <c r="B1731">
        <v>1974</v>
      </c>
      <c r="C1731" t="s">
        <v>4703</v>
      </c>
      <c r="D1731">
        <v>11</v>
      </c>
      <c r="E1731">
        <v>0</v>
      </c>
      <c r="F1731" s="13">
        <v>16190.97</v>
      </c>
      <c r="G1731" t="s">
        <v>4697</v>
      </c>
      <c r="H1731" t="s">
        <v>4698</v>
      </c>
      <c r="I1731" t="s">
        <v>4704</v>
      </c>
      <c r="J1731" s="10">
        <f t="shared" si="54"/>
        <v>27283</v>
      </c>
      <c r="K1731">
        <f t="shared" ref="K1731:K1794" si="55">DATEDIF(J1731, DATE(2023, 6, 8), "Y")</f>
        <v>48</v>
      </c>
    </row>
    <row r="1732" spans="1:11">
      <c r="A1732" t="s">
        <v>1216</v>
      </c>
      <c r="B1732">
        <v>1988</v>
      </c>
      <c r="C1732" t="s">
        <v>4706</v>
      </c>
      <c r="D1732">
        <v>6</v>
      </c>
      <c r="E1732">
        <v>3</v>
      </c>
      <c r="F1732" s="13">
        <v>16199.1</v>
      </c>
      <c r="G1732" t="s">
        <v>4697</v>
      </c>
      <c r="H1732" t="s">
        <v>4697</v>
      </c>
      <c r="I1732" t="s">
        <v>4704</v>
      </c>
      <c r="J1732" s="10">
        <f t="shared" si="54"/>
        <v>32361</v>
      </c>
      <c r="K1732">
        <f t="shared" si="55"/>
        <v>34</v>
      </c>
    </row>
    <row r="1733" spans="1:11">
      <c r="A1733" t="s">
        <v>1214</v>
      </c>
      <c r="B1733">
        <v>1988</v>
      </c>
      <c r="C1733" t="s">
        <v>4706</v>
      </c>
      <c r="D1733">
        <v>21</v>
      </c>
      <c r="E1733">
        <v>3</v>
      </c>
      <c r="F1733" s="13">
        <v>16205.88</v>
      </c>
      <c r="G1733" t="s">
        <v>4697</v>
      </c>
      <c r="H1733" t="s">
        <v>4701</v>
      </c>
      <c r="I1733" t="s">
        <v>4704</v>
      </c>
      <c r="J1733" s="10">
        <f t="shared" si="54"/>
        <v>32376</v>
      </c>
      <c r="K1733">
        <f t="shared" si="55"/>
        <v>34</v>
      </c>
    </row>
    <row r="1734" spans="1:11">
      <c r="A1734" t="s">
        <v>1212</v>
      </c>
      <c r="B1734">
        <v>2002</v>
      </c>
      <c r="C1734" t="s">
        <v>4703</v>
      </c>
      <c r="D1734">
        <v>8</v>
      </c>
      <c r="E1734">
        <v>0</v>
      </c>
      <c r="F1734" s="13">
        <v>16232.85</v>
      </c>
      <c r="G1734" t="s">
        <v>4697</v>
      </c>
      <c r="H1734" t="s">
        <v>4701</v>
      </c>
      <c r="I1734" t="s">
        <v>4708</v>
      </c>
      <c r="J1734" s="10">
        <f t="shared" si="54"/>
        <v>37507</v>
      </c>
      <c r="K1734">
        <f t="shared" si="55"/>
        <v>20</v>
      </c>
    </row>
    <row r="1735" spans="1:11">
      <c r="A1735" t="s">
        <v>1210</v>
      </c>
      <c r="B1735">
        <v>1972</v>
      </c>
      <c r="C1735" t="s">
        <v>4696</v>
      </c>
      <c r="D1735">
        <v>30</v>
      </c>
      <c r="E1735">
        <v>0</v>
      </c>
      <c r="F1735" s="13">
        <v>16267.32</v>
      </c>
      <c r="G1735" t="s">
        <v>4697</v>
      </c>
      <c r="H1735" t="s">
        <v>4697</v>
      </c>
      <c r="I1735" t="s">
        <v>4715</v>
      </c>
      <c r="J1735" s="10">
        <f t="shared" si="54"/>
        <v>26510</v>
      </c>
      <c r="K1735">
        <f t="shared" si="55"/>
        <v>50</v>
      </c>
    </row>
    <row r="1736" spans="1:11">
      <c r="A1736" t="s">
        <v>1208</v>
      </c>
      <c r="B1736">
        <v>2003</v>
      </c>
      <c r="C1736" t="s">
        <v>4706</v>
      </c>
      <c r="D1736">
        <v>24</v>
      </c>
      <c r="E1736">
        <v>0</v>
      </c>
      <c r="F1736" s="13">
        <v>16297.85</v>
      </c>
      <c r="G1736" t="s">
        <v>4697</v>
      </c>
      <c r="H1736" t="s">
        <v>4698</v>
      </c>
      <c r="I1736" t="s">
        <v>4708</v>
      </c>
      <c r="J1736" s="10">
        <f t="shared" si="54"/>
        <v>37857</v>
      </c>
      <c r="K1736">
        <f t="shared" si="55"/>
        <v>19</v>
      </c>
    </row>
    <row r="1737" spans="1:11">
      <c r="A1737" t="s">
        <v>1206</v>
      </c>
      <c r="B1737">
        <v>1969</v>
      </c>
      <c r="C1737" t="s">
        <v>4706</v>
      </c>
      <c r="D1737">
        <v>8</v>
      </c>
      <c r="E1737">
        <v>0</v>
      </c>
      <c r="F1737" s="13">
        <v>16311.05</v>
      </c>
      <c r="G1737" t="s">
        <v>4697</v>
      </c>
      <c r="H1737" t="s">
        <v>4698</v>
      </c>
      <c r="I1737" t="s">
        <v>4720</v>
      </c>
      <c r="J1737" s="10">
        <f t="shared" si="54"/>
        <v>25423</v>
      </c>
      <c r="K1737">
        <f t="shared" si="55"/>
        <v>53</v>
      </c>
    </row>
    <row r="1738" spans="1:11">
      <c r="A1738" t="s">
        <v>1204</v>
      </c>
      <c r="B1738">
        <v>1965</v>
      </c>
      <c r="C1738" t="s">
        <v>4705</v>
      </c>
      <c r="D1738">
        <v>5</v>
      </c>
      <c r="E1738">
        <v>0</v>
      </c>
      <c r="F1738" s="13">
        <v>16351.42</v>
      </c>
      <c r="G1738" t="s">
        <v>4697</v>
      </c>
      <c r="H1738" t="s">
        <v>4698</v>
      </c>
      <c r="I1738" t="s">
        <v>4720</v>
      </c>
      <c r="J1738" s="10">
        <f t="shared" si="54"/>
        <v>24081</v>
      </c>
      <c r="K1738">
        <f t="shared" si="55"/>
        <v>57</v>
      </c>
    </row>
    <row r="1739" spans="1:11">
      <c r="A1739" t="s">
        <v>1202</v>
      </c>
      <c r="B1739">
        <v>1995</v>
      </c>
      <c r="C1739" t="s">
        <v>4703</v>
      </c>
      <c r="D1739">
        <v>28</v>
      </c>
      <c r="E1739">
        <v>3</v>
      </c>
      <c r="F1739" s="13">
        <v>16420.490000000002</v>
      </c>
      <c r="G1739" t="s">
        <v>4697</v>
      </c>
      <c r="H1739" t="s">
        <v>4698</v>
      </c>
      <c r="I1739" t="s">
        <v>4704</v>
      </c>
      <c r="J1739" s="10">
        <f t="shared" si="54"/>
        <v>34970</v>
      </c>
      <c r="K1739">
        <f t="shared" si="55"/>
        <v>27</v>
      </c>
    </row>
    <row r="1740" spans="1:11">
      <c r="A1740" t="s">
        <v>1200</v>
      </c>
      <c r="B1740">
        <v>2003</v>
      </c>
      <c r="C1740" t="s">
        <v>4705</v>
      </c>
      <c r="D1740">
        <v>20</v>
      </c>
      <c r="E1740">
        <v>1</v>
      </c>
      <c r="F1740" s="13">
        <v>16450.89</v>
      </c>
      <c r="G1740" t="s">
        <v>4697</v>
      </c>
      <c r="H1740" t="s">
        <v>4701</v>
      </c>
      <c r="I1740" t="s">
        <v>4704</v>
      </c>
      <c r="J1740" s="10">
        <f t="shared" si="54"/>
        <v>37975</v>
      </c>
      <c r="K1740">
        <f t="shared" si="55"/>
        <v>19</v>
      </c>
    </row>
    <row r="1741" spans="1:11">
      <c r="A1741" t="s">
        <v>1198</v>
      </c>
      <c r="B1741">
        <v>1958</v>
      </c>
      <c r="C1741" t="s">
        <v>4707</v>
      </c>
      <c r="D1741">
        <v>10</v>
      </c>
      <c r="E1741">
        <v>3</v>
      </c>
      <c r="F1741" s="13">
        <v>16455.71</v>
      </c>
      <c r="G1741" t="s">
        <v>4697</v>
      </c>
      <c r="H1741" t="s">
        <v>4697</v>
      </c>
      <c r="I1741" t="s">
        <v>4704</v>
      </c>
      <c r="J1741" s="10">
        <f t="shared" si="54"/>
        <v>21468</v>
      </c>
      <c r="K1741">
        <f t="shared" si="55"/>
        <v>64</v>
      </c>
    </row>
    <row r="1742" spans="1:11">
      <c r="A1742" t="s">
        <v>1196</v>
      </c>
      <c r="B1742">
        <v>1995</v>
      </c>
      <c r="C1742" t="s">
        <v>4705</v>
      </c>
      <c r="D1742">
        <v>23</v>
      </c>
      <c r="E1742">
        <v>0</v>
      </c>
      <c r="F1742" s="13">
        <v>16577.78</v>
      </c>
      <c r="G1742" t="s">
        <v>4697</v>
      </c>
      <c r="H1742" t="s">
        <v>4701</v>
      </c>
      <c r="I1742" t="s">
        <v>4699</v>
      </c>
      <c r="J1742" s="10">
        <f t="shared" si="54"/>
        <v>35056</v>
      </c>
      <c r="K1742">
        <f t="shared" si="55"/>
        <v>27</v>
      </c>
    </row>
    <row r="1743" spans="1:11">
      <c r="A1743" t="s">
        <v>1194</v>
      </c>
      <c r="B1743">
        <v>2001</v>
      </c>
      <c r="C1743" t="s">
        <v>4702</v>
      </c>
      <c r="D1743">
        <v>25</v>
      </c>
      <c r="E1743">
        <v>0</v>
      </c>
      <c r="F1743" s="13">
        <v>16586.5</v>
      </c>
      <c r="G1743" t="s">
        <v>4697</v>
      </c>
      <c r="H1743" t="s">
        <v>4701</v>
      </c>
      <c r="I1743" t="s">
        <v>4699</v>
      </c>
      <c r="J1743" s="10">
        <f t="shared" si="54"/>
        <v>37067</v>
      </c>
      <c r="K1743">
        <f t="shared" si="55"/>
        <v>21</v>
      </c>
    </row>
    <row r="1744" spans="1:11">
      <c r="A1744" t="s">
        <v>1192</v>
      </c>
      <c r="B1744">
        <v>1963</v>
      </c>
      <c r="C1744" t="s">
        <v>4702</v>
      </c>
      <c r="D1744">
        <v>25</v>
      </c>
      <c r="E1744">
        <v>0</v>
      </c>
      <c r="F1744" s="13">
        <v>16587.96</v>
      </c>
      <c r="G1744" t="s">
        <v>4697</v>
      </c>
      <c r="H1744" t="s">
        <v>4697</v>
      </c>
      <c r="I1744" t="s">
        <v>4715</v>
      </c>
      <c r="J1744" s="10">
        <f t="shared" si="54"/>
        <v>23187</v>
      </c>
      <c r="K1744">
        <f t="shared" si="55"/>
        <v>59</v>
      </c>
    </row>
    <row r="1745" spans="1:11">
      <c r="A1745" t="s">
        <v>1190</v>
      </c>
      <c r="B1745">
        <v>1970</v>
      </c>
      <c r="C1745" t="s">
        <v>4696</v>
      </c>
      <c r="D1745">
        <v>10</v>
      </c>
      <c r="E1745">
        <v>0</v>
      </c>
      <c r="F1745" s="13">
        <v>16600.16</v>
      </c>
      <c r="G1745" t="s">
        <v>4697</v>
      </c>
      <c r="H1745" t="s">
        <v>4697</v>
      </c>
      <c r="I1745" t="s">
        <v>4708</v>
      </c>
      <c r="J1745" s="10">
        <f t="shared" si="54"/>
        <v>25759</v>
      </c>
      <c r="K1745">
        <f t="shared" si="55"/>
        <v>52</v>
      </c>
    </row>
    <row r="1746" spans="1:11">
      <c r="A1746" t="s">
        <v>1188</v>
      </c>
      <c r="B1746">
        <v>1975</v>
      </c>
      <c r="C1746" t="s">
        <v>4696</v>
      </c>
      <c r="D1746">
        <v>24</v>
      </c>
      <c r="E1746">
        <v>1</v>
      </c>
      <c r="F1746" s="13">
        <v>16602.18</v>
      </c>
      <c r="G1746" t="s">
        <v>4697</v>
      </c>
      <c r="H1746" t="s">
        <v>4701</v>
      </c>
      <c r="I1746" t="s">
        <v>4720</v>
      </c>
      <c r="J1746" s="10">
        <f t="shared" si="54"/>
        <v>27599</v>
      </c>
      <c r="K1746">
        <f t="shared" si="55"/>
        <v>47</v>
      </c>
    </row>
    <row r="1747" spans="1:11">
      <c r="A1747" t="s">
        <v>1186</v>
      </c>
      <c r="B1747">
        <v>1977</v>
      </c>
      <c r="C1747" t="s">
        <v>4703</v>
      </c>
      <c r="D1747">
        <v>25</v>
      </c>
      <c r="E1747">
        <v>2</v>
      </c>
      <c r="F1747" s="13">
        <v>16631.61</v>
      </c>
      <c r="G1747" t="s">
        <v>4697</v>
      </c>
      <c r="H1747" t="s">
        <v>4701</v>
      </c>
      <c r="I1747" t="s">
        <v>4704</v>
      </c>
      <c r="J1747" s="10">
        <f t="shared" si="54"/>
        <v>28393</v>
      </c>
      <c r="K1747">
        <f t="shared" si="55"/>
        <v>45</v>
      </c>
    </row>
    <row r="1748" spans="1:11">
      <c r="A1748" t="s">
        <v>1184</v>
      </c>
      <c r="B1748">
        <v>1993</v>
      </c>
      <c r="C1748" t="s">
        <v>4700</v>
      </c>
      <c r="D1748">
        <v>5</v>
      </c>
      <c r="E1748">
        <v>1</v>
      </c>
      <c r="F1748" s="13">
        <v>16657.72</v>
      </c>
      <c r="G1748" t="s">
        <v>4697</v>
      </c>
      <c r="H1748" t="s">
        <v>4701</v>
      </c>
      <c r="I1748" t="s">
        <v>4714</v>
      </c>
      <c r="J1748" s="10">
        <f t="shared" si="54"/>
        <v>34278</v>
      </c>
      <c r="K1748">
        <f t="shared" si="55"/>
        <v>29</v>
      </c>
    </row>
    <row r="1749" spans="1:11">
      <c r="A1749" t="s">
        <v>1182</v>
      </c>
      <c r="B1749">
        <v>1974</v>
      </c>
      <c r="C1749" t="s">
        <v>4706</v>
      </c>
      <c r="D1749">
        <v>28</v>
      </c>
      <c r="E1749">
        <v>0</v>
      </c>
      <c r="F1749" s="13">
        <v>16770.990000000002</v>
      </c>
      <c r="G1749" t="s">
        <v>4697</v>
      </c>
      <c r="H1749" t="s">
        <v>4701</v>
      </c>
      <c r="I1749" t="s">
        <v>4704</v>
      </c>
      <c r="J1749" s="10">
        <f t="shared" si="54"/>
        <v>27269</v>
      </c>
      <c r="K1749">
        <f t="shared" si="55"/>
        <v>48</v>
      </c>
    </row>
    <row r="1750" spans="1:11">
      <c r="A1750" t="s">
        <v>1180</v>
      </c>
      <c r="B1750">
        <v>1989</v>
      </c>
      <c r="C1750" t="s">
        <v>4703</v>
      </c>
      <c r="D1750">
        <v>23</v>
      </c>
      <c r="E1750">
        <v>2</v>
      </c>
      <c r="F1750" s="13">
        <v>16776.3</v>
      </c>
      <c r="G1750" t="s">
        <v>4697</v>
      </c>
      <c r="H1750" t="s">
        <v>4697</v>
      </c>
      <c r="I1750" t="s">
        <v>4714</v>
      </c>
      <c r="J1750" s="10">
        <f t="shared" si="54"/>
        <v>32774</v>
      </c>
      <c r="K1750">
        <f t="shared" si="55"/>
        <v>33</v>
      </c>
    </row>
    <row r="1751" spans="1:11">
      <c r="A1751" t="s">
        <v>1178</v>
      </c>
      <c r="B1751">
        <v>1962</v>
      </c>
      <c r="C1751" t="s">
        <v>4696</v>
      </c>
      <c r="D1751">
        <v>29</v>
      </c>
      <c r="E1751">
        <v>0</v>
      </c>
      <c r="F1751" s="13">
        <v>16779.400000000001</v>
      </c>
      <c r="G1751" t="s">
        <v>4697</v>
      </c>
      <c r="H1751" t="s">
        <v>4697</v>
      </c>
      <c r="I1751" t="s">
        <v>4720</v>
      </c>
      <c r="J1751" s="10">
        <f t="shared" si="54"/>
        <v>22856</v>
      </c>
      <c r="K1751">
        <f t="shared" si="55"/>
        <v>60</v>
      </c>
    </row>
    <row r="1752" spans="1:11">
      <c r="A1752" t="s">
        <v>1176</v>
      </c>
      <c r="B1752">
        <v>1995</v>
      </c>
      <c r="C1752" t="s">
        <v>4707</v>
      </c>
      <c r="D1752">
        <v>19</v>
      </c>
      <c r="E1752">
        <v>1</v>
      </c>
      <c r="F1752" s="13">
        <v>16796.41</v>
      </c>
      <c r="G1752" t="s">
        <v>4697</v>
      </c>
      <c r="H1752" t="s">
        <v>4698</v>
      </c>
      <c r="I1752" t="s">
        <v>4714</v>
      </c>
      <c r="J1752" s="10">
        <f t="shared" si="54"/>
        <v>34991</v>
      </c>
      <c r="K1752">
        <f t="shared" si="55"/>
        <v>27</v>
      </c>
    </row>
    <row r="1753" spans="1:11">
      <c r="A1753" t="s">
        <v>1174</v>
      </c>
      <c r="B1753">
        <v>1974</v>
      </c>
      <c r="C1753" t="s">
        <v>4706</v>
      </c>
      <c r="D1753">
        <v>8</v>
      </c>
      <c r="E1753">
        <v>0</v>
      </c>
      <c r="F1753" s="13">
        <v>16841.32</v>
      </c>
      <c r="G1753" t="s">
        <v>4697</v>
      </c>
      <c r="H1753" t="s">
        <v>4698</v>
      </c>
      <c r="I1753" t="s">
        <v>4708</v>
      </c>
      <c r="J1753" s="10">
        <f t="shared" si="54"/>
        <v>27249</v>
      </c>
      <c r="K1753">
        <f t="shared" si="55"/>
        <v>48</v>
      </c>
    </row>
    <row r="1754" spans="1:11">
      <c r="A1754" t="s">
        <v>1172</v>
      </c>
      <c r="B1754">
        <v>2003</v>
      </c>
      <c r="C1754" t="s">
        <v>4703</v>
      </c>
      <c r="D1754">
        <v>10</v>
      </c>
      <c r="E1754">
        <v>0</v>
      </c>
      <c r="F1754" s="13">
        <v>16884.919999999998</v>
      </c>
      <c r="G1754" t="s">
        <v>4697</v>
      </c>
      <c r="H1754" t="s">
        <v>4697</v>
      </c>
      <c r="I1754" t="s">
        <v>4708</v>
      </c>
      <c r="J1754" s="10">
        <f t="shared" si="54"/>
        <v>37874</v>
      </c>
      <c r="K1754">
        <f t="shared" si="55"/>
        <v>19</v>
      </c>
    </row>
    <row r="1755" spans="1:11">
      <c r="A1755" t="s">
        <v>1170</v>
      </c>
      <c r="B1755">
        <v>1968</v>
      </c>
      <c r="C1755" t="s">
        <v>4707</v>
      </c>
      <c r="D1755">
        <v>21</v>
      </c>
      <c r="E1755">
        <v>0</v>
      </c>
      <c r="F1755" s="13">
        <v>16903.5</v>
      </c>
      <c r="G1755" t="s">
        <v>4697</v>
      </c>
      <c r="H1755" t="s">
        <v>4698</v>
      </c>
      <c r="I1755" t="s">
        <v>4704</v>
      </c>
      <c r="J1755" s="10">
        <f t="shared" si="54"/>
        <v>25132</v>
      </c>
      <c r="K1755">
        <f t="shared" si="55"/>
        <v>54</v>
      </c>
    </row>
    <row r="1756" spans="1:11">
      <c r="A1756" t="s">
        <v>1168</v>
      </c>
      <c r="B1756">
        <v>1977</v>
      </c>
      <c r="C1756" t="s">
        <v>4706</v>
      </c>
      <c r="D1756">
        <v>25</v>
      </c>
      <c r="E1756">
        <v>2</v>
      </c>
      <c r="F1756" s="13">
        <v>16921.09</v>
      </c>
      <c r="G1756" t="s">
        <v>4697</v>
      </c>
      <c r="H1756" t="s">
        <v>4698</v>
      </c>
      <c r="I1756" t="s">
        <v>4715</v>
      </c>
      <c r="J1756" s="10">
        <f t="shared" si="54"/>
        <v>28362</v>
      </c>
      <c r="K1756">
        <f t="shared" si="55"/>
        <v>45</v>
      </c>
    </row>
    <row r="1757" spans="1:11">
      <c r="A1757" t="s">
        <v>1166</v>
      </c>
      <c r="B1757">
        <v>1980</v>
      </c>
      <c r="C1757" t="s">
        <v>4696</v>
      </c>
      <c r="D1757">
        <v>16</v>
      </c>
      <c r="E1757">
        <v>2</v>
      </c>
      <c r="F1757" s="13">
        <v>16990.55</v>
      </c>
      <c r="G1757" t="s">
        <v>4697</v>
      </c>
      <c r="H1757" t="s">
        <v>4698</v>
      </c>
      <c r="I1757" t="s">
        <v>4704</v>
      </c>
      <c r="J1757" s="10">
        <f t="shared" si="54"/>
        <v>29418</v>
      </c>
      <c r="K1757">
        <f t="shared" si="55"/>
        <v>42</v>
      </c>
    </row>
    <row r="1758" spans="1:11">
      <c r="A1758" t="s">
        <v>1164</v>
      </c>
      <c r="B1758">
        <v>1971</v>
      </c>
      <c r="C1758" t="s">
        <v>4706</v>
      </c>
      <c r="D1758">
        <v>22</v>
      </c>
      <c r="E1758">
        <v>0</v>
      </c>
      <c r="F1758" s="13">
        <v>17016.009999999998</v>
      </c>
      <c r="G1758" t="s">
        <v>4697</v>
      </c>
      <c r="H1758" t="s">
        <v>4697</v>
      </c>
      <c r="I1758" t="s">
        <v>4715</v>
      </c>
      <c r="J1758" s="10">
        <f t="shared" si="54"/>
        <v>26167</v>
      </c>
      <c r="K1758">
        <f t="shared" si="55"/>
        <v>51</v>
      </c>
    </row>
    <row r="1759" spans="1:11">
      <c r="A1759" t="s">
        <v>1162</v>
      </c>
      <c r="B1759">
        <v>1996</v>
      </c>
      <c r="C1759" t="s">
        <v>4702</v>
      </c>
      <c r="D1759">
        <v>10</v>
      </c>
      <c r="E1759">
        <v>0</v>
      </c>
      <c r="F1759" s="13">
        <v>17043.34</v>
      </c>
      <c r="G1759" t="s">
        <v>4697</v>
      </c>
      <c r="H1759" t="s">
        <v>4698</v>
      </c>
      <c r="I1759" t="s">
        <v>4699</v>
      </c>
      <c r="J1759" s="10">
        <f t="shared" si="54"/>
        <v>35226</v>
      </c>
      <c r="K1759">
        <f t="shared" si="55"/>
        <v>26</v>
      </c>
    </row>
    <row r="1760" spans="1:11">
      <c r="A1760" t="s">
        <v>1160</v>
      </c>
      <c r="B1760">
        <v>2003</v>
      </c>
      <c r="C1760" t="s">
        <v>4705</v>
      </c>
      <c r="D1760">
        <v>26</v>
      </c>
      <c r="E1760">
        <v>0</v>
      </c>
      <c r="F1760" s="13">
        <v>17081.080000000002</v>
      </c>
      <c r="G1760" t="s">
        <v>4697</v>
      </c>
      <c r="H1760" t="s">
        <v>4697</v>
      </c>
      <c r="I1760" t="s">
        <v>4708</v>
      </c>
      <c r="J1760" s="10">
        <f t="shared" si="54"/>
        <v>37981</v>
      </c>
      <c r="K1760">
        <f t="shared" si="55"/>
        <v>19</v>
      </c>
    </row>
    <row r="1761" spans="1:11">
      <c r="A1761" t="s">
        <v>1158</v>
      </c>
      <c r="B1761">
        <v>2002</v>
      </c>
      <c r="C1761" t="s">
        <v>4702</v>
      </c>
      <c r="D1761">
        <v>28</v>
      </c>
      <c r="E1761">
        <v>1</v>
      </c>
      <c r="F1761" s="13">
        <v>17085.27</v>
      </c>
      <c r="G1761" t="s">
        <v>4697</v>
      </c>
      <c r="H1761" t="s">
        <v>4698</v>
      </c>
      <c r="I1761" t="s">
        <v>4699</v>
      </c>
      <c r="J1761" s="10">
        <f t="shared" si="54"/>
        <v>37435</v>
      </c>
      <c r="K1761">
        <f t="shared" si="55"/>
        <v>20</v>
      </c>
    </row>
    <row r="1762" spans="1:11">
      <c r="A1762" t="s">
        <v>1156</v>
      </c>
      <c r="B1762">
        <v>1998</v>
      </c>
      <c r="C1762" t="s">
        <v>4702</v>
      </c>
      <c r="D1762">
        <v>3</v>
      </c>
      <c r="E1762">
        <v>4</v>
      </c>
      <c r="F1762" s="13">
        <v>17128.43</v>
      </c>
      <c r="G1762" t="s">
        <v>4697</v>
      </c>
      <c r="H1762" t="s">
        <v>4698</v>
      </c>
      <c r="I1762" t="s">
        <v>4711</v>
      </c>
      <c r="J1762" s="10">
        <f t="shared" si="54"/>
        <v>35949</v>
      </c>
      <c r="K1762">
        <f t="shared" si="55"/>
        <v>25</v>
      </c>
    </row>
    <row r="1763" spans="1:11">
      <c r="A1763" t="s">
        <v>1154</v>
      </c>
      <c r="B1763">
        <v>1965</v>
      </c>
      <c r="C1763" t="s">
        <v>4703</v>
      </c>
      <c r="D1763">
        <v>16</v>
      </c>
      <c r="E1763">
        <v>0</v>
      </c>
      <c r="F1763" s="13">
        <v>17172.27</v>
      </c>
      <c r="G1763" t="s">
        <v>4697</v>
      </c>
      <c r="H1763" t="s">
        <v>4697</v>
      </c>
      <c r="I1763" t="s">
        <v>4720</v>
      </c>
      <c r="J1763" s="10">
        <f t="shared" si="54"/>
        <v>24001</v>
      </c>
      <c r="K1763">
        <f t="shared" si="55"/>
        <v>57</v>
      </c>
    </row>
    <row r="1764" spans="1:11">
      <c r="A1764" t="s">
        <v>1152</v>
      </c>
      <c r="B1764">
        <v>1964</v>
      </c>
      <c r="C1764" t="s">
        <v>4702</v>
      </c>
      <c r="D1764">
        <v>7</v>
      </c>
      <c r="E1764">
        <v>0</v>
      </c>
      <c r="F1764" s="13">
        <v>17174.52</v>
      </c>
      <c r="G1764" t="s">
        <v>4697</v>
      </c>
      <c r="H1764" t="s">
        <v>4697</v>
      </c>
      <c r="I1764" t="s">
        <v>4704</v>
      </c>
      <c r="J1764" s="10">
        <f t="shared" si="54"/>
        <v>23535</v>
      </c>
      <c r="K1764">
        <f t="shared" si="55"/>
        <v>59</v>
      </c>
    </row>
    <row r="1765" spans="1:11">
      <c r="A1765" t="s">
        <v>1150</v>
      </c>
      <c r="B1765">
        <v>2004</v>
      </c>
      <c r="C1765" t="s">
        <v>4706</v>
      </c>
      <c r="D1765">
        <v>18</v>
      </c>
      <c r="E1765">
        <v>1</v>
      </c>
      <c r="F1765" s="13">
        <v>17178.68</v>
      </c>
      <c r="G1765" t="s">
        <v>4697</v>
      </c>
      <c r="H1765" t="s">
        <v>4697</v>
      </c>
      <c r="I1765" t="s">
        <v>4710</v>
      </c>
      <c r="J1765" s="10">
        <f t="shared" si="54"/>
        <v>38217</v>
      </c>
      <c r="K1765">
        <f t="shared" si="55"/>
        <v>18</v>
      </c>
    </row>
    <row r="1766" spans="1:11">
      <c r="A1766" t="s">
        <v>1148</v>
      </c>
      <c r="B1766">
        <v>1982</v>
      </c>
      <c r="C1766" t="s">
        <v>4707</v>
      </c>
      <c r="D1766">
        <v>22</v>
      </c>
      <c r="E1766">
        <v>1</v>
      </c>
      <c r="F1766" s="13">
        <v>17179.52</v>
      </c>
      <c r="G1766" t="s">
        <v>4697</v>
      </c>
      <c r="H1766" t="s">
        <v>4701</v>
      </c>
      <c r="I1766" t="s">
        <v>4699</v>
      </c>
      <c r="J1766" s="10">
        <f t="shared" si="54"/>
        <v>30246</v>
      </c>
      <c r="K1766">
        <f t="shared" si="55"/>
        <v>40</v>
      </c>
    </row>
    <row r="1767" spans="1:11">
      <c r="A1767" t="s">
        <v>1146</v>
      </c>
      <c r="B1767">
        <v>1975</v>
      </c>
      <c r="C1767" t="s">
        <v>4706</v>
      </c>
      <c r="D1767">
        <v>25</v>
      </c>
      <c r="E1767">
        <v>1</v>
      </c>
      <c r="F1767" s="13">
        <v>17253.43</v>
      </c>
      <c r="G1767" t="s">
        <v>4697</v>
      </c>
      <c r="H1767" t="s">
        <v>4698</v>
      </c>
      <c r="I1767" t="s">
        <v>4720</v>
      </c>
      <c r="J1767" s="10">
        <f t="shared" si="54"/>
        <v>27631</v>
      </c>
      <c r="K1767">
        <f t="shared" si="55"/>
        <v>47</v>
      </c>
    </row>
    <row r="1768" spans="1:11">
      <c r="A1768" t="s">
        <v>1144</v>
      </c>
      <c r="B1768">
        <v>1963</v>
      </c>
      <c r="C1768" t="s">
        <v>4696</v>
      </c>
      <c r="D1768">
        <v>12</v>
      </c>
      <c r="E1768">
        <v>0</v>
      </c>
      <c r="F1768" s="13">
        <v>17337.580000000002</v>
      </c>
      <c r="G1768" t="s">
        <v>4697</v>
      </c>
      <c r="H1768" t="s">
        <v>4698</v>
      </c>
      <c r="I1768" t="s">
        <v>4715</v>
      </c>
      <c r="J1768" s="10">
        <f t="shared" si="54"/>
        <v>23204</v>
      </c>
      <c r="K1768">
        <f t="shared" si="55"/>
        <v>59</v>
      </c>
    </row>
    <row r="1769" spans="1:11">
      <c r="A1769" t="s">
        <v>1142</v>
      </c>
      <c r="B1769">
        <v>2003</v>
      </c>
      <c r="C1769" t="s">
        <v>4700</v>
      </c>
      <c r="D1769">
        <v>1</v>
      </c>
      <c r="E1769">
        <v>0</v>
      </c>
      <c r="F1769" s="13">
        <v>17352.68</v>
      </c>
      <c r="G1769" t="s">
        <v>4697</v>
      </c>
      <c r="H1769" t="s">
        <v>4698</v>
      </c>
      <c r="I1769" t="s">
        <v>4704</v>
      </c>
      <c r="J1769" s="10">
        <f t="shared" si="54"/>
        <v>37926</v>
      </c>
      <c r="K1769">
        <f t="shared" si="55"/>
        <v>19</v>
      </c>
    </row>
    <row r="1770" spans="1:11">
      <c r="A1770" t="s">
        <v>1140</v>
      </c>
      <c r="B1770">
        <v>1992</v>
      </c>
      <c r="C1770" t="s">
        <v>4707</v>
      </c>
      <c r="D1770">
        <v>18</v>
      </c>
      <c r="E1770">
        <v>2</v>
      </c>
      <c r="F1770" s="13">
        <v>17361.77</v>
      </c>
      <c r="G1770" t="s">
        <v>4697</v>
      </c>
      <c r="H1770" t="s">
        <v>4701</v>
      </c>
      <c r="I1770" t="s">
        <v>4704</v>
      </c>
      <c r="J1770" s="10">
        <f t="shared" si="54"/>
        <v>33895</v>
      </c>
      <c r="K1770">
        <f t="shared" si="55"/>
        <v>30</v>
      </c>
    </row>
    <row r="1771" spans="1:11">
      <c r="A1771" t="s">
        <v>1138</v>
      </c>
      <c r="B1771">
        <v>2003</v>
      </c>
      <c r="C1771" t="s">
        <v>4700</v>
      </c>
      <c r="D1771">
        <v>2</v>
      </c>
      <c r="E1771">
        <v>0</v>
      </c>
      <c r="F1771" s="13">
        <v>17468.98</v>
      </c>
      <c r="G1771" t="s">
        <v>4697</v>
      </c>
      <c r="H1771" t="s">
        <v>4701</v>
      </c>
      <c r="I1771" t="s">
        <v>4704</v>
      </c>
      <c r="J1771" s="10">
        <f t="shared" si="54"/>
        <v>37927</v>
      </c>
      <c r="K1771">
        <f t="shared" si="55"/>
        <v>19</v>
      </c>
    </row>
    <row r="1772" spans="1:11">
      <c r="A1772" t="s">
        <v>1136</v>
      </c>
      <c r="B1772">
        <v>1971</v>
      </c>
      <c r="C1772" t="s">
        <v>4702</v>
      </c>
      <c r="D1772">
        <v>8</v>
      </c>
      <c r="E1772">
        <v>0</v>
      </c>
      <c r="F1772" s="13">
        <v>17479.53</v>
      </c>
      <c r="G1772" t="s">
        <v>4701</v>
      </c>
      <c r="H1772" t="s">
        <v>4701</v>
      </c>
      <c r="I1772" t="s">
        <v>4704</v>
      </c>
      <c r="J1772" s="10">
        <f t="shared" si="54"/>
        <v>26092</v>
      </c>
      <c r="K1772">
        <f t="shared" si="55"/>
        <v>52</v>
      </c>
    </row>
    <row r="1773" spans="1:11">
      <c r="A1773" t="s">
        <v>1134</v>
      </c>
      <c r="B1773">
        <v>1990</v>
      </c>
      <c r="C1773" t="s">
        <v>4705</v>
      </c>
      <c r="D1773">
        <v>29</v>
      </c>
      <c r="E1773">
        <v>0</v>
      </c>
      <c r="F1773" s="13">
        <v>17496.310000000001</v>
      </c>
      <c r="G1773" t="s">
        <v>4701</v>
      </c>
      <c r="H1773" t="s">
        <v>4697</v>
      </c>
      <c r="I1773" t="s">
        <v>4708</v>
      </c>
      <c r="J1773" s="10">
        <f t="shared" si="54"/>
        <v>33236</v>
      </c>
      <c r="K1773">
        <f t="shared" si="55"/>
        <v>32</v>
      </c>
    </row>
    <row r="1774" spans="1:11">
      <c r="A1774" t="s">
        <v>1132</v>
      </c>
      <c r="B1774">
        <v>1965</v>
      </c>
      <c r="C1774" t="s">
        <v>4702</v>
      </c>
      <c r="D1774">
        <v>16</v>
      </c>
      <c r="E1774">
        <v>0</v>
      </c>
      <c r="F1774" s="13">
        <v>17505.650000000001</v>
      </c>
      <c r="G1774" t="s">
        <v>4701</v>
      </c>
      <c r="H1774" t="s">
        <v>4697</v>
      </c>
      <c r="I1774" t="s">
        <v>4715</v>
      </c>
      <c r="J1774" s="10">
        <f t="shared" si="54"/>
        <v>23909</v>
      </c>
      <c r="K1774">
        <f t="shared" si="55"/>
        <v>57</v>
      </c>
    </row>
    <row r="1775" spans="1:11">
      <c r="A1775" t="s">
        <v>1130</v>
      </c>
      <c r="B1775">
        <v>1968</v>
      </c>
      <c r="C1775" t="s">
        <v>4696</v>
      </c>
      <c r="D1775">
        <v>12</v>
      </c>
      <c r="E1775">
        <v>0</v>
      </c>
      <c r="F1775" s="13">
        <v>17507.47</v>
      </c>
      <c r="G1775" t="s">
        <v>4701</v>
      </c>
      <c r="H1775" t="s">
        <v>4701</v>
      </c>
      <c r="I1775" t="s">
        <v>4720</v>
      </c>
      <c r="J1775" s="10">
        <f t="shared" si="54"/>
        <v>25031</v>
      </c>
      <c r="K1775">
        <f t="shared" si="55"/>
        <v>54</v>
      </c>
    </row>
    <row r="1776" spans="1:11">
      <c r="A1776" t="s">
        <v>1128</v>
      </c>
      <c r="B1776">
        <v>1963</v>
      </c>
      <c r="C1776" t="s">
        <v>4700</v>
      </c>
      <c r="D1776">
        <v>16</v>
      </c>
      <c r="E1776">
        <v>0</v>
      </c>
      <c r="F1776" s="13">
        <v>17556.88</v>
      </c>
      <c r="G1776" t="s">
        <v>4701</v>
      </c>
      <c r="H1776" t="s">
        <v>4697</v>
      </c>
      <c r="I1776" t="s">
        <v>4704</v>
      </c>
      <c r="J1776" s="10">
        <f t="shared" si="54"/>
        <v>23331</v>
      </c>
      <c r="K1776">
        <f t="shared" si="55"/>
        <v>59</v>
      </c>
    </row>
    <row r="1777" spans="1:11">
      <c r="A1777" t="s">
        <v>1126</v>
      </c>
      <c r="B1777">
        <v>2002</v>
      </c>
      <c r="C1777" t="s">
        <v>4706</v>
      </c>
      <c r="D1777">
        <v>25</v>
      </c>
      <c r="E1777">
        <v>1</v>
      </c>
      <c r="F1777" s="13">
        <v>17560.38</v>
      </c>
      <c r="G1777" t="s">
        <v>4701</v>
      </c>
      <c r="H1777" t="s">
        <v>4701</v>
      </c>
      <c r="I1777" t="s">
        <v>4704</v>
      </c>
      <c r="J1777" s="10">
        <f t="shared" si="54"/>
        <v>37493</v>
      </c>
      <c r="K1777">
        <f t="shared" si="55"/>
        <v>20</v>
      </c>
    </row>
    <row r="1778" spans="1:11">
      <c r="A1778" t="s">
        <v>1124</v>
      </c>
      <c r="B1778">
        <v>1970</v>
      </c>
      <c r="C1778" t="s">
        <v>4696</v>
      </c>
      <c r="D1778">
        <v>26</v>
      </c>
      <c r="E1778">
        <v>0</v>
      </c>
      <c r="F1778" s="13">
        <v>17584.72</v>
      </c>
      <c r="G1778" t="s">
        <v>4701</v>
      </c>
      <c r="H1778" t="s">
        <v>4698</v>
      </c>
      <c r="I1778" t="s">
        <v>4704</v>
      </c>
      <c r="J1778" s="10">
        <f t="shared" si="54"/>
        <v>25775</v>
      </c>
      <c r="K1778">
        <f t="shared" si="55"/>
        <v>52</v>
      </c>
    </row>
    <row r="1779" spans="1:11">
      <c r="A1779" t="s">
        <v>1122</v>
      </c>
      <c r="B1779">
        <v>1990</v>
      </c>
      <c r="C1779" t="s">
        <v>4707</v>
      </c>
      <c r="D1779">
        <v>25</v>
      </c>
      <c r="E1779">
        <v>1</v>
      </c>
      <c r="F1779" s="13">
        <v>17626.240000000002</v>
      </c>
      <c r="G1779" t="s">
        <v>4701</v>
      </c>
      <c r="H1779" t="s">
        <v>4698</v>
      </c>
      <c r="I1779" t="s">
        <v>4699</v>
      </c>
      <c r="J1779" s="10">
        <f t="shared" si="54"/>
        <v>33171</v>
      </c>
      <c r="K1779">
        <f t="shared" si="55"/>
        <v>32</v>
      </c>
    </row>
    <row r="1780" spans="1:11">
      <c r="A1780" t="s">
        <v>1120</v>
      </c>
      <c r="B1780">
        <v>1994</v>
      </c>
      <c r="C1780" t="s">
        <v>4696</v>
      </c>
      <c r="D1780">
        <v>1</v>
      </c>
      <c r="E1780">
        <v>3</v>
      </c>
      <c r="F1780" s="13">
        <v>17663.14</v>
      </c>
      <c r="G1780" t="s">
        <v>4701</v>
      </c>
      <c r="H1780" t="s">
        <v>4698</v>
      </c>
      <c r="I1780" t="s">
        <v>4699</v>
      </c>
      <c r="J1780" s="10">
        <f t="shared" si="54"/>
        <v>34516</v>
      </c>
      <c r="K1780">
        <f t="shared" si="55"/>
        <v>28</v>
      </c>
    </row>
    <row r="1781" spans="1:11">
      <c r="A1781" t="s">
        <v>1118</v>
      </c>
      <c r="B1781">
        <v>2003</v>
      </c>
      <c r="C1781" t="s">
        <v>4696</v>
      </c>
      <c r="D1781">
        <v>14</v>
      </c>
      <c r="E1781">
        <v>0</v>
      </c>
      <c r="F1781" s="13">
        <v>17748.509999999998</v>
      </c>
      <c r="G1781" t="s">
        <v>4701</v>
      </c>
      <c r="H1781" t="s">
        <v>4701</v>
      </c>
      <c r="I1781" t="s">
        <v>4704</v>
      </c>
      <c r="J1781" s="10">
        <f t="shared" si="54"/>
        <v>37816</v>
      </c>
      <c r="K1781">
        <f t="shared" si="55"/>
        <v>19</v>
      </c>
    </row>
    <row r="1782" spans="1:11">
      <c r="A1782" t="s">
        <v>1116</v>
      </c>
      <c r="B1782">
        <v>1966</v>
      </c>
      <c r="C1782" t="s">
        <v>4702</v>
      </c>
      <c r="D1782">
        <v>21</v>
      </c>
      <c r="E1782">
        <v>0</v>
      </c>
      <c r="F1782" s="13">
        <v>17777.73</v>
      </c>
      <c r="G1782" t="s">
        <v>4701</v>
      </c>
      <c r="H1782" t="s">
        <v>4698</v>
      </c>
      <c r="I1782" t="s">
        <v>4704</v>
      </c>
      <c r="J1782" s="10">
        <f t="shared" si="54"/>
        <v>24279</v>
      </c>
      <c r="K1782">
        <f t="shared" si="55"/>
        <v>56</v>
      </c>
    </row>
    <row r="1783" spans="1:11">
      <c r="A1783" t="s">
        <v>1114</v>
      </c>
      <c r="B1783">
        <v>1979</v>
      </c>
      <c r="C1783" t="s">
        <v>4707</v>
      </c>
      <c r="D1783">
        <v>10</v>
      </c>
      <c r="E1783">
        <v>2</v>
      </c>
      <c r="F1783" s="13">
        <v>17779.939999999999</v>
      </c>
      <c r="G1783" t="s">
        <v>4701</v>
      </c>
      <c r="H1783" t="s">
        <v>4697</v>
      </c>
      <c r="I1783" t="s">
        <v>4704</v>
      </c>
      <c r="J1783" s="10">
        <f t="shared" si="54"/>
        <v>29138</v>
      </c>
      <c r="K1783">
        <f t="shared" si="55"/>
        <v>43</v>
      </c>
    </row>
    <row r="1784" spans="1:11">
      <c r="A1784" t="s">
        <v>1112</v>
      </c>
      <c r="B1784">
        <v>1963</v>
      </c>
      <c r="C1784" t="s">
        <v>4705</v>
      </c>
      <c r="D1784">
        <v>8</v>
      </c>
      <c r="E1784">
        <v>0</v>
      </c>
      <c r="F1784" s="13">
        <v>17832.599999999999</v>
      </c>
      <c r="G1784" t="s">
        <v>4701</v>
      </c>
      <c r="H1784" t="s">
        <v>4697</v>
      </c>
      <c r="I1784" t="s">
        <v>4704</v>
      </c>
      <c r="J1784" s="10">
        <f t="shared" si="54"/>
        <v>23353</v>
      </c>
      <c r="K1784">
        <f t="shared" si="55"/>
        <v>59</v>
      </c>
    </row>
    <row r="1785" spans="1:11">
      <c r="A1785" t="s">
        <v>1110</v>
      </c>
      <c r="B1785">
        <v>1976</v>
      </c>
      <c r="C1785" t="s">
        <v>4705</v>
      </c>
      <c r="D1785">
        <v>12</v>
      </c>
      <c r="E1785">
        <v>2</v>
      </c>
      <c r="F1785" s="13">
        <v>17862.919999999998</v>
      </c>
      <c r="G1785" t="s">
        <v>4701</v>
      </c>
      <c r="H1785" t="s">
        <v>4697</v>
      </c>
      <c r="I1785" t="s">
        <v>4704</v>
      </c>
      <c r="J1785" s="10">
        <f t="shared" si="54"/>
        <v>28106</v>
      </c>
      <c r="K1785">
        <f t="shared" si="55"/>
        <v>46</v>
      </c>
    </row>
    <row r="1786" spans="1:11">
      <c r="A1786" t="s">
        <v>1108</v>
      </c>
      <c r="B1786">
        <v>1997</v>
      </c>
      <c r="C1786" t="s">
        <v>4706</v>
      </c>
      <c r="D1786">
        <v>26</v>
      </c>
      <c r="E1786">
        <v>0</v>
      </c>
      <c r="F1786" s="13">
        <v>17878.900000000001</v>
      </c>
      <c r="G1786" t="s">
        <v>4701</v>
      </c>
      <c r="H1786" t="s">
        <v>4697</v>
      </c>
      <c r="I1786" t="s">
        <v>4714</v>
      </c>
      <c r="J1786" s="10">
        <f t="shared" si="54"/>
        <v>35668</v>
      </c>
      <c r="K1786">
        <f t="shared" si="55"/>
        <v>25</v>
      </c>
    </row>
    <row r="1787" spans="1:11">
      <c r="A1787" t="s">
        <v>1106</v>
      </c>
      <c r="B1787">
        <v>1979</v>
      </c>
      <c r="C1787" t="s">
        <v>4700</v>
      </c>
      <c r="D1787">
        <v>12</v>
      </c>
      <c r="E1787">
        <v>2</v>
      </c>
      <c r="F1787" s="13">
        <v>17882.669999999998</v>
      </c>
      <c r="G1787" t="s">
        <v>4701</v>
      </c>
      <c r="H1787" t="s">
        <v>4698</v>
      </c>
      <c r="I1787" t="s">
        <v>4704</v>
      </c>
      <c r="J1787" s="10">
        <f t="shared" si="54"/>
        <v>29171</v>
      </c>
      <c r="K1787">
        <f t="shared" si="55"/>
        <v>43</v>
      </c>
    </row>
    <row r="1788" spans="1:11">
      <c r="A1788" t="s">
        <v>1104</v>
      </c>
      <c r="B1788">
        <v>1989</v>
      </c>
      <c r="C1788" t="s">
        <v>4705</v>
      </c>
      <c r="D1788">
        <v>4</v>
      </c>
      <c r="E1788">
        <v>0</v>
      </c>
      <c r="F1788" s="13">
        <v>17904.53</v>
      </c>
      <c r="G1788" t="s">
        <v>4701</v>
      </c>
      <c r="H1788" t="s">
        <v>4697</v>
      </c>
      <c r="I1788" t="s">
        <v>4718</v>
      </c>
      <c r="J1788" s="10">
        <f t="shared" si="54"/>
        <v>32846</v>
      </c>
      <c r="K1788">
        <f t="shared" si="55"/>
        <v>33</v>
      </c>
    </row>
    <row r="1789" spans="1:11">
      <c r="A1789" t="s">
        <v>1102</v>
      </c>
      <c r="B1789">
        <v>1977</v>
      </c>
      <c r="C1789" t="s">
        <v>4707</v>
      </c>
      <c r="D1789">
        <v>17</v>
      </c>
      <c r="E1789">
        <v>0</v>
      </c>
      <c r="F1789" s="13">
        <v>17929.3</v>
      </c>
      <c r="G1789" t="s">
        <v>4701</v>
      </c>
      <c r="H1789" t="s">
        <v>4697</v>
      </c>
      <c r="I1789" t="s">
        <v>4699</v>
      </c>
      <c r="J1789" s="10">
        <f t="shared" si="54"/>
        <v>28415</v>
      </c>
      <c r="K1789">
        <f t="shared" si="55"/>
        <v>45</v>
      </c>
    </row>
    <row r="1790" spans="1:11">
      <c r="A1790" t="s">
        <v>1100</v>
      </c>
      <c r="B1790">
        <v>2001</v>
      </c>
      <c r="C1790" t="s">
        <v>4703</v>
      </c>
      <c r="D1790">
        <v>28</v>
      </c>
      <c r="E1790">
        <v>4</v>
      </c>
      <c r="F1790" s="13">
        <v>17942.11</v>
      </c>
      <c r="G1790" t="s">
        <v>4701</v>
      </c>
      <c r="H1790" t="s">
        <v>4697</v>
      </c>
      <c r="I1790" t="s">
        <v>4708</v>
      </c>
      <c r="J1790" s="10">
        <f t="shared" si="54"/>
        <v>37162</v>
      </c>
      <c r="K1790">
        <f t="shared" si="55"/>
        <v>21</v>
      </c>
    </row>
    <row r="1791" spans="1:11">
      <c r="A1791" t="s">
        <v>1098</v>
      </c>
      <c r="B1791">
        <v>1975</v>
      </c>
      <c r="C1791" t="s">
        <v>4702</v>
      </c>
      <c r="D1791">
        <v>27</v>
      </c>
      <c r="E1791">
        <v>1</v>
      </c>
      <c r="F1791" s="13">
        <v>18031.16</v>
      </c>
      <c r="G1791" t="s">
        <v>4701</v>
      </c>
      <c r="H1791" t="s">
        <v>4698</v>
      </c>
      <c r="I1791" t="s">
        <v>4715</v>
      </c>
      <c r="J1791" s="10">
        <f t="shared" si="54"/>
        <v>27572</v>
      </c>
      <c r="K1791">
        <f t="shared" si="55"/>
        <v>47</v>
      </c>
    </row>
    <row r="1792" spans="1:11">
      <c r="A1792" t="s">
        <v>1096</v>
      </c>
      <c r="B1792">
        <v>1965</v>
      </c>
      <c r="C1792" t="s">
        <v>4707</v>
      </c>
      <c r="D1792">
        <v>17</v>
      </c>
      <c r="E1792">
        <v>0</v>
      </c>
      <c r="F1792" s="13">
        <v>18031.189999999999</v>
      </c>
      <c r="G1792" t="s">
        <v>4701</v>
      </c>
      <c r="H1792" t="s">
        <v>4697</v>
      </c>
      <c r="I1792" t="s">
        <v>4704</v>
      </c>
      <c r="J1792" s="10">
        <f t="shared" si="54"/>
        <v>24032</v>
      </c>
      <c r="K1792">
        <f t="shared" si="55"/>
        <v>57</v>
      </c>
    </row>
    <row r="1793" spans="1:11">
      <c r="A1793" t="s">
        <v>1094</v>
      </c>
      <c r="B1793">
        <v>1999</v>
      </c>
      <c r="C1793" t="s">
        <v>4707</v>
      </c>
      <c r="D1793">
        <v>24</v>
      </c>
      <c r="E1793">
        <v>0</v>
      </c>
      <c r="F1793" s="13">
        <v>18033.97</v>
      </c>
      <c r="G1793" t="s">
        <v>4701</v>
      </c>
      <c r="H1793" t="s">
        <v>4701</v>
      </c>
      <c r="I1793" t="s">
        <v>4704</v>
      </c>
      <c r="J1793" s="10">
        <f t="shared" si="54"/>
        <v>36457</v>
      </c>
      <c r="K1793">
        <f t="shared" si="55"/>
        <v>23</v>
      </c>
    </row>
    <row r="1794" spans="1:11">
      <c r="A1794" t="s">
        <v>1092</v>
      </c>
      <c r="B1794">
        <v>1993</v>
      </c>
      <c r="C1794" t="s">
        <v>4696</v>
      </c>
      <c r="D1794">
        <v>12</v>
      </c>
      <c r="E1794">
        <v>2</v>
      </c>
      <c r="F1794" s="13">
        <v>18157.88</v>
      </c>
      <c r="G1794" t="s">
        <v>4701</v>
      </c>
      <c r="H1794" t="s">
        <v>4701</v>
      </c>
      <c r="I1794" t="s">
        <v>4704</v>
      </c>
      <c r="J1794" s="10">
        <f t="shared" ref="J1794:J1857" si="56">DATEVALUE(D1794&amp;"-"&amp;C1794&amp;"-"&amp;B1794)</f>
        <v>34162</v>
      </c>
      <c r="K1794">
        <f t="shared" si="55"/>
        <v>29</v>
      </c>
    </row>
    <row r="1795" spans="1:11">
      <c r="A1795" t="s">
        <v>1090</v>
      </c>
      <c r="B1795">
        <v>1963</v>
      </c>
      <c r="C1795" t="s">
        <v>4696</v>
      </c>
      <c r="D1795">
        <v>4</v>
      </c>
      <c r="E1795">
        <v>0</v>
      </c>
      <c r="F1795" s="13">
        <v>18208.34</v>
      </c>
      <c r="G1795" t="s">
        <v>4701</v>
      </c>
      <c r="H1795" t="s">
        <v>4697</v>
      </c>
      <c r="I1795" t="s">
        <v>4720</v>
      </c>
      <c r="J1795" s="10">
        <f t="shared" si="56"/>
        <v>23196</v>
      </c>
      <c r="K1795">
        <f t="shared" ref="K1795:K1858" si="57">DATEDIF(J1795, DATE(2023, 6, 8), "Y")</f>
        <v>59</v>
      </c>
    </row>
    <row r="1796" spans="1:11">
      <c r="A1796" t="s">
        <v>1088</v>
      </c>
      <c r="B1796">
        <v>1997</v>
      </c>
      <c r="C1796" t="s">
        <v>4702</v>
      </c>
      <c r="D1796">
        <v>15</v>
      </c>
      <c r="E1796">
        <v>1</v>
      </c>
      <c r="F1796" s="13">
        <v>18218.16</v>
      </c>
      <c r="G1796" t="s">
        <v>4701</v>
      </c>
      <c r="H1796" t="s">
        <v>4701</v>
      </c>
      <c r="I1796" t="s">
        <v>4699</v>
      </c>
      <c r="J1796" s="10">
        <f t="shared" si="56"/>
        <v>35596</v>
      </c>
      <c r="K1796">
        <f t="shared" si="57"/>
        <v>25</v>
      </c>
    </row>
    <row r="1797" spans="1:11">
      <c r="A1797" t="s">
        <v>1086</v>
      </c>
      <c r="B1797">
        <v>2004</v>
      </c>
      <c r="C1797" t="s">
        <v>4703</v>
      </c>
      <c r="D1797">
        <v>10</v>
      </c>
      <c r="E1797">
        <v>3</v>
      </c>
      <c r="F1797" s="13">
        <v>18223.45</v>
      </c>
      <c r="G1797" t="s">
        <v>4701</v>
      </c>
      <c r="H1797" t="s">
        <v>4698</v>
      </c>
      <c r="I1797" t="s">
        <v>4699</v>
      </c>
      <c r="J1797" s="10">
        <f t="shared" si="56"/>
        <v>38240</v>
      </c>
      <c r="K1797">
        <f t="shared" si="57"/>
        <v>18</v>
      </c>
    </row>
    <row r="1798" spans="1:11">
      <c r="A1798" t="s">
        <v>1084</v>
      </c>
      <c r="B1798">
        <v>1995</v>
      </c>
      <c r="C1798" t="s">
        <v>4706</v>
      </c>
      <c r="D1798">
        <v>3</v>
      </c>
      <c r="E1798">
        <v>0</v>
      </c>
      <c r="F1798" s="13">
        <v>18246.5</v>
      </c>
      <c r="G1798" t="s">
        <v>4701</v>
      </c>
      <c r="H1798" t="s">
        <v>4701</v>
      </c>
      <c r="I1798" t="s">
        <v>4699</v>
      </c>
      <c r="J1798" s="10">
        <f t="shared" si="56"/>
        <v>34914</v>
      </c>
      <c r="K1798">
        <f t="shared" si="57"/>
        <v>27</v>
      </c>
    </row>
    <row r="1799" spans="1:11">
      <c r="A1799" t="s">
        <v>1082</v>
      </c>
      <c r="B1799">
        <v>1992</v>
      </c>
      <c r="C1799" t="s">
        <v>4705</v>
      </c>
      <c r="D1799">
        <v>25</v>
      </c>
      <c r="E1799">
        <v>3</v>
      </c>
      <c r="F1799" s="13">
        <v>18259.22</v>
      </c>
      <c r="G1799" t="s">
        <v>4701</v>
      </c>
      <c r="H1799" t="s">
        <v>4698</v>
      </c>
      <c r="I1799" t="s">
        <v>4708</v>
      </c>
      <c r="J1799" s="10">
        <f t="shared" si="56"/>
        <v>33963</v>
      </c>
      <c r="K1799">
        <f t="shared" si="57"/>
        <v>30</v>
      </c>
    </row>
    <row r="1800" spans="1:11">
      <c r="A1800" t="s">
        <v>1080</v>
      </c>
      <c r="B1800">
        <v>1995</v>
      </c>
      <c r="C1800" t="s">
        <v>4696</v>
      </c>
      <c r="D1800">
        <v>4</v>
      </c>
      <c r="E1800">
        <v>0</v>
      </c>
      <c r="F1800" s="13">
        <v>18310.740000000002</v>
      </c>
      <c r="G1800" t="s">
        <v>4701</v>
      </c>
      <c r="H1800" t="s">
        <v>4698</v>
      </c>
      <c r="I1800" t="s">
        <v>4704</v>
      </c>
      <c r="J1800" s="10">
        <f t="shared" si="56"/>
        <v>34884</v>
      </c>
      <c r="K1800">
        <f t="shared" si="57"/>
        <v>27</v>
      </c>
    </row>
    <row r="1801" spans="1:11">
      <c r="A1801" t="s">
        <v>1078</v>
      </c>
      <c r="B1801">
        <v>1999</v>
      </c>
      <c r="C1801" t="s">
        <v>4705</v>
      </c>
      <c r="D1801">
        <v>15</v>
      </c>
      <c r="E1801">
        <v>1</v>
      </c>
      <c r="F1801" s="13">
        <v>18328.240000000002</v>
      </c>
      <c r="G1801" t="s">
        <v>4701</v>
      </c>
      <c r="H1801" t="s">
        <v>4697</v>
      </c>
      <c r="I1801" t="s">
        <v>4699</v>
      </c>
      <c r="J1801" s="10">
        <f t="shared" si="56"/>
        <v>36509</v>
      </c>
      <c r="K1801">
        <f t="shared" si="57"/>
        <v>23</v>
      </c>
    </row>
    <row r="1802" spans="1:11">
      <c r="A1802" t="s">
        <v>1076</v>
      </c>
      <c r="B1802">
        <v>1964</v>
      </c>
      <c r="C1802" t="s">
        <v>4703</v>
      </c>
      <c r="D1802">
        <v>26</v>
      </c>
      <c r="E1802">
        <v>0</v>
      </c>
      <c r="F1802" s="13">
        <v>18443.11</v>
      </c>
      <c r="G1802" t="s">
        <v>4701</v>
      </c>
      <c r="H1802" t="s">
        <v>4697</v>
      </c>
      <c r="I1802" t="s">
        <v>4704</v>
      </c>
      <c r="J1802" s="10">
        <f t="shared" si="56"/>
        <v>23646</v>
      </c>
      <c r="K1802">
        <f t="shared" si="57"/>
        <v>58</v>
      </c>
    </row>
    <row r="1803" spans="1:11">
      <c r="A1803" t="s">
        <v>1074</v>
      </c>
      <c r="B1803">
        <v>1986</v>
      </c>
      <c r="C1803" t="s">
        <v>4706</v>
      </c>
      <c r="D1803">
        <v>12</v>
      </c>
      <c r="E1803">
        <v>2</v>
      </c>
      <c r="F1803" s="13">
        <v>18608.259999999998</v>
      </c>
      <c r="G1803" t="s">
        <v>4701</v>
      </c>
      <c r="H1803" t="s">
        <v>4698</v>
      </c>
      <c r="I1803" t="s">
        <v>4708</v>
      </c>
      <c r="J1803" s="10">
        <f t="shared" si="56"/>
        <v>31636</v>
      </c>
      <c r="K1803">
        <f t="shared" si="57"/>
        <v>36</v>
      </c>
    </row>
    <row r="1804" spans="1:11">
      <c r="A1804" t="s">
        <v>1072</v>
      </c>
      <c r="B1804">
        <v>1998</v>
      </c>
      <c r="C1804" t="s">
        <v>4703</v>
      </c>
      <c r="D1804">
        <v>23</v>
      </c>
      <c r="E1804">
        <v>0</v>
      </c>
      <c r="F1804" s="13">
        <v>18648.419999999998</v>
      </c>
      <c r="G1804" t="s">
        <v>4701</v>
      </c>
      <c r="H1804" t="s">
        <v>4701</v>
      </c>
      <c r="I1804" t="s">
        <v>4710</v>
      </c>
      <c r="J1804" s="10">
        <f t="shared" si="56"/>
        <v>36061</v>
      </c>
      <c r="K1804">
        <f t="shared" si="57"/>
        <v>24</v>
      </c>
    </row>
    <row r="1805" spans="1:11">
      <c r="A1805" t="s">
        <v>1070</v>
      </c>
      <c r="B1805">
        <v>1970</v>
      </c>
      <c r="C1805" t="s">
        <v>4707</v>
      </c>
      <c r="D1805">
        <v>17</v>
      </c>
      <c r="E1805">
        <v>0</v>
      </c>
      <c r="F1805" s="13">
        <v>18682.740000000002</v>
      </c>
      <c r="G1805" t="s">
        <v>4701</v>
      </c>
      <c r="H1805" t="s">
        <v>4698</v>
      </c>
      <c r="I1805" t="s">
        <v>4704</v>
      </c>
      <c r="J1805" s="10">
        <f t="shared" si="56"/>
        <v>25858</v>
      </c>
      <c r="K1805">
        <f t="shared" si="57"/>
        <v>52</v>
      </c>
    </row>
    <row r="1806" spans="1:11">
      <c r="A1806" t="s">
        <v>1068</v>
      </c>
      <c r="B1806">
        <v>1967</v>
      </c>
      <c r="C1806" t="s">
        <v>4706</v>
      </c>
      <c r="D1806">
        <v>30</v>
      </c>
      <c r="E1806">
        <v>0</v>
      </c>
      <c r="F1806" s="13">
        <v>18694.689999999999</v>
      </c>
      <c r="G1806" t="s">
        <v>4701</v>
      </c>
      <c r="H1806" t="s">
        <v>4701</v>
      </c>
      <c r="I1806" t="s">
        <v>4715</v>
      </c>
      <c r="J1806" s="10">
        <f t="shared" si="56"/>
        <v>24714</v>
      </c>
      <c r="K1806">
        <f t="shared" si="57"/>
        <v>55</v>
      </c>
    </row>
    <row r="1807" spans="1:11">
      <c r="A1807" t="s">
        <v>1066</v>
      </c>
      <c r="B1807">
        <v>1992</v>
      </c>
      <c r="C1807" t="s">
        <v>4705</v>
      </c>
      <c r="D1807">
        <v>27</v>
      </c>
      <c r="E1807">
        <v>3</v>
      </c>
      <c r="F1807" s="13">
        <v>18765.88</v>
      </c>
      <c r="G1807" t="s">
        <v>4701</v>
      </c>
      <c r="H1807" t="s">
        <v>4697</v>
      </c>
      <c r="I1807" t="s">
        <v>4704</v>
      </c>
      <c r="J1807" s="10">
        <f t="shared" si="56"/>
        <v>33965</v>
      </c>
      <c r="K1807">
        <f t="shared" si="57"/>
        <v>30</v>
      </c>
    </row>
    <row r="1808" spans="1:11">
      <c r="A1808" t="s">
        <v>1064</v>
      </c>
      <c r="B1808">
        <v>1979</v>
      </c>
      <c r="C1808" t="s">
        <v>4700</v>
      </c>
      <c r="D1808">
        <v>19</v>
      </c>
      <c r="E1808">
        <v>2</v>
      </c>
      <c r="F1808" s="13">
        <v>18767.740000000002</v>
      </c>
      <c r="G1808" t="s">
        <v>4701</v>
      </c>
      <c r="H1808" t="s">
        <v>4701</v>
      </c>
      <c r="I1808" t="s">
        <v>4699</v>
      </c>
      <c r="J1808" s="10">
        <f t="shared" si="56"/>
        <v>29178</v>
      </c>
      <c r="K1808">
        <f t="shared" si="57"/>
        <v>43</v>
      </c>
    </row>
    <row r="1809" spans="1:11">
      <c r="A1809" t="s">
        <v>1062</v>
      </c>
      <c r="B1809">
        <v>1995</v>
      </c>
      <c r="C1809" t="s">
        <v>4700</v>
      </c>
      <c r="D1809">
        <v>28</v>
      </c>
      <c r="E1809">
        <v>3</v>
      </c>
      <c r="F1809" s="13">
        <v>18804.75</v>
      </c>
      <c r="G1809" t="s">
        <v>4701</v>
      </c>
      <c r="H1809" t="s">
        <v>4701</v>
      </c>
      <c r="I1809" t="s">
        <v>4704</v>
      </c>
      <c r="J1809" s="10">
        <f t="shared" si="56"/>
        <v>35031</v>
      </c>
      <c r="K1809">
        <f t="shared" si="57"/>
        <v>27</v>
      </c>
    </row>
    <row r="1810" spans="1:11">
      <c r="A1810" t="s">
        <v>1060</v>
      </c>
      <c r="B1810">
        <v>1979</v>
      </c>
      <c r="C1810" t="s">
        <v>4707</v>
      </c>
      <c r="D1810">
        <v>15</v>
      </c>
      <c r="E1810">
        <v>2</v>
      </c>
      <c r="F1810" s="13">
        <v>18806.150000000001</v>
      </c>
      <c r="G1810" t="s">
        <v>4701</v>
      </c>
      <c r="H1810" t="s">
        <v>4697</v>
      </c>
      <c r="I1810" t="s">
        <v>4699</v>
      </c>
      <c r="J1810" s="10">
        <f t="shared" si="56"/>
        <v>29143</v>
      </c>
      <c r="K1810">
        <f t="shared" si="57"/>
        <v>43</v>
      </c>
    </row>
    <row r="1811" spans="1:11">
      <c r="A1811" t="s">
        <v>1058</v>
      </c>
      <c r="B1811">
        <v>1962</v>
      </c>
      <c r="C1811" t="s">
        <v>4705</v>
      </c>
      <c r="D1811">
        <v>18</v>
      </c>
      <c r="E1811">
        <v>0</v>
      </c>
      <c r="F1811" s="13">
        <v>18815.53</v>
      </c>
      <c r="G1811" t="s">
        <v>4701</v>
      </c>
      <c r="H1811" t="s">
        <v>4701</v>
      </c>
      <c r="I1811" t="s">
        <v>4715</v>
      </c>
      <c r="J1811" s="10">
        <f t="shared" si="56"/>
        <v>22998</v>
      </c>
      <c r="K1811">
        <f t="shared" si="57"/>
        <v>60</v>
      </c>
    </row>
    <row r="1812" spans="1:11">
      <c r="A1812" t="s">
        <v>1056</v>
      </c>
      <c r="B1812">
        <v>2003</v>
      </c>
      <c r="C1812" t="s">
        <v>4696</v>
      </c>
      <c r="D1812">
        <v>24</v>
      </c>
      <c r="E1812">
        <v>3</v>
      </c>
      <c r="F1812" s="13">
        <v>18838.7</v>
      </c>
      <c r="G1812" t="s">
        <v>4701</v>
      </c>
      <c r="H1812" t="s">
        <v>4698</v>
      </c>
      <c r="I1812" t="s">
        <v>4704</v>
      </c>
      <c r="J1812" s="10">
        <f t="shared" si="56"/>
        <v>37826</v>
      </c>
      <c r="K1812">
        <f t="shared" si="57"/>
        <v>19</v>
      </c>
    </row>
    <row r="1813" spans="1:11">
      <c r="A1813" t="s">
        <v>1054</v>
      </c>
      <c r="B1813">
        <v>1963</v>
      </c>
      <c r="C1813" t="s">
        <v>4705</v>
      </c>
      <c r="D1813">
        <v>6</v>
      </c>
      <c r="E1813">
        <v>0</v>
      </c>
      <c r="F1813" s="13">
        <v>18883.330000000002</v>
      </c>
      <c r="G1813" t="s">
        <v>4701</v>
      </c>
      <c r="H1813" t="s">
        <v>4701</v>
      </c>
      <c r="I1813" t="s">
        <v>4720</v>
      </c>
      <c r="J1813" s="10">
        <f t="shared" si="56"/>
        <v>23351</v>
      </c>
      <c r="K1813">
        <f t="shared" si="57"/>
        <v>59</v>
      </c>
    </row>
    <row r="1814" spans="1:11">
      <c r="A1814" t="s">
        <v>1052</v>
      </c>
      <c r="B1814">
        <v>1995</v>
      </c>
      <c r="C1814" t="s">
        <v>4703</v>
      </c>
      <c r="D1814">
        <v>27</v>
      </c>
      <c r="E1814">
        <v>1</v>
      </c>
      <c r="F1814" s="13">
        <v>18903.490000000002</v>
      </c>
      <c r="G1814" t="s">
        <v>4701</v>
      </c>
      <c r="H1814" t="s">
        <v>4697</v>
      </c>
      <c r="I1814" t="s">
        <v>4714</v>
      </c>
      <c r="J1814" s="10">
        <f t="shared" si="56"/>
        <v>34969</v>
      </c>
      <c r="K1814">
        <f t="shared" si="57"/>
        <v>27</v>
      </c>
    </row>
    <row r="1815" spans="1:11">
      <c r="A1815" t="s">
        <v>1050</v>
      </c>
      <c r="B1815">
        <v>1969</v>
      </c>
      <c r="C1815" t="s">
        <v>4706</v>
      </c>
      <c r="D1815">
        <v>3</v>
      </c>
      <c r="E1815">
        <v>0</v>
      </c>
      <c r="F1815" s="13">
        <v>18932.810000000001</v>
      </c>
      <c r="G1815" t="s">
        <v>4701</v>
      </c>
      <c r="H1815" t="s">
        <v>4698</v>
      </c>
      <c r="I1815" t="s">
        <v>4704</v>
      </c>
      <c r="J1815" s="10">
        <f t="shared" si="56"/>
        <v>25418</v>
      </c>
      <c r="K1815">
        <f t="shared" si="57"/>
        <v>53</v>
      </c>
    </row>
    <row r="1816" spans="1:11">
      <c r="A1816" t="s">
        <v>1048</v>
      </c>
      <c r="B1816">
        <v>1963</v>
      </c>
      <c r="C1816" t="s">
        <v>4707</v>
      </c>
      <c r="D1816">
        <v>20</v>
      </c>
      <c r="E1816">
        <v>0</v>
      </c>
      <c r="F1816" s="13">
        <v>18954.560000000001</v>
      </c>
      <c r="G1816" t="s">
        <v>4701</v>
      </c>
      <c r="H1816" t="s">
        <v>4701</v>
      </c>
      <c r="I1816" t="s">
        <v>4720</v>
      </c>
      <c r="J1816" s="10">
        <f t="shared" si="56"/>
        <v>23304</v>
      </c>
      <c r="K1816">
        <f t="shared" si="57"/>
        <v>59</v>
      </c>
    </row>
    <row r="1817" spans="1:11">
      <c r="A1817" t="s">
        <v>1046</v>
      </c>
      <c r="B1817">
        <v>1998</v>
      </c>
      <c r="C1817" t="s">
        <v>4706</v>
      </c>
      <c r="D1817">
        <v>6</v>
      </c>
      <c r="E1817">
        <v>0</v>
      </c>
      <c r="F1817" s="13">
        <v>18955.22</v>
      </c>
      <c r="G1817" t="s">
        <v>4701</v>
      </c>
      <c r="H1817" t="s">
        <v>4698</v>
      </c>
      <c r="I1817" t="s">
        <v>4708</v>
      </c>
      <c r="J1817" s="10">
        <f t="shared" si="56"/>
        <v>36013</v>
      </c>
      <c r="K1817">
        <f t="shared" si="57"/>
        <v>24</v>
      </c>
    </row>
    <row r="1818" spans="1:11">
      <c r="A1818" t="s">
        <v>1044</v>
      </c>
      <c r="B1818">
        <v>1992</v>
      </c>
      <c r="C1818" t="s">
        <v>4700</v>
      </c>
      <c r="D1818">
        <v>30</v>
      </c>
      <c r="E1818">
        <v>1</v>
      </c>
      <c r="F1818" s="13">
        <v>18963.169999999998</v>
      </c>
      <c r="G1818" t="s">
        <v>4701</v>
      </c>
      <c r="H1818" t="s">
        <v>4701</v>
      </c>
      <c r="I1818" t="s">
        <v>4699</v>
      </c>
      <c r="J1818" s="10">
        <f t="shared" si="56"/>
        <v>33938</v>
      </c>
      <c r="K1818">
        <f t="shared" si="57"/>
        <v>30</v>
      </c>
    </row>
    <row r="1819" spans="1:11">
      <c r="A1819" t="s">
        <v>1042</v>
      </c>
      <c r="B1819">
        <v>1988</v>
      </c>
      <c r="C1819" t="s">
        <v>4707</v>
      </c>
      <c r="D1819">
        <v>24</v>
      </c>
      <c r="E1819">
        <v>2</v>
      </c>
      <c r="F1819" s="13">
        <v>18972.5</v>
      </c>
      <c r="G1819" t="s">
        <v>4701</v>
      </c>
      <c r="H1819" t="s">
        <v>4698</v>
      </c>
      <c r="I1819" t="s">
        <v>4699</v>
      </c>
      <c r="J1819" s="10">
        <f t="shared" si="56"/>
        <v>32440</v>
      </c>
      <c r="K1819">
        <f t="shared" si="57"/>
        <v>34</v>
      </c>
    </row>
    <row r="1820" spans="1:11">
      <c r="A1820" t="s">
        <v>1040</v>
      </c>
      <c r="B1820">
        <v>1983</v>
      </c>
      <c r="C1820" t="s">
        <v>4705</v>
      </c>
      <c r="D1820">
        <v>19</v>
      </c>
      <c r="E1820">
        <v>5</v>
      </c>
      <c r="F1820" s="13">
        <v>19023.259999999998</v>
      </c>
      <c r="G1820" t="s">
        <v>4701</v>
      </c>
      <c r="H1820" t="s">
        <v>4698</v>
      </c>
      <c r="I1820" t="s">
        <v>4708</v>
      </c>
      <c r="J1820" s="10">
        <f t="shared" si="56"/>
        <v>30669</v>
      </c>
      <c r="K1820">
        <f t="shared" si="57"/>
        <v>39</v>
      </c>
    </row>
    <row r="1821" spans="1:11">
      <c r="A1821" t="s">
        <v>1038</v>
      </c>
      <c r="B1821">
        <v>1989</v>
      </c>
      <c r="C1821" t="s">
        <v>4702</v>
      </c>
      <c r="D1821">
        <v>5</v>
      </c>
      <c r="E1821">
        <v>1</v>
      </c>
      <c r="F1821" s="13">
        <v>19040.88</v>
      </c>
      <c r="G1821" t="s">
        <v>4701</v>
      </c>
      <c r="H1821" t="s">
        <v>4698</v>
      </c>
      <c r="I1821" t="s">
        <v>4708</v>
      </c>
      <c r="J1821" s="10">
        <f t="shared" si="56"/>
        <v>32664</v>
      </c>
      <c r="K1821">
        <f t="shared" si="57"/>
        <v>34</v>
      </c>
    </row>
    <row r="1822" spans="1:11">
      <c r="A1822" t="s">
        <v>1036</v>
      </c>
      <c r="B1822">
        <v>1993</v>
      </c>
      <c r="C1822" t="s">
        <v>4703</v>
      </c>
      <c r="D1822">
        <v>28</v>
      </c>
      <c r="E1822">
        <v>1</v>
      </c>
      <c r="F1822" s="13">
        <v>19107.78</v>
      </c>
      <c r="G1822" t="s">
        <v>4701</v>
      </c>
      <c r="H1822" t="s">
        <v>4697</v>
      </c>
      <c r="I1822" t="s">
        <v>4699</v>
      </c>
      <c r="J1822" s="10">
        <f t="shared" si="56"/>
        <v>34240</v>
      </c>
      <c r="K1822">
        <f t="shared" si="57"/>
        <v>29</v>
      </c>
    </row>
    <row r="1823" spans="1:11">
      <c r="A1823" t="s">
        <v>1034</v>
      </c>
      <c r="B1823">
        <v>1979</v>
      </c>
      <c r="C1823" t="s">
        <v>4696</v>
      </c>
      <c r="D1823">
        <v>2</v>
      </c>
      <c r="E1823">
        <v>2</v>
      </c>
      <c r="F1823" s="13">
        <v>19144.580000000002</v>
      </c>
      <c r="G1823" t="s">
        <v>4701</v>
      </c>
      <c r="H1823" t="s">
        <v>4701</v>
      </c>
      <c r="I1823" t="s">
        <v>4714</v>
      </c>
      <c r="J1823" s="10">
        <f t="shared" si="56"/>
        <v>29038</v>
      </c>
      <c r="K1823">
        <f t="shared" si="57"/>
        <v>43</v>
      </c>
    </row>
    <row r="1824" spans="1:11">
      <c r="A1824" t="s">
        <v>1032</v>
      </c>
      <c r="B1824">
        <v>1991</v>
      </c>
      <c r="C1824" t="s">
        <v>4703</v>
      </c>
      <c r="D1824">
        <v>16</v>
      </c>
      <c r="E1824">
        <v>3</v>
      </c>
      <c r="F1824" s="13">
        <v>19199.939999999999</v>
      </c>
      <c r="G1824" t="s">
        <v>4701</v>
      </c>
      <c r="H1824" t="s">
        <v>4698</v>
      </c>
      <c r="I1824" t="s">
        <v>4708</v>
      </c>
      <c r="J1824" s="10">
        <f t="shared" si="56"/>
        <v>33497</v>
      </c>
      <c r="K1824">
        <f t="shared" si="57"/>
        <v>31</v>
      </c>
    </row>
    <row r="1825" spans="1:11">
      <c r="A1825" t="s">
        <v>1030</v>
      </c>
      <c r="B1825">
        <v>1985</v>
      </c>
      <c r="C1825" t="s">
        <v>4705</v>
      </c>
      <c r="D1825">
        <v>28</v>
      </c>
      <c r="E1825">
        <v>0</v>
      </c>
      <c r="F1825" s="13">
        <v>19214.71</v>
      </c>
      <c r="G1825" t="s">
        <v>4701</v>
      </c>
      <c r="H1825" t="s">
        <v>4698</v>
      </c>
      <c r="I1825" t="s">
        <v>4699</v>
      </c>
      <c r="J1825" s="10">
        <f t="shared" si="56"/>
        <v>31409</v>
      </c>
      <c r="K1825">
        <f t="shared" si="57"/>
        <v>37</v>
      </c>
    </row>
    <row r="1826" spans="1:11">
      <c r="A1826" t="s">
        <v>1028</v>
      </c>
      <c r="B1826">
        <v>1967</v>
      </c>
      <c r="C1826" t="s">
        <v>4696</v>
      </c>
      <c r="D1826">
        <v>29</v>
      </c>
      <c r="E1826">
        <v>0</v>
      </c>
      <c r="F1826" s="13">
        <v>19259.96</v>
      </c>
      <c r="G1826" t="s">
        <v>4701</v>
      </c>
      <c r="H1826" t="s">
        <v>4701</v>
      </c>
      <c r="I1826" t="s">
        <v>4704</v>
      </c>
      <c r="J1826" s="10">
        <f t="shared" si="56"/>
        <v>24682</v>
      </c>
      <c r="K1826">
        <f t="shared" si="57"/>
        <v>55</v>
      </c>
    </row>
    <row r="1827" spans="1:11">
      <c r="A1827" t="s">
        <v>1026</v>
      </c>
      <c r="B1827">
        <v>1966</v>
      </c>
      <c r="C1827" t="s">
        <v>4700</v>
      </c>
      <c r="D1827">
        <v>15</v>
      </c>
      <c r="E1827">
        <v>0</v>
      </c>
      <c r="F1827" s="13">
        <v>19321.060000000001</v>
      </c>
      <c r="G1827" t="s">
        <v>4701</v>
      </c>
      <c r="H1827" t="s">
        <v>4701</v>
      </c>
      <c r="I1827" t="s">
        <v>4704</v>
      </c>
      <c r="J1827" s="10">
        <f t="shared" si="56"/>
        <v>24426</v>
      </c>
      <c r="K1827">
        <f t="shared" si="57"/>
        <v>56</v>
      </c>
    </row>
    <row r="1828" spans="1:11">
      <c r="A1828" t="s">
        <v>1024</v>
      </c>
      <c r="B1828">
        <v>1991</v>
      </c>
      <c r="C1828" t="s">
        <v>4706</v>
      </c>
      <c r="D1828">
        <v>24</v>
      </c>
      <c r="E1828">
        <v>0</v>
      </c>
      <c r="F1828" s="13">
        <v>19350.37</v>
      </c>
      <c r="G1828" t="s">
        <v>4701</v>
      </c>
      <c r="H1828" t="s">
        <v>4698</v>
      </c>
      <c r="I1828" t="s">
        <v>4699</v>
      </c>
      <c r="J1828" s="10">
        <f t="shared" si="56"/>
        <v>33474</v>
      </c>
      <c r="K1828">
        <f t="shared" si="57"/>
        <v>31</v>
      </c>
    </row>
    <row r="1829" spans="1:11">
      <c r="A1829" t="s">
        <v>1022</v>
      </c>
      <c r="B1829">
        <v>1987</v>
      </c>
      <c r="C1829" t="s">
        <v>4702</v>
      </c>
      <c r="D1829">
        <v>30</v>
      </c>
      <c r="E1829">
        <v>3</v>
      </c>
      <c r="F1829" s="13">
        <v>19362</v>
      </c>
      <c r="G1829" t="s">
        <v>4701</v>
      </c>
      <c r="H1829" t="s">
        <v>4698</v>
      </c>
      <c r="I1829" t="s">
        <v>4699</v>
      </c>
      <c r="J1829" s="10">
        <f t="shared" si="56"/>
        <v>31958</v>
      </c>
      <c r="K1829">
        <f t="shared" si="57"/>
        <v>35</v>
      </c>
    </row>
    <row r="1830" spans="1:11">
      <c r="A1830" t="s">
        <v>1020</v>
      </c>
      <c r="B1830">
        <v>1993</v>
      </c>
      <c r="C1830" t="s">
        <v>4703</v>
      </c>
      <c r="D1830">
        <v>6</v>
      </c>
      <c r="E1830">
        <v>2</v>
      </c>
      <c r="F1830" s="13">
        <v>19442.349999999999</v>
      </c>
      <c r="G1830" t="s">
        <v>4701</v>
      </c>
      <c r="H1830" t="s">
        <v>4698</v>
      </c>
      <c r="I1830" t="s">
        <v>4704</v>
      </c>
      <c r="J1830" s="10">
        <f t="shared" si="56"/>
        <v>34218</v>
      </c>
      <c r="K1830">
        <f t="shared" si="57"/>
        <v>29</v>
      </c>
    </row>
    <row r="1831" spans="1:11">
      <c r="A1831" t="s">
        <v>1018</v>
      </c>
      <c r="B1831">
        <v>1982</v>
      </c>
      <c r="C1831" t="s">
        <v>4705</v>
      </c>
      <c r="D1831">
        <v>15</v>
      </c>
      <c r="E1831">
        <v>2</v>
      </c>
      <c r="F1831" s="13">
        <v>19444.27</v>
      </c>
      <c r="G1831" t="s">
        <v>4701</v>
      </c>
      <c r="H1831" t="s">
        <v>4701</v>
      </c>
      <c r="I1831" t="s">
        <v>4699</v>
      </c>
      <c r="J1831" s="10">
        <f t="shared" si="56"/>
        <v>30300</v>
      </c>
      <c r="K1831">
        <f t="shared" si="57"/>
        <v>40</v>
      </c>
    </row>
    <row r="1832" spans="1:11">
      <c r="A1832" t="s">
        <v>1016</v>
      </c>
      <c r="B1832">
        <v>1987</v>
      </c>
      <c r="C1832" t="s">
        <v>4700</v>
      </c>
      <c r="D1832">
        <v>30</v>
      </c>
      <c r="E1832">
        <v>4</v>
      </c>
      <c r="F1832" s="13">
        <v>19496.72</v>
      </c>
      <c r="G1832" t="s">
        <v>4701</v>
      </c>
      <c r="H1832" t="s">
        <v>4698</v>
      </c>
      <c r="I1832" t="s">
        <v>4710</v>
      </c>
      <c r="J1832" s="10">
        <f t="shared" si="56"/>
        <v>32111</v>
      </c>
      <c r="K1832">
        <f t="shared" si="57"/>
        <v>35</v>
      </c>
    </row>
    <row r="1833" spans="1:11">
      <c r="A1833" t="s">
        <v>1014</v>
      </c>
      <c r="B1833">
        <v>1980</v>
      </c>
      <c r="C1833" t="s">
        <v>4700</v>
      </c>
      <c r="D1833">
        <v>8</v>
      </c>
      <c r="E1833">
        <v>0</v>
      </c>
      <c r="F1833" s="13">
        <v>19515.54</v>
      </c>
      <c r="G1833" t="s">
        <v>4701</v>
      </c>
      <c r="H1833" t="s">
        <v>4701</v>
      </c>
      <c r="I1833" t="s">
        <v>4699</v>
      </c>
      <c r="J1833" s="10">
        <f t="shared" si="56"/>
        <v>29533</v>
      </c>
      <c r="K1833">
        <f t="shared" si="57"/>
        <v>42</v>
      </c>
    </row>
    <row r="1834" spans="1:11">
      <c r="A1834" t="s">
        <v>1012</v>
      </c>
      <c r="B1834">
        <v>1992</v>
      </c>
      <c r="C1834" t="s">
        <v>4706</v>
      </c>
      <c r="D1834">
        <v>19</v>
      </c>
      <c r="E1834">
        <v>1</v>
      </c>
      <c r="F1834" s="13">
        <v>19521.97</v>
      </c>
      <c r="G1834" t="s">
        <v>4701</v>
      </c>
      <c r="H1834" t="s">
        <v>4697</v>
      </c>
      <c r="I1834" t="s">
        <v>4699</v>
      </c>
      <c r="J1834" s="10">
        <f t="shared" si="56"/>
        <v>33835</v>
      </c>
      <c r="K1834">
        <f t="shared" si="57"/>
        <v>30</v>
      </c>
    </row>
    <row r="1835" spans="1:11">
      <c r="A1835" t="s">
        <v>1010</v>
      </c>
      <c r="B1835">
        <v>1985</v>
      </c>
      <c r="C1835" t="s">
        <v>4703</v>
      </c>
      <c r="D1835">
        <v>17</v>
      </c>
      <c r="E1835">
        <v>0</v>
      </c>
      <c r="F1835" s="13">
        <v>19539.240000000002</v>
      </c>
      <c r="G1835" t="s">
        <v>4701</v>
      </c>
      <c r="H1835" t="s">
        <v>4701</v>
      </c>
      <c r="I1835" t="s">
        <v>4699</v>
      </c>
      <c r="J1835" s="10">
        <f t="shared" si="56"/>
        <v>31307</v>
      </c>
      <c r="K1835">
        <f t="shared" si="57"/>
        <v>37</v>
      </c>
    </row>
    <row r="1836" spans="1:11">
      <c r="A1836" t="s">
        <v>1008</v>
      </c>
      <c r="B1836">
        <v>1963</v>
      </c>
      <c r="C1836" t="s">
        <v>4696</v>
      </c>
      <c r="D1836">
        <v>14</v>
      </c>
      <c r="E1836">
        <v>0</v>
      </c>
      <c r="F1836" s="13">
        <v>19551.34</v>
      </c>
      <c r="G1836" t="s">
        <v>4701</v>
      </c>
      <c r="H1836" t="s">
        <v>4698</v>
      </c>
      <c r="I1836" t="s">
        <v>4704</v>
      </c>
      <c r="J1836" s="10">
        <f t="shared" si="56"/>
        <v>23206</v>
      </c>
      <c r="K1836">
        <f t="shared" si="57"/>
        <v>59</v>
      </c>
    </row>
    <row r="1837" spans="1:11">
      <c r="A1837" t="s">
        <v>1006</v>
      </c>
      <c r="B1837">
        <v>1978</v>
      </c>
      <c r="C1837" t="s">
        <v>4703</v>
      </c>
      <c r="D1837">
        <v>24</v>
      </c>
      <c r="E1837">
        <v>1</v>
      </c>
      <c r="F1837" s="13">
        <v>19594.810000000001</v>
      </c>
      <c r="G1837" t="s">
        <v>4701</v>
      </c>
      <c r="H1837" t="s">
        <v>4701</v>
      </c>
      <c r="I1837" t="s">
        <v>4714</v>
      </c>
      <c r="J1837" s="10">
        <f t="shared" si="56"/>
        <v>28757</v>
      </c>
      <c r="K1837">
        <f t="shared" si="57"/>
        <v>44</v>
      </c>
    </row>
    <row r="1838" spans="1:11">
      <c r="A1838" t="s">
        <v>1004</v>
      </c>
      <c r="B1838">
        <v>1994</v>
      </c>
      <c r="C1838" t="s">
        <v>4706</v>
      </c>
      <c r="D1838">
        <v>27</v>
      </c>
      <c r="E1838">
        <v>0</v>
      </c>
      <c r="F1838" s="13">
        <v>19673.34</v>
      </c>
      <c r="G1838" t="s">
        <v>4701</v>
      </c>
      <c r="H1838" t="s">
        <v>4697</v>
      </c>
      <c r="I1838" t="s">
        <v>4704</v>
      </c>
      <c r="J1838" s="10">
        <f t="shared" si="56"/>
        <v>34573</v>
      </c>
      <c r="K1838">
        <f t="shared" si="57"/>
        <v>28</v>
      </c>
    </row>
    <row r="1839" spans="1:11">
      <c r="A1839" t="s">
        <v>1002</v>
      </c>
      <c r="B1839">
        <v>1990</v>
      </c>
      <c r="C1839" t="s">
        <v>4706</v>
      </c>
      <c r="D1839">
        <v>8</v>
      </c>
      <c r="E1839">
        <v>1</v>
      </c>
      <c r="F1839" s="13">
        <v>19719.689999999999</v>
      </c>
      <c r="G1839" t="s">
        <v>4701</v>
      </c>
      <c r="H1839" t="s">
        <v>4697</v>
      </c>
      <c r="I1839" t="s">
        <v>4699</v>
      </c>
      <c r="J1839" s="10">
        <f t="shared" si="56"/>
        <v>33093</v>
      </c>
      <c r="K1839">
        <f t="shared" si="57"/>
        <v>32</v>
      </c>
    </row>
    <row r="1840" spans="1:11">
      <c r="A1840" t="s">
        <v>1000</v>
      </c>
      <c r="B1840">
        <v>1972</v>
      </c>
      <c r="C1840" t="s">
        <v>4702</v>
      </c>
      <c r="D1840">
        <v>14</v>
      </c>
      <c r="E1840">
        <v>3</v>
      </c>
      <c r="F1840" s="13">
        <v>19749.38</v>
      </c>
      <c r="G1840" t="s">
        <v>4701</v>
      </c>
      <c r="H1840" t="s">
        <v>4698</v>
      </c>
      <c r="I1840" t="s">
        <v>4699</v>
      </c>
      <c r="J1840" s="10">
        <f t="shared" si="56"/>
        <v>26464</v>
      </c>
      <c r="K1840">
        <f t="shared" si="57"/>
        <v>50</v>
      </c>
    </row>
    <row r="1841" spans="1:11">
      <c r="A1841" t="s">
        <v>998</v>
      </c>
      <c r="B1841">
        <v>1979</v>
      </c>
      <c r="C1841" t="s">
        <v>4707</v>
      </c>
      <c r="D1841">
        <v>30</v>
      </c>
      <c r="E1841">
        <v>2</v>
      </c>
      <c r="F1841" s="13">
        <v>19798.05</v>
      </c>
      <c r="G1841" t="s">
        <v>4701</v>
      </c>
      <c r="H1841" t="s">
        <v>4701</v>
      </c>
      <c r="I1841" t="s">
        <v>4714</v>
      </c>
      <c r="J1841" s="10">
        <f t="shared" si="56"/>
        <v>29158</v>
      </c>
      <c r="K1841">
        <f t="shared" si="57"/>
        <v>43</v>
      </c>
    </row>
    <row r="1842" spans="1:11">
      <c r="A1842" t="s">
        <v>996</v>
      </c>
      <c r="B1842">
        <v>1997</v>
      </c>
      <c r="C1842" t="s">
        <v>4707</v>
      </c>
      <c r="D1842">
        <v>18</v>
      </c>
      <c r="E1842">
        <v>3</v>
      </c>
      <c r="F1842" s="13">
        <v>19933.46</v>
      </c>
      <c r="G1842" t="s">
        <v>4701</v>
      </c>
      <c r="H1842" t="s">
        <v>4698</v>
      </c>
      <c r="I1842" t="s">
        <v>4708</v>
      </c>
      <c r="J1842" s="10">
        <f t="shared" si="56"/>
        <v>35721</v>
      </c>
      <c r="K1842">
        <f t="shared" si="57"/>
        <v>25</v>
      </c>
    </row>
    <row r="1843" spans="1:11">
      <c r="A1843" t="s">
        <v>994</v>
      </c>
      <c r="B1843">
        <v>1980</v>
      </c>
      <c r="C1843" t="s">
        <v>4707</v>
      </c>
      <c r="D1843">
        <v>9</v>
      </c>
      <c r="E1843">
        <v>0</v>
      </c>
      <c r="F1843" s="13">
        <v>19964.75</v>
      </c>
      <c r="G1843" t="s">
        <v>4701</v>
      </c>
      <c r="H1843" t="s">
        <v>4697</v>
      </c>
      <c r="I1843" t="s">
        <v>4714</v>
      </c>
      <c r="J1843" s="10">
        <f t="shared" si="56"/>
        <v>29503</v>
      </c>
      <c r="K1843">
        <f t="shared" si="57"/>
        <v>42</v>
      </c>
    </row>
    <row r="1844" spans="1:11">
      <c r="A1844" t="s">
        <v>992</v>
      </c>
      <c r="B1844">
        <v>1966</v>
      </c>
      <c r="C1844" t="s">
        <v>4706</v>
      </c>
      <c r="D1844">
        <v>10</v>
      </c>
      <c r="E1844">
        <v>0</v>
      </c>
      <c r="F1844" s="13">
        <v>19995.29</v>
      </c>
      <c r="G1844" t="s">
        <v>4701</v>
      </c>
      <c r="H1844" t="s">
        <v>4698</v>
      </c>
      <c r="I1844" t="s">
        <v>4720</v>
      </c>
      <c r="J1844" s="10">
        <f t="shared" si="56"/>
        <v>24329</v>
      </c>
      <c r="K1844">
        <f t="shared" si="57"/>
        <v>56</v>
      </c>
    </row>
    <row r="1845" spans="1:11">
      <c r="A1845" t="s">
        <v>990</v>
      </c>
      <c r="B1845">
        <v>1988</v>
      </c>
      <c r="C1845" t="s">
        <v>4696</v>
      </c>
      <c r="D1845">
        <v>25</v>
      </c>
      <c r="E1845">
        <v>1</v>
      </c>
      <c r="F1845" s="13">
        <v>20009.63</v>
      </c>
      <c r="G1845" t="s">
        <v>4697</v>
      </c>
      <c r="H1845" t="s">
        <v>4701</v>
      </c>
      <c r="I1845" t="s">
        <v>4704</v>
      </c>
      <c r="J1845" s="10">
        <f t="shared" si="56"/>
        <v>32349</v>
      </c>
      <c r="K1845">
        <f t="shared" si="57"/>
        <v>34</v>
      </c>
    </row>
    <row r="1846" spans="1:11">
      <c r="A1846" t="s">
        <v>988</v>
      </c>
      <c r="B1846">
        <v>1983</v>
      </c>
      <c r="C1846" t="s">
        <v>4707</v>
      </c>
      <c r="D1846">
        <v>6</v>
      </c>
      <c r="E1846">
        <v>0</v>
      </c>
      <c r="F1846" s="13">
        <v>20149.32</v>
      </c>
      <c r="G1846" t="s">
        <v>4697</v>
      </c>
      <c r="H1846" t="s">
        <v>4701</v>
      </c>
      <c r="I1846" t="s">
        <v>4711</v>
      </c>
      <c r="J1846" s="10">
        <f t="shared" si="56"/>
        <v>30595</v>
      </c>
      <c r="K1846">
        <f t="shared" si="57"/>
        <v>39</v>
      </c>
    </row>
    <row r="1847" spans="1:11">
      <c r="A1847" t="s">
        <v>986</v>
      </c>
      <c r="B1847">
        <v>2002</v>
      </c>
      <c r="C1847" t="s">
        <v>4696</v>
      </c>
      <c r="D1847">
        <v>9</v>
      </c>
      <c r="E1847">
        <v>0</v>
      </c>
      <c r="F1847" s="13">
        <v>20167.34</v>
      </c>
      <c r="G1847" t="s">
        <v>4698</v>
      </c>
      <c r="H1847" t="s">
        <v>4698</v>
      </c>
      <c r="I1847" t="s">
        <v>4708</v>
      </c>
      <c r="J1847" s="10">
        <f t="shared" si="56"/>
        <v>37446</v>
      </c>
      <c r="K1847">
        <f t="shared" si="57"/>
        <v>20</v>
      </c>
    </row>
    <row r="1848" spans="1:11">
      <c r="A1848" t="s">
        <v>984</v>
      </c>
      <c r="B1848">
        <v>1994</v>
      </c>
      <c r="C1848" t="s">
        <v>4702</v>
      </c>
      <c r="D1848">
        <v>8</v>
      </c>
      <c r="E1848">
        <v>2</v>
      </c>
      <c r="F1848" s="13">
        <v>20177.669999999998</v>
      </c>
      <c r="G1848" t="s">
        <v>4697</v>
      </c>
      <c r="H1848" t="s">
        <v>4701</v>
      </c>
      <c r="I1848" t="s">
        <v>4708</v>
      </c>
      <c r="J1848" s="10">
        <f t="shared" si="56"/>
        <v>34493</v>
      </c>
      <c r="K1848">
        <f t="shared" si="57"/>
        <v>29</v>
      </c>
    </row>
    <row r="1849" spans="1:11">
      <c r="A1849" t="s">
        <v>982</v>
      </c>
      <c r="B1849">
        <v>1987</v>
      </c>
      <c r="C1849" t="s">
        <v>4707</v>
      </c>
      <c r="D1849">
        <v>17</v>
      </c>
      <c r="E1849">
        <v>0</v>
      </c>
      <c r="F1849" s="13">
        <v>20234.849999999999</v>
      </c>
      <c r="G1849" t="s">
        <v>4697</v>
      </c>
      <c r="H1849" t="s">
        <v>4698</v>
      </c>
      <c r="I1849" t="s">
        <v>4704</v>
      </c>
      <c r="J1849" s="10">
        <f t="shared" si="56"/>
        <v>32067</v>
      </c>
      <c r="K1849">
        <f t="shared" si="57"/>
        <v>35</v>
      </c>
    </row>
    <row r="1850" spans="1:11">
      <c r="A1850" t="s">
        <v>980</v>
      </c>
      <c r="B1850">
        <v>1966</v>
      </c>
      <c r="C1850" t="s">
        <v>4706</v>
      </c>
      <c r="D1850">
        <v>22</v>
      </c>
      <c r="E1850">
        <v>0</v>
      </c>
      <c r="F1850" s="13">
        <v>20253.84</v>
      </c>
      <c r="G1850" t="s">
        <v>4697</v>
      </c>
      <c r="H1850" t="s">
        <v>4698</v>
      </c>
      <c r="I1850" t="s">
        <v>4704</v>
      </c>
      <c r="J1850" s="10">
        <f t="shared" si="56"/>
        <v>24341</v>
      </c>
      <c r="K1850">
        <f t="shared" si="57"/>
        <v>56</v>
      </c>
    </row>
    <row r="1851" spans="1:11">
      <c r="A1851" t="s">
        <v>978</v>
      </c>
      <c r="B1851">
        <v>1993</v>
      </c>
      <c r="C1851" t="s">
        <v>4703</v>
      </c>
      <c r="D1851">
        <v>7</v>
      </c>
      <c r="E1851">
        <v>1</v>
      </c>
      <c r="F1851" s="13">
        <v>20277.810000000001</v>
      </c>
      <c r="G1851" t="s">
        <v>4698</v>
      </c>
      <c r="H1851" t="s">
        <v>4698</v>
      </c>
      <c r="I1851" t="s">
        <v>4711</v>
      </c>
      <c r="J1851" s="10">
        <f t="shared" si="56"/>
        <v>34219</v>
      </c>
      <c r="K1851">
        <f t="shared" si="57"/>
        <v>29</v>
      </c>
    </row>
    <row r="1852" spans="1:11">
      <c r="A1852" t="s">
        <v>976</v>
      </c>
      <c r="B1852">
        <v>1985</v>
      </c>
      <c r="C1852" t="s">
        <v>4703</v>
      </c>
      <c r="D1852">
        <v>17</v>
      </c>
      <c r="E1852">
        <v>1</v>
      </c>
      <c r="F1852" s="13">
        <v>20296.86</v>
      </c>
      <c r="G1852" t="s">
        <v>4698</v>
      </c>
      <c r="H1852" t="s">
        <v>4701</v>
      </c>
      <c r="I1852" t="s">
        <v>4714</v>
      </c>
      <c r="J1852" s="10">
        <f t="shared" si="56"/>
        <v>31307</v>
      </c>
      <c r="K1852">
        <f t="shared" si="57"/>
        <v>37</v>
      </c>
    </row>
    <row r="1853" spans="1:11">
      <c r="A1853" t="s">
        <v>974</v>
      </c>
      <c r="B1853">
        <v>1962</v>
      </c>
      <c r="C1853" t="s">
        <v>4696</v>
      </c>
      <c r="D1853">
        <v>2</v>
      </c>
      <c r="E1853">
        <v>0</v>
      </c>
      <c r="F1853" s="13">
        <v>20354.5</v>
      </c>
      <c r="G1853" t="s">
        <v>4698</v>
      </c>
      <c r="H1853" t="s">
        <v>4697</v>
      </c>
      <c r="I1853" t="s">
        <v>4720</v>
      </c>
      <c r="J1853" s="10">
        <f t="shared" si="56"/>
        <v>22829</v>
      </c>
      <c r="K1853">
        <f t="shared" si="57"/>
        <v>60</v>
      </c>
    </row>
    <row r="1854" spans="1:11">
      <c r="A1854" t="s">
        <v>972</v>
      </c>
      <c r="B1854">
        <v>1985</v>
      </c>
      <c r="C1854" t="s">
        <v>4696</v>
      </c>
      <c r="D1854">
        <v>12</v>
      </c>
      <c r="E1854">
        <v>0</v>
      </c>
      <c r="F1854" s="13">
        <v>20420.599999999999</v>
      </c>
      <c r="G1854" t="s">
        <v>4698</v>
      </c>
      <c r="H1854" t="s">
        <v>4697</v>
      </c>
      <c r="I1854" t="s">
        <v>4708</v>
      </c>
      <c r="J1854" s="10">
        <f t="shared" si="56"/>
        <v>31240</v>
      </c>
      <c r="K1854">
        <f t="shared" si="57"/>
        <v>37</v>
      </c>
    </row>
    <row r="1855" spans="1:11">
      <c r="A1855" t="s">
        <v>970</v>
      </c>
      <c r="B1855">
        <v>1962</v>
      </c>
      <c r="C1855" t="s">
        <v>4707</v>
      </c>
      <c r="D1855">
        <v>18</v>
      </c>
      <c r="E1855">
        <v>0</v>
      </c>
      <c r="F1855" s="13">
        <v>20446.849999999999</v>
      </c>
      <c r="G1855" t="s">
        <v>4697</v>
      </c>
      <c r="H1855" t="s">
        <v>4701</v>
      </c>
      <c r="I1855" t="s">
        <v>4704</v>
      </c>
      <c r="J1855" s="10">
        <f t="shared" si="56"/>
        <v>22937</v>
      </c>
      <c r="K1855">
        <f t="shared" si="57"/>
        <v>60</v>
      </c>
    </row>
    <row r="1856" spans="1:11">
      <c r="A1856" t="s">
        <v>968</v>
      </c>
      <c r="B1856">
        <v>1969</v>
      </c>
      <c r="C1856" t="s">
        <v>4707</v>
      </c>
      <c r="D1856">
        <v>13</v>
      </c>
      <c r="E1856">
        <v>3</v>
      </c>
      <c r="F1856" s="13">
        <v>20463</v>
      </c>
      <c r="G1856" t="s">
        <v>4697</v>
      </c>
      <c r="H1856" t="s">
        <v>4697</v>
      </c>
      <c r="I1856" t="s">
        <v>4699</v>
      </c>
      <c r="J1856" s="10">
        <f t="shared" si="56"/>
        <v>25489</v>
      </c>
      <c r="K1856">
        <f t="shared" si="57"/>
        <v>53</v>
      </c>
    </row>
    <row r="1857" spans="1:11">
      <c r="A1857" t="s">
        <v>966</v>
      </c>
      <c r="B1857">
        <v>1966</v>
      </c>
      <c r="C1857" t="s">
        <v>4696</v>
      </c>
      <c r="D1857">
        <v>9</v>
      </c>
      <c r="E1857">
        <v>0</v>
      </c>
      <c r="F1857" s="13">
        <v>20568.32</v>
      </c>
      <c r="G1857" t="s">
        <v>4698</v>
      </c>
      <c r="H1857" t="s">
        <v>4697</v>
      </c>
      <c r="I1857" t="s">
        <v>4704</v>
      </c>
      <c r="J1857" s="10">
        <f t="shared" si="56"/>
        <v>24297</v>
      </c>
      <c r="K1857">
        <f t="shared" si="57"/>
        <v>56</v>
      </c>
    </row>
    <row r="1858" spans="1:11">
      <c r="A1858" t="s">
        <v>964</v>
      </c>
      <c r="B1858">
        <v>1967</v>
      </c>
      <c r="C1858" t="s">
        <v>4705</v>
      </c>
      <c r="D1858">
        <v>17</v>
      </c>
      <c r="E1858">
        <v>0</v>
      </c>
      <c r="F1858" s="13">
        <v>20630.28</v>
      </c>
      <c r="G1858" t="s">
        <v>4697</v>
      </c>
      <c r="H1858" t="s">
        <v>4698</v>
      </c>
      <c r="I1858" t="s">
        <v>4708</v>
      </c>
      <c r="J1858" s="10">
        <f t="shared" ref="J1858:J1921" si="58">DATEVALUE(D1858&amp;"-"&amp;C1858&amp;"-"&amp;B1858)</f>
        <v>24823</v>
      </c>
      <c r="K1858">
        <f t="shared" si="57"/>
        <v>55</v>
      </c>
    </row>
    <row r="1859" spans="1:11">
      <c r="A1859" t="s">
        <v>962</v>
      </c>
      <c r="B1859">
        <v>1965</v>
      </c>
      <c r="C1859" t="s">
        <v>4706</v>
      </c>
      <c r="D1859">
        <v>1</v>
      </c>
      <c r="E1859">
        <v>0</v>
      </c>
      <c r="F1859" s="13">
        <v>20709.02</v>
      </c>
      <c r="G1859" t="s">
        <v>4698</v>
      </c>
      <c r="H1859" t="s">
        <v>4697</v>
      </c>
      <c r="I1859" t="s">
        <v>4710</v>
      </c>
      <c r="J1859" s="10">
        <f t="shared" si="58"/>
        <v>23955</v>
      </c>
      <c r="K1859">
        <f t="shared" ref="K1859:K1922" si="59">DATEDIF(J1859, DATE(2023, 6, 8), "Y")</f>
        <v>57</v>
      </c>
    </row>
    <row r="1860" spans="1:11">
      <c r="A1860" t="s">
        <v>960</v>
      </c>
      <c r="B1860">
        <v>1992</v>
      </c>
      <c r="C1860" t="s">
        <v>4703</v>
      </c>
      <c r="D1860">
        <v>14</v>
      </c>
      <c r="E1860">
        <v>3</v>
      </c>
      <c r="F1860" s="13">
        <v>20745.990000000002</v>
      </c>
      <c r="G1860" t="s">
        <v>4698</v>
      </c>
      <c r="H1860" t="s">
        <v>4701</v>
      </c>
      <c r="I1860" t="s">
        <v>4704</v>
      </c>
      <c r="J1860" s="10">
        <f t="shared" si="58"/>
        <v>33861</v>
      </c>
      <c r="K1860">
        <f t="shared" si="59"/>
        <v>30</v>
      </c>
    </row>
    <row r="1861" spans="1:11">
      <c r="A1861" t="s">
        <v>958</v>
      </c>
      <c r="B1861">
        <v>1986</v>
      </c>
      <c r="C1861" t="s">
        <v>4706</v>
      </c>
      <c r="D1861">
        <v>4</v>
      </c>
      <c r="E1861">
        <v>1</v>
      </c>
      <c r="F1861" s="13">
        <v>20773.63</v>
      </c>
      <c r="G1861" t="s">
        <v>4697</v>
      </c>
      <c r="H1861" t="s">
        <v>4698</v>
      </c>
      <c r="I1861" t="s">
        <v>4718</v>
      </c>
      <c r="J1861" s="10">
        <f t="shared" si="58"/>
        <v>31628</v>
      </c>
      <c r="K1861">
        <f t="shared" si="59"/>
        <v>36</v>
      </c>
    </row>
    <row r="1862" spans="1:11">
      <c r="A1862" t="s">
        <v>956</v>
      </c>
      <c r="B1862">
        <v>1967</v>
      </c>
      <c r="C1862" t="s">
        <v>4703</v>
      </c>
      <c r="D1862">
        <v>8</v>
      </c>
      <c r="E1862">
        <v>0</v>
      </c>
      <c r="F1862" s="13">
        <v>20781.490000000002</v>
      </c>
      <c r="G1862" t="s">
        <v>4697</v>
      </c>
      <c r="H1862" t="s">
        <v>4698</v>
      </c>
      <c r="I1862" t="s">
        <v>4699</v>
      </c>
      <c r="J1862" s="10">
        <f t="shared" si="58"/>
        <v>24723</v>
      </c>
      <c r="K1862">
        <f t="shared" si="59"/>
        <v>55</v>
      </c>
    </row>
    <row r="1863" spans="1:11">
      <c r="A1863" t="s">
        <v>954</v>
      </c>
      <c r="B1863">
        <v>1975</v>
      </c>
      <c r="C1863" t="s">
        <v>4705</v>
      </c>
      <c r="D1863">
        <v>8</v>
      </c>
      <c r="E1863">
        <v>0</v>
      </c>
      <c r="F1863" s="13">
        <v>20878.78</v>
      </c>
      <c r="G1863" t="s">
        <v>4697</v>
      </c>
      <c r="H1863" t="s">
        <v>4701</v>
      </c>
      <c r="I1863" t="s">
        <v>4714</v>
      </c>
      <c r="J1863" s="10">
        <f t="shared" si="58"/>
        <v>27736</v>
      </c>
      <c r="K1863">
        <f t="shared" si="59"/>
        <v>47</v>
      </c>
    </row>
    <row r="1864" spans="1:11">
      <c r="A1864" t="s">
        <v>952</v>
      </c>
      <c r="B1864">
        <v>1964</v>
      </c>
      <c r="C1864" t="s">
        <v>4700</v>
      </c>
      <c r="D1864">
        <v>19</v>
      </c>
      <c r="E1864">
        <v>0</v>
      </c>
      <c r="F1864" s="13">
        <v>20893.060000000001</v>
      </c>
      <c r="G1864" t="s">
        <v>4697</v>
      </c>
      <c r="H1864" t="s">
        <v>4698</v>
      </c>
      <c r="I1864" t="s">
        <v>4704</v>
      </c>
      <c r="J1864" s="10">
        <f t="shared" si="58"/>
        <v>23700</v>
      </c>
      <c r="K1864">
        <f t="shared" si="59"/>
        <v>58</v>
      </c>
    </row>
    <row r="1865" spans="1:11">
      <c r="A1865" t="s">
        <v>4722</v>
      </c>
      <c r="B1865">
        <v>1987</v>
      </c>
      <c r="C1865" t="s">
        <v>4700</v>
      </c>
      <c r="D1865">
        <v>27</v>
      </c>
      <c r="E1865">
        <v>2</v>
      </c>
      <c r="F1865" s="13">
        <v>20984.09</v>
      </c>
      <c r="G1865" t="s">
        <v>4697</v>
      </c>
      <c r="H1865" t="s">
        <v>4697</v>
      </c>
      <c r="I1865" t="s">
        <v>4709</v>
      </c>
      <c r="J1865" s="10">
        <f t="shared" si="58"/>
        <v>32108</v>
      </c>
      <c r="K1865">
        <f t="shared" si="59"/>
        <v>35</v>
      </c>
    </row>
    <row r="1866" spans="1:11">
      <c r="A1866" t="s">
        <v>950</v>
      </c>
      <c r="B1866">
        <v>1983</v>
      </c>
      <c r="C1866" t="s">
        <v>4696</v>
      </c>
      <c r="D1866">
        <v>2</v>
      </c>
      <c r="E1866">
        <v>1</v>
      </c>
      <c r="F1866" s="13">
        <v>21082.16</v>
      </c>
      <c r="G1866" t="s">
        <v>4698</v>
      </c>
      <c r="H1866" t="s">
        <v>4697</v>
      </c>
      <c r="I1866" t="s">
        <v>4708</v>
      </c>
      <c r="J1866" s="10">
        <f t="shared" si="58"/>
        <v>30499</v>
      </c>
      <c r="K1866">
        <f t="shared" si="59"/>
        <v>39</v>
      </c>
    </row>
    <row r="1867" spans="1:11">
      <c r="A1867" t="s">
        <v>948</v>
      </c>
      <c r="B1867">
        <v>1977</v>
      </c>
      <c r="C1867" t="s">
        <v>4700</v>
      </c>
      <c r="D1867">
        <v>23</v>
      </c>
      <c r="E1867">
        <v>2</v>
      </c>
      <c r="F1867" s="13">
        <v>21098.55</v>
      </c>
      <c r="G1867" t="s">
        <v>4698</v>
      </c>
      <c r="H1867" t="s">
        <v>4698</v>
      </c>
      <c r="I1867" t="s">
        <v>4704</v>
      </c>
      <c r="J1867" s="10">
        <f t="shared" si="58"/>
        <v>28452</v>
      </c>
      <c r="K1867">
        <f t="shared" si="59"/>
        <v>45</v>
      </c>
    </row>
    <row r="1868" spans="1:11">
      <c r="A1868" t="s">
        <v>946</v>
      </c>
      <c r="B1868">
        <v>1969</v>
      </c>
      <c r="C1868" t="s">
        <v>4706</v>
      </c>
      <c r="D1868">
        <v>26</v>
      </c>
      <c r="E1868">
        <v>0</v>
      </c>
      <c r="F1868" s="13">
        <v>21195.82</v>
      </c>
      <c r="G1868" t="s">
        <v>4698</v>
      </c>
      <c r="H1868" t="s">
        <v>4701</v>
      </c>
      <c r="I1868" t="s">
        <v>4699</v>
      </c>
      <c r="J1868" s="10">
        <f t="shared" si="58"/>
        <v>25441</v>
      </c>
      <c r="K1868">
        <f t="shared" si="59"/>
        <v>53</v>
      </c>
    </row>
    <row r="1869" spans="1:11">
      <c r="A1869" t="s">
        <v>944</v>
      </c>
      <c r="B1869">
        <v>1974</v>
      </c>
      <c r="C1869" t="s">
        <v>4707</v>
      </c>
      <c r="D1869">
        <v>14</v>
      </c>
      <c r="E1869">
        <v>0</v>
      </c>
      <c r="F1869" s="13">
        <v>21223.68</v>
      </c>
      <c r="G1869" t="s">
        <v>4698</v>
      </c>
      <c r="H1869" t="s">
        <v>4697</v>
      </c>
      <c r="I1869" t="s">
        <v>4699</v>
      </c>
      <c r="J1869" s="10">
        <f t="shared" si="58"/>
        <v>27316</v>
      </c>
      <c r="K1869">
        <f t="shared" si="59"/>
        <v>48</v>
      </c>
    </row>
    <row r="1870" spans="1:11">
      <c r="A1870" t="s">
        <v>942</v>
      </c>
      <c r="B1870">
        <v>1974</v>
      </c>
      <c r="C1870" t="s">
        <v>4703</v>
      </c>
      <c r="D1870">
        <v>3</v>
      </c>
      <c r="E1870">
        <v>0</v>
      </c>
      <c r="F1870" s="13">
        <v>21232.18</v>
      </c>
      <c r="G1870" t="s">
        <v>4698</v>
      </c>
      <c r="H1870" t="s">
        <v>4697</v>
      </c>
      <c r="I1870" t="s">
        <v>4708</v>
      </c>
      <c r="J1870" s="10">
        <f t="shared" si="58"/>
        <v>27275</v>
      </c>
      <c r="K1870">
        <f t="shared" si="59"/>
        <v>48</v>
      </c>
    </row>
    <row r="1871" spans="1:11">
      <c r="A1871" t="s">
        <v>940</v>
      </c>
      <c r="B1871">
        <v>1980</v>
      </c>
      <c r="C1871" t="s">
        <v>4705</v>
      </c>
      <c r="D1871">
        <v>10</v>
      </c>
      <c r="E1871">
        <v>2</v>
      </c>
      <c r="F1871" s="13">
        <v>21259.38</v>
      </c>
      <c r="G1871" t="s">
        <v>4698</v>
      </c>
      <c r="H1871" t="s">
        <v>4698</v>
      </c>
      <c r="I1871" t="s">
        <v>4710</v>
      </c>
      <c r="J1871" s="10">
        <f t="shared" si="58"/>
        <v>29565</v>
      </c>
      <c r="K1871">
        <f t="shared" si="59"/>
        <v>42</v>
      </c>
    </row>
    <row r="1872" spans="1:11">
      <c r="A1872" t="s">
        <v>938</v>
      </c>
      <c r="B1872">
        <v>2004</v>
      </c>
      <c r="C1872" t="s">
        <v>4706</v>
      </c>
      <c r="D1872">
        <v>4</v>
      </c>
      <c r="E1872">
        <v>0</v>
      </c>
      <c r="F1872" s="13">
        <v>21344.85</v>
      </c>
      <c r="G1872" t="s">
        <v>4698</v>
      </c>
      <c r="H1872" t="s">
        <v>4701</v>
      </c>
      <c r="I1872" t="s">
        <v>4714</v>
      </c>
      <c r="J1872" s="10">
        <f t="shared" si="58"/>
        <v>38203</v>
      </c>
      <c r="K1872">
        <f t="shared" si="59"/>
        <v>18</v>
      </c>
    </row>
    <row r="1873" spans="1:11">
      <c r="A1873" t="s">
        <v>936</v>
      </c>
      <c r="B1873">
        <v>1980</v>
      </c>
      <c r="C1873" t="s">
        <v>4703</v>
      </c>
      <c r="D1873">
        <v>4</v>
      </c>
      <c r="E1873">
        <v>0</v>
      </c>
      <c r="F1873" s="13">
        <v>21348.71</v>
      </c>
      <c r="G1873" t="s">
        <v>4697</v>
      </c>
      <c r="H1873" t="s">
        <v>4701</v>
      </c>
      <c r="I1873" t="s">
        <v>4704</v>
      </c>
      <c r="J1873" s="10">
        <f t="shared" si="58"/>
        <v>29468</v>
      </c>
      <c r="K1873">
        <f t="shared" si="59"/>
        <v>42</v>
      </c>
    </row>
    <row r="1874" spans="1:11">
      <c r="A1874" t="s">
        <v>934</v>
      </c>
      <c r="B1874">
        <v>1990</v>
      </c>
      <c r="C1874" t="s">
        <v>4700</v>
      </c>
      <c r="D1874">
        <v>21</v>
      </c>
      <c r="E1874">
        <v>4</v>
      </c>
      <c r="F1874" s="13">
        <v>21472.48</v>
      </c>
      <c r="G1874" t="s">
        <v>4697</v>
      </c>
      <c r="H1874" t="s">
        <v>4697</v>
      </c>
      <c r="I1874" t="s">
        <v>4704</v>
      </c>
      <c r="J1874" s="10">
        <f t="shared" si="58"/>
        <v>33198</v>
      </c>
      <c r="K1874">
        <f t="shared" si="59"/>
        <v>32</v>
      </c>
    </row>
    <row r="1875" spans="1:11">
      <c r="A1875" t="s">
        <v>932</v>
      </c>
      <c r="B1875">
        <v>1999</v>
      </c>
      <c r="C1875" t="s">
        <v>4702</v>
      </c>
      <c r="D1875">
        <v>12</v>
      </c>
      <c r="E1875">
        <v>0</v>
      </c>
      <c r="F1875" s="13">
        <v>21595.38</v>
      </c>
      <c r="G1875" t="s">
        <v>4697</v>
      </c>
      <c r="H1875" t="s">
        <v>4698</v>
      </c>
      <c r="I1875" t="s">
        <v>4704</v>
      </c>
      <c r="J1875" s="10">
        <f t="shared" si="58"/>
        <v>36323</v>
      </c>
      <c r="K1875">
        <f t="shared" si="59"/>
        <v>23</v>
      </c>
    </row>
    <row r="1876" spans="1:11">
      <c r="A1876" t="s">
        <v>930</v>
      </c>
      <c r="B1876">
        <v>1983</v>
      </c>
      <c r="C1876" t="s">
        <v>4705</v>
      </c>
      <c r="D1876">
        <v>25</v>
      </c>
      <c r="E1876">
        <v>3</v>
      </c>
      <c r="F1876" s="13">
        <v>21659.93</v>
      </c>
      <c r="G1876" t="s">
        <v>4698</v>
      </c>
      <c r="H1876" t="s">
        <v>4698</v>
      </c>
      <c r="I1876" t="s">
        <v>4714</v>
      </c>
      <c r="J1876" s="10">
        <f t="shared" si="58"/>
        <v>30675</v>
      </c>
      <c r="K1876">
        <f t="shared" si="59"/>
        <v>39</v>
      </c>
    </row>
    <row r="1877" spans="1:11">
      <c r="A1877" t="s">
        <v>928</v>
      </c>
      <c r="B1877">
        <v>1962</v>
      </c>
      <c r="C1877" t="s">
        <v>4700</v>
      </c>
      <c r="D1877">
        <v>16</v>
      </c>
      <c r="E1877">
        <v>0</v>
      </c>
      <c r="F1877" s="13">
        <v>21661.16</v>
      </c>
      <c r="G1877" t="s">
        <v>4697</v>
      </c>
      <c r="H1877" t="s">
        <v>4697</v>
      </c>
      <c r="I1877" t="s">
        <v>4704</v>
      </c>
      <c r="J1877" s="10">
        <f t="shared" si="58"/>
        <v>22966</v>
      </c>
      <c r="K1877">
        <f t="shared" si="59"/>
        <v>60</v>
      </c>
    </row>
    <row r="1878" spans="1:11">
      <c r="A1878" t="s">
        <v>926</v>
      </c>
      <c r="B1878">
        <v>1976</v>
      </c>
      <c r="C1878" t="s">
        <v>4696</v>
      </c>
      <c r="D1878">
        <v>18</v>
      </c>
      <c r="E1878">
        <v>1</v>
      </c>
      <c r="F1878" s="13">
        <v>21677.279999999999</v>
      </c>
      <c r="G1878" t="s">
        <v>4698</v>
      </c>
      <c r="H1878" t="s">
        <v>4701</v>
      </c>
      <c r="I1878" t="s">
        <v>4704</v>
      </c>
      <c r="J1878" s="10">
        <f t="shared" si="58"/>
        <v>27959</v>
      </c>
      <c r="K1878">
        <f t="shared" si="59"/>
        <v>46</v>
      </c>
    </row>
    <row r="1879" spans="1:11">
      <c r="A1879" t="s">
        <v>924</v>
      </c>
      <c r="B1879">
        <v>1979</v>
      </c>
      <c r="C1879" t="s">
        <v>4703</v>
      </c>
      <c r="D1879">
        <v>20</v>
      </c>
      <c r="E1879">
        <v>1</v>
      </c>
      <c r="F1879" s="13">
        <v>21771.34</v>
      </c>
      <c r="G1879" t="s">
        <v>4698</v>
      </c>
      <c r="H1879" t="s">
        <v>4701</v>
      </c>
      <c r="I1879" t="s">
        <v>4714</v>
      </c>
      <c r="J1879" s="10">
        <f t="shared" si="58"/>
        <v>29118</v>
      </c>
      <c r="K1879">
        <f t="shared" si="59"/>
        <v>43</v>
      </c>
    </row>
    <row r="1880" spans="1:11">
      <c r="A1880" t="s">
        <v>922</v>
      </c>
      <c r="B1880">
        <v>1979</v>
      </c>
      <c r="C1880" t="s">
        <v>4703</v>
      </c>
      <c r="D1880">
        <v>28</v>
      </c>
      <c r="E1880">
        <v>0</v>
      </c>
      <c r="F1880" s="13">
        <v>21774.32</v>
      </c>
      <c r="G1880" t="s">
        <v>4698</v>
      </c>
      <c r="H1880" t="s">
        <v>4697</v>
      </c>
      <c r="I1880" t="s">
        <v>4704</v>
      </c>
      <c r="J1880" s="10">
        <f t="shared" si="58"/>
        <v>29126</v>
      </c>
      <c r="K1880">
        <f t="shared" si="59"/>
        <v>43</v>
      </c>
    </row>
    <row r="1881" spans="1:11">
      <c r="A1881" t="s">
        <v>920</v>
      </c>
      <c r="B1881">
        <v>1963</v>
      </c>
      <c r="C1881" t="s">
        <v>4706</v>
      </c>
      <c r="D1881">
        <v>27</v>
      </c>
      <c r="E1881">
        <v>0</v>
      </c>
      <c r="F1881" s="13">
        <v>21797</v>
      </c>
      <c r="G1881" t="s">
        <v>4698</v>
      </c>
      <c r="H1881" t="s">
        <v>4701</v>
      </c>
      <c r="I1881" t="s">
        <v>4708</v>
      </c>
      <c r="J1881" s="10">
        <f t="shared" si="58"/>
        <v>23250</v>
      </c>
      <c r="K1881">
        <f t="shared" si="59"/>
        <v>59</v>
      </c>
    </row>
    <row r="1882" spans="1:11">
      <c r="A1882" t="s">
        <v>918</v>
      </c>
      <c r="B1882">
        <v>1979</v>
      </c>
      <c r="C1882" t="s">
        <v>4706</v>
      </c>
      <c r="D1882">
        <v>17</v>
      </c>
      <c r="E1882">
        <v>2</v>
      </c>
      <c r="F1882" s="13">
        <v>21880.82</v>
      </c>
      <c r="G1882" t="s">
        <v>4698</v>
      </c>
      <c r="H1882" t="s">
        <v>4701</v>
      </c>
      <c r="I1882" t="s">
        <v>4704</v>
      </c>
      <c r="J1882" s="10">
        <f t="shared" si="58"/>
        <v>29084</v>
      </c>
      <c r="K1882">
        <f t="shared" si="59"/>
        <v>43</v>
      </c>
    </row>
    <row r="1883" spans="1:11">
      <c r="A1883" t="s">
        <v>916</v>
      </c>
      <c r="B1883">
        <v>2003</v>
      </c>
      <c r="C1883" t="s">
        <v>4703</v>
      </c>
      <c r="D1883">
        <v>28</v>
      </c>
      <c r="E1883">
        <v>0</v>
      </c>
      <c r="F1883" s="13">
        <v>21882.400000000001</v>
      </c>
      <c r="G1883" t="s">
        <v>4697</v>
      </c>
      <c r="H1883" t="s">
        <v>4701</v>
      </c>
      <c r="I1883" t="s">
        <v>4708</v>
      </c>
      <c r="J1883" s="10">
        <f t="shared" si="58"/>
        <v>37892</v>
      </c>
      <c r="K1883">
        <f t="shared" si="59"/>
        <v>19</v>
      </c>
    </row>
    <row r="1884" spans="1:11">
      <c r="A1884" t="s">
        <v>914</v>
      </c>
      <c r="B1884">
        <v>1975</v>
      </c>
      <c r="C1884" t="s">
        <v>4705</v>
      </c>
      <c r="D1884">
        <v>19</v>
      </c>
      <c r="E1884">
        <v>1</v>
      </c>
      <c r="F1884" s="13">
        <v>21978.68</v>
      </c>
      <c r="G1884" t="s">
        <v>4698</v>
      </c>
      <c r="H1884" t="s">
        <v>4698</v>
      </c>
      <c r="I1884" t="s">
        <v>4699</v>
      </c>
      <c r="J1884" s="10">
        <f t="shared" si="58"/>
        <v>27747</v>
      </c>
      <c r="K1884">
        <f t="shared" si="59"/>
        <v>47</v>
      </c>
    </row>
    <row r="1885" spans="1:11">
      <c r="A1885" t="s">
        <v>912</v>
      </c>
      <c r="B1885">
        <v>1989</v>
      </c>
      <c r="C1885" t="s">
        <v>4707</v>
      </c>
      <c r="D1885">
        <v>14</v>
      </c>
      <c r="E1885">
        <v>0</v>
      </c>
      <c r="F1885" s="13">
        <v>21984.47</v>
      </c>
      <c r="G1885" t="s">
        <v>4698</v>
      </c>
      <c r="H1885" t="s">
        <v>4701</v>
      </c>
      <c r="I1885" t="s">
        <v>4704</v>
      </c>
      <c r="J1885" s="10">
        <f t="shared" si="58"/>
        <v>32795</v>
      </c>
      <c r="K1885">
        <f t="shared" si="59"/>
        <v>33</v>
      </c>
    </row>
    <row r="1886" spans="1:11">
      <c r="A1886" t="s">
        <v>910</v>
      </c>
      <c r="B1886">
        <v>2001</v>
      </c>
      <c r="C1886" t="s">
        <v>4706</v>
      </c>
      <c r="D1886">
        <v>28</v>
      </c>
      <c r="E1886">
        <v>0</v>
      </c>
      <c r="F1886" s="13">
        <v>22097.62</v>
      </c>
      <c r="G1886" t="s">
        <v>4698</v>
      </c>
      <c r="H1886" t="s">
        <v>4701</v>
      </c>
      <c r="I1886" t="s">
        <v>4708</v>
      </c>
      <c r="J1886" s="10">
        <f t="shared" si="58"/>
        <v>37131</v>
      </c>
      <c r="K1886">
        <f t="shared" si="59"/>
        <v>21</v>
      </c>
    </row>
    <row r="1887" spans="1:11">
      <c r="A1887" t="s">
        <v>908</v>
      </c>
      <c r="B1887">
        <v>1980</v>
      </c>
      <c r="C1887" t="s">
        <v>4703</v>
      </c>
      <c r="D1887">
        <v>12</v>
      </c>
      <c r="E1887">
        <v>0</v>
      </c>
      <c r="F1887" s="13">
        <v>22144.03</v>
      </c>
      <c r="G1887" t="s">
        <v>4697</v>
      </c>
      <c r="H1887" t="s">
        <v>4697</v>
      </c>
      <c r="I1887" t="s">
        <v>4708</v>
      </c>
      <c r="J1887" s="10">
        <f t="shared" si="58"/>
        <v>29476</v>
      </c>
      <c r="K1887">
        <f t="shared" si="59"/>
        <v>42</v>
      </c>
    </row>
    <row r="1888" spans="1:11">
      <c r="A1888" t="s">
        <v>906</v>
      </c>
      <c r="B1888">
        <v>1965</v>
      </c>
      <c r="C1888" t="s">
        <v>4706</v>
      </c>
      <c r="D1888">
        <v>24</v>
      </c>
      <c r="E1888">
        <v>1</v>
      </c>
      <c r="F1888" s="13">
        <v>22192.44</v>
      </c>
      <c r="G1888" t="s">
        <v>4698</v>
      </c>
      <c r="H1888" t="s">
        <v>4701</v>
      </c>
      <c r="I1888" t="s">
        <v>4699</v>
      </c>
      <c r="J1888" s="10">
        <f t="shared" si="58"/>
        <v>23978</v>
      </c>
      <c r="K1888">
        <f t="shared" si="59"/>
        <v>57</v>
      </c>
    </row>
    <row r="1889" spans="1:11">
      <c r="A1889" t="s">
        <v>904</v>
      </c>
      <c r="B1889">
        <v>1971</v>
      </c>
      <c r="C1889" t="s">
        <v>4702</v>
      </c>
      <c r="D1889">
        <v>16</v>
      </c>
      <c r="E1889">
        <v>1</v>
      </c>
      <c r="F1889" s="13">
        <v>22218.11</v>
      </c>
      <c r="G1889" t="s">
        <v>4697</v>
      </c>
      <c r="H1889" t="s">
        <v>4698</v>
      </c>
      <c r="I1889" t="s">
        <v>4699</v>
      </c>
      <c r="J1889" s="10">
        <f t="shared" si="58"/>
        <v>26100</v>
      </c>
      <c r="K1889">
        <f t="shared" si="59"/>
        <v>51</v>
      </c>
    </row>
    <row r="1890" spans="1:11">
      <c r="A1890" t="s">
        <v>902</v>
      </c>
      <c r="B1890">
        <v>1982</v>
      </c>
      <c r="C1890" t="s">
        <v>4705</v>
      </c>
      <c r="D1890">
        <v>27</v>
      </c>
      <c r="E1890">
        <v>1</v>
      </c>
      <c r="F1890" s="13">
        <v>22331.57</v>
      </c>
      <c r="G1890" t="s">
        <v>4697</v>
      </c>
      <c r="H1890" t="s">
        <v>4698</v>
      </c>
      <c r="I1890" t="s">
        <v>4714</v>
      </c>
      <c r="J1890" s="10">
        <f t="shared" si="58"/>
        <v>30312</v>
      </c>
      <c r="K1890">
        <f t="shared" si="59"/>
        <v>40</v>
      </c>
    </row>
    <row r="1891" spans="1:11">
      <c r="A1891" t="s">
        <v>900</v>
      </c>
      <c r="B1891">
        <v>1999</v>
      </c>
      <c r="C1891" t="s">
        <v>4706</v>
      </c>
      <c r="D1891">
        <v>26</v>
      </c>
      <c r="E1891">
        <v>2</v>
      </c>
      <c r="F1891" s="13">
        <v>22395.74</v>
      </c>
      <c r="G1891" t="s">
        <v>4698</v>
      </c>
      <c r="H1891" t="s">
        <v>4697</v>
      </c>
      <c r="I1891" t="s">
        <v>4714</v>
      </c>
      <c r="J1891" s="10">
        <f t="shared" si="58"/>
        <v>36398</v>
      </c>
      <c r="K1891">
        <f t="shared" si="59"/>
        <v>23</v>
      </c>
    </row>
    <row r="1892" spans="1:11">
      <c r="A1892" t="s">
        <v>898</v>
      </c>
      <c r="B1892">
        <v>1966</v>
      </c>
      <c r="C1892" t="s">
        <v>4706</v>
      </c>
      <c r="D1892">
        <v>18</v>
      </c>
      <c r="E1892">
        <v>0</v>
      </c>
      <c r="F1892" s="13">
        <v>22412.65</v>
      </c>
      <c r="G1892" t="s">
        <v>4698</v>
      </c>
      <c r="H1892" t="s">
        <v>4698</v>
      </c>
      <c r="I1892" t="s">
        <v>4716</v>
      </c>
      <c r="J1892" s="10">
        <f t="shared" si="58"/>
        <v>24337</v>
      </c>
      <c r="K1892">
        <f t="shared" si="59"/>
        <v>56</v>
      </c>
    </row>
    <row r="1893" spans="1:11">
      <c r="A1893" t="s">
        <v>896</v>
      </c>
      <c r="B1893">
        <v>1983</v>
      </c>
      <c r="C1893" t="s">
        <v>4705</v>
      </c>
      <c r="D1893">
        <v>21</v>
      </c>
      <c r="E1893">
        <v>1</v>
      </c>
      <c r="F1893" s="13">
        <v>22462.04</v>
      </c>
      <c r="G1893" t="s">
        <v>4698</v>
      </c>
      <c r="H1893" t="s">
        <v>4701</v>
      </c>
      <c r="I1893" t="s">
        <v>4710</v>
      </c>
      <c r="J1893" s="10">
        <f t="shared" si="58"/>
        <v>30671</v>
      </c>
      <c r="K1893">
        <f t="shared" si="59"/>
        <v>39</v>
      </c>
    </row>
    <row r="1894" spans="1:11">
      <c r="A1894" t="s">
        <v>894</v>
      </c>
      <c r="B1894">
        <v>1979</v>
      </c>
      <c r="C1894" t="s">
        <v>4700</v>
      </c>
      <c r="D1894">
        <v>14</v>
      </c>
      <c r="E1894">
        <v>2</v>
      </c>
      <c r="F1894" s="13">
        <v>22478.6</v>
      </c>
      <c r="G1894" t="s">
        <v>4698</v>
      </c>
      <c r="H1894" t="s">
        <v>4697</v>
      </c>
      <c r="I1894" t="s">
        <v>4708</v>
      </c>
      <c r="J1894" s="10">
        <f t="shared" si="58"/>
        <v>29173</v>
      </c>
      <c r="K1894">
        <f t="shared" si="59"/>
        <v>43</v>
      </c>
    </row>
    <row r="1895" spans="1:11">
      <c r="A1895" t="s">
        <v>892</v>
      </c>
      <c r="B1895">
        <v>2003</v>
      </c>
      <c r="C1895" t="s">
        <v>4696</v>
      </c>
      <c r="D1895">
        <v>25</v>
      </c>
      <c r="E1895">
        <v>2</v>
      </c>
      <c r="F1895" s="13">
        <v>22493.66</v>
      </c>
      <c r="G1895" t="s">
        <v>4697</v>
      </c>
      <c r="H1895" t="s">
        <v>4701</v>
      </c>
      <c r="I1895" t="s">
        <v>4704</v>
      </c>
      <c r="J1895" s="10">
        <f t="shared" si="58"/>
        <v>37827</v>
      </c>
      <c r="K1895">
        <f t="shared" si="59"/>
        <v>19</v>
      </c>
    </row>
    <row r="1896" spans="1:11">
      <c r="A1896" t="s">
        <v>890</v>
      </c>
      <c r="B1896">
        <v>1970</v>
      </c>
      <c r="C1896" t="s">
        <v>4700</v>
      </c>
      <c r="D1896">
        <v>9</v>
      </c>
      <c r="E1896">
        <v>0</v>
      </c>
      <c r="F1896" s="13">
        <v>23045.57</v>
      </c>
      <c r="G1896" t="s">
        <v>4697</v>
      </c>
      <c r="H1896" t="s">
        <v>4697</v>
      </c>
      <c r="I1896" t="s">
        <v>4714</v>
      </c>
      <c r="J1896" s="10">
        <f t="shared" si="58"/>
        <v>25881</v>
      </c>
      <c r="K1896">
        <f t="shared" si="59"/>
        <v>52</v>
      </c>
    </row>
    <row r="1897" spans="1:11">
      <c r="A1897" t="s">
        <v>888</v>
      </c>
      <c r="B1897">
        <v>1975</v>
      </c>
      <c r="C1897" t="s">
        <v>4703</v>
      </c>
      <c r="D1897">
        <v>9</v>
      </c>
      <c r="E1897">
        <v>0</v>
      </c>
      <c r="F1897" s="13">
        <v>23065.42</v>
      </c>
      <c r="G1897" t="s">
        <v>4697</v>
      </c>
      <c r="H1897" t="s">
        <v>4697</v>
      </c>
      <c r="I1897" t="s">
        <v>4699</v>
      </c>
      <c r="J1897" s="10">
        <f t="shared" si="58"/>
        <v>27646</v>
      </c>
      <c r="K1897">
        <f t="shared" si="59"/>
        <v>47</v>
      </c>
    </row>
    <row r="1898" spans="1:11">
      <c r="A1898" t="s">
        <v>886</v>
      </c>
      <c r="B1898">
        <v>2003</v>
      </c>
      <c r="C1898" t="s">
        <v>4705</v>
      </c>
      <c r="D1898">
        <v>14</v>
      </c>
      <c r="E1898">
        <v>0</v>
      </c>
      <c r="F1898" s="13">
        <v>23082.959999999999</v>
      </c>
      <c r="G1898" t="s">
        <v>4697</v>
      </c>
      <c r="H1898" t="s">
        <v>4697</v>
      </c>
      <c r="I1898" t="s">
        <v>4708</v>
      </c>
      <c r="J1898" s="10">
        <f t="shared" si="58"/>
        <v>37969</v>
      </c>
      <c r="K1898">
        <f t="shared" si="59"/>
        <v>19</v>
      </c>
    </row>
    <row r="1899" spans="1:11">
      <c r="A1899" t="s">
        <v>884</v>
      </c>
      <c r="B1899">
        <v>1997</v>
      </c>
      <c r="C1899" t="s">
        <v>4706</v>
      </c>
      <c r="D1899">
        <v>7</v>
      </c>
      <c r="E1899">
        <v>2</v>
      </c>
      <c r="F1899" s="13">
        <v>23241.47</v>
      </c>
      <c r="G1899" t="s">
        <v>4697</v>
      </c>
      <c r="H1899" t="s">
        <v>4698</v>
      </c>
      <c r="I1899" t="s">
        <v>4712</v>
      </c>
      <c r="J1899" s="10">
        <f t="shared" si="58"/>
        <v>35649</v>
      </c>
      <c r="K1899">
        <f t="shared" si="59"/>
        <v>25</v>
      </c>
    </row>
    <row r="1900" spans="1:11">
      <c r="A1900" t="s">
        <v>882</v>
      </c>
      <c r="B1900">
        <v>1969</v>
      </c>
      <c r="C1900" t="s">
        <v>4700</v>
      </c>
      <c r="D1900">
        <v>14</v>
      </c>
      <c r="E1900">
        <v>1</v>
      </c>
      <c r="F1900" s="13">
        <v>23244.79</v>
      </c>
      <c r="G1900" t="s">
        <v>4697</v>
      </c>
      <c r="H1900" t="s">
        <v>4698</v>
      </c>
      <c r="I1900" t="s">
        <v>4699</v>
      </c>
      <c r="J1900" s="10">
        <f t="shared" si="58"/>
        <v>25521</v>
      </c>
      <c r="K1900">
        <f t="shared" si="59"/>
        <v>53</v>
      </c>
    </row>
    <row r="1901" spans="1:11">
      <c r="A1901" t="s">
        <v>880</v>
      </c>
      <c r="B1901">
        <v>1994</v>
      </c>
      <c r="C1901" t="s">
        <v>4707</v>
      </c>
      <c r="D1901">
        <v>3</v>
      </c>
      <c r="E1901">
        <v>1</v>
      </c>
      <c r="F1901" s="13">
        <v>23288.93</v>
      </c>
      <c r="G1901" t="s">
        <v>4697</v>
      </c>
      <c r="H1901" t="s">
        <v>4698</v>
      </c>
      <c r="I1901" t="s">
        <v>4714</v>
      </c>
      <c r="J1901" s="10">
        <f t="shared" si="58"/>
        <v>34610</v>
      </c>
      <c r="K1901">
        <f t="shared" si="59"/>
        <v>28</v>
      </c>
    </row>
    <row r="1902" spans="1:11">
      <c r="A1902" t="s">
        <v>878</v>
      </c>
      <c r="B1902">
        <v>1973</v>
      </c>
      <c r="C1902" t="s">
        <v>4707</v>
      </c>
      <c r="D1902">
        <v>22</v>
      </c>
      <c r="E1902">
        <v>2</v>
      </c>
      <c r="F1902" s="13">
        <v>23306.55</v>
      </c>
      <c r="G1902" t="s">
        <v>4697</v>
      </c>
      <c r="H1902" t="s">
        <v>4697</v>
      </c>
      <c r="I1902" t="s">
        <v>4708</v>
      </c>
      <c r="J1902" s="10">
        <f t="shared" si="58"/>
        <v>26959</v>
      </c>
      <c r="K1902">
        <f t="shared" si="59"/>
        <v>49</v>
      </c>
    </row>
    <row r="1903" spans="1:11">
      <c r="A1903" t="s">
        <v>876</v>
      </c>
      <c r="B1903">
        <v>1975</v>
      </c>
      <c r="C1903" t="s">
        <v>4700</v>
      </c>
      <c r="D1903">
        <v>13</v>
      </c>
      <c r="E1903">
        <v>1</v>
      </c>
      <c r="F1903" s="13">
        <v>23401.31</v>
      </c>
      <c r="G1903" t="s">
        <v>4697</v>
      </c>
      <c r="H1903" t="s">
        <v>4698</v>
      </c>
      <c r="I1903" t="s">
        <v>4714</v>
      </c>
      <c r="J1903" s="10">
        <f t="shared" si="58"/>
        <v>27711</v>
      </c>
      <c r="K1903">
        <f t="shared" si="59"/>
        <v>47</v>
      </c>
    </row>
    <row r="1904" spans="1:11">
      <c r="A1904" t="s">
        <v>874</v>
      </c>
      <c r="B1904">
        <v>1983</v>
      </c>
      <c r="C1904" t="s">
        <v>4706</v>
      </c>
      <c r="D1904">
        <v>26</v>
      </c>
      <c r="E1904">
        <v>2</v>
      </c>
      <c r="F1904" s="13">
        <v>23563.02</v>
      </c>
      <c r="G1904" t="s">
        <v>4697</v>
      </c>
      <c r="H1904" t="s">
        <v>4697</v>
      </c>
      <c r="I1904" t="s">
        <v>4699</v>
      </c>
      <c r="J1904" s="10">
        <f t="shared" si="58"/>
        <v>30554</v>
      </c>
      <c r="K1904">
        <f t="shared" si="59"/>
        <v>39</v>
      </c>
    </row>
    <row r="1905" spans="1:11">
      <c r="A1905" t="s">
        <v>872</v>
      </c>
      <c r="B1905">
        <v>1974</v>
      </c>
      <c r="C1905" t="s">
        <v>4702</v>
      </c>
      <c r="D1905">
        <v>2</v>
      </c>
      <c r="E1905">
        <v>1</v>
      </c>
      <c r="F1905" s="13">
        <v>23568.27</v>
      </c>
      <c r="G1905" t="s">
        <v>4697</v>
      </c>
      <c r="H1905" t="s">
        <v>4697</v>
      </c>
      <c r="I1905" t="s">
        <v>4708</v>
      </c>
      <c r="J1905" s="10">
        <f t="shared" si="58"/>
        <v>27182</v>
      </c>
      <c r="K1905">
        <f t="shared" si="59"/>
        <v>49</v>
      </c>
    </row>
    <row r="1906" spans="1:11">
      <c r="A1906" t="s">
        <v>870</v>
      </c>
      <c r="B1906">
        <v>1973</v>
      </c>
      <c r="C1906" t="s">
        <v>4702</v>
      </c>
      <c r="D1906">
        <v>27</v>
      </c>
      <c r="E1906">
        <v>2</v>
      </c>
      <c r="F1906" s="13">
        <v>23807.24</v>
      </c>
      <c r="G1906" t="s">
        <v>4697</v>
      </c>
      <c r="H1906" t="s">
        <v>4698</v>
      </c>
      <c r="I1906" t="s">
        <v>4704</v>
      </c>
      <c r="J1906" s="10">
        <f t="shared" si="58"/>
        <v>26842</v>
      </c>
      <c r="K1906">
        <f t="shared" si="59"/>
        <v>49</v>
      </c>
    </row>
    <row r="1907" spans="1:11">
      <c r="A1907" t="s">
        <v>868</v>
      </c>
      <c r="B1907">
        <v>1970</v>
      </c>
      <c r="C1907" t="s">
        <v>4706</v>
      </c>
      <c r="D1907">
        <v>8</v>
      </c>
      <c r="E1907">
        <v>1</v>
      </c>
      <c r="F1907" s="13">
        <v>23887.66</v>
      </c>
      <c r="G1907" t="s">
        <v>4697</v>
      </c>
      <c r="H1907" t="s">
        <v>4698</v>
      </c>
      <c r="I1907" t="s">
        <v>4704</v>
      </c>
      <c r="J1907" s="10">
        <f t="shared" si="58"/>
        <v>25788</v>
      </c>
      <c r="K1907">
        <f t="shared" si="59"/>
        <v>52</v>
      </c>
    </row>
    <row r="1908" spans="1:11">
      <c r="A1908" t="s">
        <v>866</v>
      </c>
      <c r="B1908">
        <v>1971</v>
      </c>
      <c r="C1908" t="s">
        <v>4696</v>
      </c>
      <c r="D1908">
        <v>10</v>
      </c>
      <c r="E1908">
        <v>2</v>
      </c>
      <c r="F1908" s="13">
        <v>23967.38</v>
      </c>
      <c r="G1908" t="s">
        <v>4697</v>
      </c>
      <c r="H1908" t="s">
        <v>4697</v>
      </c>
      <c r="I1908" t="s">
        <v>4704</v>
      </c>
      <c r="J1908" s="10">
        <f t="shared" si="58"/>
        <v>26124</v>
      </c>
      <c r="K1908">
        <f t="shared" si="59"/>
        <v>51</v>
      </c>
    </row>
    <row r="1909" spans="1:11">
      <c r="A1909" t="s">
        <v>864</v>
      </c>
      <c r="B1909">
        <v>2003</v>
      </c>
      <c r="C1909" t="s">
        <v>4705</v>
      </c>
      <c r="D1909">
        <v>30</v>
      </c>
      <c r="E1909">
        <v>2</v>
      </c>
      <c r="F1909" s="13">
        <v>24059.68</v>
      </c>
      <c r="G1909" t="s">
        <v>4697</v>
      </c>
      <c r="H1909" t="s">
        <v>4697</v>
      </c>
      <c r="I1909" t="s">
        <v>4704</v>
      </c>
      <c r="J1909" s="10">
        <f t="shared" si="58"/>
        <v>37985</v>
      </c>
      <c r="K1909">
        <f t="shared" si="59"/>
        <v>19</v>
      </c>
    </row>
    <row r="1910" spans="1:11">
      <c r="A1910" t="s">
        <v>862</v>
      </c>
      <c r="B1910">
        <v>1973</v>
      </c>
      <c r="C1910" t="s">
        <v>4702</v>
      </c>
      <c r="D1910">
        <v>13</v>
      </c>
      <c r="E1910">
        <v>3</v>
      </c>
      <c r="F1910" s="13">
        <v>24106.91</v>
      </c>
      <c r="G1910" t="s">
        <v>4697</v>
      </c>
      <c r="H1910" t="s">
        <v>4697</v>
      </c>
      <c r="I1910" t="s">
        <v>4714</v>
      </c>
      <c r="J1910" s="10">
        <f t="shared" si="58"/>
        <v>26828</v>
      </c>
      <c r="K1910">
        <f t="shared" si="59"/>
        <v>49</v>
      </c>
    </row>
    <row r="1911" spans="1:11">
      <c r="A1911" t="s">
        <v>860</v>
      </c>
      <c r="B1911">
        <v>1974</v>
      </c>
      <c r="C1911" t="s">
        <v>4703</v>
      </c>
      <c r="D1911">
        <v>10</v>
      </c>
      <c r="E1911">
        <v>3</v>
      </c>
      <c r="F1911" s="13">
        <v>24180.93</v>
      </c>
      <c r="G1911" t="s">
        <v>4697</v>
      </c>
      <c r="H1911" t="s">
        <v>4701</v>
      </c>
      <c r="I1911" t="s">
        <v>4699</v>
      </c>
      <c r="J1911" s="10">
        <f t="shared" si="58"/>
        <v>27282</v>
      </c>
      <c r="K1911">
        <f t="shared" si="59"/>
        <v>48</v>
      </c>
    </row>
    <row r="1912" spans="1:11">
      <c r="A1912" t="s">
        <v>858</v>
      </c>
      <c r="B1912">
        <v>1964</v>
      </c>
      <c r="C1912" t="s">
        <v>4705</v>
      </c>
      <c r="D1912">
        <v>16</v>
      </c>
      <c r="E1912">
        <v>0</v>
      </c>
      <c r="F1912" s="13">
        <v>24227.34</v>
      </c>
      <c r="G1912" t="s">
        <v>4697</v>
      </c>
      <c r="H1912" t="s">
        <v>4701</v>
      </c>
      <c r="I1912" t="s">
        <v>4699</v>
      </c>
      <c r="J1912" s="10">
        <f t="shared" si="58"/>
        <v>23727</v>
      </c>
      <c r="K1912">
        <f t="shared" si="59"/>
        <v>58</v>
      </c>
    </row>
    <row r="1913" spans="1:11">
      <c r="A1913" t="s">
        <v>856</v>
      </c>
      <c r="B1913">
        <v>2004</v>
      </c>
      <c r="C1913" t="s">
        <v>4706</v>
      </c>
      <c r="D1913">
        <v>3</v>
      </c>
      <c r="E1913">
        <v>0</v>
      </c>
      <c r="F1913" s="13">
        <v>24294.02</v>
      </c>
      <c r="G1913" t="s">
        <v>4697</v>
      </c>
      <c r="H1913" t="s">
        <v>4701</v>
      </c>
      <c r="I1913" t="s">
        <v>4708</v>
      </c>
      <c r="J1913" s="10">
        <f t="shared" si="58"/>
        <v>38202</v>
      </c>
      <c r="K1913">
        <f t="shared" si="59"/>
        <v>18</v>
      </c>
    </row>
    <row r="1914" spans="1:11">
      <c r="A1914" t="s">
        <v>854</v>
      </c>
      <c r="B1914">
        <v>1999</v>
      </c>
      <c r="C1914" t="s">
        <v>4707</v>
      </c>
      <c r="D1914">
        <v>7</v>
      </c>
      <c r="E1914">
        <v>0</v>
      </c>
      <c r="F1914" s="13">
        <v>24387.74</v>
      </c>
      <c r="G1914" t="s">
        <v>4697</v>
      </c>
      <c r="H1914" t="s">
        <v>4701</v>
      </c>
      <c r="I1914" t="s">
        <v>4708</v>
      </c>
      <c r="J1914" s="10">
        <f t="shared" si="58"/>
        <v>36440</v>
      </c>
      <c r="K1914">
        <f t="shared" si="59"/>
        <v>23</v>
      </c>
    </row>
    <row r="1915" spans="1:11">
      <c r="A1915" t="s">
        <v>852</v>
      </c>
      <c r="B1915">
        <v>1970</v>
      </c>
      <c r="C1915" t="s">
        <v>4700</v>
      </c>
      <c r="D1915">
        <v>30</v>
      </c>
      <c r="E1915">
        <v>0</v>
      </c>
      <c r="F1915" s="13">
        <v>24393.62</v>
      </c>
      <c r="G1915" t="s">
        <v>4697</v>
      </c>
      <c r="H1915" t="s">
        <v>4698</v>
      </c>
      <c r="I1915" t="s">
        <v>4704</v>
      </c>
      <c r="J1915" s="10">
        <f t="shared" si="58"/>
        <v>25902</v>
      </c>
      <c r="K1915">
        <f t="shared" si="59"/>
        <v>52</v>
      </c>
    </row>
    <row r="1916" spans="1:11">
      <c r="A1916" t="s">
        <v>850</v>
      </c>
      <c r="B1916">
        <v>1968</v>
      </c>
      <c r="C1916" t="s">
        <v>4696</v>
      </c>
      <c r="D1916">
        <v>6</v>
      </c>
      <c r="E1916">
        <v>0</v>
      </c>
      <c r="F1916" s="13">
        <v>24476.48</v>
      </c>
      <c r="G1916" t="s">
        <v>4697</v>
      </c>
      <c r="H1916" t="s">
        <v>4697</v>
      </c>
      <c r="I1916" t="s">
        <v>4704</v>
      </c>
      <c r="J1916" s="10">
        <f t="shared" si="58"/>
        <v>25025</v>
      </c>
      <c r="K1916">
        <f t="shared" si="59"/>
        <v>54</v>
      </c>
    </row>
    <row r="1917" spans="1:11">
      <c r="A1917" t="s">
        <v>848</v>
      </c>
      <c r="B1917">
        <v>1961</v>
      </c>
      <c r="C1917" t="s">
        <v>4707</v>
      </c>
      <c r="D1917">
        <v>21</v>
      </c>
      <c r="E1917">
        <v>0</v>
      </c>
      <c r="F1917" s="13">
        <v>24513.09</v>
      </c>
      <c r="G1917" t="s">
        <v>4697</v>
      </c>
      <c r="H1917" t="s">
        <v>4697</v>
      </c>
      <c r="I1917" t="s">
        <v>4699</v>
      </c>
      <c r="J1917" s="10">
        <f t="shared" si="58"/>
        <v>22575</v>
      </c>
      <c r="K1917">
        <f t="shared" si="59"/>
        <v>61</v>
      </c>
    </row>
    <row r="1918" spans="1:11">
      <c r="A1918" t="s">
        <v>846</v>
      </c>
      <c r="B1918">
        <v>1972</v>
      </c>
      <c r="C1918" t="s">
        <v>4703</v>
      </c>
      <c r="D1918">
        <v>14</v>
      </c>
      <c r="E1918">
        <v>1</v>
      </c>
      <c r="F1918" s="13">
        <v>24520.26</v>
      </c>
      <c r="G1918" t="s">
        <v>4697</v>
      </c>
      <c r="H1918" t="s">
        <v>4698</v>
      </c>
      <c r="I1918" t="s">
        <v>4708</v>
      </c>
      <c r="J1918" s="10">
        <f t="shared" si="58"/>
        <v>26556</v>
      </c>
      <c r="K1918">
        <f t="shared" si="59"/>
        <v>50</v>
      </c>
    </row>
    <row r="1919" spans="1:11">
      <c r="A1919" t="s">
        <v>844</v>
      </c>
      <c r="B1919">
        <v>1975</v>
      </c>
      <c r="C1919" t="s">
        <v>4702</v>
      </c>
      <c r="D1919">
        <v>13</v>
      </c>
      <c r="E1919">
        <v>2</v>
      </c>
      <c r="F1919" s="13">
        <v>24535.7</v>
      </c>
      <c r="G1919" t="s">
        <v>4697</v>
      </c>
      <c r="H1919" t="s">
        <v>4697</v>
      </c>
      <c r="I1919" t="s">
        <v>4704</v>
      </c>
      <c r="J1919" s="10">
        <f t="shared" si="58"/>
        <v>27558</v>
      </c>
      <c r="K1919">
        <f t="shared" si="59"/>
        <v>47</v>
      </c>
    </row>
    <row r="1920" spans="1:11">
      <c r="A1920" t="s">
        <v>842</v>
      </c>
      <c r="B1920">
        <v>1976</v>
      </c>
      <c r="C1920" t="s">
        <v>4707</v>
      </c>
      <c r="D1920">
        <v>12</v>
      </c>
      <c r="E1920">
        <v>0</v>
      </c>
      <c r="F1920" s="13">
        <v>24603.05</v>
      </c>
      <c r="G1920" t="s">
        <v>4697</v>
      </c>
      <c r="H1920" t="s">
        <v>4697</v>
      </c>
      <c r="I1920" t="s">
        <v>4708</v>
      </c>
      <c r="J1920" s="10">
        <f t="shared" si="58"/>
        <v>28045</v>
      </c>
      <c r="K1920">
        <f t="shared" si="59"/>
        <v>46</v>
      </c>
    </row>
    <row r="1921" spans="1:11">
      <c r="A1921" t="s">
        <v>840</v>
      </c>
      <c r="B1921">
        <v>1970</v>
      </c>
      <c r="C1921" t="s">
        <v>4702</v>
      </c>
      <c r="D1921">
        <v>12</v>
      </c>
      <c r="E1921">
        <v>2</v>
      </c>
      <c r="F1921" s="13">
        <v>24667.42</v>
      </c>
      <c r="G1921" t="s">
        <v>4697</v>
      </c>
      <c r="H1921" t="s">
        <v>4698</v>
      </c>
      <c r="I1921" t="s">
        <v>4699</v>
      </c>
      <c r="J1921" s="10">
        <f t="shared" si="58"/>
        <v>25731</v>
      </c>
      <c r="K1921">
        <f t="shared" si="59"/>
        <v>52</v>
      </c>
    </row>
    <row r="1922" spans="1:11">
      <c r="A1922" t="s">
        <v>838</v>
      </c>
      <c r="B1922">
        <v>1996</v>
      </c>
      <c r="C1922" t="s">
        <v>4706</v>
      </c>
      <c r="D1922">
        <v>28</v>
      </c>
      <c r="E1922">
        <v>4</v>
      </c>
      <c r="F1922" s="13">
        <v>24671.66</v>
      </c>
      <c r="G1922" t="s">
        <v>4697</v>
      </c>
      <c r="H1922" t="s">
        <v>4701</v>
      </c>
      <c r="I1922" t="s">
        <v>4714</v>
      </c>
      <c r="J1922" s="10">
        <f t="shared" ref="J1922:J1985" si="60">DATEVALUE(D1922&amp;"-"&amp;C1922&amp;"-"&amp;B1922)</f>
        <v>35305</v>
      </c>
      <c r="K1922">
        <f t="shared" si="59"/>
        <v>26</v>
      </c>
    </row>
    <row r="1923" spans="1:11">
      <c r="A1923" t="s">
        <v>836</v>
      </c>
      <c r="B1923">
        <v>1992</v>
      </c>
      <c r="C1923" t="s">
        <v>4707</v>
      </c>
      <c r="D1923">
        <v>11</v>
      </c>
      <c r="E1923">
        <v>0</v>
      </c>
      <c r="F1923" s="13">
        <v>24795.040000000001</v>
      </c>
      <c r="G1923" t="s">
        <v>4697</v>
      </c>
      <c r="H1923" t="s">
        <v>4698</v>
      </c>
      <c r="I1923" t="s">
        <v>4708</v>
      </c>
      <c r="J1923" s="10">
        <f t="shared" si="60"/>
        <v>33888</v>
      </c>
      <c r="K1923">
        <f t="shared" ref="K1923:K1986" si="61">DATEDIF(J1923, DATE(2023, 6, 8), "Y")</f>
        <v>30</v>
      </c>
    </row>
    <row r="1924" spans="1:11">
      <c r="A1924" t="s">
        <v>834</v>
      </c>
      <c r="B1924">
        <v>1994</v>
      </c>
      <c r="C1924" t="s">
        <v>4703</v>
      </c>
      <c r="D1924">
        <v>9</v>
      </c>
      <c r="E1924">
        <v>0</v>
      </c>
      <c r="F1924" s="13">
        <v>24817.25</v>
      </c>
      <c r="G1924" t="s">
        <v>4697</v>
      </c>
      <c r="H1924" t="s">
        <v>4697</v>
      </c>
      <c r="I1924" t="s">
        <v>4708</v>
      </c>
      <c r="J1924" s="10">
        <f t="shared" si="60"/>
        <v>34586</v>
      </c>
      <c r="K1924">
        <f t="shared" si="61"/>
        <v>28</v>
      </c>
    </row>
    <row r="1925" spans="1:11">
      <c r="A1925" t="s">
        <v>832</v>
      </c>
      <c r="B1925">
        <v>1995</v>
      </c>
      <c r="C1925" t="s">
        <v>4702</v>
      </c>
      <c r="D1925">
        <v>10</v>
      </c>
      <c r="E1925">
        <v>0</v>
      </c>
      <c r="F1925" s="13">
        <v>24863.25</v>
      </c>
      <c r="G1925" t="s">
        <v>4697</v>
      </c>
      <c r="H1925" t="s">
        <v>4698</v>
      </c>
      <c r="I1925" t="s">
        <v>4708</v>
      </c>
      <c r="J1925" s="10">
        <f t="shared" si="60"/>
        <v>34860</v>
      </c>
      <c r="K1925">
        <f t="shared" si="61"/>
        <v>27</v>
      </c>
    </row>
    <row r="1926" spans="1:11">
      <c r="A1926" t="s">
        <v>830</v>
      </c>
      <c r="B1926">
        <v>1970</v>
      </c>
      <c r="C1926" t="s">
        <v>4700</v>
      </c>
      <c r="D1926">
        <v>26</v>
      </c>
      <c r="E1926">
        <v>3</v>
      </c>
      <c r="F1926" s="13">
        <v>24869.84</v>
      </c>
      <c r="G1926" t="s">
        <v>4697</v>
      </c>
      <c r="H1926" t="s">
        <v>4697</v>
      </c>
      <c r="I1926" t="s">
        <v>4711</v>
      </c>
      <c r="J1926" s="10">
        <f t="shared" si="60"/>
        <v>25898</v>
      </c>
      <c r="K1926">
        <f t="shared" si="61"/>
        <v>52</v>
      </c>
    </row>
    <row r="1927" spans="1:11">
      <c r="A1927" t="s">
        <v>828</v>
      </c>
      <c r="B1927">
        <v>1969</v>
      </c>
      <c r="C1927" t="s">
        <v>4696</v>
      </c>
      <c r="D1927">
        <v>23</v>
      </c>
      <c r="E1927">
        <v>3</v>
      </c>
      <c r="F1927" s="13">
        <v>24873.38</v>
      </c>
      <c r="G1927" t="s">
        <v>4697</v>
      </c>
      <c r="H1927" t="s">
        <v>4701</v>
      </c>
      <c r="I1927" t="s">
        <v>4714</v>
      </c>
      <c r="J1927" s="10">
        <f t="shared" si="60"/>
        <v>25407</v>
      </c>
      <c r="K1927">
        <f t="shared" si="61"/>
        <v>53</v>
      </c>
    </row>
    <row r="1928" spans="1:11">
      <c r="A1928" t="s">
        <v>826</v>
      </c>
      <c r="B1928">
        <v>1987</v>
      </c>
      <c r="C1928" t="s">
        <v>4702</v>
      </c>
      <c r="D1928">
        <v>14</v>
      </c>
      <c r="E1928">
        <v>2</v>
      </c>
      <c r="F1928" s="13">
        <v>24915.05</v>
      </c>
      <c r="G1928" t="s">
        <v>4697</v>
      </c>
      <c r="H1928" t="s">
        <v>4701</v>
      </c>
      <c r="I1928" t="s">
        <v>4714</v>
      </c>
      <c r="J1928" s="10">
        <f t="shared" si="60"/>
        <v>31942</v>
      </c>
      <c r="K1928">
        <f t="shared" si="61"/>
        <v>35</v>
      </c>
    </row>
    <row r="1929" spans="1:11">
      <c r="A1929" t="s">
        <v>824</v>
      </c>
      <c r="B1929">
        <v>1975</v>
      </c>
      <c r="C1929" t="s">
        <v>4700</v>
      </c>
      <c r="D1929">
        <v>14</v>
      </c>
      <c r="E1929">
        <v>3</v>
      </c>
      <c r="F1929" s="13">
        <v>24915.22</v>
      </c>
      <c r="G1929" t="s">
        <v>4697</v>
      </c>
      <c r="H1929" t="s">
        <v>4698</v>
      </c>
      <c r="I1929" t="s">
        <v>4704</v>
      </c>
      <c r="J1929" s="10">
        <f t="shared" si="60"/>
        <v>27712</v>
      </c>
      <c r="K1929">
        <f t="shared" si="61"/>
        <v>47</v>
      </c>
    </row>
    <row r="1930" spans="1:11">
      <c r="A1930" t="s">
        <v>822</v>
      </c>
      <c r="B1930">
        <v>1995</v>
      </c>
      <c r="C1930" t="s">
        <v>4705</v>
      </c>
      <c r="D1930">
        <v>4</v>
      </c>
      <c r="E1930">
        <v>0</v>
      </c>
      <c r="F1930" s="13">
        <v>25075.97</v>
      </c>
      <c r="G1930" t="s">
        <v>4697</v>
      </c>
      <c r="H1930" t="s">
        <v>4697</v>
      </c>
      <c r="I1930" t="s">
        <v>4708</v>
      </c>
      <c r="J1930" s="10">
        <f t="shared" si="60"/>
        <v>35037</v>
      </c>
      <c r="K1930">
        <f t="shared" si="61"/>
        <v>27</v>
      </c>
    </row>
    <row r="1931" spans="1:11">
      <c r="A1931" t="s">
        <v>820</v>
      </c>
      <c r="B1931">
        <v>1998</v>
      </c>
      <c r="C1931" t="s">
        <v>4702</v>
      </c>
      <c r="D1931">
        <v>14</v>
      </c>
      <c r="E1931">
        <v>0</v>
      </c>
      <c r="F1931" s="13">
        <v>25081.77</v>
      </c>
      <c r="G1931" t="s">
        <v>4697</v>
      </c>
      <c r="H1931" t="s">
        <v>4697</v>
      </c>
      <c r="I1931" t="s">
        <v>4699</v>
      </c>
      <c r="J1931" s="10">
        <f t="shared" si="60"/>
        <v>35960</v>
      </c>
      <c r="K1931">
        <f t="shared" si="61"/>
        <v>24</v>
      </c>
    </row>
    <row r="1932" spans="1:11">
      <c r="A1932" t="s">
        <v>818</v>
      </c>
      <c r="B1932">
        <v>1998</v>
      </c>
      <c r="C1932" t="s">
        <v>4700</v>
      </c>
      <c r="D1932">
        <v>24</v>
      </c>
      <c r="E1932">
        <v>0</v>
      </c>
      <c r="F1932" s="13">
        <v>25127.22</v>
      </c>
      <c r="G1932" t="s">
        <v>4697</v>
      </c>
      <c r="H1932" t="s">
        <v>4698</v>
      </c>
      <c r="I1932" t="s">
        <v>4708</v>
      </c>
      <c r="J1932" s="10">
        <f t="shared" si="60"/>
        <v>36123</v>
      </c>
      <c r="K1932">
        <f t="shared" si="61"/>
        <v>24</v>
      </c>
    </row>
    <row r="1933" spans="1:11">
      <c r="A1933" t="s">
        <v>816</v>
      </c>
      <c r="B1933">
        <v>1975</v>
      </c>
      <c r="C1933" t="s">
        <v>4705</v>
      </c>
      <c r="D1933">
        <v>14</v>
      </c>
      <c r="E1933">
        <v>3</v>
      </c>
      <c r="F1933" s="13">
        <v>25309.49</v>
      </c>
      <c r="G1933" t="s">
        <v>4697</v>
      </c>
      <c r="H1933" t="s">
        <v>4701</v>
      </c>
      <c r="I1933" t="s">
        <v>4708</v>
      </c>
      <c r="J1933" s="10">
        <f t="shared" si="60"/>
        <v>27742</v>
      </c>
      <c r="K1933">
        <f t="shared" si="61"/>
        <v>47</v>
      </c>
    </row>
    <row r="1934" spans="1:11">
      <c r="A1934" t="s">
        <v>814</v>
      </c>
      <c r="B1934">
        <v>1972</v>
      </c>
      <c r="C1934" t="s">
        <v>4703</v>
      </c>
      <c r="D1934">
        <v>26</v>
      </c>
      <c r="E1934">
        <v>2</v>
      </c>
      <c r="F1934" s="13">
        <v>25333.33</v>
      </c>
      <c r="G1934" t="s">
        <v>4697</v>
      </c>
      <c r="H1934" t="s">
        <v>4697</v>
      </c>
      <c r="I1934" t="s">
        <v>4718</v>
      </c>
      <c r="J1934" s="10">
        <f t="shared" si="60"/>
        <v>26568</v>
      </c>
      <c r="K1934">
        <f t="shared" si="61"/>
        <v>50</v>
      </c>
    </row>
    <row r="1935" spans="1:11">
      <c r="A1935" t="s">
        <v>812</v>
      </c>
      <c r="B1935">
        <v>1968</v>
      </c>
      <c r="C1935" t="s">
        <v>4706</v>
      </c>
      <c r="D1935">
        <v>22</v>
      </c>
      <c r="E1935">
        <v>3</v>
      </c>
      <c r="F1935" s="13">
        <v>25382.3</v>
      </c>
      <c r="G1935" t="s">
        <v>4697</v>
      </c>
      <c r="H1935" t="s">
        <v>4697</v>
      </c>
      <c r="I1935" t="s">
        <v>4708</v>
      </c>
      <c r="J1935" s="10">
        <f t="shared" si="60"/>
        <v>25072</v>
      </c>
      <c r="K1935">
        <f t="shared" si="61"/>
        <v>54</v>
      </c>
    </row>
    <row r="1936" spans="1:11">
      <c r="A1936" t="s">
        <v>810</v>
      </c>
      <c r="B1936">
        <v>1968</v>
      </c>
      <c r="C1936" t="s">
        <v>4705</v>
      </c>
      <c r="D1936">
        <v>11</v>
      </c>
      <c r="E1936">
        <v>1</v>
      </c>
      <c r="F1936" s="13">
        <v>25517.11</v>
      </c>
      <c r="G1936" t="s">
        <v>4697</v>
      </c>
      <c r="H1936" t="s">
        <v>4698</v>
      </c>
      <c r="I1936" t="s">
        <v>4718</v>
      </c>
      <c r="J1936" s="10">
        <f t="shared" si="60"/>
        <v>25183</v>
      </c>
      <c r="K1936">
        <f t="shared" si="61"/>
        <v>54</v>
      </c>
    </row>
    <row r="1937" spans="1:11">
      <c r="A1937" t="s">
        <v>808</v>
      </c>
      <c r="B1937">
        <v>2001</v>
      </c>
      <c r="C1937" t="s">
        <v>4706</v>
      </c>
      <c r="D1937">
        <v>2</v>
      </c>
      <c r="E1937">
        <v>0</v>
      </c>
      <c r="F1937" s="13">
        <v>25648.98</v>
      </c>
      <c r="G1937" t="s">
        <v>4697</v>
      </c>
      <c r="H1937" t="s">
        <v>4701</v>
      </c>
      <c r="I1937" t="s">
        <v>4708</v>
      </c>
      <c r="J1937" s="10">
        <f t="shared" si="60"/>
        <v>37105</v>
      </c>
      <c r="K1937">
        <f t="shared" si="61"/>
        <v>21</v>
      </c>
    </row>
    <row r="1938" spans="1:11">
      <c r="A1938" t="s">
        <v>806</v>
      </c>
      <c r="B1938">
        <v>1972</v>
      </c>
      <c r="C1938" t="s">
        <v>4696</v>
      </c>
      <c r="D1938">
        <v>17</v>
      </c>
      <c r="E1938">
        <v>0</v>
      </c>
      <c r="F1938" s="13">
        <v>25656.58</v>
      </c>
      <c r="G1938" t="s">
        <v>4697</v>
      </c>
      <c r="H1938" t="s">
        <v>4698</v>
      </c>
      <c r="I1938" t="s">
        <v>4714</v>
      </c>
      <c r="J1938" s="10">
        <f t="shared" si="60"/>
        <v>26497</v>
      </c>
      <c r="K1938">
        <f t="shared" si="61"/>
        <v>50</v>
      </c>
    </row>
    <row r="1939" spans="1:11">
      <c r="A1939" t="s">
        <v>804</v>
      </c>
      <c r="B1939">
        <v>1963</v>
      </c>
      <c r="C1939" t="s">
        <v>4706</v>
      </c>
      <c r="D1939">
        <v>21</v>
      </c>
      <c r="E1939">
        <v>0</v>
      </c>
      <c r="F1939" s="13">
        <v>25678.78</v>
      </c>
      <c r="G1939" t="s">
        <v>4697</v>
      </c>
      <c r="H1939" t="s">
        <v>4698</v>
      </c>
      <c r="I1939" t="s">
        <v>4704</v>
      </c>
      <c r="J1939" s="10">
        <f t="shared" si="60"/>
        <v>23244</v>
      </c>
      <c r="K1939">
        <f t="shared" si="61"/>
        <v>59</v>
      </c>
    </row>
    <row r="1940" spans="1:11">
      <c r="A1940" t="s">
        <v>802</v>
      </c>
      <c r="B1940">
        <v>1970</v>
      </c>
      <c r="C1940" t="s">
        <v>4705</v>
      </c>
      <c r="D1940">
        <v>3</v>
      </c>
      <c r="E1940">
        <v>3</v>
      </c>
      <c r="F1940" s="13">
        <v>25992.82</v>
      </c>
      <c r="G1940" t="s">
        <v>4697</v>
      </c>
      <c r="H1940" t="s">
        <v>4697</v>
      </c>
      <c r="I1940" t="s">
        <v>4699</v>
      </c>
      <c r="J1940" s="10">
        <f t="shared" si="60"/>
        <v>25905</v>
      </c>
      <c r="K1940">
        <f t="shared" si="61"/>
        <v>52</v>
      </c>
    </row>
    <row r="1941" spans="1:11">
      <c r="A1941" t="s">
        <v>800</v>
      </c>
      <c r="B1941">
        <v>2001</v>
      </c>
      <c r="C1941" t="s">
        <v>4702</v>
      </c>
      <c r="D1941">
        <v>5</v>
      </c>
      <c r="E1941">
        <v>2</v>
      </c>
      <c r="F1941" s="13">
        <v>26018.95</v>
      </c>
      <c r="G1941" t="s">
        <v>4697</v>
      </c>
      <c r="H1941" t="s">
        <v>4697</v>
      </c>
      <c r="I1941" t="s">
        <v>4704</v>
      </c>
      <c r="J1941" s="10">
        <f t="shared" si="60"/>
        <v>37047</v>
      </c>
      <c r="K1941">
        <f t="shared" si="61"/>
        <v>22</v>
      </c>
    </row>
    <row r="1942" spans="1:11">
      <c r="A1942" t="s">
        <v>798</v>
      </c>
      <c r="B1942">
        <v>2000</v>
      </c>
      <c r="C1942" t="s">
        <v>4705</v>
      </c>
      <c r="D1942">
        <v>26</v>
      </c>
      <c r="E1942">
        <v>0</v>
      </c>
      <c r="F1942" s="13">
        <v>26026.97</v>
      </c>
      <c r="G1942" t="s">
        <v>4697</v>
      </c>
      <c r="H1942" t="s">
        <v>4698</v>
      </c>
      <c r="I1942" t="s">
        <v>4708</v>
      </c>
      <c r="J1942" s="10">
        <f t="shared" si="60"/>
        <v>36886</v>
      </c>
      <c r="K1942">
        <f t="shared" si="61"/>
        <v>22</v>
      </c>
    </row>
    <row r="1943" spans="1:11">
      <c r="A1943" t="s">
        <v>796</v>
      </c>
      <c r="B1943">
        <v>1966</v>
      </c>
      <c r="C1943" t="s">
        <v>4696</v>
      </c>
      <c r="D1943">
        <v>9</v>
      </c>
      <c r="E1943">
        <v>1</v>
      </c>
      <c r="F1943" s="13">
        <v>26109.33</v>
      </c>
      <c r="G1943" t="s">
        <v>4697</v>
      </c>
      <c r="H1943" t="s">
        <v>4698</v>
      </c>
      <c r="I1943" t="s">
        <v>4704</v>
      </c>
      <c r="J1943" s="10">
        <f t="shared" si="60"/>
        <v>24297</v>
      </c>
      <c r="K1943">
        <f t="shared" si="61"/>
        <v>56</v>
      </c>
    </row>
    <row r="1944" spans="1:11">
      <c r="A1944" t="s">
        <v>794</v>
      </c>
      <c r="B1944">
        <v>2002</v>
      </c>
      <c r="C1944" t="s">
        <v>4707</v>
      </c>
      <c r="D1944">
        <v>11</v>
      </c>
      <c r="E1944">
        <v>0</v>
      </c>
      <c r="F1944" s="13">
        <v>26125.67</v>
      </c>
      <c r="G1944" t="s">
        <v>4697</v>
      </c>
      <c r="H1944" t="s">
        <v>4701</v>
      </c>
      <c r="I1944" t="s">
        <v>4699</v>
      </c>
      <c r="J1944" s="10">
        <f t="shared" si="60"/>
        <v>37540</v>
      </c>
      <c r="K1944">
        <f t="shared" si="61"/>
        <v>20</v>
      </c>
    </row>
    <row r="1945" spans="1:11">
      <c r="A1945" t="s">
        <v>792</v>
      </c>
      <c r="B1945">
        <v>1973</v>
      </c>
      <c r="C1945" t="s">
        <v>4696</v>
      </c>
      <c r="D1945">
        <v>7</v>
      </c>
      <c r="E1945">
        <v>1</v>
      </c>
      <c r="F1945" s="13">
        <v>26140.36</v>
      </c>
      <c r="G1945" t="s">
        <v>4697</v>
      </c>
      <c r="H1945" t="s">
        <v>4698</v>
      </c>
      <c r="I1945" t="s">
        <v>4708</v>
      </c>
      <c r="J1945" s="10">
        <f t="shared" si="60"/>
        <v>26852</v>
      </c>
      <c r="K1945">
        <f t="shared" si="61"/>
        <v>49</v>
      </c>
    </row>
    <row r="1946" spans="1:11">
      <c r="A1946" t="s">
        <v>790</v>
      </c>
      <c r="B1946">
        <v>1975</v>
      </c>
      <c r="C1946" t="s">
        <v>4702</v>
      </c>
      <c r="D1946">
        <v>4</v>
      </c>
      <c r="E1946">
        <v>1</v>
      </c>
      <c r="F1946" s="13">
        <v>26236.58</v>
      </c>
      <c r="G1946" t="s">
        <v>4697</v>
      </c>
      <c r="H1946" t="s">
        <v>4701</v>
      </c>
      <c r="I1946" t="s">
        <v>4708</v>
      </c>
      <c r="J1946" s="10">
        <f t="shared" si="60"/>
        <v>27549</v>
      </c>
      <c r="K1946">
        <f t="shared" si="61"/>
        <v>48</v>
      </c>
    </row>
    <row r="1947" spans="1:11">
      <c r="A1947" t="s">
        <v>788</v>
      </c>
      <c r="B1947">
        <v>2004</v>
      </c>
      <c r="C1947" t="s">
        <v>4705</v>
      </c>
      <c r="D1947">
        <v>5</v>
      </c>
      <c r="E1947">
        <v>0</v>
      </c>
      <c r="F1947" s="13">
        <v>26316.59</v>
      </c>
      <c r="G1947" t="s">
        <v>4697</v>
      </c>
      <c r="H1947" t="s">
        <v>4698</v>
      </c>
      <c r="I1947" t="s">
        <v>4708</v>
      </c>
      <c r="J1947" s="10">
        <f t="shared" si="60"/>
        <v>38326</v>
      </c>
      <c r="K1947">
        <f t="shared" si="61"/>
        <v>18</v>
      </c>
    </row>
    <row r="1948" spans="1:11">
      <c r="A1948" t="s">
        <v>786</v>
      </c>
      <c r="B1948">
        <v>1974</v>
      </c>
      <c r="C1948" t="s">
        <v>4703</v>
      </c>
      <c r="D1948">
        <v>21</v>
      </c>
      <c r="E1948">
        <v>1</v>
      </c>
      <c r="F1948" s="13">
        <v>26392.26</v>
      </c>
      <c r="G1948" t="s">
        <v>4697</v>
      </c>
      <c r="H1948" t="s">
        <v>4697</v>
      </c>
      <c r="I1948" t="s">
        <v>4714</v>
      </c>
      <c r="J1948" s="10">
        <f t="shared" si="60"/>
        <v>27293</v>
      </c>
      <c r="K1948">
        <f t="shared" si="61"/>
        <v>48</v>
      </c>
    </row>
    <row r="1949" spans="1:11">
      <c r="A1949" t="s">
        <v>784</v>
      </c>
      <c r="B1949">
        <v>1970</v>
      </c>
      <c r="C1949" t="s">
        <v>4706</v>
      </c>
      <c r="D1949">
        <v>27</v>
      </c>
      <c r="E1949">
        <v>2</v>
      </c>
      <c r="F1949" s="13">
        <v>26467.1</v>
      </c>
      <c r="G1949" t="s">
        <v>4697</v>
      </c>
      <c r="H1949" t="s">
        <v>4698</v>
      </c>
      <c r="I1949" t="s">
        <v>4704</v>
      </c>
      <c r="J1949" s="10">
        <f t="shared" si="60"/>
        <v>25807</v>
      </c>
      <c r="K1949">
        <f t="shared" si="61"/>
        <v>52</v>
      </c>
    </row>
    <row r="1950" spans="1:11">
      <c r="A1950" t="s">
        <v>782</v>
      </c>
      <c r="B1950">
        <v>2004</v>
      </c>
      <c r="C1950" t="s">
        <v>4703</v>
      </c>
      <c r="D1950">
        <v>5</v>
      </c>
      <c r="E1950">
        <v>0</v>
      </c>
      <c r="F1950" s="13">
        <v>26479.4</v>
      </c>
      <c r="G1950" t="s">
        <v>4697</v>
      </c>
      <c r="H1950" t="s">
        <v>4697</v>
      </c>
      <c r="I1950" t="s">
        <v>4708</v>
      </c>
      <c r="J1950" s="10">
        <f t="shared" si="60"/>
        <v>38235</v>
      </c>
      <c r="K1950">
        <f t="shared" si="61"/>
        <v>18</v>
      </c>
    </row>
    <row r="1951" spans="1:11">
      <c r="A1951" t="s">
        <v>780</v>
      </c>
      <c r="B1951">
        <v>1988</v>
      </c>
      <c r="C1951" t="s">
        <v>4696</v>
      </c>
      <c r="D1951">
        <v>22</v>
      </c>
      <c r="E1951">
        <v>3</v>
      </c>
      <c r="F1951" s="13">
        <v>26607.89</v>
      </c>
      <c r="G1951" t="s">
        <v>4697</v>
      </c>
      <c r="H1951" t="s">
        <v>4701</v>
      </c>
      <c r="I1951" t="s">
        <v>4708</v>
      </c>
      <c r="J1951" s="10">
        <f t="shared" si="60"/>
        <v>32346</v>
      </c>
      <c r="K1951">
        <f t="shared" si="61"/>
        <v>34</v>
      </c>
    </row>
    <row r="1952" spans="1:11">
      <c r="A1952" t="s">
        <v>778</v>
      </c>
      <c r="B1952">
        <v>1991</v>
      </c>
      <c r="C1952" t="s">
        <v>4706</v>
      </c>
      <c r="D1952">
        <v>22</v>
      </c>
      <c r="E1952">
        <v>3</v>
      </c>
      <c r="F1952" s="13">
        <v>26912.560000000001</v>
      </c>
      <c r="G1952" t="s">
        <v>4697</v>
      </c>
      <c r="H1952" t="s">
        <v>4697</v>
      </c>
      <c r="I1952" t="s">
        <v>4708</v>
      </c>
      <c r="J1952" s="10">
        <f t="shared" si="60"/>
        <v>33472</v>
      </c>
      <c r="K1952">
        <f t="shared" si="61"/>
        <v>31</v>
      </c>
    </row>
    <row r="1953" spans="1:11">
      <c r="A1953" t="s">
        <v>776</v>
      </c>
      <c r="B1953">
        <v>1958</v>
      </c>
      <c r="C1953" t="s">
        <v>4705</v>
      </c>
      <c r="D1953">
        <v>25</v>
      </c>
      <c r="E1953">
        <v>0</v>
      </c>
      <c r="F1953" s="13">
        <v>26926.51</v>
      </c>
      <c r="G1953" t="s">
        <v>4697</v>
      </c>
      <c r="H1953" t="s">
        <v>4701</v>
      </c>
      <c r="I1953" t="s">
        <v>4699</v>
      </c>
      <c r="J1953" s="10">
        <f t="shared" si="60"/>
        <v>21544</v>
      </c>
      <c r="K1953">
        <f t="shared" si="61"/>
        <v>64</v>
      </c>
    </row>
    <row r="1954" spans="1:11">
      <c r="A1954" t="s">
        <v>774</v>
      </c>
      <c r="B1954">
        <v>2002</v>
      </c>
      <c r="C1954" t="s">
        <v>4702</v>
      </c>
      <c r="D1954">
        <v>17</v>
      </c>
      <c r="E1954">
        <v>0</v>
      </c>
      <c r="F1954" s="13">
        <v>26927.69</v>
      </c>
      <c r="G1954" t="s">
        <v>4697</v>
      </c>
      <c r="H1954" t="s">
        <v>4697</v>
      </c>
      <c r="I1954" t="s">
        <v>4708</v>
      </c>
      <c r="J1954" s="10">
        <f t="shared" si="60"/>
        <v>37424</v>
      </c>
      <c r="K1954">
        <f t="shared" si="61"/>
        <v>20</v>
      </c>
    </row>
    <row r="1955" spans="1:11">
      <c r="A1955" t="s">
        <v>772</v>
      </c>
      <c r="B1955">
        <v>2000</v>
      </c>
      <c r="C1955" t="s">
        <v>4700</v>
      </c>
      <c r="D1955">
        <v>9</v>
      </c>
      <c r="E1955">
        <v>0</v>
      </c>
      <c r="F1955" s="13">
        <v>26936.98</v>
      </c>
      <c r="G1955" t="s">
        <v>4697</v>
      </c>
      <c r="H1955" t="s">
        <v>4698</v>
      </c>
      <c r="I1955" t="s">
        <v>4708</v>
      </c>
      <c r="J1955" s="10">
        <f t="shared" si="60"/>
        <v>36839</v>
      </c>
      <c r="K1955">
        <f t="shared" si="61"/>
        <v>22</v>
      </c>
    </row>
    <row r="1956" spans="1:11">
      <c r="A1956" t="s">
        <v>770</v>
      </c>
      <c r="B1956">
        <v>1960</v>
      </c>
      <c r="C1956" t="s">
        <v>4696</v>
      </c>
      <c r="D1956">
        <v>9</v>
      </c>
      <c r="E1956">
        <v>1</v>
      </c>
      <c r="F1956" s="13">
        <v>27000.98</v>
      </c>
      <c r="G1956" t="s">
        <v>4697</v>
      </c>
      <c r="H1956" t="s">
        <v>4697</v>
      </c>
      <c r="I1956" t="s">
        <v>4699</v>
      </c>
      <c r="J1956" s="10">
        <f t="shared" si="60"/>
        <v>22106</v>
      </c>
      <c r="K1956">
        <f t="shared" si="61"/>
        <v>62</v>
      </c>
    </row>
    <row r="1957" spans="1:11">
      <c r="A1957" t="s">
        <v>768</v>
      </c>
      <c r="B1957">
        <v>1958</v>
      </c>
      <c r="C1957" t="s">
        <v>4702</v>
      </c>
      <c r="D1957">
        <v>30</v>
      </c>
      <c r="E1957">
        <v>0</v>
      </c>
      <c r="F1957" s="13">
        <v>27037.91</v>
      </c>
      <c r="G1957" t="s">
        <v>4697</v>
      </c>
      <c r="H1957" t="s">
        <v>4697</v>
      </c>
      <c r="I1957" t="s">
        <v>4699</v>
      </c>
      <c r="J1957" s="10">
        <f t="shared" si="60"/>
        <v>21366</v>
      </c>
      <c r="K1957">
        <f t="shared" si="61"/>
        <v>64</v>
      </c>
    </row>
    <row r="1958" spans="1:11">
      <c r="A1958" t="s">
        <v>766</v>
      </c>
      <c r="B1958">
        <v>1994</v>
      </c>
      <c r="C1958" t="s">
        <v>4696</v>
      </c>
      <c r="D1958">
        <v>2</v>
      </c>
      <c r="E1958">
        <v>0</v>
      </c>
      <c r="F1958" s="13">
        <v>27080.639999999999</v>
      </c>
      <c r="G1958" t="s">
        <v>4697</v>
      </c>
      <c r="H1958" t="s">
        <v>4697</v>
      </c>
      <c r="I1958" t="s">
        <v>4708</v>
      </c>
      <c r="J1958" s="10">
        <f t="shared" si="60"/>
        <v>34517</v>
      </c>
      <c r="K1958">
        <f t="shared" si="61"/>
        <v>28</v>
      </c>
    </row>
    <row r="1959" spans="1:11">
      <c r="A1959" t="s">
        <v>764</v>
      </c>
      <c r="B1959">
        <v>1990</v>
      </c>
      <c r="C1959" t="s">
        <v>4705</v>
      </c>
      <c r="D1959">
        <v>13</v>
      </c>
      <c r="E1959">
        <v>3</v>
      </c>
      <c r="F1959" s="13">
        <v>27092.38</v>
      </c>
      <c r="G1959" t="s">
        <v>4697</v>
      </c>
      <c r="H1959" t="s">
        <v>4698</v>
      </c>
      <c r="I1959" t="s">
        <v>4708</v>
      </c>
      <c r="J1959" s="10">
        <f t="shared" si="60"/>
        <v>33220</v>
      </c>
      <c r="K1959">
        <f t="shared" si="61"/>
        <v>32</v>
      </c>
    </row>
    <row r="1960" spans="1:11">
      <c r="A1960" t="s">
        <v>762</v>
      </c>
      <c r="B1960">
        <v>1970</v>
      </c>
      <c r="C1960" t="s">
        <v>4707</v>
      </c>
      <c r="D1960">
        <v>2</v>
      </c>
      <c r="E1960">
        <v>0</v>
      </c>
      <c r="F1960" s="13">
        <v>27117.99</v>
      </c>
      <c r="G1960" t="s">
        <v>4697</v>
      </c>
      <c r="H1960" t="s">
        <v>4697</v>
      </c>
      <c r="I1960" t="s">
        <v>4699</v>
      </c>
      <c r="J1960" s="10">
        <f t="shared" si="60"/>
        <v>25843</v>
      </c>
      <c r="K1960">
        <f t="shared" si="61"/>
        <v>52</v>
      </c>
    </row>
    <row r="1961" spans="1:11">
      <c r="A1961" t="s">
        <v>760</v>
      </c>
      <c r="B1961">
        <v>1965</v>
      </c>
      <c r="C1961" t="s">
        <v>4705</v>
      </c>
      <c r="D1961">
        <v>21</v>
      </c>
      <c r="E1961">
        <v>0</v>
      </c>
      <c r="F1961" s="13">
        <v>27218.44</v>
      </c>
      <c r="G1961" t="s">
        <v>4697</v>
      </c>
      <c r="H1961" t="s">
        <v>4701</v>
      </c>
      <c r="I1961" t="s">
        <v>4718</v>
      </c>
      <c r="J1961" s="10">
        <f t="shared" si="60"/>
        <v>24097</v>
      </c>
      <c r="K1961">
        <f t="shared" si="61"/>
        <v>57</v>
      </c>
    </row>
    <row r="1962" spans="1:11">
      <c r="A1962" t="s">
        <v>758</v>
      </c>
      <c r="B1962">
        <v>1999</v>
      </c>
      <c r="C1962" t="s">
        <v>4705</v>
      </c>
      <c r="D1962">
        <v>2</v>
      </c>
      <c r="E1962">
        <v>0</v>
      </c>
      <c r="F1962" s="13">
        <v>27236.959999999999</v>
      </c>
      <c r="G1962" t="s">
        <v>4697</v>
      </c>
      <c r="H1962" t="s">
        <v>4701</v>
      </c>
      <c r="I1962" t="s">
        <v>4708</v>
      </c>
      <c r="J1962" s="10">
        <f t="shared" si="60"/>
        <v>36496</v>
      </c>
      <c r="K1962">
        <f t="shared" si="61"/>
        <v>23</v>
      </c>
    </row>
    <row r="1963" spans="1:11">
      <c r="A1963" t="s">
        <v>756</v>
      </c>
      <c r="B1963">
        <v>1968</v>
      </c>
      <c r="C1963" t="s">
        <v>4702</v>
      </c>
      <c r="D1963">
        <v>6</v>
      </c>
      <c r="E1963">
        <v>3</v>
      </c>
      <c r="F1963" s="13">
        <v>27322.73</v>
      </c>
      <c r="G1963" t="s">
        <v>4697</v>
      </c>
      <c r="H1963" t="s">
        <v>4697</v>
      </c>
      <c r="I1963" t="s">
        <v>4699</v>
      </c>
      <c r="J1963" s="10">
        <f t="shared" si="60"/>
        <v>24995</v>
      </c>
      <c r="K1963">
        <f t="shared" si="61"/>
        <v>55</v>
      </c>
    </row>
    <row r="1964" spans="1:11">
      <c r="A1964" t="s">
        <v>754</v>
      </c>
      <c r="B1964">
        <v>1969</v>
      </c>
      <c r="C1964" t="s">
        <v>4707</v>
      </c>
      <c r="D1964">
        <v>16</v>
      </c>
      <c r="E1964">
        <v>0</v>
      </c>
      <c r="F1964" s="13">
        <v>27346.04</v>
      </c>
      <c r="G1964" t="s">
        <v>4697</v>
      </c>
      <c r="H1964" t="s">
        <v>4697</v>
      </c>
      <c r="I1964" t="s">
        <v>4699</v>
      </c>
      <c r="J1964" s="10">
        <f t="shared" si="60"/>
        <v>25492</v>
      </c>
      <c r="K1964">
        <f t="shared" si="61"/>
        <v>53</v>
      </c>
    </row>
    <row r="1965" spans="1:11">
      <c r="A1965" t="s">
        <v>752</v>
      </c>
      <c r="B1965">
        <v>1988</v>
      </c>
      <c r="C1965" t="s">
        <v>4703</v>
      </c>
      <c r="D1965">
        <v>15</v>
      </c>
      <c r="E1965">
        <v>2</v>
      </c>
      <c r="F1965" s="13">
        <v>27375.9</v>
      </c>
      <c r="G1965" t="s">
        <v>4697</v>
      </c>
      <c r="H1965" t="s">
        <v>4698</v>
      </c>
      <c r="I1965" t="s">
        <v>4709</v>
      </c>
      <c r="J1965" s="10">
        <f t="shared" si="60"/>
        <v>32401</v>
      </c>
      <c r="K1965">
        <f t="shared" si="61"/>
        <v>34</v>
      </c>
    </row>
    <row r="1966" spans="1:11">
      <c r="A1966" t="s">
        <v>750</v>
      </c>
      <c r="B1966">
        <v>1985</v>
      </c>
      <c r="C1966" t="s">
        <v>4705</v>
      </c>
      <c r="D1966">
        <v>5</v>
      </c>
      <c r="E1966">
        <v>3</v>
      </c>
      <c r="F1966" s="13">
        <v>27432.73</v>
      </c>
      <c r="G1966" t="s">
        <v>4697</v>
      </c>
      <c r="H1966" t="s">
        <v>4701</v>
      </c>
      <c r="I1966" t="s">
        <v>4708</v>
      </c>
      <c r="J1966" s="10">
        <f t="shared" si="60"/>
        <v>31386</v>
      </c>
      <c r="K1966">
        <f t="shared" si="61"/>
        <v>37</v>
      </c>
    </row>
    <row r="1967" spans="1:11">
      <c r="A1967" t="s">
        <v>748</v>
      </c>
      <c r="B1967">
        <v>1981</v>
      </c>
      <c r="C1967" t="s">
        <v>4707</v>
      </c>
      <c r="D1967">
        <v>3</v>
      </c>
      <c r="E1967">
        <v>1</v>
      </c>
      <c r="F1967" s="13">
        <v>27495.59</v>
      </c>
      <c r="G1967" t="s">
        <v>4697</v>
      </c>
      <c r="H1967" t="s">
        <v>4701</v>
      </c>
      <c r="I1967" t="s">
        <v>4708</v>
      </c>
      <c r="J1967" s="10">
        <f t="shared" si="60"/>
        <v>29862</v>
      </c>
      <c r="K1967">
        <f t="shared" si="61"/>
        <v>41</v>
      </c>
    </row>
    <row r="1968" spans="1:11">
      <c r="A1968" t="s">
        <v>746</v>
      </c>
      <c r="B1968">
        <v>1965</v>
      </c>
      <c r="C1968" t="s">
        <v>4707</v>
      </c>
      <c r="D1968">
        <v>19</v>
      </c>
      <c r="E1968">
        <v>0</v>
      </c>
      <c r="F1968" s="13">
        <v>27533.91</v>
      </c>
      <c r="G1968" t="s">
        <v>4697</v>
      </c>
      <c r="H1968" t="s">
        <v>4698</v>
      </c>
      <c r="I1968" t="s">
        <v>4699</v>
      </c>
      <c r="J1968" s="10">
        <f t="shared" si="60"/>
        <v>24034</v>
      </c>
      <c r="K1968">
        <f t="shared" si="61"/>
        <v>57</v>
      </c>
    </row>
    <row r="1969" spans="1:11">
      <c r="A1969" t="s">
        <v>744</v>
      </c>
      <c r="B1969">
        <v>1984</v>
      </c>
      <c r="C1969" t="s">
        <v>4696</v>
      </c>
      <c r="D1969">
        <v>22</v>
      </c>
      <c r="E1969">
        <v>3</v>
      </c>
      <c r="F1969" s="13">
        <v>27534.53</v>
      </c>
      <c r="G1969" t="s">
        <v>4697</v>
      </c>
      <c r="H1969" t="s">
        <v>4697</v>
      </c>
      <c r="I1969" t="s">
        <v>4708</v>
      </c>
      <c r="J1969" s="10">
        <f t="shared" si="60"/>
        <v>30885</v>
      </c>
      <c r="K1969">
        <f t="shared" si="61"/>
        <v>38</v>
      </c>
    </row>
    <row r="1970" spans="1:11">
      <c r="A1970" t="s">
        <v>742</v>
      </c>
      <c r="B1970">
        <v>1985</v>
      </c>
      <c r="C1970" t="s">
        <v>4700</v>
      </c>
      <c r="D1970">
        <v>6</v>
      </c>
      <c r="E1970">
        <v>3</v>
      </c>
      <c r="F1970" s="13">
        <v>27598.93</v>
      </c>
      <c r="G1970" t="s">
        <v>4697</v>
      </c>
      <c r="H1970" t="s">
        <v>4701</v>
      </c>
      <c r="I1970" t="s">
        <v>4708</v>
      </c>
      <c r="J1970" s="10">
        <f t="shared" si="60"/>
        <v>31357</v>
      </c>
      <c r="K1970">
        <f t="shared" si="61"/>
        <v>37</v>
      </c>
    </row>
    <row r="1971" spans="1:11">
      <c r="A1971" t="s">
        <v>740</v>
      </c>
      <c r="B1971">
        <v>1992</v>
      </c>
      <c r="C1971" t="s">
        <v>4702</v>
      </c>
      <c r="D1971">
        <v>11</v>
      </c>
      <c r="E1971">
        <v>0</v>
      </c>
      <c r="F1971" s="13">
        <v>27614.71</v>
      </c>
      <c r="G1971" t="s">
        <v>4697</v>
      </c>
      <c r="H1971" t="s">
        <v>4698</v>
      </c>
      <c r="I1971" t="s">
        <v>4708</v>
      </c>
      <c r="J1971" s="10">
        <f t="shared" si="60"/>
        <v>33766</v>
      </c>
      <c r="K1971">
        <f t="shared" si="61"/>
        <v>30</v>
      </c>
    </row>
    <row r="1972" spans="1:11">
      <c r="A1972" t="s">
        <v>738</v>
      </c>
      <c r="B1972">
        <v>1997</v>
      </c>
      <c r="C1972" t="s">
        <v>4703</v>
      </c>
      <c r="D1972">
        <v>9</v>
      </c>
      <c r="E1972">
        <v>0</v>
      </c>
      <c r="F1972" s="13">
        <v>27619.360000000001</v>
      </c>
      <c r="G1972" t="s">
        <v>4697</v>
      </c>
      <c r="H1972" t="s">
        <v>4698</v>
      </c>
      <c r="I1972" t="s">
        <v>4708</v>
      </c>
      <c r="J1972" s="10">
        <f t="shared" si="60"/>
        <v>35682</v>
      </c>
      <c r="K1972">
        <f t="shared" si="61"/>
        <v>25</v>
      </c>
    </row>
    <row r="1973" spans="1:11">
      <c r="A1973" t="s">
        <v>736</v>
      </c>
      <c r="B1973">
        <v>1997</v>
      </c>
      <c r="C1973" t="s">
        <v>4707</v>
      </c>
      <c r="D1973">
        <v>7</v>
      </c>
      <c r="E1973">
        <v>0</v>
      </c>
      <c r="F1973" s="13">
        <v>27625.17</v>
      </c>
      <c r="G1973" t="s">
        <v>4701</v>
      </c>
      <c r="H1973" t="s">
        <v>4701</v>
      </c>
      <c r="I1973" t="s">
        <v>4708</v>
      </c>
      <c r="J1973" s="10">
        <f t="shared" si="60"/>
        <v>35710</v>
      </c>
      <c r="K1973">
        <f t="shared" si="61"/>
        <v>25</v>
      </c>
    </row>
    <row r="1974" spans="1:11">
      <c r="A1974" t="s">
        <v>734</v>
      </c>
      <c r="B1974">
        <v>1992</v>
      </c>
      <c r="C1974" t="s">
        <v>4696</v>
      </c>
      <c r="D1974">
        <v>3</v>
      </c>
      <c r="E1974">
        <v>0</v>
      </c>
      <c r="F1974" s="13">
        <v>27696.11</v>
      </c>
      <c r="G1974" t="s">
        <v>4701</v>
      </c>
      <c r="H1974" t="s">
        <v>4697</v>
      </c>
      <c r="I1974" t="s">
        <v>4708</v>
      </c>
      <c r="J1974" s="10">
        <f t="shared" si="60"/>
        <v>33788</v>
      </c>
      <c r="K1974">
        <f t="shared" si="61"/>
        <v>30</v>
      </c>
    </row>
    <row r="1975" spans="1:11">
      <c r="A1975" t="s">
        <v>732</v>
      </c>
      <c r="B1975">
        <v>2002</v>
      </c>
      <c r="C1975" t="s">
        <v>4705</v>
      </c>
      <c r="D1975">
        <v>6</v>
      </c>
      <c r="E1975">
        <v>1</v>
      </c>
      <c r="F1975" s="13">
        <v>27724.29</v>
      </c>
      <c r="G1975" t="s">
        <v>4701</v>
      </c>
      <c r="H1975" t="s">
        <v>4698</v>
      </c>
      <c r="I1975" t="s">
        <v>4699</v>
      </c>
      <c r="J1975" s="10">
        <f t="shared" si="60"/>
        <v>37596</v>
      </c>
      <c r="K1975">
        <f t="shared" si="61"/>
        <v>20</v>
      </c>
    </row>
    <row r="1976" spans="1:11">
      <c r="A1976" t="s">
        <v>730</v>
      </c>
      <c r="B1976">
        <v>1960</v>
      </c>
      <c r="C1976" t="s">
        <v>4696</v>
      </c>
      <c r="D1976">
        <v>6</v>
      </c>
      <c r="E1976">
        <v>0</v>
      </c>
      <c r="F1976" s="13">
        <v>27808.73</v>
      </c>
      <c r="G1976" t="s">
        <v>4701</v>
      </c>
      <c r="H1976" t="s">
        <v>4701</v>
      </c>
      <c r="I1976" t="s">
        <v>4699</v>
      </c>
      <c r="J1976" s="10">
        <f t="shared" si="60"/>
        <v>22103</v>
      </c>
      <c r="K1976">
        <f t="shared" si="61"/>
        <v>62</v>
      </c>
    </row>
    <row r="1977" spans="1:11">
      <c r="A1977" t="s">
        <v>728</v>
      </c>
      <c r="B1977">
        <v>1985</v>
      </c>
      <c r="C1977" t="s">
        <v>4705</v>
      </c>
      <c r="D1977">
        <v>4</v>
      </c>
      <c r="E1977">
        <v>3</v>
      </c>
      <c r="F1977" s="13">
        <v>27849.94</v>
      </c>
      <c r="G1977" t="s">
        <v>4701</v>
      </c>
      <c r="H1977" t="s">
        <v>4701</v>
      </c>
      <c r="I1977" t="s">
        <v>4708</v>
      </c>
      <c r="J1977" s="10">
        <f t="shared" si="60"/>
        <v>31385</v>
      </c>
      <c r="K1977">
        <f t="shared" si="61"/>
        <v>37</v>
      </c>
    </row>
    <row r="1978" spans="1:11">
      <c r="A1978" t="s">
        <v>726</v>
      </c>
      <c r="B1978">
        <v>1989</v>
      </c>
      <c r="C1978" t="s">
        <v>4700</v>
      </c>
      <c r="D1978">
        <v>21</v>
      </c>
      <c r="E1978">
        <v>3</v>
      </c>
      <c r="F1978" s="13">
        <v>27925.86</v>
      </c>
      <c r="G1978" t="s">
        <v>4701</v>
      </c>
      <c r="H1978" t="s">
        <v>4697</v>
      </c>
      <c r="I1978" t="s">
        <v>4708</v>
      </c>
      <c r="J1978" s="10">
        <f t="shared" si="60"/>
        <v>32833</v>
      </c>
      <c r="K1978">
        <f t="shared" si="61"/>
        <v>33</v>
      </c>
    </row>
    <row r="1979" spans="1:11">
      <c r="A1979" t="s">
        <v>724</v>
      </c>
      <c r="B1979">
        <v>1991</v>
      </c>
      <c r="C1979" t="s">
        <v>4702</v>
      </c>
      <c r="D1979">
        <v>4</v>
      </c>
      <c r="E1979">
        <v>3</v>
      </c>
      <c r="F1979" s="13">
        <v>27931.11</v>
      </c>
      <c r="G1979" t="s">
        <v>4701</v>
      </c>
      <c r="H1979" t="s">
        <v>4698</v>
      </c>
      <c r="I1979" t="s">
        <v>4708</v>
      </c>
      <c r="J1979" s="10">
        <f t="shared" si="60"/>
        <v>33393</v>
      </c>
      <c r="K1979">
        <f t="shared" si="61"/>
        <v>32</v>
      </c>
    </row>
    <row r="1980" spans="1:11">
      <c r="A1980" t="s">
        <v>722</v>
      </c>
      <c r="B1980">
        <v>1961</v>
      </c>
      <c r="C1980" t="s">
        <v>4696</v>
      </c>
      <c r="D1980">
        <v>28</v>
      </c>
      <c r="E1980">
        <v>3</v>
      </c>
      <c r="F1980" s="13">
        <v>27941.29</v>
      </c>
      <c r="G1980" t="s">
        <v>4701</v>
      </c>
      <c r="H1980" t="s">
        <v>4698</v>
      </c>
      <c r="I1980" t="s">
        <v>4708</v>
      </c>
      <c r="J1980" s="10">
        <f t="shared" si="60"/>
        <v>22490</v>
      </c>
      <c r="K1980">
        <f t="shared" si="61"/>
        <v>61</v>
      </c>
    </row>
    <row r="1981" spans="1:11">
      <c r="A1981" t="s">
        <v>720</v>
      </c>
      <c r="B1981">
        <v>1999</v>
      </c>
      <c r="C1981" t="s">
        <v>4705</v>
      </c>
      <c r="D1981">
        <v>21</v>
      </c>
      <c r="E1981">
        <v>0</v>
      </c>
      <c r="F1981" s="13">
        <v>27980.77</v>
      </c>
      <c r="G1981" t="s">
        <v>4701</v>
      </c>
      <c r="H1981" t="s">
        <v>4701</v>
      </c>
      <c r="I1981" t="s">
        <v>4708</v>
      </c>
      <c r="J1981" s="10">
        <f t="shared" si="60"/>
        <v>36515</v>
      </c>
      <c r="K1981">
        <f t="shared" si="61"/>
        <v>23</v>
      </c>
    </row>
    <row r="1982" spans="1:11">
      <c r="A1982" t="s">
        <v>718</v>
      </c>
      <c r="B1982">
        <v>1985</v>
      </c>
      <c r="C1982" t="s">
        <v>4700</v>
      </c>
      <c r="D1982">
        <v>29</v>
      </c>
      <c r="E1982">
        <v>3</v>
      </c>
      <c r="F1982" s="13">
        <v>28006.94</v>
      </c>
      <c r="G1982" t="s">
        <v>4701</v>
      </c>
      <c r="H1982" t="s">
        <v>4697</v>
      </c>
      <c r="I1982" t="s">
        <v>4708</v>
      </c>
      <c r="J1982" s="10">
        <f t="shared" si="60"/>
        <v>31380</v>
      </c>
      <c r="K1982">
        <f t="shared" si="61"/>
        <v>37</v>
      </c>
    </row>
    <row r="1983" spans="1:11">
      <c r="A1983" t="s">
        <v>716</v>
      </c>
      <c r="B1983">
        <v>1960</v>
      </c>
      <c r="C1983" t="s">
        <v>4700</v>
      </c>
      <c r="D1983">
        <v>22</v>
      </c>
      <c r="E1983">
        <v>0</v>
      </c>
      <c r="F1983" s="13">
        <v>28101.33</v>
      </c>
      <c r="G1983" t="s">
        <v>4701</v>
      </c>
      <c r="H1983" t="s">
        <v>4697</v>
      </c>
      <c r="I1983" t="s">
        <v>4710</v>
      </c>
      <c r="J1983" s="10">
        <f t="shared" si="60"/>
        <v>22242</v>
      </c>
      <c r="K1983">
        <f t="shared" si="61"/>
        <v>62</v>
      </c>
    </row>
    <row r="1984" spans="1:11">
      <c r="A1984" t="s">
        <v>714</v>
      </c>
      <c r="B1984">
        <v>1999</v>
      </c>
      <c r="C1984" t="s">
        <v>4703</v>
      </c>
      <c r="D1984">
        <v>6</v>
      </c>
      <c r="E1984">
        <v>0</v>
      </c>
      <c r="F1984" s="13">
        <v>28245.34</v>
      </c>
      <c r="G1984" t="s">
        <v>4701</v>
      </c>
      <c r="H1984" t="s">
        <v>4698</v>
      </c>
      <c r="I1984" t="s">
        <v>4708</v>
      </c>
      <c r="J1984" s="10">
        <f t="shared" si="60"/>
        <v>36409</v>
      </c>
      <c r="K1984">
        <f t="shared" si="61"/>
        <v>23</v>
      </c>
    </row>
    <row r="1985" spans="1:11">
      <c r="A1985" t="s">
        <v>712</v>
      </c>
      <c r="B1985">
        <v>1963</v>
      </c>
      <c r="C1985" t="s">
        <v>4700</v>
      </c>
      <c r="D1985">
        <v>25</v>
      </c>
      <c r="E1985">
        <v>1</v>
      </c>
      <c r="F1985" s="13">
        <v>28287.9</v>
      </c>
      <c r="G1985" t="s">
        <v>4701</v>
      </c>
      <c r="H1985" t="s">
        <v>4701</v>
      </c>
      <c r="I1985" t="s">
        <v>4699</v>
      </c>
      <c r="J1985" s="10">
        <f t="shared" si="60"/>
        <v>23340</v>
      </c>
      <c r="K1985">
        <f t="shared" si="61"/>
        <v>59</v>
      </c>
    </row>
    <row r="1986" spans="1:11">
      <c r="A1986" t="s">
        <v>710</v>
      </c>
      <c r="B1986">
        <v>1990</v>
      </c>
      <c r="C1986" t="s">
        <v>4705</v>
      </c>
      <c r="D1986">
        <v>24</v>
      </c>
      <c r="E1986">
        <v>3</v>
      </c>
      <c r="F1986" s="13">
        <v>28302.33</v>
      </c>
      <c r="G1986" t="s">
        <v>4701</v>
      </c>
      <c r="H1986" t="s">
        <v>4697</v>
      </c>
      <c r="I1986" t="s">
        <v>4708</v>
      </c>
      <c r="J1986" s="10">
        <f t="shared" ref="J1986:J2049" si="62">DATEVALUE(D1986&amp;"-"&amp;C1986&amp;"-"&amp;B1986)</f>
        <v>33231</v>
      </c>
      <c r="K1986">
        <f t="shared" si="61"/>
        <v>32</v>
      </c>
    </row>
    <row r="1987" spans="1:11">
      <c r="A1987" t="s">
        <v>708</v>
      </c>
      <c r="B1987">
        <v>1977</v>
      </c>
      <c r="C1987" t="s">
        <v>4705</v>
      </c>
      <c r="D1987">
        <v>2</v>
      </c>
      <c r="E1987">
        <v>1</v>
      </c>
      <c r="F1987" s="13">
        <v>28340.19</v>
      </c>
      <c r="G1987" t="s">
        <v>4701</v>
      </c>
      <c r="H1987" t="s">
        <v>4697</v>
      </c>
      <c r="I1987" t="s">
        <v>4704</v>
      </c>
      <c r="J1987" s="10">
        <f t="shared" si="62"/>
        <v>28461</v>
      </c>
      <c r="K1987">
        <f t="shared" ref="K1987:K2050" si="63">DATEDIF(J1987, DATE(2023, 6, 8), "Y")</f>
        <v>45</v>
      </c>
    </row>
    <row r="1988" spans="1:11">
      <c r="A1988" t="s">
        <v>706</v>
      </c>
      <c r="B1988">
        <v>1974</v>
      </c>
      <c r="C1988" t="s">
        <v>4703</v>
      </c>
      <c r="D1988">
        <v>16</v>
      </c>
      <c r="E1988">
        <v>1</v>
      </c>
      <c r="F1988" s="13">
        <v>28468.92</v>
      </c>
      <c r="G1988" t="s">
        <v>4701</v>
      </c>
      <c r="H1988" t="s">
        <v>4701</v>
      </c>
      <c r="I1988" t="s">
        <v>4704</v>
      </c>
      <c r="J1988" s="10">
        <f t="shared" si="62"/>
        <v>27288</v>
      </c>
      <c r="K1988">
        <f t="shared" si="63"/>
        <v>48</v>
      </c>
    </row>
    <row r="1989" spans="1:11">
      <c r="A1989" t="s">
        <v>704</v>
      </c>
      <c r="B1989">
        <v>1982</v>
      </c>
      <c r="C1989" t="s">
        <v>4705</v>
      </c>
      <c r="D1989">
        <v>11</v>
      </c>
      <c r="E1989">
        <v>1</v>
      </c>
      <c r="F1989" s="13">
        <v>28476.73</v>
      </c>
      <c r="G1989" t="s">
        <v>4701</v>
      </c>
      <c r="H1989" t="s">
        <v>4697</v>
      </c>
      <c r="I1989" t="s">
        <v>4704</v>
      </c>
      <c r="J1989" s="10">
        <f t="shared" si="62"/>
        <v>30296</v>
      </c>
      <c r="K1989">
        <f t="shared" si="63"/>
        <v>40</v>
      </c>
    </row>
    <row r="1990" spans="1:11">
      <c r="A1990" t="s">
        <v>702</v>
      </c>
      <c r="B1990">
        <v>1985</v>
      </c>
      <c r="C1990" t="s">
        <v>4703</v>
      </c>
      <c r="D1990">
        <v>27</v>
      </c>
      <c r="E1990">
        <v>3</v>
      </c>
      <c r="F1990" s="13">
        <v>28542.86</v>
      </c>
      <c r="G1990" t="s">
        <v>4701</v>
      </c>
      <c r="H1990" t="s">
        <v>4698</v>
      </c>
      <c r="I1990" t="s">
        <v>4708</v>
      </c>
      <c r="J1990" s="10">
        <f t="shared" si="62"/>
        <v>31317</v>
      </c>
      <c r="K1990">
        <f t="shared" si="63"/>
        <v>37</v>
      </c>
    </row>
    <row r="1991" spans="1:11">
      <c r="A1991" t="s">
        <v>700</v>
      </c>
      <c r="B1991">
        <v>1990</v>
      </c>
      <c r="C1991" t="s">
        <v>4705</v>
      </c>
      <c r="D1991">
        <v>5</v>
      </c>
      <c r="E1991">
        <v>3</v>
      </c>
      <c r="F1991" s="13">
        <v>28716.14</v>
      </c>
      <c r="G1991" t="s">
        <v>4701</v>
      </c>
      <c r="H1991" t="s">
        <v>4698</v>
      </c>
      <c r="I1991" t="s">
        <v>4708</v>
      </c>
      <c r="J1991" s="10">
        <f t="shared" si="62"/>
        <v>33212</v>
      </c>
      <c r="K1991">
        <f t="shared" si="63"/>
        <v>32</v>
      </c>
    </row>
    <row r="1992" spans="1:11">
      <c r="A1992" t="s">
        <v>698</v>
      </c>
      <c r="B1992">
        <v>1961</v>
      </c>
      <c r="C1992" t="s">
        <v>4706</v>
      </c>
      <c r="D1992">
        <v>3</v>
      </c>
      <c r="E1992">
        <v>1</v>
      </c>
      <c r="F1992" s="13">
        <v>28868.66</v>
      </c>
      <c r="G1992" t="s">
        <v>4701</v>
      </c>
      <c r="H1992" t="s">
        <v>4697</v>
      </c>
      <c r="I1992" t="s">
        <v>4704</v>
      </c>
      <c r="J1992" s="10">
        <f t="shared" si="62"/>
        <v>22496</v>
      </c>
      <c r="K1992">
        <f t="shared" si="63"/>
        <v>61</v>
      </c>
    </row>
    <row r="1993" spans="1:11">
      <c r="A1993" t="s">
        <v>696</v>
      </c>
      <c r="B1993">
        <v>1962</v>
      </c>
      <c r="C1993" t="s">
        <v>4696</v>
      </c>
      <c r="D1993">
        <v>25</v>
      </c>
      <c r="E1993">
        <v>0</v>
      </c>
      <c r="F1993" s="13">
        <v>28923.14</v>
      </c>
      <c r="G1993" t="s">
        <v>4701</v>
      </c>
      <c r="H1993" t="s">
        <v>4701</v>
      </c>
      <c r="I1993" t="s">
        <v>4704</v>
      </c>
      <c r="J1993" s="10">
        <f t="shared" si="62"/>
        <v>22852</v>
      </c>
      <c r="K1993">
        <f t="shared" si="63"/>
        <v>60</v>
      </c>
    </row>
    <row r="1994" spans="1:11">
      <c r="A1994" t="s">
        <v>694</v>
      </c>
      <c r="B1994">
        <v>1959</v>
      </c>
      <c r="C1994" t="s">
        <v>4705</v>
      </c>
      <c r="D1994">
        <v>5</v>
      </c>
      <c r="E1994">
        <v>0</v>
      </c>
      <c r="F1994" s="13">
        <v>28950.47</v>
      </c>
      <c r="G1994" t="s">
        <v>4701</v>
      </c>
      <c r="H1994" t="s">
        <v>4701</v>
      </c>
      <c r="I1994" t="s">
        <v>4704</v>
      </c>
      <c r="J1994" s="10">
        <f t="shared" si="62"/>
        <v>21889</v>
      </c>
      <c r="K1994">
        <f t="shared" si="63"/>
        <v>63</v>
      </c>
    </row>
    <row r="1995" spans="1:11">
      <c r="A1995" t="s">
        <v>692</v>
      </c>
      <c r="B1995">
        <v>2003</v>
      </c>
      <c r="C1995" t="s">
        <v>4703</v>
      </c>
      <c r="D1995">
        <v>1</v>
      </c>
      <c r="E1995">
        <v>0</v>
      </c>
      <c r="F1995" s="13">
        <v>28998.68</v>
      </c>
      <c r="G1995" t="s">
        <v>4701</v>
      </c>
      <c r="H1995" t="s">
        <v>4698</v>
      </c>
      <c r="I1995" t="s">
        <v>4708</v>
      </c>
      <c r="J1995" s="10">
        <f t="shared" si="62"/>
        <v>37865</v>
      </c>
      <c r="K1995">
        <f t="shared" si="63"/>
        <v>19</v>
      </c>
    </row>
    <row r="1996" spans="1:11">
      <c r="A1996" t="s">
        <v>690</v>
      </c>
      <c r="B1996">
        <v>1992</v>
      </c>
      <c r="C1996" t="s">
        <v>4696</v>
      </c>
      <c r="D1996">
        <v>7</v>
      </c>
      <c r="E1996">
        <v>0</v>
      </c>
      <c r="F1996" s="13">
        <v>29007.82</v>
      </c>
      <c r="G1996" t="s">
        <v>4701</v>
      </c>
      <c r="H1996" t="s">
        <v>4698</v>
      </c>
      <c r="I1996" t="s">
        <v>4708</v>
      </c>
      <c r="J1996" s="10">
        <f t="shared" si="62"/>
        <v>33792</v>
      </c>
      <c r="K1996">
        <f t="shared" si="63"/>
        <v>30</v>
      </c>
    </row>
    <row r="1997" spans="1:11">
      <c r="A1997" t="s">
        <v>688</v>
      </c>
      <c r="B1997">
        <v>1980</v>
      </c>
      <c r="C1997" t="s">
        <v>4696</v>
      </c>
      <c r="D1997">
        <v>14</v>
      </c>
      <c r="E1997">
        <v>2</v>
      </c>
      <c r="F1997" s="13">
        <v>29114.21</v>
      </c>
      <c r="G1997" t="s">
        <v>4701</v>
      </c>
      <c r="H1997" t="s">
        <v>4698</v>
      </c>
      <c r="I1997" t="s">
        <v>4708</v>
      </c>
      <c r="J1997" s="10">
        <f t="shared" si="62"/>
        <v>29416</v>
      </c>
      <c r="K1997">
        <f t="shared" si="63"/>
        <v>42</v>
      </c>
    </row>
    <row r="1998" spans="1:11">
      <c r="A1998" t="s">
        <v>686</v>
      </c>
      <c r="B1998">
        <v>1978</v>
      </c>
      <c r="C1998" t="s">
        <v>4700</v>
      </c>
      <c r="D1998">
        <v>29</v>
      </c>
      <c r="E1998">
        <v>2</v>
      </c>
      <c r="F1998" s="13">
        <v>29114.77</v>
      </c>
      <c r="G1998" t="s">
        <v>4701</v>
      </c>
      <c r="H1998" t="s">
        <v>4701</v>
      </c>
      <c r="I1998" t="s">
        <v>4708</v>
      </c>
      <c r="J1998" s="10">
        <f t="shared" si="62"/>
        <v>28823</v>
      </c>
      <c r="K1998">
        <f t="shared" si="63"/>
        <v>44</v>
      </c>
    </row>
    <row r="1999" spans="1:11">
      <c r="A1999" t="s">
        <v>684</v>
      </c>
      <c r="B1999">
        <v>1961</v>
      </c>
      <c r="C1999" t="s">
        <v>4705</v>
      </c>
      <c r="D1999">
        <v>24</v>
      </c>
      <c r="E1999">
        <v>0</v>
      </c>
      <c r="F1999" s="13">
        <v>29141.360000000001</v>
      </c>
      <c r="G1999" t="s">
        <v>4701</v>
      </c>
      <c r="H1999" t="s">
        <v>4698</v>
      </c>
      <c r="I1999" t="s">
        <v>4704</v>
      </c>
      <c r="J1999" s="10">
        <f t="shared" si="62"/>
        <v>22639</v>
      </c>
      <c r="K1999">
        <f t="shared" si="63"/>
        <v>61</v>
      </c>
    </row>
    <row r="2000" spans="1:11">
      <c r="A2000" t="s">
        <v>682</v>
      </c>
      <c r="B2000">
        <v>1976</v>
      </c>
      <c r="C2000" t="s">
        <v>4700</v>
      </c>
      <c r="D2000">
        <v>8</v>
      </c>
      <c r="E2000">
        <v>2</v>
      </c>
      <c r="F2000" s="13">
        <v>29160.39</v>
      </c>
      <c r="G2000" t="s">
        <v>4701</v>
      </c>
      <c r="H2000" t="s">
        <v>4697</v>
      </c>
      <c r="I2000" t="s">
        <v>4708</v>
      </c>
      <c r="J2000" s="10">
        <f t="shared" si="62"/>
        <v>28072</v>
      </c>
      <c r="K2000">
        <f t="shared" si="63"/>
        <v>46</v>
      </c>
    </row>
    <row r="2001" spans="1:11">
      <c r="A2001" t="s">
        <v>680</v>
      </c>
      <c r="B2001">
        <v>1969</v>
      </c>
      <c r="C2001" t="s">
        <v>4696</v>
      </c>
      <c r="D2001">
        <v>9</v>
      </c>
      <c r="E2001">
        <v>2</v>
      </c>
      <c r="F2001" s="13">
        <v>29186.48</v>
      </c>
      <c r="G2001" t="s">
        <v>4701</v>
      </c>
      <c r="H2001" t="s">
        <v>4698</v>
      </c>
      <c r="I2001" t="s">
        <v>4714</v>
      </c>
      <c r="J2001" s="10">
        <f t="shared" si="62"/>
        <v>25393</v>
      </c>
      <c r="K2001">
        <f t="shared" si="63"/>
        <v>53</v>
      </c>
    </row>
    <row r="2002" spans="1:11">
      <c r="A2002" t="s">
        <v>678</v>
      </c>
      <c r="B2002">
        <v>1978</v>
      </c>
      <c r="C2002" t="s">
        <v>4696</v>
      </c>
      <c r="D2002">
        <v>21</v>
      </c>
      <c r="E2002">
        <v>2</v>
      </c>
      <c r="F2002" s="13">
        <v>29227.599999999999</v>
      </c>
      <c r="G2002" t="s">
        <v>4701</v>
      </c>
      <c r="H2002" t="s">
        <v>4698</v>
      </c>
      <c r="I2002" t="s">
        <v>4704</v>
      </c>
      <c r="J2002" s="10">
        <f t="shared" si="62"/>
        <v>28692</v>
      </c>
      <c r="K2002">
        <f t="shared" si="63"/>
        <v>44</v>
      </c>
    </row>
    <row r="2003" spans="1:11">
      <c r="A2003" t="s">
        <v>676</v>
      </c>
      <c r="B2003">
        <v>1958</v>
      </c>
      <c r="C2003" t="s">
        <v>4702</v>
      </c>
      <c r="D2003">
        <v>5</v>
      </c>
      <c r="E2003">
        <v>0</v>
      </c>
      <c r="F2003" s="13">
        <v>29330.98</v>
      </c>
      <c r="G2003" t="s">
        <v>4701</v>
      </c>
      <c r="H2003" t="s">
        <v>4697</v>
      </c>
      <c r="I2003" t="s">
        <v>4704</v>
      </c>
      <c r="J2003" s="10">
        <f t="shared" si="62"/>
        <v>21341</v>
      </c>
      <c r="K2003">
        <f t="shared" si="63"/>
        <v>65</v>
      </c>
    </row>
    <row r="2004" spans="1:11">
      <c r="A2004" t="s">
        <v>674</v>
      </c>
      <c r="B2004">
        <v>1985</v>
      </c>
      <c r="C2004" t="s">
        <v>4700</v>
      </c>
      <c r="D2004">
        <v>7</v>
      </c>
      <c r="E2004">
        <v>3</v>
      </c>
      <c r="F2004" s="13">
        <v>29352.560000000001</v>
      </c>
      <c r="G2004" t="s">
        <v>4701</v>
      </c>
      <c r="H2004" t="s">
        <v>4701</v>
      </c>
      <c r="I2004" t="s">
        <v>4708</v>
      </c>
      <c r="J2004" s="10">
        <f t="shared" si="62"/>
        <v>31358</v>
      </c>
      <c r="K2004">
        <f t="shared" si="63"/>
        <v>37</v>
      </c>
    </row>
    <row r="2005" spans="1:11">
      <c r="A2005" t="s">
        <v>672</v>
      </c>
      <c r="B2005">
        <v>1987</v>
      </c>
      <c r="C2005" t="s">
        <v>4696</v>
      </c>
      <c r="D2005">
        <v>16</v>
      </c>
      <c r="E2005">
        <v>3</v>
      </c>
      <c r="F2005" s="13">
        <v>29443.59</v>
      </c>
      <c r="G2005" t="s">
        <v>4701</v>
      </c>
      <c r="H2005" t="s">
        <v>4701</v>
      </c>
      <c r="I2005" t="s">
        <v>4708</v>
      </c>
      <c r="J2005" s="10">
        <f t="shared" si="62"/>
        <v>31974</v>
      </c>
      <c r="K2005">
        <f t="shared" si="63"/>
        <v>35</v>
      </c>
    </row>
    <row r="2006" spans="1:11">
      <c r="A2006" t="s">
        <v>670</v>
      </c>
      <c r="B2006">
        <v>1959</v>
      </c>
      <c r="C2006" t="s">
        <v>4707</v>
      </c>
      <c r="D2006">
        <v>20</v>
      </c>
      <c r="E2006">
        <v>0</v>
      </c>
      <c r="F2006" s="13">
        <v>29523.17</v>
      </c>
      <c r="G2006" t="s">
        <v>4701</v>
      </c>
      <c r="H2006" t="s">
        <v>4697</v>
      </c>
      <c r="I2006" t="s">
        <v>4714</v>
      </c>
      <c r="J2006" s="10">
        <f t="shared" si="62"/>
        <v>21843</v>
      </c>
      <c r="K2006">
        <f t="shared" si="63"/>
        <v>63</v>
      </c>
    </row>
    <row r="2007" spans="1:11">
      <c r="A2007" t="s">
        <v>668</v>
      </c>
      <c r="B2007">
        <v>1975</v>
      </c>
      <c r="C2007" t="s">
        <v>4700</v>
      </c>
      <c r="D2007">
        <v>3</v>
      </c>
      <c r="E2007">
        <v>1</v>
      </c>
      <c r="F2007" s="13">
        <v>29583.8</v>
      </c>
      <c r="G2007" t="s">
        <v>4701</v>
      </c>
      <c r="H2007" t="s">
        <v>4701</v>
      </c>
      <c r="I2007" t="s">
        <v>4708</v>
      </c>
      <c r="J2007" s="10">
        <f t="shared" si="62"/>
        <v>27701</v>
      </c>
      <c r="K2007">
        <f t="shared" si="63"/>
        <v>47</v>
      </c>
    </row>
    <row r="2008" spans="1:11">
      <c r="A2008" t="s">
        <v>666</v>
      </c>
      <c r="B2008">
        <v>1993</v>
      </c>
      <c r="C2008" t="s">
        <v>4696</v>
      </c>
      <c r="D2008">
        <v>27</v>
      </c>
      <c r="E2008">
        <v>0</v>
      </c>
      <c r="F2008" s="13">
        <v>29622.69</v>
      </c>
      <c r="G2008" t="s">
        <v>4701</v>
      </c>
      <c r="H2008" t="s">
        <v>4701</v>
      </c>
      <c r="I2008" t="s">
        <v>4708</v>
      </c>
      <c r="J2008" s="10">
        <f t="shared" si="62"/>
        <v>34177</v>
      </c>
      <c r="K2008">
        <f t="shared" si="63"/>
        <v>29</v>
      </c>
    </row>
    <row r="2009" spans="1:11">
      <c r="A2009" t="s">
        <v>664</v>
      </c>
      <c r="B2009">
        <v>1973</v>
      </c>
      <c r="C2009" t="s">
        <v>4706</v>
      </c>
      <c r="D2009">
        <v>23</v>
      </c>
      <c r="E2009">
        <v>0</v>
      </c>
      <c r="F2009" s="13">
        <v>29757.69</v>
      </c>
      <c r="G2009" t="s">
        <v>4701</v>
      </c>
      <c r="H2009" t="s">
        <v>4698</v>
      </c>
      <c r="I2009" t="s">
        <v>4708</v>
      </c>
      <c r="J2009" s="10">
        <f t="shared" si="62"/>
        <v>26899</v>
      </c>
      <c r="K2009">
        <f t="shared" si="63"/>
        <v>49</v>
      </c>
    </row>
    <row r="2010" spans="1:11">
      <c r="A2010" t="s">
        <v>662</v>
      </c>
      <c r="B2010">
        <v>1998</v>
      </c>
      <c r="C2010" t="s">
        <v>4702</v>
      </c>
      <c r="D2010">
        <v>20</v>
      </c>
      <c r="E2010">
        <v>0</v>
      </c>
      <c r="F2010" s="13">
        <v>29760.6</v>
      </c>
      <c r="G2010" t="s">
        <v>4701</v>
      </c>
      <c r="H2010" t="s">
        <v>4697</v>
      </c>
      <c r="I2010" t="s">
        <v>4708</v>
      </c>
      <c r="J2010" s="10">
        <f t="shared" si="62"/>
        <v>35966</v>
      </c>
      <c r="K2010">
        <f t="shared" si="63"/>
        <v>24</v>
      </c>
    </row>
    <row r="2011" spans="1:11">
      <c r="A2011" t="s">
        <v>660</v>
      </c>
      <c r="B2011">
        <v>1981</v>
      </c>
      <c r="C2011" t="s">
        <v>4706</v>
      </c>
      <c r="D2011">
        <v>13</v>
      </c>
      <c r="E2011">
        <v>1</v>
      </c>
      <c r="F2011" s="13">
        <v>29816.639999999999</v>
      </c>
      <c r="G2011" t="s">
        <v>4701</v>
      </c>
      <c r="H2011" t="s">
        <v>4697</v>
      </c>
      <c r="I2011" t="s">
        <v>4708</v>
      </c>
      <c r="J2011" s="10">
        <f t="shared" si="62"/>
        <v>29811</v>
      </c>
      <c r="K2011">
        <f t="shared" si="63"/>
        <v>41</v>
      </c>
    </row>
    <row r="2012" spans="1:11">
      <c r="A2012" t="s">
        <v>658</v>
      </c>
      <c r="B2012">
        <v>1982</v>
      </c>
      <c r="C2012" t="s">
        <v>4707</v>
      </c>
      <c r="D2012">
        <v>29</v>
      </c>
      <c r="E2012">
        <v>3</v>
      </c>
      <c r="F2012" s="13">
        <v>29818.76</v>
      </c>
      <c r="G2012" t="s">
        <v>4701</v>
      </c>
      <c r="H2012" t="s">
        <v>4701</v>
      </c>
      <c r="I2012" t="s">
        <v>4704</v>
      </c>
      <c r="J2012" s="10">
        <f t="shared" si="62"/>
        <v>30253</v>
      </c>
      <c r="K2012">
        <f t="shared" si="63"/>
        <v>40</v>
      </c>
    </row>
    <row r="2013" spans="1:11">
      <c r="A2013" t="s">
        <v>656</v>
      </c>
      <c r="B2013">
        <v>1989</v>
      </c>
      <c r="C2013" t="s">
        <v>4705</v>
      </c>
      <c r="D2013">
        <v>30</v>
      </c>
      <c r="E2013">
        <v>3</v>
      </c>
      <c r="F2013" s="13">
        <v>29852.48</v>
      </c>
      <c r="G2013" t="s">
        <v>4701</v>
      </c>
      <c r="H2013" t="s">
        <v>4698</v>
      </c>
      <c r="I2013" t="s">
        <v>4708</v>
      </c>
      <c r="J2013" s="10">
        <f t="shared" si="62"/>
        <v>32872</v>
      </c>
      <c r="K2013">
        <f t="shared" si="63"/>
        <v>33</v>
      </c>
    </row>
    <row r="2014" spans="1:11">
      <c r="A2014" t="s">
        <v>654</v>
      </c>
      <c r="B2014">
        <v>1975</v>
      </c>
      <c r="C2014" t="s">
        <v>4706</v>
      </c>
      <c r="D2014">
        <v>19</v>
      </c>
      <c r="E2014">
        <v>1</v>
      </c>
      <c r="F2014" s="13">
        <v>29899.25</v>
      </c>
      <c r="G2014" t="s">
        <v>4701</v>
      </c>
      <c r="H2014" t="s">
        <v>4698</v>
      </c>
      <c r="I2014" t="s">
        <v>4708</v>
      </c>
      <c r="J2014" s="10">
        <f t="shared" si="62"/>
        <v>27625</v>
      </c>
      <c r="K2014">
        <f t="shared" si="63"/>
        <v>47</v>
      </c>
    </row>
    <row r="2015" spans="1:11">
      <c r="A2015" t="s">
        <v>652</v>
      </c>
      <c r="B2015">
        <v>1988</v>
      </c>
      <c r="C2015" t="s">
        <v>4705</v>
      </c>
      <c r="D2015">
        <v>30</v>
      </c>
      <c r="E2015">
        <v>3</v>
      </c>
      <c r="F2015" s="13">
        <v>29929.56</v>
      </c>
      <c r="G2015" t="s">
        <v>4701</v>
      </c>
      <c r="H2015" t="s">
        <v>4701</v>
      </c>
      <c r="I2015" t="s">
        <v>4708</v>
      </c>
      <c r="J2015" s="10">
        <f t="shared" si="62"/>
        <v>32507</v>
      </c>
      <c r="K2015">
        <f t="shared" si="63"/>
        <v>34</v>
      </c>
    </row>
    <row r="2016" spans="1:11">
      <c r="A2016" t="s">
        <v>650</v>
      </c>
      <c r="B2016">
        <v>1976</v>
      </c>
      <c r="C2016" t="s">
        <v>4702</v>
      </c>
      <c r="D2016">
        <v>12</v>
      </c>
      <c r="E2016">
        <v>2</v>
      </c>
      <c r="F2016" s="13">
        <v>29933.75</v>
      </c>
      <c r="G2016" t="s">
        <v>4701</v>
      </c>
      <c r="H2016" t="s">
        <v>4701</v>
      </c>
      <c r="I2016" t="s">
        <v>4708</v>
      </c>
      <c r="J2016" s="10">
        <f t="shared" si="62"/>
        <v>27923</v>
      </c>
      <c r="K2016">
        <f t="shared" si="63"/>
        <v>46</v>
      </c>
    </row>
    <row r="2017" spans="1:11">
      <c r="A2017" t="s">
        <v>648</v>
      </c>
      <c r="B2017">
        <v>1991</v>
      </c>
      <c r="C2017" t="s">
        <v>4707</v>
      </c>
      <c r="D2017">
        <v>5</v>
      </c>
      <c r="E2017">
        <v>3</v>
      </c>
      <c r="F2017" s="13">
        <v>29969.67</v>
      </c>
      <c r="G2017" t="s">
        <v>4701</v>
      </c>
      <c r="H2017" t="s">
        <v>4701</v>
      </c>
      <c r="I2017" t="s">
        <v>4708</v>
      </c>
      <c r="J2017" s="10">
        <f t="shared" si="62"/>
        <v>33516</v>
      </c>
      <c r="K2017">
        <f t="shared" si="63"/>
        <v>31</v>
      </c>
    </row>
    <row r="2018" spans="1:11">
      <c r="A2018" t="s">
        <v>646</v>
      </c>
      <c r="B2018">
        <v>1981</v>
      </c>
      <c r="C2018" t="s">
        <v>4706</v>
      </c>
      <c r="D2018">
        <v>4</v>
      </c>
      <c r="E2018">
        <v>1</v>
      </c>
      <c r="F2018" s="13">
        <v>30026.87</v>
      </c>
      <c r="G2018" t="s">
        <v>4697</v>
      </c>
      <c r="H2018" t="s">
        <v>4698</v>
      </c>
      <c r="I2018" t="s">
        <v>4704</v>
      </c>
      <c r="J2018" s="10">
        <f t="shared" si="62"/>
        <v>29802</v>
      </c>
      <c r="K2018">
        <f t="shared" si="63"/>
        <v>41</v>
      </c>
    </row>
    <row r="2019" spans="1:11">
      <c r="A2019" t="s">
        <v>644</v>
      </c>
      <c r="B2019">
        <v>1967</v>
      </c>
      <c r="C2019" t="s">
        <v>4702</v>
      </c>
      <c r="D2019">
        <v>16</v>
      </c>
      <c r="E2019">
        <v>3</v>
      </c>
      <c r="F2019" s="13">
        <v>30063.58</v>
      </c>
      <c r="G2019" t="s">
        <v>4701</v>
      </c>
      <c r="H2019" t="s">
        <v>4701</v>
      </c>
      <c r="I2019" t="s">
        <v>4704</v>
      </c>
      <c r="J2019" s="10">
        <f t="shared" si="62"/>
        <v>24639</v>
      </c>
      <c r="K2019">
        <f t="shared" si="63"/>
        <v>55</v>
      </c>
    </row>
    <row r="2020" spans="1:11">
      <c r="A2020" t="s">
        <v>642</v>
      </c>
      <c r="B2020">
        <v>1979</v>
      </c>
      <c r="C2020" t="s">
        <v>4703</v>
      </c>
      <c r="D2020">
        <v>2</v>
      </c>
      <c r="E2020">
        <v>2</v>
      </c>
      <c r="F2020" s="13">
        <v>30095.97</v>
      </c>
      <c r="G2020" t="s">
        <v>4697</v>
      </c>
      <c r="H2020" t="s">
        <v>4698</v>
      </c>
      <c r="I2020" t="s">
        <v>4708</v>
      </c>
      <c r="J2020" s="10">
        <f t="shared" si="62"/>
        <v>29100</v>
      </c>
      <c r="K2020">
        <f t="shared" si="63"/>
        <v>43</v>
      </c>
    </row>
    <row r="2021" spans="1:11">
      <c r="A2021" t="s">
        <v>640</v>
      </c>
      <c r="B2021">
        <v>1971</v>
      </c>
      <c r="C2021" t="s">
        <v>4705</v>
      </c>
      <c r="D2021">
        <v>25</v>
      </c>
      <c r="E2021">
        <v>0</v>
      </c>
      <c r="F2021" s="13">
        <v>30134.75</v>
      </c>
      <c r="G2021" t="s">
        <v>4697</v>
      </c>
      <c r="H2021" t="s">
        <v>4698</v>
      </c>
      <c r="I2021" t="s">
        <v>4708</v>
      </c>
      <c r="J2021" s="10">
        <f t="shared" si="62"/>
        <v>26292</v>
      </c>
      <c r="K2021">
        <f t="shared" si="63"/>
        <v>51</v>
      </c>
    </row>
    <row r="2022" spans="1:11">
      <c r="A2022" t="s">
        <v>638</v>
      </c>
      <c r="B2022">
        <v>1958</v>
      </c>
      <c r="C2022" t="s">
        <v>4706</v>
      </c>
      <c r="D2022">
        <v>11</v>
      </c>
      <c r="E2022">
        <v>1</v>
      </c>
      <c r="F2022" s="13">
        <v>30166.62</v>
      </c>
      <c r="G2022" t="s">
        <v>4701</v>
      </c>
      <c r="H2022" t="s">
        <v>4698</v>
      </c>
      <c r="I2022" t="s">
        <v>4704</v>
      </c>
      <c r="J2022" s="10">
        <f t="shared" si="62"/>
        <v>21408</v>
      </c>
      <c r="K2022">
        <f t="shared" si="63"/>
        <v>64</v>
      </c>
    </row>
    <row r="2023" spans="1:11">
      <c r="A2023" t="s">
        <v>636</v>
      </c>
      <c r="B2023">
        <v>1963</v>
      </c>
      <c r="C2023" t="s">
        <v>4703</v>
      </c>
      <c r="D2023">
        <v>13</v>
      </c>
      <c r="E2023">
        <v>3</v>
      </c>
      <c r="F2023" s="13">
        <v>30184.94</v>
      </c>
      <c r="G2023" t="s">
        <v>4701</v>
      </c>
      <c r="H2023" t="s">
        <v>4701</v>
      </c>
      <c r="I2023" t="s">
        <v>4716</v>
      </c>
      <c r="J2023" s="10">
        <f t="shared" si="62"/>
        <v>23267</v>
      </c>
      <c r="K2023">
        <f t="shared" si="63"/>
        <v>59</v>
      </c>
    </row>
    <row r="2024" spans="1:11">
      <c r="A2024" t="s">
        <v>634</v>
      </c>
      <c r="B2024">
        <v>1962</v>
      </c>
      <c r="C2024" t="s">
        <v>4703</v>
      </c>
      <c r="D2024">
        <v>15</v>
      </c>
      <c r="E2024">
        <v>0</v>
      </c>
      <c r="F2024" s="13">
        <v>30260</v>
      </c>
      <c r="G2024" t="s">
        <v>4701</v>
      </c>
      <c r="H2024" t="s">
        <v>4701</v>
      </c>
      <c r="I2024" t="s">
        <v>4716</v>
      </c>
      <c r="J2024" s="10">
        <f t="shared" si="62"/>
        <v>22904</v>
      </c>
      <c r="K2024">
        <f t="shared" si="63"/>
        <v>60</v>
      </c>
    </row>
    <row r="2025" spans="1:11">
      <c r="A2025" t="s">
        <v>632</v>
      </c>
      <c r="B2025">
        <v>1972</v>
      </c>
      <c r="C2025" t="s">
        <v>4696</v>
      </c>
      <c r="D2025">
        <v>24</v>
      </c>
      <c r="E2025">
        <v>2</v>
      </c>
      <c r="F2025" s="13">
        <v>30284.639999999999</v>
      </c>
      <c r="G2025" t="s">
        <v>4701</v>
      </c>
      <c r="H2025" t="s">
        <v>4701</v>
      </c>
      <c r="I2025" t="s">
        <v>4704</v>
      </c>
      <c r="J2025" s="10">
        <f t="shared" si="62"/>
        <v>26504</v>
      </c>
      <c r="K2025">
        <f t="shared" si="63"/>
        <v>50</v>
      </c>
    </row>
    <row r="2026" spans="1:11">
      <c r="A2026" t="s">
        <v>630</v>
      </c>
      <c r="B2026">
        <v>2004</v>
      </c>
      <c r="C2026" t="s">
        <v>4702</v>
      </c>
      <c r="D2026">
        <v>1</v>
      </c>
      <c r="E2026">
        <v>0</v>
      </c>
      <c r="F2026" s="13">
        <v>30328.27</v>
      </c>
      <c r="G2026" t="s">
        <v>4697</v>
      </c>
      <c r="H2026" t="s">
        <v>4697</v>
      </c>
      <c r="I2026" t="s">
        <v>4708</v>
      </c>
      <c r="J2026" s="10">
        <f t="shared" si="62"/>
        <v>38139</v>
      </c>
      <c r="K2026">
        <f t="shared" si="63"/>
        <v>19</v>
      </c>
    </row>
    <row r="2027" spans="1:11">
      <c r="A2027" t="s">
        <v>628</v>
      </c>
      <c r="B2027">
        <v>1969</v>
      </c>
      <c r="C2027" t="s">
        <v>4696</v>
      </c>
      <c r="D2027">
        <v>30</v>
      </c>
      <c r="E2027">
        <v>0</v>
      </c>
      <c r="F2027" s="13">
        <v>30366.93</v>
      </c>
      <c r="G2027" t="s">
        <v>4697</v>
      </c>
      <c r="H2027" t="s">
        <v>4697</v>
      </c>
      <c r="I2027" t="s">
        <v>4708</v>
      </c>
      <c r="J2027" s="10">
        <f t="shared" si="62"/>
        <v>25414</v>
      </c>
      <c r="K2027">
        <f t="shared" si="63"/>
        <v>53</v>
      </c>
    </row>
    <row r="2028" spans="1:11">
      <c r="A2028" t="s">
        <v>626</v>
      </c>
      <c r="B2028">
        <v>1976</v>
      </c>
      <c r="C2028" t="s">
        <v>4703</v>
      </c>
      <c r="D2028">
        <v>3</v>
      </c>
      <c r="E2028">
        <v>2</v>
      </c>
      <c r="F2028" s="13">
        <v>30409.53</v>
      </c>
      <c r="G2028" t="s">
        <v>4697</v>
      </c>
      <c r="H2028" t="s">
        <v>4698</v>
      </c>
      <c r="I2028" t="s">
        <v>4704</v>
      </c>
      <c r="J2028" s="10">
        <f t="shared" si="62"/>
        <v>28006</v>
      </c>
      <c r="K2028">
        <f t="shared" si="63"/>
        <v>46</v>
      </c>
    </row>
    <row r="2029" spans="1:11">
      <c r="A2029" t="s">
        <v>624</v>
      </c>
      <c r="B2029">
        <v>1998</v>
      </c>
      <c r="C2029" t="s">
        <v>4707</v>
      </c>
      <c r="D2029">
        <v>28</v>
      </c>
      <c r="E2029">
        <v>0</v>
      </c>
      <c r="F2029" s="13">
        <v>30422.03</v>
      </c>
      <c r="G2029" t="s">
        <v>4697</v>
      </c>
      <c r="H2029" t="s">
        <v>4698</v>
      </c>
      <c r="I2029" t="s">
        <v>4708</v>
      </c>
      <c r="J2029" s="10">
        <f t="shared" si="62"/>
        <v>36096</v>
      </c>
      <c r="K2029">
        <f t="shared" si="63"/>
        <v>24</v>
      </c>
    </row>
    <row r="2030" spans="1:11">
      <c r="A2030" t="s">
        <v>622</v>
      </c>
      <c r="B2030">
        <v>1983</v>
      </c>
      <c r="C2030" t="s">
        <v>4703</v>
      </c>
      <c r="D2030">
        <v>3</v>
      </c>
      <c r="E2030">
        <v>3</v>
      </c>
      <c r="F2030" s="13">
        <v>30457.37</v>
      </c>
      <c r="G2030" t="s">
        <v>4697</v>
      </c>
      <c r="H2030" t="s">
        <v>4701</v>
      </c>
      <c r="I2030" t="s">
        <v>4704</v>
      </c>
      <c r="J2030" s="10">
        <f t="shared" si="62"/>
        <v>30562</v>
      </c>
      <c r="K2030">
        <f t="shared" si="63"/>
        <v>39</v>
      </c>
    </row>
    <row r="2031" spans="1:11">
      <c r="A2031" t="s">
        <v>620</v>
      </c>
      <c r="B2031">
        <v>1986</v>
      </c>
      <c r="C2031" t="s">
        <v>4706</v>
      </c>
      <c r="D2031">
        <v>10</v>
      </c>
      <c r="E2031">
        <v>3</v>
      </c>
      <c r="F2031" s="13">
        <v>30530.5</v>
      </c>
      <c r="G2031" t="s">
        <v>4697</v>
      </c>
      <c r="H2031" t="s">
        <v>4701</v>
      </c>
      <c r="I2031" t="s">
        <v>4708</v>
      </c>
      <c r="J2031" s="10">
        <f t="shared" si="62"/>
        <v>31634</v>
      </c>
      <c r="K2031">
        <f t="shared" si="63"/>
        <v>36</v>
      </c>
    </row>
    <row r="2032" spans="1:11">
      <c r="A2032" t="s">
        <v>618</v>
      </c>
      <c r="B2032">
        <v>1970</v>
      </c>
      <c r="C2032" t="s">
        <v>4700</v>
      </c>
      <c r="D2032">
        <v>11</v>
      </c>
      <c r="E2032">
        <v>0</v>
      </c>
      <c r="F2032" s="13">
        <v>30625.65</v>
      </c>
      <c r="G2032" t="s">
        <v>4697</v>
      </c>
      <c r="H2032" t="s">
        <v>4698</v>
      </c>
      <c r="I2032" t="s">
        <v>4708</v>
      </c>
      <c r="J2032" s="10">
        <f t="shared" si="62"/>
        <v>25883</v>
      </c>
      <c r="K2032">
        <f t="shared" si="63"/>
        <v>52</v>
      </c>
    </row>
    <row r="2033" spans="1:11">
      <c r="A2033" t="s">
        <v>616</v>
      </c>
      <c r="B2033">
        <v>1999</v>
      </c>
      <c r="C2033" t="s">
        <v>4703</v>
      </c>
      <c r="D2033">
        <v>21</v>
      </c>
      <c r="E2033">
        <v>0</v>
      </c>
      <c r="F2033" s="13">
        <v>30697.71</v>
      </c>
      <c r="G2033" t="s">
        <v>4701</v>
      </c>
      <c r="H2033" t="s">
        <v>4697</v>
      </c>
      <c r="I2033" t="s">
        <v>4708</v>
      </c>
      <c r="J2033" s="10">
        <f t="shared" si="62"/>
        <v>36424</v>
      </c>
      <c r="K2033">
        <f t="shared" si="63"/>
        <v>23</v>
      </c>
    </row>
    <row r="2034" spans="1:11">
      <c r="A2034" t="s">
        <v>614</v>
      </c>
      <c r="B2034">
        <v>1983</v>
      </c>
      <c r="C2034" t="s">
        <v>4705</v>
      </c>
      <c r="D2034">
        <v>21</v>
      </c>
      <c r="E2034">
        <v>3</v>
      </c>
      <c r="F2034" s="13">
        <v>30724.44</v>
      </c>
      <c r="G2034" t="s">
        <v>4697</v>
      </c>
      <c r="H2034" t="s">
        <v>4698</v>
      </c>
      <c r="I2034" t="s">
        <v>4708</v>
      </c>
      <c r="J2034" s="10">
        <f t="shared" si="62"/>
        <v>30671</v>
      </c>
      <c r="K2034">
        <f t="shared" si="63"/>
        <v>39</v>
      </c>
    </row>
    <row r="2035" spans="1:11">
      <c r="A2035" t="s">
        <v>612</v>
      </c>
      <c r="B2035">
        <v>1988</v>
      </c>
      <c r="C2035" t="s">
        <v>4703</v>
      </c>
      <c r="D2035">
        <v>5</v>
      </c>
      <c r="E2035">
        <v>3</v>
      </c>
      <c r="F2035" s="13">
        <v>30763.01</v>
      </c>
      <c r="G2035" t="s">
        <v>4697</v>
      </c>
      <c r="H2035" t="s">
        <v>4701</v>
      </c>
      <c r="I2035" t="s">
        <v>4708</v>
      </c>
      <c r="J2035" s="10">
        <f t="shared" si="62"/>
        <v>32391</v>
      </c>
      <c r="K2035">
        <f t="shared" si="63"/>
        <v>34</v>
      </c>
    </row>
    <row r="2036" spans="1:11">
      <c r="A2036" t="s">
        <v>610</v>
      </c>
      <c r="B2036">
        <v>1961</v>
      </c>
      <c r="C2036" t="s">
        <v>4703</v>
      </c>
      <c r="D2036">
        <v>9</v>
      </c>
      <c r="E2036">
        <v>3</v>
      </c>
      <c r="F2036" s="13">
        <v>30942.19</v>
      </c>
      <c r="G2036" t="s">
        <v>4697</v>
      </c>
      <c r="H2036" t="s">
        <v>4697</v>
      </c>
      <c r="I2036" t="s">
        <v>4699</v>
      </c>
      <c r="J2036" s="10">
        <f t="shared" si="62"/>
        <v>22533</v>
      </c>
      <c r="K2036">
        <f t="shared" si="63"/>
        <v>61</v>
      </c>
    </row>
    <row r="2037" spans="1:11">
      <c r="A2037" t="s">
        <v>608</v>
      </c>
      <c r="B2037">
        <v>2004</v>
      </c>
      <c r="C2037" t="s">
        <v>4700</v>
      </c>
      <c r="D2037">
        <v>9</v>
      </c>
      <c r="E2037">
        <v>0</v>
      </c>
      <c r="F2037" s="13">
        <v>31196.61</v>
      </c>
      <c r="G2037" t="s">
        <v>4697</v>
      </c>
      <c r="H2037" t="s">
        <v>4701</v>
      </c>
      <c r="I2037" t="s">
        <v>4708</v>
      </c>
      <c r="J2037" s="10">
        <f t="shared" si="62"/>
        <v>38300</v>
      </c>
      <c r="K2037">
        <f t="shared" si="63"/>
        <v>18</v>
      </c>
    </row>
    <row r="2038" spans="1:11">
      <c r="A2038" t="s">
        <v>606</v>
      </c>
      <c r="B2038">
        <v>2000</v>
      </c>
      <c r="C2038" t="s">
        <v>4696</v>
      </c>
      <c r="D2038">
        <v>22</v>
      </c>
      <c r="E2038">
        <v>0</v>
      </c>
      <c r="F2038" s="13">
        <v>31234.560000000001</v>
      </c>
      <c r="G2038" t="s">
        <v>4701</v>
      </c>
      <c r="H2038" t="s">
        <v>4701</v>
      </c>
      <c r="I2038" t="s">
        <v>4708</v>
      </c>
      <c r="J2038" s="10">
        <f t="shared" si="62"/>
        <v>36729</v>
      </c>
      <c r="K2038">
        <f t="shared" si="63"/>
        <v>22</v>
      </c>
    </row>
    <row r="2039" spans="1:11">
      <c r="A2039" t="s">
        <v>604</v>
      </c>
      <c r="B2039">
        <v>1968</v>
      </c>
      <c r="C2039" t="s">
        <v>4696</v>
      </c>
      <c r="D2039">
        <v>9</v>
      </c>
      <c r="E2039">
        <v>0</v>
      </c>
      <c r="F2039" s="13">
        <v>31322.53</v>
      </c>
      <c r="G2039" t="s">
        <v>4697</v>
      </c>
      <c r="H2039" t="s">
        <v>4701</v>
      </c>
      <c r="I2039" t="s">
        <v>4708</v>
      </c>
      <c r="J2039" s="10">
        <f t="shared" si="62"/>
        <v>25028</v>
      </c>
      <c r="K2039">
        <f t="shared" si="63"/>
        <v>54</v>
      </c>
    </row>
    <row r="2040" spans="1:11">
      <c r="A2040" t="s">
        <v>602</v>
      </c>
      <c r="B2040">
        <v>1995</v>
      </c>
      <c r="C2040" t="s">
        <v>4703</v>
      </c>
      <c r="D2040">
        <v>27</v>
      </c>
      <c r="E2040">
        <v>0</v>
      </c>
      <c r="F2040" s="13">
        <v>31328.27</v>
      </c>
      <c r="G2040" t="s">
        <v>4697</v>
      </c>
      <c r="H2040" t="s">
        <v>4697</v>
      </c>
      <c r="I2040" t="s">
        <v>4708</v>
      </c>
      <c r="J2040" s="10">
        <f t="shared" si="62"/>
        <v>34969</v>
      </c>
      <c r="K2040">
        <f t="shared" si="63"/>
        <v>27</v>
      </c>
    </row>
    <row r="2041" spans="1:11">
      <c r="A2041" t="s">
        <v>600</v>
      </c>
      <c r="B2041">
        <v>1974</v>
      </c>
      <c r="C2041" t="s">
        <v>4707</v>
      </c>
      <c r="D2041">
        <v>8</v>
      </c>
      <c r="E2041">
        <v>0</v>
      </c>
      <c r="F2041" s="13">
        <v>31368.81</v>
      </c>
      <c r="G2041" t="s">
        <v>4697</v>
      </c>
      <c r="H2041" t="s">
        <v>4698</v>
      </c>
      <c r="I2041" t="s">
        <v>4708</v>
      </c>
      <c r="J2041" s="10">
        <f t="shared" si="62"/>
        <v>27310</v>
      </c>
      <c r="K2041">
        <f t="shared" si="63"/>
        <v>48</v>
      </c>
    </row>
    <row r="2042" spans="1:11">
      <c r="A2042" t="s">
        <v>598</v>
      </c>
      <c r="B2042">
        <v>1975</v>
      </c>
      <c r="C2042" t="s">
        <v>4707</v>
      </c>
      <c r="D2042">
        <v>29</v>
      </c>
      <c r="E2042">
        <v>1</v>
      </c>
      <c r="F2042" s="13">
        <v>31591.82</v>
      </c>
      <c r="G2042" t="s">
        <v>4697</v>
      </c>
      <c r="H2042" t="s">
        <v>4701</v>
      </c>
      <c r="I2042" t="s">
        <v>4708</v>
      </c>
      <c r="J2042" s="10">
        <f t="shared" si="62"/>
        <v>27696</v>
      </c>
      <c r="K2042">
        <f t="shared" si="63"/>
        <v>47</v>
      </c>
    </row>
    <row r="2043" spans="1:11">
      <c r="A2043" t="s">
        <v>596</v>
      </c>
      <c r="B2043">
        <v>1960</v>
      </c>
      <c r="C2043" t="s">
        <v>4705</v>
      </c>
      <c r="D2043">
        <v>13</v>
      </c>
      <c r="E2043">
        <v>1</v>
      </c>
      <c r="F2043" s="13">
        <v>31620</v>
      </c>
      <c r="G2043" t="s">
        <v>4697</v>
      </c>
      <c r="H2043" t="s">
        <v>4701</v>
      </c>
      <c r="I2043" t="s">
        <v>4714</v>
      </c>
      <c r="J2043" s="10">
        <f t="shared" si="62"/>
        <v>22263</v>
      </c>
      <c r="K2043">
        <f t="shared" si="63"/>
        <v>62</v>
      </c>
    </row>
    <row r="2044" spans="1:11">
      <c r="A2044" t="s">
        <v>594</v>
      </c>
      <c r="B2044">
        <v>1977</v>
      </c>
      <c r="C2044" t="s">
        <v>4707</v>
      </c>
      <c r="D2044">
        <v>14</v>
      </c>
      <c r="E2044">
        <v>2</v>
      </c>
      <c r="F2044" s="13">
        <v>31736.7</v>
      </c>
      <c r="G2044" t="s">
        <v>4697</v>
      </c>
      <c r="H2044" t="s">
        <v>4697</v>
      </c>
      <c r="I2044" t="s">
        <v>4704</v>
      </c>
      <c r="J2044" s="10">
        <f t="shared" si="62"/>
        <v>28412</v>
      </c>
      <c r="K2044">
        <f t="shared" si="63"/>
        <v>45</v>
      </c>
    </row>
    <row r="2045" spans="1:11">
      <c r="A2045" t="s">
        <v>592</v>
      </c>
      <c r="B2045">
        <v>1984</v>
      </c>
      <c r="C2045" t="s">
        <v>4703</v>
      </c>
      <c r="D2045">
        <v>10</v>
      </c>
      <c r="E2045">
        <v>3</v>
      </c>
      <c r="F2045" s="13">
        <v>31743.919999999998</v>
      </c>
      <c r="G2045" t="s">
        <v>4697</v>
      </c>
      <c r="H2045" t="s">
        <v>4701</v>
      </c>
      <c r="I2045" t="s">
        <v>4708</v>
      </c>
      <c r="J2045" s="10">
        <f t="shared" si="62"/>
        <v>30935</v>
      </c>
      <c r="K2045">
        <f t="shared" si="63"/>
        <v>38</v>
      </c>
    </row>
    <row r="2046" spans="1:11">
      <c r="A2046" t="s">
        <v>590</v>
      </c>
      <c r="B2046">
        <v>1975</v>
      </c>
      <c r="C2046" t="s">
        <v>4703</v>
      </c>
      <c r="D2046">
        <v>25</v>
      </c>
      <c r="E2046">
        <v>1</v>
      </c>
      <c r="F2046" s="13">
        <v>31897.1</v>
      </c>
      <c r="G2046" t="s">
        <v>4697</v>
      </c>
      <c r="H2046" t="s">
        <v>4698</v>
      </c>
      <c r="I2046" t="s">
        <v>4708</v>
      </c>
      <c r="J2046" s="10">
        <f t="shared" si="62"/>
        <v>27662</v>
      </c>
      <c r="K2046">
        <f t="shared" si="63"/>
        <v>47</v>
      </c>
    </row>
    <row r="2047" spans="1:11">
      <c r="A2047" t="s">
        <v>588</v>
      </c>
      <c r="B2047">
        <v>1972</v>
      </c>
      <c r="C2047" t="s">
        <v>4703</v>
      </c>
      <c r="D2047">
        <v>21</v>
      </c>
      <c r="E2047">
        <v>0</v>
      </c>
      <c r="F2047" s="13">
        <v>31980.89</v>
      </c>
      <c r="G2047" t="s">
        <v>4697</v>
      </c>
      <c r="H2047" t="s">
        <v>4701</v>
      </c>
      <c r="I2047" t="s">
        <v>4708</v>
      </c>
      <c r="J2047" s="10">
        <f t="shared" si="62"/>
        <v>26563</v>
      </c>
      <c r="K2047">
        <f t="shared" si="63"/>
        <v>50</v>
      </c>
    </row>
    <row r="2048" spans="1:11">
      <c r="A2048" t="s">
        <v>586</v>
      </c>
      <c r="B2048">
        <v>1993</v>
      </c>
      <c r="C2048" t="s">
        <v>4703</v>
      </c>
      <c r="D2048">
        <v>13</v>
      </c>
      <c r="E2048">
        <v>0</v>
      </c>
      <c r="F2048" s="13">
        <v>32086.21</v>
      </c>
      <c r="G2048" t="s">
        <v>4701</v>
      </c>
      <c r="H2048" t="s">
        <v>4698</v>
      </c>
      <c r="I2048" t="s">
        <v>4708</v>
      </c>
      <c r="J2048" s="10">
        <f t="shared" si="62"/>
        <v>34225</v>
      </c>
      <c r="K2048">
        <f t="shared" si="63"/>
        <v>29</v>
      </c>
    </row>
    <row r="2049" spans="1:11">
      <c r="A2049" t="s">
        <v>584</v>
      </c>
      <c r="B2049">
        <v>1978</v>
      </c>
      <c r="C2049" t="s">
        <v>4700</v>
      </c>
      <c r="D2049">
        <v>10</v>
      </c>
      <c r="E2049">
        <v>2</v>
      </c>
      <c r="F2049" s="13">
        <v>32108.66</v>
      </c>
      <c r="G2049" t="s">
        <v>4701</v>
      </c>
      <c r="H2049" t="s">
        <v>4698</v>
      </c>
      <c r="I2049" t="s">
        <v>4718</v>
      </c>
      <c r="J2049" s="10">
        <f t="shared" si="62"/>
        <v>28804</v>
      </c>
      <c r="K2049">
        <f t="shared" si="63"/>
        <v>44</v>
      </c>
    </row>
    <row r="2050" spans="1:11">
      <c r="A2050" t="s">
        <v>582</v>
      </c>
      <c r="B2050">
        <v>1969</v>
      </c>
      <c r="C2050" t="s">
        <v>4703</v>
      </c>
      <c r="D2050">
        <v>11</v>
      </c>
      <c r="E2050">
        <v>0</v>
      </c>
      <c r="F2050" s="13">
        <v>32192.76</v>
      </c>
      <c r="G2050" t="s">
        <v>4701</v>
      </c>
      <c r="H2050" t="s">
        <v>4697</v>
      </c>
      <c r="I2050" t="s">
        <v>4708</v>
      </c>
      <c r="J2050" s="10">
        <f t="shared" ref="J2050:J2113" si="64">DATEVALUE(D2050&amp;"-"&amp;C2050&amp;"-"&amp;B2050)</f>
        <v>25457</v>
      </c>
      <c r="K2050">
        <f t="shared" si="63"/>
        <v>53</v>
      </c>
    </row>
    <row r="2051" spans="1:11">
      <c r="A2051" t="s">
        <v>580</v>
      </c>
      <c r="B2051">
        <v>1994</v>
      </c>
      <c r="C2051" t="s">
        <v>4703</v>
      </c>
      <c r="D2051">
        <v>8</v>
      </c>
      <c r="E2051">
        <v>0</v>
      </c>
      <c r="F2051" s="13">
        <v>32222.81</v>
      </c>
      <c r="G2051" t="s">
        <v>4697</v>
      </c>
      <c r="H2051" t="s">
        <v>4701</v>
      </c>
      <c r="I2051" t="s">
        <v>4708</v>
      </c>
      <c r="J2051" s="10">
        <f t="shared" si="64"/>
        <v>34585</v>
      </c>
      <c r="K2051">
        <f t="shared" ref="K2051:K2114" si="65">DATEDIF(J2051, DATE(2023, 6, 8), "Y")</f>
        <v>28</v>
      </c>
    </row>
    <row r="2052" spans="1:11">
      <c r="A2052" t="s">
        <v>578</v>
      </c>
      <c r="B2052">
        <v>1975</v>
      </c>
      <c r="C2052" t="s">
        <v>4705</v>
      </c>
      <c r="D2052">
        <v>17</v>
      </c>
      <c r="E2052">
        <v>1</v>
      </c>
      <c r="F2052" s="13">
        <v>32259.96</v>
      </c>
      <c r="G2052" t="s">
        <v>4697</v>
      </c>
      <c r="H2052" t="s">
        <v>4698</v>
      </c>
      <c r="I2052" t="s">
        <v>4704</v>
      </c>
      <c r="J2052" s="10">
        <f t="shared" si="64"/>
        <v>27745</v>
      </c>
      <c r="K2052">
        <f t="shared" si="65"/>
        <v>47</v>
      </c>
    </row>
    <row r="2053" spans="1:11">
      <c r="A2053" t="s">
        <v>576</v>
      </c>
      <c r="B2053">
        <v>1986</v>
      </c>
      <c r="C2053" t="s">
        <v>4705</v>
      </c>
      <c r="D2053">
        <v>2</v>
      </c>
      <c r="E2053">
        <v>3</v>
      </c>
      <c r="F2053" s="13">
        <v>32288.49</v>
      </c>
      <c r="G2053" t="s">
        <v>4697</v>
      </c>
      <c r="H2053" t="s">
        <v>4697</v>
      </c>
      <c r="I2053" t="s">
        <v>4708</v>
      </c>
      <c r="J2053" s="10">
        <f t="shared" si="64"/>
        <v>31748</v>
      </c>
      <c r="K2053">
        <f t="shared" si="65"/>
        <v>36</v>
      </c>
    </row>
    <row r="2054" spans="1:11">
      <c r="A2054" t="s">
        <v>574</v>
      </c>
      <c r="B2054">
        <v>1972</v>
      </c>
      <c r="C2054" t="s">
        <v>4707</v>
      </c>
      <c r="D2054">
        <v>19</v>
      </c>
      <c r="E2054">
        <v>0</v>
      </c>
      <c r="F2054" s="13">
        <v>32428.63</v>
      </c>
      <c r="G2054" t="s">
        <v>4697</v>
      </c>
      <c r="H2054" t="s">
        <v>4697</v>
      </c>
      <c r="I2054" t="s">
        <v>4708</v>
      </c>
      <c r="J2054" s="10">
        <f t="shared" si="64"/>
        <v>26591</v>
      </c>
      <c r="K2054">
        <f t="shared" si="65"/>
        <v>50</v>
      </c>
    </row>
    <row r="2055" spans="1:11">
      <c r="A2055" t="s">
        <v>572</v>
      </c>
      <c r="B2055">
        <v>1976</v>
      </c>
      <c r="C2055" t="s">
        <v>4706</v>
      </c>
      <c r="D2055">
        <v>9</v>
      </c>
      <c r="E2055">
        <v>2</v>
      </c>
      <c r="F2055" s="13">
        <v>32430.22</v>
      </c>
      <c r="G2055" t="s">
        <v>4697</v>
      </c>
      <c r="H2055" t="s">
        <v>4698</v>
      </c>
      <c r="I2055" t="s">
        <v>4708</v>
      </c>
      <c r="J2055" s="10">
        <f t="shared" si="64"/>
        <v>27981</v>
      </c>
      <c r="K2055">
        <f t="shared" si="65"/>
        <v>46</v>
      </c>
    </row>
    <row r="2056" spans="1:11">
      <c r="A2056" t="s">
        <v>570</v>
      </c>
      <c r="B2056">
        <v>1981</v>
      </c>
      <c r="C2056" t="s">
        <v>4703</v>
      </c>
      <c r="D2056">
        <v>27</v>
      </c>
      <c r="E2056">
        <v>1</v>
      </c>
      <c r="F2056" s="13">
        <v>32462.35</v>
      </c>
      <c r="G2056" t="s">
        <v>4697</v>
      </c>
      <c r="H2056" t="s">
        <v>4697</v>
      </c>
      <c r="I2056" t="s">
        <v>4708</v>
      </c>
      <c r="J2056" s="10">
        <f t="shared" si="64"/>
        <v>29856</v>
      </c>
      <c r="K2056">
        <f t="shared" si="65"/>
        <v>41</v>
      </c>
    </row>
    <row r="2057" spans="1:11">
      <c r="A2057" t="s">
        <v>568</v>
      </c>
      <c r="B2057">
        <v>1976</v>
      </c>
      <c r="C2057" t="s">
        <v>4703</v>
      </c>
      <c r="D2057">
        <v>19</v>
      </c>
      <c r="E2057">
        <v>2</v>
      </c>
      <c r="F2057" s="13">
        <v>32485.46</v>
      </c>
      <c r="G2057" t="s">
        <v>4697</v>
      </c>
      <c r="H2057" t="s">
        <v>4701</v>
      </c>
      <c r="I2057" t="s">
        <v>4708</v>
      </c>
      <c r="J2057" s="10">
        <f t="shared" si="64"/>
        <v>28022</v>
      </c>
      <c r="K2057">
        <f t="shared" si="65"/>
        <v>46</v>
      </c>
    </row>
    <row r="2058" spans="1:11">
      <c r="A2058" t="s">
        <v>566</v>
      </c>
      <c r="B2058">
        <v>2003</v>
      </c>
      <c r="C2058" t="s">
        <v>4707</v>
      </c>
      <c r="D2058">
        <v>8</v>
      </c>
      <c r="E2058">
        <v>0</v>
      </c>
      <c r="F2058" s="13">
        <v>32548.34</v>
      </c>
      <c r="G2058" t="s">
        <v>4701</v>
      </c>
      <c r="H2058" t="s">
        <v>4697</v>
      </c>
      <c r="I2058" t="s">
        <v>4699</v>
      </c>
      <c r="J2058" s="10">
        <f t="shared" si="64"/>
        <v>37902</v>
      </c>
      <c r="K2058">
        <f t="shared" si="65"/>
        <v>19</v>
      </c>
    </row>
    <row r="2059" spans="1:11">
      <c r="A2059" t="s">
        <v>564</v>
      </c>
      <c r="B2059">
        <v>1990</v>
      </c>
      <c r="C2059" t="s">
        <v>4696</v>
      </c>
      <c r="D2059">
        <v>13</v>
      </c>
      <c r="E2059">
        <v>3</v>
      </c>
      <c r="F2059" s="13">
        <v>32672.11</v>
      </c>
      <c r="G2059" t="s">
        <v>4701</v>
      </c>
      <c r="H2059" t="s">
        <v>4701</v>
      </c>
      <c r="I2059" t="s">
        <v>4708</v>
      </c>
      <c r="J2059" s="10">
        <f t="shared" si="64"/>
        <v>33067</v>
      </c>
      <c r="K2059">
        <f t="shared" si="65"/>
        <v>32</v>
      </c>
    </row>
    <row r="2060" spans="1:11">
      <c r="A2060" t="s">
        <v>562</v>
      </c>
      <c r="B2060">
        <v>1968</v>
      </c>
      <c r="C2060" t="s">
        <v>4700</v>
      </c>
      <c r="D2060">
        <v>1</v>
      </c>
      <c r="E2060">
        <v>0</v>
      </c>
      <c r="F2060" s="13">
        <v>32686.080000000002</v>
      </c>
      <c r="G2060" t="s">
        <v>4697</v>
      </c>
      <c r="H2060" t="s">
        <v>4698</v>
      </c>
      <c r="I2060" t="s">
        <v>4708</v>
      </c>
      <c r="J2060" s="10">
        <f t="shared" si="64"/>
        <v>25143</v>
      </c>
      <c r="K2060">
        <f t="shared" si="65"/>
        <v>54</v>
      </c>
    </row>
    <row r="2061" spans="1:11">
      <c r="A2061" t="s">
        <v>560</v>
      </c>
      <c r="B2061">
        <v>1990</v>
      </c>
      <c r="C2061" t="s">
        <v>4703</v>
      </c>
      <c r="D2061">
        <v>30</v>
      </c>
      <c r="E2061">
        <v>3</v>
      </c>
      <c r="F2061" s="13">
        <v>32716.2</v>
      </c>
      <c r="G2061" t="s">
        <v>4701</v>
      </c>
      <c r="H2061" t="s">
        <v>4697</v>
      </c>
      <c r="I2061" t="s">
        <v>4708</v>
      </c>
      <c r="J2061" s="10">
        <f t="shared" si="64"/>
        <v>33146</v>
      </c>
      <c r="K2061">
        <f t="shared" si="65"/>
        <v>32</v>
      </c>
    </row>
    <row r="2062" spans="1:11">
      <c r="A2062" t="s">
        <v>558</v>
      </c>
      <c r="B2062">
        <v>1990</v>
      </c>
      <c r="C2062" t="s">
        <v>4696</v>
      </c>
      <c r="D2062">
        <v>9</v>
      </c>
      <c r="E2062">
        <v>2</v>
      </c>
      <c r="F2062" s="13">
        <v>32734.19</v>
      </c>
      <c r="G2062" t="s">
        <v>4697</v>
      </c>
      <c r="H2062" t="s">
        <v>4701</v>
      </c>
      <c r="I2062" t="s">
        <v>4704</v>
      </c>
      <c r="J2062" s="10">
        <f t="shared" si="64"/>
        <v>33063</v>
      </c>
      <c r="K2062">
        <f t="shared" si="65"/>
        <v>32</v>
      </c>
    </row>
    <row r="2063" spans="1:11">
      <c r="A2063" t="s">
        <v>556</v>
      </c>
      <c r="B2063">
        <v>1974</v>
      </c>
      <c r="C2063" t="s">
        <v>4705</v>
      </c>
      <c r="D2063">
        <v>6</v>
      </c>
      <c r="E2063">
        <v>0</v>
      </c>
      <c r="F2063" s="13">
        <v>32760.48</v>
      </c>
      <c r="G2063" t="s">
        <v>4701</v>
      </c>
      <c r="H2063" t="s">
        <v>4701</v>
      </c>
      <c r="I2063" t="s">
        <v>4708</v>
      </c>
      <c r="J2063" s="10">
        <f t="shared" si="64"/>
        <v>27369</v>
      </c>
      <c r="K2063">
        <f t="shared" si="65"/>
        <v>48</v>
      </c>
    </row>
    <row r="2064" spans="1:11">
      <c r="A2064" t="s">
        <v>554</v>
      </c>
      <c r="B2064">
        <v>1972</v>
      </c>
      <c r="C2064" t="s">
        <v>4700</v>
      </c>
      <c r="D2064">
        <v>7</v>
      </c>
      <c r="E2064">
        <v>0</v>
      </c>
      <c r="F2064" s="13">
        <v>32765.33</v>
      </c>
      <c r="G2064" t="s">
        <v>4697</v>
      </c>
      <c r="H2064" t="s">
        <v>4697</v>
      </c>
      <c r="I2064" t="s">
        <v>4704</v>
      </c>
      <c r="J2064" s="10">
        <f t="shared" si="64"/>
        <v>26610</v>
      </c>
      <c r="K2064">
        <f t="shared" si="65"/>
        <v>50</v>
      </c>
    </row>
    <row r="2065" spans="1:11">
      <c r="A2065" t="s">
        <v>552</v>
      </c>
      <c r="B2065">
        <v>1980</v>
      </c>
      <c r="C2065" t="s">
        <v>4705</v>
      </c>
      <c r="D2065">
        <v>12</v>
      </c>
      <c r="E2065">
        <v>3</v>
      </c>
      <c r="F2065" s="13">
        <v>32787.46</v>
      </c>
      <c r="G2065" t="s">
        <v>4701</v>
      </c>
      <c r="H2065" t="s">
        <v>4698</v>
      </c>
      <c r="I2065" t="s">
        <v>4704</v>
      </c>
      <c r="J2065" s="10">
        <f t="shared" si="64"/>
        <v>29567</v>
      </c>
      <c r="K2065">
        <f t="shared" si="65"/>
        <v>42</v>
      </c>
    </row>
    <row r="2066" spans="1:11">
      <c r="A2066" t="s">
        <v>550</v>
      </c>
      <c r="B2066">
        <v>1995</v>
      </c>
      <c r="C2066" t="s">
        <v>4705</v>
      </c>
      <c r="D2066">
        <v>4</v>
      </c>
      <c r="E2066">
        <v>0</v>
      </c>
      <c r="F2066" s="13">
        <v>32827.51</v>
      </c>
      <c r="G2066" t="s">
        <v>4701</v>
      </c>
      <c r="H2066" t="s">
        <v>4697</v>
      </c>
      <c r="I2066" t="s">
        <v>4708</v>
      </c>
      <c r="J2066" s="10">
        <f t="shared" si="64"/>
        <v>35037</v>
      </c>
      <c r="K2066">
        <f t="shared" si="65"/>
        <v>27</v>
      </c>
    </row>
    <row r="2067" spans="1:11">
      <c r="A2067" t="s">
        <v>548</v>
      </c>
      <c r="B2067">
        <v>1981</v>
      </c>
      <c r="C2067" t="s">
        <v>4700</v>
      </c>
      <c r="D2067">
        <v>17</v>
      </c>
      <c r="E2067">
        <v>1</v>
      </c>
      <c r="F2067" s="13">
        <v>32906.69</v>
      </c>
      <c r="G2067" t="s">
        <v>4697</v>
      </c>
      <c r="H2067" t="s">
        <v>4698</v>
      </c>
      <c r="I2067" t="s">
        <v>4708</v>
      </c>
      <c r="J2067" s="10">
        <f t="shared" si="64"/>
        <v>29907</v>
      </c>
      <c r="K2067">
        <f t="shared" si="65"/>
        <v>41</v>
      </c>
    </row>
    <row r="2068" spans="1:11">
      <c r="A2068" t="s">
        <v>546</v>
      </c>
      <c r="B2068">
        <v>1971</v>
      </c>
      <c r="C2068" t="s">
        <v>4706</v>
      </c>
      <c r="D2068">
        <v>24</v>
      </c>
      <c r="E2068">
        <v>0</v>
      </c>
      <c r="F2068" s="13">
        <v>32947.629999999997</v>
      </c>
      <c r="G2068" t="s">
        <v>4697</v>
      </c>
      <c r="H2068" t="s">
        <v>4701</v>
      </c>
      <c r="I2068" t="s">
        <v>4708</v>
      </c>
      <c r="J2068" s="10">
        <f t="shared" si="64"/>
        <v>26169</v>
      </c>
      <c r="K2068">
        <f t="shared" si="65"/>
        <v>51</v>
      </c>
    </row>
    <row r="2069" spans="1:11">
      <c r="A2069" t="s">
        <v>544</v>
      </c>
      <c r="B2069">
        <v>1995</v>
      </c>
      <c r="C2069" t="s">
        <v>4696</v>
      </c>
      <c r="D2069">
        <v>8</v>
      </c>
      <c r="E2069">
        <v>0</v>
      </c>
      <c r="F2069" s="13">
        <v>33017.46</v>
      </c>
      <c r="G2069" t="s">
        <v>4701</v>
      </c>
      <c r="H2069" t="s">
        <v>4701</v>
      </c>
      <c r="I2069" t="s">
        <v>4708</v>
      </c>
      <c r="J2069" s="10">
        <f t="shared" si="64"/>
        <v>34888</v>
      </c>
      <c r="K2069">
        <f t="shared" si="65"/>
        <v>27</v>
      </c>
    </row>
    <row r="2070" spans="1:11">
      <c r="A2070" t="s">
        <v>542</v>
      </c>
      <c r="B2070">
        <v>1967</v>
      </c>
      <c r="C2070" t="s">
        <v>4696</v>
      </c>
      <c r="D2070">
        <v>10</v>
      </c>
      <c r="E2070">
        <v>0</v>
      </c>
      <c r="F2070" s="13">
        <v>33025.32</v>
      </c>
      <c r="G2070" t="s">
        <v>4697</v>
      </c>
      <c r="H2070" t="s">
        <v>4698</v>
      </c>
      <c r="I2070" t="s">
        <v>4708</v>
      </c>
      <c r="J2070" s="10">
        <f t="shared" si="64"/>
        <v>24663</v>
      </c>
      <c r="K2070">
        <f t="shared" si="65"/>
        <v>55</v>
      </c>
    </row>
    <row r="2071" spans="1:11">
      <c r="A2071" t="s">
        <v>540</v>
      </c>
      <c r="B2071">
        <v>1994</v>
      </c>
      <c r="C2071" t="s">
        <v>4696</v>
      </c>
      <c r="D2071">
        <v>28</v>
      </c>
      <c r="E2071">
        <v>0</v>
      </c>
      <c r="F2071" s="13">
        <v>33057.230000000003</v>
      </c>
      <c r="G2071" t="s">
        <v>4701</v>
      </c>
      <c r="H2071" t="s">
        <v>4697</v>
      </c>
      <c r="I2071" t="s">
        <v>4708</v>
      </c>
      <c r="J2071" s="10">
        <f t="shared" si="64"/>
        <v>34543</v>
      </c>
      <c r="K2071">
        <f t="shared" si="65"/>
        <v>28</v>
      </c>
    </row>
    <row r="2072" spans="1:11">
      <c r="A2072" t="s">
        <v>538</v>
      </c>
      <c r="B2072">
        <v>1962</v>
      </c>
      <c r="C2072" t="s">
        <v>4696</v>
      </c>
      <c r="D2072">
        <v>1</v>
      </c>
      <c r="E2072">
        <v>0</v>
      </c>
      <c r="F2072" s="13">
        <v>33074.94</v>
      </c>
      <c r="G2072" t="s">
        <v>4701</v>
      </c>
      <c r="H2072" t="s">
        <v>4697</v>
      </c>
      <c r="I2072" t="s">
        <v>4708</v>
      </c>
      <c r="J2072" s="10">
        <f t="shared" si="64"/>
        <v>22828</v>
      </c>
      <c r="K2072">
        <f t="shared" si="65"/>
        <v>60</v>
      </c>
    </row>
    <row r="2073" spans="1:11">
      <c r="A2073" t="s">
        <v>536</v>
      </c>
      <c r="B2073">
        <v>1969</v>
      </c>
      <c r="C2073" t="s">
        <v>4707</v>
      </c>
      <c r="D2073">
        <v>30</v>
      </c>
      <c r="E2073">
        <v>0</v>
      </c>
      <c r="F2073" s="13">
        <v>33090.660000000003</v>
      </c>
      <c r="G2073" t="s">
        <v>4697</v>
      </c>
      <c r="H2073" t="s">
        <v>4697</v>
      </c>
      <c r="I2073" t="s">
        <v>4708</v>
      </c>
      <c r="J2073" s="10">
        <f t="shared" si="64"/>
        <v>25506</v>
      </c>
      <c r="K2073">
        <f t="shared" si="65"/>
        <v>53</v>
      </c>
    </row>
    <row r="2074" spans="1:11">
      <c r="A2074" t="s">
        <v>534</v>
      </c>
      <c r="B2074">
        <v>1985</v>
      </c>
      <c r="C2074" t="s">
        <v>4696</v>
      </c>
      <c r="D2074">
        <v>15</v>
      </c>
      <c r="E2074">
        <v>3</v>
      </c>
      <c r="F2074" s="13">
        <v>33121</v>
      </c>
      <c r="G2074" t="s">
        <v>4697</v>
      </c>
      <c r="H2074" t="s">
        <v>4701</v>
      </c>
      <c r="I2074" t="s">
        <v>4708</v>
      </c>
      <c r="J2074" s="10">
        <f t="shared" si="64"/>
        <v>31243</v>
      </c>
      <c r="K2074">
        <f t="shared" si="65"/>
        <v>37</v>
      </c>
    </row>
    <row r="2075" spans="1:11">
      <c r="A2075" t="s">
        <v>532</v>
      </c>
      <c r="B2075">
        <v>1990</v>
      </c>
      <c r="C2075" t="s">
        <v>4707</v>
      </c>
      <c r="D2075">
        <v>12</v>
      </c>
      <c r="E2075">
        <v>3</v>
      </c>
      <c r="F2075" s="13">
        <v>33292.83</v>
      </c>
      <c r="G2075" t="s">
        <v>4697</v>
      </c>
      <c r="H2075" t="s">
        <v>4701</v>
      </c>
      <c r="I2075" t="s">
        <v>4708</v>
      </c>
      <c r="J2075" s="10">
        <f t="shared" si="64"/>
        <v>33158</v>
      </c>
      <c r="K2075">
        <f t="shared" si="65"/>
        <v>32</v>
      </c>
    </row>
    <row r="2076" spans="1:11">
      <c r="A2076" t="s">
        <v>530</v>
      </c>
      <c r="B2076">
        <v>2003</v>
      </c>
      <c r="C2076" t="s">
        <v>4700</v>
      </c>
      <c r="D2076">
        <v>28</v>
      </c>
      <c r="E2076">
        <v>0</v>
      </c>
      <c r="F2076" s="13">
        <v>33307.550000000003</v>
      </c>
      <c r="G2076" t="s">
        <v>4697</v>
      </c>
      <c r="H2076" t="s">
        <v>4698</v>
      </c>
      <c r="I2076" t="s">
        <v>4704</v>
      </c>
      <c r="J2076" s="10">
        <f t="shared" si="64"/>
        <v>37953</v>
      </c>
      <c r="K2076">
        <f t="shared" si="65"/>
        <v>19</v>
      </c>
    </row>
    <row r="2077" spans="1:11">
      <c r="A2077" t="s">
        <v>528</v>
      </c>
      <c r="B2077">
        <v>1972</v>
      </c>
      <c r="C2077" t="s">
        <v>4703</v>
      </c>
      <c r="D2077">
        <v>5</v>
      </c>
      <c r="E2077">
        <v>0</v>
      </c>
      <c r="F2077" s="13">
        <v>33344.449999999997</v>
      </c>
      <c r="G2077" t="s">
        <v>4697</v>
      </c>
      <c r="H2077" t="s">
        <v>4698</v>
      </c>
      <c r="I2077" t="s">
        <v>4708</v>
      </c>
      <c r="J2077" s="10">
        <f t="shared" si="64"/>
        <v>26547</v>
      </c>
      <c r="K2077">
        <f t="shared" si="65"/>
        <v>50</v>
      </c>
    </row>
    <row r="2078" spans="1:11">
      <c r="A2078" t="s">
        <v>526</v>
      </c>
      <c r="B2078">
        <v>1985</v>
      </c>
      <c r="C2078" t="s">
        <v>4705</v>
      </c>
      <c r="D2078">
        <v>7</v>
      </c>
      <c r="E2078">
        <v>3</v>
      </c>
      <c r="F2078" s="13">
        <v>33450.99</v>
      </c>
      <c r="G2078" t="s">
        <v>4697</v>
      </c>
      <c r="H2078" t="s">
        <v>4697</v>
      </c>
      <c r="I2078" t="s">
        <v>4708</v>
      </c>
      <c r="J2078" s="10">
        <f t="shared" si="64"/>
        <v>31388</v>
      </c>
      <c r="K2078">
        <f t="shared" si="65"/>
        <v>37</v>
      </c>
    </row>
    <row r="2079" spans="1:11">
      <c r="A2079" t="s">
        <v>524</v>
      </c>
      <c r="B2079">
        <v>1970</v>
      </c>
      <c r="C2079" t="s">
        <v>4702</v>
      </c>
      <c r="D2079">
        <v>18</v>
      </c>
      <c r="E2079">
        <v>2</v>
      </c>
      <c r="F2079" s="13">
        <v>33471.97</v>
      </c>
      <c r="G2079" t="s">
        <v>4697</v>
      </c>
      <c r="H2079" t="s">
        <v>4697</v>
      </c>
      <c r="I2079" t="s">
        <v>4704</v>
      </c>
      <c r="J2079" s="10">
        <f t="shared" si="64"/>
        <v>25737</v>
      </c>
      <c r="K2079">
        <f t="shared" si="65"/>
        <v>52</v>
      </c>
    </row>
    <row r="2080" spans="1:11">
      <c r="A2080" t="s">
        <v>522</v>
      </c>
      <c r="B2080">
        <v>2002</v>
      </c>
      <c r="C2080" t="s">
        <v>4706</v>
      </c>
      <c r="D2080">
        <v>25</v>
      </c>
      <c r="E2080">
        <v>0</v>
      </c>
      <c r="F2080" s="13">
        <v>33475.82</v>
      </c>
      <c r="G2080" t="s">
        <v>4701</v>
      </c>
      <c r="H2080" t="s">
        <v>4701</v>
      </c>
      <c r="I2080" t="s">
        <v>4712</v>
      </c>
      <c r="J2080" s="10">
        <f t="shared" si="64"/>
        <v>37493</v>
      </c>
      <c r="K2080">
        <f t="shared" si="65"/>
        <v>20</v>
      </c>
    </row>
    <row r="2081" spans="1:11">
      <c r="A2081" t="s">
        <v>520</v>
      </c>
      <c r="B2081">
        <v>1984</v>
      </c>
      <c r="C2081" t="s">
        <v>4696</v>
      </c>
      <c r="D2081">
        <v>22</v>
      </c>
      <c r="E2081">
        <v>3</v>
      </c>
      <c r="F2081" s="13">
        <v>33527.1</v>
      </c>
      <c r="G2081" t="s">
        <v>4697</v>
      </c>
      <c r="H2081" t="s">
        <v>4698</v>
      </c>
      <c r="I2081" t="s">
        <v>4708</v>
      </c>
      <c r="J2081" s="10">
        <f t="shared" si="64"/>
        <v>30885</v>
      </c>
      <c r="K2081">
        <f t="shared" si="65"/>
        <v>38</v>
      </c>
    </row>
    <row r="2082" spans="1:11">
      <c r="A2082" t="s">
        <v>518</v>
      </c>
      <c r="B2082">
        <v>2003</v>
      </c>
      <c r="C2082" t="s">
        <v>4703</v>
      </c>
      <c r="D2082">
        <v>9</v>
      </c>
      <c r="E2082">
        <v>0</v>
      </c>
      <c r="F2082" s="13">
        <v>33611.71</v>
      </c>
      <c r="G2082" t="s">
        <v>4701</v>
      </c>
      <c r="H2082" t="s">
        <v>4697</v>
      </c>
      <c r="I2082" t="s">
        <v>4708</v>
      </c>
      <c r="J2082" s="10">
        <f t="shared" si="64"/>
        <v>37873</v>
      </c>
      <c r="K2082">
        <f t="shared" si="65"/>
        <v>19</v>
      </c>
    </row>
    <row r="2083" spans="1:11">
      <c r="A2083" t="s">
        <v>516</v>
      </c>
      <c r="B2083">
        <v>1993</v>
      </c>
      <c r="C2083" t="s">
        <v>4700</v>
      </c>
      <c r="D2083">
        <v>28</v>
      </c>
      <c r="E2083">
        <v>0</v>
      </c>
      <c r="F2083" s="13">
        <v>33707.550000000003</v>
      </c>
      <c r="G2083" t="s">
        <v>4697</v>
      </c>
      <c r="H2083" t="s">
        <v>4697</v>
      </c>
      <c r="I2083" t="s">
        <v>4708</v>
      </c>
      <c r="J2083" s="10">
        <f t="shared" si="64"/>
        <v>34301</v>
      </c>
      <c r="K2083">
        <f t="shared" si="65"/>
        <v>29</v>
      </c>
    </row>
    <row r="2084" spans="1:11">
      <c r="A2084" t="s">
        <v>514</v>
      </c>
      <c r="B2084">
        <v>2004</v>
      </c>
      <c r="C2084" t="s">
        <v>4700</v>
      </c>
      <c r="D2084">
        <v>1</v>
      </c>
      <c r="E2084">
        <v>0</v>
      </c>
      <c r="F2084" s="13">
        <v>33732.69</v>
      </c>
      <c r="G2084" t="s">
        <v>4701</v>
      </c>
      <c r="H2084" t="s">
        <v>4701</v>
      </c>
      <c r="I2084" t="s">
        <v>4718</v>
      </c>
      <c r="J2084" s="10">
        <f t="shared" si="64"/>
        <v>38292</v>
      </c>
      <c r="K2084">
        <f t="shared" si="65"/>
        <v>18</v>
      </c>
    </row>
    <row r="2085" spans="1:11">
      <c r="A2085" t="s">
        <v>512</v>
      </c>
      <c r="B2085">
        <v>2003</v>
      </c>
      <c r="C2085" t="s">
        <v>4703</v>
      </c>
      <c r="D2085">
        <v>12</v>
      </c>
      <c r="E2085">
        <v>0</v>
      </c>
      <c r="F2085" s="13">
        <v>33750.29</v>
      </c>
      <c r="G2085" t="s">
        <v>4701</v>
      </c>
      <c r="H2085" t="s">
        <v>4698</v>
      </c>
      <c r="I2085" t="s">
        <v>4704</v>
      </c>
      <c r="J2085" s="10">
        <f t="shared" si="64"/>
        <v>37876</v>
      </c>
      <c r="K2085">
        <f t="shared" si="65"/>
        <v>19</v>
      </c>
    </row>
    <row r="2086" spans="1:11">
      <c r="A2086" t="s">
        <v>510</v>
      </c>
      <c r="B2086">
        <v>1962</v>
      </c>
      <c r="C2086" t="s">
        <v>4705</v>
      </c>
      <c r="D2086">
        <v>11</v>
      </c>
      <c r="E2086">
        <v>0</v>
      </c>
      <c r="F2086" s="13">
        <v>33753.32</v>
      </c>
      <c r="G2086" t="s">
        <v>4701</v>
      </c>
      <c r="H2086" t="s">
        <v>4698</v>
      </c>
      <c r="I2086" t="s">
        <v>4708</v>
      </c>
      <c r="J2086" s="10">
        <f t="shared" si="64"/>
        <v>22991</v>
      </c>
      <c r="K2086">
        <f t="shared" si="65"/>
        <v>60</v>
      </c>
    </row>
    <row r="2087" spans="1:11">
      <c r="A2087" t="s">
        <v>508</v>
      </c>
      <c r="B2087">
        <v>2000</v>
      </c>
      <c r="C2087" t="s">
        <v>4707</v>
      </c>
      <c r="D2087">
        <v>26</v>
      </c>
      <c r="E2087">
        <v>0</v>
      </c>
      <c r="F2087" s="13">
        <v>33829.39</v>
      </c>
      <c r="G2087" t="s">
        <v>4697</v>
      </c>
      <c r="H2087" t="s">
        <v>4698</v>
      </c>
      <c r="I2087" t="s">
        <v>4708</v>
      </c>
      <c r="J2087" s="10">
        <f t="shared" si="64"/>
        <v>36825</v>
      </c>
      <c r="K2087">
        <f t="shared" si="65"/>
        <v>22</v>
      </c>
    </row>
    <row r="2088" spans="1:11">
      <c r="A2088" t="s">
        <v>506</v>
      </c>
      <c r="B2088">
        <v>1997</v>
      </c>
      <c r="C2088" t="s">
        <v>4706</v>
      </c>
      <c r="D2088">
        <v>9</v>
      </c>
      <c r="E2088">
        <v>0</v>
      </c>
      <c r="F2088" s="13">
        <v>33900.65</v>
      </c>
      <c r="G2088" t="s">
        <v>4697</v>
      </c>
      <c r="H2088" t="s">
        <v>4698</v>
      </c>
      <c r="I2088" t="s">
        <v>4708</v>
      </c>
      <c r="J2088" s="10">
        <f t="shared" si="64"/>
        <v>35651</v>
      </c>
      <c r="K2088">
        <f t="shared" si="65"/>
        <v>25</v>
      </c>
    </row>
    <row r="2089" spans="1:11">
      <c r="A2089" t="s">
        <v>504</v>
      </c>
      <c r="B2089">
        <v>2000</v>
      </c>
      <c r="C2089" t="s">
        <v>4705</v>
      </c>
      <c r="D2089">
        <v>27</v>
      </c>
      <c r="E2089">
        <v>0</v>
      </c>
      <c r="F2089" s="13">
        <v>33907.550000000003</v>
      </c>
      <c r="G2089" t="s">
        <v>4697</v>
      </c>
      <c r="H2089" t="s">
        <v>4697</v>
      </c>
      <c r="I2089" t="s">
        <v>4704</v>
      </c>
      <c r="J2089" s="10">
        <f t="shared" si="64"/>
        <v>36887</v>
      </c>
      <c r="K2089">
        <f t="shared" si="65"/>
        <v>22</v>
      </c>
    </row>
    <row r="2090" spans="1:11">
      <c r="A2090" t="s">
        <v>502</v>
      </c>
      <c r="B2090">
        <v>1994</v>
      </c>
      <c r="C2090" t="s">
        <v>4703</v>
      </c>
      <c r="D2090">
        <v>25</v>
      </c>
      <c r="E2090">
        <v>0</v>
      </c>
      <c r="F2090" s="13">
        <v>33975.47</v>
      </c>
      <c r="G2090" t="s">
        <v>4697</v>
      </c>
      <c r="H2090" t="s">
        <v>4697</v>
      </c>
      <c r="I2090" t="s">
        <v>4708</v>
      </c>
      <c r="J2090" s="10">
        <f t="shared" si="64"/>
        <v>34602</v>
      </c>
      <c r="K2090">
        <f t="shared" si="65"/>
        <v>28</v>
      </c>
    </row>
    <row r="2091" spans="1:11">
      <c r="A2091" t="s">
        <v>500</v>
      </c>
      <c r="B2091">
        <v>1972</v>
      </c>
      <c r="C2091" t="s">
        <v>4696</v>
      </c>
      <c r="D2091">
        <v>26</v>
      </c>
      <c r="E2091">
        <v>0</v>
      </c>
      <c r="F2091" s="13">
        <v>34053.360000000001</v>
      </c>
      <c r="G2091" t="s">
        <v>4697</v>
      </c>
      <c r="H2091" t="s">
        <v>4697</v>
      </c>
      <c r="I2091" t="s">
        <v>4708</v>
      </c>
      <c r="J2091" s="10">
        <f t="shared" si="64"/>
        <v>26506</v>
      </c>
      <c r="K2091">
        <f t="shared" si="65"/>
        <v>50</v>
      </c>
    </row>
    <row r="2092" spans="1:11">
      <c r="A2092" t="s">
        <v>498</v>
      </c>
      <c r="B2092">
        <v>2002</v>
      </c>
      <c r="C2092" t="s">
        <v>4705</v>
      </c>
      <c r="D2092">
        <v>26</v>
      </c>
      <c r="E2092">
        <v>0</v>
      </c>
      <c r="F2092" s="13">
        <v>34084.68</v>
      </c>
      <c r="G2092" t="s">
        <v>4697</v>
      </c>
      <c r="H2092" t="s">
        <v>4698</v>
      </c>
      <c r="I2092" t="s">
        <v>4708</v>
      </c>
      <c r="J2092" s="10">
        <f t="shared" si="64"/>
        <v>37616</v>
      </c>
      <c r="K2092">
        <f t="shared" si="65"/>
        <v>20</v>
      </c>
    </row>
    <row r="2093" spans="1:11">
      <c r="A2093" t="s">
        <v>496</v>
      </c>
      <c r="B2093">
        <v>1999</v>
      </c>
      <c r="C2093" t="s">
        <v>4700</v>
      </c>
      <c r="D2093">
        <v>6</v>
      </c>
      <c r="E2093">
        <v>0</v>
      </c>
      <c r="F2093" s="13">
        <v>34166.269999999997</v>
      </c>
      <c r="G2093" t="s">
        <v>4697</v>
      </c>
      <c r="H2093" t="s">
        <v>4698</v>
      </c>
      <c r="I2093" t="s">
        <v>4708</v>
      </c>
      <c r="J2093" s="10">
        <f t="shared" si="64"/>
        <v>36470</v>
      </c>
      <c r="K2093">
        <f t="shared" si="65"/>
        <v>23</v>
      </c>
    </row>
    <row r="2094" spans="1:11">
      <c r="A2094" t="s">
        <v>494</v>
      </c>
      <c r="B2094">
        <v>1971</v>
      </c>
      <c r="C2094" t="s">
        <v>4706</v>
      </c>
      <c r="D2094">
        <v>25</v>
      </c>
      <c r="E2094">
        <v>0</v>
      </c>
      <c r="F2094" s="13">
        <v>34205.07</v>
      </c>
      <c r="G2094" t="s">
        <v>4697</v>
      </c>
      <c r="H2094" t="s">
        <v>4697</v>
      </c>
      <c r="I2094" t="s">
        <v>4708</v>
      </c>
      <c r="J2094" s="10">
        <f t="shared" si="64"/>
        <v>26170</v>
      </c>
      <c r="K2094">
        <f t="shared" si="65"/>
        <v>51</v>
      </c>
    </row>
    <row r="2095" spans="1:11">
      <c r="A2095" t="s">
        <v>492</v>
      </c>
      <c r="B2095">
        <v>1975</v>
      </c>
      <c r="C2095" t="s">
        <v>4696</v>
      </c>
      <c r="D2095">
        <v>21</v>
      </c>
      <c r="E2095">
        <v>1</v>
      </c>
      <c r="F2095" s="13">
        <v>34210.33</v>
      </c>
      <c r="G2095" t="s">
        <v>4697</v>
      </c>
      <c r="H2095" t="s">
        <v>4701</v>
      </c>
      <c r="I2095" t="s">
        <v>4704</v>
      </c>
      <c r="J2095" s="10">
        <f t="shared" si="64"/>
        <v>27596</v>
      </c>
      <c r="K2095">
        <f t="shared" si="65"/>
        <v>47</v>
      </c>
    </row>
    <row r="2096" spans="1:11">
      <c r="A2096" t="s">
        <v>490</v>
      </c>
      <c r="B2096">
        <v>1962</v>
      </c>
      <c r="C2096" t="s">
        <v>4696</v>
      </c>
      <c r="D2096">
        <v>5</v>
      </c>
      <c r="E2096">
        <v>0</v>
      </c>
      <c r="F2096" s="13">
        <v>34218.019999999997</v>
      </c>
      <c r="G2096" t="s">
        <v>4701</v>
      </c>
      <c r="H2096" t="s">
        <v>4701</v>
      </c>
      <c r="I2096" t="s">
        <v>4708</v>
      </c>
      <c r="J2096" s="10">
        <f t="shared" si="64"/>
        <v>22832</v>
      </c>
      <c r="K2096">
        <f t="shared" si="65"/>
        <v>60</v>
      </c>
    </row>
    <row r="2097" spans="1:11">
      <c r="A2097" t="s">
        <v>488</v>
      </c>
      <c r="B2097">
        <v>1998</v>
      </c>
      <c r="C2097" t="s">
        <v>4702</v>
      </c>
      <c r="D2097">
        <v>11</v>
      </c>
      <c r="E2097">
        <v>0</v>
      </c>
      <c r="F2097" s="13">
        <v>34254.050000000003</v>
      </c>
      <c r="G2097" t="s">
        <v>4701</v>
      </c>
      <c r="H2097" t="s">
        <v>4698</v>
      </c>
      <c r="I2097" t="s">
        <v>4710</v>
      </c>
      <c r="J2097" s="10">
        <f t="shared" si="64"/>
        <v>35957</v>
      </c>
      <c r="K2097">
        <f t="shared" si="65"/>
        <v>24</v>
      </c>
    </row>
    <row r="2098" spans="1:11">
      <c r="A2098" t="s">
        <v>486</v>
      </c>
      <c r="B2098">
        <v>1995</v>
      </c>
      <c r="C2098" t="s">
        <v>4707</v>
      </c>
      <c r="D2098">
        <v>30</v>
      </c>
      <c r="E2098">
        <v>0</v>
      </c>
      <c r="F2098" s="13">
        <v>34289.43</v>
      </c>
      <c r="G2098" t="s">
        <v>4701</v>
      </c>
      <c r="H2098" t="s">
        <v>4701</v>
      </c>
      <c r="I2098" t="s">
        <v>4708</v>
      </c>
      <c r="J2098" s="10">
        <f t="shared" si="64"/>
        <v>35002</v>
      </c>
      <c r="K2098">
        <f t="shared" si="65"/>
        <v>27</v>
      </c>
    </row>
    <row r="2099" spans="1:11">
      <c r="A2099" t="s">
        <v>484</v>
      </c>
      <c r="B2099">
        <v>1986</v>
      </c>
      <c r="C2099" t="s">
        <v>4707</v>
      </c>
      <c r="D2099">
        <v>11</v>
      </c>
      <c r="E2099">
        <v>3</v>
      </c>
      <c r="F2099" s="13">
        <v>34293.120000000003</v>
      </c>
      <c r="G2099" t="s">
        <v>4701</v>
      </c>
      <c r="H2099" t="s">
        <v>4697</v>
      </c>
      <c r="I2099" t="s">
        <v>4708</v>
      </c>
      <c r="J2099" s="10">
        <f t="shared" si="64"/>
        <v>31696</v>
      </c>
      <c r="K2099">
        <f t="shared" si="65"/>
        <v>36</v>
      </c>
    </row>
    <row r="2100" spans="1:11">
      <c r="A2100" t="s">
        <v>4723</v>
      </c>
      <c r="B2100">
        <v>2004</v>
      </c>
      <c r="C2100" t="s">
        <v>4700</v>
      </c>
      <c r="D2100">
        <v>1</v>
      </c>
      <c r="E2100">
        <v>2</v>
      </c>
      <c r="F2100" s="13">
        <v>34303.17</v>
      </c>
      <c r="G2100" t="s">
        <v>4701</v>
      </c>
      <c r="H2100" t="s">
        <v>4698</v>
      </c>
      <c r="I2100" t="s">
        <v>4699</v>
      </c>
      <c r="J2100" s="10">
        <f t="shared" si="64"/>
        <v>38292</v>
      </c>
      <c r="K2100">
        <f t="shared" si="65"/>
        <v>18</v>
      </c>
    </row>
    <row r="2101" spans="1:11">
      <c r="A2101" t="s">
        <v>482</v>
      </c>
      <c r="B2101">
        <v>1983</v>
      </c>
      <c r="C2101" t="s">
        <v>4707</v>
      </c>
      <c r="D2101">
        <v>2</v>
      </c>
      <c r="E2101">
        <v>3</v>
      </c>
      <c r="F2101" s="13">
        <v>34307.22</v>
      </c>
      <c r="G2101" t="s">
        <v>4697</v>
      </c>
      <c r="H2101" t="s">
        <v>4697</v>
      </c>
      <c r="I2101" t="s">
        <v>4704</v>
      </c>
      <c r="J2101" s="10">
        <f t="shared" si="64"/>
        <v>30591</v>
      </c>
      <c r="K2101">
        <f t="shared" si="65"/>
        <v>39</v>
      </c>
    </row>
    <row r="2102" spans="1:11">
      <c r="A2102" t="s">
        <v>480</v>
      </c>
      <c r="B2102">
        <v>1984</v>
      </c>
      <c r="C2102" t="s">
        <v>4707</v>
      </c>
      <c r="D2102">
        <v>1</v>
      </c>
      <c r="E2102">
        <v>3</v>
      </c>
      <c r="F2102" s="13">
        <v>34402.22</v>
      </c>
      <c r="G2102" t="s">
        <v>4697</v>
      </c>
      <c r="H2102" t="s">
        <v>4698</v>
      </c>
      <c r="I2102" t="s">
        <v>4708</v>
      </c>
      <c r="J2102" s="10">
        <f t="shared" si="64"/>
        <v>30956</v>
      </c>
      <c r="K2102">
        <f t="shared" si="65"/>
        <v>38</v>
      </c>
    </row>
    <row r="2103" spans="1:11">
      <c r="A2103" t="s">
        <v>478</v>
      </c>
      <c r="B2103">
        <v>2003</v>
      </c>
      <c r="C2103" t="s">
        <v>4707</v>
      </c>
      <c r="D2103">
        <v>5</v>
      </c>
      <c r="E2103">
        <v>0</v>
      </c>
      <c r="F2103" s="13">
        <v>34439.86</v>
      </c>
      <c r="G2103" t="s">
        <v>4697</v>
      </c>
      <c r="H2103" t="s">
        <v>4701</v>
      </c>
      <c r="I2103" t="s">
        <v>4699</v>
      </c>
      <c r="J2103" s="10">
        <f t="shared" si="64"/>
        <v>37899</v>
      </c>
      <c r="K2103">
        <f t="shared" si="65"/>
        <v>19</v>
      </c>
    </row>
    <row r="2104" spans="1:11">
      <c r="A2104" t="s">
        <v>476</v>
      </c>
      <c r="B2104">
        <v>1990</v>
      </c>
      <c r="C2104" t="s">
        <v>4703</v>
      </c>
      <c r="D2104">
        <v>24</v>
      </c>
      <c r="E2104">
        <v>3</v>
      </c>
      <c r="F2104" s="13">
        <v>34456.269999999997</v>
      </c>
      <c r="G2104" t="s">
        <v>4701</v>
      </c>
      <c r="H2104" t="s">
        <v>4697</v>
      </c>
      <c r="I2104" t="s">
        <v>4708</v>
      </c>
      <c r="J2104" s="10">
        <f t="shared" si="64"/>
        <v>33140</v>
      </c>
      <c r="K2104">
        <f t="shared" si="65"/>
        <v>32</v>
      </c>
    </row>
    <row r="2105" spans="1:11">
      <c r="A2105" t="s">
        <v>474</v>
      </c>
      <c r="B2105">
        <v>1998</v>
      </c>
      <c r="C2105" t="s">
        <v>4702</v>
      </c>
      <c r="D2105">
        <v>24</v>
      </c>
      <c r="E2105">
        <v>0</v>
      </c>
      <c r="F2105" s="13">
        <v>34472.839999999997</v>
      </c>
      <c r="G2105" t="s">
        <v>4701</v>
      </c>
      <c r="H2105" t="s">
        <v>4698</v>
      </c>
      <c r="I2105" t="s">
        <v>4708</v>
      </c>
      <c r="J2105" s="10">
        <f t="shared" si="64"/>
        <v>35970</v>
      </c>
      <c r="K2105">
        <f t="shared" si="65"/>
        <v>24</v>
      </c>
    </row>
    <row r="2106" spans="1:11">
      <c r="A2106" t="s">
        <v>472</v>
      </c>
      <c r="B2106">
        <v>1976</v>
      </c>
      <c r="C2106" t="s">
        <v>4700</v>
      </c>
      <c r="D2106">
        <v>25</v>
      </c>
      <c r="E2106">
        <v>2</v>
      </c>
      <c r="F2106" s="13">
        <v>34543.39</v>
      </c>
      <c r="G2106" t="s">
        <v>4697</v>
      </c>
      <c r="H2106" t="s">
        <v>4698</v>
      </c>
      <c r="I2106" t="s">
        <v>4708</v>
      </c>
      <c r="J2106" s="10">
        <f t="shared" si="64"/>
        <v>28089</v>
      </c>
      <c r="K2106">
        <f t="shared" si="65"/>
        <v>46</v>
      </c>
    </row>
    <row r="2107" spans="1:11">
      <c r="A2107" t="s">
        <v>470</v>
      </c>
      <c r="B2107">
        <v>2004</v>
      </c>
      <c r="C2107" t="s">
        <v>4707</v>
      </c>
      <c r="D2107">
        <v>9</v>
      </c>
      <c r="E2107">
        <v>0</v>
      </c>
      <c r="F2107" s="13">
        <v>34617.839999999997</v>
      </c>
      <c r="G2107" t="s">
        <v>4701</v>
      </c>
      <c r="H2107" t="s">
        <v>4698</v>
      </c>
      <c r="I2107" t="s">
        <v>4711</v>
      </c>
      <c r="J2107" s="10">
        <f t="shared" si="64"/>
        <v>38269</v>
      </c>
      <c r="K2107">
        <f t="shared" si="65"/>
        <v>18</v>
      </c>
    </row>
    <row r="2108" spans="1:11">
      <c r="A2108" t="s">
        <v>468</v>
      </c>
      <c r="B2108">
        <v>1994</v>
      </c>
      <c r="C2108" t="s">
        <v>4696</v>
      </c>
      <c r="D2108">
        <v>7</v>
      </c>
      <c r="E2108">
        <v>0</v>
      </c>
      <c r="F2108" s="13">
        <v>34672.15</v>
      </c>
      <c r="G2108" t="s">
        <v>4701</v>
      </c>
      <c r="H2108" t="s">
        <v>4698</v>
      </c>
      <c r="I2108" t="s">
        <v>4699</v>
      </c>
      <c r="J2108" s="10">
        <f t="shared" si="64"/>
        <v>34522</v>
      </c>
      <c r="K2108">
        <f t="shared" si="65"/>
        <v>28</v>
      </c>
    </row>
    <row r="2109" spans="1:11">
      <c r="A2109" t="s">
        <v>466</v>
      </c>
      <c r="B2109">
        <v>2003</v>
      </c>
      <c r="C2109" t="s">
        <v>4696</v>
      </c>
      <c r="D2109">
        <v>3</v>
      </c>
      <c r="E2109">
        <v>0</v>
      </c>
      <c r="F2109" s="13">
        <v>34779.620000000003</v>
      </c>
      <c r="G2109" t="s">
        <v>4701</v>
      </c>
      <c r="H2109" t="s">
        <v>4697</v>
      </c>
      <c r="I2109" t="s">
        <v>4708</v>
      </c>
      <c r="J2109" s="10">
        <f t="shared" si="64"/>
        <v>37805</v>
      </c>
      <c r="K2109">
        <f t="shared" si="65"/>
        <v>19</v>
      </c>
    </row>
    <row r="2110" spans="1:11">
      <c r="A2110" t="s">
        <v>464</v>
      </c>
      <c r="B2110">
        <v>1995</v>
      </c>
      <c r="C2110" t="s">
        <v>4705</v>
      </c>
      <c r="D2110">
        <v>27</v>
      </c>
      <c r="E2110">
        <v>1</v>
      </c>
      <c r="F2110" s="13">
        <v>34806.47</v>
      </c>
      <c r="G2110" t="s">
        <v>4701</v>
      </c>
      <c r="H2110" t="s">
        <v>4697</v>
      </c>
      <c r="I2110" t="s">
        <v>4699</v>
      </c>
      <c r="J2110" s="10">
        <f t="shared" si="64"/>
        <v>35060</v>
      </c>
      <c r="K2110">
        <f t="shared" si="65"/>
        <v>27</v>
      </c>
    </row>
    <row r="2111" spans="1:11">
      <c r="A2111" t="s">
        <v>462</v>
      </c>
      <c r="B2111">
        <v>2003</v>
      </c>
      <c r="C2111" t="s">
        <v>4703</v>
      </c>
      <c r="D2111">
        <v>17</v>
      </c>
      <c r="E2111">
        <v>0</v>
      </c>
      <c r="F2111" s="13">
        <v>34828.65</v>
      </c>
      <c r="G2111" t="s">
        <v>4701</v>
      </c>
      <c r="H2111" t="s">
        <v>4698</v>
      </c>
      <c r="I2111" t="s">
        <v>4708</v>
      </c>
      <c r="J2111" s="10">
        <f t="shared" si="64"/>
        <v>37881</v>
      </c>
      <c r="K2111">
        <f t="shared" si="65"/>
        <v>19</v>
      </c>
    </row>
    <row r="2112" spans="1:11">
      <c r="A2112" t="s">
        <v>460</v>
      </c>
      <c r="B2112">
        <v>1995</v>
      </c>
      <c r="C2112" t="s">
        <v>4707</v>
      </c>
      <c r="D2112">
        <v>17</v>
      </c>
      <c r="E2112">
        <v>0</v>
      </c>
      <c r="F2112" s="13">
        <v>34838.870000000003</v>
      </c>
      <c r="G2112" t="s">
        <v>4697</v>
      </c>
      <c r="H2112" t="s">
        <v>4698</v>
      </c>
      <c r="I2112" t="s">
        <v>4708</v>
      </c>
      <c r="J2112" s="10">
        <f t="shared" si="64"/>
        <v>34989</v>
      </c>
      <c r="K2112">
        <f t="shared" si="65"/>
        <v>27</v>
      </c>
    </row>
    <row r="2113" spans="1:11">
      <c r="A2113" t="s">
        <v>458</v>
      </c>
      <c r="B2113">
        <v>1983</v>
      </c>
      <c r="C2113" t="s">
        <v>4696</v>
      </c>
      <c r="D2113">
        <v>29</v>
      </c>
      <c r="E2113">
        <v>3</v>
      </c>
      <c r="F2113" s="13">
        <v>34940.61</v>
      </c>
      <c r="G2113" t="s">
        <v>4697</v>
      </c>
      <c r="H2113" t="s">
        <v>4698</v>
      </c>
      <c r="I2113" t="s">
        <v>4708</v>
      </c>
      <c r="J2113" s="10">
        <f t="shared" si="64"/>
        <v>30526</v>
      </c>
      <c r="K2113">
        <f t="shared" si="65"/>
        <v>39</v>
      </c>
    </row>
    <row r="2114" spans="1:11">
      <c r="A2114" t="s">
        <v>456</v>
      </c>
      <c r="B2114">
        <v>1967</v>
      </c>
      <c r="C2114" t="s">
        <v>4707</v>
      </c>
      <c r="D2114">
        <v>7</v>
      </c>
      <c r="E2114">
        <v>0</v>
      </c>
      <c r="F2114" s="13">
        <v>34975.68</v>
      </c>
      <c r="G2114" t="s">
        <v>4697</v>
      </c>
      <c r="H2114" t="s">
        <v>4697</v>
      </c>
      <c r="I2114" t="s">
        <v>4708</v>
      </c>
      <c r="J2114" s="10">
        <f t="shared" ref="J2114:J2177" si="66">DATEVALUE(D2114&amp;"-"&amp;C2114&amp;"-"&amp;B2114)</f>
        <v>24752</v>
      </c>
      <c r="K2114">
        <f t="shared" si="65"/>
        <v>55</v>
      </c>
    </row>
    <row r="2115" spans="1:11">
      <c r="A2115" t="s">
        <v>454</v>
      </c>
      <c r="B2115">
        <v>1998</v>
      </c>
      <c r="C2115" t="s">
        <v>4706</v>
      </c>
      <c r="D2115">
        <v>22</v>
      </c>
      <c r="E2115">
        <v>0</v>
      </c>
      <c r="F2115" s="13">
        <v>34976.42</v>
      </c>
      <c r="G2115" t="s">
        <v>4697</v>
      </c>
      <c r="H2115" t="s">
        <v>4701</v>
      </c>
      <c r="I2115" t="s">
        <v>4708</v>
      </c>
      <c r="J2115" s="10">
        <f t="shared" si="66"/>
        <v>36029</v>
      </c>
      <c r="K2115">
        <f t="shared" ref="K2115:K2178" si="67">DATEDIF(J2115, DATE(2023, 6, 8), "Y")</f>
        <v>24</v>
      </c>
    </row>
    <row r="2116" spans="1:11">
      <c r="A2116" t="s">
        <v>452</v>
      </c>
      <c r="B2116">
        <v>1997</v>
      </c>
      <c r="C2116" t="s">
        <v>4706</v>
      </c>
      <c r="D2116">
        <v>22</v>
      </c>
      <c r="E2116">
        <v>0</v>
      </c>
      <c r="F2116" s="13">
        <v>34979.86</v>
      </c>
      <c r="G2116" t="s">
        <v>4697</v>
      </c>
      <c r="H2116" t="s">
        <v>4697</v>
      </c>
      <c r="I2116" t="s">
        <v>4708</v>
      </c>
      <c r="J2116" s="10">
        <f t="shared" si="66"/>
        <v>35664</v>
      </c>
      <c r="K2116">
        <f t="shared" si="67"/>
        <v>25</v>
      </c>
    </row>
    <row r="2117" spans="1:11">
      <c r="A2117" t="s">
        <v>450</v>
      </c>
      <c r="B2117">
        <v>1982</v>
      </c>
      <c r="C2117" t="s">
        <v>4696</v>
      </c>
      <c r="D2117">
        <v>5</v>
      </c>
      <c r="E2117">
        <v>3</v>
      </c>
      <c r="F2117" s="13">
        <v>35000.730000000003</v>
      </c>
      <c r="G2117" t="s">
        <v>4697</v>
      </c>
      <c r="H2117" t="s">
        <v>4698</v>
      </c>
      <c r="I2117" t="s">
        <v>4708</v>
      </c>
      <c r="J2117" s="10">
        <f t="shared" si="66"/>
        <v>30137</v>
      </c>
      <c r="K2117">
        <f t="shared" si="67"/>
        <v>40</v>
      </c>
    </row>
    <row r="2118" spans="1:11">
      <c r="A2118" t="s">
        <v>448</v>
      </c>
      <c r="B2118">
        <v>1975</v>
      </c>
      <c r="C2118" t="s">
        <v>4706</v>
      </c>
      <c r="D2118">
        <v>29</v>
      </c>
      <c r="E2118">
        <v>1</v>
      </c>
      <c r="F2118" s="13">
        <v>35050.620000000003</v>
      </c>
      <c r="G2118" t="s">
        <v>4697</v>
      </c>
      <c r="H2118" t="s">
        <v>4701</v>
      </c>
      <c r="I2118" t="s">
        <v>4708</v>
      </c>
      <c r="J2118" s="10">
        <f t="shared" si="66"/>
        <v>27635</v>
      </c>
      <c r="K2118">
        <f t="shared" si="67"/>
        <v>47</v>
      </c>
    </row>
    <row r="2119" spans="1:11">
      <c r="A2119" t="s">
        <v>446</v>
      </c>
      <c r="B2119">
        <v>1977</v>
      </c>
      <c r="C2119" t="s">
        <v>4702</v>
      </c>
      <c r="D2119">
        <v>29</v>
      </c>
      <c r="E2119">
        <v>0</v>
      </c>
      <c r="F2119" s="13">
        <v>35069.370000000003</v>
      </c>
      <c r="G2119" t="s">
        <v>4701</v>
      </c>
      <c r="H2119" t="s">
        <v>4701</v>
      </c>
      <c r="I2119" t="s">
        <v>4718</v>
      </c>
      <c r="J2119" s="10">
        <f t="shared" si="66"/>
        <v>28305</v>
      </c>
      <c r="K2119">
        <f t="shared" si="67"/>
        <v>45</v>
      </c>
    </row>
    <row r="2120" spans="1:11">
      <c r="A2120" t="s">
        <v>444</v>
      </c>
      <c r="B2120">
        <v>1998</v>
      </c>
      <c r="C2120" t="s">
        <v>4705</v>
      </c>
      <c r="D2120">
        <v>22</v>
      </c>
      <c r="E2120">
        <v>0</v>
      </c>
      <c r="F2120" s="13">
        <v>35147.53</v>
      </c>
      <c r="G2120" t="s">
        <v>4701</v>
      </c>
      <c r="H2120" t="s">
        <v>4701</v>
      </c>
      <c r="I2120" t="s">
        <v>4711</v>
      </c>
      <c r="J2120" s="10">
        <f t="shared" si="66"/>
        <v>36151</v>
      </c>
      <c r="K2120">
        <f t="shared" si="67"/>
        <v>24</v>
      </c>
    </row>
    <row r="2121" spans="1:11">
      <c r="A2121" t="s">
        <v>442</v>
      </c>
      <c r="B2121">
        <v>1967</v>
      </c>
      <c r="C2121" t="s">
        <v>4705</v>
      </c>
      <c r="D2121">
        <v>30</v>
      </c>
      <c r="E2121">
        <v>1</v>
      </c>
      <c r="F2121" s="13">
        <v>35160.129999999997</v>
      </c>
      <c r="G2121" t="s">
        <v>4697</v>
      </c>
      <c r="H2121" t="s">
        <v>4697</v>
      </c>
      <c r="I2121" t="s">
        <v>4708</v>
      </c>
      <c r="J2121" s="10">
        <f t="shared" si="66"/>
        <v>24836</v>
      </c>
      <c r="K2121">
        <f t="shared" si="67"/>
        <v>55</v>
      </c>
    </row>
    <row r="2122" spans="1:11">
      <c r="A2122" t="s">
        <v>440</v>
      </c>
      <c r="B2122">
        <v>1997</v>
      </c>
      <c r="C2122" t="s">
        <v>4696</v>
      </c>
      <c r="D2122">
        <v>9</v>
      </c>
      <c r="E2122">
        <v>0</v>
      </c>
      <c r="F2122" s="13">
        <v>35302.089999999997</v>
      </c>
      <c r="G2122" t="s">
        <v>4701</v>
      </c>
      <c r="H2122" t="s">
        <v>4697</v>
      </c>
      <c r="I2122" t="s">
        <v>4708</v>
      </c>
      <c r="J2122" s="10">
        <f t="shared" si="66"/>
        <v>35620</v>
      </c>
      <c r="K2122">
        <f t="shared" si="67"/>
        <v>25</v>
      </c>
    </row>
    <row r="2123" spans="1:11">
      <c r="A2123" t="s">
        <v>438</v>
      </c>
      <c r="B2123">
        <v>1988</v>
      </c>
      <c r="C2123" t="s">
        <v>4703</v>
      </c>
      <c r="D2123">
        <v>19</v>
      </c>
      <c r="E2123">
        <v>3</v>
      </c>
      <c r="F2123" s="13">
        <v>35315.96</v>
      </c>
      <c r="G2123" t="s">
        <v>4697</v>
      </c>
      <c r="H2123" t="s">
        <v>4701</v>
      </c>
      <c r="I2123" t="s">
        <v>4708</v>
      </c>
      <c r="J2123" s="10">
        <f t="shared" si="66"/>
        <v>32405</v>
      </c>
      <c r="K2123">
        <f t="shared" si="67"/>
        <v>34</v>
      </c>
    </row>
    <row r="2124" spans="1:11">
      <c r="A2124" t="s">
        <v>436</v>
      </c>
      <c r="B2124">
        <v>1971</v>
      </c>
      <c r="C2124" t="s">
        <v>4703</v>
      </c>
      <c r="D2124">
        <v>22</v>
      </c>
      <c r="E2124">
        <v>0</v>
      </c>
      <c r="F2124" s="13">
        <v>35345.730000000003</v>
      </c>
      <c r="G2124" t="s">
        <v>4697</v>
      </c>
      <c r="H2124" t="s">
        <v>4698</v>
      </c>
      <c r="I2124" t="s">
        <v>4708</v>
      </c>
      <c r="J2124" s="10">
        <f t="shared" si="66"/>
        <v>26198</v>
      </c>
      <c r="K2124">
        <f t="shared" si="67"/>
        <v>51</v>
      </c>
    </row>
    <row r="2125" spans="1:11">
      <c r="A2125" t="s">
        <v>434</v>
      </c>
      <c r="B2125">
        <v>1988</v>
      </c>
      <c r="C2125" t="s">
        <v>4700</v>
      </c>
      <c r="D2125">
        <v>20</v>
      </c>
      <c r="E2125">
        <v>0</v>
      </c>
      <c r="F2125" s="13">
        <v>35491.64</v>
      </c>
      <c r="G2125" t="s">
        <v>4701</v>
      </c>
      <c r="H2125" t="s">
        <v>4697</v>
      </c>
      <c r="I2125" t="s">
        <v>4708</v>
      </c>
      <c r="J2125" s="10">
        <f t="shared" si="66"/>
        <v>32467</v>
      </c>
      <c r="K2125">
        <f t="shared" si="67"/>
        <v>34</v>
      </c>
    </row>
    <row r="2126" spans="1:11">
      <c r="A2126" t="s">
        <v>432</v>
      </c>
      <c r="B2126">
        <v>1973</v>
      </c>
      <c r="C2126" t="s">
        <v>4705</v>
      </c>
      <c r="D2126">
        <v>16</v>
      </c>
      <c r="E2126">
        <v>0</v>
      </c>
      <c r="F2126" s="13">
        <v>35517.19</v>
      </c>
      <c r="G2126" t="s">
        <v>4697</v>
      </c>
      <c r="H2126" t="s">
        <v>4697</v>
      </c>
      <c r="I2126" t="s">
        <v>4708</v>
      </c>
      <c r="J2126" s="10">
        <f t="shared" si="66"/>
        <v>27014</v>
      </c>
      <c r="K2126">
        <f t="shared" si="67"/>
        <v>49</v>
      </c>
    </row>
    <row r="2127" spans="1:11">
      <c r="A2127" t="s">
        <v>430</v>
      </c>
      <c r="B2127">
        <v>1992</v>
      </c>
      <c r="C2127" t="s">
        <v>4703</v>
      </c>
      <c r="D2127">
        <v>13</v>
      </c>
      <c r="E2127">
        <v>0</v>
      </c>
      <c r="F2127" s="13">
        <v>35547.47</v>
      </c>
      <c r="G2127" t="s">
        <v>4697</v>
      </c>
      <c r="H2127" t="s">
        <v>4698</v>
      </c>
      <c r="I2127" t="s">
        <v>4708</v>
      </c>
      <c r="J2127" s="10">
        <f t="shared" si="66"/>
        <v>33860</v>
      </c>
      <c r="K2127">
        <f t="shared" si="67"/>
        <v>30</v>
      </c>
    </row>
    <row r="2128" spans="1:11">
      <c r="A2128" t="s">
        <v>428</v>
      </c>
      <c r="B2128">
        <v>1973</v>
      </c>
      <c r="C2128" t="s">
        <v>4707</v>
      </c>
      <c r="D2128">
        <v>27</v>
      </c>
      <c r="E2128">
        <v>0</v>
      </c>
      <c r="F2128" s="13">
        <v>35547.72</v>
      </c>
      <c r="G2128" t="s">
        <v>4701</v>
      </c>
      <c r="H2128" t="s">
        <v>4701</v>
      </c>
      <c r="I2128" t="s">
        <v>4708</v>
      </c>
      <c r="J2128" s="10">
        <f t="shared" si="66"/>
        <v>26964</v>
      </c>
      <c r="K2128">
        <f t="shared" si="67"/>
        <v>49</v>
      </c>
    </row>
    <row r="2129" spans="1:11">
      <c r="A2129" t="s">
        <v>426</v>
      </c>
      <c r="B2129">
        <v>1964</v>
      </c>
      <c r="C2129" t="s">
        <v>4706</v>
      </c>
      <c r="D2129">
        <v>29</v>
      </c>
      <c r="E2129">
        <v>0</v>
      </c>
      <c r="F2129" s="13">
        <v>35573.26</v>
      </c>
      <c r="G2129" t="s">
        <v>4697</v>
      </c>
      <c r="H2129" t="s">
        <v>4701</v>
      </c>
      <c r="I2129" t="s">
        <v>4708</v>
      </c>
      <c r="J2129" s="10">
        <f t="shared" si="66"/>
        <v>23618</v>
      </c>
      <c r="K2129">
        <f t="shared" si="67"/>
        <v>58</v>
      </c>
    </row>
    <row r="2130" spans="1:11">
      <c r="A2130" t="s">
        <v>424</v>
      </c>
      <c r="B2130">
        <v>1971</v>
      </c>
      <c r="C2130" t="s">
        <v>4706</v>
      </c>
      <c r="D2130">
        <v>10</v>
      </c>
      <c r="E2130">
        <v>0</v>
      </c>
      <c r="F2130" s="13">
        <v>35583.17</v>
      </c>
      <c r="G2130" t="s">
        <v>4701</v>
      </c>
      <c r="H2130" t="s">
        <v>4698</v>
      </c>
      <c r="I2130" t="s">
        <v>4708</v>
      </c>
      <c r="J2130" s="10">
        <f t="shared" si="66"/>
        <v>26155</v>
      </c>
      <c r="K2130">
        <f t="shared" si="67"/>
        <v>51</v>
      </c>
    </row>
    <row r="2131" spans="1:11">
      <c r="A2131" t="s">
        <v>4685</v>
      </c>
      <c r="B2131">
        <v>2000</v>
      </c>
      <c r="C2131" t="s">
        <v>4707</v>
      </c>
      <c r="D2131">
        <v>13</v>
      </c>
      <c r="E2131">
        <v>0</v>
      </c>
      <c r="F2131" s="13">
        <v>35585.58</v>
      </c>
      <c r="G2131" t="s">
        <v>4701</v>
      </c>
      <c r="H2131" t="s">
        <v>4697</v>
      </c>
      <c r="I2131" t="s">
        <v>4708</v>
      </c>
      <c r="J2131" s="10">
        <f t="shared" si="66"/>
        <v>36812</v>
      </c>
      <c r="K2131">
        <f t="shared" si="67"/>
        <v>22</v>
      </c>
    </row>
    <row r="2132" spans="1:11">
      <c r="A2132" t="s">
        <v>422</v>
      </c>
      <c r="B2132">
        <v>2000</v>
      </c>
      <c r="C2132" t="s">
        <v>4700</v>
      </c>
      <c r="D2132">
        <v>19</v>
      </c>
      <c r="E2132">
        <v>0</v>
      </c>
      <c r="F2132" s="13">
        <v>35585.58</v>
      </c>
      <c r="G2132" t="s">
        <v>4697</v>
      </c>
      <c r="H2132" t="s">
        <v>4698</v>
      </c>
      <c r="I2132" t="s">
        <v>4708</v>
      </c>
      <c r="J2132" s="10">
        <f t="shared" si="66"/>
        <v>36849</v>
      </c>
      <c r="K2132">
        <f t="shared" si="67"/>
        <v>22</v>
      </c>
    </row>
    <row r="2133" spans="1:11">
      <c r="A2133" t="s">
        <v>420</v>
      </c>
      <c r="B2133">
        <v>2000</v>
      </c>
      <c r="C2133" t="s">
        <v>4705</v>
      </c>
      <c r="D2133">
        <v>17</v>
      </c>
      <c r="E2133">
        <v>3</v>
      </c>
      <c r="F2133" s="13">
        <v>35595.589999999997</v>
      </c>
      <c r="G2133" t="s">
        <v>4697</v>
      </c>
      <c r="H2133" t="s">
        <v>4698</v>
      </c>
      <c r="I2133" t="s">
        <v>4699</v>
      </c>
      <c r="J2133" s="10">
        <f t="shared" si="66"/>
        <v>36877</v>
      </c>
      <c r="K2133">
        <f t="shared" si="67"/>
        <v>22</v>
      </c>
    </row>
    <row r="2134" spans="1:11">
      <c r="A2134" t="s">
        <v>418</v>
      </c>
      <c r="B2134">
        <v>1978</v>
      </c>
      <c r="C2134" t="s">
        <v>4705</v>
      </c>
      <c r="D2134">
        <v>19</v>
      </c>
      <c r="E2134">
        <v>2</v>
      </c>
      <c r="F2134" s="13">
        <v>35701.9</v>
      </c>
      <c r="G2134" t="s">
        <v>4697</v>
      </c>
      <c r="H2134" t="s">
        <v>4701</v>
      </c>
      <c r="I2134" t="s">
        <v>4708</v>
      </c>
      <c r="J2134" s="10">
        <f t="shared" si="66"/>
        <v>28843</v>
      </c>
      <c r="K2134">
        <f t="shared" si="67"/>
        <v>44</v>
      </c>
    </row>
    <row r="2135" spans="1:11">
      <c r="A2135" t="s">
        <v>416</v>
      </c>
      <c r="B2135">
        <v>1974</v>
      </c>
      <c r="C2135" t="s">
        <v>4696</v>
      </c>
      <c r="D2135">
        <v>15</v>
      </c>
      <c r="E2135">
        <v>0</v>
      </c>
      <c r="F2135" s="13">
        <v>35711.39</v>
      </c>
      <c r="G2135" t="s">
        <v>4697</v>
      </c>
      <c r="H2135" t="s">
        <v>4698</v>
      </c>
      <c r="I2135" t="s">
        <v>4704</v>
      </c>
      <c r="J2135" s="10">
        <f t="shared" si="66"/>
        <v>27225</v>
      </c>
      <c r="K2135">
        <f t="shared" si="67"/>
        <v>48</v>
      </c>
    </row>
    <row r="2136" spans="1:11">
      <c r="A2136" t="s">
        <v>414</v>
      </c>
      <c r="B2136">
        <v>1976</v>
      </c>
      <c r="C2136" t="s">
        <v>4707</v>
      </c>
      <c r="D2136">
        <v>4</v>
      </c>
      <c r="E2136">
        <v>2</v>
      </c>
      <c r="F2136" s="13">
        <v>35733.96</v>
      </c>
      <c r="G2136" t="s">
        <v>4697</v>
      </c>
      <c r="H2136" t="s">
        <v>4697</v>
      </c>
      <c r="I2136" t="s">
        <v>4708</v>
      </c>
      <c r="J2136" s="10">
        <f t="shared" si="66"/>
        <v>28037</v>
      </c>
      <c r="K2136">
        <f t="shared" si="67"/>
        <v>46</v>
      </c>
    </row>
    <row r="2137" spans="1:11">
      <c r="A2137" t="s">
        <v>412</v>
      </c>
      <c r="B2137">
        <v>1992</v>
      </c>
      <c r="C2137" t="s">
        <v>4702</v>
      </c>
      <c r="D2137">
        <v>18</v>
      </c>
      <c r="E2137">
        <v>0</v>
      </c>
      <c r="F2137" s="13">
        <v>35883.269999999997</v>
      </c>
      <c r="G2137" t="s">
        <v>4697</v>
      </c>
      <c r="H2137" t="s">
        <v>4701</v>
      </c>
      <c r="I2137" t="s">
        <v>4708</v>
      </c>
      <c r="J2137" s="10">
        <f t="shared" si="66"/>
        <v>33773</v>
      </c>
      <c r="K2137">
        <f t="shared" si="67"/>
        <v>30</v>
      </c>
    </row>
    <row r="2138" spans="1:11">
      <c r="A2138" t="s">
        <v>410</v>
      </c>
      <c r="B2138">
        <v>1981</v>
      </c>
      <c r="C2138" t="s">
        <v>4700</v>
      </c>
      <c r="D2138">
        <v>22</v>
      </c>
      <c r="E2138">
        <v>1</v>
      </c>
      <c r="F2138" s="13">
        <v>35952.65</v>
      </c>
      <c r="G2138" t="s">
        <v>4701</v>
      </c>
      <c r="H2138" t="s">
        <v>4698</v>
      </c>
      <c r="I2138" t="s">
        <v>4708</v>
      </c>
      <c r="J2138" s="10">
        <f t="shared" si="66"/>
        <v>29912</v>
      </c>
      <c r="K2138">
        <f t="shared" si="67"/>
        <v>41</v>
      </c>
    </row>
    <row r="2139" spans="1:11">
      <c r="A2139" t="s">
        <v>408</v>
      </c>
      <c r="B2139">
        <v>1999</v>
      </c>
      <c r="C2139" t="s">
        <v>4703</v>
      </c>
      <c r="D2139">
        <v>4</v>
      </c>
      <c r="E2139">
        <v>2</v>
      </c>
      <c r="F2139" s="13">
        <v>36021.01</v>
      </c>
      <c r="G2139" t="s">
        <v>4697</v>
      </c>
      <c r="H2139" t="s">
        <v>4698</v>
      </c>
      <c r="I2139" t="s">
        <v>4699</v>
      </c>
      <c r="J2139" s="10">
        <f t="shared" si="66"/>
        <v>36407</v>
      </c>
      <c r="K2139">
        <f t="shared" si="67"/>
        <v>23</v>
      </c>
    </row>
    <row r="2140" spans="1:11">
      <c r="A2140" t="s">
        <v>406</v>
      </c>
      <c r="B2140">
        <v>1963</v>
      </c>
      <c r="C2140" t="s">
        <v>4696</v>
      </c>
      <c r="D2140">
        <v>22</v>
      </c>
      <c r="E2140">
        <v>0</v>
      </c>
      <c r="F2140" s="13">
        <v>36074.339999999997</v>
      </c>
      <c r="G2140" t="s">
        <v>4697</v>
      </c>
      <c r="H2140" t="s">
        <v>4701</v>
      </c>
      <c r="I2140" t="s">
        <v>4708</v>
      </c>
      <c r="J2140" s="10">
        <f t="shared" si="66"/>
        <v>23214</v>
      </c>
      <c r="K2140">
        <f t="shared" si="67"/>
        <v>59</v>
      </c>
    </row>
    <row r="2141" spans="1:11">
      <c r="A2141" t="s">
        <v>404</v>
      </c>
      <c r="B2141">
        <v>1996</v>
      </c>
      <c r="C2141" t="s">
        <v>4706</v>
      </c>
      <c r="D2141">
        <v>20</v>
      </c>
      <c r="E2141">
        <v>2</v>
      </c>
      <c r="F2141" s="13">
        <v>36085.22</v>
      </c>
      <c r="G2141" t="s">
        <v>4701</v>
      </c>
      <c r="H2141" t="s">
        <v>4701</v>
      </c>
      <c r="I2141" t="s">
        <v>4708</v>
      </c>
      <c r="J2141" s="10">
        <f t="shared" si="66"/>
        <v>35297</v>
      </c>
      <c r="K2141">
        <f t="shared" si="67"/>
        <v>26</v>
      </c>
    </row>
    <row r="2142" spans="1:11">
      <c r="A2142" t="s">
        <v>402</v>
      </c>
      <c r="B2142">
        <v>1979</v>
      </c>
      <c r="C2142" t="s">
        <v>4700</v>
      </c>
      <c r="D2142">
        <v>4</v>
      </c>
      <c r="E2142">
        <v>2</v>
      </c>
      <c r="F2142" s="13">
        <v>36090.49</v>
      </c>
      <c r="G2142" t="s">
        <v>4697</v>
      </c>
      <c r="H2142" t="s">
        <v>4697</v>
      </c>
      <c r="I2142" t="s">
        <v>4708</v>
      </c>
      <c r="J2142" s="10">
        <f t="shared" si="66"/>
        <v>29163</v>
      </c>
      <c r="K2142">
        <f t="shared" si="67"/>
        <v>43</v>
      </c>
    </row>
    <row r="2143" spans="1:11">
      <c r="A2143" t="s">
        <v>400</v>
      </c>
      <c r="B2143">
        <v>1997</v>
      </c>
      <c r="C2143" t="s">
        <v>4702</v>
      </c>
      <c r="D2143">
        <v>12</v>
      </c>
      <c r="E2143">
        <v>2</v>
      </c>
      <c r="F2143" s="13">
        <v>36124.57</v>
      </c>
      <c r="G2143" t="s">
        <v>4701</v>
      </c>
      <c r="H2143" t="s">
        <v>4698</v>
      </c>
      <c r="I2143" t="s">
        <v>4699</v>
      </c>
      <c r="J2143" s="10">
        <f t="shared" si="66"/>
        <v>35593</v>
      </c>
      <c r="K2143">
        <f t="shared" si="67"/>
        <v>25</v>
      </c>
    </row>
    <row r="2144" spans="1:11">
      <c r="A2144" t="s">
        <v>398</v>
      </c>
      <c r="B2144">
        <v>2004</v>
      </c>
      <c r="C2144" t="s">
        <v>4706</v>
      </c>
      <c r="D2144">
        <v>30</v>
      </c>
      <c r="E2144">
        <v>0</v>
      </c>
      <c r="F2144" s="13">
        <v>36149.480000000003</v>
      </c>
      <c r="G2144" t="s">
        <v>4697</v>
      </c>
      <c r="H2144" t="s">
        <v>4697</v>
      </c>
      <c r="I2144" t="s">
        <v>4699</v>
      </c>
      <c r="J2144" s="10">
        <f t="shared" si="66"/>
        <v>38229</v>
      </c>
      <c r="K2144">
        <f t="shared" si="67"/>
        <v>18</v>
      </c>
    </row>
    <row r="2145" spans="1:11">
      <c r="A2145" t="s">
        <v>396</v>
      </c>
      <c r="B2145">
        <v>1974</v>
      </c>
      <c r="C2145" t="s">
        <v>4705</v>
      </c>
      <c r="D2145">
        <v>6</v>
      </c>
      <c r="E2145">
        <v>0</v>
      </c>
      <c r="F2145" s="13">
        <v>36182.870000000003</v>
      </c>
      <c r="G2145" t="s">
        <v>4697</v>
      </c>
      <c r="H2145" t="s">
        <v>4698</v>
      </c>
      <c r="I2145" t="s">
        <v>4704</v>
      </c>
      <c r="J2145" s="10">
        <f t="shared" si="66"/>
        <v>27369</v>
      </c>
      <c r="K2145">
        <f t="shared" si="67"/>
        <v>48</v>
      </c>
    </row>
    <row r="2146" spans="1:11">
      <c r="A2146" t="s">
        <v>394</v>
      </c>
      <c r="B2146">
        <v>1999</v>
      </c>
      <c r="C2146" t="s">
        <v>4707</v>
      </c>
      <c r="D2146">
        <v>1</v>
      </c>
      <c r="E2146">
        <v>3</v>
      </c>
      <c r="F2146" s="13">
        <v>36189.1</v>
      </c>
      <c r="G2146" t="s">
        <v>4701</v>
      </c>
      <c r="H2146" t="s">
        <v>4698</v>
      </c>
      <c r="I2146" t="s">
        <v>4711</v>
      </c>
      <c r="J2146" s="10">
        <f t="shared" si="66"/>
        <v>36434</v>
      </c>
      <c r="K2146">
        <f t="shared" si="67"/>
        <v>23</v>
      </c>
    </row>
    <row r="2147" spans="1:11">
      <c r="A2147" t="s">
        <v>392</v>
      </c>
      <c r="B2147">
        <v>1993</v>
      </c>
      <c r="C2147" t="s">
        <v>4705</v>
      </c>
      <c r="D2147">
        <v>28</v>
      </c>
      <c r="E2147">
        <v>0</v>
      </c>
      <c r="F2147" s="13">
        <v>36197.699999999997</v>
      </c>
      <c r="G2147" t="s">
        <v>4701</v>
      </c>
      <c r="H2147" t="s">
        <v>4698</v>
      </c>
      <c r="I2147" t="s">
        <v>4708</v>
      </c>
      <c r="J2147" s="10">
        <f t="shared" si="66"/>
        <v>34331</v>
      </c>
      <c r="K2147">
        <f t="shared" si="67"/>
        <v>29</v>
      </c>
    </row>
    <row r="2148" spans="1:11">
      <c r="A2148" t="s">
        <v>390</v>
      </c>
      <c r="B2148">
        <v>2003</v>
      </c>
      <c r="C2148" t="s">
        <v>4703</v>
      </c>
      <c r="D2148">
        <v>5</v>
      </c>
      <c r="E2148">
        <v>0</v>
      </c>
      <c r="F2148" s="13">
        <v>36219.410000000003</v>
      </c>
      <c r="G2148" t="s">
        <v>4701</v>
      </c>
      <c r="H2148" t="s">
        <v>4701</v>
      </c>
      <c r="I2148" t="s">
        <v>4704</v>
      </c>
      <c r="J2148" s="10">
        <f t="shared" si="66"/>
        <v>37869</v>
      </c>
      <c r="K2148">
        <f t="shared" si="67"/>
        <v>19</v>
      </c>
    </row>
    <row r="2149" spans="1:11">
      <c r="A2149" t="s">
        <v>388</v>
      </c>
      <c r="B2149">
        <v>2004</v>
      </c>
      <c r="C2149" t="s">
        <v>4705</v>
      </c>
      <c r="D2149">
        <v>25</v>
      </c>
      <c r="E2149">
        <v>0</v>
      </c>
      <c r="F2149" s="13">
        <v>36307.800000000003</v>
      </c>
      <c r="G2149" t="s">
        <v>4701</v>
      </c>
      <c r="H2149" t="s">
        <v>4697</v>
      </c>
      <c r="I2149" t="s">
        <v>4699</v>
      </c>
      <c r="J2149" s="10">
        <f t="shared" si="66"/>
        <v>38346</v>
      </c>
      <c r="K2149">
        <f t="shared" si="67"/>
        <v>18</v>
      </c>
    </row>
    <row r="2150" spans="1:11">
      <c r="A2150" t="s">
        <v>386</v>
      </c>
      <c r="B2150">
        <v>1992</v>
      </c>
      <c r="C2150" t="s">
        <v>4702</v>
      </c>
      <c r="D2150">
        <v>16</v>
      </c>
      <c r="E2150">
        <v>0</v>
      </c>
      <c r="F2150" s="13">
        <v>36314.050000000003</v>
      </c>
      <c r="G2150" t="s">
        <v>4697</v>
      </c>
      <c r="H2150" t="s">
        <v>4697</v>
      </c>
      <c r="I2150" t="s">
        <v>4708</v>
      </c>
      <c r="J2150" s="10">
        <f t="shared" si="66"/>
        <v>33771</v>
      </c>
      <c r="K2150">
        <f t="shared" si="67"/>
        <v>30</v>
      </c>
    </row>
    <row r="2151" spans="1:11">
      <c r="A2151" t="s">
        <v>384</v>
      </c>
      <c r="B2151">
        <v>1967</v>
      </c>
      <c r="C2151" t="s">
        <v>4707</v>
      </c>
      <c r="D2151">
        <v>18</v>
      </c>
      <c r="E2151">
        <v>0</v>
      </c>
      <c r="F2151" s="13">
        <v>36332.449999999997</v>
      </c>
      <c r="G2151" t="s">
        <v>4701</v>
      </c>
      <c r="H2151" t="s">
        <v>4698</v>
      </c>
      <c r="I2151" t="s">
        <v>4708</v>
      </c>
      <c r="J2151" s="10">
        <f t="shared" si="66"/>
        <v>24763</v>
      </c>
      <c r="K2151">
        <f t="shared" si="67"/>
        <v>55</v>
      </c>
    </row>
    <row r="2152" spans="1:11">
      <c r="A2152" t="s">
        <v>382</v>
      </c>
      <c r="B2152">
        <v>1975</v>
      </c>
      <c r="C2152" t="s">
        <v>4702</v>
      </c>
      <c r="D2152">
        <v>5</v>
      </c>
      <c r="E2152">
        <v>1</v>
      </c>
      <c r="F2152" s="13">
        <v>36350.71</v>
      </c>
      <c r="G2152" t="s">
        <v>4701</v>
      </c>
      <c r="H2152" t="s">
        <v>4697</v>
      </c>
      <c r="I2152" t="s">
        <v>4708</v>
      </c>
      <c r="J2152" s="10">
        <f t="shared" si="66"/>
        <v>27550</v>
      </c>
      <c r="K2152">
        <f t="shared" si="67"/>
        <v>48</v>
      </c>
    </row>
    <row r="2153" spans="1:11">
      <c r="A2153" t="s">
        <v>380</v>
      </c>
      <c r="B2153">
        <v>2003</v>
      </c>
      <c r="C2153" t="s">
        <v>4705</v>
      </c>
      <c r="D2153">
        <v>9</v>
      </c>
      <c r="E2153">
        <v>2</v>
      </c>
      <c r="F2153" s="13">
        <v>36397.58</v>
      </c>
      <c r="G2153" t="s">
        <v>4697</v>
      </c>
      <c r="H2153" t="s">
        <v>4698</v>
      </c>
      <c r="I2153" t="s">
        <v>4708</v>
      </c>
      <c r="J2153" s="10">
        <f t="shared" si="66"/>
        <v>37964</v>
      </c>
      <c r="K2153">
        <f t="shared" si="67"/>
        <v>19</v>
      </c>
    </row>
    <row r="2154" spans="1:11">
      <c r="A2154" t="s">
        <v>378</v>
      </c>
      <c r="B2154">
        <v>1962</v>
      </c>
      <c r="C2154" t="s">
        <v>4700</v>
      </c>
      <c r="D2154">
        <v>19</v>
      </c>
      <c r="E2154">
        <v>0</v>
      </c>
      <c r="F2154" s="13">
        <v>36445.550000000003</v>
      </c>
      <c r="G2154" t="s">
        <v>4697</v>
      </c>
      <c r="H2154" t="s">
        <v>4697</v>
      </c>
      <c r="I2154" t="s">
        <v>4708</v>
      </c>
      <c r="J2154" s="10">
        <f t="shared" si="66"/>
        <v>22969</v>
      </c>
      <c r="K2154">
        <f t="shared" si="67"/>
        <v>60</v>
      </c>
    </row>
    <row r="2155" spans="1:11">
      <c r="A2155" t="s">
        <v>376</v>
      </c>
      <c r="B2155">
        <v>1973</v>
      </c>
      <c r="C2155" t="s">
        <v>4706</v>
      </c>
      <c r="D2155">
        <v>9</v>
      </c>
      <c r="E2155">
        <v>0</v>
      </c>
      <c r="F2155" s="13">
        <v>36541.550000000003</v>
      </c>
      <c r="G2155" t="s">
        <v>4697</v>
      </c>
      <c r="H2155" t="s">
        <v>4698</v>
      </c>
      <c r="I2155" t="s">
        <v>4708</v>
      </c>
      <c r="J2155" s="10">
        <f t="shared" si="66"/>
        <v>26885</v>
      </c>
      <c r="K2155">
        <f t="shared" si="67"/>
        <v>49</v>
      </c>
    </row>
    <row r="2156" spans="1:11">
      <c r="A2156" t="s">
        <v>374</v>
      </c>
      <c r="B2156">
        <v>1992</v>
      </c>
      <c r="C2156" t="s">
        <v>4707</v>
      </c>
      <c r="D2156">
        <v>9</v>
      </c>
      <c r="E2156">
        <v>0</v>
      </c>
      <c r="F2156" s="13">
        <v>36572.800000000003</v>
      </c>
      <c r="G2156" t="s">
        <v>4701</v>
      </c>
      <c r="H2156" t="s">
        <v>4697</v>
      </c>
      <c r="I2156" t="s">
        <v>4708</v>
      </c>
      <c r="J2156" s="10">
        <f t="shared" si="66"/>
        <v>33886</v>
      </c>
      <c r="K2156">
        <f t="shared" si="67"/>
        <v>30</v>
      </c>
    </row>
    <row r="2157" spans="1:11">
      <c r="A2157" t="s">
        <v>372</v>
      </c>
      <c r="B2157">
        <v>1961</v>
      </c>
      <c r="C2157" t="s">
        <v>4696</v>
      </c>
      <c r="D2157">
        <v>29</v>
      </c>
      <c r="E2157">
        <v>4</v>
      </c>
      <c r="F2157" s="13">
        <v>36580.28</v>
      </c>
      <c r="G2157" t="s">
        <v>4697</v>
      </c>
      <c r="H2157" t="s">
        <v>4697</v>
      </c>
      <c r="I2157" t="s">
        <v>4699</v>
      </c>
      <c r="J2157" s="10">
        <f t="shared" si="66"/>
        <v>22491</v>
      </c>
      <c r="K2157">
        <f t="shared" si="67"/>
        <v>61</v>
      </c>
    </row>
    <row r="2158" spans="1:11">
      <c r="A2158" t="s">
        <v>370</v>
      </c>
      <c r="B2158">
        <v>1970</v>
      </c>
      <c r="C2158" t="s">
        <v>4696</v>
      </c>
      <c r="D2158">
        <v>14</v>
      </c>
      <c r="E2158">
        <v>0</v>
      </c>
      <c r="F2158" s="13">
        <v>36786.370000000003</v>
      </c>
      <c r="G2158" t="s">
        <v>4701</v>
      </c>
      <c r="H2158" t="s">
        <v>4701</v>
      </c>
      <c r="I2158" t="s">
        <v>4708</v>
      </c>
      <c r="J2158" s="10">
        <f t="shared" si="66"/>
        <v>25763</v>
      </c>
      <c r="K2158">
        <f t="shared" si="67"/>
        <v>52</v>
      </c>
    </row>
    <row r="2159" spans="1:11">
      <c r="A2159" t="s">
        <v>368</v>
      </c>
      <c r="B2159">
        <v>1965</v>
      </c>
      <c r="C2159" t="s">
        <v>4705</v>
      </c>
      <c r="D2159">
        <v>28</v>
      </c>
      <c r="E2159">
        <v>0</v>
      </c>
      <c r="F2159" s="13">
        <v>36795.29</v>
      </c>
      <c r="G2159" t="s">
        <v>4697</v>
      </c>
      <c r="H2159" t="s">
        <v>4701</v>
      </c>
      <c r="I2159" t="s">
        <v>4708</v>
      </c>
      <c r="J2159" s="10">
        <f t="shared" si="66"/>
        <v>24104</v>
      </c>
      <c r="K2159">
        <f t="shared" si="67"/>
        <v>57</v>
      </c>
    </row>
    <row r="2160" spans="1:11">
      <c r="A2160" t="s">
        <v>4685</v>
      </c>
      <c r="B2160">
        <v>1992</v>
      </c>
      <c r="C2160" t="s">
        <v>4707</v>
      </c>
      <c r="D2160">
        <v>6</v>
      </c>
      <c r="E2160">
        <v>0</v>
      </c>
      <c r="F2160" s="13">
        <v>36837.47</v>
      </c>
      <c r="G2160" t="s">
        <v>4701</v>
      </c>
      <c r="H2160" t="s">
        <v>4697</v>
      </c>
      <c r="I2160" t="s">
        <v>4708</v>
      </c>
      <c r="J2160" s="10">
        <f t="shared" si="66"/>
        <v>33883</v>
      </c>
      <c r="K2160">
        <f t="shared" si="67"/>
        <v>30</v>
      </c>
    </row>
    <row r="2161" spans="1:11">
      <c r="A2161" t="s">
        <v>366</v>
      </c>
      <c r="B2161">
        <v>1992</v>
      </c>
      <c r="C2161" t="s">
        <v>4696</v>
      </c>
      <c r="D2161">
        <v>4</v>
      </c>
      <c r="E2161">
        <v>0</v>
      </c>
      <c r="F2161" s="13">
        <v>36837.47</v>
      </c>
      <c r="G2161" t="s">
        <v>4697</v>
      </c>
      <c r="H2161" t="s">
        <v>4698</v>
      </c>
      <c r="I2161" t="s">
        <v>4708</v>
      </c>
      <c r="J2161" s="10">
        <f t="shared" si="66"/>
        <v>33789</v>
      </c>
      <c r="K2161">
        <f t="shared" si="67"/>
        <v>30</v>
      </c>
    </row>
    <row r="2162" spans="1:11">
      <c r="A2162" t="s">
        <v>364</v>
      </c>
      <c r="B2162">
        <v>1972</v>
      </c>
      <c r="C2162" t="s">
        <v>4705</v>
      </c>
      <c r="D2162">
        <v>5</v>
      </c>
      <c r="E2162">
        <v>0</v>
      </c>
      <c r="F2162" s="13">
        <v>36889.99</v>
      </c>
      <c r="G2162" t="s">
        <v>4701</v>
      </c>
      <c r="H2162" t="s">
        <v>4698</v>
      </c>
      <c r="I2162" t="s">
        <v>4708</v>
      </c>
      <c r="J2162" s="10">
        <f t="shared" si="66"/>
        <v>26638</v>
      </c>
      <c r="K2162">
        <f t="shared" si="67"/>
        <v>50</v>
      </c>
    </row>
    <row r="2163" spans="1:11">
      <c r="A2163" t="s">
        <v>362</v>
      </c>
      <c r="B2163">
        <v>2003</v>
      </c>
      <c r="C2163" t="s">
        <v>4702</v>
      </c>
      <c r="D2163">
        <v>21</v>
      </c>
      <c r="E2163">
        <v>0</v>
      </c>
      <c r="F2163" s="13">
        <v>36898.730000000003</v>
      </c>
      <c r="G2163" t="s">
        <v>4697</v>
      </c>
      <c r="H2163" t="s">
        <v>4701</v>
      </c>
      <c r="I2163" t="s">
        <v>4704</v>
      </c>
      <c r="J2163" s="10">
        <f t="shared" si="66"/>
        <v>37793</v>
      </c>
      <c r="K2163">
        <f t="shared" si="67"/>
        <v>19</v>
      </c>
    </row>
    <row r="2164" spans="1:11">
      <c r="A2164" t="s">
        <v>360</v>
      </c>
      <c r="B2164">
        <v>1963</v>
      </c>
      <c r="C2164" t="s">
        <v>4696</v>
      </c>
      <c r="D2164">
        <v>24</v>
      </c>
      <c r="E2164">
        <v>2</v>
      </c>
      <c r="F2164" s="13">
        <v>36910.61</v>
      </c>
      <c r="G2164" t="s">
        <v>4697</v>
      </c>
      <c r="H2164" t="s">
        <v>4697</v>
      </c>
      <c r="I2164" t="s">
        <v>4708</v>
      </c>
      <c r="J2164" s="10">
        <f t="shared" si="66"/>
        <v>23216</v>
      </c>
      <c r="K2164">
        <f t="shared" si="67"/>
        <v>59</v>
      </c>
    </row>
    <row r="2165" spans="1:11">
      <c r="A2165" t="s">
        <v>358</v>
      </c>
      <c r="B2165">
        <v>1991</v>
      </c>
      <c r="C2165" t="s">
        <v>4702</v>
      </c>
      <c r="D2165">
        <v>10</v>
      </c>
      <c r="E2165">
        <v>3</v>
      </c>
      <c r="F2165" s="13">
        <v>36911.99</v>
      </c>
      <c r="G2165" t="s">
        <v>4697</v>
      </c>
      <c r="H2165" t="s">
        <v>4697</v>
      </c>
      <c r="I2165" t="s">
        <v>4708</v>
      </c>
      <c r="J2165" s="10">
        <f t="shared" si="66"/>
        <v>33399</v>
      </c>
      <c r="K2165">
        <f t="shared" si="67"/>
        <v>31</v>
      </c>
    </row>
    <row r="2166" spans="1:11">
      <c r="A2166" t="s">
        <v>356</v>
      </c>
      <c r="B2166">
        <v>1968</v>
      </c>
      <c r="C2166" t="s">
        <v>4707</v>
      </c>
      <c r="D2166">
        <v>22</v>
      </c>
      <c r="E2166">
        <v>0</v>
      </c>
      <c r="F2166" s="13">
        <v>36922.61</v>
      </c>
      <c r="G2166" t="s">
        <v>4697</v>
      </c>
      <c r="H2166" t="s">
        <v>4701</v>
      </c>
      <c r="I2166" t="s">
        <v>4708</v>
      </c>
      <c r="J2166" s="10">
        <f t="shared" si="66"/>
        <v>25133</v>
      </c>
      <c r="K2166">
        <f t="shared" si="67"/>
        <v>54</v>
      </c>
    </row>
    <row r="2167" spans="1:11">
      <c r="A2167" t="s">
        <v>354</v>
      </c>
      <c r="B2167">
        <v>1977</v>
      </c>
      <c r="C2167" t="s">
        <v>4706</v>
      </c>
      <c r="D2167">
        <v>13</v>
      </c>
      <c r="E2167">
        <v>2</v>
      </c>
      <c r="F2167" s="13">
        <v>36935.64</v>
      </c>
      <c r="G2167" t="s">
        <v>4697</v>
      </c>
      <c r="H2167" t="s">
        <v>4701</v>
      </c>
      <c r="I2167" t="s">
        <v>4708</v>
      </c>
      <c r="J2167" s="10">
        <f t="shared" si="66"/>
        <v>28350</v>
      </c>
      <c r="K2167">
        <f t="shared" si="67"/>
        <v>45</v>
      </c>
    </row>
    <row r="2168" spans="1:11">
      <c r="A2168" t="s">
        <v>352</v>
      </c>
      <c r="B2168">
        <v>1992</v>
      </c>
      <c r="C2168" t="s">
        <v>4706</v>
      </c>
      <c r="D2168">
        <v>25</v>
      </c>
      <c r="E2168">
        <v>0</v>
      </c>
      <c r="F2168" s="13">
        <v>36950.26</v>
      </c>
      <c r="G2168" t="s">
        <v>4701</v>
      </c>
      <c r="H2168" t="s">
        <v>4701</v>
      </c>
      <c r="I2168" t="s">
        <v>4699</v>
      </c>
      <c r="J2168" s="10">
        <f t="shared" si="66"/>
        <v>33841</v>
      </c>
      <c r="K2168">
        <f t="shared" si="67"/>
        <v>30</v>
      </c>
    </row>
    <row r="2169" spans="1:11">
      <c r="A2169" t="s">
        <v>350</v>
      </c>
      <c r="B2169">
        <v>1992</v>
      </c>
      <c r="C2169" t="s">
        <v>4703</v>
      </c>
      <c r="D2169">
        <v>13</v>
      </c>
      <c r="E2169">
        <v>0</v>
      </c>
      <c r="F2169" s="13">
        <v>36976.449999999997</v>
      </c>
      <c r="G2169" t="s">
        <v>4697</v>
      </c>
      <c r="H2169" t="s">
        <v>4698</v>
      </c>
      <c r="I2169" t="s">
        <v>4708</v>
      </c>
      <c r="J2169" s="10">
        <f t="shared" si="66"/>
        <v>33860</v>
      </c>
      <c r="K2169">
        <f t="shared" si="67"/>
        <v>30</v>
      </c>
    </row>
    <row r="2170" spans="1:11">
      <c r="A2170" t="s">
        <v>348</v>
      </c>
      <c r="B2170">
        <v>1991</v>
      </c>
      <c r="C2170" t="s">
        <v>4700</v>
      </c>
      <c r="D2170">
        <v>1</v>
      </c>
      <c r="E2170">
        <v>3</v>
      </c>
      <c r="F2170" s="13">
        <v>37040.879999999997</v>
      </c>
      <c r="G2170" t="s">
        <v>4697</v>
      </c>
      <c r="H2170" t="s">
        <v>4697</v>
      </c>
      <c r="I2170" t="s">
        <v>4708</v>
      </c>
      <c r="J2170" s="10">
        <f t="shared" si="66"/>
        <v>33543</v>
      </c>
      <c r="K2170">
        <f t="shared" si="67"/>
        <v>31</v>
      </c>
    </row>
    <row r="2171" spans="1:11">
      <c r="A2171" t="s">
        <v>346</v>
      </c>
      <c r="B2171">
        <v>1988</v>
      </c>
      <c r="C2171" t="s">
        <v>4705</v>
      </c>
      <c r="D2171">
        <v>17</v>
      </c>
      <c r="E2171">
        <v>3</v>
      </c>
      <c r="F2171" s="13">
        <v>37076.370000000003</v>
      </c>
      <c r="G2171" t="s">
        <v>4697</v>
      </c>
      <c r="H2171" t="s">
        <v>4701</v>
      </c>
      <c r="I2171" t="s">
        <v>4708</v>
      </c>
      <c r="J2171" s="10">
        <f t="shared" si="66"/>
        <v>32494</v>
      </c>
      <c r="K2171">
        <f t="shared" si="67"/>
        <v>34</v>
      </c>
    </row>
    <row r="2172" spans="1:11">
      <c r="A2172" t="s">
        <v>344</v>
      </c>
      <c r="B2172">
        <v>1989</v>
      </c>
      <c r="C2172" t="s">
        <v>4702</v>
      </c>
      <c r="D2172">
        <v>10</v>
      </c>
      <c r="E2172">
        <v>0</v>
      </c>
      <c r="F2172" s="13">
        <v>37079.370000000003</v>
      </c>
      <c r="G2172" t="s">
        <v>4697</v>
      </c>
      <c r="H2172" t="s">
        <v>4698</v>
      </c>
      <c r="I2172" t="s">
        <v>4708</v>
      </c>
      <c r="J2172" s="10">
        <f t="shared" si="66"/>
        <v>32669</v>
      </c>
      <c r="K2172">
        <f t="shared" si="67"/>
        <v>33</v>
      </c>
    </row>
    <row r="2173" spans="1:11">
      <c r="A2173" t="s">
        <v>342</v>
      </c>
      <c r="B2173">
        <v>1995</v>
      </c>
      <c r="C2173" t="s">
        <v>4707</v>
      </c>
      <c r="D2173">
        <v>30</v>
      </c>
      <c r="E2173">
        <v>0</v>
      </c>
      <c r="F2173" s="13">
        <v>37133.9</v>
      </c>
      <c r="G2173" t="s">
        <v>4697</v>
      </c>
      <c r="H2173" t="s">
        <v>4697</v>
      </c>
      <c r="I2173" t="s">
        <v>4699</v>
      </c>
      <c r="J2173" s="10">
        <f t="shared" si="66"/>
        <v>35002</v>
      </c>
      <c r="K2173">
        <f t="shared" si="67"/>
        <v>27</v>
      </c>
    </row>
    <row r="2174" spans="1:11">
      <c r="A2174" t="s">
        <v>340</v>
      </c>
      <c r="B2174">
        <v>2000</v>
      </c>
      <c r="C2174" t="s">
        <v>4703</v>
      </c>
      <c r="D2174">
        <v>5</v>
      </c>
      <c r="E2174">
        <v>1</v>
      </c>
      <c r="F2174" s="13">
        <v>37165.160000000003</v>
      </c>
      <c r="G2174" t="s">
        <v>4701</v>
      </c>
      <c r="H2174" t="s">
        <v>4698</v>
      </c>
      <c r="I2174" t="s">
        <v>4685</v>
      </c>
      <c r="J2174" s="10">
        <f t="shared" si="66"/>
        <v>36774</v>
      </c>
      <c r="K2174">
        <f t="shared" si="67"/>
        <v>22</v>
      </c>
    </row>
    <row r="2175" spans="1:11">
      <c r="A2175" t="s">
        <v>338</v>
      </c>
      <c r="B2175">
        <v>1990</v>
      </c>
      <c r="C2175" t="s">
        <v>4707</v>
      </c>
      <c r="D2175">
        <v>17</v>
      </c>
      <c r="E2175">
        <v>3</v>
      </c>
      <c r="F2175" s="13">
        <v>37251.22</v>
      </c>
      <c r="G2175" t="s">
        <v>4697</v>
      </c>
      <c r="H2175" t="s">
        <v>4697</v>
      </c>
      <c r="I2175" t="s">
        <v>4708</v>
      </c>
      <c r="J2175" s="10">
        <f t="shared" si="66"/>
        <v>33163</v>
      </c>
      <c r="K2175">
        <f t="shared" si="67"/>
        <v>32</v>
      </c>
    </row>
    <row r="2176" spans="1:11">
      <c r="A2176" t="s">
        <v>336</v>
      </c>
      <c r="B2176">
        <v>1985</v>
      </c>
      <c r="C2176" t="s">
        <v>4700</v>
      </c>
      <c r="D2176">
        <v>17</v>
      </c>
      <c r="E2176">
        <v>0</v>
      </c>
      <c r="F2176" s="13">
        <v>37270.15</v>
      </c>
      <c r="G2176" t="s">
        <v>4697</v>
      </c>
      <c r="H2176" t="s">
        <v>4701</v>
      </c>
      <c r="I2176" t="s">
        <v>4714</v>
      </c>
      <c r="J2176" s="10">
        <f t="shared" si="66"/>
        <v>31368</v>
      </c>
      <c r="K2176">
        <f t="shared" si="67"/>
        <v>37</v>
      </c>
    </row>
    <row r="2177" spans="1:11">
      <c r="A2177" t="s">
        <v>334</v>
      </c>
      <c r="B2177">
        <v>1975</v>
      </c>
      <c r="C2177" t="s">
        <v>4700</v>
      </c>
      <c r="D2177">
        <v>9</v>
      </c>
      <c r="E2177">
        <v>1</v>
      </c>
      <c r="F2177" s="13">
        <v>37272.339999999997</v>
      </c>
      <c r="G2177" t="s">
        <v>4697</v>
      </c>
      <c r="H2177" t="s">
        <v>4698</v>
      </c>
      <c r="I2177" t="s">
        <v>4708</v>
      </c>
      <c r="J2177" s="10">
        <f t="shared" si="66"/>
        <v>27707</v>
      </c>
      <c r="K2177">
        <f t="shared" si="67"/>
        <v>47</v>
      </c>
    </row>
    <row r="2178" spans="1:11">
      <c r="A2178" t="s">
        <v>332</v>
      </c>
      <c r="B2178">
        <v>1969</v>
      </c>
      <c r="C2178" t="s">
        <v>4707</v>
      </c>
      <c r="D2178">
        <v>30</v>
      </c>
      <c r="E2178">
        <v>0</v>
      </c>
      <c r="F2178" s="13">
        <v>37277.269999999997</v>
      </c>
      <c r="G2178" t="s">
        <v>4701</v>
      </c>
      <c r="H2178" t="s">
        <v>4698</v>
      </c>
      <c r="I2178" t="s">
        <v>4708</v>
      </c>
      <c r="J2178" s="10">
        <f t="shared" ref="J2178:J2241" si="68">DATEVALUE(D2178&amp;"-"&amp;C2178&amp;"-"&amp;B2178)</f>
        <v>25506</v>
      </c>
      <c r="K2178">
        <f t="shared" si="67"/>
        <v>53</v>
      </c>
    </row>
    <row r="2179" spans="1:11">
      <c r="A2179" t="s">
        <v>330</v>
      </c>
      <c r="B2179">
        <v>1979</v>
      </c>
      <c r="C2179" t="s">
        <v>4706</v>
      </c>
      <c r="D2179">
        <v>3</v>
      </c>
      <c r="E2179">
        <v>2</v>
      </c>
      <c r="F2179" s="13">
        <v>37425.94</v>
      </c>
      <c r="G2179" t="s">
        <v>4697</v>
      </c>
      <c r="H2179" t="s">
        <v>4701</v>
      </c>
      <c r="I2179" t="s">
        <v>4708</v>
      </c>
      <c r="J2179" s="10">
        <f t="shared" si="68"/>
        <v>29070</v>
      </c>
      <c r="K2179">
        <f t="shared" ref="K2179:K2242" si="69">DATEDIF(J2179, DATE(2023, 6, 8), "Y")</f>
        <v>43</v>
      </c>
    </row>
    <row r="2180" spans="1:11">
      <c r="A2180" t="s">
        <v>328</v>
      </c>
      <c r="B2180">
        <v>2002</v>
      </c>
      <c r="C2180" t="s">
        <v>4703</v>
      </c>
      <c r="D2180">
        <v>27</v>
      </c>
      <c r="E2180">
        <v>3</v>
      </c>
      <c r="F2180" s="13">
        <v>37465.339999999997</v>
      </c>
      <c r="G2180" t="s">
        <v>4701</v>
      </c>
      <c r="H2180" t="s">
        <v>4697</v>
      </c>
      <c r="I2180" t="s">
        <v>4704</v>
      </c>
      <c r="J2180" s="10">
        <f t="shared" si="68"/>
        <v>37526</v>
      </c>
      <c r="K2180">
        <f t="shared" si="69"/>
        <v>20</v>
      </c>
    </row>
    <row r="2181" spans="1:11">
      <c r="A2181" t="s">
        <v>326</v>
      </c>
      <c r="B2181">
        <v>2000</v>
      </c>
      <c r="C2181" t="s">
        <v>4707</v>
      </c>
      <c r="D2181">
        <v>12</v>
      </c>
      <c r="E2181">
        <v>2</v>
      </c>
      <c r="F2181" s="13">
        <v>37484.449999999997</v>
      </c>
      <c r="G2181" t="s">
        <v>4701</v>
      </c>
      <c r="H2181" t="s">
        <v>4701</v>
      </c>
      <c r="I2181" t="s">
        <v>4699</v>
      </c>
      <c r="J2181" s="10">
        <f t="shared" si="68"/>
        <v>36811</v>
      </c>
      <c r="K2181">
        <f t="shared" si="69"/>
        <v>22</v>
      </c>
    </row>
    <row r="2182" spans="1:11">
      <c r="A2182" t="s">
        <v>324</v>
      </c>
      <c r="B2182">
        <v>1990</v>
      </c>
      <c r="C2182" t="s">
        <v>4700</v>
      </c>
      <c r="D2182">
        <v>16</v>
      </c>
      <c r="E2182">
        <v>1</v>
      </c>
      <c r="F2182" s="13">
        <v>37607.53</v>
      </c>
      <c r="G2182" t="s">
        <v>4701</v>
      </c>
      <c r="H2182" t="s">
        <v>4697</v>
      </c>
      <c r="I2182" t="s">
        <v>4710</v>
      </c>
      <c r="J2182" s="10">
        <f t="shared" si="68"/>
        <v>33193</v>
      </c>
      <c r="K2182">
        <f t="shared" si="69"/>
        <v>32</v>
      </c>
    </row>
    <row r="2183" spans="1:11">
      <c r="A2183" t="s">
        <v>322</v>
      </c>
      <c r="B2183">
        <v>1982</v>
      </c>
      <c r="C2183" t="s">
        <v>4702</v>
      </c>
      <c r="D2183">
        <v>20</v>
      </c>
      <c r="E2183">
        <v>3</v>
      </c>
      <c r="F2183" s="13">
        <v>37650.74</v>
      </c>
      <c r="G2183" t="s">
        <v>4697</v>
      </c>
      <c r="H2183" t="s">
        <v>4697</v>
      </c>
      <c r="I2183" t="s">
        <v>4704</v>
      </c>
      <c r="J2183" s="10">
        <f t="shared" si="68"/>
        <v>30122</v>
      </c>
      <c r="K2183">
        <f t="shared" si="69"/>
        <v>40</v>
      </c>
    </row>
    <row r="2184" spans="1:11">
      <c r="A2184" t="s">
        <v>320</v>
      </c>
      <c r="B2184">
        <v>1970</v>
      </c>
      <c r="C2184" t="s">
        <v>4707</v>
      </c>
      <c r="D2184">
        <v>28</v>
      </c>
      <c r="E2184">
        <v>0</v>
      </c>
      <c r="F2184" s="13">
        <v>37675.06</v>
      </c>
      <c r="G2184" t="s">
        <v>4697</v>
      </c>
      <c r="H2184" t="s">
        <v>4698</v>
      </c>
      <c r="I2184" t="s">
        <v>4708</v>
      </c>
      <c r="J2184" s="10">
        <f t="shared" si="68"/>
        <v>25869</v>
      </c>
      <c r="K2184">
        <f t="shared" si="69"/>
        <v>52</v>
      </c>
    </row>
    <row r="2185" spans="1:11">
      <c r="A2185" t="s">
        <v>318</v>
      </c>
      <c r="B2185">
        <v>1988</v>
      </c>
      <c r="C2185" t="s">
        <v>4707</v>
      </c>
      <c r="D2185">
        <v>10</v>
      </c>
      <c r="E2185">
        <v>1</v>
      </c>
      <c r="F2185" s="13">
        <v>37701.879999999997</v>
      </c>
      <c r="G2185" t="s">
        <v>4697</v>
      </c>
      <c r="H2185" t="s">
        <v>4698</v>
      </c>
      <c r="I2185" t="s">
        <v>4715</v>
      </c>
      <c r="J2185" s="10">
        <f t="shared" si="68"/>
        <v>32426</v>
      </c>
      <c r="K2185">
        <f t="shared" si="69"/>
        <v>34</v>
      </c>
    </row>
    <row r="2186" spans="1:11">
      <c r="A2186" t="s">
        <v>316</v>
      </c>
      <c r="B2186">
        <v>1976</v>
      </c>
      <c r="C2186" t="s">
        <v>4703</v>
      </c>
      <c r="D2186">
        <v>18</v>
      </c>
      <c r="E2186">
        <v>2</v>
      </c>
      <c r="F2186" s="13">
        <v>37735.199999999997</v>
      </c>
      <c r="G2186" t="s">
        <v>4697</v>
      </c>
      <c r="H2186" t="s">
        <v>4697</v>
      </c>
      <c r="I2186" t="s">
        <v>4708</v>
      </c>
      <c r="J2186" s="10">
        <f t="shared" si="68"/>
        <v>28021</v>
      </c>
      <c r="K2186">
        <f t="shared" si="69"/>
        <v>46</v>
      </c>
    </row>
    <row r="2187" spans="1:11">
      <c r="A2187" t="s">
        <v>314</v>
      </c>
      <c r="B2187">
        <v>1986</v>
      </c>
      <c r="C2187" t="s">
        <v>4706</v>
      </c>
      <c r="D2187">
        <v>15</v>
      </c>
      <c r="E2187">
        <v>0</v>
      </c>
      <c r="F2187" s="13">
        <v>37742.58</v>
      </c>
      <c r="G2187" t="s">
        <v>4701</v>
      </c>
      <c r="H2187" t="s">
        <v>4701</v>
      </c>
      <c r="I2187" t="s">
        <v>4699</v>
      </c>
      <c r="J2187" s="10">
        <f t="shared" si="68"/>
        <v>31639</v>
      </c>
      <c r="K2187">
        <f t="shared" si="69"/>
        <v>36</v>
      </c>
    </row>
    <row r="2188" spans="1:11">
      <c r="A2188" t="s">
        <v>312</v>
      </c>
      <c r="B2188">
        <v>1983</v>
      </c>
      <c r="C2188" t="s">
        <v>4696</v>
      </c>
      <c r="D2188">
        <v>26</v>
      </c>
      <c r="E2188">
        <v>3</v>
      </c>
      <c r="F2188" s="13">
        <v>37800.980000000003</v>
      </c>
      <c r="G2188" t="s">
        <v>4697</v>
      </c>
      <c r="H2188" t="s">
        <v>4697</v>
      </c>
      <c r="I2188" t="s">
        <v>4708</v>
      </c>
      <c r="J2188" s="10">
        <f t="shared" si="68"/>
        <v>30523</v>
      </c>
      <c r="K2188">
        <f t="shared" si="69"/>
        <v>39</v>
      </c>
    </row>
    <row r="2189" spans="1:11">
      <c r="A2189" t="s">
        <v>310</v>
      </c>
      <c r="B2189">
        <v>1979</v>
      </c>
      <c r="C2189" t="s">
        <v>4703</v>
      </c>
      <c r="D2189">
        <v>9</v>
      </c>
      <c r="E2189">
        <v>0</v>
      </c>
      <c r="F2189" s="13">
        <v>37829.72</v>
      </c>
      <c r="G2189" t="s">
        <v>4701</v>
      </c>
      <c r="H2189" t="s">
        <v>4697</v>
      </c>
      <c r="I2189" t="s">
        <v>4708</v>
      </c>
      <c r="J2189" s="10">
        <f t="shared" si="68"/>
        <v>29107</v>
      </c>
      <c r="K2189">
        <f t="shared" si="69"/>
        <v>43</v>
      </c>
    </row>
    <row r="2190" spans="1:11">
      <c r="A2190" t="s">
        <v>308</v>
      </c>
      <c r="B2190">
        <v>1998</v>
      </c>
      <c r="C2190" t="s">
        <v>4696</v>
      </c>
      <c r="D2190">
        <v>29</v>
      </c>
      <c r="E2190">
        <v>0</v>
      </c>
      <c r="F2190" s="13">
        <v>38126.25</v>
      </c>
      <c r="G2190" t="s">
        <v>4701</v>
      </c>
      <c r="H2190" t="s">
        <v>4698</v>
      </c>
      <c r="I2190" t="s">
        <v>4699</v>
      </c>
      <c r="J2190" s="10">
        <f t="shared" si="68"/>
        <v>36005</v>
      </c>
      <c r="K2190">
        <f t="shared" si="69"/>
        <v>24</v>
      </c>
    </row>
    <row r="2191" spans="1:11">
      <c r="A2191" t="s">
        <v>306</v>
      </c>
      <c r="B2191">
        <v>1972</v>
      </c>
      <c r="C2191" t="s">
        <v>4700</v>
      </c>
      <c r="D2191">
        <v>19</v>
      </c>
      <c r="E2191">
        <v>0</v>
      </c>
      <c r="F2191" s="13">
        <v>38189.1</v>
      </c>
      <c r="G2191" t="s">
        <v>4697</v>
      </c>
      <c r="H2191" t="s">
        <v>4697</v>
      </c>
      <c r="I2191" t="s">
        <v>4708</v>
      </c>
      <c r="J2191" s="10">
        <f t="shared" si="68"/>
        <v>26622</v>
      </c>
      <c r="K2191">
        <f t="shared" si="69"/>
        <v>50</v>
      </c>
    </row>
    <row r="2192" spans="1:11">
      <c r="A2192" t="s">
        <v>304</v>
      </c>
      <c r="B2192">
        <v>1989</v>
      </c>
      <c r="C2192" t="s">
        <v>4703</v>
      </c>
      <c r="D2192">
        <v>8</v>
      </c>
      <c r="E2192">
        <v>3</v>
      </c>
      <c r="F2192" s="13">
        <v>38237.339999999997</v>
      </c>
      <c r="G2192" t="s">
        <v>4697</v>
      </c>
      <c r="H2192" t="s">
        <v>4698</v>
      </c>
      <c r="I2192" t="s">
        <v>4708</v>
      </c>
      <c r="J2192" s="10">
        <f t="shared" si="68"/>
        <v>32759</v>
      </c>
      <c r="K2192">
        <f t="shared" si="69"/>
        <v>33</v>
      </c>
    </row>
    <row r="2193" spans="1:11">
      <c r="A2193" t="s">
        <v>302</v>
      </c>
      <c r="B2193">
        <v>1964</v>
      </c>
      <c r="C2193" t="s">
        <v>4702</v>
      </c>
      <c r="D2193">
        <v>16</v>
      </c>
      <c r="E2193">
        <v>0</v>
      </c>
      <c r="F2193" s="13">
        <v>38241.74</v>
      </c>
      <c r="G2193" t="s">
        <v>4697</v>
      </c>
      <c r="H2193" t="s">
        <v>4698</v>
      </c>
      <c r="I2193" t="s">
        <v>4708</v>
      </c>
      <c r="J2193" s="10">
        <f t="shared" si="68"/>
        <v>23544</v>
      </c>
      <c r="K2193">
        <f t="shared" si="69"/>
        <v>58</v>
      </c>
    </row>
    <row r="2194" spans="1:11">
      <c r="A2194" t="s">
        <v>300</v>
      </c>
      <c r="B2194">
        <v>1980</v>
      </c>
      <c r="C2194" t="s">
        <v>4706</v>
      </c>
      <c r="D2194">
        <v>16</v>
      </c>
      <c r="E2194">
        <v>1</v>
      </c>
      <c r="F2194" s="13">
        <v>38245.589999999997</v>
      </c>
      <c r="G2194" t="s">
        <v>4701</v>
      </c>
      <c r="H2194" t="s">
        <v>4697</v>
      </c>
      <c r="I2194" t="s">
        <v>4699</v>
      </c>
      <c r="J2194" s="10">
        <f t="shared" si="68"/>
        <v>29449</v>
      </c>
      <c r="K2194">
        <f t="shared" si="69"/>
        <v>42</v>
      </c>
    </row>
    <row r="2195" spans="1:11">
      <c r="A2195" t="s">
        <v>298</v>
      </c>
      <c r="B2195">
        <v>1989</v>
      </c>
      <c r="C2195" t="s">
        <v>4707</v>
      </c>
      <c r="D2195">
        <v>30</v>
      </c>
      <c r="E2195">
        <v>1</v>
      </c>
      <c r="F2195" s="13">
        <v>38282.75</v>
      </c>
      <c r="G2195" t="s">
        <v>4701</v>
      </c>
      <c r="H2195" t="s">
        <v>4697</v>
      </c>
      <c r="I2195" t="s">
        <v>4699</v>
      </c>
      <c r="J2195" s="10">
        <f t="shared" si="68"/>
        <v>32811</v>
      </c>
      <c r="K2195">
        <f t="shared" si="69"/>
        <v>33</v>
      </c>
    </row>
    <row r="2196" spans="1:11">
      <c r="A2196" t="s">
        <v>296</v>
      </c>
      <c r="B2196">
        <v>1980</v>
      </c>
      <c r="C2196" t="s">
        <v>4702</v>
      </c>
      <c r="D2196">
        <v>12</v>
      </c>
      <c r="E2196">
        <v>2</v>
      </c>
      <c r="F2196" s="13">
        <v>38313.129999999997</v>
      </c>
      <c r="G2196" t="s">
        <v>4701</v>
      </c>
      <c r="H2196" t="s">
        <v>4698</v>
      </c>
      <c r="I2196" t="s">
        <v>4708</v>
      </c>
      <c r="J2196" s="10">
        <f t="shared" si="68"/>
        <v>29384</v>
      </c>
      <c r="K2196">
        <f t="shared" si="69"/>
        <v>42</v>
      </c>
    </row>
    <row r="2197" spans="1:11">
      <c r="A2197" t="s">
        <v>294</v>
      </c>
      <c r="B2197">
        <v>2002</v>
      </c>
      <c r="C2197" t="s">
        <v>4703</v>
      </c>
      <c r="D2197">
        <v>17</v>
      </c>
      <c r="E2197">
        <v>2</v>
      </c>
      <c r="F2197" s="13">
        <v>38344.57</v>
      </c>
      <c r="G2197" t="s">
        <v>4701</v>
      </c>
      <c r="H2197" t="s">
        <v>4698</v>
      </c>
      <c r="I2197" t="s">
        <v>4708</v>
      </c>
      <c r="J2197" s="10">
        <f t="shared" si="68"/>
        <v>37516</v>
      </c>
      <c r="K2197">
        <f t="shared" si="69"/>
        <v>20</v>
      </c>
    </row>
    <row r="2198" spans="1:11">
      <c r="A2198" t="s">
        <v>292</v>
      </c>
      <c r="B2198">
        <v>1970</v>
      </c>
      <c r="C2198" t="s">
        <v>4706</v>
      </c>
      <c r="D2198">
        <v>22</v>
      </c>
      <c r="E2198">
        <v>0</v>
      </c>
      <c r="F2198" s="13">
        <v>38389.79</v>
      </c>
      <c r="G2198" t="s">
        <v>4697</v>
      </c>
      <c r="H2198" t="s">
        <v>4698</v>
      </c>
      <c r="I2198" t="s">
        <v>4708</v>
      </c>
      <c r="J2198" s="10">
        <f t="shared" si="68"/>
        <v>25802</v>
      </c>
      <c r="K2198">
        <f t="shared" si="69"/>
        <v>52</v>
      </c>
    </row>
    <row r="2199" spans="1:11">
      <c r="A2199" t="s">
        <v>290</v>
      </c>
      <c r="B2199">
        <v>1971</v>
      </c>
      <c r="C2199" t="s">
        <v>4705</v>
      </c>
      <c r="D2199">
        <v>23</v>
      </c>
      <c r="E2199">
        <v>0</v>
      </c>
      <c r="F2199" s="13">
        <v>38405.26</v>
      </c>
      <c r="G2199" t="s">
        <v>4697</v>
      </c>
      <c r="H2199" t="s">
        <v>4701</v>
      </c>
      <c r="I2199" t="s">
        <v>4708</v>
      </c>
      <c r="J2199" s="10">
        <f t="shared" si="68"/>
        <v>26290</v>
      </c>
      <c r="K2199">
        <f t="shared" si="69"/>
        <v>51</v>
      </c>
    </row>
    <row r="2200" spans="1:11">
      <c r="A2200" t="s">
        <v>288</v>
      </c>
      <c r="B2200">
        <v>1986</v>
      </c>
      <c r="C2200" t="s">
        <v>4702</v>
      </c>
      <c r="D2200">
        <v>21</v>
      </c>
      <c r="E2200">
        <v>2</v>
      </c>
      <c r="F2200" s="13">
        <v>38415.47</v>
      </c>
      <c r="G2200" t="s">
        <v>4701</v>
      </c>
      <c r="H2200" t="s">
        <v>4697</v>
      </c>
      <c r="I2200" t="s">
        <v>4708</v>
      </c>
      <c r="J2200" s="10">
        <f t="shared" si="68"/>
        <v>31584</v>
      </c>
      <c r="K2200">
        <f t="shared" si="69"/>
        <v>36</v>
      </c>
    </row>
    <row r="2201" spans="1:11">
      <c r="A2201" t="s">
        <v>286</v>
      </c>
      <c r="B2201">
        <v>1999</v>
      </c>
      <c r="C2201" t="s">
        <v>4700</v>
      </c>
      <c r="D2201">
        <v>12</v>
      </c>
      <c r="E2201">
        <v>2</v>
      </c>
      <c r="F2201" s="13">
        <v>38511.629999999997</v>
      </c>
      <c r="G2201" t="s">
        <v>4697</v>
      </c>
      <c r="H2201" t="s">
        <v>4697</v>
      </c>
      <c r="I2201" t="s">
        <v>4714</v>
      </c>
      <c r="J2201" s="10">
        <f t="shared" si="68"/>
        <v>36476</v>
      </c>
      <c r="K2201">
        <f t="shared" si="69"/>
        <v>23</v>
      </c>
    </row>
    <row r="2202" spans="1:11">
      <c r="A2202" t="s">
        <v>284</v>
      </c>
      <c r="B2202">
        <v>1990</v>
      </c>
      <c r="C2202" t="s">
        <v>4696</v>
      </c>
      <c r="D2202">
        <v>13</v>
      </c>
      <c r="E2202">
        <v>3</v>
      </c>
      <c r="F2202" s="13">
        <v>38652.089999999997</v>
      </c>
      <c r="G2202" t="s">
        <v>4697</v>
      </c>
      <c r="H2202" t="s">
        <v>4697</v>
      </c>
      <c r="I2202" t="s">
        <v>4708</v>
      </c>
      <c r="J2202" s="10">
        <f t="shared" si="68"/>
        <v>33067</v>
      </c>
      <c r="K2202">
        <f t="shared" si="69"/>
        <v>32</v>
      </c>
    </row>
    <row r="2203" spans="1:11">
      <c r="A2203" t="s">
        <v>282</v>
      </c>
      <c r="B2203">
        <v>1986</v>
      </c>
      <c r="C2203" t="s">
        <v>4696</v>
      </c>
      <c r="D2203">
        <v>20</v>
      </c>
      <c r="E2203">
        <v>1</v>
      </c>
      <c r="F2203" s="13">
        <v>38709.18</v>
      </c>
      <c r="G2203" t="s">
        <v>4701</v>
      </c>
      <c r="H2203" t="s">
        <v>4698</v>
      </c>
      <c r="I2203" t="s">
        <v>4699</v>
      </c>
      <c r="J2203" s="10">
        <f t="shared" si="68"/>
        <v>31613</v>
      </c>
      <c r="K2203">
        <f t="shared" si="69"/>
        <v>36</v>
      </c>
    </row>
    <row r="2204" spans="1:11">
      <c r="A2204" t="s">
        <v>4685</v>
      </c>
      <c r="B2204">
        <v>1991</v>
      </c>
      <c r="C2204" t="s">
        <v>4700</v>
      </c>
      <c r="D2204">
        <v>22</v>
      </c>
      <c r="E2204">
        <v>2</v>
      </c>
      <c r="F2204" s="13">
        <v>38711</v>
      </c>
      <c r="G2204" t="s">
        <v>4701</v>
      </c>
      <c r="H2204" t="s">
        <v>4698</v>
      </c>
      <c r="I2204" t="s">
        <v>4708</v>
      </c>
      <c r="J2204" s="10">
        <f t="shared" si="68"/>
        <v>33564</v>
      </c>
      <c r="K2204">
        <f t="shared" si="69"/>
        <v>31</v>
      </c>
    </row>
    <row r="2205" spans="1:11">
      <c r="A2205" t="s">
        <v>280</v>
      </c>
      <c r="B2205">
        <v>1991</v>
      </c>
      <c r="C2205" t="s">
        <v>4700</v>
      </c>
      <c r="D2205">
        <v>2</v>
      </c>
      <c r="E2205">
        <v>2</v>
      </c>
      <c r="F2205" s="13">
        <v>38711</v>
      </c>
      <c r="G2205" t="s">
        <v>4697</v>
      </c>
      <c r="H2205" t="s">
        <v>4697</v>
      </c>
      <c r="I2205" t="s">
        <v>4708</v>
      </c>
      <c r="J2205" s="10">
        <f t="shared" si="68"/>
        <v>33544</v>
      </c>
      <c r="K2205">
        <f t="shared" si="69"/>
        <v>31</v>
      </c>
    </row>
    <row r="2206" spans="1:11">
      <c r="A2206" t="s">
        <v>278</v>
      </c>
      <c r="B2206">
        <v>1976</v>
      </c>
      <c r="C2206" t="s">
        <v>4702</v>
      </c>
      <c r="D2206">
        <v>15</v>
      </c>
      <c r="E2206">
        <v>2</v>
      </c>
      <c r="F2206" s="13">
        <v>38740.120000000003</v>
      </c>
      <c r="G2206" t="s">
        <v>4697</v>
      </c>
      <c r="H2206" t="s">
        <v>4697</v>
      </c>
      <c r="I2206" t="s">
        <v>4704</v>
      </c>
      <c r="J2206" s="10">
        <f t="shared" si="68"/>
        <v>27926</v>
      </c>
      <c r="K2206">
        <f t="shared" si="69"/>
        <v>46</v>
      </c>
    </row>
    <row r="2207" spans="1:11">
      <c r="A2207" t="s">
        <v>276</v>
      </c>
      <c r="B2207">
        <v>1991</v>
      </c>
      <c r="C2207" t="s">
        <v>4700</v>
      </c>
      <c r="D2207">
        <v>8</v>
      </c>
      <c r="E2207">
        <v>3</v>
      </c>
      <c r="F2207" s="13">
        <v>38746.36</v>
      </c>
      <c r="G2207" t="s">
        <v>4701</v>
      </c>
      <c r="H2207" t="s">
        <v>4697</v>
      </c>
      <c r="I2207" t="s">
        <v>4704</v>
      </c>
      <c r="J2207" s="10">
        <f t="shared" si="68"/>
        <v>33550</v>
      </c>
      <c r="K2207">
        <f t="shared" si="69"/>
        <v>31</v>
      </c>
    </row>
    <row r="2208" spans="1:11">
      <c r="A2208" t="s">
        <v>274</v>
      </c>
      <c r="B2208">
        <v>2004</v>
      </c>
      <c r="C2208" t="s">
        <v>4705</v>
      </c>
      <c r="D2208">
        <v>5</v>
      </c>
      <c r="E2208">
        <v>0</v>
      </c>
      <c r="F2208" s="13">
        <v>38792.69</v>
      </c>
      <c r="G2208" t="s">
        <v>4697</v>
      </c>
      <c r="H2208" t="s">
        <v>4697</v>
      </c>
      <c r="I2208" t="s">
        <v>4699</v>
      </c>
      <c r="J2208" s="10">
        <f t="shared" si="68"/>
        <v>38326</v>
      </c>
      <c r="K2208">
        <f t="shared" si="69"/>
        <v>18</v>
      </c>
    </row>
    <row r="2209" spans="1:11">
      <c r="A2209" t="s">
        <v>272</v>
      </c>
      <c r="B2209">
        <v>1979</v>
      </c>
      <c r="C2209" t="s">
        <v>4705</v>
      </c>
      <c r="D2209">
        <v>3</v>
      </c>
      <c r="E2209">
        <v>2</v>
      </c>
      <c r="F2209" s="13">
        <v>38836.980000000003</v>
      </c>
      <c r="G2209" t="s">
        <v>4697</v>
      </c>
      <c r="H2209" t="s">
        <v>4701</v>
      </c>
      <c r="I2209" t="s">
        <v>4708</v>
      </c>
      <c r="J2209" s="10">
        <f t="shared" si="68"/>
        <v>29192</v>
      </c>
      <c r="K2209">
        <f t="shared" si="69"/>
        <v>43</v>
      </c>
    </row>
    <row r="2210" spans="1:11">
      <c r="A2210" t="s">
        <v>270</v>
      </c>
      <c r="B2210">
        <v>1964</v>
      </c>
      <c r="C2210" t="s">
        <v>4702</v>
      </c>
      <c r="D2210">
        <v>6</v>
      </c>
      <c r="E2210">
        <v>0</v>
      </c>
      <c r="F2210" s="13">
        <v>38869.25</v>
      </c>
      <c r="G2210" t="s">
        <v>4697</v>
      </c>
      <c r="H2210" t="s">
        <v>4697</v>
      </c>
      <c r="I2210" t="s">
        <v>4708</v>
      </c>
      <c r="J2210" s="10">
        <f t="shared" si="68"/>
        <v>23534</v>
      </c>
      <c r="K2210">
        <f t="shared" si="69"/>
        <v>59</v>
      </c>
    </row>
    <row r="2211" spans="1:11">
      <c r="A2211" t="s">
        <v>268</v>
      </c>
      <c r="B2211">
        <v>1967</v>
      </c>
      <c r="C2211" t="s">
        <v>4696</v>
      </c>
      <c r="D2211">
        <v>30</v>
      </c>
      <c r="E2211">
        <v>0</v>
      </c>
      <c r="F2211" s="13">
        <v>38893.360000000001</v>
      </c>
      <c r="G2211" t="s">
        <v>4701</v>
      </c>
      <c r="H2211" t="s">
        <v>4697</v>
      </c>
      <c r="I2211" t="s">
        <v>4708</v>
      </c>
      <c r="J2211" s="10">
        <f t="shared" si="68"/>
        <v>24683</v>
      </c>
      <c r="K2211">
        <f t="shared" si="69"/>
        <v>55</v>
      </c>
    </row>
    <row r="2212" spans="1:11">
      <c r="A2212" t="s">
        <v>266</v>
      </c>
      <c r="B2212">
        <v>1987</v>
      </c>
      <c r="C2212" t="s">
        <v>4702</v>
      </c>
      <c r="D2212">
        <v>16</v>
      </c>
      <c r="E2212">
        <v>3</v>
      </c>
      <c r="F2212" s="13">
        <v>38924.04</v>
      </c>
      <c r="G2212" t="s">
        <v>4697</v>
      </c>
      <c r="H2212" t="s">
        <v>4697</v>
      </c>
      <c r="I2212" t="s">
        <v>4708</v>
      </c>
      <c r="J2212" s="10">
        <f t="shared" si="68"/>
        <v>31944</v>
      </c>
      <c r="K2212">
        <f t="shared" si="69"/>
        <v>35</v>
      </c>
    </row>
    <row r="2213" spans="1:11">
      <c r="A2213" t="s">
        <v>264</v>
      </c>
      <c r="B2213">
        <v>1976</v>
      </c>
      <c r="C2213" t="s">
        <v>4705</v>
      </c>
      <c r="D2213">
        <v>15</v>
      </c>
      <c r="E2213">
        <v>2</v>
      </c>
      <c r="F2213" s="13">
        <v>38932.559999999998</v>
      </c>
      <c r="G2213" t="s">
        <v>4697</v>
      </c>
      <c r="H2213" t="s">
        <v>4698</v>
      </c>
      <c r="I2213" t="s">
        <v>4708</v>
      </c>
      <c r="J2213" s="10">
        <f t="shared" si="68"/>
        <v>28109</v>
      </c>
      <c r="K2213">
        <f t="shared" si="69"/>
        <v>46</v>
      </c>
    </row>
    <row r="2214" spans="1:11">
      <c r="A2214" t="s">
        <v>262</v>
      </c>
      <c r="B2214">
        <v>1980</v>
      </c>
      <c r="C2214" t="s">
        <v>4703</v>
      </c>
      <c r="D2214">
        <v>24</v>
      </c>
      <c r="E2214">
        <v>2</v>
      </c>
      <c r="F2214" s="13">
        <v>38947.43</v>
      </c>
      <c r="G2214" t="s">
        <v>4697</v>
      </c>
      <c r="H2214" t="s">
        <v>4698</v>
      </c>
      <c r="I2214" t="s">
        <v>4708</v>
      </c>
      <c r="J2214" s="10">
        <f t="shared" si="68"/>
        <v>29488</v>
      </c>
      <c r="K2214">
        <f t="shared" si="69"/>
        <v>42</v>
      </c>
    </row>
    <row r="2215" spans="1:11">
      <c r="A2215" t="s">
        <v>260</v>
      </c>
      <c r="B2215">
        <v>1978</v>
      </c>
      <c r="C2215" t="s">
        <v>4707</v>
      </c>
      <c r="D2215">
        <v>12</v>
      </c>
      <c r="E2215">
        <v>2</v>
      </c>
      <c r="F2215" s="13">
        <v>38998.550000000003</v>
      </c>
      <c r="G2215" t="s">
        <v>4701</v>
      </c>
      <c r="H2215" t="s">
        <v>4701</v>
      </c>
      <c r="I2215" t="s">
        <v>4708</v>
      </c>
      <c r="J2215" s="10">
        <f t="shared" si="68"/>
        <v>28775</v>
      </c>
      <c r="K2215">
        <f t="shared" si="69"/>
        <v>44</v>
      </c>
    </row>
    <row r="2216" spans="1:11">
      <c r="A2216" t="s">
        <v>258</v>
      </c>
      <c r="B2216">
        <v>1985</v>
      </c>
      <c r="C2216" t="s">
        <v>4703</v>
      </c>
      <c r="D2216">
        <v>20</v>
      </c>
      <c r="E2216">
        <v>1</v>
      </c>
      <c r="F2216" s="13">
        <v>39047.29</v>
      </c>
      <c r="G2216" t="s">
        <v>4701</v>
      </c>
      <c r="H2216" t="s">
        <v>4698</v>
      </c>
      <c r="I2216" t="s">
        <v>4718</v>
      </c>
      <c r="J2216" s="10">
        <f t="shared" si="68"/>
        <v>31310</v>
      </c>
      <c r="K2216">
        <f t="shared" si="69"/>
        <v>37</v>
      </c>
    </row>
    <row r="2217" spans="1:11">
      <c r="A2217" t="s">
        <v>256</v>
      </c>
      <c r="B2217">
        <v>1982</v>
      </c>
      <c r="C2217" t="s">
        <v>4706</v>
      </c>
      <c r="D2217">
        <v>4</v>
      </c>
      <c r="E2217">
        <v>1</v>
      </c>
      <c r="F2217" s="13">
        <v>39125.33</v>
      </c>
      <c r="G2217" t="s">
        <v>4701</v>
      </c>
      <c r="H2217" t="s">
        <v>4701</v>
      </c>
      <c r="I2217" t="s">
        <v>4711</v>
      </c>
      <c r="J2217" s="10">
        <f t="shared" si="68"/>
        <v>30167</v>
      </c>
      <c r="K2217">
        <f t="shared" si="69"/>
        <v>40</v>
      </c>
    </row>
    <row r="2218" spans="1:11">
      <c r="A2218" t="s">
        <v>254</v>
      </c>
      <c r="B2218">
        <v>1962</v>
      </c>
      <c r="C2218" t="s">
        <v>4696</v>
      </c>
      <c r="D2218">
        <v>7</v>
      </c>
      <c r="E2218">
        <v>0</v>
      </c>
      <c r="F2218" s="13">
        <v>39221.120000000003</v>
      </c>
      <c r="G2218" t="s">
        <v>4697</v>
      </c>
      <c r="H2218" t="s">
        <v>4701</v>
      </c>
      <c r="I2218" t="s">
        <v>4708</v>
      </c>
      <c r="J2218" s="10">
        <f t="shared" si="68"/>
        <v>22834</v>
      </c>
      <c r="K2218">
        <f t="shared" si="69"/>
        <v>60</v>
      </c>
    </row>
    <row r="2219" spans="1:11">
      <c r="A2219" t="s">
        <v>252</v>
      </c>
      <c r="B2219">
        <v>1992</v>
      </c>
      <c r="C2219" t="s">
        <v>4700</v>
      </c>
      <c r="D2219">
        <v>30</v>
      </c>
      <c r="E2219">
        <v>2</v>
      </c>
      <c r="F2219" s="13">
        <v>39241.440000000002</v>
      </c>
      <c r="G2219" t="s">
        <v>4701</v>
      </c>
      <c r="H2219" t="s">
        <v>4698</v>
      </c>
      <c r="I2219" t="s">
        <v>4708</v>
      </c>
      <c r="J2219" s="10">
        <f t="shared" si="68"/>
        <v>33938</v>
      </c>
      <c r="K2219">
        <f t="shared" si="69"/>
        <v>30</v>
      </c>
    </row>
    <row r="2220" spans="1:11">
      <c r="A2220" t="s">
        <v>250</v>
      </c>
      <c r="B2220">
        <v>1982</v>
      </c>
      <c r="C2220" t="s">
        <v>4706</v>
      </c>
      <c r="D2220">
        <v>16</v>
      </c>
      <c r="E2220">
        <v>3</v>
      </c>
      <c r="F2220" s="13">
        <v>39315.279999999999</v>
      </c>
      <c r="G2220" t="s">
        <v>4697</v>
      </c>
      <c r="H2220" t="s">
        <v>4698</v>
      </c>
      <c r="I2220" t="s">
        <v>4708</v>
      </c>
      <c r="J2220" s="10">
        <f t="shared" si="68"/>
        <v>30179</v>
      </c>
      <c r="K2220">
        <f t="shared" si="69"/>
        <v>40</v>
      </c>
    </row>
    <row r="2221" spans="1:11">
      <c r="A2221" t="s">
        <v>248</v>
      </c>
      <c r="B2221">
        <v>1978</v>
      </c>
      <c r="C2221" t="s">
        <v>4706</v>
      </c>
      <c r="D2221">
        <v>5</v>
      </c>
      <c r="E2221">
        <v>2</v>
      </c>
      <c r="F2221" s="13">
        <v>39352.6</v>
      </c>
      <c r="G2221" t="s">
        <v>4697</v>
      </c>
      <c r="H2221" t="s">
        <v>4698</v>
      </c>
      <c r="I2221" t="s">
        <v>4708</v>
      </c>
      <c r="J2221" s="10">
        <f t="shared" si="68"/>
        <v>28707</v>
      </c>
      <c r="K2221">
        <f t="shared" si="69"/>
        <v>44</v>
      </c>
    </row>
    <row r="2222" spans="1:11">
      <c r="A2222" t="s">
        <v>246</v>
      </c>
      <c r="B2222">
        <v>1966</v>
      </c>
      <c r="C2222" t="s">
        <v>4702</v>
      </c>
      <c r="D2222">
        <v>24</v>
      </c>
      <c r="E2222">
        <v>0</v>
      </c>
      <c r="F2222" s="13">
        <v>39396.86</v>
      </c>
      <c r="G2222" t="s">
        <v>4697</v>
      </c>
      <c r="H2222" t="s">
        <v>4697</v>
      </c>
      <c r="I2222" t="s">
        <v>4708</v>
      </c>
      <c r="J2222" s="10">
        <f t="shared" si="68"/>
        <v>24282</v>
      </c>
      <c r="K2222">
        <f t="shared" si="69"/>
        <v>56</v>
      </c>
    </row>
    <row r="2223" spans="1:11">
      <c r="A2223" t="s">
        <v>244</v>
      </c>
      <c r="B2223">
        <v>1978</v>
      </c>
      <c r="C2223" t="s">
        <v>4696</v>
      </c>
      <c r="D2223">
        <v>12</v>
      </c>
      <c r="E2223">
        <v>1</v>
      </c>
      <c r="F2223" s="13">
        <v>39556.49</v>
      </c>
      <c r="G2223" t="s">
        <v>4701</v>
      </c>
      <c r="H2223" t="s">
        <v>4697</v>
      </c>
      <c r="I2223" t="s">
        <v>4709</v>
      </c>
      <c r="J2223" s="10">
        <f t="shared" si="68"/>
        <v>28683</v>
      </c>
      <c r="K2223">
        <f t="shared" si="69"/>
        <v>44</v>
      </c>
    </row>
    <row r="2224" spans="1:11">
      <c r="A2224" t="s">
        <v>242</v>
      </c>
      <c r="B2224">
        <v>1981</v>
      </c>
      <c r="C2224" t="s">
        <v>4696</v>
      </c>
      <c r="D2224">
        <v>5</v>
      </c>
      <c r="E2224">
        <v>3</v>
      </c>
      <c r="F2224" s="13">
        <v>39597.410000000003</v>
      </c>
      <c r="G2224" t="s">
        <v>4701</v>
      </c>
      <c r="H2224" t="s">
        <v>4697</v>
      </c>
      <c r="I2224" t="s">
        <v>4718</v>
      </c>
      <c r="J2224" s="10">
        <f t="shared" si="68"/>
        <v>29772</v>
      </c>
      <c r="K2224">
        <f t="shared" si="69"/>
        <v>41</v>
      </c>
    </row>
    <row r="2225" spans="1:11">
      <c r="A2225" t="s">
        <v>240</v>
      </c>
      <c r="B2225">
        <v>1995</v>
      </c>
      <c r="C2225" t="s">
        <v>4706</v>
      </c>
      <c r="D2225">
        <v>7</v>
      </c>
      <c r="E2225">
        <v>0</v>
      </c>
      <c r="F2225" s="13">
        <v>39611.760000000002</v>
      </c>
      <c r="G2225" t="s">
        <v>4701</v>
      </c>
      <c r="H2225" t="s">
        <v>4698</v>
      </c>
      <c r="I2225" t="s">
        <v>4699</v>
      </c>
      <c r="J2225" s="10">
        <f t="shared" si="68"/>
        <v>34918</v>
      </c>
      <c r="K2225">
        <f t="shared" si="69"/>
        <v>27</v>
      </c>
    </row>
    <row r="2226" spans="1:11">
      <c r="A2226" t="s">
        <v>238</v>
      </c>
      <c r="B2226">
        <v>1977</v>
      </c>
      <c r="C2226" t="s">
        <v>4705</v>
      </c>
      <c r="D2226">
        <v>17</v>
      </c>
      <c r="E2226">
        <v>2</v>
      </c>
      <c r="F2226" s="13">
        <v>39670.44</v>
      </c>
      <c r="G2226" t="s">
        <v>4697</v>
      </c>
      <c r="H2226" t="s">
        <v>4701</v>
      </c>
      <c r="I2226" t="s">
        <v>4704</v>
      </c>
      <c r="J2226" s="10">
        <f t="shared" si="68"/>
        <v>28476</v>
      </c>
      <c r="K2226">
        <f t="shared" si="69"/>
        <v>45</v>
      </c>
    </row>
    <row r="2227" spans="1:11">
      <c r="A2227" t="s">
        <v>236</v>
      </c>
      <c r="B2227">
        <v>1968</v>
      </c>
      <c r="C2227" t="s">
        <v>4703</v>
      </c>
      <c r="D2227">
        <v>29</v>
      </c>
      <c r="E2227">
        <v>0</v>
      </c>
      <c r="F2227" s="13">
        <v>39721.93</v>
      </c>
      <c r="G2227" t="s">
        <v>4697</v>
      </c>
      <c r="H2227" t="s">
        <v>4697</v>
      </c>
      <c r="I2227" t="s">
        <v>4708</v>
      </c>
      <c r="J2227" s="10">
        <f t="shared" si="68"/>
        <v>25110</v>
      </c>
      <c r="K2227">
        <f t="shared" si="69"/>
        <v>54</v>
      </c>
    </row>
    <row r="2228" spans="1:11">
      <c r="A2228" t="s">
        <v>234</v>
      </c>
      <c r="B2228">
        <v>2003</v>
      </c>
      <c r="C2228" t="s">
        <v>4696</v>
      </c>
      <c r="D2228">
        <v>16</v>
      </c>
      <c r="E2228">
        <v>0</v>
      </c>
      <c r="F2228" s="13">
        <v>39722.75</v>
      </c>
      <c r="G2228" t="s">
        <v>4701</v>
      </c>
      <c r="H2228" t="s">
        <v>4701</v>
      </c>
      <c r="I2228" t="s">
        <v>4699</v>
      </c>
      <c r="J2228" s="10">
        <f t="shared" si="68"/>
        <v>37818</v>
      </c>
      <c r="K2228">
        <f t="shared" si="69"/>
        <v>19</v>
      </c>
    </row>
    <row r="2229" spans="1:11">
      <c r="A2229" t="s">
        <v>232</v>
      </c>
      <c r="B2229">
        <v>1977</v>
      </c>
      <c r="C2229" t="s">
        <v>4706</v>
      </c>
      <c r="D2229">
        <v>12</v>
      </c>
      <c r="E2229">
        <v>1</v>
      </c>
      <c r="F2229" s="13">
        <v>39725.519999999997</v>
      </c>
      <c r="G2229" t="s">
        <v>4697</v>
      </c>
      <c r="H2229" t="s">
        <v>4701</v>
      </c>
      <c r="I2229" t="s">
        <v>4704</v>
      </c>
      <c r="J2229" s="10">
        <f t="shared" si="68"/>
        <v>28349</v>
      </c>
      <c r="K2229">
        <f t="shared" si="69"/>
        <v>45</v>
      </c>
    </row>
    <row r="2230" spans="1:11">
      <c r="A2230" t="s">
        <v>230</v>
      </c>
      <c r="B2230">
        <v>1973</v>
      </c>
      <c r="C2230" t="s">
        <v>4705</v>
      </c>
      <c r="D2230">
        <v>17</v>
      </c>
      <c r="E2230">
        <v>0</v>
      </c>
      <c r="F2230" s="13">
        <v>39727.61</v>
      </c>
      <c r="G2230" t="s">
        <v>4701</v>
      </c>
      <c r="H2230" t="s">
        <v>4697</v>
      </c>
      <c r="I2230" t="s">
        <v>4708</v>
      </c>
      <c r="J2230" s="10">
        <f t="shared" si="68"/>
        <v>27015</v>
      </c>
      <c r="K2230">
        <f t="shared" si="69"/>
        <v>49</v>
      </c>
    </row>
    <row r="2231" spans="1:11">
      <c r="A2231" t="s">
        <v>228</v>
      </c>
      <c r="B2231">
        <v>1987</v>
      </c>
      <c r="C2231" t="s">
        <v>4696</v>
      </c>
      <c r="D2231">
        <v>24</v>
      </c>
      <c r="E2231">
        <v>1</v>
      </c>
      <c r="F2231" s="13">
        <v>39774.28</v>
      </c>
      <c r="G2231" t="s">
        <v>4701</v>
      </c>
      <c r="H2231" t="s">
        <v>4701</v>
      </c>
      <c r="I2231" t="s">
        <v>4716</v>
      </c>
      <c r="J2231" s="10">
        <f t="shared" si="68"/>
        <v>31982</v>
      </c>
      <c r="K2231">
        <f t="shared" si="69"/>
        <v>35</v>
      </c>
    </row>
    <row r="2232" spans="1:11">
      <c r="A2232" t="s">
        <v>226</v>
      </c>
      <c r="B2232">
        <v>1985</v>
      </c>
      <c r="C2232" t="s">
        <v>4696</v>
      </c>
      <c r="D2232">
        <v>17</v>
      </c>
      <c r="E2232">
        <v>2</v>
      </c>
      <c r="F2232" s="13">
        <v>39836.519999999997</v>
      </c>
      <c r="G2232" t="s">
        <v>4697</v>
      </c>
      <c r="H2232" t="s">
        <v>4701</v>
      </c>
      <c r="I2232" t="s">
        <v>4708</v>
      </c>
      <c r="J2232" s="10">
        <f t="shared" si="68"/>
        <v>31245</v>
      </c>
      <c r="K2232">
        <f t="shared" si="69"/>
        <v>37</v>
      </c>
    </row>
    <row r="2233" spans="1:11">
      <c r="A2233" t="s">
        <v>224</v>
      </c>
      <c r="B2233">
        <v>1983</v>
      </c>
      <c r="C2233" t="s">
        <v>4702</v>
      </c>
      <c r="D2233">
        <v>1</v>
      </c>
      <c r="E2233">
        <v>3</v>
      </c>
      <c r="F2233" s="13">
        <v>39865.699999999997</v>
      </c>
      <c r="G2233" t="s">
        <v>4697</v>
      </c>
      <c r="H2233" t="s">
        <v>4697</v>
      </c>
      <c r="I2233" t="s">
        <v>4708</v>
      </c>
      <c r="J2233" s="10">
        <f t="shared" si="68"/>
        <v>30468</v>
      </c>
      <c r="K2233">
        <f t="shared" si="69"/>
        <v>40</v>
      </c>
    </row>
    <row r="2234" spans="1:11">
      <c r="A2234" t="s">
        <v>222</v>
      </c>
      <c r="B2234">
        <v>1985</v>
      </c>
      <c r="C2234" t="s">
        <v>4706</v>
      </c>
      <c r="D2234">
        <v>22</v>
      </c>
      <c r="E2234">
        <v>1</v>
      </c>
      <c r="F2234" s="13">
        <v>39871.699999999997</v>
      </c>
      <c r="G2234" t="s">
        <v>4701</v>
      </c>
      <c r="H2234" t="s">
        <v>4697</v>
      </c>
      <c r="I2234" t="s">
        <v>4699</v>
      </c>
      <c r="J2234" s="10">
        <f t="shared" si="68"/>
        <v>31281</v>
      </c>
      <c r="K2234">
        <f t="shared" si="69"/>
        <v>37</v>
      </c>
    </row>
    <row r="2235" spans="1:11">
      <c r="A2235" t="s">
        <v>220</v>
      </c>
      <c r="B2235">
        <v>1975</v>
      </c>
      <c r="C2235" t="s">
        <v>4705</v>
      </c>
      <c r="D2235">
        <v>2</v>
      </c>
      <c r="E2235">
        <v>1</v>
      </c>
      <c r="F2235" s="13">
        <v>39963.120000000003</v>
      </c>
      <c r="G2235" t="s">
        <v>4697</v>
      </c>
      <c r="H2235" t="s">
        <v>4697</v>
      </c>
      <c r="I2235" t="s">
        <v>4708</v>
      </c>
      <c r="J2235" s="10">
        <f t="shared" si="68"/>
        <v>27730</v>
      </c>
      <c r="K2235">
        <f t="shared" si="69"/>
        <v>47</v>
      </c>
    </row>
    <row r="2236" spans="1:11">
      <c r="A2236" t="s">
        <v>218</v>
      </c>
      <c r="B2236">
        <v>1987</v>
      </c>
      <c r="C2236" t="s">
        <v>4706</v>
      </c>
      <c r="D2236">
        <v>8</v>
      </c>
      <c r="E2236">
        <v>3</v>
      </c>
      <c r="F2236" s="13">
        <v>39983.43</v>
      </c>
      <c r="G2236" t="s">
        <v>4697</v>
      </c>
      <c r="H2236" t="s">
        <v>4698</v>
      </c>
      <c r="I2236" t="s">
        <v>4704</v>
      </c>
      <c r="J2236" s="10">
        <f t="shared" si="68"/>
        <v>31997</v>
      </c>
      <c r="K2236">
        <f t="shared" si="69"/>
        <v>35</v>
      </c>
    </row>
    <row r="2237" spans="1:11">
      <c r="A2237" t="s">
        <v>216</v>
      </c>
      <c r="B2237">
        <v>1982</v>
      </c>
      <c r="C2237" t="s">
        <v>4705</v>
      </c>
      <c r="D2237">
        <v>25</v>
      </c>
      <c r="E2237">
        <v>2</v>
      </c>
      <c r="F2237" s="13">
        <v>40003.33</v>
      </c>
      <c r="G2237" t="s">
        <v>4701</v>
      </c>
      <c r="H2237" t="s">
        <v>4701</v>
      </c>
      <c r="I2237" t="s">
        <v>4704</v>
      </c>
      <c r="J2237" s="10">
        <f t="shared" si="68"/>
        <v>30310</v>
      </c>
      <c r="K2237">
        <f t="shared" si="69"/>
        <v>40</v>
      </c>
    </row>
    <row r="2238" spans="1:11">
      <c r="A2238" t="s">
        <v>214</v>
      </c>
      <c r="B2238">
        <v>1978</v>
      </c>
      <c r="C2238" t="s">
        <v>4705</v>
      </c>
      <c r="D2238">
        <v>20</v>
      </c>
      <c r="E2238">
        <v>2</v>
      </c>
      <c r="F2238" s="13">
        <v>40054.730000000003</v>
      </c>
      <c r="G2238" t="s">
        <v>4701</v>
      </c>
      <c r="H2238" t="s">
        <v>4698</v>
      </c>
      <c r="I2238" t="s">
        <v>4708</v>
      </c>
      <c r="J2238" s="10">
        <f t="shared" si="68"/>
        <v>28844</v>
      </c>
      <c r="K2238">
        <f t="shared" si="69"/>
        <v>44</v>
      </c>
    </row>
    <row r="2239" spans="1:11">
      <c r="A2239" t="s">
        <v>212</v>
      </c>
      <c r="B2239">
        <v>1966</v>
      </c>
      <c r="C2239" t="s">
        <v>4706</v>
      </c>
      <c r="D2239">
        <v>12</v>
      </c>
      <c r="E2239">
        <v>0</v>
      </c>
      <c r="F2239" s="13">
        <v>40069.440000000002</v>
      </c>
      <c r="G2239" t="s">
        <v>4701</v>
      </c>
      <c r="H2239" t="s">
        <v>4698</v>
      </c>
      <c r="I2239" t="s">
        <v>4708</v>
      </c>
      <c r="J2239" s="10">
        <f t="shared" si="68"/>
        <v>24331</v>
      </c>
      <c r="K2239">
        <f t="shared" si="69"/>
        <v>56</v>
      </c>
    </row>
    <row r="2240" spans="1:11">
      <c r="A2240" t="s">
        <v>210</v>
      </c>
      <c r="B2240">
        <v>1983</v>
      </c>
      <c r="C2240" t="s">
        <v>4707</v>
      </c>
      <c r="D2240">
        <v>14</v>
      </c>
      <c r="E2240">
        <v>2</v>
      </c>
      <c r="F2240" s="13">
        <v>40103.89</v>
      </c>
      <c r="G2240" t="s">
        <v>4701</v>
      </c>
      <c r="H2240" t="s">
        <v>4697</v>
      </c>
      <c r="I2240" t="s">
        <v>4708</v>
      </c>
      <c r="J2240" s="10">
        <f t="shared" si="68"/>
        <v>30603</v>
      </c>
      <c r="K2240">
        <f t="shared" si="69"/>
        <v>39</v>
      </c>
    </row>
    <row r="2241" spans="1:11">
      <c r="A2241" t="s">
        <v>208</v>
      </c>
      <c r="B2241">
        <v>1985</v>
      </c>
      <c r="C2241" t="s">
        <v>4707</v>
      </c>
      <c r="D2241">
        <v>21</v>
      </c>
      <c r="E2241">
        <v>4</v>
      </c>
      <c r="F2241" s="13">
        <v>40182.25</v>
      </c>
      <c r="G2241" t="s">
        <v>4701</v>
      </c>
      <c r="H2241" t="s">
        <v>4697</v>
      </c>
      <c r="I2241" t="s">
        <v>4708</v>
      </c>
      <c r="J2241" s="10">
        <f t="shared" si="68"/>
        <v>31341</v>
      </c>
      <c r="K2241">
        <f t="shared" si="69"/>
        <v>37</v>
      </c>
    </row>
    <row r="2242" spans="1:11">
      <c r="A2242" t="s">
        <v>206</v>
      </c>
      <c r="B2242">
        <v>1979</v>
      </c>
      <c r="C2242" t="s">
        <v>4706</v>
      </c>
      <c r="D2242">
        <v>18</v>
      </c>
      <c r="E2242">
        <v>2</v>
      </c>
      <c r="F2242" s="13">
        <v>40204.83</v>
      </c>
      <c r="G2242" t="s">
        <v>4701</v>
      </c>
      <c r="H2242" t="s">
        <v>4698</v>
      </c>
      <c r="I2242" t="s">
        <v>4704</v>
      </c>
      <c r="J2242" s="10">
        <f t="shared" ref="J2242:J2305" si="70">DATEVALUE(D2242&amp;"-"&amp;C2242&amp;"-"&amp;B2242)</f>
        <v>29085</v>
      </c>
      <c r="K2242">
        <f t="shared" si="69"/>
        <v>43</v>
      </c>
    </row>
    <row r="2243" spans="1:11">
      <c r="A2243" t="s">
        <v>204</v>
      </c>
      <c r="B2243">
        <v>1981</v>
      </c>
      <c r="C2243" t="s">
        <v>4696</v>
      </c>
      <c r="D2243">
        <v>28</v>
      </c>
      <c r="E2243">
        <v>1</v>
      </c>
      <c r="F2243" s="13">
        <v>40208.559999999998</v>
      </c>
      <c r="G2243" t="s">
        <v>4701</v>
      </c>
      <c r="H2243" t="s">
        <v>4697</v>
      </c>
      <c r="I2243" t="s">
        <v>4708</v>
      </c>
      <c r="J2243" s="10">
        <f t="shared" si="70"/>
        <v>29795</v>
      </c>
      <c r="K2243">
        <f t="shared" ref="K2243:K2306" si="71">DATEDIF(J2243, DATE(2023, 6, 8), "Y")</f>
        <v>41</v>
      </c>
    </row>
    <row r="2244" spans="1:11">
      <c r="A2244" t="s">
        <v>202</v>
      </c>
      <c r="B2244">
        <v>1981</v>
      </c>
      <c r="C2244" t="s">
        <v>4707</v>
      </c>
      <c r="D2244">
        <v>4</v>
      </c>
      <c r="E2244">
        <v>1</v>
      </c>
      <c r="F2244" s="13">
        <v>40273.65</v>
      </c>
      <c r="G2244" t="s">
        <v>4701</v>
      </c>
      <c r="H2244" t="s">
        <v>4698</v>
      </c>
      <c r="I2244" t="s">
        <v>4699</v>
      </c>
      <c r="J2244" s="10">
        <f t="shared" si="70"/>
        <v>29863</v>
      </c>
      <c r="K2244">
        <f t="shared" si="71"/>
        <v>41</v>
      </c>
    </row>
    <row r="2245" spans="1:11">
      <c r="A2245" t="s">
        <v>200</v>
      </c>
      <c r="B2245">
        <v>1977</v>
      </c>
      <c r="C2245" t="s">
        <v>4702</v>
      </c>
      <c r="D2245">
        <v>27</v>
      </c>
      <c r="E2245">
        <v>2</v>
      </c>
      <c r="F2245" s="13">
        <v>40284.379999999997</v>
      </c>
      <c r="G2245" t="s">
        <v>4701</v>
      </c>
      <c r="H2245" t="s">
        <v>4698</v>
      </c>
      <c r="I2245" t="s">
        <v>4704</v>
      </c>
      <c r="J2245" s="10">
        <f t="shared" si="70"/>
        <v>28303</v>
      </c>
      <c r="K2245">
        <f t="shared" si="71"/>
        <v>45</v>
      </c>
    </row>
    <row r="2246" spans="1:11">
      <c r="A2246" t="s">
        <v>198</v>
      </c>
      <c r="B2246">
        <v>1962</v>
      </c>
      <c r="C2246" t="s">
        <v>4703</v>
      </c>
      <c r="D2246">
        <v>4</v>
      </c>
      <c r="E2246">
        <v>0</v>
      </c>
      <c r="F2246" s="13">
        <v>40309.93</v>
      </c>
      <c r="G2246" t="s">
        <v>4701</v>
      </c>
      <c r="H2246" t="s">
        <v>4698</v>
      </c>
      <c r="I2246" t="s">
        <v>4708</v>
      </c>
      <c r="J2246" s="10">
        <f t="shared" si="70"/>
        <v>22893</v>
      </c>
      <c r="K2246">
        <f t="shared" si="71"/>
        <v>60</v>
      </c>
    </row>
    <row r="2247" spans="1:11">
      <c r="A2247" t="s">
        <v>196</v>
      </c>
      <c r="B2247">
        <v>1966</v>
      </c>
      <c r="C2247" t="s">
        <v>4706</v>
      </c>
      <c r="D2247">
        <v>12</v>
      </c>
      <c r="E2247">
        <v>0</v>
      </c>
      <c r="F2247" s="13">
        <v>40373.74</v>
      </c>
      <c r="G2247" t="s">
        <v>4701</v>
      </c>
      <c r="H2247" t="s">
        <v>4698</v>
      </c>
      <c r="I2247" t="s">
        <v>4708</v>
      </c>
      <c r="J2247" s="10">
        <f t="shared" si="70"/>
        <v>24331</v>
      </c>
      <c r="K2247">
        <f t="shared" si="71"/>
        <v>56</v>
      </c>
    </row>
    <row r="2248" spans="1:11">
      <c r="A2248" t="s">
        <v>194</v>
      </c>
      <c r="B2248">
        <v>1985</v>
      </c>
      <c r="C2248" t="s">
        <v>4700</v>
      </c>
      <c r="D2248">
        <v>3</v>
      </c>
      <c r="E2248">
        <v>0</v>
      </c>
      <c r="F2248" s="13">
        <v>40419.019999999997</v>
      </c>
      <c r="G2248" t="s">
        <v>4701</v>
      </c>
      <c r="H2248" t="s">
        <v>4697</v>
      </c>
      <c r="I2248" t="s">
        <v>4699</v>
      </c>
      <c r="J2248" s="10">
        <f t="shared" si="70"/>
        <v>31354</v>
      </c>
      <c r="K2248">
        <f t="shared" si="71"/>
        <v>37</v>
      </c>
    </row>
    <row r="2249" spans="1:11">
      <c r="A2249" t="s">
        <v>192</v>
      </c>
      <c r="B2249">
        <v>1975</v>
      </c>
      <c r="C2249" t="s">
        <v>4696</v>
      </c>
      <c r="D2249">
        <v>10</v>
      </c>
      <c r="E2249">
        <v>1</v>
      </c>
      <c r="F2249" s="13">
        <v>40590.550000000003</v>
      </c>
      <c r="G2249" t="s">
        <v>4701</v>
      </c>
      <c r="H2249" t="s">
        <v>4698</v>
      </c>
      <c r="I2249" t="s">
        <v>4704</v>
      </c>
      <c r="J2249" s="10">
        <f t="shared" si="70"/>
        <v>27585</v>
      </c>
      <c r="K2249">
        <f t="shared" si="71"/>
        <v>47</v>
      </c>
    </row>
    <row r="2250" spans="1:11">
      <c r="A2250" t="s">
        <v>190</v>
      </c>
      <c r="B2250">
        <v>1970</v>
      </c>
      <c r="C2250" t="s">
        <v>4703</v>
      </c>
      <c r="D2250">
        <v>25</v>
      </c>
      <c r="E2250">
        <v>0</v>
      </c>
      <c r="F2250" s="13">
        <v>40692.910000000003</v>
      </c>
      <c r="G2250" t="s">
        <v>4701</v>
      </c>
      <c r="H2250" t="s">
        <v>4701</v>
      </c>
      <c r="I2250" t="s">
        <v>4708</v>
      </c>
      <c r="J2250" s="10">
        <f t="shared" si="70"/>
        <v>25836</v>
      </c>
      <c r="K2250">
        <f t="shared" si="71"/>
        <v>52</v>
      </c>
    </row>
    <row r="2251" spans="1:11">
      <c r="A2251" t="s">
        <v>188</v>
      </c>
      <c r="B2251">
        <v>1976</v>
      </c>
      <c r="C2251" t="s">
        <v>4705</v>
      </c>
      <c r="D2251">
        <v>26</v>
      </c>
      <c r="E2251">
        <v>3</v>
      </c>
      <c r="F2251" s="13">
        <v>40720.550000000003</v>
      </c>
      <c r="G2251" t="s">
        <v>4701</v>
      </c>
      <c r="H2251" t="s">
        <v>4698</v>
      </c>
      <c r="I2251" t="s">
        <v>4704</v>
      </c>
      <c r="J2251" s="10">
        <f t="shared" si="70"/>
        <v>28120</v>
      </c>
      <c r="K2251">
        <f t="shared" si="71"/>
        <v>46</v>
      </c>
    </row>
    <row r="2252" spans="1:11">
      <c r="A2252" t="s">
        <v>186</v>
      </c>
      <c r="B2252">
        <v>1972</v>
      </c>
      <c r="C2252" t="s">
        <v>4702</v>
      </c>
      <c r="D2252">
        <v>10</v>
      </c>
      <c r="E2252">
        <v>0</v>
      </c>
      <c r="F2252" s="13">
        <v>40817.85</v>
      </c>
      <c r="G2252" t="s">
        <v>4701</v>
      </c>
      <c r="H2252" t="s">
        <v>4698</v>
      </c>
      <c r="I2252" t="s">
        <v>4708</v>
      </c>
      <c r="J2252" s="10">
        <f t="shared" si="70"/>
        <v>26460</v>
      </c>
      <c r="K2252">
        <f t="shared" si="71"/>
        <v>50</v>
      </c>
    </row>
    <row r="2253" spans="1:11">
      <c r="A2253" t="s">
        <v>184</v>
      </c>
      <c r="B2253">
        <v>1999</v>
      </c>
      <c r="C2253" t="s">
        <v>4696</v>
      </c>
      <c r="D2253">
        <v>2</v>
      </c>
      <c r="E2253">
        <v>1</v>
      </c>
      <c r="F2253" s="13">
        <v>40904.199999999997</v>
      </c>
      <c r="G2253" t="s">
        <v>4701</v>
      </c>
      <c r="H2253" t="s">
        <v>4701</v>
      </c>
      <c r="I2253" t="s">
        <v>4714</v>
      </c>
      <c r="J2253" s="10">
        <f t="shared" si="70"/>
        <v>36343</v>
      </c>
      <c r="K2253">
        <f t="shared" si="71"/>
        <v>23</v>
      </c>
    </row>
    <row r="2254" spans="1:11">
      <c r="A2254" t="s">
        <v>182</v>
      </c>
      <c r="B2254">
        <v>1992</v>
      </c>
      <c r="C2254" t="s">
        <v>4706</v>
      </c>
      <c r="D2254">
        <v>4</v>
      </c>
      <c r="E2254">
        <v>3</v>
      </c>
      <c r="F2254" s="13">
        <v>40932.43</v>
      </c>
      <c r="G2254" t="s">
        <v>4701</v>
      </c>
      <c r="H2254" t="s">
        <v>4697</v>
      </c>
      <c r="I2254" t="s">
        <v>4699</v>
      </c>
      <c r="J2254" s="10">
        <f t="shared" si="70"/>
        <v>33820</v>
      </c>
      <c r="K2254">
        <f t="shared" si="71"/>
        <v>30</v>
      </c>
    </row>
    <row r="2255" spans="1:11">
      <c r="A2255" t="s">
        <v>180</v>
      </c>
      <c r="B2255">
        <v>1979</v>
      </c>
      <c r="C2255" t="s">
        <v>4703</v>
      </c>
      <c r="D2255">
        <v>16</v>
      </c>
      <c r="E2255">
        <v>3</v>
      </c>
      <c r="F2255" s="13">
        <v>40941.29</v>
      </c>
      <c r="G2255" t="s">
        <v>4701</v>
      </c>
      <c r="H2255" t="s">
        <v>4697</v>
      </c>
      <c r="I2255" t="s">
        <v>4699</v>
      </c>
      <c r="J2255" s="10">
        <f t="shared" si="70"/>
        <v>29114</v>
      </c>
      <c r="K2255">
        <f t="shared" si="71"/>
        <v>43</v>
      </c>
    </row>
    <row r="2256" spans="1:11">
      <c r="A2256" t="s">
        <v>178</v>
      </c>
      <c r="B2256">
        <v>1983</v>
      </c>
      <c r="C2256" t="s">
        <v>4703</v>
      </c>
      <c r="D2256">
        <v>8</v>
      </c>
      <c r="E2256">
        <v>3</v>
      </c>
      <c r="F2256" s="13">
        <v>40961.29</v>
      </c>
      <c r="G2256" t="s">
        <v>4701</v>
      </c>
      <c r="H2256" t="s">
        <v>4697</v>
      </c>
      <c r="I2256" t="s">
        <v>4708</v>
      </c>
      <c r="J2256" s="10">
        <f t="shared" si="70"/>
        <v>30567</v>
      </c>
      <c r="K2256">
        <f t="shared" si="71"/>
        <v>39</v>
      </c>
    </row>
    <row r="2257" spans="1:11">
      <c r="A2257" t="s">
        <v>176</v>
      </c>
      <c r="B2257">
        <v>1974</v>
      </c>
      <c r="C2257" t="s">
        <v>4702</v>
      </c>
      <c r="D2257">
        <v>5</v>
      </c>
      <c r="E2257">
        <v>0</v>
      </c>
      <c r="F2257" s="13">
        <v>40974.160000000003</v>
      </c>
      <c r="G2257" t="s">
        <v>4701</v>
      </c>
      <c r="H2257" t="s">
        <v>4697</v>
      </c>
      <c r="I2257" t="s">
        <v>4699</v>
      </c>
      <c r="J2257" s="10">
        <f t="shared" si="70"/>
        <v>27185</v>
      </c>
      <c r="K2257">
        <f t="shared" si="71"/>
        <v>49</v>
      </c>
    </row>
    <row r="2258" spans="1:11">
      <c r="A2258" t="s">
        <v>174</v>
      </c>
      <c r="B2258">
        <v>1979</v>
      </c>
      <c r="C2258" t="s">
        <v>4707</v>
      </c>
      <c r="D2258">
        <v>11</v>
      </c>
      <c r="E2258">
        <v>1</v>
      </c>
      <c r="F2258" s="13">
        <v>41034.22</v>
      </c>
      <c r="G2258" t="s">
        <v>4701</v>
      </c>
      <c r="H2258" t="s">
        <v>4698</v>
      </c>
      <c r="I2258" t="s">
        <v>4718</v>
      </c>
      <c r="J2258" s="10">
        <f t="shared" si="70"/>
        <v>29139</v>
      </c>
      <c r="K2258">
        <f t="shared" si="71"/>
        <v>43</v>
      </c>
    </row>
    <row r="2259" spans="1:11">
      <c r="A2259" t="s">
        <v>172</v>
      </c>
      <c r="B2259">
        <v>1972</v>
      </c>
      <c r="C2259" t="s">
        <v>4706</v>
      </c>
      <c r="D2259">
        <v>12</v>
      </c>
      <c r="E2259">
        <v>0</v>
      </c>
      <c r="F2259" s="13">
        <v>41055.29</v>
      </c>
      <c r="G2259" t="s">
        <v>4701</v>
      </c>
      <c r="H2259" t="s">
        <v>4697</v>
      </c>
      <c r="I2259" t="s">
        <v>4708</v>
      </c>
      <c r="J2259" s="10">
        <f t="shared" si="70"/>
        <v>26523</v>
      </c>
      <c r="K2259">
        <f t="shared" si="71"/>
        <v>50</v>
      </c>
    </row>
    <row r="2260" spans="1:11">
      <c r="A2260" t="s">
        <v>170</v>
      </c>
      <c r="B2260">
        <v>1972</v>
      </c>
      <c r="C2260" t="s">
        <v>4703</v>
      </c>
      <c r="D2260">
        <v>6</v>
      </c>
      <c r="E2260">
        <v>0</v>
      </c>
      <c r="F2260" s="13">
        <v>41097.160000000003</v>
      </c>
      <c r="G2260" t="s">
        <v>4701</v>
      </c>
      <c r="H2260" t="s">
        <v>4698</v>
      </c>
      <c r="I2260" t="s">
        <v>4711</v>
      </c>
      <c r="J2260" s="10">
        <f t="shared" si="70"/>
        <v>26548</v>
      </c>
      <c r="K2260">
        <f t="shared" si="71"/>
        <v>50</v>
      </c>
    </row>
    <row r="2261" spans="1:11">
      <c r="A2261" t="s">
        <v>168</v>
      </c>
      <c r="B2261">
        <v>1969</v>
      </c>
      <c r="C2261" t="s">
        <v>4706</v>
      </c>
      <c r="D2261">
        <v>8</v>
      </c>
      <c r="E2261">
        <v>0</v>
      </c>
      <c r="F2261" s="13">
        <v>41191.57</v>
      </c>
      <c r="G2261" t="s">
        <v>4701</v>
      </c>
      <c r="H2261" t="s">
        <v>4697</v>
      </c>
      <c r="I2261" t="s">
        <v>4708</v>
      </c>
      <c r="J2261" s="10">
        <f t="shared" si="70"/>
        <v>25423</v>
      </c>
      <c r="K2261">
        <f t="shared" si="71"/>
        <v>53</v>
      </c>
    </row>
    <row r="2262" spans="1:11">
      <c r="A2262" t="s">
        <v>166</v>
      </c>
      <c r="B2262">
        <v>1964</v>
      </c>
      <c r="C2262" t="s">
        <v>4702</v>
      </c>
      <c r="D2262">
        <v>6</v>
      </c>
      <c r="E2262">
        <v>0</v>
      </c>
      <c r="F2262" s="13">
        <v>41250.39</v>
      </c>
      <c r="G2262" t="s">
        <v>4701</v>
      </c>
      <c r="H2262" t="s">
        <v>4698</v>
      </c>
      <c r="I2262" t="s">
        <v>4708</v>
      </c>
      <c r="J2262" s="10">
        <f t="shared" si="70"/>
        <v>23534</v>
      </c>
      <c r="K2262">
        <f t="shared" si="71"/>
        <v>59</v>
      </c>
    </row>
    <row r="2263" spans="1:11">
      <c r="A2263" t="s">
        <v>164</v>
      </c>
      <c r="B2263">
        <v>1977</v>
      </c>
      <c r="C2263" t="s">
        <v>4706</v>
      </c>
      <c r="D2263">
        <v>27</v>
      </c>
      <c r="E2263">
        <v>2</v>
      </c>
      <c r="F2263" s="13">
        <v>41271.5</v>
      </c>
      <c r="G2263" t="s">
        <v>4701</v>
      </c>
      <c r="H2263" t="s">
        <v>4697</v>
      </c>
      <c r="I2263" t="s">
        <v>4708</v>
      </c>
      <c r="J2263" s="10">
        <f t="shared" si="70"/>
        <v>28364</v>
      </c>
      <c r="K2263">
        <f t="shared" si="71"/>
        <v>45</v>
      </c>
    </row>
    <row r="2264" spans="1:11">
      <c r="A2264" t="s">
        <v>162</v>
      </c>
      <c r="B2264">
        <v>1964</v>
      </c>
      <c r="C2264" t="s">
        <v>4707</v>
      </c>
      <c r="D2264">
        <v>7</v>
      </c>
      <c r="E2264">
        <v>0</v>
      </c>
      <c r="F2264" s="13">
        <v>41331.79</v>
      </c>
      <c r="G2264" t="s">
        <v>4701</v>
      </c>
      <c r="H2264" t="s">
        <v>4697</v>
      </c>
      <c r="I2264" t="s">
        <v>4708</v>
      </c>
      <c r="J2264" s="10">
        <f t="shared" si="70"/>
        <v>23657</v>
      </c>
      <c r="K2264">
        <f t="shared" si="71"/>
        <v>58</v>
      </c>
    </row>
    <row r="2265" spans="1:11">
      <c r="A2265" t="s">
        <v>160</v>
      </c>
      <c r="B2265">
        <v>1971</v>
      </c>
      <c r="C2265" t="s">
        <v>4707</v>
      </c>
      <c r="D2265">
        <v>16</v>
      </c>
      <c r="E2265">
        <v>0</v>
      </c>
      <c r="F2265" s="13">
        <v>41351.879999999997</v>
      </c>
      <c r="G2265" t="s">
        <v>4701</v>
      </c>
      <c r="H2265" t="s">
        <v>4697</v>
      </c>
      <c r="I2265" t="s">
        <v>4708</v>
      </c>
      <c r="J2265" s="10">
        <f t="shared" si="70"/>
        <v>26222</v>
      </c>
      <c r="K2265">
        <f t="shared" si="71"/>
        <v>51</v>
      </c>
    </row>
    <row r="2266" spans="1:11">
      <c r="A2266" t="s">
        <v>158</v>
      </c>
      <c r="B2266">
        <v>1967</v>
      </c>
      <c r="C2266" t="s">
        <v>4705</v>
      </c>
      <c r="D2266">
        <v>22</v>
      </c>
      <c r="E2266">
        <v>0</v>
      </c>
      <c r="F2266" s="13">
        <v>41505.15</v>
      </c>
      <c r="G2266" t="s">
        <v>4701</v>
      </c>
      <c r="H2266" t="s">
        <v>4697</v>
      </c>
      <c r="I2266" t="s">
        <v>4708</v>
      </c>
      <c r="J2266" s="10">
        <f t="shared" si="70"/>
        <v>24828</v>
      </c>
      <c r="K2266">
        <f t="shared" si="71"/>
        <v>55</v>
      </c>
    </row>
    <row r="2267" spans="1:11">
      <c r="A2267" t="s">
        <v>156</v>
      </c>
      <c r="B2267">
        <v>1974</v>
      </c>
      <c r="C2267" t="s">
        <v>4700</v>
      </c>
      <c r="D2267">
        <v>24</v>
      </c>
      <c r="E2267">
        <v>0</v>
      </c>
      <c r="F2267" s="13">
        <v>41636.199999999997</v>
      </c>
      <c r="G2267" t="s">
        <v>4701</v>
      </c>
      <c r="H2267" t="s">
        <v>4701</v>
      </c>
      <c r="I2267" t="s">
        <v>4708</v>
      </c>
      <c r="J2267" s="10">
        <f t="shared" si="70"/>
        <v>27357</v>
      </c>
      <c r="K2267">
        <f t="shared" si="71"/>
        <v>48</v>
      </c>
    </row>
    <row r="2268" spans="1:11">
      <c r="A2268" t="s">
        <v>154</v>
      </c>
      <c r="B2268">
        <v>1976</v>
      </c>
      <c r="C2268" t="s">
        <v>4707</v>
      </c>
      <c r="D2268">
        <v>29</v>
      </c>
      <c r="E2268">
        <v>1</v>
      </c>
      <c r="F2268" s="13">
        <v>41661.599999999999</v>
      </c>
      <c r="G2268" t="s">
        <v>4701</v>
      </c>
      <c r="H2268" t="s">
        <v>4698</v>
      </c>
      <c r="I2268" t="s">
        <v>4708</v>
      </c>
      <c r="J2268" s="10">
        <f t="shared" si="70"/>
        <v>28062</v>
      </c>
      <c r="K2268">
        <f t="shared" si="71"/>
        <v>46</v>
      </c>
    </row>
    <row r="2269" spans="1:11">
      <c r="A2269" t="s">
        <v>152</v>
      </c>
      <c r="B2269">
        <v>1975</v>
      </c>
      <c r="C2269" t="s">
        <v>4700</v>
      </c>
      <c r="D2269">
        <v>14</v>
      </c>
      <c r="E2269">
        <v>0</v>
      </c>
      <c r="F2269" s="13">
        <v>41676.080000000002</v>
      </c>
      <c r="G2269" t="s">
        <v>4701</v>
      </c>
      <c r="H2269" t="s">
        <v>4697</v>
      </c>
      <c r="I2269" t="s">
        <v>4699</v>
      </c>
      <c r="J2269" s="10">
        <f t="shared" si="70"/>
        <v>27712</v>
      </c>
      <c r="K2269">
        <f t="shared" si="71"/>
        <v>47</v>
      </c>
    </row>
    <row r="2270" spans="1:11">
      <c r="A2270" t="s">
        <v>150</v>
      </c>
      <c r="B2270">
        <v>1975</v>
      </c>
      <c r="C2270" t="s">
        <v>4703</v>
      </c>
      <c r="D2270">
        <v>29</v>
      </c>
      <c r="E2270">
        <v>1</v>
      </c>
      <c r="F2270" s="13">
        <v>41681.86</v>
      </c>
      <c r="G2270" t="s">
        <v>4701</v>
      </c>
      <c r="H2270" t="s">
        <v>4701</v>
      </c>
      <c r="I2270" t="s">
        <v>4708</v>
      </c>
      <c r="J2270" s="10">
        <f t="shared" si="70"/>
        <v>27666</v>
      </c>
      <c r="K2270">
        <f t="shared" si="71"/>
        <v>47</v>
      </c>
    </row>
    <row r="2271" spans="1:11">
      <c r="A2271" t="s">
        <v>148</v>
      </c>
      <c r="B2271">
        <v>1962</v>
      </c>
      <c r="C2271" t="s">
        <v>4703</v>
      </c>
      <c r="D2271">
        <v>22</v>
      </c>
      <c r="E2271">
        <v>0</v>
      </c>
      <c r="F2271" s="13">
        <v>41794.629999999997</v>
      </c>
      <c r="G2271" t="s">
        <v>4701</v>
      </c>
      <c r="H2271" t="s">
        <v>4698</v>
      </c>
      <c r="I2271" t="s">
        <v>4708</v>
      </c>
      <c r="J2271" s="10">
        <f t="shared" si="70"/>
        <v>22911</v>
      </c>
      <c r="K2271">
        <f t="shared" si="71"/>
        <v>60</v>
      </c>
    </row>
    <row r="2272" spans="1:11">
      <c r="A2272" t="s">
        <v>146</v>
      </c>
      <c r="B2272">
        <v>1966</v>
      </c>
      <c r="C2272" t="s">
        <v>4703</v>
      </c>
      <c r="D2272">
        <v>21</v>
      </c>
      <c r="E2272">
        <v>0</v>
      </c>
      <c r="F2272" s="13">
        <v>41886.54</v>
      </c>
      <c r="G2272" t="s">
        <v>4701</v>
      </c>
      <c r="H2272" t="s">
        <v>4698</v>
      </c>
      <c r="I2272" t="s">
        <v>4708</v>
      </c>
      <c r="J2272" s="10">
        <f t="shared" si="70"/>
        <v>24371</v>
      </c>
      <c r="K2272">
        <f t="shared" si="71"/>
        <v>56</v>
      </c>
    </row>
    <row r="2273" spans="1:11">
      <c r="A2273" t="s">
        <v>144</v>
      </c>
      <c r="B2273">
        <v>1972</v>
      </c>
      <c r="C2273" t="s">
        <v>4702</v>
      </c>
      <c r="D2273">
        <v>8</v>
      </c>
      <c r="E2273">
        <v>1</v>
      </c>
      <c r="F2273" s="13">
        <v>41919.1</v>
      </c>
      <c r="G2273" t="s">
        <v>4701</v>
      </c>
      <c r="H2273" t="s">
        <v>4701</v>
      </c>
      <c r="I2273" t="s">
        <v>4711</v>
      </c>
      <c r="J2273" s="10">
        <f t="shared" si="70"/>
        <v>26458</v>
      </c>
      <c r="K2273">
        <f t="shared" si="71"/>
        <v>51</v>
      </c>
    </row>
    <row r="2274" spans="1:11">
      <c r="A2274" t="s">
        <v>142</v>
      </c>
      <c r="B2274">
        <v>1984</v>
      </c>
      <c r="C2274" t="s">
        <v>4700</v>
      </c>
      <c r="D2274">
        <v>10</v>
      </c>
      <c r="E2274">
        <v>3</v>
      </c>
      <c r="F2274" s="13">
        <v>41949.24</v>
      </c>
      <c r="G2274" t="s">
        <v>4701</v>
      </c>
      <c r="H2274" t="s">
        <v>4701</v>
      </c>
      <c r="I2274" t="s">
        <v>4699</v>
      </c>
      <c r="J2274" s="10">
        <f t="shared" si="70"/>
        <v>30996</v>
      </c>
      <c r="K2274">
        <f t="shared" si="71"/>
        <v>38</v>
      </c>
    </row>
    <row r="2275" spans="1:11">
      <c r="A2275" t="s">
        <v>140</v>
      </c>
      <c r="B2275">
        <v>1968</v>
      </c>
      <c r="C2275" t="s">
        <v>4705</v>
      </c>
      <c r="D2275">
        <v>19</v>
      </c>
      <c r="E2275">
        <v>1</v>
      </c>
      <c r="F2275" s="13">
        <v>41999.519999999997</v>
      </c>
      <c r="G2275" t="s">
        <v>4701</v>
      </c>
      <c r="H2275" t="s">
        <v>4698</v>
      </c>
      <c r="I2275" t="s">
        <v>4699</v>
      </c>
      <c r="J2275" s="10">
        <f t="shared" si="70"/>
        <v>25191</v>
      </c>
      <c r="K2275">
        <f t="shared" si="71"/>
        <v>54</v>
      </c>
    </row>
    <row r="2276" spans="1:11">
      <c r="A2276" t="s">
        <v>138</v>
      </c>
      <c r="B2276">
        <v>1976</v>
      </c>
      <c r="C2276" t="s">
        <v>4700</v>
      </c>
      <c r="D2276">
        <v>28</v>
      </c>
      <c r="E2276">
        <v>0</v>
      </c>
      <c r="F2276" s="13">
        <v>42111.66</v>
      </c>
      <c r="G2276" t="s">
        <v>4701</v>
      </c>
      <c r="H2276" t="s">
        <v>4701</v>
      </c>
      <c r="I2276" t="s">
        <v>4714</v>
      </c>
      <c r="J2276" s="10">
        <f t="shared" si="70"/>
        <v>28092</v>
      </c>
      <c r="K2276">
        <f t="shared" si="71"/>
        <v>46</v>
      </c>
    </row>
    <row r="2277" spans="1:11">
      <c r="A2277" t="s">
        <v>136</v>
      </c>
      <c r="B2277">
        <v>1997</v>
      </c>
      <c r="C2277" t="s">
        <v>4705</v>
      </c>
      <c r="D2277">
        <v>9</v>
      </c>
      <c r="E2277">
        <v>2</v>
      </c>
      <c r="F2277" s="13">
        <v>42112.24</v>
      </c>
      <c r="G2277" t="s">
        <v>4701</v>
      </c>
      <c r="H2277" t="s">
        <v>4698</v>
      </c>
      <c r="I2277" t="s">
        <v>4699</v>
      </c>
      <c r="J2277" s="10">
        <f t="shared" si="70"/>
        <v>35773</v>
      </c>
      <c r="K2277">
        <f t="shared" si="71"/>
        <v>25</v>
      </c>
    </row>
    <row r="2278" spans="1:11">
      <c r="A2278" t="s">
        <v>134</v>
      </c>
      <c r="B2278">
        <v>1979</v>
      </c>
      <c r="C2278" t="s">
        <v>4696</v>
      </c>
      <c r="D2278">
        <v>3</v>
      </c>
      <c r="E2278">
        <v>3</v>
      </c>
      <c r="F2278" s="13">
        <v>42124.52</v>
      </c>
      <c r="G2278" t="s">
        <v>4701</v>
      </c>
      <c r="H2278" t="s">
        <v>4701</v>
      </c>
      <c r="I2278" t="s">
        <v>4699</v>
      </c>
      <c r="J2278" s="10">
        <f t="shared" si="70"/>
        <v>29039</v>
      </c>
      <c r="K2278">
        <f t="shared" si="71"/>
        <v>43</v>
      </c>
    </row>
    <row r="2279" spans="1:11">
      <c r="A2279" t="s">
        <v>132</v>
      </c>
      <c r="B2279">
        <v>1973</v>
      </c>
      <c r="C2279" t="s">
        <v>4703</v>
      </c>
      <c r="D2279">
        <v>18</v>
      </c>
      <c r="E2279">
        <v>0</v>
      </c>
      <c r="F2279" s="13">
        <v>42188.15</v>
      </c>
      <c r="G2279" t="s">
        <v>4701</v>
      </c>
      <c r="H2279" t="s">
        <v>4701</v>
      </c>
      <c r="I2279" t="s">
        <v>4708</v>
      </c>
      <c r="J2279" s="10">
        <f t="shared" si="70"/>
        <v>26925</v>
      </c>
      <c r="K2279">
        <f t="shared" si="71"/>
        <v>49</v>
      </c>
    </row>
    <row r="2280" spans="1:11">
      <c r="A2280" t="s">
        <v>130</v>
      </c>
      <c r="B2280">
        <v>1975</v>
      </c>
      <c r="C2280" t="s">
        <v>4706</v>
      </c>
      <c r="D2280">
        <v>15</v>
      </c>
      <c r="E2280">
        <v>1</v>
      </c>
      <c r="F2280" s="13">
        <v>42211.14</v>
      </c>
      <c r="G2280" t="s">
        <v>4701</v>
      </c>
      <c r="H2280" t="s">
        <v>4698</v>
      </c>
      <c r="I2280" t="s">
        <v>4699</v>
      </c>
      <c r="J2280" s="10">
        <f t="shared" si="70"/>
        <v>27621</v>
      </c>
      <c r="K2280">
        <f t="shared" si="71"/>
        <v>47</v>
      </c>
    </row>
    <row r="2281" spans="1:11">
      <c r="A2281" t="s">
        <v>128</v>
      </c>
      <c r="B2281">
        <v>1967</v>
      </c>
      <c r="C2281" t="s">
        <v>4702</v>
      </c>
      <c r="D2281">
        <v>28</v>
      </c>
      <c r="E2281">
        <v>0</v>
      </c>
      <c r="F2281" s="13">
        <v>42303.69</v>
      </c>
      <c r="G2281" t="s">
        <v>4701</v>
      </c>
      <c r="H2281" t="s">
        <v>4697</v>
      </c>
      <c r="I2281" t="s">
        <v>4711</v>
      </c>
      <c r="J2281" s="10">
        <f t="shared" si="70"/>
        <v>24651</v>
      </c>
      <c r="K2281">
        <f t="shared" si="71"/>
        <v>55</v>
      </c>
    </row>
    <row r="2282" spans="1:11">
      <c r="A2282" t="s">
        <v>126</v>
      </c>
      <c r="B2282">
        <v>1968</v>
      </c>
      <c r="C2282" t="s">
        <v>4706</v>
      </c>
      <c r="D2282">
        <v>3</v>
      </c>
      <c r="E2282">
        <v>0</v>
      </c>
      <c r="F2282" s="13">
        <v>42478.6</v>
      </c>
      <c r="G2282" t="s">
        <v>4701</v>
      </c>
      <c r="H2282" t="s">
        <v>4697</v>
      </c>
      <c r="I2282" t="s">
        <v>4708</v>
      </c>
      <c r="J2282" s="10">
        <f t="shared" si="70"/>
        <v>25053</v>
      </c>
      <c r="K2282">
        <f t="shared" si="71"/>
        <v>54</v>
      </c>
    </row>
    <row r="2283" spans="1:11">
      <c r="A2283" t="s">
        <v>124</v>
      </c>
      <c r="B2283">
        <v>1967</v>
      </c>
      <c r="C2283" t="s">
        <v>4702</v>
      </c>
      <c r="D2283">
        <v>27</v>
      </c>
      <c r="E2283">
        <v>0</v>
      </c>
      <c r="F2283" s="13">
        <v>42538.720000000001</v>
      </c>
      <c r="G2283" t="s">
        <v>4701</v>
      </c>
      <c r="H2283" t="s">
        <v>4698</v>
      </c>
      <c r="I2283" t="s">
        <v>4708</v>
      </c>
      <c r="J2283" s="10">
        <f t="shared" si="70"/>
        <v>24650</v>
      </c>
      <c r="K2283">
        <f t="shared" si="71"/>
        <v>55</v>
      </c>
    </row>
    <row r="2284" spans="1:11">
      <c r="A2284" t="s">
        <v>122</v>
      </c>
      <c r="B2284">
        <v>1979</v>
      </c>
      <c r="C2284" t="s">
        <v>4705</v>
      </c>
      <c r="D2284">
        <v>27</v>
      </c>
      <c r="E2284">
        <v>2</v>
      </c>
      <c r="F2284" s="13">
        <v>42560.43</v>
      </c>
      <c r="G2284" t="s">
        <v>4701</v>
      </c>
      <c r="H2284" t="s">
        <v>4698</v>
      </c>
      <c r="I2284" t="s">
        <v>4699</v>
      </c>
      <c r="J2284" s="10">
        <f t="shared" si="70"/>
        <v>29216</v>
      </c>
      <c r="K2284">
        <f t="shared" si="71"/>
        <v>43</v>
      </c>
    </row>
    <row r="2285" spans="1:11">
      <c r="A2285" t="s">
        <v>120</v>
      </c>
      <c r="B2285">
        <v>1971</v>
      </c>
      <c r="C2285" t="s">
        <v>4700</v>
      </c>
      <c r="D2285">
        <v>3</v>
      </c>
      <c r="E2285">
        <v>0</v>
      </c>
      <c r="F2285" s="13">
        <v>42644.2</v>
      </c>
      <c r="G2285" t="s">
        <v>4701</v>
      </c>
      <c r="H2285" t="s">
        <v>4698</v>
      </c>
      <c r="I2285" t="s">
        <v>4708</v>
      </c>
      <c r="J2285" s="10">
        <f t="shared" si="70"/>
        <v>26240</v>
      </c>
      <c r="K2285">
        <f t="shared" si="71"/>
        <v>51</v>
      </c>
    </row>
    <row r="2286" spans="1:11">
      <c r="A2286" t="s">
        <v>118</v>
      </c>
      <c r="B2286">
        <v>1977</v>
      </c>
      <c r="C2286" t="s">
        <v>4707</v>
      </c>
      <c r="D2286">
        <v>21</v>
      </c>
      <c r="E2286">
        <v>2</v>
      </c>
      <c r="F2286" s="13">
        <v>42760.5</v>
      </c>
      <c r="G2286" t="s">
        <v>4701</v>
      </c>
      <c r="H2286" t="s">
        <v>4697</v>
      </c>
      <c r="I2286" t="s">
        <v>4704</v>
      </c>
      <c r="J2286" s="10">
        <f t="shared" si="70"/>
        <v>28419</v>
      </c>
      <c r="K2286">
        <f t="shared" si="71"/>
        <v>45</v>
      </c>
    </row>
    <row r="2287" spans="1:11">
      <c r="A2287" t="s">
        <v>116</v>
      </c>
      <c r="B2287">
        <v>1965</v>
      </c>
      <c r="C2287" t="s">
        <v>4707</v>
      </c>
      <c r="D2287">
        <v>29</v>
      </c>
      <c r="E2287">
        <v>0</v>
      </c>
      <c r="F2287" s="13">
        <v>42764.12</v>
      </c>
      <c r="G2287" t="s">
        <v>4701</v>
      </c>
      <c r="H2287" t="s">
        <v>4697</v>
      </c>
      <c r="I2287" t="s">
        <v>4708</v>
      </c>
      <c r="J2287" s="10">
        <f t="shared" si="70"/>
        <v>24044</v>
      </c>
      <c r="K2287">
        <f t="shared" si="71"/>
        <v>57</v>
      </c>
    </row>
    <row r="2288" spans="1:11">
      <c r="A2288" t="s">
        <v>114</v>
      </c>
      <c r="B2288">
        <v>1972</v>
      </c>
      <c r="C2288" t="s">
        <v>4703</v>
      </c>
      <c r="D2288">
        <v>10</v>
      </c>
      <c r="E2288">
        <v>2</v>
      </c>
      <c r="F2288" s="13">
        <v>42856.84</v>
      </c>
      <c r="G2288" t="s">
        <v>4701</v>
      </c>
      <c r="H2288" t="s">
        <v>4701</v>
      </c>
      <c r="I2288" t="s">
        <v>4708</v>
      </c>
      <c r="J2288" s="10">
        <f t="shared" si="70"/>
        <v>26552</v>
      </c>
      <c r="K2288">
        <f t="shared" si="71"/>
        <v>50</v>
      </c>
    </row>
    <row r="2289" spans="1:11">
      <c r="A2289" t="s">
        <v>112</v>
      </c>
      <c r="B2289">
        <v>1975</v>
      </c>
      <c r="C2289" t="s">
        <v>4707</v>
      </c>
      <c r="D2289">
        <v>23</v>
      </c>
      <c r="E2289">
        <v>1</v>
      </c>
      <c r="F2289" s="13">
        <v>42969.85</v>
      </c>
      <c r="G2289" t="s">
        <v>4701</v>
      </c>
      <c r="H2289" t="s">
        <v>4698</v>
      </c>
      <c r="I2289" t="s">
        <v>4699</v>
      </c>
      <c r="J2289" s="10">
        <f t="shared" si="70"/>
        <v>27690</v>
      </c>
      <c r="K2289">
        <f t="shared" si="71"/>
        <v>47</v>
      </c>
    </row>
    <row r="2290" spans="1:11">
      <c r="A2290" t="s">
        <v>110</v>
      </c>
      <c r="B2290">
        <v>1978</v>
      </c>
      <c r="C2290" t="s">
        <v>4700</v>
      </c>
      <c r="D2290">
        <v>4</v>
      </c>
      <c r="E2290">
        <v>0</v>
      </c>
      <c r="F2290" s="13">
        <v>42983.46</v>
      </c>
      <c r="G2290" t="s">
        <v>4701</v>
      </c>
      <c r="H2290" t="s">
        <v>4697</v>
      </c>
      <c r="I2290" t="s">
        <v>4704</v>
      </c>
      <c r="J2290" s="10">
        <f t="shared" si="70"/>
        <v>28798</v>
      </c>
      <c r="K2290">
        <f t="shared" si="71"/>
        <v>44</v>
      </c>
    </row>
    <row r="2291" spans="1:11">
      <c r="A2291" t="s">
        <v>108</v>
      </c>
      <c r="B2291">
        <v>1965</v>
      </c>
      <c r="C2291" t="s">
        <v>4700</v>
      </c>
      <c r="D2291">
        <v>29</v>
      </c>
      <c r="E2291">
        <v>0</v>
      </c>
      <c r="F2291" s="13">
        <v>43073.760000000002</v>
      </c>
      <c r="G2291" t="s">
        <v>4697</v>
      </c>
      <c r="H2291" t="s">
        <v>4697</v>
      </c>
      <c r="I2291" t="s">
        <v>4708</v>
      </c>
      <c r="J2291" s="10">
        <f t="shared" si="70"/>
        <v>24075</v>
      </c>
      <c r="K2291">
        <f t="shared" si="71"/>
        <v>57</v>
      </c>
    </row>
    <row r="2292" spans="1:11">
      <c r="A2292" t="s">
        <v>106</v>
      </c>
      <c r="B2292">
        <v>1969</v>
      </c>
      <c r="C2292" t="s">
        <v>4705</v>
      </c>
      <c r="D2292">
        <v>3</v>
      </c>
      <c r="E2292">
        <v>0</v>
      </c>
      <c r="F2292" s="13">
        <v>43254.42</v>
      </c>
      <c r="G2292" t="s">
        <v>4697</v>
      </c>
      <c r="H2292" t="s">
        <v>4697</v>
      </c>
      <c r="I2292" t="s">
        <v>4711</v>
      </c>
      <c r="J2292" s="10">
        <f t="shared" si="70"/>
        <v>25540</v>
      </c>
      <c r="K2292">
        <f t="shared" si="71"/>
        <v>53</v>
      </c>
    </row>
    <row r="2293" spans="1:11">
      <c r="A2293" t="s">
        <v>104</v>
      </c>
      <c r="B2293">
        <v>1965</v>
      </c>
      <c r="C2293" t="s">
        <v>4706</v>
      </c>
      <c r="D2293">
        <v>22</v>
      </c>
      <c r="E2293">
        <v>0</v>
      </c>
      <c r="F2293" s="13">
        <v>43578.94</v>
      </c>
      <c r="G2293" t="s">
        <v>4697</v>
      </c>
      <c r="H2293" t="s">
        <v>4697</v>
      </c>
      <c r="I2293" t="s">
        <v>4704</v>
      </c>
      <c r="J2293" s="10">
        <f t="shared" si="70"/>
        <v>23976</v>
      </c>
      <c r="K2293">
        <f t="shared" si="71"/>
        <v>57</v>
      </c>
    </row>
    <row r="2294" spans="1:11">
      <c r="A2294" t="s">
        <v>102</v>
      </c>
      <c r="B2294">
        <v>1986</v>
      </c>
      <c r="C2294" t="s">
        <v>4705</v>
      </c>
      <c r="D2294">
        <v>29</v>
      </c>
      <c r="E2294">
        <v>3</v>
      </c>
      <c r="F2294" s="13">
        <v>43753.34</v>
      </c>
      <c r="G2294" t="s">
        <v>4697</v>
      </c>
      <c r="H2294" t="s">
        <v>4701</v>
      </c>
      <c r="I2294" t="s">
        <v>4709</v>
      </c>
      <c r="J2294" s="10">
        <f t="shared" si="70"/>
        <v>31775</v>
      </c>
      <c r="K2294">
        <f t="shared" si="71"/>
        <v>36</v>
      </c>
    </row>
    <row r="2295" spans="1:11">
      <c r="A2295" t="s">
        <v>100</v>
      </c>
      <c r="B2295">
        <v>1966</v>
      </c>
      <c r="C2295" t="s">
        <v>4707</v>
      </c>
      <c r="D2295">
        <v>25</v>
      </c>
      <c r="E2295">
        <v>2</v>
      </c>
      <c r="F2295" s="13">
        <v>43813.87</v>
      </c>
      <c r="G2295" t="s">
        <v>4697</v>
      </c>
      <c r="H2295" t="s">
        <v>4697</v>
      </c>
      <c r="I2295" t="s">
        <v>4699</v>
      </c>
      <c r="J2295" s="10">
        <f t="shared" si="70"/>
        <v>24405</v>
      </c>
      <c r="K2295">
        <f t="shared" si="71"/>
        <v>56</v>
      </c>
    </row>
    <row r="2296" spans="1:11">
      <c r="A2296" t="s">
        <v>98</v>
      </c>
      <c r="B2296">
        <v>1966</v>
      </c>
      <c r="C2296" t="s">
        <v>4696</v>
      </c>
      <c r="D2296">
        <v>2</v>
      </c>
      <c r="E2296">
        <v>0</v>
      </c>
      <c r="F2296" s="13">
        <v>43817.45</v>
      </c>
      <c r="G2296" t="s">
        <v>4697</v>
      </c>
      <c r="H2296" t="s">
        <v>4698</v>
      </c>
      <c r="I2296" t="s">
        <v>4704</v>
      </c>
      <c r="J2296" s="10">
        <f t="shared" si="70"/>
        <v>24290</v>
      </c>
      <c r="K2296">
        <f t="shared" si="71"/>
        <v>56</v>
      </c>
    </row>
    <row r="2297" spans="1:11">
      <c r="A2297" t="s">
        <v>96</v>
      </c>
      <c r="B2297">
        <v>1980</v>
      </c>
      <c r="C2297" t="s">
        <v>4700</v>
      </c>
      <c r="D2297">
        <v>10</v>
      </c>
      <c r="E2297">
        <v>2</v>
      </c>
      <c r="F2297" s="13">
        <v>43896.38</v>
      </c>
      <c r="G2297" t="s">
        <v>4697</v>
      </c>
      <c r="H2297" t="s">
        <v>4701</v>
      </c>
      <c r="I2297" t="s">
        <v>4699</v>
      </c>
      <c r="J2297" s="10">
        <f t="shared" si="70"/>
        <v>29535</v>
      </c>
      <c r="K2297">
        <f t="shared" si="71"/>
        <v>42</v>
      </c>
    </row>
    <row r="2298" spans="1:11">
      <c r="A2298" t="s">
        <v>94</v>
      </c>
      <c r="B2298">
        <v>1966</v>
      </c>
      <c r="C2298" t="s">
        <v>4707</v>
      </c>
      <c r="D2298">
        <v>5</v>
      </c>
      <c r="E2298">
        <v>0</v>
      </c>
      <c r="F2298" s="13">
        <v>43921.18</v>
      </c>
      <c r="G2298" t="s">
        <v>4697</v>
      </c>
      <c r="H2298" t="s">
        <v>4697</v>
      </c>
      <c r="I2298" t="s">
        <v>4704</v>
      </c>
      <c r="J2298" s="10">
        <f t="shared" si="70"/>
        <v>24385</v>
      </c>
      <c r="K2298">
        <f t="shared" si="71"/>
        <v>56</v>
      </c>
    </row>
    <row r="2299" spans="1:11">
      <c r="A2299" t="s">
        <v>92</v>
      </c>
      <c r="B2299">
        <v>1988</v>
      </c>
      <c r="C2299" t="s">
        <v>4696</v>
      </c>
      <c r="D2299">
        <v>16</v>
      </c>
      <c r="E2299">
        <v>1</v>
      </c>
      <c r="F2299" s="13">
        <v>43943.88</v>
      </c>
      <c r="G2299" t="s">
        <v>4697</v>
      </c>
      <c r="H2299" t="s">
        <v>4701</v>
      </c>
      <c r="I2299" t="s">
        <v>4704</v>
      </c>
      <c r="J2299" s="10">
        <f t="shared" si="70"/>
        <v>32340</v>
      </c>
      <c r="K2299">
        <f t="shared" si="71"/>
        <v>34</v>
      </c>
    </row>
    <row r="2300" spans="1:11">
      <c r="A2300" t="s">
        <v>90</v>
      </c>
      <c r="B2300">
        <v>1975</v>
      </c>
      <c r="C2300" t="s">
        <v>4702</v>
      </c>
      <c r="D2300">
        <v>1</v>
      </c>
      <c r="E2300">
        <v>2</v>
      </c>
      <c r="F2300" s="13">
        <v>44202.65</v>
      </c>
      <c r="G2300" t="s">
        <v>4697</v>
      </c>
      <c r="H2300" t="s">
        <v>4697</v>
      </c>
      <c r="I2300" t="s">
        <v>4699</v>
      </c>
      <c r="J2300" s="10">
        <f t="shared" si="70"/>
        <v>27546</v>
      </c>
      <c r="K2300">
        <f t="shared" si="71"/>
        <v>48</v>
      </c>
    </row>
    <row r="2301" spans="1:11">
      <c r="A2301" t="s">
        <v>88</v>
      </c>
      <c r="B2301">
        <v>1968</v>
      </c>
      <c r="C2301" t="s">
        <v>4700</v>
      </c>
      <c r="D2301">
        <v>24</v>
      </c>
      <c r="E2301">
        <v>2</v>
      </c>
      <c r="F2301" s="13">
        <v>44260.75</v>
      </c>
      <c r="G2301" t="s">
        <v>4697</v>
      </c>
      <c r="H2301" t="s">
        <v>4701</v>
      </c>
      <c r="I2301" t="s">
        <v>4699</v>
      </c>
      <c r="J2301" s="10">
        <f t="shared" si="70"/>
        <v>25166</v>
      </c>
      <c r="K2301">
        <f t="shared" si="71"/>
        <v>54</v>
      </c>
    </row>
    <row r="2302" spans="1:11">
      <c r="A2302" t="s">
        <v>86</v>
      </c>
      <c r="B2302">
        <v>1971</v>
      </c>
      <c r="C2302" t="s">
        <v>4707</v>
      </c>
      <c r="D2302">
        <v>29</v>
      </c>
      <c r="E2302">
        <v>0</v>
      </c>
      <c r="F2302" s="13">
        <v>44400.41</v>
      </c>
      <c r="G2302" t="s">
        <v>4697</v>
      </c>
      <c r="H2302" t="s">
        <v>4697</v>
      </c>
      <c r="I2302" t="s">
        <v>4699</v>
      </c>
      <c r="J2302" s="10">
        <f t="shared" si="70"/>
        <v>26235</v>
      </c>
      <c r="K2302">
        <f t="shared" si="71"/>
        <v>51</v>
      </c>
    </row>
    <row r="2303" spans="1:11">
      <c r="A2303" t="s">
        <v>84</v>
      </c>
      <c r="B2303">
        <v>1967</v>
      </c>
      <c r="C2303" t="s">
        <v>4703</v>
      </c>
      <c r="D2303">
        <v>14</v>
      </c>
      <c r="E2303">
        <v>0</v>
      </c>
      <c r="F2303" s="13">
        <v>44423.8</v>
      </c>
      <c r="G2303" t="s">
        <v>4697</v>
      </c>
      <c r="H2303" t="s">
        <v>4698</v>
      </c>
      <c r="I2303" t="s">
        <v>4699</v>
      </c>
      <c r="J2303" s="10">
        <f t="shared" si="70"/>
        <v>24729</v>
      </c>
      <c r="K2303">
        <f t="shared" si="71"/>
        <v>55</v>
      </c>
    </row>
    <row r="2304" spans="1:11">
      <c r="A2304" t="s">
        <v>82</v>
      </c>
      <c r="B2304">
        <v>2000</v>
      </c>
      <c r="C2304" t="s">
        <v>4706</v>
      </c>
      <c r="D2304">
        <v>2</v>
      </c>
      <c r="E2304">
        <v>1</v>
      </c>
      <c r="F2304" s="13">
        <v>44501.4</v>
      </c>
      <c r="G2304" t="s">
        <v>4697</v>
      </c>
      <c r="H2304" t="s">
        <v>4698</v>
      </c>
      <c r="I2304" t="s">
        <v>4699</v>
      </c>
      <c r="J2304" s="10">
        <f t="shared" si="70"/>
        <v>36740</v>
      </c>
      <c r="K2304">
        <f t="shared" si="71"/>
        <v>22</v>
      </c>
    </row>
    <row r="2305" spans="1:11">
      <c r="A2305" t="s">
        <v>80</v>
      </c>
      <c r="B2305">
        <v>1993</v>
      </c>
      <c r="C2305" t="s">
        <v>4707</v>
      </c>
      <c r="D2305">
        <v>11</v>
      </c>
      <c r="E2305">
        <v>2</v>
      </c>
      <c r="F2305" s="13">
        <v>44585.46</v>
      </c>
      <c r="G2305" t="s">
        <v>4697</v>
      </c>
      <c r="H2305" t="s">
        <v>4697</v>
      </c>
      <c r="I2305" t="s">
        <v>4708</v>
      </c>
      <c r="J2305" s="10">
        <f t="shared" si="70"/>
        <v>34253</v>
      </c>
      <c r="K2305">
        <f t="shared" si="71"/>
        <v>29</v>
      </c>
    </row>
    <row r="2306" spans="1:11">
      <c r="A2306" t="s">
        <v>78</v>
      </c>
      <c r="B2306">
        <v>1971</v>
      </c>
      <c r="C2306" t="s">
        <v>4706</v>
      </c>
      <c r="D2306">
        <v>13</v>
      </c>
      <c r="E2306">
        <v>2</v>
      </c>
      <c r="F2306" s="13">
        <v>44641.2</v>
      </c>
      <c r="G2306" t="s">
        <v>4697</v>
      </c>
      <c r="H2306" t="s">
        <v>4698</v>
      </c>
      <c r="I2306" t="s">
        <v>4714</v>
      </c>
      <c r="J2306" s="10">
        <f t="shared" ref="J2306:J2344" si="72">DATEVALUE(D2306&amp;"-"&amp;C2306&amp;"-"&amp;B2306)</f>
        <v>26158</v>
      </c>
      <c r="K2306">
        <f t="shared" si="71"/>
        <v>51</v>
      </c>
    </row>
    <row r="2307" spans="1:11">
      <c r="A2307" t="s">
        <v>76</v>
      </c>
      <c r="B2307">
        <v>1962</v>
      </c>
      <c r="C2307" t="s">
        <v>4705</v>
      </c>
      <c r="D2307">
        <v>17</v>
      </c>
      <c r="E2307">
        <v>0</v>
      </c>
      <c r="F2307" s="13">
        <v>45008.959999999999</v>
      </c>
      <c r="G2307" t="s">
        <v>4697</v>
      </c>
      <c r="H2307" t="s">
        <v>4697</v>
      </c>
      <c r="I2307" t="s">
        <v>4699</v>
      </c>
      <c r="J2307" s="10">
        <f t="shared" si="72"/>
        <v>22997</v>
      </c>
      <c r="K2307">
        <f t="shared" ref="K2307:K2344" si="73">DATEDIF(J2307, DATE(2023, 6, 8), "Y")</f>
        <v>60</v>
      </c>
    </row>
    <row r="2308" spans="1:11">
      <c r="A2308" t="s">
        <v>74</v>
      </c>
      <c r="B2308">
        <v>1974</v>
      </c>
      <c r="C2308" t="s">
        <v>4706</v>
      </c>
      <c r="D2308">
        <v>9</v>
      </c>
      <c r="E2308">
        <v>2</v>
      </c>
      <c r="F2308" s="13">
        <v>45702.02</v>
      </c>
      <c r="G2308" t="s">
        <v>4697</v>
      </c>
      <c r="H2308" t="s">
        <v>4697</v>
      </c>
      <c r="I2308" t="s">
        <v>4704</v>
      </c>
      <c r="J2308" s="10">
        <f t="shared" si="72"/>
        <v>27250</v>
      </c>
      <c r="K2308">
        <f t="shared" si="73"/>
        <v>48</v>
      </c>
    </row>
    <row r="2309" spans="1:11">
      <c r="A2309" t="s">
        <v>72</v>
      </c>
      <c r="B2309">
        <v>1960</v>
      </c>
      <c r="C2309" t="s">
        <v>4705</v>
      </c>
      <c r="D2309">
        <v>21</v>
      </c>
      <c r="E2309">
        <v>0</v>
      </c>
      <c r="F2309" s="13">
        <v>45710.21</v>
      </c>
      <c r="G2309" t="s">
        <v>4697</v>
      </c>
      <c r="H2309" t="s">
        <v>4697</v>
      </c>
      <c r="I2309" t="s">
        <v>4711</v>
      </c>
      <c r="J2309" s="10">
        <f t="shared" si="72"/>
        <v>22271</v>
      </c>
      <c r="K2309">
        <f t="shared" si="73"/>
        <v>62</v>
      </c>
    </row>
    <row r="2310" spans="1:11">
      <c r="A2310" t="s">
        <v>70</v>
      </c>
      <c r="B2310">
        <v>1979</v>
      </c>
      <c r="C2310" t="s">
        <v>4706</v>
      </c>
      <c r="D2310">
        <v>12</v>
      </c>
      <c r="E2310">
        <v>0</v>
      </c>
      <c r="F2310" s="13">
        <v>45863.21</v>
      </c>
      <c r="G2310" t="s">
        <v>4697</v>
      </c>
      <c r="H2310" t="s">
        <v>4701</v>
      </c>
      <c r="I2310" t="s">
        <v>4699</v>
      </c>
      <c r="J2310" s="10">
        <f t="shared" si="72"/>
        <v>29079</v>
      </c>
      <c r="K2310">
        <f t="shared" si="73"/>
        <v>43</v>
      </c>
    </row>
    <row r="2311" spans="1:11">
      <c r="A2311" t="s">
        <v>68</v>
      </c>
      <c r="B2311">
        <v>1985</v>
      </c>
      <c r="C2311" t="s">
        <v>4703</v>
      </c>
      <c r="D2311">
        <v>30</v>
      </c>
      <c r="E2311">
        <v>2</v>
      </c>
      <c r="F2311" s="13">
        <v>46113.51</v>
      </c>
      <c r="G2311" t="s">
        <v>4697</v>
      </c>
      <c r="H2311" t="s">
        <v>4698</v>
      </c>
      <c r="I2311" t="s">
        <v>4708</v>
      </c>
      <c r="J2311" s="10">
        <f t="shared" si="72"/>
        <v>31320</v>
      </c>
      <c r="K2311">
        <f t="shared" si="73"/>
        <v>37</v>
      </c>
    </row>
    <row r="2312" spans="1:11">
      <c r="A2312" t="s">
        <v>66</v>
      </c>
      <c r="B2312">
        <v>1962</v>
      </c>
      <c r="C2312" t="s">
        <v>4705</v>
      </c>
      <c r="D2312">
        <v>4</v>
      </c>
      <c r="E2312">
        <v>3</v>
      </c>
      <c r="F2312" s="13">
        <v>46130.53</v>
      </c>
      <c r="G2312" t="s">
        <v>4701</v>
      </c>
      <c r="H2312" t="s">
        <v>4701</v>
      </c>
      <c r="I2312" t="s">
        <v>4704</v>
      </c>
      <c r="J2312" s="10">
        <f t="shared" si="72"/>
        <v>22984</v>
      </c>
      <c r="K2312">
        <f t="shared" si="73"/>
        <v>60</v>
      </c>
    </row>
    <row r="2313" spans="1:11">
      <c r="A2313" t="s">
        <v>64</v>
      </c>
      <c r="B2313">
        <v>1976</v>
      </c>
      <c r="C2313" t="s">
        <v>4705</v>
      </c>
      <c r="D2313">
        <v>2</v>
      </c>
      <c r="E2313">
        <v>3</v>
      </c>
      <c r="F2313" s="13">
        <v>46151.12</v>
      </c>
      <c r="G2313" t="s">
        <v>4701</v>
      </c>
      <c r="H2313" t="s">
        <v>4698</v>
      </c>
      <c r="I2313" t="s">
        <v>4699</v>
      </c>
      <c r="J2313" s="10">
        <f t="shared" si="72"/>
        <v>28096</v>
      </c>
      <c r="K2313">
        <f t="shared" si="73"/>
        <v>46</v>
      </c>
    </row>
    <row r="2314" spans="1:11">
      <c r="A2314" t="s">
        <v>62</v>
      </c>
      <c r="B2314">
        <v>1978</v>
      </c>
      <c r="C2314" t="s">
        <v>4706</v>
      </c>
      <c r="D2314">
        <v>17</v>
      </c>
      <c r="E2314">
        <v>2</v>
      </c>
      <c r="F2314" s="13">
        <v>46200.99</v>
      </c>
      <c r="G2314" t="s">
        <v>4701</v>
      </c>
      <c r="H2314" t="s">
        <v>4701</v>
      </c>
      <c r="I2314" t="s">
        <v>4699</v>
      </c>
      <c r="J2314" s="10">
        <f t="shared" si="72"/>
        <v>28719</v>
      </c>
      <c r="K2314">
        <f t="shared" si="73"/>
        <v>44</v>
      </c>
    </row>
    <row r="2315" spans="1:11">
      <c r="A2315" t="s">
        <v>60</v>
      </c>
      <c r="B2315">
        <v>1971</v>
      </c>
      <c r="C2315" t="s">
        <v>4705</v>
      </c>
      <c r="D2315">
        <v>6</v>
      </c>
      <c r="E2315">
        <v>3</v>
      </c>
      <c r="F2315" s="13">
        <v>46255.11</v>
      </c>
      <c r="G2315" t="s">
        <v>4701</v>
      </c>
      <c r="H2315" t="s">
        <v>4698</v>
      </c>
      <c r="I2315" t="s">
        <v>4714</v>
      </c>
      <c r="J2315" s="10">
        <f t="shared" si="72"/>
        <v>26273</v>
      </c>
      <c r="K2315">
        <f t="shared" si="73"/>
        <v>51</v>
      </c>
    </row>
    <row r="2316" spans="1:11">
      <c r="A2316" t="s">
        <v>58</v>
      </c>
      <c r="B2316">
        <v>1961</v>
      </c>
      <c r="C2316" t="s">
        <v>4706</v>
      </c>
      <c r="D2316">
        <v>8</v>
      </c>
      <c r="E2316">
        <v>0</v>
      </c>
      <c r="F2316" s="13">
        <v>46599.11</v>
      </c>
      <c r="G2316" t="s">
        <v>4701</v>
      </c>
      <c r="H2316" t="s">
        <v>4701</v>
      </c>
      <c r="I2316" t="s">
        <v>4699</v>
      </c>
      <c r="J2316" s="10">
        <f t="shared" si="72"/>
        <v>22501</v>
      </c>
      <c r="K2316">
        <f t="shared" si="73"/>
        <v>61</v>
      </c>
    </row>
    <row r="2317" spans="1:11">
      <c r="A2317" t="s">
        <v>56</v>
      </c>
      <c r="B2317">
        <v>1969</v>
      </c>
      <c r="C2317" t="s">
        <v>4702</v>
      </c>
      <c r="D2317">
        <v>23</v>
      </c>
      <c r="E2317">
        <v>3</v>
      </c>
      <c r="F2317" s="13">
        <v>46661.440000000002</v>
      </c>
      <c r="G2317" t="s">
        <v>4701</v>
      </c>
      <c r="H2317" t="s">
        <v>4698</v>
      </c>
      <c r="I2317" t="s">
        <v>4704</v>
      </c>
      <c r="J2317" s="10">
        <f t="shared" si="72"/>
        <v>25377</v>
      </c>
      <c r="K2317">
        <f t="shared" si="73"/>
        <v>53</v>
      </c>
    </row>
    <row r="2318" spans="1:11">
      <c r="A2318" t="s">
        <v>54</v>
      </c>
      <c r="B2318">
        <v>1960</v>
      </c>
      <c r="C2318" t="s">
        <v>4700</v>
      </c>
      <c r="D2318">
        <v>17</v>
      </c>
      <c r="E2318">
        <v>3</v>
      </c>
      <c r="F2318" s="13">
        <v>46718.16</v>
      </c>
      <c r="G2318" t="s">
        <v>4701</v>
      </c>
      <c r="H2318" t="s">
        <v>4701</v>
      </c>
      <c r="I2318" t="s">
        <v>4704</v>
      </c>
      <c r="J2318" s="10">
        <f t="shared" si="72"/>
        <v>22237</v>
      </c>
      <c r="K2318">
        <f t="shared" si="73"/>
        <v>62</v>
      </c>
    </row>
    <row r="2319" spans="1:11">
      <c r="A2319" t="s">
        <v>52</v>
      </c>
      <c r="B2319">
        <v>1958</v>
      </c>
      <c r="C2319" t="s">
        <v>4703</v>
      </c>
      <c r="D2319">
        <v>15</v>
      </c>
      <c r="E2319">
        <v>0</v>
      </c>
      <c r="F2319" s="13">
        <v>46889.26</v>
      </c>
      <c r="G2319" t="s">
        <v>4697</v>
      </c>
      <c r="H2319" t="s">
        <v>4698</v>
      </c>
      <c r="I2319" t="s">
        <v>4699</v>
      </c>
      <c r="J2319" s="10">
        <f t="shared" si="72"/>
        <v>21443</v>
      </c>
      <c r="K2319">
        <f t="shared" si="73"/>
        <v>64</v>
      </c>
    </row>
    <row r="2320" spans="1:11">
      <c r="A2320" t="s">
        <v>50</v>
      </c>
      <c r="B2320">
        <v>1959</v>
      </c>
      <c r="C2320" t="s">
        <v>4696</v>
      </c>
      <c r="D2320">
        <v>14</v>
      </c>
      <c r="E2320">
        <v>0</v>
      </c>
      <c r="F2320" s="13">
        <v>47055.53</v>
      </c>
      <c r="G2320" t="s">
        <v>4697</v>
      </c>
      <c r="H2320" t="s">
        <v>4701</v>
      </c>
      <c r="I2320" t="s">
        <v>4699</v>
      </c>
      <c r="J2320" s="10">
        <f t="shared" si="72"/>
        <v>21745</v>
      </c>
      <c r="K2320">
        <f t="shared" si="73"/>
        <v>63</v>
      </c>
    </row>
    <row r="2321" spans="1:11">
      <c r="A2321" t="s">
        <v>48</v>
      </c>
      <c r="B2321">
        <v>1970</v>
      </c>
      <c r="C2321" t="s">
        <v>4705</v>
      </c>
      <c r="D2321">
        <v>28</v>
      </c>
      <c r="E2321">
        <v>2</v>
      </c>
      <c r="F2321" s="13">
        <v>47269.85</v>
      </c>
      <c r="G2321" t="s">
        <v>4701</v>
      </c>
      <c r="H2321" t="s">
        <v>4697</v>
      </c>
      <c r="I2321" t="s">
        <v>4699</v>
      </c>
      <c r="J2321" s="10">
        <f t="shared" si="72"/>
        <v>25930</v>
      </c>
      <c r="K2321">
        <f t="shared" si="73"/>
        <v>52</v>
      </c>
    </row>
    <row r="2322" spans="1:11">
      <c r="A2322" t="s">
        <v>46</v>
      </c>
      <c r="B2322">
        <v>1958</v>
      </c>
      <c r="C2322" t="s">
        <v>4703</v>
      </c>
      <c r="D2322">
        <v>3</v>
      </c>
      <c r="E2322">
        <v>2</v>
      </c>
      <c r="F2322" s="13">
        <v>47291.06</v>
      </c>
      <c r="G2322" t="s">
        <v>4697</v>
      </c>
      <c r="H2322" t="s">
        <v>4701</v>
      </c>
      <c r="I2322" t="s">
        <v>4708</v>
      </c>
      <c r="J2322" s="10">
        <f t="shared" si="72"/>
        <v>21431</v>
      </c>
      <c r="K2322">
        <f t="shared" si="73"/>
        <v>64</v>
      </c>
    </row>
    <row r="2323" spans="1:11">
      <c r="A2323" t="s">
        <v>44</v>
      </c>
      <c r="B2323">
        <v>1959</v>
      </c>
      <c r="C2323" t="s">
        <v>4707</v>
      </c>
      <c r="D2323">
        <v>4</v>
      </c>
      <c r="E2323">
        <v>2</v>
      </c>
      <c r="F2323" s="13">
        <v>47305.31</v>
      </c>
      <c r="G2323" t="s">
        <v>4697</v>
      </c>
      <c r="H2323" t="s">
        <v>4701</v>
      </c>
      <c r="I2323" t="s">
        <v>4708</v>
      </c>
      <c r="J2323" s="10">
        <f t="shared" si="72"/>
        <v>21827</v>
      </c>
      <c r="K2323">
        <f t="shared" si="73"/>
        <v>63</v>
      </c>
    </row>
    <row r="2324" spans="1:11">
      <c r="A2324" t="s">
        <v>42</v>
      </c>
      <c r="B2324">
        <v>1961</v>
      </c>
      <c r="C2324" t="s">
        <v>4702</v>
      </c>
      <c r="D2324">
        <v>13</v>
      </c>
      <c r="E2324">
        <v>1</v>
      </c>
      <c r="F2324" s="13">
        <v>47403.88</v>
      </c>
      <c r="G2324" t="s">
        <v>4701</v>
      </c>
      <c r="H2324" t="s">
        <v>4698</v>
      </c>
      <c r="I2324" t="s">
        <v>4708</v>
      </c>
      <c r="J2324" s="10">
        <f t="shared" si="72"/>
        <v>22445</v>
      </c>
      <c r="K2324">
        <f t="shared" si="73"/>
        <v>61</v>
      </c>
    </row>
    <row r="2325" spans="1:11">
      <c r="A2325" t="s">
        <v>40</v>
      </c>
      <c r="B2325">
        <v>1971</v>
      </c>
      <c r="C2325" t="s">
        <v>4703</v>
      </c>
      <c r="D2325">
        <v>27</v>
      </c>
      <c r="E2325">
        <v>2</v>
      </c>
      <c r="F2325" s="13">
        <v>47462.89</v>
      </c>
      <c r="G2325" t="s">
        <v>4701</v>
      </c>
      <c r="H2325" t="s">
        <v>4697</v>
      </c>
      <c r="I2325" t="s">
        <v>4699</v>
      </c>
      <c r="J2325" s="10">
        <f t="shared" si="72"/>
        <v>26203</v>
      </c>
      <c r="K2325">
        <f t="shared" si="73"/>
        <v>51</v>
      </c>
    </row>
    <row r="2326" spans="1:11">
      <c r="A2326" t="s">
        <v>38</v>
      </c>
      <c r="B2326">
        <v>1964</v>
      </c>
      <c r="C2326" t="s">
        <v>4700</v>
      </c>
      <c r="D2326">
        <v>7</v>
      </c>
      <c r="E2326">
        <v>2</v>
      </c>
      <c r="F2326" s="13">
        <v>47496.49</v>
      </c>
      <c r="G2326" t="s">
        <v>4701</v>
      </c>
      <c r="H2326" t="s">
        <v>4698</v>
      </c>
      <c r="I2326" t="s">
        <v>4704</v>
      </c>
      <c r="J2326" s="10">
        <f t="shared" si="72"/>
        <v>23688</v>
      </c>
      <c r="K2326">
        <f t="shared" si="73"/>
        <v>58</v>
      </c>
    </row>
    <row r="2327" spans="1:11">
      <c r="A2327" t="s">
        <v>36</v>
      </c>
      <c r="B2327">
        <v>1963</v>
      </c>
      <c r="C2327" t="s">
        <v>4706</v>
      </c>
      <c r="D2327">
        <v>5</v>
      </c>
      <c r="E2327">
        <v>1</v>
      </c>
      <c r="F2327" s="13">
        <v>47896.79</v>
      </c>
      <c r="G2327" t="s">
        <v>4701</v>
      </c>
      <c r="H2327" t="s">
        <v>4698</v>
      </c>
      <c r="I2327" t="s">
        <v>4714</v>
      </c>
      <c r="J2327" s="10">
        <f t="shared" si="72"/>
        <v>23228</v>
      </c>
      <c r="K2327">
        <f t="shared" si="73"/>
        <v>59</v>
      </c>
    </row>
    <row r="2328" spans="1:11">
      <c r="A2328" t="s">
        <v>34</v>
      </c>
      <c r="B2328">
        <v>1958</v>
      </c>
      <c r="C2328" t="s">
        <v>4700</v>
      </c>
      <c r="D2328">
        <v>16</v>
      </c>
      <c r="E2328">
        <v>1</v>
      </c>
      <c r="F2328" s="13">
        <v>47928.03</v>
      </c>
      <c r="G2328" t="s">
        <v>4697</v>
      </c>
      <c r="H2328" t="s">
        <v>4698</v>
      </c>
      <c r="I2328" t="s">
        <v>4708</v>
      </c>
      <c r="J2328" s="10">
        <f t="shared" si="72"/>
        <v>21505</v>
      </c>
      <c r="K2328">
        <f t="shared" si="73"/>
        <v>64</v>
      </c>
    </row>
    <row r="2329" spans="1:11">
      <c r="A2329" t="s">
        <v>32</v>
      </c>
      <c r="B2329">
        <v>1962</v>
      </c>
      <c r="C2329" t="s">
        <v>4706</v>
      </c>
      <c r="D2329">
        <v>27</v>
      </c>
      <c r="E2329">
        <v>0</v>
      </c>
      <c r="F2329" s="13">
        <v>48173.36</v>
      </c>
      <c r="G2329" t="s">
        <v>4701</v>
      </c>
      <c r="H2329" t="s">
        <v>4698</v>
      </c>
      <c r="I2329" t="s">
        <v>4708</v>
      </c>
      <c r="J2329" s="10">
        <f t="shared" si="72"/>
        <v>22885</v>
      </c>
      <c r="K2329">
        <f t="shared" si="73"/>
        <v>60</v>
      </c>
    </row>
    <row r="2330" spans="1:11">
      <c r="A2330" t="s">
        <v>30</v>
      </c>
      <c r="B2330">
        <v>1961</v>
      </c>
      <c r="C2330" t="s">
        <v>4705</v>
      </c>
      <c r="D2330">
        <v>21</v>
      </c>
      <c r="E2330">
        <v>1</v>
      </c>
      <c r="F2330" s="13">
        <v>48517.56</v>
      </c>
      <c r="G2330" t="s">
        <v>4701</v>
      </c>
      <c r="H2330" t="s">
        <v>4698</v>
      </c>
      <c r="I2330" t="s">
        <v>4714</v>
      </c>
      <c r="J2330" s="10">
        <f t="shared" si="72"/>
        <v>22636</v>
      </c>
      <c r="K2330">
        <f t="shared" si="73"/>
        <v>61</v>
      </c>
    </row>
    <row r="2331" spans="1:11">
      <c r="A2331" t="s">
        <v>28</v>
      </c>
      <c r="B2331">
        <v>1968</v>
      </c>
      <c r="C2331" t="s">
        <v>4705</v>
      </c>
      <c r="D2331">
        <v>1</v>
      </c>
      <c r="E2331">
        <v>3</v>
      </c>
      <c r="F2331" s="13">
        <v>48549.18</v>
      </c>
      <c r="G2331" t="s">
        <v>4701</v>
      </c>
      <c r="H2331" t="s">
        <v>4698</v>
      </c>
      <c r="I2331" t="s">
        <v>4711</v>
      </c>
      <c r="J2331" s="10">
        <f t="shared" si="72"/>
        <v>25173</v>
      </c>
      <c r="K2331">
        <f t="shared" si="73"/>
        <v>54</v>
      </c>
    </row>
    <row r="2332" spans="1:11">
      <c r="A2332" t="s">
        <v>26</v>
      </c>
      <c r="B2332">
        <v>1962</v>
      </c>
      <c r="C2332" t="s">
        <v>4707</v>
      </c>
      <c r="D2332">
        <v>11</v>
      </c>
      <c r="E2332">
        <v>0</v>
      </c>
      <c r="F2332" s="13">
        <v>48673.56</v>
      </c>
      <c r="G2332" t="s">
        <v>4701</v>
      </c>
      <c r="H2332" t="s">
        <v>4697</v>
      </c>
      <c r="I2332" t="s">
        <v>4699</v>
      </c>
      <c r="J2332" s="10">
        <f t="shared" si="72"/>
        <v>22930</v>
      </c>
      <c r="K2332">
        <f t="shared" si="73"/>
        <v>60</v>
      </c>
    </row>
    <row r="2333" spans="1:11">
      <c r="A2333" t="s">
        <v>24</v>
      </c>
      <c r="B2333">
        <v>1965</v>
      </c>
      <c r="C2333" t="s">
        <v>4707</v>
      </c>
      <c r="D2333">
        <v>27</v>
      </c>
      <c r="E2333">
        <v>1</v>
      </c>
      <c r="F2333" s="13">
        <v>48675.519999999997</v>
      </c>
      <c r="G2333" t="s">
        <v>4701</v>
      </c>
      <c r="H2333" t="s">
        <v>4697</v>
      </c>
      <c r="I2333" t="s">
        <v>4699</v>
      </c>
      <c r="J2333" s="10">
        <f t="shared" si="72"/>
        <v>24042</v>
      </c>
      <c r="K2333">
        <f t="shared" si="73"/>
        <v>57</v>
      </c>
    </row>
    <row r="2334" spans="1:11">
      <c r="A2334" t="s">
        <v>22</v>
      </c>
      <c r="B2334">
        <v>1959</v>
      </c>
      <c r="C2334" t="s">
        <v>4696</v>
      </c>
      <c r="D2334">
        <v>22</v>
      </c>
      <c r="E2334">
        <v>0</v>
      </c>
      <c r="F2334" s="13">
        <v>48824.45</v>
      </c>
      <c r="G2334" t="s">
        <v>4697</v>
      </c>
      <c r="H2334" t="s">
        <v>4701</v>
      </c>
      <c r="I2334" t="s">
        <v>4708</v>
      </c>
      <c r="J2334" s="10">
        <f t="shared" si="72"/>
        <v>21753</v>
      </c>
      <c r="K2334">
        <f t="shared" si="73"/>
        <v>63</v>
      </c>
    </row>
    <row r="2335" spans="1:11">
      <c r="A2335" t="s">
        <v>20</v>
      </c>
      <c r="B2335">
        <v>1978</v>
      </c>
      <c r="C2335" t="s">
        <v>4705</v>
      </c>
      <c r="D2335">
        <v>29</v>
      </c>
      <c r="E2335">
        <v>0</v>
      </c>
      <c r="F2335" s="13">
        <v>48885.14</v>
      </c>
      <c r="G2335" t="s">
        <v>4701</v>
      </c>
      <c r="H2335" t="s">
        <v>4697</v>
      </c>
      <c r="I2335" t="s">
        <v>4699</v>
      </c>
      <c r="J2335" s="10">
        <f t="shared" si="72"/>
        <v>28853</v>
      </c>
      <c r="K2335">
        <f t="shared" si="73"/>
        <v>44</v>
      </c>
    </row>
    <row r="2336" spans="1:11">
      <c r="A2336" t="s">
        <v>18</v>
      </c>
      <c r="B2336">
        <v>1963</v>
      </c>
      <c r="C2336" t="s">
        <v>4703</v>
      </c>
      <c r="D2336">
        <v>4</v>
      </c>
      <c r="E2336">
        <v>1</v>
      </c>
      <c r="F2336" s="13">
        <v>48970.25</v>
      </c>
      <c r="G2336" t="s">
        <v>4701</v>
      </c>
      <c r="H2336" t="s">
        <v>4697</v>
      </c>
      <c r="I2336" t="s">
        <v>4699</v>
      </c>
      <c r="J2336" s="10">
        <f t="shared" si="72"/>
        <v>23258</v>
      </c>
      <c r="K2336">
        <f t="shared" si="73"/>
        <v>59</v>
      </c>
    </row>
    <row r="2337" spans="1:11">
      <c r="A2337" t="s">
        <v>16</v>
      </c>
      <c r="B2337">
        <v>1958</v>
      </c>
      <c r="C2337" t="s">
        <v>4702</v>
      </c>
      <c r="D2337">
        <v>27</v>
      </c>
      <c r="E2337">
        <v>2</v>
      </c>
      <c r="F2337" s="13">
        <v>49577.66</v>
      </c>
      <c r="G2337" t="s">
        <v>4697</v>
      </c>
      <c r="H2337" t="s">
        <v>4697</v>
      </c>
      <c r="I2337" t="s">
        <v>4699</v>
      </c>
      <c r="J2337" s="10">
        <f t="shared" si="72"/>
        <v>21363</v>
      </c>
      <c r="K2337">
        <f t="shared" si="73"/>
        <v>64</v>
      </c>
    </row>
    <row r="2338" spans="1:11">
      <c r="A2338" t="s">
        <v>14</v>
      </c>
      <c r="B2338">
        <v>1994</v>
      </c>
      <c r="C2338" t="s">
        <v>4707</v>
      </c>
      <c r="D2338">
        <v>27</v>
      </c>
      <c r="E2338">
        <v>1</v>
      </c>
      <c r="F2338" s="13">
        <v>51194.559999999998</v>
      </c>
      <c r="G2338" t="s">
        <v>4701</v>
      </c>
      <c r="H2338" t="s">
        <v>4698</v>
      </c>
      <c r="I2338" t="s">
        <v>4708</v>
      </c>
      <c r="J2338" s="10">
        <f t="shared" si="72"/>
        <v>34634</v>
      </c>
      <c r="K2338">
        <f t="shared" si="73"/>
        <v>28</v>
      </c>
    </row>
    <row r="2339" spans="1:11">
      <c r="A2339" t="s">
        <v>12</v>
      </c>
      <c r="B2339">
        <v>1962</v>
      </c>
      <c r="C2339" t="s">
        <v>4706</v>
      </c>
      <c r="D2339">
        <v>4</v>
      </c>
      <c r="E2339">
        <v>0</v>
      </c>
      <c r="F2339" s="13">
        <v>52590.83</v>
      </c>
      <c r="G2339" t="s">
        <v>4701</v>
      </c>
      <c r="H2339" t="s">
        <v>4698</v>
      </c>
      <c r="I2339" t="s">
        <v>4708</v>
      </c>
      <c r="J2339" s="10">
        <f t="shared" si="72"/>
        <v>22862</v>
      </c>
      <c r="K2339">
        <f t="shared" si="73"/>
        <v>60</v>
      </c>
    </row>
    <row r="2340" spans="1:11">
      <c r="A2340" t="s">
        <v>10</v>
      </c>
      <c r="B2340">
        <v>1989</v>
      </c>
      <c r="C2340" t="s">
        <v>4702</v>
      </c>
      <c r="D2340">
        <v>19</v>
      </c>
      <c r="E2340">
        <v>0</v>
      </c>
      <c r="F2340" s="13">
        <v>55135.4</v>
      </c>
      <c r="G2340" t="s">
        <v>4701</v>
      </c>
      <c r="H2340" t="s">
        <v>4697</v>
      </c>
      <c r="I2340" t="s">
        <v>4704</v>
      </c>
      <c r="J2340" s="10">
        <f t="shared" si="72"/>
        <v>32678</v>
      </c>
      <c r="K2340">
        <f t="shared" si="73"/>
        <v>33</v>
      </c>
    </row>
    <row r="2341" spans="1:11">
      <c r="A2341" t="s">
        <v>8</v>
      </c>
      <c r="B2341">
        <v>1991</v>
      </c>
      <c r="C2341" t="s">
        <v>4702</v>
      </c>
      <c r="D2341">
        <v>6</v>
      </c>
      <c r="E2341">
        <v>1</v>
      </c>
      <c r="F2341" s="13">
        <v>58571.07</v>
      </c>
      <c r="G2341" t="s">
        <v>4701</v>
      </c>
      <c r="H2341" t="s">
        <v>4698</v>
      </c>
      <c r="I2341" t="s">
        <v>4714</v>
      </c>
      <c r="J2341" s="10">
        <f t="shared" si="72"/>
        <v>33395</v>
      </c>
      <c r="K2341">
        <f t="shared" si="73"/>
        <v>32</v>
      </c>
    </row>
    <row r="2342" spans="1:11">
      <c r="A2342" t="s">
        <v>6</v>
      </c>
      <c r="B2342">
        <v>1970</v>
      </c>
      <c r="C2342" t="s">
        <v>4685</v>
      </c>
      <c r="D2342">
        <v>11</v>
      </c>
      <c r="E2342">
        <v>3</v>
      </c>
      <c r="F2342" s="13">
        <v>60021.4</v>
      </c>
      <c r="G2342" t="s">
        <v>4701</v>
      </c>
      <c r="H2342" t="s">
        <v>4701</v>
      </c>
      <c r="I2342" t="s">
        <v>4704</v>
      </c>
      <c r="J2342" s="10" t="e">
        <f t="shared" si="72"/>
        <v>#VALUE!</v>
      </c>
      <c r="K2342" t="e">
        <f t="shared" si="73"/>
        <v>#VALUE!</v>
      </c>
    </row>
    <row r="2343" spans="1:11">
      <c r="A2343" t="s">
        <v>4</v>
      </c>
      <c r="B2343">
        <v>1977</v>
      </c>
      <c r="C2343" t="s">
        <v>4702</v>
      </c>
      <c r="D2343">
        <v>8</v>
      </c>
      <c r="E2343">
        <v>0</v>
      </c>
      <c r="F2343" s="13">
        <v>62592.87</v>
      </c>
      <c r="G2343" t="s">
        <v>4697</v>
      </c>
      <c r="H2343" t="s">
        <v>4698</v>
      </c>
      <c r="I2343" t="s">
        <v>4699</v>
      </c>
      <c r="J2343" s="10">
        <f t="shared" si="72"/>
        <v>28284</v>
      </c>
      <c r="K2343">
        <f t="shared" si="73"/>
        <v>46</v>
      </c>
    </row>
    <row r="2344" spans="1:11">
      <c r="A2344" t="s">
        <v>2</v>
      </c>
      <c r="B2344">
        <v>1968</v>
      </c>
      <c r="C2344" t="s">
        <v>4707</v>
      </c>
      <c r="D2344">
        <v>12</v>
      </c>
      <c r="E2344">
        <v>0</v>
      </c>
      <c r="F2344" s="13">
        <v>63770.43</v>
      </c>
      <c r="G2344" t="s">
        <v>4701</v>
      </c>
      <c r="H2344" t="s">
        <v>4698</v>
      </c>
      <c r="I2344" t="s">
        <v>4699</v>
      </c>
      <c r="J2344" s="10">
        <f t="shared" si="72"/>
        <v>25123</v>
      </c>
      <c r="K2344">
        <f t="shared" si="73"/>
        <v>54</v>
      </c>
    </row>
    <row r="2345" spans="1:11">
      <c r="K2345" s="10"/>
    </row>
    <row r="2346" spans="1:11">
      <c r="K2346" s="10"/>
    </row>
    <row r="2347" spans="1:11">
      <c r="K2347" s="10"/>
    </row>
    <row r="2348" spans="1:11">
      <c r="K2348" s="10"/>
    </row>
    <row r="2349" spans="1:11">
      <c r="K2349" s="10"/>
    </row>
    <row r="2350" spans="1:11">
      <c r="K2350" s="10"/>
    </row>
    <row r="2351" spans="1:11">
      <c r="K2351" s="10"/>
    </row>
    <row r="2352" spans="1:11">
      <c r="K2352" s="10"/>
    </row>
    <row r="2353" spans="11:11">
      <c r="K2353" s="10"/>
    </row>
    <row r="2354" spans="11:11">
      <c r="K2354" s="10"/>
    </row>
    <row r="2355" spans="11:11">
      <c r="K2355" s="10"/>
    </row>
    <row r="2356" spans="11:11">
      <c r="K2356" s="10"/>
    </row>
    <row r="2357" spans="11:11">
      <c r="K2357" s="10"/>
    </row>
    <row r="2358" spans="11:11">
      <c r="K2358" s="10"/>
    </row>
    <row r="2359" spans="11:11">
      <c r="K2359" s="10"/>
    </row>
    <row r="2360" spans="11:11">
      <c r="K2360" s="10"/>
    </row>
    <row r="2361" spans="11:11">
      <c r="K2361" s="10"/>
    </row>
    <row r="2362" spans="11:11">
      <c r="K2362" s="10"/>
    </row>
    <row r="2363" spans="11:11">
      <c r="K2363" s="10"/>
    </row>
    <row r="2364" spans="11:11">
      <c r="K2364" s="10"/>
    </row>
    <row r="2365" spans="11:11">
      <c r="K2365" s="10"/>
    </row>
    <row r="2366" spans="11:11">
      <c r="K2366" s="10"/>
    </row>
    <row r="2367" spans="11:11">
      <c r="K2367" s="10"/>
    </row>
    <row r="2368" spans="11:11">
      <c r="K2368" s="10"/>
    </row>
    <row r="2369" spans="11:11">
      <c r="K2369" s="10"/>
    </row>
    <row r="2370" spans="11:11">
      <c r="K2370" s="10"/>
    </row>
    <row r="2371" spans="11:11">
      <c r="K2371" s="10"/>
    </row>
    <row r="2372" spans="11:11">
      <c r="K2372" s="10"/>
    </row>
    <row r="2373" spans="11:11">
      <c r="K2373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1EA8-22D0-4825-B3E1-E5576E61414B}">
  <dimension ref="A3:E34"/>
  <sheetViews>
    <sheetView topLeftCell="A17" workbookViewId="0">
      <selection activeCell="A21" sqref="A21:B27"/>
    </sheetView>
  </sheetViews>
  <sheetFormatPr defaultRowHeight="15"/>
  <cols>
    <col min="1" max="1" width="15.85546875" bestFit="1" customWidth="1"/>
    <col min="2" max="2" width="14.42578125" bestFit="1" customWidth="1"/>
    <col min="3" max="4" width="16" bestFit="1" customWidth="1"/>
    <col min="5" max="5" width="36.5703125" bestFit="1" customWidth="1"/>
  </cols>
  <sheetData>
    <row r="3" spans="1:5">
      <c r="A3" s="16" t="s">
        <v>4724</v>
      </c>
      <c r="B3" s="16" t="s">
        <v>4677</v>
      </c>
    </row>
    <row r="4" spans="1:5">
      <c r="A4" s="16" t="s">
        <v>4679</v>
      </c>
      <c r="B4" t="s">
        <v>4682</v>
      </c>
      <c r="C4" t="s">
        <v>4684</v>
      </c>
      <c r="D4" t="s">
        <v>4725</v>
      </c>
      <c r="E4" t="s">
        <v>4726</v>
      </c>
    </row>
    <row r="5" spans="1:5">
      <c r="A5" t="s">
        <v>4685</v>
      </c>
      <c r="B5">
        <v>2</v>
      </c>
      <c r="E5">
        <v>2</v>
      </c>
    </row>
    <row r="6" spans="1:5">
      <c r="A6" t="s">
        <v>4682</v>
      </c>
      <c r="B6">
        <v>1538</v>
      </c>
      <c r="C6">
        <v>307</v>
      </c>
      <c r="E6">
        <v>1845</v>
      </c>
    </row>
    <row r="7" spans="1:5">
      <c r="A7" t="s">
        <v>4683</v>
      </c>
      <c r="B7">
        <v>404</v>
      </c>
      <c r="C7">
        <v>84</v>
      </c>
      <c r="E7">
        <v>488</v>
      </c>
    </row>
    <row r="8" spans="1:5">
      <c r="A8" t="s">
        <v>4725</v>
      </c>
    </row>
    <row r="9" spans="1:5">
      <c r="A9" t="s">
        <v>4726</v>
      </c>
      <c r="B9">
        <v>1944</v>
      </c>
      <c r="C9">
        <v>391</v>
      </c>
      <c r="E9">
        <v>2335</v>
      </c>
    </row>
    <row r="21" spans="1:2">
      <c r="A21" s="16" t="s">
        <v>4680</v>
      </c>
      <c r="B21" t="s">
        <v>4727</v>
      </c>
    </row>
    <row r="22" spans="1:2">
      <c r="A22" t="s">
        <v>4728</v>
      </c>
      <c r="B22">
        <v>7476262.1799999978</v>
      </c>
    </row>
    <row r="23" spans="1:2">
      <c r="A23" t="s">
        <v>4729</v>
      </c>
      <c r="B23">
        <v>12991788.989999993</v>
      </c>
    </row>
    <row r="24" spans="1:2">
      <c r="A24" t="s">
        <v>4730</v>
      </c>
      <c r="B24">
        <v>6731374.6200000038</v>
      </c>
    </row>
    <row r="25" spans="1:2">
      <c r="A25" t="s">
        <v>4731</v>
      </c>
      <c r="B25">
        <v>4116016.0100000016</v>
      </c>
    </row>
    <row r="26" spans="1:2">
      <c r="A26" t="s">
        <v>4725</v>
      </c>
      <c r="B26">
        <v>453454.22</v>
      </c>
    </row>
    <row r="27" spans="1:2">
      <c r="A27" t="s">
        <v>4726</v>
      </c>
      <c r="B27">
        <v>31768896.019999996</v>
      </c>
    </row>
    <row r="34" spans="5:5" ht="30">
      <c r="E34" s="17" t="s">
        <v>4732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CC2DF-A25F-4E5F-941A-1707D881797F}">
  <dimension ref="A1:V1048576"/>
  <sheetViews>
    <sheetView topLeftCell="J1" workbookViewId="0">
      <selection activeCell="P2" sqref="P2"/>
    </sheetView>
  </sheetViews>
  <sheetFormatPr defaultRowHeight="15"/>
  <cols>
    <col min="1" max="1" width="15.5703125" style="23" customWidth="1"/>
    <col min="2" max="2" width="37.42578125" style="23" bestFit="1" customWidth="1"/>
    <col min="3" max="4" width="9.140625" style="23"/>
    <col min="5" max="5" width="13.5703125" style="23" customWidth="1"/>
    <col min="6" max="6" width="14.42578125" style="23" customWidth="1"/>
    <col min="7" max="7" width="12.5703125" style="23" customWidth="1"/>
    <col min="8" max="8" width="15.5703125" style="23" customWidth="1"/>
    <col min="9" max="9" width="9.140625" style="23" customWidth="1"/>
    <col min="10" max="10" width="12.28515625" style="23" customWidth="1"/>
    <col min="11" max="11" width="14.140625" style="23" customWidth="1"/>
    <col min="12" max="12" width="14.140625" customWidth="1"/>
    <col min="13" max="13" width="14.140625" style="15" customWidth="1"/>
    <col min="14" max="14" width="14.140625" customWidth="1"/>
    <col min="16" max="16" width="12" style="24" bestFit="1" customWidth="1"/>
    <col min="17" max="17" width="9.5703125" style="22" bestFit="1" customWidth="1"/>
    <col min="18" max="21" width="9.140625" style="23"/>
  </cols>
  <sheetData>
    <row r="1" spans="1:22" s="2" customFormat="1" ht="18.95" customHeight="1">
      <c r="A1" s="30" t="s">
        <v>0</v>
      </c>
      <c r="B1" s="29" t="s">
        <v>4733</v>
      </c>
      <c r="C1" s="25" t="s">
        <v>4673</v>
      </c>
      <c r="D1" s="25" t="s">
        <v>4674</v>
      </c>
      <c r="E1" s="25" t="s">
        <v>4675</v>
      </c>
      <c r="F1" s="25" t="s">
        <v>4676</v>
      </c>
      <c r="G1" s="25" t="s">
        <v>4677</v>
      </c>
      <c r="H1" s="26" t="s">
        <v>4734</v>
      </c>
      <c r="I1" s="25" t="s">
        <v>4679</v>
      </c>
      <c r="J1" s="27" t="s">
        <v>4680</v>
      </c>
      <c r="K1" s="27" t="s">
        <v>4681</v>
      </c>
      <c r="L1" s="3" t="s">
        <v>4686</v>
      </c>
      <c r="M1" s="14" t="s">
        <v>4687</v>
      </c>
      <c r="N1" s="3" t="s">
        <v>4688</v>
      </c>
      <c r="O1" s="3" t="s">
        <v>4689</v>
      </c>
      <c r="P1" s="18" t="s">
        <v>4694</v>
      </c>
      <c r="Q1" s="19" t="s">
        <v>4690</v>
      </c>
      <c r="R1" s="18" t="s">
        <v>4691</v>
      </c>
      <c r="S1" s="18" t="s">
        <v>4692</v>
      </c>
      <c r="T1" s="18" t="s">
        <v>4693</v>
      </c>
      <c r="U1" s="20" t="s">
        <v>4695</v>
      </c>
    </row>
    <row r="2" spans="1:22" ht="15.75">
      <c r="A2" s="28" t="s">
        <v>2</v>
      </c>
      <c r="B2" s="28" t="s">
        <v>3</v>
      </c>
      <c r="C2" s="23">
        <v>47.41</v>
      </c>
      <c r="D2" s="23">
        <v>7.47</v>
      </c>
      <c r="E2" s="23" t="s">
        <v>4682</v>
      </c>
      <c r="F2" s="23" t="s">
        <v>4682</v>
      </c>
      <c r="G2" s="23" t="s">
        <v>4682</v>
      </c>
      <c r="H2" s="23">
        <v>0</v>
      </c>
      <c r="I2" s="23" t="s">
        <v>4683</v>
      </c>
      <c r="J2" s="23" t="s">
        <v>4729</v>
      </c>
      <c r="K2" s="23" t="s">
        <v>4735</v>
      </c>
      <c r="L2">
        <v>1992</v>
      </c>
      <c r="M2" s="15" t="s">
        <v>4696</v>
      </c>
      <c r="N2">
        <v>9</v>
      </c>
      <c r="O2">
        <v>0</v>
      </c>
      <c r="P2" s="21">
        <f>COUNT(P8)</f>
        <v>1</v>
      </c>
      <c r="Q2" s="22">
        <v>563.84</v>
      </c>
      <c r="R2" s="23" t="s">
        <v>4697</v>
      </c>
      <c r="S2" s="23" t="s">
        <v>4698</v>
      </c>
      <c r="T2" s="23" t="s">
        <v>4699</v>
      </c>
      <c r="U2" s="23">
        <f>DATEDIF(P2, DATE(2023, 6, 8), "Y")</f>
        <v>123</v>
      </c>
      <c r="V2">
        <f>SUM(C2:K2)</f>
        <v>54.879999999999995</v>
      </c>
    </row>
    <row r="3" spans="1:22" ht="15.75">
      <c r="A3" s="28" t="s">
        <v>4</v>
      </c>
      <c r="B3" s="28" t="s">
        <v>5</v>
      </c>
      <c r="C3" s="23">
        <v>30.36</v>
      </c>
      <c r="D3" s="23">
        <v>5.77</v>
      </c>
      <c r="E3" s="23" t="s">
        <v>4682</v>
      </c>
      <c r="F3" s="23" t="s">
        <v>4682</v>
      </c>
      <c r="G3" s="23" t="s">
        <v>4682</v>
      </c>
      <c r="H3" s="23">
        <v>0</v>
      </c>
      <c r="I3" s="23" t="s">
        <v>4683</v>
      </c>
      <c r="J3" s="23" t="s">
        <v>4729</v>
      </c>
      <c r="K3" s="23" t="s">
        <v>4736</v>
      </c>
      <c r="L3">
        <v>1992</v>
      </c>
      <c r="M3" s="15" t="s">
        <v>4700</v>
      </c>
      <c r="N3">
        <v>30</v>
      </c>
      <c r="O3">
        <v>0</v>
      </c>
      <c r="P3" s="21">
        <f>DATEVALUE(N3&amp;"-"&amp;M3&amp;"-"&amp;L3)</f>
        <v>33938</v>
      </c>
      <c r="Q3" s="22">
        <v>570.62</v>
      </c>
      <c r="R3" s="23" t="s">
        <v>4697</v>
      </c>
      <c r="S3" s="23" t="s">
        <v>4701</v>
      </c>
      <c r="T3" s="23" t="s">
        <v>4699</v>
      </c>
      <c r="U3" s="23">
        <f>DATEDIF(P3, DATE(2023, 6, 8), "Y")</f>
        <v>30</v>
      </c>
      <c r="V3">
        <f>SUM(C3:K3)</f>
        <v>36.129999999999995</v>
      </c>
    </row>
    <row r="4" spans="1:22" ht="15.75">
      <c r="A4" s="28" t="s">
        <v>6</v>
      </c>
      <c r="B4" s="28" t="s">
        <v>7</v>
      </c>
      <c r="C4" s="23">
        <v>34.484999999999999</v>
      </c>
      <c r="D4" s="23">
        <v>11.87</v>
      </c>
      <c r="E4" s="23" t="s">
        <v>4683</v>
      </c>
      <c r="F4" s="23" t="s">
        <v>4682</v>
      </c>
      <c r="G4" s="23" t="s">
        <v>4682</v>
      </c>
      <c r="H4" s="23">
        <v>2</v>
      </c>
      <c r="I4" s="23" t="s">
        <v>4683</v>
      </c>
      <c r="J4" s="23" t="s">
        <v>4729</v>
      </c>
      <c r="K4" s="23" t="s">
        <v>4735</v>
      </c>
      <c r="L4">
        <v>1993</v>
      </c>
      <c r="M4" s="15" t="s">
        <v>4702</v>
      </c>
      <c r="N4">
        <v>30</v>
      </c>
      <c r="O4">
        <v>0</v>
      </c>
      <c r="P4" s="21">
        <f>DATEVALUE(N4&amp;"-"&amp;M4&amp;"-"&amp;L4)</f>
        <v>34150</v>
      </c>
      <c r="Q4" s="22">
        <v>600</v>
      </c>
      <c r="R4" s="23" t="s">
        <v>4697</v>
      </c>
      <c r="S4" s="23" t="s">
        <v>4701</v>
      </c>
      <c r="T4" s="23" t="s">
        <v>4699</v>
      </c>
      <c r="U4" s="23">
        <f>DATEDIF(P4, DATE(2023, 6, 8), "Y")</f>
        <v>29</v>
      </c>
      <c r="V4">
        <f>SUM(C4:K4)</f>
        <v>48.354999999999997</v>
      </c>
    </row>
    <row r="5" spans="1:22" ht="15.75">
      <c r="A5" s="28" t="s">
        <v>8</v>
      </c>
      <c r="B5" s="28" t="s">
        <v>9</v>
      </c>
      <c r="C5" s="23">
        <v>38.094999999999999</v>
      </c>
      <c r="D5" s="23">
        <v>6.05</v>
      </c>
      <c r="E5" s="23" t="s">
        <v>4682</v>
      </c>
      <c r="F5" s="23" t="s">
        <v>4682</v>
      </c>
      <c r="G5" s="23" t="s">
        <v>4682</v>
      </c>
      <c r="H5" s="23">
        <v>0</v>
      </c>
      <c r="I5" s="23" t="s">
        <v>4683</v>
      </c>
      <c r="J5" s="23" t="s">
        <v>4729</v>
      </c>
      <c r="K5" s="23" t="s">
        <v>4736</v>
      </c>
      <c r="L5">
        <v>1992</v>
      </c>
      <c r="M5" s="15" t="s">
        <v>4703</v>
      </c>
      <c r="N5">
        <v>13</v>
      </c>
      <c r="O5">
        <v>0</v>
      </c>
      <c r="P5" s="21">
        <f>DATEVALUE(N5&amp;"-"&amp;M5&amp;"-"&amp;L5)</f>
        <v>33860</v>
      </c>
      <c r="Q5" s="22">
        <v>604.54</v>
      </c>
      <c r="R5" s="23" t="s">
        <v>4698</v>
      </c>
      <c r="S5" s="23" t="s">
        <v>4698</v>
      </c>
      <c r="T5" s="23" t="s">
        <v>4699</v>
      </c>
      <c r="U5" s="23">
        <f>DATEDIF(P5, DATE(2023, 6, 8), "Y")</f>
        <v>30</v>
      </c>
      <c r="V5">
        <f>SUM(C5:K5)</f>
        <v>44.144999999999996</v>
      </c>
    </row>
    <row r="6" spans="1:22" ht="15.75">
      <c r="A6" s="28" t="s">
        <v>10</v>
      </c>
      <c r="B6" s="28" t="s">
        <v>11</v>
      </c>
      <c r="C6" s="23">
        <v>35.53</v>
      </c>
      <c r="D6" s="23">
        <v>5.45</v>
      </c>
      <c r="E6" s="23" t="s">
        <v>4682</v>
      </c>
      <c r="F6" s="23" t="s">
        <v>4682</v>
      </c>
      <c r="G6" s="23" t="s">
        <v>4682</v>
      </c>
      <c r="H6" s="23">
        <v>0</v>
      </c>
      <c r="I6" s="23" t="s">
        <v>4683</v>
      </c>
      <c r="J6" s="23" t="s">
        <v>4729</v>
      </c>
      <c r="K6" s="23" t="s">
        <v>4737</v>
      </c>
      <c r="L6">
        <v>1998</v>
      </c>
      <c r="M6" s="15" t="s">
        <v>4696</v>
      </c>
      <c r="N6">
        <v>27</v>
      </c>
      <c r="O6">
        <v>0</v>
      </c>
      <c r="P6" s="21">
        <f>DATEVALUE(N6&amp;"-"&amp;M6&amp;"-"&amp;L6)</f>
        <v>36003</v>
      </c>
      <c r="Q6" s="22">
        <f ca="1">SUM(Q2:Q1048576)</f>
        <v>0</v>
      </c>
      <c r="R6" s="23" t="s">
        <v>4698</v>
      </c>
      <c r="S6" s="23" t="s">
        <v>4698</v>
      </c>
      <c r="T6" s="23" t="s">
        <v>4699</v>
      </c>
      <c r="U6" s="23">
        <f>DATEDIF(P6, DATE(2023, 6, 8), "Y")</f>
        <v>24</v>
      </c>
      <c r="V6">
        <f>SUM(C6:K6)</f>
        <v>40.980000000000004</v>
      </c>
    </row>
    <row r="7" spans="1:22" ht="15.75">
      <c r="A7" s="28" t="s">
        <v>12</v>
      </c>
      <c r="B7" s="28" t="s">
        <v>13</v>
      </c>
      <c r="C7" s="23">
        <v>32.799999999999997</v>
      </c>
      <c r="D7" s="23">
        <v>6.59</v>
      </c>
      <c r="E7" s="23" t="s">
        <v>4682</v>
      </c>
      <c r="F7" s="23" t="s">
        <v>4682</v>
      </c>
      <c r="G7" s="23" t="s">
        <v>4682</v>
      </c>
      <c r="H7" s="23">
        <v>0</v>
      </c>
      <c r="I7" s="23" t="s">
        <v>4683</v>
      </c>
      <c r="J7" s="23" t="s">
        <v>4729</v>
      </c>
      <c r="K7" s="23" t="s">
        <v>4735</v>
      </c>
      <c r="L7">
        <v>2001</v>
      </c>
      <c r="M7" s="15" t="s">
        <v>4700</v>
      </c>
      <c r="N7">
        <v>20</v>
      </c>
      <c r="O7">
        <v>0</v>
      </c>
      <c r="P7" s="21">
        <f>DATEVALUE(N7&amp;"-"&amp;M7&amp;"-"&amp;L7)</f>
        <v>37215</v>
      </c>
      <c r="Q7" s="22">
        <v>646.14</v>
      </c>
      <c r="R7" s="23" t="s">
        <v>4698</v>
      </c>
      <c r="S7" s="23" t="s">
        <v>4698</v>
      </c>
      <c r="T7" s="23" t="s">
        <v>4704</v>
      </c>
      <c r="U7" s="23">
        <f>DATEDIF(P7, DATE(2023, 6, 8), "Y")</f>
        <v>21</v>
      </c>
      <c r="V7">
        <f>SUM(C7:K7)</f>
        <v>39.39</v>
      </c>
    </row>
    <row r="8" spans="1:22" ht="15.75">
      <c r="A8" s="28" t="s">
        <v>14</v>
      </c>
      <c r="B8" s="28" t="s">
        <v>15</v>
      </c>
      <c r="C8" s="23">
        <v>36.4</v>
      </c>
      <c r="D8" s="23">
        <v>6.07</v>
      </c>
      <c r="E8" s="23" t="s">
        <v>4682</v>
      </c>
      <c r="F8" s="23" t="s">
        <v>4682</v>
      </c>
      <c r="G8" s="23" t="s">
        <v>4682</v>
      </c>
      <c r="H8" s="23">
        <v>0</v>
      </c>
      <c r="I8" s="23" t="s">
        <v>4683</v>
      </c>
      <c r="J8" s="23" t="s">
        <v>4729</v>
      </c>
      <c r="K8" s="23" t="s">
        <v>4736</v>
      </c>
      <c r="L8">
        <v>1993</v>
      </c>
      <c r="M8" s="15" t="s">
        <v>4702</v>
      </c>
      <c r="N8">
        <v>1</v>
      </c>
      <c r="O8">
        <v>0</v>
      </c>
      <c r="P8" s="21">
        <f>DATEVALUE(N8&amp;"-"&amp;M8&amp;"-"&amp;L8)</f>
        <v>34121</v>
      </c>
      <c r="Q8" s="22">
        <v>650</v>
      </c>
      <c r="R8" s="23" t="s">
        <v>4698</v>
      </c>
      <c r="S8" s="23" t="s">
        <v>4698</v>
      </c>
      <c r="T8" s="23" t="s">
        <v>4699</v>
      </c>
      <c r="U8" s="23">
        <f>DATEDIF(P8, DATE(2023, 6, 8), "Y")</f>
        <v>30</v>
      </c>
      <c r="V8">
        <f>SUM(C8:K8)</f>
        <v>42.47</v>
      </c>
    </row>
    <row r="9" spans="1:22" ht="15.75">
      <c r="A9" s="28" t="s">
        <v>16</v>
      </c>
      <c r="B9" s="28" t="s">
        <v>17</v>
      </c>
      <c r="C9" s="23">
        <v>36.96</v>
      </c>
      <c r="D9" s="23">
        <v>7.93</v>
      </c>
      <c r="E9" s="23" t="s">
        <v>4682</v>
      </c>
      <c r="F9" s="23" t="s">
        <v>4682</v>
      </c>
      <c r="G9" s="23" t="s">
        <v>4682</v>
      </c>
      <c r="H9" s="23">
        <v>3</v>
      </c>
      <c r="I9" s="23" t="s">
        <v>4683</v>
      </c>
      <c r="J9" s="23" t="s">
        <v>4729</v>
      </c>
      <c r="K9" s="23" t="s">
        <v>4735</v>
      </c>
      <c r="L9">
        <v>1995</v>
      </c>
      <c r="M9" s="15" t="s">
        <v>4696</v>
      </c>
      <c r="N9">
        <v>4</v>
      </c>
      <c r="O9">
        <v>0</v>
      </c>
      <c r="P9" s="21">
        <f>DATEVALUE(N9&amp;"-"&amp;M9&amp;"-"&amp;L9)</f>
        <v>34884</v>
      </c>
      <c r="Q9" s="22">
        <v>650</v>
      </c>
      <c r="R9" s="23" t="s">
        <v>4698</v>
      </c>
      <c r="S9" s="23" t="s">
        <v>4698</v>
      </c>
      <c r="T9" s="23" t="s">
        <v>4699</v>
      </c>
      <c r="U9" s="23">
        <f>DATEDIF(P9, DATE(2023, 6, 8), "Y")</f>
        <v>27</v>
      </c>
      <c r="V9">
        <f>SUM(C9:K9)</f>
        <v>47.89</v>
      </c>
    </row>
    <row r="10" spans="1:22" ht="15.75">
      <c r="A10" s="28" t="s">
        <v>18</v>
      </c>
      <c r="B10" s="28" t="s">
        <v>19</v>
      </c>
      <c r="C10" s="23">
        <v>41.14</v>
      </c>
      <c r="D10" s="23">
        <v>9.58</v>
      </c>
      <c r="E10" s="23" t="s">
        <v>4683</v>
      </c>
      <c r="F10" s="23" t="s">
        <v>4682</v>
      </c>
      <c r="G10" s="23" t="s">
        <v>4684</v>
      </c>
      <c r="H10" s="23">
        <v>1</v>
      </c>
      <c r="I10" s="23" t="s">
        <v>4683</v>
      </c>
      <c r="J10" s="23" t="s">
        <v>4729</v>
      </c>
      <c r="K10" s="23" t="s">
        <v>4735</v>
      </c>
      <c r="L10">
        <v>2002</v>
      </c>
      <c r="M10" s="15" t="s">
        <v>4700</v>
      </c>
      <c r="N10">
        <v>29</v>
      </c>
      <c r="O10">
        <v>0</v>
      </c>
      <c r="P10" s="21">
        <f>DATEVALUE(N10&amp;"-"&amp;M10&amp;"-"&amp;L10)</f>
        <v>37589</v>
      </c>
      <c r="Q10" s="22">
        <v>668</v>
      </c>
      <c r="R10" s="23" t="s">
        <v>4698</v>
      </c>
      <c r="S10" s="23" t="s">
        <v>4697</v>
      </c>
      <c r="T10" s="23" t="s">
        <v>4704</v>
      </c>
      <c r="U10" s="23">
        <f>DATEDIF(P10, DATE(2023, 6, 8), "Y")</f>
        <v>20</v>
      </c>
      <c r="V10">
        <f>SUM(C10:K10)</f>
        <v>51.72</v>
      </c>
    </row>
    <row r="11" spans="1:22" ht="15.75">
      <c r="A11" s="28" t="s">
        <v>20</v>
      </c>
      <c r="B11" s="28" t="s">
        <v>21</v>
      </c>
      <c r="C11" s="23">
        <v>38.06</v>
      </c>
      <c r="D11" s="23">
        <v>10.79</v>
      </c>
      <c r="E11" s="23" t="s">
        <v>4682</v>
      </c>
      <c r="F11" s="23" t="s">
        <v>4682</v>
      </c>
      <c r="G11" s="23" t="s">
        <v>4682</v>
      </c>
      <c r="H11" s="23">
        <v>0</v>
      </c>
      <c r="I11" s="23" t="s">
        <v>4683</v>
      </c>
      <c r="J11" s="23" t="s">
        <v>4729</v>
      </c>
      <c r="K11" s="23" t="s">
        <v>4735</v>
      </c>
      <c r="L11">
        <v>1997</v>
      </c>
      <c r="M11" s="15" t="s">
        <v>4700</v>
      </c>
      <c r="N11">
        <v>9</v>
      </c>
      <c r="O11">
        <v>0</v>
      </c>
      <c r="P11" s="21">
        <f>DATEVALUE(N11&amp;"-"&amp;M11&amp;"-"&amp;L11)</f>
        <v>35743</v>
      </c>
      <c r="Q11" s="22">
        <v>670</v>
      </c>
      <c r="R11" s="23" t="s">
        <v>4698</v>
      </c>
      <c r="S11" s="23" t="s">
        <v>4698</v>
      </c>
      <c r="T11" s="23" t="s">
        <v>4699</v>
      </c>
      <c r="U11" s="23">
        <f>DATEDIF(P11, DATE(2023, 6, 8), "Y")</f>
        <v>25</v>
      </c>
      <c r="V11">
        <f>SUM(C11:K11)</f>
        <v>48.85</v>
      </c>
    </row>
    <row r="12" spans="1:22" ht="15.75">
      <c r="A12" s="28" t="s">
        <v>22</v>
      </c>
      <c r="B12" s="28" t="s">
        <v>23</v>
      </c>
      <c r="C12" s="23">
        <v>37.700000000000003</v>
      </c>
      <c r="D12" s="23">
        <v>5.96</v>
      </c>
      <c r="E12" s="23" t="s">
        <v>4683</v>
      </c>
      <c r="F12" s="23" t="s">
        <v>4682</v>
      </c>
      <c r="G12" s="23" t="s">
        <v>4682</v>
      </c>
      <c r="H12" s="23">
        <v>2</v>
      </c>
      <c r="I12" s="23" t="s">
        <v>4683</v>
      </c>
      <c r="J12" s="23" t="s">
        <v>4729</v>
      </c>
      <c r="K12" s="23" t="s">
        <v>4736</v>
      </c>
      <c r="L12">
        <v>2001</v>
      </c>
      <c r="M12" s="15" t="s">
        <v>4703</v>
      </c>
      <c r="N12">
        <v>12</v>
      </c>
      <c r="O12">
        <v>0</v>
      </c>
      <c r="P12" s="21">
        <f>DATEVALUE(N12&amp;"-"&amp;M12&amp;"-"&amp;L12)</f>
        <v>37146</v>
      </c>
      <c r="Q12" s="22">
        <v>687.54</v>
      </c>
      <c r="R12" s="23" t="s">
        <v>4698</v>
      </c>
      <c r="S12" s="23" t="s">
        <v>4697</v>
      </c>
      <c r="T12" s="23" t="s">
        <v>4699</v>
      </c>
      <c r="U12" s="23">
        <f>DATEDIF(P12, DATE(2023, 6, 8), "Y")</f>
        <v>21</v>
      </c>
      <c r="V12">
        <f>SUM(C12:K12)</f>
        <v>45.660000000000004</v>
      </c>
    </row>
    <row r="13" spans="1:22" ht="15.75">
      <c r="A13" s="28" t="s">
        <v>24</v>
      </c>
      <c r="B13" s="28" t="s">
        <v>25</v>
      </c>
      <c r="C13" s="23">
        <v>42.13</v>
      </c>
      <c r="D13" s="23">
        <v>11.9</v>
      </c>
      <c r="E13" s="23" t="s">
        <v>4682</v>
      </c>
      <c r="F13" s="23" t="s">
        <v>4682</v>
      </c>
      <c r="G13" s="23" t="s">
        <v>4682</v>
      </c>
      <c r="H13" s="23">
        <v>0</v>
      </c>
      <c r="I13" s="23" t="s">
        <v>4683</v>
      </c>
      <c r="J13" s="23" t="s">
        <v>4729</v>
      </c>
      <c r="K13" s="23" t="s">
        <v>4735</v>
      </c>
      <c r="L13">
        <v>1999</v>
      </c>
      <c r="M13" s="15" t="s">
        <v>4705</v>
      </c>
      <c r="N13">
        <v>26</v>
      </c>
      <c r="O13">
        <v>0</v>
      </c>
      <c r="P13" s="21">
        <f>DATEVALUE(N13&amp;"-"&amp;M13&amp;"-"&amp;L13)</f>
        <v>36520</v>
      </c>
      <c r="Q13" s="22">
        <v>700</v>
      </c>
      <c r="R13" s="23" t="s">
        <v>4685</v>
      </c>
      <c r="S13" s="23" t="s">
        <v>4698</v>
      </c>
      <c r="T13" s="23" t="s">
        <v>4699</v>
      </c>
      <c r="U13" s="23">
        <f>DATEDIF(P13, DATE(2023, 6, 8), "Y")</f>
        <v>23</v>
      </c>
      <c r="V13">
        <f>SUM(C13:K13)</f>
        <v>54.03</v>
      </c>
    </row>
    <row r="14" spans="1:22" ht="15.75">
      <c r="A14" s="28" t="s">
        <v>26</v>
      </c>
      <c r="B14" s="28" t="s">
        <v>27</v>
      </c>
      <c r="C14" s="23">
        <v>40.92</v>
      </c>
      <c r="D14" s="23">
        <v>8.41</v>
      </c>
      <c r="E14" s="23" t="s">
        <v>4682</v>
      </c>
      <c r="F14" s="23" t="s">
        <v>4682</v>
      </c>
      <c r="G14" s="23" t="s">
        <v>4682</v>
      </c>
      <c r="H14" s="23">
        <v>0</v>
      </c>
      <c r="I14" s="23" t="s">
        <v>4683</v>
      </c>
      <c r="J14" s="23" t="s">
        <v>4729</v>
      </c>
      <c r="K14" s="23" t="s">
        <v>4735</v>
      </c>
      <c r="L14">
        <v>1999</v>
      </c>
      <c r="M14" s="15" t="s">
        <v>4705</v>
      </c>
      <c r="N14">
        <v>14</v>
      </c>
      <c r="O14">
        <v>0</v>
      </c>
      <c r="P14" s="21">
        <f>DATEVALUE(N14&amp;"-"&amp;M14&amp;"-"&amp;L14)</f>
        <v>36508</v>
      </c>
      <c r="Q14" s="22">
        <v>722.99</v>
      </c>
      <c r="R14" s="23" t="s">
        <v>4698</v>
      </c>
      <c r="S14" s="23" t="s">
        <v>4701</v>
      </c>
      <c r="T14" s="23" t="s">
        <v>4699</v>
      </c>
      <c r="U14" s="23">
        <f>DATEDIF(P14, DATE(2023, 6, 8), "Y")</f>
        <v>23</v>
      </c>
      <c r="V14">
        <f>SUM(C14:K14)</f>
        <v>49.33</v>
      </c>
    </row>
    <row r="15" spans="1:22" ht="15.75">
      <c r="A15" s="28" t="s">
        <v>28</v>
      </c>
      <c r="B15" s="28" t="s">
        <v>29</v>
      </c>
      <c r="C15" s="23">
        <v>40.564999999999998</v>
      </c>
      <c r="D15" s="23">
        <v>7.02</v>
      </c>
      <c r="E15" s="23" t="s">
        <v>4682</v>
      </c>
      <c r="F15" s="23" t="s">
        <v>4682</v>
      </c>
      <c r="G15" s="23" t="s">
        <v>4682</v>
      </c>
      <c r="H15" s="23">
        <v>0</v>
      </c>
      <c r="I15" s="23" t="s">
        <v>4683</v>
      </c>
      <c r="J15" s="23" t="s">
        <v>4729</v>
      </c>
      <c r="K15" s="23" t="s">
        <v>4735</v>
      </c>
      <c r="L15">
        <v>2002</v>
      </c>
      <c r="M15" s="15" t="s">
        <v>4685</v>
      </c>
      <c r="N15">
        <v>19</v>
      </c>
      <c r="O15">
        <v>0</v>
      </c>
      <c r="P15" s="21" t="e">
        <f>DATEVALUE(N15&amp;"-"&amp;M15&amp;"-"&amp;L15)</f>
        <v>#VALUE!</v>
      </c>
      <c r="Q15" s="22">
        <v>750</v>
      </c>
      <c r="R15" s="23" t="s">
        <v>4698</v>
      </c>
      <c r="S15" s="23" t="s">
        <v>4701</v>
      </c>
      <c r="T15" s="23" t="s">
        <v>4704</v>
      </c>
      <c r="U15" s="23" t="e">
        <f>DATEDIF(P15, DATE(2023, 6, 8), "Y")</f>
        <v>#VALUE!</v>
      </c>
      <c r="V15">
        <f>SUM(C15:K15)</f>
        <v>47.584999999999994</v>
      </c>
    </row>
    <row r="16" spans="1:22" ht="15.75">
      <c r="A16" s="28" t="s">
        <v>30</v>
      </c>
      <c r="B16" s="28" t="s">
        <v>31</v>
      </c>
      <c r="C16" s="23">
        <v>36.384999999999998</v>
      </c>
      <c r="D16" s="23">
        <v>7.59</v>
      </c>
      <c r="E16" s="23" t="s">
        <v>4683</v>
      </c>
      <c r="F16" s="23" t="s">
        <v>4682</v>
      </c>
      <c r="G16" s="23" t="s">
        <v>4682</v>
      </c>
      <c r="H16" s="23">
        <v>2</v>
      </c>
      <c r="I16" s="23" t="s">
        <v>4683</v>
      </c>
      <c r="J16" s="23" t="s">
        <v>4729</v>
      </c>
      <c r="K16" s="23" t="s">
        <v>4735</v>
      </c>
      <c r="L16">
        <v>1993</v>
      </c>
      <c r="M16" s="15" t="s">
        <v>4706</v>
      </c>
      <c r="N16">
        <v>9</v>
      </c>
      <c r="O16">
        <v>0</v>
      </c>
      <c r="P16" s="21">
        <f>DATEVALUE(N16&amp;"-"&amp;M16&amp;"-"&amp;L16)</f>
        <v>34190</v>
      </c>
      <c r="Q16" s="22">
        <v>760</v>
      </c>
      <c r="R16" s="23" t="s">
        <v>4698</v>
      </c>
      <c r="S16" s="23" t="s">
        <v>4701</v>
      </c>
      <c r="T16" s="23" t="s">
        <v>4699</v>
      </c>
      <c r="U16" s="23">
        <f>DATEDIF(P16, DATE(2023, 6, 8), "Y")</f>
        <v>29</v>
      </c>
      <c r="V16">
        <f>SUM(C16:K16)</f>
        <v>45.974999999999994</v>
      </c>
    </row>
    <row r="17" spans="1:22" ht="15.75">
      <c r="A17" s="28" t="s">
        <v>32</v>
      </c>
      <c r="B17" s="28" t="s">
        <v>33</v>
      </c>
      <c r="C17" s="23">
        <v>39.9</v>
      </c>
      <c r="D17" s="23">
        <v>11.32</v>
      </c>
      <c r="E17" s="23" t="s">
        <v>4682</v>
      </c>
      <c r="F17" s="23" t="s">
        <v>4682</v>
      </c>
      <c r="G17" s="23" t="s">
        <v>4682</v>
      </c>
      <c r="H17" s="23">
        <v>0</v>
      </c>
      <c r="I17" s="23" t="s">
        <v>4683</v>
      </c>
      <c r="J17" s="23" t="s">
        <v>4729</v>
      </c>
      <c r="K17" s="23" t="s">
        <v>4735</v>
      </c>
      <c r="L17">
        <v>1996</v>
      </c>
      <c r="M17" s="15" t="s">
        <v>4707</v>
      </c>
      <c r="N17">
        <v>22</v>
      </c>
      <c r="O17">
        <v>0</v>
      </c>
      <c r="P17" s="21">
        <f>DATEVALUE(N17&amp;"-"&amp;M17&amp;"-"&amp;L17)</f>
        <v>35360</v>
      </c>
      <c r="Q17" s="22">
        <v>760</v>
      </c>
      <c r="R17" s="23" t="s">
        <v>4698</v>
      </c>
      <c r="S17" s="23" t="s">
        <v>4698</v>
      </c>
      <c r="T17" s="23" t="s">
        <v>4699</v>
      </c>
      <c r="U17" s="23">
        <f>DATEDIF(P17, DATE(2023, 6, 8), "Y")</f>
        <v>26</v>
      </c>
      <c r="V17">
        <f>SUM(C17:K17)</f>
        <v>51.22</v>
      </c>
    </row>
    <row r="18" spans="1:22" ht="15.75">
      <c r="A18" s="28" t="s">
        <v>34</v>
      </c>
      <c r="B18" s="28" t="s">
        <v>35</v>
      </c>
      <c r="C18" s="23">
        <v>33.799999999999997</v>
      </c>
      <c r="D18" s="23">
        <v>7.67</v>
      </c>
      <c r="E18" s="23" t="s">
        <v>4682</v>
      </c>
      <c r="F18" s="23" t="s">
        <v>4682</v>
      </c>
      <c r="G18" s="23" t="s">
        <v>4682</v>
      </c>
      <c r="H18" s="23">
        <v>3</v>
      </c>
      <c r="I18" s="23" t="s">
        <v>4683</v>
      </c>
      <c r="J18" s="23" t="s">
        <v>4729</v>
      </c>
      <c r="K18" s="23" t="s">
        <v>4735</v>
      </c>
      <c r="L18">
        <v>1993</v>
      </c>
      <c r="M18" s="15" t="s">
        <v>4702</v>
      </c>
      <c r="N18">
        <v>28</v>
      </c>
      <c r="O18">
        <v>0</v>
      </c>
      <c r="P18" s="21">
        <f>DATEVALUE(N18&amp;"-"&amp;M18&amp;"-"&amp;L18)</f>
        <v>34148</v>
      </c>
      <c r="Q18" s="22">
        <v>770</v>
      </c>
      <c r="R18" s="23" t="s">
        <v>4698</v>
      </c>
      <c r="S18" s="23" t="s">
        <v>4698</v>
      </c>
      <c r="T18" s="23" t="s">
        <v>4699</v>
      </c>
      <c r="U18" s="23">
        <f>DATEDIF(P18, DATE(2023, 6, 8), "Y")</f>
        <v>29</v>
      </c>
      <c r="V18">
        <f>SUM(C18:K18)</f>
        <v>44.47</v>
      </c>
    </row>
    <row r="19" spans="1:22" ht="15.75">
      <c r="A19" s="28" t="s">
        <v>36</v>
      </c>
      <c r="B19" s="28" t="s">
        <v>37</v>
      </c>
      <c r="C19" s="23">
        <v>36.765000000000001</v>
      </c>
      <c r="D19" s="23">
        <v>7.29</v>
      </c>
      <c r="E19" s="23" t="s">
        <v>4683</v>
      </c>
      <c r="F19" s="23" t="s">
        <v>4682</v>
      </c>
      <c r="G19" s="23" t="s">
        <v>4684</v>
      </c>
      <c r="H19" s="23">
        <v>1</v>
      </c>
      <c r="I19" s="23" t="s">
        <v>4683</v>
      </c>
      <c r="J19" s="23" t="s">
        <v>4729</v>
      </c>
      <c r="K19" s="23" t="s">
        <v>4735</v>
      </c>
      <c r="L19">
        <v>1996</v>
      </c>
      <c r="M19" s="15" t="s">
        <v>4685</v>
      </c>
      <c r="N19">
        <v>18</v>
      </c>
      <c r="O19">
        <v>0</v>
      </c>
      <c r="P19" s="21" t="e">
        <f>DATEVALUE(N19&amp;"-"&amp;M19&amp;"-"&amp;L19)</f>
        <v>#VALUE!</v>
      </c>
      <c r="Q19" s="22">
        <v>770.38</v>
      </c>
      <c r="R19" s="23" t="s">
        <v>4698</v>
      </c>
      <c r="S19" s="23" t="s">
        <v>4685</v>
      </c>
      <c r="T19" s="23" t="s">
        <v>4704</v>
      </c>
      <c r="U19" s="23" t="e">
        <f>DATEDIF(P19, DATE(2023, 6, 8), "Y")</f>
        <v>#VALUE!</v>
      </c>
      <c r="V19">
        <f>SUM(C19:K19)</f>
        <v>45.055</v>
      </c>
    </row>
    <row r="20" spans="1:22" ht="15.75">
      <c r="A20" s="28" t="s">
        <v>38</v>
      </c>
      <c r="B20" s="28" t="s">
        <v>39</v>
      </c>
      <c r="C20" s="23">
        <v>36.954999999999998</v>
      </c>
      <c r="D20" s="23">
        <v>4.72</v>
      </c>
      <c r="E20" s="23" t="s">
        <v>4683</v>
      </c>
      <c r="F20" s="23" t="s">
        <v>4682</v>
      </c>
      <c r="G20" s="23" t="s">
        <v>4682</v>
      </c>
      <c r="H20" s="23">
        <v>1</v>
      </c>
      <c r="I20" s="23" t="s">
        <v>4683</v>
      </c>
      <c r="J20" s="23" t="s">
        <v>4729</v>
      </c>
      <c r="K20" s="23" t="s">
        <v>4737</v>
      </c>
      <c r="L20">
        <v>1995</v>
      </c>
      <c r="M20" s="15" t="s">
        <v>4705</v>
      </c>
      <c r="N20">
        <v>7</v>
      </c>
      <c r="O20">
        <v>0</v>
      </c>
      <c r="P20" s="21">
        <f>DATEVALUE(N20&amp;"-"&amp;M20&amp;"-"&amp;L20)</f>
        <v>35040</v>
      </c>
      <c r="Q20" s="22">
        <v>773.54</v>
      </c>
      <c r="R20" s="23" t="s">
        <v>4698</v>
      </c>
      <c r="S20" s="23" t="s">
        <v>4697</v>
      </c>
      <c r="T20" s="23" t="s">
        <v>4699</v>
      </c>
      <c r="U20" s="23">
        <f>DATEDIF(P20, DATE(2023, 6, 8), "Y")</f>
        <v>27</v>
      </c>
      <c r="V20">
        <f>SUM(C20:K20)</f>
        <v>42.674999999999997</v>
      </c>
    </row>
    <row r="21" spans="1:22" ht="15.75">
      <c r="A21" s="28" t="s">
        <v>40</v>
      </c>
      <c r="B21" s="28" t="s">
        <v>41</v>
      </c>
      <c r="C21" s="23">
        <v>42.9</v>
      </c>
      <c r="D21" s="23">
        <v>11.41</v>
      </c>
      <c r="E21" s="23" t="s">
        <v>4682</v>
      </c>
      <c r="F21" s="23" t="s">
        <v>4682</v>
      </c>
      <c r="G21" s="23" t="s">
        <v>4682</v>
      </c>
      <c r="H21" s="23">
        <v>0</v>
      </c>
      <c r="I21" s="23" t="s">
        <v>4683</v>
      </c>
      <c r="J21" s="23" t="s">
        <v>4729</v>
      </c>
      <c r="K21" s="23" t="s">
        <v>4735</v>
      </c>
      <c r="L21">
        <v>2004</v>
      </c>
      <c r="M21" s="15" t="s">
        <v>4707</v>
      </c>
      <c r="N21">
        <v>7</v>
      </c>
      <c r="O21">
        <v>0</v>
      </c>
      <c r="P21" s="21">
        <f>DATEVALUE(N21&amp;"-"&amp;M21&amp;"-"&amp;L21)</f>
        <v>38267</v>
      </c>
      <c r="Q21" s="22">
        <v>830.52</v>
      </c>
      <c r="R21" s="23" t="s">
        <v>4698</v>
      </c>
      <c r="S21" s="23" t="s">
        <v>4697</v>
      </c>
      <c r="T21" s="23" t="s">
        <v>4708</v>
      </c>
      <c r="U21" s="23">
        <f>DATEDIF(P21, DATE(2023, 6, 8), "Y")</f>
        <v>18</v>
      </c>
      <c r="V21">
        <f>SUM(C21:K21)</f>
        <v>54.31</v>
      </c>
    </row>
    <row r="22" spans="1:22" ht="15.75">
      <c r="A22" s="28" t="s">
        <v>42</v>
      </c>
      <c r="B22" s="28" t="s">
        <v>43</v>
      </c>
      <c r="C22" s="23">
        <v>36.299999999999997</v>
      </c>
      <c r="D22" s="23">
        <v>11.5</v>
      </c>
      <c r="E22" s="23" t="s">
        <v>4683</v>
      </c>
      <c r="F22" s="23" t="s">
        <v>4682</v>
      </c>
      <c r="G22" s="23" t="s">
        <v>4682</v>
      </c>
      <c r="H22" s="23">
        <v>2</v>
      </c>
      <c r="I22" s="23" t="s">
        <v>4683</v>
      </c>
      <c r="J22" s="23" t="s">
        <v>4729</v>
      </c>
      <c r="K22" s="23" t="s">
        <v>4735</v>
      </c>
      <c r="L22">
        <v>2000</v>
      </c>
      <c r="M22" s="15" t="s">
        <v>4700</v>
      </c>
      <c r="N22">
        <v>18</v>
      </c>
      <c r="O22">
        <v>0</v>
      </c>
      <c r="P22" s="21">
        <f>DATEVALUE(N22&amp;"-"&amp;M22&amp;"-"&amp;L22)</f>
        <v>36848</v>
      </c>
      <c r="Q22" s="22">
        <v>865.41</v>
      </c>
      <c r="R22" s="23" t="s">
        <v>4698</v>
      </c>
      <c r="S22" s="23" t="s">
        <v>4701</v>
      </c>
      <c r="T22" s="23" t="s">
        <v>4699</v>
      </c>
      <c r="U22" s="23">
        <f>DATEDIF(P22, DATE(2023, 6, 8), "Y")</f>
        <v>22</v>
      </c>
      <c r="V22">
        <f>SUM(C22:K22)</f>
        <v>49.8</v>
      </c>
    </row>
    <row r="23" spans="1:22" ht="15.75">
      <c r="A23" s="28" t="s">
        <v>44</v>
      </c>
      <c r="B23" s="28" t="s">
        <v>45</v>
      </c>
      <c r="C23" s="23">
        <v>32.200000000000003</v>
      </c>
      <c r="D23" s="23">
        <v>6.22</v>
      </c>
      <c r="E23" s="23" t="s">
        <v>4683</v>
      </c>
      <c r="F23" s="23" t="s">
        <v>4682</v>
      </c>
      <c r="G23" s="23" t="s">
        <v>4682</v>
      </c>
      <c r="H23" s="23">
        <v>2</v>
      </c>
      <c r="I23" s="23" t="s">
        <v>4683</v>
      </c>
      <c r="J23" s="23" t="s">
        <v>4729</v>
      </c>
      <c r="K23" s="23" t="s">
        <v>4736</v>
      </c>
      <c r="L23">
        <v>1993</v>
      </c>
      <c r="M23" s="15" t="s">
        <v>4700</v>
      </c>
      <c r="N23">
        <v>27</v>
      </c>
      <c r="O23">
        <v>0</v>
      </c>
      <c r="P23" s="21">
        <f>DATEVALUE(N23&amp;"-"&amp;M23&amp;"-"&amp;L23)</f>
        <v>34300</v>
      </c>
      <c r="Q23" s="22">
        <v>896.21</v>
      </c>
      <c r="R23" s="23" t="s">
        <v>4698</v>
      </c>
      <c r="S23" s="23" t="s">
        <v>4701</v>
      </c>
      <c r="T23" s="23" t="s">
        <v>4699</v>
      </c>
      <c r="U23" s="23">
        <f>DATEDIF(P23, DATE(2023, 6, 8), "Y")</f>
        <v>29</v>
      </c>
      <c r="V23">
        <f>SUM(C23:K23)</f>
        <v>40.42</v>
      </c>
    </row>
    <row r="24" spans="1:22" ht="15.75">
      <c r="A24" s="28" t="s">
        <v>46</v>
      </c>
      <c r="B24" s="28" t="s">
        <v>47</v>
      </c>
      <c r="C24" s="23">
        <v>31.3</v>
      </c>
      <c r="D24" s="23">
        <v>11.38</v>
      </c>
      <c r="E24" s="23" t="s">
        <v>4682</v>
      </c>
      <c r="F24" s="23" t="s">
        <v>4682</v>
      </c>
      <c r="G24" s="23" t="s">
        <v>4682</v>
      </c>
      <c r="H24" s="23">
        <v>3</v>
      </c>
      <c r="I24" s="23" t="s">
        <v>4683</v>
      </c>
      <c r="J24" s="23" t="s">
        <v>4729</v>
      </c>
      <c r="K24" s="23" t="s">
        <v>4735</v>
      </c>
      <c r="L24">
        <v>1994</v>
      </c>
      <c r="M24" s="15" t="s">
        <v>4707</v>
      </c>
      <c r="N24">
        <v>30</v>
      </c>
      <c r="O24">
        <v>0</v>
      </c>
      <c r="P24" s="21">
        <f>DATEVALUE(N24&amp;"-"&amp;M24&amp;"-"&amp;L24)</f>
        <v>34637</v>
      </c>
      <c r="Q24" s="22">
        <v>915.07</v>
      </c>
      <c r="R24" s="23" t="s">
        <v>4698</v>
      </c>
      <c r="S24" s="23" t="s">
        <v>4701</v>
      </c>
      <c r="T24" s="23" t="s">
        <v>4699</v>
      </c>
      <c r="U24" s="23">
        <f>DATEDIF(P24, DATE(2023, 6, 8), "Y")</f>
        <v>28</v>
      </c>
      <c r="V24">
        <f>SUM(C24:K24)</f>
        <v>45.68</v>
      </c>
    </row>
    <row r="25" spans="1:22" ht="15.75">
      <c r="A25" s="28" t="s">
        <v>48</v>
      </c>
      <c r="B25" s="28" t="s">
        <v>49</v>
      </c>
      <c r="C25" s="23">
        <v>41.8</v>
      </c>
      <c r="D25" s="23">
        <v>7.89</v>
      </c>
      <c r="E25" s="23" t="s">
        <v>4683</v>
      </c>
      <c r="F25" s="23" t="s">
        <v>4682</v>
      </c>
      <c r="G25" s="23" t="s">
        <v>4682</v>
      </c>
      <c r="H25" s="23">
        <v>2</v>
      </c>
      <c r="I25" s="23" t="s">
        <v>4683</v>
      </c>
      <c r="J25" s="23" t="s">
        <v>4729</v>
      </c>
      <c r="K25" s="23" t="s">
        <v>4735</v>
      </c>
      <c r="L25">
        <v>1995</v>
      </c>
      <c r="M25" s="15" t="s">
        <v>4707</v>
      </c>
      <c r="N25">
        <v>28</v>
      </c>
      <c r="O25">
        <v>0</v>
      </c>
      <c r="P25" s="21">
        <f>DATEVALUE(N25&amp;"-"&amp;M25&amp;"-"&amp;L25)</f>
        <v>35000</v>
      </c>
      <c r="Q25" s="22">
        <v>928.59</v>
      </c>
      <c r="R25" s="23" t="s">
        <v>4698</v>
      </c>
      <c r="S25" s="23" t="s">
        <v>4701</v>
      </c>
      <c r="T25" s="23" t="s">
        <v>4699</v>
      </c>
      <c r="U25" s="23">
        <f>DATEDIF(P25, DATE(2023, 6, 8), "Y")</f>
        <v>27</v>
      </c>
      <c r="V25">
        <f>SUM(C25:K25)</f>
        <v>51.69</v>
      </c>
    </row>
    <row r="26" spans="1:22" ht="15.75">
      <c r="A26" s="28" t="s">
        <v>50</v>
      </c>
      <c r="B26" s="28" t="s">
        <v>51</v>
      </c>
      <c r="C26" s="23">
        <v>35.090000000000003</v>
      </c>
      <c r="D26" s="23">
        <v>4.38</v>
      </c>
      <c r="E26" s="23" t="s">
        <v>4683</v>
      </c>
      <c r="F26" s="23" t="s">
        <v>4682</v>
      </c>
      <c r="G26" s="23" t="s">
        <v>4682</v>
      </c>
      <c r="H26" s="23">
        <v>2</v>
      </c>
      <c r="I26" s="23" t="s">
        <v>4683</v>
      </c>
      <c r="J26" s="23" t="s">
        <v>4729</v>
      </c>
      <c r="K26" s="23" t="s">
        <v>4737</v>
      </c>
      <c r="L26">
        <v>2001</v>
      </c>
      <c r="M26" s="15" t="s">
        <v>4706</v>
      </c>
      <c r="N26">
        <v>19</v>
      </c>
      <c r="O26">
        <v>0</v>
      </c>
      <c r="P26" s="21">
        <f>DATEVALUE(N26&amp;"-"&amp;M26&amp;"-"&amp;L26)</f>
        <v>37122</v>
      </c>
      <c r="Q26" s="22">
        <v>964.71</v>
      </c>
      <c r="R26" s="23" t="s">
        <v>4698</v>
      </c>
      <c r="S26" s="23" t="s">
        <v>4697</v>
      </c>
      <c r="T26" s="23" t="s">
        <v>4699</v>
      </c>
      <c r="U26" s="23">
        <f>DATEDIF(P26, DATE(2023, 6, 8), "Y")</f>
        <v>21</v>
      </c>
      <c r="V26">
        <f>SUM(C26:K26)</f>
        <v>41.470000000000006</v>
      </c>
    </row>
    <row r="27" spans="1:22" ht="15.75">
      <c r="A27" s="28" t="s">
        <v>52</v>
      </c>
      <c r="B27" s="28" t="s">
        <v>53</v>
      </c>
      <c r="C27" s="23">
        <v>33.880000000000003</v>
      </c>
      <c r="D27" s="23">
        <v>7.01</v>
      </c>
      <c r="E27" s="23" t="s">
        <v>4682</v>
      </c>
      <c r="F27" s="23" t="s">
        <v>4682</v>
      </c>
      <c r="G27" s="23" t="s">
        <v>4682</v>
      </c>
      <c r="H27" s="23">
        <v>3</v>
      </c>
      <c r="I27" s="23" t="s">
        <v>4683</v>
      </c>
      <c r="J27" s="23" t="s">
        <v>4729</v>
      </c>
      <c r="K27" s="23" t="s">
        <v>4735</v>
      </c>
      <c r="L27">
        <v>1994</v>
      </c>
      <c r="M27" s="15" t="s">
        <v>4700</v>
      </c>
      <c r="N27">
        <v>22</v>
      </c>
      <c r="O27">
        <v>0</v>
      </c>
      <c r="P27" s="21">
        <f>DATEVALUE(N27&amp;"-"&amp;M27&amp;"-"&amp;L27)</f>
        <v>34660</v>
      </c>
      <c r="Q27" s="22">
        <v>1006.65</v>
      </c>
      <c r="R27" s="23" t="s">
        <v>4698</v>
      </c>
      <c r="S27" s="23" t="s">
        <v>4697</v>
      </c>
      <c r="T27" s="23" t="s">
        <v>4699</v>
      </c>
      <c r="U27" s="23">
        <f>DATEDIF(P27, DATE(2023, 6, 8), "Y")</f>
        <v>28</v>
      </c>
      <c r="V27">
        <f>SUM(C27:K27)</f>
        <v>43.89</v>
      </c>
    </row>
    <row r="28" spans="1:22" ht="15.75">
      <c r="A28" s="28" t="s">
        <v>54</v>
      </c>
      <c r="B28" s="28" t="s">
        <v>55</v>
      </c>
      <c r="C28" s="23">
        <v>30.875</v>
      </c>
      <c r="D28" s="23">
        <v>11.88</v>
      </c>
      <c r="E28" s="23" t="s">
        <v>4682</v>
      </c>
      <c r="F28" s="23" t="s">
        <v>4682</v>
      </c>
      <c r="G28" s="23" t="s">
        <v>4682</v>
      </c>
      <c r="H28" s="23">
        <v>0</v>
      </c>
      <c r="I28" s="23" t="s">
        <v>4683</v>
      </c>
      <c r="J28" s="23" t="s">
        <v>4729</v>
      </c>
      <c r="K28" s="23" t="s">
        <v>4735</v>
      </c>
      <c r="L28">
        <v>2000</v>
      </c>
      <c r="M28" s="15" t="s">
        <v>4707</v>
      </c>
      <c r="N28">
        <v>9</v>
      </c>
      <c r="O28">
        <v>0</v>
      </c>
      <c r="P28" s="21">
        <f>DATEVALUE(N28&amp;"-"&amp;M28&amp;"-"&amp;L28)</f>
        <v>36808</v>
      </c>
      <c r="Q28" s="22">
        <v>1012</v>
      </c>
      <c r="R28" s="23" t="s">
        <v>4698</v>
      </c>
      <c r="S28" s="23" t="s">
        <v>4697</v>
      </c>
      <c r="T28" s="23" t="s">
        <v>4699</v>
      </c>
      <c r="U28" s="23">
        <f>DATEDIF(P28, DATE(2023, 6, 8), "Y")</f>
        <v>22</v>
      </c>
      <c r="V28">
        <f>SUM(C28:K28)</f>
        <v>42.755000000000003</v>
      </c>
    </row>
    <row r="29" spans="1:22" ht="15.75">
      <c r="A29" s="28" t="s">
        <v>56</v>
      </c>
      <c r="B29" s="28" t="s">
        <v>57</v>
      </c>
      <c r="C29" s="23">
        <v>36.86</v>
      </c>
      <c r="D29" s="23">
        <v>5.19</v>
      </c>
      <c r="E29" s="23" t="s">
        <v>4683</v>
      </c>
      <c r="F29" s="23" t="s">
        <v>4682</v>
      </c>
      <c r="G29" s="23" t="s">
        <v>4684</v>
      </c>
      <c r="H29" s="23">
        <v>1</v>
      </c>
      <c r="I29" s="23" t="s">
        <v>4683</v>
      </c>
      <c r="J29" s="23" t="s">
        <v>4729</v>
      </c>
      <c r="K29" s="23" t="s">
        <v>4737</v>
      </c>
      <c r="L29">
        <v>1999</v>
      </c>
      <c r="M29" s="15" t="s">
        <v>4706</v>
      </c>
      <c r="N29">
        <v>5</v>
      </c>
      <c r="O29">
        <v>0</v>
      </c>
      <c r="P29" s="21">
        <f>DATEVALUE(N29&amp;"-"&amp;M29&amp;"-"&amp;L29)</f>
        <v>36377</v>
      </c>
      <c r="Q29" s="22">
        <v>1019</v>
      </c>
      <c r="R29" s="23" t="s">
        <v>4698</v>
      </c>
      <c r="S29" s="23" t="s">
        <v>4697</v>
      </c>
      <c r="T29" s="23" t="s">
        <v>4699</v>
      </c>
      <c r="U29" s="23">
        <f>DATEDIF(P29, DATE(2023, 6, 8), "Y")</f>
        <v>23</v>
      </c>
      <c r="V29">
        <f>SUM(C29:K29)</f>
        <v>43.05</v>
      </c>
    </row>
    <row r="30" spans="1:22" ht="15.75">
      <c r="A30" s="28" t="s">
        <v>58</v>
      </c>
      <c r="B30" s="28" t="s">
        <v>59</v>
      </c>
      <c r="C30" s="23">
        <v>35.86</v>
      </c>
      <c r="D30" s="23">
        <v>6.74</v>
      </c>
      <c r="E30" s="23" t="s">
        <v>4683</v>
      </c>
      <c r="F30" s="23" t="s">
        <v>4682</v>
      </c>
      <c r="G30" s="23" t="s">
        <v>4682</v>
      </c>
      <c r="H30" s="23">
        <v>2</v>
      </c>
      <c r="I30" s="23" t="s">
        <v>4683</v>
      </c>
      <c r="J30" s="23" t="s">
        <v>4729</v>
      </c>
      <c r="K30" s="23" t="s">
        <v>4735</v>
      </c>
      <c r="L30">
        <v>1995</v>
      </c>
      <c r="M30" s="15" t="s">
        <v>4707</v>
      </c>
      <c r="N30">
        <v>5</v>
      </c>
      <c r="O30">
        <v>0</v>
      </c>
      <c r="P30" s="21">
        <f>DATEVALUE(N30&amp;"-"&amp;M30&amp;"-"&amp;L30)</f>
        <v>34977</v>
      </c>
      <c r="Q30" s="22">
        <v>1033.74</v>
      </c>
      <c r="R30" s="23" t="s">
        <v>4698</v>
      </c>
      <c r="S30" s="23" t="s">
        <v>4701</v>
      </c>
      <c r="T30" s="23" t="s">
        <v>4699</v>
      </c>
      <c r="U30" s="23">
        <f>DATEDIF(P30, DATE(2023, 6, 8), "Y")</f>
        <v>27</v>
      </c>
      <c r="V30">
        <f>SUM(C30:K30)</f>
        <v>44.6</v>
      </c>
    </row>
    <row r="31" spans="1:22" ht="15.75">
      <c r="A31" s="28" t="s">
        <v>60</v>
      </c>
      <c r="B31" s="28" t="s">
        <v>61</v>
      </c>
      <c r="C31" s="23">
        <v>37.049999999999997</v>
      </c>
      <c r="D31" s="23">
        <v>8.44</v>
      </c>
      <c r="E31" s="23" t="s">
        <v>4682</v>
      </c>
      <c r="F31" s="23" t="s">
        <v>4682</v>
      </c>
      <c r="G31" s="23" t="s">
        <v>4682</v>
      </c>
      <c r="H31" s="23">
        <v>0</v>
      </c>
      <c r="I31" s="23" t="s">
        <v>4683</v>
      </c>
      <c r="J31" s="23" t="s">
        <v>4729</v>
      </c>
      <c r="K31" s="23" t="s">
        <v>4735</v>
      </c>
      <c r="L31">
        <v>1994</v>
      </c>
      <c r="M31" s="15" t="s">
        <v>4700</v>
      </c>
      <c r="N31">
        <v>17</v>
      </c>
      <c r="O31">
        <v>0</v>
      </c>
      <c r="P31" s="21">
        <f>DATEVALUE(N31&amp;"-"&amp;M31&amp;"-"&amp;L31)</f>
        <v>34655</v>
      </c>
      <c r="Q31" s="22">
        <v>1044</v>
      </c>
      <c r="R31" s="23" t="s">
        <v>4698</v>
      </c>
      <c r="S31" s="23" t="s">
        <v>4697</v>
      </c>
      <c r="T31" s="23" t="s">
        <v>4699</v>
      </c>
      <c r="U31" s="23">
        <f>DATEDIF(P31, DATE(2023, 6, 8), "Y")</f>
        <v>28</v>
      </c>
      <c r="V31">
        <f>SUM(C31:K31)</f>
        <v>45.489999999999995</v>
      </c>
    </row>
    <row r="32" spans="1:22" ht="15.75">
      <c r="A32" s="28" t="s">
        <v>62</v>
      </c>
      <c r="B32" s="28" t="s">
        <v>63</v>
      </c>
      <c r="C32" s="23">
        <v>43.89</v>
      </c>
      <c r="D32" s="23">
        <v>8.7100000000000009</v>
      </c>
      <c r="E32" s="23" t="s">
        <v>4682</v>
      </c>
      <c r="F32" s="23" t="s">
        <v>4682</v>
      </c>
      <c r="G32" s="23" t="s">
        <v>4682</v>
      </c>
      <c r="H32" s="23">
        <v>0</v>
      </c>
      <c r="I32" s="23" t="s">
        <v>4683</v>
      </c>
      <c r="J32" s="23" t="s">
        <v>4729</v>
      </c>
      <c r="K32" s="23" t="s">
        <v>4735</v>
      </c>
      <c r="L32">
        <v>2002</v>
      </c>
      <c r="M32" s="15" t="s">
        <v>4696</v>
      </c>
      <c r="N32">
        <v>20</v>
      </c>
      <c r="O32">
        <v>0</v>
      </c>
      <c r="P32" s="21">
        <f>DATEVALUE(N32&amp;"-"&amp;M32&amp;"-"&amp;L32)</f>
        <v>37457</v>
      </c>
      <c r="Q32" s="22">
        <v>1047</v>
      </c>
      <c r="R32" s="23" t="s">
        <v>4698</v>
      </c>
      <c r="S32" s="23" t="s">
        <v>4701</v>
      </c>
      <c r="T32" s="23" t="s">
        <v>4699</v>
      </c>
      <c r="U32" s="23">
        <f>DATEDIF(P32, DATE(2023, 6, 8), "Y")</f>
        <v>20</v>
      </c>
      <c r="V32">
        <f>SUM(C32:K32)</f>
        <v>52.6</v>
      </c>
    </row>
    <row r="33" spans="1:22" ht="15.75">
      <c r="A33" s="28" t="s">
        <v>64</v>
      </c>
      <c r="B33" s="28" t="s">
        <v>65</v>
      </c>
      <c r="C33" s="23">
        <v>42.35</v>
      </c>
      <c r="D33" s="23">
        <v>5.08</v>
      </c>
      <c r="E33" s="23" t="s">
        <v>4683</v>
      </c>
      <c r="F33" s="23" t="s">
        <v>4682</v>
      </c>
      <c r="G33" s="23" t="s">
        <v>4682</v>
      </c>
      <c r="H33" s="23">
        <v>0</v>
      </c>
      <c r="I33" s="23" t="s">
        <v>4683</v>
      </c>
      <c r="J33" s="23" t="s">
        <v>4729</v>
      </c>
      <c r="K33" s="23" t="s">
        <v>4737</v>
      </c>
      <c r="L33">
        <v>2002</v>
      </c>
      <c r="M33" s="15" t="s">
        <v>4696</v>
      </c>
      <c r="N33">
        <v>1</v>
      </c>
      <c r="O33">
        <v>0</v>
      </c>
      <c r="P33" s="21">
        <f>DATEVALUE(N33&amp;"-"&amp;M33&amp;"-"&amp;L33)</f>
        <v>37438</v>
      </c>
      <c r="Q33" s="22">
        <v>1049</v>
      </c>
      <c r="R33" s="23" t="s">
        <v>4698</v>
      </c>
      <c r="S33" s="23" t="s">
        <v>4697</v>
      </c>
      <c r="T33" s="23" t="s">
        <v>4704</v>
      </c>
      <c r="U33" s="23">
        <f>DATEDIF(P33, DATE(2023, 6, 8), "Y")</f>
        <v>20</v>
      </c>
      <c r="V33">
        <f>SUM(C33:K33)</f>
        <v>47.43</v>
      </c>
    </row>
    <row r="34" spans="1:22" ht="15.75">
      <c r="A34" s="28" t="s">
        <v>66</v>
      </c>
      <c r="B34" s="28" t="s">
        <v>67</v>
      </c>
      <c r="C34" s="23">
        <v>31.35</v>
      </c>
      <c r="D34" s="23">
        <v>6.86</v>
      </c>
      <c r="E34" s="23" t="s">
        <v>4682</v>
      </c>
      <c r="F34" s="23" t="s">
        <v>4682</v>
      </c>
      <c r="G34" s="23" t="s">
        <v>4682</v>
      </c>
      <c r="H34" s="23">
        <v>0</v>
      </c>
      <c r="I34" s="23" t="s">
        <v>4683</v>
      </c>
      <c r="J34" s="23" t="s">
        <v>4729</v>
      </c>
      <c r="K34" s="23" t="s">
        <v>4735</v>
      </c>
      <c r="L34">
        <v>1995</v>
      </c>
      <c r="M34" s="15" t="s">
        <v>4702</v>
      </c>
      <c r="N34">
        <v>1</v>
      </c>
      <c r="O34">
        <v>0</v>
      </c>
      <c r="P34" s="21">
        <f>DATEVALUE(N34&amp;"-"&amp;M34&amp;"-"&amp;L34)</f>
        <v>34851</v>
      </c>
      <c r="Q34" s="22">
        <v>1056</v>
      </c>
      <c r="R34" s="23" t="s">
        <v>4698</v>
      </c>
      <c r="S34" s="23" t="s">
        <v>4697</v>
      </c>
      <c r="T34" s="23" t="s">
        <v>4699</v>
      </c>
      <c r="U34" s="23">
        <f>DATEDIF(P34, DATE(2023, 6, 8), "Y")</f>
        <v>28</v>
      </c>
      <c r="V34">
        <f>SUM(C34:K34)</f>
        <v>38.21</v>
      </c>
    </row>
    <row r="35" spans="1:22" ht="15.75">
      <c r="A35" s="28" t="s">
        <v>68</v>
      </c>
      <c r="B35" s="28" t="s">
        <v>69</v>
      </c>
      <c r="C35" s="23">
        <v>47.6</v>
      </c>
      <c r="D35" s="23">
        <v>5.95</v>
      </c>
      <c r="E35" s="23" t="s">
        <v>4683</v>
      </c>
      <c r="F35" s="23" t="s">
        <v>4682</v>
      </c>
      <c r="G35" s="23" t="s">
        <v>4682</v>
      </c>
      <c r="H35" s="23">
        <v>0</v>
      </c>
      <c r="I35" s="23" t="s">
        <v>4683</v>
      </c>
      <c r="J35" s="23" t="s">
        <v>4729</v>
      </c>
      <c r="K35" s="23" t="s">
        <v>4736</v>
      </c>
      <c r="L35">
        <v>1993</v>
      </c>
      <c r="M35" s="15" t="s">
        <v>4703</v>
      </c>
      <c r="N35">
        <v>28</v>
      </c>
      <c r="O35">
        <v>0</v>
      </c>
      <c r="P35" s="21">
        <f>DATEVALUE(N35&amp;"-"&amp;M35&amp;"-"&amp;L35)</f>
        <v>34240</v>
      </c>
      <c r="Q35" s="22">
        <v>1068</v>
      </c>
      <c r="R35" s="23" t="s">
        <v>4698</v>
      </c>
      <c r="S35" s="23" t="s">
        <v>4701</v>
      </c>
      <c r="T35" s="23" t="s">
        <v>4699</v>
      </c>
      <c r="U35" s="23">
        <f>DATEDIF(P35, DATE(2023, 6, 8), "Y")</f>
        <v>29</v>
      </c>
      <c r="V35">
        <f>SUM(C35:K35)</f>
        <v>53.550000000000004</v>
      </c>
    </row>
    <row r="36" spans="1:22" ht="15.75">
      <c r="A36" s="28" t="s">
        <v>70</v>
      </c>
      <c r="B36" s="28" t="s">
        <v>71</v>
      </c>
      <c r="C36" s="23">
        <v>46.2</v>
      </c>
      <c r="D36" s="23">
        <v>6.09</v>
      </c>
      <c r="E36" s="23" t="s">
        <v>4682</v>
      </c>
      <c r="F36" s="23" t="s">
        <v>4682</v>
      </c>
      <c r="G36" s="23" t="s">
        <v>4684</v>
      </c>
      <c r="H36" s="23">
        <v>1</v>
      </c>
      <c r="I36" s="23" t="s">
        <v>4683</v>
      </c>
      <c r="J36" s="23" t="s">
        <v>4729</v>
      </c>
      <c r="K36" s="23" t="s">
        <v>4736</v>
      </c>
      <c r="L36">
        <v>2004</v>
      </c>
      <c r="M36" s="15" t="s">
        <v>4706</v>
      </c>
      <c r="N36">
        <v>24</v>
      </c>
      <c r="O36">
        <v>0</v>
      </c>
      <c r="P36" s="21">
        <f>DATEVALUE(N36&amp;"-"&amp;M36&amp;"-"&amp;L36)</f>
        <v>38223</v>
      </c>
      <c r="Q36" s="22">
        <v>1070</v>
      </c>
      <c r="R36" s="23" t="s">
        <v>4698</v>
      </c>
      <c r="S36" s="23" t="s">
        <v>4698</v>
      </c>
      <c r="T36" s="23" t="s">
        <v>4699</v>
      </c>
      <c r="U36" s="23">
        <f>DATEDIF(P36, DATE(2023, 6, 8), "Y")</f>
        <v>18</v>
      </c>
      <c r="V36">
        <f>SUM(C36:K36)</f>
        <v>53.290000000000006</v>
      </c>
    </row>
    <row r="37" spans="1:22" ht="15.75">
      <c r="A37" s="28" t="s">
        <v>72</v>
      </c>
      <c r="B37" s="28" t="s">
        <v>73</v>
      </c>
      <c r="C37" s="23">
        <v>32.015000000000001</v>
      </c>
      <c r="D37" s="23">
        <v>11.75</v>
      </c>
      <c r="E37" s="23" t="s">
        <v>4682</v>
      </c>
      <c r="F37" s="23" t="s">
        <v>4682</v>
      </c>
      <c r="G37" s="23" t="s">
        <v>4682</v>
      </c>
      <c r="H37" s="23">
        <v>0</v>
      </c>
      <c r="I37" s="23" t="s">
        <v>4683</v>
      </c>
      <c r="J37" s="23" t="s">
        <v>4729</v>
      </c>
      <c r="K37" s="23" t="s">
        <v>4735</v>
      </c>
      <c r="L37">
        <v>1997</v>
      </c>
      <c r="M37" s="15" t="s">
        <v>4706</v>
      </c>
      <c r="N37">
        <v>13</v>
      </c>
      <c r="O37">
        <v>0</v>
      </c>
      <c r="P37" s="21">
        <f>DATEVALUE(N37&amp;"-"&amp;M37&amp;"-"&amp;L37)</f>
        <v>35655</v>
      </c>
      <c r="Q37" s="22">
        <v>1071</v>
      </c>
      <c r="R37" s="23" t="s">
        <v>4698</v>
      </c>
      <c r="S37" s="23" t="s">
        <v>4698</v>
      </c>
      <c r="T37" s="23" t="s">
        <v>4699</v>
      </c>
      <c r="U37" s="23">
        <f>DATEDIF(P37, DATE(2023, 6, 8), "Y")</f>
        <v>25</v>
      </c>
      <c r="V37">
        <f>SUM(C37:K37)</f>
        <v>43.765000000000001</v>
      </c>
    </row>
    <row r="38" spans="1:22" ht="15.75">
      <c r="A38" s="28" t="s">
        <v>74</v>
      </c>
      <c r="B38" s="28" t="s">
        <v>75</v>
      </c>
      <c r="C38" s="23">
        <v>40.564999999999998</v>
      </c>
      <c r="D38" s="23">
        <v>7.37</v>
      </c>
      <c r="E38" s="23" t="s">
        <v>4682</v>
      </c>
      <c r="F38" s="23" t="s">
        <v>4682</v>
      </c>
      <c r="G38" s="23" t="s">
        <v>4682</v>
      </c>
      <c r="H38" s="23">
        <v>0</v>
      </c>
      <c r="I38" s="23" t="s">
        <v>4683</v>
      </c>
      <c r="J38" s="23" t="s">
        <v>4729</v>
      </c>
      <c r="K38" s="23" t="s">
        <v>4735</v>
      </c>
      <c r="L38">
        <v>1998</v>
      </c>
      <c r="M38" s="15" t="s">
        <v>4705</v>
      </c>
      <c r="N38">
        <v>26</v>
      </c>
      <c r="O38">
        <v>0</v>
      </c>
      <c r="P38" s="21">
        <f>DATEVALUE(N38&amp;"-"&amp;M38&amp;"-"&amp;L38)</f>
        <v>36155</v>
      </c>
      <c r="Q38" s="22">
        <v>1082</v>
      </c>
      <c r="R38" s="23" t="s">
        <v>4698</v>
      </c>
      <c r="S38" s="23" t="s">
        <v>4697</v>
      </c>
      <c r="T38" s="23" t="s">
        <v>4699</v>
      </c>
      <c r="U38" s="23">
        <f>DATEDIF(P38, DATE(2023, 6, 8), "Y")</f>
        <v>24</v>
      </c>
      <c r="V38">
        <f>SUM(C38:K38)</f>
        <v>47.934999999999995</v>
      </c>
    </row>
    <row r="39" spans="1:22" ht="15.75">
      <c r="A39" s="28" t="s">
        <v>76</v>
      </c>
      <c r="B39" s="28" t="s">
        <v>77</v>
      </c>
      <c r="C39" s="23">
        <v>32.450000000000003</v>
      </c>
      <c r="D39" s="23">
        <v>11.91</v>
      </c>
      <c r="E39" s="23" t="s">
        <v>4682</v>
      </c>
      <c r="F39" s="23" t="s">
        <v>4682</v>
      </c>
      <c r="G39" s="23" t="s">
        <v>4682</v>
      </c>
      <c r="H39" s="23">
        <v>0</v>
      </c>
      <c r="I39" s="23" t="s">
        <v>4683</v>
      </c>
      <c r="J39" s="23" t="s">
        <v>4729</v>
      </c>
      <c r="K39" s="23" t="s">
        <v>4735</v>
      </c>
      <c r="L39">
        <v>2002</v>
      </c>
      <c r="M39" s="15" t="s">
        <v>4706</v>
      </c>
      <c r="N39">
        <v>13</v>
      </c>
      <c r="O39">
        <v>0</v>
      </c>
      <c r="P39" s="21">
        <f>DATEVALUE(N39&amp;"-"&amp;M39&amp;"-"&amp;L39)</f>
        <v>37481</v>
      </c>
      <c r="Q39" s="22">
        <v>1086</v>
      </c>
      <c r="R39" s="23" t="s">
        <v>4698</v>
      </c>
      <c r="S39" s="23" t="s">
        <v>4698</v>
      </c>
      <c r="T39" s="23" t="s">
        <v>4699</v>
      </c>
      <c r="U39" s="23">
        <f>DATEDIF(P39, DATE(2023, 6, 8), "Y")</f>
        <v>20</v>
      </c>
      <c r="V39">
        <f>SUM(C39:K39)</f>
        <v>44.36</v>
      </c>
    </row>
    <row r="40" spans="1:22" ht="15.75">
      <c r="A40" s="28" t="s">
        <v>78</v>
      </c>
      <c r="B40" s="28" t="s">
        <v>79</v>
      </c>
      <c r="C40" s="23">
        <v>34.96</v>
      </c>
      <c r="D40" s="23">
        <v>6.52</v>
      </c>
      <c r="E40" s="23" t="s">
        <v>4682</v>
      </c>
      <c r="F40" s="23" t="s">
        <v>4682</v>
      </c>
      <c r="G40" s="23" t="s">
        <v>4682</v>
      </c>
      <c r="H40" s="23">
        <v>0</v>
      </c>
      <c r="I40" s="23" t="s">
        <v>4683</v>
      </c>
      <c r="J40" s="23" t="s">
        <v>4729</v>
      </c>
      <c r="K40" s="23" t="s">
        <v>4735</v>
      </c>
      <c r="L40">
        <v>2004</v>
      </c>
      <c r="M40" s="15" t="s">
        <v>4700</v>
      </c>
      <c r="N40">
        <v>12</v>
      </c>
      <c r="O40">
        <v>0</v>
      </c>
      <c r="P40" s="21">
        <f>DATEVALUE(N40&amp;"-"&amp;M40&amp;"-"&amp;L40)</f>
        <v>38303</v>
      </c>
      <c r="Q40" s="22">
        <v>1121.8699999999999</v>
      </c>
      <c r="R40" s="23" t="s">
        <v>4698</v>
      </c>
      <c r="S40" s="23" t="s">
        <v>4701</v>
      </c>
      <c r="T40" s="23" t="s">
        <v>4699</v>
      </c>
      <c r="U40" s="23">
        <f>DATEDIF(P40, DATE(2023, 6, 8), "Y")</f>
        <v>18</v>
      </c>
      <c r="V40">
        <f>SUM(C40:K40)</f>
        <v>41.480000000000004</v>
      </c>
    </row>
    <row r="41" spans="1:22" ht="15.75">
      <c r="A41" s="28" t="s">
        <v>80</v>
      </c>
      <c r="B41" s="28" t="s">
        <v>81</v>
      </c>
      <c r="C41" s="23">
        <v>35.5</v>
      </c>
      <c r="D41" s="23">
        <v>5.14</v>
      </c>
      <c r="E41" s="23" t="s">
        <v>4682</v>
      </c>
      <c r="F41" s="23" t="s">
        <v>4682</v>
      </c>
      <c r="G41" s="23" t="s">
        <v>4684</v>
      </c>
      <c r="H41" s="23">
        <v>1</v>
      </c>
      <c r="I41" s="23" t="s">
        <v>4683</v>
      </c>
      <c r="J41" s="23" t="s">
        <v>4729</v>
      </c>
      <c r="K41" s="23" t="s">
        <v>4737</v>
      </c>
      <c r="L41">
        <v>2004</v>
      </c>
      <c r="M41" s="15" t="s">
        <v>4702</v>
      </c>
      <c r="N41">
        <v>14</v>
      </c>
      <c r="O41">
        <v>0</v>
      </c>
      <c r="P41" s="21">
        <f>DATEVALUE(N41&amp;"-"&amp;M41&amp;"-"&amp;L41)</f>
        <v>38152</v>
      </c>
      <c r="Q41" s="22">
        <v>1131.51</v>
      </c>
      <c r="R41" s="23" t="s">
        <v>4698</v>
      </c>
      <c r="S41" s="23" t="s">
        <v>4701</v>
      </c>
      <c r="T41" s="23" t="s">
        <v>4699</v>
      </c>
      <c r="U41" s="23">
        <f>DATEDIF(P41, DATE(2023, 6, 8), "Y")</f>
        <v>18</v>
      </c>
      <c r="V41">
        <f>SUM(C41:K41)</f>
        <v>41.64</v>
      </c>
    </row>
    <row r="42" spans="1:22" ht="15.75">
      <c r="A42" s="28" t="s">
        <v>82</v>
      </c>
      <c r="B42" s="28" t="s">
        <v>83</v>
      </c>
      <c r="C42" s="23">
        <v>52.58</v>
      </c>
      <c r="D42" s="23">
        <v>4.1900000000000004</v>
      </c>
      <c r="E42" s="23" t="s">
        <v>4682</v>
      </c>
      <c r="F42" s="23" t="s">
        <v>4683</v>
      </c>
      <c r="G42" s="23" t="s">
        <v>4682</v>
      </c>
      <c r="H42" s="23">
        <v>1</v>
      </c>
      <c r="I42" s="23" t="s">
        <v>4683</v>
      </c>
      <c r="J42" s="23" t="s">
        <v>4729</v>
      </c>
      <c r="K42" s="23" t="s">
        <v>4737</v>
      </c>
      <c r="L42">
        <v>2002</v>
      </c>
      <c r="M42" s="15" t="s">
        <v>4696</v>
      </c>
      <c r="N42">
        <v>19</v>
      </c>
      <c r="O42">
        <v>0</v>
      </c>
      <c r="P42" s="21">
        <f>DATEVALUE(N42&amp;"-"&amp;M42&amp;"-"&amp;L42)</f>
        <v>37456</v>
      </c>
      <c r="Q42" s="22">
        <v>1132</v>
      </c>
      <c r="R42" s="23" t="s">
        <v>4698</v>
      </c>
      <c r="S42" s="23" t="s">
        <v>4701</v>
      </c>
      <c r="T42" s="23" t="s">
        <v>4699</v>
      </c>
      <c r="U42" s="23">
        <f>DATEDIF(P42, DATE(2023, 6, 8), "Y")</f>
        <v>20</v>
      </c>
      <c r="V42">
        <f>SUM(C42:K42)</f>
        <v>57.769999999999996</v>
      </c>
    </row>
    <row r="43" spans="1:22" ht="15.75">
      <c r="A43" s="28" t="s">
        <v>84</v>
      </c>
      <c r="B43" s="28" t="s">
        <v>85</v>
      </c>
      <c r="C43" s="23">
        <v>35.200000000000003</v>
      </c>
      <c r="D43" s="23">
        <v>11.68</v>
      </c>
      <c r="E43" s="23" t="s">
        <v>4683</v>
      </c>
      <c r="F43" s="23" t="s">
        <v>4682</v>
      </c>
      <c r="G43" s="23" t="s">
        <v>4682</v>
      </c>
      <c r="H43" s="23">
        <v>0</v>
      </c>
      <c r="I43" s="23" t="s">
        <v>4683</v>
      </c>
      <c r="J43" s="23" t="s">
        <v>4729</v>
      </c>
      <c r="K43" s="23" t="s">
        <v>4735</v>
      </c>
      <c r="L43">
        <v>2004</v>
      </c>
      <c r="M43" s="15" t="s">
        <v>4707</v>
      </c>
      <c r="N43">
        <v>6</v>
      </c>
      <c r="O43">
        <v>0</v>
      </c>
      <c r="P43" s="21">
        <f>DATEVALUE(N43&amp;"-"&amp;M43&amp;"-"&amp;L43)</f>
        <v>38266</v>
      </c>
      <c r="Q43" s="22">
        <v>1135</v>
      </c>
      <c r="R43" s="23" t="s">
        <v>4698</v>
      </c>
      <c r="S43" s="23" t="s">
        <v>4698</v>
      </c>
      <c r="T43" s="23" t="s">
        <v>4699</v>
      </c>
      <c r="U43" s="23">
        <f>DATEDIF(P43, DATE(2023, 6, 8), "Y")</f>
        <v>18</v>
      </c>
      <c r="V43">
        <f>SUM(C43:K43)</f>
        <v>46.88</v>
      </c>
    </row>
    <row r="44" spans="1:22" ht="15.75">
      <c r="A44" s="28" t="s">
        <v>86</v>
      </c>
      <c r="B44" s="28" t="s">
        <v>87</v>
      </c>
      <c r="C44" s="23">
        <v>38.06</v>
      </c>
      <c r="D44" s="23">
        <v>6.98</v>
      </c>
      <c r="E44" s="23" t="s">
        <v>4682</v>
      </c>
      <c r="F44" s="23" t="s">
        <v>4682</v>
      </c>
      <c r="G44" s="23" t="s">
        <v>4682</v>
      </c>
      <c r="H44" s="23">
        <v>0</v>
      </c>
      <c r="I44" s="23" t="s">
        <v>4683</v>
      </c>
      <c r="J44" s="23" t="s">
        <v>4729</v>
      </c>
      <c r="K44" s="23" t="s">
        <v>4735</v>
      </c>
      <c r="L44">
        <v>2004</v>
      </c>
      <c r="M44" s="15" t="s">
        <v>4702</v>
      </c>
      <c r="N44">
        <v>11</v>
      </c>
      <c r="O44">
        <v>0</v>
      </c>
      <c r="P44" s="21">
        <f>DATEVALUE(N44&amp;"-"&amp;M44&amp;"-"&amp;L44)</f>
        <v>38149</v>
      </c>
      <c r="Q44" s="22">
        <v>1135.94</v>
      </c>
      <c r="R44" s="23" t="s">
        <v>4698</v>
      </c>
      <c r="S44" s="23" t="s">
        <v>4698</v>
      </c>
      <c r="T44" s="23" t="s">
        <v>4699</v>
      </c>
      <c r="U44" s="23">
        <f>DATEDIF(P44, DATE(2023, 6, 8), "Y")</f>
        <v>18</v>
      </c>
      <c r="V44">
        <f>SUM(C44:K44)</f>
        <v>45.040000000000006</v>
      </c>
    </row>
    <row r="45" spans="1:22" ht="15.75">
      <c r="A45" s="28" t="s">
        <v>88</v>
      </c>
      <c r="B45" s="28" t="s">
        <v>89</v>
      </c>
      <c r="C45" s="23">
        <v>34.21</v>
      </c>
      <c r="D45" s="23">
        <v>8.34</v>
      </c>
      <c r="E45" s="23" t="s">
        <v>4682</v>
      </c>
      <c r="F45" s="23" t="s">
        <v>4682</v>
      </c>
      <c r="G45" s="23" t="s">
        <v>4682</v>
      </c>
      <c r="H45" s="23">
        <v>0</v>
      </c>
      <c r="I45" s="23" t="s">
        <v>4683</v>
      </c>
      <c r="J45" s="23" t="s">
        <v>4729</v>
      </c>
      <c r="K45" s="23" t="s">
        <v>4735</v>
      </c>
      <c r="L45">
        <v>2004</v>
      </c>
      <c r="M45" s="15" t="s">
        <v>4700</v>
      </c>
      <c r="N45">
        <v>28</v>
      </c>
      <c r="O45">
        <v>0</v>
      </c>
      <c r="P45" s="21">
        <f>DATEVALUE(N45&amp;"-"&amp;M45&amp;"-"&amp;L45)</f>
        <v>38319</v>
      </c>
      <c r="Q45" s="22">
        <v>1136.4000000000001</v>
      </c>
      <c r="R45" s="23" t="s">
        <v>4698</v>
      </c>
      <c r="S45" s="23" t="s">
        <v>4698</v>
      </c>
      <c r="T45" s="23" t="s">
        <v>4699</v>
      </c>
      <c r="U45" s="23">
        <f>DATEDIF(P45, DATE(2023, 6, 8), "Y")</f>
        <v>18</v>
      </c>
      <c r="V45">
        <f>SUM(C45:K45)</f>
        <v>42.55</v>
      </c>
    </row>
    <row r="46" spans="1:22" ht="15.75">
      <c r="A46" s="28" t="s">
        <v>90</v>
      </c>
      <c r="B46" s="28" t="s">
        <v>91</v>
      </c>
      <c r="C46" s="23">
        <v>38.94</v>
      </c>
      <c r="D46" s="23">
        <v>8.49</v>
      </c>
      <c r="E46" s="23" t="s">
        <v>4683</v>
      </c>
      <c r="F46" s="23" t="s">
        <v>4682</v>
      </c>
      <c r="G46" s="23" t="s">
        <v>4682</v>
      </c>
      <c r="H46" s="23">
        <v>1</v>
      </c>
      <c r="I46" s="23" t="s">
        <v>4683</v>
      </c>
      <c r="J46" s="23" t="s">
        <v>4729</v>
      </c>
      <c r="K46" s="23" t="s">
        <v>4735</v>
      </c>
      <c r="L46">
        <v>2002</v>
      </c>
      <c r="M46" s="15" t="s">
        <v>4706</v>
      </c>
      <c r="N46">
        <v>11</v>
      </c>
      <c r="O46">
        <v>0</v>
      </c>
      <c r="P46" s="21">
        <f>DATEVALUE(N46&amp;"-"&amp;M46&amp;"-"&amp;L46)</f>
        <v>37479</v>
      </c>
      <c r="Q46" s="22">
        <v>1137</v>
      </c>
      <c r="R46" s="23" t="s">
        <v>4698</v>
      </c>
      <c r="S46" s="23" t="s">
        <v>4701</v>
      </c>
      <c r="T46" s="23" t="s">
        <v>4699</v>
      </c>
      <c r="U46" s="23">
        <f>DATEDIF(P46, DATE(2023, 6, 8), "Y")</f>
        <v>20</v>
      </c>
      <c r="V46">
        <f>SUM(C46:K46)</f>
        <v>48.43</v>
      </c>
    </row>
    <row r="47" spans="1:22" ht="15.75">
      <c r="A47" s="28" t="s">
        <v>92</v>
      </c>
      <c r="B47" s="28" t="s">
        <v>93</v>
      </c>
      <c r="C47" s="23">
        <v>30.21</v>
      </c>
      <c r="D47" s="23">
        <v>5.34</v>
      </c>
      <c r="E47" s="23" t="s">
        <v>4683</v>
      </c>
      <c r="F47" s="23" t="s">
        <v>4682</v>
      </c>
      <c r="G47" s="23" t="s">
        <v>4682</v>
      </c>
      <c r="H47" s="23">
        <v>1</v>
      </c>
      <c r="I47" s="23" t="s">
        <v>4683</v>
      </c>
      <c r="J47" s="23" t="s">
        <v>4729</v>
      </c>
      <c r="K47" s="23" t="s">
        <v>4737</v>
      </c>
      <c r="L47">
        <v>2004</v>
      </c>
      <c r="M47" s="15" t="s">
        <v>4700</v>
      </c>
      <c r="N47">
        <v>6</v>
      </c>
      <c r="O47">
        <v>0</v>
      </c>
      <c r="P47" s="21">
        <f>DATEVALUE(N47&amp;"-"&amp;M47&amp;"-"&amp;L47)</f>
        <v>38297</v>
      </c>
      <c r="Q47" s="22">
        <v>1137.01</v>
      </c>
      <c r="R47" s="23" t="s">
        <v>4698</v>
      </c>
      <c r="S47" s="23" t="s">
        <v>4701</v>
      </c>
      <c r="T47" s="23" t="s">
        <v>4699</v>
      </c>
      <c r="U47" s="23">
        <f>DATEDIF(P47, DATE(2023, 6, 8), "Y")</f>
        <v>18</v>
      </c>
      <c r="V47">
        <f>SUM(C47:K47)</f>
        <v>36.549999999999997</v>
      </c>
    </row>
    <row r="48" spans="1:22" ht="15.75">
      <c r="A48" s="28" t="s">
        <v>94</v>
      </c>
      <c r="B48" s="28" t="s">
        <v>95</v>
      </c>
      <c r="C48" s="23">
        <v>33.630000000000003</v>
      </c>
      <c r="D48" s="23">
        <v>4.43</v>
      </c>
      <c r="E48" s="23" t="s">
        <v>4683</v>
      </c>
      <c r="F48" s="23" t="s">
        <v>4682</v>
      </c>
      <c r="G48" s="23" t="s">
        <v>4682</v>
      </c>
      <c r="H48" s="23">
        <v>2</v>
      </c>
      <c r="I48" s="23" t="s">
        <v>4683</v>
      </c>
      <c r="J48" s="23" t="s">
        <v>4729</v>
      </c>
      <c r="K48" s="23" t="s">
        <v>4737</v>
      </c>
      <c r="L48">
        <v>2004</v>
      </c>
      <c r="M48" s="15" t="s">
        <v>4707</v>
      </c>
      <c r="N48">
        <v>15</v>
      </c>
      <c r="O48">
        <v>0</v>
      </c>
      <c r="P48" s="21">
        <f>DATEVALUE(N48&amp;"-"&amp;M48&amp;"-"&amp;L48)</f>
        <v>38275</v>
      </c>
      <c r="Q48" s="22">
        <v>1137.01</v>
      </c>
      <c r="R48" s="23" t="s">
        <v>4698</v>
      </c>
      <c r="S48" s="23" t="s">
        <v>4701</v>
      </c>
      <c r="T48" s="23" t="s">
        <v>4699</v>
      </c>
      <c r="U48" s="23">
        <f>DATEDIF(P48, DATE(2023, 6, 8), "Y")</f>
        <v>18</v>
      </c>
      <c r="V48">
        <f>SUM(C48:K48)</f>
        <v>40.06</v>
      </c>
    </row>
    <row r="49" spans="1:22" ht="15.75">
      <c r="A49" s="28" t="s">
        <v>96</v>
      </c>
      <c r="B49" s="28" t="s">
        <v>97</v>
      </c>
      <c r="C49" s="23">
        <v>40.369999999999997</v>
      </c>
      <c r="D49" s="23">
        <v>4.47</v>
      </c>
      <c r="E49" s="23" t="s">
        <v>4682</v>
      </c>
      <c r="F49" s="23" t="s">
        <v>4682</v>
      </c>
      <c r="G49" s="23" t="s">
        <v>4682</v>
      </c>
      <c r="H49" s="23">
        <v>0</v>
      </c>
      <c r="I49" s="23" t="s">
        <v>4683</v>
      </c>
      <c r="J49" s="23" t="s">
        <v>4729</v>
      </c>
      <c r="K49" s="23" t="s">
        <v>4737</v>
      </c>
      <c r="L49">
        <v>2004</v>
      </c>
      <c r="M49" s="15" t="s">
        <v>4700</v>
      </c>
      <c r="N49">
        <v>27</v>
      </c>
      <c r="O49">
        <v>0</v>
      </c>
      <c r="P49" s="21">
        <f>DATEVALUE(N49&amp;"-"&amp;M49&amp;"-"&amp;L49)</f>
        <v>38318</v>
      </c>
      <c r="Q49" s="22">
        <v>1137.47</v>
      </c>
      <c r="R49" s="23" t="s">
        <v>4698</v>
      </c>
      <c r="S49" s="23" t="s">
        <v>4697</v>
      </c>
      <c r="T49" s="23" t="s">
        <v>4699</v>
      </c>
      <c r="U49" s="23">
        <f>DATEDIF(P49, DATE(2023, 6, 8), "Y")</f>
        <v>18</v>
      </c>
      <c r="V49">
        <f>SUM(C49:K49)</f>
        <v>44.839999999999996</v>
      </c>
    </row>
    <row r="50" spans="1:22" ht="15.75">
      <c r="A50" s="28" t="s">
        <v>98</v>
      </c>
      <c r="B50" s="28" t="s">
        <v>99</v>
      </c>
      <c r="C50" s="23">
        <v>53.09</v>
      </c>
      <c r="D50" s="23">
        <v>4.82</v>
      </c>
      <c r="E50" s="23" t="s">
        <v>4683</v>
      </c>
      <c r="F50" s="23" t="s">
        <v>4682</v>
      </c>
      <c r="G50" s="23" t="s">
        <v>4682</v>
      </c>
      <c r="H50" s="23">
        <v>2</v>
      </c>
      <c r="I50" s="23" t="s">
        <v>4683</v>
      </c>
      <c r="J50" s="23" t="s">
        <v>4729</v>
      </c>
      <c r="K50" s="23" t="s">
        <v>4737</v>
      </c>
      <c r="L50">
        <v>2001</v>
      </c>
      <c r="M50" s="15" t="s">
        <v>4707</v>
      </c>
      <c r="N50">
        <v>25</v>
      </c>
      <c r="O50">
        <v>0</v>
      </c>
      <c r="P50" s="21">
        <f>DATEVALUE(N50&amp;"-"&amp;M50&amp;"-"&amp;L50)</f>
        <v>37189</v>
      </c>
      <c r="Q50" s="22">
        <v>1141</v>
      </c>
      <c r="R50" s="23" t="s">
        <v>4698</v>
      </c>
      <c r="S50" s="23" t="s">
        <v>4701</v>
      </c>
      <c r="T50" s="23" t="s">
        <v>4699</v>
      </c>
      <c r="U50" s="23">
        <f>DATEDIF(P50, DATE(2023, 6, 8), "Y")</f>
        <v>21</v>
      </c>
      <c r="V50">
        <f>SUM(C50:K50)</f>
        <v>59.910000000000004</v>
      </c>
    </row>
    <row r="51" spans="1:22" ht="15.75">
      <c r="A51" s="28" t="s">
        <v>100</v>
      </c>
      <c r="B51" s="28" t="s">
        <v>101</v>
      </c>
      <c r="C51" s="23">
        <v>31.79</v>
      </c>
      <c r="D51" s="23">
        <v>5.51</v>
      </c>
      <c r="E51" s="23" t="s">
        <v>4683</v>
      </c>
      <c r="F51" s="23" t="s">
        <v>4682</v>
      </c>
      <c r="G51" s="23" t="s">
        <v>4682</v>
      </c>
      <c r="H51" s="23">
        <v>2</v>
      </c>
      <c r="I51" s="23" t="s">
        <v>4683</v>
      </c>
      <c r="J51" s="23" t="s">
        <v>4729</v>
      </c>
      <c r="K51" s="23" t="s">
        <v>4737</v>
      </c>
      <c r="L51">
        <v>2004</v>
      </c>
      <c r="M51" s="15" t="s">
        <v>4703</v>
      </c>
      <c r="N51">
        <v>12</v>
      </c>
      <c r="O51">
        <v>0</v>
      </c>
      <c r="P51" s="21">
        <f>DATEVALUE(N51&amp;"-"&amp;M51&amp;"-"&amp;L51)</f>
        <v>38242</v>
      </c>
      <c r="Q51" s="22">
        <v>1141.45</v>
      </c>
      <c r="R51" s="23" t="s">
        <v>4698</v>
      </c>
      <c r="S51" s="23" t="s">
        <v>4698</v>
      </c>
      <c r="T51" s="23" t="s">
        <v>4699</v>
      </c>
      <c r="U51" s="23">
        <f>DATEDIF(P51, DATE(2023, 6, 8), "Y")</f>
        <v>18</v>
      </c>
      <c r="V51">
        <f>SUM(C51:K51)</f>
        <v>39.299999999999997</v>
      </c>
    </row>
    <row r="52" spans="1:22" ht="15.75">
      <c r="A52" s="28" t="s">
        <v>102</v>
      </c>
      <c r="B52" s="28" t="s">
        <v>103</v>
      </c>
      <c r="C52" s="23">
        <v>41.895000000000003</v>
      </c>
      <c r="D52" s="23">
        <v>10.87</v>
      </c>
      <c r="E52" s="23" t="s">
        <v>4683</v>
      </c>
      <c r="F52" s="23" t="s">
        <v>4682</v>
      </c>
      <c r="G52" s="23" t="s">
        <v>4682</v>
      </c>
      <c r="H52" s="23">
        <v>1</v>
      </c>
      <c r="I52" s="23" t="s">
        <v>4683</v>
      </c>
      <c r="J52" s="23" t="s">
        <v>4729</v>
      </c>
      <c r="K52" s="23" t="s">
        <v>4735</v>
      </c>
      <c r="L52">
        <v>2002</v>
      </c>
      <c r="M52" s="15" t="s">
        <v>4707</v>
      </c>
      <c r="N52">
        <v>1</v>
      </c>
      <c r="O52">
        <v>0</v>
      </c>
      <c r="P52" s="21">
        <f>DATEVALUE(N52&amp;"-"&amp;M52&amp;"-"&amp;L52)</f>
        <v>37530</v>
      </c>
      <c r="Q52" s="22">
        <v>1142</v>
      </c>
      <c r="R52" s="23" t="s">
        <v>4698</v>
      </c>
      <c r="S52" s="23" t="s">
        <v>4697</v>
      </c>
      <c r="T52" s="23" t="s">
        <v>4708</v>
      </c>
      <c r="U52" s="23">
        <f>DATEDIF(P52, DATE(2023, 6, 8), "Y")</f>
        <v>20</v>
      </c>
      <c r="V52">
        <f>SUM(C52:K52)</f>
        <v>53.765000000000001</v>
      </c>
    </row>
    <row r="53" spans="1:22" ht="15.75">
      <c r="A53" s="28" t="s">
        <v>104</v>
      </c>
      <c r="B53" s="28" t="s">
        <v>105</v>
      </c>
      <c r="C53" s="23">
        <v>31.16</v>
      </c>
      <c r="D53" s="23">
        <v>9.34</v>
      </c>
      <c r="E53" s="23" t="s">
        <v>4682</v>
      </c>
      <c r="F53" s="23" t="s">
        <v>4682</v>
      </c>
      <c r="G53" s="23" t="s">
        <v>4682</v>
      </c>
      <c r="H53" s="23">
        <v>0</v>
      </c>
      <c r="I53" s="23" t="s">
        <v>4683</v>
      </c>
      <c r="J53" s="23" t="s">
        <v>4729</v>
      </c>
      <c r="K53" s="23" t="s">
        <v>4735</v>
      </c>
      <c r="L53">
        <v>2004</v>
      </c>
      <c r="M53" s="15" t="s">
        <v>4702</v>
      </c>
      <c r="N53">
        <v>10</v>
      </c>
      <c r="O53">
        <v>0</v>
      </c>
      <c r="P53" s="21">
        <f>DATEVALUE(N53&amp;"-"&amp;M53&amp;"-"&amp;L53)</f>
        <v>38148</v>
      </c>
      <c r="Q53" s="22">
        <v>1146.8</v>
      </c>
      <c r="R53" s="23" t="s">
        <v>4697</v>
      </c>
      <c r="S53" s="23" t="s">
        <v>4697</v>
      </c>
      <c r="T53" s="23" t="s">
        <v>4699</v>
      </c>
      <c r="U53" s="23">
        <f>DATEDIF(P53, DATE(2023, 6, 8), "Y")</f>
        <v>18</v>
      </c>
      <c r="V53">
        <f>SUM(C53:K53)</f>
        <v>40.5</v>
      </c>
    </row>
    <row r="54" spans="1:22" ht="15.75">
      <c r="A54" s="28" t="s">
        <v>106</v>
      </c>
      <c r="B54" s="28" t="s">
        <v>107</v>
      </c>
      <c r="C54" s="23">
        <v>34.104999999999997</v>
      </c>
      <c r="D54" s="23">
        <v>5.03</v>
      </c>
      <c r="E54" s="23" t="s">
        <v>4683</v>
      </c>
      <c r="F54" s="23" t="s">
        <v>4682</v>
      </c>
      <c r="G54" s="23" t="s">
        <v>4684</v>
      </c>
      <c r="H54" s="23">
        <v>1</v>
      </c>
      <c r="I54" s="23" t="s">
        <v>4683</v>
      </c>
      <c r="J54" s="23" t="s">
        <v>4729</v>
      </c>
      <c r="K54" s="23" t="s">
        <v>4737</v>
      </c>
      <c r="L54">
        <v>2003</v>
      </c>
      <c r="M54" s="15" t="s">
        <v>4702</v>
      </c>
      <c r="N54">
        <v>12</v>
      </c>
      <c r="O54">
        <v>0</v>
      </c>
      <c r="P54" s="21">
        <f>DATEVALUE(N54&amp;"-"&amp;M54&amp;"-"&amp;L54)</f>
        <v>37784</v>
      </c>
      <c r="Q54" s="22">
        <v>1149</v>
      </c>
      <c r="R54" s="23" t="s">
        <v>4697</v>
      </c>
      <c r="S54" s="23" t="s">
        <v>4701</v>
      </c>
      <c r="T54" s="23" t="s">
        <v>4704</v>
      </c>
      <c r="U54" s="23">
        <f>DATEDIF(P54, DATE(2023, 6, 8), "Y")</f>
        <v>19</v>
      </c>
      <c r="V54">
        <f>SUM(C54:K54)</f>
        <v>40.134999999999998</v>
      </c>
    </row>
    <row r="55" spans="1:22" ht="15.75">
      <c r="A55" s="28" t="s">
        <v>108</v>
      </c>
      <c r="B55" s="28" t="s">
        <v>109</v>
      </c>
      <c r="C55" s="23">
        <v>51.93</v>
      </c>
      <c r="D55" s="23">
        <v>11.05</v>
      </c>
      <c r="E55" s="23" t="s">
        <v>4682</v>
      </c>
      <c r="F55" s="23" t="s">
        <v>4682</v>
      </c>
      <c r="G55" s="23" t="s">
        <v>4682</v>
      </c>
      <c r="H55" s="23">
        <v>0</v>
      </c>
      <c r="I55" s="23" t="s">
        <v>4683</v>
      </c>
      <c r="J55" s="23" t="s">
        <v>4729</v>
      </c>
      <c r="K55" s="23" t="s">
        <v>4735</v>
      </c>
      <c r="L55">
        <v>2004</v>
      </c>
      <c r="M55" s="15" t="s">
        <v>4696</v>
      </c>
      <c r="N55">
        <v>18</v>
      </c>
      <c r="O55">
        <v>0</v>
      </c>
      <c r="P55" s="21">
        <f>DATEVALUE(N55&amp;"-"&amp;M55&amp;"-"&amp;L55)</f>
        <v>38186</v>
      </c>
      <c r="Q55" s="22">
        <v>1149.4000000000001</v>
      </c>
      <c r="R55" s="23" t="s">
        <v>4697</v>
      </c>
      <c r="S55" s="23" t="s">
        <v>4697</v>
      </c>
      <c r="T55" s="23" t="s">
        <v>4699</v>
      </c>
      <c r="U55" s="23">
        <f>DATEDIF(P55, DATE(2023, 6, 8), "Y")</f>
        <v>18</v>
      </c>
      <c r="V55">
        <f>SUM(C55:K55)</f>
        <v>62.980000000000004</v>
      </c>
    </row>
    <row r="56" spans="1:22" ht="15.75">
      <c r="A56" s="28" t="s">
        <v>110</v>
      </c>
      <c r="B56" s="28" t="s">
        <v>111</v>
      </c>
      <c r="C56" s="23">
        <v>38.950000000000003</v>
      </c>
      <c r="D56" s="23">
        <v>11.95</v>
      </c>
      <c r="E56" s="23" t="s">
        <v>4682</v>
      </c>
      <c r="F56" s="23" t="s">
        <v>4682</v>
      </c>
      <c r="G56" s="23" t="s">
        <v>4682</v>
      </c>
      <c r="H56" s="23">
        <v>0</v>
      </c>
      <c r="I56" s="23" t="s">
        <v>4683</v>
      </c>
      <c r="J56" s="23" t="s">
        <v>4729</v>
      </c>
      <c r="K56" s="23" t="s">
        <v>4735</v>
      </c>
      <c r="L56">
        <v>1994</v>
      </c>
      <c r="M56" s="15" t="s">
        <v>4696</v>
      </c>
      <c r="N56">
        <v>26</v>
      </c>
      <c r="O56">
        <v>0</v>
      </c>
      <c r="P56" s="21">
        <f>DATEVALUE(N56&amp;"-"&amp;M56&amp;"-"&amp;L56)</f>
        <v>34541</v>
      </c>
      <c r="Q56" s="22">
        <v>1158.32</v>
      </c>
      <c r="R56" s="23" t="s">
        <v>4697</v>
      </c>
      <c r="S56" s="23" t="s">
        <v>4701</v>
      </c>
      <c r="T56" s="23" t="s">
        <v>4699</v>
      </c>
      <c r="U56" s="23">
        <f>DATEDIF(P56, DATE(2023, 6, 8), "Y")</f>
        <v>28</v>
      </c>
      <c r="V56">
        <f>SUM(C56:K56)</f>
        <v>50.900000000000006</v>
      </c>
    </row>
    <row r="57" spans="1:22" ht="15.75">
      <c r="A57" s="28" t="s">
        <v>112</v>
      </c>
      <c r="B57" s="28" t="s">
        <v>113</v>
      </c>
      <c r="C57" s="23">
        <v>36.630000000000003</v>
      </c>
      <c r="D57" s="23">
        <v>7.72</v>
      </c>
      <c r="E57" s="23" t="s">
        <v>4683</v>
      </c>
      <c r="F57" s="23" t="s">
        <v>4682</v>
      </c>
      <c r="G57" s="23" t="s">
        <v>4682</v>
      </c>
      <c r="H57" s="23">
        <v>1</v>
      </c>
      <c r="I57" s="23" t="s">
        <v>4683</v>
      </c>
      <c r="J57" s="23" t="s">
        <v>4729</v>
      </c>
      <c r="K57" s="23" t="s">
        <v>4735</v>
      </c>
      <c r="L57">
        <v>2004</v>
      </c>
      <c r="M57" s="15" t="s">
        <v>4700</v>
      </c>
      <c r="N57">
        <v>11</v>
      </c>
      <c r="O57">
        <v>0</v>
      </c>
      <c r="P57" s="21">
        <f>DATEVALUE(N57&amp;"-"&amp;M57&amp;"-"&amp;L57)</f>
        <v>38302</v>
      </c>
      <c r="Q57" s="22">
        <v>1163.46</v>
      </c>
      <c r="R57" s="23" t="s">
        <v>4697</v>
      </c>
      <c r="S57" s="23" t="s">
        <v>4698</v>
      </c>
      <c r="T57" s="23" t="s">
        <v>4699</v>
      </c>
      <c r="U57" s="23">
        <f>DATEDIF(P57, DATE(2023, 6, 8), "Y")</f>
        <v>18</v>
      </c>
      <c r="V57">
        <f>SUM(C57:K57)</f>
        <v>45.35</v>
      </c>
    </row>
    <row r="58" spans="1:22" ht="15.75">
      <c r="A58" s="28" t="s">
        <v>114</v>
      </c>
      <c r="B58" s="28" t="s">
        <v>115</v>
      </c>
      <c r="C58" s="23">
        <v>34.200000000000003</v>
      </c>
      <c r="D58" s="23">
        <v>5.75</v>
      </c>
      <c r="E58" s="23" t="s">
        <v>4682</v>
      </c>
      <c r="F58" s="23" t="s">
        <v>4682</v>
      </c>
      <c r="G58" s="23" t="s">
        <v>4682</v>
      </c>
      <c r="H58" s="23">
        <v>2</v>
      </c>
      <c r="I58" s="23" t="s">
        <v>4683</v>
      </c>
      <c r="J58" s="23" t="s">
        <v>4729</v>
      </c>
      <c r="K58" s="23" t="s">
        <v>4736</v>
      </c>
      <c r="L58">
        <v>2002</v>
      </c>
      <c r="M58" s="15" t="s">
        <v>4702</v>
      </c>
      <c r="N58">
        <v>11</v>
      </c>
      <c r="O58">
        <v>0</v>
      </c>
      <c r="P58" s="21">
        <f>DATEVALUE(N58&amp;"-"&amp;M58&amp;"-"&amp;L58)</f>
        <v>37418</v>
      </c>
      <c r="Q58" s="22">
        <v>1165</v>
      </c>
      <c r="R58" s="23" t="s">
        <v>4697</v>
      </c>
      <c r="S58" s="23" t="s">
        <v>4698</v>
      </c>
      <c r="T58" s="23" t="s">
        <v>4704</v>
      </c>
      <c r="U58" s="23">
        <f>DATEDIF(P58, DATE(2023, 6, 8), "Y")</f>
        <v>20</v>
      </c>
      <c r="V58">
        <f>SUM(C58:K58)</f>
        <v>41.95</v>
      </c>
    </row>
    <row r="59" spans="1:22" ht="15.75">
      <c r="A59" s="28" t="s">
        <v>116</v>
      </c>
      <c r="B59" s="28" t="s">
        <v>117</v>
      </c>
      <c r="C59" s="23">
        <v>50.63</v>
      </c>
      <c r="D59" s="23">
        <v>11.89</v>
      </c>
      <c r="E59" s="23" t="s">
        <v>4682</v>
      </c>
      <c r="F59" s="23" t="s">
        <v>4682</v>
      </c>
      <c r="G59" s="23" t="s">
        <v>4682</v>
      </c>
      <c r="H59" s="23">
        <v>0</v>
      </c>
      <c r="I59" s="23" t="s">
        <v>4683</v>
      </c>
      <c r="J59" s="23" t="s">
        <v>4729</v>
      </c>
      <c r="K59" s="23" t="s">
        <v>4735</v>
      </c>
      <c r="L59">
        <v>2001</v>
      </c>
      <c r="M59" s="15" t="s">
        <v>4700</v>
      </c>
      <c r="N59">
        <v>12</v>
      </c>
      <c r="O59">
        <v>0</v>
      </c>
      <c r="P59" s="21">
        <f>DATEVALUE(N59&amp;"-"&amp;M59&amp;"-"&amp;L59)</f>
        <v>37207</v>
      </c>
      <c r="Q59" s="22">
        <v>1167</v>
      </c>
      <c r="R59" s="23" t="s">
        <v>4697</v>
      </c>
      <c r="S59" s="23" t="s">
        <v>4701</v>
      </c>
      <c r="T59" s="23" t="s">
        <v>4699</v>
      </c>
      <c r="U59" s="23">
        <f>DATEDIF(P59, DATE(2023, 6, 8), "Y")</f>
        <v>21</v>
      </c>
      <c r="V59">
        <f>SUM(C59:K59)</f>
        <v>62.52</v>
      </c>
    </row>
    <row r="60" spans="1:22" ht="15.75">
      <c r="A60" s="28" t="s">
        <v>118</v>
      </c>
      <c r="B60" s="28" t="s">
        <v>119</v>
      </c>
      <c r="C60" s="23">
        <v>36.479999999999997</v>
      </c>
      <c r="D60" s="23">
        <v>6.2</v>
      </c>
      <c r="E60" s="23" t="s">
        <v>4682</v>
      </c>
      <c r="F60" s="23" t="s">
        <v>4682</v>
      </c>
      <c r="G60" s="23" t="s">
        <v>4682</v>
      </c>
      <c r="H60" s="23">
        <v>0</v>
      </c>
      <c r="I60" s="23" t="s">
        <v>4683</v>
      </c>
      <c r="J60" s="23" t="s">
        <v>4729</v>
      </c>
      <c r="K60" s="23" t="s">
        <v>4736</v>
      </c>
      <c r="L60">
        <v>1996</v>
      </c>
      <c r="M60" s="15" t="s">
        <v>4706</v>
      </c>
      <c r="N60">
        <v>11</v>
      </c>
      <c r="O60">
        <v>0</v>
      </c>
      <c r="P60" s="21">
        <f>DATEVALUE(N60&amp;"-"&amp;M60&amp;"-"&amp;L60)</f>
        <v>35288</v>
      </c>
      <c r="Q60" s="22">
        <v>1178</v>
      </c>
      <c r="R60" s="23" t="s">
        <v>4697</v>
      </c>
      <c r="S60" s="23" t="s">
        <v>4698</v>
      </c>
      <c r="T60" s="23" t="s">
        <v>4699</v>
      </c>
      <c r="U60" s="23">
        <f>DATEDIF(P60, DATE(2023, 6, 8), "Y")</f>
        <v>26</v>
      </c>
      <c r="V60">
        <f>SUM(C60:K60)</f>
        <v>42.68</v>
      </c>
    </row>
    <row r="61" spans="1:22" ht="15.75">
      <c r="A61" s="28" t="s">
        <v>120</v>
      </c>
      <c r="B61" s="28" t="s">
        <v>121</v>
      </c>
      <c r="C61" s="23">
        <v>54.82</v>
      </c>
      <c r="D61" s="23">
        <v>10.61</v>
      </c>
      <c r="E61" s="23" t="s">
        <v>4682</v>
      </c>
      <c r="F61" s="23" t="s">
        <v>4682</v>
      </c>
      <c r="G61" s="23" t="s">
        <v>4682</v>
      </c>
      <c r="H61" s="23">
        <v>0</v>
      </c>
      <c r="I61" s="23" t="s">
        <v>4683</v>
      </c>
      <c r="J61" s="23" t="s">
        <v>4729</v>
      </c>
      <c r="K61" s="23" t="s">
        <v>4735</v>
      </c>
      <c r="L61">
        <v>1997</v>
      </c>
      <c r="M61" s="15" t="s">
        <v>4702</v>
      </c>
      <c r="N61">
        <v>28</v>
      </c>
      <c r="O61">
        <v>0</v>
      </c>
      <c r="P61" s="21">
        <f>DATEVALUE(N61&amp;"-"&amp;M61&amp;"-"&amp;L61)</f>
        <v>35609</v>
      </c>
      <c r="Q61" s="22">
        <v>1178.07</v>
      </c>
      <c r="R61" s="23" t="s">
        <v>4697</v>
      </c>
      <c r="S61" s="23" t="s">
        <v>4697</v>
      </c>
      <c r="T61" s="23" t="s">
        <v>4699</v>
      </c>
      <c r="U61" s="23">
        <f>DATEDIF(P61, DATE(2023, 6, 8), "Y")</f>
        <v>25</v>
      </c>
      <c r="V61">
        <f>SUM(C61:K61)</f>
        <v>65.430000000000007</v>
      </c>
    </row>
    <row r="62" spans="1:22" ht="15.75">
      <c r="A62" s="28" t="s">
        <v>122</v>
      </c>
      <c r="B62" s="28" t="s">
        <v>123</v>
      </c>
      <c r="C62" s="23">
        <v>38.06</v>
      </c>
      <c r="D62" s="23">
        <v>6.04</v>
      </c>
      <c r="E62" s="23" t="s">
        <v>4682</v>
      </c>
      <c r="F62" s="23" t="s">
        <v>4682</v>
      </c>
      <c r="G62" s="23" t="s">
        <v>4684</v>
      </c>
      <c r="H62" s="23">
        <v>1</v>
      </c>
      <c r="I62" s="23" t="s">
        <v>4683</v>
      </c>
      <c r="J62" s="23" t="s">
        <v>4729</v>
      </c>
      <c r="K62" s="23" t="s">
        <v>4736</v>
      </c>
      <c r="L62">
        <v>2002</v>
      </c>
      <c r="M62" s="15" t="s">
        <v>4706</v>
      </c>
      <c r="N62">
        <v>26</v>
      </c>
      <c r="O62">
        <v>0</v>
      </c>
      <c r="P62" s="21">
        <f>DATEVALUE(N62&amp;"-"&amp;M62&amp;"-"&amp;L62)</f>
        <v>37494</v>
      </c>
      <c r="Q62" s="22">
        <v>1191</v>
      </c>
      <c r="R62" s="23" t="s">
        <v>4697</v>
      </c>
      <c r="S62" s="23" t="s">
        <v>4701</v>
      </c>
      <c r="T62" s="23" t="s">
        <v>4699</v>
      </c>
      <c r="U62" s="23">
        <f>DATEDIF(P62, DATE(2023, 6, 8), "Y")</f>
        <v>20</v>
      </c>
      <c r="V62">
        <f>SUM(C62:K62)</f>
        <v>45.1</v>
      </c>
    </row>
    <row r="63" spans="1:22" ht="15.75">
      <c r="A63" s="28" t="s">
        <v>124</v>
      </c>
      <c r="B63" s="28" t="s">
        <v>125</v>
      </c>
      <c r="C63" s="23">
        <v>51.48</v>
      </c>
      <c r="D63" s="23">
        <v>9.33</v>
      </c>
      <c r="E63" s="23" t="s">
        <v>4683</v>
      </c>
      <c r="F63" s="23" t="s">
        <v>4682</v>
      </c>
      <c r="G63" s="23" t="s">
        <v>4682</v>
      </c>
      <c r="H63" s="23">
        <v>0</v>
      </c>
      <c r="I63" s="23" t="s">
        <v>4683</v>
      </c>
      <c r="J63" s="23" t="s">
        <v>4729</v>
      </c>
      <c r="K63" s="23" t="s">
        <v>4735</v>
      </c>
      <c r="L63">
        <v>1999</v>
      </c>
      <c r="M63" s="15" t="s">
        <v>4702</v>
      </c>
      <c r="N63">
        <v>28</v>
      </c>
      <c r="O63">
        <v>0</v>
      </c>
      <c r="P63" s="21">
        <f>DATEVALUE(N63&amp;"-"&amp;M63&amp;"-"&amp;L63)</f>
        <v>36339</v>
      </c>
      <c r="Q63" s="22">
        <v>1200</v>
      </c>
      <c r="R63" s="23" t="s">
        <v>4697</v>
      </c>
      <c r="S63" s="23" t="s">
        <v>4698</v>
      </c>
      <c r="T63" s="23" t="s">
        <v>4704</v>
      </c>
      <c r="U63" s="23">
        <f>DATEDIF(P63, DATE(2023, 6, 8), "Y")</f>
        <v>23</v>
      </c>
      <c r="V63">
        <f>SUM(C63:K63)</f>
        <v>60.809999999999995</v>
      </c>
    </row>
    <row r="64" spans="1:22" ht="15.75">
      <c r="A64" s="28" t="s">
        <v>126</v>
      </c>
      <c r="B64" s="28" t="s">
        <v>127</v>
      </c>
      <c r="C64" s="23">
        <v>52.06</v>
      </c>
      <c r="D64" s="23">
        <v>11.47</v>
      </c>
      <c r="E64" s="23" t="s">
        <v>4682</v>
      </c>
      <c r="F64" s="23" t="s">
        <v>4682</v>
      </c>
      <c r="G64" s="23" t="s">
        <v>4682</v>
      </c>
      <c r="H64" s="23">
        <v>0</v>
      </c>
      <c r="I64" s="23" t="s">
        <v>4683</v>
      </c>
      <c r="J64" s="23" t="s">
        <v>4729</v>
      </c>
      <c r="K64" s="23" t="s">
        <v>4735</v>
      </c>
      <c r="L64">
        <v>1992</v>
      </c>
      <c r="M64" s="15" t="s">
        <v>4707</v>
      </c>
      <c r="N64">
        <v>6</v>
      </c>
      <c r="O64">
        <v>0</v>
      </c>
      <c r="P64" s="21">
        <f>DATEVALUE(N64&amp;"-"&amp;M64&amp;"-"&amp;L64)</f>
        <v>33883</v>
      </c>
      <c r="Q64" s="22">
        <v>1200.55</v>
      </c>
      <c r="R64" s="23" t="s">
        <v>4697</v>
      </c>
      <c r="S64" s="23" t="s">
        <v>4698</v>
      </c>
      <c r="T64" s="23" t="s">
        <v>4699</v>
      </c>
      <c r="U64" s="23">
        <f>DATEDIF(P64, DATE(2023, 6, 8), "Y")</f>
        <v>30</v>
      </c>
      <c r="V64">
        <f>SUM(C64:K64)</f>
        <v>63.53</v>
      </c>
    </row>
    <row r="65" spans="1:22" ht="15.75">
      <c r="A65" s="28" t="s">
        <v>128</v>
      </c>
      <c r="B65" s="28" t="s">
        <v>129</v>
      </c>
      <c r="C65" s="23">
        <v>30.684999999999999</v>
      </c>
      <c r="D65" s="23">
        <v>7.02</v>
      </c>
      <c r="E65" s="23" t="s">
        <v>4683</v>
      </c>
      <c r="F65" s="23" t="s">
        <v>4682</v>
      </c>
      <c r="G65" s="23" t="s">
        <v>4682</v>
      </c>
      <c r="H65" s="23">
        <v>0</v>
      </c>
      <c r="I65" s="23" t="s">
        <v>4683</v>
      </c>
      <c r="J65" s="23" t="s">
        <v>4729</v>
      </c>
      <c r="K65" s="23" t="s">
        <v>4735</v>
      </c>
      <c r="L65">
        <v>2004</v>
      </c>
      <c r="M65" s="15" t="s">
        <v>4702</v>
      </c>
      <c r="N65">
        <v>2</v>
      </c>
      <c r="O65">
        <v>0</v>
      </c>
      <c r="P65" s="21">
        <f>DATEVALUE(N65&amp;"-"&amp;M65&amp;"-"&amp;L65)</f>
        <v>38140</v>
      </c>
      <c r="Q65" s="22">
        <v>1210</v>
      </c>
      <c r="R65" s="23" t="s">
        <v>4697</v>
      </c>
      <c r="S65" s="23" t="s">
        <v>4701</v>
      </c>
      <c r="T65" s="23" t="s">
        <v>4699</v>
      </c>
      <c r="U65" s="23">
        <f>DATEDIF(P65, DATE(2023, 6, 8), "Y")</f>
        <v>19</v>
      </c>
      <c r="V65">
        <f>SUM(C65:K65)</f>
        <v>37.704999999999998</v>
      </c>
    </row>
    <row r="66" spans="1:22" ht="15.75">
      <c r="A66" s="28" t="s">
        <v>130</v>
      </c>
      <c r="B66" s="28" t="s">
        <v>131</v>
      </c>
      <c r="C66" s="23">
        <v>36.08</v>
      </c>
      <c r="D66" s="23">
        <v>8.8000000000000007</v>
      </c>
      <c r="E66" s="23" t="s">
        <v>4683</v>
      </c>
      <c r="F66" s="23" t="s">
        <v>4682</v>
      </c>
      <c r="G66" s="23" t="s">
        <v>4682</v>
      </c>
      <c r="H66" s="23">
        <v>1</v>
      </c>
      <c r="I66" s="23" t="s">
        <v>4683</v>
      </c>
      <c r="J66" s="23" t="s">
        <v>4729</v>
      </c>
      <c r="K66" s="23" t="s">
        <v>4735</v>
      </c>
      <c r="L66">
        <v>1996</v>
      </c>
      <c r="M66" s="15" t="s">
        <v>4700</v>
      </c>
      <c r="N66">
        <v>4</v>
      </c>
      <c r="O66">
        <v>0</v>
      </c>
      <c r="P66" s="21">
        <f>DATEVALUE(N66&amp;"-"&amp;M66&amp;"-"&amp;L66)</f>
        <v>35373</v>
      </c>
      <c r="Q66" s="22">
        <v>1220</v>
      </c>
      <c r="R66" s="23" t="s">
        <v>4697</v>
      </c>
      <c r="S66" s="23" t="s">
        <v>4698</v>
      </c>
      <c r="T66" s="23" t="s">
        <v>4704</v>
      </c>
      <c r="U66" s="23">
        <f>DATEDIF(P66, DATE(2023, 6, 8), "Y")</f>
        <v>26</v>
      </c>
      <c r="V66">
        <f>SUM(C66:K66)</f>
        <v>45.879999999999995</v>
      </c>
    </row>
    <row r="67" spans="1:22" ht="15.75">
      <c r="A67" s="28" t="s">
        <v>132</v>
      </c>
      <c r="B67" s="28" t="s">
        <v>133</v>
      </c>
      <c r="C67" s="23">
        <v>54.99</v>
      </c>
      <c r="D67" s="23">
        <v>8.68</v>
      </c>
      <c r="E67" s="23" t="s">
        <v>4682</v>
      </c>
      <c r="F67" s="23" t="s">
        <v>4682</v>
      </c>
      <c r="G67" s="23" t="s">
        <v>4682</v>
      </c>
      <c r="H67" s="23">
        <v>2</v>
      </c>
      <c r="I67" s="23" t="s">
        <v>4683</v>
      </c>
      <c r="J67" s="23" t="s">
        <v>4729</v>
      </c>
      <c r="K67" s="23" t="s">
        <v>4735</v>
      </c>
      <c r="L67">
        <v>2004</v>
      </c>
      <c r="M67" s="15" t="s">
        <v>4696</v>
      </c>
      <c r="N67">
        <v>9</v>
      </c>
      <c r="O67">
        <v>0</v>
      </c>
      <c r="P67" s="21">
        <f>DATEVALUE(N67&amp;"-"&amp;M67&amp;"-"&amp;L67)</f>
        <v>38177</v>
      </c>
      <c r="Q67" s="22">
        <v>1224</v>
      </c>
      <c r="R67" s="23" t="s">
        <v>4697</v>
      </c>
      <c r="S67" s="23" t="s">
        <v>4701</v>
      </c>
      <c r="T67" s="23" t="s">
        <v>4699</v>
      </c>
      <c r="U67" s="23">
        <f>DATEDIF(P67, DATE(2023, 6, 8), "Y")</f>
        <v>18</v>
      </c>
      <c r="V67">
        <f>SUM(C67:K67)</f>
        <v>65.67</v>
      </c>
    </row>
    <row r="68" spans="1:22" ht="15.75">
      <c r="A68" s="28" t="s">
        <v>134</v>
      </c>
      <c r="B68" s="28" t="s">
        <v>135</v>
      </c>
      <c r="C68" s="23">
        <v>35.97</v>
      </c>
      <c r="D68" s="23">
        <v>6.12</v>
      </c>
      <c r="E68" s="23" t="s">
        <v>4682</v>
      </c>
      <c r="F68" s="23" t="s">
        <v>4682</v>
      </c>
      <c r="G68" s="23" t="s">
        <v>4684</v>
      </c>
      <c r="H68" s="23">
        <v>1</v>
      </c>
      <c r="I68" s="23" t="s">
        <v>4683</v>
      </c>
      <c r="J68" s="23" t="s">
        <v>4729</v>
      </c>
      <c r="K68" s="23" t="s">
        <v>4736</v>
      </c>
      <c r="L68">
        <v>2004</v>
      </c>
      <c r="M68" s="15" t="s">
        <v>4707</v>
      </c>
      <c r="N68">
        <v>16</v>
      </c>
      <c r="O68">
        <v>0</v>
      </c>
      <c r="P68" s="21">
        <f>DATEVALUE(N68&amp;"-"&amp;M68&amp;"-"&amp;L68)</f>
        <v>38276</v>
      </c>
      <c r="Q68" s="22">
        <v>1228</v>
      </c>
      <c r="R68" s="23" t="s">
        <v>4697</v>
      </c>
      <c r="S68" s="23" t="s">
        <v>4701</v>
      </c>
      <c r="T68" s="23" t="s">
        <v>4704</v>
      </c>
      <c r="U68" s="23">
        <f>DATEDIF(P68, DATE(2023, 6, 8), "Y")</f>
        <v>18</v>
      </c>
      <c r="V68">
        <f>SUM(C68:K68)</f>
        <v>43.089999999999996</v>
      </c>
    </row>
    <row r="69" spans="1:22" ht="15.75">
      <c r="A69" s="28" t="s">
        <v>136</v>
      </c>
      <c r="B69" s="28" t="s">
        <v>137</v>
      </c>
      <c r="C69" s="23">
        <v>45.54</v>
      </c>
      <c r="D69" s="23">
        <v>5.4</v>
      </c>
      <c r="E69" s="23" t="s">
        <v>4683</v>
      </c>
      <c r="F69" s="23" t="s">
        <v>4682</v>
      </c>
      <c r="G69" s="23" t="s">
        <v>4684</v>
      </c>
      <c r="H69" s="23">
        <v>1</v>
      </c>
      <c r="I69" s="23" t="s">
        <v>4683</v>
      </c>
      <c r="J69" s="23" t="s">
        <v>4729</v>
      </c>
      <c r="K69" s="23" t="s">
        <v>4737</v>
      </c>
      <c r="L69">
        <v>1998</v>
      </c>
      <c r="M69" s="15" t="s">
        <v>4696</v>
      </c>
      <c r="N69">
        <v>13</v>
      </c>
      <c r="O69">
        <v>0</v>
      </c>
      <c r="P69" s="21">
        <f>DATEVALUE(N69&amp;"-"&amp;M69&amp;"-"&amp;L69)</f>
        <v>35989</v>
      </c>
      <c r="Q69" s="22">
        <v>1234</v>
      </c>
      <c r="R69" s="23" t="s">
        <v>4697</v>
      </c>
      <c r="S69" s="23" t="s">
        <v>4701</v>
      </c>
      <c r="T69" s="23" t="s">
        <v>4699</v>
      </c>
      <c r="U69" s="23">
        <f>DATEDIF(P69, DATE(2023, 6, 8), "Y")</f>
        <v>24</v>
      </c>
      <c r="V69">
        <f>SUM(C69:K69)</f>
        <v>51.94</v>
      </c>
    </row>
    <row r="70" spans="1:22" ht="15.75">
      <c r="A70" s="28" t="s">
        <v>138</v>
      </c>
      <c r="B70" s="28" t="s">
        <v>139</v>
      </c>
      <c r="C70" s="23">
        <v>35.53</v>
      </c>
      <c r="D70" s="23">
        <v>4.3600000000000003</v>
      </c>
      <c r="E70" s="23" t="s">
        <v>4683</v>
      </c>
      <c r="F70" s="23" t="s">
        <v>4682</v>
      </c>
      <c r="G70" s="23" t="s">
        <v>4682</v>
      </c>
      <c r="H70" s="23">
        <v>0</v>
      </c>
      <c r="I70" s="23" t="s">
        <v>4683</v>
      </c>
      <c r="J70" s="23" t="s">
        <v>4729</v>
      </c>
      <c r="K70" s="23" t="s">
        <v>4737</v>
      </c>
      <c r="L70">
        <v>2002</v>
      </c>
      <c r="M70" s="15" t="s">
        <v>4705</v>
      </c>
      <c r="N70">
        <v>12</v>
      </c>
      <c r="O70">
        <v>0</v>
      </c>
      <c r="P70" s="21">
        <f>DATEVALUE(N70&amp;"-"&amp;M70&amp;"-"&amp;L70)</f>
        <v>37602</v>
      </c>
      <c r="Q70" s="22">
        <v>1237</v>
      </c>
      <c r="R70" s="23" t="s">
        <v>4697</v>
      </c>
      <c r="S70" s="23" t="s">
        <v>4697</v>
      </c>
      <c r="T70" s="23" t="s">
        <v>4699</v>
      </c>
      <c r="U70" s="23">
        <f>DATEDIF(P70, DATE(2023, 6, 8), "Y")</f>
        <v>20</v>
      </c>
      <c r="V70">
        <f>SUM(C70:K70)</f>
        <v>39.89</v>
      </c>
    </row>
    <row r="71" spans="1:22" ht="15.75">
      <c r="A71" s="28" t="s">
        <v>140</v>
      </c>
      <c r="B71" s="28" t="s">
        <v>141</v>
      </c>
      <c r="C71" s="23">
        <v>30.8</v>
      </c>
      <c r="D71" s="23">
        <v>9.77</v>
      </c>
      <c r="E71" s="23" t="s">
        <v>4682</v>
      </c>
      <c r="F71" s="23" t="s">
        <v>4682</v>
      </c>
      <c r="G71" s="23" t="s">
        <v>4682</v>
      </c>
      <c r="H71" s="23">
        <v>0</v>
      </c>
      <c r="I71" s="23" t="s">
        <v>4683</v>
      </c>
      <c r="J71" s="23" t="s">
        <v>4729</v>
      </c>
      <c r="K71" s="23" t="s">
        <v>4735</v>
      </c>
      <c r="L71">
        <v>1998</v>
      </c>
      <c r="M71" s="15" t="s">
        <v>4707</v>
      </c>
      <c r="N71">
        <v>11</v>
      </c>
      <c r="O71">
        <v>0</v>
      </c>
      <c r="P71" s="21">
        <f>DATEVALUE(N71&amp;"-"&amp;M71&amp;"-"&amp;L71)</f>
        <v>36079</v>
      </c>
      <c r="Q71" s="22">
        <v>1240</v>
      </c>
      <c r="R71" s="23" t="s">
        <v>4697</v>
      </c>
      <c r="S71" s="23" t="s">
        <v>4701</v>
      </c>
      <c r="T71" s="23" t="s">
        <v>4704</v>
      </c>
      <c r="U71" s="23">
        <f>DATEDIF(P71, DATE(2023, 6, 8), "Y")</f>
        <v>24</v>
      </c>
      <c r="V71">
        <f>SUM(C71:K71)</f>
        <v>40.57</v>
      </c>
    </row>
    <row r="72" spans="1:22" ht="15.75">
      <c r="A72" s="28" t="s">
        <v>142</v>
      </c>
      <c r="B72" s="28" t="s">
        <v>143</v>
      </c>
      <c r="C72" s="23">
        <v>38.39</v>
      </c>
      <c r="D72" s="23">
        <v>4.25</v>
      </c>
      <c r="E72" s="23" t="s">
        <v>4682</v>
      </c>
      <c r="F72" s="23" t="s">
        <v>4682</v>
      </c>
      <c r="G72" s="23" t="s">
        <v>4682</v>
      </c>
      <c r="H72" s="23">
        <v>1</v>
      </c>
      <c r="I72" s="23" t="s">
        <v>4683</v>
      </c>
      <c r="J72" s="23" t="s">
        <v>4729</v>
      </c>
      <c r="K72" s="23" t="s">
        <v>4737</v>
      </c>
      <c r="L72">
        <v>2002</v>
      </c>
      <c r="M72" s="15" t="s">
        <v>4696</v>
      </c>
      <c r="N72">
        <v>1</v>
      </c>
      <c r="O72">
        <v>0</v>
      </c>
      <c r="P72" s="21">
        <f>DATEVALUE(N72&amp;"-"&amp;M72&amp;"-"&amp;L72)</f>
        <v>37438</v>
      </c>
      <c r="Q72" s="22">
        <v>1241</v>
      </c>
      <c r="R72" s="23" t="s">
        <v>4697</v>
      </c>
      <c r="S72" s="23" t="s">
        <v>4697</v>
      </c>
      <c r="T72" s="23" t="s">
        <v>4699</v>
      </c>
      <c r="U72" s="23">
        <f>DATEDIF(P72, DATE(2023, 6, 8), "Y")</f>
        <v>20</v>
      </c>
      <c r="V72">
        <f>SUM(C72:K72)</f>
        <v>43.64</v>
      </c>
    </row>
    <row r="73" spans="1:22" ht="15.75">
      <c r="A73" s="28" t="s">
        <v>144</v>
      </c>
      <c r="B73" s="28" t="s">
        <v>145</v>
      </c>
      <c r="C73" s="23">
        <v>32.299999999999997</v>
      </c>
      <c r="D73" s="23">
        <v>4.76</v>
      </c>
      <c r="E73" s="23" t="s">
        <v>4682</v>
      </c>
      <c r="F73" s="23" t="s">
        <v>4682</v>
      </c>
      <c r="G73" s="23" t="s">
        <v>4682</v>
      </c>
      <c r="H73" s="23">
        <v>2</v>
      </c>
      <c r="I73" s="23" t="s">
        <v>4683</v>
      </c>
      <c r="J73" s="23" t="s">
        <v>4729</v>
      </c>
      <c r="K73" s="23" t="s">
        <v>4737</v>
      </c>
      <c r="L73">
        <v>2003</v>
      </c>
      <c r="M73" s="15" t="s">
        <v>4706</v>
      </c>
      <c r="N73">
        <v>2</v>
      </c>
      <c r="O73">
        <v>0</v>
      </c>
      <c r="P73" s="21">
        <f>DATEVALUE(N73&amp;"-"&amp;M73&amp;"-"&amp;L73)</f>
        <v>37835</v>
      </c>
      <c r="Q73" s="22">
        <v>1241.57</v>
      </c>
      <c r="R73" s="23" t="s">
        <v>4697</v>
      </c>
      <c r="S73" s="23" t="s">
        <v>4697</v>
      </c>
      <c r="T73" s="23" t="s">
        <v>4708</v>
      </c>
      <c r="U73" s="23">
        <f>DATEDIF(P73, DATE(2023, 6, 8), "Y")</f>
        <v>19</v>
      </c>
      <c r="V73">
        <f>SUM(C73:K73)</f>
        <v>39.059999999999995</v>
      </c>
    </row>
    <row r="74" spans="1:22" ht="15.75">
      <c r="A74" s="28" t="s">
        <v>146</v>
      </c>
      <c r="B74" s="28" t="s">
        <v>147</v>
      </c>
      <c r="C74" s="23">
        <v>48.8</v>
      </c>
      <c r="D74" s="23">
        <v>6.22</v>
      </c>
      <c r="E74" s="23" t="s">
        <v>4683</v>
      </c>
      <c r="F74" s="23" t="s">
        <v>4682</v>
      </c>
      <c r="G74" s="23" t="s">
        <v>4682</v>
      </c>
      <c r="H74" s="23">
        <v>2</v>
      </c>
      <c r="I74" s="23" t="s">
        <v>4683</v>
      </c>
      <c r="J74" s="23" t="s">
        <v>4729</v>
      </c>
      <c r="K74" s="23" t="s">
        <v>4736</v>
      </c>
      <c r="L74">
        <v>2003</v>
      </c>
      <c r="M74" s="15" t="s">
        <v>4703</v>
      </c>
      <c r="N74">
        <v>15</v>
      </c>
      <c r="O74">
        <v>0</v>
      </c>
      <c r="P74" s="21">
        <f>DATEVALUE(N74&amp;"-"&amp;M74&amp;"-"&amp;L74)</f>
        <v>37879</v>
      </c>
      <c r="Q74" s="22">
        <v>1242.26</v>
      </c>
      <c r="R74" s="23" t="s">
        <v>4697</v>
      </c>
      <c r="S74" s="23" t="s">
        <v>4701</v>
      </c>
      <c r="T74" s="23" t="s">
        <v>4708</v>
      </c>
      <c r="U74" s="23">
        <f>DATEDIF(P74, DATE(2023, 6, 8), "Y")</f>
        <v>19</v>
      </c>
      <c r="V74">
        <f>SUM(C74:K74)</f>
        <v>57.019999999999996</v>
      </c>
    </row>
    <row r="75" spans="1:22" ht="15.75">
      <c r="A75" s="28" t="s">
        <v>148</v>
      </c>
      <c r="B75" s="28" t="s">
        <v>149</v>
      </c>
      <c r="C75" s="23">
        <v>45.5</v>
      </c>
      <c r="D75" s="23">
        <v>7.96</v>
      </c>
      <c r="E75" s="23" t="s">
        <v>4682</v>
      </c>
      <c r="F75" s="23" t="s">
        <v>4682</v>
      </c>
      <c r="G75" s="23" t="s">
        <v>4682</v>
      </c>
      <c r="H75" s="23">
        <v>0</v>
      </c>
      <c r="I75" s="23" t="s">
        <v>4683</v>
      </c>
      <c r="J75" s="23" t="s">
        <v>4729</v>
      </c>
      <c r="K75" s="23" t="s">
        <v>4735</v>
      </c>
      <c r="L75">
        <v>2003</v>
      </c>
      <c r="M75" s="15" t="s">
        <v>4703</v>
      </c>
      <c r="N75">
        <v>8</v>
      </c>
      <c r="O75">
        <v>0</v>
      </c>
      <c r="P75" s="21">
        <f>DATEVALUE(N75&amp;"-"&amp;M75&amp;"-"&amp;L75)</f>
        <v>37872</v>
      </c>
      <c r="Q75" s="22">
        <v>1242.82</v>
      </c>
      <c r="R75" s="23" t="s">
        <v>4697</v>
      </c>
      <c r="S75" s="23" t="s">
        <v>4701</v>
      </c>
      <c r="T75" s="23" t="s">
        <v>4708</v>
      </c>
      <c r="U75" s="23">
        <f>DATEDIF(P75, DATE(2023, 6, 8), "Y")</f>
        <v>19</v>
      </c>
      <c r="V75">
        <f>SUM(C75:K75)</f>
        <v>53.46</v>
      </c>
    </row>
    <row r="76" spans="1:22" ht="15.75">
      <c r="A76" s="28" t="s">
        <v>150</v>
      </c>
      <c r="B76" s="28" t="s">
        <v>151</v>
      </c>
      <c r="C76" s="23">
        <v>53.61</v>
      </c>
      <c r="D76" s="23">
        <v>10.92</v>
      </c>
      <c r="E76" s="23" t="s">
        <v>4683</v>
      </c>
      <c r="F76" s="23" t="s">
        <v>4682</v>
      </c>
      <c r="G76" s="23" t="s">
        <v>4682</v>
      </c>
      <c r="H76" s="23">
        <v>1</v>
      </c>
      <c r="I76" s="23" t="s">
        <v>4683</v>
      </c>
      <c r="J76" s="23" t="s">
        <v>4729</v>
      </c>
      <c r="K76" s="23" t="s">
        <v>4735</v>
      </c>
      <c r="L76">
        <v>2003</v>
      </c>
      <c r="M76" s="15" t="s">
        <v>4703</v>
      </c>
      <c r="N76">
        <v>15</v>
      </c>
      <c r="O76">
        <v>0</v>
      </c>
      <c r="P76" s="21">
        <f>DATEVALUE(N76&amp;"-"&amp;M76&amp;"-"&amp;L76)</f>
        <v>37879</v>
      </c>
      <c r="Q76" s="22">
        <v>1252.4100000000001</v>
      </c>
      <c r="R76" s="23" t="s">
        <v>4697</v>
      </c>
      <c r="S76" s="23" t="s">
        <v>4698</v>
      </c>
      <c r="T76" s="23" t="s">
        <v>4708</v>
      </c>
      <c r="U76" s="23">
        <f>DATEDIF(P76, DATE(2023, 6, 8), "Y")</f>
        <v>19</v>
      </c>
      <c r="V76">
        <f>SUM(C76:K76)</f>
        <v>65.53</v>
      </c>
    </row>
    <row r="77" spans="1:22" ht="15.75">
      <c r="A77" s="28" t="s">
        <v>152</v>
      </c>
      <c r="B77" s="28" t="s">
        <v>153</v>
      </c>
      <c r="C77" s="23">
        <v>36.19</v>
      </c>
      <c r="D77" s="23">
        <v>11.51</v>
      </c>
      <c r="E77" s="23" t="s">
        <v>4683</v>
      </c>
      <c r="F77" s="23" t="s">
        <v>4682</v>
      </c>
      <c r="G77" s="23" t="s">
        <v>4682</v>
      </c>
      <c r="H77" s="23">
        <v>1</v>
      </c>
      <c r="I77" s="23" t="s">
        <v>4683</v>
      </c>
      <c r="J77" s="23" t="s">
        <v>4729</v>
      </c>
      <c r="K77" s="23" t="s">
        <v>4735</v>
      </c>
      <c r="L77">
        <v>1997</v>
      </c>
      <c r="M77" s="15" t="s">
        <v>4700</v>
      </c>
      <c r="N77">
        <v>4</v>
      </c>
      <c r="O77">
        <v>0</v>
      </c>
      <c r="P77" s="21">
        <f>DATEVALUE(N77&amp;"-"&amp;M77&amp;"-"&amp;L77)</f>
        <v>35738</v>
      </c>
      <c r="Q77" s="22">
        <v>1253</v>
      </c>
      <c r="R77" s="23" t="s">
        <v>4697</v>
      </c>
      <c r="S77" s="23" t="s">
        <v>4697</v>
      </c>
      <c r="T77" s="23" t="s">
        <v>4699</v>
      </c>
      <c r="U77" s="23">
        <f>DATEDIF(P77, DATE(2023, 6, 8), "Y")</f>
        <v>25</v>
      </c>
      <c r="V77">
        <f>SUM(C77:K77)</f>
        <v>48.699999999999996</v>
      </c>
    </row>
    <row r="78" spans="1:22" ht="15.75">
      <c r="A78" s="28" t="s">
        <v>154</v>
      </c>
      <c r="B78" s="28" t="s">
        <v>155</v>
      </c>
      <c r="C78" s="23">
        <v>34.6</v>
      </c>
      <c r="D78" s="23">
        <v>5.99</v>
      </c>
      <c r="E78" s="23" t="s">
        <v>4683</v>
      </c>
      <c r="F78" s="23" t="s">
        <v>4682</v>
      </c>
      <c r="G78" s="23" t="s">
        <v>4682</v>
      </c>
      <c r="H78" s="23">
        <v>0</v>
      </c>
      <c r="I78" s="23" t="s">
        <v>4683</v>
      </c>
      <c r="J78" s="23" t="s">
        <v>4729</v>
      </c>
      <c r="K78" s="23" t="s">
        <v>4736</v>
      </c>
      <c r="L78">
        <v>2003</v>
      </c>
      <c r="M78" s="15" t="s">
        <v>4705</v>
      </c>
      <c r="N78">
        <v>10</v>
      </c>
      <c r="O78">
        <v>0</v>
      </c>
      <c r="P78" s="21">
        <f>DATEVALUE(N78&amp;"-"&amp;M78&amp;"-"&amp;L78)</f>
        <v>37965</v>
      </c>
      <c r="Q78" s="22">
        <v>1253.94</v>
      </c>
      <c r="R78" s="23" t="s">
        <v>4697</v>
      </c>
      <c r="S78" s="23" t="s">
        <v>4697</v>
      </c>
      <c r="T78" s="23" t="s">
        <v>4708</v>
      </c>
      <c r="U78" s="23">
        <f>DATEDIF(P78, DATE(2023, 6, 8), "Y")</f>
        <v>19</v>
      </c>
      <c r="V78">
        <f>SUM(C78:K78)</f>
        <v>40.590000000000003</v>
      </c>
    </row>
    <row r="79" spans="1:22" ht="15.75">
      <c r="A79" s="28" t="s">
        <v>156</v>
      </c>
      <c r="B79" s="28" t="s">
        <v>157</v>
      </c>
      <c r="C79" s="23">
        <v>54.12</v>
      </c>
      <c r="D79" s="23">
        <v>11.57</v>
      </c>
      <c r="E79" s="23" t="s">
        <v>4682</v>
      </c>
      <c r="F79" s="23" t="s">
        <v>4682</v>
      </c>
      <c r="G79" s="23" t="s">
        <v>4682</v>
      </c>
      <c r="H79" s="23">
        <v>0</v>
      </c>
      <c r="I79" s="23" t="s">
        <v>4683</v>
      </c>
      <c r="J79" s="23" t="s">
        <v>4729</v>
      </c>
      <c r="K79" s="23" t="s">
        <v>4735</v>
      </c>
      <c r="L79">
        <v>2003</v>
      </c>
      <c r="M79" s="15" t="s">
        <v>4707</v>
      </c>
      <c r="N79">
        <v>13</v>
      </c>
      <c r="O79">
        <v>0</v>
      </c>
      <c r="P79" s="21">
        <f>DATEVALUE(N79&amp;"-"&amp;M79&amp;"-"&amp;L79)</f>
        <v>37907</v>
      </c>
      <c r="Q79" s="22">
        <v>1256.3</v>
      </c>
      <c r="R79" s="23" t="s">
        <v>4697</v>
      </c>
      <c r="S79" s="23" t="s">
        <v>4698</v>
      </c>
      <c r="T79" s="23" t="s">
        <v>4708</v>
      </c>
      <c r="U79" s="23">
        <f>DATEDIF(P79, DATE(2023, 6, 8), "Y")</f>
        <v>19</v>
      </c>
      <c r="V79">
        <f>SUM(C79:K79)</f>
        <v>65.69</v>
      </c>
    </row>
    <row r="80" spans="1:22" ht="15.75">
      <c r="A80" s="28" t="s">
        <v>158</v>
      </c>
      <c r="B80" s="28" t="s">
        <v>159</v>
      </c>
      <c r="C80" s="23">
        <v>48.82</v>
      </c>
      <c r="D80" s="23">
        <v>6.67</v>
      </c>
      <c r="E80" s="23" t="s">
        <v>4683</v>
      </c>
      <c r="F80" s="23" t="s">
        <v>4682</v>
      </c>
      <c r="G80" s="23" t="s">
        <v>4682</v>
      </c>
      <c r="H80" s="23">
        <v>0</v>
      </c>
      <c r="I80" s="23" t="s">
        <v>4683</v>
      </c>
      <c r="J80" s="23" t="s">
        <v>4729</v>
      </c>
      <c r="K80" s="23" t="s">
        <v>4735</v>
      </c>
      <c r="L80">
        <v>2003</v>
      </c>
      <c r="M80" s="15" t="s">
        <v>4707</v>
      </c>
      <c r="N80">
        <v>30</v>
      </c>
      <c r="O80">
        <v>0</v>
      </c>
      <c r="P80" s="21">
        <f>DATEVALUE(N80&amp;"-"&amp;M80&amp;"-"&amp;L80)</f>
        <v>37924</v>
      </c>
      <c r="Q80" s="22">
        <v>1261.44</v>
      </c>
      <c r="R80" s="23" t="s">
        <v>4697</v>
      </c>
      <c r="S80" s="23" t="s">
        <v>4698</v>
      </c>
      <c r="T80" s="23" t="s">
        <v>4708</v>
      </c>
      <c r="U80" s="23">
        <f>DATEDIF(P80, DATE(2023, 6, 8), "Y")</f>
        <v>19</v>
      </c>
      <c r="V80">
        <f>SUM(C80:K80)</f>
        <v>55.49</v>
      </c>
    </row>
    <row r="81" spans="1:22" ht="15.75">
      <c r="A81" s="28" t="s">
        <v>160</v>
      </c>
      <c r="B81" s="28" t="s">
        <v>161</v>
      </c>
      <c r="C81" s="23">
        <v>51.01</v>
      </c>
      <c r="D81" s="23">
        <v>9.1999999999999993</v>
      </c>
      <c r="E81" s="23" t="s">
        <v>4682</v>
      </c>
      <c r="F81" s="23" t="s">
        <v>4682</v>
      </c>
      <c r="G81" s="23" t="s">
        <v>4682</v>
      </c>
      <c r="H81" s="23">
        <v>0</v>
      </c>
      <c r="I81" s="23" t="s">
        <v>4683</v>
      </c>
      <c r="J81" s="23" t="s">
        <v>4729</v>
      </c>
      <c r="K81" s="23" t="s">
        <v>4735</v>
      </c>
      <c r="L81">
        <v>2003</v>
      </c>
      <c r="M81" s="15" t="s">
        <v>4706</v>
      </c>
      <c r="N81">
        <v>15</v>
      </c>
      <c r="O81">
        <v>0</v>
      </c>
      <c r="P81" s="21">
        <f>DATEVALUE(N81&amp;"-"&amp;M81&amp;"-"&amp;L81)</f>
        <v>37848</v>
      </c>
      <c r="Q81" s="22">
        <v>1261.8599999999999</v>
      </c>
      <c r="R81" s="23" t="s">
        <v>4697</v>
      </c>
      <c r="S81" s="23" t="s">
        <v>4698</v>
      </c>
      <c r="T81" s="23" t="s">
        <v>4708</v>
      </c>
      <c r="U81" s="23">
        <f>DATEDIF(P81, DATE(2023, 6, 8), "Y")</f>
        <v>19</v>
      </c>
      <c r="V81">
        <f>SUM(C81:K81)</f>
        <v>60.209999999999994</v>
      </c>
    </row>
    <row r="82" spans="1:22" ht="15.75">
      <c r="A82" s="28" t="s">
        <v>162</v>
      </c>
      <c r="B82" s="28" t="s">
        <v>163</v>
      </c>
      <c r="C82" s="23">
        <v>45.65</v>
      </c>
      <c r="D82" s="23">
        <v>5.1100000000000003</v>
      </c>
      <c r="E82" s="23" t="s">
        <v>4683</v>
      </c>
      <c r="F82" s="23" t="s">
        <v>4682</v>
      </c>
      <c r="G82" s="23" t="s">
        <v>4682</v>
      </c>
      <c r="H82" s="23">
        <v>1</v>
      </c>
      <c r="I82" s="23" t="s">
        <v>4683</v>
      </c>
      <c r="J82" s="23" t="s">
        <v>4729</v>
      </c>
      <c r="K82" s="23" t="s">
        <v>4737</v>
      </c>
      <c r="L82">
        <v>2003</v>
      </c>
      <c r="M82" s="15" t="s">
        <v>4700</v>
      </c>
      <c r="N82">
        <v>21</v>
      </c>
      <c r="O82">
        <v>0</v>
      </c>
      <c r="P82" s="21">
        <f>DATEVALUE(N82&amp;"-"&amp;M82&amp;"-"&amp;L82)</f>
        <v>37946</v>
      </c>
      <c r="Q82" s="22">
        <v>1263.25</v>
      </c>
      <c r="R82" s="23" t="s">
        <v>4697</v>
      </c>
      <c r="S82" s="23" t="s">
        <v>4698</v>
      </c>
      <c r="T82" s="23" t="s">
        <v>4708</v>
      </c>
      <c r="U82" s="23">
        <f>DATEDIF(P82, DATE(2023, 6, 8), "Y")</f>
        <v>19</v>
      </c>
      <c r="V82">
        <f>SUM(C82:K82)</f>
        <v>51.76</v>
      </c>
    </row>
    <row r="83" spans="1:22" ht="15.75">
      <c r="A83" s="28" t="s">
        <v>164</v>
      </c>
      <c r="B83" s="28" t="s">
        <v>165</v>
      </c>
      <c r="C83" s="23">
        <v>52.9</v>
      </c>
      <c r="D83" s="23">
        <v>5.34</v>
      </c>
      <c r="E83" s="23" t="s">
        <v>4682</v>
      </c>
      <c r="F83" s="23" t="s">
        <v>4682</v>
      </c>
      <c r="G83" s="23" t="s">
        <v>4682</v>
      </c>
      <c r="H83" s="23">
        <v>0</v>
      </c>
      <c r="I83" s="23" t="s">
        <v>4683</v>
      </c>
      <c r="J83" s="23" t="s">
        <v>4729</v>
      </c>
      <c r="K83" s="23" t="s">
        <v>4737</v>
      </c>
      <c r="L83">
        <v>2002</v>
      </c>
      <c r="M83" s="15" t="s">
        <v>4705</v>
      </c>
      <c r="N83">
        <v>4</v>
      </c>
      <c r="O83">
        <v>0</v>
      </c>
      <c r="P83" s="21">
        <f>DATEVALUE(N83&amp;"-"&amp;M83&amp;"-"&amp;L83)</f>
        <v>37594</v>
      </c>
      <c r="Q83" s="22">
        <v>1267</v>
      </c>
      <c r="R83" s="23" t="s">
        <v>4697</v>
      </c>
      <c r="S83" s="23" t="s">
        <v>4701</v>
      </c>
      <c r="T83" s="23" t="s">
        <v>4699</v>
      </c>
      <c r="U83" s="23">
        <f>DATEDIF(P83, DATE(2023, 6, 8), "Y")</f>
        <v>20</v>
      </c>
      <c r="V83">
        <f>SUM(C83:K83)</f>
        <v>58.239999999999995</v>
      </c>
    </row>
    <row r="84" spans="1:22" ht="15.75">
      <c r="A84" s="28" t="s">
        <v>166</v>
      </c>
      <c r="B84" s="28" t="s">
        <v>167</v>
      </c>
      <c r="C84" s="23">
        <v>45.41</v>
      </c>
      <c r="D84" s="23">
        <v>4.03</v>
      </c>
      <c r="E84" s="23" t="s">
        <v>4683</v>
      </c>
      <c r="F84" s="23" t="s">
        <v>4682</v>
      </c>
      <c r="G84" s="23" t="s">
        <v>4682</v>
      </c>
      <c r="H84" s="23">
        <v>1</v>
      </c>
      <c r="I84" s="23" t="s">
        <v>4683</v>
      </c>
      <c r="J84" s="23" t="s">
        <v>4729</v>
      </c>
      <c r="K84" s="23" t="s">
        <v>4737</v>
      </c>
      <c r="L84">
        <v>1997</v>
      </c>
      <c r="M84" s="15" t="s">
        <v>4707</v>
      </c>
      <c r="N84">
        <v>26</v>
      </c>
      <c r="O84">
        <v>0</v>
      </c>
      <c r="P84" s="21">
        <f>DATEVALUE(N84&amp;"-"&amp;M84&amp;"-"&amp;L84)</f>
        <v>35729</v>
      </c>
      <c r="Q84" s="22">
        <v>1276</v>
      </c>
      <c r="R84" s="23" t="s">
        <v>4697</v>
      </c>
      <c r="S84" s="23" t="s">
        <v>4697</v>
      </c>
      <c r="T84" s="23" t="s">
        <v>4704</v>
      </c>
      <c r="U84" s="23">
        <f>DATEDIF(P84, DATE(2023, 6, 8), "Y")</f>
        <v>25</v>
      </c>
      <c r="V84">
        <f>SUM(C84:K84)</f>
        <v>50.44</v>
      </c>
    </row>
    <row r="85" spans="1:22" ht="15.75">
      <c r="A85" s="28" t="s">
        <v>168</v>
      </c>
      <c r="B85" s="28" t="s">
        <v>169</v>
      </c>
      <c r="C85" s="23">
        <v>49.41</v>
      </c>
      <c r="D85" s="23">
        <v>4.2300000000000004</v>
      </c>
      <c r="E85" s="23" t="s">
        <v>4683</v>
      </c>
      <c r="F85" s="23" t="s">
        <v>4682</v>
      </c>
      <c r="G85" s="23" t="s">
        <v>4684</v>
      </c>
      <c r="H85" s="23">
        <v>1</v>
      </c>
      <c r="I85" s="23" t="s">
        <v>4683</v>
      </c>
      <c r="J85" s="23" t="s">
        <v>4729</v>
      </c>
      <c r="K85" s="23" t="s">
        <v>4737</v>
      </c>
      <c r="L85">
        <v>2004</v>
      </c>
      <c r="M85" s="15" t="s">
        <v>4703</v>
      </c>
      <c r="N85">
        <v>30</v>
      </c>
      <c r="O85">
        <v>0</v>
      </c>
      <c r="P85" s="21">
        <f>DATEVALUE(N85&amp;"-"&amp;M85&amp;"-"&amp;L85)</f>
        <v>38260</v>
      </c>
      <c r="Q85" s="22">
        <v>1283</v>
      </c>
      <c r="R85" s="23" t="s">
        <v>4697</v>
      </c>
      <c r="S85" s="23" t="s">
        <v>4701</v>
      </c>
      <c r="T85" s="23" t="s">
        <v>4699</v>
      </c>
      <c r="U85" s="23">
        <f>DATEDIF(P85, DATE(2023, 6, 8), "Y")</f>
        <v>18</v>
      </c>
      <c r="V85">
        <f>SUM(C85:K85)</f>
        <v>54.64</v>
      </c>
    </row>
    <row r="86" spans="1:22" ht="15.75">
      <c r="A86" s="28" t="s">
        <v>170</v>
      </c>
      <c r="B86" s="28" t="s">
        <v>171</v>
      </c>
      <c r="C86" s="23">
        <v>31.824999999999999</v>
      </c>
      <c r="D86" s="23">
        <v>4.0599999999999996</v>
      </c>
      <c r="E86" s="23" t="s">
        <v>4682</v>
      </c>
      <c r="F86" s="23" t="s">
        <v>4682</v>
      </c>
      <c r="G86" s="23" t="s">
        <v>4682</v>
      </c>
      <c r="H86" s="23">
        <v>2</v>
      </c>
      <c r="I86" s="23" t="s">
        <v>4683</v>
      </c>
      <c r="J86" s="23" t="s">
        <v>4729</v>
      </c>
      <c r="K86" s="23" t="s">
        <v>4737</v>
      </c>
      <c r="L86">
        <v>2004</v>
      </c>
      <c r="M86" s="15" t="s">
        <v>4696</v>
      </c>
      <c r="N86">
        <v>28</v>
      </c>
      <c r="O86">
        <v>0</v>
      </c>
      <c r="P86" s="21">
        <f>DATEVALUE(N86&amp;"-"&amp;M86&amp;"-"&amp;L86)</f>
        <v>38196</v>
      </c>
      <c r="Q86" s="22">
        <v>1285</v>
      </c>
      <c r="R86" s="23" t="s">
        <v>4697</v>
      </c>
      <c r="S86" s="23" t="s">
        <v>4698</v>
      </c>
      <c r="T86" s="23" t="s">
        <v>4699</v>
      </c>
      <c r="U86" s="23">
        <f>DATEDIF(P86, DATE(2023, 6, 8), "Y")</f>
        <v>18</v>
      </c>
      <c r="V86">
        <f>SUM(C86:K86)</f>
        <v>37.884999999999998</v>
      </c>
    </row>
    <row r="87" spans="1:22" ht="15.75">
      <c r="A87" s="28" t="s">
        <v>172</v>
      </c>
      <c r="B87" s="28" t="s">
        <v>173</v>
      </c>
      <c r="C87" s="23">
        <v>51.28</v>
      </c>
      <c r="D87" s="23">
        <v>4.68</v>
      </c>
      <c r="E87" s="23" t="s">
        <v>4682</v>
      </c>
      <c r="F87" s="23" t="s">
        <v>4682</v>
      </c>
      <c r="G87" s="23" t="s">
        <v>4682</v>
      </c>
      <c r="H87" s="23">
        <v>2</v>
      </c>
      <c r="I87" s="23" t="s">
        <v>4683</v>
      </c>
      <c r="J87" s="23" t="s">
        <v>4729</v>
      </c>
      <c r="K87" s="23" t="s">
        <v>4737</v>
      </c>
      <c r="L87">
        <v>2000</v>
      </c>
      <c r="M87" s="15" t="s">
        <v>4702</v>
      </c>
      <c r="N87">
        <v>26</v>
      </c>
      <c r="O87">
        <v>0</v>
      </c>
      <c r="P87" s="21">
        <f>DATEVALUE(N87&amp;"-"&amp;M87&amp;"-"&amp;L87)</f>
        <v>36703</v>
      </c>
      <c r="Q87" s="22">
        <v>1286</v>
      </c>
      <c r="R87" s="23" t="s">
        <v>4697</v>
      </c>
      <c r="S87" s="23" t="s">
        <v>4697</v>
      </c>
      <c r="T87" s="23" t="s">
        <v>4699</v>
      </c>
      <c r="U87" s="23">
        <f>DATEDIF(P87, DATE(2023, 6, 8), "Y")</f>
        <v>22</v>
      </c>
      <c r="V87">
        <f>SUM(C87:K87)</f>
        <v>57.96</v>
      </c>
    </row>
    <row r="88" spans="1:22" ht="15.75">
      <c r="A88" s="28" t="s">
        <v>174</v>
      </c>
      <c r="B88" s="28" t="s">
        <v>175</v>
      </c>
      <c r="C88" s="23">
        <v>34.96</v>
      </c>
      <c r="D88" s="23">
        <v>4.34</v>
      </c>
      <c r="E88" s="23" t="s">
        <v>4682</v>
      </c>
      <c r="F88" s="23" t="s">
        <v>4682</v>
      </c>
      <c r="G88" s="23" t="s">
        <v>4684</v>
      </c>
      <c r="H88" s="23">
        <v>1</v>
      </c>
      <c r="I88" s="23" t="s">
        <v>4683</v>
      </c>
      <c r="J88" s="23" t="s">
        <v>4729</v>
      </c>
      <c r="K88" s="23" t="s">
        <v>4737</v>
      </c>
      <c r="L88">
        <v>1998</v>
      </c>
      <c r="M88" s="15" t="s">
        <v>4702</v>
      </c>
      <c r="N88">
        <v>4</v>
      </c>
      <c r="O88">
        <v>0</v>
      </c>
      <c r="P88" s="21">
        <f>DATEVALUE(N88&amp;"-"&amp;M88&amp;"-"&amp;L88)</f>
        <v>35950</v>
      </c>
      <c r="Q88" s="22">
        <v>1290.93</v>
      </c>
      <c r="R88" s="23" t="s">
        <v>4697</v>
      </c>
      <c r="S88" s="23" t="s">
        <v>4697</v>
      </c>
      <c r="T88" s="23" t="s">
        <v>4699</v>
      </c>
      <c r="U88" s="23">
        <f>DATEDIF(P88, DATE(2023, 6, 8), "Y")</f>
        <v>25</v>
      </c>
      <c r="V88">
        <f>SUM(C88:K88)</f>
        <v>40.299999999999997</v>
      </c>
    </row>
    <row r="89" spans="1:22" ht="15.75">
      <c r="A89" s="28" t="s">
        <v>176</v>
      </c>
      <c r="B89" s="28" t="s">
        <v>177</v>
      </c>
      <c r="C89" s="23">
        <v>33.11</v>
      </c>
      <c r="D89" s="23">
        <v>10.51</v>
      </c>
      <c r="E89" s="23" t="s">
        <v>4682</v>
      </c>
      <c r="F89" s="23" t="s">
        <v>4682</v>
      </c>
      <c r="G89" s="23" t="s">
        <v>4682</v>
      </c>
      <c r="H89" s="23">
        <v>0</v>
      </c>
      <c r="I89" s="23" t="s">
        <v>4683</v>
      </c>
      <c r="J89" s="23" t="s">
        <v>4729</v>
      </c>
      <c r="K89" s="23" t="s">
        <v>4735</v>
      </c>
      <c r="L89">
        <v>2001</v>
      </c>
      <c r="M89" s="15" t="s">
        <v>4700</v>
      </c>
      <c r="N89">
        <v>29</v>
      </c>
      <c r="O89">
        <v>0</v>
      </c>
      <c r="P89" s="21">
        <f>DATEVALUE(N89&amp;"-"&amp;M89&amp;"-"&amp;L89)</f>
        <v>37224</v>
      </c>
      <c r="Q89" s="22">
        <v>1293</v>
      </c>
      <c r="R89" s="23" t="s">
        <v>4697</v>
      </c>
      <c r="S89" s="23" t="s">
        <v>4698</v>
      </c>
      <c r="T89" s="23" t="s">
        <v>4704</v>
      </c>
      <c r="U89" s="23">
        <f>DATEDIF(P89, DATE(2023, 6, 8), "Y")</f>
        <v>21</v>
      </c>
      <c r="V89">
        <f>SUM(C89:K89)</f>
        <v>43.62</v>
      </c>
    </row>
    <row r="90" spans="1:22" ht="15.75">
      <c r="A90" s="28" t="s">
        <v>178</v>
      </c>
      <c r="B90" s="28" t="s">
        <v>179</v>
      </c>
      <c r="C90" s="23">
        <v>54.74</v>
      </c>
      <c r="D90" s="23">
        <v>5.84</v>
      </c>
      <c r="E90" s="23" t="s">
        <v>4683</v>
      </c>
      <c r="F90" s="23" t="s">
        <v>4682</v>
      </c>
      <c r="G90" s="23" t="s">
        <v>4684</v>
      </c>
      <c r="H90" s="23">
        <v>1</v>
      </c>
      <c r="I90" s="23" t="s">
        <v>4683</v>
      </c>
      <c r="J90" s="23" t="s">
        <v>4729</v>
      </c>
      <c r="K90" s="23" t="s">
        <v>4736</v>
      </c>
      <c r="L90">
        <v>2002</v>
      </c>
      <c r="M90" s="15" t="s">
        <v>4705</v>
      </c>
      <c r="N90">
        <v>10</v>
      </c>
      <c r="O90">
        <v>0</v>
      </c>
      <c r="P90" s="21">
        <f>DATEVALUE(N90&amp;"-"&amp;M90&amp;"-"&amp;L90)</f>
        <v>37600</v>
      </c>
      <c r="Q90" s="22">
        <v>1304</v>
      </c>
      <c r="R90" s="23" t="s">
        <v>4697</v>
      </c>
      <c r="S90" s="23" t="s">
        <v>4697</v>
      </c>
      <c r="T90" s="23" t="s">
        <v>4704</v>
      </c>
      <c r="U90" s="23">
        <f>DATEDIF(P90, DATE(2023, 6, 8), "Y")</f>
        <v>20</v>
      </c>
      <c r="V90">
        <f>SUM(C90:K90)</f>
        <v>61.58</v>
      </c>
    </row>
    <row r="91" spans="1:22" ht="15.75">
      <c r="A91" s="28" t="s">
        <v>180</v>
      </c>
      <c r="B91" s="28" t="s">
        <v>181</v>
      </c>
      <c r="C91" s="23">
        <v>32.56</v>
      </c>
      <c r="D91" s="23">
        <v>5.41</v>
      </c>
      <c r="E91" s="23" t="s">
        <v>4682</v>
      </c>
      <c r="F91" s="23" t="s">
        <v>4682</v>
      </c>
      <c r="G91" s="23" t="s">
        <v>4684</v>
      </c>
      <c r="H91" s="23">
        <v>1</v>
      </c>
      <c r="I91" s="23" t="s">
        <v>4683</v>
      </c>
      <c r="J91" s="23" t="s">
        <v>4729</v>
      </c>
      <c r="K91" s="23" t="s">
        <v>4737</v>
      </c>
      <c r="L91">
        <v>1999</v>
      </c>
      <c r="M91" s="15" t="s">
        <v>4705</v>
      </c>
      <c r="N91">
        <v>2</v>
      </c>
      <c r="O91">
        <v>0</v>
      </c>
      <c r="P91" s="21">
        <f>DATEVALUE(N91&amp;"-"&amp;M91&amp;"-"&amp;L91)</f>
        <v>36496</v>
      </c>
      <c r="Q91" s="22">
        <v>1304</v>
      </c>
      <c r="R91" s="23" t="s">
        <v>4697</v>
      </c>
      <c r="S91" s="23" t="s">
        <v>4697</v>
      </c>
      <c r="T91" s="23" t="s">
        <v>4699</v>
      </c>
      <c r="U91" s="23">
        <f>DATEDIF(P91, DATE(2023, 6, 8), "Y")</f>
        <v>23</v>
      </c>
      <c r="V91">
        <f>SUM(C91:K91)</f>
        <v>38.97</v>
      </c>
    </row>
    <row r="92" spans="1:22" ht="15.75">
      <c r="A92" s="28" t="s">
        <v>182</v>
      </c>
      <c r="B92" s="28" t="s">
        <v>183</v>
      </c>
      <c r="C92" s="23">
        <v>39.049999999999997</v>
      </c>
      <c r="D92" s="23">
        <v>6.06</v>
      </c>
      <c r="E92" s="23" t="s">
        <v>4682</v>
      </c>
      <c r="F92" s="23" t="s">
        <v>4682</v>
      </c>
      <c r="G92" s="23" t="s">
        <v>4682</v>
      </c>
      <c r="H92" s="23">
        <v>1</v>
      </c>
      <c r="I92" s="23" t="s">
        <v>4683</v>
      </c>
      <c r="J92" s="23" t="s">
        <v>4729</v>
      </c>
      <c r="K92" s="23" t="s">
        <v>4736</v>
      </c>
      <c r="L92">
        <v>2002</v>
      </c>
      <c r="M92" s="15" t="s">
        <v>4707</v>
      </c>
      <c r="N92">
        <v>13</v>
      </c>
      <c r="O92">
        <v>0</v>
      </c>
      <c r="P92" s="21">
        <f>DATEVALUE(N92&amp;"-"&amp;M92&amp;"-"&amp;L92)</f>
        <v>37542</v>
      </c>
      <c r="Q92" s="22">
        <v>1315</v>
      </c>
      <c r="R92" s="23" t="s">
        <v>4697</v>
      </c>
      <c r="S92" s="23" t="s">
        <v>4697</v>
      </c>
      <c r="T92" s="23" t="s">
        <v>4699</v>
      </c>
      <c r="U92" s="23">
        <f>DATEDIF(P92, DATE(2023, 6, 8), "Y")</f>
        <v>20</v>
      </c>
      <c r="V92">
        <f>SUM(C92:K92)</f>
        <v>46.11</v>
      </c>
    </row>
    <row r="93" spans="1:22" ht="15.75">
      <c r="A93" s="28" t="s">
        <v>184</v>
      </c>
      <c r="B93" s="28" t="s">
        <v>185</v>
      </c>
      <c r="C93" s="23">
        <v>42.75</v>
      </c>
      <c r="D93" s="23">
        <v>4.22</v>
      </c>
      <c r="E93" s="23" t="s">
        <v>4682</v>
      </c>
      <c r="F93" s="23" t="s">
        <v>4682</v>
      </c>
      <c r="G93" s="23" t="s">
        <v>4682</v>
      </c>
      <c r="H93" s="23">
        <v>0</v>
      </c>
      <c r="I93" s="23" t="s">
        <v>4683</v>
      </c>
      <c r="J93" s="23" t="s">
        <v>4729</v>
      </c>
      <c r="K93" s="23" t="s">
        <v>4737</v>
      </c>
      <c r="L93">
        <v>1999</v>
      </c>
      <c r="M93" s="15" t="s">
        <v>4707</v>
      </c>
      <c r="N93">
        <v>14</v>
      </c>
      <c r="O93">
        <v>0</v>
      </c>
      <c r="P93" s="21">
        <f>DATEVALUE(N93&amp;"-"&amp;M93&amp;"-"&amp;L93)</f>
        <v>36447</v>
      </c>
      <c r="Q93" s="22">
        <v>1329.17</v>
      </c>
      <c r="R93" s="23" t="s">
        <v>4697</v>
      </c>
      <c r="S93" s="23" t="s">
        <v>4698</v>
      </c>
      <c r="T93" s="23" t="s">
        <v>4699</v>
      </c>
      <c r="U93" s="23">
        <f>DATEDIF(P93, DATE(2023, 6, 8), "Y")</f>
        <v>23</v>
      </c>
      <c r="V93">
        <f>SUM(C93:K93)</f>
        <v>46.97</v>
      </c>
    </row>
    <row r="94" spans="1:22" ht="15.75">
      <c r="A94" s="28" t="s">
        <v>186</v>
      </c>
      <c r="B94" s="28" t="s">
        <v>187</v>
      </c>
      <c r="C94" s="23">
        <v>50.58</v>
      </c>
      <c r="D94" s="23">
        <v>5.12</v>
      </c>
      <c r="E94" s="23" t="s">
        <v>4682</v>
      </c>
      <c r="F94" s="23" t="s">
        <v>4682</v>
      </c>
      <c r="G94" s="23" t="s">
        <v>4682</v>
      </c>
      <c r="H94" s="23">
        <v>2</v>
      </c>
      <c r="I94" s="23" t="s">
        <v>4683</v>
      </c>
      <c r="J94" s="23" t="s">
        <v>4729</v>
      </c>
      <c r="K94" s="23" t="s">
        <v>4737</v>
      </c>
      <c r="L94">
        <v>1998</v>
      </c>
      <c r="M94" s="15" t="s">
        <v>4696</v>
      </c>
      <c r="N94">
        <v>12</v>
      </c>
      <c r="O94">
        <v>0</v>
      </c>
      <c r="P94" s="21">
        <f>DATEVALUE(N94&amp;"-"&amp;M94&amp;"-"&amp;L94)</f>
        <v>35988</v>
      </c>
      <c r="Q94" s="22">
        <v>1332.61</v>
      </c>
      <c r="R94" s="23" t="s">
        <v>4697</v>
      </c>
      <c r="S94" s="23" t="s">
        <v>4698</v>
      </c>
      <c r="T94" s="23" t="s">
        <v>4699</v>
      </c>
      <c r="U94" s="23">
        <f>DATEDIF(P94, DATE(2023, 6, 8), "Y")</f>
        <v>24</v>
      </c>
      <c r="V94">
        <f>SUM(C94:K94)</f>
        <v>57.699999999999996</v>
      </c>
    </row>
    <row r="95" spans="1:22" ht="15.75">
      <c r="A95" s="28" t="s">
        <v>188</v>
      </c>
      <c r="B95" s="28" t="s">
        <v>189</v>
      </c>
      <c r="C95" s="23">
        <v>30.495000000000001</v>
      </c>
      <c r="D95" s="23">
        <v>4.57</v>
      </c>
      <c r="E95" s="23" t="s">
        <v>4683</v>
      </c>
      <c r="F95" s="23" t="s">
        <v>4682</v>
      </c>
      <c r="G95" s="23" t="s">
        <v>4682</v>
      </c>
      <c r="H95" s="23">
        <v>0</v>
      </c>
      <c r="I95" s="23" t="s">
        <v>4683</v>
      </c>
      <c r="J95" s="23" t="s">
        <v>4729</v>
      </c>
      <c r="K95" s="23" t="s">
        <v>4737</v>
      </c>
      <c r="L95">
        <v>1995</v>
      </c>
      <c r="M95" s="15" t="s">
        <v>4696</v>
      </c>
      <c r="N95">
        <v>30</v>
      </c>
      <c r="O95">
        <v>0</v>
      </c>
      <c r="P95" s="21">
        <f>DATEVALUE(N95&amp;"-"&amp;M95&amp;"-"&amp;L95)</f>
        <v>34910</v>
      </c>
      <c r="Q95" s="22">
        <v>1338</v>
      </c>
      <c r="R95" s="23" t="s">
        <v>4697</v>
      </c>
      <c r="S95" s="23" t="s">
        <v>4698</v>
      </c>
      <c r="T95" s="23" t="s">
        <v>4704</v>
      </c>
      <c r="U95" s="23">
        <f>DATEDIF(P95, DATE(2023, 6, 8), "Y")</f>
        <v>27</v>
      </c>
      <c r="V95">
        <f>SUM(C95:K95)</f>
        <v>35.064999999999998</v>
      </c>
    </row>
    <row r="96" spans="1:22" ht="15.75">
      <c r="A96" s="28" t="s">
        <v>190</v>
      </c>
      <c r="B96" s="28" t="s">
        <v>191</v>
      </c>
      <c r="C96" s="23">
        <v>48.31</v>
      </c>
      <c r="D96" s="23">
        <v>9.58</v>
      </c>
      <c r="E96" s="23" t="s">
        <v>4683</v>
      </c>
      <c r="F96" s="23" t="s">
        <v>4682</v>
      </c>
      <c r="G96" s="23" t="s">
        <v>4682</v>
      </c>
      <c r="H96" s="23">
        <v>2</v>
      </c>
      <c r="I96" s="23" t="s">
        <v>4683</v>
      </c>
      <c r="J96" s="23" t="s">
        <v>4729</v>
      </c>
      <c r="K96" s="23" t="s">
        <v>4735</v>
      </c>
      <c r="L96">
        <v>1997</v>
      </c>
      <c r="M96" s="15" t="s">
        <v>4700</v>
      </c>
      <c r="N96">
        <v>7</v>
      </c>
      <c r="O96">
        <v>0</v>
      </c>
      <c r="P96" s="21">
        <f>DATEVALUE(N96&amp;"-"&amp;M96&amp;"-"&amp;L96)</f>
        <v>35741</v>
      </c>
      <c r="Q96" s="22">
        <v>1341.16</v>
      </c>
      <c r="R96" s="23" t="s">
        <v>4697</v>
      </c>
      <c r="S96" s="23" t="s">
        <v>4697</v>
      </c>
      <c r="T96" s="23" t="s">
        <v>4704</v>
      </c>
      <c r="U96" s="23">
        <f>DATEDIF(P96, DATE(2023, 6, 8), "Y")</f>
        <v>25</v>
      </c>
      <c r="V96">
        <f>SUM(C96:K96)</f>
        <v>59.89</v>
      </c>
    </row>
    <row r="97" spans="1:22" ht="15.75">
      <c r="A97" s="28" t="s">
        <v>192</v>
      </c>
      <c r="B97" s="28" t="s">
        <v>193</v>
      </c>
      <c r="C97" s="23">
        <v>48.99</v>
      </c>
      <c r="D97" s="23">
        <v>9.7799999999999994</v>
      </c>
      <c r="E97" s="23" t="s">
        <v>4683</v>
      </c>
      <c r="F97" s="23" t="s">
        <v>4682</v>
      </c>
      <c r="G97" s="23" t="s">
        <v>4682</v>
      </c>
      <c r="H97" s="23">
        <v>1</v>
      </c>
      <c r="I97" s="23" t="s">
        <v>4683</v>
      </c>
      <c r="J97" s="23" t="s">
        <v>4729</v>
      </c>
      <c r="K97" s="23" t="s">
        <v>4735</v>
      </c>
      <c r="L97">
        <v>1998</v>
      </c>
      <c r="M97" s="15" t="s">
        <v>4705</v>
      </c>
      <c r="N97">
        <v>3</v>
      </c>
      <c r="O97">
        <v>0</v>
      </c>
      <c r="P97" s="21">
        <f>DATEVALUE(N97&amp;"-"&amp;M97&amp;"-"&amp;L97)</f>
        <v>36132</v>
      </c>
      <c r="Q97" s="22">
        <v>1359</v>
      </c>
      <c r="R97" s="23" t="s">
        <v>4697</v>
      </c>
      <c r="S97" s="23" t="s">
        <v>4701</v>
      </c>
      <c r="T97" s="23" t="s">
        <v>4699</v>
      </c>
      <c r="U97" s="23">
        <f>DATEDIF(P97, DATE(2023, 6, 8), "Y")</f>
        <v>24</v>
      </c>
      <c r="V97">
        <f>SUM(C97:K97)</f>
        <v>59.77</v>
      </c>
    </row>
    <row r="98" spans="1:22" ht="15.75">
      <c r="A98" s="28" t="s">
        <v>194</v>
      </c>
      <c r="B98" s="28" t="s">
        <v>195</v>
      </c>
      <c r="C98" s="23">
        <v>38.39</v>
      </c>
      <c r="D98" s="23">
        <v>4.1100000000000003</v>
      </c>
      <c r="E98" s="23" t="s">
        <v>4683</v>
      </c>
      <c r="F98" s="23" t="s">
        <v>4682</v>
      </c>
      <c r="G98" s="23" t="s">
        <v>4682</v>
      </c>
      <c r="H98" s="23">
        <v>0</v>
      </c>
      <c r="I98" s="23" t="s">
        <v>4683</v>
      </c>
      <c r="J98" s="23" t="s">
        <v>4729</v>
      </c>
      <c r="K98" s="23" t="s">
        <v>4737</v>
      </c>
      <c r="L98">
        <v>2002</v>
      </c>
      <c r="M98" s="15" t="s">
        <v>4706</v>
      </c>
      <c r="N98">
        <v>15</v>
      </c>
      <c r="O98">
        <v>0</v>
      </c>
      <c r="P98" s="21">
        <f>DATEVALUE(N98&amp;"-"&amp;M98&amp;"-"&amp;L98)</f>
        <v>37483</v>
      </c>
      <c r="Q98" s="22">
        <v>1382</v>
      </c>
      <c r="R98" s="23" t="s">
        <v>4697</v>
      </c>
      <c r="S98" s="23" t="s">
        <v>4701</v>
      </c>
      <c r="T98" s="23" t="s">
        <v>4699</v>
      </c>
      <c r="U98" s="23">
        <f>DATEDIF(P98, DATE(2023, 6, 8), "Y")</f>
        <v>20</v>
      </c>
      <c r="V98">
        <f>SUM(C98:K98)</f>
        <v>42.5</v>
      </c>
    </row>
    <row r="99" spans="1:22" ht="15.75">
      <c r="A99" s="28" t="s">
        <v>196</v>
      </c>
      <c r="B99" s="28" t="s">
        <v>197</v>
      </c>
      <c r="C99" s="23">
        <v>44.34</v>
      </c>
      <c r="D99" s="23">
        <v>4.0199999999999996</v>
      </c>
      <c r="E99" s="23" t="s">
        <v>4683</v>
      </c>
      <c r="F99" s="23" t="s">
        <v>4682</v>
      </c>
      <c r="G99" s="23" t="s">
        <v>4682</v>
      </c>
      <c r="H99" s="23">
        <v>2</v>
      </c>
      <c r="I99" s="23" t="s">
        <v>4683</v>
      </c>
      <c r="J99" s="23" t="s">
        <v>4729</v>
      </c>
      <c r="K99" s="23" t="s">
        <v>4737</v>
      </c>
      <c r="L99">
        <v>1999</v>
      </c>
      <c r="M99" s="15" t="s">
        <v>4696</v>
      </c>
      <c r="N99">
        <v>6</v>
      </c>
      <c r="O99">
        <v>0</v>
      </c>
      <c r="P99" s="21">
        <f>DATEVALUE(N99&amp;"-"&amp;M99&amp;"-"&amp;L99)</f>
        <v>36347</v>
      </c>
      <c r="Q99" s="22">
        <v>1389</v>
      </c>
      <c r="R99" s="23" t="s">
        <v>4697</v>
      </c>
      <c r="S99" s="23" t="s">
        <v>4697</v>
      </c>
      <c r="T99" s="23" t="s">
        <v>4699</v>
      </c>
      <c r="U99" s="23">
        <f>DATEDIF(P99, DATE(2023, 6, 8), "Y")</f>
        <v>23</v>
      </c>
      <c r="V99">
        <f>SUM(C99:K99)</f>
        <v>50.36</v>
      </c>
    </row>
    <row r="100" spans="1:22" ht="15.75">
      <c r="A100" s="28" t="s">
        <v>198</v>
      </c>
      <c r="B100" s="28" t="s">
        <v>199</v>
      </c>
      <c r="C100" s="23">
        <v>41.51</v>
      </c>
      <c r="D100" s="23">
        <v>6.92</v>
      </c>
      <c r="E100" s="23" t="s">
        <v>4682</v>
      </c>
      <c r="F100" s="23" t="s">
        <v>4682</v>
      </c>
      <c r="G100" s="23" t="s">
        <v>4682</v>
      </c>
      <c r="H100" s="23">
        <v>0</v>
      </c>
      <c r="I100" s="23" t="s">
        <v>4683</v>
      </c>
      <c r="J100" s="23" t="s">
        <v>4729</v>
      </c>
      <c r="K100" s="23" t="s">
        <v>4735</v>
      </c>
      <c r="L100">
        <v>2002</v>
      </c>
      <c r="M100" s="15" t="s">
        <v>4700</v>
      </c>
      <c r="N100">
        <v>14</v>
      </c>
      <c r="O100">
        <v>0</v>
      </c>
      <c r="P100" s="21">
        <f>DATEVALUE(N100&amp;"-"&amp;M100&amp;"-"&amp;L100)</f>
        <v>37574</v>
      </c>
      <c r="Q100" s="22">
        <v>1390</v>
      </c>
      <c r="R100" s="23" t="s">
        <v>4697</v>
      </c>
      <c r="S100" s="23" t="s">
        <v>4697</v>
      </c>
      <c r="T100" s="23" t="s">
        <v>4699</v>
      </c>
      <c r="U100" s="23">
        <f>DATEDIF(P100, DATE(2023, 6, 8), "Y")</f>
        <v>20</v>
      </c>
      <c r="V100">
        <f>SUM(C100:K100)</f>
        <v>48.43</v>
      </c>
    </row>
    <row r="101" spans="1:22" ht="15.75">
      <c r="A101" s="28" t="s">
        <v>200</v>
      </c>
      <c r="B101" s="28" t="s">
        <v>201</v>
      </c>
      <c r="C101" s="23">
        <v>48.2</v>
      </c>
      <c r="D101" s="23">
        <v>4.84</v>
      </c>
      <c r="E101" s="23" t="s">
        <v>4682</v>
      </c>
      <c r="F101" s="23" t="s">
        <v>4682</v>
      </c>
      <c r="G101" s="23" t="s">
        <v>4682</v>
      </c>
      <c r="H101" s="23">
        <v>0</v>
      </c>
      <c r="I101" s="23" t="s">
        <v>4683</v>
      </c>
      <c r="J101" s="23" t="s">
        <v>4729</v>
      </c>
      <c r="K101" s="23" t="s">
        <v>4737</v>
      </c>
      <c r="L101">
        <v>2002</v>
      </c>
      <c r="M101" s="15" t="s">
        <v>4705</v>
      </c>
      <c r="N101">
        <v>22</v>
      </c>
      <c r="O101">
        <v>0</v>
      </c>
      <c r="P101" s="21">
        <f>DATEVALUE(N101&amp;"-"&amp;M101&amp;"-"&amp;L101)</f>
        <v>37612</v>
      </c>
      <c r="Q101" s="22">
        <v>1391.53</v>
      </c>
      <c r="R101" s="23" t="s">
        <v>4697</v>
      </c>
      <c r="S101" s="23" t="s">
        <v>4701</v>
      </c>
      <c r="T101" s="23" t="s">
        <v>4699</v>
      </c>
      <c r="U101" s="23">
        <f>DATEDIF(P101, DATE(2023, 6, 8), "Y")</f>
        <v>20</v>
      </c>
      <c r="V101">
        <f>SUM(C101:K101)</f>
        <v>53.040000000000006</v>
      </c>
    </row>
    <row r="102" spans="1:22" ht="15.75">
      <c r="A102" s="28" t="s">
        <v>202</v>
      </c>
      <c r="B102" s="28" t="s">
        <v>203</v>
      </c>
      <c r="C102" s="23">
        <v>35.75</v>
      </c>
      <c r="D102" s="23">
        <v>8</v>
      </c>
      <c r="E102" s="23" t="s">
        <v>4683</v>
      </c>
      <c r="F102" s="23" t="s">
        <v>4682</v>
      </c>
      <c r="G102" s="23" t="s">
        <v>4682</v>
      </c>
      <c r="H102" s="23">
        <v>0</v>
      </c>
      <c r="I102" s="23" t="s">
        <v>4683</v>
      </c>
      <c r="J102" s="23" t="s">
        <v>4729</v>
      </c>
      <c r="K102" s="23" t="s">
        <v>4735</v>
      </c>
      <c r="L102">
        <v>1998</v>
      </c>
      <c r="M102" s="15" t="s">
        <v>4703</v>
      </c>
      <c r="N102">
        <v>5</v>
      </c>
      <c r="O102">
        <v>0</v>
      </c>
      <c r="P102" s="21">
        <f>DATEVALUE(N102&amp;"-"&amp;M102&amp;"-"&amp;L102)</f>
        <v>36043</v>
      </c>
      <c r="Q102" s="22">
        <v>1400.44</v>
      </c>
      <c r="R102" s="23" t="s">
        <v>4697</v>
      </c>
      <c r="S102" s="23" t="s">
        <v>4697</v>
      </c>
      <c r="T102" s="23" t="s">
        <v>4699</v>
      </c>
      <c r="U102" s="23">
        <f>DATEDIF(P102, DATE(2023, 6, 8), "Y")</f>
        <v>24</v>
      </c>
      <c r="V102">
        <f>SUM(C102:K102)</f>
        <v>43.75</v>
      </c>
    </row>
    <row r="103" spans="1:22" ht="15.75">
      <c r="A103" s="28" t="s">
        <v>204</v>
      </c>
      <c r="B103" s="28" t="s">
        <v>205</v>
      </c>
      <c r="C103" s="23">
        <v>53.81</v>
      </c>
      <c r="D103" s="23">
        <v>8.77</v>
      </c>
      <c r="E103" s="23" t="s">
        <v>4683</v>
      </c>
      <c r="F103" s="23" t="s">
        <v>4682</v>
      </c>
      <c r="G103" s="23" t="s">
        <v>4682</v>
      </c>
      <c r="H103" s="23">
        <v>0</v>
      </c>
      <c r="I103" s="23" t="s">
        <v>4683</v>
      </c>
      <c r="J103" s="23" t="s">
        <v>4729</v>
      </c>
      <c r="K103" s="23" t="s">
        <v>4735</v>
      </c>
      <c r="L103">
        <v>1997</v>
      </c>
      <c r="M103" s="15" t="s">
        <v>4707</v>
      </c>
      <c r="N103">
        <v>27</v>
      </c>
      <c r="O103">
        <v>0</v>
      </c>
      <c r="P103" s="21">
        <f>DATEVALUE(N103&amp;"-"&amp;M103&amp;"-"&amp;L103)</f>
        <v>35730</v>
      </c>
      <c r="Q103" s="22">
        <v>1402</v>
      </c>
      <c r="R103" s="23" t="s">
        <v>4697</v>
      </c>
      <c r="S103" s="23" t="s">
        <v>4698</v>
      </c>
      <c r="T103" s="23" t="s">
        <v>4708</v>
      </c>
      <c r="U103" s="23">
        <f>DATEDIF(P103, DATE(2023, 6, 8), "Y")</f>
        <v>25</v>
      </c>
      <c r="V103">
        <f>SUM(C103:K103)</f>
        <v>62.58</v>
      </c>
    </row>
    <row r="104" spans="1:22" ht="15.75">
      <c r="A104" s="28" t="s">
        <v>206</v>
      </c>
      <c r="B104" s="28" t="s">
        <v>207</v>
      </c>
      <c r="C104" s="23">
        <v>49.48</v>
      </c>
      <c r="D104" s="23">
        <v>4.96</v>
      </c>
      <c r="E104" s="23" t="s">
        <v>4682</v>
      </c>
      <c r="F104" s="23" t="s">
        <v>4682</v>
      </c>
      <c r="G104" s="23" t="s">
        <v>4684</v>
      </c>
      <c r="H104" s="23">
        <v>1</v>
      </c>
      <c r="I104" s="23" t="s">
        <v>4683</v>
      </c>
      <c r="J104" s="23" t="s">
        <v>4729</v>
      </c>
      <c r="K104" s="23" t="s">
        <v>4737</v>
      </c>
      <c r="L104">
        <v>1996</v>
      </c>
      <c r="M104" s="15" t="s">
        <v>4702</v>
      </c>
      <c r="N104">
        <v>23</v>
      </c>
      <c r="O104">
        <v>0</v>
      </c>
      <c r="P104" s="21">
        <f>DATEVALUE(N104&amp;"-"&amp;M104&amp;"-"&amp;L104)</f>
        <v>35239</v>
      </c>
      <c r="Q104" s="22">
        <v>1417</v>
      </c>
      <c r="R104" s="23" t="s">
        <v>4697</v>
      </c>
      <c r="S104" s="23" t="s">
        <v>4698</v>
      </c>
      <c r="T104" s="23" t="s">
        <v>4699</v>
      </c>
      <c r="U104" s="23">
        <f>DATEDIF(P104, DATE(2023, 6, 8), "Y")</f>
        <v>26</v>
      </c>
      <c r="V104">
        <f>SUM(C104:K104)</f>
        <v>55.44</v>
      </c>
    </row>
    <row r="105" spans="1:22" ht="15.75">
      <c r="A105" s="28" t="s">
        <v>208</v>
      </c>
      <c r="B105" s="28" t="s">
        <v>209</v>
      </c>
      <c r="C105" s="23">
        <v>34.1</v>
      </c>
      <c r="D105" s="23">
        <v>4.43</v>
      </c>
      <c r="E105" s="23" t="s">
        <v>4683</v>
      </c>
      <c r="F105" s="23" t="s">
        <v>4682</v>
      </c>
      <c r="G105" s="23" t="s">
        <v>4682</v>
      </c>
      <c r="H105" s="23">
        <v>0</v>
      </c>
      <c r="I105" s="23" t="s">
        <v>4683</v>
      </c>
      <c r="J105" s="23" t="s">
        <v>4729</v>
      </c>
      <c r="K105" s="23" t="s">
        <v>4737</v>
      </c>
      <c r="L105">
        <v>2001</v>
      </c>
      <c r="M105" s="15" t="s">
        <v>4706</v>
      </c>
      <c r="N105">
        <v>23</v>
      </c>
      <c r="O105">
        <v>0</v>
      </c>
      <c r="P105" s="21">
        <f>DATEVALUE(N105&amp;"-"&amp;M105&amp;"-"&amp;L105)</f>
        <v>37126</v>
      </c>
      <c r="Q105" s="22">
        <v>1421</v>
      </c>
      <c r="R105" s="23" t="s">
        <v>4697</v>
      </c>
      <c r="S105" s="23" t="s">
        <v>4697</v>
      </c>
      <c r="T105" s="23" t="s">
        <v>4699</v>
      </c>
      <c r="U105" s="23">
        <f>DATEDIF(P105, DATE(2023, 6, 8), "Y")</f>
        <v>21</v>
      </c>
      <c r="V105">
        <f>SUM(C105:K105)</f>
        <v>38.53</v>
      </c>
    </row>
    <row r="106" spans="1:22" ht="15.75">
      <c r="A106" s="28" t="s">
        <v>210</v>
      </c>
      <c r="B106" s="28" t="s">
        <v>211</v>
      </c>
      <c r="C106" s="23">
        <v>35.299999999999997</v>
      </c>
      <c r="D106" s="23">
        <v>5.82</v>
      </c>
      <c r="E106" s="23" t="s">
        <v>4683</v>
      </c>
      <c r="F106" s="23" t="s">
        <v>4682</v>
      </c>
      <c r="G106" s="23" t="s">
        <v>4684</v>
      </c>
      <c r="H106" s="23">
        <v>1</v>
      </c>
      <c r="I106" s="23" t="s">
        <v>4683</v>
      </c>
      <c r="J106" s="23" t="s">
        <v>4729</v>
      </c>
      <c r="K106" s="23" t="s">
        <v>4736</v>
      </c>
      <c r="L106">
        <v>1997</v>
      </c>
      <c r="M106" s="15" t="s">
        <v>4705</v>
      </c>
      <c r="N106">
        <v>5</v>
      </c>
      <c r="O106">
        <v>0</v>
      </c>
      <c r="P106" s="21">
        <f>DATEVALUE(N106&amp;"-"&amp;M106&amp;"-"&amp;L106)</f>
        <v>35769</v>
      </c>
      <c r="Q106" s="22">
        <v>1422</v>
      </c>
      <c r="R106" s="23" t="s">
        <v>4697</v>
      </c>
      <c r="S106" s="23" t="s">
        <v>4697</v>
      </c>
      <c r="T106" s="23" t="s">
        <v>4699</v>
      </c>
      <c r="U106" s="23">
        <f>DATEDIF(P106, DATE(2023, 6, 8), "Y")</f>
        <v>25</v>
      </c>
      <c r="V106">
        <f>SUM(C106:K106)</f>
        <v>42.12</v>
      </c>
    </row>
    <row r="107" spans="1:22" ht="15.75">
      <c r="A107" s="28" t="s">
        <v>212</v>
      </c>
      <c r="B107" s="28" t="s">
        <v>213</v>
      </c>
      <c r="C107" s="23">
        <v>43.83</v>
      </c>
      <c r="D107" s="23">
        <v>6.03</v>
      </c>
      <c r="E107" s="23" t="s">
        <v>4683</v>
      </c>
      <c r="F107" s="23" t="s">
        <v>4682</v>
      </c>
      <c r="G107" s="23" t="s">
        <v>4682</v>
      </c>
      <c r="H107" s="23">
        <v>2</v>
      </c>
      <c r="I107" s="23" t="s">
        <v>4683</v>
      </c>
      <c r="J107" s="23" t="s">
        <v>4729</v>
      </c>
      <c r="K107" s="23" t="s">
        <v>4736</v>
      </c>
      <c r="L107">
        <v>2000</v>
      </c>
      <c r="M107" s="15" t="s">
        <v>4703</v>
      </c>
      <c r="N107">
        <v>1</v>
      </c>
      <c r="O107">
        <v>0</v>
      </c>
      <c r="P107" s="21">
        <f>DATEVALUE(N107&amp;"-"&amp;M107&amp;"-"&amp;L107)</f>
        <v>36770</v>
      </c>
      <c r="Q107" s="22">
        <v>1438</v>
      </c>
      <c r="R107" s="23" t="s">
        <v>4697</v>
      </c>
      <c r="S107" s="23" t="s">
        <v>4697</v>
      </c>
      <c r="T107" s="23" t="s">
        <v>4699</v>
      </c>
      <c r="U107" s="23">
        <f>DATEDIF(P107, DATE(2023, 6, 8), "Y")</f>
        <v>22</v>
      </c>
      <c r="V107">
        <f>SUM(C107:K107)</f>
        <v>51.86</v>
      </c>
    </row>
    <row r="108" spans="1:22" ht="15.75">
      <c r="A108" s="28" t="s">
        <v>214</v>
      </c>
      <c r="B108" s="28" t="s">
        <v>215</v>
      </c>
      <c r="C108" s="23">
        <v>50.07</v>
      </c>
      <c r="D108" s="23">
        <v>9.27</v>
      </c>
      <c r="E108" s="23" t="s">
        <v>4682</v>
      </c>
      <c r="F108" s="23" t="s">
        <v>4682</v>
      </c>
      <c r="G108" s="23" t="s">
        <v>4682</v>
      </c>
      <c r="H108" s="23">
        <v>0</v>
      </c>
      <c r="I108" s="23" t="s">
        <v>4683</v>
      </c>
      <c r="J108" s="23" t="s">
        <v>4729</v>
      </c>
      <c r="K108" s="23" t="s">
        <v>4735</v>
      </c>
      <c r="L108">
        <v>1997</v>
      </c>
      <c r="M108" s="15" t="s">
        <v>4702</v>
      </c>
      <c r="N108">
        <v>19</v>
      </c>
      <c r="O108">
        <v>0</v>
      </c>
      <c r="P108" s="21">
        <f>DATEVALUE(N108&amp;"-"&amp;M108&amp;"-"&amp;L108)</f>
        <v>35600</v>
      </c>
      <c r="Q108" s="22">
        <v>1445</v>
      </c>
      <c r="R108" s="23" t="s">
        <v>4697</v>
      </c>
      <c r="S108" s="23" t="s">
        <v>4701</v>
      </c>
      <c r="T108" s="23" t="s">
        <v>4699</v>
      </c>
      <c r="U108" s="23">
        <f>DATEDIF(P108, DATE(2023, 6, 8), "Y")</f>
        <v>25</v>
      </c>
      <c r="V108">
        <f>SUM(C108:K108)</f>
        <v>59.34</v>
      </c>
    </row>
    <row r="109" spans="1:22" ht="15.75">
      <c r="A109" s="28" t="s">
        <v>216</v>
      </c>
      <c r="B109" s="28" t="s">
        <v>217</v>
      </c>
      <c r="C109" s="23">
        <v>32.774999999999999</v>
      </c>
      <c r="D109" s="23">
        <v>5.53</v>
      </c>
      <c r="E109" s="23" t="s">
        <v>4682</v>
      </c>
      <c r="F109" s="23" t="s">
        <v>4682</v>
      </c>
      <c r="G109" s="23" t="s">
        <v>4682</v>
      </c>
      <c r="H109" s="23">
        <v>0</v>
      </c>
      <c r="I109" s="23" t="s">
        <v>4683</v>
      </c>
      <c r="J109" s="23" t="s">
        <v>4729</v>
      </c>
      <c r="K109" s="23" t="s">
        <v>4737</v>
      </c>
      <c r="L109">
        <v>2003</v>
      </c>
      <c r="M109" s="15" t="s">
        <v>4702</v>
      </c>
      <c r="N109">
        <v>20</v>
      </c>
      <c r="O109">
        <v>0</v>
      </c>
      <c r="P109" s="21">
        <f>DATEVALUE(N109&amp;"-"&amp;M109&amp;"-"&amp;L109)</f>
        <v>37792</v>
      </c>
      <c r="Q109" s="22">
        <v>1467</v>
      </c>
      <c r="R109" s="23" t="s">
        <v>4697</v>
      </c>
      <c r="S109" s="23" t="s">
        <v>4697</v>
      </c>
      <c r="T109" s="23" t="s">
        <v>4699</v>
      </c>
      <c r="U109" s="23">
        <f>DATEDIF(P109, DATE(2023, 6, 8), "Y")</f>
        <v>19</v>
      </c>
      <c r="V109">
        <f>SUM(C109:K109)</f>
        <v>38.305</v>
      </c>
    </row>
    <row r="110" spans="1:22" ht="15.75">
      <c r="A110" s="28" t="s">
        <v>218</v>
      </c>
      <c r="B110" s="28" t="s">
        <v>219</v>
      </c>
      <c r="C110" s="23">
        <v>34.104999999999997</v>
      </c>
      <c r="D110" s="23">
        <v>5.07</v>
      </c>
      <c r="E110" s="23" t="s">
        <v>4682</v>
      </c>
      <c r="F110" s="23" t="s">
        <v>4682</v>
      </c>
      <c r="G110" s="23" t="s">
        <v>4682</v>
      </c>
      <c r="H110" s="23">
        <v>1</v>
      </c>
      <c r="I110" s="23" t="s">
        <v>4683</v>
      </c>
      <c r="J110" s="23" t="s">
        <v>4729</v>
      </c>
      <c r="K110" s="23" t="s">
        <v>4737</v>
      </c>
      <c r="L110">
        <v>1998</v>
      </c>
      <c r="M110" s="15" t="s">
        <v>4705</v>
      </c>
      <c r="N110">
        <v>7</v>
      </c>
      <c r="O110">
        <v>0</v>
      </c>
      <c r="P110" s="21">
        <f>DATEVALUE(N110&amp;"-"&amp;M110&amp;"-"&amp;L110)</f>
        <v>36136</v>
      </c>
      <c r="Q110" s="22">
        <v>1477</v>
      </c>
      <c r="R110" s="23" t="s">
        <v>4697</v>
      </c>
      <c r="S110" s="23" t="s">
        <v>4701</v>
      </c>
      <c r="T110" s="23" t="s">
        <v>4699</v>
      </c>
      <c r="U110" s="23">
        <f>DATEDIF(P110, DATE(2023, 6, 8), "Y")</f>
        <v>24</v>
      </c>
      <c r="V110">
        <f>SUM(C110:K110)</f>
        <v>40.174999999999997</v>
      </c>
    </row>
    <row r="111" spans="1:22" ht="15.75">
      <c r="A111" s="28" t="s">
        <v>220</v>
      </c>
      <c r="B111" s="28" t="s">
        <v>221</v>
      </c>
      <c r="C111" s="23">
        <v>48.93</v>
      </c>
      <c r="D111" s="23">
        <v>11.17</v>
      </c>
      <c r="E111" s="23" t="s">
        <v>4683</v>
      </c>
      <c r="F111" s="23" t="s">
        <v>4682</v>
      </c>
      <c r="G111" s="23" t="s">
        <v>4682</v>
      </c>
      <c r="H111" s="23">
        <v>1</v>
      </c>
      <c r="I111" s="23" t="s">
        <v>4683</v>
      </c>
      <c r="J111" s="23" t="s">
        <v>4729</v>
      </c>
      <c r="K111" s="23" t="s">
        <v>4735</v>
      </c>
      <c r="L111">
        <v>1997</v>
      </c>
      <c r="M111" s="15" t="s">
        <v>4702</v>
      </c>
      <c r="N111">
        <v>9</v>
      </c>
      <c r="O111">
        <v>0</v>
      </c>
      <c r="P111" s="21">
        <f>DATEVALUE(N111&amp;"-"&amp;M111&amp;"-"&amp;L111)</f>
        <v>35590</v>
      </c>
      <c r="Q111" s="22">
        <v>1481</v>
      </c>
      <c r="R111" s="23" t="s">
        <v>4697</v>
      </c>
      <c r="S111" s="23" t="s">
        <v>4701</v>
      </c>
      <c r="T111" s="23" t="s">
        <v>4704</v>
      </c>
      <c r="U111" s="23">
        <f>DATEDIF(P111, DATE(2023, 6, 8), "Y")</f>
        <v>25</v>
      </c>
      <c r="V111">
        <f>SUM(C111:K111)</f>
        <v>61.1</v>
      </c>
    </row>
    <row r="112" spans="1:22" ht="15.75">
      <c r="A112" s="28" t="s">
        <v>222</v>
      </c>
      <c r="B112" s="28" t="s">
        <v>223</v>
      </c>
      <c r="C112" s="23">
        <v>37.07</v>
      </c>
      <c r="D112" s="23">
        <v>6.14</v>
      </c>
      <c r="E112" s="23" t="s">
        <v>4683</v>
      </c>
      <c r="F112" s="23" t="s">
        <v>4682</v>
      </c>
      <c r="G112" s="23" t="s">
        <v>4682</v>
      </c>
      <c r="H112" s="23">
        <v>0</v>
      </c>
      <c r="I112" s="23" t="s">
        <v>4683</v>
      </c>
      <c r="J112" s="23" t="s">
        <v>4729</v>
      </c>
      <c r="K112" s="23" t="s">
        <v>4736</v>
      </c>
      <c r="L112">
        <v>1995</v>
      </c>
      <c r="M112" s="15" t="s">
        <v>4707</v>
      </c>
      <c r="N112">
        <v>7</v>
      </c>
      <c r="O112">
        <v>0</v>
      </c>
      <c r="P112" s="21">
        <f>DATEVALUE(N112&amp;"-"&amp;M112&amp;"-"&amp;L112)</f>
        <v>34979</v>
      </c>
      <c r="Q112" s="22">
        <v>1493</v>
      </c>
      <c r="R112" s="23" t="s">
        <v>4697</v>
      </c>
      <c r="S112" s="23" t="s">
        <v>4698</v>
      </c>
      <c r="T112" s="23" t="s">
        <v>4699</v>
      </c>
      <c r="U112" s="23">
        <f>DATEDIF(P112, DATE(2023, 6, 8), "Y")</f>
        <v>27</v>
      </c>
      <c r="V112">
        <f>SUM(C112:K112)</f>
        <v>43.21</v>
      </c>
    </row>
    <row r="113" spans="1:22" ht="15.75">
      <c r="A113" s="28" t="s">
        <v>224</v>
      </c>
      <c r="B113" s="28" t="s">
        <v>225</v>
      </c>
      <c r="C113" s="23">
        <v>51.51</v>
      </c>
      <c r="D113" s="23">
        <v>6.26</v>
      </c>
      <c r="E113" s="23" t="s">
        <v>4683</v>
      </c>
      <c r="F113" s="23" t="s">
        <v>4682</v>
      </c>
      <c r="G113" s="23" t="s">
        <v>4684</v>
      </c>
      <c r="H113" s="23">
        <v>1</v>
      </c>
      <c r="I113" s="23" t="s">
        <v>4683</v>
      </c>
      <c r="J113" s="23" t="s">
        <v>4729</v>
      </c>
      <c r="K113" s="23" t="s">
        <v>4736</v>
      </c>
      <c r="L113">
        <v>1998</v>
      </c>
      <c r="M113" s="15" t="s">
        <v>4702</v>
      </c>
      <c r="N113">
        <v>19</v>
      </c>
      <c r="O113">
        <v>0</v>
      </c>
      <c r="P113" s="21">
        <f>DATEVALUE(N113&amp;"-"&amp;M113&amp;"-"&amp;L113)</f>
        <v>35965</v>
      </c>
      <c r="Q113" s="22">
        <v>1497</v>
      </c>
      <c r="R113" s="23" t="s">
        <v>4697</v>
      </c>
      <c r="S113" s="23" t="s">
        <v>4697</v>
      </c>
      <c r="T113" s="23" t="s">
        <v>4699</v>
      </c>
      <c r="U113" s="23">
        <f>DATEDIF(P113, DATE(2023, 6, 8), "Y")</f>
        <v>24</v>
      </c>
      <c r="V113">
        <f>SUM(C113:K113)</f>
        <v>58.769999999999996</v>
      </c>
    </row>
    <row r="114" spans="1:22" ht="15.75">
      <c r="A114" s="28" t="s">
        <v>226</v>
      </c>
      <c r="B114" s="28" t="s">
        <v>227</v>
      </c>
      <c r="C114" s="23">
        <v>34.799999999999997</v>
      </c>
      <c r="D114" s="23">
        <v>4.72</v>
      </c>
      <c r="E114" s="23" t="s">
        <v>4683</v>
      </c>
      <c r="F114" s="23" t="s">
        <v>4682</v>
      </c>
      <c r="G114" s="23" t="s">
        <v>4682</v>
      </c>
      <c r="H114" s="23">
        <v>0</v>
      </c>
      <c r="I114" s="23" t="s">
        <v>4683</v>
      </c>
      <c r="J114" s="23" t="s">
        <v>4729</v>
      </c>
      <c r="K114" s="23" t="s">
        <v>4737</v>
      </c>
      <c r="L114">
        <v>2001</v>
      </c>
      <c r="M114" s="15" t="s">
        <v>4706</v>
      </c>
      <c r="N114">
        <v>25</v>
      </c>
      <c r="O114">
        <v>0</v>
      </c>
      <c r="P114" s="21">
        <f>DATEVALUE(N114&amp;"-"&amp;M114&amp;"-"&amp;L114)</f>
        <v>37128</v>
      </c>
      <c r="Q114" s="22">
        <v>1515.34</v>
      </c>
      <c r="R114" s="23" t="s">
        <v>4697</v>
      </c>
      <c r="S114" s="23" t="s">
        <v>4698</v>
      </c>
      <c r="T114" s="23" t="s">
        <v>4699</v>
      </c>
      <c r="U114" s="23">
        <f>DATEDIF(P114, DATE(2023, 6, 8), "Y")</f>
        <v>21</v>
      </c>
      <c r="V114">
        <f>SUM(C114:K114)</f>
        <v>39.519999999999996</v>
      </c>
    </row>
    <row r="115" spans="1:22" ht="15.75">
      <c r="A115" s="28" t="s">
        <v>228</v>
      </c>
      <c r="B115" s="28" t="s">
        <v>229</v>
      </c>
      <c r="C115" s="23">
        <v>36.67</v>
      </c>
      <c r="D115" s="23">
        <v>5.18</v>
      </c>
      <c r="E115" s="23" t="s">
        <v>4682</v>
      </c>
      <c r="F115" s="23" t="s">
        <v>4682</v>
      </c>
      <c r="G115" s="23" t="s">
        <v>4682</v>
      </c>
      <c r="H115" s="23">
        <v>1</v>
      </c>
      <c r="I115" s="23" t="s">
        <v>4683</v>
      </c>
      <c r="J115" s="23" t="s">
        <v>4729</v>
      </c>
      <c r="K115" s="23" t="s">
        <v>4737</v>
      </c>
      <c r="L115">
        <v>2001</v>
      </c>
      <c r="M115" s="15" t="s">
        <v>4696</v>
      </c>
      <c r="N115">
        <v>7</v>
      </c>
      <c r="O115">
        <v>0</v>
      </c>
      <c r="P115" s="21">
        <f>DATEVALUE(N115&amp;"-"&amp;M115&amp;"-"&amp;L115)</f>
        <v>37079</v>
      </c>
      <c r="Q115" s="22">
        <v>1526.31</v>
      </c>
      <c r="R115" s="23" t="s">
        <v>4697</v>
      </c>
      <c r="S115" s="23" t="s">
        <v>4698</v>
      </c>
      <c r="T115" s="23" t="s">
        <v>4708</v>
      </c>
      <c r="U115" s="23">
        <f>DATEDIF(P115, DATE(2023, 6, 8), "Y")</f>
        <v>21</v>
      </c>
      <c r="V115">
        <f>SUM(C115:K115)</f>
        <v>42.85</v>
      </c>
    </row>
    <row r="116" spans="1:22" ht="15.75">
      <c r="A116" s="28" t="s">
        <v>230</v>
      </c>
      <c r="B116" s="28" t="s">
        <v>231</v>
      </c>
      <c r="C116" s="23">
        <v>30.9</v>
      </c>
      <c r="D116" s="23">
        <v>9.4</v>
      </c>
      <c r="E116" s="23" t="s">
        <v>4682</v>
      </c>
      <c r="F116" s="23" t="s">
        <v>4682</v>
      </c>
      <c r="G116" s="23" t="s">
        <v>4682</v>
      </c>
      <c r="H116" s="23">
        <v>2</v>
      </c>
      <c r="I116" s="23" t="s">
        <v>4683</v>
      </c>
      <c r="J116" s="23" t="s">
        <v>4729</v>
      </c>
      <c r="K116" s="23" t="s">
        <v>4735</v>
      </c>
      <c r="L116">
        <v>2001</v>
      </c>
      <c r="M116" s="15" t="s">
        <v>4702</v>
      </c>
      <c r="N116">
        <v>2</v>
      </c>
      <c r="O116">
        <v>0</v>
      </c>
      <c r="P116" s="21">
        <f>DATEVALUE(N116&amp;"-"&amp;M116&amp;"-"&amp;L116)</f>
        <v>37044</v>
      </c>
      <c r="Q116" s="22">
        <v>1532.47</v>
      </c>
      <c r="R116" s="23" t="s">
        <v>4697</v>
      </c>
      <c r="S116" s="23" t="s">
        <v>4697</v>
      </c>
      <c r="T116" s="23" t="s">
        <v>4699</v>
      </c>
      <c r="U116" s="23">
        <f>DATEDIF(P116, DATE(2023, 6, 8), "Y")</f>
        <v>22</v>
      </c>
      <c r="V116">
        <f>SUM(C116:K116)</f>
        <v>42.3</v>
      </c>
    </row>
    <row r="117" spans="1:22" ht="15.75">
      <c r="A117" s="28" t="s">
        <v>232</v>
      </c>
      <c r="B117" s="28" t="s">
        <v>233</v>
      </c>
      <c r="C117" s="23">
        <v>30.495000000000001</v>
      </c>
      <c r="D117" s="23">
        <v>6.29</v>
      </c>
      <c r="E117" s="23" t="s">
        <v>4682</v>
      </c>
      <c r="F117" s="23" t="s">
        <v>4682</v>
      </c>
      <c r="G117" s="23" t="s">
        <v>4682</v>
      </c>
      <c r="H117" s="23">
        <v>0</v>
      </c>
      <c r="I117" s="23" t="s">
        <v>4683</v>
      </c>
      <c r="J117" s="23" t="s">
        <v>4729</v>
      </c>
      <c r="K117" s="23" t="s">
        <v>4736</v>
      </c>
      <c r="L117">
        <v>2001</v>
      </c>
      <c r="M117" s="15" t="s">
        <v>4705</v>
      </c>
      <c r="N117">
        <v>5</v>
      </c>
      <c r="O117">
        <v>0</v>
      </c>
      <c r="P117" s="21">
        <f>DATEVALUE(N117&amp;"-"&amp;M117&amp;"-"&amp;L117)</f>
        <v>37230</v>
      </c>
      <c r="Q117" s="22">
        <v>1534.3</v>
      </c>
      <c r="R117" s="23" t="s">
        <v>4697</v>
      </c>
      <c r="S117" s="23" t="s">
        <v>4697</v>
      </c>
      <c r="T117" s="23" t="s">
        <v>4699</v>
      </c>
      <c r="U117" s="23">
        <f>DATEDIF(P117, DATE(2023, 6, 8), "Y")</f>
        <v>21</v>
      </c>
      <c r="V117">
        <f>SUM(C117:K117)</f>
        <v>36.785000000000004</v>
      </c>
    </row>
    <row r="118" spans="1:22" ht="15.75">
      <c r="A118" s="28" t="s">
        <v>234</v>
      </c>
      <c r="B118" s="28" t="s">
        <v>235</v>
      </c>
      <c r="C118" s="23">
        <v>44.88</v>
      </c>
      <c r="D118" s="23">
        <v>6.04</v>
      </c>
      <c r="E118" s="23" t="s">
        <v>4682</v>
      </c>
      <c r="F118" s="23" t="s">
        <v>4682</v>
      </c>
      <c r="G118" s="23" t="s">
        <v>4684</v>
      </c>
      <c r="H118" s="23">
        <v>1</v>
      </c>
      <c r="I118" s="23" t="s">
        <v>4683</v>
      </c>
      <c r="J118" s="23" t="s">
        <v>4729</v>
      </c>
      <c r="K118" s="23" t="s">
        <v>4736</v>
      </c>
      <c r="L118">
        <v>1992</v>
      </c>
      <c r="M118" s="15" t="s">
        <v>4703</v>
      </c>
      <c r="N118">
        <v>22</v>
      </c>
      <c r="O118">
        <v>0</v>
      </c>
      <c r="P118" s="21">
        <f>DATEVALUE(N118&amp;"-"&amp;M118&amp;"-"&amp;L118)</f>
        <v>33869</v>
      </c>
      <c r="Q118" s="22">
        <v>1566.88</v>
      </c>
      <c r="R118" s="23" t="s">
        <v>4697</v>
      </c>
      <c r="S118" s="23" t="s">
        <v>4701</v>
      </c>
      <c r="T118" s="23" t="s">
        <v>4699</v>
      </c>
      <c r="U118" s="23">
        <f>DATEDIF(P118, DATE(2023, 6, 8), "Y")</f>
        <v>30</v>
      </c>
      <c r="V118">
        <f>SUM(C118:K118)</f>
        <v>51.92</v>
      </c>
    </row>
    <row r="119" spans="1:22" ht="15.75">
      <c r="A119" s="28" t="s">
        <v>236</v>
      </c>
      <c r="B119" s="28" t="s">
        <v>237</v>
      </c>
      <c r="C119" s="23">
        <v>44.32</v>
      </c>
      <c r="D119" s="23">
        <v>10.55</v>
      </c>
      <c r="E119" s="23" t="s">
        <v>4682</v>
      </c>
      <c r="F119" s="23" t="s">
        <v>4682</v>
      </c>
      <c r="G119" s="23" t="s">
        <v>4682</v>
      </c>
      <c r="H119" s="23">
        <v>0</v>
      </c>
      <c r="I119" s="23" t="s">
        <v>4683</v>
      </c>
      <c r="J119" s="23" t="s">
        <v>4729</v>
      </c>
      <c r="K119" s="23" t="s">
        <v>4735</v>
      </c>
      <c r="L119">
        <v>2004</v>
      </c>
      <c r="M119" s="15" t="s">
        <v>4700</v>
      </c>
      <c r="N119">
        <v>19</v>
      </c>
      <c r="O119">
        <v>0</v>
      </c>
      <c r="P119" s="21">
        <f>DATEVALUE(N119&amp;"-"&amp;M119&amp;"-"&amp;L119)</f>
        <v>38310</v>
      </c>
      <c r="Q119" s="22">
        <v>1607.51</v>
      </c>
      <c r="R119" s="23" t="s">
        <v>4697</v>
      </c>
      <c r="S119" s="23" t="s">
        <v>4698</v>
      </c>
      <c r="T119" s="23" t="s">
        <v>4699</v>
      </c>
      <c r="U119" s="23">
        <f>DATEDIF(P119, DATE(2023, 6, 8), "Y")</f>
        <v>18</v>
      </c>
      <c r="V119">
        <f>SUM(C119:K119)</f>
        <v>54.870000000000005</v>
      </c>
    </row>
    <row r="120" spans="1:22" ht="15.75">
      <c r="A120" s="28" t="s">
        <v>238</v>
      </c>
      <c r="B120" s="28" t="s">
        <v>239</v>
      </c>
      <c r="C120" s="23">
        <v>46.39</v>
      </c>
      <c r="D120" s="23">
        <v>5.09</v>
      </c>
      <c r="E120" s="23" t="s">
        <v>4682</v>
      </c>
      <c r="F120" s="23" t="s">
        <v>4682</v>
      </c>
      <c r="G120" s="23" t="s">
        <v>4682</v>
      </c>
      <c r="H120" s="23">
        <v>0</v>
      </c>
      <c r="I120" s="23" t="s">
        <v>4683</v>
      </c>
      <c r="J120" s="23" t="s">
        <v>4729</v>
      </c>
      <c r="K120" s="23" t="s">
        <v>4737</v>
      </c>
      <c r="L120">
        <v>2004</v>
      </c>
      <c r="M120" s="15" t="s">
        <v>4696</v>
      </c>
      <c r="N120">
        <v>22</v>
      </c>
      <c r="O120">
        <v>0</v>
      </c>
      <c r="P120" s="21">
        <f>DATEVALUE(N120&amp;"-"&amp;M120&amp;"-"&amp;L120)</f>
        <v>38190</v>
      </c>
      <c r="Q120" s="22">
        <v>1615.77</v>
      </c>
      <c r="R120" s="23" t="s">
        <v>4697</v>
      </c>
      <c r="S120" s="23" t="s">
        <v>4701</v>
      </c>
      <c r="T120" s="23" t="s">
        <v>4699</v>
      </c>
      <c r="U120" s="23">
        <f>DATEDIF(P120, DATE(2023, 6, 8), "Y")</f>
        <v>18</v>
      </c>
      <c r="V120">
        <f>SUM(C120:K120)</f>
        <v>51.480000000000004</v>
      </c>
    </row>
    <row r="121" spans="1:22" ht="15.75">
      <c r="A121" s="28" t="s">
        <v>240</v>
      </c>
      <c r="B121" s="28" t="s">
        <v>241</v>
      </c>
      <c r="C121" s="23">
        <v>42.13</v>
      </c>
      <c r="D121" s="23">
        <v>5.2</v>
      </c>
      <c r="E121" s="23" t="s">
        <v>4683</v>
      </c>
      <c r="F121" s="23" t="s">
        <v>4682</v>
      </c>
      <c r="G121" s="23" t="s">
        <v>4682</v>
      </c>
      <c r="H121" s="23">
        <v>1</v>
      </c>
      <c r="I121" s="23" t="s">
        <v>4683</v>
      </c>
      <c r="J121" s="23" t="s">
        <v>4729</v>
      </c>
      <c r="K121" s="23" t="s">
        <v>4737</v>
      </c>
      <c r="L121">
        <v>1995</v>
      </c>
      <c r="M121" s="15" t="s">
        <v>4706</v>
      </c>
      <c r="N121">
        <v>5</v>
      </c>
      <c r="O121">
        <v>0</v>
      </c>
      <c r="P121" s="21">
        <f>DATEVALUE(N121&amp;"-"&amp;M121&amp;"-"&amp;L121)</f>
        <v>34916</v>
      </c>
      <c r="Q121" s="22">
        <v>1617.16</v>
      </c>
      <c r="R121" s="23" t="s">
        <v>4697</v>
      </c>
      <c r="S121" s="23" t="s">
        <v>4701</v>
      </c>
      <c r="T121" s="23" t="s">
        <v>4699</v>
      </c>
      <c r="U121" s="23">
        <f>DATEDIF(P121, DATE(2023, 6, 8), "Y")</f>
        <v>27</v>
      </c>
      <c r="V121">
        <f>SUM(C121:K121)</f>
        <v>48.330000000000005</v>
      </c>
    </row>
    <row r="122" spans="1:22" ht="15.75">
      <c r="A122" s="28" t="s">
        <v>242</v>
      </c>
      <c r="B122" s="28" t="s">
        <v>243</v>
      </c>
      <c r="C122" s="23">
        <v>30.78</v>
      </c>
      <c r="D122" s="23">
        <v>8.4499999999999993</v>
      </c>
      <c r="E122" s="23" t="s">
        <v>4683</v>
      </c>
      <c r="F122" s="23" t="s">
        <v>4682</v>
      </c>
      <c r="G122" s="23" t="s">
        <v>4682</v>
      </c>
      <c r="H122" s="23">
        <v>0</v>
      </c>
      <c r="I122" s="23" t="s">
        <v>4683</v>
      </c>
      <c r="J122" s="23" t="s">
        <v>4729</v>
      </c>
      <c r="K122" s="23" t="s">
        <v>4735</v>
      </c>
      <c r="L122">
        <v>2003</v>
      </c>
      <c r="M122" s="15" t="s">
        <v>4703</v>
      </c>
      <c r="N122">
        <v>14</v>
      </c>
      <c r="O122">
        <v>0</v>
      </c>
      <c r="P122" s="21">
        <f>DATEVALUE(N122&amp;"-"&amp;M122&amp;"-"&amp;L122)</f>
        <v>37878</v>
      </c>
      <c r="Q122" s="22">
        <v>1621.34</v>
      </c>
      <c r="R122" s="23" t="s">
        <v>4697</v>
      </c>
      <c r="S122" s="23" t="s">
        <v>4697</v>
      </c>
      <c r="T122" s="23" t="s">
        <v>4704</v>
      </c>
      <c r="U122" s="23">
        <f>DATEDIF(P122, DATE(2023, 6, 8), "Y")</f>
        <v>19</v>
      </c>
      <c r="V122">
        <f>SUM(C122:K122)</f>
        <v>39.230000000000004</v>
      </c>
    </row>
    <row r="123" spans="1:22" ht="15.75">
      <c r="A123" s="28" t="s">
        <v>244</v>
      </c>
      <c r="B123" s="28" t="s">
        <v>245</v>
      </c>
      <c r="C123" s="23">
        <v>31.35</v>
      </c>
      <c r="D123" s="23">
        <v>9.5399999999999991</v>
      </c>
      <c r="E123" s="23" t="s">
        <v>4682</v>
      </c>
      <c r="F123" s="23" t="s">
        <v>4682</v>
      </c>
      <c r="G123" s="23" t="s">
        <v>4682</v>
      </c>
      <c r="H123" s="23">
        <v>0</v>
      </c>
      <c r="I123" s="23" t="s">
        <v>4683</v>
      </c>
      <c r="J123" s="23" t="s">
        <v>4729</v>
      </c>
      <c r="K123" s="23" t="s">
        <v>4735</v>
      </c>
      <c r="L123">
        <v>2004</v>
      </c>
      <c r="M123" s="15" t="s">
        <v>4706</v>
      </c>
      <c r="N123">
        <v>21</v>
      </c>
      <c r="O123">
        <v>0</v>
      </c>
      <c r="P123" s="21">
        <f>DATEVALUE(N123&amp;"-"&amp;M123&amp;"-"&amp;L123)</f>
        <v>38220</v>
      </c>
      <c r="Q123" s="22">
        <v>1621.88</v>
      </c>
      <c r="R123" s="23" t="s">
        <v>4697</v>
      </c>
      <c r="S123" s="23" t="s">
        <v>4697</v>
      </c>
      <c r="T123" s="23" t="s">
        <v>4699</v>
      </c>
      <c r="U123" s="23">
        <f>DATEDIF(P123, DATE(2023, 6, 8), "Y")</f>
        <v>18</v>
      </c>
      <c r="V123">
        <f>SUM(C123:K123)</f>
        <v>40.89</v>
      </c>
    </row>
    <row r="124" spans="1:22" ht="15.75">
      <c r="A124" s="28" t="s">
        <v>246</v>
      </c>
      <c r="B124" s="28" t="s">
        <v>247</v>
      </c>
      <c r="C124" s="23">
        <v>41.46</v>
      </c>
      <c r="D124" s="23">
        <v>4.99</v>
      </c>
      <c r="E124" s="23" t="s">
        <v>4683</v>
      </c>
      <c r="F124" s="23" t="s">
        <v>4682</v>
      </c>
      <c r="G124" s="23" t="s">
        <v>4682</v>
      </c>
      <c r="H124" s="23">
        <v>2</v>
      </c>
      <c r="I124" s="23" t="s">
        <v>4683</v>
      </c>
      <c r="J124" s="23" t="s">
        <v>4729</v>
      </c>
      <c r="K124" s="23" t="s">
        <v>4737</v>
      </c>
      <c r="L124">
        <v>2004</v>
      </c>
      <c r="M124" s="15" t="s">
        <v>4696</v>
      </c>
      <c r="N124">
        <v>25</v>
      </c>
      <c r="O124">
        <v>0</v>
      </c>
      <c r="P124" s="21">
        <f>DATEVALUE(N124&amp;"-"&amp;M124&amp;"-"&amp;L124)</f>
        <v>38193</v>
      </c>
      <c r="Q124" s="22">
        <v>1622.19</v>
      </c>
      <c r="R124" s="23" t="s">
        <v>4697</v>
      </c>
      <c r="S124" s="23" t="s">
        <v>4701</v>
      </c>
      <c r="T124" s="23" t="s">
        <v>4699</v>
      </c>
      <c r="U124" s="23">
        <f>DATEDIF(P124, DATE(2023, 6, 8), "Y")</f>
        <v>18</v>
      </c>
      <c r="V124">
        <f>SUM(C124:K124)</f>
        <v>48.45</v>
      </c>
    </row>
    <row r="125" spans="1:22" ht="15.75">
      <c r="A125" s="28" t="s">
        <v>248</v>
      </c>
      <c r="B125" s="28" t="s">
        <v>249</v>
      </c>
      <c r="C125" s="23">
        <v>48</v>
      </c>
      <c r="D125" s="23">
        <v>10.54</v>
      </c>
      <c r="E125" s="23" t="s">
        <v>4682</v>
      </c>
      <c r="F125" s="23" t="s">
        <v>4682</v>
      </c>
      <c r="G125" s="23" t="s">
        <v>4682</v>
      </c>
      <c r="H125" s="23">
        <v>0</v>
      </c>
      <c r="I125" s="23" t="s">
        <v>4683</v>
      </c>
      <c r="J125" s="23" t="s">
        <v>4729</v>
      </c>
      <c r="K125" s="23" t="s">
        <v>4735</v>
      </c>
      <c r="L125">
        <v>2003</v>
      </c>
      <c r="M125" s="15" t="s">
        <v>4703</v>
      </c>
      <c r="N125">
        <v>9</v>
      </c>
      <c r="O125">
        <v>0</v>
      </c>
      <c r="P125" s="21">
        <f>DATEVALUE(N125&amp;"-"&amp;M125&amp;"-"&amp;L125)</f>
        <v>37873</v>
      </c>
      <c r="Q125" s="22">
        <v>1625.43</v>
      </c>
      <c r="R125" s="23" t="s">
        <v>4697</v>
      </c>
      <c r="S125" s="23" t="s">
        <v>4698</v>
      </c>
      <c r="T125" s="23" t="s">
        <v>4704</v>
      </c>
      <c r="U125" s="23">
        <f>DATEDIF(P125, DATE(2023, 6, 8), "Y")</f>
        <v>19</v>
      </c>
      <c r="V125">
        <f>SUM(C125:K125)</f>
        <v>58.54</v>
      </c>
    </row>
    <row r="126" spans="1:22" ht="15.75">
      <c r="A126" s="28" t="s">
        <v>250</v>
      </c>
      <c r="B126" s="28" t="s">
        <v>251</v>
      </c>
      <c r="C126" s="23">
        <v>49.13</v>
      </c>
      <c r="D126" s="23">
        <v>4.54</v>
      </c>
      <c r="E126" s="23" t="s">
        <v>4682</v>
      </c>
      <c r="F126" s="23" t="s">
        <v>4682</v>
      </c>
      <c r="G126" s="23" t="s">
        <v>4682</v>
      </c>
      <c r="H126" s="23">
        <v>0</v>
      </c>
      <c r="I126" s="23" t="s">
        <v>4683</v>
      </c>
      <c r="J126" s="23" t="s">
        <v>4729</v>
      </c>
      <c r="K126" s="23" t="s">
        <v>4737</v>
      </c>
      <c r="L126">
        <v>2003</v>
      </c>
      <c r="M126" s="15" t="s">
        <v>4705</v>
      </c>
      <c r="N126">
        <v>4</v>
      </c>
      <c r="O126">
        <v>0</v>
      </c>
      <c r="P126" s="21">
        <f>DATEVALUE(N126&amp;"-"&amp;M126&amp;"-"&amp;L126)</f>
        <v>37959</v>
      </c>
      <c r="Q126" s="22">
        <v>1627.28</v>
      </c>
      <c r="R126" s="23" t="s">
        <v>4697</v>
      </c>
      <c r="S126" s="23" t="s">
        <v>4697</v>
      </c>
      <c r="T126" s="23" t="s">
        <v>4704</v>
      </c>
      <c r="U126" s="23">
        <f>DATEDIF(P126, DATE(2023, 6, 8), "Y")</f>
        <v>19</v>
      </c>
      <c r="V126">
        <f>SUM(C126:K126)</f>
        <v>53.67</v>
      </c>
    </row>
    <row r="127" spans="1:22" ht="15.75">
      <c r="A127" s="28" t="s">
        <v>252</v>
      </c>
      <c r="B127" s="28" t="s">
        <v>253</v>
      </c>
      <c r="C127" s="23">
        <v>37.799999999999997</v>
      </c>
      <c r="D127" s="23">
        <v>6.29</v>
      </c>
      <c r="E127" s="23" t="s">
        <v>4682</v>
      </c>
      <c r="F127" s="23" t="s">
        <v>4682</v>
      </c>
      <c r="G127" s="23" t="s">
        <v>4682</v>
      </c>
      <c r="H127" s="23">
        <v>1</v>
      </c>
      <c r="I127" s="23" t="s">
        <v>4683</v>
      </c>
      <c r="J127" s="23" t="s">
        <v>4729</v>
      </c>
      <c r="K127" s="23" t="s">
        <v>4736</v>
      </c>
      <c r="L127">
        <v>2003</v>
      </c>
      <c r="M127" s="15" t="s">
        <v>4696</v>
      </c>
      <c r="N127">
        <v>17</v>
      </c>
      <c r="O127">
        <v>0</v>
      </c>
      <c r="P127" s="21">
        <f>DATEVALUE(N127&amp;"-"&amp;M127&amp;"-"&amp;L127)</f>
        <v>37819</v>
      </c>
      <c r="Q127" s="22">
        <v>1628.47</v>
      </c>
      <c r="R127" s="23" t="s">
        <v>4697</v>
      </c>
      <c r="S127" s="23" t="s">
        <v>4701</v>
      </c>
      <c r="T127" s="23" t="s">
        <v>4704</v>
      </c>
      <c r="U127" s="23">
        <f>DATEDIF(P127, DATE(2023, 6, 8), "Y")</f>
        <v>19</v>
      </c>
      <c r="V127">
        <f>SUM(C127:K127)</f>
        <v>45.089999999999996</v>
      </c>
    </row>
    <row r="128" spans="1:22" ht="15.75">
      <c r="A128" s="28" t="s">
        <v>254</v>
      </c>
      <c r="B128" s="28" t="s">
        <v>255</v>
      </c>
      <c r="C128" s="23">
        <v>38.299999999999997</v>
      </c>
      <c r="D128" s="23">
        <v>9.51</v>
      </c>
      <c r="E128" s="23" t="s">
        <v>4682</v>
      </c>
      <c r="F128" s="23" t="s">
        <v>4682</v>
      </c>
      <c r="G128" s="23" t="s">
        <v>4682</v>
      </c>
      <c r="H128" s="23">
        <v>0</v>
      </c>
      <c r="I128" s="23" t="s">
        <v>4683</v>
      </c>
      <c r="J128" s="23" t="s">
        <v>4729</v>
      </c>
      <c r="K128" s="23" t="s">
        <v>4735</v>
      </c>
      <c r="L128">
        <v>2004</v>
      </c>
      <c r="M128" s="15" t="s">
        <v>4707</v>
      </c>
      <c r="N128">
        <v>4</v>
      </c>
      <c r="O128">
        <v>0</v>
      </c>
      <c r="P128" s="21">
        <f>DATEVALUE(N128&amp;"-"&amp;M128&amp;"-"&amp;L128)</f>
        <v>38264</v>
      </c>
      <c r="Q128" s="22">
        <v>1629.83</v>
      </c>
      <c r="R128" s="23" t="s">
        <v>4697</v>
      </c>
      <c r="S128" s="23" t="s">
        <v>4697</v>
      </c>
      <c r="T128" s="23" t="s">
        <v>4699</v>
      </c>
      <c r="U128" s="23">
        <f>DATEDIF(P128, DATE(2023, 6, 8), "Y")</f>
        <v>18</v>
      </c>
      <c r="V128">
        <f>SUM(C128:K128)</f>
        <v>47.809999999999995</v>
      </c>
    </row>
    <row r="129" spans="1:22" ht="15.75">
      <c r="A129" s="28" t="s">
        <v>256</v>
      </c>
      <c r="B129" s="28" t="s">
        <v>257</v>
      </c>
      <c r="C129" s="23">
        <v>32.774999999999999</v>
      </c>
      <c r="D129" s="23">
        <v>4.72</v>
      </c>
      <c r="E129" s="23" t="s">
        <v>4682</v>
      </c>
      <c r="F129" s="23" t="s">
        <v>4682</v>
      </c>
      <c r="G129" s="23" t="s">
        <v>4682</v>
      </c>
      <c r="H129" s="23">
        <v>0</v>
      </c>
      <c r="I129" s="23" t="s">
        <v>4683</v>
      </c>
      <c r="J129" s="23" t="s">
        <v>4729</v>
      </c>
      <c r="K129" s="23" t="s">
        <v>4737</v>
      </c>
      <c r="L129">
        <v>2004</v>
      </c>
      <c r="M129" s="15" t="s">
        <v>4705</v>
      </c>
      <c r="N129">
        <v>5</v>
      </c>
      <c r="O129">
        <v>0</v>
      </c>
      <c r="P129" s="21">
        <f>DATEVALUE(N129&amp;"-"&amp;M129&amp;"-"&amp;L129)</f>
        <v>38326</v>
      </c>
      <c r="Q129" s="22">
        <v>1631.67</v>
      </c>
      <c r="R129" s="23" t="s">
        <v>4697</v>
      </c>
      <c r="S129" s="23" t="s">
        <v>4698</v>
      </c>
      <c r="T129" s="23" t="s">
        <v>4699</v>
      </c>
      <c r="U129" s="23">
        <f>DATEDIF(P129, DATE(2023, 6, 8), "Y")</f>
        <v>18</v>
      </c>
      <c r="V129">
        <f>SUM(C129:K129)</f>
        <v>37.494999999999997</v>
      </c>
    </row>
    <row r="130" spans="1:22" ht="15.75">
      <c r="A130" s="28" t="s">
        <v>258</v>
      </c>
      <c r="B130" s="28" t="s">
        <v>259</v>
      </c>
      <c r="C130" s="23">
        <v>34.200000000000003</v>
      </c>
      <c r="D130" s="23">
        <v>5.91</v>
      </c>
      <c r="E130" s="23" t="s">
        <v>4683</v>
      </c>
      <c r="F130" s="23" t="s">
        <v>4682</v>
      </c>
      <c r="G130" s="23" t="s">
        <v>4682</v>
      </c>
      <c r="H130" s="23">
        <v>0</v>
      </c>
      <c r="I130" s="23" t="s">
        <v>4683</v>
      </c>
      <c r="J130" s="23" t="s">
        <v>4729</v>
      </c>
      <c r="K130" s="23" t="s">
        <v>4736</v>
      </c>
      <c r="L130">
        <v>2004</v>
      </c>
      <c r="M130" s="15" t="s">
        <v>4696</v>
      </c>
      <c r="N130">
        <v>9</v>
      </c>
      <c r="O130">
        <v>0</v>
      </c>
      <c r="P130" s="21">
        <f>DATEVALUE(N130&amp;"-"&amp;M130&amp;"-"&amp;L130)</f>
        <v>38177</v>
      </c>
      <c r="Q130" s="22">
        <v>1631.82</v>
      </c>
      <c r="R130" s="23" t="s">
        <v>4697</v>
      </c>
      <c r="S130" s="23" t="s">
        <v>4701</v>
      </c>
      <c r="T130" s="23" t="s">
        <v>4699</v>
      </c>
      <c r="U130" s="23">
        <f>DATEDIF(P130, DATE(2023, 6, 8), "Y")</f>
        <v>18</v>
      </c>
      <c r="V130">
        <f>SUM(C130:K130)</f>
        <v>40.11</v>
      </c>
    </row>
    <row r="131" spans="1:22" ht="15.75">
      <c r="A131" s="28" t="s">
        <v>260</v>
      </c>
      <c r="B131" s="28" t="s">
        <v>261</v>
      </c>
      <c r="C131" s="23">
        <v>30.2</v>
      </c>
      <c r="D131" s="23">
        <v>9.58</v>
      </c>
      <c r="E131" s="23" t="s">
        <v>4682</v>
      </c>
      <c r="F131" s="23" t="s">
        <v>4682</v>
      </c>
      <c r="G131" s="23" t="s">
        <v>4682</v>
      </c>
      <c r="H131" s="23">
        <v>0</v>
      </c>
      <c r="I131" s="23" t="s">
        <v>4683</v>
      </c>
      <c r="J131" s="23" t="s">
        <v>4729</v>
      </c>
      <c r="K131" s="23" t="s">
        <v>4735</v>
      </c>
      <c r="L131">
        <v>2003</v>
      </c>
      <c r="M131" s="15" t="s">
        <v>4707</v>
      </c>
      <c r="N131">
        <v>3</v>
      </c>
      <c r="O131">
        <v>0</v>
      </c>
      <c r="P131" s="21">
        <f>DATEVALUE(N131&amp;"-"&amp;M131&amp;"-"&amp;L131)</f>
        <v>37897</v>
      </c>
      <c r="Q131" s="22">
        <v>1632.04</v>
      </c>
      <c r="R131" s="23" t="s">
        <v>4697</v>
      </c>
      <c r="S131" s="23" t="s">
        <v>4697</v>
      </c>
      <c r="T131" s="23" t="s">
        <v>4704</v>
      </c>
      <c r="U131" s="23">
        <f>DATEDIF(P131, DATE(2023, 6, 8), "Y")</f>
        <v>19</v>
      </c>
      <c r="V131">
        <f>SUM(C131:K131)</f>
        <v>39.78</v>
      </c>
    </row>
    <row r="132" spans="1:22" ht="15.75">
      <c r="A132" s="28" t="s">
        <v>262</v>
      </c>
      <c r="B132" s="28" t="s">
        <v>263</v>
      </c>
      <c r="C132" s="23">
        <v>48.32</v>
      </c>
      <c r="D132" s="23">
        <v>5.77</v>
      </c>
      <c r="E132" s="23" t="s">
        <v>4682</v>
      </c>
      <c r="F132" s="23" t="s">
        <v>4682</v>
      </c>
      <c r="G132" s="23" t="s">
        <v>4682</v>
      </c>
      <c r="H132" s="23">
        <v>0</v>
      </c>
      <c r="I132" s="23" t="s">
        <v>4683</v>
      </c>
      <c r="J132" s="23" t="s">
        <v>4729</v>
      </c>
      <c r="K132" s="23" t="s">
        <v>4736</v>
      </c>
      <c r="L132">
        <v>2003</v>
      </c>
      <c r="M132" s="15" t="s">
        <v>4703</v>
      </c>
      <c r="N132">
        <v>16</v>
      </c>
      <c r="O132">
        <v>0</v>
      </c>
      <c r="P132" s="21">
        <f>DATEVALUE(N132&amp;"-"&amp;M132&amp;"-"&amp;L132)</f>
        <v>37880</v>
      </c>
      <c r="Q132" s="22">
        <v>1632.56</v>
      </c>
      <c r="R132" s="23" t="s">
        <v>4697</v>
      </c>
      <c r="S132" s="23" t="s">
        <v>4697</v>
      </c>
      <c r="T132" s="23" t="s">
        <v>4704</v>
      </c>
      <c r="U132" s="23">
        <f>DATEDIF(P132, DATE(2023, 6, 8), "Y")</f>
        <v>19</v>
      </c>
      <c r="V132">
        <f>SUM(C132:K132)</f>
        <v>54.09</v>
      </c>
    </row>
    <row r="133" spans="1:22" ht="15.75">
      <c r="A133" s="28" t="s">
        <v>264</v>
      </c>
      <c r="B133" s="28" t="s">
        <v>265</v>
      </c>
      <c r="C133" s="23">
        <v>44.86</v>
      </c>
      <c r="D133" s="23">
        <v>4.38</v>
      </c>
      <c r="E133" s="23" t="s">
        <v>4683</v>
      </c>
      <c r="F133" s="23" t="s">
        <v>4682</v>
      </c>
      <c r="G133" s="23" t="s">
        <v>4682</v>
      </c>
      <c r="H133" s="23">
        <v>0</v>
      </c>
      <c r="I133" s="23" t="s">
        <v>4683</v>
      </c>
      <c r="J133" s="23" t="s">
        <v>4729</v>
      </c>
      <c r="K133" s="23" t="s">
        <v>4737</v>
      </c>
      <c r="L133">
        <v>2004</v>
      </c>
      <c r="M133" s="15" t="s">
        <v>4705</v>
      </c>
      <c r="N133">
        <v>13</v>
      </c>
      <c r="O133">
        <v>0</v>
      </c>
      <c r="P133" s="21">
        <f>DATEVALUE(N133&amp;"-"&amp;M133&amp;"-"&amp;L133)</f>
        <v>38334</v>
      </c>
      <c r="Q133" s="22">
        <v>1633.04</v>
      </c>
      <c r="R133" s="23" t="s">
        <v>4697</v>
      </c>
      <c r="S133" s="23" t="s">
        <v>4697</v>
      </c>
      <c r="T133" s="23" t="s">
        <v>4699</v>
      </c>
      <c r="U133" s="23">
        <f>DATEDIF(P133, DATE(2023, 6, 8), "Y")</f>
        <v>18</v>
      </c>
      <c r="V133">
        <f>SUM(C133:K133)</f>
        <v>49.24</v>
      </c>
    </row>
    <row r="134" spans="1:22" ht="15.75">
      <c r="A134" s="28" t="s">
        <v>266</v>
      </c>
      <c r="B134" s="28" t="s">
        <v>267</v>
      </c>
      <c r="C134" s="23">
        <v>52.15</v>
      </c>
      <c r="D134" s="23">
        <v>5.65</v>
      </c>
      <c r="E134" s="23" t="s">
        <v>4682</v>
      </c>
      <c r="F134" s="23" t="s">
        <v>4682</v>
      </c>
      <c r="G134" s="23" t="s">
        <v>4682</v>
      </c>
      <c r="H134" s="23">
        <v>1</v>
      </c>
      <c r="I134" s="23" t="s">
        <v>4683</v>
      </c>
      <c r="J134" s="23" t="s">
        <v>4729</v>
      </c>
      <c r="K134" s="23" t="s">
        <v>4737</v>
      </c>
      <c r="L134">
        <v>2004</v>
      </c>
      <c r="M134" s="15" t="s">
        <v>4706</v>
      </c>
      <c r="N134">
        <v>8</v>
      </c>
      <c r="O134">
        <v>0</v>
      </c>
      <c r="P134" s="21">
        <f>DATEVALUE(N134&amp;"-"&amp;M134&amp;"-"&amp;L134)</f>
        <v>38207</v>
      </c>
      <c r="Q134" s="22">
        <v>1633.96</v>
      </c>
      <c r="R134" s="23" t="s">
        <v>4697</v>
      </c>
      <c r="S134" s="23" t="s">
        <v>4701</v>
      </c>
      <c r="T134" s="23" t="s">
        <v>4699</v>
      </c>
      <c r="U134" s="23">
        <f>DATEDIF(P134, DATE(2023, 6, 8), "Y")</f>
        <v>18</v>
      </c>
      <c r="V134">
        <f>SUM(C134:K134)</f>
        <v>58.8</v>
      </c>
    </row>
    <row r="135" spans="1:22" ht="15.75">
      <c r="A135" s="28" t="s">
        <v>268</v>
      </c>
      <c r="B135" s="28" t="s">
        <v>269</v>
      </c>
      <c r="C135" s="23">
        <v>41.12</v>
      </c>
      <c r="D135" s="23">
        <v>7.54</v>
      </c>
      <c r="E135" s="23" t="s">
        <v>4683</v>
      </c>
      <c r="F135" s="23" t="s">
        <v>4682</v>
      </c>
      <c r="G135" s="23" t="s">
        <v>4682</v>
      </c>
      <c r="H135" s="23">
        <v>0</v>
      </c>
      <c r="I135" s="23" t="s">
        <v>4683</v>
      </c>
      <c r="J135" s="23" t="s">
        <v>4729</v>
      </c>
      <c r="K135" s="23" t="s">
        <v>4735</v>
      </c>
      <c r="L135">
        <v>2004</v>
      </c>
      <c r="M135" s="15" t="s">
        <v>4702</v>
      </c>
      <c r="N135">
        <v>13</v>
      </c>
      <c r="O135">
        <v>0</v>
      </c>
      <c r="P135" s="21">
        <f>DATEVALUE(N135&amp;"-"&amp;M135&amp;"-"&amp;L135)</f>
        <v>38151</v>
      </c>
      <c r="Q135" s="22">
        <v>1634.57</v>
      </c>
      <c r="R135" s="23" t="s">
        <v>4697</v>
      </c>
      <c r="S135" s="23" t="s">
        <v>4697</v>
      </c>
      <c r="T135" s="23" t="s">
        <v>4699</v>
      </c>
      <c r="U135" s="23">
        <f>DATEDIF(P135, DATE(2023, 6, 8), "Y")</f>
        <v>18</v>
      </c>
      <c r="V135">
        <f>SUM(C135:K135)</f>
        <v>48.66</v>
      </c>
    </row>
    <row r="136" spans="1:22" ht="15.75">
      <c r="A136" s="28" t="s">
        <v>270</v>
      </c>
      <c r="B136" s="28" t="s">
        <v>271</v>
      </c>
      <c r="C136" s="23">
        <v>38.39</v>
      </c>
      <c r="D136" s="23">
        <v>5.1100000000000003</v>
      </c>
      <c r="E136" s="23" t="s">
        <v>4683</v>
      </c>
      <c r="F136" s="23" t="s">
        <v>4682</v>
      </c>
      <c r="G136" s="23" t="s">
        <v>4682</v>
      </c>
      <c r="H136" s="23">
        <v>1</v>
      </c>
      <c r="I136" s="23" t="s">
        <v>4683</v>
      </c>
      <c r="J136" s="23" t="s">
        <v>4729</v>
      </c>
      <c r="K136" s="23" t="s">
        <v>4737</v>
      </c>
      <c r="L136">
        <v>2003</v>
      </c>
      <c r="M136" s="15" t="s">
        <v>4705</v>
      </c>
      <c r="N136">
        <v>30</v>
      </c>
      <c r="O136">
        <v>0</v>
      </c>
      <c r="P136" s="21">
        <f>DATEVALUE(N136&amp;"-"&amp;M136&amp;"-"&amp;L136)</f>
        <v>37985</v>
      </c>
      <c r="Q136" s="22">
        <v>1635.73</v>
      </c>
      <c r="R136" s="23" t="s">
        <v>4697</v>
      </c>
      <c r="S136" s="23" t="s">
        <v>4698</v>
      </c>
      <c r="T136" s="23" t="s">
        <v>4704</v>
      </c>
      <c r="U136" s="23">
        <f>DATEDIF(P136, DATE(2023, 6, 8), "Y")</f>
        <v>19</v>
      </c>
      <c r="V136">
        <f>SUM(C136:K136)</f>
        <v>44.5</v>
      </c>
    </row>
    <row r="137" spans="1:22" ht="15.75">
      <c r="A137" s="28" t="s">
        <v>272</v>
      </c>
      <c r="B137" s="28" t="s">
        <v>273</v>
      </c>
      <c r="C137" s="23">
        <v>46.85</v>
      </c>
      <c r="D137" s="23">
        <v>4.25</v>
      </c>
      <c r="E137" s="23" t="s">
        <v>4682</v>
      </c>
      <c r="F137" s="23" t="s">
        <v>4682</v>
      </c>
      <c r="G137" s="23" t="s">
        <v>4684</v>
      </c>
      <c r="H137" s="23">
        <v>1</v>
      </c>
      <c r="I137" s="23" t="s">
        <v>4683</v>
      </c>
      <c r="J137" s="23" t="s">
        <v>4729</v>
      </c>
      <c r="K137" s="23" t="s">
        <v>4737</v>
      </c>
      <c r="L137">
        <v>2003</v>
      </c>
      <c r="M137" s="15" t="s">
        <v>4703</v>
      </c>
      <c r="N137">
        <v>16</v>
      </c>
      <c r="O137">
        <v>0</v>
      </c>
      <c r="P137" s="21">
        <f>DATEVALUE(N137&amp;"-"&amp;M137&amp;"-"&amp;L137)</f>
        <v>37880</v>
      </c>
      <c r="Q137" s="22">
        <v>1639.56</v>
      </c>
      <c r="R137" s="23" t="s">
        <v>4697</v>
      </c>
      <c r="S137" s="23" t="s">
        <v>4697</v>
      </c>
      <c r="T137" s="23" t="s">
        <v>4704</v>
      </c>
      <c r="U137" s="23">
        <f>DATEDIF(P137, DATE(2023, 6, 8), "Y")</f>
        <v>19</v>
      </c>
      <c r="V137">
        <f>SUM(C137:K137)</f>
        <v>52.1</v>
      </c>
    </row>
    <row r="138" spans="1:22" ht="15.75">
      <c r="A138" s="28" t="s">
        <v>274</v>
      </c>
      <c r="B138" s="28" t="s">
        <v>275</v>
      </c>
      <c r="C138" s="23">
        <v>42.24</v>
      </c>
      <c r="D138" s="23">
        <v>5.55</v>
      </c>
      <c r="E138" s="23" t="s">
        <v>4682</v>
      </c>
      <c r="F138" s="23" t="s">
        <v>4683</v>
      </c>
      <c r="G138" s="23" t="s">
        <v>4682</v>
      </c>
      <c r="H138" s="23">
        <v>1</v>
      </c>
      <c r="I138" s="23" t="s">
        <v>4683</v>
      </c>
      <c r="J138" s="23" t="s">
        <v>4729</v>
      </c>
      <c r="K138" s="23" t="s">
        <v>4737</v>
      </c>
      <c r="L138">
        <v>2003</v>
      </c>
      <c r="M138" s="15" t="s">
        <v>4706</v>
      </c>
      <c r="N138">
        <v>21</v>
      </c>
      <c r="O138">
        <v>0</v>
      </c>
      <c r="P138" s="21">
        <f>DATEVALUE(N138&amp;"-"&amp;M138&amp;"-"&amp;L138)</f>
        <v>37854</v>
      </c>
      <c r="Q138" s="22">
        <v>1639.56</v>
      </c>
      <c r="R138" s="23" t="s">
        <v>4697</v>
      </c>
      <c r="S138" s="23" t="s">
        <v>4697</v>
      </c>
      <c r="T138" s="23" t="s">
        <v>4704</v>
      </c>
      <c r="U138" s="23">
        <f>DATEDIF(P138, DATE(2023, 6, 8), "Y")</f>
        <v>19</v>
      </c>
      <c r="V138">
        <f>SUM(C138:K138)</f>
        <v>48.79</v>
      </c>
    </row>
    <row r="139" spans="1:22" ht="15.75">
      <c r="A139" s="28" t="s">
        <v>276</v>
      </c>
      <c r="B139" s="28" t="s">
        <v>277</v>
      </c>
      <c r="C139" s="23">
        <v>34.39</v>
      </c>
      <c r="D139" s="23">
        <v>5.78</v>
      </c>
      <c r="E139" s="23" t="s">
        <v>4682</v>
      </c>
      <c r="F139" s="23" t="s">
        <v>4682</v>
      </c>
      <c r="G139" s="23" t="s">
        <v>4682</v>
      </c>
      <c r="H139" s="23">
        <v>0</v>
      </c>
      <c r="I139" s="23" t="s">
        <v>4683</v>
      </c>
      <c r="J139" s="23" t="s">
        <v>4729</v>
      </c>
      <c r="K139" s="23" t="s">
        <v>4736</v>
      </c>
      <c r="L139">
        <v>2003</v>
      </c>
      <c r="M139" s="15" t="s">
        <v>4705</v>
      </c>
      <c r="N139">
        <v>30</v>
      </c>
      <c r="O139">
        <v>0</v>
      </c>
      <c r="P139" s="21">
        <f>DATEVALUE(N139&amp;"-"&amp;M139&amp;"-"&amp;L139)</f>
        <v>37985</v>
      </c>
      <c r="Q139" s="22">
        <v>1646.43</v>
      </c>
      <c r="R139" s="23" t="s">
        <v>4697</v>
      </c>
      <c r="S139" s="23" t="s">
        <v>4701</v>
      </c>
      <c r="T139" s="23" t="s">
        <v>4704</v>
      </c>
      <c r="U139" s="23">
        <f>DATEDIF(P139, DATE(2023, 6, 8), "Y")</f>
        <v>19</v>
      </c>
      <c r="V139">
        <f>SUM(C139:K139)</f>
        <v>40.17</v>
      </c>
    </row>
    <row r="140" spans="1:22" ht="15.75">
      <c r="A140" s="28" t="s">
        <v>278</v>
      </c>
      <c r="B140" s="28" t="s">
        <v>279</v>
      </c>
      <c r="C140" s="23">
        <v>42.89</v>
      </c>
      <c r="D140" s="23">
        <v>5.28</v>
      </c>
      <c r="E140" s="23" t="s">
        <v>4683</v>
      </c>
      <c r="F140" s="23" t="s">
        <v>4682</v>
      </c>
      <c r="G140" s="23" t="s">
        <v>4682</v>
      </c>
      <c r="H140" s="23">
        <v>0</v>
      </c>
      <c r="I140" s="23" t="s">
        <v>4683</v>
      </c>
      <c r="J140" s="23" t="s">
        <v>4729</v>
      </c>
      <c r="K140" s="23" t="s">
        <v>4737</v>
      </c>
      <c r="L140">
        <v>2000</v>
      </c>
      <c r="M140" s="15" t="s">
        <v>4707</v>
      </c>
      <c r="N140">
        <v>23</v>
      </c>
      <c r="O140">
        <v>0</v>
      </c>
      <c r="P140" s="21">
        <f>DATEVALUE(N140&amp;"-"&amp;M140&amp;"-"&amp;L140)</f>
        <v>36822</v>
      </c>
      <c r="Q140" s="22">
        <v>1665</v>
      </c>
      <c r="R140" s="23" t="s">
        <v>4697</v>
      </c>
      <c r="S140" s="23" t="s">
        <v>4697</v>
      </c>
      <c r="T140" s="23" t="s">
        <v>4699</v>
      </c>
      <c r="U140" s="23">
        <f>DATEDIF(P140, DATE(2023, 6, 8), "Y")</f>
        <v>22</v>
      </c>
      <c r="V140">
        <f>SUM(C140:K140)</f>
        <v>48.17</v>
      </c>
    </row>
    <row r="141" spans="1:22" ht="15.75">
      <c r="A141" s="28" t="s">
        <v>280</v>
      </c>
      <c r="B141" s="28" t="s">
        <v>281</v>
      </c>
      <c r="C141" s="23">
        <v>36.299999999999997</v>
      </c>
      <c r="D141" s="23">
        <v>5.39</v>
      </c>
      <c r="E141" s="23" t="s">
        <v>4682</v>
      </c>
      <c r="F141" s="23" t="s">
        <v>4682</v>
      </c>
      <c r="G141" s="23" t="s">
        <v>4682</v>
      </c>
      <c r="H141" s="23">
        <v>0</v>
      </c>
      <c r="I141" s="23" t="s">
        <v>4683</v>
      </c>
      <c r="J141" s="23" t="s">
        <v>4729</v>
      </c>
      <c r="K141" s="23" t="s">
        <v>4737</v>
      </c>
      <c r="L141">
        <v>2000</v>
      </c>
      <c r="M141" s="15" t="s">
        <v>4702</v>
      </c>
      <c r="N141">
        <v>10</v>
      </c>
      <c r="O141">
        <v>0</v>
      </c>
      <c r="P141" s="21">
        <f>DATEVALUE(N141&amp;"-"&amp;M141&amp;"-"&amp;L141)</f>
        <v>36687</v>
      </c>
      <c r="Q141" s="22">
        <v>1674.63</v>
      </c>
      <c r="R141" s="23" t="s">
        <v>4697</v>
      </c>
      <c r="S141" s="23" t="s">
        <v>4697</v>
      </c>
      <c r="T141" s="23" t="s">
        <v>4699</v>
      </c>
      <c r="U141" s="23">
        <f>DATEDIF(P141, DATE(2023, 6, 8), "Y")</f>
        <v>22</v>
      </c>
      <c r="V141">
        <f>SUM(C141:K141)</f>
        <v>41.69</v>
      </c>
    </row>
    <row r="142" spans="1:22" ht="15.75">
      <c r="A142" s="28" t="s">
        <v>282</v>
      </c>
      <c r="B142" s="28" t="s">
        <v>283</v>
      </c>
      <c r="C142" s="23">
        <v>35.200000000000003</v>
      </c>
      <c r="D142" s="23">
        <v>8.01</v>
      </c>
      <c r="E142" s="23" t="s">
        <v>4683</v>
      </c>
      <c r="F142" s="23" t="s">
        <v>4682</v>
      </c>
      <c r="G142" s="23" t="s">
        <v>4682</v>
      </c>
      <c r="H142" s="23">
        <v>1</v>
      </c>
      <c r="I142" s="23" t="s">
        <v>4683</v>
      </c>
      <c r="J142" s="23" t="s">
        <v>4729</v>
      </c>
      <c r="K142" s="23" t="s">
        <v>4735</v>
      </c>
      <c r="L142">
        <v>2000</v>
      </c>
      <c r="M142" s="15" t="s">
        <v>4707</v>
      </c>
      <c r="N142">
        <v>21</v>
      </c>
      <c r="O142">
        <v>0</v>
      </c>
      <c r="P142" s="21">
        <f>DATEVALUE(N142&amp;"-"&amp;M142&amp;"-"&amp;L142)</f>
        <v>36820</v>
      </c>
      <c r="Q142" s="22">
        <v>1682.6</v>
      </c>
      <c r="R142" s="23" t="s">
        <v>4697</v>
      </c>
      <c r="S142" s="23" t="s">
        <v>4697</v>
      </c>
      <c r="T142" s="23" t="s">
        <v>4708</v>
      </c>
      <c r="U142" s="23">
        <f>DATEDIF(P142, DATE(2023, 6, 8), "Y")</f>
        <v>22</v>
      </c>
      <c r="V142">
        <f>SUM(C142:K142)</f>
        <v>44.21</v>
      </c>
    </row>
    <row r="143" spans="1:22" ht="15.75">
      <c r="A143" s="28" t="s">
        <v>284</v>
      </c>
      <c r="B143" s="28" t="s">
        <v>285</v>
      </c>
      <c r="C143" s="23">
        <v>53.62</v>
      </c>
      <c r="D143" s="23">
        <v>5.21</v>
      </c>
      <c r="E143" s="23" t="s">
        <v>4682</v>
      </c>
      <c r="F143" s="23" t="s">
        <v>4682</v>
      </c>
      <c r="G143" s="23" t="s">
        <v>4682</v>
      </c>
      <c r="H143" s="23">
        <v>0</v>
      </c>
      <c r="I143" s="23" t="s">
        <v>4683</v>
      </c>
      <c r="J143" s="23" t="s">
        <v>4729</v>
      </c>
      <c r="K143" s="23" t="s">
        <v>4737</v>
      </c>
      <c r="L143">
        <v>2004</v>
      </c>
      <c r="M143" s="15" t="s">
        <v>4700</v>
      </c>
      <c r="N143">
        <v>17</v>
      </c>
      <c r="O143">
        <v>0</v>
      </c>
      <c r="P143" s="21">
        <f>DATEVALUE(N143&amp;"-"&amp;M143&amp;"-"&amp;L143)</f>
        <v>38308</v>
      </c>
      <c r="Q143" s="22">
        <v>1694.8</v>
      </c>
      <c r="R143" s="23" t="s">
        <v>4697</v>
      </c>
      <c r="S143" s="23" t="s">
        <v>4697</v>
      </c>
      <c r="T143" s="23" t="s">
        <v>4709</v>
      </c>
      <c r="U143" s="23">
        <f>DATEDIF(P143, DATE(2023, 6, 8), "Y")</f>
        <v>18</v>
      </c>
      <c r="V143">
        <f>SUM(C143:K143)</f>
        <v>58.83</v>
      </c>
    </row>
    <row r="144" spans="1:22" ht="15.75">
      <c r="A144" s="28" t="s">
        <v>286</v>
      </c>
      <c r="B144" s="28" t="s">
        <v>287</v>
      </c>
      <c r="C144" s="23">
        <v>36.67</v>
      </c>
      <c r="D144" s="23">
        <v>6.27</v>
      </c>
      <c r="E144" s="23" t="s">
        <v>4682</v>
      </c>
      <c r="F144" s="23" t="s">
        <v>4682</v>
      </c>
      <c r="G144" s="23" t="s">
        <v>4682</v>
      </c>
      <c r="H144" s="23">
        <v>0</v>
      </c>
      <c r="I144" s="23" t="s">
        <v>4683</v>
      </c>
      <c r="J144" s="23" t="s">
        <v>4729</v>
      </c>
      <c r="K144" s="23" t="s">
        <v>4736</v>
      </c>
      <c r="L144">
        <v>2004</v>
      </c>
      <c r="M144" s="15" t="s">
        <v>4705</v>
      </c>
      <c r="N144">
        <v>10</v>
      </c>
      <c r="O144">
        <v>0</v>
      </c>
      <c r="P144" s="21">
        <f>DATEVALUE(N144&amp;"-"&amp;M144&amp;"-"&amp;L144)</f>
        <v>38331</v>
      </c>
      <c r="Q144" s="22">
        <v>1702.46</v>
      </c>
      <c r="R144" s="23" t="s">
        <v>4697</v>
      </c>
      <c r="S144" s="23" t="s">
        <v>4698</v>
      </c>
      <c r="T144" s="23" t="s">
        <v>4710</v>
      </c>
      <c r="U144" s="23">
        <f>DATEDIF(P144, DATE(2023, 6, 8), "Y")</f>
        <v>18</v>
      </c>
      <c r="V144">
        <f>SUM(C144:K144)</f>
        <v>42.94</v>
      </c>
    </row>
    <row r="145" spans="1:22" ht="15.75">
      <c r="A145" s="28" t="s">
        <v>288</v>
      </c>
      <c r="B145" s="28" t="s">
        <v>289</v>
      </c>
      <c r="C145" s="23">
        <v>33.4</v>
      </c>
      <c r="D145" s="23">
        <v>10.73</v>
      </c>
      <c r="E145" s="23" t="s">
        <v>4683</v>
      </c>
      <c r="F145" s="23" t="s">
        <v>4682</v>
      </c>
      <c r="G145" s="23" t="s">
        <v>4682</v>
      </c>
      <c r="H145" s="23">
        <v>1</v>
      </c>
      <c r="I145" s="23" t="s">
        <v>4683</v>
      </c>
      <c r="J145" s="23" t="s">
        <v>4729</v>
      </c>
      <c r="K145" s="23" t="s">
        <v>4735</v>
      </c>
      <c r="L145">
        <v>2004</v>
      </c>
      <c r="M145" s="15" t="s">
        <v>4700</v>
      </c>
      <c r="N145">
        <v>7</v>
      </c>
      <c r="O145">
        <v>0</v>
      </c>
      <c r="P145" s="21">
        <f>DATEVALUE(N145&amp;"-"&amp;M145&amp;"-"&amp;L145)</f>
        <v>38298</v>
      </c>
      <c r="Q145" s="22">
        <v>1704.57</v>
      </c>
      <c r="R145" s="23" t="s">
        <v>4697</v>
      </c>
      <c r="S145" s="23" t="s">
        <v>4701</v>
      </c>
      <c r="T145" s="23" t="s">
        <v>4711</v>
      </c>
      <c r="U145" s="23">
        <f>DATEDIF(P145, DATE(2023, 6, 8), "Y")</f>
        <v>18</v>
      </c>
      <c r="V145">
        <f>SUM(C145:K145)</f>
        <v>45.129999999999995</v>
      </c>
    </row>
    <row r="146" spans="1:22" ht="15.75">
      <c r="A146" s="28" t="s">
        <v>290</v>
      </c>
      <c r="B146" s="28" t="s">
        <v>291</v>
      </c>
      <c r="C146" s="23">
        <v>42.71</v>
      </c>
      <c r="D146" s="23">
        <v>10.52</v>
      </c>
      <c r="E146" s="23" t="s">
        <v>4682</v>
      </c>
      <c r="F146" s="23" t="s">
        <v>4682</v>
      </c>
      <c r="G146" s="23" t="s">
        <v>4682</v>
      </c>
      <c r="H146" s="23">
        <v>0</v>
      </c>
      <c r="I146" s="23" t="s">
        <v>4683</v>
      </c>
      <c r="J146" s="23" t="s">
        <v>4729</v>
      </c>
      <c r="K146" s="23" t="s">
        <v>4735</v>
      </c>
      <c r="L146">
        <v>2004</v>
      </c>
      <c r="M146" s="15" t="s">
        <v>4705</v>
      </c>
      <c r="N146">
        <v>14</v>
      </c>
      <c r="O146">
        <v>0</v>
      </c>
      <c r="P146" s="21">
        <f>DATEVALUE(N146&amp;"-"&amp;M146&amp;"-"&amp;L146)</f>
        <v>38335</v>
      </c>
      <c r="Q146" s="22">
        <v>1704.7</v>
      </c>
      <c r="R146" s="23" t="s">
        <v>4697</v>
      </c>
      <c r="S146" s="23" t="s">
        <v>4698</v>
      </c>
      <c r="T146" s="23" t="s">
        <v>4712</v>
      </c>
      <c r="U146" s="23">
        <f>DATEDIF(P146, DATE(2023, 6, 8), "Y")</f>
        <v>18</v>
      </c>
      <c r="V146">
        <f>SUM(C146:K146)</f>
        <v>53.230000000000004</v>
      </c>
    </row>
    <row r="147" spans="1:22" ht="15.75">
      <c r="A147" s="28" t="s">
        <v>292</v>
      </c>
      <c r="B147" s="28" t="s">
        <v>293</v>
      </c>
      <c r="C147" s="23">
        <v>41.52</v>
      </c>
      <c r="D147" s="23">
        <v>11.82</v>
      </c>
      <c r="E147" s="23" t="s">
        <v>4683</v>
      </c>
      <c r="F147" s="23" t="s">
        <v>4682</v>
      </c>
      <c r="G147" s="23" t="s">
        <v>4682</v>
      </c>
      <c r="H147" s="23">
        <v>2</v>
      </c>
      <c r="I147" s="23" t="s">
        <v>4683</v>
      </c>
      <c r="J147" s="23" t="s">
        <v>4729</v>
      </c>
      <c r="K147" s="23" t="s">
        <v>4735</v>
      </c>
      <c r="L147">
        <v>2004</v>
      </c>
      <c r="M147" s="15" t="s">
        <v>4705</v>
      </c>
      <c r="N147">
        <v>6</v>
      </c>
      <c r="O147">
        <v>0</v>
      </c>
      <c r="P147" s="21">
        <f>DATEVALUE(N147&amp;"-"&amp;M147&amp;"-"&amp;L147)</f>
        <v>38327</v>
      </c>
      <c r="Q147" s="22">
        <v>1705.62</v>
      </c>
      <c r="R147" s="23" t="s">
        <v>4697</v>
      </c>
      <c r="S147" s="23" t="s">
        <v>4697</v>
      </c>
      <c r="T147" s="23" t="s">
        <v>4709</v>
      </c>
      <c r="U147" s="23">
        <f>DATEDIF(P147, DATE(2023, 6, 8), "Y")</f>
        <v>18</v>
      </c>
      <c r="V147">
        <f>SUM(C147:K147)</f>
        <v>55.34</v>
      </c>
    </row>
    <row r="148" spans="1:22" ht="15.75">
      <c r="A148" s="28" t="s">
        <v>294</v>
      </c>
      <c r="B148" s="28" t="s">
        <v>295</v>
      </c>
      <c r="C148" s="23">
        <v>39.4</v>
      </c>
      <c r="D148" s="23">
        <v>6.76</v>
      </c>
      <c r="E148" s="23" t="s">
        <v>4682</v>
      </c>
      <c r="F148" s="23" t="s">
        <v>4682</v>
      </c>
      <c r="G148" s="23" t="s">
        <v>4682</v>
      </c>
      <c r="H148" s="23">
        <v>0</v>
      </c>
      <c r="I148" s="23" t="s">
        <v>4683</v>
      </c>
      <c r="J148" s="23" t="s">
        <v>4729</v>
      </c>
      <c r="K148" s="23" t="s">
        <v>4735</v>
      </c>
      <c r="L148">
        <v>2004</v>
      </c>
      <c r="M148" s="15" t="s">
        <v>4707</v>
      </c>
      <c r="N148">
        <v>17</v>
      </c>
      <c r="O148">
        <v>0</v>
      </c>
      <c r="P148" s="21">
        <f>DATEVALUE(N148&amp;"-"&amp;M148&amp;"-"&amp;L148)</f>
        <v>38277</v>
      </c>
      <c r="Q148" s="22">
        <v>1708</v>
      </c>
      <c r="R148" s="23" t="s">
        <v>4698</v>
      </c>
      <c r="S148" s="23" t="s">
        <v>4697</v>
      </c>
      <c r="T148" s="23" t="s">
        <v>4711</v>
      </c>
      <c r="U148" s="23">
        <f>DATEDIF(P148, DATE(2023, 6, 8), "Y")</f>
        <v>18</v>
      </c>
      <c r="V148">
        <f>SUM(C148:K148)</f>
        <v>46.16</v>
      </c>
    </row>
    <row r="149" spans="1:22" ht="15.75">
      <c r="A149" s="28" t="s">
        <v>296</v>
      </c>
      <c r="B149" s="28" t="s">
        <v>297</v>
      </c>
      <c r="C149" s="23">
        <v>46.45</v>
      </c>
      <c r="D149" s="23">
        <v>5.62</v>
      </c>
      <c r="E149" s="23" t="s">
        <v>4682</v>
      </c>
      <c r="F149" s="23" t="s">
        <v>4682</v>
      </c>
      <c r="G149" s="23" t="s">
        <v>4682</v>
      </c>
      <c r="H149" s="23">
        <v>0</v>
      </c>
      <c r="I149" s="23" t="s">
        <v>4683</v>
      </c>
      <c r="J149" s="23" t="s">
        <v>4729</v>
      </c>
      <c r="K149" s="23" t="s">
        <v>4737</v>
      </c>
      <c r="L149">
        <v>2004</v>
      </c>
      <c r="M149" s="15" t="s">
        <v>4705</v>
      </c>
      <c r="N149">
        <v>12</v>
      </c>
      <c r="O149">
        <v>0</v>
      </c>
      <c r="P149" s="21">
        <f>DATEVALUE(N149&amp;"-"&amp;M149&amp;"-"&amp;L149)</f>
        <v>38333</v>
      </c>
      <c r="Q149" s="22">
        <v>1708.93</v>
      </c>
      <c r="R149" s="23" t="s">
        <v>4698</v>
      </c>
      <c r="S149" s="23" t="s">
        <v>4701</v>
      </c>
      <c r="T149" s="23" t="s">
        <v>4710</v>
      </c>
      <c r="U149" s="23">
        <f>DATEDIF(P149, DATE(2023, 6, 8), "Y")</f>
        <v>18</v>
      </c>
      <c r="V149">
        <f>SUM(C149:K149)</f>
        <v>52.07</v>
      </c>
    </row>
    <row r="150" spans="1:22" ht="15.75">
      <c r="A150" s="28" t="s">
        <v>298</v>
      </c>
      <c r="B150" s="28" t="s">
        <v>299</v>
      </c>
      <c r="C150" s="23">
        <v>35.75</v>
      </c>
      <c r="D150" s="23">
        <v>4.1900000000000004</v>
      </c>
      <c r="E150" s="23" t="s">
        <v>4682</v>
      </c>
      <c r="F150" s="23" t="s">
        <v>4682</v>
      </c>
      <c r="G150" s="23" t="s">
        <v>4682</v>
      </c>
      <c r="H150" s="23">
        <v>0</v>
      </c>
      <c r="I150" s="23" t="s">
        <v>4683</v>
      </c>
      <c r="J150" s="23" t="s">
        <v>4729</v>
      </c>
      <c r="K150" s="23" t="s">
        <v>4737</v>
      </c>
      <c r="L150">
        <v>2004</v>
      </c>
      <c r="M150" s="15" t="s">
        <v>4703</v>
      </c>
      <c r="N150">
        <v>19</v>
      </c>
      <c r="O150">
        <v>1</v>
      </c>
      <c r="P150" s="21">
        <f>DATEVALUE(N150&amp;"-"&amp;M150&amp;"-"&amp;L150)</f>
        <v>38249</v>
      </c>
      <c r="Q150" s="22">
        <v>1711.03</v>
      </c>
      <c r="R150" s="23" t="s">
        <v>4698</v>
      </c>
      <c r="S150" s="23" t="s">
        <v>4698</v>
      </c>
      <c r="T150" s="23" t="s">
        <v>4699</v>
      </c>
      <c r="U150" s="23">
        <f>DATEDIF(P150, DATE(2023, 6, 8), "Y")</f>
        <v>18</v>
      </c>
      <c r="V150">
        <f>SUM(C150:K150)</f>
        <v>39.94</v>
      </c>
    </row>
    <row r="151" spans="1:22" ht="15.75">
      <c r="A151" s="28" t="s">
        <v>300</v>
      </c>
      <c r="B151" s="28" t="s">
        <v>301</v>
      </c>
      <c r="C151" s="23">
        <v>26.07</v>
      </c>
      <c r="D151" s="23">
        <v>5.32</v>
      </c>
      <c r="E151" s="23" t="s">
        <v>4682</v>
      </c>
      <c r="F151" s="23" t="s">
        <v>4682</v>
      </c>
      <c r="G151" s="23" t="s">
        <v>4682</v>
      </c>
      <c r="H151" s="23">
        <v>0</v>
      </c>
      <c r="I151" s="23" t="s">
        <v>4683</v>
      </c>
      <c r="J151" s="23" t="s">
        <v>4730</v>
      </c>
      <c r="K151" s="23" t="s">
        <v>4737</v>
      </c>
      <c r="L151">
        <v>2004</v>
      </c>
      <c r="M151" s="15" t="s">
        <v>4703</v>
      </c>
      <c r="N151">
        <v>21</v>
      </c>
      <c r="O151">
        <v>0</v>
      </c>
      <c r="P151" s="21">
        <f>DATEVALUE(N151&amp;"-"&amp;M151&amp;"-"&amp;L151)</f>
        <v>38251</v>
      </c>
      <c r="Q151" s="22">
        <v>1712.23</v>
      </c>
      <c r="R151" s="23" t="s">
        <v>4698</v>
      </c>
      <c r="S151" s="23" t="s">
        <v>4701</v>
      </c>
      <c r="T151" s="23" t="s">
        <v>4711</v>
      </c>
      <c r="U151" s="23">
        <f>DATEDIF(P151, DATE(2023, 6, 8), "Y")</f>
        <v>18</v>
      </c>
      <c r="V151">
        <f>SUM(C151:K151)</f>
        <v>31.39</v>
      </c>
    </row>
    <row r="152" spans="1:22" ht="15.75">
      <c r="A152" s="28" t="s">
        <v>302</v>
      </c>
      <c r="B152" s="28" t="s">
        <v>303</v>
      </c>
      <c r="C152" s="23">
        <v>36.54</v>
      </c>
      <c r="D152" s="23">
        <v>4.46</v>
      </c>
      <c r="E152" s="23" t="s">
        <v>4683</v>
      </c>
      <c r="F152" s="23" t="s">
        <v>4682</v>
      </c>
      <c r="G152" s="23" t="s">
        <v>4682</v>
      </c>
      <c r="H152" s="23">
        <v>1</v>
      </c>
      <c r="I152" s="23" t="s">
        <v>4683</v>
      </c>
      <c r="J152" s="23" t="s">
        <v>4729</v>
      </c>
      <c r="K152" s="23" t="s">
        <v>4737</v>
      </c>
      <c r="L152">
        <v>2004</v>
      </c>
      <c r="M152" s="15" t="s">
        <v>4702</v>
      </c>
      <c r="N152">
        <v>10</v>
      </c>
      <c r="O152">
        <v>1</v>
      </c>
      <c r="P152" s="21">
        <f>DATEVALUE(N152&amp;"-"&amp;M152&amp;"-"&amp;L152)</f>
        <v>38148</v>
      </c>
      <c r="Q152" s="22">
        <v>1719.44</v>
      </c>
      <c r="R152" s="23" t="s">
        <v>4698</v>
      </c>
      <c r="S152" s="23" t="s">
        <v>4698</v>
      </c>
      <c r="T152" s="23" t="s">
        <v>4699</v>
      </c>
      <c r="U152" s="23">
        <f>DATEDIF(P152, DATE(2023, 6, 8), "Y")</f>
        <v>18</v>
      </c>
      <c r="V152">
        <f>SUM(C152:K152)</f>
        <v>42</v>
      </c>
    </row>
    <row r="153" spans="1:22" ht="15.75">
      <c r="A153" s="28" t="s">
        <v>304</v>
      </c>
      <c r="B153" s="28" t="s">
        <v>305</v>
      </c>
      <c r="C153" s="23">
        <v>51.64</v>
      </c>
      <c r="D153" s="23">
        <v>5.65</v>
      </c>
      <c r="E153" s="23" t="s">
        <v>4682</v>
      </c>
      <c r="F153" s="23" t="s">
        <v>4682</v>
      </c>
      <c r="G153" s="23" t="s">
        <v>4682</v>
      </c>
      <c r="H153" s="23">
        <v>0</v>
      </c>
      <c r="I153" s="23" t="s">
        <v>4683</v>
      </c>
      <c r="J153" s="23" t="s">
        <v>4729</v>
      </c>
      <c r="K153" s="23" t="s">
        <v>4737</v>
      </c>
      <c r="L153">
        <v>2004</v>
      </c>
      <c r="M153" s="15" t="s">
        <v>4703</v>
      </c>
      <c r="N153">
        <v>11</v>
      </c>
      <c r="O153">
        <v>1</v>
      </c>
      <c r="P153" s="21">
        <f>DATEVALUE(N153&amp;"-"&amp;M153&amp;"-"&amp;L153)</f>
        <v>38241</v>
      </c>
      <c r="Q153" s="22">
        <v>1720.35</v>
      </c>
      <c r="R153" s="23" t="s">
        <v>4698</v>
      </c>
      <c r="S153" s="23" t="s">
        <v>4698</v>
      </c>
      <c r="T153" s="23" t="s">
        <v>4699</v>
      </c>
      <c r="U153" s="23">
        <f>DATEDIF(P153, DATE(2023, 6, 8), "Y")</f>
        <v>18</v>
      </c>
      <c r="V153">
        <f>SUM(C153:K153)</f>
        <v>57.29</v>
      </c>
    </row>
    <row r="154" spans="1:22" ht="15.75">
      <c r="A154" s="28" t="s">
        <v>306</v>
      </c>
      <c r="B154" s="28" t="s">
        <v>307</v>
      </c>
      <c r="C154" s="23">
        <v>42.83</v>
      </c>
      <c r="D154" s="23">
        <v>6.04</v>
      </c>
      <c r="E154" s="23" t="s">
        <v>4682</v>
      </c>
      <c r="F154" s="23" t="s">
        <v>4682</v>
      </c>
      <c r="G154" s="23" t="s">
        <v>4682</v>
      </c>
      <c r="H154" s="23">
        <v>2</v>
      </c>
      <c r="I154" s="23" t="s">
        <v>4683</v>
      </c>
      <c r="J154" s="23" t="s">
        <v>4729</v>
      </c>
      <c r="K154" s="23" t="s">
        <v>4736</v>
      </c>
      <c r="L154">
        <v>2004</v>
      </c>
      <c r="M154" s="15" t="s">
        <v>4707</v>
      </c>
      <c r="N154">
        <v>21</v>
      </c>
      <c r="O154">
        <v>1</v>
      </c>
      <c r="P154" s="21">
        <f>DATEVALUE(N154&amp;"-"&amp;M154&amp;"-"&amp;L154)</f>
        <v>38281</v>
      </c>
      <c r="Q154" s="22">
        <v>1725.55</v>
      </c>
      <c r="R154" s="23" t="s">
        <v>4698</v>
      </c>
      <c r="S154" s="23" t="s">
        <v>4697</v>
      </c>
      <c r="T154" s="23" t="s">
        <v>4699</v>
      </c>
      <c r="U154" s="23">
        <f>DATEDIF(P154, DATE(2023, 6, 8), "Y")</f>
        <v>18</v>
      </c>
      <c r="V154">
        <f>SUM(C154:K154)</f>
        <v>50.87</v>
      </c>
    </row>
    <row r="155" spans="1:22" ht="15.75">
      <c r="A155" s="28" t="s">
        <v>308</v>
      </c>
      <c r="B155" s="28" t="s">
        <v>309</v>
      </c>
      <c r="C155" s="23">
        <v>40.15</v>
      </c>
      <c r="D155" s="23">
        <v>5.76</v>
      </c>
      <c r="E155" s="23" t="s">
        <v>4682</v>
      </c>
      <c r="F155" s="23" t="s">
        <v>4682</v>
      </c>
      <c r="G155" s="23" t="s">
        <v>4682</v>
      </c>
      <c r="H155" s="23">
        <v>1</v>
      </c>
      <c r="I155" s="23" t="s">
        <v>4683</v>
      </c>
      <c r="J155" s="23" t="s">
        <v>4729</v>
      </c>
      <c r="K155" s="23" t="s">
        <v>4736</v>
      </c>
      <c r="L155">
        <v>2004</v>
      </c>
      <c r="M155" s="15" t="s">
        <v>4703</v>
      </c>
      <c r="N155">
        <v>9</v>
      </c>
      <c r="O155">
        <v>1</v>
      </c>
      <c r="P155" s="21">
        <f>DATEVALUE(N155&amp;"-"&amp;M155&amp;"-"&amp;L155)</f>
        <v>38239</v>
      </c>
      <c r="Q155" s="22">
        <v>1727.54</v>
      </c>
      <c r="R155" s="23" t="s">
        <v>4698</v>
      </c>
      <c r="S155" s="23" t="s">
        <v>4701</v>
      </c>
      <c r="T155" s="23" t="s">
        <v>4699</v>
      </c>
      <c r="U155" s="23">
        <f>DATEDIF(P155, DATE(2023, 6, 8), "Y")</f>
        <v>18</v>
      </c>
      <c r="V155">
        <f>SUM(C155:K155)</f>
        <v>46.91</v>
      </c>
    </row>
    <row r="156" spans="1:22" ht="15.75">
      <c r="A156" s="28" t="s">
        <v>310</v>
      </c>
      <c r="B156" s="28" t="s">
        <v>311</v>
      </c>
      <c r="C156" s="23">
        <v>27.8</v>
      </c>
      <c r="D156" s="23">
        <v>4.3600000000000003</v>
      </c>
      <c r="E156" s="23" t="s">
        <v>4682</v>
      </c>
      <c r="F156" s="23" t="s">
        <v>4682</v>
      </c>
      <c r="G156" s="23" t="s">
        <v>4684</v>
      </c>
      <c r="H156" s="23">
        <v>1</v>
      </c>
      <c r="I156" s="23" t="s">
        <v>4683</v>
      </c>
      <c r="J156" s="23" t="s">
        <v>4730</v>
      </c>
      <c r="K156" s="23" t="s">
        <v>4737</v>
      </c>
      <c r="L156">
        <v>2003</v>
      </c>
      <c r="M156" s="15" t="s">
        <v>4700</v>
      </c>
      <c r="N156">
        <v>21</v>
      </c>
      <c r="O156">
        <v>0</v>
      </c>
      <c r="P156" s="21">
        <f>DATEVALUE(N156&amp;"-"&amp;M156&amp;"-"&amp;L156)</f>
        <v>37946</v>
      </c>
      <c r="Q156" s="22">
        <v>1727.79</v>
      </c>
      <c r="R156" s="23" t="s">
        <v>4698</v>
      </c>
      <c r="S156" s="23" t="s">
        <v>4698</v>
      </c>
      <c r="T156" s="23" t="s">
        <v>4708</v>
      </c>
      <c r="U156" s="23">
        <f>DATEDIF(P156, DATE(2023, 6, 8), "Y")</f>
        <v>19</v>
      </c>
      <c r="V156">
        <f>SUM(C156:K156)</f>
        <v>33.160000000000004</v>
      </c>
    </row>
    <row r="157" spans="1:22" ht="15.75">
      <c r="A157" s="28" t="s">
        <v>312</v>
      </c>
      <c r="B157" s="28" t="s">
        <v>313</v>
      </c>
      <c r="C157" s="23">
        <v>45.81</v>
      </c>
      <c r="D157" s="23">
        <v>4.76</v>
      </c>
      <c r="E157" s="23" t="s">
        <v>4683</v>
      </c>
      <c r="F157" s="23" t="s">
        <v>4682</v>
      </c>
      <c r="G157" s="23" t="s">
        <v>4684</v>
      </c>
      <c r="H157" s="23">
        <v>1</v>
      </c>
      <c r="I157" s="23" t="s">
        <v>4683</v>
      </c>
      <c r="J157" s="23" t="s">
        <v>4729</v>
      </c>
      <c r="K157" s="23" t="s">
        <v>4737</v>
      </c>
      <c r="L157">
        <v>2003</v>
      </c>
      <c r="M157" s="15" t="s">
        <v>4703</v>
      </c>
      <c r="N157">
        <v>1</v>
      </c>
      <c r="O157">
        <v>0</v>
      </c>
      <c r="P157" s="21">
        <f>DATEVALUE(N157&amp;"-"&amp;M157&amp;"-"&amp;L157)</f>
        <v>37865</v>
      </c>
      <c r="Q157" s="22">
        <v>1728.9</v>
      </c>
      <c r="R157" s="23" t="s">
        <v>4698</v>
      </c>
      <c r="S157" s="23" t="s">
        <v>4697</v>
      </c>
      <c r="T157" s="23" t="s">
        <v>4708</v>
      </c>
      <c r="U157" s="23">
        <f>DATEDIF(P157, DATE(2023, 6, 8), "Y")</f>
        <v>19</v>
      </c>
      <c r="V157">
        <f>SUM(C157:K157)</f>
        <v>51.57</v>
      </c>
    </row>
    <row r="158" spans="1:22" ht="15.75">
      <c r="A158" s="28" t="s">
        <v>314</v>
      </c>
      <c r="B158" s="28" t="s">
        <v>315</v>
      </c>
      <c r="C158" s="23">
        <v>34.43</v>
      </c>
      <c r="D158" s="23">
        <v>10.82</v>
      </c>
      <c r="E158" s="23" t="s">
        <v>4683</v>
      </c>
      <c r="F158" s="23" t="s">
        <v>4682</v>
      </c>
      <c r="G158" s="23" t="s">
        <v>4682</v>
      </c>
      <c r="H158" s="23">
        <v>1</v>
      </c>
      <c r="I158" s="23" t="s">
        <v>4683</v>
      </c>
      <c r="J158" s="23" t="s">
        <v>4729</v>
      </c>
      <c r="K158" s="23" t="s">
        <v>4735</v>
      </c>
      <c r="L158">
        <v>2003</v>
      </c>
      <c r="M158" s="15" t="s">
        <v>4700</v>
      </c>
      <c r="N158">
        <v>9</v>
      </c>
      <c r="O158">
        <v>0</v>
      </c>
      <c r="P158" s="21">
        <f>DATEVALUE(N158&amp;"-"&amp;M158&amp;"-"&amp;L158)</f>
        <v>37934</v>
      </c>
      <c r="Q158" s="22">
        <v>1731.68</v>
      </c>
      <c r="R158" s="23" t="s">
        <v>4698</v>
      </c>
      <c r="S158" s="23" t="s">
        <v>4697</v>
      </c>
      <c r="T158" s="23" t="s">
        <v>4708</v>
      </c>
      <c r="U158" s="23">
        <f>DATEDIF(P158, DATE(2023, 6, 8), "Y")</f>
        <v>19</v>
      </c>
      <c r="V158">
        <f>SUM(C158:K158)</f>
        <v>46.25</v>
      </c>
    </row>
    <row r="159" spans="1:22" ht="15.75">
      <c r="A159" s="28" t="s">
        <v>316</v>
      </c>
      <c r="B159" s="28" t="s">
        <v>317</v>
      </c>
      <c r="C159" s="23">
        <v>41.33</v>
      </c>
      <c r="D159" s="23">
        <v>4.01</v>
      </c>
      <c r="E159" s="23" t="s">
        <v>4683</v>
      </c>
      <c r="F159" s="23" t="s">
        <v>4682</v>
      </c>
      <c r="G159" s="23" t="s">
        <v>4682</v>
      </c>
      <c r="H159" s="23">
        <v>0</v>
      </c>
      <c r="I159" s="23" t="s">
        <v>4683</v>
      </c>
      <c r="J159" s="23" t="s">
        <v>4729</v>
      </c>
      <c r="K159" s="23" t="s">
        <v>4737</v>
      </c>
      <c r="L159">
        <v>2003</v>
      </c>
      <c r="M159" s="15" t="s">
        <v>4700</v>
      </c>
      <c r="N159">
        <v>14</v>
      </c>
      <c r="O159">
        <v>0</v>
      </c>
      <c r="P159" s="21">
        <f>DATEVALUE(N159&amp;"-"&amp;M159&amp;"-"&amp;L159)</f>
        <v>37939</v>
      </c>
      <c r="Q159" s="22">
        <v>1737.38</v>
      </c>
      <c r="R159" s="23" t="s">
        <v>4698</v>
      </c>
      <c r="S159" s="23" t="s">
        <v>4697</v>
      </c>
      <c r="T159" s="23" t="s">
        <v>4708</v>
      </c>
      <c r="U159" s="23">
        <f>DATEDIF(P159, DATE(2023, 6, 8), "Y")</f>
        <v>19</v>
      </c>
      <c r="V159">
        <f>SUM(C159:K159)</f>
        <v>45.339999999999996</v>
      </c>
    </row>
    <row r="160" spans="1:22" ht="15.75">
      <c r="A160" s="28" t="s">
        <v>318</v>
      </c>
      <c r="B160" s="28" t="s">
        <v>319</v>
      </c>
      <c r="C160" s="23">
        <v>31.92</v>
      </c>
      <c r="D160" s="23">
        <v>5.12</v>
      </c>
      <c r="E160" s="23" t="s">
        <v>4683</v>
      </c>
      <c r="F160" s="23" t="s">
        <v>4682</v>
      </c>
      <c r="G160" s="23" t="s">
        <v>4682</v>
      </c>
      <c r="H160" s="23">
        <v>1</v>
      </c>
      <c r="I160" s="23" t="s">
        <v>4683</v>
      </c>
      <c r="J160" s="23" t="s">
        <v>4729</v>
      </c>
      <c r="K160" s="23" t="s">
        <v>4737</v>
      </c>
      <c r="L160">
        <v>2003</v>
      </c>
      <c r="M160" s="15" t="s">
        <v>4696</v>
      </c>
      <c r="N160">
        <v>25</v>
      </c>
      <c r="O160">
        <v>0</v>
      </c>
      <c r="P160" s="21">
        <f>DATEVALUE(N160&amp;"-"&amp;M160&amp;"-"&amp;L160)</f>
        <v>37827</v>
      </c>
      <c r="Q160" s="22">
        <v>1743.21</v>
      </c>
      <c r="R160" s="23" t="s">
        <v>4698</v>
      </c>
      <c r="S160" s="23" t="s">
        <v>4701</v>
      </c>
      <c r="T160" s="23" t="s">
        <v>4708</v>
      </c>
      <c r="U160" s="23">
        <f>DATEDIF(P160, DATE(2023, 6, 8), "Y")</f>
        <v>19</v>
      </c>
      <c r="V160">
        <f>SUM(C160:K160)</f>
        <v>38.04</v>
      </c>
    </row>
    <row r="161" spans="1:22" ht="15.75">
      <c r="A161" s="28" t="s">
        <v>320</v>
      </c>
      <c r="B161" s="28" t="s">
        <v>321</v>
      </c>
      <c r="C161" s="23">
        <v>39.799999999999997</v>
      </c>
      <c r="D161" s="23">
        <v>10.54</v>
      </c>
      <c r="E161" s="23" t="s">
        <v>4683</v>
      </c>
      <c r="F161" s="23" t="s">
        <v>4682</v>
      </c>
      <c r="G161" s="23" t="s">
        <v>4682</v>
      </c>
      <c r="H161" s="23">
        <v>2</v>
      </c>
      <c r="I161" s="23" t="s">
        <v>4683</v>
      </c>
      <c r="J161" s="23" t="s">
        <v>4729</v>
      </c>
      <c r="K161" s="23" t="s">
        <v>4735</v>
      </c>
      <c r="L161">
        <v>2003</v>
      </c>
      <c r="M161" s="15" t="s">
        <v>4696</v>
      </c>
      <c r="N161">
        <v>28</v>
      </c>
      <c r="O161">
        <v>0</v>
      </c>
      <c r="P161" s="21">
        <f>DATEVALUE(N161&amp;"-"&amp;M161&amp;"-"&amp;L161)</f>
        <v>37830</v>
      </c>
      <c r="Q161" s="22">
        <v>1744.47</v>
      </c>
      <c r="R161" s="23" t="s">
        <v>4698</v>
      </c>
      <c r="S161" s="23" t="s">
        <v>4701</v>
      </c>
      <c r="T161" s="23" t="s">
        <v>4708</v>
      </c>
      <c r="U161" s="23">
        <f>DATEDIF(P161, DATE(2023, 6, 8), "Y")</f>
        <v>19</v>
      </c>
      <c r="V161">
        <f>SUM(C161:K161)</f>
        <v>52.339999999999996</v>
      </c>
    </row>
    <row r="162" spans="1:22" ht="15.75">
      <c r="A162" s="28" t="s">
        <v>322</v>
      </c>
      <c r="B162" s="28" t="s">
        <v>323</v>
      </c>
      <c r="C162" s="23">
        <v>42.82</v>
      </c>
      <c r="D162" s="23">
        <v>4.21</v>
      </c>
      <c r="E162" s="23" t="s">
        <v>4682</v>
      </c>
      <c r="F162" s="23" t="s">
        <v>4682</v>
      </c>
      <c r="G162" s="23" t="s">
        <v>4682</v>
      </c>
      <c r="H162" s="23">
        <v>0</v>
      </c>
      <c r="I162" s="23" t="s">
        <v>4683</v>
      </c>
      <c r="J162" s="23" t="s">
        <v>4729</v>
      </c>
      <c r="K162" s="23" t="s">
        <v>4737</v>
      </c>
      <c r="L162">
        <v>2003</v>
      </c>
      <c r="M162" s="15" t="s">
        <v>4703</v>
      </c>
      <c r="N162">
        <v>26</v>
      </c>
      <c r="O162">
        <v>0</v>
      </c>
      <c r="P162" s="21">
        <f>DATEVALUE(N162&amp;"-"&amp;M162&amp;"-"&amp;L162)</f>
        <v>37890</v>
      </c>
      <c r="Q162" s="22">
        <v>1748.77</v>
      </c>
      <c r="R162" s="23" t="s">
        <v>4698</v>
      </c>
      <c r="S162" s="23" t="s">
        <v>4701</v>
      </c>
      <c r="T162" s="23" t="s">
        <v>4708</v>
      </c>
      <c r="U162" s="23">
        <f>DATEDIF(P162, DATE(2023, 6, 8), "Y")</f>
        <v>19</v>
      </c>
      <c r="V162">
        <f>SUM(C162:K162)</f>
        <v>47.03</v>
      </c>
    </row>
    <row r="163" spans="1:22" ht="15.75">
      <c r="A163" s="28" t="s">
        <v>324</v>
      </c>
      <c r="B163" s="28" t="s">
        <v>325</v>
      </c>
      <c r="C163" s="23">
        <v>33.630000000000003</v>
      </c>
      <c r="D163" s="23">
        <v>5.42</v>
      </c>
      <c r="E163" s="23" t="s">
        <v>4682</v>
      </c>
      <c r="F163" s="23" t="s">
        <v>4682</v>
      </c>
      <c r="G163" s="23" t="s">
        <v>4682</v>
      </c>
      <c r="H163" s="23">
        <v>0</v>
      </c>
      <c r="I163" s="23" t="s">
        <v>4683</v>
      </c>
      <c r="J163" s="23" t="s">
        <v>4729</v>
      </c>
      <c r="K163" s="23" t="s">
        <v>4737</v>
      </c>
      <c r="L163">
        <v>1998</v>
      </c>
      <c r="M163" s="15" t="s">
        <v>4707</v>
      </c>
      <c r="N163">
        <v>7</v>
      </c>
      <c r="O163">
        <v>0</v>
      </c>
      <c r="P163" s="21">
        <f>DATEVALUE(N163&amp;"-"&amp;M163&amp;"-"&amp;L163)</f>
        <v>36075</v>
      </c>
      <c r="Q163" s="22">
        <v>1756.6</v>
      </c>
      <c r="R163" s="23" t="s">
        <v>4698</v>
      </c>
      <c r="S163" s="23" t="s">
        <v>4698</v>
      </c>
      <c r="T163" s="23" t="s">
        <v>4699</v>
      </c>
      <c r="U163" s="23">
        <f>DATEDIF(P163, DATE(2023, 6, 8), "Y")</f>
        <v>24</v>
      </c>
      <c r="V163">
        <f>SUM(C163:K163)</f>
        <v>39.050000000000004</v>
      </c>
    </row>
    <row r="164" spans="1:22" ht="15.75">
      <c r="A164" s="28" t="s">
        <v>326</v>
      </c>
      <c r="B164" s="28" t="s">
        <v>327</v>
      </c>
      <c r="C164" s="23">
        <v>37.07</v>
      </c>
      <c r="D164" s="23">
        <v>4.28</v>
      </c>
      <c r="E164" s="23" t="s">
        <v>4682</v>
      </c>
      <c r="F164" s="23" t="s">
        <v>4683</v>
      </c>
      <c r="G164" s="23" t="s">
        <v>4682</v>
      </c>
      <c r="H164" s="23">
        <v>1</v>
      </c>
      <c r="I164" s="23" t="s">
        <v>4683</v>
      </c>
      <c r="J164" s="23" t="s">
        <v>4729</v>
      </c>
      <c r="K164" s="23" t="s">
        <v>4737</v>
      </c>
      <c r="L164">
        <v>2003</v>
      </c>
      <c r="M164" s="15" t="s">
        <v>4700</v>
      </c>
      <c r="N164">
        <v>19</v>
      </c>
      <c r="O164">
        <v>0</v>
      </c>
      <c r="P164" s="21">
        <f>DATEVALUE(N164&amp;"-"&amp;M164&amp;"-"&amp;L164)</f>
        <v>37944</v>
      </c>
      <c r="Q164" s="22">
        <v>1759.34</v>
      </c>
      <c r="R164" s="23" t="s">
        <v>4698</v>
      </c>
      <c r="S164" s="23" t="s">
        <v>4701</v>
      </c>
      <c r="T164" s="23" t="s">
        <v>4708</v>
      </c>
      <c r="U164" s="23">
        <f>DATEDIF(P164, DATE(2023, 6, 8), "Y")</f>
        <v>19</v>
      </c>
      <c r="V164">
        <f>SUM(C164:K164)</f>
        <v>42.35</v>
      </c>
    </row>
    <row r="165" spans="1:22" ht="15.75">
      <c r="A165" s="28" t="s">
        <v>328</v>
      </c>
      <c r="B165" s="28" t="s">
        <v>329</v>
      </c>
      <c r="C165" s="23">
        <v>35.625</v>
      </c>
      <c r="D165" s="23">
        <v>8.9</v>
      </c>
      <c r="E165" s="23" t="s">
        <v>4682</v>
      </c>
      <c r="F165" s="23" t="s">
        <v>4682</v>
      </c>
      <c r="G165" s="23" t="s">
        <v>4682</v>
      </c>
      <c r="H165" s="23">
        <v>0</v>
      </c>
      <c r="I165" s="23" t="s">
        <v>4683</v>
      </c>
      <c r="J165" s="23" t="s">
        <v>4729</v>
      </c>
      <c r="K165" s="23" t="s">
        <v>4735</v>
      </c>
      <c r="L165">
        <v>2002</v>
      </c>
      <c r="M165" s="15" t="s">
        <v>4705</v>
      </c>
      <c r="N165">
        <v>13</v>
      </c>
      <c r="O165">
        <v>0</v>
      </c>
      <c r="P165" s="21">
        <f>DATEVALUE(N165&amp;"-"&amp;M165&amp;"-"&amp;L165)</f>
        <v>37603</v>
      </c>
      <c r="Q165" s="22">
        <v>1769.53</v>
      </c>
      <c r="R165" s="23" t="s">
        <v>4698</v>
      </c>
      <c r="S165" s="23" t="s">
        <v>4698</v>
      </c>
      <c r="T165" s="23" t="s">
        <v>4704</v>
      </c>
      <c r="U165" s="23">
        <f>DATEDIF(P165, DATE(2023, 6, 8), "Y")</f>
        <v>20</v>
      </c>
      <c r="V165">
        <f>SUM(C165:K165)</f>
        <v>44.524999999999999</v>
      </c>
    </row>
    <row r="166" spans="1:22" ht="15.75">
      <c r="A166" s="28" t="s">
        <v>330</v>
      </c>
      <c r="B166" s="28" t="s">
        <v>331</v>
      </c>
      <c r="C166" s="23">
        <v>42.69</v>
      </c>
      <c r="D166" s="23">
        <v>4.8899999999999997</v>
      </c>
      <c r="E166" s="23" t="s">
        <v>4682</v>
      </c>
      <c r="F166" s="23" t="s">
        <v>4682</v>
      </c>
      <c r="G166" s="23" t="s">
        <v>4684</v>
      </c>
      <c r="H166" s="23">
        <v>1</v>
      </c>
      <c r="I166" s="23" t="s">
        <v>4683</v>
      </c>
      <c r="J166" s="23" t="s">
        <v>4729</v>
      </c>
      <c r="K166" s="23" t="s">
        <v>4737</v>
      </c>
      <c r="L166">
        <v>1999</v>
      </c>
      <c r="M166" s="15" t="s">
        <v>4703</v>
      </c>
      <c r="N166">
        <v>25</v>
      </c>
      <c r="O166">
        <v>0</v>
      </c>
      <c r="P166" s="21">
        <f>DATEVALUE(N166&amp;"-"&amp;M166&amp;"-"&amp;L166)</f>
        <v>36428</v>
      </c>
      <c r="Q166" s="22">
        <v>1815.88</v>
      </c>
      <c r="R166" s="23" t="s">
        <v>4698</v>
      </c>
      <c r="S166" s="23" t="s">
        <v>4698</v>
      </c>
      <c r="T166" s="23" t="s">
        <v>4699</v>
      </c>
      <c r="U166" s="23">
        <f>DATEDIF(P166, DATE(2023, 6, 8), "Y")</f>
        <v>23</v>
      </c>
      <c r="V166">
        <f>SUM(C166:K166)</f>
        <v>48.58</v>
      </c>
    </row>
    <row r="167" spans="1:22" ht="15.75">
      <c r="A167" s="28" t="s">
        <v>332</v>
      </c>
      <c r="B167" s="28" t="s">
        <v>333</v>
      </c>
      <c r="C167" s="23">
        <v>37.869999999999997</v>
      </c>
      <c r="D167" s="23">
        <v>4.29</v>
      </c>
      <c r="E167" s="23" t="s">
        <v>4683</v>
      </c>
      <c r="F167" s="23" t="s">
        <v>4682</v>
      </c>
      <c r="G167" s="23" t="s">
        <v>4684</v>
      </c>
      <c r="H167" s="23">
        <v>1</v>
      </c>
      <c r="I167" s="23" t="s">
        <v>4683</v>
      </c>
      <c r="J167" s="23" t="s">
        <v>4729</v>
      </c>
      <c r="K167" s="23" t="s">
        <v>4737</v>
      </c>
      <c r="L167">
        <v>2004</v>
      </c>
      <c r="M167" s="15" t="s">
        <v>4706</v>
      </c>
      <c r="N167">
        <v>19</v>
      </c>
      <c r="O167">
        <v>0</v>
      </c>
      <c r="P167" s="21">
        <f>DATEVALUE(N167&amp;"-"&amp;M167&amp;"-"&amp;L167)</f>
        <v>38218</v>
      </c>
      <c r="Q167" s="22">
        <v>1822.54</v>
      </c>
      <c r="R167" s="23" t="s">
        <v>4698</v>
      </c>
      <c r="S167" s="23" t="s">
        <v>4701</v>
      </c>
      <c r="T167" s="23" t="s">
        <v>4704</v>
      </c>
      <c r="U167" s="23">
        <f>DATEDIF(P167, DATE(2023, 6, 8), "Y")</f>
        <v>18</v>
      </c>
      <c r="V167">
        <f>SUM(C167:K167)</f>
        <v>43.16</v>
      </c>
    </row>
    <row r="168" spans="1:22" ht="15.75">
      <c r="A168" s="28" t="s">
        <v>334</v>
      </c>
      <c r="B168" s="28" t="s">
        <v>335</v>
      </c>
      <c r="C168" s="23">
        <v>40.61</v>
      </c>
      <c r="D168" s="23">
        <v>8</v>
      </c>
      <c r="E168" s="23" t="s">
        <v>4683</v>
      </c>
      <c r="F168" s="23" t="s">
        <v>4682</v>
      </c>
      <c r="G168" s="23" t="s">
        <v>4682</v>
      </c>
      <c r="H168" s="23">
        <v>1</v>
      </c>
      <c r="I168" s="23" t="s">
        <v>4683</v>
      </c>
      <c r="J168" s="23" t="s">
        <v>4729</v>
      </c>
      <c r="K168" s="23" t="s">
        <v>4735</v>
      </c>
      <c r="L168">
        <v>1999</v>
      </c>
      <c r="M168" s="15" t="s">
        <v>4700</v>
      </c>
      <c r="N168">
        <v>17</v>
      </c>
      <c r="O168">
        <v>0</v>
      </c>
      <c r="P168" s="21">
        <f>DATEVALUE(N168&amp;"-"&amp;M168&amp;"-"&amp;L168)</f>
        <v>36481</v>
      </c>
      <c r="Q168" s="22">
        <v>1824.29</v>
      </c>
      <c r="R168" s="23" t="s">
        <v>4698</v>
      </c>
      <c r="S168" s="23" t="s">
        <v>4698</v>
      </c>
      <c r="T168" s="23" t="s">
        <v>4699</v>
      </c>
      <c r="U168" s="23">
        <f>DATEDIF(P168, DATE(2023, 6, 8), "Y")</f>
        <v>23</v>
      </c>
      <c r="V168">
        <f>SUM(C168:K168)</f>
        <v>49.61</v>
      </c>
    </row>
    <row r="169" spans="1:22" ht="15.75">
      <c r="A169" s="28" t="s">
        <v>336</v>
      </c>
      <c r="B169" s="28" t="s">
        <v>337</v>
      </c>
      <c r="C169" s="23">
        <v>30.78</v>
      </c>
      <c r="D169" s="23">
        <v>4.67</v>
      </c>
      <c r="E169" s="23" t="s">
        <v>4683</v>
      </c>
      <c r="F169" s="23" t="s">
        <v>4682</v>
      </c>
      <c r="G169" s="23" t="s">
        <v>4682</v>
      </c>
      <c r="H169" s="23">
        <v>0</v>
      </c>
      <c r="I169" s="23" t="s">
        <v>4683</v>
      </c>
      <c r="J169" s="23" t="s">
        <v>4729</v>
      </c>
      <c r="K169" s="23" t="s">
        <v>4737</v>
      </c>
      <c r="L169">
        <v>1999</v>
      </c>
      <c r="M169" s="15" t="s">
        <v>4707</v>
      </c>
      <c r="N169">
        <v>1</v>
      </c>
      <c r="O169">
        <v>0</v>
      </c>
      <c r="P169" s="21">
        <f>DATEVALUE(N169&amp;"-"&amp;M169&amp;"-"&amp;L169)</f>
        <v>36434</v>
      </c>
      <c r="Q169" s="22">
        <v>1826.84</v>
      </c>
      <c r="R169" s="23" t="s">
        <v>4698</v>
      </c>
      <c r="S169" s="23" t="s">
        <v>4697</v>
      </c>
      <c r="T169" s="23" t="s">
        <v>4708</v>
      </c>
      <c r="U169" s="23">
        <f>DATEDIF(P169, DATE(2023, 6, 8), "Y")</f>
        <v>23</v>
      </c>
      <c r="V169">
        <f>SUM(C169:K169)</f>
        <v>35.450000000000003</v>
      </c>
    </row>
    <row r="170" spans="1:22" ht="15.75">
      <c r="A170" s="28" t="s">
        <v>338</v>
      </c>
      <c r="B170" s="28" t="s">
        <v>339</v>
      </c>
      <c r="C170" s="23">
        <v>49.49</v>
      </c>
      <c r="D170" s="23">
        <v>4.5</v>
      </c>
      <c r="E170" s="23" t="s">
        <v>4682</v>
      </c>
      <c r="F170" s="23" t="s">
        <v>4682</v>
      </c>
      <c r="G170" s="23" t="s">
        <v>4682</v>
      </c>
      <c r="H170" s="23">
        <v>0</v>
      </c>
      <c r="I170" s="23" t="s">
        <v>4683</v>
      </c>
      <c r="J170" s="23" t="s">
        <v>4729</v>
      </c>
      <c r="K170" s="23" t="s">
        <v>4737</v>
      </c>
      <c r="L170">
        <v>2003</v>
      </c>
      <c r="M170" s="15" t="s">
        <v>4706</v>
      </c>
      <c r="N170">
        <v>11</v>
      </c>
      <c r="O170">
        <v>1</v>
      </c>
      <c r="P170" s="21">
        <f>DATEVALUE(N170&amp;"-"&amp;M170&amp;"-"&amp;L170)</f>
        <v>37844</v>
      </c>
      <c r="Q170" s="22">
        <v>1832.09</v>
      </c>
      <c r="R170" s="23" t="s">
        <v>4698</v>
      </c>
      <c r="S170" s="23" t="s">
        <v>4698</v>
      </c>
      <c r="T170" s="23" t="s">
        <v>4708</v>
      </c>
      <c r="U170" s="23">
        <f>DATEDIF(P170, DATE(2023, 6, 8), "Y")</f>
        <v>19</v>
      </c>
      <c r="V170">
        <f>SUM(C170:K170)</f>
        <v>53.99</v>
      </c>
    </row>
    <row r="171" spans="1:22" ht="15.75">
      <c r="A171" s="28" t="s">
        <v>340</v>
      </c>
      <c r="B171" s="28" t="s">
        <v>341</v>
      </c>
      <c r="C171" s="23">
        <v>37.619999999999997</v>
      </c>
      <c r="D171" s="23">
        <v>6.32</v>
      </c>
      <c r="E171" s="23" t="s">
        <v>4683</v>
      </c>
      <c r="F171" s="23" t="s">
        <v>4683</v>
      </c>
      <c r="G171" s="23" t="s">
        <v>4682</v>
      </c>
      <c r="H171" s="23">
        <v>2</v>
      </c>
      <c r="I171" s="23" t="s">
        <v>4683</v>
      </c>
      <c r="J171" s="23" t="s">
        <v>4729</v>
      </c>
      <c r="K171" s="23" t="s">
        <v>4736</v>
      </c>
      <c r="L171">
        <v>2003</v>
      </c>
      <c r="M171" s="15" t="s">
        <v>4706</v>
      </c>
      <c r="N171">
        <v>4</v>
      </c>
      <c r="O171">
        <v>1</v>
      </c>
      <c r="P171" s="21">
        <f>DATEVALUE(N171&amp;"-"&amp;M171&amp;"-"&amp;L171)</f>
        <v>37837</v>
      </c>
      <c r="Q171" s="22">
        <v>1837.24</v>
      </c>
      <c r="R171" s="23" t="s">
        <v>4698</v>
      </c>
      <c r="S171" s="23" t="s">
        <v>4697</v>
      </c>
      <c r="T171" s="23" t="s">
        <v>4708</v>
      </c>
      <c r="U171" s="23">
        <f>DATEDIF(P171, DATE(2023, 6, 8), "Y")</f>
        <v>19</v>
      </c>
      <c r="V171">
        <f>SUM(C171:K171)</f>
        <v>45.94</v>
      </c>
    </row>
    <row r="172" spans="1:22" ht="15.75">
      <c r="A172" s="28" t="s">
        <v>342</v>
      </c>
      <c r="B172" s="28" t="s">
        <v>343</v>
      </c>
      <c r="C172" s="23">
        <v>36.08</v>
      </c>
      <c r="D172" s="23">
        <v>6.1</v>
      </c>
      <c r="E172" s="23" t="s">
        <v>4683</v>
      </c>
      <c r="F172" s="23" t="s">
        <v>4682</v>
      </c>
      <c r="G172" s="23" t="s">
        <v>4682</v>
      </c>
      <c r="H172" s="23">
        <v>1</v>
      </c>
      <c r="I172" s="23" t="s">
        <v>4683</v>
      </c>
      <c r="J172" s="23" t="s">
        <v>4729</v>
      </c>
      <c r="K172" s="23" t="s">
        <v>4736</v>
      </c>
      <c r="L172">
        <v>1999</v>
      </c>
      <c r="M172" s="15" t="s">
        <v>4705</v>
      </c>
      <c r="N172">
        <v>12</v>
      </c>
      <c r="O172">
        <v>0</v>
      </c>
      <c r="P172" s="21">
        <f>DATEVALUE(N172&amp;"-"&amp;M172&amp;"-"&amp;L172)</f>
        <v>36506</v>
      </c>
      <c r="Q172" s="22">
        <v>1837.28</v>
      </c>
      <c r="R172" s="23" t="s">
        <v>4698</v>
      </c>
      <c r="S172" s="23" t="s">
        <v>4697</v>
      </c>
      <c r="T172" s="23" t="s">
        <v>4699</v>
      </c>
      <c r="U172" s="23">
        <f>DATEDIF(P172, DATE(2023, 6, 8), "Y")</f>
        <v>23</v>
      </c>
      <c r="V172">
        <f>SUM(C172:K172)</f>
        <v>43.18</v>
      </c>
    </row>
    <row r="173" spans="1:22" ht="15.75">
      <c r="A173" s="28" t="s">
        <v>344</v>
      </c>
      <c r="B173" s="28" t="s">
        <v>345</v>
      </c>
      <c r="C173" s="23">
        <v>33.5</v>
      </c>
      <c r="D173" s="23">
        <v>5.4</v>
      </c>
      <c r="E173" s="23" t="s">
        <v>4682</v>
      </c>
      <c r="F173" s="23" t="s">
        <v>4682</v>
      </c>
      <c r="G173" s="23" t="s">
        <v>4682</v>
      </c>
      <c r="H173" s="23">
        <v>0</v>
      </c>
      <c r="I173" s="23" t="s">
        <v>4683</v>
      </c>
      <c r="J173" s="23" t="s">
        <v>4729</v>
      </c>
      <c r="K173" s="23" t="s">
        <v>4737</v>
      </c>
      <c r="L173">
        <v>2003</v>
      </c>
      <c r="M173" s="15" t="s">
        <v>4696</v>
      </c>
      <c r="N173">
        <v>20</v>
      </c>
      <c r="O173">
        <v>1</v>
      </c>
      <c r="P173" s="21">
        <f>DATEVALUE(N173&amp;"-"&amp;M173&amp;"-"&amp;L173)</f>
        <v>37822</v>
      </c>
      <c r="Q173" s="22">
        <v>1842.52</v>
      </c>
      <c r="R173" s="23" t="s">
        <v>4698</v>
      </c>
      <c r="S173" s="23" t="s">
        <v>4697</v>
      </c>
      <c r="T173" s="23" t="s">
        <v>4708</v>
      </c>
      <c r="U173" s="23">
        <f>DATEDIF(P173, DATE(2023, 6, 8), "Y")</f>
        <v>19</v>
      </c>
      <c r="V173">
        <f>SUM(C173:K173)</f>
        <v>38.9</v>
      </c>
    </row>
    <row r="174" spans="1:22" ht="15.75">
      <c r="A174" s="28" t="s">
        <v>346</v>
      </c>
      <c r="B174" s="28" t="s">
        <v>347</v>
      </c>
      <c r="C174" s="23">
        <v>47.46</v>
      </c>
      <c r="D174" s="23">
        <v>6.24</v>
      </c>
      <c r="E174" s="23" t="s">
        <v>4683</v>
      </c>
      <c r="F174" s="23" t="s">
        <v>4682</v>
      </c>
      <c r="G174" s="23" t="s">
        <v>4682</v>
      </c>
      <c r="H174" s="23">
        <v>1</v>
      </c>
      <c r="I174" s="23" t="s">
        <v>4683</v>
      </c>
      <c r="J174" s="23" t="s">
        <v>4729</v>
      </c>
      <c r="K174" s="23" t="s">
        <v>4736</v>
      </c>
      <c r="L174">
        <v>1994</v>
      </c>
      <c r="M174" s="15" t="s">
        <v>4705</v>
      </c>
      <c r="N174">
        <v>6</v>
      </c>
      <c r="O174">
        <v>0</v>
      </c>
      <c r="P174" s="21">
        <f>DATEVALUE(N174&amp;"-"&amp;M174&amp;"-"&amp;L174)</f>
        <v>34674</v>
      </c>
      <c r="Q174" s="22">
        <v>1850.55</v>
      </c>
      <c r="R174" s="23" t="s">
        <v>4698</v>
      </c>
      <c r="S174" s="23" t="s">
        <v>4697</v>
      </c>
      <c r="T174" s="23" t="s">
        <v>4704</v>
      </c>
      <c r="U174" s="23">
        <f>DATEDIF(P174, DATE(2023, 6, 8), "Y")</f>
        <v>28</v>
      </c>
      <c r="V174">
        <f>SUM(C174:K174)</f>
        <v>54.7</v>
      </c>
    </row>
    <row r="175" spans="1:22" ht="15.75">
      <c r="A175" s="28" t="s">
        <v>348</v>
      </c>
      <c r="B175" s="28" t="s">
        <v>349</v>
      </c>
      <c r="C175" s="23">
        <v>49.24</v>
      </c>
      <c r="D175" s="23">
        <v>4.45</v>
      </c>
      <c r="E175" s="23" t="s">
        <v>4682</v>
      </c>
      <c r="F175" s="23" t="s">
        <v>4682</v>
      </c>
      <c r="G175" s="23" t="s">
        <v>4682</v>
      </c>
      <c r="H175" s="23">
        <v>0</v>
      </c>
      <c r="I175" s="23" t="s">
        <v>4683</v>
      </c>
      <c r="J175" s="23" t="s">
        <v>4729</v>
      </c>
      <c r="K175" s="23" t="s">
        <v>4737</v>
      </c>
      <c r="L175">
        <v>2004</v>
      </c>
      <c r="M175" s="15" t="s">
        <v>4705</v>
      </c>
      <c r="N175">
        <v>27</v>
      </c>
      <c r="O175">
        <v>0</v>
      </c>
      <c r="P175" s="21">
        <f>DATEVALUE(N175&amp;"-"&amp;M175&amp;"-"&amp;L175)</f>
        <v>38348</v>
      </c>
      <c r="Q175" s="22">
        <v>1863.45</v>
      </c>
      <c r="R175" s="23" t="s">
        <v>4698</v>
      </c>
      <c r="S175" s="23" t="s">
        <v>4701</v>
      </c>
      <c r="T175" s="23" t="s">
        <v>4713</v>
      </c>
      <c r="U175" s="23">
        <f>DATEDIF(P175, DATE(2023, 6, 8), "Y")</f>
        <v>18</v>
      </c>
      <c r="V175">
        <f>SUM(C175:K175)</f>
        <v>53.690000000000005</v>
      </c>
    </row>
    <row r="176" spans="1:22" ht="15.75">
      <c r="A176" s="28" t="s">
        <v>350</v>
      </c>
      <c r="B176" s="28" t="s">
        <v>351</v>
      </c>
      <c r="C176" s="23">
        <v>54.4</v>
      </c>
      <c r="D176" s="23">
        <v>5.22</v>
      </c>
      <c r="E176" s="23" t="s">
        <v>4682</v>
      </c>
      <c r="F176" s="23" t="s">
        <v>4682</v>
      </c>
      <c r="G176" s="23" t="s">
        <v>4682</v>
      </c>
      <c r="H176" s="23">
        <v>1</v>
      </c>
      <c r="I176" s="23" t="s">
        <v>4683</v>
      </c>
      <c r="J176" s="23" t="s">
        <v>4729</v>
      </c>
      <c r="K176" s="23" t="s">
        <v>4737</v>
      </c>
      <c r="L176">
        <v>1996</v>
      </c>
      <c r="M176" s="15" t="s">
        <v>4696</v>
      </c>
      <c r="N176">
        <v>2</v>
      </c>
      <c r="O176">
        <v>0</v>
      </c>
      <c r="P176" s="21">
        <f>DATEVALUE(N176&amp;"-"&amp;M176&amp;"-"&amp;L176)</f>
        <v>35248</v>
      </c>
      <c r="Q176" s="22">
        <v>1865.98</v>
      </c>
      <c r="R176" s="23" t="s">
        <v>4698</v>
      </c>
      <c r="S176" s="23" t="s">
        <v>4698</v>
      </c>
      <c r="T176" s="23" t="s">
        <v>4704</v>
      </c>
      <c r="U176" s="23">
        <f>DATEDIF(P176, DATE(2023, 6, 8), "Y")</f>
        <v>26</v>
      </c>
      <c r="V176">
        <f>SUM(C176:K176)</f>
        <v>60.62</v>
      </c>
    </row>
    <row r="177" spans="1:22" ht="15.75">
      <c r="A177" s="28" t="s">
        <v>352</v>
      </c>
      <c r="B177" s="28" t="s">
        <v>353</v>
      </c>
      <c r="C177" s="23">
        <v>35.53</v>
      </c>
      <c r="D177" s="23">
        <v>4.6100000000000003</v>
      </c>
      <c r="E177" s="23" t="s">
        <v>4682</v>
      </c>
      <c r="F177" s="23" t="s">
        <v>4682</v>
      </c>
      <c r="G177" s="23" t="s">
        <v>4682</v>
      </c>
      <c r="H177" s="23">
        <v>1</v>
      </c>
      <c r="I177" s="23" t="s">
        <v>4683</v>
      </c>
      <c r="J177" s="23" t="s">
        <v>4729</v>
      </c>
      <c r="K177" s="23" t="s">
        <v>4737</v>
      </c>
      <c r="L177">
        <v>2002</v>
      </c>
      <c r="M177" s="15" t="s">
        <v>4703</v>
      </c>
      <c r="N177">
        <v>22</v>
      </c>
      <c r="O177">
        <v>0</v>
      </c>
      <c r="P177" s="21">
        <f>DATEVALUE(N177&amp;"-"&amp;M177&amp;"-"&amp;L177)</f>
        <v>37521</v>
      </c>
      <c r="Q177" s="22">
        <v>1875.34</v>
      </c>
      <c r="R177" s="23" t="s">
        <v>4698</v>
      </c>
      <c r="S177" s="23" t="s">
        <v>4697</v>
      </c>
      <c r="T177" s="23" t="s">
        <v>4708</v>
      </c>
      <c r="U177" s="23">
        <f>DATEDIF(P177, DATE(2023, 6, 8), "Y")</f>
        <v>20</v>
      </c>
      <c r="V177">
        <f>SUM(C177:K177)</f>
        <v>41.14</v>
      </c>
    </row>
    <row r="178" spans="1:22" ht="15.75">
      <c r="A178" s="28" t="s">
        <v>354</v>
      </c>
      <c r="B178" s="28" t="s">
        <v>355</v>
      </c>
      <c r="C178" s="23">
        <v>39.729999999999997</v>
      </c>
      <c r="D178" s="23">
        <v>6.24</v>
      </c>
      <c r="E178" s="23" t="s">
        <v>4682</v>
      </c>
      <c r="F178" s="23" t="s">
        <v>4682</v>
      </c>
      <c r="G178" s="23" t="s">
        <v>4682</v>
      </c>
      <c r="H178" s="23">
        <v>0</v>
      </c>
      <c r="I178" s="23" t="s">
        <v>4683</v>
      </c>
      <c r="J178" s="23" t="s">
        <v>4729</v>
      </c>
      <c r="K178" s="23" t="s">
        <v>4736</v>
      </c>
      <c r="L178">
        <v>2002</v>
      </c>
      <c r="M178" s="15" t="s">
        <v>4707</v>
      </c>
      <c r="N178">
        <v>29</v>
      </c>
      <c r="O178">
        <v>0</v>
      </c>
      <c r="P178" s="21">
        <f>DATEVALUE(N178&amp;"-"&amp;M178&amp;"-"&amp;L178)</f>
        <v>37558</v>
      </c>
      <c r="Q178" s="22">
        <v>1877.93</v>
      </c>
      <c r="R178" s="23" t="s">
        <v>4698</v>
      </c>
      <c r="S178" s="23" t="s">
        <v>4701</v>
      </c>
      <c r="T178" s="23" t="s">
        <v>4699</v>
      </c>
      <c r="U178" s="23">
        <f>DATEDIF(P178, DATE(2023, 6, 8), "Y")</f>
        <v>20</v>
      </c>
      <c r="V178">
        <f>SUM(C178:K178)</f>
        <v>45.97</v>
      </c>
    </row>
    <row r="179" spans="1:22" ht="15.75">
      <c r="A179" s="28" t="s">
        <v>356</v>
      </c>
      <c r="B179" s="28" t="s">
        <v>357</v>
      </c>
      <c r="C179" s="23">
        <v>35.68</v>
      </c>
      <c r="D179" s="23">
        <v>10.039999999999999</v>
      </c>
      <c r="E179" s="23" t="s">
        <v>4682</v>
      </c>
      <c r="F179" s="23" t="s">
        <v>4682</v>
      </c>
      <c r="G179" s="23" t="s">
        <v>4682</v>
      </c>
      <c r="H179" s="23">
        <v>0</v>
      </c>
      <c r="I179" s="23" t="s">
        <v>4683</v>
      </c>
      <c r="J179" s="23" t="s">
        <v>4729</v>
      </c>
      <c r="K179" s="23" t="s">
        <v>4735</v>
      </c>
      <c r="L179">
        <v>2002</v>
      </c>
      <c r="M179" s="15" t="s">
        <v>4706</v>
      </c>
      <c r="N179">
        <v>29</v>
      </c>
      <c r="O179">
        <v>0</v>
      </c>
      <c r="P179" s="21">
        <f>DATEVALUE(N179&amp;"-"&amp;M179&amp;"-"&amp;L179)</f>
        <v>37497</v>
      </c>
      <c r="Q179" s="22">
        <v>1880.07</v>
      </c>
      <c r="R179" s="23" t="s">
        <v>4698</v>
      </c>
      <c r="S179" s="23" t="s">
        <v>4697</v>
      </c>
      <c r="T179" s="23" t="s">
        <v>4699</v>
      </c>
      <c r="U179" s="23">
        <f>DATEDIF(P179, DATE(2023, 6, 8), "Y")</f>
        <v>20</v>
      </c>
      <c r="V179">
        <f>SUM(C179:K179)</f>
        <v>45.72</v>
      </c>
    </row>
    <row r="180" spans="1:22" ht="15.75">
      <c r="A180" s="28" t="s">
        <v>358</v>
      </c>
      <c r="B180" s="28" t="s">
        <v>359</v>
      </c>
      <c r="C180" s="23">
        <v>48.86</v>
      </c>
      <c r="D180" s="23">
        <v>6.09</v>
      </c>
      <c r="E180" s="23" t="s">
        <v>4682</v>
      </c>
      <c r="F180" s="23" t="s">
        <v>4682</v>
      </c>
      <c r="G180" s="23" t="s">
        <v>4682</v>
      </c>
      <c r="H180" s="23">
        <v>0</v>
      </c>
      <c r="I180" s="23" t="s">
        <v>4683</v>
      </c>
      <c r="J180" s="23" t="s">
        <v>4729</v>
      </c>
      <c r="K180" s="23" t="s">
        <v>4736</v>
      </c>
      <c r="L180">
        <v>2002</v>
      </c>
      <c r="M180" s="15" t="s">
        <v>4706</v>
      </c>
      <c r="N180">
        <v>21</v>
      </c>
      <c r="O180">
        <v>0</v>
      </c>
      <c r="P180" s="21">
        <f>DATEVALUE(N180&amp;"-"&amp;M180&amp;"-"&amp;L180)</f>
        <v>37489</v>
      </c>
      <c r="Q180" s="22">
        <v>1880.49</v>
      </c>
      <c r="R180" s="23" t="s">
        <v>4698</v>
      </c>
      <c r="S180" s="23" t="s">
        <v>4701</v>
      </c>
      <c r="T180" s="23" t="s">
        <v>4708</v>
      </c>
      <c r="U180" s="23">
        <f>DATEDIF(P180, DATE(2023, 6, 8), "Y")</f>
        <v>20</v>
      </c>
      <c r="V180">
        <f>SUM(C180:K180)</f>
        <v>54.95</v>
      </c>
    </row>
    <row r="181" spans="1:22" ht="15.75">
      <c r="A181" s="28" t="s">
        <v>360</v>
      </c>
      <c r="B181" s="28" t="s">
        <v>361</v>
      </c>
      <c r="C181" s="23">
        <v>34.799999999999997</v>
      </c>
      <c r="D181" s="23">
        <v>11.4</v>
      </c>
      <c r="E181" s="23" t="s">
        <v>4683</v>
      </c>
      <c r="F181" s="23" t="s">
        <v>4682</v>
      </c>
      <c r="G181" s="23" t="s">
        <v>4684</v>
      </c>
      <c r="H181" s="23">
        <v>1</v>
      </c>
      <c r="I181" s="23" t="s">
        <v>4682</v>
      </c>
      <c r="J181" s="23" t="s">
        <v>4729</v>
      </c>
      <c r="K181" s="23" t="s">
        <v>4735</v>
      </c>
      <c r="L181">
        <v>2001</v>
      </c>
      <c r="M181" s="15" t="s">
        <v>4706</v>
      </c>
      <c r="N181">
        <v>10</v>
      </c>
      <c r="O181">
        <v>0</v>
      </c>
      <c r="P181" s="21">
        <f>DATEVALUE(N181&amp;"-"&amp;M181&amp;"-"&amp;L181)</f>
        <v>37113</v>
      </c>
      <c r="Q181" s="22">
        <v>1906.36</v>
      </c>
      <c r="R181" s="23" t="s">
        <v>4698</v>
      </c>
      <c r="S181" s="23" t="s">
        <v>4701</v>
      </c>
      <c r="T181" s="23" t="s">
        <v>4704</v>
      </c>
      <c r="U181" s="23">
        <f>DATEDIF(P181, DATE(2023, 6, 8), "Y")</f>
        <v>21</v>
      </c>
      <c r="V181">
        <f>SUM(C181:K181)</f>
        <v>47.199999999999996</v>
      </c>
    </row>
    <row r="182" spans="1:22" ht="15.75">
      <c r="A182" s="28" t="s">
        <v>362</v>
      </c>
      <c r="B182" s="28" t="s">
        <v>363</v>
      </c>
      <c r="C182" s="23">
        <v>32.49</v>
      </c>
      <c r="D182" s="23">
        <v>4.29</v>
      </c>
      <c r="E182" s="23" t="s">
        <v>4682</v>
      </c>
      <c r="F182" s="23" t="s">
        <v>4682</v>
      </c>
      <c r="G182" s="23" t="s">
        <v>4684</v>
      </c>
      <c r="H182" s="23">
        <v>1</v>
      </c>
      <c r="I182" s="23" t="s">
        <v>4683</v>
      </c>
      <c r="J182" s="23" t="s">
        <v>4729</v>
      </c>
      <c r="K182" s="23" t="s">
        <v>4737</v>
      </c>
      <c r="L182">
        <v>1994</v>
      </c>
      <c r="M182" s="15" t="s">
        <v>4707</v>
      </c>
      <c r="N182">
        <v>6</v>
      </c>
      <c r="O182">
        <v>0</v>
      </c>
      <c r="P182" s="21">
        <f>DATEVALUE(N182&amp;"-"&amp;M182&amp;"-"&amp;L182)</f>
        <v>34613</v>
      </c>
      <c r="Q182" s="22">
        <v>1908.9</v>
      </c>
      <c r="R182" s="23" t="s">
        <v>4698</v>
      </c>
      <c r="S182" s="23" t="s">
        <v>4698</v>
      </c>
      <c r="T182" s="23" t="s">
        <v>4699</v>
      </c>
      <c r="U182" s="23">
        <f>DATEDIF(P182, DATE(2023, 6, 8), "Y")</f>
        <v>28</v>
      </c>
      <c r="V182">
        <f>SUM(C182:K182)</f>
        <v>37.78</v>
      </c>
    </row>
    <row r="183" spans="1:22" ht="15.75">
      <c r="A183" s="28" t="s">
        <v>364</v>
      </c>
      <c r="B183" s="28" t="s">
        <v>365</v>
      </c>
      <c r="C183" s="23">
        <v>39</v>
      </c>
      <c r="D183" s="23">
        <v>5.7</v>
      </c>
      <c r="E183" s="23" t="s">
        <v>4682</v>
      </c>
      <c r="F183" s="23" t="s">
        <v>4682</v>
      </c>
      <c r="G183" s="23" t="s">
        <v>4682</v>
      </c>
      <c r="H183" s="23">
        <v>2</v>
      </c>
      <c r="I183" s="23" t="s">
        <v>4683</v>
      </c>
      <c r="J183" s="23" t="s">
        <v>4729</v>
      </c>
      <c r="K183" s="23" t="s">
        <v>4736</v>
      </c>
      <c r="L183">
        <v>2001</v>
      </c>
      <c r="M183" s="15" t="s">
        <v>4706</v>
      </c>
      <c r="N183">
        <v>3</v>
      </c>
      <c r="O183">
        <v>0</v>
      </c>
      <c r="P183" s="21">
        <f>DATEVALUE(N183&amp;"-"&amp;M183&amp;"-"&amp;L183)</f>
        <v>37106</v>
      </c>
      <c r="Q183" s="22">
        <v>1909.53</v>
      </c>
      <c r="R183" s="23" t="s">
        <v>4698</v>
      </c>
      <c r="S183" s="23" t="s">
        <v>4698</v>
      </c>
      <c r="T183" s="23" t="s">
        <v>4704</v>
      </c>
      <c r="U183" s="23">
        <f>DATEDIF(P183, DATE(2023, 6, 8), "Y")</f>
        <v>21</v>
      </c>
      <c r="V183">
        <f>SUM(C183:K183)</f>
        <v>46.7</v>
      </c>
    </row>
    <row r="184" spans="1:22" ht="15.75">
      <c r="A184" s="28" t="s">
        <v>366</v>
      </c>
      <c r="B184" s="28" t="s">
        <v>367</v>
      </c>
      <c r="C184" s="23">
        <v>35.299999999999997</v>
      </c>
      <c r="D184" s="23">
        <v>6.09</v>
      </c>
      <c r="E184" s="23" t="s">
        <v>4682</v>
      </c>
      <c r="F184" s="23" t="s">
        <v>4682</v>
      </c>
      <c r="G184" s="23" t="s">
        <v>4682</v>
      </c>
      <c r="H184" s="23">
        <v>1</v>
      </c>
      <c r="I184" s="23" t="s">
        <v>4683</v>
      </c>
      <c r="J184" s="23" t="s">
        <v>4729</v>
      </c>
      <c r="K184" s="23" t="s">
        <v>4736</v>
      </c>
      <c r="L184">
        <v>2001</v>
      </c>
      <c r="M184" s="15" t="s">
        <v>4705</v>
      </c>
      <c r="N184">
        <v>9</v>
      </c>
      <c r="O184">
        <v>0</v>
      </c>
      <c r="P184" s="21">
        <f>DATEVALUE(N184&amp;"-"&amp;M184&amp;"-"&amp;L184)</f>
        <v>37234</v>
      </c>
      <c r="Q184" s="22">
        <v>1917.32</v>
      </c>
      <c r="R184" s="23" t="s">
        <v>4698</v>
      </c>
      <c r="S184" s="23" t="s">
        <v>4697</v>
      </c>
      <c r="T184" s="23" t="s">
        <v>4704</v>
      </c>
      <c r="U184" s="23">
        <f>DATEDIF(P184, DATE(2023, 6, 8), "Y")</f>
        <v>21</v>
      </c>
      <c r="V184">
        <f>SUM(C184:K184)</f>
        <v>42.39</v>
      </c>
    </row>
    <row r="185" spans="1:22" ht="15.75">
      <c r="A185" s="28" t="s">
        <v>368</v>
      </c>
      <c r="B185" s="28" t="s">
        <v>369</v>
      </c>
      <c r="C185" s="23">
        <v>33.42</v>
      </c>
      <c r="D185" s="23">
        <v>10.67</v>
      </c>
      <c r="E185" s="23" t="s">
        <v>4682</v>
      </c>
      <c r="F185" s="23" t="s">
        <v>4682</v>
      </c>
      <c r="G185" s="23" t="s">
        <v>4682</v>
      </c>
      <c r="H185" s="23">
        <v>0</v>
      </c>
      <c r="I185" s="23" t="s">
        <v>4683</v>
      </c>
      <c r="J185" s="23" t="s">
        <v>4729</v>
      </c>
      <c r="K185" s="23" t="s">
        <v>4735</v>
      </c>
      <c r="L185">
        <v>2002</v>
      </c>
      <c r="M185" s="15" t="s">
        <v>4703</v>
      </c>
      <c r="N185">
        <v>7</v>
      </c>
      <c r="O185">
        <v>1</v>
      </c>
      <c r="P185" s="21">
        <f>DATEVALUE(N185&amp;"-"&amp;M185&amp;"-"&amp;L185)</f>
        <v>37506</v>
      </c>
      <c r="Q185" s="22">
        <v>1964.78</v>
      </c>
      <c r="R185" s="23" t="s">
        <v>4698</v>
      </c>
      <c r="S185" s="23" t="s">
        <v>4701</v>
      </c>
      <c r="T185" s="23" t="s">
        <v>4708</v>
      </c>
      <c r="U185" s="23">
        <f>DATEDIF(P185, DATE(2023, 6, 8), "Y")</f>
        <v>20</v>
      </c>
      <c r="V185">
        <f>SUM(C185:K185)</f>
        <v>44.09</v>
      </c>
    </row>
    <row r="186" spans="1:22" ht="15.75">
      <c r="A186" s="28" t="s">
        <v>370</v>
      </c>
      <c r="B186" s="28" t="s">
        <v>371</v>
      </c>
      <c r="C186" s="23">
        <v>37.18</v>
      </c>
      <c r="D186" s="23">
        <v>6.75</v>
      </c>
      <c r="E186" s="23" t="s">
        <v>4683</v>
      </c>
      <c r="F186" s="23" t="s">
        <v>4682</v>
      </c>
      <c r="G186" s="23" t="s">
        <v>4682</v>
      </c>
      <c r="H186" s="23">
        <v>2</v>
      </c>
      <c r="I186" s="23" t="s">
        <v>4683</v>
      </c>
      <c r="J186" s="23" t="s">
        <v>4729</v>
      </c>
      <c r="K186" s="23" t="s">
        <v>4735</v>
      </c>
      <c r="L186">
        <v>2002</v>
      </c>
      <c r="M186" s="15" t="s">
        <v>4696</v>
      </c>
      <c r="N186">
        <v>29</v>
      </c>
      <c r="O186">
        <v>0</v>
      </c>
      <c r="P186" s="21">
        <f>DATEVALUE(N186&amp;"-"&amp;M186&amp;"-"&amp;L186)</f>
        <v>37466</v>
      </c>
      <c r="Q186" s="22">
        <v>1967.02</v>
      </c>
      <c r="R186" s="23" t="s">
        <v>4698</v>
      </c>
      <c r="S186" s="23" t="s">
        <v>4697</v>
      </c>
      <c r="T186" s="23" t="s">
        <v>4711</v>
      </c>
      <c r="U186" s="23">
        <f>DATEDIF(P186, DATE(2023, 6, 8), "Y")</f>
        <v>20</v>
      </c>
      <c r="V186">
        <f>SUM(C186:K186)</f>
        <v>45.93</v>
      </c>
    </row>
    <row r="187" spans="1:22" ht="15.75">
      <c r="A187" s="28" t="s">
        <v>372</v>
      </c>
      <c r="B187" s="28" t="s">
        <v>373</v>
      </c>
      <c r="C187" s="23">
        <v>33.33</v>
      </c>
      <c r="D187" s="23">
        <v>9.26</v>
      </c>
      <c r="E187" s="23" t="s">
        <v>4683</v>
      </c>
      <c r="F187" s="23" t="s">
        <v>4682</v>
      </c>
      <c r="G187" s="23" t="s">
        <v>4682</v>
      </c>
      <c r="H187" s="23">
        <v>2</v>
      </c>
      <c r="I187" s="23" t="s">
        <v>4682</v>
      </c>
      <c r="J187" s="23" t="s">
        <v>4729</v>
      </c>
      <c r="K187" s="23" t="s">
        <v>4735</v>
      </c>
      <c r="L187">
        <v>1998</v>
      </c>
      <c r="M187" s="15" t="s">
        <v>4703</v>
      </c>
      <c r="N187">
        <v>28</v>
      </c>
      <c r="O187">
        <v>0</v>
      </c>
      <c r="P187" s="21">
        <f>DATEVALUE(N187&amp;"-"&amp;M187&amp;"-"&amp;L187)</f>
        <v>36066</v>
      </c>
      <c r="Q187" s="22">
        <v>1969.61</v>
      </c>
      <c r="R187" s="23" t="s">
        <v>4698</v>
      </c>
      <c r="S187" s="23" t="s">
        <v>4698</v>
      </c>
      <c r="T187" s="23" t="s">
        <v>4708</v>
      </c>
      <c r="U187" s="23">
        <f>DATEDIF(P187, DATE(2023, 6, 8), "Y")</f>
        <v>24</v>
      </c>
      <c r="V187">
        <f>SUM(C187:K187)</f>
        <v>44.589999999999996</v>
      </c>
    </row>
    <row r="188" spans="1:22" ht="15.75">
      <c r="A188" s="28" t="s">
        <v>374</v>
      </c>
      <c r="B188" s="28" t="s">
        <v>375</v>
      </c>
      <c r="C188" s="23">
        <v>53.21</v>
      </c>
      <c r="D188" s="23">
        <v>4.2699999999999996</v>
      </c>
      <c r="E188" s="23" t="s">
        <v>4682</v>
      </c>
      <c r="F188" s="23" t="s">
        <v>4682</v>
      </c>
      <c r="G188" s="23" t="s">
        <v>4682</v>
      </c>
      <c r="H188" s="23">
        <v>1</v>
      </c>
      <c r="I188" s="23" t="s">
        <v>4683</v>
      </c>
      <c r="J188" s="23" t="s">
        <v>4729</v>
      </c>
      <c r="K188" s="23" t="s">
        <v>4737</v>
      </c>
      <c r="L188">
        <v>1998</v>
      </c>
      <c r="M188" s="15" t="s">
        <v>4707</v>
      </c>
      <c r="N188">
        <v>5</v>
      </c>
      <c r="O188">
        <v>0</v>
      </c>
      <c r="P188" s="21">
        <f>DATEVALUE(N188&amp;"-"&amp;M188&amp;"-"&amp;L188)</f>
        <v>36073</v>
      </c>
      <c r="Q188" s="22">
        <v>1972.95</v>
      </c>
      <c r="R188" s="23" t="s">
        <v>4698</v>
      </c>
      <c r="S188" s="23" t="s">
        <v>4701</v>
      </c>
      <c r="T188" s="23" t="s">
        <v>4708</v>
      </c>
      <c r="U188" s="23">
        <f>DATEDIF(P188, DATE(2023, 6, 8), "Y")</f>
        <v>24</v>
      </c>
      <c r="V188">
        <f>SUM(C188:K188)</f>
        <v>58.480000000000004</v>
      </c>
    </row>
    <row r="189" spans="1:22" ht="15.75">
      <c r="A189" s="28" t="s">
        <v>376</v>
      </c>
      <c r="B189" s="28" t="s">
        <v>377</v>
      </c>
      <c r="C189" s="23">
        <v>38.729999999999997</v>
      </c>
      <c r="D189" s="23">
        <v>11.51</v>
      </c>
      <c r="E189" s="23" t="s">
        <v>4682</v>
      </c>
      <c r="F189" s="23" t="s">
        <v>4682</v>
      </c>
      <c r="G189" s="23" t="s">
        <v>4682</v>
      </c>
      <c r="H189" s="23">
        <v>2</v>
      </c>
      <c r="I189" s="23" t="s">
        <v>4683</v>
      </c>
      <c r="J189" s="23" t="s">
        <v>4729</v>
      </c>
      <c r="K189" s="23" t="s">
        <v>4735</v>
      </c>
      <c r="L189">
        <v>1998</v>
      </c>
      <c r="M189" s="15" t="s">
        <v>4703</v>
      </c>
      <c r="N189">
        <v>29</v>
      </c>
      <c r="O189">
        <v>0</v>
      </c>
      <c r="P189" s="21">
        <f>DATEVALUE(N189&amp;"-"&amp;M189&amp;"-"&amp;L189)</f>
        <v>36067</v>
      </c>
      <c r="Q189" s="22">
        <v>1977.82</v>
      </c>
      <c r="R189" s="23" t="s">
        <v>4698</v>
      </c>
      <c r="S189" s="23" t="s">
        <v>4701</v>
      </c>
      <c r="T189" s="23" t="s">
        <v>4708</v>
      </c>
      <c r="U189" s="23">
        <f>DATEDIF(P189, DATE(2023, 6, 8), "Y")</f>
        <v>24</v>
      </c>
      <c r="V189">
        <f>SUM(C189:K189)</f>
        <v>52.239999999999995</v>
      </c>
    </row>
    <row r="190" spans="1:22" ht="15.75">
      <c r="A190" s="28" t="s">
        <v>378</v>
      </c>
      <c r="B190" s="28" t="s">
        <v>379</v>
      </c>
      <c r="C190" s="23">
        <v>29.73</v>
      </c>
      <c r="D190" s="23">
        <v>7.22</v>
      </c>
      <c r="E190" s="23" t="s">
        <v>4682</v>
      </c>
      <c r="F190" s="23" t="s">
        <v>4682</v>
      </c>
      <c r="G190" s="23" t="s">
        <v>4682</v>
      </c>
      <c r="H190" s="23">
        <v>0</v>
      </c>
      <c r="I190" s="23" t="s">
        <v>4683</v>
      </c>
      <c r="J190" s="23" t="s">
        <v>4730</v>
      </c>
      <c r="K190" s="23" t="s">
        <v>4735</v>
      </c>
      <c r="L190">
        <v>2002</v>
      </c>
      <c r="M190" s="15" t="s">
        <v>4696</v>
      </c>
      <c r="N190">
        <v>16</v>
      </c>
      <c r="O190">
        <v>1</v>
      </c>
      <c r="P190" s="21">
        <f>DATEVALUE(N190&amp;"-"&amp;M190&amp;"-"&amp;L190)</f>
        <v>37453</v>
      </c>
      <c r="Q190" s="22">
        <v>1980.07</v>
      </c>
      <c r="R190" s="23" t="s">
        <v>4698</v>
      </c>
      <c r="S190" s="23" t="s">
        <v>4698</v>
      </c>
      <c r="T190" s="23" t="s">
        <v>4708</v>
      </c>
      <c r="U190" s="23">
        <f>DATEDIF(P190, DATE(2023, 6, 8), "Y")</f>
        <v>20</v>
      </c>
      <c r="V190">
        <f>SUM(C190:K190)</f>
        <v>36.950000000000003</v>
      </c>
    </row>
    <row r="191" spans="1:22" ht="15.75">
      <c r="A191" s="28" t="s">
        <v>380</v>
      </c>
      <c r="B191" s="28" t="s">
        <v>381</v>
      </c>
      <c r="C191" s="23">
        <v>34.700000000000003</v>
      </c>
      <c r="D191" s="23">
        <v>4.37</v>
      </c>
      <c r="E191" s="23" t="s">
        <v>4682</v>
      </c>
      <c r="F191" s="23" t="s">
        <v>4682</v>
      </c>
      <c r="G191" s="23" t="s">
        <v>4684</v>
      </c>
      <c r="H191" s="23">
        <v>1</v>
      </c>
      <c r="I191" s="23" t="s">
        <v>4683</v>
      </c>
      <c r="J191" s="23" t="s">
        <v>4729</v>
      </c>
      <c r="K191" s="23" t="s">
        <v>4737</v>
      </c>
      <c r="L191">
        <v>1998</v>
      </c>
      <c r="M191" s="15" t="s">
        <v>4705</v>
      </c>
      <c r="N191">
        <v>29</v>
      </c>
      <c r="O191">
        <v>0</v>
      </c>
      <c r="P191" s="21">
        <f>DATEVALUE(N191&amp;"-"&amp;M191&amp;"-"&amp;L191)</f>
        <v>36158</v>
      </c>
      <c r="Q191" s="22">
        <v>1981.58</v>
      </c>
      <c r="R191" s="23" t="s">
        <v>4698</v>
      </c>
      <c r="S191" s="23" t="s">
        <v>4701</v>
      </c>
      <c r="T191" s="23" t="s">
        <v>4699</v>
      </c>
      <c r="U191" s="23">
        <f>DATEDIF(P191, DATE(2023, 6, 8), "Y")</f>
        <v>24</v>
      </c>
      <c r="V191">
        <f>SUM(C191:K191)</f>
        <v>40.07</v>
      </c>
    </row>
    <row r="192" spans="1:22" ht="15.75">
      <c r="A192" s="28" t="s">
        <v>382</v>
      </c>
      <c r="B192" s="28" t="s">
        <v>383</v>
      </c>
      <c r="C192" s="23">
        <v>38.28</v>
      </c>
      <c r="D192" s="23">
        <v>11.56</v>
      </c>
      <c r="E192" s="23" t="s">
        <v>4683</v>
      </c>
      <c r="F192" s="23" t="s">
        <v>4682</v>
      </c>
      <c r="G192" s="23" t="s">
        <v>4682</v>
      </c>
      <c r="H192" s="23">
        <v>1</v>
      </c>
      <c r="I192" s="23" t="s">
        <v>4683</v>
      </c>
      <c r="J192" s="23" t="s">
        <v>4729</v>
      </c>
      <c r="K192" s="23" t="s">
        <v>4735</v>
      </c>
      <c r="L192">
        <v>2002</v>
      </c>
      <c r="M192" s="15" t="s">
        <v>4703</v>
      </c>
      <c r="N192">
        <v>29</v>
      </c>
      <c r="O192">
        <v>0</v>
      </c>
      <c r="P192" s="21">
        <f>DATEVALUE(N192&amp;"-"&amp;M192&amp;"-"&amp;L192)</f>
        <v>37528</v>
      </c>
      <c r="Q192" s="22">
        <v>1984.45</v>
      </c>
      <c r="R192" s="23" t="s">
        <v>4698</v>
      </c>
      <c r="S192" s="23" t="s">
        <v>4698</v>
      </c>
      <c r="T192" s="23" t="s">
        <v>4711</v>
      </c>
      <c r="U192" s="23">
        <f>DATEDIF(P192, DATE(2023, 6, 8), "Y")</f>
        <v>20</v>
      </c>
      <c r="V192">
        <f>SUM(C192:K192)</f>
        <v>50.84</v>
      </c>
    </row>
    <row r="193" spans="1:22" ht="15.75">
      <c r="A193" s="28" t="s">
        <v>384</v>
      </c>
      <c r="B193" s="28" t="s">
        <v>385</v>
      </c>
      <c r="C193" s="23">
        <v>33.57</v>
      </c>
      <c r="D193" s="23">
        <v>8.82</v>
      </c>
      <c r="E193" s="23" t="s">
        <v>4683</v>
      </c>
      <c r="F193" s="23" t="s">
        <v>4682</v>
      </c>
      <c r="G193" s="23" t="s">
        <v>4682</v>
      </c>
      <c r="H193" s="23">
        <v>0</v>
      </c>
      <c r="I193" s="23" t="s">
        <v>4683</v>
      </c>
      <c r="J193" s="23" t="s">
        <v>4729</v>
      </c>
      <c r="K193" s="23" t="s">
        <v>4735</v>
      </c>
      <c r="L193">
        <v>1998</v>
      </c>
      <c r="M193" s="15" t="s">
        <v>4703</v>
      </c>
      <c r="N193">
        <v>14</v>
      </c>
      <c r="O193">
        <v>0</v>
      </c>
      <c r="P193" s="21">
        <f>DATEVALUE(N193&amp;"-"&amp;M193&amp;"-"&amp;L193)</f>
        <v>36052</v>
      </c>
      <c r="Q193" s="22">
        <v>1986.93</v>
      </c>
      <c r="R193" s="23" t="s">
        <v>4698</v>
      </c>
      <c r="S193" s="23" t="s">
        <v>4697</v>
      </c>
      <c r="T193" s="23" t="s">
        <v>4699</v>
      </c>
      <c r="U193" s="23">
        <f>DATEDIF(P193, DATE(2023, 6, 8), "Y")</f>
        <v>24</v>
      </c>
      <c r="V193">
        <f>SUM(C193:K193)</f>
        <v>42.39</v>
      </c>
    </row>
    <row r="194" spans="1:22" ht="15.75">
      <c r="A194" s="28" t="s">
        <v>386</v>
      </c>
      <c r="B194" s="28" t="s">
        <v>387</v>
      </c>
      <c r="C194" s="23">
        <v>52.06</v>
      </c>
      <c r="D194" s="23">
        <v>4.6900000000000004</v>
      </c>
      <c r="E194" s="23" t="s">
        <v>4682</v>
      </c>
      <c r="F194" s="23" t="s">
        <v>4682</v>
      </c>
      <c r="G194" s="23" t="s">
        <v>4682</v>
      </c>
      <c r="H194" s="23">
        <v>1</v>
      </c>
      <c r="I194" s="23" t="s">
        <v>4683</v>
      </c>
      <c r="J194" s="23" t="s">
        <v>4729</v>
      </c>
      <c r="K194" s="23" t="s">
        <v>4737</v>
      </c>
      <c r="L194">
        <v>2001</v>
      </c>
      <c r="M194" s="15" t="s">
        <v>4706</v>
      </c>
      <c r="N194">
        <v>14</v>
      </c>
      <c r="O194">
        <v>0</v>
      </c>
      <c r="P194" s="21">
        <f>DATEVALUE(N194&amp;"-"&amp;M194&amp;"-"&amp;L194)</f>
        <v>37117</v>
      </c>
      <c r="Q194" s="22">
        <v>2007.95</v>
      </c>
      <c r="R194" s="23" t="s">
        <v>4698</v>
      </c>
      <c r="S194" s="23" t="s">
        <v>4697</v>
      </c>
      <c r="T194" s="23" t="s">
        <v>4708</v>
      </c>
      <c r="U194" s="23">
        <f>DATEDIF(P194, DATE(2023, 6, 8), "Y")</f>
        <v>21</v>
      </c>
      <c r="V194">
        <f>SUM(C194:K194)</f>
        <v>57.75</v>
      </c>
    </row>
    <row r="195" spans="1:22" ht="15.75">
      <c r="A195" s="28" t="s">
        <v>388</v>
      </c>
      <c r="B195" s="28" t="s">
        <v>389</v>
      </c>
      <c r="C195" s="23">
        <v>38.17</v>
      </c>
      <c r="D195" s="23">
        <v>4.53</v>
      </c>
      <c r="E195" s="23" t="s">
        <v>4682</v>
      </c>
      <c r="F195" s="23" t="s">
        <v>4683</v>
      </c>
      <c r="G195" s="23" t="s">
        <v>4682</v>
      </c>
      <c r="H195" s="23">
        <v>1</v>
      </c>
      <c r="I195" s="23" t="s">
        <v>4683</v>
      </c>
      <c r="J195" s="23" t="s">
        <v>4729</v>
      </c>
      <c r="K195" s="23" t="s">
        <v>4737</v>
      </c>
      <c r="L195">
        <v>2001</v>
      </c>
      <c r="M195" s="15" t="s">
        <v>4696</v>
      </c>
      <c r="N195">
        <v>1</v>
      </c>
      <c r="O195">
        <v>0</v>
      </c>
      <c r="P195" s="21">
        <f>DATEVALUE(N195&amp;"-"&amp;M195&amp;"-"&amp;L195)</f>
        <v>37073</v>
      </c>
      <c r="Q195" s="22">
        <v>2020.18</v>
      </c>
      <c r="R195" s="23" t="s">
        <v>4698</v>
      </c>
      <c r="S195" s="23" t="s">
        <v>4701</v>
      </c>
      <c r="T195" s="23" t="s">
        <v>4708</v>
      </c>
      <c r="U195" s="23">
        <f>DATEDIF(P195, DATE(2023, 6, 8), "Y")</f>
        <v>21</v>
      </c>
      <c r="V195">
        <f>SUM(C195:K195)</f>
        <v>43.7</v>
      </c>
    </row>
    <row r="196" spans="1:22" ht="15.75">
      <c r="A196" s="28" t="s">
        <v>390</v>
      </c>
      <c r="B196" s="28" t="s">
        <v>391</v>
      </c>
      <c r="C196" s="23">
        <v>36.954999999999998</v>
      </c>
      <c r="D196" s="23">
        <v>5.84</v>
      </c>
      <c r="E196" s="23" t="s">
        <v>4682</v>
      </c>
      <c r="F196" s="23" t="s">
        <v>4682</v>
      </c>
      <c r="G196" s="23" t="s">
        <v>4684</v>
      </c>
      <c r="H196" s="23">
        <v>1</v>
      </c>
      <c r="I196" s="23" t="s">
        <v>4683</v>
      </c>
      <c r="J196" s="23" t="s">
        <v>4729</v>
      </c>
      <c r="K196" s="23" t="s">
        <v>4736</v>
      </c>
      <c r="L196">
        <v>2001</v>
      </c>
      <c r="M196" s="15" t="s">
        <v>4703</v>
      </c>
      <c r="N196">
        <v>6</v>
      </c>
      <c r="O196">
        <v>0</v>
      </c>
      <c r="P196" s="21">
        <f>DATEVALUE(N196&amp;"-"&amp;M196&amp;"-"&amp;L196)</f>
        <v>37140</v>
      </c>
      <c r="Q196" s="22">
        <v>2020.55</v>
      </c>
      <c r="R196" s="23" t="s">
        <v>4698</v>
      </c>
      <c r="S196" s="23" t="s">
        <v>4697</v>
      </c>
      <c r="T196" s="23" t="s">
        <v>4699</v>
      </c>
      <c r="U196" s="23">
        <f>DATEDIF(P196, DATE(2023, 6, 8), "Y")</f>
        <v>21</v>
      </c>
      <c r="V196">
        <f>SUM(C196:K196)</f>
        <v>43.795000000000002</v>
      </c>
    </row>
    <row r="197" spans="1:22" ht="15.75">
      <c r="A197" s="28" t="s">
        <v>392</v>
      </c>
      <c r="B197" s="28" t="s">
        <v>393</v>
      </c>
      <c r="C197" s="23">
        <v>34.4</v>
      </c>
      <c r="D197" s="23">
        <v>4.9000000000000004</v>
      </c>
      <c r="E197" s="23" t="s">
        <v>4682</v>
      </c>
      <c r="F197" s="23" t="s">
        <v>4682</v>
      </c>
      <c r="G197" s="23" t="s">
        <v>4684</v>
      </c>
      <c r="H197" s="23">
        <v>1</v>
      </c>
      <c r="I197" s="23" t="s">
        <v>4683</v>
      </c>
      <c r="J197" s="23" t="s">
        <v>4729</v>
      </c>
      <c r="K197" s="23" t="s">
        <v>4737</v>
      </c>
      <c r="L197">
        <v>2001</v>
      </c>
      <c r="M197" s="15" t="s">
        <v>4706</v>
      </c>
      <c r="N197">
        <v>4</v>
      </c>
      <c r="O197">
        <v>0</v>
      </c>
      <c r="P197" s="21">
        <f>DATEVALUE(N197&amp;"-"&amp;M197&amp;"-"&amp;L197)</f>
        <v>37107</v>
      </c>
      <c r="Q197" s="22">
        <v>2026.97</v>
      </c>
      <c r="R197" s="23" t="s">
        <v>4698</v>
      </c>
      <c r="S197" s="23" t="s">
        <v>4697</v>
      </c>
      <c r="T197" s="23" t="s">
        <v>4699</v>
      </c>
      <c r="U197" s="23">
        <f>DATEDIF(P197, DATE(2023, 6, 8), "Y")</f>
        <v>21</v>
      </c>
      <c r="V197">
        <f>SUM(C197:K197)</f>
        <v>40.299999999999997</v>
      </c>
    </row>
    <row r="198" spans="1:22" ht="15.75">
      <c r="A198" s="28" t="s">
        <v>394</v>
      </c>
      <c r="B198" s="28" t="s">
        <v>395</v>
      </c>
      <c r="C198" s="23">
        <v>31.73</v>
      </c>
      <c r="D198" s="23">
        <v>4.3</v>
      </c>
      <c r="E198" s="23" t="s">
        <v>4682</v>
      </c>
      <c r="F198" s="23" t="s">
        <v>4682</v>
      </c>
      <c r="G198" s="23" t="s">
        <v>4682</v>
      </c>
      <c r="H198" s="23">
        <v>0</v>
      </c>
      <c r="I198" s="23" t="s">
        <v>4683</v>
      </c>
      <c r="J198" s="23" t="s">
        <v>4729</v>
      </c>
      <c r="K198" s="23" t="s">
        <v>4737</v>
      </c>
      <c r="L198">
        <v>2000</v>
      </c>
      <c r="M198" s="15" t="s">
        <v>4703</v>
      </c>
      <c r="N198">
        <v>2</v>
      </c>
      <c r="O198">
        <v>0</v>
      </c>
      <c r="P198" s="21">
        <f>DATEVALUE(N198&amp;"-"&amp;M198&amp;"-"&amp;L198)</f>
        <v>36771</v>
      </c>
      <c r="Q198" s="22">
        <v>2045.69</v>
      </c>
      <c r="R198" s="23" t="s">
        <v>4698</v>
      </c>
      <c r="S198" s="23" t="s">
        <v>4698</v>
      </c>
      <c r="T198" s="23" t="s">
        <v>4704</v>
      </c>
      <c r="U198" s="23">
        <f>DATEDIF(P198, DATE(2023, 6, 8), "Y")</f>
        <v>22</v>
      </c>
      <c r="V198">
        <f>SUM(C198:K198)</f>
        <v>36.03</v>
      </c>
    </row>
    <row r="199" spans="1:22" ht="15.75">
      <c r="A199" s="28" t="s">
        <v>396</v>
      </c>
      <c r="B199" s="28" t="s">
        <v>397</v>
      </c>
      <c r="C199" s="23">
        <v>36.64</v>
      </c>
      <c r="D199" s="23">
        <v>11.34</v>
      </c>
      <c r="E199" s="23" t="s">
        <v>4682</v>
      </c>
      <c r="F199" s="23" t="s">
        <v>4682</v>
      </c>
      <c r="G199" s="23" t="s">
        <v>4682</v>
      </c>
      <c r="H199" s="23">
        <v>0</v>
      </c>
      <c r="I199" s="23" t="s">
        <v>4683</v>
      </c>
      <c r="J199" s="23" t="s">
        <v>4729</v>
      </c>
      <c r="K199" s="23" t="s">
        <v>4735</v>
      </c>
      <c r="L199">
        <v>2000</v>
      </c>
      <c r="M199" s="15" t="s">
        <v>4696</v>
      </c>
      <c r="N199">
        <v>26</v>
      </c>
      <c r="O199">
        <v>0</v>
      </c>
      <c r="P199" s="21">
        <f>DATEVALUE(N199&amp;"-"&amp;M199&amp;"-"&amp;L199)</f>
        <v>36733</v>
      </c>
      <c r="Q199" s="22">
        <v>2055.3200000000002</v>
      </c>
      <c r="R199" s="23" t="s">
        <v>4698</v>
      </c>
      <c r="S199" s="23" t="s">
        <v>4698</v>
      </c>
      <c r="T199" s="23" t="s">
        <v>4704</v>
      </c>
      <c r="U199" s="23">
        <f>DATEDIF(P199, DATE(2023, 6, 8), "Y")</f>
        <v>22</v>
      </c>
      <c r="V199">
        <f>SUM(C199:K199)</f>
        <v>47.980000000000004</v>
      </c>
    </row>
    <row r="200" spans="1:22" ht="15.75">
      <c r="A200" s="28" t="s">
        <v>398</v>
      </c>
      <c r="B200" s="28" t="s">
        <v>399</v>
      </c>
      <c r="C200" s="23">
        <v>36.85</v>
      </c>
      <c r="D200" s="23">
        <v>5.88</v>
      </c>
      <c r="E200" s="23" t="s">
        <v>4682</v>
      </c>
      <c r="F200" s="23" t="s">
        <v>4683</v>
      </c>
      <c r="G200" s="23" t="s">
        <v>4682</v>
      </c>
      <c r="H200" s="23">
        <v>1</v>
      </c>
      <c r="I200" s="23" t="s">
        <v>4683</v>
      </c>
      <c r="J200" s="23" t="s">
        <v>4729</v>
      </c>
      <c r="K200" s="23" t="s">
        <v>4736</v>
      </c>
      <c r="L200">
        <v>2004</v>
      </c>
      <c r="M200" s="15" t="s">
        <v>4702</v>
      </c>
      <c r="N200">
        <v>12</v>
      </c>
      <c r="O200">
        <v>0</v>
      </c>
      <c r="P200" s="21">
        <f>DATEVALUE(N200&amp;"-"&amp;M200&amp;"-"&amp;L200)</f>
        <v>38150</v>
      </c>
      <c r="Q200" s="22">
        <v>2094.1</v>
      </c>
      <c r="R200" s="23" t="s">
        <v>4698</v>
      </c>
      <c r="S200" s="23" t="s">
        <v>4697</v>
      </c>
      <c r="T200" s="23" t="s">
        <v>4713</v>
      </c>
      <c r="U200" s="23">
        <f>DATEDIF(P200, DATE(2023, 6, 8), "Y")</f>
        <v>18</v>
      </c>
      <c r="V200">
        <f>SUM(C200:K200)</f>
        <v>43.730000000000004</v>
      </c>
    </row>
    <row r="201" spans="1:22" ht="15.75">
      <c r="A201" s="28" t="s">
        <v>400</v>
      </c>
      <c r="B201" s="28" t="s">
        <v>401</v>
      </c>
      <c r="C201" s="23">
        <v>33.33</v>
      </c>
      <c r="D201" s="23">
        <v>5.01</v>
      </c>
      <c r="E201" s="23" t="s">
        <v>4683</v>
      </c>
      <c r="F201" s="23" t="s">
        <v>4682</v>
      </c>
      <c r="G201" s="23" t="s">
        <v>4684</v>
      </c>
      <c r="H201" s="23">
        <v>1</v>
      </c>
      <c r="I201" s="23" t="s">
        <v>4683</v>
      </c>
      <c r="J201" s="23" t="s">
        <v>4729</v>
      </c>
      <c r="K201" s="23" t="s">
        <v>4737</v>
      </c>
      <c r="L201">
        <v>2001</v>
      </c>
      <c r="M201" s="15" t="s">
        <v>4706</v>
      </c>
      <c r="N201">
        <v>14</v>
      </c>
      <c r="O201">
        <v>0</v>
      </c>
      <c r="P201" s="21">
        <f>DATEVALUE(N201&amp;"-"&amp;M201&amp;"-"&amp;L201)</f>
        <v>37117</v>
      </c>
      <c r="Q201" s="22">
        <v>2102.2600000000002</v>
      </c>
      <c r="R201" s="23" t="s">
        <v>4698</v>
      </c>
      <c r="S201" s="23" t="s">
        <v>4697</v>
      </c>
      <c r="T201" s="23" t="s">
        <v>4710</v>
      </c>
      <c r="U201" s="23">
        <f>DATEDIF(P201, DATE(2023, 6, 8), "Y")</f>
        <v>21</v>
      </c>
      <c r="V201">
        <f>SUM(C201:K201)</f>
        <v>39.339999999999996</v>
      </c>
    </row>
    <row r="202" spans="1:22" ht="15.75">
      <c r="A202" s="28" t="s">
        <v>402</v>
      </c>
      <c r="B202" s="28" t="s">
        <v>403</v>
      </c>
      <c r="C202" s="23">
        <v>39.14</v>
      </c>
      <c r="D202" s="23">
        <v>4.4000000000000004</v>
      </c>
      <c r="E202" s="23" t="s">
        <v>4682</v>
      </c>
      <c r="F202" s="23" t="s">
        <v>4682</v>
      </c>
      <c r="G202" s="23" t="s">
        <v>4684</v>
      </c>
      <c r="H202" s="23">
        <v>1</v>
      </c>
      <c r="I202" s="23" t="s">
        <v>4683</v>
      </c>
      <c r="J202" s="23" t="s">
        <v>4729</v>
      </c>
      <c r="K202" s="23" t="s">
        <v>4737</v>
      </c>
      <c r="L202">
        <v>2001</v>
      </c>
      <c r="M202" s="15" t="s">
        <v>4702</v>
      </c>
      <c r="N202">
        <v>22</v>
      </c>
      <c r="O202">
        <v>1</v>
      </c>
      <c r="P202" s="21">
        <f>DATEVALUE(N202&amp;"-"&amp;M202&amp;"-"&amp;L202)</f>
        <v>37064</v>
      </c>
      <c r="Q202" s="22">
        <v>2103.08</v>
      </c>
      <c r="R202" s="23" t="s">
        <v>4698</v>
      </c>
      <c r="S202" s="23" t="s">
        <v>4697</v>
      </c>
      <c r="T202" s="23" t="s">
        <v>4708</v>
      </c>
      <c r="U202" s="23">
        <f>DATEDIF(P202, DATE(2023, 6, 8), "Y")</f>
        <v>21</v>
      </c>
      <c r="V202">
        <f>SUM(C202:K202)</f>
        <v>44.54</v>
      </c>
    </row>
    <row r="203" spans="1:22" ht="15.75">
      <c r="A203" s="28" t="s">
        <v>404</v>
      </c>
      <c r="B203" s="28" t="s">
        <v>405</v>
      </c>
      <c r="C203" s="23">
        <v>32.9</v>
      </c>
      <c r="D203" s="23">
        <v>6.26</v>
      </c>
      <c r="E203" s="23" t="s">
        <v>4683</v>
      </c>
      <c r="F203" s="23" t="s">
        <v>4682</v>
      </c>
      <c r="G203" s="23" t="s">
        <v>4682</v>
      </c>
      <c r="H203" s="23">
        <v>0</v>
      </c>
      <c r="I203" s="23" t="s">
        <v>4683</v>
      </c>
      <c r="J203" s="23" t="s">
        <v>4729</v>
      </c>
      <c r="K203" s="23" t="s">
        <v>4736</v>
      </c>
      <c r="L203">
        <v>2001</v>
      </c>
      <c r="M203" s="15" t="s">
        <v>4700</v>
      </c>
      <c r="N203">
        <v>28</v>
      </c>
      <c r="O203">
        <v>0</v>
      </c>
      <c r="P203" s="21">
        <f>DATEVALUE(N203&amp;"-"&amp;M203&amp;"-"&amp;L203)</f>
        <v>37223</v>
      </c>
      <c r="Q203" s="22">
        <v>2104.11</v>
      </c>
      <c r="R203" s="23" t="s">
        <v>4697</v>
      </c>
      <c r="S203" s="23" t="s">
        <v>4701</v>
      </c>
      <c r="T203" s="23" t="s">
        <v>4711</v>
      </c>
      <c r="U203" s="23">
        <f>DATEDIF(P203, DATE(2023, 6, 8), "Y")</f>
        <v>21</v>
      </c>
      <c r="V203">
        <f>SUM(C203:K203)</f>
        <v>39.159999999999997</v>
      </c>
    </row>
    <row r="204" spans="1:22" ht="15.75">
      <c r="A204" s="28" t="s">
        <v>406</v>
      </c>
      <c r="B204" s="28" t="s">
        <v>407</v>
      </c>
      <c r="C204" s="23">
        <v>29.78</v>
      </c>
      <c r="D204" s="23">
        <v>10.27</v>
      </c>
      <c r="E204" s="23" t="s">
        <v>4683</v>
      </c>
      <c r="F204" s="23" t="s">
        <v>4682</v>
      </c>
      <c r="G204" s="23" t="s">
        <v>4684</v>
      </c>
      <c r="H204" s="23">
        <v>1</v>
      </c>
      <c r="I204" s="23" t="s">
        <v>4683</v>
      </c>
      <c r="J204" s="23" t="s">
        <v>4730</v>
      </c>
      <c r="K204" s="23" t="s">
        <v>4735</v>
      </c>
      <c r="L204">
        <v>1989</v>
      </c>
      <c r="M204" s="15" t="s">
        <v>4696</v>
      </c>
      <c r="N204">
        <v>21</v>
      </c>
      <c r="O204">
        <v>3</v>
      </c>
      <c r="P204" s="21">
        <f>DATEVALUE(N204&amp;"-"&amp;M204&amp;"-"&amp;L204)</f>
        <v>32710</v>
      </c>
      <c r="Q204" s="22">
        <v>2106.2600000000002</v>
      </c>
      <c r="R204" s="23" t="s">
        <v>4697</v>
      </c>
      <c r="S204" s="23" t="s">
        <v>4697</v>
      </c>
      <c r="T204" s="23" t="s">
        <v>4699</v>
      </c>
      <c r="U204" s="23">
        <f>DATEDIF(P204, DATE(2023, 6, 8), "Y")</f>
        <v>33</v>
      </c>
      <c r="V204">
        <f>SUM(C204:K204)</f>
        <v>41.05</v>
      </c>
    </row>
    <row r="205" spans="1:22" ht="15.75">
      <c r="A205" s="28" t="s">
        <v>408</v>
      </c>
      <c r="B205" s="28" t="s">
        <v>409</v>
      </c>
      <c r="C205" s="23">
        <v>32.78</v>
      </c>
      <c r="D205" s="23">
        <v>5.27</v>
      </c>
      <c r="E205" s="23" t="s">
        <v>4682</v>
      </c>
      <c r="F205" s="23" t="s">
        <v>4682</v>
      </c>
      <c r="G205" s="23" t="s">
        <v>4682</v>
      </c>
      <c r="H205" s="23">
        <v>0</v>
      </c>
      <c r="I205" s="23" t="s">
        <v>4683</v>
      </c>
      <c r="J205" s="23" t="s">
        <v>4729</v>
      </c>
      <c r="K205" s="23" t="s">
        <v>4737</v>
      </c>
      <c r="L205">
        <v>2003</v>
      </c>
      <c r="M205" s="15" t="s">
        <v>4703</v>
      </c>
      <c r="N205">
        <v>30</v>
      </c>
      <c r="O205">
        <v>0</v>
      </c>
      <c r="P205" s="21">
        <f>DATEVALUE(N205&amp;"-"&amp;M205&amp;"-"&amp;L205)</f>
        <v>37894</v>
      </c>
      <c r="Q205" s="22">
        <v>2117.34</v>
      </c>
      <c r="R205" s="23" t="s">
        <v>4697</v>
      </c>
      <c r="S205" s="23" t="s">
        <v>4698</v>
      </c>
      <c r="T205" s="23" t="s">
        <v>4704</v>
      </c>
      <c r="U205" s="23">
        <f>DATEDIF(P205, DATE(2023, 6, 8), "Y")</f>
        <v>19</v>
      </c>
      <c r="V205">
        <f>SUM(C205:K205)</f>
        <v>38.049999999999997</v>
      </c>
    </row>
    <row r="206" spans="1:22" ht="15.75">
      <c r="A206" s="28" t="s">
        <v>410</v>
      </c>
      <c r="B206" s="28" t="s">
        <v>411</v>
      </c>
      <c r="C206" s="23">
        <v>41.65</v>
      </c>
      <c r="D206" s="23">
        <v>10.73</v>
      </c>
      <c r="E206" s="23" t="s">
        <v>4683</v>
      </c>
      <c r="F206" s="23" t="s">
        <v>4682</v>
      </c>
      <c r="G206" s="23" t="s">
        <v>4682</v>
      </c>
      <c r="H206" s="23">
        <v>0</v>
      </c>
      <c r="I206" s="23" t="s">
        <v>4683</v>
      </c>
      <c r="J206" s="23" t="s">
        <v>4729</v>
      </c>
      <c r="K206" s="23" t="s">
        <v>4735</v>
      </c>
      <c r="L206">
        <v>2004</v>
      </c>
      <c r="M206" s="15" t="s">
        <v>4700</v>
      </c>
      <c r="N206">
        <v>4</v>
      </c>
      <c r="O206">
        <v>0</v>
      </c>
      <c r="P206" s="21">
        <f>DATEVALUE(N206&amp;"-"&amp;M206&amp;"-"&amp;L206)</f>
        <v>38295</v>
      </c>
      <c r="Q206" s="22">
        <v>2118.61</v>
      </c>
      <c r="R206" s="23" t="s">
        <v>4697</v>
      </c>
      <c r="S206" s="23" t="s">
        <v>4701</v>
      </c>
      <c r="T206" s="23" t="s">
        <v>4704</v>
      </c>
      <c r="U206" s="23">
        <f>DATEDIF(P206, DATE(2023, 6, 8), "Y")</f>
        <v>18</v>
      </c>
      <c r="V206">
        <f>SUM(C206:K206)</f>
        <v>52.379999999999995</v>
      </c>
    </row>
    <row r="207" spans="1:22" ht="15.75">
      <c r="A207" s="28" t="s">
        <v>412</v>
      </c>
      <c r="B207" s="28" t="s">
        <v>413</v>
      </c>
      <c r="C207" s="23">
        <v>50.79</v>
      </c>
      <c r="D207" s="23">
        <v>4.45</v>
      </c>
      <c r="E207" s="23" t="s">
        <v>4682</v>
      </c>
      <c r="F207" s="23" t="s">
        <v>4682</v>
      </c>
      <c r="G207" s="23" t="s">
        <v>4682</v>
      </c>
      <c r="H207" s="23">
        <v>1</v>
      </c>
      <c r="I207" s="23" t="s">
        <v>4683</v>
      </c>
      <c r="J207" s="23" t="s">
        <v>4729</v>
      </c>
      <c r="K207" s="23" t="s">
        <v>4737</v>
      </c>
      <c r="L207">
        <v>2003</v>
      </c>
      <c r="M207" s="15" t="s">
        <v>4706</v>
      </c>
      <c r="N207">
        <v>30</v>
      </c>
      <c r="O207">
        <v>0</v>
      </c>
      <c r="P207" s="21">
        <f>DATEVALUE(N207&amp;"-"&amp;M207&amp;"-"&amp;L207)</f>
        <v>37863</v>
      </c>
      <c r="Q207" s="22">
        <v>2128.4299999999998</v>
      </c>
      <c r="R207" s="23" t="s">
        <v>4697</v>
      </c>
      <c r="S207" s="23" t="s">
        <v>4701</v>
      </c>
      <c r="T207" s="23" t="s">
        <v>4704</v>
      </c>
      <c r="U207" s="23">
        <f>DATEDIF(P207, DATE(2023, 6, 8), "Y")</f>
        <v>19</v>
      </c>
      <c r="V207">
        <f>SUM(C207:K207)</f>
        <v>56.24</v>
      </c>
    </row>
    <row r="208" spans="1:22" ht="15.75">
      <c r="A208" s="28" t="s">
        <v>414</v>
      </c>
      <c r="B208" s="28" t="s">
        <v>415</v>
      </c>
      <c r="C208" s="23">
        <v>35.43</v>
      </c>
      <c r="D208" s="23">
        <v>5.25</v>
      </c>
      <c r="E208" s="23" t="s">
        <v>4683</v>
      </c>
      <c r="F208" s="23" t="s">
        <v>4682</v>
      </c>
      <c r="G208" s="23" t="s">
        <v>4682</v>
      </c>
      <c r="H208" s="23">
        <v>0</v>
      </c>
      <c r="I208" s="23" t="s">
        <v>4683</v>
      </c>
      <c r="J208" s="23" t="s">
        <v>4729</v>
      </c>
      <c r="K208" s="23" t="s">
        <v>4737</v>
      </c>
      <c r="L208">
        <v>2003</v>
      </c>
      <c r="M208" s="15" t="s">
        <v>4705</v>
      </c>
      <c r="N208">
        <v>22</v>
      </c>
      <c r="O208">
        <v>0</v>
      </c>
      <c r="P208" s="21">
        <f>DATEVALUE(N208&amp;"-"&amp;M208&amp;"-"&amp;L208)</f>
        <v>37977</v>
      </c>
      <c r="Q208" s="22">
        <v>2130.6799999999998</v>
      </c>
      <c r="R208" s="23" t="s">
        <v>4697</v>
      </c>
      <c r="S208" s="23" t="s">
        <v>4698</v>
      </c>
      <c r="T208" s="23" t="s">
        <v>4704</v>
      </c>
      <c r="U208" s="23">
        <f>DATEDIF(P208, DATE(2023, 6, 8), "Y")</f>
        <v>19</v>
      </c>
      <c r="V208">
        <f>SUM(C208:K208)</f>
        <v>40.68</v>
      </c>
    </row>
    <row r="209" spans="1:22" ht="15.75">
      <c r="A209" s="28" t="s">
        <v>416</v>
      </c>
      <c r="B209" s="28" t="s">
        <v>417</v>
      </c>
      <c r="C209" s="23">
        <v>35.25</v>
      </c>
      <c r="D209" s="23">
        <v>9.51</v>
      </c>
      <c r="E209" s="23" t="s">
        <v>4682</v>
      </c>
      <c r="F209" s="23" t="s">
        <v>4682</v>
      </c>
      <c r="G209" s="23" t="s">
        <v>4682</v>
      </c>
      <c r="H209" s="23">
        <v>0</v>
      </c>
      <c r="I209" s="23" t="s">
        <v>4683</v>
      </c>
      <c r="J209" s="23" t="s">
        <v>4729</v>
      </c>
      <c r="K209" s="23" t="s">
        <v>4735</v>
      </c>
      <c r="L209">
        <v>2003</v>
      </c>
      <c r="M209" s="15" t="s">
        <v>4703</v>
      </c>
      <c r="N209">
        <v>1</v>
      </c>
      <c r="O209">
        <v>0</v>
      </c>
      <c r="P209" s="21">
        <f>DATEVALUE(N209&amp;"-"&amp;M209&amp;"-"&amp;L209)</f>
        <v>37865</v>
      </c>
      <c r="Q209" s="22">
        <v>2134.9</v>
      </c>
      <c r="R209" s="23" t="s">
        <v>4697</v>
      </c>
      <c r="S209" s="23" t="s">
        <v>4698</v>
      </c>
      <c r="T209" s="23" t="s">
        <v>4704</v>
      </c>
      <c r="U209" s="23">
        <f>DATEDIF(P209, DATE(2023, 6, 8), "Y")</f>
        <v>19</v>
      </c>
      <c r="V209">
        <f>SUM(C209:K209)</f>
        <v>44.76</v>
      </c>
    </row>
    <row r="210" spans="1:22" ht="15.75">
      <c r="A210" s="28" t="s">
        <v>418</v>
      </c>
      <c r="B210" s="28" t="s">
        <v>419</v>
      </c>
      <c r="C210" s="23">
        <v>36.85</v>
      </c>
      <c r="D210" s="23">
        <v>11.12</v>
      </c>
      <c r="E210" s="23" t="s">
        <v>4682</v>
      </c>
      <c r="F210" s="23" t="s">
        <v>4682</v>
      </c>
      <c r="G210" s="23" t="s">
        <v>4682</v>
      </c>
      <c r="H210" s="23">
        <v>0</v>
      </c>
      <c r="I210" s="23" t="s">
        <v>4683</v>
      </c>
      <c r="J210" s="23" t="s">
        <v>4729</v>
      </c>
      <c r="K210" s="23" t="s">
        <v>4735</v>
      </c>
      <c r="L210">
        <v>2003</v>
      </c>
      <c r="M210" s="15" t="s">
        <v>4703</v>
      </c>
      <c r="N210">
        <v>26</v>
      </c>
      <c r="O210">
        <v>0</v>
      </c>
      <c r="P210" s="21">
        <f>DATEVALUE(N210&amp;"-"&amp;M210&amp;"-"&amp;L210)</f>
        <v>37890</v>
      </c>
      <c r="Q210" s="22">
        <v>2136.88</v>
      </c>
      <c r="R210" s="23" t="s">
        <v>4697</v>
      </c>
      <c r="S210" s="23" t="s">
        <v>4697</v>
      </c>
      <c r="T210" s="23" t="s">
        <v>4704</v>
      </c>
      <c r="U210" s="23">
        <f>DATEDIF(P210, DATE(2023, 6, 8), "Y")</f>
        <v>19</v>
      </c>
      <c r="V210">
        <f>SUM(C210:K210)</f>
        <v>47.97</v>
      </c>
    </row>
    <row r="211" spans="1:22" ht="15.75">
      <c r="A211" s="28" t="s">
        <v>420</v>
      </c>
      <c r="B211" s="28" t="s">
        <v>421</v>
      </c>
      <c r="C211" s="23">
        <v>31.02</v>
      </c>
      <c r="D211" s="23">
        <v>4.5599999999999996</v>
      </c>
      <c r="E211" s="23" t="s">
        <v>4682</v>
      </c>
      <c r="F211" s="23" t="s">
        <v>4683</v>
      </c>
      <c r="G211" s="23" t="s">
        <v>4682</v>
      </c>
      <c r="H211" s="23">
        <v>1</v>
      </c>
      <c r="I211" s="23" t="s">
        <v>4683</v>
      </c>
      <c r="J211" s="23" t="s">
        <v>4729</v>
      </c>
      <c r="K211" s="23" t="s">
        <v>4737</v>
      </c>
      <c r="L211">
        <v>1997</v>
      </c>
      <c r="M211" s="15" t="s">
        <v>4703</v>
      </c>
      <c r="N211">
        <v>3</v>
      </c>
      <c r="O211">
        <v>0</v>
      </c>
      <c r="P211" s="21">
        <f>DATEVALUE(N211&amp;"-"&amp;M211&amp;"-"&amp;L211)</f>
        <v>35676</v>
      </c>
      <c r="Q211" s="22">
        <v>2137.65</v>
      </c>
      <c r="R211" s="23" t="s">
        <v>4698</v>
      </c>
      <c r="S211" s="23" t="s">
        <v>4701</v>
      </c>
      <c r="T211" s="23" t="s">
        <v>4699</v>
      </c>
      <c r="U211" s="23">
        <f>DATEDIF(P211, DATE(2023, 6, 8), "Y")</f>
        <v>25</v>
      </c>
      <c r="V211">
        <f>SUM(C211:K211)</f>
        <v>36.58</v>
      </c>
    </row>
    <row r="212" spans="1:22" ht="15.75">
      <c r="A212" s="28" t="s">
        <v>422</v>
      </c>
      <c r="B212" s="28" t="s">
        <v>423</v>
      </c>
      <c r="C212" s="23">
        <v>35.6</v>
      </c>
      <c r="D212" s="23">
        <v>4.0199999999999996</v>
      </c>
      <c r="E212" s="23" t="s">
        <v>4683</v>
      </c>
      <c r="F212" s="23" t="s">
        <v>4683</v>
      </c>
      <c r="G212" s="23" t="s">
        <v>4682</v>
      </c>
      <c r="H212" s="23">
        <v>2</v>
      </c>
      <c r="I212" s="23" t="s">
        <v>4683</v>
      </c>
      <c r="J212" s="23" t="s">
        <v>4729</v>
      </c>
      <c r="K212" s="23" t="s">
        <v>4737</v>
      </c>
      <c r="L212">
        <v>2003</v>
      </c>
      <c r="M212" s="15" t="s">
        <v>4706</v>
      </c>
      <c r="N212">
        <v>19</v>
      </c>
      <c r="O212">
        <v>0</v>
      </c>
      <c r="P212" s="21">
        <f>DATEVALUE(N212&amp;"-"&amp;M212&amp;"-"&amp;L212)</f>
        <v>37852</v>
      </c>
      <c r="Q212" s="22">
        <v>2138.0700000000002</v>
      </c>
      <c r="R212" s="23" t="s">
        <v>4697</v>
      </c>
      <c r="S212" s="23" t="s">
        <v>4701</v>
      </c>
      <c r="T212" s="23" t="s">
        <v>4704</v>
      </c>
      <c r="U212" s="23">
        <f>DATEDIF(P212, DATE(2023, 6, 8), "Y")</f>
        <v>19</v>
      </c>
      <c r="V212">
        <f>SUM(C212:K212)</f>
        <v>41.620000000000005</v>
      </c>
    </row>
    <row r="213" spans="1:22" ht="15.75">
      <c r="A213" s="28" t="s">
        <v>424</v>
      </c>
      <c r="B213" s="28" t="s">
        <v>425</v>
      </c>
      <c r="C213" s="23">
        <v>34.39</v>
      </c>
      <c r="D213" s="23">
        <v>8.7200000000000006</v>
      </c>
      <c r="E213" s="23" t="s">
        <v>4682</v>
      </c>
      <c r="F213" s="23" t="s">
        <v>4682</v>
      </c>
      <c r="G213" s="23" t="s">
        <v>4682</v>
      </c>
      <c r="H213" s="23">
        <v>0</v>
      </c>
      <c r="I213" s="23" t="s">
        <v>4683</v>
      </c>
      <c r="J213" s="23" t="s">
        <v>4729</v>
      </c>
      <c r="K213" s="23" t="s">
        <v>4735</v>
      </c>
      <c r="L213">
        <v>2004</v>
      </c>
      <c r="M213" s="15" t="s">
        <v>4707</v>
      </c>
      <c r="N213">
        <v>4</v>
      </c>
      <c r="O213">
        <v>0</v>
      </c>
      <c r="P213" s="21">
        <f>DATEVALUE(N213&amp;"-"&amp;M213&amp;"-"&amp;L213)</f>
        <v>38264</v>
      </c>
      <c r="Q213" s="22">
        <v>2144.85</v>
      </c>
      <c r="R213" s="23" t="s">
        <v>4697</v>
      </c>
      <c r="S213" s="23" t="s">
        <v>4701</v>
      </c>
      <c r="T213" s="23" t="s">
        <v>4708</v>
      </c>
      <c r="U213" s="23">
        <f>DATEDIF(P213, DATE(2023, 6, 8), "Y")</f>
        <v>18</v>
      </c>
      <c r="V213">
        <f>SUM(C213:K213)</f>
        <v>43.11</v>
      </c>
    </row>
    <row r="214" spans="1:22" ht="15.75">
      <c r="A214" s="28" t="s">
        <v>426</v>
      </c>
      <c r="B214" s="28" t="s">
        <v>427</v>
      </c>
      <c r="C214" s="23">
        <v>29.06</v>
      </c>
      <c r="D214" s="23">
        <v>6.25</v>
      </c>
      <c r="E214" s="23" t="s">
        <v>4683</v>
      </c>
      <c r="F214" s="23" t="s">
        <v>4682</v>
      </c>
      <c r="G214" s="23" t="s">
        <v>4682</v>
      </c>
      <c r="H214" s="23">
        <v>1</v>
      </c>
      <c r="I214" s="23" t="s">
        <v>4683</v>
      </c>
      <c r="J214" s="23" t="s">
        <v>4730</v>
      </c>
      <c r="K214" s="23" t="s">
        <v>4736</v>
      </c>
      <c r="L214">
        <v>2000</v>
      </c>
      <c r="M214" s="15" t="s">
        <v>4705</v>
      </c>
      <c r="N214">
        <v>27</v>
      </c>
      <c r="O214">
        <v>0</v>
      </c>
      <c r="P214" s="21">
        <f>DATEVALUE(N214&amp;"-"&amp;M214&amp;"-"&amp;L214)</f>
        <v>36887</v>
      </c>
      <c r="Q214" s="22">
        <v>2150.4699999999998</v>
      </c>
      <c r="R214" s="23" t="s">
        <v>4697</v>
      </c>
      <c r="S214" s="23" t="s">
        <v>4698</v>
      </c>
      <c r="T214" s="23" t="s">
        <v>4708</v>
      </c>
      <c r="U214" s="23">
        <f>DATEDIF(P214, DATE(2023, 6, 8), "Y")</f>
        <v>22</v>
      </c>
      <c r="V214">
        <f>SUM(C214:K214)</f>
        <v>36.31</v>
      </c>
    </row>
    <row r="215" spans="1:22" ht="15.75">
      <c r="A215" s="28" t="s">
        <v>428</v>
      </c>
      <c r="B215" s="28" t="s">
        <v>429</v>
      </c>
      <c r="C215" s="23">
        <v>35.799999999999997</v>
      </c>
      <c r="D215" s="23">
        <v>7.32</v>
      </c>
      <c r="E215" s="23" t="s">
        <v>4682</v>
      </c>
      <c r="F215" s="23" t="s">
        <v>4682</v>
      </c>
      <c r="G215" s="23" t="s">
        <v>4682</v>
      </c>
      <c r="H215" s="23">
        <v>2</v>
      </c>
      <c r="I215" s="23" t="s">
        <v>4683</v>
      </c>
      <c r="J215" s="23" t="s">
        <v>4729</v>
      </c>
      <c r="K215" s="23" t="s">
        <v>4735</v>
      </c>
      <c r="L215">
        <v>2000</v>
      </c>
      <c r="M215" s="15" t="s">
        <v>4707</v>
      </c>
      <c r="N215">
        <v>22</v>
      </c>
      <c r="O215">
        <v>0</v>
      </c>
      <c r="P215" s="21">
        <f>DATEVALUE(N215&amp;"-"&amp;M215&amp;"-"&amp;L215)</f>
        <v>36821</v>
      </c>
      <c r="Q215" s="22">
        <v>2154.36</v>
      </c>
      <c r="R215" s="23" t="s">
        <v>4697</v>
      </c>
      <c r="S215" s="23" t="s">
        <v>4697</v>
      </c>
      <c r="T215" s="23" t="s">
        <v>4708</v>
      </c>
      <c r="U215" s="23">
        <f>DATEDIF(P215, DATE(2023, 6, 8), "Y")</f>
        <v>22</v>
      </c>
      <c r="V215">
        <f>SUM(C215:K215)</f>
        <v>45.12</v>
      </c>
    </row>
    <row r="216" spans="1:22" ht="15.75">
      <c r="A216" s="28" t="s">
        <v>430</v>
      </c>
      <c r="B216" s="28" t="s">
        <v>431</v>
      </c>
      <c r="C216" s="23">
        <v>49.8</v>
      </c>
      <c r="D216" s="23">
        <v>4.24</v>
      </c>
      <c r="E216" s="23" t="s">
        <v>4682</v>
      </c>
      <c r="F216" s="23" t="s">
        <v>4682</v>
      </c>
      <c r="G216" s="23" t="s">
        <v>4682</v>
      </c>
      <c r="H216" s="23">
        <v>1</v>
      </c>
      <c r="I216" s="23" t="s">
        <v>4683</v>
      </c>
      <c r="J216" s="23" t="s">
        <v>4729</v>
      </c>
      <c r="K216" s="23" t="s">
        <v>4737</v>
      </c>
      <c r="L216">
        <v>2000</v>
      </c>
      <c r="M216" s="15" t="s">
        <v>4700</v>
      </c>
      <c r="N216">
        <v>29</v>
      </c>
      <c r="O216">
        <v>0</v>
      </c>
      <c r="P216" s="21">
        <f>DATEVALUE(N216&amp;"-"&amp;M216&amp;"-"&amp;L216)</f>
        <v>36859</v>
      </c>
      <c r="Q216" s="22">
        <v>2155.6799999999998</v>
      </c>
      <c r="R216" s="23" t="s">
        <v>4697</v>
      </c>
      <c r="S216" s="23" t="s">
        <v>4698</v>
      </c>
      <c r="T216" s="23" t="s">
        <v>4699</v>
      </c>
      <c r="U216" s="23">
        <f>DATEDIF(P216, DATE(2023, 6, 8), "Y")</f>
        <v>22</v>
      </c>
      <c r="V216">
        <f>SUM(C216:K216)</f>
        <v>55.04</v>
      </c>
    </row>
    <row r="217" spans="1:22" ht="15.75">
      <c r="A217" s="28" t="s">
        <v>432</v>
      </c>
      <c r="B217" s="28" t="s">
        <v>433</v>
      </c>
      <c r="C217" s="23">
        <v>35.71</v>
      </c>
      <c r="D217" s="23">
        <v>6.84</v>
      </c>
      <c r="E217" s="23" t="s">
        <v>4682</v>
      </c>
      <c r="F217" s="23" t="s">
        <v>4682</v>
      </c>
      <c r="G217" s="23" t="s">
        <v>4682</v>
      </c>
      <c r="H217" s="23">
        <v>2</v>
      </c>
      <c r="I217" s="23" t="s">
        <v>4683</v>
      </c>
      <c r="J217" s="23" t="s">
        <v>4729</v>
      </c>
      <c r="K217" s="23" t="s">
        <v>4735</v>
      </c>
      <c r="L217">
        <v>2000</v>
      </c>
      <c r="M217" s="15" t="s">
        <v>4705</v>
      </c>
      <c r="N217">
        <v>10</v>
      </c>
      <c r="O217">
        <v>0</v>
      </c>
      <c r="P217" s="21">
        <f>DATEVALUE(N217&amp;"-"&amp;M217&amp;"-"&amp;L217)</f>
        <v>36870</v>
      </c>
      <c r="Q217" s="22">
        <v>2156.75</v>
      </c>
      <c r="R217" s="23" t="s">
        <v>4697</v>
      </c>
      <c r="S217" s="23" t="s">
        <v>4697</v>
      </c>
      <c r="T217" s="23" t="s">
        <v>4699</v>
      </c>
      <c r="U217" s="23">
        <f>DATEDIF(P217, DATE(2023, 6, 8), "Y")</f>
        <v>22</v>
      </c>
      <c r="V217">
        <f>SUM(C217:K217)</f>
        <v>44.55</v>
      </c>
    </row>
    <row r="218" spans="1:22" ht="15.75">
      <c r="A218" s="28" t="s">
        <v>434</v>
      </c>
      <c r="B218" s="28" t="s">
        <v>435</v>
      </c>
      <c r="C218" s="23">
        <v>30.8</v>
      </c>
      <c r="D218" s="23">
        <v>5.23</v>
      </c>
      <c r="E218" s="23" t="s">
        <v>4683</v>
      </c>
      <c r="F218" s="23" t="s">
        <v>4682</v>
      </c>
      <c r="G218" s="23" t="s">
        <v>4682</v>
      </c>
      <c r="H218" s="23">
        <v>1</v>
      </c>
      <c r="I218" s="23" t="s">
        <v>4683</v>
      </c>
      <c r="J218" s="23" t="s">
        <v>4729</v>
      </c>
      <c r="K218" s="23" t="s">
        <v>4737</v>
      </c>
      <c r="L218">
        <v>2000</v>
      </c>
      <c r="M218" s="15" t="s">
        <v>4706</v>
      </c>
      <c r="N218">
        <v>23</v>
      </c>
      <c r="O218">
        <v>0</v>
      </c>
      <c r="P218" s="21">
        <f>DATEVALUE(N218&amp;"-"&amp;M218&amp;"-"&amp;L218)</f>
        <v>36761</v>
      </c>
      <c r="Q218" s="22">
        <v>2166.73</v>
      </c>
      <c r="R218" s="23" t="s">
        <v>4697</v>
      </c>
      <c r="S218" s="23" t="s">
        <v>4697</v>
      </c>
      <c r="T218" s="23" t="s">
        <v>4708</v>
      </c>
      <c r="U218" s="23">
        <f>DATEDIF(P218, DATE(2023, 6, 8), "Y")</f>
        <v>22</v>
      </c>
      <c r="V218">
        <f>SUM(C218:K218)</f>
        <v>37.03</v>
      </c>
    </row>
    <row r="219" spans="1:22" ht="15.75">
      <c r="A219" s="28" t="s">
        <v>436</v>
      </c>
      <c r="B219" s="28" t="s">
        <v>437</v>
      </c>
      <c r="C219" s="23">
        <v>33.69</v>
      </c>
      <c r="D219" s="23">
        <v>9.68</v>
      </c>
      <c r="E219" s="23" t="s">
        <v>4682</v>
      </c>
      <c r="F219" s="23" t="s">
        <v>4682</v>
      </c>
      <c r="G219" s="23" t="s">
        <v>4682</v>
      </c>
      <c r="H219" s="23">
        <v>0</v>
      </c>
      <c r="I219" s="23" t="s">
        <v>4683</v>
      </c>
      <c r="J219" s="23" t="s">
        <v>4729</v>
      </c>
      <c r="K219" s="23" t="s">
        <v>4735</v>
      </c>
      <c r="L219">
        <v>1994</v>
      </c>
      <c r="M219" s="15" t="s">
        <v>4703</v>
      </c>
      <c r="N219">
        <v>27</v>
      </c>
      <c r="O219">
        <v>0</v>
      </c>
      <c r="P219" s="21">
        <f>DATEVALUE(N219&amp;"-"&amp;M219&amp;"-"&amp;L219)</f>
        <v>34604</v>
      </c>
      <c r="Q219" s="22">
        <v>2170.08</v>
      </c>
      <c r="R219" s="23" t="s">
        <v>4697</v>
      </c>
      <c r="S219" s="23" t="s">
        <v>4697</v>
      </c>
      <c r="T219" s="23" t="s">
        <v>4699</v>
      </c>
      <c r="U219" s="23">
        <f>DATEDIF(P219, DATE(2023, 6, 8), "Y")</f>
        <v>28</v>
      </c>
      <c r="V219">
        <f>SUM(C219:K219)</f>
        <v>43.37</v>
      </c>
    </row>
    <row r="220" spans="1:22" ht="15.75">
      <c r="A220" s="28" t="s">
        <v>438</v>
      </c>
      <c r="B220" s="28" t="s">
        <v>439</v>
      </c>
      <c r="C220" s="23">
        <v>42.27</v>
      </c>
      <c r="D220" s="23">
        <v>6.05</v>
      </c>
      <c r="E220" s="23" t="s">
        <v>4683</v>
      </c>
      <c r="F220" s="23" t="s">
        <v>4682</v>
      </c>
      <c r="G220" s="23" t="s">
        <v>4682</v>
      </c>
      <c r="H220" s="23">
        <v>1</v>
      </c>
      <c r="I220" s="23" t="s">
        <v>4683</v>
      </c>
      <c r="J220" s="23" t="s">
        <v>4729</v>
      </c>
      <c r="K220" s="23" t="s">
        <v>4736</v>
      </c>
      <c r="L220">
        <v>1991</v>
      </c>
      <c r="M220" s="15" t="s">
        <v>4705</v>
      </c>
      <c r="N220">
        <v>16</v>
      </c>
      <c r="O220">
        <v>3</v>
      </c>
      <c r="P220" s="21">
        <f>DATEVALUE(N220&amp;"-"&amp;M220&amp;"-"&amp;L220)</f>
        <v>33588</v>
      </c>
      <c r="Q220" s="22">
        <v>2193.1999999999998</v>
      </c>
      <c r="R220" s="23" t="s">
        <v>4697</v>
      </c>
      <c r="S220" s="23" t="s">
        <v>4697</v>
      </c>
      <c r="T220" s="23" t="s">
        <v>4704</v>
      </c>
      <c r="U220" s="23">
        <f>DATEDIF(P220, DATE(2023, 6, 8), "Y")</f>
        <v>31</v>
      </c>
      <c r="V220">
        <f>SUM(C220:K220)</f>
        <v>49.32</v>
      </c>
    </row>
    <row r="221" spans="1:22" ht="15.75">
      <c r="A221" s="28" t="s">
        <v>440</v>
      </c>
      <c r="B221" s="28" t="s">
        <v>441</v>
      </c>
      <c r="C221" s="23">
        <v>53.25</v>
      </c>
      <c r="D221" s="23">
        <v>6.11</v>
      </c>
      <c r="E221" s="23" t="s">
        <v>4683</v>
      </c>
      <c r="F221" s="23" t="s">
        <v>4682</v>
      </c>
      <c r="G221" s="23" t="s">
        <v>4684</v>
      </c>
      <c r="H221" s="23">
        <v>1</v>
      </c>
      <c r="I221" s="23" t="s">
        <v>4683</v>
      </c>
      <c r="J221" s="23" t="s">
        <v>4729</v>
      </c>
      <c r="K221" s="23" t="s">
        <v>4736</v>
      </c>
      <c r="L221">
        <v>2004</v>
      </c>
      <c r="M221" s="15" t="s">
        <v>4705</v>
      </c>
      <c r="N221">
        <v>7</v>
      </c>
      <c r="O221">
        <v>0</v>
      </c>
      <c r="P221" s="21">
        <f>DATEVALUE(N221&amp;"-"&amp;M221&amp;"-"&amp;L221)</f>
        <v>38328</v>
      </c>
      <c r="Q221" s="22">
        <v>2196.4699999999998</v>
      </c>
      <c r="R221" s="23" t="s">
        <v>4697</v>
      </c>
      <c r="S221" s="23" t="s">
        <v>4698</v>
      </c>
      <c r="T221" s="23" t="s">
        <v>4714</v>
      </c>
      <c r="U221" s="23">
        <f>DATEDIF(P221, DATE(2023, 6, 8), "Y")</f>
        <v>18</v>
      </c>
      <c r="V221">
        <f>SUM(C221:K221)</f>
        <v>60.36</v>
      </c>
    </row>
    <row r="222" spans="1:22" ht="15.75">
      <c r="A222" s="28" t="s">
        <v>442</v>
      </c>
      <c r="B222" s="28" t="s">
        <v>443</v>
      </c>
      <c r="C222" s="23">
        <v>26.8</v>
      </c>
      <c r="D222" s="23">
        <v>10.93</v>
      </c>
      <c r="E222" s="23" t="s">
        <v>4683</v>
      </c>
      <c r="F222" s="23" t="s">
        <v>4682</v>
      </c>
      <c r="G222" s="23" t="s">
        <v>4682</v>
      </c>
      <c r="H222" s="23">
        <v>0</v>
      </c>
      <c r="I222" s="23" t="s">
        <v>4682</v>
      </c>
      <c r="J222" s="23" t="s">
        <v>4730</v>
      </c>
      <c r="K222" s="23" t="s">
        <v>4735</v>
      </c>
      <c r="L222">
        <v>2004</v>
      </c>
      <c r="M222" s="15" t="s">
        <v>4703</v>
      </c>
      <c r="N222">
        <v>3</v>
      </c>
      <c r="O222">
        <v>0</v>
      </c>
      <c r="P222" s="21">
        <f>DATEVALUE(N222&amp;"-"&amp;M222&amp;"-"&amp;L222)</f>
        <v>38233</v>
      </c>
      <c r="Q222" s="22">
        <v>2198.19</v>
      </c>
      <c r="R222" s="23" t="s">
        <v>4697</v>
      </c>
      <c r="S222" s="23" t="s">
        <v>4701</v>
      </c>
      <c r="T222" s="23" t="s">
        <v>4715</v>
      </c>
      <c r="U222" s="23">
        <f>DATEDIF(P222, DATE(2023, 6, 8), "Y")</f>
        <v>18</v>
      </c>
      <c r="V222">
        <f>SUM(C222:K222)</f>
        <v>37.730000000000004</v>
      </c>
    </row>
    <row r="223" spans="1:22" ht="15.75">
      <c r="A223" s="28" t="s">
        <v>444</v>
      </c>
      <c r="B223" s="28" t="s">
        <v>445</v>
      </c>
      <c r="C223" s="23">
        <v>28.5</v>
      </c>
      <c r="D223" s="23">
        <v>5.12</v>
      </c>
      <c r="E223" s="23" t="s">
        <v>4682</v>
      </c>
      <c r="F223" s="23" t="s">
        <v>4682</v>
      </c>
      <c r="G223" s="23" t="s">
        <v>4682</v>
      </c>
      <c r="H223" s="23">
        <v>1</v>
      </c>
      <c r="I223" s="23" t="s">
        <v>4683</v>
      </c>
      <c r="J223" s="23" t="s">
        <v>4730</v>
      </c>
      <c r="K223" s="23" t="s">
        <v>4737</v>
      </c>
      <c r="L223">
        <v>2004</v>
      </c>
      <c r="M223" s="15" t="s">
        <v>4703</v>
      </c>
      <c r="N223">
        <v>12</v>
      </c>
      <c r="O223">
        <v>0</v>
      </c>
      <c r="P223" s="21">
        <f>DATEVALUE(N223&amp;"-"&amp;M223&amp;"-"&amp;L223)</f>
        <v>38242</v>
      </c>
      <c r="Q223" s="22">
        <v>2200.83</v>
      </c>
      <c r="R223" s="23" t="s">
        <v>4697</v>
      </c>
      <c r="S223" s="23" t="s">
        <v>4697</v>
      </c>
      <c r="T223" s="23" t="s">
        <v>4714</v>
      </c>
      <c r="U223" s="23">
        <f>DATEDIF(P223, DATE(2023, 6, 8), "Y")</f>
        <v>18</v>
      </c>
      <c r="V223">
        <f>SUM(C223:K223)</f>
        <v>34.619999999999997</v>
      </c>
    </row>
    <row r="224" spans="1:22" ht="15.75">
      <c r="A224" s="28" t="s">
        <v>446</v>
      </c>
      <c r="B224" s="28" t="s">
        <v>447</v>
      </c>
      <c r="C224" s="23">
        <v>22.895</v>
      </c>
      <c r="D224" s="23">
        <v>5.72</v>
      </c>
      <c r="E224" s="23" t="s">
        <v>4682</v>
      </c>
      <c r="F224" s="23" t="s">
        <v>4682</v>
      </c>
      <c r="G224" s="23" t="s">
        <v>4682</v>
      </c>
      <c r="H224" s="23">
        <v>0</v>
      </c>
      <c r="I224" s="23" t="s">
        <v>4683</v>
      </c>
      <c r="J224" s="23" t="s">
        <v>4728</v>
      </c>
      <c r="K224" s="23" t="s">
        <v>4736</v>
      </c>
      <c r="L224">
        <v>2004</v>
      </c>
      <c r="M224" s="15" t="s">
        <v>4696</v>
      </c>
      <c r="N224">
        <v>27</v>
      </c>
      <c r="O224">
        <v>1</v>
      </c>
      <c r="P224" s="21">
        <f>DATEVALUE(N224&amp;"-"&amp;M224&amp;"-"&amp;L224)</f>
        <v>38195</v>
      </c>
      <c r="Q224" s="22">
        <v>2201.1</v>
      </c>
      <c r="R224" s="23" t="s">
        <v>4697</v>
      </c>
      <c r="S224" s="23" t="s">
        <v>4698</v>
      </c>
      <c r="T224" s="23" t="s">
        <v>4699</v>
      </c>
      <c r="U224" s="23">
        <f>DATEDIF(P224, DATE(2023, 6, 8), "Y")</f>
        <v>18</v>
      </c>
      <c r="V224">
        <f>SUM(C224:K224)</f>
        <v>28.614999999999998</v>
      </c>
    </row>
    <row r="225" spans="1:22" ht="15.75">
      <c r="A225" s="28" t="s">
        <v>448</v>
      </c>
      <c r="B225" s="28" t="s">
        <v>449</v>
      </c>
      <c r="C225" s="23">
        <v>34.06</v>
      </c>
      <c r="D225" s="23">
        <v>11.83</v>
      </c>
      <c r="E225" s="23" t="s">
        <v>4683</v>
      </c>
      <c r="F225" s="23" t="s">
        <v>4682</v>
      </c>
      <c r="G225" s="23" t="s">
        <v>4682</v>
      </c>
      <c r="H225" s="23">
        <v>1</v>
      </c>
      <c r="I225" s="23" t="s">
        <v>4683</v>
      </c>
      <c r="J225" s="23" t="s">
        <v>4729</v>
      </c>
      <c r="K225" s="23" t="s">
        <v>4735</v>
      </c>
      <c r="L225">
        <v>2004</v>
      </c>
      <c r="M225" s="15" t="s">
        <v>4706</v>
      </c>
      <c r="N225">
        <v>6</v>
      </c>
      <c r="O225">
        <v>0</v>
      </c>
      <c r="P225" s="21">
        <f>DATEVALUE(N225&amp;"-"&amp;M225&amp;"-"&amp;L225)</f>
        <v>38205</v>
      </c>
      <c r="Q225" s="22">
        <v>2203.4699999999998</v>
      </c>
      <c r="R225" s="23" t="s">
        <v>4697</v>
      </c>
      <c r="S225" s="23" t="s">
        <v>4697</v>
      </c>
      <c r="T225" s="23" t="s">
        <v>4714</v>
      </c>
      <c r="U225" s="23">
        <f>DATEDIF(P225, DATE(2023, 6, 8), "Y")</f>
        <v>18</v>
      </c>
      <c r="V225">
        <f>SUM(C225:K225)</f>
        <v>46.89</v>
      </c>
    </row>
    <row r="226" spans="1:22" ht="15.75">
      <c r="A226" s="28" t="s">
        <v>450</v>
      </c>
      <c r="B226" s="28" t="s">
        <v>451</v>
      </c>
      <c r="C226" s="23">
        <v>36.409999999999997</v>
      </c>
      <c r="D226" s="23">
        <v>4.55</v>
      </c>
      <c r="E226" s="23" t="s">
        <v>4682</v>
      </c>
      <c r="F226" s="23" t="s">
        <v>4682</v>
      </c>
      <c r="G226" s="23" t="s">
        <v>4682</v>
      </c>
      <c r="H226" s="23">
        <v>0</v>
      </c>
      <c r="I226" s="23" t="s">
        <v>4683</v>
      </c>
      <c r="J226" s="23" t="s">
        <v>4729</v>
      </c>
      <c r="K226" s="23" t="s">
        <v>4737</v>
      </c>
      <c r="L226">
        <v>2004</v>
      </c>
      <c r="M226" s="15" t="s">
        <v>4707</v>
      </c>
      <c r="N226">
        <v>28</v>
      </c>
      <c r="O226">
        <v>0</v>
      </c>
      <c r="P226" s="21">
        <f>DATEVALUE(N226&amp;"-"&amp;M226&amp;"-"&amp;L226)</f>
        <v>38288</v>
      </c>
      <c r="Q226" s="22">
        <v>2203.7399999999998</v>
      </c>
      <c r="R226" s="23" t="s">
        <v>4697</v>
      </c>
      <c r="S226" s="23" t="s">
        <v>4697</v>
      </c>
      <c r="T226" s="23" t="s">
        <v>4714</v>
      </c>
      <c r="U226" s="23">
        <f>DATEDIF(P226, DATE(2023, 6, 8), "Y")</f>
        <v>18</v>
      </c>
      <c r="V226">
        <f>SUM(C226:K226)</f>
        <v>40.959999999999994</v>
      </c>
    </row>
    <row r="227" spans="1:22" ht="15.75">
      <c r="A227" s="28" t="s">
        <v>452</v>
      </c>
      <c r="B227" s="28" t="s">
        <v>453</v>
      </c>
      <c r="C227" s="23">
        <v>52.3</v>
      </c>
      <c r="D227" s="23">
        <v>4.87</v>
      </c>
      <c r="E227" s="23" t="s">
        <v>4683</v>
      </c>
      <c r="F227" s="23" t="s">
        <v>4682</v>
      </c>
      <c r="G227" s="23" t="s">
        <v>4684</v>
      </c>
      <c r="H227" s="23">
        <v>1</v>
      </c>
      <c r="I227" s="23" t="s">
        <v>4683</v>
      </c>
      <c r="J227" s="23" t="s">
        <v>4729</v>
      </c>
      <c r="K227" s="23" t="s">
        <v>4737</v>
      </c>
      <c r="L227">
        <v>2004</v>
      </c>
      <c r="M227" s="15" t="s">
        <v>4700</v>
      </c>
      <c r="N227">
        <v>13</v>
      </c>
      <c r="O227">
        <v>0</v>
      </c>
      <c r="P227" s="21">
        <f>DATEVALUE(N227&amp;"-"&amp;M227&amp;"-"&amp;L227)</f>
        <v>38304</v>
      </c>
      <c r="Q227" s="22">
        <v>2205.98</v>
      </c>
      <c r="R227" s="23" t="s">
        <v>4697</v>
      </c>
      <c r="S227" s="23" t="s">
        <v>4698</v>
      </c>
      <c r="T227" s="23" t="s">
        <v>4714</v>
      </c>
      <c r="U227" s="23">
        <f>DATEDIF(P227, DATE(2023, 6, 8), "Y")</f>
        <v>18</v>
      </c>
      <c r="V227">
        <f>SUM(C227:K227)</f>
        <v>58.169999999999995</v>
      </c>
    </row>
    <row r="228" spans="1:22" ht="15.75">
      <c r="A228" s="28" t="s">
        <v>454</v>
      </c>
      <c r="B228" s="28" t="s">
        <v>455</v>
      </c>
      <c r="C228" s="23">
        <v>52.66</v>
      </c>
      <c r="D228" s="23">
        <v>4.45</v>
      </c>
      <c r="E228" s="23" t="s">
        <v>4682</v>
      </c>
      <c r="F228" s="23" t="s">
        <v>4682</v>
      </c>
      <c r="G228" s="23" t="s">
        <v>4682</v>
      </c>
      <c r="H228" s="23">
        <v>1</v>
      </c>
      <c r="I228" s="23" t="s">
        <v>4683</v>
      </c>
      <c r="J228" s="23" t="s">
        <v>4729</v>
      </c>
      <c r="K228" s="23" t="s">
        <v>4737</v>
      </c>
      <c r="L228">
        <v>2004</v>
      </c>
      <c r="M228" s="15" t="s">
        <v>4706</v>
      </c>
      <c r="N228">
        <v>6</v>
      </c>
      <c r="O228">
        <v>0</v>
      </c>
      <c r="P228" s="21">
        <f>DATEVALUE(N228&amp;"-"&amp;M228&amp;"-"&amp;L228)</f>
        <v>38205</v>
      </c>
      <c r="Q228" s="22">
        <v>2207.6999999999998</v>
      </c>
      <c r="R228" s="23" t="s">
        <v>4697</v>
      </c>
      <c r="S228" s="23" t="s">
        <v>4697</v>
      </c>
      <c r="T228" s="23" t="s">
        <v>4714</v>
      </c>
      <c r="U228" s="23">
        <f>DATEDIF(P228, DATE(2023, 6, 8), "Y")</f>
        <v>18</v>
      </c>
      <c r="V228">
        <f>SUM(C228:K228)</f>
        <v>58.11</v>
      </c>
    </row>
    <row r="229" spans="1:22" ht="15.75">
      <c r="A229" s="28" t="s">
        <v>456</v>
      </c>
      <c r="B229" s="28" t="s">
        <v>457</v>
      </c>
      <c r="C229" s="23">
        <v>29.57</v>
      </c>
      <c r="D229" s="23">
        <v>9.42</v>
      </c>
      <c r="E229" s="23" t="s">
        <v>4683</v>
      </c>
      <c r="F229" s="23" t="s">
        <v>4682</v>
      </c>
      <c r="G229" s="23" t="s">
        <v>4682</v>
      </c>
      <c r="H229" s="23">
        <v>0</v>
      </c>
      <c r="I229" s="23" t="s">
        <v>4683</v>
      </c>
      <c r="J229" s="23" t="s">
        <v>4730</v>
      </c>
      <c r="K229" s="23" t="s">
        <v>4735</v>
      </c>
      <c r="L229">
        <v>2004</v>
      </c>
      <c r="M229" s="15" t="s">
        <v>4696</v>
      </c>
      <c r="N229">
        <v>27</v>
      </c>
      <c r="O229">
        <v>0</v>
      </c>
      <c r="P229" s="21">
        <f>DATEVALUE(N229&amp;"-"&amp;M229&amp;"-"&amp;L229)</f>
        <v>38195</v>
      </c>
      <c r="Q229" s="22">
        <v>2211.13</v>
      </c>
      <c r="R229" s="23" t="s">
        <v>4697</v>
      </c>
      <c r="S229" s="23" t="s">
        <v>4697</v>
      </c>
      <c r="T229" s="23" t="s">
        <v>4714</v>
      </c>
      <c r="U229" s="23">
        <f>DATEDIF(P229, DATE(2023, 6, 8), "Y")</f>
        <v>18</v>
      </c>
      <c r="V229">
        <f>SUM(C229:K229)</f>
        <v>38.99</v>
      </c>
    </row>
    <row r="230" spans="1:22" ht="15.75">
      <c r="A230" s="28" t="s">
        <v>458</v>
      </c>
      <c r="B230" s="28" t="s">
        <v>459</v>
      </c>
      <c r="C230" s="23">
        <v>36.99</v>
      </c>
      <c r="D230" s="23">
        <v>5.37</v>
      </c>
      <c r="E230" s="23" t="s">
        <v>4683</v>
      </c>
      <c r="F230" s="23" t="s">
        <v>4682</v>
      </c>
      <c r="G230" s="23" t="s">
        <v>4684</v>
      </c>
      <c r="H230" s="23">
        <v>1</v>
      </c>
      <c r="I230" s="23" t="s">
        <v>4683</v>
      </c>
      <c r="J230" s="23" t="s">
        <v>4729</v>
      </c>
      <c r="K230" s="23" t="s">
        <v>4737</v>
      </c>
      <c r="L230">
        <v>1994</v>
      </c>
      <c r="M230" s="15" t="s">
        <v>4700</v>
      </c>
      <c r="N230">
        <v>17</v>
      </c>
      <c r="O230">
        <v>0</v>
      </c>
      <c r="P230" s="21">
        <f>DATEVALUE(N230&amp;"-"&amp;M230&amp;"-"&amp;L230)</f>
        <v>34655</v>
      </c>
      <c r="Q230" s="22">
        <v>2213.21</v>
      </c>
      <c r="R230" s="23" t="s">
        <v>4697</v>
      </c>
      <c r="S230" s="23" t="s">
        <v>4697</v>
      </c>
      <c r="T230" s="23" t="s">
        <v>4699</v>
      </c>
      <c r="U230" s="23">
        <f>DATEDIF(P230, DATE(2023, 6, 8), "Y")</f>
        <v>28</v>
      </c>
      <c r="V230">
        <f>SUM(C230:K230)</f>
        <v>43.36</v>
      </c>
    </row>
    <row r="231" spans="1:22" ht="15.75">
      <c r="A231" s="28" t="s">
        <v>460</v>
      </c>
      <c r="B231" s="28" t="s">
        <v>461</v>
      </c>
      <c r="C231" s="23">
        <v>31.4</v>
      </c>
      <c r="D231" s="23">
        <v>4.5999999999999996</v>
      </c>
      <c r="E231" s="23" t="s">
        <v>4683</v>
      </c>
      <c r="F231" s="23" t="s">
        <v>4682</v>
      </c>
      <c r="G231" s="23" t="s">
        <v>4682</v>
      </c>
      <c r="H231" s="23">
        <v>1</v>
      </c>
      <c r="I231" s="23" t="s">
        <v>4683</v>
      </c>
      <c r="J231" s="23" t="s">
        <v>4729</v>
      </c>
      <c r="K231" s="23" t="s">
        <v>4737</v>
      </c>
      <c r="L231">
        <v>2004</v>
      </c>
      <c r="M231" s="15" t="s">
        <v>4702</v>
      </c>
      <c r="N231">
        <v>13</v>
      </c>
      <c r="O231">
        <v>0</v>
      </c>
      <c r="P231" s="21">
        <f>DATEVALUE(N231&amp;"-"&amp;M231&amp;"-"&amp;L231)</f>
        <v>38151</v>
      </c>
      <c r="Q231" s="22">
        <v>2217.4699999999998</v>
      </c>
      <c r="R231" s="23" t="s">
        <v>4697</v>
      </c>
      <c r="S231" s="23" t="s">
        <v>4701</v>
      </c>
      <c r="T231" s="23" t="s">
        <v>4714</v>
      </c>
      <c r="U231" s="23">
        <f>DATEDIF(P231, DATE(2023, 6, 8), "Y")</f>
        <v>18</v>
      </c>
      <c r="V231">
        <f>SUM(C231:K231)</f>
        <v>37</v>
      </c>
    </row>
    <row r="232" spans="1:22" ht="15.75">
      <c r="A232" s="28" t="s">
        <v>462</v>
      </c>
      <c r="B232" s="28" t="s">
        <v>463</v>
      </c>
      <c r="C232" s="23">
        <v>34.9</v>
      </c>
      <c r="D232" s="23">
        <v>6.22</v>
      </c>
      <c r="E232" s="23" t="s">
        <v>4682</v>
      </c>
      <c r="F232" s="23" t="s">
        <v>4682</v>
      </c>
      <c r="G232" s="23" t="s">
        <v>4684</v>
      </c>
      <c r="H232" s="23">
        <v>1</v>
      </c>
      <c r="I232" s="23" t="s">
        <v>4683</v>
      </c>
      <c r="J232" s="23" t="s">
        <v>4729</v>
      </c>
      <c r="K232" s="23" t="s">
        <v>4736</v>
      </c>
      <c r="L232">
        <v>2004</v>
      </c>
      <c r="M232" s="15" t="s">
        <v>4703</v>
      </c>
      <c r="N232">
        <v>25</v>
      </c>
      <c r="O232">
        <v>0</v>
      </c>
      <c r="P232" s="21">
        <f>DATEVALUE(N232&amp;"-"&amp;M232&amp;"-"&amp;L232)</f>
        <v>38255</v>
      </c>
      <c r="Q232" s="22">
        <v>2217.6</v>
      </c>
      <c r="R232" s="23" t="s">
        <v>4697</v>
      </c>
      <c r="S232" s="23" t="s">
        <v>4701</v>
      </c>
      <c r="T232" s="23" t="s">
        <v>4714</v>
      </c>
      <c r="U232" s="23">
        <f>DATEDIF(P232, DATE(2023, 6, 8), "Y")</f>
        <v>18</v>
      </c>
      <c r="V232">
        <f>SUM(C232:K232)</f>
        <v>42.12</v>
      </c>
    </row>
    <row r="233" spans="1:22" ht="15.75">
      <c r="A233" s="28" t="s">
        <v>464</v>
      </c>
      <c r="B233" s="28" t="s">
        <v>465</v>
      </c>
      <c r="C233" s="23">
        <v>31.13</v>
      </c>
      <c r="D233" s="23">
        <v>4.5199999999999996</v>
      </c>
      <c r="E233" s="23" t="s">
        <v>4683</v>
      </c>
      <c r="F233" s="23" t="s">
        <v>4682</v>
      </c>
      <c r="G233" s="23" t="s">
        <v>4682</v>
      </c>
      <c r="H233" s="23">
        <v>1</v>
      </c>
      <c r="I233" s="23" t="s">
        <v>4683</v>
      </c>
      <c r="J233" s="23" t="s">
        <v>4729</v>
      </c>
      <c r="K233" s="23" t="s">
        <v>4737</v>
      </c>
      <c r="L233">
        <v>2004</v>
      </c>
      <c r="M233" s="15" t="s">
        <v>4705</v>
      </c>
      <c r="N233">
        <v>12</v>
      </c>
      <c r="O233">
        <v>1</v>
      </c>
      <c r="P233" s="21">
        <f>DATEVALUE(N233&amp;"-"&amp;M233&amp;"-"&amp;L233)</f>
        <v>38333</v>
      </c>
      <c r="Q233" s="22">
        <v>2219.4499999999998</v>
      </c>
      <c r="R233" s="23" t="s">
        <v>4697</v>
      </c>
      <c r="S233" s="23" t="s">
        <v>4701</v>
      </c>
      <c r="T233" s="23" t="s">
        <v>4699</v>
      </c>
      <c r="U233" s="23">
        <f>DATEDIF(P233, DATE(2023, 6, 8), "Y")</f>
        <v>18</v>
      </c>
      <c r="V233">
        <f>SUM(C233:K233)</f>
        <v>36.65</v>
      </c>
    </row>
    <row r="234" spans="1:22" ht="15.75">
      <c r="A234" s="28" t="s">
        <v>466</v>
      </c>
      <c r="B234" s="28" t="s">
        <v>467</v>
      </c>
      <c r="C234" s="23">
        <v>34.799999999999997</v>
      </c>
      <c r="D234" s="23">
        <v>6.18</v>
      </c>
      <c r="E234" s="23" t="s">
        <v>4682</v>
      </c>
      <c r="F234" s="23" t="s">
        <v>4682</v>
      </c>
      <c r="G234" s="23" t="s">
        <v>4684</v>
      </c>
      <c r="H234" s="23">
        <v>1</v>
      </c>
      <c r="I234" s="23" t="s">
        <v>4683</v>
      </c>
      <c r="J234" s="23" t="s">
        <v>4729</v>
      </c>
      <c r="K234" s="23" t="s">
        <v>4736</v>
      </c>
      <c r="L234">
        <v>2003</v>
      </c>
      <c r="M234" s="15" t="s">
        <v>4705</v>
      </c>
      <c r="N234">
        <v>10</v>
      </c>
      <c r="O234">
        <v>1</v>
      </c>
      <c r="P234" s="21">
        <f>DATEVALUE(N234&amp;"-"&amp;M234&amp;"-"&amp;L234)</f>
        <v>37965</v>
      </c>
      <c r="Q234" s="22">
        <v>2221.56</v>
      </c>
      <c r="R234" s="23" t="s">
        <v>4697</v>
      </c>
      <c r="S234" s="23" t="s">
        <v>4698</v>
      </c>
      <c r="T234" s="23" t="s">
        <v>4704</v>
      </c>
      <c r="U234" s="23">
        <f>DATEDIF(P234, DATE(2023, 6, 8), "Y")</f>
        <v>19</v>
      </c>
      <c r="V234">
        <f>SUM(C234:K234)</f>
        <v>41.98</v>
      </c>
    </row>
    <row r="235" spans="1:22" ht="15.75">
      <c r="A235" s="28" t="s">
        <v>468</v>
      </c>
      <c r="B235" s="28" t="s">
        <v>469</v>
      </c>
      <c r="C235" s="23">
        <v>31.68</v>
      </c>
      <c r="D235" s="23">
        <v>4.4000000000000004</v>
      </c>
      <c r="E235" s="23" t="s">
        <v>4682</v>
      </c>
      <c r="F235" s="23" t="s">
        <v>4682</v>
      </c>
      <c r="G235" s="23" t="s">
        <v>4682</v>
      </c>
      <c r="H235" s="23">
        <v>0</v>
      </c>
      <c r="I235" s="23" t="s">
        <v>4683</v>
      </c>
      <c r="J235" s="23" t="s">
        <v>4729</v>
      </c>
      <c r="K235" s="23" t="s">
        <v>4737</v>
      </c>
      <c r="L235">
        <v>2000</v>
      </c>
      <c r="M235" s="15" t="s">
        <v>4702</v>
      </c>
      <c r="N235">
        <v>30</v>
      </c>
      <c r="O235">
        <v>0</v>
      </c>
      <c r="P235" s="21">
        <f>DATEVALUE(N235&amp;"-"&amp;M235&amp;"-"&amp;L235)</f>
        <v>36707</v>
      </c>
      <c r="Q235" s="22">
        <v>2250.84</v>
      </c>
      <c r="R235" s="23" t="s">
        <v>4697</v>
      </c>
      <c r="S235" s="23" t="s">
        <v>4697</v>
      </c>
      <c r="T235" s="23" t="s">
        <v>4712</v>
      </c>
      <c r="U235" s="23">
        <f>DATEDIF(P235, DATE(2023, 6, 8), "Y")</f>
        <v>22</v>
      </c>
      <c r="V235">
        <f>SUM(C235:K235)</f>
        <v>36.08</v>
      </c>
    </row>
    <row r="236" spans="1:22" ht="15.75">
      <c r="A236" s="28" t="s">
        <v>470</v>
      </c>
      <c r="B236" s="28" t="s">
        <v>471</v>
      </c>
      <c r="C236" s="23">
        <v>33.534999999999997</v>
      </c>
      <c r="D236" s="23">
        <v>6.23</v>
      </c>
      <c r="E236" s="23" t="s">
        <v>4682</v>
      </c>
      <c r="F236" s="23" t="s">
        <v>4683</v>
      </c>
      <c r="G236" s="23" t="s">
        <v>4682</v>
      </c>
      <c r="H236" s="23">
        <v>1</v>
      </c>
      <c r="I236" s="23" t="s">
        <v>4683</v>
      </c>
      <c r="J236" s="23" t="s">
        <v>4729</v>
      </c>
      <c r="K236" s="23" t="s">
        <v>4736</v>
      </c>
      <c r="L236">
        <v>2000</v>
      </c>
      <c r="M236" s="15" t="s">
        <v>4705</v>
      </c>
      <c r="N236">
        <v>11</v>
      </c>
      <c r="O236">
        <v>0</v>
      </c>
      <c r="P236" s="21">
        <f>DATEVALUE(N236&amp;"-"&amp;M236&amp;"-"&amp;L236)</f>
        <v>36871</v>
      </c>
      <c r="Q236" s="22">
        <v>2254.8000000000002</v>
      </c>
      <c r="R236" s="23" t="s">
        <v>4697</v>
      </c>
      <c r="S236" s="23" t="s">
        <v>4698</v>
      </c>
      <c r="T236" s="23" t="s">
        <v>4711</v>
      </c>
      <c r="U236" s="23">
        <f>DATEDIF(P236, DATE(2023, 6, 8), "Y")</f>
        <v>22</v>
      </c>
      <c r="V236">
        <f>SUM(C236:K236)</f>
        <v>40.765000000000001</v>
      </c>
    </row>
    <row r="237" spans="1:22" ht="15.75">
      <c r="A237" s="28" t="s">
        <v>472</v>
      </c>
      <c r="B237" s="28" t="s">
        <v>473</v>
      </c>
      <c r="C237" s="23">
        <v>31.92</v>
      </c>
      <c r="D237" s="23">
        <v>5.33</v>
      </c>
      <c r="E237" s="23" t="s">
        <v>4683</v>
      </c>
      <c r="F237" s="23" t="s">
        <v>4682</v>
      </c>
      <c r="G237" s="23" t="s">
        <v>4682</v>
      </c>
      <c r="H237" s="23">
        <v>0</v>
      </c>
      <c r="I237" s="23" t="s">
        <v>4683</v>
      </c>
      <c r="J237" s="23" t="s">
        <v>4729</v>
      </c>
      <c r="K237" s="23" t="s">
        <v>4737</v>
      </c>
      <c r="L237">
        <v>2002</v>
      </c>
      <c r="M237" s="15" t="s">
        <v>4696</v>
      </c>
      <c r="N237">
        <v>15</v>
      </c>
      <c r="O237">
        <v>0</v>
      </c>
      <c r="P237" s="21">
        <f>DATEVALUE(N237&amp;"-"&amp;M237&amp;"-"&amp;L237)</f>
        <v>37452</v>
      </c>
      <c r="Q237" s="22">
        <v>2257.48</v>
      </c>
      <c r="R237" s="23" t="s">
        <v>4697</v>
      </c>
      <c r="S237" s="23" t="s">
        <v>4701</v>
      </c>
      <c r="T237" s="23" t="s">
        <v>4704</v>
      </c>
      <c r="U237" s="23">
        <f>DATEDIF(P237, DATE(2023, 6, 8), "Y")</f>
        <v>20</v>
      </c>
      <c r="V237">
        <f>SUM(C237:K237)</f>
        <v>37.25</v>
      </c>
    </row>
    <row r="238" spans="1:22" ht="15.75">
      <c r="A238" s="28" t="s">
        <v>474</v>
      </c>
      <c r="B238" s="28" t="s">
        <v>475</v>
      </c>
      <c r="C238" s="23">
        <v>32.700000000000003</v>
      </c>
      <c r="D238" s="23">
        <v>4.09</v>
      </c>
      <c r="E238" s="23" t="s">
        <v>4682</v>
      </c>
      <c r="F238" s="23" t="s">
        <v>4682</v>
      </c>
      <c r="G238" s="23" t="s">
        <v>4682</v>
      </c>
      <c r="H238" s="23">
        <v>1</v>
      </c>
      <c r="I238" s="23" t="s">
        <v>4683</v>
      </c>
      <c r="J238" s="23" t="s">
        <v>4729</v>
      </c>
      <c r="K238" s="23" t="s">
        <v>4737</v>
      </c>
      <c r="L238">
        <v>2002</v>
      </c>
      <c r="M238" s="15" t="s">
        <v>4700</v>
      </c>
      <c r="N238">
        <v>12</v>
      </c>
      <c r="O238">
        <v>0</v>
      </c>
      <c r="P238" s="21">
        <f>DATEVALUE(N238&amp;"-"&amp;M238&amp;"-"&amp;L238)</f>
        <v>37572</v>
      </c>
      <c r="Q238" s="22">
        <v>2261.5700000000002</v>
      </c>
      <c r="R238" s="23" t="s">
        <v>4697</v>
      </c>
      <c r="S238" s="23" t="s">
        <v>4701</v>
      </c>
      <c r="T238" s="23" t="s">
        <v>4704</v>
      </c>
      <c r="U238" s="23">
        <f>DATEDIF(P238, DATE(2023, 6, 8), "Y")</f>
        <v>20</v>
      </c>
      <c r="V238">
        <f>SUM(C238:K238)</f>
        <v>37.790000000000006</v>
      </c>
    </row>
    <row r="239" spans="1:22" ht="15.75">
      <c r="A239" s="28" t="s">
        <v>476</v>
      </c>
      <c r="B239" s="28" t="s">
        <v>477</v>
      </c>
      <c r="C239" s="23">
        <v>41.25</v>
      </c>
      <c r="D239" s="23">
        <v>5.19</v>
      </c>
      <c r="E239" s="23" t="s">
        <v>4682</v>
      </c>
      <c r="F239" s="23" t="s">
        <v>4682</v>
      </c>
      <c r="G239" s="23" t="s">
        <v>4682</v>
      </c>
      <c r="H239" s="23">
        <v>0</v>
      </c>
      <c r="I239" s="23" t="s">
        <v>4683</v>
      </c>
      <c r="J239" s="23" t="s">
        <v>4729</v>
      </c>
      <c r="K239" s="23" t="s">
        <v>4737</v>
      </c>
      <c r="L239">
        <v>1991</v>
      </c>
      <c r="M239" s="15" t="s">
        <v>4702</v>
      </c>
      <c r="N239">
        <v>16</v>
      </c>
      <c r="O239">
        <v>3</v>
      </c>
      <c r="P239" s="21">
        <f>DATEVALUE(N239&amp;"-"&amp;M239&amp;"-"&amp;L239)</f>
        <v>33405</v>
      </c>
      <c r="Q239" s="22">
        <v>2277.7199999999998</v>
      </c>
      <c r="R239" s="23" t="s">
        <v>4697</v>
      </c>
      <c r="S239" s="23" t="s">
        <v>4701</v>
      </c>
      <c r="T239" s="23" t="s">
        <v>4699</v>
      </c>
      <c r="U239" s="23">
        <f>DATEDIF(P239, DATE(2023, 6, 8), "Y")</f>
        <v>31</v>
      </c>
      <c r="V239">
        <f>SUM(C239:K239)</f>
        <v>46.44</v>
      </c>
    </row>
    <row r="240" spans="1:22" ht="15.75">
      <c r="A240" s="28" t="s">
        <v>478</v>
      </c>
      <c r="B240" s="28" t="s">
        <v>479</v>
      </c>
      <c r="C240" s="23">
        <v>33.11</v>
      </c>
      <c r="D240" s="23">
        <v>4.12</v>
      </c>
      <c r="E240" s="23" t="s">
        <v>4682</v>
      </c>
      <c r="F240" s="23" t="s">
        <v>4682</v>
      </c>
      <c r="G240" s="23" t="s">
        <v>4684</v>
      </c>
      <c r="H240" s="23">
        <v>1</v>
      </c>
      <c r="I240" s="23" t="s">
        <v>4683</v>
      </c>
      <c r="J240" s="23" t="s">
        <v>4729</v>
      </c>
      <c r="K240" s="23" t="s">
        <v>4737</v>
      </c>
      <c r="L240">
        <v>1989</v>
      </c>
      <c r="M240" s="15" t="s">
        <v>4707</v>
      </c>
      <c r="N240">
        <v>5</v>
      </c>
      <c r="O240">
        <v>3</v>
      </c>
      <c r="P240" s="21">
        <f>DATEVALUE(N240&amp;"-"&amp;M240&amp;"-"&amp;L240)</f>
        <v>32786</v>
      </c>
      <c r="Q240" s="22">
        <v>2295.2399999999998</v>
      </c>
      <c r="R240" s="23" t="s">
        <v>4697</v>
      </c>
      <c r="S240" s="23" t="s">
        <v>4701</v>
      </c>
      <c r="T240" s="23" t="s">
        <v>4699</v>
      </c>
      <c r="U240" s="23">
        <f>DATEDIF(P240, DATE(2023, 6, 8), "Y")</f>
        <v>33</v>
      </c>
      <c r="V240">
        <f>SUM(C240:K240)</f>
        <v>38.229999999999997</v>
      </c>
    </row>
    <row r="241" spans="1:22" ht="15.75">
      <c r="A241" s="28" t="s">
        <v>480</v>
      </c>
      <c r="B241" s="28" t="s">
        <v>481</v>
      </c>
      <c r="C241" s="23">
        <v>36.159999999999997</v>
      </c>
      <c r="D241" s="23">
        <v>5.0999999999999996</v>
      </c>
      <c r="E241" s="23" t="s">
        <v>4682</v>
      </c>
      <c r="F241" s="23" t="s">
        <v>4682</v>
      </c>
      <c r="G241" s="23" t="s">
        <v>4682</v>
      </c>
      <c r="H241" s="23">
        <v>1</v>
      </c>
      <c r="I241" s="23" t="s">
        <v>4683</v>
      </c>
      <c r="J241" s="23" t="s">
        <v>4729</v>
      </c>
      <c r="K241" s="23" t="s">
        <v>4737</v>
      </c>
      <c r="L241">
        <v>1996</v>
      </c>
      <c r="M241" s="15" t="s">
        <v>4700</v>
      </c>
      <c r="N241">
        <v>28</v>
      </c>
      <c r="O241">
        <v>0</v>
      </c>
      <c r="P241" s="21">
        <f>DATEVALUE(N241&amp;"-"&amp;M241&amp;"-"&amp;L241)</f>
        <v>35397</v>
      </c>
      <c r="Q241" s="22">
        <v>2302.3000000000002</v>
      </c>
      <c r="R241" s="23" t="s">
        <v>4701</v>
      </c>
      <c r="S241" s="23" t="s">
        <v>4697</v>
      </c>
      <c r="T241" s="23" t="s">
        <v>4708</v>
      </c>
      <c r="U241" s="23">
        <f>DATEDIF(P241, DATE(2023, 6, 8), "Y")</f>
        <v>26</v>
      </c>
      <c r="V241">
        <f>SUM(C241:K241)</f>
        <v>42.26</v>
      </c>
    </row>
    <row r="242" spans="1:22" ht="15.75">
      <c r="A242" s="28" t="s">
        <v>482</v>
      </c>
      <c r="B242" s="28" t="s">
        <v>483</v>
      </c>
      <c r="C242" s="23">
        <v>33.72</v>
      </c>
      <c r="D242" s="23">
        <v>6.21</v>
      </c>
      <c r="E242" s="23" t="s">
        <v>4683</v>
      </c>
      <c r="F242" s="23" t="s">
        <v>4682</v>
      </c>
      <c r="G242" s="23" t="s">
        <v>4684</v>
      </c>
      <c r="H242" s="23">
        <v>1</v>
      </c>
      <c r="I242" s="23" t="s">
        <v>4683</v>
      </c>
      <c r="J242" s="23" t="s">
        <v>4729</v>
      </c>
      <c r="K242" s="23" t="s">
        <v>4736</v>
      </c>
      <c r="L242">
        <v>2004</v>
      </c>
      <c r="M242" s="15" t="s">
        <v>4703</v>
      </c>
      <c r="N242">
        <v>6</v>
      </c>
      <c r="O242">
        <v>2</v>
      </c>
      <c r="P242" s="21">
        <f>DATEVALUE(N242&amp;"-"&amp;M242&amp;"-"&amp;L242)</f>
        <v>38236</v>
      </c>
      <c r="Q242" s="22">
        <v>2304</v>
      </c>
      <c r="R242" s="23" t="s">
        <v>4697</v>
      </c>
      <c r="S242" s="23" t="s">
        <v>4698</v>
      </c>
      <c r="T242" s="23" t="s">
        <v>4699</v>
      </c>
      <c r="U242" s="23">
        <f>DATEDIF(P242, DATE(2023, 6, 8), "Y")</f>
        <v>18</v>
      </c>
      <c r="V242">
        <f>SUM(C242:K242)</f>
        <v>40.93</v>
      </c>
    </row>
    <row r="243" spans="1:22" ht="15.75">
      <c r="A243" s="28" t="s">
        <v>484</v>
      </c>
      <c r="B243" s="28" t="s">
        <v>485</v>
      </c>
      <c r="C243" s="23">
        <v>37.74</v>
      </c>
      <c r="D243" s="23">
        <v>9.5299999999999994</v>
      </c>
      <c r="E243" s="23" t="s">
        <v>4683</v>
      </c>
      <c r="F243" s="23" t="s">
        <v>4682</v>
      </c>
      <c r="G243" s="23" t="s">
        <v>4682</v>
      </c>
      <c r="H243" s="23">
        <v>1</v>
      </c>
      <c r="I243" s="23" t="s">
        <v>4683</v>
      </c>
      <c r="J243" s="23" t="s">
        <v>4729</v>
      </c>
      <c r="K243" s="23" t="s">
        <v>4735</v>
      </c>
      <c r="L243">
        <v>1996</v>
      </c>
      <c r="M243" s="15" t="s">
        <v>4705</v>
      </c>
      <c r="N243">
        <v>17</v>
      </c>
      <c r="O243">
        <v>0</v>
      </c>
      <c r="P243" s="21">
        <f>DATEVALUE(N243&amp;"-"&amp;M243&amp;"-"&amp;L243)</f>
        <v>35416</v>
      </c>
      <c r="Q243" s="22">
        <v>2322.62</v>
      </c>
      <c r="R243" s="23" t="s">
        <v>4697</v>
      </c>
      <c r="S243" s="23" t="s">
        <v>4701</v>
      </c>
      <c r="T243" s="23" t="s">
        <v>4699</v>
      </c>
      <c r="U243" s="23">
        <f>DATEDIF(P243, DATE(2023, 6, 8), "Y")</f>
        <v>26</v>
      </c>
      <c r="V243">
        <f>SUM(C243:K243)</f>
        <v>48.27</v>
      </c>
    </row>
    <row r="244" spans="1:22" ht="15.75">
      <c r="A244" s="28" t="s">
        <v>486</v>
      </c>
      <c r="B244" s="28" t="s">
        <v>487</v>
      </c>
      <c r="C244" s="23">
        <v>48.75</v>
      </c>
      <c r="D244" s="23">
        <v>4.6399999999999997</v>
      </c>
      <c r="E244" s="23" t="s">
        <v>4683</v>
      </c>
      <c r="F244" s="23" t="s">
        <v>4682</v>
      </c>
      <c r="G244" s="23" t="s">
        <v>4682</v>
      </c>
      <c r="H244" s="23">
        <v>1</v>
      </c>
      <c r="I244" s="23" t="s">
        <v>4683</v>
      </c>
      <c r="J244" s="23" t="s">
        <v>4729</v>
      </c>
      <c r="K244" s="23" t="s">
        <v>4737</v>
      </c>
      <c r="L244">
        <v>2003</v>
      </c>
      <c r="M244" s="15" t="s">
        <v>4700</v>
      </c>
      <c r="N244">
        <v>18</v>
      </c>
      <c r="O244">
        <v>1</v>
      </c>
      <c r="P244" s="21">
        <f>DATEVALUE(N244&amp;"-"&amp;M244&amp;"-"&amp;L244)</f>
        <v>37943</v>
      </c>
      <c r="Q244" s="22">
        <v>2331.52</v>
      </c>
      <c r="R244" s="23" t="s">
        <v>4697</v>
      </c>
      <c r="S244" s="23" t="s">
        <v>4698</v>
      </c>
      <c r="T244" s="23" t="s">
        <v>4708</v>
      </c>
      <c r="U244" s="23">
        <f>DATEDIF(P244, DATE(2023, 6, 8), "Y")</f>
        <v>19</v>
      </c>
      <c r="V244">
        <f>SUM(C244:K244)</f>
        <v>54.39</v>
      </c>
    </row>
    <row r="245" spans="1:22" ht="15.75">
      <c r="A245" s="28" t="s">
        <v>488</v>
      </c>
      <c r="B245" s="28" t="s">
        <v>489</v>
      </c>
      <c r="C245" s="23">
        <v>31.065000000000001</v>
      </c>
      <c r="D245" s="23">
        <v>5.05</v>
      </c>
      <c r="E245" s="23" t="s">
        <v>4682</v>
      </c>
      <c r="F245" s="23" t="s">
        <v>4682</v>
      </c>
      <c r="G245" s="23" t="s">
        <v>4682</v>
      </c>
      <c r="H245" s="23">
        <v>1</v>
      </c>
      <c r="I245" s="23" t="s">
        <v>4683</v>
      </c>
      <c r="J245" s="23" t="s">
        <v>4729</v>
      </c>
      <c r="K245" s="23" t="s">
        <v>4737</v>
      </c>
      <c r="L245">
        <v>1998</v>
      </c>
      <c r="M245" s="15" t="s">
        <v>4707</v>
      </c>
      <c r="N245">
        <v>21</v>
      </c>
      <c r="O245">
        <v>0</v>
      </c>
      <c r="P245" s="21">
        <f>DATEVALUE(N245&amp;"-"&amp;M245&amp;"-"&amp;L245)</f>
        <v>36089</v>
      </c>
      <c r="Q245" s="22">
        <v>2352.9699999999998</v>
      </c>
      <c r="R245" s="23" t="s">
        <v>4698</v>
      </c>
      <c r="S245" s="23" t="s">
        <v>4698</v>
      </c>
      <c r="T245" s="23" t="s">
        <v>4704</v>
      </c>
      <c r="U245" s="23">
        <f>DATEDIF(P245, DATE(2023, 6, 8), "Y")</f>
        <v>24</v>
      </c>
      <c r="V245">
        <f>SUM(C245:K245)</f>
        <v>37.115000000000002</v>
      </c>
    </row>
    <row r="246" spans="1:22" ht="15.75">
      <c r="A246" s="28" t="s">
        <v>490</v>
      </c>
      <c r="B246" s="28" t="s">
        <v>491</v>
      </c>
      <c r="C246" s="23">
        <v>23.55</v>
      </c>
      <c r="D246" s="23">
        <v>10.38</v>
      </c>
      <c r="E246" s="23" t="s">
        <v>4682</v>
      </c>
      <c r="F246" s="23" t="s">
        <v>4682</v>
      </c>
      <c r="G246" s="23" t="s">
        <v>4682</v>
      </c>
      <c r="H246" s="23">
        <v>0</v>
      </c>
      <c r="I246" s="23" t="s">
        <v>4683</v>
      </c>
      <c r="J246" s="23" t="s">
        <v>4728</v>
      </c>
      <c r="K246" s="23" t="s">
        <v>4735</v>
      </c>
      <c r="L246">
        <v>2002</v>
      </c>
      <c r="M246" s="15" t="s">
        <v>4700</v>
      </c>
      <c r="N246">
        <v>5</v>
      </c>
      <c r="O246">
        <v>1</v>
      </c>
      <c r="P246" s="21">
        <f>DATEVALUE(N246&amp;"-"&amp;M246&amp;"-"&amp;L246)</f>
        <v>37565</v>
      </c>
      <c r="Q246" s="22">
        <v>2362.23</v>
      </c>
      <c r="R246" s="23" t="s">
        <v>4697</v>
      </c>
      <c r="S246" s="23" t="s">
        <v>4701</v>
      </c>
      <c r="T246" s="23" t="s">
        <v>4704</v>
      </c>
      <c r="U246" s="23">
        <f>DATEDIF(P246, DATE(2023, 6, 8), "Y")</f>
        <v>20</v>
      </c>
      <c r="V246">
        <f>SUM(C246:K246)</f>
        <v>33.93</v>
      </c>
    </row>
    <row r="247" spans="1:22" ht="15.75">
      <c r="A247" s="28" t="s">
        <v>492</v>
      </c>
      <c r="B247" s="28" t="s">
        <v>493</v>
      </c>
      <c r="C247" s="23">
        <v>30.18</v>
      </c>
      <c r="D247" s="23">
        <v>8.31</v>
      </c>
      <c r="E247" s="23" t="s">
        <v>4683</v>
      </c>
      <c r="F247" s="23" t="s">
        <v>4682</v>
      </c>
      <c r="G247" s="23" t="s">
        <v>4682</v>
      </c>
      <c r="H247" s="23">
        <v>1</v>
      </c>
      <c r="I247" s="23" t="s">
        <v>4683</v>
      </c>
      <c r="J247" s="23" t="s">
        <v>4729</v>
      </c>
      <c r="K247" s="23" t="s">
        <v>4735</v>
      </c>
      <c r="L247">
        <v>1988</v>
      </c>
      <c r="M247" s="15" t="s">
        <v>4705</v>
      </c>
      <c r="N247">
        <v>12</v>
      </c>
      <c r="O247">
        <v>3</v>
      </c>
      <c r="P247" s="21">
        <f>DATEVALUE(N247&amp;"-"&amp;M247&amp;"-"&amp;L247)</f>
        <v>32489</v>
      </c>
      <c r="Q247" s="22">
        <v>2373.3000000000002</v>
      </c>
      <c r="R247" s="23" t="s">
        <v>4697</v>
      </c>
      <c r="S247" s="23" t="s">
        <v>4697</v>
      </c>
      <c r="T247" s="23" t="s">
        <v>4699</v>
      </c>
      <c r="U247" s="23">
        <f>DATEDIF(P247, DATE(2023, 6, 8), "Y")</f>
        <v>34</v>
      </c>
      <c r="V247">
        <f>SUM(C247:K247)</f>
        <v>39.49</v>
      </c>
    </row>
    <row r="248" spans="1:22" ht="15.75">
      <c r="A248" s="28" t="s">
        <v>494</v>
      </c>
      <c r="B248" s="28" t="s">
        <v>495</v>
      </c>
      <c r="C248" s="23">
        <v>29.94</v>
      </c>
      <c r="D248" s="23">
        <v>7.59</v>
      </c>
      <c r="E248" s="23" t="s">
        <v>4682</v>
      </c>
      <c r="F248" s="23" t="s">
        <v>4682</v>
      </c>
      <c r="G248" s="23" t="s">
        <v>4682</v>
      </c>
      <c r="H248" s="23">
        <v>0</v>
      </c>
      <c r="I248" s="23" t="s">
        <v>4683</v>
      </c>
      <c r="J248" s="23" t="s">
        <v>4729</v>
      </c>
      <c r="K248" s="23" t="s">
        <v>4735</v>
      </c>
      <c r="L248">
        <v>1999</v>
      </c>
      <c r="M248" s="15" t="s">
        <v>4705</v>
      </c>
      <c r="N248">
        <v>17</v>
      </c>
      <c r="O248">
        <v>0</v>
      </c>
      <c r="P248" s="21">
        <f>DATEVALUE(N248&amp;"-"&amp;M248&amp;"-"&amp;L248)</f>
        <v>36511</v>
      </c>
      <c r="Q248" s="22">
        <v>2395.17</v>
      </c>
      <c r="R248" s="23" t="s">
        <v>4697</v>
      </c>
      <c r="S248" s="23" t="s">
        <v>4701</v>
      </c>
      <c r="T248" s="23" t="s">
        <v>4716</v>
      </c>
      <c r="U248" s="23">
        <f>DATEDIF(P248, DATE(2023, 6, 8), "Y")</f>
        <v>23</v>
      </c>
      <c r="V248">
        <f>SUM(C248:K248)</f>
        <v>37.53</v>
      </c>
    </row>
    <row r="249" spans="1:22" ht="15.75">
      <c r="A249" s="28" t="s">
        <v>496</v>
      </c>
      <c r="B249" s="28" t="s">
        <v>497</v>
      </c>
      <c r="C249" s="23">
        <v>31.4</v>
      </c>
      <c r="D249" s="23">
        <v>5.49</v>
      </c>
      <c r="E249" s="23" t="s">
        <v>4682</v>
      </c>
      <c r="F249" s="23" t="s">
        <v>4682</v>
      </c>
      <c r="G249" s="23" t="s">
        <v>4682</v>
      </c>
      <c r="H249" s="23">
        <v>0</v>
      </c>
      <c r="I249" s="23" t="s">
        <v>4683</v>
      </c>
      <c r="J249" s="23" t="s">
        <v>4729</v>
      </c>
      <c r="K249" s="23" t="s">
        <v>4737</v>
      </c>
      <c r="L249">
        <v>1999</v>
      </c>
      <c r="M249" s="15" t="s">
        <v>4706</v>
      </c>
      <c r="N249">
        <v>10</v>
      </c>
      <c r="O249">
        <v>0</v>
      </c>
      <c r="P249" s="21">
        <f>DATEVALUE(N249&amp;"-"&amp;M249&amp;"-"&amp;L249)</f>
        <v>36382</v>
      </c>
      <c r="Q249" s="22">
        <v>2396.1</v>
      </c>
      <c r="R249" s="23" t="s">
        <v>4697</v>
      </c>
      <c r="S249" s="23" t="s">
        <v>4701</v>
      </c>
      <c r="T249" s="23" t="s">
        <v>4710</v>
      </c>
      <c r="U249" s="23">
        <f>DATEDIF(P249, DATE(2023, 6, 8), "Y")</f>
        <v>23</v>
      </c>
      <c r="V249">
        <f>SUM(C249:K249)</f>
        <v>36.89</v>
      </c>
    </row>
    <row r="250" spans="1:22" ht="15.75">
      <c r="A250" s="28" t="s">
        <v>498</v>
      </c>
      <c r="B250" s="28" t="s">
        <v>499</v>
      </c>
      <c r="C250" s="23">
        <v>53.06</v>
      </c>
      <c r="D250" s="23">
        <v>11.68</v>
      </c>
      <c r="E250" s="23" t="s">
        <v>4682</v>
      </c>
      <c r="F250" s="23" t="s">
        <v>4682</v>
      </c>
      <c r="G250" s="23" t="s">
        <v>4682</v>
      </c>
      <c r="H250" s="23">
        <v>0</v>
      </c>
      <c r="I250" s="23" t="s">
        <v>4683</v>
      </c>
      <c r="J250" s="23" t="s">
        <v>4729</v>
      </c>
      <c r="K250" s="23" t="s">
        <v>4735</v>
      </c>
      <c r="L250">
        <v>2001</v>
      </c>
      <c r="M250" s="15" t="s">
        <v>4702</v>
      </c>
      <c r="N250">
        <v>3</v>
      </c>
      <c r="O250">
        <v>0</v>
      </c>
      <c r="P250" s="21">
        <f>DATEVALUE(N250&amp;"-"&amp;M250&amp;"-"&amp;L250)</f>
        <v>37045</v>
      </c>
      <c r="Q250" s="22">
        <v>2404.73</v>
      </c>
      <c r="R250" s="23" t="s">
        <v>4697</v>
      </c>
      <c r="S250" s="23" t="s">
        <v>4698</v>
      </c>
      <c r="T250" s="23" t="s">
        <v>4704</v>
      </c>
      <c r="U250" s="23">
        <f>DATEDIF(P250, DATE(2023, 6, 8), "Y")</f>
        <v>22</v>
      </c>
      <c r="V250">
        <f>SUM(C250:K250)</f>
        <v>64.740000000000009</v>
      </c>
    </row>
    <row r="251" spans="1:22" ht="15.75">
      <c r="A251" s="28" t="s">
        <v>500</v>
      </c>
      <c r="B251" s="28" t="s">
        <v>501</v>
      </c>
      <c r="C251" s="23">
        <v>30.25</v>
      </c>
      <c r="D251" s="23">
        <v>4.1900000000000004</v>
      </c>
      <c r="E251" s="23" t="s">
        <v>4682</v>
      </c>
      <c r="F251" s="23" t="s">
        <v>4682</v>
      </c>
      <c r="G251" s="23" t="s">
        <v>4682</v>
      </c>
      <c r="H251" s="23">
        <v>2</v>
      </c>
      <c r="I251" s="23" t="s">
        <v>4683</v>
      </c>
      <c r="J251" s="23" t="s">
        <v>4729</v>
      </c>
      <c r="K251" s="23" t="s">
        <v>4737</v>
      </c>
      <c r="L251">
        <v>1999</v>
      </c>
      <c r="M251" s="15" t="s">
        <v>4700</v>
      </c>
      <c r="N251">
        <v>12</v>
      </c>
      <c r="O251">
        <v>1</v>
      </c>
      <c r="P251" s="21">
        <f>DATEVALUE(N251&amp;"-"&amp;M251&amp;"-"&amp;L251)</f>
        <v>36476</v>
      </c>
      <c r="Q251" s="22">
        <v>2416.96</v>
      </c>
      <c r="R251" s="23" t="s">
        <v>4697</v>
      </c>
      <c r="S251" s="23" t="s">
        <v>4697</v>
      </c>
      <c r="T251" s="23" t="s">
        <v>4708</v>
      </c>
      <c r="U251" s="23">
        <f>DATEDIF(P251, DATE(2023, 6, 8), "Y")</f>
        <v>23</v>
      </c>
      <c r="V251">
        <f>SUM(C251:K251)</f>
        <v>36.44</v>
      </c>
    </row>
    <row r="252" spans="1:22" ht="15.75">
      <c r="A252" s="28" t="s">
        <v>502</v>
      </c>
      <c r="B252" s="28" t="s">
        <v>503</v>
      </c>
      <c r="C252" s="23">
        <v>46.68</v>
      </c>
      <c r="D252" s="23">
        <v>4.01</v>
      </c>
      <c r="E252" s="23" t="s">
        <v>4682</v>
      </c>
      <c r="F252" s="23" t="s">
        <v>4682</v>
      </c>
      <c r="G252" s="23" t="s">
        <v>4682</v>
      </c>
      <c r="H252" s="23">
        <v>0</v>
      </c>
      <c r="I252" s="23" t="s">
        <v>4683</v>
      </c>
      <c r="J252" s="23" t="s">
        <v>4729</v>
      </c>
      <c r="K252" s="23" t="s">
        <v>4737</v>
      </c>
      <c r="L252">
        <v>1999</v>
      </c>
      <c r="M252" s="15" t="s">
        <v>4700</v>
      </c>
      <c r="N252">
        <v>21</v>
      </c>
      <c r="O252">
        <v>1</v>
      </c>
      <c r="P252" s="21">
        <f>DATEVALUE(N252&amp;"-"&amp;M252&amp;"-"&amp;L252)</f>
        <v>36485</v>
      </c>
      <c r="Q252" s="22">
        <v>2438.06</v>
      </c>
      <c r="R252" s="23" t="s">
        <v>4697</v>
      </c>
      <c r="S252" s="23" t="s">
        <v>4697</v>
      </c>
      <c r="T252" s="23" t="s">
        <v>4699</v>
      </c>
      <c r="U252" s="23">
        <f>DATEDIF(P252, DATE(2023, 6, 8), "Y")</f>
        <v>23</v>
      </c>
      <c r="V252">
        <f>SUM(C252:K252)</f>
        <v>50.69</v>
      </c>
    </row>
    <row r="253" spans="1:22" ht="15.75">
      <c r="A253" s="28" t="s">
        <v>504</v>
      </c>
      <c r="B253" s="28" t="s">
        <v>505</v>
      </c>
      <c r="C253" s="23">
        <v>30.4</v>
      </c>
      <c r="D253" s="23">
        <v>5.91</v>
      </c>
      <c r="E253" s="23" t="s">
        <v>4682</v>
      </c>
      <c r="F253" s="23" t="s">
        <v>4683</v>
      </c>
      <c r="G253" s="23" t="s">
        <v>4682</v>
      </c>
      <c r="H253" s="23">
        <v>2</v>
      </c>
      <c r="I253" s="23" t="s">
        <v>4683</v>
      </c>
      <c r="J253" s="23" t="s">
        <v>4729</v>
      </c>
      <c r="K253" s="23" t="s">
        <v>4736</v>
      </c>
      <c r="L253">
        <v>2002</v>
      </c>
      <c r="M253" s="15" t="s">
        <v>4696</v>
      </c>
      <c r="N253">
        <v>29</v>
      </c>
      <c r="O253">
        <v>0</v>
      </c>
      <c r="P253" s="21">
        <f>DATEVALUE(N253&amp;"-"&amp;M253&amp;"-"&amp;L253)</f>
        <v>37466</v>
      </c>
      <c r="Q253" s="22">
        <v>2457.21</v>
      </c>
      <c r="R253" s="23" t="s">
        <v>4697</v>
      </c>
      <c r="S253" s="23" t="s">
        <v>4701</v>
      </c>
      <c r="T253" s="23" t="s">
        <v>4714</v>
      </c>
      <c r="U253" s="23">
        <f>DATEDIF(P253, DATE(2023, 6, 8), "Y")</f>
        <v>20</v>
      </c>
      <c r="V253">
        <f>SUM(C253:K253)</f>
        <v>38.31</v>
      </c>
    </row>
    <row r="254" spans="1:22" ht="15.75">
      <c r="A254" s="28" t="s">
        <v>506</v>
      </c>
      <c r="B254" s="28" t="s">
        <v>507</v>
      </c>
      <c r="C254" s="23">
        <v>30.2</v>
      </c>
      <c r="D254" s="23">
        <v>4.47</v>
      </c>
      <c r="E254" s="23" t="s">
        <v>4683</v>
      </c>
      <c r="F254" s="23" t="s">
        <v>4682</v>
      </c>
      <c r="G254" s="23" t="s">
        <v>4684</v>
      </c>
      <c r="H254" s="23">
        <v>1</v>
      </c>
      <c r="I254" s="23" t="s">
        <v>4683</v>
      </c>
      <c r="J254" s="23" t="s">
        <v>4729</v>
      </c>
      <c r="K254" s="23" t="s">
        <v>4737</v>
      </c>
      <c r="L254">
        <v>1998</v>
      </c>
      <c r="M254" s="15" t="s">
        <v>4700</v>
      </c>
      <c r="N254">
        <v>19</v>
      </c>
      <c r="O254">
        <v>0</v>
      </c>
      <c r="P254" s="21">
        <f>DATEVALUE(N254&amp;"-"&amp;M254&amp;"-"&amp;L254)</f>
        <v>36118</v>
      </c>
      <c r="Q254" s="22">
        <v>2457.5</v>
      </c>
      <c r="R254" s="23" t="s">
        <v>4697</v>
      </c>
      <c r="S254" s="23" t="s">
        <v>4701</v>
      </c>
      <c r="T254" s="23" t="s">
        <v>4708</v>
      </c>
      <c r="U254" s="23">
        <f>DATEDIF(P254, DATE(2023, 6, 8), "Y")</f>
        <v>24</v>
      </c>
      <c r="V254">
        <f>SUM(C254:K254)</f>
        <v>35.67</v>
      </c>
    </row>
    <row r="255" spans="1:22" ht="15.75">
      <c r="A255" s="28" t="s">
        <v>508</v>
      </c>
      <c r="B255" s="28" t="s">
        <v>509</v>
      </c>
      <c r="C255" s="23">
        <v>51.18</v>
      </c>
      <c r="D255" s="23">
        <v>4.5599999999999996</v>
      </c>
      <c r="E255" s="23" t="s">
        <v>4683</v>
      </c>
      <c r="F255" s="23" t="s">
        <v>4683</v>
      </c>
      <c r="G255" s="23" t="s">
        <v>4682</v>
      </c>
      <c r="H255" s="23">
        <v>2</v>
      </c>
      <c r="I255" s="23" t="s">
        <v>4683</v>
      </c>
      <c r="J255" s="23" t="s">
        <v>4729</v>
      </c>
      <c r="K255" s="23" t="s">
        <v>4737</v>
      </c>
      <c r="L255">
        <v>2002</v>
      </c>
      <c r="M255" s="15" t="s">
        <v>4696</v>
      </c>
      <c r="N255">
        <v>11</v>
      </c>
      <c r="O255">
        <v>0</v>
      </c>
      <c r="P255" s="21">
        <f>DATEVALUE(N255&amp;"-"&amp;M255&amp;"-"&amp;L255)</f>
        <v>37448</v>
      </c>
      <c r="Q255" s="22">
        <v>2459.7199999999998</v>
      </c>
      <c r="R255" s="23" t="s">
        <v>4697</v>
      </c>
      <c r="S255" s="23" t="s">
        <v>4697</v>
      </c>
      <c r="T255" s="23" t="s">
        <v>4714</v>
      </c>
      <c r="U255" s="23">
        <f>DATEDIF(P255, DATE(2023, 6, 8), "Y")</f>
        <v>20</v>
      </c>
      <c r="V255">
        <f>SUM(C255:K255)</f>
        <v>57.74</v>
      </c>
    </row>
    <row r="256" spans="1:22" ht="15.75">
      <c r="A256" s="28" t="s">
        <v>510</v>
      </c>
      <c r="B256" s="28" t="s">
        <v>511</v>
      </c>
      <c r="C256" s="23">
        <v>22.18</v>
      </c>
      <c r="D256" s="23">
        <v>9.9</v>
      </c>
      <c r="E256" s="23" t="s">
        <v>4682</v>
      </c>
      <c r="F256" s="23" t="s">
        <v>4682</v>
      </c>
      <c r="G256" s="23" t="s">
        <v>4682</v>
      </c>
      <c r="H256" s="23">
        <v>0</v>
      </c>
      <c r="I256" s="23" t="s">
        <v>4683</v>
      </c>
      <c r="J256" s="23" t="s">
        <v>4728</v>
      </c>
      <c r="K256" s="23" t="s">
        <v>4735</v>
      </c>
      <c r="L256">
        <v>1998</v>
      </c>
      <c r="M256" s="15" t="s">
        <v>4706</v>
      </c>
      <c r="N256">
        <v>17</v>
      </c>
      <c r="O256">
        <v>0</v>
      </c>
      <c r="P256" s="21">
        <f>DATEVALUE(N256&amp;"-"&amp;M256&amp;"-"&amp;L256)</f>
        <v>36024</v>
      </c>
      <c r="Q256" s="22">
        <v>2464.62</v>
      </c>
      <c r="R256" s="23" t="s">
        <v>4697</v>
      </c>
      <c r="S256" s="23" t="s">
        <v>4698</v>
      </c>
      <c r="T256" s="23" t="s">
        <v>4699</v>
      </c>
      <c r="U256" s="23">
        <f>DATEDIF(P256, DATE(2023, 6, 8), "Y")</f>
        <v>24</v>
      </c>
      <c r="V256">
        <f>SUM(C256:K256)</f>
        <v>32.08</v>
      </c>
    </row>
    <row r="257" spans="1:22" ht="15.75">
      <c r="A257" s="28" t="s">
        <v>512</v>
      </c>
      <c r="B257" s="28" t="s">
        <v>513</v>
      </c>
      <c r="C257" s="23">
        <v>31.92</v>
      </c>
      <c r="D257" s="23">
        <v>5.1100000000000003</v>
      </c>
      <c r="E257" s="23" t="s">
        <v>4682</v>
      </c>
      <c r="F257" s="23" t="s">
        <v>4682</v>
      </c>
      <c r="G257" s="23" t="s">
        <v>4684</v>
      </c>
      <c r="H257" s="23">
        <v>1</v>
      </c>
      <c r="I257" s="23" t="s">
        <v>4683</v>
      </c>
      <c r="J257" s="23" t="s">
        <v>4729</v>
      </c>
      <c r="K257" s="23" t="s">
        <v>4737</v>
      </c>
      <c r="L257">
        <v>1998</v>
      </c>
      <c r="M257" s="15" t="s">
        <v>4696</v>
      </c>
      <c r="N257">
        <v>2</v>
      </c>
      <c r="O257">
        <v>0</v>
      </c>
      <c r="P257" s="21">
        <f>DATEVALUE(N257&amp;"-"&amp;M257&amp;"-"&amp;L257)</f>
        <v>35978</v>
      </c>
      <c r="Q257" s="22">
        <v>2473.33</v>
      </c>
      <c r="R257" s="23" t="s">
        <v>4697</v>
      </c>
      <c r="S257" s="23" t="s">
        <v>4698</v>
      </c>
      <c r="T257" s="23" t="s">
        <v>4699</v>
      </c>
      <c r="U257" s="23">
        <f>DATEDIF(P257, DATE(2023, 6, 8), "Y")</f>
        <v>24</v>
      </c>
      <c r="V257">
        <f>SUM(C257:K257)</f>
        <v>38.03</v>
      </c>
    </row>
    <row r="258" spans="1:22" ht="15.75">
      <c r="A258" s="28" t="s">
        <v>514</v>
      </c>
      <c r="B258" s="28" t="s">
        <v>515</v>
      </c>
      <c r="C258" s="23">
        <v>31.73</v>
      </c>
      <c r="D258" s="23">
        <v>5.73</v>
      </c>
      <c r="E258" s="23" t="s">
        <v>4682</v>
      </c>
      <c r="F258" s="23" t="s">
        <v>4683</v>
      </c>
      <c r="G258" s="23" t="s">
        <v>4682</v>
      </c>
      <c r="H258" s="23">
        <v>1</v>
      </c>
      <c r="I258" s="23" t="s">
        <v>4683</v>
      </c>
      <c r="J258" s="23" t="s">
        <v>4729</v>
      </c>
      <c r="K258" s="23" t="s">
        <v>4736</v>
      </c>
      <c r="L258">
        <v>1998</v>
      </c>
      <c r="M258" s="15" t="s">
        <v>4702</v>
      </c>
      <c r="N258">
        <v>20</v>
      </c>
      <c r="O258">
        <v>0</v>
      </c>
      <c r="P258" s="21">
        <f>DATEVALUE(N258&amp;"-"&amp;M258&amp;"-"&amp;L258)</f>
        <v>35966</v>
      </c>
      <c r="Q258" s="22">
        <v>2480.98</v>
      </c>
      <c r="R258" s="23" t="s">
        <v>4697</v>
      </c>
      <c r="S258" s="23" t="s">
        <v>4697</v>
      </c>
      <c r="T258" s="23" t="s">
        <v>4699</v>
      </c>
      <c r="U258" s="23">
        <f>DATEDIF(P258, DATE(2023, 6, 8), "Y")</f>
        <v>24</v>
      </c>
      <c r="V258">
        <f>SUM(C258:K258)</f>
        <v>38.46</v>
      </c>
    </row>
    <row r="259" spans="1:22" ht="15.75">
      <c r="A259" s="28" t="s">
        <v>516</v>
      </c>
      <c r="B259" s="28" t="s">
        <v>517</v>
      </c>
      <c r="C259" s="23">
        <v>45.52</v>
      </c>
      <c r="D259" s="23">
        <v>6.04</v>
      </c>
      <c r="E259" s="23" t="s">
        <v>4682</v>
      </c>
      <c r="F259" s="23" t="s">
        <v>4682</v>
      </c>
      <c r="G259" s="23" t="s">
        <v>4684</v>
      </c>
      <c r="H259" s="23">
        <v>1</v>
      </c>
      <c r="I259" s="23" t="s">
        <v>4683</v>
      </c>
      <c r="J259" s="23" t="s">
        <v>4729</v>
      </c>
      <c r="K259" s="23" t="s">
        <v>4736</v>
      </c>
      <c r="L259">
        <v>1995</v>
      </c>
      <c r="M259" s="15" t="s">
        <v>4700</v>
      </c>
      <c r="N259">
        <v>6</v>
      </c>
      <c r="O259">
        <v>0</v>
      </c>
      <c r="P259" s="21">
        <f>DATEVALUE(N259&amp;"-"&amp;M259&amp;"-"&amp;L259)</f>
        <v>35009</v>
      </c>
      <c r="Q259" s="22">
        <v>2483.7399999999998</v>
      </c>
      <c r="R259" s="23" t="s">
        <v>4698</v>
      </c>
      <c r="S259" s="23" t="s">
        <v>4697</v>
      </c>
      <c r="T259" s="23" t="s">
        <v>4699</v>
      </c>
      <c r="U259" s="23">
        <f>DATEDIF(P259, DATE(2023, 6, 8), "Y")</f>
        <v>27</v>
      </c>
      <c r="V259">
        <f>SUM(C259:K259)</f>
        <v>52.56</v>
      </c>
    </row>
    <row r="260" spans="1:22" ht="15.75">
      <c r="A260" s="28" t="s">
        <v>518</v>
      </c>
      <c r="B260" s="28" t="s">
        <v>519</v>
      </c>
      <c r="C260" s="23">
        <v>52.81</v>
      </c>
      <c r="D260" s="23">
        <v>5.19</v>
      </c>
      <c r="E260" s="23" t="s">
        <v>4682</v>
      </c>
      <c r="F260" s="23" t="s">
        <v>4682</v>
      </c>
      <c r="G260" s="23" t="s">
        <v>4684</v>
      </c>
      <c r="H260" s="23">
        <v>1</v>
      </c>
      <c r="I260" s="23" t="s">
        <v>4683</v>
      </c>
      <c r="J260" s="23" t="s">
        <v>4729</v>
      </c>
      <c r="K260" s="23" t="s">
        <v>4737</v>
      </c>
      <c r="L260">
        <v>1995</v>
      </c>
      <c r="M260" s="15" t="s">
        <v>4707</v>
      </c>
      <c r="N260">
        <v>14</v>
      </c>
      <c r="O260">
        <v>0</v>
      </c>
      <c r="P260" s="21">
        <f>DATEVALUE(N260&amp;"-"&amp;M260&amp;"-"&amp;L260)</f>
        <v>34986</v>
      </c>
      <c r="Q260" s="22">
        <v>2494.02</v>
      </c>
      <c r="R260" s="23" t="s">
        <v>4698</v>
      </c>
      <c r="S260" s="23" t="s">
        <v>4701</v>
      </c>
      <c r="T260" s="23" t="s">
        <v>4708</v>
      </c>
      <c r="U260" s="23">
        <f>DATEDIF(P260, DATE(2023, 6, 8), "Y")</f>
        <v>27</v>
      </c>
      <c r="V260">
        <f>SUM(C260:K260)</f>
        <v>59</v>
      </c>
    </row>
    <row r="261" spans="1:22" ht="15.75">
      <c r="A261" s="28" t="s">
        <v>520</v>
      </c>
      <c r="B261" s="28" t="s">
        <v>521</v>
      </c>
      <c r="C261" s="23">
        <v>33.58</v>
      </c>
      <c r="D261" s="23">
        <v>5.56</v>
      </c>
      <c r="E261" s="23" t="s">
        <v>4682</v>
      </c>
      <c r="F261" s="23" t="s">
        <v>4682</v>
      </c>
      <c r="G261" s="23" t="s">
        <v>4682</v>
      </c>
      <c r="H261" s="23">
        <v>1</v>
      </c>
      <c r="I261" s="23" t="s">
        <v>4683</v>
      </c>
      <c r="J261" s="23" t="s">
        <v>4729</v>
      </c>
      <c r="K261" s="23" t="s">
        <v>4737</v>
      </c>
      <c r="L261">
        <v>1995</v>
      </c>
      <c r="M261" s="15" t="s">
        <v>4696</v>
      </c>
      <c r="N261">
        <v>9</v>
      </c>
      <c r="O261">
        <v>0</v>
      </c>
      <c r="P261" s="21">
        <f>DATEVALUE(N261&amp;"-"&amp;M261&amp;"-"&amp;L261)</f>
        <v>34889</v>
      </c>
      <c r="Q261" s="22">
        <v>2497.04</v>
      </c>
      <c r="R261" s="23" t="s">
        <v>4698</v>
      </c>
      <c r="S261" s="23" t="s">
        <v>4698</v>
      </c>
      <c r="T261" s="23" t="s">
        <v>4699</v>
      </c>
      <c r="U261" s="23">
        <f>DATEDIF(P261, DATE(2023, 6, 8), "Y")</f>
        <v>27</v>
      </c>
      <c r="V261">
        <f>SUM(C261:K261)</f>
        <v>40.14</v>
      </c>
    </row>
    <row r="262" spans="1:22" ht="15.75">
      <c r="A262" s="28" t="s">
        <v>522</v>
      </c>
      <c r="B262" s="28" t="s">
        <v>523</v>
      </c>
      <c r="C262" s="23">
        <v>30.684999999999999</v>
      </c>
      <c r="D262" s="23">
        <v>8.23</v>
      </c>
      <c r="E262" s="23" t="s">
        <v>4682</v>
      </c>
      <c r="F262" s="23" t="s">
        <v>4682</v>
      </c>
      <c r="G262" s="23" t="s">
        <v>4682</v>
      </c>
      <c r="H262" s="23">
        <v>0</v>
      </c>
      <c r="I262" s="23" t="s">
        <v>4683</v>
      </c>
      <c r="J262" s="23" t="s">
        <v>4729</v>
      </c>
      <c r="K262" s="23" t="s">
        <v>4735</v>
      </c>
      <c r="L262">
        <v>1995</v>
      </c>
      <c r="M262" s="15" t="s">
        <v>4707</v>
      </c>
      <c r="N262">
        <v>15</v>
      </c>
      <c r="O262">
        <v>0</v>
      </c>
      <c r="P262" s="21">
        <f>DATEVALUE(N262&amp;"-"&amp;M262&amp;"-"&amp;L262)</f>
        <v>34987</v>
      </c>
      <c r="Q262" s="22">
        <v>2498.41</v>
      </c>
      <c r="R262" s="23" t="s">
        <v>4698</v>
      </c>
      <c r="S262" s="23" t="s">
        <v>4698</v>
      </c>
      <c r="T262" s="23" t="s">
        <v>4699</v>
      </c>
      <c r="U262" s="23">
        <f>DATEDIF(P262, DATE(2023, 6, 8), "Y")</f>
        <v>27</v>
      </c>
      <c r="V262">
        <f>SUM(C262:K262)</f>
        <v>38.914999999999999</v>
      </c>
    </row>
    <row r="263" spans="1:22" ht="15.75">
      <c r="A263" s="28" t="s">
        <v>524</v>
      </c>
      <c r="B263" s="28" t="s">
        <v>525</v>
      </c>
      <c r="C263" s="23">
        <v>37.524999999999999</v>
      </c>
      <c r="D263" s="23">
        <v>9.0299999999999994</v>
      </c>
      <c r="E263" s="23" t="s">
        <v>4683</v>
      </c>
      <c r="F263" s="23" t="s">
        <v>4682</v>
      </c>
      <c r="G263" s="23" t="s">
        <v>4682</v>
      </c>
      <c r="H263" s="23">
        <v>2</v>
      </c>
      <c r="I263" s="23" t="s">
        <v>4682</v>
      </c>
      <c r="J263" s="23" t="s">
        <v>4729</v>
      </c>
      <c r="K263" s="23" t="s">
        <v>4735</v>
      </c>
      <c r="L263">
        <v>2004</v>
      </c>
      <c r="M263" s="15" t="s">
        <v>4703</v>
      </c>
      <c r="N263">
        <v>6</v>
      </c>
      <c r="O263">
        <v>0</v>
      </c>
      <c r="P263" s="21">
        <f>DATEVALUE(N263&amp;"-"&amp;M263&amp;"-"&amp;L263)</f>
        <v>38236</v>
      </c>
      <c r="Q263" s="22">
        <v>2500.9299999999998</v>
      </c>
      <c r="R263" s="23" t="s">
        <v>4697</v>
      </c>
      <c r="S263" s="23" t="s">
        <v>4697</v>
      </c>
      <c r="T263" s="23" t="s">
        <v>4704</v>
      </c>
      <c r="U263" s="23">
        <f>DATEDIF(P263, DATE(2023, 6, 8), "Y")</f>
        <v>18</v>
      </c>
      <c r="V263">
        <f>SUM(C263:K263)</f>
        <v>48.555</v>
      </c>
    </row>
    <row r="264" spans="1:22" ht="15.75">
      <c r="A264" s="28" t="s">
        <v>526</v>
      </c>
      <c r="B264" s="28" t="s">
        <v>527</v>
      </c>
      <c r="C264" s="23">
        <v>34.5</v>
      </c>
      <c r="D264" s="23">
        <v>4.07</v>
      </c>
      <c r="E264" s="23" t="s">
        <v>4683</v>
      </c>
      <c r="F264" s="23" t="s">
        <v>4682</v>
      </c>
      <c r="G264" s="23" t="s">
        <v>4682</v>
      </c>
      <c r="H264" s="23">
        <v>0</v>
      </c>
      <c r="I264" s="23" t="s">
        <v>4683</v>
      </c>
      <c r="J264" s="23" t="s">
        <v>4729</v>
      </c>
      <c r="K264" s="23" t="s">
        <v>4737</v>
      </c>
      <c r="L264">
        <v>1991</v>
      </c>
      <c r="M264" s="15" t="s">
        <v>4706</v>
      </c>
      <c r="N264">
        <v>5</v>
      </c>
      <c r="O264">
        <v>3</v>
      </c>
      <c r="P264" s="21">
        <f>DATEVALUE(N264&amp;"-"&amp;M264&amp;"-"&amp;L264)</f>
        <v>33455</v>
      </c>
      <c r="Q264" s="22">
        <v>2510.79</v>
      </c>
      <c r="R264" s="23" t="s">
        <v>4697</v>
      </c>
      <c r="S264" s="23" t="s">
        <v>4701</v>
      </c>
      <c r="T264" s="23" t="s">
        <v>4699</v>
      </c>
      <c r="U264" s="23">
        <f>DATEDIF(P264, DATE(2023, 6, 8), "Y")</f>
        <v>31</v>
      </c>
      <c r="V264">
        <f>SUM(C264:K264)</f>
        <v>38.57</v>
      </c>
    </row>
    <row r="265" spans="1:22" ht="15.75">
      <c r="A265" s="28" t="s">
        <v>528</v>
      </c>
      <c r="B265" s="28" t="s">
        <v>529</v>
      </c>
      <c r="C265" s="23">
        <v>28.16</v>
      </c>
      <c r="D265" s="23">
        <v>5.77</v>
      </c>
      <c r="E265" s="23" t="s">
        <v>4682</v>
      </c>
      <c r="F265" s="23" t="s">
        <v>4682</v>
      </c>
      <c r="G265" s="23" t="s">
        <v>4682</v>
      </c>
      <c r="H265" s="23">
        <v>2</v>
      </c>
      <c r="I265" s="23" t="s">
        <v>4683</v>
      </c>
      <c r="J265" s="23" t="s">
        <v>4730</v>
      </c>
      <c r="K265" s="23" t="s">
        <v>4736</v>
      </c>
      <c r="L265">
        <v>1997</v>
      </c>
      <c r="M265" s="15" t="s">
        <v>4700</v>
      </c>
      <c r="N265">
        <v>2</v>
      </c>
      <c r="O265">
        <v>0</v>
      </c>
      <c r="P265" s="21">
        <f>DATEVALUE(N265&amp;"-"&amp;M265&amp;"-"&amp;L265)</f>
        <v>35736</v>
      </c>
      <c r="Q265" s="22">
        <v>2523.17</v>
      </c>
      <c r="R265" s="23" t="s">
        <v>4698</v>
      </c>
      <c r="S265" s="23" t="s">
        <v>4701</v>
      </c>
      <c r="T265" s="23" t="s">
        <v>4704</v>
      </c>
      <c r="U265" s="23">
        <f>DATEDIF(P265, DATE(2023, 6, 8), "Y")</f>
        <v>25</v>
      </c>
      <c r="V265">
        <f>SUM(C265:K265)</f>
        <v>35.93</v>
      </c>
    </row>
    <row r="266" spans="1:22" ht="15.75">
      <c r="A266" s="28" t="s">
        <v>530</v>
      </c>
      <c r="B266" s="28" t="s">
        <v>531</v>
      </c>
      <c r="C266" s="23">
        <v>30.02</v>
      </c>
      <c r="D266" s="23">
        <v>5.98</v>
      </c>
      <c r="E266" s="23" t="s">
        <v>4682</v>
      </c>
      <c r="F266" s="23" t="s">
        <v>4682</v>
      </c>
      <c r="G266" s="23" t="s">
        <v>4684</v>
      </c>
      <c r="H266" s="23">
        <v>1</v>
      </c>
      <c r="I266" s="23" t="s">
        <v>4683</v>
      </c>
      <c r="J266" s="23" t="s">
        <v>4729</v>
      </c>
      <c r="K266" s="23" t="s">
        <v>4736</v>
      </c>
      <c r="L266">
        <v>2000</v>
      </c>
      <c r="M266" s="15" t="s">
        <v>4706</v>
      </c>
      <c r="N266">
        <v>25</v>
      </c>
      <c r="O266">
        <v>0</v>
      </c>
      <c r="P266" s="21">
        <f>DATEVALUE(N266&amp;"-"&amp;M266&amp;"-"&amp;L266)</f>
        <v>36763</v>
      </c>
      <c r="Q266" s="22">
        <v>2527.8200000000002</v>
      </c>
      <c r="R266" s="23" t="s">
        <v>4697</v>
      </c>
      <c r="S266" s="23" t="s">
        <v>4698</v>
      </c>
      <c r="T266" s="23" t="s">
        <v>4704</v>
      </c>
      <c r="U266" s="23">
        <f>DATEDIF(P266, DATE(2023, 6, 8), "Y")</f>
        <v>22</v>
      </c>
      <c r="V266">
        <f>SUM(C266:K266)</f>
        <v>37</v>
      </c>
    </row>
    <row r="267" spans="1:22" ht="15.75">
      <c r="A267" s="28" t="s">
        <v>532</v>
      </c>
      <c r="B267" s="28" t="s">
        <v>533</v>
      </c>
      <c r="C267" s="23">
        <v>37.82</v>
      </c>
      <c r="D267" s="23">
        <v>6.01</v>
      </c>
      <c r="E267" s="23" t="s">
        <v>4682</v>
      </c>
      <c r="F267" s="23" t="s">
        <v>4682</v>
      </c>
      <c r="G267" s="23" t="s">
        <v>4682</v>
      </c>
      <c r="H267" s="23">
        <v>0</v>
      </c>
      <c r="I267" s="23" t="s">
        <v>4683</v>
      </c>
      <c r="J267" s="23" t="s">
        <v>4729</v>
      </c>
      <c r="K267" s="23" t="s">
        <v>4736</v>
      </c>
      <c r="L267">
        <v>1997</v>
      </c>
      <c r="M267" s="15" t="s">
        <v>4696</v>
      </c>
      <c r="N267">
        <v>28</v>
      </c>
      <c r="O267">
        <v>0</v>
      </c>
      <c r="P267" s="21">
        <f>DATEVALUE(N267&amp;"-"&amp;M267&amp;"-"&amp;L267)</f>
        <v>35639</v>
      </c>
      <c r="Q267" s="22">
        <v>2534.39</v>
      </c>
      <c r="R267" s="23" t="s">
        <v>4698</v>
      </c>
      <c r="S267" s="23" t="s">
        <v>4698</v>
      </c>
      <c r="T267" s="23" t="s">
        <v>4704</v>
      </c>
      <c r="U267" s="23">
        <f>DATEDIF(P267, DATE(2023, 6, 8), "Y")</f>
        <v>25</v>
      </c>
      <c r="V267">
        <f>SUM(C267:K267)</f>
        <v>43.83</v>
      </c>
    </row>
    <row r="268" spans="1:22" ht="15.75">
      <c r="A268" s="28" t="s">
        <v>534</v>
      </c>
      <c r="B268" s="28" t="s">
        <v>535</v>
      </c>
      <c r="C268" s="23">
        <v>33.14</v>
      </c>
      <c r="D268" s="23">
        <v>5.67</v>
      </c>
      <c r="E268" s="23" t="s">
        <v>4683</v>
      </c>
      <c r="F268" s="23" t="s">
        <v>4682</v>
      </c>
      <c r="G268" s="23" t="s">
        <v>4682</v>
      </c>
      <c r="H268" s="23">
        <v>0</v>
      </c>
      <c r="I268" s="23" t="s">
        <v>4683</v>
      </c>
      <c r="J268" s="23" t="s">
        <v>4729</v>
      </c>
      <c r="K268" s="23" t="s">
        <v>4737</v>
      </c>
      <c r="L268">
        <v>1990</v>
      </c>
      <c r="M268" s="15" t="s">
        <v>4707</v>
      </c>
      <c r="N268">
        <v>1</v>
      </c>
      <c r="O268">
        <v>3</v>
      </c>
      <c r="P268" s="21">
        <f>DATEVALUE(N268&amp;"-"&amp;M268&amp;"-"&amp;L268)</f>
        <v>33147</v>
      </c>
      <c r="Q268" s="22">
        <v>2540.39</v>
      </c>
      <c r="R268" s="23" t="s">
        <v>4697</v>
      </c>
      <c r="S268" s="23" t="s">
        <v>4697</v>
      </c>
      <c r="T268" s="23" t="s">
        <v>4699</v>
      </c>
      <c r="U268" s="23">
        <f>DATEDIF(P268, DATE(2023, 6, 8), "Y")</f>
        <v>32</v>
      </c>
      <c r="V268">
        <f>SUM(C268:K268)</f>
        <v>38.81</v>
      </c>
    </row>
    <row r="269" spans="1:22" ht="15.75">
      <c r="A269" s="28" t="s">
        <v>536</v>
      </c>
      <c r="B269" s="28" t="s">
        <v>537</v>
      </c>
      <c r="C269" s="23">
        <v>25.14</v>
      </c>
      <c r="D269" s="23">
        <v>6.02</v>
      </c>
      <c r="E269" s="23" t="s">
        <v>4683</v>
      </c>
      <c r="F269" s="23" t="s">
        <v>4682</v>
      </c>
      <c r="G269" s="23" t="s">
        <v>4684</v>
      </c>
      <c r="H269" s="23">
        <v>1</v>
      </c>
      <c r="I269" s="23" t="s">
        <v>4683</v>
      </c>
      <c r="J269" s="23" t="s">
        <v>4730</v>
      </c>
      <c r="K269" s="23" t="s">
        <v>4736</v>
      </c>
      <c r="L269">
        <v>1991</v>
      </c>
      <c r="M269" s="15" t="s">
        <v>4700</v>
      </c>
      <c r="N269">
        <v>17</v>
      </c>
      <c r="O269">
        <v>3</v>
      </c>
      <c r="P269" s="21">
        <f>DATEVALUE(N269&amp;"-"&amp;M269&amp;"-"&amp;L269)</f>
        <v>33559</v>
      </c>
      <c r="Q269" s="22">
        <v>2545.6799999999998</v>
      </c>
      <c r="R269" s="23" t="s">
        <v>4697</v>
      </c>
      <c r="S269" s="23" t="s">
        <v>4701</v>
      </c>
      <c r="T269" s="23" t="s">
        <v>4699</v>
      </c>
      <c r="U269" s="23">
        <f>DATEDIF(P269, DATE(2023, 6, 8), "Y")</f>
        <v>31</v>
      </c>
      <c r="V269">
        <f>SUM(C269:K269)</f>
        <v>32.159999999999997</v>
      </c>
    </row>
    <row r="270" spans="1:22" ht="15.75">
      <c r="A270" s="28" t="s">
        <v>538</v>
      </c>
      <c r="B270" s="28" t="s">
        <v>539</v>
      </c>
      <c r="C270" s="23">
        <v>20.18</v>
      </c>
      <c r="D270" s="23">
        <v>11.19</v>
      </c>
      <c r="E270" s="23" t="s">
        <v>4682</v>
      </c>
      <c r="F270" s="23" t="s">
        <v>4682</v>
      </c>
      <c r="G270" s="23" t="s">
        <v>4682</v>
      </c>
      <c r="H270" s="23">
        <v>0</v>
      </c>
      <c r="I270" s="23" t="s">
        <v>4683</v>
      </c>
      <c r="J270" s="23" t="s">
        <v>4728</v>
      </c>
      <c r="K270" s="23" t="s">
        <v>4735</v>
      </c>
      <c r="L270">
        <v>2002</v>
      </c>
      <c r="M270" s="15" t="s">
        <v>4707</v>
      </c>
      <c r="N270">
        <v>11</v>
      </c>
      <c r="O270">
        <v>2</v>
      </c>
      <c r="P270" s="21">
        <f>DATEVALUE(N270&amp;"-"&amp;M270&amp;"-"&amp;L270)</f>
        <v>37540</v>
      </c>
      <c r="Q270" s="22">
        <v>2566.4699999999998</v>
      </c>
      <c r="R270" s="23" t="s">
        <v>4697</v>
      </c>
      <c r="S270" s="23" t="s">
        <v>4698</v>
      </c>
      <c r="T270" s="23" t="s">
        <v>4699</v>
      </c>
      <c r="U270" s="23">
        <f>DATEDIF(P270, DATE(2023, 6, 8), "Y")</f>
        <v>20</v>
      </c>
      <c r="V270">
        <f>SUM(C270:K270)</f>
        <v>31.369999999999997</v>
      </c>
    </row>
    <row r="271" spans="1:22" ht="15.75">
      <c r="A271" s="28" t="s">
        <v>540</v>
      </c>
      <c r="B271" s="28" t="s">
        <v>541</v>
      </c>
      <c r="C271" s="23">
        <v>44.36</v>
      </c>
      <c r="D271" s="23">
        <v>5.1100000000000003</v>
      </c>
      <c r="E271" s="23" t="s">
        <v>4682</v>
      </c>
      <c r="F271" s="23" t="s">
        <v>4682</v>
      </c>
      <c r="G271" s="23" t="s">
        <v>4682</v>
      </c>
      <c r="H271" s="23">
        <v>0</v>
      </c>
      <c r="I271" s="23" t="s">
        <v>4683</v>
      </c>
      <c r="J271" s="23" t="s">
        <v>4729</v>
      </c>
      <c r="K271" s="23" t="s">
        <v>4737</v>
      </c>
      <c r="L271">
        <v>2002</v>
      </c>
      <c r="M271" s="15" t="s">
        <v>4696</v>
      </c>
      <c r="N271">
        <v>20</v>
      </c>
      <c r="O271">
        <v>0</v>
      </c>
      <c r="P271" s="21">
        <f>DATEVALUE(N271&amp;"-"&amp;M271&amp;"-"&amp;L271)</f>
        <v>37457</v>
      </c>
      <c r="Q271" s="22">
        <v>2585.04</v>
      </c>
      <c r="R271" s="23" t="s">
        <v>4697</v>
      </c>
      <c r="S271" s="23" t="s">
        <v>4697</v>
      </c>
      <c r="T271" s="23" t="s">
        <v>4717</v>
      </c>
      <c r="U271" s="23">
        <f>DATEDIF(P271, DATE(2023, 6, 8), "Y")</f>
        <v>20</v>
      </c>
      <c r="V271">
        <f>SUM(C271:K271)</f>
        <v>49.47</v>
      </c>
    </row>
    <row r="272" spans="1:22" ht="15.75">
      <c r="A272" s="28" t="s">
        <v>542</v>
      </c>
      <c r="B272" s="28" t="s">
        <v>543</v>
      </c>
      <c r="C272" s="23">
        <v>23.82</v>
      </c>
      <c r="D272" s="23">
        <v>10.85</v>
      </c>
      <c r="E272" s="23" t="s">
        <v>4683</v>
      </c>
      <c r="F272" s="23" t="s">
        <v>4682</v>
      </c>
      <c r="G272" s="23" t="s">
        <v>4682</v>
      </c>
      <c r="H272" s="23">
        <v>0</v>
      </c>
      <c r="I272" s="23" t="s">
        <v>4683</v>
      </c>
      <c r="J272" s="23" t="s">
        <v>4728</v>
      </c>
      <c r="K272" s="23" t="s">
        <v>4735</v>
      </c>
      <c r="L272">
        <v>2001</v>
      </c>
      <c r="M272" s="15" t="s">
        <v>4707</v>
      </c>
      <c r="N272">
        <v>15</v>
      </c>
      <c r="O272">
        <v>1</v>
      </c>
      <c r="P272" s="21">
        <f>DATEVALUE(N272&amp;"-"&amp;M272&amp;"-"&amp;L272)</f>
        <v>37179</v>
      </c>
      <c r="Q272" s="22">
        <v>2585.27</v>
      </c>
      <c r="R272" s="23" t="s">
        <v>4697</v>
      </c>
      <c r="S272" s="23" t="s">
        <v>4698</v>
      </c>
      <c r="T272" s="23" t="s">
        <v>4708</v>
      </c>
      <c r="U272" s="23">
        <f>DATEDIF(P272, DATE(2023, 6, 8), "Y")</f>
        <v>21</v>
      </c>
      <c r="V272">
        <f>SUM(C272:K272)</f>
        <v>34.67</v>
      </c>
    </row>
    <row r="273" spans="1:22" ht="15.75">
      <c r="A273" s="28" t="s">
        <v>544</v>
      </c>
      <c r="B273" s="28" t="s">
        <v>545</v>
      </c>
      <c r="C273" s="23">
        <v>45</v>
      </c>
      <c r="D273" s="23">
        <v>5.24</v>
      </c>
      <c r="E273" s="23" t="s">
        <v>4683</v>
      </c>
      <c r="F273" s="23" t="s">
        <v>4682</v>
      </c>
      <c r="G273" s="23" t="s">
        <v>4682</v>
      </c>
      <c r="H273" s="23">
        <v>1</v>
      </c>
      <c r="I273" s="23" t="s">
        <v>4683</v>
      </c>
      <c r="J273" s="23" t="s">
        <v>4729</v>
      </c>
      <c r="K273" s="23" t="s">
        <v>4737</v>
      </c>
      <c r="L273">
        <v>2001</v>
      </c>
      <c r="M273" s="15" t="s">
        <v>4696</v>
      </c>
      <c r="N273">
        <v>28</v>
      </c>
      <c r="O273">
        <v>0</v>
      </c>
      <c r="P273" s="21">
        <f>DATEVALUE(N273&amp;"-"&amp;M273&amp;"-"&amp;L273)</f>
        <v>37100</v>
      </c>
      <c r="Q273" s="22">
        <v>2585.85</v>
      </c>
      <c r="R273" s="23" t="s">
        <v>4697</v>
      </c>
      <c r="S273" s="23" t="s">
        <v>4697</v>
      </c>
      <c r="T273" s="23" t="s">
        <v>4714</v>
      </c>
      <c r="U273" s="23">
        <f>DATEDIF(P273, DATE(2023, 6, 8), "Y")</f>
        <v>21</v>
      </c>
      <c r="V273">
        <f>SUM(C273:K273)</f>
        <v>51.24</v>
      </c>
    </row>
    <row r="274" spans="1:22" ht="15.75">
      <c r="A274" s="28" t="s">
        <v>546</v>
      </c>
      <c r="B274" s="28" t="s">
        <v>547</v>
      </c>
      <c r="C274" s="23">
        <v>26.62</v>
      </c>
      <c r="D274" s="23">
        <v>10.08</v>
      </c>
      <c r="E274" s="23" t="s">
        <v>4682</v>
      </c>
      <c r="F274" s="23" t="s">
        <v>4682</v>
      </c>
      <c r="G274" s="23" t="s">
        <v>4682</v>
      </c>
      <c r="H274" s="23">
        <v>0</v>
      </c>
      <c r="I274" s="23" t="s">
        <v>4683</v>
      </c>
      <c r="J274" s="23" t="s">
        <v>4730</v>
      </c>
      <c r="K274" s="23" t="s">
        <v>4735</v>
      </c>
      <c r="L274">
        <v>2001</v>
      </c>
      <c r="M274" s="15" t="s">
        <v>4706</v>
      </c>
      <c r="N274">
        <v>26</v>
      </c>
      <c r="O274">
        <v>1</v>
      </c>
      <c r="P274" s="21">
        <f>DATEVALUE(N274&amp;"-"&amp;M274&amp;"-"&amp;L274)</f>
        <v>37129</v>
      </c>
      <c r="Q274" s="22">
        <v>2597.7800000000002</v>
      </c>
      <c r="R274" s="23" t="s">
        <v>4697</v>
      </c>
      <c r="S274" s="23" t="s">
        <v>4701</v>
      </c>
      <c r="T274" s="23" t="s">
        <v>4708</v>
      </c>
      <c r="U274" s="23">
        <f>DATEDIF(P274, DATE(2023, 6, 8), "Y")</f>
        <v>21</v>
      </c>
      <c r="V274">
        <f>SUM(C274:K274)</f>
        <v>36.700000000000003</v>
      </c>
    </row>
    <row r="275" spans="1:22" ht="15.75">
      <c r="A275" s="28" t="s">
        <v>548</v>
      </c>
      <c r="B275" s="28" t="s">
        <v>549</v>
      </c>
      <c r="C275" s="23">
        <v>32.67</v>
      </c>
      <c r="D275" s="23">
        <v>10.97</v>
      </c>
      <c r="E275" s="23" t="s">
        <v>4683</v>
      </c>
      <c r="F275" s="23" t="s">
        <v>4682</v>
      </c>
      <c r="G275" s="23" t="s">
        <v>4682</v>
      </c>
      <c r="H275" s="23">
        <v>0</v>
      </c>
      <c r="I275" s="23" t="s">
        <v>4683</v>
      </c>
      <c r="J275" s="23" t="s">
        <v>4729</v>
      </c>
      <c r="K275" s="23" t="s">
        <v>4735</v>
      </c>
      <c r="L275">
        <v>1997</v>
      </c>
      <c r="M275" s="15" t="s">
        <v>4706</v>
      </c>
      <c r="N275">
        <v>26</v>
      </c>
      <c r="O275">
        <v>0</v>
      </c>
      <c r="P275" s="21">
        <f>DATEVALUE(N275&amp;"-"&amp;M275&amp;"-"&amp;L275)</f>
        <v>35668</v>
      </c>
      <c r="Q275" s="22">
        <v>2632.99</v>
      </c>
      <c r="R275" s="23" t="s">
        <v>4697</v>
      </c>
      <c r="S275" s="23" t="s">
        <v>4701</v>
      </c>
      <c r="T275" s="23" t="s">
        <v>4708</v>
      </c>
      <c r="U275" s="23">
        <f>DATEDIF(P275, DATE(2023, 6, 8), "Y")</f>
        <v>25</v>
      </c>
      <c r="V275">
        <f>SUM(C275:K275)</f>
        <v>43.64</v>
      </c>
    </row>
    <row r="276" spans="1:22" ht="15.75">
      <c r="A276" s="28" t="s">
        <v>550</v>
      </c>
      <c r="B276" s="28" t="s">
        <v>551</v>
      </c>
      <c r="C276" s="23">
        <v>44.44</v>
      </c>
      <c r="D276" s="23">
        <v>4.9000000000000004</v>
      </c>
      <c r="E276" s="23" t="s">
        <v>4683</v>
      </c>
      <c r="F276" s="23" t="s">
        <v>4682</v>
      </c>
      <c r="G276" s="23" t="s">
        <v>4682</v>
      </c>
      <c r="H276" s="23">
        <v>1</v>
      </c>
      <c r="I276" s="23" t="s">
        <v>4683</v>
      </c>
      <c r="J276" s="23" t="s">
        <v>4729</v>
      </c>
      <c r="K276" s="23" t="s">
        <v>4737</v>
      </c>
      <c r="L276">
        <v>2000</v>
      </c>
      <c r="M276" s="15" t="s">
        <v>4702</v>
      </c>
      <c r="N276">
        <v>24</v>
      </c>
      <c r="O276">
        <v>1</v>
      </c>
      <c r="P276" s="21">
        <f>DATEVALUE(N276&amp;"-"&amp;M276&amp;"-"&amp;L276)</f>
        <v>36701</v>
      </c>
      <c r="Q276" s="22">
        <v>2639.04</v>
      </c>
      <c r="R276" s="23" t="s">
        <v>4697</v>
      </c>
      <c r="S276" s="23" t="s">
        <v>4697</v>
      </c>
      <c r="T276" s="23" t="s">
        <v>4704</v>
      </c>
      <c r="U276" s="23">
        <f>DATEDIF(P276, DATE(2023, 6, 8), "Y")</f>
        <v>22</v>
      </c>
      <c r="V276">
        <f>SUM(C276:K276)</f>
        <v>50.339999999999996</v>
      </c>
    </row>
    <row r="277" spans="1:22" ht="15.75">
      <c r="A277" s="28" t="s">
        <v>552</v>
      </c>
      <c r="B277" s="28" t="s">
        <v>553</v>
      </c>
      <c r="C277" s="23">
        <v>28.31</v>
      </c>
      <c r="D277" s="23">
        <v>5.33</v>
      </c>
      <c r="E277" s="23" t="s">
        <v>4682</v>
      </c>
      <c r="F277" s="23" t="s">
        <v>4682</v>
      </c>
      <c r="G277" s="23" t="s">
        <v>4682</v>
      </c>
      <c r="H277" s="23">
        <v>0</v>
      </c>
      <c r="I277" s="23" t="s">
        <v>4683</v>
      </c>
      <c r="J277" s="23" t="s">
        <v>4730</v>
      </c>
      <c r="K277" s="23" t="s">
        <v>4737</v>
      </c>
      <c r="L277">
        <v>2000</v>
      </c>
      <c r="M277" s="15" t="s">
        <v>4705</v>
      </c>
      <c r="N277">
        <v>9</v>
      </c>
      <c r="O277">
        <v>1</v>
      </c>
      <c r="P277" s="21">
        <f>DATEVALUE(N277&amp;"-"&amp;M277&amp;"-"&amp;L277)</f>
        <v>36869</v>
      </c>
      <c r="Q277" s="22">
        <v>2643.27</v>
      </c>
      <c r="R277" s="23" t="s">
        <v>4697</v>
      </c>
      <c r="S277" s="23" t="s">
        <v>4701</v>
      </c>
      <c r="T277" s="23" t="s">
        <v>4704</v>
      </c>
      <c r="U277" s="23">
        <f>DATEDIF(P277, DATE(2023, 6, 8), "Y")</f>
        <v>22</v>
      </c>
      <c r="V277">
        <f>SUM(C277:K277)</f>
        <v>33.64</v>
      </c>
    </row>
    <row r="278" spans="1:22" ht="15.75">
      <c r="A278" s="28" t="s">
        <v>554</v>
      </c>
      <c r="B278" s="28" t="s">
        <v>555</v>
      </c>
      <c r="C278" s="23">
        <v>25.05</v>
      </c>
      <c r="D278" s="23">
        <v>4.6100000000000003</v>
      </c>
      <c r="E278" s="23" t="s">
        <v>4682</v>
      </c>
      <c r="F278" s="23" t="s">
        <v>4682</v>
      </c>
      <c r="G278" s="23" t="s">
        <v>4682</v>
      </c>
      <c r="H278" s="23">
        <v>2</v>
      </c>
      <c r="I278" s="23" t="s">
        <v>4683</v>
      </c>
      <c r="J278" s="23" t="s">
        <v>4730</v>
      </c>
      <c r="K278" s="23" t="s">
        <v>4737</v>
      </c>
      <c r="L278">
        <v>1996</v>
      </c>
      <c r="M278" s="15" t="s">
        <v>4706</v>
      </c>
      <c r="N278">
        <v>5</v>
      </c>
      <c r="O278">
        <v>0</v>
      </c>
      <c r="P278" s="21">
        <f>DATEVALUE(N278&amp;"-"&amp;M278&amp;"-"&amp;L278)</f>
        <v>35282</v>
      </c>
      <c r="Q278" s="22">
        <v>2680.95</v>
      </c>
      <c r="R278" s="23" t="s">
        <v>4698</v>
      </c>
      <c r="S278" s="23" t="s">
        <v>4697</v>
      </c>
      <c r="T278" s="23" t="s">
        <v>4704</v>
      </c>
      <c r="U278" s="23">
        <f>DATEDIF(P278, DATE(2023, 6, 8), "Y")</f>
        <v>26</v>
      </c>
      <c r="V278">
        <f>SUM(C278:K278)</f>
        <v>31.66</v>
      </c>
    </row>
    <row r="279" spans="1:22" ht="15.75">
      <c r="A279" s="28" t="s">
        <v>556</v>
      </c>
      <c r="B279" s="28" t="s">
        <v>557</v>
      </c>
      <c r="C279" s="23">
        <v>28.34</v>
      </c>
      <c r="D279" s="23">
        <v>8.18</v>
      </c>
      <c r="E279" s="23" t="s">
        <v>4682</v>
      </c>
      <c r="F279" s="23" t="s">
        <v>4682</v>
      </c>
      <c r="G279" s="23" t="s">
        <v>4682</v>
      </c>
      <c r="H279" s="23">
        <v>0</v>
      </c>
      <c r="I279" s="23" t="s">
        <v>4683</v>
      </c>
      <c r="J279" s="23" t="s">
        <v>4730</v>
      </c>
      <c r="K279" s="23" t="s">
        <v>4735</v>
      </c>
      <c r="L279">
        <v>1994</v>
      </c>
      <c r="M279" s="15" t="s">
        <v>4703</v>
      </c>
      <c r="N279">
        <v>17</v>
      </c>
      <c r="O279">
        <v>0</v>
      </c>
      <c r="P279" s="21">
        <f>DATEVALUE(N279&amp;"-"&amp;M279&amp;"-"&amp;L279)</f>
        <v>34594</v>
      </c>
      <c r="Q279" s="22">
        <v>2684.69</v>
      </c>
      <c r="R279" s="23" t="s">
        <v>4697</v>
      </c>
      <c r="S279" s="23" t="s">
        <v>4697</v>
      </c>
      <c r="T279" s="23" t="s">
        <v>4699</v>
      </c>
      <c r="U279" s="23">
        <f>DATEDIF(P279, DATE(2023, 6, 8), "Y")</f>
        <v>28</v>
      </c>
      <c r="V279">
        <f>SUM(C279:K279)</f>
        <v>36.519999999999996</v>
      </c>
    </row>
    <row r="280" spans="1:22" ht="15.75">
      <c r="A280" s="28" t="s">
        <v>558</v>
      </c>
      <c r="B280" s="28" t="s">
        <v>559</v>
      </c>
      <c r="C280" s="23">
        <v>17.765000000000001</v>
      </c>
      <c r="D280" s="23">
        <v>5.62</v>
      </c>
      <c r="E280" s="23" t="s">
        <v>4682</v>
      </c>
      <c r="F280" s="23" t="s">
        <v>4682</v>
      </c>
      <c r="G280" s="23" t="s">
        <v>4682</v>
      </c>
      <c r="H280" s="23">
        <v>0</v>
      </c>
      <c r="I280" s="23" t="s">
        <v>4683</v>
      </c>
      <c r="J280" s="23" t="s">
        <v>4731</v>
      </c>
      <c r="K280" s="23" t="s">
        <v>4737</v>
      </c>
      <c r="L280">
        <v>1994</v>
      </c>
      <c r="M280" s="15" t="s">
        <v>4707</v>
      </c>
      <c r="N280">
        <v>2</v>
      </c>
      <c r="O280">
        <v>0</v>
      </c>
      <c r="P280" s="21">
        <f>DATEVALUE(N280&amp;"-"&amp;M280&amp;"-"&amp;L280)</f>
        <v>34609</v>
      </c>
      <c r="Q280" s="22">
        <v>2689.5</v>
      </c>
      <c r="R280" s="23" t="s">
        <v>4698</v>
      </c>
      <c r="S280" s="23" t="s">
        <v>4697</v>
      </c>
      <c r="T280" s="23" t="s">
        <v>4699</v>
      </c>
      <c r="U280" s="23">
        <f>DATEDIF(P280, DATE(2023, 6, 8), "Y")</f>
        <v>28</v>
      </c>
      <c r="V280">
        <f>SUM(C280:K280)</f>
        <v>23.385000000000002</v>
      </c>
    </row>
    <row r="281" spans="1:22" ht="15.75">
      <c r="A281" s="28" t="s">
        <v>560</v>
      </c>
      <c r="B281" s="28" t="s">
        <v>561</v>
      </c>
      <c r="C281" s="23">
        <v>36.119999999999997</v>
      </c>
      <c r="D281" s="23">
        <v>5.82</v>
      </c>
      <c r="E281" s="23" t="s">
        <v>4682</v>
      </c>
      <c r="F281" s="23" t="s">
        <v>4682</v>
      </c>
      <c r="G281" s="23" t="s">
        <v>4682</v>
      </c>
      <c r="H281" s="23">
        <v>0</v>
      </c>
      <c r="I281" s="23" t="s">
        <v>4683</v>
      </c>
      <c r="J281" s="23" t="s">
        <v>4729</v>
      </c>
      <c r="K281" s="23" t="s">
        <v>4736</v>
      </c>
      <c r="L281">
        <v>1999</v>
      </c>
      <c r="M281" s="15" t="s">
        <v>4702</v>
      </c>
      <c r="N281">
        <v>11</v>
      </c>
      <c r="O281">
        <v>0</v>
      </c>
      <c r="P281" s="21">
        <f>DATEVALUE(N281&amp;"-"&amp;M281&amp;"-"&amp;L281)</f>
        <v>36322</v>
      </c>
      <c r="Q281" s="22">
        <v>2690.11</v>
      </c>
      <c r="R281" s="23" t="s">
        <v>4697</v>
      </c>
      <c r="S281" s="23" t="s">
        <v>4697</v>
      </c>
      <c r="T281" s="23" t="s">
        <v>4704</v>
      </c>
      <c r="U281" s="23">
        <f>DATEDIF(P281, DATE(2023, 6, 8), "Y")</f>
        <v>23</v>
      </c>
      <c r="V281">
        <f>SUM(C281:K281)</f>
        <v>41.94</v>
      </c>
    </row>
    <row r="282" spans="1:22" ht="15.75">
      <c r="A282" s="28" t="s">
        <v>562</v>
      </c>
      <c r="B282" s="28" t="s">
        <v>563</v>
      </c>
      <c r="C282" s="23">
        <v>23.19</v>
      </c>
      <c r="D282" s="23">
        <v>7.66</v>
      </c>
      <c r="E282" s="23" t="s">
        <v>4682</v>
      </c>
      <c r="F282" s="23" t="s">
        <v>4682</v>
      </c>
      <c r="G282" s="23" t="s">
        <v>4682</v>
      </c>
      <c r="H282" s="23">
        <v>0</v>
      </c>
      <c r="I282" s="23" t="s">
        <v>4683</v>
      </c>
      <c r="J282" s="23" t="s">
        <v>4728</v>
      </c>
      <c r="K282" s="23" t="s">
        <v>4735</v>
      </c>
      <c r="L282">
        <v>1996</v>
      </c>
      <c r="M282" s="15" t="s">
        <v>4702</v>
      </c>
      <c r="N282">
        <v>13</v>
      </c>
      <c r="O282">
        <v>0</v>
      </c>
      <c r="P282" s="21">
        <f>DATEVALUE(N282&amp;"-"&amp;M282&amp;"-"&amp;L282)</f>
        <v>35229</v>
      </c>
      <c r="Q282" s="22">
        <v>2699.57</v>
      </c>
      <c r="R282" s="23" t="s">
        <v>4697</v>
      </c>
      <c r="S282" s="23" t="s">
        <v>4701</v>
      </c>
      <c r="T282" s="23" t="s">
        <v>4704</v>
      </c>
      <c r="U282" s="23">
        <f>DATEDIF(P282, DATE(2023, 6, 8), "Y")</f>
        <v>26</v>
      </c>
      <c r="V282">
        <f>SUM(C282:K282)</f>
        <v>30.85</v>
      </c>
    </row>
    <row r="283" spans="1:22" ht="15.75">
      <c r="A283" s="28" t="s">
        <v>564</v>
      </c>
      <c r="B283" s="28" t="s">
        <v>565</v>
      </c>
      <c r="C283" s="23">
        <v>35.99</v>
      </c>
      <c r="D283" s="23">
        <v>4.2300000000000004</v>
      </c>
      <c r="E283" s="23" t="s">
        <v>4682</v>
      </c>
      <c r="F283" s="23" t="s">
        <v>4682</v>
      </c>
      <c r="G283" s="23" t="s">
        <v>4682</v>
      </c>
      <c r="H283" s="23">
        <v>0</v>
      </c>
      <c r="I283" s="23" t="s">
        <v>4683</v>
      </c>
      <c r="J283" s="23" t="s">
        <v>4729</v>
      </c>
      <c r="K283" s="23" t="s">
        <v>4737</v>
      </c>
      <c r="L283">
        <v>2003</v>
      </c>
      <c r="M283" s="15" t="s">
        <v>4696</v>
      </c>
      <c r="N283">
        <v>17</v>
      </c>
      <c r="O283">
        <v>1</v>
      </c>
      <c r="P283" s="21">
        <f>DATEVALUE(N283&amp;"-"&amp;M283&amp;"-"&amp;L283)</f>
        <v>37819</v>
      </c>
      <c r="Q283" s="22">
        <v>2709.11</v>
      </c>
      <c r="R283" s="23" t="s">
        <v>4697</v>
      </c>
      <c r="S283" s="23" t="s">
        <v>4697</v>
      </c>
      <c r="T283" s="23" t="s">
        <v>4704</v>
      </c>
      <c r="U283" s="23">
        <f>DATEDIF(P283, DATE(2023, 6, 8), "Y")</f>
        <v>19</v>
      </c>
      <c r="V283">
        <f>SUM(C283:K283)</f>
        <v>40.22</v>
      </c>
    </row>
    <row r="284" spans="1:22" ht="15.75">
      <c r="A284" s="28" t="s">
        <v>566</v>
      </c>
      <c r="B284" s="28" t="s">
        <v>567</v>
      </c>
      <c r="C284" s="23">
        <v>30.25</v>
      </c>
      <c r="D284" s="23">
        <v>5.58</v>
      </c>
      <c r="E284" s="23" t="s">
        <v>4682</v>
      </c>
      <c r="F284" s="23" t="s">
        <v>4682</v>
      </c>
      <c r="G284" s="23" t="s">
        <v>4684</v>
      </c>
      <c r="H284" s="23">
        <v>1</v>
      </c>
      <c r="I284" s="23" t="s">
        <v>4683</v>
      </c>
      <c r="J284" s="23" t="s">
        <v>4729</v>
      </c>
      <c r="K284" s="23" t="s">
        <v>4737</v>
      </c>
      <c r="L284">
        <v>2003</v>
      </c>
      <c r="M284" s="15" t="s">
        <v>4700</v>
      </c>
      <c r="N284">
        <v>21</v>
      </c>
      <c r="O284">
        <v>1</v>
      </c>
      <c r="P284" s="21">
        <f>DATEVALUE(N284&amp;"-"&amp;M284&amp;"-"&amp;L284)</f>
        <v>37946</v>
      </c>
      <c r="Q284" s="22">
        <v>2709.24</v>
      </c>
      <c r="R284" s="23" t="s">
        <v>4697</v>
      </c>
      <c r="S284" s="23" t="s">
        <v>4697</v>
      </c>
      <c r="T284" s="23" t="s">
        <v>4704</v>
      </c>
      <c r="U284" s="23">
        <f>DATEDIF(P284, DATE(2023, 6, 8), "Y")</f>
        <v>19</v>
      </c>
      <c r="V284">
        <f>SUM(C284:K284)</f>
        <v>36.83</v>
      </c>
    </row>
    <row r="285" spans="1:22" ht="15.75">
      <c r="A285" s="28" t="s">
        <v>568</v>
      </c>
      <c r="B285" s="28" t="s">
        <v>569</v>
      </c>
      <c r="C285" s="23">
        <v>26.24</v>
      </c>
      <c r="D285" s="23">
        <v>6.26</v>
      </c>
      <c r="E285" s="23" t="s">
        <v>4683</v>
      </c>
      <c r="F285" s="23" t="s">
        <v>4682</v>
      </c>
      <c r="G285" s="23" t="s">
        <v>4682</v>
      </c>
      <c r="H285" s="23">
        <v>0</v>
      </c>
      <c r="I285" s="23" t="s">
        <v>4683</v>
      </c>
      <c r="J285" s="23" t="s">
        <v>4730</v>
      </c>
      <c r="K285" s="23" t="s">
        <v>4736</v>
      </c>
      <c r="L285">
        <v>2003</v>
      </c>
      <c r="M285" s="15" t="s">
        <v>4705</v>
      </c>
      <c r="N285">
        <v>1</v>
      </c>
      <c r="O285">
        <v>1</v>
      </c>
      <c r="P285" s="21">
        <f>DATEVALUE(N285&amp;"-"&amp;M285&amp;"-"&amp;L285)</f>
        <v>37956</v>
      </c>
      <c r="Q285" s="22">
        <v>2710.83</v>
      </c>
      <c r="R285" s="23" t="s">
        <v>4697</v>
      </c>
      <c r="S285" s="23" t="s">
        <v>4698</v>
      </c>
      <c r="T285" s="23" t="s">
        <v>4704</v>
      </c>
      <c r="U285" s="23">
        <f>DATEDIF(P285, DATE(2023, 6, 8), "Y")</f>
        <v>19</v>
      </c>
      <c r="V285">
        <f>SUM(C285:K285)</f>
        <v>32.5</v>
      </c>
    </row>
    <row r="286" spans="1:22" ht="15.75">
      <c r="A286" s="28" t="s">
        <v>570</v>
      </c>
      <c r="B286" s="28" t="s">
        <v>571</v>
      </c>
      <c r="C286" s="23">
        <v>31.36</v>
      </c>
      <c r="D286" s="23">
        <v>10.6</v>
      </c>
      <c r="E286" s="23" t="s">
        <v>4683</v>
      </c>
      <c r="F286" s="23" t="s">
        <v>4682</v>
      </c>
      <c r="G286" s="23" t="s">
        <v>4682</v>
      </c>
      <c r="H286" s="23">
        <v>0</v>
      </c>
      <c r="I286" s="23" t="s">
        <v>4683</v>
      </c>
      <c r="J286" s="23" t="s">
        <v>4729</v>
      </c>
      <c r="K286" s="23" t="s">
        <v>4735</v>
      </c>
      <c r="L286">
        <v>2003</v>
      </c>
      <c r="M286" s="15" t="s">
        <v>4706</v>
      </c>
      <c r="N286">
        <v>6</v>
      </c>
      <c r="O286">
        <v>1</v>
      </c>
      <c r="P286" s="21">
        <f>DATEVALUE(N286&amp;"-"&amp;M286&amp;"-"&amp;L286)</f>
        <v>37839</v>
      </c>
      <c r="Q286" s="22">
        <v>2719.28</v>
      </c>
      <c r="R286" s="23" t="s">
        <v>4697</v>
      </c>
      <c r="S286" s="23" t="s">
        <v>4697</v>
      </c>
      <c r="T286" s="23" t="s">
        <v>4704</v>
      </c>
      <c r="U286" s="23">
        <f>DATEDIF(P286, DATE(2023, 6, 8), "Y")</f>
        <v>19</v>
      </c>
      <c r="V286">
        <f>SUM(C286:K286)</f>
        <v>41.96</v>
      </c>
    </row>
    <row r="287" spans="1:22" ht="15.75">
      <c r="A287" s="28" t="s">
        <v>572</v>
      </c>
      <c r="B287" s="28" t="s">
        <v>573</v>
      </c>
      <c r="C287" s="23">
        <v>25.69</v>
      </c>
      <c r="D287" s="23">
        <v>4.78</v>
      </c>
      <c r="E287" s="23" t="s">
        <v>4683</v>
      </c>
      <c r="F287" s="23" t="s">
        <v>4682</v>
      </c>
      <c r="G287" s="23" t="s">
        <v>4682</v>
      </c>
      <c r="H287" s="23">
        <v>0</v>
      </c>
      <c r="I287" s="23" t="s">
        <v>4683</v>
      </c>
      <c r="J287" s="23" t="s">
        <v>4730</v>
      </c>
      <c r="K287" s="23" t="s">
        <v>4737</v>
      </c>
      <c r="L287">
        <v>1997</v>
      </c>
      <c r="M287" s="15" t="s">
        <v>4707</v>
      </c>
      <c r="N287">
        <v>30</v>
      </c>
      <c r="O287">
        <v>0</v>
      </c>
      <c r="P287" s="21">
        <f>DATEVALUE(N287&amp;"-"&amp;M287&amp;"-"&amp;L287)</f>
        <v>35733</v>
      </c>
      <c r="Q287" s="22">
        <v>2721.32</v>
      </c>
      <c r="R287" s="23" t="s">
        <v>4701</v>
      </c>
      <c r="S287" s="23" t="s">
        <v>4698</v>
      </c>
      <c r="T287" s="23" t="s">
        <v>4716</v>
      </c>
      <c r="U287" s="23">
        <f>DATEDIF(P287, DATE(2023, 6, 8), "Y")</f>
        <v>25</v>
      </c>
      <c r="V287">
        <f>SUM(C287:K287)</f>
        <v>30.470000000000002</v>
      </c>
    </row>
    <row r="288" spans="1:22" ht="15.75">
      <c r="A288" s="28" t="s">
        <v>574</v>
      </c>
      <c r="B288" s="28" t="s">
        <v>575</v>
      </c>
      <c r="C288" s="23">
        <v>25.46</v>
      </c>
      <c r="D288" s="23">
        <v>6.03</v>
      </c>
      <c r="E288" s="23" t="s">
        <v>4682</v>
      </c>
      <c r="F288" s="23" t="s">
        <v>4682</v>
      </c>
      <c r="G288" s="23" t="s">
        <v>4682</v>
      </c>
      <c r="H288" s="23">
        <v>2</v>
      </c>
      <c r="I288" s="23" t="s">
        <v>4683</v>
      </c>
      <c r="J288" s="23" t="s">
        <v>4730</v>
      </c>
      <c r="K288" s="23" t="s">
        <v>4736</v>
      </c>
      <c r="L288">
        <v>1988</v>
      </c>
      <c r="M288" s="15" t="s">
        <v>4706</v>
      </c>
      <c r="N288">
        <v>20</v>
      </c>
      <c r="O288">
        <v>3</v>
      </c>
      <c r="P288" s="21">
        <f>DATEVALUE(N288&amp;"-"&amp;M288&amp;"-"&amp;L288)</f>
        <v>32375</v>
      </c>
      <c r="Q288" s="22">
        <v>2726.06</v>
      </c>
      <c r="R288" s="23" t="s">
        <v>4697</v>
      </c>
      <c r="S288" s="23" t="s">
        <v>4697</v>
      </c>
      <c r="T288" s="23" t="s">
        <v>4699</v>
      </c>
      <c r="U288" s="23">
        <f>DATEDIF(P288, DATE(2023, 6, 8), "Y")</f>
        <v>34</v>
      </c>
      <c r="V288">
        <f>SUM(C288:K288)</f>
        <v>33.49</v>
      </c>
    </row>
    <row r="289" spans="1:22" ht="15.75">
      <c r="A289" s="28" t="s">
        <v>576</v>
      </c>
      <c r="B289" s="28" t="s">
        <v>577</v>
      </c>
      <c r="C289" s="23">
        <v>31.83</v>
      </c>
      <c r="D289" s="23">
        <v>11.55</v>
      </c>
      <c r="E289" s="23" t="s">
        <v>4683</v>
      </c>
      <c r="F289" s="23" t="s">
        <v>4682</v>
      </c>
      <c r="G289" s="23" t="s">
        <v>4682</v>
      </c>
      <c r="H289" s="23">
        <v>1</v>
      </c>
      <c r="I289" s="23" t="s">
        <v>4683</v>
      </c>
      <c r="J289" s="23" t="s">
        <v>4729</v>
      </c>
      <c r="K289" s="23" t="s">
        <v>4735</v>
      </c>
      <c r="L289">
        <v>1997</v>
      </c>
      <c r="M289" s="15" t="s">
        <v>4707</v>
      </c>
      <c r="N289">
        <v>6</v>
      </c>
      <c r="O289">
        <v>0</v>
      </c>
      <c r="P289" s="21">
        <f>DATEVALUE(N289&amp;"-"&amp;M289&amp;"-"&amp;L289)</f>
        <v>35709</v>
      </c>
      <c r="Q289" s="22">
        <v>2727.4</v>
      </c>
      <c r="R289" s="23" t="s">
        <v>4698</v>
      </c>
      <c r="S289" s="23" t="s">
        <v>4698</v>
      </c>
      <c r="T289" s="23" t="s">
        <v>4711</v>
      </c>
      <c r="U289" s="23">
        <f>DATEDIF(P289, DATE(2023, 6, 8), "Y")</f>
        <v>25</v>
      </c>
      <c r="V289">
        <f>SUM(C289:K289)</f>
        <v>44.379999999999995</v>
      </c>
    </row>
    <row r="290" spans="1:22" ht="15.75">
      <c r="A290" s="28" t="s">
        <v>578</v>
      </c>
      <c r="B290" s="28" t="s">
        <v>579</v>
      </c>
      <c r="C290" s="23">
        <v>24.43</v>
      </c>
      <c r="D290" s="23">
        <v>7.59</v>
      </c>
      <c r="E290" s="23" t="s">
        <v>4683</v>
      </c>
      <c r="F290" s="23" t="s">
        <v>4682</v>
      </c>
      <c r="G290" s="23" t="s">
        <v>4682</v>
      </c>
      <c r="H290" s="23">
        <v>1</v>
      </c>
      <c r="I290" s="23" t="s">
        <v>4683</v>
      </c>
      <c r="J290" s="23" t="s">
        <v>4728</v>
      </c>
      <c r="K290" s="23" t="s">
        <v>4735</v>
      </c>
      <c r="L290">
        <v>2003</v>
      </c>
      <c r="M290" s="15" t="s">
        <v>4705</v>
      </c>
      <c r="N290">
        <v>3</v>
      </c>
      <c r="O290">
        <v>1</v>
      </c>
      <c r="P290" s="21">
        <f>DATEVALUE(N290&amp;"-"&amp;M290&amp;"-"&amp;L290)</f>
        <v>37958</v>
      </c>
      <c r="Q290" s="22">
        <v>2730.11</v>
      </c>
      <c r="R290" s="23" t="s">
        <v>4697</v>
      </c>
      <c r="S290" s="23" t="s">
        <v>4698</v>
      </c>
      <c r="T290" s="23" t="s">
        <v>4704</v>
      </c>
      <c r="U290" s="23">
        <f>DATEDIF(P290, DATE(2023, 6, 8), "Y")</f>
        <v>19</v>
      </c>
      <c r="V290">
        <f>SUM(C290:K290)</f>
        <v>33.019999999999996</v>
      </c>
    </row>
    <row r="291" spans="1:22" ht="15.75">
      <c r="A291" s="28" t="s">
        <v>580</v>
      </c>
      <c r="B291" s="28" t="s">
        <v>581</v>
      </c>
      <c r="C291" s="23">
        <v>41.9</v>
      </c>
      <c r="D291" s="23">
        <v>4.26</v>
      </c>
      <c r="E291" s="23" t="s">
        <v>4682</v>
      </c>
      <c r="F291" s="23" t="s">
        <v>4682</v>
      </c>
      <c r="G291" s="23" t="s">
        <v>4682</v>
      </c>
      <c r="H291" s="23">
        <v>0</v>
      </c>
      <c r="I291" s="23" t="s">
        <v>4683</v>
      </c>
      <c r="J291" s="23" t="s">
        <v>4729</v>
      </c>
      <c r="K291" s="23" t="s">
        <v>4737</v>
      </c>
      <c r="L291">
        <v>2000</v>
      </c>
      <c r="M291" s="15" t="s">
        <v>4705</v>
      </c>
      <c r="N291">
        <v>17</v>
      </c>
      <c r="O291">
        <v>0</v>
      </c>
      <c r="P291" s="21">
        <f>DATEVALUE(N291&amp;"-"&amp;M291&amp;"-"&amp;L291)</f>
        <v>36877</v>
      </c>
      <c r="Q291" s="22">
        <v>2731.91</v>
      </c>
      <c r="R291" s="23" t="s">
        <v>4697</v>
      </c>
      <c r="S291" s="23" t="s">
        <v>4698</v>
      </c>
      <c r="T291" s="23" t="s">
        <v>4714</v>
      </c>
      <c r="U291" s="23">
        <f>DATEDIF(P291, DATE(2023, 6, 8), "Y")</f>
        <v>22</v>
      </c>
      <c r="V291">
        <f>SUM(C291:K291)</f>
        <v>46.16</v>
      </c>
    </row>
    <row r="292" spans="1:22" ht="15.75">
      <c r="A292" s="28" t="s">
        <v>582</v>
      </c>
      <c r="B292" s="28" t="s">
        <v>583</v>
      </c>
      <c r="C292" s="23">
        <v>22.88</v>
      </c>
      <c r="D292" s="23">
        <v>5.9</v>
      </c>
      <c r="E292" s="23" t="s">
        <v>4683</v>
      </c>
      <c r="F292" s="23" t="s">
        <v>4682</v>
      </c>
      <c r="G292" s="23" t="s">
        <v>4684</v>
      </c>
      <c r="H292" s="23">
        <v>1</v>
      </c>
      <c r="I292" s="23" t="s">
        <v>4683</v>
      </c>
      <c r="J292" s="23" t="s">
        <v>4728</v>
      </c>
      <c r="K292" s="23" t="s">
        <v>4736</v>
      </c>
      <c r="L292">
        <v>2000</v>
      </c>
      <c r="M292" s="15" t="s">
        <v>4707</v>
      </c>
      <c r="N292">
        <v>3</v>
      </c>
      <c r="O292">
        <v>0</v>
      </c>
      <c r="P292" s="21">
        <f>DATEVALUE(N292&amp;"-"&amp;M292&amp;"-"&amp;L292)</f>
        <v>36802</v>
      </c>
      <c r="Q292" s="22">
        <v>2741.95</v>
      </c>
      <c r="R292" s="23" t="s">
        <v>4697</v>
      </c>
      <c r="S292" s="23" t="s">
        <v>4698</v>
      </c>
      <c r="T292" s="23" t="s">
        <v>4714</v>
      </c>
      <c r="U292" s="23">
        <f>DATEDIF(P292, DATE(2023, 6, 8), "Y")</f>
        <v>22</v>
      </c>
      <c r="V292">
        <f>SUM(C292:K292)</f>
        <v>29.78</v>
      </c>
    </row>
    <row r="293" spans="1:22" ht="15.75">
      <c r="A293" s="28" t="s">
        <v>584</v>
      </c>
      <c r="B293" s="28" t="s">
        <v>585</v>
      </c>
      <c r="C293" s="23">
        <v>29.734999999999999</v>
      </c>
      <c r="D293" s="23">
        <v>7.79</v>
      </c>
      <c r="E293" s="23" t="s">
        <v>4682</v>
      </c>
      <c r="F293" s="23" t="s">
        <v>4682</v>
      </c>
      <c r="G293" s="23" t="s">
        <v>4682</v>
      </c>
      <c r="H293" s="23">
        <v>0</v>
      </c>
      <c r="I293" s="23" t="s">
        <v>4682</v>
      </c>
      <c r="J293" s="23" t="s">
        <v>4730</v>
      </c>
      <c r="K293" s="23" t="s">
        <v>4735</v>
      </c>
      <c r="L293">
        <v>2000</v>
      </c>
      <c r="M293" s="15" t="s">
        <v>4707</v>
      </c>
      <c r="N293">
        <v>11</v>
      </c>
      <c r="O293">
        <v>0</v>
      </c>
      <c r="P293" s="21">
        <f>DATEVALUE(N293&amp;"-"&amp;M293&amp;"-"&amp;L293)</f>
        <v>36810</v>
      </c>
      <c r="Q293" s="22">
        <v>2755.02</v>
      </c>
      <c r="R293" s="23" t="s">
        <v>4697</v>
      </c>
      <c r="S293" s="23" t="s">
        <v>4701</v>
      </c>
      <c r="T293" s="23" t="s">
        <v>4714</v>
      </c>
      <c r="U293" s="23">
        <f>DATEDIF(P293, DATE(2023, 6, 8), "Y")</f>
        <v>22</v>
      </c>
      <c r="V293">
        <f>SUM(C293:K293)</f>
        <v>37.524999999999999</v>
      </c>
    </row>
    <row r="294" spans="1:22" ht="15.75">
      <c r="A294" s="28" t="s">
        <v>586</v>
      </c>
      <c r="B294" s="28" t="s">
        <v>587</v>
      </c>
      <c r="C294" s="23">
        <v>40.74</v>
      </c>
      <c r="D294" s="23">
        <v>5.28</v>
      </c>
      <c r="E294" s="23" t="s">
        <v>4682</v>
      </c>
      <c r="F294" s="23" t="s">
        <v>4682</v>
      </c>
      <c r="G294" s="23" t="s">
        <v>4684</v>
      </c>
      <c r="H294" s="23">
        <v>1</v>
      </c>
      <c r="I294" s="23" t="s">
        <v>4683</v>
      </c>
      <c r="J294" s="23" t="s">
        <v>4729</v>
      </c>
      <c r="K294" s="23" t="s">
        <v>4737</v>
      </c>
      <c r="L294">
        <v>1997</v>
      </c>
      <c r="M294" s="15" t="s">
        <v>4706</v>
      </c>
      <c r="N294">
        <v>10</v>
      </c>
      <c r="O294">
        <v>0</v>
      </c>
      <c r="P294" s="21">
        <f>DATEVALUE(N294&amp;"-"&amp;M294&amp;"-"&amp;L294)</f>
        <v>35652</v>
      </c>
      <c r="Q294" s="22">
        <v>2758.99</v>
      </c>
      <c r="R294" s="23" t="s">
        <v>4697</v>
      </c>
      <c r="S294" s="23" t="s">
        <v>4701</v>
      </c>
      <c r="T294" s="23" t="s">
        <v>4704</v>
      </c>
      <c r="U294" s="23">
        <f>DATEDIF(P294, DATE(2023, 6, 8), "Y")</f>
        <v>25</v>
      </c>
      <c r="V294">
        <f>SUM(C294:K294)</f>
        <v>47.02</v>
      </c>
    </row>
    <row r="295" spans="1:22" ht="15.75">
      <c r="A295" s="28" t="s">
        <v>588</v>
      </c>
      <c r="B295" s="28" t="s">
        <v>589</v>
      </c>
      <c r="C295" s="23">
        <v>24.14</v>
      </c>
      <c r="D295" s="23">
        <v>5.87</v>
      </c>
      <c r="E295" s="23" t="s">
        <v>4682</v>
      </c>
      <c r="F295" s="23" t="s">
        <v>4682</v>
      </c>
      <c r="G295" s="23" t="s">
        <v>4682</v>
      </c>
      <c r="H295" s="23">
        <v>2</v>
      </c>
      <c r="I295" s="23" t="s">
        <v>4683</v>
      </c>
      <c r="J295" s="23" t="s">
        <v>4728</v>
      </c>
      <c r="K295" s="23" t="s">
        <v>4736</v>
      </c>
      <c r="L295">
        <v>2004</v>
      </c>
      <c r="M295" s="15" t="s">
        <v>4700</v>
      </c>
      <c r="N295">
        <v>14</v>
      </c>
      <c r="O295">
        <v>0</v>
      </c>
      <c r="P295" s="21">
        <f>DATEVALUE(N295&amp;"-"&amp;M295&amp;"-"&amp;L295)</f>
        <v>38305</v>
      </c>
      <c r="Q295" s="22">
        <v>2773.46</v>
      </c>
      <c r="R295" s="23" t="s">
        <v>4697</v>
      </c>
      <c r="S295" s="23" t="s">
        <v>4701</v>
      </c>
      <c r="T295" s="23" t="s">
        <v>4717</v>
      </c>
      <c r="U295" s="23">
        <f>DATEDIF(P295, DATE(2023, 6, 8), "Y")</f>
        <v>18</v>
      </c>
      <c r="V295">
        <f>SUM(C295:K295)</f>
        <v>32.010000000000005</v>
      </c>
    </row>
    <row r="296" spans="1:22" ht="15.75">
      <c r="A296" s="28" t="s">
        <v>590</v>
      </c>
      <c r="B296" s="28" t="s">
        <v>591</v>
      </c>
      <c r="C296" s="23">
        <v>25.15</v>
      </c>
      <c r="D296" s="23">
        <v>9.08</v>
      </c>
      <c r="E296" s="23" t="s">
        <v>4683</v>
      </c>
      <c r="F296" s="23" t="s">
        <v>4682</v>
      </c>
      <c r="G296" s="23" t="s">
        <v>4682</v>
      </c>
      <c r="H296" s="23">
        <v>1</v>
      </c>
      <c r="I296" s="23" t="s">
        <v>4683</v>
      </c>
      <c r="J296" s="23" t="s">
        <v>4730</v>
      </c>
      <c r="K296" s="23" t="s">
        <v>4735</v>
      </c>
      <c r="L296">
        <v>1999</v>
      </c>
      <c r="M296" s="15" t="s">
        <v>4702</v>
      </c>
      <c r="N296">
        <v>9</v>
      </c>
      <c r="O296">
        <v>1</v>
      </c>
      <c r="P296" s="21">
        <f>DATEVALUE(N296&amp;"-"&amp;M296&amp;"-"&amp;L296)</f>
        <v>36320</v>
      </c>
      <c r="Q296" s="22">
        <v>2775.19</v>
      </c>
      <c r="R296" s="23" t="s">
        <v>4697</v>
      </c>
      <c r="S296" s="23" t="s">
        <v>4701</v>
      </c>
      <c r="T296" s="23" t="s">
        <v>4704</v>
      </c>
      <c r="U296" s="23">
        <f>DATEDIF(P296, DATE(2023, 6, 8), "Y")</f>
        <v>23</v>
      </c>
      <c r="V296">
        <f>SUM(C296:K296)</f>
        <v>35.229999999999997</v>
      </c>
    </row>
    <row r="297" spans="1:22" ht="15.75">
      <c r="A297" s="28" t="s">
        <v>592</v>
      </c>
      <c r="B297" s="28" t="s">
        <v>593</v>
      </c>
      <c r="C297" s="23">
        <v>28.71</v>
      </c>
      <c r="D297" s="23">
        <v>5.2</v>
      </c>
      <c r="E297" s="23" t="s">
        <v>4682</v>
      </c>
      <c r="F297" s="23" t="s">
        <v>4682</v>
      </c>
      <c r="G297" s="23" t="s">
        <v>4682</v>
      </c>
      <c r="H297" s="23">
        <v>1</v>
      </c>
      <c r="I297" s="23" t="s">
        <v>4683</v>
      </c>
      <c r="J297" s="23" t="s">
        <v>4730</v>
      </c>
      <c r="K297" s="23" t="s">
        <v>4737</v>
      </c>
      <c r="L297">
        <v>1999</v>
      </c>
      <c r="M297" s="15" t="s">
        <v>4706</v>
      </c>
      <c r="N297">
        <v>29</v>
      </c>
      <c r="O297">
        <v>1</v>
      </c>
      <c r="P297" s="21">
        <f>DATEVALUE(N297&amp;"-"&amp;M297&amp;"-"&amp;L297)</f>
        <v>36401</v>
      </c>
      <c r="Q297" s="22">
        <v>2775.19</v>
      </c>
      <c r="R297" s="23" t="s">
        <v>4697</v>
      </c>
      <c r="S297" s="23" t="s">
        <v>4701</v>
      </c>
      <c r="T297" s="23" t="s">
        <v>4704</v>
      </c>
      <c r="U297" s="23">
        <f>DATEDIF(P297, DATE(2023, 6, 8), "Y")</f>
        <v>23</v>
      </c>
      <c r="V297">
        <f>SUM(C297:K297)</f>
        <v>34.910000000000004</v>
      </c>
    </row>
    <row r="298" spans="1:22" ht="15.75">
      <c r="A298" s="28" t="s">
        <v>594</v>
      </c>
      <c r="B298" s="28" t="s">
        <v>595</v>
      </c>
      <c r="C298" s="23">
        <v>23</v>
      </c>
      <c r="D298" s="23">
        <v>5.48</v>
      </c>
      <c r="E298" s="23" t="s">
        <v>4682</v>
      </c>
      <c r="F298" s="23" t="s">
        <v>4682</v>
      </c>
      <c r="G298" s="23" t="s">
        <v>4682</v>
      </c>
      <c r="H298" s="23">
        <v>0</v>
      </c>
      <c r="I298" s="23" t="s">
        <v>4683</v>
      </c>
      <c r="J298" s="23" t="s">
        <v>4728</v>
      </c>
      <c r="K298" s="23" t="s">
        <v>4737</v>
      </c>
      <c r="L298">
        <v>1999</v>
      </c>
      <c r="M298" s="15" t="s">
        <v>4705</v>
      </c>
      <c r="N298">
        <v>24</v>
      </c>
      <c r="O298">
        <v>1</v>
      </c>
      <c r="P298" s="21">
        <f>DATEVALUE(N298&amp;"-"&amp;M298&amp;"-"&amp;L298)</f>
        <v>36518</v>
      </c>
      <c r="Q298" s="22">
        <v>2789.06</v>
      </c>
      <c r="R298" s="23" t="s">
        <v>4697</v>
      </c>
      <c r="S298" s="23" t="s">
        <v>4698</v>
      </c>
      <c r="T298" s="23" t="s">
        <v>4704</v>
      </c>
      <c r="U298" s="23">
        <f>DATEDIF(P298, DATE(2023, 6, 8), "Y")</f>
        <v>23</v>
      </c>
      <c r="V298">
        <f>SUM(C298:K298)</f>
        <v>28.48</v>
      </c>
    </row>
    <row r="299" spans="1:22" ht="15.75">
      <c r="A299" s="28" t="s">
        <v>596</v>
      </c>
      <c r="B299" s="28" t="s">
        <v>597</v>
      </c>
      <c r="C299" s="23">
        <v>36.86</v>
      </c>
      <c r="D299" s="23">
        <v>11.95</v>
      </c>
      <c r="E299" s="23" t="s">
        <v>4682</v>
      </c>
      <c r="F299" s="23" t="s">
        <v>4682</v>
      </c>
      <c r="G299" s="23" t="s">
        <v>4682</v>
      </c>
      <c r="H299" s="23">
        <v>0</v>
      </c>
      <c r="I299" s="23" t="s">
        <v>4682</v>
      </c>
      <c r="J299" s="23" t="s">
        <v>4729</v>
      </c>
      <c r="K299" s="23" t="s">
        <v>4735</v>
      </c>
      <c r="L299">
        <v>2004</v>
      </c>
      <c r="M299" s="15" t="s">
        <v>4706</v>
      </c>
      <c r="N299">
        <v>4</v>
      </c>
      <c r="O299">
        <v>2</v>
      </c>
      <c r="P299" s="21">
        <f>DATEVALUE(N299&amp;"-"&amp;M299&amp;"-"&amp;L299)</f>
        <v>38203</v>
      </c>
      <c r="Q299" s="22">
        <v>2801.26</v>
      </c>
      <c r="R299" s="23" t="s">
        <v>4697</v>
      </c>
      <c r="S299" s="23" t="s">
        <v>4698</v>
      </c>
      <c r="T299" s="23" t="s">
        <v>4699</v>
      </c>
      <c r="U299" s="23">
        <f>DATEDIF(P299, DATE(2023, 6, 8), "Y")</f>
        <v>18</v>
      </c>
      <c r="V299">
        <f>SUM(C299:K299)</f>
        <v>48.81</v>
      </c>
    </row>
    <row r="300" spans="1:22" ht="15.75">
      <c r="A300" s="28" t="s">
        <v>598</v>
      </c>
      <c r="B300" s="28" t="s">
        <v>599</v>
      </c>
      <c r="C300" s="23">
        <v>24.25</v>
      </c>
      <c r="D300" s="23">
        <v>8.6999999999999993</v>
      </c>
      <c r="E300" s="23" t="s">
        <v>4683</v>
      </c>
      <c r="F300" s="23" t="s">
        <v>4682</v>
      </c>
      <c r="G300" s="23" t="s">
        <v>4682</v>
      </c>
      <c r="H300" s="23">
        <v>1</v>
      </c>
      <c r="I300" s="23" t="s">
        <v>4683</v>
      </c>
      <c r="J300" s="23" t="s">
        <v>4728</v>
      </c>
      <c r="K300" s="23" t="s">
        <v>4735</v>
      </c>
      <c r="L300">
        <v>2003</v>
      </c>
      <c r="M300" s="15" t="s">
        <v>4703</v>
      </c>
      <c r="N300">
        <v>23</v>
      </c>
      <c r="O300">
        <v>2</v>
      </c>
      <c r="P300" s="21">
        <f>DATEVALUE(N300&amp;"-"&amp;M300&amp;"-"&amp;L300)</f>
        <v>37887</v>
      </c>
      <c r="Q300" s="22">
        <v>2803.7</v>
      </c>
      <c r="R300" s="23" t="s">
        <v>4697</v>
      </c>
      <c r="S300" s="23" t="s">
        <v>4701</v>
      </c>
      <c r="T300" s="23" t="s">
        <v>4704</v>
      </c>
      <c r="U300" s="23">
        <f>DATEDIF(P300, DATE(2023, 6, 8), "Y")</f>
        <v>19</v>
      </c>
      <c r="V300">
        <f>SUM(C300:K300)</f>
        <v>33.950000000000003</v>
      </c>
    </row>
    <row r="301" spans="1:22" ht="15.75">
      <c r="A301" s="28" t="s">
        <v>600</v>
      </c>
      <c r="B301" s="28" t="s">
        <v>601</v>
      </c>
      <c r="C301" s="23">
        <v>23.85</v>
      </c>
      <c r="D301" s="23">
        <v>7.84</v>
      </c>
      <c r="E301" s="23" t="s">
        <v>4682</v>
      </c>
      <c r="F301" s="23" t="s">
        <v>4682</v>
      </c>
      <c r="G301" s="23" t="s">
        <v>4682</v>
      </c>
      <c r="H301" s="23">
        <v>0</v>
      </c>
      <c r="I301" s="23" t="s">
        <v>4683</v>
      </c>
      <c r="J301" s="23" t="s">
        <v>4728</v>
      </c>
      <c r="K301" s="23" t="s">
        <v>4735</v>
      </c>
      <c r="L301">
        <v>2000</v>
      </c>
      <c r="M301" s="15" t="s">
        <v>4707</v>
      </c>
      <c r="N301">
        <v>1</v>
      </c>
      <c r="O301">
        <v>0</v>
      </c>
      <c r="P301" s="21">
        <f>DATEVALUE(N301&amp;"-"&amp;M301&amp;"-"&amp;L301)</f>
        <v>36800</v>
      </c>
      <c r="Q301" s="22">
        <v>2819.51</v>
      </c>
      <c r="R301" s="23" t="s">
        <v>4697</v>
      </c>
      <c r="S301" s="23" t="s">
        <v>4698</v>
      </c>
      <c r="T301" s="23" t="s">
        <v>4708</v>
      </c>
      <c r="U301" s="23">
        <f>DATEDIF(P301, DATE(2023, 6, 8), "Y")</f>
        <v>22</v>
      </c>
      <c r="V301">
        <f>SUM(C301:K301)</f>
        <v>31.69</v>
      </c>
    </row>
    <row r="302" spans="1:22" ht="15.75">
      <c r="A302" s="28" t="s">
        <v>602</v>
      </c>
      <c r="B302" s="28" t="s">
        <v>603</v>
      </c>
      <c r="C302" s="23">
        <v>40.020000000000003</v>
      </c>
      <c r="D302" s="23">
        <v>5.19</v>
      </c>
      <c r="E302" s="23" t="s">
        <v>4683</v>
      </c>
      <c r="F302" s="23" t="s">
        <v>4682</v>
      </c>
      <c r="G302" s="23" t="s">
        <v>4682</v>
      </c>
      <c r="H302" s="23">
        <v>1</v>
      </c>
      <c r="I302" s="23" t="s">
        <v>4683</v>
      </c>
      <c r="J302" s="23" t="s">
        <v>4729</v>
      </c>
      <c r="K302" s="23" t="s">
        <v>4737</v>
      </c>
      <c r="L302">
        <v>1998</v>
      </c>
      <c r="M302" s="15" t="s">
        <v>4700</v>
      </c>
      <c r="N302">
        <v>15</v>
      </c>
      <c r="O302">
        <v>0</v>
      </c>
      <c r="P302" s="21">
        <f>DATEVALUE(N302&amp;"-"&amp;M302&amp;"-"&amp;L302)</f>
        <v>36114</v>
      </c>
      <c r="Q302" s="22">
        <v>2842.76</v>
      </c>
      <c r="R302" s="23" t="s">
        <v>4697</v>
      </c>
      <c r="S302" s="23" t="s">
        <v>4698</v>
      </c>
      <c r="T302" s="23" t="s">
        <v>4704</v>
      </c>
      <c r="U302" s="23">
        <f>DATEDIF(P302, DATE(2023, 6, 8), "Y")</f>
        <v>24</v>
      </c>
      <c r="V302">
        <f>SUM(C302:K302)</f>
        <v>46.21</v>
      </c>
    </row>
    <row r="303" spans="1:22" ht="15.75">
      <c r="A303" s="28" t="s">
        <v>604</v>
      </c>
      <c r="B303" s="28" t="s">
        <v>605</v>
      </c>
      <c r="C303" s="23">
        <v>19.170000000000002</v>
      </c>
      <c r="D303" s="23">
        <v>8.41</v>
      </c>
      <c r="E303" s="23" t="s">
        <v>4682</v>
      </c>
      <c r="F303" s="23" t="s">
        <v>4682</v>
      </c>
      <c r="G303" s="23" t="s">
        <v>4682</v>
      </c>
      <c r="H303" s="23">
        <v>0</v>
      </c>
      <c r="I303" s="23" t="s">
        <v>4683</v>
      </c>
      <c r="J303" s="23" t="s">
        <v>4728</v>
      </c>
      <c r="K303" s="23" t="s">
        <v>4735</v>
      </c>
      <c r="L303">
        <v>1998</v>
      </c>
      <c r="M303" s="15" t="s">
        <v>4702</v>
      </c>
      <c r="N303">
        <v>17</v>
      </c>
      <c r="O303">
        <v>0</v>
      </c>
      <c r="P303" s="21">
        <f>DATEVALUE(N303&amp;"-"&amp;M303&amp;"-"&amp;L303)</f>
        <v>35963</v>
      </c>
      <c r="Q303" s="22">
        <v>2850.68</v>
      </c>
      <c r="R303" s="23" t="s">
        <v>4697</v>
      </c>
      <c r="S303" s="23" t="s">
        <v>4698</v>
      </c>
      <c r="T303" s="23" t="s">
        <v>4704</v>
      </c>
      <c r="U303" s="23">
        <f>DATEDIF(P303, DATE(2023, 6, 8), "Y")</f>
        <v>24</v>
      </c>
      <c r="V303">
        <f>SUM(C303:K303)</f>
        <v>27.580000000000002</v>
      </c>
    </row>
    <row r="304" spans="1:22" ht="15.75">
      <c r="A304" s="28" t="s">
        <v>606</v>
      </c>
      <c r="B304" s="28" t="s">
        <v>607</v>
      </c>
      <c r="C304" s="23">
        <v>43.53</v>
      </c>
      <c r="D304" s="23">
        <v>5.86</v>
      </c>
      <c r="E304" s="23" t="s">
        <v>4683</v>
      </c>
      <c r="F304" s="23" t="s">
        <v>4683</v>
      </c>
      <c r="G304" s="23" t="s">
        <v>4682</v>
      </c>
      <c r="H304" s="23">
        <v>2</v>
      </c>
      <c r="I304" s="23" t="s">
        <v>4683</v>
      </c>
      <c r="J304" s="23" t="s">
        <v>4729</v>
      </c>
      <c r="K304" s="23" t="s">
        <v>4736</v>
      </c>
      <c r="L304">
        <v>1998</v>
      </c>
      <c r="M304" s="15" t="s">
        <v>4703</v>
      </c>
      <c r="N304">
        <v>4</v>
      </c>
      <c r="O304">
        <v>0</v>
      </c>
      <c r="P304" s="21">
        <f>DATEVALUE(N304&amp;"-"&amp;M304&amp;"-"&amp;L304)</f>
        <v>36042</v>
      </c>
      <c r="Q304" s="22">
        <v>2855.44</v>
      </c>
      <c r="R304" s="23" t="s">
        <v>4697</v>
      </c>
      <c r="S304" s="23" t="s">
        <v>4698</v>
      </c>
      <c r="T304" s="23" t="s">
        <v>4704</v>
      </c>
      <c r="U304" s="23">
        <f>DATEDIF(P304, DATE(2023, 6, 8), "Y")</f>
        <v>24</v>
      </c>
      <c r="V304">
        <f>SUM(C304:K304)</f>
        <v>51.39</v>
      </c>
    </row>
    <row r="305" spans="1:22" ht="15.75">
      <c r="A305" s="28" t="s">
        <v>608</v>
      </c>
      <c r="B305" s="28" t="s">
        <v>609</v>
      </c>
      <c r="C305" s="23">
        <v>46.06</v>
      </c>
      <c r="D305" s="23">
        <v>4.18</v>
      </c>
      <c r="E305" s="23" t="s">
        <v>4682</v>
      </c>
      <c r="F305" s="23" t="s">
        <v>4683</v>
      </c>
      <c r="G305" s="23" t="s">
        <v>4682</v>
      </c>
      <c r="H305" s="23">
        <v>1</v>
      </c>
      <c r="I305" s="23" t="s">
        <v>4683</v>
      </c>
      <c r="J305" s="23" t="s">
        <v>4729</v>
      </c>
      <c r="K305" s="23" t="s">
        <v>4737</v>
      </c>
      <c r="L305">
        <v>1993</v>
      </c>
      <c r="M305" s="15" t="s">
        <v>4700</v>
      </c>
      <c r="N305">
        <v>1</v>
      </c>
      <c r="O305">
        <v>0</v>
      </c>
      <c r="P305" s="21">
        <f>DATEVALUE(N305&amp;"-"&amp;M305&amp;"-"&amp;L305)</f>
        <v>34274</v>
      </c>
      <c r="Q305" s="22">
        <v>2866.09</v>
      </c>
      <c r="R305" s="23" t="s">
        <v>4698</v>
      </c>
      <c r="S305" s="23" t="s">
        <v>4698</v>
      </c>
      <c r="T305" s="23" t="s">
        <v>4708</v>
      </c>
      <c r="U305" s="23">
        <f>DATEDIF(P305, DATE(2023, 6, 8), "Y")</f>
        <v>29</v>
      </c>
      <c r="V305">
        <f>SUM(C305:K305)</f>
        <v>51.24</v>
      </c>
    </row>
    <row r="306" spans="1:22" ht="15.75">
      <c r="A306" s="28" t="s">
        <v>610</v>
      </c>
      <c r="B306" s="28" t="s">
        <v>611</v>
      </c>
      <c r="C306" s="23">
        <v>29.92</v>
      </c>
      <c r="D306" s="23">
        <v>11.99</v>
      </c>
      <c r="E306" s="23" t="s">
        <v>4683</v>
      </c>
      <c r="F306" s="23" t="s">
        <v>4682</v>
      </c>
      <c r="G306" s="23" t="s">
        <v>4682</v>
      </c>
      <c r="H306" s="23">
        <v>2</v>
      </c>
      <c r="I306" s="23" t="s">
        <v>4683</v>
      </c>
      <c r="J306" s="23" t="s">
        <v>4729</v>
      </c>
      <c r="K306" s="23" t="s">
        <v>4735</v>
      </c>
      <c r="L306">
        <v>1993</v>
      </c>
      <c r="M306" s="15" t="s">
        <v>4706</v>
      </c>
      <c r="N306">
        <v>12</v>
      </c>
      <c r="O306">
        <v>0</v>
      </c>
      <c r="P306" s="21">
        <f>DATEVALUE(N306&amp;"-"&amp;M306&amp;"-"&amp;L306)</f>
        <v>34193</v>
      </c>
      <c r="Q306" s="22">
        <v>2867.12</v>
      </c>
      <c r="R306" s="23" t="s">
        <v>4701</v>
      </c>
      <c r="S306" s="23" t="s">
        <v>4698</v>
      </c>
      <c r="T306" s="23" t="s">
        <v>4699</v>
      </c>
      <c r="U306" s="23">
        <f>DATEDIF(P306, DATE(2023, 6, 8), "Y")</f>
        <v>29</v>
      </c>
      <c r="V306">
        <f>SUM(C306:K306)</f>
        <v>43.910000000000004</v>
      </c>
    </row>
    <row r="307" spans="1:22" ht="15.75">
      <c r="A307" s="28" t="s">
        <v>612</v>
      </c>
      <c r="B307" s="28" t="s">
        <v>613</v>
      </c>
      <c r="C307" s="23">
        <v>28.46</v>
      </c>
      <c r="D307" s="23">
        <v>4.8499999999999996</v>
      </c>
      <c r="E307" s="23" t="s">
        <v>4683</v>
      </c>
      <c r="F307" s="23" t="s">
        <v>4682</v>
      </c>
      <c r="G307" s="23" t="s">
        <v>4682</v>
      </c>
      <c r="H307" s="23">
        <v>1</v>
      </c>
      <c r="I307" s="23" t="s">
        <v>4683</v>
      </c>
      <c r="J307" s="23" t="s">
        <v>4730</v>
      </c>
      <c r="K307" s="23" t="s">
        <v>4737</v>
      </c>
      <c r="L307">
        <v>1996</v>
      </c>
      <c r="M307" s="15" t="s">
        <v>4702</v>
      </c>
      <c r="N307">
        <v>21</v>
      </c>
      <c r="O307">
        <v>0</v>
      </c>
      <c r="P307" s="21">
        <f>DATEVALUE(N307&amp;"-"&amp;M307&amp;"-"&amp;L307)</f>
        <v>35237</v>
      </c>
      <c r="Q307" s="22">
        <v>2897.32</v>
      </c>
      <c r="R307" s="23" t="s">
        <v>4698</v>
      </c>
      <c r="S307" s="23" t="s">
        <v>4698</v>
      </c>
      <c r="T307" s="23" t="s">
        <v>4711</v>
      </c>
      <c r="U307" s="23">
        <f>DATEDIF(P307, DATE(2023, 6, 8), "Y")</f>
        <v>26</v>
      </c>
      <c r="V307">
        <f>SUM(C307:K307)</f>
        <v>34.31</v>
      </c>
    </row>
    <row r="308" spans="1:22" ht="15.75">
      <c r="A308" s="28" t="s">
        <v>614</v>
      </c>
      <c r="B308" s="28" t="s">
        <v>615</v>
      </c>
      <c r="C308" s="23">
        <v>24.56</v>
      </c>
      <c r="D308" s="23">
        <v>6.18</v>
      </c>
      <c r="E308" s="23" t="s">
        <v>4683</v>
      </c>
      <c r="F308" s="23" t="s">
        <v>4682</v>
      </c>
      <c r="G308" s="23" t="s">
        <v>4684</v>
      </c>
      <c r="H308" s="23">
        <v>1</v>
      </c>
      <c r="I308" s="23" t="s">
        <v>4683</v>
      </c>
      <c r="J308" s="23" t="s">
        <v>4728</v>
      </c>
      <c r="K308" s="23" t="s">
        <v>4736</v>
      </c>
      <c r="L308">
        <v>2000</v>
      </c>
      <c r="M308" s="15" t="s">
        <v>4696</v>
      </c>
      <c r="N308">
        <v>14</v>
      </c>
      <c r="O308">
        <v>0</v>
      </c>
      <c r="P308" s="21">
        <f>DATEVALUE(N308&amp;"-"&amp;M308&amp;"-"&amp;L308)</f>
        <v>36721</v>
      </c>
      <c r="Q308" s="22">
        <v>2897.46</v>
      </c>
      <c r="R308" s="23" t="s">
        <v>4697</v>
      </c>
      <c r="S308" s="23" t="s">
        <v>4701</v>
      </c>
      <c r="T308" s="23" t="s">
        <v>4704</v>
      </c>
      <c r="U308" s="23">
        <f>DATEDIF(P308, DATE(2023, 6, 8), "Y")</f>
        <v>22</v>
      </c>
      <c r="V308">
        <f>SUM(C308:K308)</f>
        <v>31.74</v>
      </c>
    </row>
    <row r="309" spans="1:22" ht="15.75">
      <c r="A309" s="28" t="s">
        <v>616</v>
      </c>
      <c r="B309" s="28" t="s">
        <v>617</v>
      </c>
      <c r="C309" s="23">
        <v>41.19</v>
      </c>
      <c r="D309" s="23">
        <v>6.37</v>
      </c>
      <c r="E309" s="23" t="s">
        <v>4682</v>
      </c>
      <c r="F309" s="23" t="s">
        <v>4682</v>
      </c>
      <c r="G309" s="23" t="s">
        <v>4682</v>
      </c>
      <c r="H309" s="23">
        <v>0</v>
      </c>
      <c r="I309" s="23" t="s">
        <v>4683</v>
      </c>
      <c r="J309" s="23" t="s">
        <v>4729</v>
      </c>
      <c r="K309" s="23" t="s">
        <v>4736</v>
      </c>
      <c r="L309">
        <v>1999</v>
      </c>
      <c r="M309" s="15" t="s">
        <v>4700</v>
      </c>
      <c r="N309">
        <v>1</v>
      </c>
      <c r="O309">
        <v>0</v>
      </c>
      <c r="P309" s="21">
        <f>DATEVALUE(N309&amp;"-"&amp;M309&amp;"-"&amp;L309)</f>
        <v>36465</v>
      </c>
      <c r="Q309" s="22">
        <v>2899.49</v>
      </c>
      <c r="R309" s="23" t="s">
        <v>4697</v>
      </c>
      <c r="S309" s="23" t="s">
        <v>4697</v>
      </c>
      <c r="T309" s="23" t="s">
        <v>4714</v>
      </c>
      <c r="U309" s="23">
        <f>DATEDIF(P309, DATE(2023, 6, 8), "Y")</f>
        <v>23</v>
      </c>
      <c r="V309">
        <f>SUM(C309:K309)</f>
        <v>47.559999999999995</v>
      </c>
    </row>
    <row r="310" spans="1:22" ht="15.75">
      <c r="A310" s="28" t="s">
        <v>618</v>
      </c>
      <c r="B310" s="28" t="s">
        <v>619</v>
      </c>
      <c r="C310" s="23">
        <v>18.63</v>
      </c>
      <c r="D310" s="23">
        <v>9.81</v>
      </c>
      <c r="E310" s="23" t="s">
        <v>4683</v>
      </c>
      <c r="F310" s="23" t="s">
        <v>4682</v>
      </c>
      <c r="G310" s="23" t="s">
        <v>4682</v>
      </c>
      <c r="H310" s="23">
        <v>2</v>
      </c>
      <c r="I310" s="23" t="s">
        <v>4683</v>
      </c>
      <c r="J310" s="23" t="s">
        <v>4728</v>
      </c>
      <c r="K310" s="23" t="s">
        <v>4735</v>
      </c>
      <c r="L310">
        <v>1996</v>
      </c>
      <c r="M310" s="15" t="s">
        <v>4707</v>
      </c>
      <c r="N310">
        <v>24</v>
      </c>
      <c r="O310">
        <v>1</v>
      </c>
      <c r="P310" s="21">
        <f>DATEVALUE(N310&amp;"-"&amp;M310&amp;"-"&amp;L310)</f>
        <v>35362</v>
      </c>
      <c r="Q310" s="22">
        <v>2902.91</v>
      </c>
      <c r="R310" s="23" t="s">
        <v>4697</v>
      </c>
      <c r="S310" s="23" t="s">
        <v>4697</v>
      </c>
      <c r="T310" s="23" t="s">
        <v>4699</v>
      </c>
      <c r="U310" s="23">
        <f>DATEDIF(P310, DATE(2023, 6, 8), "Y")</f>
        <v>26</v>
      </c>
      <c r="V310">
        <f>SUM(C310:K310)</f>
        <v>30.439999999999998</v>
      </c>
    </row>
    <row r="311" spans="1:22" ht="15.75">
      <c r="A311" s="28" t="s">
        <v>620</v>
      </c>
      <c r="B311" s="28" t="s">
        <v>621</v>
      </c>
      <c r="C311" s="23">
        <v>26.26</v>
      </c>
      <c r="D311" s="23">
        <v>11.8</v>
      </c>
      <c r="E311" s="23" t="s">
        <v>4683</v>
      </c>
      <c r="F311" s="23" t="s">
        <v>4682</v>
      </c>
      <c r="G311" s="23" t="s">
        <v>4682</v>
      </c>
      <c r="H311" s="23">
        <v>1</v>
      </c>
      <c r="I311" s="23" t="s">
        <v>4683</v>
      </c>
      <c r="J311" s="23" t="s">
        <v>4730</v>
      </c>
      <c r="K311" s="23" t="s">
        <v>4735</v>
      </c>
      <c r="L311">
        <v>1996</v>
      </c>
      <c r="M311" s="15" t="s">
        <v>4702</v>
      </c>
      <c r="N311">
        <v>13</v>
      </c>
      <c r="O311">
        <v>1</v>
      </c>
      <c r="P311" s="21">
        <f>DATEVALUE(N311&amp;"-"&amp;M311&amp;"-"&amp;L311)</f>
        <v>35229</v>
      </c>
      <c r="Q311" s="22">
        <v>2904.09</v>
      </c>
      <c r="R311" s="23" t="s">
        <v>4697</v>
      </c>
      <c r="S311" s="23" t="s">
        <v>4697</v>
      </c>
      <c r="T311" s="23" t="s">
        <v>4708</v>
      </c>
      <c r="U311" s="23">
        <f>DATEDIF(P311, DATE(2023, 6, 8), "Y")</f>
        <v>26</v>
      </c>
      <c r="V311">
        <f>SUM(C311:K311)</f>
        <v>39.06</v>
      </c>
    </row>
    <row r="312" spans="1:22" ht="15.75">
      <c r="A312" s="28" t="s">
        <v>622</v>
      </c>
      <c r="B312" s="28" t="s">
        <v>623</v>
      </c>
      <c r="C312" s="23">
        <v>22.37</v>
      </c>
      <c r="D312" s="23">
        <v>5.86</v>
      </c>
      <c r="E312" s="23" t="s">
        <v>4683</v>
      </c>
      <c r="F312" s="23" t="s">
        <v>4682</v>
      </c>
      <c r="G312" s="23" t="s">
        <v>4684</v>
      </c>
      <c r="H312" s="23">
        <v>1</v>
      </c>
      <c r="I312" s="23" t="s">
        <v>4683</v>
      </c>
      <c r="J312" s="23" t="s">
        <v>4728</v>
      </c>
      <c r="K312" s="23" t="s">
        <v>4736</v>
      </c>
      <c r="L312">
        <v>2003</v>
      </c>
      <c r="M312" s="15" t="s">
        <v>4702</v>
      </c>
      <c r="N312">
        <v>5</v>
      </c>
      <c r="O312">
        <v>2</v>
      </c>
      <c r="P312" s="21">
        <f>DATEVALUE(N312&amp;"-"&amp;M312&amp;"-"&amp;L312)</f>
        <v>37777</v>
      </c>
      <c r="Q312" s="22">
        <v>2913.57</v>
      </c>
      <c r="R312" s="23" t="s">
        <v>4697</v>
      </c>
      <c r="S312" s="23" t="s">
        <v>4697</v>
      </c>
      <c r="T312" s="23" t="s">
        <v>4708</v>
      </c>
      <c r="U312" s="23">
        <f>DATEDIF(P312, DATE(2023, 6, 8), "Y")</f>
        <v>20</v>
      </c>
      <c r="V312">
        <f>SUM(C312:K312)</f>
        <v>29.23</v>
      </c>
    </row>
    <row r="313" spans="1:22" ht="15.75">
      <c r="A313" s="28" t="s">
        <v>624</v>
      </c>
      <c r="B313" s="28" t="s">
        <v>625</v>
      </c>
      <c r="C313" s="23">
        <v>39.619999999999997</v>
      </c>
      <c r="D313" s="23">
        <v>4.28</v>
      </c>
      <c r="E313" s="23" t="s">
        <v>4682</v>
      </c>
      <c r="F313" s="23" t="s">
        <v>4682</v>
      </c>
      <c r="G313" s="23" t="s">
        <v>4682</v>
      </c>
      <c r="H313" s="23">
        <v>1</v>
      </c>
      <c r="I313" s="23" t="s">
        <v>4683</v>
      </c>
      <c r="J313" s="23" t="s">
        <v>4729</v>
      </c>
      <c r="K313" s="23" t="s">
        <v>4737</v>
      </c>
      <c r="L313">
        <v>1996</v>
      </c>
      <c r="M313" s="15" t="s">
        <v>4702</v>
      </c>
      <c r="N313">
        <v>30</v>
      </c>
      <c r="O313">
        <v>1</v>
      </c>
      <c r="P313" s="21">
        <f>DATEVALUE(N313&amp;"-"&amp;M313&amp;"-"&amp;L313)</f>
        <v>35246</v>
      </c>
      <c r="Q313" s="22">
        <v>2927.06</v>
      </c>
      <c r="R313" s="23" t="s">
        <v>4697</v>
      </c>
      <c r="S313" s="23" t="s">
        <v>4697</v>
      </c>
      <c r="T313" s="23" t="s">
        <v>4699</v>
      </c>
      <c r="U313" s="23">
        <f>DATEDIF(P313, DATE(2023, 6, 8), "Y")</f>
        <v>26</v>
      </c>
      <c r="V313">
        <f>SUM(C313:K313)</f>
        <v>44.9</v>
      </c>
    </row>
    <row r="314" spans="1:22" ht="15.75">
      <c r="A314" s="28" t="s">
        <v>626</v>
      </c>
      <c r="B314" s="28" t="s">
        <v>627</v>
      </c>
      <c r="C314" s="23">
        <v>18.329999999999998</v>
      </c>
      <c r="D314" s="23">
        <v>4.16</v>
      </c>
      <c r="E314" s="23" t="s">
        <v>4683</v>
      </c>
      <c r="F314" s="23" t="s">
        <v>4682</v>
      </c>
      <c r="G314" s="23" t="s">
        <v>4682</v>
      </c>
      <c r="H314" s="23">
        <v>0</v>
      </c>
      <c r="I314" s="23" t="s">
        <v>4683</v>
      </c>
      <c r="J314" s="23" t="s">
        <v>4731</v>
      </c>
      <c r="K314" s="23" t="s">
        <v>4737</v>
      </c>
      <c r="L314">
        <v>2002</v>
      </c>
      <c r="M314" s="15" t="s">
        <v>4703</v>
      </c>
      <c r="N314">
        <v>30</v>
      </c>
      <c r="O314">
        <v>0</v>
      </c>
      <c r="P314" s="21">
        <f>DATEVALUE(N314&amp;"-"&amp;M314&amp;"-"&amp;L314)</f>
        <v>37529</v>
      </c>
      <c r="Q314" s="22">
        <v>2943.41</v>
      </c>
      <c r="R314" s="23" t="s">
        <v>4697</v>
      </c>
      <c r="S314" s="23" t="s">
        <v>4698</v>
      </c>
      <c r="T314" s="23" t="s">
        <v>4704</v>
      </c>
      <c r="U314" s="23">
        <f>DATEDIF(P314, DATE(2023, 6, 8), "Y")</f>
        <v>20</v>
      </c>
      <c r="V314">
        <f>SUM(C314:K314)</f>
        <v>22.49</v>
      </c>
    </row>
    <row r="315" spans="1:22" ht="15.75">
      <c r="A315" s="28" t="s">
        <v>628</v>
      </c>
      <c r="B315" s="28" t="s">
        <v>629</v>
      </c>
      <c r="C315" s="23">
        <v>17.11</v>
      </c>
      <c r="D315" s="23">
        <v>4.9800000000000004</v>
      </c>
      <c r="E315" s="23" t="s">
        <v>4683</v>
      </c>
      <c r="F315" s="23" t="s">
        <v>4682</v>
      </c>
      <c r="G315" s="23" t="s">
        <v>4684</v>
      </c>
      <c r="H315" s="23">
        <v>1</v>
      </c>
      <c r="I315" s="23" t="s">
        <v>4683</v>
      </c>
      <c r="J315" s="23" t="s">
        <v>4731</v>
      </c>
      <c r="K315" s="23" t="s">
        <v>4737</v>
      </c>
      <c r="L315">
        <v>1995</v>
      </c>
      <c r="M315" s="15" t="s">
        <v>4703</v>
      </c>
      <c r="N315">
        <v>24</v>
      </c>
      <c r="O315">
        <v>0</v>
      </c>
      <c r="P315" s="21">
        <f>DATEVALUE(N315&amp;"-"&amp;M315&amp;"-"&amp;L315)</f>
        <v>34966</v>
      </c>
      <c r="Q315" s="22">
        <v>2974.13</v>
      </c>
      <c r="R315" s="23" t="s">
        <v>4697</v>
      </c>
      <c r="S315" s="23" t="s">
        <v>4701</v>
      </c>
      <c r="T315" s="23" t="s">
        <v>4708</v>
      </c>
      <c r="U315" s="23">
        <f>DATEDIF(P315, DATE(2023, 6, 8), "Y")</f>
        <v>27</v>
      </c>
      <c r="V315">
        <f>SUM(C315:K315)</f>
        <v>23.09</v>
      </c>
    </row>
    <row r="316" spans="1:22" ht="15.75">
      <c r="A316" s="28" t="s">
        <v>630</v>
      </c>
      <c r="B316" s="28" t="s">
        <v>631</v>
      </c>
      <c r="C316" s="23">
        <v>43.5</v>
      </c>
      <c r="D316" s="23">
        <v>6.38</v>
      </c>
      <c r="E316" s="23" t="s">
        <v>4682</v>
      </c>
      <c r="F316" s="23" t="s">
        <v>4683</v>
      </c>
      <c r="G316" s="23" t="s">
        <v>4682</v>
      </c>
      <c r="H316" s="23">
        <v>1</v>
      </c>
      <c r="I316" s="23" t="s">
        <v>4683</v>
      </c>
      <c r="J316" s="23" t="s">
        <v>4729</v>
      </c>
      <c r="K316" s="23" t="s">
        <v>4736</v>
      </c>
      <c r="L316">
        <v>1987</v>
      </c>
      <c r="M316" s="15" t="s">
        <v>4702</v>
      </c>
      <c r="N316">
        <v>18</v>
      </c>
      <c r="O316">
        <v>3</v>
      </c>
      <c r="P316" s="21">
        <f>DATEVALUE(N316&amp;"-"&amp;M316&amp;"-"&amp;L316)</f>
        <v>31946</v>
      </c>
      <c r="Q316" s="22">
        <v>2979.52</v>
      </c>
      <c r="R316" s="23" t="s">
        <v>4697</v>
      </c>
      <c r="S316" s="23" t="s">
        <v>4698</v>
      </c>
      <c r="T316" s="23" t="s">
        <v>4699</v>
      </c>
      <c r="U316" s="23">
        <f>DATEDIF(P316, DATE(2023, 6, 8), "Y")</f>
        <v>35</v>
      </c>
      <c r="V316">
        <f>SUM(C316:K316)</f>
        <v>50.88</v>
      </c>
    </row>
    <row r="317" spans="1:22" ht="15.75">
      <c r="A317" s="28" t="s">
        <v>632</v>
      </c>
      <c r="B317" s="28" t="s">
        <v>633</v>
      </c>
      <c r="C317" s="23">
        <v>25.364999999999998</v>
      </c>
      <c r="D317" s="23">
        <v>5.19</v>
      </c>
      <c r="E317" s="23" t="s">
        <v>4682</v>
      </c>
      <c r="F317" s="23" t="s">
        <v>4682</v>
      </c>
      <c r="G317" s="23" t="s">
        <v>4682</v>
      </c>
      <c r="H317" s="23">
        <v>2</v>
      </c>
      <c r="I317" s="23" t="s">
        <v>4682</v>
      </c>
      <c r="J317" s="23" t="s">
        <v>4730</v>
      </c>
      <c r="K317" s="23" t="s">
        <v>4737</v>
      </c>
      <c r="L317">
        <v>1991</v>
      </c>
      <c r="M317" s="15" t="s">
        <v>4700</v>
      </c>
      <c r="N317">
        <v>20</v>
      </c>
      <c r="O317">
        <v>3</v>
      </c>
      <c r="P317" s="21">
        <f>DATEVALUE(N317&amp;"-"&amp;M317&amp;"-"&amp;L317)</f>
        <v>33562</v>
      </c>
      <c r="Q317" s="22">
        <v>2985.67</v>
      </c>
      <c r="R317" s="23" t="s">
        <v>4697</v>
      </c>
      <c r="S317" s="23" t="s">
        <v>4697</v>
      </c>
      <c r="T317" s="23" t="s">
        <v>4699</v>
      </c>
      <c r="U317" s="23">
        <f>DATEDIF(P317, DATE(2023, 6, 8), "Y")</f>
        <v>31</v>
      </c>
      <c r="V317">
        <f>SUM(C317:K317)</f>
        <v>32.555</v>
      </c>
    </row>
    <row r="318" spans="1:22" ht="15.75">
      <c r="A318" s="28" t="s">
        <v>634</v>
      </c>
      <c r="B318" s="28" t="s">
        <v>635</v>
      </c>
      <c r="C318" s="23">
        <v>28.594999999999999</v>
      </c>
      <c r="D318" s="23">
        <v>10.210000000000001</v>
      </c>
      <c r="E318" s="23" t="s">
        <v>4682</v>
      </c>
      <c r="F318" s="23" t="s">
        <v>4682</v>
      </c>
      <c r="G318" s="23" t="s">
        <v>4682</v>
      </c>
      <c r="H318" s="23">
        <v>0</v>
      </c>
      <c r="I318" s="23" t="s">
        <v>4682</v>
      </c>
      <c r="J318" s="23" t="s">
        <v>4730</v>
      </c>
      <c r="K318" s="23" t="s">
        <v>4735</v>
      </c>
      <c r="L318">
        <v>2002</v>
      </c>
      <c r="M318" s="15" t="s">
        <v>4705</v>
      </c>
      <c r="N318">
        <v>15</v>
      </c>
      <c r="O318">
        <v>0</v>
      </c>
      <c r="P318" s="21">
        <f>DATEVALUE(N318&amp;"-"&amp;M318&amp;"-"&amp;L318)</f>
        <v>37605</v>
      </c>
      <c r="Q318" s="22">
        <v>3012.22</v>
      </c>
      <c r="R318" s="23" t="s">
        <v>4697</v>
      </c>
      <c r="S318" s="23" t="s">
        <v>4698</v>
      </c>
      <c r="T318" s="23" t="s">
        <v>4704</v>
      </c>
      <c r="U318" s="23">
        <f>DATEDIF(P318, DATE(2023, 6, 8), "Y")</f>
        <v>20</v>
      </c>
      <c r="V318">
        <f>SUM(C318:K318)</f>
        <v>38.805</v>
      </c>
    </row>
    <row r="319" spans="1:22" ht="15.75">
      <c r="A319" s="28" t="s">
        <v>636</v>
      </c>
      <c r="B319" s="28" t="s">
        <v>637</v>
      </c>
      <c r="C319" s="23">
        <v>29.83</v>
      </c>
      <c r="D319" s="23">
        <v>9.6999999999999993</v>
      </c>
      <c r="E319" s="23" t="s">
        <v>4683</v>
      </c>
      <c r="F319" s="23" t="s">
        <v>4682</v>
      </c>
      <c r="G319" s="23" t="s">
        <v>4684</v>
      </c>
      <c r="H319" s="23">
        <v>1</v>
      </c>
      <c r="I319" s="23" t="s">
        <v>4683</v>
      </c>
      <c r="J319" s="23" t="s">
        <v>4730</v>
      </c>
      <c r="K319" s="23" t="s">
        <v>4735</v>
      </c>
      <c r="L319">
        <v>1988</v>
      </c>
      <c r="M319" s="15" t="s">
        <v>4703</v>
      </c>
      <c r="N319">
        <v>28</v>
      </c>
      <c r="O319">
        <v>3</v>
      </c>
      <c r="P319" s="21">
        <f>DATEVALUE(N319&amp;"-"&amp;M319&amp;"-"&amp;L319)</f>
        <v>32414</v>
      </c>
      <c r="Q319" s="22">
        <v>3018.04</v>
      </c>
      <c r="R319" s="23" t="s">
        <v>4697</v>
      </c>
      <c r="S319" s="23" t="s">
        <v>4697</v>
      </c>
      <c r="T319" s="23" t="s">
        <v>4704</v>
      </c>
      <c r="U319" s="23">
        <f>DATEDIF(P319, DATE(2023, 6, 8), "Y")</f>
        <v>34</v>
      </c>
      <c r="V319">
        <f>SUM(C319:K319)</f>
        <v>40.53</v>
      </c>
    </row>
    <row r="320" spans="1:22" ht="15.75">
      <c r="A320" s="28" t="s">
        <v>638</v>
      </c>
      <c r="B320" s="28" t="s">
        <v>639</v>
      </c>
      <c r="C320" s="23">
        <v>24.7</v>
      </c>
      <c r="D320" s="23">
        <v>10.25</v>
      </c>
      <c r="E320" s="23" t="s">
        <v>4682</v>
      </c>
      <c r="F320" s="23" t="s">
        <v>4682</v>
      </c>
      <c r="G320" s="23" t="s">
        <v>4682</v>
      </c>
      <c r="H320" s="23">
        <v>3</v>
      </c>
      <c r="I320" s="23" t="s">
        <v>4682</v>
      </c>
      <c r="J320" s="23" t="s">
        <v>4728</v>
      </c>
      <c r="K320" s="23" t="s">
        <v>4735</v>
      </c>
      <c r="L320">
        <v>1997</v>
      </c>
      <c r="M320" s="15" t="s">
        <v>4705</v>
      </c>
      <c r="N320">
        <v>19</v>
      </c>
      <c r="O320">
        <v>0</v>
      </c>
      <c r="P320" s="21">
        <f>DATEVALUE(N320&amp;"-"&amp;M320&amp;"-"&amp;L320)</f>
        <v>35783</v>
      </c>
      <c r="Q320" s="22">
        <v>3021.81</v>
      </c>
      <c r="R320" s="23" t="s">
        <v>4697</v>
      </c>
      <c r="S320" s="23" t="s">
        <v>4698</v>
      </c>
      <c r="T320" s="23" t="s">
        <v>4704</v>
      </c>
      <c r="U320" s="23">
        <f>DATEDIF(P320, DATE(2023, 6, 8), "Y")</f>
        <v>25</v>
      </c>
      <c r="V320">
        <f>SUM(C320:K320)</f>
        <v>37.950000000000003</v>
      </c>
    </row>
    <row r="321" spans="1:22" ht="15.75">
      <c r="A321" s="28" t="s">
        <v>640</v>
      </c>
      <c r="B321" s="28" t="s">
        <v>641</v>
      </c>
      <c r="C321" s="23">
        <v>17.940000000000001</v>
      </c>
      <c r="D321" s="23">
        <v>9.77</v>
      </c>
      <c r="E321" s="23" t="s">
        <v>4682</v>
      </c>
      <c r="F321" s="23" t="s">
        <v>4682</v>
      </c>
      <c r="G321" s="23" t="s">
        <v>4682</v>
      </c>
      <c r="H321" s="23">
        <v>0</v>
      </c>
      <c r="I321" s="23" t="s">
        <v>4683</v>
      </c>
      <c r="J321" s="23" t="s">
        <v>4731</v>
      </c>
      <c r="K321" s="23" t="s">
        <v>4735</v>
      </c>
      <c r="L321">
        <v>1998</v>
      </c>
      <c r="M321" s="15" t="s">
        <v>4703</v>
      </c>
      <c r="N321">
        <v>15</v>
      </c>
      <c r="O321">
        <v>0</v>
      </c>
      <c r="P321" s="21">
        <f>DATEVALUE(N321&amp;"-"&amp;M321&amp;"-"&amp;L321)</f>
        <v>36053</v>
      </c>
      <c r="Q321" s="22">
        <v>3044.21</v>
      </c>
      <c r="R321" s="23" t="s">
        <v>4697</v>
      </c>
      <c r="S321" s="23" t="s">
        <v>4698</v>
      </c>
      <c r="T321" s="23" t="s">
        <v>4714</v>
      </c>
      <c r="U321" s="23">
        <f>DATEDIF(P321, DATE(2023, 6, 8), "Y")</f>
        <v>24</v>
      </c>
      <c r="V321">
        <f>SUM(C321:K321)</f>
        <v>27.71</v>
      </c>
    </row>
    <row r="322" spans="1:22" ht="15.75">
      <c r="A322" s="28" t="s">
        <v>642</v>
      </c>
      <c r="B322" s="28" t="s">
        <v>643</v>
      </c>
      <c r="C322" s="23">
        <v>21.08</v>
      </c>
      <c r="D322" s="23">
        <v>4.83</v>
      </c>
      <c r="E322" s="23" t="s">
        <v>4682</v>
      </c>
      <c r="F322" s="23" t="s">
        <v>4682</v>
      </c>
      <c r="G322" s="23" t="s">
        <v>4684</v>
      </c>
      <c r="H322" s="23">
        <v>1</v>
      </c>
      <c r="I322" s="23" t="s">
        <v>4683</v>
      </c>
      <c r="J322" s="23" t="s">
        <v>4728</v>
      </c>
      <c r="K322" s="23" t="s">
        <v>4737</v>
      </c>
      <c r="L322">
        <v>1998</v>
      </c>
      <c r="M322" s="15" t="s">
        <v>4706</v>
      </c>
      <c r="N322">
        <v>9</v>
      </c>
      <c r="O322">
        <v>0</v>
      </c>
      <c r="P322" s="21">
        <f>DATEVALUE(N322&amp;"-"&amp;M322&amp;"-"&amp;L322)</f>
        <v>36016</v>
      </c>
      <c r="Q322" s="22">
        <v>3046.06</v>
      </c>
      <c r="R322" s="23" t="s">
        <v>4697</v>
      </c>
      <c r="S322" s="23" t="s">
        <v>4701</v>
      </c>
      <c r="T322" s="23" t="s">
        <v>4715</v>
      </c>
      <c r="U322" s="23">
        <f>DATEDIF(P322, DATE(2023, 6, 8), "Y")</f>
        <v>24</v>
      </c>
      <c r="V322">
        <f>SUM(C322:K322)</f>
        <v>26.909999999999997</v>
      </c>
    </row>
    <row r="323" spans="1:22" ht="15.75">
      <c r="A323" s="28" t="s">
        <v>644</v>
      </c>
      <c r="B323" s="28" t="s">
        <v>645</v>
      </c>
      <c r="C323" s="23">
        <v>37.715000000000003</v>
      </c>
      <c r="D323" s="23">
        <v>10.86</v>
      </c>
      <c r="E323" s="23" t="s">
        <v>4683</v>
      </c>
      <c r="F323" s="23" t="s">
        <v>4682</v>
      </c>
      <c r="G323" s="23" t="s">
        <v>4682</v>
      </c>
      <c r="H323" s="23">
        <v>0</v>
      </c>
      <c r="I323" s="23" t="s">
        <v>4682</v>
      </c>
      <c r="J323" s="23" t="s">
        <v>4729</v>
      </c>
      <c r="K323" s="23" t="s">
        <v>4735</v>
      </c>
      <c r="L323">
        <v>1997</v>
      </c>
      <c r="M323" s="15" t="s">
        <v>4705</v>
      </c>
      <c r="N323">
        <v>22</v>
      </c>
      <c r="O323">
        <v>0</v>
      </c>
      <c r="P323" s="21">
        <f>DATEVALUE(N323&amp;"-"&amp;M323&amp;"-"&amp;L323)</f>
        <v>35786</v>
      </c>
      <c r="Q323" s="22">
        <v>3051.73</v>
      </c>
      <c r="R323" s="23" t="s">
        <v>4697</v>
      </c>
      <c r="S323" s="23" t="s">
        <v>4697</v>
      </c>
      <c r="T323" s="23" t="s">
        <v>4708</v>
      </c>
      <c r="U323" s="23">
        <f>DATEDIF(P323, DATE(2023, 6, 8), "Y")</f>
        <v>25</v>
      </c>
      <c r="V323">
        <f>SUM(C323:K323)</f>
        <v>48.575000000000003</v>
      </c>
    </row>
    <row r="324" spans="1:22" ht="15.75">
      <c r="A324" s="28" t="s">
        <v>646</v>
      </c>
      <c r="B324" s="28" t="s">
        <v>647</v>
      </c>
      <c r="C324" s="23">
        <v>22.39</v>
      </c>
      <c r="D324" s="23">
        <v>9.5299999999999994</v>
      </c>
      <c r="E324" s="23" t="s">
        <v>4683</v>
      </c>
      <c r="F324" s="23" t="s">
        <v>4682</v>
      </c>
      <c r="G324" s="23" t="s">
        <v>4682</v>
      </c>
      <c r="H324" s="23">
        <v>0</v>
      </c>
      <c r="I324" s="23" t="s">
        <v>4683</v>
      </c>
      <c r="J324" s="23" t="s">
        <v>4728</v>
      </c>
      <c r="K324" s="23" t="s">
        <v>4735</v>
      </c>
      <c r="L324">
        <v>2002</v>
      </c>
      <c r="M324" s="15" t="s">
        <v>4702</v>
      </c>
      <c r="N324">
        <v>21</v>
      </c>
      <c r="O324">
        <v>2</v>
      </c>
      <c r="P324" s="21">
        <f>DATEVALUE(N324&amp;"-"&amp;M324&amp;"-"&amp;L324)</f>
        <v>37428</v>
      </c>
      <c r="Q324" s="22">
        <v>3056.39</v>
      </c>
      <c r="R324" s="23" t="s">
        <v>4697</v>
      </c>
      <c r="S324" s="23" t="s">
        <v>4698</v>
      </c>
      <c r="T324" s="23" t="s">
        <v>4699</v>
      </c>
      <c r="U324" s="23">
        <f>DATEDIF(P324, DATE(2023, 6, 8), "Y")</f>
        <v>20</v>
      </c>
      <c r="V324">
        <f>SUM(C324:K324)</f>
        <v>31.92</v>
      </c>
    </row>
    <row r="325" spans="1:22" ht="15.75">
      <c r="A325" s="28" t="s">
        <v>648</v>
      </c>
      <c r="B325" s="28" t="s">
        <v>649</v>
      </c>
      <c r="C325" s="23">
        <v>28.78</v>
      </c>
      <c r="D325" s="23">
        <v>5.68</v>
      </c>
      <c r="E325" s="23" t="s">
        <v>4682</v>
      </c>
      <c r="F325" s="23" t="s">
        <v>4682</v>
      </c>
      <c r="G325" s="23" t="s">
        <v>4682</v>
      </c>
      <c r="H325" s="23">
        <v>0</v>
      </c>
      <c r="I325" s="23" t="s">
        <v>4683</v>
      </c>
      <c r="J325" s="23" t="s">
        <v>4730</v>
      </c>
      <c r="K325" s="23" t="s">
        <v>4737</v>
      </c>
      <c r="L325">
        <v>1994</v>
      </c>
      <c r="M325" s="15" t="s">
        <v>4703</v>
      </c>
      <c r="N325">
        <v>26</v>
      </c>
      <c r="O325">
        <v>0</v>
      </c>
      <c r="P325" s="21">
        <f>DATEVALUE(N325&amp;"-"&amp;M325&amp;"-"&amp;L325)</f>
        <v>34603</v>
      </c>
      <c r="Q325" s="22">
        <v>3062.51</v>
      </c>
      <c r="R325" s="23" t="s">
        <v>4698</v>
      </c>
      <c r="S325" s="23" t="s">
        <v>4701</v>
      </c>
      <c r="T325" s="23" t="s">
        <v>4704</v>
      </c>
      <c r="U325" s="23">
        <f>DATEDIF(P325, DATE(2023, 6, 8), "Y")</f>
        <v>28</v>
      </c>
      <c r="V325">
        <f>SUM(C325:K325)</f>
        <v>34.46</v>
      </c>
    </row>
    <row r="326" spans="1:22" ht="15.75">
      <c r="A326" s="28" t="s">
        <v>650</v>
      </c>
      <c r="B326" s="28" t="s">
        <v>651</v>
      </c>
      <c r="C326" s="23">
        <v>18.329999999999998</v>
      </c>
      <c r="D326" s="23">
        <v>5.57</v>
      </c>
      <c r="E326" s="23" t="s">
        <v>4683</v>
      </c>
      <c r="F326" s="23" t="s">
        <v>4682</v>
      </c>
      <c r="G326" s="23" t="s">
        <v>4682</v>
      </c>
      <c r="H326" s="23">
        <v>0</v>
      </c>
      <c r="I326" s="23" t="s">
        <v>4683</v>
      </c>
      <c r="J326" s="23" t="s">
        <v>4731</v>
      </c>
      <c r="K326" s="23" t="s">
        <v>4737</v>
      </c>
      <c r="L326">
        <v>1989</v>
      </c>
      <c r="M326" s="15" t="s">
        <v>4707</v>
      </c>
      <c r="N326">
        <v>1</v>
      </c>
      <c r="O326">
        <v>3</v>
      </c>
      <c r="P326" s="21">
        <f>DATEVALUE(N326&amp;"-"&amp;M326&amp;"-"&amp;L326)</f>
        <v>32782</v>
      </c>
      <c r="Q326" s="22">
        <v>3065.49</v>
      </c>
      <c r="R326" s="23" t="s">
        <v>4697</v>
      </c>
      <c r="S326" s="23" t="s">
        <v>4701</v>
      </c>
      <c r="T326" s="23" t="s">
        <v>4704</v>
      </c>
      <c r="U326" s="23">
        <f>DATEDIF(P326, DATE(2023, 6, 8), "Y")</f>
        <v>33</v>
      </c>
      <c r="V326">
        <f>SUM(C326:K326)</f>
        <v>23.9</v>
      </c>
    </row>
    <row r="327" spans="1:22" ht="15.75">
      <c r="A327" s="28" t="s">
        <v>652</v>
      </c>
      <c r="B327" s="28" t="s">
        <v>653</v>
      </c>
      <c r="C327" s="23">
        <v>26.39</v>
      </c>
      <c r="D327" s="23">
        <v>4.58</v>
      </c>
      <c r="E327" s="23" t="s">
        <v>4683</v>
      </c>
      <c r="F327" s="23" t="s">
        <v>4682</v>
      </c>
      <c r="G327" s="23" t="s">
        <v>4682</v>
      </c>
      <c r="H327" s="23">
        <v>1</v>
      </c>
      <c r="I327" s="23" t="s">
        <v>4683</v>
      </c>
      <c r="J327" s="23" t="s">
        <v>4730</v>
      </c>
      <c r="K327" s="23" t="s">
        <v>4737</v>
      </c>
      <c r="L327">
        <v>1995</v>
      </c>
      <c r="M327" s="15" t="s">
        <v>4703</v>
      </c>
      <c r="N327">
        <v>10</v>
      </c>
      <c r="O327">
        <v>0</v>
      </c>
      <c r="P327" s="21">
        <f>DATEVALUE(N327&amp;"-"&amp;M327&amp;"-"&amp;L327)</f>
        <v>34952</v>
      </c>
      <c r="Q327" s="22">
        <v>3070.81</v>
      </c>
      <c r="R327" s="23" t="s">
        <v>4698</v>
      </c>
      <c r="S327" s="23" t="s">
        <v>4701</v>
      </c>
      <c r="T327" s="23" t="s">
        <v>4718</v>
      </c>
      <c r="U327" s="23">
        <f>DATEDIF(P327, DATE(2023, 6, 8), "Y")</f>
        <v>27</v>
      </c>
      <c r="V327">
        <f>SUM(C327:K327)</f>
        <v>31.97</v>
      </c>
    </row>
    <row r="328" spans="1:22" ht="15.75">
      <c r="A328" s="28" t="s">
        <v>654</v>
      </c>
      <c r="B328" s="28" t="s">
        <v>655</v>
      </c>
      <c r="C328" s="23">
        <v>19.260000000000002</v>
      </c>
      <c r="D328" s="23">
        <v>8.9600000000000009</v>
      </c>
      <c r="E328" s="23" t="s">
        <v>4683</v>
      </c>
      <c r="F328" s="23" t="s">
        <v>4682</v>
      </c>
      <c r="G328" s="23" t="s">
        <v>4682</v>
      </c>
      <c r="H328" s="23">
        <v>1</v>
      </c>
      <c r="I328" s="23" t="s">
        <v>4683</v>
      </c>
      <c r="J328" s="23" t="s">
        <v>4728</v>
      </c>
      <c r="K328" s="23" t="s">
        <v>4735</v>
      </c>
      <c r="L328">
        <v>2001</v>
      </c>
      <c r="M328" s="15" t="s">
        <v>4707</v>
      </c>
      <c r="N328">
        <v>13</v>
      </c>
      <c r="O328">
        <v>2</v>
      </c>
      <c r="P328" s="21">
        <f>DATEVALUE(N328&amp;"-"&amp;M328&amp;"-"&amp;L328)</f>
        <v>37177</v>
      </c>
      <c r="Q328" s="22">
        <v>3077.1</v>
      </c>
      <c r="R328" s="23" t="s">
        <v>4697</v>
      </c>
      <c r="S328" s="23" t="s">
        <v>4701</v>
      </c>
      <c r="T328" s="23" t="s">
        <v>4704</v>
      </c>
      <c r="U328" s="23">
        <f>DATEDIF(P328, DATE(2023, 6, 8), "Y")</f>
        <v>21</v>
      </c>
      <c r="V328">
        <f>SUM(C328:K328)</f>
        <v>29.220000000000002</v>
      </c>
    </row>
    <row r="329" spans="1:22" ht="15.75">
      <c r="A329" s="28" t="s">
        <v>656</v>
      </c>
      <c r="B329" s="28" t="s">
        <v>657</v>
      </c>
      <c r="C329" s="23">
        <v>26.92</v>
      </c>
      <c r="D329" s="23">
        <v>6.09</v>
      </c>
      <c r="E329" s="23" t="s">
        <v>4682</v>
      </c>
      <c r="F329" s="23" t="s">
        <v>4682</v>
      </c>
      <c r="G329" s="23" t="s">
        <v>4682</v>
      </c>
      <c r="H329" s="23">
        <v>0</v>
      </c>
      <c r="I329" s="23" t="s">
        <v>4683</v>
      </c>
      <c r="J329" s="23" t="s">
        <v>4730</v>
      </c>
      <c r="K329" s="23" t="s">
        <v>4736</v>
      </c>
      <c r="L329">
        <v>1987</v>
      </c>
      <c r="M329" s="15" t="s">
        <v>4706</v>
      </c>
      <c r="N329">
        <v>1</v>
      </c>
      <c r="O329">
        <v>3</v>
      </c>
      <c r="P329" s="21">
        <f>DATEVALUE(N329&amp;"-"&amp;M329&amp;"-"&amp;L329)</f>
        <v>31990</v>
      </c>
      <c r="Q329" s="22">
        <v>3088.06</v>
      </c>
      <c r="R329" s="23" t="s">
        <v>4697</v>
      </c>
      <c r="S329" s="23" t="s">
        <v>4697</v>
      </c>
      <c r="T329" s="23" t="s">
        <v>4699</v>
      </c>
      <c r="U329" s="23">
        <f>DATEDIF(P329, DATE(2023, 6, 8), "Y")</f>
        <v>35</v>
      </c>
      <c r="V329">
        <f>SUM(C329:K329)</f>
        <v>33.010000000000005</v>
      </c>
    </row>
    <row r="330" spans="1:22" ht="15.75">
      <c r="A330" s="28" t="s">
        <v>658</v>
      </c>
      <c r="B330" s="28" t="s">
        <v>659</v>
      </c>
      <c r="C330" s="23">
        <v>19.73</v>
      </c>
      <c r="D330" s="23">
        <v>4.3600000000000003</v>
      </c>
      <c r="E330" s="23" t="s">
        <v>4682</v>
      </c>
      <c r="F330" s="23" t="s">
        <v>4682</v>
      </c>
      <c r="G330" s="23" t="s">
        <v>4682</v>
      </c>
      <c r="H330" s="23">
        <v>0</v>
      </c>
      <c r="I330" s="23" t="s">
        <v>4683</v>
      </c>
      <c r="J330" s="23" t="s">
        <v>4728</v>
      </c>
      <c r="K330" s="23" t="s">
        <v>4737</v>
      </c>
      <c r="L330">
        <v>1999</v>
      </c>
      <c r="M330" s="15" t="s">
        <v>4702</v>
      </c>
      <c r="N330">
        <v>25</v>
      </c>
      <c r="O330">
        <v>0</v>
      </c>
      <c r="P330" s="21">
        <f>DATEVALUE(N330&amp;"-"&amp;M330&amp;"-"&amp;L330)</f>
        <v>36336</v>
      </c>
      <c r="Q330" s="22">
        <v>3128.35</v>
      </c>
      <c r="R330" s="23" t="s">
        <v>4697</v>
      </c>
      <c r="S330" s="23" t="s">
        <v>4698</v>
      </c>
      <c r="T330" s="23" t="s">
        <v>4717</v>
      </c>
      <c r="U330" s="23">
        <f>DATEDIF(P330, DATE(2023, 6, 8), "Y")</f>
        <v>23</v>
      </c>
      <c r="V330">
        <f>SUM(C330:K330)</f>
        <v>24.09</v>
      </c>
    </row>
    <row r="331" spans="1:22" ht="15.75">
      <c r="A331" s="28" t="s">
        <v>660</v>
      </c>
      <c r="B331" s="28" t="s">
        <v>661</v>
      </c>
      <c r="C331" s="23">
        <v>23.56</v>
      </c>
      <c r="D331" s="23">
        <v>11.74</v>
      </c>
      <c r="E331" s="23" t="s">
        <v>4683</v>
      </c>
      <c r="F331" s="23" t="s">
        <v>4682</v>
      </c>
      <c r="G331" s="23" t="s">
        <v>4682</v>
      </c>
      <c r="H331" s="23">
        <v>0</v>
      </c>
      <c r="I331" s="23" t="s">
        <v>4683</v>
      </c>
      <c r="J331" s="23" t="s">
        <v>4728</v>
      </c>
      <c r="K331" s="23" t="s">
        <v>4735</v>
      </c>
      <c r="L331">
        <v>1994</v>
      </c>
      <c r="M331" s="15" t="s">
        <v>4696</v>
      </c>
      <c r="N331">
        <v>10</v>
      </c>
      <c r="O331">
        <v>0</v>
      </c>
      <c r="P331" s="21">
        <f>DATEVALUE(N331&amp;"-"&amp;M331&amp;"-"&amp;L331)</f>
        <v>34525</v>
      </c>
      <c r="Q331" s="22">
        <v>3161.45</v>
      </c>
      <c r="R331" s="23" t="s">
        <v>4697</v>
      </c>
      <c r="S331" s="23" t="s">
        <v>4701</v>
      </c>
      <c r="T331" s="23" t="s">
        <v>4708</v>
      </c>
      <c r="U331" s="23">
        <f>DATEDIF(P331, DATE(2023, 6, 8), "Y")</f>
        <v>28</v>
      </c>
      <c r="V331">
        <f>SUM(C331:K331)</f>
        <v>35.299999999999997</v>
      </c>
    </row>
    <row r="332" spans="1:22" ht="15.75">
      <c r="A332" s="28" t="s">
        <v>662</v>
      </c>
      <c r="B332" s="28" t="s">
        <v>663</v>
      </c>
      <c r="C332" s="23">
        <v>37.67</v>
      </c>
      <c r="D332" s="23">
        <v>5.89</v>
      </c>
      <c r="E332" s="23" t="s">
        <v>4682</v>
      </c>
      <c r="F332" s="23" t="s">
        <v>4682</v>
      </c>
      <c r="G332" s="23" t="s">
        <v>4682</v>
      </c>
      <c r="H332" s="23">
        <v>1</v>
      </c>
      <c r="I332" s="23" t="s">
        <v>4683</v>
      </c>
      <c r="J332" s="23" t="s">
        <v>4729</v>
      </c>
      <c r="K332" s="23" t="s">
        <v>4736</v>
      </c>
      <c r="L332">
        <v>1993</v>
      </c>
      <c r="M332" s="15" t="s">
        <v>4703</v>
      </c>
      <c r="N332">
        <v>25</v>
      </c>
      <c r="O332">
        <v>0</v>
      </c>
      <c r="P332" s="21">
        <f>DATEVALUE(N332&amp;"-"&amp;M332&amp;"-"&amp;L332)</f>
        <v>34237</v>
      </c>
      <c r="Q332" s="22">
        <v>3162.02</v>
      </c>
      <c r="R332" s="23" t="s">
        <v>4697</v>
      </c>
      <c r="S332" s="23" t="s">
        <v>4698</v>
      </c>
      <c r="T332" s="23" t="s">
        <v>4699</v>
      </c>
      <c r="U332" s="23">
        <f>DATEDIF(P332, DATE(2023, 6, 8), "Y")</f>
        <v>29</v>
      </c>
      <c r="V332">
        <f>SUM(C332:K332)</f>
        <v>44.56</v>
      </c>
    </row>
    <row r="333" spans="1:22" ht="15.75">
      <c r="A333" s="28" t="s">
        <v>664</v>
      </c>
      <c r="B333" s="28" t="s">
        <v>665</v>
      </c>
      <c r="C333" s="23">
        <v>18.73</v>
      </c>
      <c r="D333" s="23">
        <v>10.64</v>
      </c>
      <c r="E333" s="23" t="s">
        <v>4682</v>
      </c>
      <c r="F333" s="23" t="s">
        <v>4682</v>
      </c>
      <c r="G333" s="23" t="s">
        <v>4682</v>
      </c>
      <c r="H333" s="23">
        <v>2</v>
      </c>
      <c r="I333" s="23" t="s">
        <v>4683</v>
      </c>
      <c r="J333" s="23" t="s">
        <v>4728</v>
      </c>
      <c r="K333" s="23" t="s">
        <v>4735</v>
      </c>
      <c r="L333">
        <v>2001</v>
      </c>
      <c r="M333" s="15" t="s">
        <v>4706</v>
      </c>
      <c r="N333">
        <v>29</v>
      </c>
      <c r="O333">
        <v>1</v>
      </c>
      <c r="P333" s="21">
        <f>DATEVALUE(N333&amp;"-"&amp;M333&amp;"-"&amp;L333)</f>
        <v>37132</v>
      </c>
      <c r="Q333" s="22">
        <v>3167.46</v>
      </c>
      <c r="R333" s="23" t="s">
        <v>4697</v>
      </c>
      <c r="S333" s="23" t="s">
        <v>4698</v>
      </c>
      <c r="T333" s="23" t="s">
        <v>4714</v>
      </c>
      <c r="U333" s="23">
        <f>DATEDIF(P333, DATE(2023, 6, 8), "Y")</f>
        <v>21</v>
      </c>
      <c r="V333">
        <f>SUM(C333:K333)</f>
        <v>31.37</v>
      </c>
    </row>
    <row r="334" spans="1:22" ht="15.75">
      <c r="A334" s="28" t="s">
        <v>666</v>
      </c>
      <c r="B334" s="28" t="s">
        <v>667</v>
      </c>
      <c r="C334" s="23">
        <v>33.090000000000003</v>
      </c>
      <c r="D334" s="23">
        <v>6.06</v>
      </c>
      <c r="E334" s="23" t="s">
        <v>4682</v>
      </c>
      <c r="F334" s="23" t="s">
        <v>4682</v>
      </c>
      <c r="G334" s="23" t="s">
        <v>4684</v>
      </c>
      <c r="H334" s="23">
        <v>1</v>
      </c>
      <c r="I334" s="23" t="s">
        <v>4683</v>
      </c>
      <c r="J334" s="23" t="s">
        <v>4729</v>
      </c>
      <c r="K334" s="23" t="s">
        <v>4736</v>
      </c>
      <c r="L334">
        <v>1994</v>
      </c>
      <c r="M334" s="15" t="s">
        <v>4707</v>
      </c>
      <c r="N334">
        <v>25</v>
      </c>
      <c r="O334">
        <v>0</v>
      </c>
      <c r="P334" s="21">
        <f>DATEVALUE(N334&amp;"-"&amp;M334&amp;"-"&amp;L334)</f>
        <v>34632</v>
      </c>
      <c r="Q334" s="22">
        <v>3171.61</v>
      </c>
      <c r="R334" s="23" t="s">
        <v>4697</v>
      </c>
      <c r="S334" s="23" t="s">
        <v>4698</v>
      </c>
      <c r="T334" s="23" t="s">
        <v>4699</v>
      </c>
      <c r="U334" s="23">
        <f>DATEDIF(P334, DATE(2023, 6, 8), "Y")</f>
        <v>28</v>
      </c>
      <c r="V334">
        <f>SUM(C334:K334)</f>
        <v>40.150000000000006</v>
      </c>
    </row>
    <row r="335" spans="1:22" ht="15.75">
      <c r="A335" s="28" t="s">
        <v>668</v>
      </c>
      <c r="B335" s="28" t="s">
        <v>669</v>
      </c>
      <c r="C335" s="23">
        <v>18.329999999999998</v>
      </c>
      <c r="D335" s="23">
        <v>7.46</v>
      </c>
      <c r="E335" s="23" t="s">
        <v>4683</v>
      </c>
      <c r="F335" s="23" t="s">
        <v>4682</v>
      </c>
      <c r="G335" s="23" t="s">
        <v>4682</v>
      </c>
      <c r="H335" s="23">
        <v>1</v>
      </c>
      <c r="I335" s="23" t="s">
        <v>4683</v>
      </c>
      <c r="J335" s="23" t="s">
        <v>4731</v>
      </c>
      <c r="K335" s="23" t="s">
        <v>4735</v>
      </c>
      <c r="L335">
        <v>1994</v>
      </c>
      <c r="M335" s="15" t="s">
        <v>4696</v>
      </c>
      <c r="N335">
        <v>6</v>
      </c>
      <c r="O335">
        <v>0</v>
      </c>
      <c r="P335" s="21">
        <f>DATEVALUE(N335&amp;"-"&amp;M335&amp;"-"&amp;L335)</f>
        <v>34521</v>
      </c>
      <c r="Q335" s="22">
        <v>3172.02</v>
      </c>
      <c r="R335" s="23" t="s">
        <v>4697</v>
      </c>
      <c r="S335" s="23" t="s">
        <v>4701</v>
      </c>
      <c r="T335" s="23" t="s">
        <v>4708</v>
      </c>
      <c r="U335" s="23">
        <f>DATEDIF(P335, DATE(2023, 6, 8), "Y")</f>
        <v>28</v>
      </c>
      <c r="V335">
        <f>SUM(C335:K335)</f>
        <v>26.79</v>
      </c>
    </row>
    <row r="336" spans="1:22" ht="15.75">
      <c r="A336" s="28" t="s">
        <v>670</v>
      </c>
      <c r="B336" s="28" t="s">
        <v>671</v>
      </c>
      <c r="C336" s="23">
        <v>27.74</v>
      </c>
      <c r="D336" s="23">
        <v>4.68</v>
      </c>
      <c r="E336" s="23" t="s">
        <v>4683</v>
      </c>
      <c r="F336" s="23" t="s">
        <v>4682</v>
      </c>
      <c r="G336" s="23" t="s">
        <v>4682</v>
      </c>
      <c r="H336" s="23">
        <v>2</v>
      </c>
      <c r="I336" s="23" t="s">
        <v>4683</v>
      </c>
      <c r="J336" s="23" t="s">
        <v>4730</v>
      </c>
      <c r="K336" s="23" t="s">
        <v>4737</v>
      </c>
      <c r="L336">
        <v>1996</v>
      </c>
      <c r="M336" s="15" t="s">
        <v>4706</v>
      </c>
      <c r="N336">
        <v>14</v>
      </c>
      <c r="O336">
        <v>0</v>
      </c>
      <c r="P336" s="21">
        <f>DATEVALUE(N336&amp;"-"&amp;M336&amp;"-"&amp;L336)</f>
        <v>35291</v>
      </c>
      <c r="Q336" s="22">
        <v>3176.29</v>
      </c>
      <c r="R336" s="23" t="s">
        <v>4697</v>
      </c>
      <c r="S336" s="23" t="s">
        <v>4697</v>
      </c>
      <c r="T336" s="23" t="s">
        <v>4704</v>
      </c>
      <c r="U336" s="23">
        <f>DATEDIF(P336, DATE(2023, 6, 8), "Y")</f>
        <v>26</v>
      </c>
      <c r="V336">
        <f>SUM(C336:K336)</f>
        <v>34.42</v>
      </c>
    </row>
    <row r="337" spans="1:22" ht="15.75">
      <c r="A337" s="28" t="s">
        <v>672</v>
      </c>
      <c r="B337" s="28" t="s">
        <v>673</v>
      </c>
      <c r="C337" s="23">
        <v>24.2</v>
      </c>
      <c r="D337" s="23">
        <v>6.15</v>
      </c>
      <c r="E337" s="23" t="s">
        <v>4682</v>
      </c>
      <c r="F337" s="23" t="s">
        <v>4682</v>
      </c>
      <c r="G337" s="23" t="s">
        <v>4682</v>
      </c>
      <c r="H337" s="23">
        <v>1</v>
      </c>
      <c r="I337" s="23" t="s">
        <v>4683</v>
      </c>
      <c r="J337" s="23" t="s">
        <v>4728</v>
      </c>
      <c r="K337" s="23" t="s">
        <v>4736</v>
      </c>
      <c r="L337">
        <v>1996</v>
      </c>
      <c r="M337" s="15" t="s">
        <v>4696</v>
      </c>
      <c r="N337">
        <v>3</v>
      </c>
      <c r="O337">
        <v>0</v>
      </c>
      <c r="P337" s="21">
        <f>DATEVALUE(N337&amp;"-"&amp;M337&amp;"-"&amp;L337)</f>
        <v>35249</v>
      </c>
      <c r="Q337" s="22">
        <v>3176.82</v>
      </c>
      <c r="R337" s="23" t="s">
        <v>4697</v>
      </c>
      <c r="S337" s="23" t="s">
        <v>4701</v>
      </c>
      <c r="T337" s="23" t="s">
        <v>4704</v>
      </c>
      <c r="U337" s="23">
        <f>DATEDIF(P337, DATE(2023, 6, 8), "Y")</f>
        <v>26</v>
      </c>
      <c r="V337">
        <f>SUM(C337:K337)</f>
        <v>31.35</v>
      </c>
    </row>
    <row r="338" spans="1:22" ht="15.75">
      <c r="A338" s="28" t="s">
        <v>674</v>
      </c>
      <c r="B338" s="28" t="s">
        <v>675</v>
      </c>
      <c r="C338" s="23">
        <v>22.03</v>
      </c>
      <c r="D338" s="23">
        <v>4.28</v>
      </c>
      <c r="E338" s="23" t="s">
        <v>4683</v>
      </c>
      <c r="F338" s="23" t="s">
        <v>4682</v>
      </c>
      <c r="G338" s="23" t="s">
        <v>4682</v>
      </c>
      <c r="H338" s="23">
        <v>0</v>
      </c>
      <c r="I338" s="23" t="s">
        <v>4683</v>
      </c>
      <c r="J338" s="23" t="s">
        <v>4728</v>
      </c>
      <c r="K338" s="23" t="s">
        <v>4737</v>
      </c>
      <c r="L338">
        <v>2000</v>
      </c>
      <c r="M338" s="15" t="s">
        <v>4703</v>
      </c>
      <c r="N338">
        <v>23</v>
      </c>
      <c r="O338">
        <v>0</v>
      </c>
      <c r="P338" s="21">
        <f>DATEVALUE(N338&amp;"-"&amp;M338&amp;"-"&amp;L338)</f>
        <v>36792</v>
      </c>
      <c r="Q338" s="22">
        <v>3179.96</v>
      </c>
      <c r="R338" s="23" t="s">
        <v>4697</v>
      </c>
      <c r="S338" s="23" t="s">
        <v>4697</v>
      </c>
      <c r="T338" s="23" t="s">
        <v>4704</v>
      </c>
      <c r="U338" s="23">
        <f>DATEDIF(P338, DATE(2023, 6, 8), "Y")</f>
        <v>22</v>
      </c>
      <c r="V338">
        <f>SUM(C338:K338)</f>
        <v>26.310000000000002</v>
      </c>
    </row>
    <row r="339" spans="1:22" ht="15.75">
      <c r="A339" s="28" t="s">
        <v>676</v>
      </c>
      <c r="B339" s="28" t="s">
        <v>677</v>
      </c>
      <c r="C339" s="23">
        <v>26.885000000000002</v>
      </c>
      <c r="D339" s="23">
        <v>9.86</v>
      </c>
      <c r="E339" s="23" t="s">
        <v>4682</v>
      </c>
      <c r="F339" s="23" t="s">
        <v>4682</v>
      </c>
      <c r="G339" s="23" t="s">
        <v>4682</v>
      </c>
      <c r="H339" s="23">
        <v>3</v>
      </c>
      <c r="I339" s="23" t="s">
        <v>4683</v>
      </c>
      <c r="J339" s="23" t="s">
        <v>4730</v>
      </c>
      <c r="K339" s="23" t="s">
        <v>4735</v>
      </c>
      <c r="L339">
        <v>2001</v>
      </c>
      <c r="M339" s="15" t="s">
        <v>4703</v>
      </c>
      <c r="N339">
        <v>2</v>
      </c>
      <c r="O339">
        <v>2</v>
      </c>
      <c r="P339" s="21">
        <f>DATEVALUE(N339&amp;"-"&amp;M339&amp;"-"&amp;L339)</f>
        <v>37136</v>
      </c>
      <c r="Q339" s="22">
        <v>3180.51</v>
      </c>
      <c r="R339" s="23" t="s">
        <v>4697</v>
      </c>
      <c r="S339" s="23" t="s">
        <v>4697</v>
      </c>
      <c r="T339" s="23" t="s">
        <v>4699</v>
      </c>
      <c r="U339" s="23">
        <f>DATEDIF(P339, DATE(2023, 6, 8), "Y")</f>
        <v>21</v>
      </c>
      <c r="V339">
        <f>SUM(C339:K339)</f>
        <v>39.745000000000005</v>
      </c>
    </row>
    <row r="340" spans="1:22" ht="15.75">
      <c r="A340" s="28" t="s">
        <v>678</v>
      </c>
      <c r="B340" s="28" t="s">
        <v>679</v>
      </c>
      <c r="C340" s="23">
        <v>16.36</v>
      </c>
      <c r="D340" s="23">
        <v>11.19</v>
      </c>
      <c r="E340" s="23" t="s">
        <v>4682</v>
      </c>
      <c r="F340" s="23" t="s">
        <v>4682</v>
      </c>
      <c r="G340" s="23" t="s">
        <v>4682</v>
      </c>
      <c r="H340" s="23">
        <v>0</v>
      </c>
      <c r="I340" s="23" t="s">
        <v>4683</v>
      </c>
      <c r="J340" s="23" t="s">
        <v>4731</v>
      </c>
      <c r="K340" s="23" t="s">
        <v>4735</v>
      </c>
      <c r="L340">
        <v>1996</v>
      </c>
      <c r="M340" s="15" t="s">
        <v>4707</v>
      </c>
      <c r="N340">
        <v>11</v>
      </c>
      <c r="O340">
        <v>0</v>
      </c>
      <c r="P340" s="21">
        <f>DATEVALUE(N340&amp;"-"&amp;M340&amp;"-"&amp;L340)</f>
        <v>35349</v>
      </c>
      <c r="Q340" s="22">
        <v>3201.25</v>
      </c>
      <c r="R340" s="23" t="s">
        <v>4697</v>
      </c>
      <c r="S340" s="23" t="s">
        <v>4698</v>
      </c>
      <c r="T340" s="23" t="s">
        <v>4704</v>
      </c>
      <c r="U340" s="23">
        <f>DATEDIF(P340, DATE(2023, 6, 8), "Y")</f>
        <v>26</v>
      </c>
      <c r="V340">
        <f>SUM(C340:K340)</f>
        <v>27.549999999999997</v>
      </c>
    </row>
    <row r="341" spans="1:22" ht="15.75">
      <c r="A341" s="28" t="s">
        <v>680</v>
      </c>
      <c r="B341" s="28" t="s">
        <v>681</v>
      </c>
      <c r="C341" s="23">
        <v>32.299999999999997</v>
      </c>
      <c r="D341" s="23">
        <v>4.8899999999999997</v>
      </c>
      <c r="E341" s="23" t="s">
        <v>4683</v>
      </c>
      <c r="F341" s="23" t="s">
        <v>4682</v>
      </c>
      <c r="G341" s="23" t="s">
        <v>4684</v>
      </c>
      <c r="H341" s="23">
        <v>1</v>
      </c>
      <c r="I341" s="23" t="s">
        <v>4682</v>
      </c>
      <c r="J341" s="23" t="s">
        <v>4729</v>
      </c>
      <c r="K341" s="23" t="s">
        <v>4737</v>
      </c>
      <c r="L341">
        <v>1997</v>
      </c>
      <c r="M341" s="15" t="s">
        <v>4696</v>
      </c>
      <c r="N341">
        <v>5</v>
      </c>
      <c r="O341">
        <v>0</v>
      </c>
      <c r="P341" s="21">
        <f>DATEVALUE(N341&amp;"-"&amp;M341&amp;"-"&amp;L341)</f>
        <v>35616</v>
      </c>
      <c r="Q341" s="22">
        <v>3206.49</v>
      </c>
      <c r="R341" s="23" t="s">
        <v>4697</v>
      </c>
      <c r="S341" s="23" t="s">
        <v>4698</v>
      </c>
      <c r="T341" s="23" t="s">
        <v>4714</v>
      </c>
      <c r="U341" s="23">
        <f>DATEDIF(P341, DATE(2023, 6, 8), "Y")</f>
        <v>25</v>
      </c>
      <c r="V341">
        <f>SUM(C341:K341)</f>
        <v>38.19</v>
      </c>
    </row>
    <row r="342" spans="1:22" ht="15.75">
      <c r="A342" s="28" t="s">
        <v>682</v>
      </c>
      <c r="B342" s="28" t="s">
        <v>683</v>
      </c>
      <c r="C342" s="23">
        <v>16.05</v>
      </c>
      <c r="D342" s="23">
        <v>4.3499999999999996</v>
      </c>
      <c r="E342" s="23" t="s">
        <v>4683</v>
      </c>
      <c r="F342" s="23" t="s">
        <v>4682</v>
      </c>
      <c r="G342" s="23" t="s">
        <v>4682</v>
      </c>
      <c r="H342" s="23">
        <v>0</v>
      </c>
      <c r="I342" s="23" t="s">
        <v>4683</v>
      </c>
      <c r="J342" s="23" t="s">
        <v>4731</v>
      </c>
      <c r="K342" s="23" t="s">
        <v>4737</v>
      </c>
      <c r="L342">
        <v>1997</v>
      </c>
      <c r="M342" s="15" t="s">
        <v>4705</v>
      </c>
      <c r="N342">
        <v>22</v>
      </c>
      <c r="O342">
        <v>1</v>
      </c>
      <c r="P342" s="21">
        <f>DATEVALUE(N342&amp;"-"&amp;M342&amp;"-"&amp;L342)</f>
        <v>35786</v>
      </c>
      <c r="Q342" s="22">
        <v>3208.79</v>
      </c>
      <c r="R342" s="23" t="s">
        <v>4697</v>
      </c>
      <c r="S342" s="23" t="s">
        <v>4698</v>
      </c>
      <c r="T342" s="23" t="s">
        <v>4708</v>
      </c>
      <c r="U342" s="23">
        <f>DATEDIF(P342, DATE(2023, 6, 8), "Y")</f>
        <v>25</v>
      </c>
      <c r="V342">
        <f>SUM(C342:K342)</f>
        <v>20.399999999999999</v>
      </c>
    </row>
    <row r="343" spans="1:22" ht="15.75">
      <c r="A343" s="28" t="s">
        <v>684</v>
      </c>
      <c r="B343" s="28" t="s">
        <v>685</v>
      </c>
      <c r="C343" s="23">
        <v>29.07</v>
      </c>
      <c r="D343" s="23">
        <v>8.66</v>
      </c>
      <c r="E343" s="23" t="s">
        <v>4683</v>
      </c>
      <c r="F343" s="23" t="s">
        <v>4682</v>
      </c>
      <c r="G343" s="23" t="s">
        <v>4682</v>
      </c>
      <c r="H343" s="23">
        <v>2</v>
      </c>
      <c r="I343" s="23" t="s">
        <v>4683</v>
      </c>
      <c r="J343" s="23" t="s">
        <v>4730</v>
      </c>
      <c r="K343" s="23" t="s">
        <v>4735</v>
      </c>
      <c r="L343">
        <v>1997</v>
      </c>
      <c r="M343" s="15" t="s">
        <v>4696</v>
      </c>
      <c r="N343">
        <v>6</v>
      </c>
      <c r="O343">
        <v>0</v>
      </c>
      <c r="P343" s="21">
        <f>DATEVALUE(N343&amp;"-"&amp;M343&amp;"-"&amp;L343)</f>
        <v>35617</v>
      </c>
      <c r="Q343" s="22">
        <v>3213.62</v>
      </c>
      <c r="R343" s="23" t="s">
        <v>4697</v>
      </c>
      <c r="S343" s="23" t="s">
        <v>4697</v>
      </c>
      <c r="T343" s="23" t="s">
        <v>4714</v>
      </c>
      <c r="U343" s="23">
        <f>DATEDIF(P343, DATE(2023, 6, 8), "Y")</f>
        <v>25</v>
      </c>
      <c r="V343">
        <f>SUM(C343:K343)</f>
        <v>39.730000000000004</v>
      </c>
    </row>
    <row r="344" spans="1:22" ht="15.75">
      <c r="A344" s="28" t="s">
        <v>686</v>
      </c>
      <c r="B344" s="28" t="s">
        <v>687</v>
      </c>
      <c r="C344" s="23">
        <v>17.43</v>
      </c>
      <c r="D344" s="23">
        <v>8.64</v>
      </c>
      <c r="E344" s="23" t="s">
        <v>4682</v>
      </c>
      <c r="F344" s="23" t="s">
        <v>4682</v>
      </c>
      <c r="G344" s="23" t="s">
        <v>4682</v>
      </c>
      <c r="H344" s="23">
        <v>0</v>
      </c>
      <c r="I344" s="23" t="s">
        <v>4683</v>
      </c>
      <c r="J344" s="23" t="s">
        <v>4731</v>
      </c>
      <c r="K344" s="23" t="s">
        <v>4735</v>
      </c>
      <c r="L344">
        <v>1997</v>
      </c>
      <c r="M344" s="15" t="s">
        <v>4706</v>
      </c>
      <c r="N344">
        <v>2</v>
      </c>
      <c r="O344">
        <v>1</v>
      </c>
      <c r="P344" s="21">
        <f>DATEVALUE(N344&amp;"-"&amp;M344&amp;"-"&amp;L344)</f>
        <v>35644</v>
      </c>
      <c r="Q344" s="22">
        <v>3227.12</v>
      </c>
      <c r="R344" s="23" t="s">
        <v>4697</v>
      </c>
      <c r="S344" s="23" t="s">
        <v>4698</v>
      </c>
      <c r="T344" s="23" t="s">
        <v>4699</v>
      </c>
      <c r="U344" s="23">
        <f>DATEDIF(P344, DATE(2023, 6, 8), "Y")</f>
        <v>25</v>
      </c>
      <c r="V344">
        <f>SUM(C344:K344)</f>
        <v>26.07</v>
      </c>
    </row>
    <row r="345" spans="1:22" ht="15.75">
      <c r="A345" s="28" t="s">
        <v>688</v>
      </c>
      <c r="B345" s="28" t="s">
        <v>689</v>
      </c>
      <c r="C345" s="23">
        <v>19.329999999999998</v>
      </c>
      <c r="D345" s="23">
        <v>4.2699999999999996</v>
      </c>
      <c r="E345" s="23" t="s">
        <v>4682</v>
      </c>
      <c r="F345" s="23" t="s">
        <v>4682</v>
      </c>
      <c r="G345" s="23" t="s">
        <v>4682</v>
      </c>
      <c r="H345" s="23">
        <v>0</v>
      </c>
      <c r="I345" s="23" t="s">
        <v>4683</v>
      </c>
      <c r="J345" s="23" t="s">
        <v>4728</v>
      </c>
      <c r="K345" s="23" t="s">
        <v>4737</v>
      </c>
      <c r="L345">
        <v>1997</v>
      </c>
      <c r="M345" s="15" t="s">
        <v>4703</v>
      </c>
      <c r="N345">
        <v>2</v>
      </c>
      <c r="O345">
        <v>1</v>
      </c>
      <c r="P345" s="21">
        <f>DATEVALUE(N345&amp;"-"&amp;M345&amp;"-"&amp;L345)</f>
        <v>35675</v>
      </c>
      <c r="Q345" s="22">
        <v>3238.44</v>
      </c>
      <c r="R345" s="23" t="s">
        <v>4697</v>
      </c>
      <c r="S345" s="23" t="s">
        <v>4698</v>
      </c>
      <c r="T345" s="23" t="s">
        <v>4699</v>
      </c>
      <c r="U345" s="23">
        <f>DATEDIF(P345, DATE(2023, 6, 8), "Y")</f>
        <v>25</v>
      </c>
      <c r="V345">
        <f>SUM(C345:K345)</f>
        <v>23.599999999999998</v>
      </c>
    </row>
    <row r="346" spans="1:22" ht="15.75">
      <c r="A346" s="28" t="s">
        <v>690</v>
      </c>
      <c r="B346" s="28" t="s">
        <v>691</v>
      </c>
      <c r="C346" s="23">
        <v>30.52</v>
      </c>
      <c r="D346" s="23">
        <v>4.21</v>
      </c>
      <c r="E346" s="23" t="s">
        <v>4682</v>
      </c>
      <c r="F346" s="23" t="s">
        <v>4682</v>
      </c>
      <c r="G346" s="23" t="s">
        <v>4682</v>
      </c>
      <c r="H346" s="23">
        <v>1</v>
      </c>
      <c r="I346" s="23" t="s">
        <v>4683</v>
      </c>
      <c r="J346" s="23" t="s">
        <v>4729</v>
      </c>
      <c r="K346" s="23" t="s">
        <v>4737</v>
      </c>
      <c r="L346">
        <v>1991</v>
      </c>
      <c r="M346" s="15" t="s">
        <v>4700</v>
      </c>
      <c r="N346">
        <v>13</v>
      </c>
      <c r="O346">
        <v>0</v>
      </c>
      <c r="P346" s="21">
        <f>DATEVALUE(N346&amp;"-"&amp;M346&amp;"-"&amp;L346)</f>
        <v>33555</v>
      </c>
      <c r="Q346" s="22">
        <v>3260.2</v>
      </c>
      <c r="R346" s="23" t="s">
        <v>4698</v>
      </c>
      <c r="S346" s="23" t="s">
        <v>4697</v>
      </c>
      <c r="T346" s="23" t="s">
        <v>4708</v>
      </c>
      <c r="U346" s="23">
        <f>DATEDIF(P346, DATE(2023, 6, 8), "Y")</f>
        <v>31</v>
      </c>
      <c r="V346">
        <f>SUM(C346:K346)</f>
        <v>35.729999999999997</v>
      </c>
    </row>
    <row r="347" spans="1:22" ht="15.75">
      <c r="A347" s="28" t="s">
        <v>692</v>
      </c>
      <c r="B347" s="28" t="s">
        <v>693</v>
      </c>
      <c r="C347" s="23">
        <v>39.21</v>
      </c>
      <c r="D347" s="23">
        <v>5.04</v>
      </c>
      <c r="E347" s="23" t="s">
        <v>4682</v>
      </c>
      <c r="F347" s="23" t="s">
        <v>4682</v>
      </c>
      <c r="G347" s="23" t="s">
        <v>4684</v>
      </c>
      <c r="H347" s="23">
        <v>1</v>
      </c>
      <c r="I347" s="23" t="s">
        <v>4683</v>
      </c>
      <c r="J347" s="23" t="s">
        <v>4729</v>
      </c>
      <c r="K347" s="23" t="s">
        <v>4737</v>
      </c>
      <c r="L347">
        <v>1994</v>
      </c>
      <c r="M347" s="15" t="s">
        <v>4705</v>
      </c>
      <c r="N347">
        <v>2</v>
      </c>
      <c r="O347">
        <v>0</v>
      </c>
      <c r="P347" s="21">
        <f>DATEVALUE(N347&amp;"-"&amp;M347&amp;"-"&amp;L347)</f>
        <v>34670</v>
      </c>
      <c r="Q347" s="22">
        <v>3268.85</v>
      </c>
      <c r="R347" s="23" t="s">
        <v>4698</v>
      </c>
      <c r="S347" s="23" t="s">
        <v>4701</v>
      </c>
      <c r="T347" s="23" t="s">
        <v>4711</v>
      </c>
      <c r="U347" s="23">
        <f>DATEDIF(P347, DATE(2023, 6, 8), "Y")</f>
        <v>28</v>
      </c>
      <c r="V347">
        <f>SUM(C347:K347)</f>
        <v>45.25</v>
      </c>
    </row>
    <row r="348" spans="1:22" ht="15.75">
      <c r="A348" s="28" t="s">
        <v>694</v>
      </c>
      <c r="B348" s="28" t="s">
        <v>695</v>
      </c>
      <c r="C348" s="23">
        <v>26.98</v>
      </c>
      <c r="D348" s="23">
        <v>5.21</v>
      </c>
      <c r="E348" s="23" t="s">
        <v>4683</v>
      </c>
      <c r="F348" s="23" t="s">
        <v>4682</v>
      </c>
      <c r="G348" s="23" t="s">
        <v>4682</v>
      </c>
      <c r="H348" s="23">
        <v>2</v>
      </c>
      <c r="I348" s="23" t="s">
        <v>4683</v>
      </c>
      <c r="J348" s="23" t="s">
        <v>4730</v>
      </c>
      <c r="K348" s="23" t="s">
        <v>4737</v>
      </c>
      <c r="L348">
        <v>1994</v>
      </c>
      <c r="M348" s="15" t="s">
        <v>4696</v>
      </c>
      <c r="N348">
        <v>1</v>
      </c>
      <c r="O348">
        <v>1</v>
      </c>
      <c r="P348" s="21">
        <f>DATEVALUE(N348&amp;"-"&amp;M348&amp;"-"&amp;L348)</f>
        <v>34516</v>
      </c>
      <c r="Q348" s="22">
        <v>3277.16</v>
      </c>
      <c r="R348" s="23" t="s">
        <v>4697</v>
      </c>
      <c r="S348" s="23" t="s">
        <v>4698</v>
      </c>
      <c r="T348" s="23" t="s">
        <v>4708</v>
      </c>
      <c r="U348" s="23">
        <f>DATEDIF(P348, DATE(2023, 6, 8), "Y")</f>
        <v>28</v>
      </c>
      <c r="V348">
        <f>SUM(C348:K348)</f>
        <v>34.19</v>
      </c>
    </row>
    <row r="349" spans="1:22" ht="15.75">
      <c r="A349" s="28" t="s">
        <v>696</v>
      </c>
      <c r="B349" s="28" t="s">
        <v>697</v>
      </c>
      <c r="C349" s="23">
        <v>25.84</v>
      </c>
      <c r="D349" s="23">
        <v>8.83</v>
      </c>
      <c r="E349" s="23" t="s">
        <v>4682</v>
      </c>
      <c r="F349" s="23" t="s">
        <v>4682</v>
      </c>
      <c r="G349" s="23" t="s">
        <v>4682</v>
      </c>
      <c r="H349" s="23">
        <v>0</v>
      </c>
      <c r="I349" s="23" t="s">
        <v>4682</v>
      </c>
      <c r="J349" s="23" t="s">
        <v>4730</v>
      </c>
      <c r="K349" s="23" t="s">
        <v>4735</v>
      </c>
      <c r="L349">
        <v>2001</v>
      </c>
      <c r="M349" s="15" t="s">
        <v>4707</v>
      </c>
      <c r="N349">
        <v>6</v>
      </c>
      <c r="O349">
        <v>2</v>
      </c>
      <c r="P349" s="21">
        <f>DATEVALUE(N349&amp;"-"&amp;M349&amp;"-"&amp;L349)</f>
        <v>37170</v>
      </c>
      <c r="Q349" s="22">
        <v>3279.87</v>
      </c>
      <c r="R349" s="23" t="s">
        <v>4697</v>
      </c>
      <c r="S349" s="23" t="s">
        <v>4701</v>
      </c>
      <c r="T349" s="23" t="s">
        <v>4718</v>
      </c>
      <c r="U349" s="23">
        <f>DATEDIF(P349, DATE(2023, 6, 8), "Y")</f>
        <v>21</v>
      </c>
      <c r="V349">
        <f>SUM(C349:K349)</f>
        <v>34.67</v>
      </c>
    </row>
    <row r="350" spans="1:22" ht="15.75">
      <c r="A350" s="28" t="s">
        <v>698</v>
      </c>
      <c r="B350" s="28" t="s">
        <v>699</v>
      </c>
      <c r="C350" s="23">
        <v>28.31</v>
      </c>
      <c r="D350" s="23">
        <v>8.4700000000000006</v>
      </c>
      <c r="E350" s="23" t="s">
        <v>4683</v>
      </c>
      <c r="F350" s="23" t="s">
        <v>4682</v>
      </c>
      <c r="G350" s="23" t="s">
        <v>4682</v>
      </c>
      <c r="H350" s="23">
        <v>2</v>
      </c>
      <c r="I350" s="23" t="s">
        <v>4683</v>
      </c>
      <c r="J350" s="23" t="s">
        <v>4730</v>
      </c>
      <c r="K350" s="23" t="s">
        <v>4735</v>
      </c>
      <c r="L350">
        <v>2003</v>
      </c>
      <c r="M350" s="15" t="s">
        <v>4696</v>
      </c>
      <c r="N350">
        <v>3</v>
      </c>
      <c r="O350">
        <v>0</v>
      </c>
      <c r="P350" s="21">
        <f>DATEVALUE(N350&amp;"-"&amp;M350&amp;"-"&amp;L350)</f>
        <v>37805</v>
      </c>
      <c r="Q350" s="22">
        <v>3280.22</v>
      </c>
      <c r="R350" s="23" t="s">
        <v>4697</v>
      </c>
      <c r="S350" s="23" t="s">
        <v>4698</v>
      </c>
      <c r="T350" s="23" t="s">
        <v>4708</v>
      </c>
      <c r="U350" s="23">
        <f>DATEDIF(P350, DATE(2023, 6, 8), "Y")</f>
        <v>19</v>
      </c>
      <c r="V350">
        <f>SUM(C350:K350)</f>
        <v>38.78</v>
      </c>
    </row>
    <row r="351" spans="1:22" ht="15.75">
      <c r="A351" s="28" t="s">
        <v>700</v>
      </c>
      <c r="B351" s="28" t="s">
        <v>701</v>
      </c>
      <c r="C351" s="23">
        <v>23.94</v>
      </c>
      <c r="D351" s="23">
        <v>4.2</v>
      </c>
      <c r="E351" s="23" t="s">
        <v>4682</v>
      </c>
      <c r="F351" s="23" t="s">
        <v>4682</v>
      </c>
      <c r="G351" s="23" t="s">
        <v>4682</v>
      </c>
      <c r="H351" s="23">
        <v>0</v>
      </c>
      <c r="I351" s="23" t="s">
        <v>4683</v>
      </c>
      <c r="J351" s="23" t="s">
        <v>4728</v>
      </c>
      <c r="K351" s="23" t="s">
        <v>4737</v>
      </c>
      <c r="L351">
        <v>1996</v>
      </c>
      <c r="M351" s="15" t="s">
        <v>4700</v>
      </c>
      <c r="N351">
        <v>17</v>
      </c>
      <c r="O351">
        <v>1</v>
      </c>
      <c r="P351" s="21">
        <f>DATEVALUE(N351&amp;"-"&amp;M351&amp;"-"&amp;L351)</f>
        <v>35386</v>
      </c>
      <c r="Q351" s="22">
        <v>3292.53</v>
      </c>
      <c r="R351" s="23" t="s">
        <v>4697</v>
      </c>
      <c r="S351" s="23" t="s">
        <v>4697</v>
      </c>
      <c r="T351" s="23" t="s">
        <v>4704</v>
      </c>
      <c r="U351" s="23">
        <f>DATEDIF(P351, DATE(2023, 6, 8), "Y")</f>
        <v>26</v>
      </c>
      <c r="V351">
        <f>SUM(C351:K351)</f>
        <v>28.14</v>
      </c>
    </row>
    <row r="352" spans="1:22" ht="15.75">
      <c r="A352" s="28" t="s">
        <v>702</v>
      </c>
      <c r="B352" s="28" t="s">
        <v>703</v>
      </c>
      <c r="C352" s="23">
        <v>20.03</v>
      </c>
      <c r="D352" s="23">
        <v>6.14</v>
      </c>
      <c r="E352" s="23" t="s">
        <v>4683</v>
      </c>
      <c r="F352" s="23" t="s">
        <v>4682</v>
      </c>
      <c r="G352" s="23" t="s">
        <v>4682</v>
      </c>
      <c r="H352" s="23">
        <v>0</v>
      </c>
      <c r="I352" s="23" t="s">
        <v>4683</v>
      </c>
      <c r="J352" s="23" t="s">
        <v>4728</v>
      </c>
      <c r="K352" s="23" t="s">
        <v>4736</v>
      </c>
      <c r="L352">
        <v>2003</v>
      </c>
      <c r="M352" s="15" t="s">
        <v>4705</v>
      </c>
      <c r="N352">
        <v>5</v>
      </c>
      <c r="O352">
        <v>0</v>
      </c>
      <c r="P352" s="21">
        <f>DATEVALUE(N352&amp;"-"&amp;M352&amp;"-"&amp;L352)</f>
        <v>37960</v>
      </c>
      <c r="Q352" s="22">
        <v>3300.7</v>
      </c>
      <c r="R352" s="23" t="s">
        <v>4697</v>
      </c>
      <c r="S352" s="23" t="s">
        <v>4697</v>
      </c>
      <c r="T352" s="23" t="s">
        <v>4713</v>
      </c>
      <c r="U352" s="23">
        <f>DATEDIF(P352, DATE(2023, 6, 8), "Y")</f>
        <v>19</v>
      </c>
      <c r="V352">
        <f>SUM(C352:K352)</f>
        <v>26.17</v>
      </c>
    </row>
    <row r="353" spans="1:22" ht="15.75">
      <c r="A353" s="28" t="s">
        <v>704</v>
      </c>
      <c r="B353" s="28" t="s">
        <v>705</v>
      </c>
      <c r="C353" s="23">
        <v>41.42</v>
      </c>
      <c r="D353" s="23">
        <v>6.07</v>
      </c>
      <c r="E353" s="23" t="s">
        <v>4682</v>
      </c>
      <c r="F353" s="23" t="s">
        <v>4682</v>
      </c>
      <c r="G353" s="23" t="s">
        <v>4682</v>
      </c>
      <c r="H353" s="23">
        <v>0</v>
      </c>
      <c r="I353" s="23" t="s">
        <v>4682</v>
      </c>
      <c r="J353" s="23" t="s">
        <v>4729</v>
      </c>
      <c r="K353" s="23" t="s">
        <v>4736</v>
      </c>
      <c r="L353">
        <v>2003</v>
      </c>
      <c r="M353" s="15" t="s">
        <v>4700</v>
      </c>
      <c r="N353">
        <v>18</v>
      </c>
      <c r="O353">
        <v>0</v>
      </c>
      <c r="P353" s="21">
        <f>DATEVALUE(N353&amp;"-"&amp;M353&amp;"-"&amp;L353)</f>
        <v>37943</v>
      </c>
      <c r="Q353" s="22">
        <v>3308.46</v>
      </c>
      <c r="R353" s="23" t="s">
        <v>4697</v>
      </c>
      <c r="S353" s="23" t="s">
        <v>4701</v>
      </c>
      <c r="T353" s="23" t="s">
        <v>4717</v>
      </c>
      <c r="U353" s="23">
        <f>DATEDIF(P353, DATE(2023, 6, 8), "Y")</f>
        <v>19</v>
      </c>
      <c r="V353">
        <f>SUM(C353:K353)</f>
        <v>47.49</v>
      </c>
    </row>
    <row r="354" spans="1:22" ht="15.75">
      <c r="A354" s="28" t="s">
        <v>706</v>
      </c>
      <c r="B354" s="28" t="s">
        <v>707</v>
      </c>
      <c r="C354" s="23">
        <v>36.67</v>
      </c>
      <c r="D354" s="23">
        <v>10.210000000000001</v>
      </c>
      <c r="E354" s="23" t="s">
        <v>4682</v>
      </c>
      <c r="F354" s="23" t="s">
        <v>4682</v>
      </c>
      <c r="G354" s="23" t="s">
        <v>4682</v>
      </c>
      <c r="H354" s="23">
        <v>0</v>
      </c>
      <c r="I354" s="23" t="s">
        <v>4682</v>
      </c>
      <c r="J354" s="23" t="s">
        <v>4729</v>
      </c>
      <c r="K354" s="23" t="s">
        <v>4735</v>
      </c>
      <c r="L354">
        <v>1997</v>
      </c>
      <c r="M354" s="15" t="s">
        <v>4702</v>
      </c>
      <c r="N354">
        <v>20</v>
      </c>
      <c r="O354">
        <v>1</v>
      </c>
      <c r="P354" s="21">
        <f>DATEVALUE(N354&amp;"-"&amp;M354&amp;"-"&amp;L354)</f>
        <v>35601</v>
      </c>
      <c r="Q354" s="22">
        <v>3309.79</v>
      </c>
      <c r="R354" s="23" t="s">
        <v>4698</v>
      </c>
      <c r="S354" s="23" t="s">
        <v>4698</v>
      </c>
      <c r="T354" s="23" t="s">
        <v>4718</v>
      </c>
      <c r="U354" s="23">
        <f>DATEDIF(P354, DATE(2023, 6, 8), "Y")</f>
        <v>25</v>
      </c>
      <c r="V354">
        <f>SUM(C354:K354)</f>
        <v>46.88</v>
      </c>
    </row>
    <row r="355" spans="1:22" ht="15.75">
      <c r="A355" s="28" t="s">
        <v>708</v>
      </c>
      <c r="B355" s="28" t="s">
        <v>709</v>
      </c>
      <c r="C355" s="23">
        <v>27.645</v>
      </c>
      <c r="D355" s="23">
        <v>4.6900000000000004</v>
      </c>
      <c r="E355" s="23" t="s">
        <v>4682</v>
      </c>
      <c r="F355" s="23" t="s">
        <v>4682</v>
      </c>
      <c r="G355" s="23" t="s">
        <v>4682</v>
      </c>
      <c r="H355" s="23">
        <v>0</v>
      </c>
      <c r="I355" s="23" t="s">
        <v>4682</v>
      </c>
      <c r="J355" s="23" t="s">
        <v>4730</v>
      </c>
      <c r="K355" s="23" t="s">
        <v>4737</v>
      </c>
      <c r="L355">
        <v>1991</v>
      </c>
      <c r="M355" s="15" t="s">
        <v>4703</v>
      </c>
      <c r="N355">
        <v>1</v>
      </c>
      <c r="O355">
        <v>3</v>
      </c>
      <c r="P355" s="21">
        <f>DATEVALUE(N355&amp;"-"&amp;M355&amp;"-"&amp;L355)</f>
        <v>33482</v>
      </c>
      <c r="Q355" s="22">
        <v>3342.79</v>
      </c>
      <c r="R355" s="23" t="s">
        <v>4697</v>
      </c>
      <c r="S355" s="23" t="s">
        <v>4701</v>
      </c>
      <c r="T355" s="23" t="s">
        <v>4699</v>
      </c>
      <c r="U355" s="23">
        <f>DATEDIF(P355, DATE(2023, 6, 8), "Y")</f>
        <v>31</v>
      </c>
      <c r="V355">
        <f>SUM(C355:K355)</f>
        <v>32.335000000000001</v>
      </c>
    </row>
    <row r="356" spans="1:22" ht="15.75">
      <c r="A356" s="28" t="s">
        <v>710</v>
      </c>
      <c r="B356" s="28" t="s">
        <v>711</v>
      </c>
      <c r="C356" s="23">
        <v>22.72</v>
      </c>
      <c r="D356" s="23">
        <v>5.71</v>
      </c>
      <c r="E356" s="23" t="s">
        <v>4682</v>
      </c>
      <c r="F356" s="23" t="s">
        <v>4682</v>
      </c>
      <c r="G356" s="23" t="s">
        <v>4682</v>
      </c>
      <c r="H356" s="23">
        <v>0</v>
      </c>
      <c r="I356" s="23" t="s">
        <v>4683</v>
      </c>
      <c r="J356" s="23" t="s">
        <v>4728</v>
      </c>
      <c r="K356" s="23" t="s">
        <v>4736</v>
      </c>
      <c r="L356">
        <v>1993</v>
      </c>
      <c r="M356" s="15" t="s">
        <v>4707</v>
      </c>
      <c r="N356">
        <v>28</v>
      </c>
      <c r="O356">
        <v>0</v>
      </c>
      <c r="P356" s="21">
        <f>DATEVALUE(N356&amp;"-"&amp;M356&amp;"-"&amp;L356)</f>
        <v>34270</v>
      </c>
      <c r="Q356" s="22">
        <v>3353.28</v>
      </c>
      <c r="R356" s="23" t="s">
        <v>4697</v>
      </c>
      <c r="S356" s="23" t="s">
        <v>4701</v>
      </c>
      <c r="T356" s="23" t="s">
        <v>4708</v>
      </c>
      <c r="U356" s="23">
        <f>DATEDIF(P356, DATE(2023, 6, 8), "Y")</f>
        <v>29</v>
      </c>
      <c r="V356">
        <f>SUM(C356:K356)</f>
        <v>28.43</v>
      </c>
    </row>
    <row r="357" spans="1:22" ht="15.75">
      <c r="A357" s="28" t="s">
        <v>712</v>
      </c>
      <c r="B357" s="28" t="s">
        <v>713</v>
      </c>
      <c r="C357" s="23">
        <v>36.520000000000003</v>
      </c>
      <c r="D357" s="23">
        <v>9.07</v>
      </c>
      <c r="E357" s="23" t="s">
        <v>4683</v>
      </c>
      <c r="F357" s="23" t="s">
        <v>4682</v>
      </c>
      <c r="G357" s="23" t="s">
        <v>4684</v>
      </c>
      <c r="H357" s="23">
        <v>1</v>
      </c>
      <c r="I357" s="23" t="s">
        <v>4682</v>
      </c>
      <c r="J357" s="23" t="s">
        <v>4729</v>
      </c>
      <c r="K357" s="23" t="s">
        <v>4735</v>
      </c>
      <c r="L357">
        <v>1995</v>
      </c>
      <c r="M357" s="15" t="s">
        <v>4702</v>
      </c>
      <c r="N357">
        <v>23</v>
      </c>
      <c r="O357">
        <v>0</v>
      </c>
      <c r="P357" s="21">
        <f>DATEVALUE(N357&amp;"-"&amp;M357&amp;"-"&amp;L357)</f>
        <v>34873</v>
      </c>
      <c r="Q357" s="22">
        <v>3353.47</v>
      </c>
      <c r="R357" s="23" t="s">
        <v>4697</v>
      </c>
      <c r="S357" s="23" t="s">
        <v>4698</v>
      </c>
      <c r="T357" s="23" t="s">
        <v>4704</v>
      </c>
      <c r="U357" s="23">
        <f>DATEDIF(P357, DATE(2023, 6, 8), "Y")</f>
        <v>27</v>
      </c>
      <c r="V357">
        <f>SUM(C357:K357)</f>
        <v>46.59</v>
      </c>
    </row>
    <row r="358" spans="1:22" ht="15.75">
      <c r="A358" s="28" t="s">
        <v>714</v>
      </c>
      <c r="B358" s="28" t="s">
        <v>715</v>
      </c>
      <c r="C358" s="23">
        <v>33.96</v>
      </c>
      <c r="D358" s="23">
        <v>4.99</v>
      </c>
      <c r="E358" s="23" t="s">
        <v>4682</v>
      </c>
      <c r="F358" s="23" t="s">
        <v>4682</v>
      </c>
      <c r="G358" s="23" t="s">
        <v>4682</v>
      </c>
      <c r="H358" s="23">
        <v>0</v>
      </c>
      <c r="I358" s="23" t="s">
        <v>4683</v>
      </c>
      <c r="J358" s="23" t="s">
        <v>4729</v>
      </c>
      <c r="K358" s="23" t="s">
        <v>4737</v>
      </c>
      <c r="L358">
        <v>1993</v>
      </c>
      <c r="M358" s="15" t="s">
        <v>4707</v>
      </c>
      <c r="N358">
        <v>7</v>
      </c>
      <c r="O358">
        <v>0</v>
      </c>
      <c r="P358" s="21">
        <f>DATEVALUE(N358&amp;"-"&amp;M358&amp;"-"&amp;L358)</f>
        <v>34249</v>
      </c>
      <c r="Q358" s="22">
        <v>3366.67</v>
      </c>
      <c r="R358" s="23" t="s">
        <v>4697</v>
      </c>
      <c r="S358" s="23" t="s">
        <v>4697</v>
      </c>
      <c r="T358" s="23" t="s">
        <v>4699</v>
      </c>
      <c r="U358" s="23">
        <f>DATEDIF(P358, DATE(2023, 6, 8), "Y")</f>
        <v>29</v>
      </c>
      <c r="V358">
        <f>SUM(C358:K358)</f>
        <v>38.950000000000003</v>
      </c>
    </row>
    <row r="359" spans="1:22" ht="15.75">
      <c r="A359" s="28" t="s">
        <v>716</v>
      </c>
      <c r="B359" s="28" t="s">
        <v>717</v>
      </c>
      <c r="C359" s="23">
        <v>26.695</v>
      </c>
      <c r="D359" s="23">
        <v>8.31</v>
      </c>
      <c r="E359" s="23" t="s">
        <v>4682</v>
      </c>
      <c r="F359" s="23" t="s">
        <v>4682</v>
      </c>
      <c r="G359" s="23" t="s">
        <v>4682</v>
      </c>
      <c r="H359" s="23">
        <v>0</v>
      </c>
      <c r="I359" s="23" t="s">
        <v>4683</v>
      </c>
      <c r="J359" s="23" t="s">
        <v>4730</v>
      </c>
      <c r="K359" s="23" t="s">
        <v>4735</v>
      </c>
      <c r="L359">
        <v>1996</v>
      </c>
      <c r="M359" s="15" t="s">
        <v>4705</v>
      </c>
      <c r="N359">
        <v>14</v>
      </c>
      <c r="O359">
        <v>1</v>
      </c>
      <c r="P359" s="21">
        <f>DATEVALUE(N359&amp;"-"&amp;M359&amp;"-"&amp;L359)</f>
        <v>35413</v>
      </c>
      <c r="Q359" s="22">
        <v>3378.91</v>
      </c>
      <c r="R359" s="23" t="s">
        <v>4697</v>
      </c>
      <c r="S359" s="23" t="s">
        <v>4701</v>
      </c>
      <c r="T359" s="23" t="s">
        <v>4708</v>
      </c>
      <c r="U359" s="23">
        <f>DATEDIF(P359, DATE(2023, 6, 8), "Y")</f>
        <v>26</v>
      </c>
      <c r="V359">
        <f>SUM(C359:K359)</f>
        <v>35.005000000000003</v>
      </c>
    </row>
    <row r="360" spans="1:22" ht="15.75">
      <c r="A360" s="28" t="s">
        <v>718</v>
      </c>
      <c r="B360" s="28" t="s">
        <v>719</v>
      </c>
      <c r="C360" s="23">
        <v>18.45</v>
      </c>
      <c r="D360" s="23">
        <v>5.07</v>
      </c>
      <c r="E360" s="23" t="s">
        <v>4683</v>
      </c>
      <c r="F360" s="23" t="s">
        <v>4682</v>
      </c>
      <c r="G360" s="23" t="s">
        <v>4682</v>
      </c>
      <c r="H360" s="23">
        <v>0</v>
      </c>
      <c r="I360" s="23" t="s">
        <v>4683</v>
      </c>
      <c r="J360" s="23" t="s">
        <v>4731</v>
      </c>
      <c r="K360" s="23" t="s">
        <v>4737</v>
      </c>
      <c r="L360">
        <v>1996</v>
      </c>
      <c r="M360" s="15" t="s">
        <v>4700</v>
      </c>
      <c r="N360">
        <v>13</v>
      </c>
      <c r="O360">
        <v>0</v>
      </c>
      <c r="P360" s="21">
        <f>DATEVALUE(N360&amp;"-"&amp;M360&amp;"-"&amp;L360)</f>
        <v>35382</v>
      </c>
      <c r="Q360" s="22">
        <v>3385.4</v>
      </c>
      <c r="R360" s="23" t="s">
        <v>4697</v>
      </c>
      <c r="S360" s="23" t="s">
        <v>4697</v>
      </c>
      <c r="T360" s="23" t="s">
        <v>4714</v>
      </c>
      <c r="U360" s="23">
        <f>DATEDIF(P360, DATE(2023, 6, 8), "Y")</f>
        <v>26</v>
      </c>
      <c r="V360">
        <f>SUM(C360:K360)</f>
        <v>23.52</v>
      </c>
    </row>
    <row r="361" spans="1:22" ht="15.75">
      <c r="A361" s="28" t="s">
        <v>720</v>
      </c>
      <c r="B361" s="28" t="s">
        <v>721</v>
      </c>
      <c r="C361" s="23">
        <v>33.18</v>
      </c>
      <c r="D361" s="23">
        <v>4.79</v>
      </c>
      <c r="E361" s="23" t="s">
        <v>4682</v>
      </c>
      <c r="F361" s="23" t="s">
        <v>4682</v>
      </c>
      <c r="G361" s="23" t="s">
        <v>4682</v>
      </c>
      <c r="H361" s="23">
        <v>0</v>
      </c>
      <c r="I361" s="23" t="s">
        <v>4683</v>
      </c>
      <c r="J361" s="23" t="s">
        <v>4729</v>
      </c>
      <c r="K361" s="23" t="s">
        <v>4737</v>
      </c>
      <c r="L361">
        <v>1996</v>
      </c>
      <c r="M361" s="15" t="s">
        <v>4706</v>
      </c>
      <c r="N361">
        <v>10</v>
      </c>
      <c r="O361">
        <v>1</v>
      </c>
      <c r="P361" s="21">
        <f>DATEVALUE(N361&amp;"-"&amp;M361&amp;"-"&amp;L361)</f>
        <v>35287</v>
      </c>
      <c r="Q361" s="22">
        <v>3392.37</v>
      </c>
      <c r="R361" s="23" t="s">
        <v>4697</v>
      </c>
      <c r="S361" s="23" t="s">
        <v>4698</v>
      </c>
      <c r="T361" s="23" t="s">
        <v>4699</v>
      </c>
      <c r="U361" s="23">
        <f>DATEDIF(P361, DATE(2023, 6, 8), "Y")</f>
        <v>26</v>
      </c>
      <c r="V361">
        <f>SUM(C361:K361)</f>
        <v>37.97</v>
      </c>
    </row>
    <row r="362" spans="1:22" ht="15.75">
      <c r="A362" s="28" t="s">
        <v>722</v>
      </c>
      <c r="B362" s="28" t="s">
        <v>723</v>
      </c>
      <c r="C362" s="23">
        <v>36.1</v>
      </c>
      <c r="D362" s="23">
        <v>11.39</v>
      </c>
      <c r="E362" s="23" t="s">
        <v>4683</v>
      </c>
      <c r="F362" s="23" t="s">
        <v>4682</v>
      </c>
      <c r="G362" s="23" t="s">
        <v>4682</v>
      </c>
      <c r="H362" s="23">
        <v>2</v>
      </c>
      <c r="I362" s="23" t="s">
        <v>4682</v>
      </c>
      <c r="J362" s="23" t="s">
        <v>4729</v>
      </c>
      <c r="K362" s="23" t="s">
        <v>4735</v>
      </c>
      <c r="L362">
        <v>1996</v>
      </c>
      <c r="M362" s="15" t="s">
        <v>4707</v>
      </c>
      <c r="N362">
        <v>27</v>
      </c>
      <c r="O362">
        <v>1</v>
      </c>
      <c r="P362" s="21">
        <f>DATEVALUE(N362&amp;"-"&amp;M362&amp;"-"&amp;L362)</f>
        <v>35365</v>
      </c>
      <c r="Q362" s="22">
        <v>3392.98</v>
      </c>
      <c r="R362" s="23" t="s">
        <v>4697</v>
      </c>
      <c r="S362" s="23" t="s">
        <v>4698</v>
      </c>
      <c r="T362" s="23" t="s">
        <v>4699</v>
      </c>
      <c r="U362" s="23">
        <f>DATEDIF(P362, DATE(2023, 6, 8), "Y")</f>
        <v>26</v>
      </c>
      <c r="V362">
        <f>SUM(C362:K362)</f>
        <v>49.49</v>
      </c>
    </row>
    <row r="363" spans="1:22" ht="15.75">
      <c r="A363" s="28" t="s">
        <v>724</v>
      </c>
      <c r="B363" s="28" t="s">
        <v>725</v>
      </c>
      <c r="C363" s="23">
        <v>22.77</v>
      </c>
      <c r="D363" s="23">
        <v>6</v>
      </c>
      <c r="E363" s="23" t="s">
        <v>4682</v>
      </c>
      <c r="F363" s="23" t="s">
        <v>4682</v>
      </c>
      <c r="G363" s="23" t="s">
        <v>4682</v>
      </c>
      <c r="H363" s="23">
        <v>0</v>
      </c>
      <c r="I363" s="23" t="s">
        <v>4683</v>
      </c>
      <c r="J363" s="23" t="s">
        <v>4728</v>
      </c>
      <c r="K363" s="23" t="s">
        <v>4736</v>
      </c>
      <c r="L363">
        <v>2004</v>
      </c>
      <c r="M363" s="15" t="s">
        <v>4696</v>
      </c>
      <c r="N363">
        <v>16</v>
      </c>
      <c r="O363">
        <v>2</v>
      </c>
      <c r="P363" s="21">
        <f>DATEVALUE(N363&amp;"-"&amp;M363&amp;"-"&amp;L363)</f>
        <v>38184</v>
      </c>
      <c r="Q363" s="22">
        <v>3393.36</v>
      </c>
      <c r="R363" s="23" t="s">
        <v>4697</v>
      </c>
      <c r="S363" s="23" t="s">
        <v>4697</v>
      </c>
      <c r="T363" s="23" t="s">
        <v>4715</v>
      </c>
      <c r="U363" s="23">
        <f>DATEDIF(P363, DATE(2023, 6, 8), "Y")</f>
        <v>18</v>
      </c>
      <c r="V363">
        <f>SUM(C363:K363)</f>
        <v>28.77</v>
      </c>
    </row>
    <row r="364" spans="1:22" ht="15.75">
      <c r="A364" s="28" t="s">
        <v>726</v>
      </c>
      <c r="B364" s="28" t="s">
        <v>727</v>
      </c>
      <c r="C364" s="23">
        <v>21.24</v>
      </c>
      <c r="D364" s="23">
        <v>5.13</v>
      </c>
      <c r="E364" s="23" t="s">
        <v>4682</v>
      </c>
      <c r="F364" s="23" t="s">
        <v>4682</v>
      </c>
      <c r="G364" s="23" t="s">
        <v>4682</v>
      </c>
      <c r="H364" s="23">
        <v>0</v>
      </c>
      <c r="I364" s="23" t="s">
        <v>4683</v>
      </c>
      <c r="J364" s="23" t="s">
        <v>4728</v>
      </c>
      <c r="K364" s="23" t="s">
        <v>4737</v>
      </c>
      <c r="L364">
        <v>1996</v>
      </c>
      <c r="M364" s="15" t="s">
        <v>4705</v>
      </c>
      <c r="N364">
        <v>19</v>
      </c>
      <c r="O364">
        <v>1</v>
      </c>
      <c r="P364" s="21">
        <f>DATEVALUE(N364&amp;"-"&amp;M364&amp;"-"&amp;L364)</f>
        <v>35418</v>
      </c>
      <c r="Q364" s="22">
        <v>3410.32</v>
      </c>
      <c r="R364" s="23" t="s">
        <v>4697</v>
      </c>
      <c r="S364" s="23" t="s">
        <v>4697</v>
      </c>
      <c r="T364" s="23" t="s">
        <v>4708</v>
      </c>
      <c r="U364" s="23">
        <f>DATEDIF(P364, DATE(2023, 6, 8), "Y")</f>
        <v>26</v>
      </c>
      <c r="V364">
        <f>SUM(C364:K364)</f>
        <v>26.369999999999997</v>
      </c>
    </row>
    <row r="365" spans="1:22" ht="15.75">
      <c r="A365" s="28" t="s">
        <v>728</v>
      </c>
      <c r="B365" s="28" t="s">
        <v>729</v>
      </c>
      <c r="C365" s="23">
        <v>17.600000000000001</v>
      </c>
      <c r="D365" s="23">
        <v>5.26</v>
      </c>
      <c r="E365" s="23" t="s">
        <v>4683</v>
      </c>
      <c r="F365" s="23" t="s">
        <v>4682</v>
      </c>
      <c r="G365" s="23" t="s">
        <v>4682</v>
      </c>
      <c r="H365" s="23">
        <v>0</v>
      </c>
      <c r="I365" s="23" t="s">
        <v>4683</v>
      </c>
      <c r="J365" s="23" t="s">
        <v>4731</v>
      </c>
      <c r="K365" s="23" t="s">
        <v>4737</v>
      </c>
      <c r="L365">
        <v>2001</v>
      </c>
      <c r="M365" s="15" t="s">
        <v>4705</v>
      </c>
      <c r="N365">
        <v>26</v>
      </c>
      <c r="O365">
        <v>0</v>
      </c>
      <c r="P365" s="21">
        <f>DATEVALUE(N365&amp;"-"&amp;M365&amp;"-"&amp;L365)</f>
        <v>37251</v>
      </c>
      <c r="Q365" s="22">
        <v>3434.38</v>
      </c>
      <c r="R365" s="23" t="s">
        <v>4697</v>
      </c>
      <c r="S365" s="23" t="s">
        <v>4697</v>
      </c>
      <c r="T365" s="23" t="s">
        <v>4708</v>
      </c>
      <c r="U365" s="23">
        <f>DATEDIF(P365, DATE(2023, 6, 8), "Y")</f>
        <v>21</v>
      </c>
      <c r="V365">
        <f>SUM(C365:K365)</f>
        <v>22.86</v>
      </c>
    </row>
    <row r="366" spans="1:22" ht="15.75">
      <c r="A366" s="28" t="s">
        <v>730</v>
      </c>
      <c r="B366" s="28" t="s">
        <v>731</v>
      </c>
      <c r="C366" s="23">
        <v>26.29</v>
      </c>
      <c r="D366" s="23">
        <v>6.84</v>
      </c>
      <c r="E366" s="23" t="s">
        <v>4682</v>
      </c>
      <c r="F366" s="23" t="s">
        <v>4682</v>
      </c>
      <c r="G366" s="23" t="s">
        <v>4682</v>
      </c>
      <c r="H366" s="23">
        <v>0</v>
      </c>
      <c r="I366" s="23" t="s">
        <v>4683</v>
      </c>
      <c r="J366" s="23" t="s">
        <v>4730</v>
      </c>
      <c r="K366" s="23" t="s">
        <v>4735</v>
      </c>
      <c r="L366">
        <v>1986</v>
      </c>
      <c r="M366" s="15" t="s">
        <v>4706</v>
      </c>
      <c r="N366">
        <v>27</v>
      </c>
      <c r="O366">
        <v>3</v>
      </c>
      <c r="P366" s="21">
        <f>DATEVALUE(N366&amp;"-"&amp;M366&amp;"-"&amp;L366)</f>
        <v>31651</v>
      </c>
      <c r="Q366" s="22">
        <v>3436.5</v>
      </c>
      <c r="R366" s="23" t="s">
        <v>4697</v>
      </c>
      <c r="S366" s="23" t="s">
        <v>4701</v>
      </c>
      <c r="T366" s="23" t="s">
        <v>4699</v>
      </c>
      <c r="U366" s="23">
        <f>DATEDIF(P366, DATE(2023, 6, 8), "Y")</f>
        <v>36</v>
      </c>
      <c r="V366">
        <f>SUM(C366:K366)</f>
        <v>33.129999999999995</v>
      </c>
    </row>
    <row r="367" spans="1:22" ht="15.75">
      <c r="A367" s="28" t="s">
        <v>732</v>
      </c>
      <c r="B367" s="28" t="s">
        <v>733</v>
      </c>
      <c r="C367" s="23">
        <v>35.31</v>
      </c>
      <c r="D367" s="23">
        <v>9.0399999999999991</v>
      </c>
      <c r="E367" s="23" t="s">
        <v>4682</v>
      </c>
      <c r="F367" s="23" t="s">
        <v>4682</v>
      </c>
      <c r="G367" s="23" t="s">
        <v>4682</v>
      </c>
      <c r="H367" s="23">
        <v>0</v>
      </c>
      <c r="I367" s="23" t="s">
        <v>4682</v>
      </c>
      <c r="J367" s="23" t="s">
        <v>4729</v>
      </c>
      <c r="K367" s="23" t="s">
        <v>4735</v>
      </c>
      <c r="L367">
        <v>2000</v>
      </c>
      <c r="M367" s="15" t="s">
        <v>4702</v>
      </c>
      <c r="N367">
        <v>20</v>
      </c>
      <c r="O367">
        <v>3</v>
      </c>
      <c r="P367" s="21">
        <f>DATEVALUE(N367&amp;"-"&amp;M367&amp;"-"&amp;L367)</f>
        <v>36697</v>
      </c>
      <c r="Q367" s="22">
        <v>3443.06</v>
      </c>
      <c r="R367" s="23" t="s">
        <v>4697</v>
      </c>
      <c r="S367" s="23" t="s">
        <v>4701</v>
      </c>
      <c r="T367" s="23" t="s">
        <v>4708</v>
      </c>
      <c r="U367" s="23">
        <f>DATEDIF(P367, DATE(2023, 6, 8), "Y")</f>
        <v>22</v>
      </c>
      <c r="V367">
        <f>SUM(C367:K367)</f>
        <v>44.35</v>
      </c>
    </row>
    <row r="368" spans="1:22" ht="15.75">
      <c r="A368" s="28" t="s">
        <v>734</v>
      </c>
      <c r="B368" s="28" t="s">
        <v>735</v>
      </c>
      <c r="C368" s="23">
        <v>27.04</v>
      </c>
      <c r="D368" s="23">
        <v>4.0999999999999996</v>
      </c>
      <c r="E368" s="23" t="s">
        <v>4682</v>
      </c>
      <c r="F368" s="23" t="s">
        <v>4682</v>
      </c>
      <c r="G368" s="23" t="s">
        <v>4682</v>
      </c>
      <c r="H368" s="23">
        <v>1</v>
      </c>
      <c r="I368" s="23" t="s">
        <v>4683</v>
      </c>
      <c r="J368" s="23" t="s">
        <v>4730</v>
      </c>
      <c r="K368" s="23" t="s">
        <v>4737</v>
      </c>
      <c r="L368">
        <v>1987</v>
      </c>
      <c r="M368" s="15" t="s">
        <v>4703</v>
      </c>
      <c r="N368">
        <v>14</v>
      </c>
      <c r="O368">
        <v>3</v>
      </c>
      <c r="P368" s="21">
        <f>DATEVALUE(N368&amp;"-"&amp;M368&amp;"-"&amp;L368)</f>
        <v>32034</v>
      </c>
      <c r="Q368" s="22">
        <v>3453.77</v>
      </c>
      <c r="R368" s="23" t="s">
        <v>4697</v>
      </c>
      <c r="S368" s="23" t="s">
        <v>4701</v>
      </c>
      <c r="T368" s="23" t="s">
        <v>4708</v>
      </c>
      <c r="U368" s="23">
        <f>DATEDIF(P368, DATE(2023, 6, 8), "Y")</f>
        <v>35</v>
      </c>
      <c r="V368">
        <f>SUM(C368:K368)</f>
        <v>32.14</v>
      </c>
    </row>
    <row r="369" spans="1:22" ht="15.75">
      <c r="A369" s="28" t="s">
        <v>736</v>
      </c>
      <c r="B369" s="28" t="s">
        <v>737</v>
      </c>
      <c r="C369" s="23">
        <v>30.23</v>
      </c>
      <c r="D369" s="23">
        <v>4.2300000000000004</v>
      </c>
      <c r="E369" s="23" t="s">
        <v>4683</v>
      </c>
      <c r="F369" s="23" t="s">
        <v>4682</v>
      </c>
      <c r="G369" s="23" t="s">
        <v>4684</v>
      </c>
      <c r="H369" s="23">
        <v>1</v>
      </c>
      <c r="I369" s="23" t="s">
        <v>4683</v>
      </c>
      <c r="J369" s="23" t="s">
        <v>4729</v>
      </c>
      <c r="K369" s="23" t="s">
        <v>4737</v>
      </c>
      <c r="L369">
        <v>2003</v>
      </c>
      <c r="M369" s="15" t="s">
        <v>4696</v>
      </c>
      <c r="N369">
        <v>29</v>
      </c>
      <c r="O369">
        <v>0</v>
      </c>
      <c r="P369" s="21">
        <f>DATEVALUE(N369&amp;"-"&amp;M369&amp;"-"&amp;L369)</f>
        <v>37831</v>
      </c>
      <c r="Q369" s="22">
        <v>3463.51</v>
      </c>
      <c r="R369" s="23" t="s">
        <v>4697</v>
      </c>
      <c r="S369" s="23" t="s">
        <v>4701</v>
      </c>
      <c r="T369" s="23" t="s">
        <v>4713</v>
      </c>
      <c r="U369" s="23">
        <f>DATEDIF(P369, DATE(2023, 6, 8), "Y")</f>
        <v>19</v>
      </c>
      <c r="V369">
        <f>SUM(C369:K369)</f>
        <v>35.46</v>
      </c>
    </row>
    <row r="370" spans="1:22" ht="15.75">
      <c r="A370" s="28" t="s">
        <v>738</v>
      </c>
      <c r="B370" s="28" t="s">
        <v>739</v>
      </c>
      <c r="C370" s="23">
        <v>30.6</v>
      </c>
      <c r="D370" s="23">
        <v>6.48</v>
      </c>
      <c r="E370" s="23" t="s">
        <v>4683</v>
      </c>
      <c r="F370" s="23" t="s">
        <v>4682</v>
      </c>
      <c r="G370" s="23" t="s">
        <v>4684</v>
      </c>
      <c r="H370" s="23">
        <v>1</v>
      </c>
      <c r="I370" s="23" t="s">
        <v>4683</v>
      </c>
      <c r="J370" s="23" t="s">
        <v>4729</v>
      </c>
      <c r="K370" s="23" t="s">
        <v>4735</v>
      </c>
      <c r="L370">
        <v>1993</v>
      </c>
      <c r="M370" s="15" t="s">
        <v>4707</v>
      </c>
      <c r="N370">
        <v>12</v>
      </c>
      <c r="O370">
        <v>1</v>
      </c>
      <c r="P370" s="21">
        <f>DATEVALUE(N370&amp;"-"&amp;M370&amp;"-"&amp;L370)</f>
        <v>34254</v>
      </c>
      <c r="Q370" s="22">
        <v>3471.41</v>
      </c>
      <c r="R370" s="23" t="s">
        <v>4697</v>
      </c>
      <c r="S370" s="23" t="s">
        <v>4697</v>
      </c>
      <c r="T370" s="23" t="s">
        <v>4699</v>
      </c>
      <c r="U370" s="23">
        <f>DATEDIF(P370, DATE(2023, 6, 8), "Y")</f>
        <v>29</v>
      </c>
      <c r="V370">
        <f>SUM(C370:K370)</f>
        <v>38.08</v>
      </c>
    </row>
    <row r="371" spans="1:22" ht="15.75">
      <c r="A371" s="28" t="s">
        <v>740</v>
      </c>
      <c r="B371" s="28" t="s">
        <v>741</v>
      </c>
      <c r="C371" s="23">
        <v>26.8</v>
      </c>
      <c r="D371" s="23">
        <v>5.53</v>
      </c>
      <c r="E371" s="23" t="s">
        <v>4682</v>
      </c>
      <c r="F371" s="23" t="s">
        <v>4682</v>
      </c>
      <c r="G371" s="23" t="s">
        <v>4682</v>
      </c>
      <c r="H371" s="23">
        <v>1</v>
      </c>
      <c r="I371" s="23" t="s">
        <v>4683</v>
      </c>
      <c r="J371" s="23" t="s">
        <v>4730</v>
      </c>
      <c r="K371" s="23" t="s">
        <v>4737</v>
      </c>
      <c r="L371">
        <v>2004</v>
      </c>
      <c r="M371" s="15" t="s">
        <v>4702</v>
      </c>
      <c r="N371">
        <v>26</v>
      </c>
      <c r="O371">
        <v>3</v>
      </c>
      <c r="P371" s="21">
        <f>DATEVALUE(N371&amp;"-"&amp;M371&amp;"-"&amp;L371)</f>
        <v>38164</v>
      </c>
      <c r="Q371" s="22">
        <v>3481.87</v>
      </c>
      <c r="R371" s="23" t="s">
        <v>4697</v>
      </c>
      <c r="S371" s="23" t="s">
        <v>4698</v>
      </c>
      <c r="T371" s="23" t="s">
        <v>4711</v>
      </c>
      <c r="U371" s="23">
        <f>DATEDIF(P371, DATE(2023, 6, 8), "Y")</f>
        <v>18</v>
      </c>
      <c r="V371">
        <f>SUM(C371:K371)</f>
        <v>33.33</v>
      </c>
    </row>
    <row r="372" spans="1:22" ht="15.75">
      <c r="A372" s="28" t="s">
        <v>742</v>
      </c>
      <c r="B372" s="28" t="s">
        <v>743</v>
      </c>
      <c r="C372" s="23">
        <v>16.86</v>
      </c>
      <c r="D372" s="23">
        <v>4.07</v>
      </c>
      <c r="E372" s="23" t="s">
        <v>4683</v>
      </c>
      <c r="F372" s="23" t="s">
        <v>4682</v>
      </c>
      <c r="G372" s="23" t="s">
        <v>4682</v>
      </c>
      <c r="H372" s="23">
        <v>0</v>
      </c>
      <c r="I372" s="23" t="s">
        <v>4683</v>
      </c>
      <c r="J372" s="23" t="s">
        <v>4731</v>
      </c>
      <c r="K372" s="23" t="s">
        <v>4737</v>
      </c>
      <c r="L372">
        <v>1996</v>
      </c>
      <c r="M372" s="15" t="s">
        <v>4703</v>
      </c>
      <c r="N372">
        <v>19</v>
      </c>
      <c r="O372">
        <v>2</v>
      </c>
      <c r="P372" s="21">
        <f>DATEVALUE(N372&amp;"-"&amp;M372&amp;"-"&amp;L372)</f>
        <v>35327</v>
      </c>
      <c r="Q372" s="22">
        <v>3484.33</v>
      </c>
      <c r="R372" s="23" t="s">
        <v>4698</v>
      </c>
      <c r="S372" s="23" t="s">
        <v>4698</v>
      </c>
      <c r="T372" s="23" t="s">
        <v>4708</v>
      </c>
      <c r="U372" s="23">
        <f>DATEDIF(P372, DATE(2023, 6, 8), "Y")</f>
        <v>26</v>
      </c>
      <c r="V372">
        <f>SUM(C372:K372)</f>
        <v>20.93</v>
      </c>
    </row>
    <row r="373" spans="1:22" ht="15.75">
      <c r="A373" s="28" t="s">
        <v>744</v>
      </c>
      <c r="B373" s="28" t="s">
        <v>745</v>
      </c>
      <c r="C373" s="23">
        <v>16.3</v>
      </c>
      <c r="D373" s="23">
        <v>5.51</v>
      </c>
      <c r="E373" s="23" t="s">
        <v>4682</v>
      </c>
      <c r="F373" s="23" t="s">
        <v>4682</v>
      </c>
      <c r="G373" s="23" t="s">
        <v>4682</v>
      </c>
      <c r="H373" s="23">
        <v>1</v>
      </c>
      <c r="I373" s="23" t="s">
        <v>4683</v>
      </c>
      <c r="J373" s="23" t="s">
        <v>4731</v>
      </c>
      <c r="K373" s="23" t="s">
        <v>4737</v>
      </c>
      <c r="L373">
        <v>1996</v>
      </c>
      <c r="M373" s="15" t="s">
        <v>4703</v>
      </c>
      <c r="N373">
        <v>18</v>
      </c>
      <c r="O373">
        <v>1</v>
      </c>
      <c r="P373" s="21">
        <f>DATEVALUE(N373&amp;"-"&amp;M373&amp;"-"&amp;L373)</f>
        <v>35326</v>
      </c>
      <c r="Q373" s="22">
        <v>3490.55</v>
      </c>
      <c r="R373" s="23" t="s">
        <v>4701</v>
      </c>
      <c r="S373" s="23" t="s">
        <v>4697</v>
      </c>
      <c r="T373" s="23" t="s">
        <v>4709</v>
      </c>
      <c r="U373" s="23">
        <f>DATEDIF(P373, DATE(2023, 6, 8), "Y")</f>
        <v>26</v>
      </c>
      <c r="V373">
        <f>SUM(C373:K373)</f>
        <v>22.810000000000002</v>
      </c>
    </row>
    <row r="374" spans="1:22" ht="15.75">
      <c r="A374" s="28" t="s">
        <v>746</v>
      </c>
      <c r="B374" s="28" t="s">
        <v>747</v>
      </c>
      <c r="C374" s="23">
        <v>29.81</v>
      </c>
      <c r="D374" s="23">
        <v>11.66</v>
      </c>
      <c r="E374" s="23" t="s">
        <v>4682</v>
      </c>
      <c r="F374" s="23" t="s">
        <v>4682</v>
      </c>
      <c r="G374" s="23" t="s">
        <v>4682</v>
      </c>
      <c r="H374" s="23">
        <v>0</v>
      </c>
      <c r="I374" s="23" t="s">
        <v>4683</v>
      </c>
      <c r="J374" s="23" t="s">
        <v>4730</v>
      </c>
      <c r="K374" s="23" t="s">
        <v>4735</v>
      </c>
      <c r="L374">
        <v>1999</v>
      </c>
      <c r="M374" s="15" t="s">
        <v>4703</v>
      </c>
      <c r="N374">
        <v>22</v>
      </c>
      <c r="O374">
        <v>2</v>
      </c>
      <c r="P374" s="21">
        <f>DATEVALUE(N374&amp;"-"&amp;M374&amp;"-"&amp;L374)</f>
        <v>36425</v>
      </c>
      <c r="Q374" s="22">
        <v>3500.61</v>
      </c>
      <c r="R374" s="23" t="s">
        <v>4697</v>
      </c>
      <c r="S374" s="23" t="s">
        <v>4697</v>
      </c>
      <c r="T374" s="23" t="s">
        <v>4699</v>
      </c>
      <c r="U374" s="23">
        <f>DATEDIF(P374, DATE(2023, 6, 8), "Y")</f>
        <v>23</v>
      </c>
      <c r="V374">
        <f>SUM(C374:K374)</f>
        <v>41.47</v>
      </c>
    </row>
    <row r="375" spans="1:22" ht="15.75">
      <c r="A375" s="28" t="s">
        <v>748</v>
      </c>
      <c r="B375" s="28" t="s">
        <v>749</v>
      </c>
      <c r="C375" s="23">
        <v>16.329999999999998</v>
      </c>
      <c r="D375" s="23">
        <v>7.26</v>
      </c>
      <c r="E375" s="23" t="s">
        <v>4683</v>
      </c>
      <c r="F375" s="23" t="s">
        <v>4682</v>
      </c>
      <c r="G375" s="23" t="s">
        <v>4682</v>
      </c>
      <c r="H375" s="23">
        <v>0</v>
      </c>
      <c r="I375" s="23" t="s">
        <v>4683</v>
      </c>
      <c r="J375" s="23" t="s">
        <v>4731</v>
      </c>
      <c r="K375" s="23" t="s">
        <v>4735</v>
      </c>
      <c r="L375">
        <v>1998</v>
      </c>
      <c r="M375" s="15" t="s">
        <v>4703</v>
      </c>
      <c r="N375">
        <v>16</v>
      </c>
      <c r="O375">
        <v>2</v>
      </c>
      <c r="P375" s="21">
        <f>DATEVALUE(N375&amp;"-"&amp;M375&amp;"-"&amp;L375)</f>
        <v>36054</v>
      </c>
      <c r="Q375" s="22">
        <v>3537.7</v>
      </c>
      <c r="R375" s="23" t="s">
        <v>4698</v>
      </c>
      <c r="S375" s="23" t="s">
        <v>4698</v>
      </c>
      <c r="T375" s="23" t="s">
        <v>4704</v>
      </c>
      <c r="U375" s="23">
        <f>DATEDIF(P375, DATE(2023, 6, 8), "Y")</f>
        <v>24</v>
      </c>
      <c r="V375">
        <f>SUM(C375:K375)</f>
        <v>23.589999999999996</v>
      </c>
    </row>
    <row r="376" spans="1:22" ht="15.75">
      <c r="A376" s="28" t="s">
        <v>750</v>
      </c>
      <c r="B376" s="28" t="s">
        <v>751</v>
      </c>
      <c r="C376" s="23">
        <v>16.37</v>
      </c>
      <c r="D376" s="23">
        <v>4.79</v>
      </c>
      <c r="E376" s="23" t="s">
        <v>4683</v>
      </c>
      <c r="F376" s="23" t="s">
        <v>4682</v>
      </c>
      <c r="G376" s="23" t="s">
        <v>4682</v>
      </c>
      <c r="H376" s="23">
        <v>0</v>
      </c>
      <c r="I376" s="23" t="s">
        <v>4683</v>
      </c>
      <c r="J376" s="23" t="s">
        <v>4731</v>
      </c>
      <c r="K376" s="23" t="s">
        <v>4737</v>
      </c>
      <c r="L376">
        <v>2003</v>
      </c>
      <c r="M376" s="15" t="s">
        <v>4706</v>
      </c>
      <c r="N376">
        <v>24</v>
      </c>
      <c r="O376">
        <v>0</v>
      </c>
      <c r="P376" s="21">
        <f>DATEVALUE(N376&amp;"-"&amp;M376&amp;"-"&amp;L376)</f>
        <v>37857</v>
      </c>
      <c r="Q376" s="22">
        <v>3538.9</v>
      </c>
      <c r="R376" s="23" t="s">
        <v>4697</v>
      </c>
      <c r="S376" s="23" t="s">
        <v>4697</v>
      </c>
      <c r="T376" s="23" t="s">
        <v>4704</v>
      </c>
      <c r="U376" s="23">
        <f>DATEDIF(P376, DATE(2023, 6, 8), "Y")</f>
        <v>19</v>
      </c>
      <c r="V376">
        <f>SUM(C376:K376)</f>
        <v>21.16</v>
      </c>
    </row>
    <row r="377" spans="1:22" ht="15.75">
      <c r="A377" s="28" t="s">
        <v>752</v>
      </c>
      <c r="B377" s="28" t="s">
        <v>753</v>
      </c>
      <c r="C377" s="23">
        <v>22.42</v>
      </c>
      <c r="D377" s="23">
        <v>4.68</v>
      </c>
      <c r="E377" s="23" t="s">
        <v>4683</v>
      </c>
      <c r="F377" s="23" t="s">
        <v>4682</v>
      </c>
      <c r="G377" s="23" t="s">
        <v>4682</v>
      </c>
      <c r="H377" s="23">
        <v>1</v>
      </c>
      <c r="I377" s="23" t="s">
        <v>4682</v>
      </c>
      <c r="J377" s="23" t="s">
        <v>4728</v>
      </c>
      <c r="K377" s="23" t="s">
        <v>4737</v>
      </c>
      <c r="L377">
        <v>1988</v>
      </c>
      <c r="M377" s="15" t="s">
        <v>4707</v>
      </c>
      <c r="N377">
        <v>15</v>
      </c>
      <c r="O377">
        <v>3</v>
      </c>
      <c r="P377" s="21">
        <f>DATEVALUE(N377&amp;"-"&amp;M377&amp;"-"&amp;L377)</f>
        <v>32431</v>
      </c>
      <c r="Q377" s="22">
        <v>3540.12</v>
      </c>
      <c r="R377" s="23" t="s">
        <v>4697</v>
      </c>
      <c r="S377" s="23" t="s">
        <v>4701</v>
      </c>
      <c r="T377" s="23" t="s">
        <v>4699</v>
      </c>
      <c r="U377" s="23">
        <f>DATEDIF(P377, DATE(2023, 6, 8), "Y")</f>
        <v>34</v>
      </c>
      <c r="V377">
        <f>SUM(C377:K377)</f>
        <v>28.1</v>
      </c>
    </row>
    <row r="378" spans="1:22" ht="15.75">
      <c r="A378" s="28" t="s">
        <v>754</v>
      </c>
      <c r="B378" s="28" t="s">
        <v>755</v>
      </c>
      <c r="C378" s="23">
        <v>31.35</v>
      </c>
      <c r="D378" s="23">
        <v>4.33</v>
      </c>
      <c r="E378" s="23" t="s">
        <v>4683</v>
      </c>
      <c r="F378" s="23" t="s">
        <v>4682</v>
      </c>
      <c r="G378" s="23" t="s">
        <v>4684</v>
      </c>
      <c r="H378" s="23">
        <v>1</v>
      </c>
      <c r="I378" s="23" t="s">
        <v>4682</v>
      </c>
      <c r="J378" s="23" t="s">
        <v>4729</v>
      </c>
      <c r="K378" s="23" t="s">
        <v>4737</v>
      </c>
      <c r="L378">
        <v>1992</v>
      </c>
      <c r="M378" s="15" t="s">
        <v>4705</v>
      </c>
      <c r="N378">
        <v>22</v>
      </c>
      <c r="O378">
        <v>0</v>
      </c>
      <c r="P378" s="21">
        <f>DATEVALUE(N378&amp;"-"&amp;M378&amp;"-"&amp;L378)</f>
        <v>33960</v>
      </c>
      <c r="Q378" s="22">
        <v>3554.2</v>
      </c>
      <c r="R378" s="23" t="s">
        <v>4697</v>
      </c>
      <c r="S378" s="23" t="s">
        <v>4698</v>
      </c>
      <c r="T378" s="23" t="s">
        <v>4708</v>
      </c>
      <c r="U378" s="23">
        <f>DATEDIF(P378, DATE(2023, 6, 8), "Y")</f>
        <v>30</v>
      </c>
      <c r="V378">
        <f>SUM(C378:K378)</f>
        <v>36.68</v>
      </c>
    </row>
    <row r="379" spans="1:22" ht="15.75">
      <c r="A379" s="28" t="s">
        <v>756</v>
      </c>
      <c r="B379" s="28" t="s">
        <v>757</v>
      </c>
      <c r="C379" s="23">
        <v>31.9</v>
      </c>
      <c r="D379" s="23">
        <v>11.89</v>
      </c>
      <c r="E379" s="23" t="s">
        <v>4682</v>
      </c>
      <c r="F379" s="23" t="s">
        <v>4682</v>
      </c>
      <c r="G379" s="23" t="s">
        <v>4682</v>
      </c>
      <c r="H379" s="23">
        <v>0</v>
      </c>
      <c r="I379" s="23" t="s">
        <v>4682</v>
      </c>
      <c r="J379" s="23" t="s">
        <v>4729</v>
      </c>
      <c r="K379" s="23" t="s">
        <v>4735</v>
      </c>
      <c r="L379">
        <v>1994</v>
      </c>
      <c r="M379" s="15" t="s">
        <v>4703</v>
      </c>
      <c r="N379">
        <v>24</v>
      </c>
      <c r="O379">
        <v>0</v>
      </c>
      <c r="P379" s="21">
        <f>DATEVALUE(N379&amp;"-"&amp;M379&amp;"-"&amp;L379)</f>
        <v>34601</v>
      </c>
      <c r="Q379" s="22">
        <v>3556.92</v>
      </c>
      <c r="R379" s="23" t="s">
        <v>4697</v>
      </c>
      <c r="S379" s="23" t="s">
        <v>4698</v>
      </c>
      <c r="T379" s="23" t="s">
        <v>4704</v>
      </c>
      <c r="U379" s="23">
        <f>DATEDIF(P379, DATE(2023, 6, 8), "Y")</f>
        <v>28</v>
      </c>
      <c r="V379">
        <f>SUM(C379:K379)</f>
        <v>43.79</v>
      </c>
    </row>
    <row r="380" spans="1:22" ht="15.75">
      <c r="A380" s="28" t="s">
        <v>758</v>
      </c>
      <c r="B380" s="28" t="s">
        <v>759</v>
      </c>
      <c r="C380" s="23">
        <v>30.6</v>
      </c>
      <c r="D380" s="23">
        <v>5.24</v>
      </c>
      <c r="E380" s="23" t="s">
        <v>4682</v>
      </c>
      <c r="F380" s="23" t="s">
        <v>4682</v>
      </c>
      <c r="G380" s="23" t="s">
        <v>4682</v>
      </c>
      <c r="H380" s="23">
        <v>0</v>
      </c>
      <c r="I380" s="23" t="s">
        <v>4683</v>
      </c>
      <c r="J380" s="23" t="s">
        <v>4729</v>
      </c>
      <c r="K380" s="23" t="s">
        <v>4737</v>
      </c>
      <c r="L380">
        <v>1995</v>
      </c>
      <c r="M380" s="15" t="s">
        <v>4707</v>
      </c>
      <c r="N380">
        <v>9</v>
      </c>
      <c r="O380">
        <v>0</v>
      </c>
      <c r="P380" s="21">
        <f>DATEVALUE(N380&amp;"-"&amp;M380&amp;"-"&amp;L380)</f>
        <v>34981</v>
      </c>
      <c r="Q380" s="22">
        <v>3558.62</v>
      </c>
      <c r="R380" s="23" t="s">
        <v>4697</v>
      </c>
      <c r="S380" s="23" t="s">
        <v>4698</v>
      </c>
      <c r="T380" s="23" t="s">
        <v>4714</v>
      </c>
      <c r="U380" s="23">
        <f>DATEDIF(P380, DATE(2023, 6, 8), "Y")</f>
        <v>27</v>
      </c>
      <c r="V380">
        <f>SUM(C380:K380)</f>
        <v>35.840000000000003</v>
      </c>
    </row>
    <row r="381" spans="1:22" ht="15.75">
      <c r="A381" s="28" t="s">
        <v>760</v>
      </c>
      <c r="B381" s="28" t="s">
        <v>761</v>
      </c>
      <c r="C381" s="23">
        <v>28.975000000000001</v>
      </c>
      <c r="D381" s="23">
        <v>7.63</v>
      </c>
      <c r="E381" s="23" t="s">
        <v>4682</v>
      </c>
      <c r="F381" s="23" t="s">
        <v>4682</v>
      </c>
      <c r="G381" s="23" t="s">
        <v>4682</v>
      </c>
      <c r="H381" s="23">
        <v>0</v>
      </c>
      <c r="I381" s="23" t="s">
        <v>4683</v>
      </c>
      <c r="J381" s="23" t="s">
        <v>4730</v>
      </c>
      <c r="K381" s="23" t="s">
        <v>4735</v>
      </c>
      <c r="L381">
        <v>1995</v>
      </c>
      <c r="M381" s="15" t="s">
        <v>4702</v>
      </c>
      <c r="N381">
        <v>16</v>
      </c>
      <c r="O381">
        <v>1</v>
      </c>
      <c r="P381" s="21">
        <f>DATEVALUE(N381&amp;"-"&amp;M381&amp;"-"&amp;L381)</f>
        <v>34866</v>
      </c>
      <c r="Q381" s="22">
        <v>3561.89</v>
      </c>
      <c r="R381" s="23" t="s">
        <v>4697</v>
      </c>
      <c r="S381" s="23" t="s">
        <v>4701</v>
      </c>
      <c r="T381" s="23" t="s">
        <v>4699</v>
      </c>
      <c r="U381" s="23">
        <f>DATEDIF(P381, DATE(2023, 6, 8), "Y")</f>
        <v>27</v>
      </c>
      <c r="V381">
        <f>SUM(C381:K381)</f>
        <v>36.605000000000004</v>
      </c>
    </row>
    <row r="382" spans="1:22" ht="15.75">
      <c r="A382" s="28" t="s">
        <v>762</v>
      </c>
      <c r="B382" s="28" t="s">
        <v>763</v>
      </c>
      <c r="C382" s="23">
        <v>24.86</v>
      </c>
      <c r="D382" s="23">
        <v>8.92</v>
      </c>
      <c r="E382" s="23" t="s">
        <v>4683</v>
      </c>
      <c r="F382" s="23" t="s">
        <v>4682</v>
      </c>
      <c r="G382" s="23" t="s">
        <v>4682</v>
      </c>
      <c r="H382" s="23">
        <v>2</v>
      </c>
      <c r="I382" s="23" t="s">
        <v>4682</v>
      </c>
      <c r="J382" s="23" t="s">
        <v>4728</v>
      </c>
      <c r="K382" s="23" t="s">
        <v>4735</v>
      </c>
      <c r="L382">
        <v>1981</v>
      </c>
      <c r="M382" s="15" t="s">
        <v>4707</v>
      </c>
      <c r="N382">
        <v>10</v>
      </c>
      <c r="O382">
        <v>1</v>
      </c>
      <c r="P382" s="21">
        <f>DATEVALUE(N382&amp;"-"&amp;M382&amp;"-"&amp;L382)</f>
        <v>29869</v>
      </c>
      <c r="Q382" s="22">
        <v>3562.87</v>
      </c>
      <c r="R382" s="23" t="s">
        <v>4697</v>
      </c>
      <c r="S382" s="23" t="s">
        <v>4701</v>
      </c>
      <c r="T382" s="23" t="s">
        <v>4699</v>
      </c>
      <c r="U382" s="23">
        <f>DATEDIF(P382, DATE(2023, 6, 8), "Y")</f>
        <v>41</v>
      </c>
      <c r="V382">
        <f>SUM(C382:K382)</f>
        <v>35.78</v>
      </c>
    </row>
    <row r="383" spans="1:22" ht="15.75">
      <c r="A383" s="28" t="s">
        <v>764</v>
      </c>
      <c r="B383" s="28" t="s">
        <v>765</v>
      </c>
      <c r="C383" s="23">
        <v>19.54</v>
      </c>
      <c r="D383" s="23">
        <v>5.37</v>
      </c>
      <c r="E383" s="23" t="s">
        <v>4682</v>
      </c>
      <c r="F383" s="23" t="s">
        <v>4682</v>
      </c>
      <c r="G383" s="23" t="s">
        <v>4682</v>
      </c>
      <c r="H383" s="23">
        <v>0</v>
      </c>
      <c r="I383" s="23" t="s">
        <v>4683</v>
      </c>
      <c r="J383" s="23" t="s">
        <v>4728</v>
      </c>
      <c r="K383" s="23" t="s">
        <v>4737</v>
      </c>
      <c r="L383">
        <v>1988</v>
      </c>
      <c r="M383" s="15" t="s">
        <v>4706</v>
      </c>
      <c r="N383">
        <v>18</v>
      </c>
      <c r="O383">
        <v>3</v>
      </c>
      <c r="P383" s="21">
        <f>DATEVALUE(N383&amp;"-"&amp;M383&amp;"-"&amp;L383)</f>
        <v>32373</v>
      </c>
      <c r="Q383" s="22">
        <v>3569.96</v>
      </c>
      <c r="R383" s="23" t="s">
        <v>4697</v>
      </c>
      <c r="S383" s="23" t="s">
        <v>4701</v>
      </c>
      <c r="T383" s="23" t="s">
        <v>4704</v>
      </c>
      <c r="U383" s="23">
        <f>DATEDIF(P383, DATE(2023, 6, 8), "Y")</f>
        <v>34</v>
      </c>
      <c r="V383">
        <f>SUM(C383:K383)</f>
        <v>24.91</v>
      </c>
    </row>
    <row r="384" spans="1:22" ht="15.75">
      <c r="A384" s="28" t="s">
        <v>766</v>
      </c>
      <c r="B384" s="28" t="s">
        <v>767</v>
      </c>
      <c r="C384" s="23">
        <v>26.74</v>
      </c>
      <c r="D384" s="23">
        <v>4.3099999999999996</v>
      </c>
      <c r="E384" s="23" t="s">
        <v>4682</v>
      </c>
      <c r="F384" s="23" t="s">
        <v>4682</v>
      </c>
      <c r="G384" s="23" t="s">
        <v>4682</v>
      </c>
      <c r="H384" s="23">
        <v>0</v>
      </c>
      <c r="I384" s="23" t="s">
        <v>4683</v>
      </c>
      <c r="J384" s="23" t="s">
        <v>4730</v>
      </c>
      <c r="K384" s="23" t="s">
        <v>4737</v>
      </c>
      <c r="L384">
        <v>1995</v>
      </c>
      <c r="M384" s="15" t="s">
        <v>4706</v>
      </c>
      <c r="N384">
        <v>23</v>
      </c>
      <c r="O384">
        <v>1</v>
      </c>
      <c r="P384" s="21">
        <f>DATEVALUE(N384&amp;"-"&amp;M384&amp;"-"&amp;L384)</f>
        <v>34934</v>
      </c>
      <c r="Q384" s="22">
        <v>3578</v>
      </c>
      <c r="R384" s="23" t="s">
        <v>4697</v>
      </c>
      <c r="S384" s="23" t="s">
        <v>4698</v>
      </c>
      <c r="T384" s="23" t="s">
        <v>4708</v>
      </c>
      <c r="U384" s="23">
        <f>DATEDIF(P384, DATE(2023, 6, 8), "Y")</f>
        <v>27</v>
      </c>
      <c r="V384">
        <f>SUM(C384:K384)</f>
        <v>31.049999999999997</v>
      </c>
    </row>
    <row r="385" spans="1:22" ht="15.75">
      <c r="A385" s="28" t="s">
        <v>768</v>
      </c>
      <c r="B385" s="28" t="s">
        <v>769</v>
      </c>
      <c r="C385" s="23">
        <v>22.99</v>
      </c>
      <c r="D385" s="23">
        <v>10.46</v>
      </c>
      <c r="E385" s="23" t="s">
        <v>4682</v>
      </c>
      <c r="F385" s="23" t="s">
        <v>4682</v>
      </c>
      <c r="G385" s="23" t="s">
        <v>4682</v>
      </c>
      <c r="H385" s="23">
        <v>3</v>
      </c>
      <c r="I385" s="23" t="s">
        <v>4683</v>
      </c>
      <c r="J385" s="23" t="s">
        <v>4728</v>
      </c>
      <c r="K385" s="23" t="s">
        <v>4735</v>
      </c>
      <c r="L385">
        <v>2001</v>
      </c>
      <c r="M385" s="15" t="s">
        <v>4700</v>
      </c>
      <c r="N385">
        <v>11</v>
      </c>
      <c r="O385">
        <v>2</v>
      </c>
      <c r="P385" s="21">
        <f>DATEVALUE(N385&amp;"-"&amp;M385&amp;"-"&amp;L385)</f>
        <v>37206</v>
      </c>
      <c r="Q385" s="22">
        <v>3579.83</v>
      </c>
      <c r="R385" s="23" t="s">
        <v>4697</v>
      </c>
      <c r="S385" s="23" t="s">
        <v>4697</v>
      </c>
      <c r="T385" s="23" t="s">
        <v>4704</v>
      </c>
      <c r="U385" s="23">
        <f>DATEDIF(P385, DATE(2023, 6, 8), "Y")</f>
        <v>21</v>
      </c>
      <c r="V385">
        <f>SUM(C385:K385)</f>
        <v>36.450000000000003</v>
      </c>
    </row>
    <row r="386" spans="1:22" ht="15.75">
      <c r="A386" s="28" t="s">
        <v>770</v>
      </c>
      <c r="B386" s="28" t="s">
        <v>771</v>
      </c>
      <c r="C386" s="23">
        <v>31.46</v>
      </c>
      <c r="D386" s="23">
        <v>7.39</v>
      </c>
      <c r="E386" s="23" t="s">
        <v>4682</v>
      </c>
      <c r="F386" s="23" t="s">
        <v>4682</v>
      </c>
      <c r="G386" s="23" t="s">
        <v>4682</v>
      </c>
      <c r="H386" s="23">
        <v>0</v>
      </c>
      <c r="I386" s="23" t="s">
        <v>4682</v>
      </c>
      <c r="J386" s="23" t="s">
        <v>4729</v>
      </c>
      <c r="K386" s="23" t="s">
        <v>4735</v>
      </c>
      <c r="L386">
        <v>1986</v>
      </c>
      <c r="M386" s="15" t="s">
        <v>4705</v>
      </c>
      <c r="N386">
        <v>27</v>
      </c>
      <c r="O386">
        <v>3</v>
      </c>
      <c r="P386" s="21">
        <f>DATEVALUE(N386&amp;"-"&amp;M386&amp;"-"&amp;L386)</f>
        <v>31773</v>
      </c>
      <c r="Q386" s="22">
        <v>3589.14</v>
      </c>
      <c r="R386" s="23" t="s">
        <v>4697</v>
      </c>
      <c r="S386" s="23" t="s">
        <v>4697</v>
      </c>
      <c r="T386" s="23" t="s">
        <v>4699</v>
      </c>
      <c r="U386" s="23">
        <f>DATEDIF(P386, DATE(2023, 6, 8), "Y")</f>
        <v>36</v>
      </c>
      <c r="V386">
        <f>SUM(C386:K386)</f>
        <v>38.85</v>
      </c>
    </row>
    <row r="387" spans="1:22" ht="15.75">
      <c r="A387" s="28" t="s">
        <v>772</v>
      </c>
      <c r="B387" s="28" t="s">
        <v>773</v>
      </c>
      <c r="C387" s="23">
        <v>30.86</v>
      </c>
      <c r="D387" s="23">
        <v>6.18</v>
      </c>
      <c r="E387" s="23" t="s">
        <v>4682</v>
      </c>
      <c r="F387" s="23" t="s">
        <v>4683</v>
      </c>
      <c r="G387" s="23" t="s">
        <v>4682</v>
      </c>
      <c r="H387" s="23">
        <v>2</v>
      </c>
      <c r="I387" s="23" t="s">
        <v>4683</v>
      </c>
      <c r="J387" s="23" t="s">
        <v>4729</v>
      </c>
      <c r="K387" s="23" t="s">
        <v>4736</v>
      </c>
      <c r="L387">
        <v>1999</v>
      </c>
      <c r="M387" s="15" t="s">
        <v>4702</v>
      </c>
      <c r="N387">
        <v>6</v>
      </c>
      <c r="O387">
        <v>3</v>
      </c>
      <c r="P387" s="21">
        <f>DATEVALUE(N387&amp;"-"&amp;M387&amp;"-"&amp;L387)</f>
        <v>36317</v>
      </c>
      <c r="Q387" s="22">
        <v>3591.48</v>
      </c>
      <c r="R387" s="23" t="s">
        <v>4697</v>
      </c>
      <c r="S387" s="23" t="s">
        <v>4698</v>
      </c>
      <c r="T387" s="23" t="s">
        <v>4708</v>
      </c>
      <c r="U387" s="23">
        <f>DATEDIF(P387, DATE(2023, 6, 8), "Y")</f>
        <v>24</v>
      </c>
      <c r="V387">
        <f>SUM(C387:K387)</f>
        <v>39.04</v>
      </c>
    </row>
    <row r="388" spans="1:22" ht="15.75">
      <c r="A388" s="28" t="s">
        <v>774</v>
      </c>
      <c r="B388" s="28" t="s">
        <v>775</v>
      </c>
      <c r="C388" s="23">
        <v>31.96</v>
      </c>
      <c r="D388" s="23">
        <v>8.86</v>
      </c>
      <c r="E388" s="23" t="s">
        <v>4682</v>
      </c>
      <c r="F388" s="23" t="s">
        <v>4682</v>
      </c>
      <c r="G388" s="23" t="s">
        <v>4682</v>
      </c>
      <c r="H388" s="23">
        <v>0</v>
      </c>
      <c r="I388" s="23" t="s">
        <v>4683</v>
      </c>
      <c r="J388" s="23" t="s">
        <v>4729</v>
      </c>
      <c r="K388" s="23" t="s">
        <v>4735</v>
      </c>
      <c r="L388">
        <v>1997</v>
      </c>
      <c r="M388" s="15" t="s">
        <v>4700</v>
      </c>
      <c r="N388">
        <v>4</v>
      </c>
      <c r="O388">
        <v>1</v>
      </c>
      <c r="P388" s="21">
        <f>DATEVALUE(N388&amp;"-"&amp;M388&amp;"-"&amp;L388)</f>
        <v>35738</v>
      </c>
      <c r="Q388" s="22">
        <v>3594.17</v>
      </c>
      <c r="R388" s="23" t="s">
        <v>4697</v>
      </c>
      <c r="S388" s="23" t="s">
        <v>4697</v>
      </c>
      <c r="T388" s="23" t="s">
        <v>4704</v>
      </c>
      <c r="U388" s="23">
        <f>DATEDIF(P388, DATE(2023, 6, 8), "Y")</f>
        <v>25</v>
      </c>
      <c r="V388">
        <f>SUM(C388:K388)</f>
        <v>40.82</v>
      </c>
    </row>
    <row r="389" spans="1:22" ht="15.75">
      <c r="A389" s="28" t="s">
        <v>776</v>
      </c>
      <c r="B389" s="28" t="s">
        <v>777</v>
      </c>
      <c r="C389" s="23">
        <v>23.76</v>
      </c>
      <c r="D389" s="23">
        <v>10.96</v>
      </c>
      <c r="E389" s="23" t="s">
        <v>4682</v>
      </c>
      <c r="F389" s="23" t="s">
        <v>4682</v>
      </c>
      <c r="G389" s="23" t="s">
        <v>4682</v>
      </c>
      <c r="H389" s="23">
        <v>3</v>
      </c>
      <c r="I389" s="23" t="s">
        <v>4683</v>
      </c>
      <c r="J389" s="23" t="s">
        <v>4728</v>
      </c>
      <c r="K389" s="23" t="s">
        <v>4735</v>
      </c>
      <c r="L389">
        <v>1999</v>
      </c>
      <c r="M389" s="15" t="s">
        <v>4706</v>
      </c>
      <c r="N389">
        <v>12</v>
      </c>
      <c r="O389">
        <v>3</v>
      </c>
      <c r="P389" s="21">
        <f>DATEVALUE(N389&amp;"-"&amp;M389&amp;"-"&amp;L389)</f>
        <v>36384</v>
      </c>
      <c r="Q389" s="22">
        <v>3597.6</v>
      </c>
      <c r="R389" s="23" t="s">
        <v>4697</v>
      </c>
      <c r="S389" s="23" t="s">
        <v>4697</v>
      </c>
      <c r="T389" s="23" t="s">
        <v>4708</v>
      </c>
      <c r="U389" s="23">
        <f>DATEDIF(P389, DATE(2023, 6, 8), "Y")</f>
        <v>23</v>
      </c>
      <c r="V389">
        <f>SUM(C389:K389)</f>
        <v>37.72</v>
      </c>
    </row>
    <row r="390" spans="1:22" ht="15.75">
      <c r="A390" s="28" t="s">
        <v>778</v>
      </c>
      <c r="B390" s="28" t="s">
        <v>779</v>
      </c>
      <c r="C390" s="23">
        <v>19.38</v>
      </c>
      <c r="D390" s="23">
        <v>6.28</v>
      </c>
      <c r="E390" s="23" t="s">
        <v>4682</v>
      </c>
      <c r="F390" s="23" t="s">
        <v>4682</v>
      </c>
      <c r="G390" s="23" t="s">
        <v>4682</v>
      </c>
      <c r="H390" s="23">
        <v>0</v>
      </c>
      <c r="I390" s="23" t="s">
        <v>4683</v>
      </c>
      <c r="J390" s="23" t="s">
        <v>4728</v>
      </c>
      <c r="K390" s="23" t="s">
        <v>4736</v>
      </c>
      <c r="L390">
        <v>1988</v>
      </c>
      <c r="M390" s="15" t="s">
        <v>4700</v>
      </c>
      <c r="N390">
        <v>4</v>
      </c>
      <c r="O390">
        <v>3</v>
      </c>
      <c r="P390" s="21">
        <f>DATEVALUE(N390&amp;"-"&amp;M390&amp;"-"&amp;L390)</f>
        <v>32451</v>
      </c>
      <c r="Q390" s="22">
        <v>3603.6</v>
      </c>
      <c r="R390" s="23" t="s">
        <v>4697</v>
      </c>
      <c r="S390" s="23" t="s">
        <v>4701</v>
      </c>
      <c r="T390" s="23" t="s">
        <v>4699</v>
      </c>
      <c r="U390" s="23">
        <f>DATEDIF(P390, DATE(2023, 6, 8), "Y")</f>
        <v>34</v>
      </c>
      <c r="V390">
        <f>SUM(C390:K390)</f>
        <v>25.66</v>
      </c>
    </row>
    <row r="391" spans="1:22" ht="15.75">
      <c r="A391" s="28" t="s">
        <v>780</v>
      </c>
      <c r="B391" s="28" t="s">
        <v>781</v>
      </c>
      <c r="C391" s="23">
        <v>16.21</v>
      </c>
      <c r="D391" s="23">
        <v>6.29</v>
      </c>
      <c r="E391" s="23" t="s">
        <v>4683</v>
      </c>
      <c r="F391" s="23" t="s">
        <v>4682</v>
      </c>
      <c r="G391" s="23" t="s">
        <v>4682</v>
      </c>
      <c r="H391" s="23">
        <v>1</v>
      </c>
      <c r="I391" s="23" t="s">
        <v>4683</v>
      </c>
      <c r="J391" s="23" t="s">
        <v>4731</v>
      </c>
      <c r="K391" s="23" t="s">
        <v>4736</v>
      </c>
      <c r="L391">
        <v>1990</v>
      </c>
      <c r="M391" s="15" t="s">
        <v>4707</v>
      </c>
      <c r="N391">
        <v>11</v>
      </c>
      <c r="O391">
        <v>3</v>
      </c>
      <c r="P391" s="21">
        <f>DATEVALUE(N391&amp;"-"&amp;M391&amp;"-"&amp;L391)</f>
        <v>33157</v>
      </c>
      <c r="Q391" s="22">
        <v>3606.43</v>
      </c>
      <c r="R391" s="23" t="s">
        <v>4697</v>
      </c>
      <c r="S391" s="23" t="s">
        <v>4701</v>
      </c>
      <c r="T391" s="23" t="s">
        <v>4699</v>
      </c>
      <c r="U391" s="23">
        <f>DATEDIF(P391, DATE(2023, 6, 8), "Y")</f>
        <v>32</v>
      </c>
      <c r="V391">
        <f>SUM(C391:K391)</f>
        <v>23.5</v>
      </c>
    </row>
    <row r="392" spans="1:22" ht="15.75">
      <c r="A392" s="28" t="s">
        <v>782</v>
      </c>
      <c r="B392" s="28" t="s">
        <v>783</v>
      </c>
      <c r="C392" s="23">
        <v>32.54</v>
      </c>
      <c r="D392" s="23">
        <v>4.0199999999999996</v>
      </c>
      <c r="E392" s="23" t="s">
        <v>4682</v>
      </c>
      <c r="F392" s="23" t="s">
        <v>4683</v>
      </c>
      <c r="G392" s="23" t="s">
        <v>4682</v>
      </c>
      <c r="H392" s="23">
        <v>1</v>
      </c>
      <c r="I392" s="23" t="s">
        <v>4683</v>
      </c>
      <c r="J392" s="23" t="s">
        <v>4729</v>
      </c>
      <c r="K392" s="23" t="s">
        <v>4737</v>
      </c>
      <c r="L392">
        <v>1985</v>
      </c>
      <c r="M392" s="15" t="s">
        <v>4702</v>
      </c>
      <c r="N392">
        <v>14</v>
      </c>
      <c r="O392">
        <v>3</v>
      </c>
      <c r="P392" s="21">
        <f>DATEVALUE(N392&amp;"-"&amp;M392&amp;"-"&amp;L392)</f>
        <v>31212</v>
      </c>
      <c r="Q392" s="22">
        <v>3622.13</v>
      </c>
      <c r="R392" s="23" t="s">
        <v>4697</v>
      </c>
      <c r="S392" s="23" t="s">
        <v>4701</v>
      </c>
      <c r="T392" s="23" t="s">
        <v>4699</v>
      </c>
      <c r="U392" s="23">
        <f>DATEDIF(P392, DATE(2023, 6, 8), "Y")</f>
        <v>37</v>
      </c>
      <c r="V392">
        <f>SUM(C392:K392)</f>
        <v>37.56</v>
      </c>
    </row>
    <row r="393" spans="1:22" ht="15.75">
      <c r="A393" s="28" t="s">
        <v>784</v>
      </c>
      <c r="B393" s="28" t="s">
        <v>785</v>
      </c>
      <c r="C393" s="23">
        <v>36.765000000000001</v>
      </c>
      <c r="D393" s="23">
        <v>11.95</v>
      </c>
      <c r="E393" s="23" t="s">
        <v>4683</v>
      </c>
      <c r="F393" s="23" t="s">
        <v>4682</v>
      </c>
      <c r="G393" s="23" t="s">
        <v>4682</v>
      </c>
      <c r="H393" s="23">
        <v>2</v>
      </c>
      <c r="I393" s="23" t="s">
        <v>4682</v>
      </c>
      <c r="J393" s="23" t="s">
        <v>4729</v>
      </c>
      <c r="K393" s="23" t="s">
        <v>4735</v>
      </c>
      <c r="L393">
        <v>1992</v>
      </c>
      <c r="M393" s="15" t="s">
        <v>4700</v>
      </c>
      <c r="N393">
        <v>17</v>
      </c>
      <c r="O393">
        <v>0</v>
      </c>
      <c r="P393" s="21">
        <f>DATEVALUE(N393&amp;"-"&amp;M393&amp;"-"&amp;L393)</f>
        <v>33925</v>
      </c>
      <c r="Q393" s="22">
        <v>3645.09</v>
      </c>
      <c r="R393" s="23" t="s">
        <v>4701</v>
      </c>
      <c r="S393" s="23" t="s">
        <v>4697</v>
      </c>
      <c r="T393" s="23" t="s">
        <v>4716</v>
      </c>
      <c r="U393" s="23">
        <f>DATEDIF(P393, DATE(2023, 6, 8), "Y")</f>
        <v>30</v>
      </c>
      <c r="V393">
        <f>SUM(C393:K393)</f>
        <v>50.715000000000003</v>
      </c>
    </row>
    <row r="394" spans="1:22" ht="15.75">
      <c r="A394" s="28" t="s">
        <v>786</v>
      </c>
      <c r="B394" s="28" t="s">
        <v>787</v>
      </c>
      <c r="C394" s="23">
        <v>35.909999999999997</v>
      </c>
      <c r="D394" s="23">
        <v>8.7100000000000009</v>
      </c>
      <c r="E394" s="23" t="s">
        <v>4682</v>
      </c>
      <c r="F394" s="23" t="s">
        <v>4682</v>
      </c>
      <c r="G394" s="23" t="s">
        <v>4682</v>
      </c>
      <c r="H394" s="23">
        <v>0</v>
      </c>
      <c r="I394" s="23" t="s">
        <v>4682</v>
      </c>
      <c r="J394" s="23" t="s">
        <v>4729</v>
      </c>
      <c r="K394" s="23" t="s">
        <v>4735</v>
      </c>
      <c r="L394">
        <v>1990</v>
      </c>
      <c r="M394" s="15" t="s">
        <v>4700</v>
      </c>
      <c r="N394">
        <v>8</v>
      </c>
      <c r="O394">
        <v>3</v>
      </c>
      <c r="P394" s="21">
        <f>DATEVALUE(N394&amp;"-"&amp;M394&amp;"-"&amp;L394)</f>
        <v>33185</v>
      </c>
      <c r="Q394" s="22">
        <v>3653.29</v>
      </c>
      <c r="R394" s="23" t="s">
        <v>4697</v>
      </c>
      <c r="S394" s="23" t="s">
        <v>4698</v>
      </c>
      <c r="T394" s="23" t="s">
        <v>4708</v>
      </c>
      <c r="U394" s="23">
        <f>DATEDIF(P394, DATE(2023, 6, 8), "Y")</f>
        <v>32</v>
      </c>
      <c r="V394">
        <f>SUM(C394:K394)</f>
        <v>44.62</v>
      </c>
    </row>
    <row r="395" spans="1:22" ht="15.75">
      <c r="A395" s="28" t="s">
        <v>788</v>
      </c>
      <c r="B395" s="28" t="s">
        <v>789</v>
      </c>
      <c r="C395" s="23">
        <v>32.06</v>
      </c>
      <c r="D395" s="23">
        <v>4.67</v>
      </c>
      <c r="E395" s="23" t="s">
        <v>4682</v>
      </c>
      <c r="F395" s="23" t="s">
        <v>4683</v>
      </c>
      <c r="G395" s="23" t="s">
        <v>4682</v>
      </c>
      <c r="H395" s="23">
        <v>1</v>
      </c>
      <c r="I395" s="23" t="s">
        <v>4683</v>
      </c>
      <c r="J395" s="23" t="s">
        <v>4729</v>
      </c>
      <c r="K395" s="23" t="s">
        <v>4737</v>
      </c>
      <c r="L395">
        <v>1992</v>
      </c>
      <c r="M395" s="15" t="s">
        <v>4703</v>
      </c>
      <c r="N395">
        <v>14</v>
      </c>
      <c r="O395">
        <v>1</v>
      </c>
      <c r="P395" s="21">
        <f>DATEVALUE(N395&amp;"-"&amp;M395&amp;"-"&amp;L395)</f>
        <v>33861</v>
      </c>
      <c r="Q395" s="22">
        <v>3659.35</v>
      </c>
      <c r="R395" s="23" t="s">
        <v>4698</v>
      </c>
      <c r="S395" s="23" t="s">
        <v>4701</v>
      </c>
      <c r="T395" s="23" t="s">
        <v>4708</v>
      </c>
      <c r="U395" s="23">
        <f>DATEDIF(P395, DATE(2023, 6, 8), "Y")</f>
        <v>30</v>
      </c>
      <c r="V395">
        <f>SUM(C395:K395)</f>
        <v>37.730000000000004</v>
      </c>
    </row>
    <row r="396" spans="1:22" ht="15.75">
      <c r="A396" s="28" t="s">
        <v>790</v>
      </c>
      <c r="B396" s="28" t="s">
        <v>791</v>
      </c>
      <c r="C396" s="23">
        <v>24.1</v>
      </c>
      <c r="D396" s="23">
        <v>11.14</v>
      </c>
      <c r="E396" s="23" t="s">
        <v>4683</v>
      </c>
      <c r="F396" s="23" t="s">
        <v>4682</v>
      </c>
      <c r="G396" s="23" t="s">
        <v>4682</v>
      </c>
      <c r="H396" s="23">
        <v>1</v>
      </c>
      <c r="I396" s="23" t="s">
        <v>4682</v>
      </c>
      <c r="J396" s="23" t="s">
        <v>4728</v>
      </c>
      <c r="K396" s="23" t="s">
        <v>4735</v>
      </c>
      <c r="L396">
        <v>1984</v>
      </c>
      <c r="M396" s="15" t="s">
        <v>4696</v>
      </c>
      <c r="N396">
        <v>6</v>
      </c>
      <c r="O396">
        <v>3</v>
      </c>
      <c r="P396" s="21">
        <f>DATEVALUE(N396&amp;"-"&amp;M396&amp;"-"&amp;L396)</f>
        <v>30869</v>
      </c>
      <c r="Q396" s="22">
        <v>3678.86</v>
      </c>
      <c r="R396" s="23" t="s">
        <v>4697</v>
      </c>
      <c r="S396" s="23" t="s">
        <v>4698</v>
      </c>
      <c r="T396" s="23" t="s">
        <v>4699</v>
      </c>
      <c r="U396" s="23">
        <f>DATEDIF(P396, DATE(2023, 6, 8), "Y")</f>
        <v>38</v>
      </c>
      <c r="V396">
        <f>SUM(C396:K396)</f>
        <v>36.24</v>
      </c>
    </row>
    <row r="397" spans="1:22" ht="15.75">
      <c r="A397" s="28" t="s">
        <v>792</v>
      </c>
      <c r="B397" s="28" t="s">
        <v>793</v>
      </c>
      <c r="C397" s="23">
        <v>27.1</v>
      </c>
      <c r="D397" s="23">
        <v>9.0500000000000007</v>
      </c>
      <c r="E397" s="23" t="s">
        <v>4682</v>
      </c>
      <c r="F397" s="23" t="s">
        <v>4682</v>
      </c>
      <c r="G397" s="23" t="s">
        <v>4682</v>
      </c>
      <c r="H397" s="23">
        <v>2</v>
      </c>
      <c r="I397" s="23" t="s">
        <v>4682</v>
      </c>
      <c r="J397" s="23" t="s">
        <v>4730</v>
      </c>
      <c r="K397" s="23" t="s">
        <v>4735</v>
      </c>
      <c r="L397">
        <v>2003</v>
      </c>
      <c r="M397" s="15" t="s">
        <v>4696</v>
      </c>
      <c r="N397">
        <v>10</v>
      </c>
      <c r="O397">
        <v>0</v>
      </c>
      <c r="P397" s="21">
        <f>DATEVALUE(N397&amp;"-"&amp;M397&amp;"-"&amp;L397)</f>
        <v>37812</v>
      </c>
      <c r="Q397" s="22">
        <v>3688.35</v>
      </c>
      <c r="R397" s="23" t="s">
        <v>4697</v>
      </c>
      <c r="S397" s="23" t="s">
        <v>4697</v>
      </c>
      <c r="T397" s="23" t="s">
        <v>4717</v>
      </c>
      <c r="U397" s="23">
        <f>DATEDIF(P397, DATE(2023, 6, 8), "Y")</f>
        <v>19</v>
      </c>
      <c r="V397">
        <f>SUM(C397:K397)</f>
        <v>38.150000000000006</v>
      </c>
    </row>
    <row r="398" spans="1:22" ht="15.75">
      <c r="A398" s="28" t="s">
        <v>794</v>
      </c>
      <c r="B398" s="28" t="s">
        <v>795</v>
      </c>
      <c r="C398" s="23">
        <v>24.42</v>
      </c>
      <c r="D398" s="23">
        <v>11.31</v>
      </c>
      <c r="E398" s="23" t="s">
        <v>4682</v>
      </c>
      <c r="F398" s="23" t="s">
        <v>4682</v>
      </c>
      <c r="G398" s="23" t="s">
        <v>4682</v>
      </c>
      <c r="H398" s="23">
        <v>0</v>
      </c>
      <c r="I398" s="23" t="s">
        <v>4683</v>
      </c>
      <c r="J398" s="23" t="s">
        <v>4728</v>
      </c>
      <c r="K398" s="23" t="s">
        <v>4735</v>
      </c>
      <c r="L398">
        <v>1981</v>
      </c>
      <c r="M398" s="15" t="s">
        <v>4705</v>
      </c>
      <c r="N398">
        <v>14</v>
      </c>
      <c r="O398">
        <v>1</v>
      </c>
      <c r="P398" s="21">
        <f>DATEVALUE(N398&amp;"-"&amp;M398&amp;"-"&amp;L398)</f>
        <v>29934</v>
      </c>
      <c r="Q398" s="22">
        <v>3688.38</v>
      </c>
      <c r="R398" s="23" t="s">
        <v>4697</v>
      </c>
      <c r="S398" s="23" t="s">
        <v>4697</v>
      </c>
      <c r="T398" s="23" t="s">
        <v>4699</v>
      </c>
      <c r="U398" s="23">
        <f>DATEDIF(P398, DATE(2023, 6, 8), "Y")</f>
        <v>41</v>
      </c>
      <c r="V398">
        <f>SUM(C398:K398)</f>
        <v>35.730000000000004</v>
      </c>
    </row>
    <row r="399" spans="1:22" ht="15.75">
      <c r="A399" s="28" t="s">
        <v>796</v>
      </c>
      <c r="B399" s="28" t="s">
        <v>797</v>
      </c>
      <c r="C399" s="23">
        <v>26.695</v>
      </c>
      <c r="D399" s="23">
        <v>4.68</v>
      </c>
      <c r="E399" s="23" t="s">
        <v>4683</v>
      </c>
      <c r="F399" s="23" t="s">
        <v>4682</v>
      </c>
      <c r="G399" s="23" t="s">
        <v>4682</v>
      </c>
      <c r="H399" s="23">
        <v>2</v>
      </c>
      <c r="I399" s="23" t="s">
        <v>4683</v>
      </c>
      <c r="J399" s="23" t="s">
        <v>4730</v>
      </c>
      <c r="K399" s="23" t="s">
        <v>4737</v>
      </c>
      <c r="L399">
        <v>1995</v>
      </c>
      <c r="M399" s="15" t="s">
        <v>4707</v>
      </c>
      <c r="N399">
        <v>21</v>
      </c>
      <c r="O399">
        <v>2</v>
      </c>
      <c r="P399" s="21">
        <f>DATEVALUE(N399&amp;"-"&amp;M399&amp;"-"&amp;L399)</f>
        <v>34993</v>
      </c>
      <c r="Q399" s="22">
        <v>3693.43</v>
      </c>
      <c r="R399" s="23" t="s">
        <v>4697</v>
      </c>
      <c r="S399" s="23" t="s">
        <v>4698</v>
      </c>
      <c r="T399" s="23" t="s">
        <v>4708</v>
      </c>
      <c r="U399" s="23">
        <f>DATEDIF(P399, DATE(2023, 6, 8), "Y")</f>
        <v>27</v>
      </c>
      <c r="V399">
        <f>SUM(C399:K399)</f>
        <v>33.375</v>
      </c>
    </row>
    <row r="400" spans="1:22" ht="15.75">
      <c r="A400" s="28" t="s">
        <v>798</v>
      </c>
      <c r="B400" s="28" t="s">
        <v>799</v>
      </c>
      <c r="C400" s="23">
        <v>27.79</v>
      </c>
      <c r="D400" s="23">
        <v>6.05</v>
      </c>
      <c r="E400" s="23" t="s">
        <v>4683</v>
      </c>
      <c r="F400" s="23" t="s">
        <v>4683</v>
      </c>
      <c r="G400" s="23" t="s">
        <v>4682</v>
      </c>
      <c r="H400" s="23">
        <v>1</v>
      </c>
      <c r="I400" s="23" t="s">
        <v>4683</v>
      </c>
      <c r="J400" s="23" t="s">
        <v>4730</v>
      </c>
      <c r="K400" s="23" t="s">
        <v>4736</v>
      </c>
      <c r="L400">
        <v>1988</v>
      </c>
      <c r="M400" s="15" t="s">
        <v>4706</v>
      </c>
      <c r="N400">
        <v>18</v>
      </c>
      <c r="O400">
        <v>3</v>
      </c>
      <c r="P400" s="21">
        <f>DATEVALUE(N400&amp;"-"&amp;M400&amp;"-"&amp;L400)</f>
        <v>32373</v>
      </c>
      <c r="Q400" s="22">
        <v>3699.54</v>
      </c>
      <c r="R400" s="23" t="s">
        <v>4697</v>
      </c>
      <c r="S400" s="23" t="s">
        <v>4698</v>
      </c>
      <c r="T400" s="23" t="s">
        <v>4699</v>
      </c>
      <c r="U400" s="23">
        <f>DATEDIF(P400, DATE(2023, 6, 8), "Y")</f>
        <v>34</v>
      </c>
      <c r="V400">
        <f>SUM(C400:K400)</f>
        <v>34.839999999999996</v>
      </c>
    </row>
    <row r="401" spans="1:22" ht="15.75">
      <c r="A401" s="28" t="s">
        <v>800</v>
      </c>
      <c r="B401" s="28" t="s">
        <v>801</v>
      </c>
      <c r="C401" s="23">
        <v>32.68</v>
      </c>
      <c r="D401" s="23">
        <v>4.68</v>
      </c>
      <c r="E401" s="23" t="s">
        <v>4683</v>
      </c>
      <c r="F401" s="23" t="s">
        <v>4682</v>
      </c>
      <c r="G401" s="23" t="s">
        <v>4682</v>
      </c>
      <c r="H401" s="23">
        <v>0</v>
      </c>
      <c r="I401" s="23" t="s">
        <v>4682</v>
      </c>
      <c r="J401" s="23" t="s">
        <v>4729</v>
      </c>
      <c r="K401" s="23" t="s">
        <v>4737</v>
      </c>
      <c r="L401">
        <v>1989</v>
      </c>
      <c r="M401" s="15" t="s">
        <v>4705</v>
      </c>
      <c r="N401">
        <v>2</v>
      </c>
      <c r="O401">
        <v>0</v>
      </c>
      <c r="P401" s="21">
        <f>DATEVALUE(N401&amp;"-"&amp;M401&amp;"-"&amp;L401)</f>
        <v>32844</v>
      </c>
      <c r="Q401" s="22">
        <v>3704.35</v>
      </c>
      <c r="R401" s="23" t="s">
        <v>4697</v>
      </c>
      <c r="S401" s="23" t="s">
        <v>4697</v>
      </c>
      <c r="T401" s="23" t="s">
        <v>4699</v>
      </c>
      <c r="U401" s="23">
        <f>DATEDIF(P401, DATE(2023, 6, 8), "Y")</f>
        <v>33</v>
      </c>
      <c r="V401">
        <f>SUM(C401:K401)</f>
        <v>37.36</v>
      </c>
    </row>
    <row r="402" spans="1:22" ht="15.75">
      <c r="A402" s="28" t="s">
        <v>802</v>
      </c>
      <c r="B402" s="28" t="s">
        <v>803</v>
      </c>
      <c r="C402" s="23">
        <v>26.4</v>
      </c>
      <c r="D402" s="23">
        <v>9.5</v>
      </c>
      <c r="E402" s="23" t="s">
        <v>4683</v>
      </c>
      <c r="F402" s="23" t="s">
        <v>4682</v>
      </c>
      <c r="G402" s="23" t="s">
        <v>4682</v>
      </c>
      <c r="H402" s="23">
        <v>2</v>
      </c>
      <c r="I402" s="23" t="s">
        <v>4682</v>
      </c>
      <c r="J402" s="23" t="s">
        <v>4730</v>
      </c>
      <c r="K402" s="23" t="s">
        <v>4735</v>
      </c>
      <c r="L402">
        <v>2004</v>
      </c>
      <c r="M402" s="15" t="s">
        <v>4700</v>
      </c>
      <c r="N402">
        <v>5</v>
      </c>
      <c r="O402">
        <v>0</v>
      </c>
      <c r="P402" s="21">
        <f>DATEVALUE(N402&amp;"-"&amp;M402&amp;"-"&amp;L402)</f>
        <v>38296</v>
      </c>
      <c r="Q402" s="22">
        <v>3722.23</v>
      </c>
      <c r="R402" s="23" t="s">
        <v>4697</v>
      </c>
      <c r="S402" s="23" t="s">
        <v>4697</v>
      </c>
      <c r="T402" s="23" t="s">
        <v>4713</v>
      </c>
      <c r="U402" s="23">
        <f>DATEDIF(P402, DATE(2023, 6, 8), "Y")</f>
        <v>18</v>
      </c>
      <c r="V402">
        <f>SUM(C402:K402)</f>
        <v>37.9</v>
      </c>
    </row>
    <row r="403" spans="1:22" ht="15.75">
      <c r="A403" s="28" t="s">
        <v>804</v>
      </c>
      <c r="B403" s="28" t="s">
        <v>805</v>
      </c>
      <c r="C403" s="23">
        <v>23.655000000000001</v>
      </c>
      <c r="D403" s="23">
        <v>10.84</v>
      </c>
      <c r="E403" s="23" t="s">
        <v>4683</v>
      </c>
      <c r="F403" s="23" t="s">
        <v>4682</v>
      </c>
      <c r="G403" s="23" t="s">
        <v>4684</v>
      </c>
      <c r="H403" s="23">
        <v>1</v>
      </c>
      <c r="I403" s="23" t="s">
        <v>4683</v>
      </c>
      <c r="J403" s="23" t="s">
        <v>4728</v>
      </c>
      <c r="K403" s="23" t="s">
        <v>4735</v>
      </c>
      <c r="L403">
        <v>1986</v>
      </c>
      <c r="M403" s="15" t="s">
        <v>4705</v>
      </c>
      <c r="N403">
        <v>1</v>
      </c>
      <c r="O403">
        <v>3</v>
      </c>
      <c r="P403" s="21">
        <f>DATEVALUE(N403&amp;"-"&amp;M403&amp;"-"&amp;L403)</f>
        <v>31747</v>
      </c>
      <c r="Q403" s="22">
        <v>3731.6</v>
      </c>
      <c r="R403" s="23" t="s">
        <v>4697</v>
      </c>
      <c r="S403" s="23" t="s">
        <v>4697</v>
      </c>
      <c r="T403" s="23" t="s">
        <v>4699</v>
      </c>
      <c r="U403" s="23">
        <f>DATEDIF(P403, DATE(2023, 6, 8), "Y")</f>
        <v>36</v>
      </c>
      <c r="V403">
        <f>SUM(C403:K403)</f>
        <v>35.495000000000005</v>
      </c>
    </row>
    <row r="404" spans="1:22" ht="15.75">
      <c r="A404" s="28" t="s">
        <v>806</v>
      </c>
      <c r="B404" s="28" t="s">
        <v>807</v>
      </c>
      <c r="C404" s="23">
        <v>27.36</v>
      </c>
      <c r="D404" s="23">
        <v>5.88</v>
      </c>
      <c r="E404" s="23" t="s">
        <v>4682</v>
      </c>
      <c r="F404" s="23" t="s">
        <v>4682</v>
      </c>
      <c r="G404" s="23" t="s">
        <v>4682</v>
      </c>
      <c r="H404" s="23">
        <v>2</v>
      </c>
      <c r="I404" s="23" t="s">
        <v>4682</v>
      </c>
      <c r="J404" s="23" t="s">
        <v>4730</v>
      </c>
      <c r="K404" s="23" t="s">
        <v>4736</v>
      </c>
      <c r="L404">
        <v>1994</v>
      </c>
      <c r="M404" s="15" t="s">
        <v>4706</v>
      </c>
      <c r="N404">
        <v>22</v>
      </c>
      <c r="O404">
        <v>0</v>
      </c>
      <c r="P404" s="21">
        <f>DATEVALUE(N404&amp;"-"&amp;M404&amp;"-"&amp;L404)</f>
        <v>34568</v>
      </c>
      <c r="Q404" s="22">
        <v>3732.63</v>
      </c>
      <c r="R404" s="23" t="s">
        <v>4697</v>
      </c>
      <c r="S404" s="23" t="s">
        <v>4698</v>
      </c>
      <c r="T404" s="23" t="s">
        <v>4714</v>
      </c>
      <c r="U404" s="23">
        <f>DATEDIF(P404, DATE(2023, 6, 8), "Y")</f>
        <v>28</v>
      </c>
      <c r="V404">
        <f>SUM(C404:K404)</f>
        <v>35.24</v>
      </c>
    </row>
    <row r="405" spans="1:22" ht="15.75">
      <c r="A405" s="28" t="s">
        <v>808</v>
      </c>
      <c r="B405" s="28" t="s">
        <v>809</v>
      </c>
      <c r="C405" s="23">
        <v>27.82</v>
      </c>
      <c r="D405" s="23">
        <v>5.24</v>
      </c>
      <c r="E405" s="23" t="s">
        <v>4683</v>
      </c>
      <c r="F405" s="23" t="s">
        <v>4682</v>
      </c>
      <c r="G405" s="23" t="s">
        <v>4682</v>
      </c>
      <c r="H405" s="23">
        <v>0</v>
      </c>
      <c r="I405" s="23" t="s">
        <v>4683</v>
      </c>
      <c r="J405" s="23" t="s">
        <v>4730</v>
      </c>
      <c r="K405" s="23" t="s">
        <v>4737</v>
      </c>
      <c r="L405">
        <v>1993</v>
      </c>
      <c r="M405" s="15" t="s">
        <v>4702</v>
      </c>
      <c r="N405">
        <v>22</v>
      </c>
      <c r="O405">
        <v>0</v>
      </c>
      <c r="P405" s="21">
        <f>DATEVALUE(N405&amp;"-"&amp;M405&amp;"-"&amp;L405)</f>
        <v>34142</v>
      </c>
      <c r="Q405" s="22">
        <v>3736.46</v>
      </c>
      <c r="R405" s="23" t="s">
        <v>4697</v>
      </c>
      <c r="S405" s="23" t="s">
        <v>4697</v>
      </c>
      <c r="T405" s="23" t="s">
        <v>4704</v>
      </c>
      <c r="U405" s="23">
        <f>DATEDIF(P405, DATE(2023, 6, 8), "Y")</f>
        <v>29</v>
      </c>
      <c r="V405">
        <f>SUM(C405:K405)</f>
        <v>33.06</v>
      </c>
    </row>
    <row r="406" spans="1:22" ht="15.75">
      <c r="A406" s="28" t="s">
        <v>810</v>
      </c>
      <c r="B406" s="28" t="s">
        <v>811</v>
      </c>
      <c r="C406" s="23">
        <v>25.46</v>
      </c>
      <c r="D406" s="23">
        <v>11.75</v>
      </c>
      <c r="E406" s="23" t="s">
        <v>4682</v>
      </c>
      <c r="F406" s="23" t="s">
        <v>4682</v>
      </c>
      <c r="G406" s="23" t="s">
        <v>4682</v>
      </c>
      <c r="H406" s="23">
        <v>0</v>
      </c>
      <c r="I406" s="23" t="s">
        <v>4682</v>
      </c>
      <c r="J406" s="23" t="s">
        <v>4730</v>
      </c>
      <c r="K406" s="23" t="s">
        <v>4735</v>
      </c>
      <c r="L406">
        <v>1986</v>
      </c>
      <c r="M406" s="15" t="s">
        <v>4703</v>
      </c>
      <c r="N406">
        <v>9</v>
      </c>
      <c r="O406">
        <v>3</v>
      </c>
      <c r="P406" s="21">
        <f>DATEVALUE(N406&amp;"-"&amp;M406&amp;"-"&amp;L406)</f>
        <v>31664</v>
      </c>
      <c r="Q406" s="22">
        <v>3748.56</v>
      </c>
      <c r="R406" s="23" t="s">
        <v>4697</v>
      </c>
      <c r="S406" s="23" t="s">
        <v>4697</v>
      </c>
      <c r="T406" s="23" t="s">
        <v>4699</v>
      </c>
      <c r="U406" s="23">
        <f>DATEDIF(P406, DATE(2023, 6, 8), "Y")</f>
        <v>36</v>
      </c>
      <c r="V406">
        <f>SUM(C406:K406)</f>
        <v>37.21</v>
      </c>
    </row>
    <row r="407" spans="1:22" ht="15.75">
      <c r="A407" s="28" t="s">
        <v>812</v>
      </c>
      <c r="B407" s="28" t="s">
        <v>813</v>
      </c>
      <c r="C407" s="23">
        <v>25.1</v>
      </c>
      <c r="D407" s="23">
        <v>6.97</v>
      </c>
      <c r="E407" s="23" t="s">
        <v>4682</v>
      </c>
      <c r="F407" s="23" t="s">
        <v>4682</v>
      </c>
      <c r="G407" s="23" t="s">
        <v>4682</v>
      </c>
      <c r="H407" s="23">
        <v>0</v>
      </c>
      <c r="I407" s="23" t="s">
        <v>4683</v>
      </c>
      <c r="J407" s="23" t="s">
        <v>4730</v>
      </c>
      <c r="K407" s="23" t="s">
        <v>4735</v>
      </c>
      <c r="L407">
        <v>1991</v>
      </c>
      <c r="M407" s="15" t="s">
        <v>4707</v>
      </c>
      <c r="N407">
        <v>28</v>
      </c>
      <c r="O407">
        <v>0</v>
      </c>
      <c r="P407" s="21">
        <f>DATEVALUE(N407&amp;"-"&amp;M407&amp;"-"&amp;L407)</f>
        <v>33539</v>
      </c>
      <c r="Q407" s="22">
        <v>3756.62</v>
      </c>
      <c r="R407" s="23" t="s">
        <v>4697</v>
      </c>
      <c r="S407" s="23" t="s">
        <v>4697</v>
      </c>
      <c r="T407" s="23" t="s">
        <v>4699</v>
      </c>
      <c r="U407" s="23">
        <f>DATEDIF(P407, DATE(2023, 6, 8), "Y")</f>
        <v>31</v>
      </c>
      <c r="V407">
        <f>SUM(C407:K407)</f>
        <v>32.07</v>
      </c>
    </row>
    <row r="408" spans="1:22" ht="15.75">
      <c r="A408" s="28" t="s">
        <v>814</v>
      </c>
      <c r="B408" s="28" t="s">
        <v>815</v>
      </c>
      <c r="C408" s="23">
        <v>32.11</v>
      </c>
      <c r="D408" s="23">
        <v>4.76</v>
      </c>
      <c r="E408" s="23" t="s">
        <v>4682</v>
      </c>
      <c r="F408" s="23" t="s">
        <v>4682</v>
      </c>
      <c r="G408" s="23" t="s">
        <v>4682</v>
      </c>
      <c r="H408" s="23">
        <v>2</v>
      </c>
      <c r="I408" s="23" t="s">
        <v>4682</v>
      </c>
      <c r="J408" s="23" t="s">
        <v>4729</v>
      </c>
      <c r="K408" s="23" t="s">
        <v>4737</v>
      </c>
      <c r="L408">
        <v>1991</v>
      </c>
      <c r="M408" s="15" t="s">
        <v>4706</v>
      </c>
      <c r="N408">
        <v>25</v>
      </c>
      <c r="O408">
        <v>0</v>
      </c>
      <c r="P408" s="21">
        <f>DATEVALUE(N408&amp;"-"&amp;M408&amp;"-"&amp;L408)</f>
        <v>33475</v>
      </c>
      <c r="Q408" s="22">
        <v>3757.84</v>
      </c>
      <c r="R408" s="23" t="s">
        <v>4697</v>
      </c>
      <c r="S408" s="23" t="s">
        <v>4701</v>
      </c>
      <c r="T408" s="23" t="s">
        <v>4699</v>
      </c>
      <c r="U408" s="23">
        <f>DATEDIF(P408, DATE(2023, 6, 8), "Y")</f>
        <v>31</v>
      </c>
      <c r="V408">
        <f>SUM(C408:K408)</f>
        <v>38.869999999999997</v>
      </c>
    </row>
    <row r="409" spans="1:22" ht="15.75">
      <c r="A409" s="28" t="s">
        <v>816</v>
      </c>
      <c r="B409" s="28" t="s">
        <v>817</v>
      </c>
      <c r="C409" s="23">
        <v>29.8</v>
      </c>
      <c r="D409" s="23">
        <v>8.24</v>
      </c>
      <c r="E409" s="23" t="s">
        <v>4683</v>
      </c>
      <c r="F409" s="23" t="s">
        <v>4682</v>
      </c>
      <c r="G409" s="23" t="s">
        <v>4682</v>
      </c>
      <c r="H409" s="23">
        <v>1</v>
      </c>
      <c r="I409" s="23" t="s">
        <v>4683</v>
      </c>
      <c r="J409" s="23" t="s">
        <v>4730</v>
      </c>
      <c r="K409" s="23" t="s">
        <v>4735</v>
      </c>
      <c r="L409">
        <v>1991</v>
      </c>
      <c r="M409" s="15" t="s">
        <v>4707</v>
      </c>
      <c r="N409">
        <v>24</v>
      </c>
      <c r="O409">
        <v>0</v>
      </c>
      <c r="P409" s="21">
        <f>DATEVALUE(N409&amp;"-"&amp;M409&amp;"-"&amp;L409)</f>
        <v>33535</v>
      </c>
      <c r="Q409" s="22">
        <v>3761.29</v>
      </c>
      <c r="R409" s="23" t="s">
        <v>4697</v>
      </c>
      <c r="S409" s="23" t="s">
        <v>4698</v>
      </c>
      <c r="T409" s="23" t="s">
        <v>4708</v>
      </c>
      <c r="U409" s="23">
        <f>DATEDIF(P409, DATE(2023, 6, 8), "Y")</f>
        <v>31</v>
      </c>
      <c r="V409">
        <f>SUM(C409:K409)</f>
        <v>39.04</v>
      </c>
    </row>
    <row r="410" spans="1:22" ht="15.75">
      <c r="A410" s="28" t="s">
        <v>818</v>
      </c>
      <c r="B410" s="28" t="s">
        <v>819</v>
      </c>
      <c r="C410" s="23">
        <v>24.01</v>
      </c>
      <c r="D410" s="23">
        <v>4.76</v>
      </c>
      <c r="E410" s="23" t="s">
        <v>4682</v>
      </c>
      <c r="F410" s="23" t="s">
        <v>4682</v>
      </c>
      <c r="G410" s="23" t="s">
        <v>4682</v>
      </c>
      <c r="H410" s="23">
        <v>1</v>
      </c>
      <c r="I410" s="23" t="s">
        <v>4683</v>
      </c>
      <c r="J410" s="23" t="s">
        <v>4728</v>
      </c>
      <c r="K410" s="23" t="s">
        <v>4737</v>
      </c>
      <c r="L410">
        <v>1994</v>
      </c>
      <c r="M410" s="15" t="s">
        <v>4700</v>
      </c>
      <c r="N410">
        <v>21</v>
      </c>
      <c r="O410">
        <v>1</v>
      </c>
      <c r="P410" s="21">
        <f>DATEVALUE(N410&amp;"-"&amp;M410&amp;"-"&amp;L410)</f>
        <v>34659</v>
      </c>
      <c r="Q410" s="22">
        <v>3766.88</v>
      </c>
      <c r="R410" s="23" t="s">
        <v>4697</v>
      </c>
      <c r="S410" s="23" t="s">
        <v>4701</v>
      </c>
      <c r="T410" s="23" t="s">
        <v>4699</v>
      </c>
      <c r="U410" s="23">
        <f>DATEDIF(P410, DATE(2023, 6, 8), "Y")</f>
        <v>28</v>
      </c>
      <c r="V410">
        <f>SUM(C410:K410)</f>
        <v>29.770000000000003</v>
      </c>
    </row>
    <row r="411" spans="1:22" ht="15.75">
      <c r="A411" s="28" t="s">
        <v>820</v>
      </c>
      <c r="B411" s="28" t="s">
        <v>821</v>
      </c>
      <c r="C411" s="23">
        <v>23.21</v>
      </c>
      <c r="D411" s="23">
        <v>6.03</v>
      </c>
      <c r="E411" s="23" t="s">
        <v>4682</v>
      </c>
      <c r="F411" s="23" t="s">
        <v>4682</v>
      </c>
      <c r="G411" s="23" t="s">
        <v>4682</v>
      </c>
      <c r="H411" s="23">
        <v>1</v>
      </c>
      <c r="I411" s="23" t="s">
        <v>4682</v>
      </c>
      <c r="J411" s="23" t="s">
        <v>4728</v>
      </c>
      <c r="K411" s="23" t="s">
        <v>4736</v>
      </c>
      <c r="L411">
        <v>1987</v>
      </c>
      <c r="M411" s="15" t="s">
        <v>4707</v>
      </c>
      <c r="N411">
        <v>24</v>
      </c>
      <c r="O411">
        <v>3</v>
      </c>
      <c r="P411" s="21">
        <f>DATEVALUE(N411&amp;"-"&amp;M411&amp;"-"&amp;L411)</f>
        <v>32074</v>
      </c>
      <c r="Q411" s="22">
        <v>3773.23</v>
      </c>
      <c r="R411" s="23" t="s">
        <v>4697</v>
      </c>
      <c r="S411" s="23" t="s">
        <v>4698</v>
      </c>
      <c r="T411" s="23" t="s">
        <v>4699</v>
      </c>
      <c r="U411" s="23">
        <f>DATEDIF(P411, DATE(2023, 6, 8), "Y")</f>
        <v>35</v>
      </c>
      <c r="V411">
        <f>SUM(C411:K411)</f>
        <v>30.240000000000002</v>
      </c>
    </row>
    <row r="412" spans="1:22" ht="15.75">
      <c r="A412" s="28" t="s">
        <v>822</v>
      </c>
      <c r="B412" s="28" t="s">
        <v>823</v>
      </c>
      <c r="C412" s="23">
        <v>21.2</v>
      </c>
      <c r="D412" s="23">
        <v>4.07</v>
      </c>
      <c r="E412" s="23" t="s">
        <v>4683</v>
      </c>
      <c r="F412" s="23" t="s">
        <v>4682</v>
      </c>
      <c r="G412" s="23" t="s">
        <v>4682</v>
      </c>
      <c r="H412" s="23">
        <v>1</v>
      </c>
      <c r="I412" s="23" t="s">
        <v>4683</v>
      </c>
      <c r="J412" s="23" t="s">
        <v>4728</v>
      </c>
      <c r="K412" s="23" t="s">
        <v>4737</v>
      </c>
      <c r="L412">
        <v>1981</v>
      </c>
      <c r="M412" s="15" t="s">
        <v>4705</v>
      </c>
      <c r="N412">
        <v>13</v>
      </c>
      <c r="O412">
        <v>1</v>
      </c>
      <c r="P412" s="21">
        <f>DATEVALUE(N412&amp;"-"&amp;M412&amp;"-"&amp;L412)</f>
        <v>29933</v>
      </c>
      <c r="Q412" s="22">
        <v>3785.77</v>
      </c>
      <c r="R412" s="23" t="s">
        <v>4697</v>
      </c>
      <c r="S412" s="23" t="s">
        <v>4701</v>
      </c>
      <c r="T412" s="23" t="s">
        <v>4699</v>
      </c>
      <c r="U412" s="23">
        <f>DATEDIF(P412, DATE(2023, 6, 8), "Y")</f>
        <v>41</v>
      </c>
      <c r="V412">
        <f>SUM(C412:K412)</f>
        <v>26.27</v>
      </c>
    </row>
    <row r="413" spans="1:22" ht="15.75">
      <c r="A413" s="28" t="s">
        <v>824</v>
      </c>
      <c r="B413" s="28" t="s">
        <v>825</v>
      </c>
      <c r="C413" s="23">
        <v>28.215</v>
      </c>
      <c r="D413" s="23">
        <v>8.26</v>
      </c>
      <c r="E413" s="23" t="s">
        <v>4683</v>
      </c>
      <c r="F413" s="23" t="s">
        <v>4682</v>
      </c>
      <c r="G413" s="23" t="s">
        <v>4682</v>
      </c>
      <c r="H413" s="23">
        <v>1</v>
      </c>
      <c r="I413" s="23" t="s">
        <v>4683</v>
      </c>
      <c r="J413" s="23" t="s">
        <v>4730</v>
      </c>
      <c r="K413" s="23" t="s">
        <v>4735</v>
      </c>
      <c r="L413">
        <v>1988</v>
      </c>
      <c r="M413" s="15" t="s">
        <v>4706</v>
      </c>
      <c r="N413">
        <v>28</v>
      </c>
      <c r="O413">
        <v>3</v>
      </c>
      <c r="P413" s="21">
        <f>DATEVALUE(N413&amp;"-"&amp;M413&amp;"-"&amp;L413)</f>
        <v>32383</v>
      </c>
      <c r="Q413" s="22">
        <v>3793.55</v>
      </c>
      <c r="R413" s="23" t="s">
        <v>4697</v>
      </c>
      <c r="S413" s="23" t="s">
        <v>4698</v>
      </c>
      <c r="T413" s="23" t="s">
        <v>4699</v>
      </c>
      <c r="U413" s="23">
        <f>DATEDIF(P413, DATE(2023, 6, 8), "Y")</f>
        <v>34</v>
      </c>
      <c r="V413">
        <f>SUM(C413:K413)</f>
        <v>37.475000000000001</v>
      </c>
    </row>
    <row r="414" spans="1:22" ht="15.75">
      <c r="A414" s="28" t="s">
        <v>826</v>
      </c>
      <c r="B414" s="28" t="s">
        <v>827</v>
      </c>
      <c r="C414" s="23">
        <v>38.094999999999999</v>
      </c>
      <c r="D414" s="23">
        <v>4.76</v>
      </c>
      <c r="E414" s="23" t="s">
        <v>4682</v>
      </c>
      <c r="F414" s="23" t="s">
        <v>4682</v>
      </c>
      <c r="G414" s="23" t="s">
        <v>4682</v>
      </c>
      <c r="H414" s="23">
        <v>1</v>
      </c>
      <c r="I414" s="23" t="s">
        <v>4682</v>
      </c>
      <c r="J414" s="23" t="s">
        <v>4729</v>
      </c>
      <c r="K414" s="23" t="s">
        <v>4737</v>
      </c>
      <c r="L414">
        <v>1999</v>
      </c>
      <c r="M414" s="15" t="s">
        <v>4702</v>
      </c>
      <c r="N414">
        <v>24</v>
      </c>
      <c r="O414">
        <v>0</v>
      </c>
      <c r="P414" s="21">
        <f>DATEVALUE(N414&amp;"-"&amp;M414&amp;"-"&amp;L414)</f>
        <v>36335</v>
      </c>
      <c r="Q414" s="22">
        <v>3796.36</v>
      </c>
      <c r="R414" s="23" t="s">
        <v>4697</v>
      </c>
      <c r="S414" s="23" t="s">
        <v>4698</v>
      </c>
      <c r="T414" s="23" t="s">
        <v>4704</v>
      </c>
      <c r="U414" s="23">
        <f>DATEDIF(P414, DATE(2023, 6, 8), "Y")</f>
        <v>23</v>
      </c>
      <c r="V414">
        <f>SUM(C414:K414)</f>
        <v>43.854999999999997</v>
      </c>
    </row>
    <row r="415" spans="1:22" ht="15.75">
      <c r="A415" s="28" t="s">
        <v>828</v>
      </c>
      <c r="B415" s="28" t="s">
        <v>829</v>
      </c>
      <c r="C415" s="23">
        <v>22.61</v>
      </c>
      <c r="D415" s="23">
        <v>6.13</v>
      </c>
      <c r="E415" s="23" t="s">
        <v>4683</v>
      </c>
      <c r="F415" s="23" t="s">
        <v>4682</v>
      </c>
      <c r="G415" s="23" t="s">
        <v>4684</v>
      </c>
      <c r="H415" s="23">
        <v>1</v>
      </c>
      <c r="I415" s="23" t="s">
        <v>4683</v>
      </c>
      <c r="J415" s="23" t="s">
        <v>4728</v>
      </c>
      <c r="K415" s="23" t="s">
        <v>4736</v>
      </c>
      <c r="L415">
        <v>1981</v>
      </c>
      <c r="M415" s="15" t="s">
        <v>4703</v>
      </c>
      <c r="N415">
        <v>29</v>
      </c>
      <c r="O415">
        <v>1</v>
      </c>
      <c r="P415" s="21">
        <f>DATEVALUE(N415&amp;"-"&amp;M415&amp;"-"&amp;L415)</f>
        <v>29858</v>
      </c>
      <c r="Q415" s="22">
        <v>3797.2</v>
      </c>
      <c r="R415" s="23" t="s">
        <v>4697</v>
      </c>
      <c r="S415" s="23" t="s">
        <v>4698</v>
      </c>
      <c r="T415" s="23" t="s">
        <v>4704</v>
      </c>
      <c r="U415" s="23">
        <f>DATEDIF(P415, DATE(2023, 6, 8), "Y")</f>
        <v>41</v>
      </c>
      <c r="V415">
        <f>SUM(C415:K415)</f>
        <v>29.74</v>
      </c>
    </row>
    <row r="416" spans="1:22" ht="15.75">
      <c r="A416" s="28" t="s">
        <v>830</v>
      </c>
      <c r="B416" s="28" t="s">
        <v>831</v>
      </c>
      <c r="C416" s="23">
        <v>24.32</v>
      </c>
      <c r="D416" s="23">
        <v>10.47</v>
      </c>
      <c r="E416" s="23" t="s">
        <v>4683</v>
      </c>
      <c r="F416" s="23" t="s">
        <v>4682</v>
      </c>
      <c r="G416" s="23" t="s">
        <v>4682</v>
      </c>
      <c r="H416" s="23">
        <v>2</v>
      </c>
      <c r="I416" s="23" t="s">
        <v>4683</v>
      </c>
      <c r="J416" s="23" t="s">
        <v>4728</v>
      </c>
      <c r="K416" s="23" t="s">
        <v>4735</v>
      </c>
      <c r="L416">
        <v>1994</v>
      </c>
      <c r="M416" s="15" t="s">
        <v>4706</v>
      </c>
      <c r="N416">
        <v>12</v>
      </c>
      <c r="O416">
        <v>2</v>
      </c>
      <c r="P416" s="21">
        <f>DATEVALUE(N416&amp;"-"&amp;M416&amp;"-"&amp;L416)</f>
        <v>34558</v>
      </c>
      <c r="Q416" s="22">
        <v>3847.67</v>
      </c>
      <c r="R416" s="23" t="s">
        <v>4698</v>
      </c>
      <c r="S416" s="23" t="s">
        <v>4697</v>
      </c>
      <c r="T416" s="23" t="s">
        <v>4708</v>
      </c>
      <c r="U416" s="23">
        <f>DATEDIF(P416, DATE(2023, 6, 8), "Y")</f>
        <v>28</v>
      </c>
      <c r="V416">
        <f>SUM(C416:K416)</f>
        <v>36.79</v>
      </c>
    </row>
    <row r="417" spans="1:22" ht="15.75">
      <c r="A417" s="28" t="s">
        <v>832</v>
      </c>
      <c r="B417" s="28" t="s">
        <v>833</v>
      </c>
      <c r="C417" s="23">
        <v>20.96</v>
      </c>
      <c r="D417" s="23">
        <v>4.04</v>
      </c>
      <c r="E417" s="23" t="s">
        <v>4683</v>
      </c>
      <c r="F417" s="23" t="s">
        <v>4682</v>
      </c>
      <c r="G417" s="23" t="s">
        <v>4682</v>
      </c>
      <c r="H417" s="23">
        <v>1</v>
      </c>
      <c r="I417" s="23" t="s">
        <v>4683</v>
      </c>
      <c r="J417" s="23" t="s">
        <v>4728</v>
      </c>
      <c r="K417" s="23" t="s">
        <v>4737</v>
      </c>
      <c r="L417">
        <v>1991</v>
      </c>
      <c r="M417" s="15" t="s">
        <v>4706</v>
      </c>
      <c r="N417">
        <v>19</v>
      </c>
      <c r="O417">
        <v>0</v>
      </c>
      <c r="P417" s="21">
        <f>DATEVALUE(N417&amp;"-"&amp;M417&amp;"-"&amp;L417)</f>
        <v>33469</v>
      </c>
      <c r="Q417" s="22">
        <v>3857.76</v>
      </c>
      <c r="R417" s="23" t="s">
        <v>4698</v>
      </c>
      <c r="S417" s="23" t="s">
        <v>4701</v>
      </c>
      <c r="T417" s="23" t="s">
        <v>4711</v>
      </c>
      <c r="U417" s="23">
        <f>DATEDIF(P417, DATE(2023, 6, 8), "Y")</f>
        <v>31</v>
      </c>
      <c r="V417">
        <f>SUM(C417:K417)</f>
        <v>26</v>
      </c>
    </row>
    <row r="418" spans="1:22" ht="15.75">
      <c r="A418" s="28" t="s">
        <v>834</v>
      </c>
      <c r="B418" s="28" t="s">
        <v>835</v>
      </c>
      <c r="C418" s="23">
        <v>19.68</v>
      </c>
      <c r="D418" s="23">
        <v>5.74</v>
      </c>
      <c r="E418" s="23" t="s">
        <v>4682</v>
      </c>
      <c r="F418" s="23" t="s">
        <v>4682</v>
      </c>
      <c r="G418" s="23" t="s">
        <v>4682</v>
      </c>
      <c r="H418" s="23">
        <v>0</v>
      </c>
      <c r="I418" s="23" t="s">
        <v>4683</v>
      </c>
      <c r="J418" s="23" t="s">
        <v>4728</v>
      </c>
      <c r="K418" s="23" t="s">
        <v>4736</v>
      </c>
      <c r="L418">
        <v>2001</v>
      </c>
      <c r="M418" s="15" t="s">
        <v>4702</v>
      </c>
      <c r="N418">
        <v>6</v>
      </c>
      <c r="O418">
        <v>0</v>
      </c>
      <c r="P418" s="21">
        <f>DATEVALUE(N418&amp;"-"&amp;M418&amp;"-"&amp;L418)</f>
        <v>37048</v>
      </c>
      <c r="Q418" s="22">
        <v>3858.51</v>
      </c>
      <c r="R418" s="23" t="s">
        <v>4697</v>
      </c>
      <c r="S418" s="23" t="s">
        <v>4698</v>
      </c>
      <c r="T418" s="23" t="s">
        <v>4713</v>
      </c>
      <c r="U418" s="23">
        <f>DATEDIF(P418, DATE(2023, 6, 8), "Y")</f>
        <v>22</v>
      </c>
      <c r="V418">
        <f>SUM(C418:K418)</f>
        <v>25.42</v>
      </c>
    </row>
    <row r="419" spans="1:22" ht="15.75">
      <c r="A419" s="28" t="s">
        <v>836</v>
      </c>
      <c r="B419" s="28" t="s">
        <v>837</v>
      </c>
      <c r="C419" s="23">
        <v>18.100000000000001</v>
      </c>
      <c r="D419" s="23">
        <v>6.33</v>
      </c>
      <c r="E419" s="23" t="s">
        <v>4682</v>
      </c>
      <c r="F419" s="23" t="s">
        <v>4682</v>
      </c>
      <c r="G419" s="23" t="s">
        <v>4682</v>
      </c>
      <c r="H419" s="23">
        <v>1</v>
      </c>
      <c r="I419" s="23" t="s">
        <v>4683</v>
      </c>
      <c r="J419" s="23" t="s">
        <v>4731</v>
      </c>
      <c r="K419" s="23" t="s">
        <v>4736</v>
      </c>
      <c r="L419">
        <v>2001</v>
      </c>
      <c r="M419" s="15" t="s">
        <v>4707</v>
      </c>
      <c r="N419">
        <v>18</v>
      </c>
      <c r="O419">
        <v>3</v>
      </c>
      <c r="P419" s="21">
        <f>DATEVALUE(N419&amp;"-"&amp;M419&amp;"-"&amp;L419)</f>
        <v>37182</v>
      </c>
      <c r="Q419" s="22">
        <v>3861.21</v>
      </c>
      <c r="R419" s="23" t="s">
        <v>4697</v>
      </c>
      <c r="S419" s="23" t="s">
        <v>4697</v>
      </c>
      <c r="T419" s="23" t="s">
        <v>4711</v>
      </c>
      <c r="U419" s="23">
        <f>DATEDIF(P419, DATE(2023, 6, 8), "Y")</f>
        <v>21</v>
      </c>
      <c r="V419">
        <f>SUM(C419:K419)</f>
        <v>25.43</v>
      </c>
    </row>
    <row r="420" spans="1:22" ht="15.75">
      <c r="A420" s="28" t="s">
        <v>838</v>
      </c>
      <c r="B420" s="28" t="s">
        <v>839</v>
      </c>
      <c r="C420" s="23">
        <v>29.64</v>
      </c>
      <c r="D420" s="23">
        <v>4.28</v>
      </c>
      <c r="E420" s="23" t="s">
        <v>4683</v>
      </c>
      <c r="F420" s="23" t="s">
        <v>4682</v>
      </c>
      <c r="G420" s="23" t="s">
        <v>4682</v>
      </c>
      <c r="H420" s="23">
        <v>0</v>
      </c>
      <c r="I420" s="23" t="s">
        <v>4682</v>
      </c>
      <c r="J420" s="23" t="s">
        <v>4730</v>
      </c>
      <c r="K420" s="23" t="s">
        <v>4737</v>
      </c>
      <c r="L420">
        <v>1990</v>
      </c>
      <c r="M420" s="15" t="s">
        <v>4702</v>
      </c>
      <c r="N420">
        <v>24</v>
      </c>
      <c r="O420">
        <v>0</v>
      </c>
      <c r="P420" s="21">
        <f>DATEVALUE(N420&amp;"-"&amp;M420&amp;"-"&amp;L420)</f>
        <v>33048</v>
      </c>
      <c r="Q420" s="22">
        <v>3866.86</v>
      </c>
      <c r="R420" s="23" t="s">
        <v>4701</v>
      </c>
      <c r="S420" s="23" t="s">
        <v>4701</v>
      </c>
      <c r="T420" s="23" t="s">
        <v>4704</v>
      </c>
      <c r="U420" s="23">
        <f>DATEDIF(P420, DATE(2023, 6, 8), "Y")</f>
        <v>32</v>
      </c>
      <c r="V420">
        <f>SUM(C420:K420)</f>
        <v>33.92</v>
      </c>
    </row>
    <row r="421" spans="1:22" ht="15.75">
      <c r="A421" s="28" t="s">
        <v>840</v>
      </c>
      <c r="B421" s="28" t="s">
        <v>841</v>
      </c>
      <c r="C421" s="23">
        <v>25.3</v>
      </c>
      <c r="D421" s="23">
        <v>9.4700000000000006</v>
      </c>
      <c r="E421" s="23" t="s">
        <v>4683</v>
      </c>
      <c r="F421" s="23" t="s">
        <v>4682</v>
      </c>
      <c r="G421" s="23" t="s">
        <v>4682</v>
      </c>
      <c r="H421" s="23">
        <v>2</v>
      </c>
      <c r="I421" s="23" t="s">
        <v>4683</v>
      </c>
      <c r="J421" s="23" t="s">
        <v>4730</v>
      </c>
      <c r="K421" s="23" t="s">
        <v>4735</v>
      </c>
      <c r="L421">
        <v>1991</v>
      </c>
      <c r="M421" s="15" t="s">
        <v>4696</v>
      </c>
      <c r="N421">
        <v>25</v>
      </c>
      <c r="O421">
        <v>1</v>
      </c>
      <c r="P421" s="21">
        <f>DATEVALUE(N421&amp;"-"&amp;M421&amp;"-"&amp;L421)</f>
        <v>33444</v>
      </c>
      <c r="Q421" s="22">
        <v>3875.73</v>
      </c>
      <c r="R421" s="23" t="s">
        <v>4697</v>
      </c>
      <c r="S421" s="23" t="s">
        <v>4698</v>
      </c>
      <c r="T421" s="23" t="s">
        <v>4699</v>
      </c>
      <c r="U421" s="23">
        <f>DATEDIF(P421, DATE(2023, 6, 8), "Y")</f>
        <v>31</v>
      </c>
      <c r="V421">
        <f>SUM(C421:K421)</f>
        <v>36.770000000000003</v>
      </c>
    </row>
    <row r="422" spans="1:22" ht="15.75">
      <c r="A422" s="28" t="s">
        <v>842</v>
      </c>
      <c r="B422" s="28" t="s">
        <v>843</v>
      </c>
      <c r="C422" s="23">
        <v>27.6</v>
      </c>
      <c r="D422" s="23">
        <v>4.8499999999999996</v>
      </c>
      <c r="E422" s="23" t="s">
        <v>4683</v>
      </c>
      <c r="F422" s="23" t="s">
        <v>4682</v>
      </c>
      <c r="G422" s="23" t="s">
        <v>4682</v>
      </c>
      <c r="H422" s="23">
        <v>0</v>
      </c>
      <c r="I422" s="23" t="s">
        <v>4682</v>
      </c>
      <c r="J422" s="23" t="s">
        <v>4730</v>
      </c>
      <c r="K422" s="23" t="s">
        <v>4737</v>
      </c>
      <c r="L422">
        <v>1996</v>
      </c>
      <c r="M422" s="15" t="s">
        <v>4707</v>
      </c>
      <c r="N422">
        <v>23</v>
      </c>
      <c r="O422">
        <v>2</v>
      </c>
      <c r="P422" s="21">
        <f>DATEVALUE(N422&amp;"-"&amp;M422&amp;"-"&amp;L422)</f>
        <v>35361</v>
      </c>
      <c r="Q422" s="22">
        <v>3877.3</v>
      </c>
      <c r="R422" s="23" t="s">
        <v>4701</v>
      </c>
      <c r="S422" s="23" t="s">
        <v>4698</v>
      </c>
      <c r="T422" s="23" t="s">
        <v>4704</v>
      </c>
      <c r="U422" s="23">
        <f>DATEDIF(P422, DATE(2023, 6, 8), "Y")</f>
        <v>26</v>
      </c>
      <c r="V422">
        <f>SUM(C422:K422)</f>
        <v>32.450000000000003</v>
      </c>
    </row>
    <row r="423" spans="1:22" ht="15.75">
      <c r="A423" s="28" t="s">
        <v>844</v>
      </c>
      <c r="B423" s="28" t="s">
        <v>845</v>
      </c>
      <c r="C423" s="23">
        <v>27.645</v>
      </c>
      <c r="D423" s="23">
        <v>11.03</v>
      </c>
      <c r="E423" s="23" t="s">
        <v>4683</v>
      </c>
      <c r="F423" s="23" t="s">
        <v>4682</v>
      </c>
      <c r="G423" s="23" t="s">
        <v>4682</v>
      </c>
      <c r="H423" s="23">
        <v>1</v>
      </c>
      <c r="I423" s="23" t="s">
        <v>4683</v>
      </c>
      <c r="J423" s="23" t="s">
        <v>4730</v>
      </c>
      <c r="K423" s="23" t="s">
        <v>4735</v>
      </c>
      <c r="L423">
        <v>2004</v>
      </c>
      <c r="M423" s="15" t="s">
        <v>4696</v>
      </c>
      <c r="N423">
        <v>13</v>
      </c>
      <c r="O423">
        <v>0</v>
      </c>
      <c r="P423" s="21">
        <f>DATEVALUE(N423&amp;"-"&amp;M423&amp;"-"&amp;L423)</f>
        <v>38181</v>
      </c>
      <c r="Q423" s="22">
        <v>3889.2</v>
      </c>
      <c r="R423" s="23" t="s">
        <v>4697</v>
      </c>
      <c r="S423" s="23" t="s">
        <v>4697</v>
      </c>
      <c r="T423" s="23" t="s">
        <v>4704</v>
      </c>
      <c r="U423" s="23">
        <f>DATEDIF(P423, DATE(2023, 6, 8), "Y")</f>
        <v>18</v>
      </c>
      <c r="V423">
        <f>SUM(C423:K423)</f>
        <v>39.674999999999997</v>
      </c>
    </row>
    <row r="424" spans="1:22" ht="15.75">
      <c r="A424" s="28" t="s">
        <v>846</v>
      </c>
      <c r="B424" s="28" t="s">
        <v>847</v>
      </c>
      <c r="C424" s="23">
        <v>27.6</v>
      </c>
      <c r="D424" s="23">
        <v>5.22</v>
      </c>
      <c r="E424" s="23" t="s">
        <v>4682</v>
      </c>
      <c r="F424" s="23" t="s">
        <v>4682</v>
      </c>
      <c r="G424" s="23" t="s">
        <v>4682</v>
      </c>
      <c r="H424" s="23">
        <v>2</v>
      </c>
      <c r="I424" s="23" t="s">
        <v>4683</v>
      </c>
      <c r="J424" s="23" t="s">
        <v>4730</v>
      </c>
      <c r="K424" s="23" t="s">
        <v>4737</v>
      </c>
      <c r="L424">
        <v>1993</v>
      </c>
      <c r="M424" s="15" t="s">
        <v>4703</v>
      </c>
      <c r="N424">
        <v>14</v>
      </c>
      <c r="O424">
        <v>0</v>
      </c>
      <c r="P424" s="21">
        <f>DATEVALUE(N424&amp;"-"&amp;M424&amp;"-"&amp;L424)</f>
        <v>34226</v>
      </c>
      <c r="Q424" s="22">
        <v>3898.35</v>
      </c>
      <c r="R424" s="23" t="s">
        <v>4697</v>
      </c>
      <c r="S424" s="23" t="s">
        <v>4697</v>
      </c>
      <c r="T424" s="23" t="s">
        <v>4704</v>
      </c>
      <c r="U424" s="23">
        <f>DATEDIF(P424, DATE(2023, 6, 8), "Y")</f>
        <v>29</v>
      </c>
      <c r="V424">
        <f>SUM(C424:K424)</f>
        <v>34.82</v>
      </c>
    </row>
    <row r="425" spans="1:22" ht="15.75">
      <c r="A425" s="28" t="s">
        <v>848</v>
      </c>
      <c r="B425" s="28" t="s">
        <v>849</v>
      </c>
      <c r="C425" s="23">
        <v>25.08</v>
      </c>
      <c r="D425" s="23">
        <v>9.52</v>
      </c>
      <c r="E425" s="23" t="s">
        <v>4683</v>
      </c>
      <c r="F425" s="23" t="s">
        <v>4682</v>
      </c>
      <c r="G425" s="23" t="s">
        <v>4682</v>
      </c>
      <c r="H425" s="23">
        <v>2</v>
      </c>
      <c r="I425" s="23" t="s">
        <v>4682</v>
      </c>
      <c r="J425" s="23" t="s">
        <v>4730</v>
      </c>
      <c r="K425" s="23" t="s">
        <v>4735</v>
      </c>
      <c r="L425">
        <v>1981</v>
      </c>
      <c r="M425" s="15" t="s">
        <v>4706</v>
      </c>
      <c r="N425">
        <v>27</v>
      </c>
      <c r="O425">
        <v>1</v>
      </c>
      <c r="P425" s="21">
        <f>DATEVALUE(N425&amp;"-"&amp;M425&amp;"-"&amp;L425)</f>
        <v>29825</v>
      </c>
      <c r="Q425" s="22">
        <v>3902.07</v>
      </c>
      <c r="R425" s="23" t="s">
        <v>4697</v>
      </c>
      <c r="S425" s="23" t="s">
        <v>4697</v>
      </c>
      <c r="T425" s="23" t="s">
        <v>4699</v>
      </c>
      <c r="U425" s="23">
        <f>DATEDIF(P425, DATE(2023, 6, 8), "Y")</f>
        <v>41</v>
      </c>
      <c r="V425">
        <f>SUM(C425:K425)</f>
        <v>36.599999999999994</v>
      </c>
    </row>
    <row r="426" spans="1:22" ht="15.75">
      <c r="A426" s="28" t="s">
        <v>850</v>
      </c>
      <c r="B426" s="28" t="s">
        <v>851</v>
      </c>
      <c r="C426" s="23">
        <v>30.02</v>
      </c>
      <c r="D426" s="23">
        <v>11.09</v>
      </c>
      <c r="E426" s="23" t="s">
        <v>4682</v>
      </c>
      <c r="F426" s="23" t="s">
        <v>4682</v>
      </c>
      <c r="G426" s="23" t="s">
        <v>4682</v>
      </c>
      <c r="H426" s="23">
        <v>0</v>
      </c>
      <c r="I426" s="23" t="s">
        <v>4682</v>
      </c>
      <c r="J426" s="23" t="s">
        <v>4729</v>
      </c>
      <c r="K426" s="23" t="s">
        <v>4735</v>
      </c>
      <c r="L426">
        <v>1997</v>
      </c>
      <c r="M426" s="15" t="s">
        <v>4700</v>
      </c>
      <c r="N426">
        <v>24</v>
      </c>
      <c r="O426">
        <v>3</v>
      </c>
      <c r="P426" s="21">
        <f>DATEVALUE(N426&amp;"-"&amp;M426&amp;"-"&amp;L426)</f>
        <v>35758</v>
      </c>
      <c r="Q426" s="22">
        <v>3906.13</v>
      </c>
      <c r="R426" s="23" t="s">
        <v>4698</v>
      </c>
      <c r="S426" s="23" t="s">
        <v>4698</v>
      </c>
      <c r="T426" s="23" t="s">
        <v>4708</v>
      </c>
      <c r="U426" s="23">
        <f>DATEDIF(P426, DATE(2023, 6, 8), "Y")</f>
        <v>25</v>
      </c>
      <c r="V426">
        <f>SUM(C426:K426)</f>
        <v>41.11</v>
      </c>
    </row>
    <row r="427" spans="1:22" ht="15.75">
      <c r="A427" s="28" t="s">
        <v>852</v>
      </c>
      <c r="B427" s="28" t="s">
        <v>853</v>
      </c>
      <c r="C427" s="23">
        <v>27.36</v>
      </c>
      <c r="D427" s="23">
        <v>9.4499999999999993</v>
      </c>
      <c r="E427" s="23" t="s">
        <v>4683</v>
      </c>
      <c r="F427" s="23" t="s">
        <v>4682</v>
      </c>
      <c r="G427" s="23" t="s">
        <v>4682</v>
      </c>
      <c r="H427" s="23">
        <v>2</v>
      </c>
      <c r="I427" s="23" t="s">
        <v>4683</v>
      </c>
      <c r="J427" s="23" t="s">
        <v>4730</v>
      </c>
      <c r="K427" s="23" t="s">
        <v>4735</v>
      </c>
      <c r="L427">
        <v>1985</v>
      </c>
      <c r="M427" s="15" t="s">
        <v>4696</v>
      </c>
      <c r="N427">
        <v>5</v>
      </c>
      <c r="O427">
        <v>3</v>
      </c>
      <c r="P427" s="21">
        <f>DATEVALUE(N427&amp;"-"&amp;M427&amp;"-"&amp;L427)</f>
        <v>31233</v>
      </c>
      <c r="Q427" s="22">
        <v>3910.44</v>
      </c>
      <c r="R427" s="23" t="s">
        <v>4697</v>
      </c>
      <c r="S427" s="23" t="s">
        <v>4697</v>
      </c>
      <c r="T427" s="23" t="s">
        <v>4699</v>
      </c>
      <c r="U427" s="23">
        <f>DATEDIF(P427, DATE(2023, 6, 8), "Y")</f>
        <v>37</v>
      </c>
      <c r="V427">
        <f>SUM(C427:K427)</f>
        <v>38.81</v>
      </c>
    </row>
    <row r="428" spans="1:22" ht="15.75">
      <c r="A428" s="28" t="s">
        <v>854</v>
      </c>
      <c r="B428" s="28" t="s">
        <v>855</v>
      </c>
      <c r="C428" s="23">
        <v>22.2</v>
      </c>
      <c r="D428" s="23">
        <v>5.51</v>
      </c>
      <c r="E428" s="23" t="s">
        <v>4682</v>
      </c>
      <c r="F428" s="23" t="s">
        <v>4682</v>
      </c>
      <c r="G428" s="23" t="s">
        <v>4682</v>
      </c>
      <c r="H428" s="23">
        <v>0</v>
      </c>
      <c r="I428" s="23" t="s">
        <v>4683</v>
      </c>
      <c r="J428" s="23" t="s">
        <v>4728</v>
      </c>
      <c r="K428" s="23" t="s">
        <v>4737</v>
      </c>
      <c r="L428">
        <v>2000</v>
      </c>
      <c r="M428" s="15" t="s">
        <v>4696</v>
      </c>
      <c r="N428">
        <v>10</v>
      </c>
      <c r="O428">
        <v>2</v>
      </c>
      <c r="P428" s="21">
        <f>DATEVALUE(N428&amp;"-"&amp;M428&amp;"-"&amp;L428)</f>
        <v>36717</v>
      </c>
      <c r="Q428" s="22">
        <v>3925.76</v>
      </c>
      <c r="R428" s="23" t="s">
        <v>4697</v>
      </c>
      <c r="S428" s="23" t="s">
        <v>4697</v>
      </c>
      <c r="T428" s="23" t="s">
        <v>4714</v>
      </c>
      <c r="U428" s="23">
        <f>DATEDIF(P428, DATE(2023, 6, 8), "Y")</f>
        <v>22</v>
      </c>
      <c r="V428">
        <f>SUM(C428:K428)</f>
        <v>27.71</v>
      </c>
    </row>
    <row r="429" spans="1:22" ht="15.75">
      <c r="A429" s="28" t="s">
        <v>856</v>
      </c>
      <c r="B429" s="28" t="s">
        <v>857</v>
      </c>
      <c r="C429" s="23">
        <v>25.71</v>
      </c>
      <c r="D429" s="23">
        <v>4.18</v>
      </c>
      <c r="E429" s="23" t="s">
        <v>4682</v>
      </c>
      <c r="F429" s="23" t="s">
        <v>4683</v>
      </c>
      <c r="G429" s="23" t="s">
        <v>4682</v>
      </c>
      <c r="H429" s="23">
        <v>1</v>
      </c>
      <c r="I429" s="23" t="s">
        <v>4683</v>
      </c>
      <c r="J429" s="23" t="s">
        <v>4730</v>
      </c>
      <c r="K429" s="23" t="s">
        <v>4737</v>
      </c>
      <c r="L429">
        <v>2002</v>
      </c>
      <c r="M429" s="15" t="s">
        <v>4702</v>
      </c>
      <c r="N429">
        <v>15</v>
      </c>
      <c r="O429">
        <v>0</v>
      </c>
      <c r="P429" s="21">
        <f>DATEVALUE(N429&amp;"-"&amp;M429&amp;"-"&amp;L429)</f>
        <v>37422</v>
      </c>
      <c r="Q429" s="22">
        <v>3931.51</v>
      </c>
      <c r="R429" s="23" t="s">
        <v>4697</v>
      </c>
      <c r="S429" s="23" t="s">
        <v>4698</v>
      </c>
      <c r="T429" s="23" t="s">
        <v>4708</v>
      </c>
      <c r="U429" s="23">
        <f>DATEDIF(P429, DATE(2023, 6, 8), "Y")</f>
        <v>20</v>
      </c>
      <c r="V429">
        <f>SUM(C429:K429)</f>
        <v>30.89</v>
      </c>
    </row>
    <row r="430" spans="1:22" ht="15.75">
      <c r="A430" s="28" t="s">
        <v>858</v>
      </c>
      <c r="B430" s="28" t="s">
        <v>859</v>
      </c>
      <c r="C430" s="23">
        <v>41.91</v>
      </c>
      <c r="D430" s="23">
        <v>5.98</v>
      </c>
      <c r="E430" s="23" t="s">
        <v>4683</v>
      </c>
      <c r="F430" s="23" t="s">
        <v>4682</v>
      </c>
      <c r="G430" s="23" t="s">
        <v>4682</v>
      </c>
      <c r="H430" s="23">
        <v>1</v>
      </c>
      <c r="I430" s="23" t="s">
        <v>4682</v>
      </c>
      <c r="J430" s="23" t="s">
        <v>4729</v>
      </c>
      <c r="K430" s="23" t="s">
        <v>4736</v>
      </c>
      <c r="L430">
        <v>1988</v>
      </c>
      <c r="M430" s="15" t="s">
        <v>4707</v>
      </c>
      <c r="N430">
        <v>24</v>
      </c>
      <c r="O430">
        <v>0</v>
      </c>
      <c r="P430" s="21">
        <f>DATEVALUE(N430&amp;"-"&amp;M430&amp;"-"&amp;L430)</f>
        <v>32440</v>
      </c>
      <c r="Q430" s="22">
        <v>3935.18</v>
      </c>
      <c r="R430" s="23" t="s">
        <v>4698</v>
      </c>
      <c r="S430" s="23" t="s">
        <v>4701</v>
      </c>
      <c r="T430" s="23" t="s">
        <v>4699</v>
      </c>
      <c r="U430" s="23">
        <f>DATEDIF(P430, DATE(2023, 6, 8), "Y")</f>
        <v>34</v>
      </c>
      <c r="V430">
        <f>SUM(C430:K430)</f>
        <v>48.89</v>
      </c>
    </row>
    <row r="431" spans="1:22" ht="15.75">
      <c r="A431" s="28" t="s">
        <v>860</v>
      </c>
      <c r="B431" s="28" t="s">
        <v>861</v>
      </c>
      <c r="C431" s="23">
        <v>25.85</v>
      </c>
      <c r="D431" s="23">
        <v>10.16</v>
      </c>
      <c r="E431" s="23" t="s">
        <v>4682</v>
      </c>
      <c r="F431" s="23" t="s">
        <v>4682</v>
      </c>
      <c r="G431" s="23" t="s">
        <v>4682</v>
      </c>
      <c r="H431" s="23">
        <v>0</v>
      </c>
      <c r="I431" s="23" t="s">
        <v>4683</v>
      </c>
      <c r="J431" s="23" t="s">
        <v>4730</v>
      </c>
      <c r="K431" s="23" t="s">
        <v>4735</v>
      </c>
      <c r="L431">
        <v>1993</v>
      </c>
      <c r="M431" s="15" t="s">
        <v>4703</v>
      </c>
      <c r="N431">
        <v>29</v>
      </c>
      <c r="O431">
        <v>0</v>
      </c>
      <c r="P431" s="21">
        <f>DATEVALUE(N431&amp;"-"&amp;M431&amp;"-"&amp;L431)</f>
        <v>34241</v>
      </c>
      <c r="Q431" s="22">
        <v>3943.6</v>
      </c>
      <c r="R431" s="23" t="s">
        <v>4697</v>
      </c>
      <c r="S431" s="23" t="s">
        <v>4698</v>
      </c>
      <c r="T431" s="23" t="s">
        <v>4714</v>
      </c>
      <c r="U431" s="23">
        <f>DATEDIF(P431, DATE(2023, 6, 8), "Y")</f>
        <v>29</v>
      </c>
      <c r="V431">
        <f>SUM(C431:K431)</f>
        <v>36.010000000000005</v>
      </c>
    </row>
    <row r="432" spans="1:22" ht="15.75">
      <c r="A432" s="28" t="s">
        <v>862</v>
      </c>
      <c r="B432" s="28" t="s">
        <v>863</v>
      </c>
      <c r="C432" s="23">
        <v>23.844999999999999</v>
      </c>
      <c r="D432" s="23">
        <v>11.71</v>
      </c>
      <c r="E432" s="23" t="s">
        <v>4682</v>
      </c>
      <c r="F432" s="23" t="s">
        <v>4682</v>
      </c>
      <c r="G432" s="23" t="s">
        <v>4682</v>
      </c>
      <c r="H432" s="23">
        <v>2</v>
      </c>
      <c r="I432" s="23" t="s">
        <v>4683</v>
      </c>
      <c r="J432" s="23" t="s">
        <v>4728</v>
      </c>
      <c r="K432" s="23" t="s">
        <v>4735</v>
      </c>
      <c r="L432">
        <v>1993</v>
      </c>
      <c r="M432" s="15" t="s">
        <v>4700</v>
      </c>
      <c r="N432">
        <v>11</v>
      </c>
      <c r="O432">
        <v>1</v>
      </c>
      <c r="P432" s="21">
        <f>DATEVALUE(N432&amp;"-"&amp;M432&amp;"-"&amp;L432)</f>
        <v>34284</v>
      </c>
      <c r="Q432" s="22">
        <v>3947.41</v>
      </c>
      <c r="R432" s="23" t="s">
        <v>4697</v>
      </c>
      <c r="S432" s="23" t="s">
        <v>4697</v>
      </c>
      <c r="T432" s="23" t="s">
        <v>4699</v>
      </c>
      <c r="U432" s="23">
        <f>DATEDIF(P432, DATE(2023, 6, 8), "Y")</f>
        <v>29</v>
      </c>
      <c r="V432">
        <f>SUM(C432:K432)</f>
        <v>37.555</v>
      </c>
    </row>
    <row r="433" spans="1:22" ht="15.75">
      <c r="A433" s="28" t="s">
        <v>864</v>
      </c>
      <c r="B433" s="28" t="s">
        <v>865</v>
      </c>
      <c r="C433" s="23">
        <v>30.59</v>
      </c>
      <c r="D433" s="23">
        <v>5.23</v>
      </c>
      <c r="E433" s="23" t="s">
        <v>4682</v>
      </c>
      <c r="F433" s="23" t="s">
        <v>4682</v>
      </c>
      <c r="G433" s="23" t="s">
        <v>4684</v>
      </c>
      <c r="H433" s="23">
        <v>1</v>
      </c>
      <c r="I433" s="23" t="s">
        <v>4682</v>
      </c>
      <c r="J433" s="23" t="s">
        <v>4729</v>
      </c>
      <c r="K433" s="23" t="s">
        <v>4737</v>
      </c>
      <c r="L433">
        <v>1999</v>
      </c>
      <c r="M433" s="15" t="s">
        <v>4696</v>
      </c>
      <c r="N433">
        <v>10</v>
      </c>
      <c r="O433">
        <v>0</v>
      </c>
      <c r="P433" s="21">
        <f>DATEVALUE(N433&amp;"-"&amp;M433&amp;"-"&amp;L433)</f>
        <v>36351</v>
      </c>
      <c r="Q433" s="22">
        <v>3955.98</v>
      </c>
      <c r="R433" s="23" t="s">
        <v>4697</v>
      </c>
      <c r="S433" s="23" t="s">
        <v>4698</v>
      </c>
      <c r="T433" s="23" t="s">
        <v>4717</v>
      </c>
      <c r="U433" s="23">
        <f>DATEDIF(P433, DATE(2023, 6, 8), "Y")</f>
        <v>23</v>
      </c>
      <c r="V433">
        <f>SUM(C433:K433)</f>
        <v>36.82</v>
      </c>
    </row>
    <row r="434" spans="1:22" ht="15.75">
      <c r="A434" s="28" t="s">
        <v>866</v>
      </c>
      <c r="B434" s="28" t="s">
        <v>867</v>
      </c>
      <c r="C434" s="23">
        <v>24.795000000000002</v>
      </c>
      <c r="D434" s="23">
        <v>6.85</v>
      </c>
      <c r="E434" s="23" t="s">
        <v>4682</v>
      </c>
      <c r="F434" s="23" t="s">
        <v>4682</v>
      </c>
      <c r="G434" s="23" t="s">
        <v>4682</v>
      </c>
      <c r="H434" s="23">
        <v>0</v>
      </c>
      <c r="I434" s="23" t="s">
        <v>4683</v>
      </c>
      <c r="J434" s="23" t="s">
        <v>4728</v>
      </c>
      <c r="K434" s="23" t="s">
        <v>4735</v>
      </c>
      <c r="L434">
        <v>1995</v>
      </c>
      <c r="M434" s="15" t="s">
        <v>4696</v>
      </c>
      <c r="N434">
        <v>11</v>
      </c>
      <c r="O434">
        <v>1</v>
      </c>
      <c r="P434" s="21">
        <f>DATEVALUE(N434&amp;"-"&amp;M434&amp;"-"&amp;L434)</f>
        <v>34891</v>
      </c>
      <c r="Q434" s="22">
        <v>3956.07</v>
      </c>
      <c r="R434" s="23" t="s">
        <v>4697</v>
      </c>
      <c r="S434" s="23" t="s">
        <v>4697</v>
      </c>
      <c r="T434" s="23" t="s">
        <v>4704</v>
      </c>
      <c r="U434" s="23">
        <f>DATEDIF(P434, DATE(2023, 6, 8), "Y")</f>
        <v>27</v>
      </c>
      <c r="V434">
        <f>SUM(C434:K434)</f>
        <v>31.645000000000003</v>
      </c>
    </row>
    <row r="435" spans="1:22" ht="15.75">
      <c r="A435" s="28" t="s">
        <v>868</v>
      </c>
      <c r="B435" s="28" t="s">
        <v>869</v>
      </c>
      <c r="C435" s="23">
        <v>24.13</v>
      </c>
      <c r="D435" s="23">
        <v>7.05</v>
      </c>
      <c r="E435" s="23" t="s">
        <v>4683</v>
      </c>
      <c r="F435" s="23" t="s">
        <v>4682</v>
      </c>
      <c r="G435" s="23" t="s">
        <v>4682</v>
      </c>
      <c r="H435" s="23">
        <v>2</v>
      </c>
      <c r="I435" s="23" t="s">
        <v>4683</v>
      </c>
      <c r="J435" s="23" t="s">
        <v>4728</v>
      </c>
      <c r="K435" s="23" t="s">
        <v>4735</v>
      </c>
      <c r="L435">
        <v>1990</v>
      </c>
      <c r="M435" s="15" t="s">
        <v>4696</v>
      </c>
      <c r="N435">
        <v>29</v>
      </c>
      <c r="O435">
        <v>0</v>
      </c>
      <c r="P435" s="21">
        <f>DATEVALUE(N435&amp;"-"&amp;M435&amp;"-"&amp;L435)</f>
        <v>33083</v>
      </c>
      <c r="Q435" s="22">
        <v>3972.92</v>
      </c>
      <c r="R435" s="23" t="s">
        <v>4697</v>
      </c>
      <c r="S435" s="23" t="s">
        <v>4698</v>
      </c>
      <c r="T435" s="23" t="s">
        <v>4699</v>
      </c>
      <c r="U435" s="23">
        <f>DATEDIF(P435, DATE(2023, 6, 8), "Y")</f>
        <v>32</v>
      </c>
      <c r="V435">
        <f>SUM(C435:K435)</f>
        <v>33.18</v>
      </c>
    </row>
    <row r="436" spans="1:22" ht="15.75">
      <c r="A436" s="28" t="s">
        <v>870</v>
      </c>
      <c r="B436" s="28" t="s">
        <v>871</v>
      </c>
      <c r="C436" s="23">
        <v>25.84</v>
      </c>
      <c r="D436" s="23">
        <v>11.64</v>
      </c>
      <c r="E436" s="23" t="s">
        <v>4682</v>
      </c>
      <c r="F436" s="23" t="s">
        <v>4682</v>
      </c>
      <c r="G436" s="23" t="s">
        <v>4682</v>
      </c>
      <c r="H436" s="23">
        <v>2</v>
      </c>
      <c r="I436" s="23" t="s">
        <v>4683</v>
      </c>
      <c r="J436" s="23" t="s">
        <v>4730</v>
      </c>
      <c r="K436" s="23" t="s">
        <v>4735</v>
      </c>
      <c r="L436">
        <v>1996</v>
      </c>
      <c r="M436" s="15" t="s">
        <v>4706</v>
      </c>
      <c r="N436">
        <v>17</v>
      </c>
      <c r="O436">
        <v>2</v>
      </c>
      <c r="P436" s="21">
        <f>DATEVALUE(N436&amp;"-"&amp;M436&amp;"-"&amp;L436)</f>
        <v>35294</v>
      </c>
      <c r="Q436" s="22">
        <v>3981.98</v>
      </c>
      <c r="R436" s="23" t="s">
        <v>4697</v>
      </c>
      <c r="S436" s="23" t="s">
        <v>4697</v>
      </c>
      <c r="T436" s="23" t="s">
        <v>4699</v>
      </c>
      <c r="U436" s="23">
        <f>DATEDIF(P436, DATE(2023, 6, 8), "Y")</f>
        <v>26</v>
      </c>
      <c r="V436">
        <f>SUM(C436:K436)</f>
        <v>39.480000000000004</v>
      </c>
    </row>
    <row r="437" spans="1:22" ht="15.75">
      <c r="A437" s="28" t="s">
        <v>872</v>
      </c>
      <c r="B437" s="28" t="s">
        <v>873</v>
      </c>
      <c r="C437" s="23">
        <v>28</v>
      </c>
      <c r="D437" s="23">
        <v>10.52</v>
      </c>
      <c r="E437" s="23" t="s">
        <v>4682</v>
      </c>
      <c r="F437" s="23" t="s">
        <v>4682</v>
      </c>
      <c r="G437" s="23" t="s">
        <v>4682</v>
      </c>
      <c r="H437" s="23">
        <v>0</v>
      </c>
      <c r="I437" s="23" t="s">
        <v>4683</v>
      </c>
      <c r="J437" s="23" t="s">
        <v>4730</v>
      </c>
      <c r="K437" s="23" t="s">
        <v>4735</v>
      </c>
      <c r="L437">
        <v>1996</v>
      </c>
      <c r="M437" s="15" t="s">
        <v>4703</v>
      </c>
      <c r="N437">
        <v>8</v>
      </c>
      <c r="O437">
        <v>2</v>
      </c>
      <c r="P437" s="21">
        <f>DATEVALUE(N437&amp;"-"&amp;M437&amp;"-"&amp;L437)</f>
        <v>35316</v>
      </c>
      <c r="Q437" s="22">
        <v>3987.93</v>
      </c>
      <c r="R437" s="23" t="s">
        <v>4697</v>
      </c>
      <c r="S437" s="23" t="s">
        <v>4697</v>
      </c>
      <c r="T437" s="23" t="s">
        <v>4708</v>
      </c>
      <c r="U437" s="23">
        <f>DATEDIF(P437, DATE(2023, 6, 8), "Y")</f>
        <v>26</v>
      </c>
      <c r="V437">
        <f>SUM(C437:K437)</f>
        <v>38.519999999999996</v>
      </c>
    </row>
    <row r="438" spans="1:22" ht="15.75">
      <c r="A438" s="28" t="s">
        <v>874</v>
      </c>
      <c r="B438" s="28" t="s">
        <v>875</v>
      </c>
      <c r="C438" s="23">
        <v>34.1</v>
      </c>
      <c r="D438" s="23">
        <v>4.01</v>
      </c>
      <c r="E438" s="23" t="s">
        <v>4683</v>
      </c>
      <c r="F438" s="23" t="s">
        <v>4682</v>
      </c>
      <c r="G438" s="23" t="s">
        <v>4684</v>
      </c>
      <c r="H438" s="23">
        <v>1</v>
      </c>
      <c r="I438" s="23" t="s">
        <v>4682</v>
      </c>
      <c r="J438" s="23" t="s">
        <v>4729</v>
      </c>
      <c r="K438" s="23" t="s">
        <v>4737</v>
      </c>
      <c r="L438">
        <v>1990</v>
      </c>
      <c r="M438" s="15" t="s">
        <v>4700</v>
      </c>
      <c r="N438">
        <v>22</v>
      </c>
      <c r="O438">
        <v>0</v>
      </c>
      <c r="P438" s="21">
        <f>DATEVALUE(N438&amp;"-"&amp;M438&amp;"-"&amp;L438)</f>
        <v>33199</v>
      </c>
      <c r="Q438" s="22">
        <v>3989.84</v>
      </c>
      <c r="R438" s="23" t="s">
        <v>4697</v>
      </c>
      <c r="S438" s="23" t="s">
        <v>4697</v>
      </c>
      <c r="T438" s="23" t="s">
        <v>4708</v>
      </c>
      <c r="U438" s="23">
        <f>DATEDIF(P438, DATE(2023, 6, 8), "Y")</f>
        <v>32</v>
      </c>
      <c r="V438">
        <f>SUM(C438:K438)</f>
        <v>39.11</v>
      </c>
    </row>
    <row r="439" spans="1:22" ht="15.75">
      <c r="A439" s="28" t="s">
        <v>876</v>
      </c>
      <c r="B439" s="28" t="s">
        <v>877</v>
      </c>
      <c r="C439" s="23">
        <v>26.125</v>
      </c>
      <c r="D439" s="23">
        <v>8.56</v>
      </c>
      <c r="E439" s="23" t="s">
        <v>4683</v>
      </c>
      <c r="F439" s="23" t="s">
        <v>4682</v>
      </c>
      <c r="G439" s="23" t="s">
        <v>4682</v>
      </c>
      <c r="H439" s="23">
        <v>1</v>
      </c>
      <c r="I439" s="23" t="s">
        <v>4683</v>
      </c>
      <c r="J439" s="23" t="s">
        <v>4730</v>
      </c>
      <c r="K439" s="23" t="s">
        <v>4735</v>
      </c>
      <c r="L439">
        <v>1990</v>
      </c>
      <c r="M439" s="15" t="s">
        <v>4700</v>
      </c>
      <c r="N439">
        <v>1</v>
      </c>
      <c r="O439">
        <v>0</v>
      </c>
      <c r="P439" s="21">
        <f>DATEVALUE(N439&amp;"-"&amp;M439&amp;"-"&amp;L439)</f>
        <v>33178</v>
      </c>
      <c r="Q439" s="22">
        <v>3994.18</v>
      </c>
      <c r="R439" s="23" t="s">
        <v>4697</v>
      </c>
      <c r="S439" s="23" t="s">
        <v>4697</v>
      </c>
      <c r="T439" s="23" t="s">
        <v>4699</v>
      </c>
      <c r="U439" s="23">
        <f>DATEDIF(P439, DATE(2023, 6, 8), "Y")</f>
        <v>32</v>
      </c>
      <c r="V439">
        <f>SUM(C439:K439)</f>
        <v>35.685000000000002</v>
      </c>
    </row>
    <row r="440" spans="1:22" ht="15.75">
      <c r="A440" s="28" t="s">
        <v>878</v>
      </c>
      <c r="B440" s="28" t="s">
        <v>879</v>
      </c>
      <c r="C440" s="23">
        <v>25.6</v>
      </c>
      <c r="D440" s="23">
        <v>10.5</v>
      </c>
      <c r="E440" s="23" t="s">
        <v>4682</v>
      </c>
      <c r="F440" s="23" t="s">
        <v>4682</v>
      </c>
      <c r="G440" s="23" t="s">
        <v>4682</v>
      </c>
      <c r="H440" s="23">
        <v>2</v>
      </c>
      <c r="I440" s="23" t="s">
        <v>4683</v>
      </c>
      <c r="J440" s="23" t="s">
        <v>4730</v>
      </c>
      <c r="K440" s="23" t="s">
        <v>4735</v>
      </c>
      <c r="L440">
        <v>1989</v>
      </c>
      <c r="M440" s="15" t="s">
        <v>4696</v>
      </c>
      <c r="N440">
        <v>10</v>
      </c>
      <c r="O440">
        <v>3</v>
      </c>
      <c r="P440" s="21">
        <f>DATEVALUE(N440&amp;"-"&amp;M440&amp;"-"&amp;L440)</f>
        <v>32699</v>
      </c>
      <c r="Q440" s="22">
        <v>4002.36</v>
      </c>
      <c r="R440" s="23" t="s">
        <v>4697</v>
      </c>
      <c r="S440" s="23" t="s">
        <v>4701</v>
      </c>
      <c r="T440" s="23" t="s">
        <v>4699</v>
      </c>
      <c r="U440" s="23">
        <f>DATEDIF(P440, DATE(2023, 6, 8), "Y")</f>
        <v>33</v>
      </c>
      <c r="V440">
        <f>SUM(C440:K440)</f>
        <v>38.1</v>
      </c>
    </row>
    <row r="441" spans="1:22" ht="15.75">
      <c r="A441" s="28" t="s">
        <v>880</v>
      </c>
      <c r="B441" s="28" t="s">
        <v>881</v>
      </c>
      <c r="C441" s="23">
        <v>24.32</v>
      </c>
      <c r="D441" s="23">
        <v>6.39</v>
      </c>
      <c r="E441" s="23" t="s">
        <v>4682</v>
      </c>
      <c r="F441" s="23" t="s">
        <v>4682</v>
      </c>
      <c r="G441" s="23" t="s">
        <v>4682</v>
      </c>
      <c r="H441" s="23">
        <v>0</v>
      </c>
      <c r="I441" s="23" t="s">
        <v>4682</v>
      </c>
      <c r="J441" s="23" t="s">
        <v>4728</v>
      </c>
      <c r="K441" s="23" t="s">
        <v>4736</v>
      </c>
      <c r="L441">
        <v>2000</v>
      </c>
      <c r="M441" s="15" t="s">
        <v>4703</v>
      </c>
      <c r="N441">
        <v>13</v>
      </c>
      <c r="O441">
        <v>3</v>
      </c>
      <c r="P441" s="21">
        <f>DATEVALUE(N441&amp;"-"&amp;M441&amp;"-"&amp;L441)</f>
        <v>36782</v>
      </c>
      <c r="Q441" s="22">
        <v>4005.42</v>
      </c>
      <c r="R441" s="23" t="s">
        <v>4697</v>
      </c>
      <c r="S441" s="23" t="s">
        <v>4701</v>
      </c>
      <c r="T441" s="23" t="s">
        <v>4709</v>
      </c>
      <c r="U441" s="23">
        <f>DATEDIF(P441, DATE(2023, 6, 8), "Y")</f>
        <v>22</v>
      </c>
      <c r="V441">
        <f>SUM(C441:K441)</f>
        <v>30.71</v>
      </c>
    </row>
    <row r="442" spans="1:22" ht="15.75">
      <c r="A442" s="28" t="s">
        <v>882</v>
      </c>
      <c r="B442" s="28" t="s">
        <v>883</v>
      </c>
      <c r="C442" s="23">
        <v>22.88</v>
      </c>
      <c r="D442" s="23">
        <v>5.71</v>
      </c>
      <c r="E442" s="23" t="s">
        <v>4683</v>
      </c>
      <c r="F442" s="23" t="s">
        <v>4682</v>
      </c>
      <c r="G442" s="23" t="s">
        <v>4684</v>
      </c>
      <c r="H442" s="23">
        <v>1</v>
      </c>
      <c r="I442" s="23" t="s">
        <v>4683</v>
      </c>
      <c r="J442" s="23" t="s">
        <v>4728</v>
      </c>
      <c r="K442" s="23" t="s">
        <v>4736</v>
      </c>
      <c r="L442">
        <v>1992</v>
      </c>
      <c r="M442" s="15" t="s">
        <v>4707</v>
      </c>
      <c r="N442">
        <v>11</v>
      </c>
      <c r="O442">
        <v>1</v>
      </c>
      <c r="P442" s="21">
        <f>DATEVALUE(N442&amp;"-"&amp;M442&amp;"-"&amp;L442)</f>
        <v>33888</v>
      </c>
      <c r="Q442" s="22">
        <v>4032.24</v>
      </c>
      <c r="R442" s="23" t="s">
        <v>4698</v>
      </c>
      <c r="S442" s="23" t="s">
        <v>4698</v>
      </c>
      <c r="T442" s="23" t="s">
        <v>4704</v>
      </c>
      <c r="U442" s="23">
        <f>DATEDIF(P442, DATE(2023, 6, 8), "Y")</f>
        <v>30</v>
      </c>
      <c r="V442">
        <f>SUM(C442:K442)</f>
        <v>29.59</v>
      </c>
    </row>
    <row r="443" spans="1:22" ht="15.75">
      <c r="A443" s="28" t="s">
        <v>884</v>
      </c>
      <c r="B443" s="28" t="s">
        <v>885</v>
      </c>
      <c r="C443" s="23">
        <v>24.984999999999999</v>
      </c>
      <c r="D443" s="23">
        <v>4.43</v>
      </c>
      <c r="E443" s="23" t="s">
        <v>4683</v>
      </c>
      <c r="F443" s="23" t="s">
        <v>4682</v>
      </c>
      <c r="G443" s="23" t="s">
        <v>4684</v>
      </c>
      <c r="H443" s="23">
        <v>1</v>
      </c>
      <c r="I443" s="23" t="s">
        <v>4682</v>
      </c>
      <c r="J443" s="23" t="s">
        <v>4730</v>
      </c>
      <c r="K443" s="23" t="s">
        <v>4737</v>
      </c>
      <c r="L443">
        <v>1984</v>
      </c>
      <c r="M443" s="15" t="s">
        <v>4696</v>
      </c>
      <c r="N443">
        <v>7</v>
      </c>
      <c r="O443">
        <v>3</v>
      </c>
      <c r="P443" s="21">
        <f>DATEVALUE(N443&amp;"-"&amp;M443&amp;"-"&amp;L443)</f>
        <v>30870</v>
      </c>
      <c r="Q443" s="22">
        <v>4038.41</v>
      </c>
      <c r="R443" s="23" t="s">
        <v>4697</v>
      </c>
      <c r="S443" s="23" t="s">
        <v>4701</v>
      </c>
      <c r="T443" s="23" t="s">
        <v>4699</v>
      </c>
      <c r="U443" s="23">
        <f>DATEDIF(P443, DATE(2023, 6, 8), "Y")</f>
        <v>38</v>
      </c>
      <c r="V443">
        <f>SUM(C443:K443)</f>
        <v>30.414999999999999</v>
      </c>
    </row>
    <row r="444" spans="1:22" ht="15.75">
      <c r="A444" s="28" t="s">
        <v>886</v>
      </c>
      <c r="B444" s="28" t="s">
        <v>887</v>
      </c>
      <c r="C444" s="23">
        <v>33.1</v>
      </c>
      <c r="D444" s="23">
        <v>5.52</v>
      </c>
      <c r="E444" s="23" t="s">
        <v>4682</v>
      </c>
      <c r="F444" s="23" t="s">
        <v>4682</v>
      </c>
      <c r="G444" s="23" t="s">
        <v>4684</v>
      </c>
      <c r="H444" s="23">
        <v>1</v>
      </c>
      <c r="I444" s="23" t="s">
        <v>4682</v>
      </c>
      <c r="J444" s="23" t="s">
        <v>4729</v>
      </c>
      <c r="K444" s="23" t="s">
        <v>4737</v>
      </c>
      <c r="L444">
        <v>1983</v>
      </c>
      <c r="M444" s="15" t="s">
        <v>4700</v>
      </c>
      <c r="N444">
        <v>10</v>
      </c>
      <c r="O444">
        <v>3</v>
      </c>
      <c r="P444" s="21">
        <f>DATEVALUE(N444&amp;"-"&amp;M444&amp;"-"&amp;L444)</f>
        <v>30630</v>
      </c>
      <c r="Q444" s="22">
        <v>4039.9</v>
      </c>
      <c r="R444" s="23" t="s">
        <v>4697</v>
      </c>
      <c r="S444" s="23" t="s">
        <v>4701</v>
      </c>
      <c r="T444" s="23" t="s">
        <v>4699</v>
      </c>
      <c r="U444" s="23">
        <f>DATEDIF(P444, DATE(2023, 6, 8), "Y")</f>
        <v>39</v>
      </c>
      <c r="V444">
        <f>SUM(C444:K444)</f>
        <v>39.620000000000005</v>
      </c>
    </row>
    <row r="445" spans="1:22" ht="15.75">
      <c r="A445" s="28" t="s">
        <v>888</v>
      </c>
      <c r="B445" s="28" t="s">
        <v>889</v>
      </c>
      <c r="C445" s="23">
        <v>27.83</v>
      </c>
      <c r="D445" s="23">
        <v>9.1999999999999993</v>
      </c>
      <c r="E445" s="23" t="s">
        <v>4683</v>
      </c>
      <c r="F445" s="23" t="s">
        <v>4682</v>
      </c>
      <c r="G445" s="23" t="s">
        <v>4682</v>
      </c>
      <c r="H445" s="23">
        <v>1</v>
      </c>
      <c r="I445" s="23" t="s">
        <v>4683</v>
      </c>
      <c r="J445" s="23" t="s">
        <v>4730</v>
      </c>
      <c r="K445" s="23" t="s">
        <v>4735</v>
      </c>
      <c r="L445">
        <v>1993</v>
      </c>
      <c r="M445" s="15" t="s">
        <v>4705</v>
      </c>
      <c r="N445">
        <v>26</v>
      </c>
      <c r="O445">
        <v>1</v>
      </c>
      <c r="P445" s="21">
        <f>DATEVALUE(N445&amp;"-"&amp;M445&amp;"-"&amp;L445)</f>
        <v>34329</v>
      </c>
      <c r="Q445" s="22">
        <v>4040.56</v>
      </c>
      <c r="R445" s="23" t="s">
        <v>4698</v>
      </c>
      <c r="S445" s="23" t="s">
        <v>4698</v>
      </c>
      <c r="T445" s="23" t="s">
        <v>4709</v>
      </c>
      <c r="U445" s="23">
        <f>DATEDIF(P445, DATE(2023, 6, 8), "Y")</f>
        <v>29</v>
      </c>
      <c r="V445">
        <f>SUM(C445:K445)</f>
        <v>38.03</v>
      </c>
    </row>
    <row r="446" spans="1:22" ht="15.75">
      <c r="A446" s="28" t="s">
        <v>890</v>
      </c>
      <c r="B446" s="28" t="s">
        <v>891</v>
      </c>
      <c r="C446" s="23">
        <v>30.875</v>
      </c>
      <c r="D446" s="23">
        <v>10.97</v>
      </c>
      <c r="E446" s="23" t="s">
        <v>4683</v>
      </c>
      <c r="F446" s="23" t="s">
        <v>4682</v>
      </c>
      <c r="G446" s="23" t="s">
        <v>4682</v>
      </c>
      <c r="H446" s="23">
        <v>2</v>
      </c>
      <c r="I446" s="23" t="s">
        <v>4682</v>
      </c>
      <c r="J446" s="23" t="s">
        <v>4729</v>
      </c>
      <c r="K446" s="23" t="s">
        <v>4735</v>
      </c>
      <c r="L446">
        <v>1988</v>
      </c>
      <c r="M446" s="15" t="s">
        <v>4700</v>
      </c>
      <c r="N446">
        <v>30</v>
      </c>
      <c r="O446">
        <v>3</v>
      </c>
      <c r="P446" s="21">
        <f>DATEVALUE(N446&amp;"-"&amp;M446&amp;"-"&amp;L446)</f>
        <v>32477</v>
      </c>
      <c r="Q446" s="22">
        <v>4047.94</v>
      </c>
      <c r="R446" s="23" t="s">
        <v>4697</v>
      </c>
      <c r="S446" s="23" t="s">
        <v>4701</v>
      </c>
      <c r="T446" s="23" t="s">
        <v>4699</v>
      </c>
      <c r="U446" s="23">
        <f>DATEDIF(P446, DATE(2023, 6, 8), "Y")</f>
        <v>34</v>
      </c>
      <c r="V446">
        <f>SUM(C446:K446)</f>
        <v>43.844999999999999</v>
      </c>
    </row>
    <row r="447" spans="1:22" ht="15.75">
      <c r="A447" s="28" t="s">
        <v>892</v>
      </c>
      <c r="B447" s="28" t="s">
        <v>893</v>
      </c>
      <c r="C447" s="23">
        <v>27.265000000000001</v>
      </c>
      <c r="D447" s="23">
        <v>4.25</v>
      </c>
      <c r="E447" s="23" t="s">
        <v>4682</v>
      </c>
      <c r="F447" s="23" t="s">
        <v>4682</v>
      </c>
      <c r="G447" s="23" t="s">
        <v>4684</v>
      </c>
      <c r="H447" s="23">
        <v>1</v>
      </c>
      <c r="I447" s="23" t="s">
        <v>4682</v>
      </c>
      <c r="J447" s="23" t="s">
        <v>4730</v>
      </c>
      <c r="K447" s="23" t="s">
        <v>4737</v>
      </c>
      <c r="L447">
        <v>1993</v>
      </c>
      <c r="M447" s="15" t="s">
        <v>4706</v>
      </c>
      <c r="N447">
        <v>13</v>
      </c>
      <c r="O447">
        <v>2</v>
      </c>
      <c r="P447" s="21">
        <f>DATEVALUE(N447&amp;"-"&amp;M447&amp;"-"&amp;L447)</f>
        <v>34194</v>
      </c>
      <c r="Q447" s="22">
        <v>4058.12</v>
      </c>
      <c r="R447" s="23" t="s">
        <v>4697</v>
      </c>
      <c r="S447" s="23" t="s">
        <v>4701</v>
      </c>
      <c r="T447" s="23" t="s">
        <v>4699</v>
      </c>
      <c r="U447" s="23">
        <f>DATEDIF(P447, DATE(2023, 6, 8), "Y")</f>
        <v>29</v>
      </c>
      <c r="V447">
        <f>SUM(C447:K447)</f>
        <v>32.515000000000001</v>
      </c>
    </row>
    <row r="448" spans="1:22" ht="15.75">
      <c r="A448" s="28" t="s">
        <v>894</v>
      </c>
      <c r="B448" s="28" t="s">
        <v>895</v>
      </c>
      <c r="C448" s="23">
        <v>26.7</v>
      </c>
      <c r="D448" s="23">
        <v>5.23</v>
      </c>
      <c r="E448" s="23" t="s">
        <v>4682</v>
      </c>
      <c r="F448" s="23" t="s">
        <v>4682</v>
      </c>
      <c r="G448" s="23" t="s">
        <v>4684</v>
      </c>
      <c r="H448" s="23">
        <v>1</v>
      </c>
      <c r="I448" s="23" t="s">
        <v>4683</v>
      </c>
      <c r="J448" s="23" t="s">
        <v>4730</v>
      </c>
      <c r="K448" s="23" t="s">
        <v>4737</v>
      </c>
      <c r="L448">
        <v>1995</v>
      </c>
      <c r="M448" s="15" t="s">
        <v>4703</v>
      </c>
      <c r="N448">
        <v>14</v>
      </c>
      <c r="O448">
        <v>2</v>
      </c>
      <c r="P448" s="21">
        <f>DATEVALUE(N448&amp;"-"&amp;M448&amp;"-"&amp;L448)</f>
        <v>34956</v>
      </c>
      <c r="Q448" s="22">
        <v>4058.71</v>
      </c>
      <c r="R448" s="23" t="s">
        <v>4698</v>
      </c>
      <c r="S448" s="23" t="s">
        <v>4698</v>
      </c>
      <c r="T448" s="23" t="s">
        <v>4704</v>
      </c>
      <c r="U448" s="23">
        <f>DATEDIF(P448, DATE(2023, 6, 8), "Y")</f>
        <v>27</v>
      </c>
      <c r="V448">
        <f>SUM(C448:K448)</f>
        <v>32.93</v>
      </c>
    </row>
    <row r="449" spans="1:22" ht="15.75">
      <c r="A449" s="28" t="s">
        <v>896</v>
      </c>
      <c r="B449" s="28" t="s">
        <v>897</v>
      </c>
      <c r="C449" s="23">
        <v>29.925000000000001</v>
      </c>
      <c r="D449" s="23">
        <v>5.96</v>
      </c>
      <c r="E449" s="23" t="s">
        <v>4683</v>
      </c>
      <c r="F449" s="23" t="s">
        <v>4682</v>
      </c>
      <c r="G449" s="23" t="s">
        <v>4684</v>
      </c>
      <c r="H449" s="23">
        <v>1</v>
      </c>
      <c r="I449" s="23" t="s">
        <v>4683</v>
      </c>
      <c r="J449" s="23" t="s">
        <v>4729</v>
      </c>
      <c r="K449" s="23" t="s">
        <v>4736</v>
      </c>
      <c r="L449">
        <v>1983</v>
      </c>
      <c r="M449" s="15" t="s">
        <v>4703</v>
      </c>
      <c r="N449">
        <v>16</v>
      </c>
      <c r="O449">
        <v>3</v>
      </c>
      <c r="P449" s="21">
        <f>DATEVALUE(N449&amp;"-"&amp;M449&amp;"-"&amp;L449)</f>
        <v>30575</v>
      </c>
      <c r="Q449" s="22">
        <v>4070.42</v>
      </c>
      <c r="R449" s="23" t="s">
        <v>4697</v>
      </c>
      <c r="S449" s="23" t="s">
        <v>4701</v>
      </c>
      <c r="T449" s="23" t="s">
        <v>4699</v>
      </c>
      <c r="U449" s="23">
        <f>DATEDIF(P449, DATE(2023, 6, 8), "Y")</f>
        <v>39</v>
      </c>
      <c r="V449">
        <f>SUM(C449:K449)</f>
        <v>36.884999999999998</v>
      </c>
    </row>
    <row r="450" spans="1:22" ht="15.75">
      <c r="A450" s="28" t="s">
        <v>898</v>
      </c>
      <c r="B450" s="28" t="s">
        <v>899</v>
      </c>
      <c r="C450" s="23">
        <v>19.95</v>
      </c>
      <c r="D450" s="23">
        <v>4.29</v>
      </c>
      <c r="E450" s="23" t="s">
        <v>4683</v>
      </c>
      <c r="F450" s="23" t="s">
        <v>4682</v>
      </c>
      <c r="G450" s="23" t="s">
        <v>4682</v>
      </c>
      <c r="H450" s="23">
        <v>2</v>
      </c>
      <c r="I450" s="23" t="s">
        <v>4683</v>
      </c>
      <c r="J450" s="23" t="s">
        <v>4728</v>
      </c>
      <c r="K450" s="23" t="s">
        <v>4737</v>
      </c>
      <c r="L450">
        <v>2002</v>
      </c>
      <c r="M450" s="15" t="s">
        <v>4707</v>
      </c>
      <c r="N450">
        <v>18</v>
      </c>
      <c r="O450">
        <v>0</v>
      </c>
      <c r="P450" s="21">
        <f>DATEVALUE(N450&amp;"-"&amp;M450&amp;"-"&amp;L450)</f>
        <v>37547</v>
      </c>
      <c r="Q450" s="22">
        <v>4070.51</v>
      </c>
      <c r="R450" s="23" t="s">
        <v>4697</v>
      </c>
      <c r="S450" s="23" t="s">
        <v>4701</v>
      </c>
      <c r="T450" s="23" t="s">
        <v>4704</v>
      </c>
      <c r="U450" s="23">
        <f>DATEDIF(P450, DATE(2023, 6, 8), "Y")</f>
        <v>20</v>
      </c>
      <c r="V450">
        <f>SUM(C450:K450)</f>
        <v>26.24</v>
      </c>
    </row>
    <row r="451" spans="1:22" ht="15.75">
      <c r="A451" s="28" t="s">
        <v>900</v>
      </c>
      <c r="B451" s="28" t="s">
        <v>901</v>
      </c>
      <c r="C451" s="23">
        <v>24.225000000000001</v>
      </c>
      <c r="D451" s="23">
        <v>4.09</v>
      </c>
      <c r="E451" s="23" t="s">
        <v>4682</v>
      </c>
      <c r="F451" s="23" t="s">
        <v>4682</v>
      </c>
      <c r="G451" s="23" t="s">
        <v>4682</v>
      </c>
      <c r="H451" s="23">
        <v>0</v>
      </c>
      <c r="I451" s="23" t="s">
        <v>4682</v>
      </c>
      <c r="J451" s="23" t="s">
        <v>4728</v>
      </c>
      <c r="K451" s="23" t="s">
        <v>4737</v>
      </c>
      <c r="L451">
        <v>1990</v>
      </c>
      <c r="M451" s="15" t="s">
        <v>4705</v>
      </c>
      <c r="N451">
        <v>1</v>
      </c>
      <c r="O451">
        <v>1</v>
      </c>
      <c r="P451" s="21">
        <f>DATEVALUE(N451&amp;"-"&amp;M451&amp;"-"&amp;L451)</f>
        <v>33208</v>
      </c>
      <c r="Q451" s="22">
        <v>4074.45</v>
      </c>
      <c r="R451" s="23" t="s">
        <v>4698</v>
      </c>
      <c r="S451" s="23" t="s">
        <v>4697</v>
      </c>
      <c r="T451" s="23" t="s">
        <v>4699</v>
      </c>
      <c r="U451" s="23">
        <f>DATEDIF(P451, DATE(2023, 6, 8), "Y")</f>
        <v>32</v>
      </c>
      <c r="V451">
        <f>SUM(C451:K451)</f>
        <v>28.315000000000001</v>
      </c>
    </row>
    <row r="452" spans="1:22" ht="15.75">
      <c r="A452" s="28" t="s">
        <v>902</v>
      </c>
      <c r="B452" s="28" t="s">
        <v>903</v>
      </c>
      <c r="C452" s="23">
        <v>28.12</v>
      </c>
      <c r="D452" s="23">
        <v>4.88</v>
      </c>
      <c r="E452" s="23" t="s">
        <v>4682</v>
      </c>
      <c r="F452" s="23" t="s">
        <v>4682</v>
      </c>
      <c r="G452" s="23" t="s">
        <v>4682</v>
      </c>
      <c r="H452" s="23">
        <v>0</v>
      </c>
      <c r="I452" s="23" t="s">
        <v>4683</v>
      </c>
      <c r="J452" s="23" t="s">
        <v>4730</v>
      </c>
      <c r="K452" s="23" t="s">
        <v>4737</v>
      </c>
      <c r="L452">
        <v>1990</v>
      </c>
      <c r="M452" s="15" t="s">
        <v>4705</v>
      </c>
      <c r="N452">
        <v>14</v>
      </c>
      <c r="O452">
        <v>1</v>
      </c>
      <c r="P452" s="21">
        <f>DATEVALUE(N452&amp;"-"&amp;M452&amp;"-"&amp;L452)</f>
        <v>33221</v>
      </c>
      <c r="Q452" s="22">
        <v>4076.5</v>
      </c>
      <c r="R452" s="23" t="s">
        <v>4697</v>
      </c>
      <c r="S452" s="23" t="s">
        <v>4698</v>
      </c>
      <c r="T452" s="23" t="s">
        <v>4708</v>
      </c>
      <c r="U452" s="23">
        <f>DATEDIF(P452, DATE(2023, 6, 8), "Y")</f>
        <v>32</v>
      </c>
      <c r="V452">
        <f>SUM(C452:K452)</f>
        <v>33</v>
      </c>
    </row>
    <row r="453" spans="1:22" ht="15.75">
      <c r="A453" s="28" t="s">
        <v>904</v>
      </c>
      <c r="B453" s="28" t="s">
        <v>905</v>
      </c>
      <c r="C453" s="23">
        <v>23.21</v>
      </c>
      <c r="D453" s="23">
        <v>6.76</v>
      </c>
      <c r="E453" s="23" t="s">
        <v>4682</v>
      </c>
      <c r="F453" s="23" t="s">
        <v>4682</v>
      </c>
      <c r="G453" s="23" t="s">
        <v>4682</v>
      </c>
      <c r="H453" s="23">
        <v>0</v>
      </c>
      <c r="I453" s="23" t="s">
        <v>4683</v>
      </c>
      <c r="J453" s="23" t="s">
        <v>4728</v>
      </c>
      <c r="K453" s="23" t="s">
        <v>4735</v>
      </c>
      <c r="L453">
        <v>1994</v>
      </c>
      <c r="M453" s="15" t="s">
        <v>4706</v>
      </c>
      <c r="N453">
        <v>21</v>
      </c>
      <c r="O453">
        <v>1</v>
      </c>
      <c r="P453" s="21">
        <f>DATEVALUE(N453&amp;"-"&amp;M453&amp;"-"&amp;L453)</f>
        <v>34567</v>
      </c>
      <c r="Q453" s="22">
        <v>4133.6400000000003</v>
      </c>
      <c r="R453" s="23" t="s">
        <v>4697</v>
      </c>
      <c r="S453" s="23" t="s">
        <v>4698</v>
      </c>
      <c r="T453" s="23" t="s">
        <v>4704</v>
      </c>
      <c r="U453" s="23">
        <f>DATEDIF(P453, DATE(2023, 6, 8), "Y")</f>
        <v>28</v>
      </c>
      <c r="V453">
        <f>SUM(C453:K453)</f>
        <v>29.97</v>
      </c>
    </row>
    <row r="454" spans="1:22" ht="15.75">
      <c r="A454" s="28" t="s">
        <v>906</v>
      </c>
      <c r="B454" s="28" t="s">
        <v>907</v>
      </c>
      <c r="C454" s="23">
        <v>23.98</v>
      </c>
      <c r="D454" s="23">
        <v>10.67</v>
      </c>
      <c r="E454" s="23" t="s">
        <v>4682</v>
      </c>
      <c r="F454" s="23" t="s">
        <v>4682</v>
      </c>
      <c r="G454" s="23" t="s">
        <v>4682</v>
      </c>
      <c r="H454" s="23">
        <v>0</v>
      </c>
      <c r="I454" s="23" t="s">
        <v>4682</v>
      </c>
      <c r="J454" s="23" t="s">
        <v>4728</v>
      </c>
      <c r="K454" s="23" t="s">
        <v>4735</v>
      </c>
      <c r="L454">
        <v>1991</v>
      </c>
      <c r="M454" s="15" t="s">
        <v>4706</v>
      </c>
      <c r="N454">
        <v>6</v>
      </c>
      <c r="O454">
        <v>0</v>
      </c>
      <c r="P454" s="21">
        <f>DATEVALUE(N454&amp;"-"&amp;M454&amp;"-"&amp;L454)</f>
        <v>33456</v>
      </c>
      <c r="Q454" s="22">
        <v>4134.08</v>
      </c>
      <c r="R454" s="23" t="s">
        <v>4697</v>
      </c>
      <c r="S454" s="23" t="s">
        <v>4701</v>
      </c>
      <c r="T454" s="23" t="s">
        <v>4704</v>
      </c>
      <c r="U454" s="23">
        <f>DATEDIF(P454, DATE(2023, 6, 8), "Y")</f>
        <v>31</v>
      </c>
      <c r="V454">
        <f>SUM(C454:K454)</f>
        <v>34.65</v>
      </c>
    </row>
    <row r="455" spans="1:22" ht="15.75">
      <c r="A455" s="28" t="s">
        <v>908</v>
      </c>
      <c r="B455" s="28" t="s">
        <v>909</v>
      </c>
      <c r="C455" s="23">
        <v>30</v>
      </c>
      <c r="D455" s="23">
        <v>6.21</v>
      </c>
      <c r="E455" s="23" t="s">
        <v>4682</v>
      </c>
      <c r="F455" s="23" t="s">
        <v>4682</v>
      </c>
      <c r="G455" s="23" t="s">
        <v>4682</v>
      </c>
      <c r="H455" s="23">
        <v>0</v>
      </c>
      <c r="I455" s="23" t="s">
        <v>4683</v>
      </c>
      <c r="J455" s="23" t="s">
        <v>4729</v>
      </c>
      <c r="K455" s="23" t="s">
        <v>4736</v>
      </c>
      <c r="L455">
        <v>1992</v>
      </c>
      <c r="M455" s="15" t="s">
        <v>4702</v>
      </c>
      <c r="N455">
        <v>18</v>
      </c>
      <c r="O455">
        <v>0</v>
      </c>
      <c r="P455" s="21">
        <f>DATEVALUE(N455&amp;"-"&amp;M455&amp;"-"&amp;L455)</f>
        <v>33773</v>
      </c>
      <c r="Q455" s="22">
        <v>4137.5200000000004</v>
      </c>
      <c r="R455" s="23" t="s">
        <v>4697</v>
      </c>
      <c r="S455" s="23" t="s">
        <v>4698</v>
      </c>
      <c r="T455" s="23" t="s">
        <v>4714</v>
      </c>
      <c r="U455" s="23">
        <f>DATEDIF(P455, DATE(2023, 6, 8), "Y")</f>
        <v>30</v>
      </c>
      <c r="V455">
        <f>SUM(C455:K455)</f>
        <v>36.21</v>
      </c>
    </row>
    <row r="456" spans="1:22" ht="15.75">
      <c r="A456" s="28" t="s">
        <v>910</v>
      </c>
      <c r="B456" s="28" t="s">
        <v>911</v>
      </c>
      <c r="C456" s="23">
        <v>17.350000000000001</v>
      </c>
      <c r="D456" s="23">
        <v>5.03</v>
      </c>
      <c r="E456" s="23" t="s">
        <v>4683</v>
      </c>
      <c r="F456" s="23" t="s">
        <v>4682</v>
      </c>
      <c r="G456" s="23" t="s">
        <v>4682</v>
      </c>
      <c r="H456" s="23">
        <v>0</v>
      </c>
      <c r="I456" s="23" t="s">
        <v>4683</v>
      </c>
      <c r="J456" s="23" t="s">
        <v>4731</v>
      </c>
      <c r="K456" s="23" t="s">
        <v>4737</v>
      </c>
      <c r="L456">
        <v>1992</v>
      </c>
      <c r="M456" s="15" t="s">
        <v>4702</v>
      </c>
      <c r="N456">
        <v>28</v>
      </c>
      <c r="O456">
        <v>1</v>
      </c>
      <c r="P456" s="21">
        <f>DATEVALUE(N456&amp;"-"&amp;M456&amp;"-"&amp;L456)</f>
        <v>33783</v>
      </c>
      <c r="Q456" s="22">
        <v>4149.74</v>
      </c>
      <c r="R456" s="23" t="s">
        <v>4697</v>
      </c>
      <c r="S456" s="23" t="s">
        <v>4701</v>
      </c>
      <c r="T456" s="23" t="s">
        <v>4708</v>
      </c>
      <c r="U456" s="23">
        <f>DATEDIF(P456, DATE(2023, 6, 8), "Y")</f>
        <v>30</v>
      </c>
      <c r="V456">
        <f>SUM(C456:K456)</f>
        <v>22.380000000000003</v>
      </c>
    </row>
    <row r="457" spans="1:22" ht="15.75">
      <c r="A457" s="28" t="s">
        <v>912</v>
      </c>
      <c r="B457" s="28" t="s">
        <v>913</v>
      </c>
      <c r="C457" s="23">
        <v>22.704999999999998</v>
      </c>
      <c r="D457" s="23">
        <v>5.27</v>
      </c>
      <c r="E457" s="23" t="s">
        <v>4682</v>
      </c>
      <c r="F457" s="23" t="s">
        <v>4682</v>
      </c>
      <c r="G457" s="23" t="s">
        <v>4682</v>
      </c>
      <c r="H457" s="23">
        <v>0</v>
      </c>
      <c r="I457" s="23" t="s">
        <v>4682</v>
      </c>
      <c r="J457" s="23" t="s">
        <v>4728</v>
      </c>
      <c r="K457" s="23" t="s">
        <v>4737</v>
      </c>
      <c r="L457">
        <v>1992</v>
      </c>
      <c r="M457" s="15" t="s">
        <v>4706</v>
      </c>
      <c r="N457">
        <v>4</v>
      </c>
      <c r="O457">
        <v>1</v>
      </c>
      <c r="P457" s="21">
        <f>DATEVALUE(N457&amp;"-"&amp;M457&amp;"-"&amp;L457)</f>
        <v>33820</v>
      </c>
      <c r="Q457" s="22">
        <v>4151.03</v>
      </c>
      <c r="R457" s="23" t="s">
        <v>4697</v>
      </c>
      <c r="S457" s="23" t="s">
        <v>4697</v>
      </c>
      <c r="T457" s="23" t="s">
        <v>4699</v>
      </c>
      <c r="U457" s="23">
        <f>DATEDIF(P457, DATE(2023, 6, 8), "Y")</f>
        <v>30</v>
      </c>
      <c r="V457">
        <f>SUM(C457:K457)</f>
        <v>27.974999999999998</v>
      </c>
    </row>
    <row r="458" spans="1:22" ht="15.75">
      <c r="A458" s="28" t="s">
        <v>914</v>
      </c>
      <c r="B458" s="28" t="s">
        <v>915</v>
      </c>
      <c r="C458" s="23">
        <v>25.41</v>
      </c>
      <c r="D458" s="23">
        <v>10.53</v>
      </c>
      <c r="E458" s="23" t="s">
        <v>4683</v>
      </c>
      <c r="F458" s="23" t="s">
        <v>4682</v>
      </c>
      <c r="G458" s="23" t="s">
        <v>4682</v>
      </c>
      <c r="H458" s="23">
        <v>1</v>
      </c>
      <c r="I458" s="23" t="s">
        <v>4683</v>
      </c>
      <c r="J458" s="23" t="s">
        <v>4730</v>
      </c>
      <c r="K458" s="23" t="s">
        <v>4735</v>
      </c>
      <c r="L458">
        <v>1998</v>
      </c>
      <c r="M458" s="15" t="s">
        <v>4700</v>
      </c>
      <c r="N458">
        <v>26</v>
      </c>
      <c r="O458">
        <v>0</v>
      </c>
      <c r="P458" s="21">
        <f>DATEVALUE(N458&amp;"-"&amp;M458&amp;"-"&amp;L458)</f>
        <v>36125</v>
      </c>
      <c r="Q458" s="22">
        <v>4154.97</v>
      </c>
      <c r="R458" s="23" t="s">
        <v>4697</v>
      </c>
      <c r="S458" s="23" t="s">
        <v>4701</v>
      </c>
      <c r="T458" s="23" t="s">
        <v>4704</v>
      </c>
      <c r="U458" s="23">
        <f>DATEDIF(P458, DATE(2023, 6, 8), "Y")</f>
        <v>24</v>
      </c>
      <c r="V458">
        <f>SUM(C458:K458)</f>
        <v>36.94</v>
      </c>
    </row>
    <row r="459" spans="1:22" ht="15.75">
      <c r="A459" s="28" t="s">
        <v>916</v>
      </c>
      <c r="B459" s="28" t="s">
        <v>917</v>
      </c>
      <c r="C459" s="23">
        <v>18.23</v>
      </c>
      <c r="D459" s="23">
        <v>5.78</v>
      </c>
      <c r="E459" s="23" t="s">
        <v>4682</v>
      </c>
      <c r="F459" s="23" t="s">
        <v>4682</v>
      </c>
      <c r="G459" s="23" t="s">
        <v>4684</v>
      </c>
      <c r="H459" s="23">
        <v>1</v>
      </c>
      <c r="I459" s="23" t="s">
        <v>4683</v>
      </c>
      <c r="J459" s="23" t="s">
        <v>4731</v>
      </c>
      <c r="K459" s="23" t="s">
        <v>4736</v>
      </c>
      <c r="L459">
        <v>1984</v>
      </c>
      <c r="M459" s="15" t="s">
        <v>4703</v>
      </c>
      <c r="N459">
        <v>16</v>
      </c>
      <c r="O459">
        <v>3</v>
      </c>
      <c r="P459" s="21">
        <f>DATEVALUE(N459&amp;"-"&amp;M459&amp;"-"&amp;L459)</f>
        <v>30941</v>
      </c>
      <c r="Q459" s="22">
        <v>4163.21</v>
      </c>
      <c r="R459" s="23" t="s">
        <v>4697</v>
      </c>
      <c r="S459" s="23" t="s">
        <v>4697</v>
      </c>
      <c r="T459" s="23" t="s">
        <v>4704</v>
      </c>
      <c r="U459" s="23">
        <f>DATEDIF(P459, DATE(2023, 6, 8), "Y")</f>
        <v>38</v>
      </c>
      <c r="V459">
        <f>SUM(C459:K459)</f>
        <v>25.01</v>
      </c>
    </row>
    <row r="460" spans="1:22" ht="15.75">
      <c r="A460" s="28" t="s">
        <v>918</v>
      </c>
      <c r="B460" s="28" t="s">
        <v>919</v>
      </c>
      <c r="C460" s="23">
        <v>24.7</v>
      </c>
      <c r="D460" s="23">
        <v>4.3600000000000003</v>
      </c>
      <c r="E460" s="23" t="s">
        <v>4682</v>
      </c>
      <c r="F460" s="23" t="s">
        <v>4682</v>
      </c>
      <c r="G460" s="23" t="s">
        <v>4684</v>
      </c>
      <c r="H460" s="23">
        <v>1</v>
      </c>
      <c r="I460" s="23" t="s">
        <v>4683</v>
      </c>
      <c r="J460" s="23" t="s">
        <v>4728</v>
      </c>
      <c r="K460" s="23" t="s">
        <v>4737</v>
      </c>
      <c r="L460">
        <v>1989</v>
      </c>
      <c r="M460" s="15" t="s">
        <v>4702</v>
      </c>
      <c r="N460">
        <v>25</v>
      </c>
      <c r="O460">
        <v>0</v>
      </c>
      <c r="P460" s="21">
        <f>DATEVALUE(N460&amp;"-"&amp;M460&amp;"-"&amp;L460)</f>
        <v>32684</v>
      </c>
      <c r="Q460" s="22">
        <v>4185.1000000000004</v>
      </c>
      <c r="R460" s="23" t="s">
        <v>4697</v>
      </c>
      <c r="S460" s="23" t="s">
        <v>4698</v>
      </c>
      <c r="T460" s="23" t="s">
        <v>4699</v>
      </c>
      <c r="U460" s="23">
        <f>DATEDIF(P460, DATE(2023, 6, 8), "Y")</f>
        <v>33</v>
      </c>
      <c r="V460">
        <f>SUM(C460:K460)</f>
        <v>30.06</v>
      </c>
    </row>
    <row r="461" spans="1:22" ht="15.75">
      <c r="A461" s="28" t="s">
        <v>920</v>
      </c>
      <c r="B461" s="28" t="s">
        <v>921</v>
      </c>
      <c r="C461" s="23">
        <v>37.4</v>
      </c>
      <c r="D461" s="23">
        <v>9.7200000000000006</v>
      </c>
      <c r="E461" s="23" t="s">
        <v>4683</v>
      </c>
      <c r="F461" s="23" t="s">
        <v>4682</v>
      </c>
      <c r="G461" s="23" t="s">
        <v>4684</v>
      </c>
      <c r="H461" s="23">
        <v>1</v>
      </c>
      <c r="I461" s="23" t="s">
        <v>4682</v>
      </c>
      <c r="J461" s="23" t="s">
        <v>4729</v>
      </c>
      <c r="K461" s="23" t="s">
        <v>4735</v>
      </c>
      <c r="L461">
        <v>1995</v>
      </c>
      <c r="M461" s="15" t="s">
        <v>4707</v>
      </c>
      <c r="N461">
        <v>3</v>
      </c>
      <c r="O461">
        <v>0</v>
      </c>
      <c r="P461" s="21">
        <f>DATEVALUE(N461&amp;"-"&amp;M461&amp;"-"&amp;L461)</f>
        <v>34975</v>
      </c>
      <c r="Q461" s="22">
        <v>4188.7299999999996</v>
      </c>
      <c r="R461" s="23" t="s">
        <v>4697</v>
      </c>
      <c r="S461" s="23" t="s">
        <v>4697</v>
      </c>
      <c r="T461" s="23" t="s">
        <v>4713</v>
      </c>
      <c r="U461" s="23">
        <f>DATEDIF(P461, DATE(2023, 6, 8), "Y")</f>
        <v>27</v>
      </c>
      <c r="V461">
        <f>SUM(C461:K461)</f>
        <v>48.12</v>
      </c>
    </row>
    <row r="462" spans="1:22" ht="15.75">
      <c r="A462" s="28" t="s">
        <v>922</v>
      </c>
      <c r="B462" s="28" t="s">
        <v>923</v>
      </c>
      <c r="C462" s="23">
        <v>26.885000000000002</v>
      </c>
      <c r="D462" s="23">
        <v>5.18</v>
      </c>
      <c r="E462" s="23" t="s">
        <v>4682</v>
      </c>
      <c r="F462" s="23" t="s">
        <v>4682</v>
      </c>
      <c r="G462" s="23" t="s">
        <v>4684</v>
      </c>
      <c r="H462" s="23">
        <v>1</v>
      </c>
      <c r="I462" s="23" t="s">
        <v>4683</v>
      </c>
      <c r="J462" s="23" t="s">
        <v>4730</v>
      </c>
      <c r="K462" s="23" t="s">
        <v>4737</v>
      </c>
      <c r="L462">
        <v>1997</v>
      </c>
      <c r="M462" s="15" t="s">
        <v>4703</v>
      </c>
      <c r="N462">
        <v>6</v>
      </c>
      <c r="O462">
        <v>2</v>
      </c>
      <c r="P462" s="21">
        <f>DATEVALUE(N462&amp;"-"&amp;M462&amp;"-"&amp;L462)</f>
        <v>35679</v>
      </c>
      <c r="Q462" s="22">
        <v>4189.1099999999997</v>
      </c>
      <c r="R462" s="23" t="s">
        <v>4697</v>
      </c>
      <c r="S462" s="23" t="s">
        <v>4697</v>
      </c>
      <c r="T462" s="23" t="s">
        <v>4704</v>
      </c>
      <c r="U462" s="23">
        <f>DATEDIF(P462, DATE(2023, 6, 8), "Y")</f>
        <v>25</v>
      </c>
      <c r="V462">
        <f>SUM(C462:K462)</f>
        <v>33.064999999999998</v>
      </c>
    </row>
    <row r="463" spans="1:22" ht="15.75">
      <c r="A463" s="28" t="s">
        <v>924</v>
      </c>
      <c r="B463" s="28" t="s">
        <v>925</v>
      </c>
      <c r="C463" s="23">
        <v>25.27</v>
      </c>
      <c r="D463" s="23">
        <v>5.29</v>
      </c>
      <c r="E463" s="23" t="s">
        <v>4682</v>
      </c>
      <c r="F463" s="23" t="s">
        <v>4682</v>
      </c>
      <c r="G463" s="23" t="s">
        <v>4684</v>
      </c>
      <c r="H463" s="23">
        <v>1</v>
      </c>
      <c r="I463" s="23" t="s">
        <v>4683</v>
      </c>
      <c r="J463" s="23" t="s">
        <v>4730</v>
      </c>
      <c r="K463" s="23" t="s">
        <v>4737</v>
      </c>
      <c r="L463">
        <v>1998</v>
      </c>
      <c r="M463" s="15" t="s">
        <v>4705</v>
      </c>
      <c r="N463">
        <v>14</v>
      </c>
      <c r="O463">
        <v>3</v>
      </c>
      <c r="P463" s="21">
        <f>DATEVALUE(N463&amp;"-"&amp;M463&amp;"-"&amp;L463)</f>
        <v>36143</v>
      </c>
      <c r="Q463" s="22">
        <v>4234.93</v>
      </c>
      <c r="R463" s="23" t="s">
        <v>4697</v>
      </c>
      <c r="S463" s="23" t="s">
        <v>4701</v>
      </c>
      <c r="T463" s="23" t="s">
        <v>4708</v>
      </c>
      <c r="U463" s="23">
        <f>DATEDIF(P463, DATE(2023, 6, 8), "Y")</f>
        <v>24</v>
      </c>
      <c r="V463">
        <f>SUM(C463:K463)</f>
        <v>31.56</v>
      </c>
    </row>
    <row r="464" spans="1:22" ht="15.75">
      <c r="A464" s="28" t="s">
        <v>926</v>
      </c>
      <c r="B464" s="28" t="s">
        <v>927</v>
      </c>
      <c r="C464" s="23">
        <v>23.655000000000001</v>
      </c>
      <c r="D464" s="23">
        <v>4.8600000000000003</v>
      </c>
      <c r="E464" s="23" t="s">
        <v>4683</v>
      </c>
      <c r="F464" s="23" t="s">
        <v>4682</v>
      </c>
      <c r="G464" s="23" t="s">
        <v>4682</v>
      </c>
      <c r="H464" s="23">
        <v>0</v>
      </c>
      <c r="I464" s="23" t="s">
        <v>4683</v>
      </c>
      <c r="J464" s="23" t="s">
        <v>4728</v>
      </c>
      <c r="K464" s="23" t="s">
        <v>4737</v>
      </c>
      <c r="L464">
        <v>1992</v>
      </c>
      <c r="M464" s="15" t="s">
        <v>4702</v>
      </c>
      <c r="N464">
        <v>27</v>
      </c>
      <c r="O464">
        <v>1</v>
      </c>
      <c r="P464" s="21">
        <f>DATEVALUE(N464&amp;"-"&amp;M464&amp;"-"&amp;L464)</f>
        <v>33782</v>
      </c>
      <c r="Q464" s="22">
        <v>4237.13</v>
      </c>
      <c r="R464" s="23" t="s">
        <v>4698</v>
      </c>
      <c r="S464" s="23" t="s">
        <v>4701</v>
      </c>
      <c r="T464" s="23" t="s">
        <v>4711</v>
      </c>
      <c r="U464" s="23">
        <f>DATEDIF(P464, DATE(2023, 6, 8), "Y")</f>
        <v>30</v>
      </c>
      <c r="V464">
        <f>SUM(C464:K464)</f>
        <v>28.515000000000001</v>
      </c>
    </row>
    <row r="465" spans="1:22" ht="15.75">
      <c r="A465" s="28" t="s">
        <v>928</v>
      </c>
      <c r="B465" s="28" t="s">
        <v>929</v>
      </c>
      <c r="C465" s="23">
        <v>55.05</v>
      </c>
      <c r="D465" s="23">
        <v>7.66</v>
      </c>
      <c r="E465" s="23" t="s">
        <v>4682</v>
      </c>
      <c r="F465" s="23" t="s">
        <v>4682</v>
      </c>
      <c r="G465" s="23" t="s">
        <v>4682</v>
      </c>
      <c r="H465" s="23">
        <v>0</v>
      </c>
      <c r="I465" s="23" t="s">
        <v>4682</v>
      </c>
      <c r="J465" s="23" t="s">
        <v>4729</v>
      </c>
      <c r="K465" s="23" t="s">
        <v>4735</v>
      </c>
      <c r="L465">
        <v>1991</v>
      </c>
      <c r="M465" s="15" t="s">
        <v>4700</v>
      </c>
      <c r="N465">
        <v>3</v>
      </c>
      <c r="O465">
        <v>1</v>
      </c>
      <c r="P465" s="21">
        <f>DATEVALUE(N465&amp;"-"&amp;M465&amp;"-"&amp;L465)</f>
        <v>33545</v>
      </c>
      <c r="Q465" s="22">
        <v>4239.8900000000003</v>
      </c>
      <c r="R465" s="23" t="s">
        <v>4697</v>
      </c>
      <c r="S465" s="23" t="s">
        <v>4697</v>
      </c>
      <c r="T465" s="23" t="s">
        <v>4704</v>
      </c>
      <c r="U465" s="23">
        <f>DATEDIF(P465, DATE(2023, 6, 8), "Y")</f>
        <v>31</v>
      </c>
      <c r="V465">
        <f>SUM(C465:K465)</f>
        <v>62.709999999999994</v>
      </c>
    </row>
    <row r="466" spans="1:22" ht="15.75">
      <c r="A466" s="28" t="s">
        <v>930</v>
      </c>
      <c r="B466" s="28" t="s">
        <v>931</v>
      </c>
      <c r="C466" s="23">
        <v>24.89</v>
      </c>
      <c r="D466" s="23">
        <v>6.1</v>
      </c>
      <c r="E466" s="23" t="s">
        <v>4683</v>
      </c>
      <c r="F466" s="23" t="s">
        <v>4682</v>
      </c>
      <c r="G466" s="23" t="s">
        <v>4684</v>
      </c>
      <c r="H466" s="23">
        <v>1</v>
      </c>
      <c r="I466" s="23" t="s">
        <v>4683</v>
      </c>
      <c r="J466" s="23" t="s">
        <v>4728</v>
      </c>
      <c r="K466" s="23" t="s">
        <v>4736</v>
      </c>
      <c r="L466">
        <v>1991</v>
      </c>
      <c r="M466" s="15" t="s">
        <v>4705</v>
      </c>
      <c r="N466">
        <v>1</v>
      </c>
      <c r="O466">
        <v>1</v>
      </c>
      <c r="P466" s="21">
        <f>DATEVALUE(N466&amp;"-"&amp;M466&amp;"-"&amp;L466)</f>
        <v>33573</v>
      </c>
      <c r="Q466" s="22">
        <v>4243.59</v>
      </c>
      <c r="R466" s="23" t="s">
        <v>4698</v>
      </c>
      <c r="S466" s="23" t="s">
        <v>4701</v>
      </c>
      <c r="T466" s="23" t="s">
        <v>4704</v>
      </c>
      <c r="U466" s="23">
        <f>DATEDIF(P466, DATE(2023, 6, 8), "Y")</f>
        <v>31</v>
      </c>
      <c r="V466">
        <f>SUM(C466:K466)</f>
        <v>31.990000000000002</v>
      </c>
    </row>
    <row r="467" spans="1:22" ht="15.75">
      <c r="A467" s="28" t="s">
        <v>932</v>
      </c>
      <c r="B467" s="28" t="s">
        <v>933</v>
      </c>
      <c r="C467" s="23">
        <v>18.715</v>
      </c>
      <c r="D467" s="23">
        <v>4.4400000000000004</v>
      </c>
      <c r="E467" s="23" t="s">
        <v>4682</v>
      </c>
      <c r="F467" s="23" t="s">
        <v>4682</v>
      </c>
      <c r="G467" s="23" t="s">
        <v>4682</v>
      </c>
      <c r="H467" s="23">
        <v>0</v>
      </c>
      <c r="I467" s="23" t="s">
        <v>4682</v>
      </c>
      <c r="J467" s="23" t="s">
        <v>4728</v>
      </c>
      <c r="K467" s="23" t="s">
        <v>4737</v>
      </c>
      <c r="L467">
        <v>1982</v>
      </c>
      <c r="M467" s="15" t="s">
        <v>4702</v>
      </c>
      <c r="N467">
        <v>16</v>
      </c>
      <c r="O467">
        <v>3</v>
      </c>
      <c r="P467" s="21">
        <f>DATEVALUE(N467&amp;"-"&amp;M467&amp;"-"&amp;L467)</f>
        <v>30118</v>
      </c>
      <c r="Q467" s="22">
        <v>4250.24</v>
      </c>
      <c r="R467" s="23" t="s">
        <v>4697</v>
      </c>
      <c r="S467" s="23" t="s">
        <v>4698</v>
      </c>
      <c r="T467" s="23" t="s">
        <v>4699</v>
      </c>
      <c r="U467" s="23">
        <f>DATEDIF(P467, DATE(2023, 6, 8), "Y")</f>
        <v>40</v>
      </c>
      <c r="V467">
        <f>SUM(C467:K467)</f>
        <v>23.155000000000001</v>
      </c>
    </row>
    <row r="468" spans="1:22" ht="15.75">
      <c r="A468" s="28" t="s">
        <v>934</v>
      </c>
      <c r="B468" s="28" t="s">
        <v>935</v>
      </c>
      <c r="C468" s="23">
        <v>28.12</v>
      </c>
      <c r="D468" s="23">
        <v>6.15</v>
      </c>
      <c r="E468" s="23" t="s">
        <v>4682</v>
      </c>
      <c r="F468" s="23" t="s">
        <v>4682</v>
      </c>
      <c r="G468" s="23" t="s">
        <v>4682</v>
      </c>
      <c r="H468" s="23">
        <v>0</v>
      </c>
      <c r="I468" s="23" t="s">
        <v>4683</v>
      </c>
      <c r="J468" s="23" t="s">
        <v>4730</v>
      </c>
      <c r="K468" s="23" t="s">
        <v>4736</v>
      </c>
      <c r="L468">
        <v>1995</v>
      </c>
      <c r="M468" s="15" t="s">
        <v>4707</v>
      </c>
      <c r="N468">
        <v>14</v>
      </c>
      <c r="O468">
        <v>3</v>
      </c>
      <c r="P468" s="21">
        <f>DATEVALUE(N468&amp;"-"&amp;M468&amp;"-"&amp;L468)</f>
        <v>34986</v>
      </c>
      <c r="Q468" s="22">
        <v>4260.74</v>
      </c>
      <c r="R468" s="23" t="s">
        <v>4698</v>
      </c>
      <c r="S468" s="23" t="s">
        <v>4697</v>
      </c>
      <c r="T468" s="23" t="s">
        <v>4708</v>
      </c>
      <c r="U468" s="23">
        <f>DATEDIF(P468, DATE(2023, 6, 8), "Y")</f>
        <v>27</v>
      </c>
      <c r="V468">
        <f>SUM(C468:K468)</f>
        <v>34.270000000000003</v>
      </c>
    </row>
    <row r="469" spans="1:22" ht="15.75">
      <c r="A469" s="28" t="s">
        <v>936</v>
      </c>
      <c r="B469" s="28" t="s">
        <v>937</v>
      </c>
      <c r="C469" s="23">
        <v>26.6</v>
      </c>
      <c r="D469" s="23">
        <v>4.53</v>
      </c>
      <c r="E469" s="23" t="s">
        <v>4682</v>
      </c>
      <c r="F469" s="23" t="s">
        <v>4682</v>
      </c>
      <c r="G469" s="23" t="s">
        <v>4682</v>
      </c>
      <c r="H469" s="23">
        <v>0</v>
      </c>
      <c r="I469" s="23" t="s">
        <v>4683</v>
      </c>
      <c r="J469" s="23" t="s">
        <v>4730</v>
      </c>
      <c r="K469" s="23" t="s">
        <v>4737</v>
      </c>
      <c r="L469">
        <v>1983</v>
      </c>
      <c r="M469" s="15" t="s">
        <v>4700</v>
      </c>
      <c r="N469">
        <v>20</v>
      </c>
      <c r="O469">
        <v>3</v>
      </c>
      <c r="P469" s="21">
        <f>DATEVALUE(N469&amp;"-"&amp;M469&amp;"-"&amp;L469)</f>
        <v>30640</v>
      </c>
      <c r="Q469" s="22">
        <v>4265.01</v>
      </c>
      <c r="R469" s="23" t="s">
        <v>4697</v>
      </c>
      <c r="S469" s="23" t="s">
        <v>4701</v>
      </c>
      <c r="T469" s="23" t="s">
        <v>4704</v>
      </c>
      <c r="U469" s="23">
        <f>DATEDIF(P469, DATE(2023, 6, 8), "Y")</f>
        <v>39</v>
      </c>
      <c r="V469">
        <f>SUM(C469:K469)</f>
        <v>31.130000000000003</v>
      </c>
    </row>
    <row r="470" spans="1:22" ht="15.75">
      <c r="A470" s="28" t="s">
        <v>938</v>
      </c>
      <c r="B470" s="28" t="s">
        <v>939</v>
      </c>
      <c r="C470" s="23">
        <v>30.114999999999998</v>
      </c>
      <c r="D470" s="23">
        <v>5.48</v>
      </c>
      <c r="E470" s="23" t="s">
        <v>4682</v>
      </c>
      <c r="F470" s="23" t="s">
        <v>4683</v>
      </c>
      <c r="G470" s="23" t="s">
        <v>4682</v>
      </c>
      <c r="H470" s="23">
        <v>1</v>
      </c>
      <c r="I470" s="23" t="s">
        <v>4682</v>
      </c>
      <c r="J470" s="23" t="s">
        <v>4729</v>
      </c>
      <c r="K470" s="23" t="s">
        <v>4737</v>
      </c>
      <c r="L470">
        <v>1992</v>
      </c>
      <c r="M470" s="15" t="s">
        <v>4702</v>
      </c>
      <c r="N470">
        <v>18</v>
      </c>
      <c r="O470">
        <v>2</v>
      </c>
      <c r="P470" s="21">
        <f>DATEVALUE(N470&amp;"-"&amp;M470&amp;"-"&amp;L470)</f>
        <v>33773</v>
      </c>
      <c r="Q470" s="22">
        <v>4266.17</v>
      </c>
      <c r="R470" s="23" t="s">
        <v>4698</v>
      </c>
      <c r="S470" s="23" t="s">
        <v>4697</v>
      </c>
      <c r="T470" s="23" t="s">
        <v>4699</v>
      </c>
      <c r="U470" s="23">
        <f>DATEDIF(P470, DATE(2023, 6, 8), "Y")</f>
        <v>30</v>
      </c>
      <c r="V470">
        <f>SUM(C470:K470)</f>
        <v>36.594999999999999</v>
      </c>
    </row>
    <row r="471" spans="1:22" ht="15.75">
      <c r="A471" s="28" t="s">
        <v>940</v>
      </c>
      <c r="B471" s="28" t="s">
        <v>941</v>
      </c>
      <c r="C471" s="23">
        <v>24.605</v>
      </c>
      <c r="D471" s="23">
        <v>5.48</v>
      </c>
      <c r="E471" s="23" t="s">
        <v>4682</v>
      </c>
      <c r="F471" s="23" t="s">
        <v>4682</v>
      </c>
      <c r="G471" s="23" t="s">
        <v>4682</v>
      </c>
      <c r="H471" s="23">
        <v>0</v>
      </c>
      <c r="I471" s="23" t="s">
        <v>4683</v>
      </c>
      <c r="J471" s="23" t="s">
        <v>4728</v>
      </c>
      <c r="K471" s="23" t="s">
        <v>4737</v>
      </c>
      <c r="L471">
        <v>2003</v>
      </c>
      <c r="M471" s="15" t="s">
        <v>4702</v>
      </c>
      <c r="N471">
        <v>8</v>
      </c>
      <c r="O471">
        <v>0</v>
      </c>
      <c r="P471" s="21">
        <f>DATEVALUE(N471&amp;"-"&amp;M471&amp;"-"&amp;L471)</f>
        <v>37780</v>
      </c>
      <c r="Q471" s="22">
        <v>4278.55</v>
      </c>
      <c r="R471" s="23" t="s">
        <v>4697</v>
      </c>
      <c r="S471" s="23" t="s">
        <v>4701</v>
      </c>
      <c r="T471" s="23" t="s">
        <v>4717</v>
      </c>
      <c r="U471" s="23">
        <f>DATEDIF(P471, DATE(2023, 6, 8), "Y")</f>
        <v>20</v>
      </c>
      <c r="V471">
        <f>SUM(C471:K471)</f>
        <v>30.085000000000001</v>
      </c>
    </row>
    <row r="472" spans="1:22" ht="15.75">
      <c r="A472" s="28" t="s">
        <v>942</v>
      </c>
      <c r="B472" s="28" t="s">
        <v>943</v>
      </c>
      <c r="C472" s="23">
        <v>29.6</v>
      </c>
      <c r="D472" s="23">
        <v>8.1</v>
      </c>
      <c r="E472" s="23" t="s">
        <v>4682</v>
      </c>
      <c r="F472" s="23" t="s">
        <v>4682</v>
      </c>
      <c r="G472" s="23" t="s">
        <v>4682</v>
      </c>
      <c r="H472" s="23">
        <v>0</v>
      </c>
      <c r="I472" s="23" t="s">
        <v>4682</v>
      </c>
      <c r="J472" s="23" t="s">
        <v>4730</v>
      </c>
      <c r="K472" s="23" t="s">
        <v>4735</v>
      </c>
      <c r="L472">
        <v>2000</v>
      </c>
      <c r="M472" s="15" t="s">
        <v>4700</v>
      </c>
      <c r="N472">
        <v>25</v>
      </c>
      <c r="O472">
        <v>3</v>
      </c>
      <c r="P472" s="21">
        <f>DATEVALUE(N472&amp;"-"&amp;M472&amp;"-"&amp;L472)</f>
        <v>36855</v>
      </c>
      <c r="Q472" s="22">
        <v>4296.2700000000004</v>
      </c>
      <c r="R472" s="23" t="s">
        <v>4697</v>
      </c>
      <c r="S472" s="23" t="s">
        <v>4698</v>
      </c>
      <c r="T472" s="23" t="s">
        <v>4704</v>
      </c>
      <c r="U472" s="23">
        <f>DATEDIF(P472, DATE(2023, 6, 8), "Y")</f>
        <v>22</v>
      </c>
      <c r="V472">
        <f>SUM(C472:K472)</f>
        <v>37.700000000000003</v>
      </c>
    </row>
    <row r="473" spans="1:22" ht="15.75">
      <c r="A473" s="28" t="s">
        <v>944</v>
      </c>
      <c r="B473" s="28" t="s">
        <v>945</v>
      </c>
      <c r="C473" s="23">
        <v>24.42</v>
      </c>
      <c r="D473" s="23">
        <v>7.16</v>
      </c>
      <c r="E473" s="23" t="s">
        <v>4682</v>
      </c>
      <c r="F473" s="23" t="s">
        <v>4682</v>
      </c>
      <c r="G473" s="23" t="s">
        <v>4682</v>
      </c>
      <c r="H473" s="23">
        <v>0</v>
      </c>
      <c r="I473" s="23" t="s">
        <v>4683</v>
      </c>
      <c r="J473" s="23" t="s">
        <v>4728</v>
      </c>
      <c r="K473" s="23" t="s">
        <v>4735</v>
      </c>
      <c r="L473">
        <v>1988</v>
      </c>
      <c r="M473" s="15" t="s">
        <v>4705</v>
      </c>
      <c r="N473">
        <v>19</v>
      </c>
      <c r="O473">
        <v>0</v>
      </c>
      <c r="P473" s="21">
        <f>DATEVALUE(N473&amp;"-"&amp;M473&amp;"-"&amp;L473)</f>
        <v>32496</v>
      </c>
      <c r="Q473" s="22">
        <v>4320.41</v>
      </c>
      <c r="R473" s="23" t="s">
        <v>4697</v>
      </c>
      <c r="S473" s="23" t="s">
        <v>4701</v>
      </c>
      <c r="T473" s="23" t="s">
        <v>4704</v>
      </c>
      <c r="U473" s="23">
        <f>DATEDIF(P473, DATE(2023, 6, 8), "Y")</f>
        <v>34</v>
      </c>
      <c r="V473">
        <f>SUM(C473:K473)</f>
        <v>31.580000000000002</v>
      </c>
    </row>
    <row r="474" spans="1:22" ht="15.75">
      <c r="A474" s="28" t="s">
        <v>946</v>
      </c>
      <c r="B474" s="28" t="s">
        <v>947</v>
      </c>
      <c r="C474" s="23">
        <v>20.9</v>
      </c>
      <c r="D474" s="23">
        <v>4.55</v>
      </c>
      <c r="E474" s="23" t="s">
        <v>4683</v>
      </c>
      <c r="F474" s="23" t="s">
        <v>4682</v>
      </c>
      <c r="G474" s="23" t="s">
        <v>4684</v>
      </c>
      <c r="H474" s="23">
        <v>1</v>
      </c>
      <c r="I474" s="23" t="s">
        <v>4683</v>
      </c>
      <c r="J474" s="23" t="s">
        <v>4728</v>
      </c>
      <c r="K474" s="23" t="s">
        <v>4737</v>
      </c>
      <c r="L474">
        <v>1994</v>
      </c>
      <c r="M474" s="15" t="s">
        <v>4700</v>
      </c>
      <c r="N474">
        <v>2</v>
      </c>
      <c r="O474">
        <v>1</v>
      </c>
      <c r="P474" s="21">
        <f>DATEVALUE(N474&amp;"-"&amp;M474&amp;"-"&amp;L474)</f>
        <v>34640</v>
      </c>
      <c r="Q474" s="22">
        <v>4337.74</v>
      </c>
      <c r="R474" s="23" t="s">
        <v>4697</v>
      </c>
      <c r="S474" s="23" t="s">
        <v>4701</v>
      </c>
      <c r="T474" s="23" t="s">
        <v>4714</v>
      </c>
      <c r="U474" s="23">
        <f>DATEDIF(P474, DATE(2023, 6, 8), "Y")</f>
        <v>28</v>
      </c>
      <c r="V474">
        <f>SUM(C474:K474)</f>
        <v>26.45</v>
      </c>
    </row>
    <row r="475" spans="1:22" ht="15.75">
      <c r="A475" s="28" t="s">
        <v>948</v>
      </c>
      <c r="B475" s="28" t="s">
        <v>949</v>
      </c>
      <c r="C475" s="23">
        <v>22.895</v>
      </c>
      <c r="D475" s="23">
        <v>6.03</v>
      </c>
      <c r="E475" s="23" t="s">
        <v>4682</v>
      </c>
      <c r="F475" s="23" t="s">
        <v>4682</v>
      </c>
      <c r="G475" s="23" t="s">
        <v>4682</v>
      </c>
      <c r="H475" s="23">
        <v>0</v>
      </c>
      <c r="I475" s="23" t="s">
        <v>4683</v>
      </c>
      <c r="J475" s="23" t="s">
        <v>4728</v>
      </c>
      <c r="K475" s="23" t="s">
        <v>4736</v>
      </c>
      <c r="L475">
        <v>1994</v>
      </c>
      <c r="M475" s="15" t="s">
        <v>4707</v>
      </c>
      <c r="N475">
        <v>26</v>
      </c>
      <c r="O475">
        <v>2</v>
      </c>
      <c r="P475" s="21">
        <f>DATEVALUE(N475&amp;"-"&amp;M475&amp;"-"&amp;L475)</f>
        <v>34633</v>
      </c>
      <c r="Q475" s="22">
        <v>4340.4399999999996</v>
      </c>
      <c r="R475" s="23" t="s">
        <v>4697</v>
      </c>
      <c r="S475" s="23" t="s">
        <v>4701</v>
      </c>
      <c r="T475" s="23" t="s">
        <v>4699</v>
      </c>
      <c r="U475" s="23">
        <f>DATEDIF(P475, DATE(2023, 6, 8), "Y")</f>
        <v>28</v>
      </c>
      <c r="V475">
        <f>SUM(C475:K475)</f>
        <v>28.925000000000001</v>
      </c>
    </row>
    <row r="476" spans="1:22" ht="15.75">
      <c r="A476" s="28" t="s">
        <v>950</v>
      </c>
      <c r="B476" s="28" t="s">
        <v>951</v>
      </c>
      <c r="C476" s="23">
        <v>28.3</v>
      </c>
      <c r="D476" s="23">
        <v>5.47</v>
      </c>
      <c r="E476" s="23" t="s">
        <v>4683</v>
      </c>
      <c r="F476" s="23" t="s">
        <v>4682</v>
      </c>
      <c r="G476" s="23" t="s">
        <v>4684</v>
      </c>
      <c r="H476" s="23">
        <v>1</v>
      </c>
      <c r="I476" s="23" t="s">
        <v>4683</v>
      </c>
      <c r="J476" s="23" t="s">
        <v>4730</v>
      </c>
      <c r="K476" s="23" t="s">
        <v>4737</v>
      </c>
      <c r="L476">
        <v>1991</v>
      </c>
      <c r="M476" s="15" t="s">
        <v>4702</v>
      </c>
      <c r="N476">
        <v>1</v>
      </c>
      <c r="O476">
        <v>0</v>
      </c>
      <c r="P476" s="21">
        <f>DATEVALUE(N476&amp;"-"&amp;M476&amp;"-"&amp;L476)</f>
        <v>33390</v>
      </c>
      <c r="Q476" s="22">
        <v>4347.0200000000004</v>
      </c>
      <c r="R476" s="23" t="s">
        <v>4697</v>
      </c>
      <c r="S476" s="23" t="s">
        <v>4701</v>
      </c>
      <c r="T476" s="23" t="s">
        <v>4714</v>
      </c>
      <c r="U476" s="23">
        <f>DATEDIF(P476, DATE(2023, 6, 8), "Y")</f>
        <v>32</v>
      </c>
      <c r="V476">
        <f>SUM(C476:K476)</f>
        <v>34.770000000000003</v>
      </c>
    </row>
    <row r="477" spans="1:22" ht="15.75">
      <c r="A477" s="28" t="s">
        <v>952</v>
      </c>
      <c r="B477" s="28" t="s">
        <v>953</v>
      </c>
      <c r="C477" s="23">
        <v>54.3</v>
      </c>
      <c r="D477" s="23">
        <v>4.1500000000000004</v>
      </c>
      <c r="E477" s="23" t="s">
        <v>4683</v>
      </c>
      <c r="F477" s="23" t="s">
        <v>4682</v>
      </c>
      <c r="G477" s="23" t="s">
        <v>4682</v>
      </c>
      <c r="H477" s="23">
        <v>1</v>
      </c>
      <c r="I477" s="23" t="s">
        <v>4682</v>
      </c>
      <c r="J477" s="23" t="s">
        <v>4729</v>
      </c>
      <c r="K477" s="23" t="s">
        <v>4737</v>
      </c>
      <c r="L477">
        <v>1994</v>
      </c>
      <c r="M477" s="15" t="s">
        <v>4700</v>
      </c>
      <c r="N477">
        <v>1</v>
      </c>
      <c r="O477">
        <v>2</v>
      </c>
      <c r="P477" s="21">
        <f>DATEVALUE(N477&amp;"-"&amp;M477&amp;"-"&amp;L477)</f>
        <v>34639</v>
      </c>
      <c r="Q477" s="22">
        <v>4349.46</v>
      </c>
      <c r="R477" s="23" t="s">
        <v>4697</v>
      </c>
      <c r="S477" s="23" t="s">
        <v>4697</v>
      </c>
      <c r="T477" s="23" t="s">
        <v>4699</v>
      </c>
      <c r="U477" s="23">
        <f>DATEDIF(P477, DATE(2023, 6, 8), "Y")</f>
        <v>28</v>
      </c>
      <c r="V477">
        <f>SUM(C477:K477)</f>
        <v>59.449999999999996</v>
      </c>
    </row>
    <row r="478" spans="1:22" ht="15.75">
      <c r="A478" s="28" t="s">
        <v>954</v>
      </c>
      <c r="B478" s="28" t="s">
        <v>955</v>
      </c>
      <c r="C478" s="23">
        <v>33.344999999999999</v>
      </c>
      <c r="D478" s="23">
        <v>11.32</v>
      </c>
      <c r="E478" s="23" t="s">
        <v>4683</v>
      </c>
      <c r="F478" s="23" t="s">
        <v>4682</v>
      </c>
      <c r="G478" s="23" t="s">
        <v>4682</v>
      </c>
      <c r="H478" s="23">
        <v>1</v>
      </c>
      <c r="I478" s="23" t="s">
        <v>4682</v>
      </c>
      <c r="J478" s="23" t="s">
        <v>4729</v>
      </c>
      <c r="K478" s="23" t="s">
        <v>4735</v>
      </c>
      <c r="L478">
        <v>1991</v>
      </c>
      <c r="M478" s="15" t="s">
        <v>4703</v>
      </c>
      <c r="N478">
        <v>13</v>
      </c>
      <c r="O478">
        <v>1</v>
      </c>
      <c r="P478" s="21">
        <f>DATEVALUE(N478&amp;"-"&amp;M478&amp;"-"&amp;L478)</f>
        <v>33494</v>
      </c>
      <c r="Q478" s="22">
        <v>4350.51</v>
      </c>
      <c r="R478" s="23" t="s">
        <v>4697</v>
      </c>
      <c r="S478" s="23" t="s">
        <v>4697</v>
      </c>
      <c r="T478" s="23" t="s">
        <v>4699</v>
      </c>
      <c r="U478" s="23">
        <f>DATEDIF(P478, DATE(2023, 6, 8), "Y")</f>
        <v>31</v>
      </c>
      <c r="V478">
        <f>SUM(C478:K478)</f>
        <v>45.664999999999999</v>
      </c>
    </row>
    <row r="479" spans="1:22" ht="15.75">
      <c r="A479" s="28" t="s">
        <v>956</v>
      </c>
      <c r="B479" s="28" t="s">
        <v>957</v>
      </c>
      <c r="C479" s="23">
        <v>33</v>
      </c>
      <c r="D479" s="23">
        <v>9.51</v>
      </c>
      <c r="E479" s="23" t="s">
        <v>4683</v>
      </c>
      <c r="F479" s="23" t="s">
        <v>4682</v>
      </c>
      <c r="G479" s="23" t="s">
        <v>4682</v>
      </c>
      <c r="H479" s="23">
        <v>0</v>
      </c>
      <c r="I479" s="23" t="s">
        <v>4682</v>
      </c>
      <c r="J479" s="23" t="s">
        <v>4729</v>
      </c>
      <c r="K479" s="23" t="s">
        <v>4735</v>
      </c>
      <c r="L479">
        <v>1990</v>
      </c>
      <c r="M479" s="15" t="s">
        <v>4706</v>
      </c>
      <c r="N479">
        <v>28</v>
      </c>
      <c r="O479">
        <v>0</v>
      </c>
      <c r="P479" s="21">
        <f>DATEVALUE(N479&amp;"-"&amp;M479&amp;"-"&amp;L479)</f>
        <v>33113</v>
      </c>
      <c r="Q479" s="22">
        <v>4357.04</v>
      </c>
      <c r="R479" s="23" t="s">
        <v>4697</v>
      </c>
      <c r="S479" s="23" t="s">
        <v>4698</v>
      </c>
      <c r="T479" s="23" t="s">
        <v>4704</v>
      </c>
      <c r="U479" s="23">
        <f>DATEDIF(P479, DATE(2023, 6, 8), "Y")</f>
        <v>32</v>
      </c>
      <c r="V479">
        <f>SUM(C479:K479)</f>
        <v>42.51</v>
      </c>
    </row>
    <row r="480" spans="1:22" ht="15.75">
      <c r="A480" s="28" t="s">
        <v>958</v>
      </c>
      <c r="B480" s="28" t="s">
        <v>959</v>
      </c>
      <c r="C480" s="23">
        <v>28.024999999999999</v>
      </c>
      <c r="D480" s="23">
        <v>7.67</v>
      </c>
      <c r="E480" s="23" t="s">
        <v>4683</v>
      </c>
      <c r="F480" s="23" t="s">
        <v>4682</v>
      </c>
      <c r="G480" s="23" t="s">
        <v>4682</v>
      </c>
      <c r="H480" s="23">
        <v>1</v>
      </c>
      <c r="I480" s="23" t="s">
        <v>4683</v>
      </c>
      <c r="J480" s="23" t="s">
        <v>4730</v>
      </c>
      <c r="K480" s="23" t="s">
        <v>4735</v>
      </c>
      <c r="L480">
        <v>1997</v>
      </c>
      <c r="M480" s="15" t="s">
        <v>4700</v>
      </c>
      <c r="N480">
        <v>29</v>
      </c>
      <c r="O480">
        <v>3</v>
      </c>
      <c r="P480" s="21">
        <f>DATEVALUE(N480&amp;"-"&amp;M480&amp;"-"&amp;L480)</f>
        <v>35763</v>
      </c>
      <c r="Q480" s="22">
        <v>4391.6499999999996</v>
      </c>
      <c r="R480" s="23" t="s">
        <v>4697</v>
      </c>
      <c r="S480" s="23" t="s">
        <v>4697</v>
      </c>
      <c r="T480" s="23" t="s">
        <v>4708</v>
      </c>
      <c r="U480" s="23">
        <f>DATEDIF(P480, DATE(2023, 6, 8), "Y")</f>
        <v>25</v>
      </c>
      <c r="V480">
        <f>SUM(C480:K480)</f>
        <v>36.695</v>
      </c>
    </row>
    <row r="481" spans="1:22" ht="15.75">
      <c r="A481" s="28" t="s">
        <v>960</v>
      </c>
      <c r="B481" s="28" t="s">
        <v>961</v>
      </c>
      <c r="C481" s="23">
        <v>28.69</v>
      </c>
      <c r="D481" s="23">
        <v>6.23</v>
      </c>
      <c r="E481" s="23" t="s">
        <v>4682</v>
      </c>
      <c r="F481" s="23" t="s">
        <v>4682</v>
      </c>
      <c r="G481" s="23" t="s">
        <v>4682</v>
      </c>
      <c r="H481" s="23">
        <v>1</v>
      </c>
      <c r="I481" s="23" t="s">
        <v>4683</v>
      </c>
      <c r="J481" s="23" t="s">
        <v>4730</v>
      </c>
      <c r="K481" s="23" t="s">
        <v>4736</v>
      </c>
      <c r="L481">
        <v>1982</v>
      </c>
      <c r="M481" s="15" t="s">
        <v>4702</v>
      </c>
      <c r="N481">
        <v>29</v>
      </c>
      <c r="O481">
        <v>3</v>
      </c>
      <c r="P481" s="21">
        <f>DATEVALUE(N481&amp;"-"&amp;M481&amp;"-"&amp;L481)</f>
        <v>30131</v>
      </c>
      <c r="Q481" s="22">
        <v>4392.7</v>
      </c>
      <c r="R481" s="23" t="s">
        <v>4697</v>
      </c>
      <c r="S481" s="23" t="s">
        <v>4697</v>
      </c>
      <c r="T481" s="23" t="s">
        <v>4699</v>
      </c>
      <c r="U481" s="23">
        <f>DATEDIF(P481, DATE(2023, 6, 8), "Y")</f>
        <v>40</v>
      </c>
      <c r="V481">
        <f>SUM(C481:K481)</f>
        <v>35.92</v>
      </c>
    </row>
    <row r="482" spans="1:22" ht="15.75">
      <c r="A482" s="28" t="s">
        <v>962</v>
      </c>
      <c r="B482" s="28" t="s">
        <v>963</v>
      </c>
      <c r="C482" s="23">
        <v>40.28</v>
      </c>
      <c r="D482" s="23">
        <v>8.9</v>
      </c>
      <c r="E482" s="23" t="s">
        <v>4682</v>
      </c>
      <c r="F482" s="23" t="s">
        <v>4682</v>
      </c>
      <c r="G482" s="23" t="s">
        <v>4682</v>
      </c>
      <c r="H482" s="23">
        <v>0</v>
      </c>
      <c r="I482" s="23" t="s">
        <v>4682</v>
      </c>
      <c r="J482" s="23" t="s">
        <v>4729</v>
      </c>
      <c r="K482" s="23" t="s">
        <v>4735</v>
      </c>
      <c r="L482">
        <v>1988</v>
      </c>
      <c r="M482" s="15" t="s">
        <v>4696</v>
      </c>
      <c r="N482">
        <v>18</v>
      </c>
      <c r="O482">
        <v>3</v>
      </c>
      <c r="P482" s="21">
        <f>DATEVALUE(N482&amp;"-"&amp;M482&amp;"-"&amp;L482)</f>
        <v>32342</v>
      </c>
      <c r="Q482" s="22">
        <v>4397.3100000000004</v>
      </c>
      <c r="R482" s="23" t="s">
        <v>4697</v>
      </c>
      <c r="S482" s="23" t="s">
        <v>4697</v>
      </c>
      <c r="T482" s="23" t="s">
        <v>4699</v>
      </c>
      <c r="U482" s="23">
        <f>DATEDIF(P482, DATE(2023, 6, 8), "Y")</f>
        <v>34</v>
      </c>
      <c r="V482">
        <f>SUM(C482:K482)</f>
        <v>49.18</v>
      </c>
    </row>
    <row r="483" spans="1:22" ht="15.75">
      <c r="A483" s="28" t="s">
        <v>964</v>
      </c>
      <c r="B483" s="28" t="s">
        <v>965</v>
      </c>
      <c r="C483" s="23">
        <v>37.299999999999997</v>
      </c>
      <c r="D483" s="23">
        <v>7.79</v>
      </c>
      <c r="E483" s="23" t="s">
        <v>4683</v>
      </c>
      <c r="F483" s="23" t="s">
        <v>4682</v>
      </c>
      <c r="G483" s="23" t="s">
        <v>4682</v>
      </c>
      <c r="H483" s="23">
        <v>0</v>
      </c>
      <c r="I483" s="23" t="s">
        <v>4682</v>
      </c>
      <c r="J483" s="23" t="s">
        <v>4729</v>
      </c>
      <c r="K483" s="23" t="s">
        <v>4735</v>
      </c>
      <c r="L483">
        <v>1986</v>
      </c>
      <c r="M483" s="15" t="s">
        <v>4706</v>
      </c>
      <c r="N483">
        <v>11</v>
      </c>
      <c r="O483">
        <v>0</v>
      </c>
      <c r="P483" s="21">
        <f>DATEVALUE(N483&amp;"-"&amp;M483&amp;"-"&amp;L483)</f>
        <v>31635</v>
      </c>
      <c r="Q483" s="22">
        <v>4399.7299999999996</v>
      </c>
      <c r="R483" s="23" t="s">
        <v>4698</v>
      </c>
      <c r="S483" s="23" t="s">
        <v>4697</v>
      </c>
      <c r="T483" s="23" t="s">
        <v>4699</v>
      </c>
      <c r="U483" s="23">
        <f>DATEDIF(P483, DATE(2023, 6, 8), "Y")</f>
        <v>36</v>
      </c>
      <c r="V483">
        <f>SUM(C483:K483)</f>
        <v>45.089999999999996</v>
      </c>
    </row>
    <row r="484" spans="1:22" ht="15.75">
      <c r="A484" s="28" t="s">
        <v>966</v>
      </c>
      <c r="B484" s="28" t="s">
        <v>967</v>
      </c>
      <c r="C484" s="23">
        <v>54.47</v>
      </c>
      <c r="D484" s="23">
        <v>4.49</v>
      </c>
      <c r="E484" s="23" t="s">
        <v>4683</v>
      </c>
      <c r="F484" s="23" t="s">
        <v>4682</v>
      </c>
      <c r="G484" s="23" t="s">
        <v>4682</v>
      </c>
      <c r="H484" s="23">
        <v>2</v>
      </c>
      <c r="I484" s="23" t="s">
        <v>4682</v>
      </c>
      <c r="J484" s="23" t="s">
        <v>4729</v>
      </c>
      <c r="K484" s="23" t="s">
        <v>4737</v>
      </c>
      <c r="L484">
        <v>1986</v>
      </c>
      <c r="M484" s="15" t="s">
        <v>4696</v>
      </c>
      <c r="N484">
        <v>13</v>
      </c>
      <c r="O484">
        <v>0</v>
      </c>
      <c r="P484" s="21">
        <f>DATEVALUE(N484&amp;"-"&amp;M484&amp;"-"&amp;L484)</f>
        <v>31606</v>
      </c>
      <c r="Q484" s="22">
        <v>4402.2299999999996</v>
      </c>
      <c r="R484" s="23" t="s">
        <v>4697</v>
      </c>
      <c r="S484" s="23" t="s">
        <v>4697</v>
      </c>
      <c r="T484" s="23" t="s">
        <v>4708</v>
      </c>
      <c r="U484" s="23">
        <f>DATEDIF(P484, DATE(2023, 6, 8), "Y")</f>
        <v>36</v>
      </c>
      <c r="V484">
        <f>SUM(C484:K484)</f>
        <v>60.96</v>
      </c>
    </row>
    <row r="485" spans="1:22" ht="15.75">
      <c r="A485" s="28" t="s">
        <v>968</v>
      </c>
      <c r="B485" s="28" t="s">
        <v>969</v>
      </c>
      <c r="C485" s="23">
        <v>38.06</v>
      </c>
      <c r="D485" s="23">
        <v>5.24</v>
      </c>
      <c r="E485" s="23" t="s">
        <v>4683</v>
      </c>
      <c r="F485" s="23" t="s">
        <v>4682</v>
      </c>
      <c r="G485" s="23" t="s">
        <v>4684</v>
      </c>
      <c r="H485" s="23">
        <v>1</v>
      </c>
      <c r="I485" s="23" t="s">
        <v>4682</v>
      </c>
      <c r="J485" s="23" t="s">
        <v>4729</v>
      </c>
      <c r="K485" s="23" t="s">
        <v>4737</v>
      </c>
      <c r="L485">
        <v>1988</v>
      </c>
      <c r="M485" s="15" t="s">
        <v>4703</v>
      </c>
      <c r="N485">
        <v>16</v>
      </c>
      <c r="O485">
        <v>0</v>
      </c>
      <c r="P485" s="21">
        <f>DATEVALUE(N485&amp;"-"&amp;M485&amp;"-"&amp;L485)</f>
        <v>32402</v>
      </c>
      <c r="Q485" s="22">
        <v>4415.16</v>
      </c>
      <c r="R485" s="23" t="s">
        <v>4697</v>
      </c>
      <c r="S485" s="23" t="s">
        <v>4701</v>
      </c>
      <c r="T485" s="23" t="s">
        <v>4699</v>
      </c>
      <c r="U485" s="23">
        <f>DATEDIF(P485, DATE(2023, 6, 8), "Y")</f>
        <v>34</v>
      </c>
      <c r="V485">
        <f>SUM(C485:K485)</f>
        <v>44.300000000000004</v>
      </c>
    </row>
    <row r="486" spans="1:22" ht="15.75">
      <c r="A486" s="28" t="s">
        <v>970</v>
      </c>
      <c r="B486" s="28" t="s">
        <v>971</v>
      </c>
      <c r="C486" s="23">
        <v>51.47</v>
      </c>
      <c r="D486" s="23">
        <v>9.6</v>
      </c>
      <c r="E486" s="23" t="s">
        <v>4682</v>
      </c>
      <c r="F486" s="23" t="s">
        <v>4682</v>
      </c>
      <c r="G486" s="23" t="s">
        <v>4682</v>
      </c>
      <c r="H486" s="23">
        <v>0</v>
      </c>
      <c r="I486" s="23" t="s">
        <v>4682</v>
      </c>
      <c r="J486" s="23" t="s">
        <v>4729</v>
      </c>
      <c r="K486" s="23" t="s">
        <v>4735</v>
      </c>
      <c r="L486">
        <v>1992</v>
      </c>
      <c r="M486" s="15" t="s">
        <v>4706</v>
      </c>
      <c r="N486">
        <v>15</v>
      </c>
      <c r="O486">
        <v>0</v>
      </c>
      <c r="P486" s="21">
        <f>DATEVALUE(N486&amp;"-"&amp;M486&amp;"-"&amp;L486)</f>
        <v>33831</v>
      </c>
      <c r="Q486" s="22">
        <v>4420.95</v>
      </c>
      <c r="R486" s="23" t="s">
        <v>4697</v>
      </c>
      <c r="S486" s="23" t="s">
        <v>4698</v>
      </c>
      <c r="T486" s="23" t="s">
        <v>4719</v>
      </c>
      <c r="U486" s="23">
        <f>DATEDIF(P486, DATE(2023, 6, 8), "Y")</f>
        <v>30</v>
      </c>
      <c r="V486">
        <f>SUM(C486:K486)</f>
        <v>61.07</v>
      </c>
    </row>
    <row r="487" spans="1:22" ht="15.75">
      <c r="A487" s="28" t="s">
        <v>972</v>
      </c>
      <c r="B487" s="28" t="s">
        <v>973</v>
      </c>
      <c r="C487" s="23">
        <v>29.8</v>
      </c>
      <c r="D487" s="23">
        <v>5.78</v>
      </c>
      <c r="E487" s="23" t="s">
        <v>4683</v>
      </c>
      <c r="F487" s="23" t="s">
        <v>4682</v>
      </c>
      <c r="G487" s="23" t="s">
        <v>4682</v>
      </c>
      <c r="H487" s="23">
        <v>0</v>
      </c>
      <c r="I487" s="23" t="s">
        <v>4682</v>
      </c>
      <c r="J487" s="23" t="s">
        <v>4730</v>
      </c>
      <c r="K487" s="23" t="s">
        <v>4736</v>
      </c>
      <c r="L487">
        <v>1994</v>
      </c>
      <c r="M487" s="15" t="s">
        <v>4705</v>
      </c>
      <c r="N487">
        <v>29</v>
      </c>
      <c r="O487">
        <v>2</v>
      </c>
      <c r="P487" s="21">
        <f>DATEVALUE(N487&amp;"-"&amp;M487&amp;"-"&amp;L487)</f>
        <v>34697</v>
      </c>
      <c r="Q487" s="22">
        <v>4428.8900000000003</v>
      </c>
      <c r="R487" s="23" t="s">
        <v>4698</v>
      </c>
      <c r="S487" s="23" t="s">
        <v>4701</v>
      </c>
      <c r="T487" s="23" t="s">
        <v>4718</v>
      </c>
      <c r="U487" s="23">
        <f>DATEDIF(P487, DATE(2023, 6, 8), "Y")</f>
        <v>28</v>
      </c>
      <c r="V487">
        <f>SUM(C487:K487)</f>
        <v>35.58</v>
      </c>
    </row>
    <row r="488" spans="1:22" ht="15.75">
      <c r="A488" s="28" t="s">
        <v>974</v>
      </c>
      <c r="B488" s="28" t="s">
        <v>975</v>
      </c>
      <c r="C488" s="23">
        <v>49.77</v>
      </c>
      <c r="D488" s="23">
        <v>7.02</v>
      </c>
      <c r="E488" s="23" t="s">
        <v>4682</v>
      </c>
      <c r="F488" s="23" t="s">
        <v>4682</v>
      </c>
      <c r="G488" s="23" t="s">
        <v>4682</v>
      </c>
      <c r="H488" s="23">
        <v>0</v>
      </c>
      <c r="I488" s="23" t="s">
        <v>4682</v>
      </c>
      <c r="J488" s="23" t="s">
        <v>4729</v>
      </c>
      <c r="K488" s="23" t="s">
        <v>4735</v>
      </c>
      <c r="L488">
        <v>1993</v>
      </c>
      <c r="M488" s="15" t="s">
        <v>4703</v>
      </c>
      <c r="N488">
        <v>4</v>
      </c>
      <c r="O488">
        <v>2</v>
      </c>
      <c r="P488" s="21">
        <f>DATEVALUE(N488&amp;"-"&amp;M488&amp;"-"&amp;L488)</f>
        <v>34216</v>
      </c>
      <c r="Q488" s="22">
        <v>4433.3900000000003</v>
      </c>
      <c r="R488" s="23" t="s">
        <v>4697</v>
      </c>
      <c r="S488" s="23" t="s">
        <v>4698</v>
      </c>
      <c r="T488" s="23" t="s">
        <v>4704</v>
      </c>
      <c r="U488" s="23">
        <f>DATEDIF(P488, DATE(2023, 6, 8), "Y")</f>
        <v>29</v>
      </c>
      <c r="V488">
        <f>SUM(C488:K488)</f>
        <v>56.790000000000006</v>
      </c>
    </row>
    <row r="489" spans="1:22" ht="15.75">
      <c r="A489" s="28" t="s">
        <v>976</v>
      </c>
      <c r="B489" s="28" t="s">
        <v>977</v>
      </c>
      <c r="C489" s="23">
        <v>25.555</v>
      </c>
      <c r="D489" s="23">
        <v>4.09</v>
      </c>
      <c r="E489" s="23" t="s">
        <v>4683</v>
      </c>
      <c r="F489" s="23" t="s">
        <v>4682</v>
      </c>
      <c r="G489" s="23" t="s">
        <v>4682</v>
      </c>
      <c r="H489" s="23">
        <v>0</v>
      </c>
      <c r="I489" s="23" t="s">
        <v>4683</v>
      </c>
      <c r="J489" s="23" t="s">
        <v>4730</v>
      </c>
      <c r="K489" s="23" t="s">
        <v>4737</v>
      </c>
      <c r="L489">
        <v>1993</v>
      </c>
      <c r="M489" s="15" t="s">
        <v>4705</v>
      </c>
      <c r="N489">
        <v>23</v>
      </c>
      <c r="O489">
        <v>2</v>
      </c>
      <c r="P489" s="21">
        <f>DATEVALUE(N489&amp;"-"&amp;M489&amp;"-"&amp;L489)</f>
        <v>34326</v>
      </c>
      <c r="Q489" s="22">
        <v>4433.92</v>
      </c>
      <c r="R489" s="23" t="s">
        <v>4697</v>
      </c>
      <c r="S489" s="23" t="s">
        <v>4697</v>
      </c>
      <c r="T489" s="23" t="s">
        <v>4704</v>
      </c>
      <c r="U489" s="23">
        <f>DATEDIF(P489, DATE(2023, 6, 8), "Y")</f>
        <v>29</v>
      </c>
      <c r="V489">
        <f>SUM(C489:K489)</f>
        <v>29.645</v>
      </c>
    </row>
    <row r="490" spans="1:22" ht="15.75">
      <c r="A490" s="28" t="s">
        <v>978</v>
      </c>
      <c r="B490" s="28" t="s">
        <v>979</v>
      </c>
      <c r="C490" s="23">
        <v>29.64</v>
      </c>
      <c r="D490" s="23">
        <v>4.93</v>
      </c>
      <c r="E490" s="23" t="s">
        <v>4682</v>
      </c>
      <c r="F490" s="23" t="s">
        <v>4682</v>
      </c>
      <c r="G490" s="23" t="s">
        <v>4684</v>
      </c>
      <c r="H490" s="23">
        <v>1</v>
      </c>
      <c r="I490" s="23" t="s">
        <v>4682</v>
      </c>
      <c r="J490" s="23" t="s">
        <v>4730</v>
      </c>
      <c r="K490" s="23" t="s">
        <v>4737</v>
      </c>
      <c r="L490">
        <v>1994</v>
      </c>
      <c r="M490" s="15" t="s">
        <v>4707</v>
      </c>
      <c r="N490">
        <v>8</v>
      </c>
      <c r="O490">
        <v>2</v>
      </c>
      <c r="P490" s="21">
        <f>DATEVALUE(N490&amp;"-"&amp;M490&amp;"-"&amp;L490)</f>
        <v>34615</v>
      </c>
      <c r="Q490" s="22">
        <v>4435.09</v>
      </c>
      <c r="R490" s="23" t="s">
        <v>4698</v>
      </c>
      <c r="S490" s="23" t="s">
        <v>4697</v>
      </c>
      <c r="T490" s="23" t="s">
        <v>4711</v>
      </c>
      <c r="U490" s="23">
        <f>DATEDIF(P490, DATE(2023, 6, 8), "Y")</f>
        <v>28</v>
      </c>
      <c r="V490">
        <f>SUM(C490:K490)</f>
        <v>35.57</v>
      </c>
    </row>
    <row r="491" spans="1:22" ht="15.75">
      <c r="A491" s="28" t="s">
        <v>980</v>
      </c>
      <c r="B491" s="28" t="s">
        <v>981</v>
      </c>
      <c r="C491" s="23">
        <v>53.93</v>
      </c>
      <c r="D491" s="23">
        <v>5.34</v>
      </c>
      <c r="E491" s="23" t="s">
        <v>4683</v>
      </c>
      <c r="F491" s="23" t="s">
        <v>4682</v>
      </c>
      <c r="G491" s="23" t="s">
        <v>4682</v>
      </c>
      <c r="H491" s="23">
        <v>2</v>
      </c>
      <c r="I491" s="23" t="s">
        <v>4682</v>
      </c>
      <c r="J491" s="23" t="s">
        <v>4729</v>
      </c>
      <c r="K491" s="23" t="s">
        <v>4737</v>
      </c>
      <c r="L491">
        <v>1994</v>
      </c>
      <c r="M491" s="15" t="s">
        <v>4707</v>
      </c>
      <c r="N491">
        <v>24</v>
      </c>
      <c r="O491">
        <v>2</v>
      </c>
      <c r="P491" s="21">
        <f>DATEVALUE(N491&amp;"-"&amp;M491&amp;"-"&amp;L491)</f>
        <v>34631</v>
      </c>
      <c r="Q491" s="22">
        <v>4438.26</v>
      </c>
      <c r="R491" s="23" t="s">
        <v>4697</v>
      </c>
      <c r="S491" s="23" t="s">
        <v>4698</v>
      </c>
      <c r="T491" s="23" t="s">
        <v>4718</v>
      </c>
      <c r="U491" s="23">
        <f>DATEDIF(P491, DATE(2023, 6, 8), "Y")</f>
        <v>28</v>
      </c>
      <c r="V491">
        <f>SUM(C491:K491)</f>
        <v>61.269999999999996</v>
      </c>
    </row>
    <row r="492" spans="1:22" ht="15.75">
      <c r="A492" s="28" t="s">
        <v>982</v>
      </c>
      <c r="B492" s="28" t="s">
        <v>983</v>
      </c>
      <c r="C492" s="23">
        <v>28.024999999999999</v>
      </c>
      <c r="D492" s="23">
        <v>5.65</v>
      </c>
      <c r="E492" s="23" t="s">
        <v>4682</v>
      </c>
      <c r="F492" s="23" t="s">
        <v>4682</v>
      </c>
      <c r="G492" s="23" t="s">
        <v>4682</v>
      </c>
      <c r="H492" s="23">
        <v>1</v>
      </c>
      <c r="I492" s="23" t="s">
        <v>4683</v>
      </c>
      <c r="J492" s="23" t="s">
        <v>4730</v>
      </c>
      <c r="K492" s="23" t="s">
        <v>4737</v>
      </c>
      <c r="L492">
        <v>1991</v>
      </c>
      <c r="M492" s="15" t="s">
        <v>4703</v>
      </c>
      <c r="N492">
        <v>3</v>
      </c>
      <c r="O492">
        <v>1</v>
      </c>
      <c r="P492" s="21">
        <f>DATEVALUE(N492&amp;"-"&amp;M492&amp;"-"&amp;L492)</f>
        <v>33484</v>
      </c>
      <c r="Q492" s="22">
        <v>4441.21</v>
      </c>
      <c r="R492" s="23" t="s">
        <v>4701</v>
      </c>
      <c r="S492" s="23" t="s">
        <v>4697</v>
      </c>
      <c r="T492" s="23" t="s">
        <v>4716</v>
      </c>
      <c r="U492" s="23">
        <f>DATEDIF(P492, DATE(2023, 6, 8), "Y")</f>
        <v>31</v>
      </c>
      <c r="V492">
        <f>SUM(C492:K492)</f>
        <v>34.674999999999997</v>
      </c>
    </row>
    <row r="493" spans="1:22" ht="15.75">
      <c r="A493" s="28" t="s">
        <v>984</v>
      </c>
      <c r="B493" s="28" t="s">
        <v>985</v>
      </c>
      <c r="C493" s="23">
        <v>27.5</v>
      </c>
      <c r="D493" s="23">
        <v>4.49</v>
      </c>
      <c r="E493" s="23" t="s">
        <v>4682</v>
      </c>
      <c r="F493" s="23" t="s">
        <v>4682</v>
      </c>
      <c r="G493" s="23" t="s">
        <v>4682</v>
      </c>
      <c r="H493" s="23">
        <v>0</v>
      </c>
      <c r="I493" s="23" t="s">
        <v>4682</v>
      </c>
      <c r="J493" s="23" t="s">
        <v>4730</v>
      </c>
      <c r="K493" s="23" t="s">
        <v>4737</v>
      </c>
      <c r="L493">
        <v>1994</v>
      </c>
      <c r="M493" s="15" t="s">
        <v>4702</v>
      </c>
      <c r="N493">
        <v>28</v>
      </c>
      <c r="O493">
        <v>3</v>
      </c>
      <c r="P493" s="21">
        <f>DATEVALUE(N493&amp;"-"&amp;M493&amp;"-"&amp;L493)</f>
        <v>34513</v>
      </c>
      <c r="Q493" s="22">
        <v>4449.46</v>
      </c>
      <c r="R493" s="23" t="s">
        <v>4701</v>
      </c>
      <c r="S493" s="23" t="s">
        <v>4697</v>
      </c>
      <c r="T493" s="23" t="s">
        <v>4699</v>
      </c>
      <c r="U493" s="23">
        <f>DATEDIF(P493, DATE(2023, 6, 8), "Y")</f>
        <v>28</v>
      </c>
      <c r="V493">
        <f>SUM(C493:K493)</f>
        <v>31.990000000000002</v>
      </c>
    </row>
    <row r="494" spans="1:22" ht="15.75">
      <c r="A494" s="28" t="s">
        <v>986</v>
      </c>
      <c r="B494" s="28" t="s">
        <v>987</v>
      </c>
      <c r="C494" s="23">
        <v>21.8</v>
      </c>
      <c r="D494" s="23">
        <v>10.55</v>
      </c>
      <c r="E494" s="23" t="s">
        <v>4682</v>
      </c>
      <c r="F494" s="23" t="s">
        <v>4682</v>
      </c>
      <c r="G494" s="23" t="s">
        <v>4682</v>
      </c>
      <c r="H494" s="23">
        <v>0</v>
      </c>
      <c r="I494" s="23" t="s">
        <v>4683</v>
      </c>
      <c r="J494" s="23" t="s">
        <v>4728</v>
      </c>
      <c r="K494" s="23" t="s">
        <v>4735</v>
      </c>
      <c r="L494">
        <v>1990</v>
      </c>
      <c r="M494" s="15" t="s">
        <v>4706</v>
      </c>
      <c r="N494">
        <v>8</v>
      </c>
      <c r="O494">
        <v>1</v>
      </c>
      <c r="P494" s="21">
        <f>DATEVALUE(N494&amp;"-"&amp;M494&amp;"-"&amp;L494)</f>
        <v>33093</v>
      </c>
      <c r="Q494" s="22">
        <v>4454.3999999999996</v>
      </c>
      <c r="R494" s="23" t="s">
        <v>4697</v>
      </c>
      <c r="S494" s="23" t="s">
        <v>4698</v>
      </c>
      <c r="T494" s="23" t="s">
        <v>4704</v>
      </c>
      <c r="U494" s="23">
        <f>DATEDIF(P494, DATE(2023, 6, 8), "Y")</f>
        <v>32</v>
      </c>
      <c r="V494">
        <f>SUM(C494:K494)</f>
        <v>32.35</v>
      </c>
    </row>
    <row r="495" spans="1:22" ht="15.75">
      <c r="A495" s="28" t="s">
        <v>988</v>
      </c>
      <c r="B495" s="28" t="s">
        <v>989</v>
      </c>
      <c r="C495" s="23">
        <v>26.41</v>
      </c>
      <c r="D495" s="23">
        <v>4.92</v>
      </c>
      <c r="E495" s="23" t="s">
        <v>4683</v>
      </c>
      <c r="F495" s="23" t="s">
        <v>4682</v>
      </c>
      <c r="G495" s="23" t="s">
        <v>4684</v>
      </c>
      <c r="H495" s="23">
        <v>1</v>
      </c>
      <c r="I495" s="23" t="s">
        <v>4683</v>
      </c>
      <c r="J495" s="23" t="s">
        <v>4730</v>
      </c>
      <c r="K495" s="23" t="s">
        <v>4737</v>
      </c>
      <c r="L495">
        <v>1990</v>
      </c>
      <c r="M495" s="15" t="s">
        <v>4696</v>
      </c>
      <c r="N495">
        <v>15</v>
      </c>
      <c r="O495">
        <v>1</v>
      </c>
      <c r="P495" s="21">
        <f>DATEVALUE(N495&amp;"-"&amp;M495&amp;"-"&amp;L495)</f>
        <v>33069</v>
      </c>
      <c r="Q495" s="22">
        <v>4462.72</v>
      </c>
      <c r="R495" s="23" t="s">
        <v>4697</v>
      </c>
      <c r="S495" s="23" t="s">
        <v>4698</v>
      </c>
      <c r="T495" s="23" t="s">
        <v>4704</v>
      </c>
      <c r="U495" s="23">
        <f>DATEDIF(P495, DATE(2023, 6, 8), "Y")</f>
        <v>32</v>
      </c>
      <c r="V495">
        <f>SUM(C495:K495)</f>
        <v>32.33</v>
      </c>
    </row>
    <row r="496" spans="1:22" ht="15.75">
      <c r="A496" s="28" t="s">
        <v>990</v>
      </c>
      <c r="B496" s="28" t="s">
        <v>991</v>
      </c>
      <c r="C496" s="23">
        <v>27.835000000000001</v>
      </c>
      <c r="D496" s="23">
        <v>5.9</v>
      </c>
      <c r="E496" s="23" t="s">
        <v>4683</v>
      </c>
      <c r="F496" s="23" t="s">
        <v>4682</v>
      </c>
      <c r="G496" s="23" t="s">
        <v>4682</v>
      </c>
      <c r="H496" s="23">
        <v>1</v>
      </c>
      <c r="I496" s="23" t="s">
        <v>4683</v>
      </c>
      <c r="J496" s="23" t="s">
        <v>4730</v>
      </c>
      <c r="K496" s="23" t="s">
        <v>4736</v>
      </c>
      <c r="L496">
        <v>1991</v>
      </c>
      <c r="M496" s="15" t="s">
        <v>4696</v>
      </c>
      <c r="N496">
        <v>4</v>
      </c>
      <c r="O496">
        <v>2</v>
      </c>
      <c r="P496" s="21">
        <f>DATEVALUE(N496&amp;"-"&amp;M496&amp;"-"&amp;L496)</f>
        <v>33423</v>
      </c>
      <c r="Q496" s="22">
        <v>4463.21</v>
      </c>
      <c r="R496" s="23" t="s">
        <v>4698</v>
      </c>
      <c r="S496" s="23" t="s">
        <v>4698</v>
      </c>
      <c r="T496" s="23" t="s">
        <v>4699</v>
      </c>
      <c r="U496" s="23">
        <f>DATEDIF(P496, DATE(2023, 6, 8), "Y")</f>
        <v>31</v>
      </c>
      <c r="V496">
        <f>SUM(C496:K496)</f>
        <v>34.734999999999999</v>
      </c>
    </row>
    <row r="497" spans="1:22" ht="15.75">
      <c r="A497" s="28" t="s">
        <v>992</v>
      </c>
      <c r="B497" s="28" t="s">
        <v>993</v>
      </c>
      <c r="C497" s="23">
        <v>51.74</v>
      </c>
      <c r="D497" s="23">
        <v>4.9800000000000004</v>
      </c>
      <c r="E497" s="23" t="s">
        <v>4683</v>
      </c>
      <c r="F497" s="23" t="s">
        <v>4682</v>
      </c>
      <c r="G497" s="23" t="s">
        <v>4682</v>
      </c>
      <c r="H497" s="23">
        <v>2</v>
      </c>
      <c r="I497" s="23" t="s">
        <v>4682</v>
      </c>
      <c r="J497" s="23" t="s">
        <v>4729</v>
      </c>
      <c r="K497" s="23" t="s">
        <v>4737</v>
      </c>
      <c r="L497">
        <v>1999</v>
      </c>
      <c r="M497" s="15" t="s">
        <v>4700</v>
      </c>
      <c r="N497">
        <v>20</v>
      </c>
      <c r="O497">
        <v>3</v>
      </c>
      <c r="P497" s="21">
        <f>DATEVALUE(N497&amp;"-"&amp;M497&amp;"-"&amp;L497)</f>
        <v>36484</v>
      </c>
      <c r="Q497" s="22">
        <v>4466.62</v>
      </c>
      <c r="R497" s="23" t="s">
        <v>4697</v>
      </c>
      <c r="S497" s="23" t="s">
        <v>4697</v>
      </c>
      <c r="T497" s="23" t="s">
        <v>4704</v>
      </c>
      <c r="U497" s="23">
        <f>DATEDIF(P497, DATE(2023, 6, 8), "Y")</f>
        <v>23</v>
      </c>
      <c r="V497">
        <f>SUM(C497:K497)</f>
        <v>58.72</v>
      </c>
    </row>
    <row r="498" spans="1:22" ht="15.75">
      <c r="A498" s="28" t="s">
        <v>994</v>
      </c>
      <c r="B498" s="28" t="s">
        <v>995</v>
      </c>
      <c r="C498" s="23">
        <v>23.37</v>
      </c>
      <c r="D498" s="23">
        <v>5.8</v>
      </c>
      <c r="E498" s="23" t="s">
        <v>4682</v>
      </c>
      <c r="F498" s="23" t="s">
        <v>4682</v>
      </c>
      <c r="G498" s="23" t="s">
        <v>4682</v>
      </c>
      <c r="H498" s="23">
        <v>0</v>
      </c>
      <c r="I498" s="23" t="s">
        <v>4683</v>
      </c>
      <c r="J498" s="23" t="s">
        <v>4728</v>
      </c>
      <c r="K498" s="23" t="s">
        <v>4736</v>
      </c>
      <c r="L498">
        <v>2004</v>
      </c>
      <c r="M498" s="15" t="s">
        <v>4696</v>
      </c>
      <c r="N498">
        <v>18</v>
      </c>
      <c r="O498">
        <v>0</v>
      </c>
      <c r="P498" s="21">
        <f>DATEVALUE(N498&amp;"-"&amp;M498&amp;"-"&amp;L498)</f>
        <v>38186</v>
      </c>
      <c r="Q498" s="22">
        <v>4468.25</v>
      </c>
      <c r="R498" s="23" t="s">
        <v>4697</v>
      </c>
      <c r="S498" s="23" t="s">
        <v>4697</v>
      </c>
      <c r="T498" s="23" t="s">
        <v>4704</v>
      </c>
      <c r="U498" s="23">
        <f>DATEDIF(P498, DATE(2023, 6, 8), "Y")</f>
        <v>18</v>
      </c>
      <c r="V498">
        <f>SUM(C498:K498)</f>
        <v>29.17</v>
      </c>
    </row>
    <row r="499" spans="1:22" ht="15.75">
      <c r="A499" s="28" t="s">
        <v>996</v>
      </c>
      <c r="B499" s="28" t="s">
        <v>997</v>
      </c>
      <c r="C499" s="23">
        <v>29.7</v>
      </c>
      <c r="D499" s="23">
        <v>6.21</v>
      </c>
      <c r="E499" s="23" t="s">
        <v>4683</v>
      </c>
      <c r="F499" s="23" t="s">
        <v>4682</v>
      </c>
      <c r="G499" s="23" t="s">
        <v>4684</v>
      </c>
      <c r="H499" s="23">
        <v>1</v>
      </c>
      <c r="I499" s="23" t="s">
        <v>4683</v>
      </c>
      <c r="J499" s="23" t="s">
        <v>4730</v>
      </c>
      <c r="K499" s="23" t="s">
        <v>4736</v>
      </c>
      <c r="L499">
        <v>1992</v>
      </c>
      <c r="M499" s="15" t="s">
        <v>4696</v>
      </c>
      <c r="N499">
        <v>12</v>
      </c>
      <c r="O499">
        <v>0</v>
      </c>
      <c r="P499" s="21">
        <f>DATEVALUE(N499&amp;"-"&amp;M499&amp;"-"&amp;L499)</f>
        <v>33797</v>
      </c>
      <c r="Q499" s="22">
        <v>4488.58</v>
      </c>
      <c r="R499" s="23" t="s">
        <v>4697</v>
      </c>
      <c r="S499" s="23" t="s">
        <v>4698</v>
      </c>
      <c r="T499" s="23" t="s">
        <v>4704</v>
      </c>
      <c r="U499" s="23">
        <f>DATEDIF(P499, DATE(2023, 6, 8), "Y")</f>
        <v>30</v>
      </c>
      <c r="V499">
        <f>SUM(C499:K499)</f>
        <v>36.909999999999997</v>
      </c>
    </row>
    <row r="500" spans="1:22" ht="15.75">
      <c r="A500" s="28" t="s">
        <v>998</v>
      </c>
      <c r="B500" s="28" t="s">
        <v>999</v>
      </c>
      <c r="C500" s="23">
        <v>20.045000000000002</v>
      </c>
      <c r="D500" s="23">
        <v>6.17</v>
      </c>
      <c r="E500" s="23" t="s">
        <v>4682</v>
      </c>
      <c r="F500" s="23" t="s">
        <v>4682</v>
      </c>
      <c r="G500" s="23" t="s">
        <v>4684</v>
      </c>
      <c r="H500" s="23">
        <v>1</v>
      </c>
      <c r="I500" s="23" t="s">
        <v>4683</v>
      </c>
      <c r="J500" s="23" t="s">
        <v>4728</v>
      </c>
      <c r="K500" s="23" t="s">
        <v>4736</v>
      </c>
      <c r="L500">
        <v>1988</v>
      </c>
      <c r="M500" s="15" t="s">
        <v>4702</v>
      </c>
      <c r="N500">
        <v>26</v>
      </c>
      <c r="O500">
        <v>0</v>
      </c>
      <c r="P500" s="21">
        <f>DATEVALUE(N500&amp;"-"&amp;M500&amp;"-"&amp;L500)</f>
        <v>32320</v>
      </c>
      <c r="Q500" s="22">
        <v>4500.34</v>
      </c>
      <c r="R500" s="23" t="s">
        <v>4697</v>
      </c>
      <c r="S500" s="23" t="s">
        <v>4701</v>
      </c>
      <c r="T500" s="23" t="s">
        <v>4718</v>
      </c>
      <c r="U500" s="23">
        <f>DATEDIF(P500, DATE(2023, 6, 8), "Y")</f>
        <v>34</v>
      </c>
      <c r="V500">
        <f>SUM(C500:K500)</f>
        <v>27.215000000000003</v>
      </c>
    </row>
    <row r="501" spans="1:22" ht="15.75">
      <c r="A501" s="28" t="s">
        <v>1000</v>
      </c>
      <c r="B501" s="28" t="s">
        <v>1001</v>
      </c>
      <c r="C501" s="23">
        <v>27.83</v>
      </c>
      <c r="D501" s="23">
        <v>5.36</v>
      </c>
      <c r="E501" s="23" t="s">
        <v>4682</v>
      </c>
      <c r="F501" s="23" t="s">
        <v>4682</v>
      </c>
      <c r="G501" s="23" t="s">
        <v>4682</v>
      </c>
      <c r="H501" s="23">
        <v>2</v>
      </c>
      <c r="I501" s="23" t="s">
        <v>4682</v>
      </c>
      <c r="J501" s="23" t="s">
        <v>4730</v>
      </c>
      <c r="K501" s="23" t="s">
        <v>4737</v>
      </c>
      <c r="L501">
        <v>1997</v>
      </c>
      <c r="M501" s="15" t="s">
        <v>4707</v>
      </c>
      <c r="N501">
        <v>13</v>
      </c>
      <c r="O501">
        <v>4</v>
      </c>
      <c r="P501" s="21">
        <f>DATEVALUE(N501&amp;"-"&amp;M501&amp;"-"&amp;L501)</f>
        <v>35716</v>
      </c>
      <c r="Q501" s="22">
        <v>4504.66</v>
      </c>
      <c r="R501" s="23" t="s">
        <v>4701</v>
      </c>
      <c r="S501" s="23" t="s">
        <v>4697</v>
      </c>
      <c r="T501" s="23" t="s">
        <v>4699</v>
      </c>
      <c r="U501" s="23">
        <f>DATEDIF(P501, DATE(2023, 6, 8), "Y")</f>
        <v>25</v>
      </c>
      <c r="V501">
        <f>SUM(C501:K501)</f>
        <v>35.19</v>
      </c>
    </row>
    <row r="502" spans="1:22" ht="15.75">
      <c r="A502" s="28" t="s">
        <v>1002</v>
      </c>
      <c r="B502" s="28" t="s">
        <v>1003</v>
      </c>
      <c r="C502" s="23">
        <v>28.93</v>
      </c>
      <c r="D502" s="23">
        <v>5.2</v>
      </c>
      <c r="E502" s="23" t="s">
        <v>4682</v>
      </c>
      <c r="F502" s="23" t="s">
        <v>4682</v>
      </c>
      <c r="G502" s="23" t="s">
        <v>4682</v>
      </c>
      <c r="H502" s="23">
        <v>0</v>
      </c>
      <c r="I502" s="23" t="s">
        <v>4683</v>
      </c>
      <c r="J502" s="23" t="s">
        <v>4730</v>
      </c>
      <c r="K502" s="23" t="s">
        <v>4737</v>
      </c>
      <c r="L502">
        <v>1982</v>
      </c>
      <c r="M502" s="15" t="s">
        <v>4703</v>
      </c>
      <c r="N502">
        <v>27</v>
      </c>
      <c r="O502">
        <v>3</v>
      </c>
      <c r="P502" s="21">
        <f>DATEVALUE(N502&amp;"-"&amp;M502&amp;"-"&amp;L502)</f>
        <v>30221</v>
      </c>
      <c r="Q502" s="22">
        <v>4511.41</v>
      </c>
      <c r="R502" s="23" t="s">
        <v>4697</v>
      </c>
      <c r="S502" s="23" t="s">
        <v>4698</v>
      </c>
      <c r="T502" s="23" t="s">
        <v>4699</v>
      </c>
      <c r="U502" s="23">
        <f>DATEDIF(P502, DATE(2023, 6, 8), "Y")</f>
        <v>40</v>
      </c>
      <c r="V502">
        <f>SUM(C502:K502)</f>
        <v>34.130000000000003</v>
      </c>
    </row>
    <row r="503" spans="1:22" ht="15.75">
      <c r="A503" s="28" t="s">
        <v>1004</v>
      </c>
      <c r="B503" s="28" t="s">
        <v>1005</v>
      </c>
      <c r="C503" s="23">
        <v>33.82</v>
      </c>
      <c r="D503" s="23">
        <v>5.42</v>
      </c>
      <c r="E503" s="23" t="s">
        <v>4682</v>
      </c>
      <c r="F503" s="23" t="s">
        <v>4682</v>
      </c>
      <c r="G503" s="23" t="s">
        <v>4682</v>
      </c>
      <c r="H503" s="23">
        <v>0</v>
      </c>
      <c r="I503" s="23" t="s">
        <v>4682</v>
      </c>
      <c r="J503" s="23" t="s">
        <v>4729</v>
      </c>
      <c r="K503" s="23" t="s">
        <v>4737</v>
      </c>
      <c r="L503">
        <v>1980</v>
      </c>
      <c r="M503" s="15" t="s">
        <v>4702</v>
      </c>
      <c r="N503">
        <v>16</v>
      </c>
      <c r="O503">
        <v>2</v>
      </c>
      <c r="P503" s="21">
        <f>DATEVALUE(N503&amp;"-"&amp;M503&amp;"-"&amp;L503)</f>
        <v>29388</v>
      </c>
      <c r="Q503" s="22">
        <v>4515.71</v>
      </c>
      <c r="R503" s="23" t="s">
        <v>4697</v>
      </c>
      <c r="S503" s="23" t="s">
        <v>4698</v>
      </c>
      <c r="T503" s="23" t="s">
        <v>4699</v>
      </c>
      <c r="U503" s="23">
        <f>DATEDIF(P503, DATE(2023, 6, 8), "Y")</f>
        <v>42</v>
      </c>
      <c r="V503">
        <f>SUM(C503:K503)</f>
        <v>39.24</v>
      </c>
    </row>
    <row r="504" spans="1:22" ht="15.75">
      <c r="A504" s="28" t="s">
        <v>1006</v>
      </c>
      <c r="B504" s="28" t="s">
        <v>1007</v>
      </c>
      <c r="C504" s="23">
        <v>20.234999999999999</v>
      </c>
      <c r="D504" s="23">
        <v>6.84</v>
      </c>
      <c r="E504" s="23" t="s">
        <v>4682</v>
      </c>
      <c r="F504" s="23" t="s">
        <v>4682</v>
      </c>
      <c r="G504" s="23" t="s">
        <v>4682</v>
      </c>
      <c r="H504" s="23">
        <v>0</v>
      </c>
      <c r="I504" s="23" t="s">
        <v>4683</v>
      </c>
      <c r="J504" s="23" t="s">
        <v>4728</v>
      </c>
      <c r="K504" s="23" t="s">
        <v>4735</v>
      </c>
      <c r="L504">
        <v>2003</v>
      </c>
      <c r="M504" s="15" t="s">
        <v>4707</v>
      </c>
      <c r="N504">
        <v>2</v>
      </c>
      <c r="O504">
        <v>0</v>
      </c>
      <c r="P504" s="21">
        <f>DATEVALUE(N504&amp;"-"&amp;M504&amp;"-"&amp;L504)</f>
        <v>37896</v>
      </c>
      <c r="Q504" s="22">
        <v>4518.3999999999996</v>
      </c>
      <c r="R504" s="23" t="s">
        <v>4697</v>
      </c>
      <c r="S504" s="23" t="s">
        <v>4698</v>
      </c>
      <c r="T504" s="23" t="s">
        <v>4720</v>
      </c>
      <c r="U504" s="23">
        <f>DATEDIF(P504, DATE(2023, 6, 8), "Y")</f>
        <v>19</v>
      </c>
      <c r="V504">
        <f>SUM(C504:K504)</f>
        <v>27.074999999999999</v>
      </c>
    </row>
    <row r="505" spans="1:22" ht="15.75">
      <c r="A505" s="28" t="s">
        <v>1008</v>
      </c>
      <c r="B505" s="28" t="s">
        <v>1009</v>
      </c>
      <c r="C505" s="23">
        <v>49.2</v>
      </c>
      <c r="D505" s="23">
        <v>10.9</v>
      </c>
      <c r="E505" s="23" t="s">
        <v>4683</v>
      </c>
      <c r="F505" s="23" t="s">
        <v>4682</v>
      </c>
      <c r="G505" s="23" t="s">
        <v>4684</v>
      </c>
      <c r="H505" s="23">
        <v>1</v>
      </c>
      <c r="I505" s="23" t="s">
        <v>4682</v>
      </c>
      <c r="J505" s="23" t="s">
        <v>4729</v>
      </c>
      <c r="K505" s="23" t="s">
        <v>4735</v>
      </c>
      <c r="L505">
        <v>1987</v>
      </c>
      <c r="M505" s="15" t="s">
        <v>4705</v>
      </c>
      <c r="N505">
        <v>5</v>
      </c>
      <c r="O505">
        <v>3</v>
      </c>
      <c r="P505" s="21">
        <f>DATEVALUE(N505&amp;"-"&amp;M505&amp;"-"&amp;L505)</f>
        <v>32116</v>
      </c>
      <c r="Q505" s="22">
        <v>4518.7700000000004</v>
      </c>
      <c r="R505" s="23" t="s">
        <v>4697</v>
      </c>
      <c r="S505" s="23" t="s">
        <v>4698</v>
      </c>
      <c r="T505" s="23" t="s">
        <v>4704</v>
      </c>
      <c r="U505" s="23">
        <f>DATEDIF(P505, DATE(2023, 6, 8), "Y")</f>
        <v>35</v>
      </c>
      <c r="V505">
        <f>SUM(C505:K505)</f>
        <v>61.1</v>
      </c>
    </row>
    <row r="506" spans="1:22" ht="15.75">
      <c r="A506" s="28" t="s">
        <v>1010</v>
      </c>
      <c r="B506" s="28" t="s">
        <v>1011</v>
      </c>
      <c r="C506" s="23">
        <v>26.4</v>
      </c>
      <c r="D506" s="23">
        <v>4.87</v>
      </c>
      <c r="E506" s="23" t="s">
        <v>4683</v>
      </c>
      <c r="F506" s="23" t="s">
        <v>4682</v>
      </c>
      <c r="G506" s="23" t="s">
        <v>4682</v>
      </c>
      <c r="H506" s="23">
        <v>0</v>
      </c>
      <c r="I506" s="23" t="s">
        <v>4683</v>
      </c>
      <c r="J506" s="23" t="s">
        <v>4730</v>
      </c>
      <c r="K506" s="23" t="s">
        <v>4737</v>
      </c>
      <c r="L506">
        <v>1988</v>
      </c>
      <c r="M506" s="15" t="s">
        <v>4705</v>
      </c>
      <c r="N506">
        <v>21</v>
      </c>
      <c r="O506">
        <v>0</v>
      </c>
      <c r="P506" s="21">
        <f>DATEVALUE(N506&amp;"-"&amp;M506&amp;"-"&amp;L506)</f>
        <v>32498</v>
      </c>
      <c r="Q506" s="22">
        <v>4518.83</v>
      </c>
      <c r="R506" s="23" t="s">
        <v>4697</v>
      </c>
      <c r="S506" s="23" t="s">
        <v>4697</v>
      </c>
      <c r="T506" s="23" t="s">
        <v>4718</v>
      </c>
      <c r="U506" s="23">
        <f>DATEDIF(P506, DATE(2023, 6, 8), "Y")</f>
        <v>34</v>
      </c>
      <c r="V506">
        <f>SUM(C506:K506)</f>
        <v>31.27</v>
      </c>
    </row>
    <row r="507" spans="1:22" ht="15.75">
      <c r="A507" s="28" t="s">
        <v>1012</v>
      </c>
      <c r="B507" s="28" t="s">
        <v>1013</v>
      </c>
      <c r="C507" s="23">
        <v>28.38</v>
      </c>
      <c r="D507" s="23">
        <v>6.07</v>
      </c>
      <c r="E507" s="23" t="s">
        <v>4682</v>
      </c>
      <c r="F507" s="23" t="s">
        <v>4682</v>
      </c>
      <c r="G507" s="23" t="s">
        <v>4682</v>
      </c>
      <c r="H507" s="23">
        <v>1</v>
      </c>
      <c r="I507" s="23" t="s">
        <v>4683</v>
      </c>
      <c r="J507" s="23" t="s">
        <v>4730</v>
      </c>
      <c r="K507" s="23" t="s">
        <v>4736</v>
      </c>
      <c r="L507">
        <v>1992</v>
      </c>
      <c r="M507" s="15" t="s">
        <v>4706</v>
      </c>
      <c r="N507">
        <v>13</v>
      </c>
      <c r="O507">
        <v>1</v>
      </c>
      <c r="P507" s="21">
        <f>DATEVALUE(N507&amp;"-"&amp;M507&amp;"-"&amp;L507)</f>
        <v>33829</v>
      </c>
      <c r="Q507" s="22">
        <v>4527.18</v>
      </c>
      <c r="R507" s="23" t="s">
        <v>4697</v>
      </c>
      <c r="S507" s="23" t="s">
        <v>4697</v>
      </c>
      <c r="T507" s="23" t="s">
        <v>4704</v>
      </c>
      <c r="U507" s="23">
        <f>DATEDIF(P507, DATE(2023, 6, 8), "Y")</f>
        <v>30</v>
      </c>
      <c r="V507">
        <f>SUM(C507:K507)</f>
        <v>35.450000000000003</v>
      </c>
    </row>
    <row r="508" spans="1:22" ht="15.75">
      <c r="A508" s="28" t="s">
        <v>1014</v>
      </c>
      <c r="B508" s="28" t="s">
        <v>1015</v>
      </c>
      <c r="C508" s="23">
        <v>24.64</v>
      </c>
      <c r="D508" s="23">
        <v>4.33</v>
      </c>
      <c r="E508" s="23" t="s">
        <v>4682</v>
      </c>
      <c r="F508" s="23" t="s">
        <v>4682</v>
      </c>
      <c r="G508" s="23" t="s">
        <v>4682</v>
      </c>
      <c r="H508" s="23">
        <v>0</v>
      </c>
      <c r="I508" s="23" t="s">
        <v>4683</v>
      </c>
      <c r="J508" s="23" t="s">
        <v>4728</v>
      </c>
      <c r="K508" s="23" t="s">
        <v>4737</v>
      </c>
      <c r="L508">
        <v>1993</v>
      </c>
      <c r="M508" s="15" t="s">
        <v>4702</v>
      </c>
      <c r="N508">
        <v>29</v>
      </c>
      <c r="O508">
        <v>2</v>
      </c>
      <c r="P508" s="21">
        <f>DATEVALUE(N508&amp;"-"&amp;M508&amp;"-"&amp;L508)</f>
        <v>34149</v>
      </c>
      <c r="Q508" s="22">
        <v>4529.4799999999996</v>
      </c>
      <c r="R508" s="23" t="s">
        <v>4697</v>
      </c>
      <c r="S508" s="23" t="s">
        <v>4701</v>
      </c>
      <c r="T508" s="23" t="s">
        <v>4708</v>
      </c>
      <c r="U508" s="23">
        <f>DATEDIF(P508, DATE(2023, 6, 8), "Y")</f>
        <v>29</v>
      </c>
      <c r="V508">
        <f>SUM(C508:K508)</f>
        <v>28.97</v>
      </c>
    </row>
    <row r="509" spans="1:22" ht="15.75">
      <c r="A509" s="28" t="s">
        <v>1016</v>
      </c>
      <c r="B509" s="28" t="s">
        <v>1017</v>
      </c>
      <c r="C509" s="23">
        <v>39.71</v>
      </c>
      <c r="D509" s="23">
        <v>5.83</v>
      </c>
      <c r="E509" s="23" t="s">
        <v>4682</v>
      </c>
      <c r="F509" s="23" t="s">
        <v>4682</v>
      </c>
      <c r="G509" s="23" t="s">
        <v>4682</v>
      </c>
      <c r="H509" s="23">
        <v>1</v>
      </c>
      <c r="I509" s="23" t="s">
        <v>4682</v>
      </c>
      <c r="J509" s="23" t="s">
        <v>4729</v>
      </c>
      <c r="K509" s="23" t="s">
        <v>4736</v>
      </c>
      <c r="L509">
        <v>1988</v>
      </c>
      <c r="M509" s="15" t="s">
        <v>4702</v>
      </c>
      <c r="N509">
        <v>13</v>
      </c>
      <c r="O509">
        <v>1</v>
      </c>
      <c r="P509" s="21">
        <f>DATEVALUE(N509&amp;"-"&amp;M509&amp;"-"&amp;L509)</f>
        <v>32307</v>
      </c>
      <c r="Q509" s="22">
        <v>4536.26</v>
      </c>
      <c r="R509" s="23" t="s">
        <v>4697</v>
      </c>
      <c r="S509" s="23" t="s">
        <v>4697</v>
      </c>
      <c r="T509" s="23" t="s">
        <v>4708</v>
      </c>
      <c r="U509" s="23">
        <f>DATEDIF(P509, DATE(2023, 6, 8), "Y")</f>
        <v>34</v>
      </c>
      <c r="V509">
        <f>SUM(C509:K509)</f>
        <v>46.54</v>
      </c>
    </row>
    <row r="510" spans="1:22" ht="15.75">
      <c r="A510" s="28" t="s">
        <v>1018</v>
      </c>
      <c r="B510" s="28" t="s">
        <v>1019</v>
      </c>
      <c r="C510" s="23">
        <v>22.22</v>
      </c>
      <c r="D510" s="23">
        <v>5.5</v>
      </c>
      <c r="E510" s="23" t="s">
        <v>4682</v>
      </c>
      <c r="F510" s="23" t="s">
        <v>4682</v>
      </c>
      <c r="G510" s="23" t="s">
        <v>4682</v>
      </c>
      <c r="H510" s="23">
        <v>0</v>
      </c>
      <c r="I510" s="23" t="s">
        <v>4683</v>
      </c>
      <c r="J510" s="23" t="s">
        <v>4728</v>
      </c>
      <c r="K510" s="23" t="s">
        <v>4737</v>
      </c>
      <c r="L510">
        <v>1990</v>
      </c>
      <c r="M510" s="15" t="s">
        <v>4700</v>
      </c>
      <c r="N510">
        <v>17</v>
      </c>
      <c r="O510">
        <v>0</v>
      </c>
      <c r="P510" s="21">
        <f>DATEVALUE(N510&amp;"-"&amp;M510&amp;"-"&amp;L510)</f>
        <v>33194</v>
      </c>
      <c r="Q510" s="22">
        <v>4544.2299999999996</v>
      </c>
      <c r="R510" s="23" t="s">
        <v>4697</v>
      </c>
      <c r="S510" s="23" t="s">
        <v>4701</v>
      </c>
      <c r="T510" s="23" t="s">
        <v>4714</v>
      </c>
      <c r="U510" s="23">
        <f>DATEDIF(P510, DATE(2023, 6, 8), "Y")</f>
        <v>32</v>
      </c>
      <c r="V510">
        <f>SUM(C510:K510)</f>
        <v>27.72</v>
      </c>
    </row>
    <row r="511" spans="1:22" ht="15.75">
      <c r="A511" s="28" t="s">
        <v>1020</v>
      </c>
      <c r="B511" s="28" t="s">
        <v>1021</v>
      </c>
      <c r="C511" s="23">
        <v>33.344999999999999</v>
      </c>
      <c r="D511" s="23">
        <v>4.79</v>
      </c>
      <c r="E511" s="23" t="s">
        <v>4682</v>
      </c>
      <c r="F511" s="23" t="s">
        <v>4682</v>
      </c>
      <c r="G511" s="23" t="s">
        <v>4684</v>
      </c>
      <c r="H511" s="23">
        <v>1</v>
      </c>
      <c r="I511" s="23" t="s">
        <v>4682</v>
      </c>
      <c r="J511" s="23" t="s">
        <v>4729</v>
      </c>
      <c r="K511" s="23" t="s">
        <v>4737</v>
      </c>
      <c r="L511">
        <v>2004</v>
      </c>
      <c r="M511" s="15" t="s">
        <v>4705</v>
      </c>
      <c r="N511">
        <v>22</v>
      </c>
      <c r="O511">
        <v>4</v>
      </c>
      <c r="P511" s="21">
        <f>DATEVALUE(N511&amp;"-"&amp;M511&amp;"-"&amp;L511)</f>
        <v>38343</v>
      </c>
      <c r="Q511" s="22">
        <v>4561.1899999999996</v>
      </c>
      <c r="R511" s="23" t="s">
        <v>4697</v>
      </c>
      <c r="S511" s="23" t="s">
        <v>4697</v>
      </c>
      <c r="T511" s="23" t="s">
        <v>4714</v>
      </c>
      <c r="U511" s="23">
        <f>DATEDIF(P511, DATE(2023, 6, 8), "Y")</f>
        <v>18</v>
      </c>
      <c r="V511">
        <f>SUM(C511:K511)</f>
        <v>39.134999999999998</v>
      </c>
    </row>
    <row r="512" spans="1:22" ht="15.75">
      <c r="A512" s="28" t="s">
        <v>1022</v>
      </c>
      <c r="B512" s="28" t="s">
        <v>1023</v>
      </c>
      <c r="C512" s="23">
        <v>24.42</v>
      </c>
      <c r="D512" s="23">
        <v>5.81</v>
      </c>
      <c r="E512" s="23" t="s">
        <v>4682</v>
      </c>
      <c r="F512" s="23" t="s">
        <v>4682</v>
      </c>
      <c r="G512" s="23" t="s">
        <v>4682</v>
      </c>
      <c r="H512" s="23">
        <v>1</v>
      </c>
      <c r="I512" s="23" t="s">
        <v>4683</v>
      </c>
      <c r="J512" s="23" t="s">
        <v>4728</v>
      </c>
      <c r="K512" s="23" t="s">
        <v>4736</v>
      </c>
      <c r="L512">
        <v>1990</v>
      </c>
      <c r="M512" s="15" t="s">
        <v>4703</v>
      </c>
      <c r="N512">
        <v>20</v>
      </c>
      <c r="O512">
        <v>1</v>
      </c>
      <c r="P512" s="21">
        <f>DATEVALUE(N512&amp;"-"&amp;M512&amp;"-"&amp;L512)</f>
        <v>33136</v>
      </c>
      <c r="Q512" s="22">
        <v>4562.84</v>
      </c>
      <c r="R512" s="23" t="s">
        <v>4697</v>
      </c>
      <c r="S512" s="23" t="s">
        <v>4697</v>
      </c>
      <c r="T512" s="23" t="s">
        <v>4699</v>
      </c>
      <c r="U512" s="23">
        <f>DATEDIF(P512, DATE(2023, 6, 8), "Y")</f>
        <v>32</v>
      </c>
      <c r="V512">
        <f>SUM(C512:K512)</f>
        <v>31.23</v>
      </c>
    </row>
    <row r="513" spans="1:22" ht="15.75">
      <c r="A513" s="28" t="s">
        <v>1024</v>
      </c>
      <c r="B513" s="28" t="s">
        <v>1025</v>
      </c>
      <c r="C513" s="23">
        <v>29.81</v>
      </c>
      <c r="D513" s="23">
        <v>5.58</v>
      </c>
      <c r="E513" s="23" t="s">
        <v>4682</v>
      </c>
      <c r="F513" s="23" t="s">
        <v>4682</v>
      </c>
      <c r="G513" s="23" t="s">
        <v>4682</v>
      </c>
      <c r="H513" s="23">
        <v>0</v>
      </c>
      <c r="I513" s="23" t="s">
        <v>4683</v>
      </c>
      <c r="J513" s="23" t="s">
        <v>4730</v>
      </c>
      <c r="K513" s="23" t="s">
        <v>4737</v>
      </c>
      <c r="L513">
        <v>1996</v>
      </c>
      <c r="M513" s="15" t="s">
        <v>4705</v>
      </c>
      <c r="N513">
        <v>25</v>
      </c>
      <c r="O513">
        <v>2</v>
      </c>
      <c r="P513" s="21">
        <f>DATEVALUE(N513&amp;"-"&amp;M513&amp;"-"&amp;L513)</f>
        <v>35424</v>
      </c>
      <c r="Q513" s="22">
        <v>4564.1899999999996</v>
      </c>
      <c r="R513" s="23" t="s">
        <v>4697</v>
      </c>
      <c r="S513" s="23" t="s">
        <v>4697</v>
      </c>
      <c r="T513" s="23" t="s">
        <v>4714</v>
      </c>
      <c r="U513" s="23">
        <f>DATEDIF(P513, DATE(2023, 6, 8), "Y")</f>
        <v>26</v>
      </c>
      <c r="V513">
        <f>SUM(C513:K513)</f>
        <v>35.39</v>
      </c>
    </row>
    <row r="514" spans="1:22" ht="15.75">
      <c r="A514" s="28" t="s">
        <v>1026</v>
      </c>
      <c r="B514" s="28" t="s">
        <v>1027</v>
      </c>
      <c r="C514" s="23">
        <v>51.18</v>
      </c>
      <c r="D514" s="23">
        <v>4.4000000000000004</v>
      </c>
      <c r="E514" s="23" t="s">
        <v>4683</v>
      </c>
      <c r="F514" s="23" t="s">
        <v>4682</v>
      </c>
      <c r="G514" s="23" t="s">
        <v>4682</v>
      </c>
      <c r="H514" s="23">
        <v>2</v>
      </c>
      <c r="I514" s="23" t="s">
        <v>4682</v>
      </c>
      <c r="J514" s="23" t="s">
        <v>4729</v>
      </c>
      <c r="K514" s="23" t="s">
        <v>4737</v>
      </c>
      <c r="L514">
        <v>1989</v>
      </c>
      <c r="M514" s="15" t="s">
        <v>4703</v>
      </c>
      <c r="N514">
        <v>18</v>
      </c>
      <c r="O514">
        <v>0</v>
      </c>
      <c r="P514" s="21">
        <f>DATEVALUE(N514&amp;"-"&amp;M514&amp;"-"&amp;L514)</f>
        <v>32769</v>
      </c>
      <c r="Q514" s="22">
        <v>4571.41</v>
      </c>
      <c r="R514" s="23" t="s">
        <v>4697</v>
      </c>
      <c r="S514" s="23" t="s">
        <v>4697</v>
      </c>
      <c r="T514" s="23" t="s">
        <v>4704</v>
      </c>
      <c r="U514" s="23">
        <f>DATEDIF(P514, DATE(2023, 6, 8), "Y")</f>
        <v>33</v>
      </c>
      <c r="V514">
        <f>SUM(C514:K514)</f>
        <v>57.58</v>
      </c>
    </row>
    <row r="515" spans="1:22" ht="15.75">
      <c r="A515" s="28" t="s">
        <v>1028</v>
      </c>
      <c r="B515" s="28" t="s">
        <v>1029</v>
      </c>
      <c r="C515" s="23">
        <v>51.37</v>
      </c>
      <c r="D515" s="23">
        <v>8.18</v>
      </c>
      <c r="E515" s="23" t="s">
        <v>4683</v>
      </c>
      <c r="F515" s="23" t="s">
        <v>4682</v>
      </c>
      <c r="G515" s="23" t="s">
        <v>4682</v>
      </c>
      <c r="H515" s="23">
        <v>0</v>
      </c>
      <c r="I515" s="23" t="s">
        <v>4682</v>
      </c>
      <c r="J515" s="23" t="s">
        <v>4729</v>
      </c>
      <c r="K515" s="23" t="s">
        <v>4735</v>
      </c>
      <c r="L515">
        <v>2000</v>
      </c>
      <c r="M515" s="15" t="s">
        <v>4696</v>
      </c>
      <c r="N515">
        <v>2</v>
      </c>
      <c r="O515">
        <v>0</v>
      </c>
      <c r="P515" s="21">
        <f>DATEVALUE(N515&amp;"-"&amp;M515&amp;"-"&amp;L515)</f>
        <v>36709</v>
      </c>
      <c r="Q515" s="22">
        <v>4608.03</v>
      </c>
      <c r="R515" s="23" t="s">
        <v>4697</v>
      </c>
      <c r="S515" s="23" t="s">
        <v>4698</v>
      </c>
      <c r="T515" s="23" t="s">
        <v>4708</v>
      </c>
      <c r="U515" s="23">
        <f>DATEDIF(P515, DATE(2023, 6, 8), "Y")</f>
        <v>22</v>
      </c>
      <c r="V515">
        <f>SUM(C515:K515)</f>
        <v>59.55</v>
      </c>
    </row>
    <row r="516" spans="1:22" ht="15.75">
      <c r="A516" s="28" t="s">
        <v>1030</v>
      </c>
      <c r="B516" s="28" t="s">
        <v>1031</v>
      </c>
      <c r="C516" s="23">
        <v>36.19</v>
      </c>
      <c r="D516" s="23">
        <v>5.52</v>
      </c>
      <c r="E516" s="23" t="s">
        <v>4683</v>
      </c>
      <c r="F516" s="23" t="s">
        <v>4682</v>
      </c>
      <c r="G516" s="23" t="s">
        <v>4682</v>
      </c>
      <c r="H516" s="23">
        <v>0</v>
      </c>
      <c r="I516" s="23" t="s">
        <v>4682</v>
      </c>
      <c r="J516" s="23" t="s">
        <v>4729</v>
      </c>
      <c r="K516" s="23" t="s">
        <v>4737</v>
      </c>
      <c r="L516">
        <v>1998</v>
      </c>
      <c r="M516" s="15" t="s">
        <v>4702</v>
      </c>
      <c r="N516">
        <v>29</v>
      </c>
      <c r="O516">
        <v>3</v>
      </c>
      <c r="P516" s="21">
        <f>DATEVALUE(N516&amp;"-"&amp;M516&amp;"-"&amp;L516)</f>
        <v>35975</v>
      </c>
      <c r="Q516" s="22">
        <v>4618.08</v>
      </c>
      <c r="R516" s="23" t="s">
        <v>4697</v>
      </c>
      <c r="S516" s="23" t="s">
        <v>4701</v>
      </c>
      <c r="T516" s="23" t="s">
        <v>4704</v>
      </c>
      <c r="U516" s="23">
        <f>DATEDIF(P516, DATE(2023, 6, 8), "Y")</f>
        <v>24</v>
      </c>
      <c r="V516">
        <f>SUM(C516:K516)</f>
        <v>41.709999999999994</v>
      </c>
    </row>
    <row r="517" spans="1:22" ht="15.75">
      <c r="A517" s="28" t="s">
        <v>1032</v>
      </c>
      <c r="B517" s="28" t="s">
        <v>1033</v>
      </c>
      <c r="C517" s="23">
        <v>25.9</v>
      </c>
      <c r="D517" s="23">
        <v>4.84</v>
      </c>
      <c r="E517" s="23" t="s">
        <v>4682</v>
      </c>
      <c r="F517" s="23" t="s">
        <v>4682</v>
      </c>
      <c r="G517" s="23" t="s">
        <v>4682</v>
      </c>
      <c r="H517" s="23">
        <v>0</v>
      </c>
      <c r="I517" s="23" t="s">
        <v>4683</v>
      </c>
      <c r="J517" s="23" t="s">
        <v>4730</v>
      </c>
      <c r="K517" s="23" t="s">
        <v>4737</v>
      </c>
      <c r="L517">
        <v>1985</v>
      </c>
      <c r="M517" s="15" t="s">
        <v>4702</v>
      </c>
      <c r="N517">
        <v>22</v>
      </c>
      <c r="O517">
        <v>0</v>
      </c>
      <c r="P517" s="21">
        <f>DATEVALUE(N517&amp;"-"&amp;M517&amp;"-"&amp;L517)</f>
        <v>31220</v>
      </c>
      <c r="Q517" s="22">
        <v>4646.76</v>
      </c>
      <c r="R517" s="23" t="s">
        <v>4701</v>
      </c>
      <c r="S517" s="23" t="s">
        <v>4701</v>
      </c>
      <c r="T517" s="23" t="s">
        <v>4708</v>
      </c>
      <c r="U517" s="23">
        <f>DATEDIF(P517, DATE(2023, 6, 8), "Y")</f>
        <v>37</v>
      </c>
      <c r="V517">
        <f>SUM(C517:K517)</f>
        <v>30.74</v>
      </c>
    </row>
    <row r="518" spans="1:22" ht="15.75">
      <c r="A518" s="28" t="s">
        <v>1034</v>
      </c>
      <c r="B518" s="28" t="s">
        <v>1035</v>
      </c>
      <c r="C518" s="23">
        <v>35.72</v>
      </c>
      <c r="D518" s="23">
        <v>4.08</v>
      </c>
      <c r="E518" s="23" t="s">
        <v>4682</v>
      </c>
      <c r="F518" s="23" t="s">
        <v>4682</v>
      </c>
      <c r="G518" s="23" t="s">
        <v>4684</v>
      </c>
      <c r="H518" s="23">
        <v>1</v>
      </c>
      <c r="I518" s="23" t="s">
        <v>4682</v>
      </c>
      <c r="J518" s="23" t="s">
        <v>4729</v>
      </c>
      <c r="K518" s="23" t="s">
        <v>4737</v>
      </c>
      <c r="L518">
        <v>1996</v>
      </c>
      <c r="M518" s="15" t="s">
        <v>4707</v>
      </c>
      <c r="N518">
        <v>25</v>
      </c>
      <c r="O518">
        <v>3</v>
      </c>
      <c r="P518" s="21">
        <f>DATEVALUE(N518&amp;"-"&amp;M518&amp;"-"&amp;L518)</f>
        <v>35363</v>
      </c>
      <c r="Q518" s="22">
        <v>4661.29</v>
      </c>
      <c r="R518" s="23" t="s">
        <v>4697</v>
      </c>
      <c r="S518" s="23" t="s">
        <v>4701</v>
      </c>
      <c r="T518" s="23" t="s">
        <v>4718</v>
      </c>
      <c r="U518" s="23">
        <f>DATEDIF(P518, DATE(2023, 6, 8), "Y")</f>
        <v>26</v>
      </c>
      <c r="V518">
        <f>SUM(C518:K518)</f>
        <v>40.799999999999997</v>
      </c>
    </row>
    <row r="519" spans="1:22" ht="15.75">
      <c r="A519" s="28" t="s">
        <v>1036</v>
      </c>
      <c r="B519" s="28" t="s">
        <v>1037</v>
      </c>
      <c r="C519" s="23">
        <v>27.94</v>
      </c>
      <c r="D519" s="23">
        <v>4.4800000000000004</v>
      </c>
      <c r="E519" s="23" t="s">
        <v>4682</v>
      </c>
      <c r="F519" s="23" t="s">
        <v>4682</v>
      </c>
      <c r="G519" s="23" t="s">
        <v>4684</v>
      </c>
      <c r="H519" s="23">
        <v>1</v>
      </c>
      <c r="I519" s="23" t="s">
        <v>4683</v>
      </c>
      <c r="J519" s="23" t="s">
        <v>4730</v>
      </c>
      <c r="K519" s="23" t="s">
        <v>4737</v>
      </c>
      <c r="L519">
        <v>1990</v>
      </c>
      <c r="M519" s="15" t="s">
        <v>4706</v>
      </c>
      <c r="N519">
        <v>5</v>
      </c>
      <c r="O519">
        <v>1</v>
      </c>
      <c r="P519" s="21">
        <f>DATEVALUE(N519&amp;"-"&amp;M519&amp;"-"&amp;L519)</f>
        <v>33090</v>
      </c>
      <c r="Q519" s="22">
        <v>4667.6099999999997</v>
      </c>
      <c r="R519" s="23" t="s">
        <v>4698</v>
      </c>
      <c r="S519" s="23" t="s">
        <v>4698</v>
      </c>
      <c r="T519" s="23" t="s">
        <v>4711</v>
      </c>
      <c r="U519" s="23">
        <f>DATEDIF(P519, DATE(2023, 6, 8), "Y")</f>
        <v>32</v>
      </c>
      <c r="V519">
        <f>SUM(C519:K519)</f>
        <v>33.42</v>
      </c>
    </row>
    <row r="520" spans="1:22" ht="15.75">
      <c r="A520" s="28" t="s">
        <v>1038</v>
      </c>
      <c r="B520" s="28" t="s">
        <v>1039</v>
      </c>
      <c r="C520" s="23">
        <v>27.1</v>
      </c>
      <c r="D520" s="23">
        <v>5.73</v>
      </c>
      <c r="E520" s="23" t="s">
        <v>4682</v>
      </c>
      <c r="F520" s="23" t="s">
        <v>4682</v>
      </c>
      <c r="G520" s="23" t="s">
        <v>4682</v>
      </c>
      <c r="H520" s="23">
        <v>0</v>
      </c>
      <c r="I520" s="23" t="s">
        <v>4683</v>
      </c>
      <c r="J520" s="23" t="s">
        <v>4730</v>
      </c>
      <c r="K520" s="23" t="s">
        <v>4736</v>
      </c>
      <c r="L520">
        <v>1990</v>
      </c>
      <c r="M520" s="15" t="s">
        <v>4703</v>
      </c>
      <c r="N520">
        <v>26</v>
      </c>
      <c r="O520">
        <v>2</v>
      </c>
      <c r="P520" s="21">
        <f>DATEVALUE(N520&amp;"-"&amp;M520&amp;"-"&amp;L520)</f>
        <v>33142</v>
      </c>
      <c r="Q520" s="22">
        <v>4670.6400000000003</v>
      </c>
      <c r="R520" s="23" t="s">
        <v>4697</v>
      </c>
      <c r="S520" s="23" t="s">
        <v>4697</v>
      </c>
      <c r="T520" s="23" t="s">
        <v>4708</v>
      </c>
      <c r="U520" s="23">
        <f>DATEDIF(P520, DATE(2023, 6, 8), "Y")</f>
        <v>32</v>
      </c>
      <c r="V520">
        <f>SUM(C520:K520)</f>
        <v>32.83</v>
      </c>
    </row>
    <row r="521" spans="1:22" ht="15.75">
      <c r="A521" s="28" t="s">
        <v>1040</v>
      </c>
      <c r="B521" s="28" t="s">
        <v>1041</v>
      </c>
      <c r="C521" s="23">
        <v>18.3</v>
      </c>
      <c r="D521" s="23">
        <v>5.46</v>
      </c>
      <c r="E521" s="23" t="s">
        <v>4683</v>
      </c>
      <c r="F521" s="23" t="s">
        <v>4682</v>
      </c>
      <c r="G521" s="23" t="s">
        <v>4684</v>
      </c>
      <c r="H521" s="23">
        <v>1</v>
      </c>
      <c r="I521" s="23" t="s">
        <v>4683</v>
      </c>
      <c r="J521" s="23" t="s">
        <v>4731</v>
      </c>
      <c r="K521" s="23" t="s">
        <v>4737</v>
      </c>
      <c r="L521">
        <v>1990</v>
      </c>
      <c r="M521" s="15" t="s">
        <v>4696</v>
      </c>
      <c r="N521">
        <v>13</v>
      </c>
      <c r="O521">
        <v>2</v>
      </c>
      <c r="P521" s="21">
        <f>DATEVALUE(N521&amp;"-"&amp;M521&amp;"-"&amp;L521)</f>
        <v>33067</v>
      </c>
      <c r="Q521" s="22">
        <v>4673.3900000000003</v>
      </c>
      <c r="R521" s="23" t="s">
        <v>4697</v>
      </c>
      <c r="S521" s="23" t="s">
        <v>4701</v>
      </c>
      <c r="T521" s="23" t="s">
        <v>4699</v>
      </c>
      <c r="U521" s="23">
        <f>DATEDIF(P521, DATE(2023, 6, 8), "Y")</f>
        <v>32</v>
      </c>
      <c r="V521">
        <f>SUM(C521:K521)</f>
        <v>24.76</v>
      </c>
    </row>
    <row r="522" spans="1:22" ht="15.75">
      <c r="A522" s="28" t="s">
        <v>1042</v>
      </c>
      <c r="B522" s="28" t="s">
        <v>1043</v>
      </c>
      <c r="C522" s="23">
        <v>25.3</v>
      </c>
      <c r="D522" s="23">
        <v>5.0199999999999996</v>
      </c>
      <c r="E522" s="23" t="s">
        <v>4683</v>
      </c>
      <c r="F522" s="23" t="s">
        <v>4682</v>
      </c>
      <c r="G522" s="23" t="s">
        <v>4682</v>
      </c>
      <c r="H522" s="23">
        <v>1</v>
      </c>
      <c r="I522" s="23" t="s">
        <v>4683</v>
      </c>
      <c r="J522" s="23" t="s">
        <v>4730</v>
      </c>
      <c r="K522" s="23" t="s">
        <v>4737</v>
      </c>
      <c r="L522">
        <v>1979</v>
      </c>
      <c r="M522" s="15" t="s">
        <v>4707</v>
      </c>
      <c r="N522">
        <v>18</v>
      </c>
      <c r="O522">
        <v>2</v>
      </c>
      <c r="P522" s="21">
        <f>DATEVALUE(N522&amp;"-"&amp;M522&amp;"-"&amp;L522)</f>
        <v>29146</v>
      </c>
      <c r="Q522" s="22">
        <v>4674.2</v>
      </c>
      <c r="R522" s="23" t="s">
        <v>4697</v>
      </c>
      <c r="S522" s="23" t="s">
        <v>4701</v>
      </c>
      <c r="T522" s="23" t="s">
        <v>4699</v>
      </c>
      <c r="U522" s="23">
        <f>DATEDIF(P522, DATE(2023, 6, 8), "Y")</f>
        <v>43</v>
      </c>
      <c r="V522">
        <f>SUM(C522:K522)</f>
        <v>31.32</v>
      </c>
    </row>
    <row r="523" spans="1:22" ht="15.75">
      <c r="A523" s="28" t="s">
        <v>1044</v>
      </c>
      <c r="B523" s="28" t="s">
        <v>1045</v>
      </c>
      <c r="C523" s="23">
        <v>38.83</v>
      </c>
      <c r="D523" s="23">
        <v>6.36</v>
      </c>
      <c r="E523" s="23" t="s">
        <v>4682</v>
      </c>
      <c r="F523" s="23" t="s">
        <v>4682</v>
      </c>
      <c r="G523" s="23" t="s">
        <v>4682</v>
      </c>
      <c r="H523" s="23">
        <v>1</v>
      </c>
      <c r="I523" s="23" t="s">
        <v>4682</v>
      </c>
      <c r="J523" s="23" t="s">
        <v>4729</v>
      </c>
      <c r="K523" s="23" t="s">
        <v>4736</v>
      </c>
      <c r="L523">
        <v>2003</v>
      </c>
      <c r="M523" s="15" t="s">
        <v>4707</v>
      </c>
      <c r="N523">
        <v>4</v>
      </c>
      <c r="O523">
        <v>0</v>
      </c>
      <c r="P523" s="21">
        <f>DATEVALUE(N523&amp;"-"&amp;M523&amp;"-"&amp;L523)</f>
        <v>37898</v>
      </c>
      <c r="Q523" s="22">
        <v>4678.8</v>
      </c>
      <c r="R523" s="23" t="s">
        <v>4697</v>
      </c>
      <c r="S523" s="23" t="s">
        <v>4701</v>
      </c>
      <c r="T523" s="23" t="s">
        <v>4717</v>
      </c>
      <c r="U523" s="23">
        <f>DATEDIF(P523, DATE(2023, 6, 8), "Y")</f>
        <v>19</v>
      </c>
      <c r="V523">
        <f>SUM(C523:K523)</f>
        <v>46.19</v>
      </c>
    </row>
    <row r="524" spans="1:22" ht="15.75">
      <c r="A524" s="28" t="s">
        <v>1046</v>
      </c>
      <c r="B524" s="28" t="s">
        <v>1047</v>
      </c>
      <c r="C524" s="23">
        <v>27.6</v>
      </c>
      <c r="D524" s="23">
        <v>5.36</v>
      </c>
      <c r="E524" s="23" t="s">
        <v>4682</v>
      </c>
      <c r="F524" s="23" t="s">
        <v>4682</v>
      </c>
      <c r="G524" s="23" t="s">
        <v>4682</v>
      </c>
      <c r="H524" s="23">
        <v>1</v>
      </c>
      <c r="I524" s="23" t="s">
        <v>4682</v>
      </c>
      <c r="J524" s="23" t="s">
        <v>4730</v>
      </c>
      <c r="K524" s="23" t="s">
        <v>4737</v>
      </c>
      <c r="L524">
        <v>1990</v>
      </c>
      <c r="M524" s="15" t="s">
        <v>4703</v>
      </c>
      <c r="N524">
        <v>4</v>
      </c>
      <c r="O524">
        <v>2</v>
      </c>
      <c r="P524" s="21">
        <f>DATEVALUE(N524&amp;"-"&amp;M524&amp;"-"&amp;L524)</f>
        <v>33120</v>
      </c>
      <c r="Q524" s="22">
        <v>4686.3900000000003</v>
      </c>
      <c r="R524" s="23" t="s">
        <v>4698</v>
      </c>
      <c r="S524" s="23" t="s">
        <v>4698</v>
      </c>
      <c r="T524" s="23" t="s">
        <v>4699</v>
      </c>
      <c r="U524" s="23">
        <f>DATEDIF(P524, DATE(2023, 6, 8), "Y")</f>
        <v>32</v>
      </c>
      <c r="V524">
        <f>SUM(C524:K524)</f>
        <v>33.96</v>
      </c>
    </row>
    <row r="525" spans="1:22" ht="15.75">
      <c r="A525" s="28" t="s">
        <v>1048</v>
      </c>
      <c r="B525" s="28" t="s">
        <v>1049</v>
      </c>
      <c r="C525" s="23">
        <v>46.4</v>
      </c>
      <c r="D525" s="23">
        <v>8.3699999999999992</v>
      </c>
      <c r="E525" s="23" t="s">
        <v>4683</v>
      </c>
      <c r="F525" s="23" t="s">
        <v>4682</v>
      </c>
      <c r="G525" s="23" t="s">
        <v>4684</v>
      </c>
      <c r="H525" s="23">
        <v>1</v>
      </c>
      <c r="I525" s="23" t="s">
        <v>4682</v>
      </c>
      <c r="J525" s="23" t="s">
        <v>4729</v>
      </c>
      <c r="K525" s="23" t="s">
        <v>4735</v>
      </c>
      <c r="L525">
        <v>2003</v>
      </c>
      <c r="M525" s="15" t="s">
        <v>4702</v>
      </c>
      <c r="N525">
        <v>22</v>
      </c>
      <c r="O525">
        <v>5</v>
      </c>
      <c r="P525" s="21">
        <f>DATEVALUE(N525&amp;"-"&amp;M525&amp;"-"&amp;L525)</f>
        <v>37794</v>
      </c>
      <c r="Q525" s="22">
        <v>4687.8</v>
      </c>
      <c r="R525" s="23" t="s">
        <v>4697</v>
      </c>
      <c r="S525" s="23" t="s">
        <v>4698</v>
      </c>
      <c r="T525" s="23" t="s">
        <v>4708</v>
      </c>
      <c r="U525" s="23">
        <f>DATEDIF(P525, DATE(2023, 6, 8), "Y")</f>
        <v>19</v>
      </c>
      <c r="V525">
        <f>SUM(C525:K525)</f>
        <v>55.769999999999996</v>
      </c>
    </row>
    <row r="526" spans="1:22" ht="15.75">
      <c r="A526" s="28" t="s">
        <v>1050</v>
      </c>
      <c r="B526" s="28" t="s">
        <v>1051</v>
      </c>
      <c r="C526" s="23">
        <v>51.92</v>
      </c>
      <c r="D526" s="23">
        <v>5.18</v>
      </c>
      <c r="E526" s="23" t="s">
        <v>4683</v>
      </c>
      <c r="F526" s="23" t="s">
        <v>4682</v>
      </c>
      <c r="G526" s="23" t="s">
        <v>4684</v>
      </c>
      <c r="H526" s="23">
        <v>1</v>
      </c>
      <c r="I526" s="23" t="s">
        <v>4682</v>
      </c>
      <c r="J526" s="23" t="s">
        <v>4729</v>
      </c>
      <c r="K526" s="23" t="s">
        <v>4737</v>
      </c>
      <c r="L526">
        <v>1977</v>
      </c>
      <c r="M526" s="15" t="s">
        <v>4705</v>
      </c>
      <c r="N526">
        <v>4</v>
      </c>
      <c r="O526">
        <v>2</v>
      </c>
      <c r="P526" s="21">
        <f>DATEVALUE(N526&amp;"-"&amp;M526&amp;"-"&amp;L526)</f>
        <v>28463</v>
      </c>
      <c r="Q526" s="22">
        <v>4699.47</v>
      </c>
      <c r="R526" s="23" t="s">
        <v>4697</v>
      </c>
      <c r="S526" s="23" t="s">
        <v>4698</v>
      </c>
      <c r="T526" s="23" t="s">
        <v>4699</v>
      </c>
      <c r="U526" s="23">
        <f>DATEDIF(P526, DATE(2023, 6, 8), "Y")</f>
        <v>45</v>
      </c>
      <c r="V526">
        <f>SUM(C526:K526)</f>
        <v>58.1</v>
      </c>
    </row>
    <row r="527" spans="1:22" ht="15.75">
      <c r="A527" s="28" t="s">
        <v>1052</v>
      </c>
      <c r="B527" s="28" t="s">
        <v>1053</v>
      </c>
      <c r="C527" s="23">
        <v>32.395000000000003</v>
      </c>
      <c r="D527" s="23">
        <v>5.68</v>
      </c>
      <c r="E527" s="23" t="s">
        <v>4683</v>
      </c>
      <c r="F527" s="23" t="s">
        <v>4682</v>
      </c>
      <c r="G527" s="23" t="s">
        <v>4682</v>
      </c>
      <c r="H527" s="23">
        <v>1</v>
      </c>
      <c r="I527" s="23" t="s">
        <v>4682</v>
      </c>
      <c r="J527" s="23" t="s">
        <v>4729</v>
      </c>
      <c r="K527" s="23" t="s">
        <v>4737</v>
      </c>
      <c r="L527">
        <v>1981</v>
      </c>
      <c r="M527" s="15" t="s">
        <v>4706</v>
      </c>
      <c r="N527">
        <v>12</v>
      </c>
      <c r="O527">
        <v>1</v>
      </c>
      <c r="P527" s="21">
        <f>DATEVALUE(N527&amp;"-"&amp;M527&amp;"-"&amp;L527)</f>
        <v>29810</v>
      </c>
      <c r="Q527" s="22">
        <v>4712.12</v>
      </c>
      <c r="R527" s="23" t="s">
        <v>4697</v>
      </c>
      <c r="S527" s="23" t="s">
        <v>4698</v>
      </c>
      <c r="T527" s="23" t="s">
        <v>4708</v>
      </c>
      <c r="U527" s="23">
        <f>DATEDIF(P527, DATE(2023, 6, 8), "Y")</f>
        <v>41</v>
      </c>
      <c r="V527">
        <f>SUM(C527:K527)</f>
        <v>39.075000000000003</v>
      </c>
    </row>
    <row r="528" spans="1:22" ht="15.75">
      <c r="A528" s="28" t="s">
        <v>1054</v>
      </c>
      <c r="B528" s="28" t="s">
        <v>1055</v>
      </c>
      <c r="C528" s="23">
        <v>46.19</v>
      </c>
      <c r="D528" s="23">
        <v>7.31</v>
      </c>
      <c r="E528" s="23" t="s">
        <v>4683</v>
      </c>
      <c r="F528" s="23" t="s">
        <v>4682</v>
      </c>
      <c r="G528" s="23" t="s">
        <v>4684</v>
      </c>
      <c r="H528" s="23">
        <v>1</v>
      </c>
      <c r="I528" s="23" t="s">
        <v>4682</v>
      </c>
      <c r="J528" s="23" t="s">
        <v>4729</v>
      </c>
      <c r="K528" s="23" t="s">
        <v>4735</v>
      </c>
      <c r="L528">
        <v>1992</v>
      </c>
      <c r="M528" s="15" t="s">
        <v>4707</v>
      </c>
      <c r="N528">
        <v>9</v>
      </c>
      <c r="O528">
        <v>1</v>
      </c>
      <c r="P528" s="21">
        <f>DATEVALUE(N528&amp;"-"&amp;M528&amp;"-"&amp;L528)</f>
        <v>33886</v>
      </c>
      <c r="Q528" s="22">
        <v>4718.2</v>
      </c>
      <c r="R528" s="23" t="s">
        <v>4697</v>
      </c>
      <c r="S528" s="23" t="s">
        <v>4698</v>
      </c>
      <c r="T528" s="23" t="s">
        <v>4714</v>
      </c>
      <c r="U528" s="23">
        <f>DATEDIF(P528, DATE(2023, 6, 8), "Y")</f>
        <v>30</v>
      </c>
      <c r="V528">
        <f>SUM(C528:K528)</f>
        <v>54.5</v>
      </c>
    </row>
    <row r="529" spans="1:22" ht="15.75">
      <c r="A529" s="28" t="s">
        <v>1056</v>
      </c>
      <c r="B529" s="28" t="s">
        <v>1057</v>
      </c>
      <c r="C529" s="23">
        <v>27.93</v>
      </c>
      <c r="D529" s="23">
        <v>4.67</v>
      </c>
      <c r="E529" s="23" t="s">
        <v>4682</v>
      </c>
      <c r="F529" s="23" t="s">
        <v>4682</v>
      </c>
      <c r="G529" s="23" t="s">
        <v>4684</v>
      </c>
      <c r="H529" s="23">
        <v>1</v>
      </c>
      <c r="I529" s="23" t="s">
        <v>4682</v>
      </c>
      <c r="J529" s="23" t="s">
        <v>4730</v>
      </c>
      <c r="K529" s="23" t="s">
        <v>4737</v>
      </c>
      <c r="L529">
        <v>1992</v>
      </c>
      <c r="M529" s="15" t="s">
        <v>4703</v>
      </c>
      <c r="N529">
        <v>28</v>
      </c>
      <c r="O529">
        <v>1</v>
      </c>
      <c r="P529" s="21">
        <f>DATEVALUE(N529&amp;"-"&amp;M529&amp;"-"&amp;L529)</f>
        <v>33875</v>
      </c>
      <c r="Q529" s="22">
        <v>4719.5200000000004</v>
      </c>
      <c r="R529" s="23" t="s">
        <v>4697</v>
      </c>
      <c r="S529" s="23" t="s">
        <v>4697</v>
      </c>
      <c r="T529" s="23" t="s">
        <v>4714</v>
      </c>
      <c r="U529" s="23">
        <f>DATEDIF(P529, DATE(2023, 6, 8), "Y")</f>
        <v>30</v>
      </c>
      <c r="V529">
        <f>SUM(C529:K529)</f>
        <v>33.6</v>
      </c>
    </row>
    <row r="530" spans="1:22" ht="15.75">
      <c r="A530" s="28" t="s">
        <v>1058</v>
      </c>
      <c r="B530" s="28" t="s">
        <v>1059</v>
      </c>
      <c r="C530" s="23">
        <v>45.62</v>
      </c>
      <c r="D530" s="23">
        <v>6.87</v>
      </c>
      <c r="E530" s="23" t="s">
        <v>4682</v>
      </c>
      <c r="F530" s="23" t="s">
        <v>4682</v>
      </c>
      <c r="G530" s="23" t="s">
        <v>4682</v>
      </c>
      <c r="H530" s="23">
        <v>0</v>
      </c>
      <c r="I530" s="23" t="s">
        <v>4682</v>
      </c>
      <c r="J530" s="23" t="s">
        <v>4729</v>
      </c>
      <c r="K530" s="23" t="s">
        <v>4735</v>
      </c>
      <c r="L530">
        <v>1994</v>
      </c>
      <c r="M530" s="15" t="s">
        <v>4706</v>
      </c>
      <c r="N530">
        <v>12</v>
      </c>
      <c r="O530">
        <v>2</v>
      </c>
      <c r="P530" s="21">
        <f>DATEVALUE(N530&amp;"-"&amp;M530&amp;"-"&amp;L530)</f>
        <v>34558</v>
      </c>
      <c r="Q530" s="22">
        <v>4719.74</v>
      </c>
      <c r="R530" s="23" t="s">
        <v>4697</v>
      </c>
      <c r="S530" s="23" t="s">
        <v>4701</v>
      </c>
      <c r="T530" s="23" t="s">
        <v>4704</v>
      </c>
      <c r="U530" s="23">
        <f>DATEDIF(P530, DATE(2023, 6, 8), "Y")</f>
        <v>28</v>
      </c>
      <c r="V530">
        <f>SUM(C530:K530)</f>
        <v>52.489999999999995</v>
      </c>
    </row>
    <row r="531" spans="1:22" ht="15.75">
      <c r="A531" s="28" t="s">
        <v>1060</v>
      </c>
      <c r="B531" s="28" t="s">
        <v>1061</v>
      </c>
      <c r="C531" s="23">
        <v>35.31</v>
      </c>
      <c r="D531" s="23">
        <v>5.87</v>
      </c>
      <c r="E531" s="23" t="s">
        <v>4682</v>
      </c>
      <c r="F531" s="23" t="s">
        <v>4682</v>
      </c>
      <c r="G531" s="23" t="s">
        <v>4684</v>
      </c>
      <c r="H531" s="23">
        <v>1</v>
      </c>
      <c r="I531" s="23" t="s">
        <v>4682</v>
      </c>
      <c r="J531" s="23" t="s">
        <v>4729</v>
      </c>
      <c r="K531" s="23" t="s">
        <v>4736</v>
      </c>
      <c r="L531">
        <v>1980</v>
      </c>
      <c r="M531" s="15" t="s">
        <v>4696</v>
      </c>
      <c r="N531">
        <v>2</v>
      </c>
      <c r="O531">
        <v>2</v>
      </c>
      <c r="P531" s="21">
        <f>DATEVALUE(N531&amp;"-"&amp;M531&amp;"-"&amp;L531)</f>
        <v>29404</v>
      </c>
      <c r="Q531" s="22">
        <v>4728.71</v>
      </c>
      <c r="R531" s="23" t="s">
        <v>4697</v>
      </c>
      <c r="S531" s="23" t="s">
        <v>4698</v>
      </c>
      <c r="T531" s="23" t="s">
        <v>4704</v>
      </c>
      <c r="U531" s="23">
        <f>DATEDIF(P531, DATE(2023, 6, 8), "Y")</f>
        <v>42</v>
      </c>
      <c r="V531">
        <f>SUM(C531:K531)</f>
        <v>42.18</v>
      </c>
    </row>
    <row r="532" spans="1:22" ht="15.75">
      <c r="A532" s="28" t="s">
        <v>1062</v>
      </c>
      <c r="B532" s="28" t="s">
        <v>1063</v>
      </c>
      <c r="C532" s="23">
        <v>30.4</v>
      </c>
      <c r="D532" s="23">
        <v>4.07</v>
      </c>
      <c r="E532" s="23" t="s">
        <v>4683</v>
      </c>
      <c r="F532" s="23" t="s">
        <v>4682</v>
      </c>
      <c r="G532" s="23" t="s">
        <v>4682</v>
      </c>
      <c r="H532" s="23">
        <v>1</v>
      </c>
      <c r="I532" s="23" t="s">
        <v>4682</v>
      </c>
      <c r="J532" s="23" t="s">
        <v>4729</v>
      </c>
      <c r="K532" s="23" t="s">
        <v>4737</v>
      </c>
      <c r="L532">
        <v>1986</v>
      </c>
      <c r="M532" s="15" t="s">
        <v>4703</v>
      </c>
      <c r="N532">
        <v>5</v>
      </c>
      <c r="O532">
        <v>3</v>
      </c>
      <c r="P532" s="21">
        <f>DATEVALUE(N532&amp;"-"&amp;M532&amp;"-"&amp;L532)</f>
        <v>31660</v>
      </c>
      <c r="Q532" s="22">
        <v>4734.6400000000003</v>
      </c>
      <c r="R532" s="23" t="s">
        <v>4697</v>
      </c>
      <c r="S532" s="23" t="s">
        <v>4701</v>
      </c>
      <c r="T532" s="23" t="s">
        <v>4699</v>
      </c>
      <c r="U532" s="23">
        <f>DATEDIF(P532, DATE(2023, 6, 8), "Y")</f>
        <v>36</v>
      </c>
      <c r="V532">
        <f>SUM(C532:K532)</f>
        <v>35.47</v>
      </c>
    </row>
    <row r="533" spans="1:22" ht="15.75">
      <c r="A533" s="28" t="s">
        <v>1064</v>
      </c>
      <c r="B533" s="28" t="s">
        <v>1065</v>
      </c>
      <c r="C533" s="23">
        <v>20.13</v>
      </c>
      <c r="D533" s="23">
        <v>6.47</v>
      </c>
      <c r="E533" s="23" t="s">
        <v>4682</v>
      </c>
      <c r="F533" s="23" t="s">
        <v>4682</v>
      </c>
      <c r="G533" s="23" t="s">
        <v>4684</v>
      </c>
      <c r="H533" s="23">
        <v>1</v>
      </c>
      <c r="I533" s="23" t="s">
        <v>4683</v>
      </c>
      <c r="J533" s="23" t="s">
        <v>4728</v>
      </c>
      <c r="K533" s="23" t="s">
        <v>4735</v>
      </c>
      <c r="L533">
        <v>1991</v>
      </c>
      <c r="M533" s="15" t="s">
        <v>4707</v>
      </c>
      <c r="N533">
        <v>12</v>
      </c>
      <c r="O533">
        <v>1</v>
      </c>
      <c r="P533" s="21">
        <f>DATEVALUE(N533&amp;"-"&amp;M533&amp;"-"&amp;L533)</f>
        <v>33523</v>
      </c>
      <c r="Q533" s="22">
        <v>4738.2700000000004</v>
      </c>
      <c r="R533" s="23" t="s">
        <v>4697</v>
      </c>
      <c r="S533" s="23" t="s">
        <v>4698</v>
      </c>
      <c r="T533" s="23" t="s">
        <v>4704</v>
      </c>
      <c r="U533" s="23">
        <f>DATEDIF(P533, DATE(2023, 6, 8), "Y")</f>
        <v>31</v>
      </c>
      <c r="V533">
        <f>SUM(C533:K533)</f>
        <v>27.599999999999998</v>
      </c>
    </row>
    <row r="534" spans="1:22" ht="15.75">
      <c r="A534" s="28" t="s">
        <v>1066</v>
      </c>
      <c r="B534" s="28" t="s">
        <v>1067</v>
      </c>
      <c r="C534" s="23">
        <v>23.655000000000001</v>
      </c>
      <c r="D534" s="23">
        <v>5.14</v>
      </c>
      <c r="E534" s="23" t="s">
        <v>4682</v>
      </c>
      <c r="F534" s="23" t="s">
        <v>4682</v>
      </c>
      <c r="G534" s="23" t="s">
        <v>4682</v>
      </c>
      <c r="H534" s="23">
        <v>1</v>
      </c>
      <c r="I534" s="23" t="s">
        <v>4683</v>
      </c>
      <c r="J534" s="23" t="s">
        <v>4728</v>
      </c>
      <c r="K534" s="23" t="s">
        <v>4737</v>
      </c>
      <c r="L534">
        <v>2004</v>
      </c>
      <c r="M534" s="15" t="s">
        <v>4700</v>
      </c>
      <c r="N534">
        <v>24</v>
      </c>
      <c r="O534">
        <v>0</v>
      </c>
      <c r="P534" s="21">
        <f>DATEVALUE(N534&amp;"-"&amp;M534&amp;"-"&amp;L534)</f>
        <v>38315</v>
      </c>
      <c r="Q534" s="22">
        <v>4740.78</v>
      </c>
      <c r="R534" s="23" t="s">
        <v>4697</v>
      </c>
      <c r="S534" s="23" t="s">
        <v>4698</v>
      </c>
      <c r="T534" s="23" t="s">
        <v>4717</v>
      </c>
      <c r="U534" s="23">
        <f>DATEDIF(P534, DATE(2023, 6, 8), "Y")</f>
        <v>18</v>
      </c>
      <c r="V534">
        <f>SUM(C534:K534)</f>
        <v>29.795000000000002</v>
      </c>
    </row>
    <row r="535" spans="1:22" ht="15.75">
      <c r="A535" s="28" t="s">
        <v>1068</v>
      </c>
      <c r="B535" s="28" t="s">
        <v>1069</v>
      </c>
      <c r="C535" s="23">
        <v>49.05</v>
      </c>
      <c r="D535" s="23">
        <v>9.77</v>
      </c>
      <c r="E535" s="23" t="s">
        <v>4683</v>
      </c>
      <c r="F535" s="23" t="s">
        <v>4682</v>
      </c>
      <c r="G535" s="23" t="s">
        <v>4682</v>
      </c>
      <c r="H535" s="23">
        <v>0</v>
      </c>
      <c r="I535" s="23" t="s">
        <v>4682</v>
      </c>
      <c r="J535" s="23" t="s">
        <v>4729</v>
      </c>
      <c r="K535" s="23" t="s">
        <v>4735</v>
      </c>
      <c r="L535">
        <v>1987</v>
      </c>
      <c r="M535" s="15" t="s">
        <v>4702</v>
      </c>
      <c r="N535">
        <v>5</v>
      </c>
      <c r="O535">
        <v>1</v>
      </c>
      <c r="P535" s="21">
        <f>DATEVALUE(N535&amp;"-"&amp;M535&amp;"-"&amp;L535)</f>
        <v>31933</v>
      </c>
      <c r="Q535" s="22">
        <v>4746.34</v>
      </c>
      <c r="R535" s="23" t="s">
        <v>4697</v>
      </c>
      <c r="S535" s="23" t="s">
        <v>4697</v>
      </c>
      <c r="T535" s="23" t="s">
        <v>4708</v>
      </c>
      <c r="U535" s="23">
        <f>DATEDIF(P535, DATE(2023, 6, 8), "Y")</f>
        <v>36</v>
      </c>
      <c r="V535">
        <f>SUM(C535:K535)</f>
        <v>58.819999999999993</v>
      </c>
    </row>
    <row r="536" spans="1:22" ht="15.75">
      <c r="A536" s="28" t="s">
        <v>1070</v>
      </c>
      <c r="B536" s="28" t="s">
        <v>1071</v>
      </c>
      <c r="C536" s="23">
        <v>51.94</v>
      </c>
      <c r="D536" s="23">
        <v>8.8000000000000007</v>
      </c>
      <c r="E536" s="23" t="s">
        <v>4683</v>
      </c>
      <c r="F536" s="23" t="s">
        <v>4682</v>
      </c>
      <c r="G536" s="23" t="s">
        <v>4682</v>
      </c>
      <c r="H536" s="23">
        <v>2</v>
      </c>
      <c r="I536" s="23" t="s">
        <v>4682</v>
      </c>
      <c r="J536" s="23" t="s">
        <v>4729</v>
      </c>
      <c r="K536" s="23" t="s">
        <v>4735</v>
      </c>
      <c r="L536">
        <v>1987</v>
      </c>
      <c r="M536" s="15" t="s">
        <v>4703</v>
      </c>
      <c r="N536">
        <v>2</v>
      </c>
      <c r="O536">
        <v>1</v>
      </c>
      <c r="P536" s="21">
        <f>DATEVALUE(N536&amp;"-"&amp;M536&amp;"-"&amp;L536)</f>
        <v>32022</v>
      </c>
      <c r="Q536" s="22">
        <v>4747.05</v>
      </c>
      <c r="R536" s="23" t="s">
        <v>4697</v>
      </c>
      <c r="S536" s="23" t="s">
        <v>4697</v>
      </c>
      <c r="T536" s="23" t="s">
        <v>4699</v>
      </c>
      <c r="U536" s="23">
        <f>DATEDIF(P536, DATE(2023, 6, 8), "Y")</f>
        <v>35</v>
      </c>
      <c r="V536">
        <f>SUM(C536:K536)</f>
        <v>62.739999999999995</v>
      </c>
    </row>
    <row r="537" spans="1:22" ht="15.75">
      <c r="A537" s="28" t="s">
        <v>1072</v>
      </c>
      <c r="B537" s="28" t="s">
        <v>1073</v>
      </c>
      <c r="C537" s="23">
        <v>29.83</v>
      </c>
      <c r="D537" s="23">
        <v>5.84</v>
      </c>
      <c r="E537" s="23" t="s">
        <v>4682</v>
      </c>
      <c r="F537" s="23" t="s">
        <v>4682</v>
      </c>
      <c r="G537" s="23" t="s">
        <v>4682</v>
      </c>
      <c r="H537" s="23">
        <v>1</v>
      </c>
      <c r="I537" s="23" t="s">
        <v>4683</v>
      </c>
      <c r="J537" s="23" t="s">
        <v>4730</v>
      </c>
      <c r="K537" s="23" t="s">
        <v>4736</v>
      </c>
      <c r="L537">
        <v>1987</v>
      </c>
      <c r="M537" s="15" t="s">
        <v>4700</v>
      </c>
      <c r="N537">
        <v>22</v>
      </c>
      <c r="O537">
        <v>1</v>
      </c>
      <c r="P537" s="21">
        <f>DATEVALUE(N537&amp;"-"&amp;M537&amp;"-"&amp;L537)</f>
        <v>32103</v>
      </c>
      <c r="Q537" s="22">
        <v>4751.07</v>
      </c>
      <c r="R537" s="23" t="s">
        <v>4698</v>
      </c>
      <c r="S537" s="23" t="s">
        <v>4701</v>
      </c>
      <c r="T537" s="23" t="s">
        <v>4708</v>
      </c>
      <c r="U537" s="23">
        <f>DATEDIF(P537, DATE(2023, 6, 8), "Y")</f>
        <v>35</v>
      </c>
      <c r="V537">
        <f>SUM(C537:K537)</f>
        <v>36.67</v>
      </c>
    </row>
    <row r="538" spans="1:22" ht="15.75">
      <c r="A538" s="28" t="s">
        <v>1074</v>
      </c>
      <c r="B538" s="28" t="s">
        <v>1075</v>
      </c>
      <c r="C538" s="23">
        <v>22.6</v>
      </c>
      <c r="D538" s="23">
        <v>10.43</v>
      </c>
      <c r="E538" s="23" t="s">
        <v>4683</v>
      </c>
      <c r="F538" s="23" t="s">
        <v>4682</v>
      </c>
      <c r="G538" s="23" t="s">
        <v>4682</v>
      </c>
      <c r="H538" s="23">
        <v>1</v>
      </c>
      <c r="I538" s="23" t="s">
        <v>4683</v>
      </c>
      <c r="J538" s="23" t="s">
        <v>4728</v>
      </c>
      <c r="K538" s="23" t="s">
        <v>4735</v>
      </c>
      <c r="L538">
        <v>1992</v>
      </c>
      <c r="M538" s="15" t="s">
        <v>4706</v>
      </c>
      <c r="N538">
        <v>16</v>
      </c>
      <c r="O538">
        <v>2</v>
      </c>
      <c r="P538" s="21">
        <f>DATEVALUE(N538&amp;"-"&amp;M538&amp;"-"&amp;L538)</f>
        <v>33832</v>
      </c>
      <c r="Q538" s="22">
        <v>4753.6400000000003</v>
      </c>
      <c r="R538" s="23" t="s">
        <v>4697</v>
      </c>
      <c r="S538" s="23" t="s">
        <v>4698</v>
      </c>
      <c r="T538" s="23" t="s">
        <v>4699</v>
      </c>
      <c r="U538" s="23">
        <f>DATEDIF(P538, DATE(2023, 6, 8), "Y")</f>
        <v>30</v>
      </c>
      <c r="V538">
        <f>SUM(C538:K538)</f>
        <v>34.03</v>
      </c>
    </row>
    <row r="539" spans="1:22" ht="15.75">
      <c r="A539" s="28" t="s">
        <v>1076</v>
      </c>
      <c r="B539" s="28" t="s">
        <v>1077</v>
      </c>
      <c r="C539" s="23">
        <v>46.69</v>
      </c>
      <c r="D539" s="23">
        <v>4.25</v>
      </c>
      <c r="E539" s="23" t="s">
        <v>4683</v>
      </c>
      <c r="F539" s="23" t="s">
        <v>4682</v>
      </c>
      <c r="G539" s="23" t="s">
        <v>4682</v>
      </c>
      <c r="H539" s="23">
        <v>1</v>
      </c>
      <c r="I539" s="23" t="s">
        <v>4682</v>
      </c>
      <c r="J539" s="23" t="s">
        <v>4729</v>
      </c>
      <c r="K539" s="23" t="s">
        <v>4737</v>
      </c>
      <c r="L539">
        <v>1987</v>
      </c>
      <c r="M539" s="15" t="s">
        <v>4703</v>
      </c>
      <c r="N539">
        <v>27</v>
      </c>
      <c r="O539">
        <v>1</v>
      </c>
      <c r="P539" s="21">
        <f>DATEVALUE(N539&amp;"-"&amp;M539&amp;"-"&amp;L539)</f>
        <v>32047</v>
      </c>
      <c r="Q539" s="22">
        <v>4762.33</v>
      </c>
      <c r="R539" s="23" t="s">
        <v>4698</v>
      </c>
      <c r="S539" s="23" t="s">
        <v>4698</v>
      </c>
      <c r="T539" s="23" t="s">
        <v>4708</v>
      </c>
      <c r="U539" s="23">
        <f>DATEDIF(P539, DATE(2023, 6, 8), "Y")</f>
        <v>35</v>
      </c>
      <c r="V539">
        <f>SUM(C539:K539)</f>
        <v>51.94</v>
      </c>
    </row>
    <row r="540" spans="1:22" ht="15.75">
      <c r="A540" s="28" t="s">
        <v>1078</v>
      </c>
      <c r="B540" s="28" t="s">
        <v>1079</v>
      </c>
      <c r="C540" s="23">
        <v>28.49</v>
      </c>
      <c r="D540" s="23">
        <v>4.8899999999999997</v>
      </c>
      <c r="E540" s="23" t="s">
        <v>4682</v>
      </c>
      <c r="F540" s="23" t="s">
        <v>4682</v>
      </c>
      <c r="G540" s="23" t="s">
        <v>4682</v>
      </c>
      <c r="H540" s="23">
        <v>0</v>
      </c>
      <c r="I540" s="23" t="s">
        <v>4683</v>
      </c>
      <c r="J540" s="23" t="s">
        <v>4730</v>
      </c>
      <c r="K540" s="23" t="s">
        <v>4737</v>
      </c>
      <c r="L540">
        <v>1989</v>
      </c>
      <c r="M540" s="15" t="s">
        <v>4706</v>
      </c>
      <c r="N540">
        <v>1</v>
      </c>
      <c r="O540">
        <v>1</v>
      </c>
      <c r="P540" s="21">
        <f>DATEVALUE(N540&amp;"-"&amp;M540&amp;"-"&amp;L540)</f>
        <v>32721</v>
      </c>
      <c r="Q540" s="22">
        <v>4766.0200000000004</v>
      </c>
      <c r="R540" s="23" t="s">
        <v>4697</v>
      </c>
      <c r="S540" s="23" t="s">
        <v>4698</v>
      </c>
      <c r="T540" s="23" t="s">
        <v>4708</v>
      </c>
      <c r="U540" s="23">
        <f>DATEDIF(P540, DATE(2023, 6, 8), "Y")</f>
        <v>33</v>
      </c>
      <c r="V540">
        <f>SUM(C540:K540)</f>
        <v>33.379999999999995</v>
      </c>
    </row>
    <row r="541" spans="1:22" ht="15.75">
      <c r="A541" s="28" t="s">
        <v>1080</v>
      </c>
      <c r="B541" s="28" t="s">
        <v>1081</v>
      </c>
      <c r="C541" s="23">
        <v>28.5</v>
      </c>
      <c r="D541" s="23">
        <v>5.55</v>
      </c>
      <c r="E541" s="23" t="s">
        <v>4683</v>
      </c>
      <c r="F541" s="23" t="s">
        <v>4682</v>
      </c>
      <c r="G541" s="23" t="s">
        <v>4682</v>
      </c>
      <c r="H541" s="23">
        <v>1</v>
      </c>
      <c r="I541" s="23" t="s">
        <v>4683</v>
      </c>
      <c r="J541" s="23" t="s">
        <v>4730</v>
      </c>
      <c r="K541" s="23" t="s">
        <v>4737</v>
      </c>
      <c r="L541">
        <v>1989</v>
      </c>
      <c r="M541" s="15" t="s">
        <v>4705</v>
      </c>
      <c r="N541">
        <v>9</v>
      </c>
      <c r="O541">
        <v>1</v>
      </c>
      <c r="P541" s="21">
        <f>DATEVALUE(N541&amp;"-"&amp;M541&amp;"-"&amp;L541)</f>
        <v>32851</v>
      </c>
      <c r="Q541" s="22">
        <v>4779.6000000000004</v>
      </c>
      <c r="R541" s="23" t="s">
        <v>4697</v>
      </c>
      <c r="S541" s="23" t="s">
        <v>4698</v>
      </c>
      <c r="T541" s="23" t="s">
        <v>4699</v>
      </c>
      <c r="U541" s="23">
        <f>DATEDIF(P541, DATE(2023, 6, 8), "Y")</f>
        <v>33</v>
      </c>
      <c r="V541">
        <f>SUM(C541:K541)</f>
        <v>35.049999999999997</v>
      </c>
    </row>
    <row r="542" spans="1:22" ht="15.75">
      <c r="A542" s="28" t="s">
        <v>1082</v>
      </c>
      <c r="B542" s="28" t="s">
        <v>1083</v>
      </c>
      <c r="C542" s="23">
        <v>24.4</v>
      </c>
      <c r="D542" s="23">
        <v>4.5199999999999996</v>
      </c>
      <c r="E542" s="23" t="s">
        <v>4682</v>
      </c>
      <c r="F542" s="23" t="s">
        <v>4682</v>
      </c>
      <c r="G542" s="23" t="s">
        <v>4682</v>
      </c>
      <c r="H542" s="23">
        <v>1</v>
      </c>
      <c r="I542" s="23" t="s">
        <v>4683</v>
      </c>
      <c r="J542" s="23" t="s">
        <v>4728</v>
      </c>
      <c r="K542" s="23" t="s">
        <v>4737</v>
      </c>
      <c r="L542">
        <v>1987</v>
      </c>
      <c r="M542" s="15" t="s">
        <v>4702</v>
      </c>
      <c r="N542">
        <v>22</v>
      </c>
      <c r="O542">
        <v>3</v>
      </c>
      <c r="P542" s="21">
        <f>DATEVALUE(N542&amp;"-"&amp;M542&amp;"-"&amp;L542)</f>
        <v>31950</v>
      </c>
      <c r="Q542" s="22">
        <v>4787.42</v>
      </c>
      <c r="R542" s="23" t="s">
        <v>4697</v>
      </c>
      <c r="S542" s="23" t="s">
        <v>4698</v>
      </c>
      <c r="T542" s="23" t="s">
        <v>4699</v>
      </c>
      <c r="U542" s="23">
        <f>DATEDIF(P542, DATE(2023, 6, 8), "Y")</f>
        <v>35</v>
      </c>
      <c r="V542">
        <f>SUM(C542:K542)</f>
        <v>29.919999999999998</v>
      </c>
    </row>
    <row r="543" spans="1:22" ht="15.75">
      <c r="A543" s="28" t="s">
        <v>1084</v>
      </c>
      <c r="B543" s="28" t="s">
        <v>1085</v>
      </c>
      <c r="C543" s="23">
        <v>29.15</v>
      </c>
      <c r="D543" s="23">
        <v>4.45</v>
      </c>
      <c r="E543" s="23" t="s">
        <v>4683</v>
      </c>
      <c r="F543" s="23" t="s">
        <v>4682</v>
      </c>
      <c r="G543" s="23" t="s">
        <v>4682</v>
      </c>
      <c r="H543" s="23">
        <v>1</v>
      </c>
      <c r="I543" s="23" t="s">
        <v>4683</v>
      </c>
      <c r="J543" s="23" t="s">
        <v>4730</v>
      </c>
      <c r="K543" s="23" t="s">
        <v>4737</v>
      </c>
      <c r="L543">
        <v>1989</v>
      </c>
      <c r="M543" s="15" t="s">
        <v>4705</v>
      </c>
      <c r="N543">
        <v>16</v>
      </c>
      <c r="O543">
        <v>1</v>
      </c>
      <c r="P543" s="21">
        <f>DATEVALUE(N543&amp;"-"&amp;M543&amp;"-"&amp;L543)</f>
        <v>32858</v>
      </c>
      <c r="Q543" s="22">
        <v>4795.66</v>
      </c>
      <c r="R543" s="23" t="s">
        <v>4697</v>
      </c>
      <c r="S543" s="23" t="s">
        <v>4701</v>
      </c>
      <c r="T543" s="23" t="s">
        <v>4699</v>
      </c>
      <c r="U543" s="23">
        <f>DATEDIF(P543, DATE(2023, 6, 8), "Y")</f>
        <v>33</v>
      </c>
      <c r="V543">
        <f>SUM(C543:K543)</f>
        <v>34.6</v>
      </c>
    </row>
    <row r="544" spans="1:22" ht="15.75">
      <c r="A544" s="28" t="s">
        <v>1086</v>
      </c>
      <c r="B544" s="28" t="s">
        <v>1087</v>
      </c>
      <c r="C544" s="23">
        <v>27.28</v>
      </c>
      <c r="D544" s="23">
        <v>4.72</v>
      </c>
      <c r="E544" s="23" t="s">
        <v>4682</v>
      </c>
      <c r="F544" s="23" t="s">
        <v>4683</v>
      </c>
      <c r="G544" s="23" t="s">
        <v>4682</v>
      </c>
      <c r="H544" s="23">
        <v>1</v>
      </c>
      <c r="I544" s="23" t="s">
        <v>4683</v>
      </c>
      <c r="J544" s="23" t="s">
        <v>4730</v>
      </c>
      <c r="K544" s="23" t="s">
        <v>4737</v>
      </c>
      <c r="L544">
        <v>1978</v>
      </c>
      <c r="M544" s="15" t="s">
        <v>4707</v>
      </c>
      <c r="N544">
        <v>3</v>
      </c>
      <c r="O544">
        <v>2</v>
      </c>
      <c r="P544" s="21">
        <f>DATEVALUE(N544&amp;"-"&amp;M544&amp;"-"&amp;L544)</f>
        <v>28766</v>
      </c>
      <c r="Q544" s="22">
        <v>4812.34</v>
      </c>
      <c r="R544" s="23" t="s">
        <v>4697</v>
      </c>
      <c r="S544" s="23" t="s">
        <v>4698</v>
      </c>
      <c r="T544" s="23" t="s">
        <v>4699</v>
      </c>
      <c r="U544" s="23">
        <f>DATEDIF(P544, DATE(2023, 6, 8), "Y")</f>
        <v>44</v>
      </c>
      <c r="V544">
        <f>SUM(C544:K544)</f>
        <v>33</v>
      </c>
    </row>
    <row r="545" spans="1:22" ht="15.75">
      <c r="A545" s="28" t="s">
        <v>1088</v>
      </c>
      <c r="B545" s="28" t="s">
        <v>1089</v>
      </c>
      <c r="C545" s="23">
        <v>32.229999999999997</v>
      </c>
      <c r="D545" s="23">
        <v>4.6500000000000004</v>
      </c>
      <c r="E545" s="23" t="s">
        <v>4683</v>
      </c>
      <c r="F545" s="23" t="s">
        <v>4682</v>
      </c>
      <c r="G545" s="23" t="s">
        <v>4684</v>
      </c>
      <c r="H545" s="23">
        <v>1</v>
      </c>
      <c r="I545" s="23" t="s">
        <v>4682</v>
      </c>
      <c r="J545" s="23" t="s">
        <v>4729</v>
      </c>
      <c r="K545" s="23" t="s">
        <v>4737</v>
      </c>
      <c r="L545">
        <v>1981</v>
      </c>
      <c r="M545" s="15" t="s">
        <v>4696</v>
      </c>
      <c r="N545">
        <v>3</v>
      </c>
      <c r="O545">
        <v>1</v>
      </c>
      <c r="P545" s="21">
        <f>DATEVALUE(N545&amp;"-"&amp;M545&amp;"-"&amp;L545)</f>
        <v>29770</v>
      </c>
      <c r="Q545" s="22">
        <v>4827.1000000000004</v>
      </c>
      <c r="R545" s="23" t="s">
        <v>4697</v>
      </c>
      <c r="S545" s="23" t="s">
        <v>4701</v>
      </c>
      <c r="T545" s="23" t="s">
        <v>4699</v>
      </c>
      <c r="U545" s="23">
        <f>DATEDIF(P545, DATE(2023, 6, 8), "Y")</f>
        <v>41</v>
      </c>
      <c r="V545">
        <f>SUM(C545:K545)</f>
        <v>37.879999999999995</v>
      </c>
    </row>
    <row r="546" spans="1:22" ht="15.75">
      <c r="A546" s="28" t="s">
        <v>1090</v>
      </c>
      <c r="B546" s="28" t="s">
        <v>1091</v>
      </c>
      <c r="C546" s="23">
        <v>44.2</v>
      </c>
      <c r="D546" s="23">
        <v>11.34</v>
      </c>
      <c r="E546" s="23" t="s">
        <v>4683</v>
      </c>
      <c r="F546" s="23" t="s">
        <v>4682</v>
      </c>
      <c r="G546" s="23" t="s">
        <v>4684</v>
      </c>
      <c r="H546" s="23">
        <v>1</v>
      </c>
      <c r="I546" s="23" t="s">
        <v>4682</v>
      </c>
      <c r="J546" s="23" t="s">
        <v>4729</v>
      </c>
      <c r="K546" s="23" t="s">
        <v>4735</v>
      </c>
      <c r="L546">
        <v>1995</v>
      </c>
      <c r="M546" s="15" t="s">
        <v>4705</v>
      </c>
      <c r="N546">
        <v>1</v>
      </c>
      <c r="O546">
        <v>3</v>
      </c>
      <c r="P546" s="21">
        <f>DATEVALUE(N546&amp;"-"&amp;M546&amp;"-"&amp;L546)</f>
        <v>35034</v>
      </c>
      <c r="Q546" s="22">
        <v>4827.8999999999996</v>
      </c>
      <c r="R546" s="23" t="s">
        <v>4701</v>
      </c>
      <c r="S546" s="23" t="s">
        <v>4697</v>
      </c>
      <c r="T546" s="23" t="s">
        <v>4685</v>
      </c>
      <c r="U546" s="23">
        <f>DATEDIF(P546, DATE(2023, 6, 8), "Y")</f>
        <v>27</v>
      </c>
      <c r="V546">
        <f>SUM(C546:K546)</f>
        <v>56.540000000000006</v>
      </c>
    </row>
    <row r="547" spans="1:22" ht="15.75">
      <c r="A547" s="28" t="s">
        <v>1092</v>
      </c>
      <c r="B547" s="28" t="s">
        <v>1093</v>
      </c>
      <c r="C547" s="23">
        <v>29.734999999999999</v>
      </c>
      <c r="D547" s="23">
        <v>4.53</v>
      </c>
      <c r="E547" s="23" t="s">
        <v>4682</v>
      </c>
      <c r="F547" s="23" t="s">
        <v>4682</v>
      </c>
      <c r="G547" s="23" t="s">
        <v>4684</v>
      </c>
      <c r="H547" s="23">
        <v>1</v>
      </c>
      <c r="I547" s="23" t="s">
        <v>4682</v>
      </c>
      <c r="J547" s="23" t="s">
        <v>4730</v>
      </c>
      <c r="K547" s="23" t="s">
        <v>4737</v>
      </c>
      <c r="L547">
        <v>2002</v>
      </c>
      <c r="M547" s="15" t="s">
        <v>4702</v>
      </c>
      <c r="N547">
        <v>27</v>
      </c>
      <c r="O547">
        <v>5</v>
      </c>
      <c r="P547" s="21">
        <f>DATEVALUE(N547&amp;"-"&amp;M547&amp;"-"&amp;L547)</f>
        <v>37434</v>
      </c>
      <c r="Q547" s="22">
        <v>4830.63</v>
      </c>
      <c r="R547" s="23" t="s">
        <v>4697</v>
      </c>
      <c r="S547" s="23" t="s">
        <v>4701</v>
      </c>
      <c r="T547" s="23" t="s">
        <v>4708</v>
      </c>
      <c r="U547" s="23">
        <f>DATEDIF(P547, DATE(2023, 6, 8), "Y")</f>
        <v>20</v>
      </c>
      <c r="V547">
        <f>SUM(C547:K547)</f>
        <v>35.265000000000001</v>
      </c>
    </row>
    <row r="548" spans="1:22" ht="15.75">
      <c r="A548" s="28" t="s">
        <v>1094</v>
      </c>
      <c r="B548" s="28" t="s">
        <v>1095</v>
      </c>
      <c r="C548" s="23">
        <v>28.31</v>
      </c>
      <c r="D548" s="23">
        <v>6.35</v>
      </c>
      <c r="E548" s="23" t="s">
        <v>4682</v>
      </c>
      <c r="F548" s="23" t="s">
        <v>4682</v>
      </c>
      <c r="G548" s="23" t="s">
        <v>4682</v>
      </c>
      <c r="H548" s="23">
        <v>0</v>
      </c>
      <c r="I548" s="23" t="s">
        <v>4683</v>
      </c>
      <c r="J548" s="23" t="s">
        <v>4730</v>
      </c>
      <c r="K548" s="23" t="s">
        <v>4736</v>
      </c>
      <c r="L548">
        <v>2000</v>
      </c>
      <c r="M548" s="15" t="s">
        <v>4705</v>
      </c>
      <c r="N548">
        <v>11</v>
      </c>
      <c r="O548">
        <v>0</v>
      </c>
      <c r="P548" s="21">
        <f>DATEVALUE(N548&amp;"-"&amp;M548&amp;"-"&amp;L548)</f>
        <v>36871</v>
      </c>
      <c r="Q548" s="22">
        <v>4835.43</v>
      </c>
      <c r="R548" s="23" t="s">
        <v>4697</v>
      </c>
      <c r="S548" s="23" t="s">
        <v>4697</v>
      </c>
      <c r="T548" s="23" t="s">
        <v>4717</v>
      </c>
      <c r="U548" s="23">
        <f>DATEDIF(P548, DATE(2023, 6, 8), "Y")</f>
        <v>22</v>
      </c>
      <c r="V548">
        <f>SUM(C548:K548)</f>
        <v>34.659999999999997</v>
      </c>
    </row>
    <row r="549" spans="1:22" ht="15.75">
      <c r="A549" s="28" t="s">
        <v>1096</v>
      </c>
      <c r="B549" s="28" t="s">
        <v>1097</v>
      </c>
      <c r="C549" s="23">
        <v>46.62</v>
      </c>
      <c r="D549" s="23">
        <v>8.51</v>
      </c>
      <c r="E549" s="23" t="s">
        <v>4682</v>
      </c>
      <c r="F549" s="23" t="s">
        <v>4682</v>
      </c>
      <c r="G549" s="23" t="s">
        <v>4682</v>
      </c>
      <c r="H549" s="23">
        <v>0</v>
      </c>
      <c r="I549" s="23" t="s">
        <v>4682</v>
      </c>
      <c r="J549" s="23" t="s">
        <v>4729</v>
      </c>
      <c r="K549" s="23" t="s">
        <v>4735</v>
      </c>
      <c r="L549">
        <v>1992</v>
      </c>
      <c r="M549" s="15" t="s">
        <v>4703</v>
      </c>
      <c r="N549">
        <v>10</v>
      </c>
      <c r="O549">
        <v>3</v>
      </c>
      <c r="P549" s="21">
        <f>DATEVALUE(N549&amp;"-"&amp;M549&amp;"-"&amp;L549)</f>
        <v>33857</v>
      </c>
      <c r="Q549" s="22">
        <v>4837.58</v>
      </c>
      <c r="R549" s="23" t="s">
        <v>4698</v>
      </c>
      <c r="S549" s="23" t="s">
        <v>4697</v>
      </c>
      <c r="T549" s="23" t="s">
        <v>4699</v>
      </c>
      <c r="U549" s="23">
        <f>DATEDIF(P549, DATE(2023, 6, 8), "Y")</f>
        <v>30</v>
      </c>
      <c r="V549">
        <f>SUM(C549:K549)</f>
        <v>55.129999999999995</v>
      </c>
    </row>
    <row r="550" spans="1:22" ht="15.75">
      <c r="A550" s="28" t="s">
        <v>1098</v>
      </c>
      <c r="B550" s="28" t="s">
        <v>1099</v>
      </c>
      <c r="C550" s="23">
        <v>51.75</v>
      </c>
      <c r="D550" s="23">
        <v>8.59</v>
      </c>
      <c r="E550" s="23" t="s">
        <v>4683</v>
      </c>
      <c r="F550" s="23" t="s">
        <v>4682</v>
      </c>
      <c r="G550" s="23" t="s">
        <v>4682</v>
      </c>
      <c r="H550" s="23">
        <v>1</v>
      </c>
      <c r="I550" s="23" t="s">
        <v>4682</v>
      </c>
      <c r="J550" s="23" t="s">
        <v>4729</v>
      </c>
      <c r="K550" s="23" t="s">
        <v>4735</v>
      </c>
      <c r="L550">
        <v>1984</v>
      </c>
      <c r="M550" s="15" t="s">
        <v>4707</v>
      </c>
      <c r="N550">
        <v>15</v>
      </c>
      <c r="O550">
        <v>3</v>
      </c>
      <c r="P550" s="21">
        <f>DATEVALUE(N550&amp;"-"&amp;M550&amp;"-"&amp;L550)</f>
        <v>30970</v>
      </c>
      <c r="Q550" s="22">
        <v>4839.18</v>
      </c>
      <c r="R550" s="23" t="s">
        <v>4697</v>
      </c>
      <c r="S550" s="23" t="s">
        <v>4701</v>
      </c>
      <c r="T550" s="23" t="s">
        <v>4704</v>
      </c>
      <c r="U550" s="23">
        <f>DATEDIF(P550, DATE(2023, 6, 8), "Y")</f>
        <v>38</v>
      </c>
      <c r="V550">
        <f>SUM(C550:K550)</f>
        <v>61.34</v>
      </c>
    </row>
    <row r="551" spans="1:22" ht="15.75">
      <c r="A551" s="28" t="s">
        <v>1100</v>
      </c>
      <c r="B551" s="28" t="s">
        <v>1101</v>
      </c>
      <c r="C551" s="23">
        <v>25.7</v>
      </c>
      <c r="D551" s="23">
        <v>4.13</v>
      </c>
      <c r="E551" s="23" t="s">
        <v>4683</v>
      </c>
      <c r="F551" s="23" t="s">
        <v>4682</v>
      </c>
      <c r="G551" s="23" t="s">
        <v>4682</v>
      </c>
      <c r="H551" s="23">
        <v>0</v>
      </c>
      <c r="I551" s="23" t="s">
        <v>4683</v>
      </c>
      <c r="J551" s="23" t="s">
        <v>4730</v>
      </c>
      <c r="K551" s="23" t="s">
        <v>4737</v>
      </c>
      <c r="L551">
        <v>1995</v>
      </c>
      <c r="M551" s="15" t="s">
        <v>4703</v>
      </c>
      <c r="N551">
        <v>29</v>
      </c>
      <c r="O551">
        <v>0</v>
      </c>
      <c r="P551" s="21">
        <f>DATEVALUE(N551&amp;"-"&amp;M551&amp;"-"&amp;L551)</f>
        <v>34971</v>
      </c>
      <c r="Q551" s="22">
        <v>4840.95</v>
      </c>
      <c r="R551" s="23" t="s">
        <v>4697</v>
      </c>
      <c r="S551" s="23" t="s">
        <v>4701</v>
      </c>
      <c r="T551" s="23" t="s">
        <v>4717</v>
      </c>
      <c r="U551" s="23">
        <f>DATEDIF(P551, DATE(2023, 6, 8), "Y")</f>
        <v>27</v>
      </c>
      <c r="V551">
        <f>SUM(C551:K551)</f>
        <v>29.83</v>
      </c>
    </row>
    <row r="552" spans="1:22" ht="15.75">
      <c r="A552" s="28" t="s">
        <v>1102</v>
      </c>
      <c r="B552" s="28" t="s">
        <v>1103</v>
      </c>
      <c r="C552" s="23">
        <v>31.79</v>
      </c>
      <c r="D552" s="23">
        <v>4.55</v>
      </c>
      <c r="E552" s="23" t="s">
        <v>4682</v>
      </c>
      <c r="F552" s="23" t="s">
        <v>4682</v>
      </c>
      <c r="G552" s="23" t="s">
        <v>4682</v>
      </c>
      <c r="H552" s="23">
        <v>0</v>
      </c>
      <c r="I552" s="23" t="s">
        <v>4682</v>
      </c>
      <c r="J552" s="23" t="s">
        <v>4729</v>
      </c>
      <c r="K552" s="23" t="s">
        <v>4737</v>
      </c>
      <c r="L552">
        <v>1979</v>
      </c>
      <c r="M552" s="15" t="s">
        <v>4705</v>
      </c>
      <c r="N552">
        <v>13</v>
      </c>
      <c r="O552">
        <v>2</v>
      </c>
      <c r="P552" s="21">
        <f>DATEVALUE(N552&amp;"-"&amp;M552&amp;"-"&amp;L552)</f>
        <v>29202</v>
      </c>
      <c r="Q552" s="22">
        <v>4843.79</v>
      </c>
      <c r="R552" s="23" t="s">
        <v>4697</v>
      </c>
      <c r="S552" s="23" t="s">
        <v>4698</v>
      </c>
      <c r="T552" s="23" t="s">
        <v>4699</v>
      </c>
      <c r="U552" s="23">
        <f>DATEDIF(P552, DATE(2023, 6, 8), "Y")</f>
        <v>43</v>
      </c>
      <c r="V552">
        <f>SUM(C552:K552)</f>
        <v>36.339999999999996</v>
      </c>
    </row>
    <row r="553" spans="1:22" ht="15.75">
      <c r="A553" s="28" t="s">
        <v>1104</v>
      </c>
      <c r="B553" s="28" t="s">
        <v>1105</v>
      </c>
      <c r="C553" s="23">
        <v>24.795000000000002</v>
      </c>
      <c r="D553" s="23">
        <v>4.5199999999999996</v>
      </c>
      <c r="E553" s="23" t="s">
        <v>4682</v>
      </c>
      <c r="F553" s="23" t="s">
        <v>4682</v>
      </c>
      <c r="G553" s="23" t="s">
        <v>4682</v>
      </c>
      <c r="H553" s="23">
        <v>0</v>
      </c>
      <c r="I553" s="23" t="s">
        <v>4683</v>
      </c>
      <c r="J553" s="23" t="s">
        <v>4728</v>
      </c>
      <c r="K553" s="23" t="s">
        <v>4737</v>
      </c>
      <c r="L553">
        <v>1974</v>
      </c>
      <c r="M553" s="15" t="s">
        <v>4703</v>
      </c>
      <c r="N553">
        <v>11</v>
      </c>
      <c r="O553">
        <v>0</v>
      </c>
      <c r="P553" s="21">
        <f>DATEVALUE(N553&amp;"-"&amp;M553&amp;"-"&amp;L553)</f>
        <v>27283</v>
      </c>
      <c r="Q553" s="22">
        <v>4844.67</v>
      </c>
      <c r="R553" s="23" t="s">
        <v>4697</v>
      </c>
      <c r="S553" s="23" t="s">
        <v>4697</v>
      </c>
      <c r="T553" s="23" t="s">
        <v>4699</v>
      </c>
      <c r="U553" s="23">
        <f>DATEDIF(P553, DATE(2023, 6, 8), "Y")</f>
        <v>48</v>
      </c>
      <c r="V553">
        <f>SUM(C553:K553)</f>
        <v>29.315000000000001</v>
      </c>
    </row>
    <row r="554" spans="1:22" ht="15.75">
      <c r="A554" s="28" t="s">
        <v>1106</v>
      </c>
      <c r="B554" s="28" t="s">
        <v>1107</v>
      </c>
      <c r="C554" s="23">
        <v>53.98</v>
      </c>
      <c r="D554" s="23">
        <v>5.07</v>
      </c>
      <c r="E554" s="23" t="s">
        <v>4682</v>
      </c>
      <c r="F554" s="23" t="s">
        <v>4682</v>
      </c>
      <c r="G554" s="23" t="s">
        <v>4684</v>
      </c>
      <c r="H554" s="23">
        <v>1</v>
      </c>
      <c r="I554" s="23" t="s">
        <v>4682</v>
      </c>
      <c r="J554" s="23" t="s">
        <v>4729</v>
      </c>
      <c r="K554" s="23" t="s">
        <v>4737</v>
      </c>
      <c r="L554">
        <v>2001</v>
      </c>
      <c r="M554" s="15" t="s">
        <v>4702</v>
      </c>
      <c r="N554">
        <v>7</v>
      </c>
      <c r="O554">
        <v>0</v>
      </c>
      <c r="P554" s="21">
        <f>DATEVALUE(N554&amp;"-"&amp;M554&amp;"-"&amp;L554)</f>
        <v>37049</v>
      </c>
      <c r="Q554" s="22">
        <v>4846.53</v>
      </c>
      <c r="R554" s="23" t="s">
        <v>4697</v>
      </c>
      <c r="S554" s="23" t="s">
        <v>4698</v>
      </c>
      <c r="T554" s="23" t="s">
        <v>4717</v>
      </c>
      <c r="U554" s="23">
        <f>DATEDIF(P554, DATE(2023, 6, 8), "Y")</f>
        <v>22</v>
      </c>
      <c r="V554">
        <f>SUM(C554:K554)</f>
        <v>60.05</v>
      </c>
    </row>
    <row r="555" spans="1:22" ht="15.75">
      <c r="A555" s="28" t="s">
        <v>1108</v>
      </c>
      <c r="B555" s="28" t="s">
        <v>1109</v>
      </c>
      <c r="C555" s="23">
        <v>41.325000000000003</v>
      </c>
      <c r="D555" s="23">
        <v>4.04</v>
      </c>
      <c r="E555" s="23" t="s">
        <v>4683</v>
      </c>
      <c r="F555" s="23" t="s">
        <v>4682</v>
      </c>
      <c r="G555" s="23" t="s">
        <v>4684</v>
      </c>
      <c r="H555" s="23">
        <v>1</v>
      </c>
      <c r="I555" s="23" t="s">
        <v>4682</v>
      </c>
      <c r="J555" s="23" t="s">
        <v>4729</v>
      </c>
      <c r="K555" s="23" t="s">
        <v>4737</v>
      </c>
      <c r="L555">
        <v>1995</v>
      </c>
      <c r="M555" s="15" t="s">
        <v>4705</v>
      </c>
      <c r="N555">
        <v>27</v>
      </c>
      <c r="O555">
        <v>3</v>
      </c>
      <c r="P555" s="21">
        <f>DATEVALUE(N555&amp;"-"&amp;M555&amp;"-"&amp;L555)</f>
        <v>35060</v>
      </c>
      <c r="Q555" s="22">
        <v>4846.92</v>
      </c>
      <c r="R555" s="23" t="s">
        <v>4697</v>
      </c>
      <c r="S555" s="23" t="s">
        <v>4698</v>
      </c>
      <c r="T555" s="23" t="s">
        <v>4718</v>
      </c>
      <c r="U555" s="23">
        <f>DATEDIF(P555, DATE(2023, 6, 8), "Y")</f>
        <v>27</v>
      </c>
      <c r="V555">
        <f>SUM(C555:K555)</f>
        <v>46.365000000000002</v>
      </c>
    </row>
    <row r="556" spans="1:22" ht="15.75">
      <c r="A556" s="28" t="s">
        <v>1110</v>
      </c>
      <c r="B556" s="28" t="s">
        <v>1111</v>
      </c>
      <c r="C556" s="23">
        <v>51.65</v>
      </c>
      <c r="D556" s="23">
        <v>5.3</v>
      </c>
      <c r="E556" s="23" t="s">
        <v>4683</v>
      </c>
      <c r="F556" s="23" t="s">
        <v>4682</v>
      </c>
      <c r="G556" s="23" t="s">
        <v>4682</v>
      </c>
      <c r="H556" s="23">
        <v>0</v>
      </c>
      <c r="I556" s="23" t="s">
        <v>4682</v>
      </c>
      <c r="J556" s="23" t="s">
        <v>4729</v>
      </c>
      <c r="K556" s="23" t="s">
        <v>4737</v>
      </c>
      <c r="L556">
        <v>1989</v>
      </c>
      <c r="M556" s="15" t="s">
        <v>4703</v>
      </c>
      <c r="N556">
        <v>1</v>
      </c>
      <c r="O556">
        <v>3</v>
      </c>
      <c r="P556" s="21">
        <f>DATEVALUE(N556&amp;"-"&amp;M556&amp;"-"&amp;L556)</f>
        <v>32752</v>
      </c>
      <c r="Q556" s="22">
        <v>4859.8900000000003</v>
      </c>
      <c r="R556" s="23" t="s">
        <v>4697</v>
      </c>
      <c r="S556" s="23" t="s">
        <v>4698</v>
      </c>
      <c r="T556" s="23" t="s">
        <v>4708</v>
      </c>
      <c r="U556" s="23">
        <f>DATEDIF(P556, DATE(2023, 6, 8), "Y")</f>
        <v>33</v>
      </c>
      <c r="V556">
        <f>SUM(C556:K556)</f>
        <v>56.949999999999996</v>
      </c>
    </row>
    <row r="557" spans="1:22" ht="15.75">
      <c r="A557" s="28" t="s">
        <v>1112</v>
      </c>
      <c r="B557" s="28" t="s">
        <v>1113</v>
      </c>
      <c r="C557" s="23">
        <v>44.52</v>
      </c>
      <c r="D557" s="23">
        <v>8.64</v>
      </c>
      <c r="E557" s="23" t="s">
        <v>4683</v>
      </c>
      <c r="F557" s="23" t="s">
        <v>4682</v>
      </c>
      <c r="G557" s="23" t="s">
        <v>4684</v>
      </c>
      <c r="H557" s="23">
        <v>1</v>
      </c>
      <c r="I557" s="23" t="s">
        <v>4682</v>
      </c>
      <c r="J557" s="23" t="s">
        <v>4729</v>
      </c>
      <c r="K557" s="23" t="s">
        <v>4735</v>
      </c>
      <c r="L557">
        <v>1997</v>
      </c>
      <c r="M557" s="15" t="s">
        <v>4703</v>
      </c>
      <c r="N557">
        <v>29</v>
      </c>
      <c r="O557">
        <v>4</v>
      </c>
      <c r="P557" s="21">
        <f>DATEVALUE(N557&amp;"-"&amp;M557&amp;"-"&amp;L557)</f>
        <v>35702</v>
      </c>
      <c r="Q557" s="22">
        <v>4877.9799999999996</v>
      </c>
      <c r="R557" s="23" t="s">
        <v>4697</v>
      </c>
      <c r="S557" s="23" t="s">
        <v>4698</v>
      </c>
      <c r="T557" s="23" t="s">
        <v>4704</v>
      </c>
      <c r="U557" s="23">
        <f>DATEDIF(P557, DATE(2023, 6, 8), "Y")</f>
        <v>25</v>
      </c>
      <c r="V557">
        <f>SUM(C557:K557)</f>
        <v>54.160000000000004</v>
      </c>
    </row>
    <row r="558" spans="1:22" ht="15.75">
      <c r="A558" s="28" t="s">
        <v>1114</v>
      </c>
      <c r="B558" s="28" t="s">
        <v>1115</v>
      </c>
      <c r="C558" s="23">
        <v>53.29</v>
      </c>
      <c r="D558" s="23">
        <v>4.03</v>
      </c>
      <c r="E558" s="23" t="s">
        <v>4682</v>
      </c>
      <c r="F558" s="23" t="s">
        <v>4682</v>
      </c>
      <c r="G558" s="23" t="s">
        <v>4684</v>
      </c>
      <c r="H558" s="23">
        <v>1</v>
      </c>
      <c r="I558" s="23" t="s">
        <v>4682</v>
      </c>
      <c r="J558" s="23" t="s">
        <v>4729</v>
      </c>
      <c r="K558" s="23" t="s">
        <v>4737</v>
      </c>
      <c r="L558">
        <v>1986</v>
      </c>
      <c r="M558" s="15" t="s">
        <v>4705</v>
      </c>
      <c r="N558">
        <v>23</v>
      </c>
      <c r="O558">
        <v>0</v>
      </c>
      <c r="P558" s="21">
        <f>DATEVALUE(N558&amp;"-"&amp;M558&amp;"-"&amp;L558)</f>
        <v>31769</v>
      </c>
      <c r="Q558" s="22">
        <v>4883.87</v>
      </c>
      <c r="R558" s="23" t="s">
        <v>4697</v>
      </c>
      <c r="S558" s="23" t="s">
        <v>4701</v>
      </c>
      <c r="T558" s="23" t="s">
        <v>4708</v>
      </c>
      <c r="U558" s="23">
        <f>DATEDIF(P558, DATE(2023, 6, 8), "Y")</f>
        <v>36</v>
      </c>
      <c r="V558">
        <f>SUM(C558:K558)</f>
        <v>58.32</v>
      </c>
    </row>
    <row r="559" spans="1:22" ht="15.75">
      <c r="A559" s="28" t="s">
        <v>1116</v>
      </c>
      <c r="B559" s="28" t="s">
        <v>1117</v>
      </c>
      <c r="C559" s="23">
        <v>46.63</v>
      </c>
      <c r="D559" s="23">
        <v>4.26</v>
      </c>
      <c r="E559" s="23" t="s">
        <v>4683</v>
      </c>
      <c r="F559" s="23" t="s">
        <v>4682</v>
      </c>
      <c r="G559" s="23" t="s">
        <v>4682</v>
      </c>
      <c r="H559" s="23">
        <v>2</v>
      </c>
      <c r="I559" s="23" t="s">
        <v>4682</v>
      </c>
      <c r="J559" s="23" t="s">
        <v>4729</v>
      </c>
      <c r="K559" s="23" t="s">
        <v>4737</v>
      </c>
      <c r="L559">
        <v>1986</v>
      </c>
      <c r="M559" s="15" t="s">
        <v>4707</v>
      </c>
      <c r="N559">
        <v>27</v>
      </c>
      <c r="O559">
        <v>0</v>
      </c>
      <c r="P559" s="21">
        <f>DATEVALUE(N559&amp;"-"&amp;M559&amp;"-"&amp;L559)</f>
        <v>31712</v>
      </c>
      <c r="Q559" s="22">
        <v>4889.04</v>
      </c>
      <c r="R559" s="23" t="s">
        <v>4697</v>
      </c>
      <c r="S559" s="23" t="s">
        <v>4701</v>
      </c>
      <c r="T559" s="23" t="s">
        <v>4699</v>
      </c>
      <c r="U559" s="23">
        <f>DATEDIF(P559, DATE(2023, 6, 8), "Y")</f>
        <v>36</v>
      </c>
      <c r="V559">
        <f>SUM(C559:K559)</f>
        <v>52.89</v>
      </c>
    </row>
    <row r="560" spans="1:22" ht="15.75">
      <c r="A560" s="28" t="s">
        <v>1118</v>
      </c>
      <c r="B560" s="28" t="s">
        <v>1119</v>
      </c>
      <c r="C560" s="23">
        <v>28.88</v>
      </c>
      <c r="D560" s="23">
        <v>5.35</v>
      </c>
      <c r="E560" s="23" t="s">
        <v>4682</v>
      </c>
      <c r="F560" s="23" t="s">
        <v>4682</v>
      </c>
      <c r="G560" s="23" t="s">
        <v>4684</v>
      </c>
      <c r="H560" s="23">
        <v>1</v>
      </c>
      <c r="I560" s="23" t="s">
        <v>4683</v>
      </c>
      <c r="J560" s="23" t="s">
        <v>4730</v>
      </c>
      <c r="K560" s="23" t="s">
        <v>4737</v>
      </c>
      <c r="L560">
        <v>1989</v>
      </c>
      <c r="M560" s="15" t="s">
        <v>4696</v>
      </c>
      <c r="N560">
        <v>10</v>
      </c>
      <c r="O560">
        <v>2</v>
      </c>
      <c r="P560" s="21">
        <f>DATEVALUE(N560&amp;"-"&amp;M560&amp;"-"&amp;L560)</f>
        <v>32699</v>
      </c>
      <c r="Q560" s="22">
        <v>4890</v>
      </c>
      <c r="R560" s="23" t="s">
        <v>4698</v>
      </c>
      <c r="S560" s="23" t="s">
        <v>4697</v>
      </c>
      <c r="T560" s="23" t="s">
        <v>4699</v>
      </c>
      <c r="U560" s="23">
        <f>DATEDIF(P560, DATE(2023, 6, 8), "Y")</f>
        <v>33</v>
      </c>
      <c r="V560">
        <f>SUM(C560:K560)</f>
        <v>35.229999999999997</v>
      </c>
    </row>
    <row r="561" spans="1:22" ht="15.75">
      <c r="A561" s="28" t="s">
        <v>1120</v>
      </c>
      <c r="B561" s="28" t="s">
        <v>1121</v>
      </c>
      <c r="C561" s="23">
        <v>23.98</v>
      </c>
      <c r="D561" s="23">
        <v>4.9000000000000004</v>
      </c>
      <c r="E561" s="23" t="s">
        <v>4682</v>
      </c>
      <c r="F561" s="23" t="s">
        <v>4682</v>
      </c>
      <c r="G561" s="23" t="s">
        <v>4682</v>
      </c>
      <c r="H561" s="23">
        <v>0</v>
      </c>
      <c r="I561" s="23" t="s">
        <v>4685</v>
      </c>
      <c r="J561" s="23" t="s">
        <v>4728</v>
      </c>
      <c r="K561" s="23" t="s">
        <v>4737</v>
      </c>
      <c r="L561">
        <v>1990</v>
      </c>
      <c r="M561" s="15" t="s">
        <v>4700</v>
      </c>
      <c r="N561">
        <v>28</v>
      </c>
      <c r="O561">
        <v>3</v>
      </c>
      <c r="P561" s="21">
        <f>DATEVALUE(N561&amp;"-"&amp;M561&amp;"-"&amp;L561)</f>
        <v>33205</v>
      </c>
      <c r="Q561" s="22">
        <v>4894.3900000000003</v>
      </c>
      <c r="R561" s="23" t="s">
        <v>4697</v>
      </c>
      <c r="S561" s="23" t="s">
        <v>4698</v>
      </c>
      <c r="T561" s="23" t="s">
        <v>4699</v>
      </c>
      <c r="U561" s="23">
        <f>DATEDIF(P561, DATE(2023, 6, 8), "Y")</f>
        <v>32</v>
      </c>
      <c r="V561">
        <f>SUM(C561:K561)</f>
        <v>28.880000000000003</v>
      </c>
    </row>
    <row r="562" spans="1:22" ht="15.75">
      <c r="A562" s="28" t="s">
        <v>1122</v>
      </c>
      <c r="B562" s="28" t="s">
        <v>1123</v>
      </c>
      <c r="C562" s="23">
        <v>23.65</v>
      </c>
      <c r="D562" s="23">
        <v>4.5</v>
      </c>
      <c r="E562" s="23" t="s">
        <v>4682</v>
      </c>
      <c r="F562" s="23" t="s">
        <v>4682</v>
      </c>
      <c r="G562" s="23" t="s">
        <v>4682</v>
      </c>
      <c r="H562" s="23">
        <v>0</v>
      </c>
      <c r="I562" s="23" t="s">
        <v>4682</v>
      </c>
      <c r="J562" s="23" t="s">
        <v>4728</v>
      </c>
      <c r="K562" s="23" t="s">
        <v>4737</v>
      </c>
      <c r="L562">
        <v>1988</v>
      </c>
      <c r="M562" s="15" t="s">
        <v>4703</v>
      </c>
      <c r="N562">
        <v>23</v>
      </c>
      <c r="O562">
        <v>1</v>
      </c>
      <c r="P562" s="21">
        <f>DATEVALUE(N562&amp;"-"&amp;M562&amp;"-"&amp;L562)</f>
        <v>32409</v>
      </c>
      <c r="Q562" s="22">
        <v>4894.75</v>
      </c>
      <c r="R562" s="23" t="s">
        <v>4698</v>
      </c>
      <c r="S562" s="23" t="s">
        <v>4698</v>
      </c>
      <c r="T562" s="23" t="s">
        <v>4704</v>
      </c>
      <c r="U562" s="23">
        <f>DATEDIF(P562, DATE(2023, 6, 8), "Y")</f>
        <v>34</v>
      </c>
      <c r="V562">
        <f>SUM(C562:K562)</f>
        <v>28.15</v>
      </c>
    </row>
    <row r="563" spans="1:22" ht="15.75">
      <c r="A563" s="28" t="s">
        <v>1124</v>
      </c>
      <c r="B563" s="28" t="s">
        <v>1125</v>
      </c>
      <c r="C563" s="23">
        <v>49.09</v>
      </c>
      <c r="D563" s="23">
        <v>8.3800000000000008</v>
      </c>
      <c r="E563" s="23" t="s">
        <v>4683</v>
      </c>
      <c r="F563" s="23" t="s">
        <v>4682</v>
      </c>
      <c r="G563" s="23" t="s">
        <v>4682</v>
      </c>
      <c r="H563" s="23">
        <v>2</v>
      </c>
      <c r="I563" s="23" t="s">
        <v>4682</v>
      </c>
      <c r="J563" s="23" t="s">
        <v>4729</v>
      </c>
      <c r="K563" s="23" t="s">
        <v>4735</v>
      </c>
      <c r="L563">
        <v>1993</v>
      </c>
      <c r="M563" s="15" t="s">
        <v>4696</v>
      </c>
      <c r="N563">
        <v>10</v>
      </c>
      <c r="O563">
        <v>2</v>
      </c>
      <c r="P563" s="21">
        <f>DATEVALUE(N563&amp;"-"&amp;M563&amp;"-"&amp;L563)</f>
        <v>34160</v>
      </c>
      <c r="Q563" s="22">
        <v>4906.41</v>
      </c>
      <c r="R563" s="23" t="s">
        <v>4697</v>
      </c>
      <c r="S563" s="23" t="s">
        <v>4701</v>
      </c>
      <c r="T563" s="23" t="s">
        <v>4704</v>
      </c>
      <c r="U563" s="23">
        <f>DATEDIF(P563, DATE(2023, 6, 8), "Y")</f>
        <v>29</v>
      </c>
      <c r="V563">
        <f>SUM(C563:K563)</f>
        <v>59.470000000000006</v>
      </c>
    </row>
    <row r="564" spans="1:22" ht="15.75">
      <c r="A564" s="28" t="s">
        <v>1126</v>
      </c>
      <c r="B564" s="28" t="s">
        <v>1127</v>
      </c>
      <c r="C564" s="23">
        <v>28.024999999999999</v>
      </c>
      <c r="D564" s="23">
        <v>7.03</v>
      </c>
      <c r="E564" s="23" t="s">
        <v>4682</v>
      </c>
      <c r="F564" s="23" t="s">
        <v>4682</v>
      </c>
      <c r="G564" s="23" t="s">
        <v>4682</v>
      </c>
      <c r="H564" s="23">
        <v>0</v>
      </c>
      <c r="I564" s="23" t="s">
        <v>4683</v>
      </c>
      <c r="J564" s="23" t="s">
        <v>4730</v>
      </c>
      <c r="K564" s="23" t="s">
        <v>4735</v>
      </c>
      <c r="L564">
        <v>1981</v>
      </c>
      <c r="M564" s="15" t="s">
        <v>4707</v>
      </c>
      <c r="N564">
        <v>18</v>
      </c>
      <c r="O564">
        <v>1</v>
      </c>
      <c r="P564" s="21">
        <f>DATEVALUE(N564&amp;"-"&amp;M564&amp;"-"&amp;L564)</f>
        <v>29877</v>
      </c>
      <c r="Q564" s="22">
        <v>4911.8900000000003</v>
      </c>
      <c r="R564" s="23" t="s">
        <v>4697</v>
      </c>
      <c r="S564" s="23" t="s">
        <v>4698</v>
      </c>
      <c r="T564" s="23" t="s">
        <v>4699</v>
      </c>
      <c r="U564" s="23">
        <f>DATEDIF(P564, DATE(2023, 6, 8), "Y")</f>
        <v>41</v>
      </c>
      <c r="V564">
        <f>SUM(C564:K564)</f>
        <v>35.055</v>
      </c>
    </row>
    <row r="565" spans="1:22" ht="15.75">
      <c r="A565" s="28" t="s">
        <v>1128</v>
      </c>
      <c r="B565" s="28" t="s">
        <v>1129</v>
      </c>
      <c r="C565" s="23">
        <v>43.32</v>
      </c>
      <c r="D565" s="23">
        <v>8.75</v>
      </c>
      <c r="E565" s="23" t="s">
        <v>4683</v>
      </c>
      <c r="F565" s="23" t="s">
        <v>4682</v>
      </c>
      <c r="G565" s="23" t="s">
        <v>4684</v>
      </c>
      <c r="H565" s="23">
        <v>1</v>
      </c>
      <c r="I565" s="23" t="s">
        <v>4682</v>
      </c>
      <c r="J565" s="23" t="s">
        <v>4729</v>
      </c>
      <c r="K565" s="23" t="s">
        <v>4735</v>
      </c>
      <c r="L565">
        <v>2002</v>
      </c>
      <c r="M565" s="15" t="s">
        <v>4706</v>
      </c>
      <c r="N565">
        <v>21</v>
      </c>
      <c r="O565">
        <v>5</v>
      </c>
      <c r="P565" s="21">
        <f>DATEVALUE(N565&amp;"-"&amp;M565&amp;"-"&amp;L565)</f>
        <v>37489</v>
      </c>
      <c r="Q565" s="22">
        <v>4915.0600000000004</v>
      </c>
      <c r="R565" s="23" t="s">
        <v>4697</v>
      </c>
      <c r="S565" s="23" t="s">
        <v>4701</v>
      </c>
      <c r="T565" s="23" t="s">
        <v>4718</v>
      </c>
      <c r="U565" s="23">
        <f>DATEDIF(P565, DATE(2023, 6, 8), "Y")</f>
        <v>20</v>
      </c>
      <c r="V565">
        <f>SUM(C565:K565)</f>
        <v>53.07</v>
      </c>
    </row>
    <row r="566" spans="1:22" ht="15.75">
      <c r="A566" s="28" t="s">
        <v>1130</v>
      </c>
      <c r="B566" s="28" t="s">
        <v>1131</v>
      </c>
      <c r="C566" s="23">
        <v>45.92</v>
      </c>
      <c r="D566" s="23">
        <v>9.51</v>
      </c>
      <c r="E566" s="23" t="s">
        <v>4682</v>
      </c>
      <c r="F566" s="23" t="s">
        <v>4682</v>
      </c>
      <c r="G566" s="23" t="s">
        <v>4682</v>
      </c>
      <c r="H566" s="23">
        <v>0</v>
      </c>
      <c r="I566" s="23" t="s">
        <v>4682</v>
      </c>
      <c r="J566" s="23" t="s">
        <v>4729</v>
      </c>
      <c r="K566" s="23" t="s">
        <v>4735</v>
      </c>
      <c r="L566">
        <v>1993</v>
      </c>
      <c r="M566" s="15" t="s">
        <v>4706</v>
      </c>
      <c r="N566">
        <v>10</v>
      </c>
      <c r="O566">
        <v>2</v>
      </c>
      <c r="P566" s="21">
        <f>DATEVALUE(N566&amp;"-"&amp;M566&amp;"-"&amp;L566)</f>
        <v>34191</v>
      </c>
      <c r="Q566" s="22">
        <v>4922.92</v>
      </c>
      <c r="R566" s="23" t="s">
        <v>4697</v>
      </c>
      <c r="S566" s="23" t="s">
        <v>4697</v>
      </c>
      <c r="T566" s="23" t="s">
        <v>4704</v>
      </c>
      <c r="U566" s="23">
        <f>DATEDIF(P566, DATE(2023, 6, 8), "Y")</f>
        <v>29</v>
      </c>
      <c r="V566">
        <f>SUM(C566:K566)</f>
        <v>55.43</v>
      </c>
    </row>
    <row r="567" spans="1:22" ht="15.75">
      <c r="A567" s="28" t="s">
        <v>1132</v>
      </c>
      <c r="B567" s="28" t="s">
        <v>1133</v>
      </c>
      <c r="C567" s="23">
        <v>44.03</v>
      </c>
      <c r="D567" s="23">
        <v>9.36</v>
      </c>
      <c r="E567" s="23" t="s">
        <v>4682</v>
      </c>
      <c r="F567" s="23" t="s">
        <v>4682</v>
      </c>
      <c r="G567" s="23" t="s">
        <v>4682</v>
      </c>
      <c r="H567" s="23">
        <v>0</v>
      </c>
      <c r="I567" s="23" t="s">
        <v>4682</v>
      </c>
      <c r="J567" s="23" t="s">
        <v>4729</v>
      </c>
      <c r="K567" s="23" t="s">
        <v>4735</v>
      </c>
      <c r="L567">
        <v>1991</v>
      </c>
      <c r="M567" s="15" t="s">
        <v>4706</v>
      </c>
      <c r="N567">
        <v>23</v>
      </c>
      <c r="O567">
        <v>2</v>
      </c>
      <c r="P567" s="21">
        <f>DATEVALUE(N567&amp;"-"&amp;M567&amp;"-"&amp;L567)</f>
        <v>33473</v>
      </c>
      <c r="Q567" s="22">
        <v>4931.6499999999996</v>
      </c>
      <c r="R567" s="23" t="s">
        <v>4697</v>
      </c>
      <c r="S567" s="23" t="s">
        <v>4698</v>
      </c>
      <c r="T567" s="23" t="s">
        <v>4708</v>
      </c>
      <c r="U567" s="23">
        <f>DATEDIF(P567, DATE(2023, 6, 8), "Y")</f>
        <v>31</v>
      </c>
      <c r="V567">
        <f>SUM(C567:K567)</f>
        <v>53.39</v>
      </c>
    </row>
    <row r="568" spans="1:22" ht="15.75">
      <c r="A568" s="28" t="s">
        <v>1134</v>
      </c>
      <c r="B568" s="28" t="s">
        <v>1135</v>
      </c>
      <c r="C568" s="23">
        <v>24.6</v>
      </c>
      <c r="D568" s="23">
        <v>4.8099999999999996</v>
      </c>
      <c r="E568" s="23" t="s">
        <v>4682</v>
      </c>
      <c r="F568" s="23" t="s">
        <v>4682</v>
      </c>
      <c r="G568" s="23" t="s">
        <v>4682</v>
      </c>
      <c r="H568" s="23">
        <v>0</v>
      </c>
      <c r="I568" s="23" t="s">
        <v>4683</v>
      </c>
      <c r="J568" s="23" t="s">
        <v>4728</v>
      </c>
      <c r="K568" s="23" t="s">
        <v>4737</v>
      </c>
      <c r="L568">
        <v>1991</v>
      </c>
      <c r="M568" s="15" t="s">
        <v>4700</v>
      </c>
      <c r="N568">
        <v>27</v>
      </c>
      <c r="O568">
        <v>2</v>
      </c>
      <c r="P568" s="21">
        <f>DATEVALUE(N568&amp;"-"&amp;M568&amp;"-"&amp;L568)</f>
        <v>33569</v>
      </c>
      <c r="Q568" s="22">
        <v>4934.71</v>
      </c>
      <c r="R568" s="23" t="s">
        <v>4697</v>
      </c>
      <c r="S568" s="23" t="s">
        <v>4698</v>
      </c>
      <c r="T568" s="23" t="s">
        <v>4708</v>
      </c>
      <c r="U568" s="23">
        <f>DATEDIF(P568, DATE(2023, 6, 8), "Y")</f>
        <v>31</v>
      </c>
      <c r="V568">
        <f>SUM(C568:K568)</f>
        <v>29.41</v>
      </c>
    </row>
    <row r="569" spans="1:22" ht="15.75">
      <c r="A569" s="28" t="s">
        <v>1136</v>
      </c>
      <c r="B569" s="28" t="s">
        <v>1137</v>
      </c>
      <c r="C569" s="23">
        <v>49.15</v>
      </c>
      <c r="D569" s="23">
        <v>8.08</v>
      </c>
      <c r="E569" s="23" t="s">
        <v>4682</v>
      </c>
      <c r="F569" s="23" t="s">
        <v>4682</v>
      </c>
      <c r="G569" s="23" t="s">
        <v>4682</v>
      </c>
      <c r="H569" s="23">
        <v>0</v>
      </c>
      <c r="I569" s="23" t="s">
        <v>4682</v>
      </c>
      <c r="J569" s="23" t="s">
        <v>4729</v>
      </c>
      <c r="K569" s="23" t="s">
        <v>4735</v>
      </c>
      <c r="L569">
        <v>1974</v>
      </c>
      <c r="M569" s="15" t="s">
        <v>4702</v>
      </c>
      <c r="N569">
        <v>26</v>
      </c>
      <c r="O569">
        <v>0</v>
      </c>
      <c r="P569" s="21">
        <f>DATEVALUE(N569&amp;"-"&amp;M569&amp;"-"&amp;L569)</f>
        <v>27206</v>
      </c>
      <c r="Q569" s="22">
        <v>4942.0600000000004</v>
      </c>
      <c r="R569" s="23" t="s">
        <v>4697</v>
      </c>
      <c r="S569" s="23" t="s">
        <v>4697</v>
      </c>
      <c r="T569" s="23" t="s">
        <v>4699</v>
      </c>
      <c r="U569" s="23">
        <f>DATEDIF(P569, DATE(2023, 6, 8), "Y")</f>
        <v>48</v>
      </c>
      <c r="V569">
        <f>SUM(C569:K569)</f>
        <v>57.23</v>
      </c>
    </row>
    <row r="570" spans="1:22" ht="15.75">
      <c r="A570" s="28" t="s">
        <v>1138</v>
      </c>
      <c r="B570" s="28" t="s">
        <v>1139</v>
      </c>
      <c r="C570" s="23">
        <v>28.31</v>
      </c>
      <c r="D570" s="23">
        <v>6.29</v>
      </c>
      <c r="E570" s="23" t="s">
        <v>4682</v>
      </c>
      <c r="F570" s="23" t="s">
        <v>4682</v>
      </c>
      <c r="G570" s="23" t="s">
        <v>4684</v>
      </c>
      <c r="H570" s="23">
        <v>1</v>
      </c>
      <c r="I570" s="23" t="s">
        <v>4683</v>
      </c>
      <c r="J570" s="23" t="s">
        <v>4730</v>
      </c>
      <c r="K570" s="23" t="s">
        <v>4736</v>
      </c>
      <c r="L570">
        <v>1991</v>
      </c>
      <c r="M570" s="15" t="s">
        <v>4706</v>
      </c>
      <c r="N570">
        <v>30</v>
      </c>
      <c r="O570">
        <v>2</v>
      </c>
      <c r="P570" s="21">
        <f>DATEVALUE(N570&amp;"-"&amp;M570&amp;"-"&amp;L570)</f>
        <v>33480</v>
      </c>
      <c r="Q570" s="22">
        <v>4949.76</v>
      </c>
      <c r="R570" s="23" t="s">
        <v>4697</v>
      </c>
      <c r="S570" s="23" t="s">
        <v>4701</v>
      </c>
      <c r="T570" s="23" t="s">
        <v>4699</v>
      </c>
      <c r="U570" s="23">
        <f>DATEDIF(P570, DATE(2023, 6, 8), "Y")</f>
        <v>31</v>
      </c>
      <c r="V570">
        <f>SUM(C570:K570)</f>
        <v>35.6</v>
      </c>
    </row>
    <row r="571" spans="1:22" ht="15.75">
      <c r="A571" s="28" t="s">
        <v>1140</v>
      </c>
      <c r="B571" s="28" t="s">
        <v>1141</v>
      </c>
      <c r="C571" s="23">
        <v>22.99</v>
      </c>
      <c r="D571" s="23">
        <v>6.29</v>
      </c>
      <c r="E571" s="23" t="s">
        <v>4682</v>
      </c>
      <c r="F571" s="23" t="s">
        <v>4682</v>
      </c>
      <c r="G571" s="23" t="s">
        <v>4682</v>
      </c>
      <c r="H571" s="23">
        <v>1</v>
      </c>
      <c r="I571" s="23" t="s">
        <v>4683</v>
      </c>
      <c r="J571" s="23" t="s">
        <v>4728</v>
      </c>
      <c r="K571" s="23" t="s">
        <v>4736</v>
      </c>
      <c r="L571">
        <v>1973</v>
      </c>
      <c r="M571" s="15" t="s">
        <v>4700</v>
      </c>
      <c r="N571">
        <v>7</v>
      </c>
      <c r="O571">
        <v>0</v>
      </c>
      <c r="P571" s="21">
        <f>DATEVALUE(N571&amp;"-"&amp;M571&amp;"-"&amp;L571)</f>
        <v>26975</v>
      </c>
      <c r="Q571" s="22">
        <v>4985.22</v>
      </c>
      <c r="R571" s="23" t="s">
        <v>4697</v>
      </c>
      <c r="S571" s="23" t="s">
        <v>4698</v>
      </c>
      <c r="T571" s="23" t="s">
        <v>4699</v>
      </c>
      <c r="U571" s="23">
        <f>DATEDIF(P571, DATE(2023, 6, 8), "Y")</f>
        <v>49</v>
      </c>
      <c r="V571">
        <f>SUM(C571:K571)</f>
        <v>30.279999999999998</v>
      </c>
    </row>
    <row r="572" spans="1:22" ht="15.75">
      <c r="A572" s="28" t="s">
        <v>1142</v>
      </c>
      <c r="B572" s="28" t="s">
        <v>1143</v>
      </c>
      <c r="C572" s="23">
        <v>29.07</v>
      </c>
      <c r="D572" s="23">
        <v>5.12</v>
      </c>
      <c r="E572" s="23" t="s">
        <v>4682</v>
      </c>
      <c r="F572" s="23" t="s">
        <v>4682</v>
      </c>
      <c r="G572" s="23" t="s">
        <v>4684</v>
      </c>
      <c r="H572" s="23">
        <v>1</v>
      </c>
      <c r="I572" s="23" t="s">
        <v>4683</v>
      </c>
      <c r="J572" s="23" t="s">
        <v>4730</v>
      </c>
      <c r="K572" s="23" t="s">
        <v>4737</v>
      </c>
      <c r="L572">
        <v>1988</v>
      </c>
      <c r="M572" s="15" t="s">
        <v>4702</v>
      </c>
      <c r="N572">
        <v>24</v>
      </c>
      <c r="O572">
        <v>0</v>
      </c>
      <c r="P572" s="21">
        <f>DATEVALUE(N572&amp;"-"&amp;M572&amp;"-"&amp;L572)</f>
        <v>32318</v>
      </c>
      <c r="Q572" s="22">
        <v>4992.38</v>
      </c>
      <c r="R572" s="23" t="s">
        <v>4697</v>
      </c>
      <c r="S572" s="23" t="s">
        <v>4698</v>
      </c>
      <c r="T572" s="23" t="s">
        <v>4714</v>
      </c>
      <c r="U572" s="23">
        <f>DATEDIF(P572, DATE(2023, 6, 8), "Y")</f>
        <v>34</v>
      </c>
      <c r="V572">
        <f>SUM(C572:K572)</f>
        <v>35.19</v>
      </c>
    </row>
    <row r="573" spans="1:22" ht="15.75">
      <c r="A573" s="28" t="s">
        <v>1144</v>
      </c>
      <c r="B573" s="28" t="s">
        <v>1145</v>
      </c>
      <c r="C573" s="23">
        <v>42.02</v>
      </c>
      <c r="D573" s="23">
        <v>9.9499999999999993</v>
      </c>
      <c r="E573" s="23" t="s">
        <v>4683</v>
      </c>
      <c r="F573" s="23" t="s">
        <v>4682</v>
      </c>
      <c r="G573" s="23" t="s">
        <v>4684</v>
      </c>
      <c r="H573" s="23">
        <v>1</v>
      </c>
      <c r="I573" s="23" t="s">
        <v>4682</v>
      </c>
      <c r="J573" s="23" t="s">
        <v>4729</v>
      </c>
      <c r="K573" s="23" t="s">
        <v>4735</v>
      </c>
      <c r="L573">
        <v>2001</v>
      </c>
      <c r="M573" s="15" t="s">
        <v>4707</v>
      </c>
      <c r="N573">
        <v>5</v>
      </c>
      <c r="O573">
        <v>0</v>
      </c>
      <c r="P573" s="21">
        <f>DATEVALUE(N573&amp;"-"&amp;M573&amp;"-"&amp;L573)</f>
        <v>37169</v>
      </c>
      <c r="Q573" s="22">
        <v>4999.04</v>
      </c>
      <c r="R573" s="23" t="s">
        <v>4697</v>
      </c>
      <c r="S573" s="23" t="s">
        <v>4697</v>
      </c>
      <c r="T573" s="23" t="s">
        <v>4708</v>
      </c>
      <c r="U573" s="23">
        <f>DATEDIF(P573, DATE(2023, 6, 8), "Y")</f>
        <v>21</v>
      </c>
      <c r="V573">
        <f>SUM(C573:K573)</f>
        <v>52.97</v>
      </c>
    </row>
    <row r="574" spans="1:22" ht="15.75">
      <c r="A574" s="28" t="s">
        <v>1146</v>
      </c>
      <c r="B574" s="28" t="s">
        <v>1147</v>
      </c>
      <c r="C574" s="23">
        <v>49.07</v>
      </c>
      <c r="D574" s="23">
        <v>9.08</v>
      </c>
      <c r="E574" s="23" t="s">
        <v>4683</v>
      </c>
      <c r="F574" s="23" t="s">
        <v>4682</v>
      </c>
      <c r="G574" s="23" t="s">
        <v>4682</v>
      </c>
      <c r="H574" s="23">
        <v>1</v>
      </c>
      <c r="I574" s="23" t="s">
        <v>4682</v>
      </c>
      <c r="J574" s="23" t="s">
        <v>4729</v>
      </c>
      <c r="K574" s="23" t="s">
        <v>4735</v>
      </c>
      <c r="L574">
        <v>1988</v>
      </c>
      <c r="M574" s="15" t="s">
        <v>4703</v>
      </c>
      <c r="N574">
        <v>4</v>
      </c>
      <c r="O574">
        <v>1</v>
      </c>
      <c r="P574" s="21">
        <f>DATEVALUE(N574&amp;"-"&amp;M574&amp;"-"&amp;L574)</f>
        <v>32390</v>
      </c>
      <c r="Q574" s="22">
        <v>5002.78</v>
      </c>
      <c r="R574" s="23" t="s">
        <v>4697</v>
      </c>
      <c r="S574" s="23" t="s">
        <v>4697</v>
      </c>
      <c r="T574" s="23" t="s">
        <v>4699</v>
      </c>
      <c r="U574" s="23">
        <f>DATEDIF(P574, DATE(2023, 6, 8), "Y")</f>
        <v>34</v>
      </c>
      <c r="V574">
        <f>SUM(C574:K574)</f>
        <v>59.15</v>
      </c>
    </row>
    <row r="575" spans="1:22" ht="15.75">
      <c r="A575" s="28" t="s">
        <v>1148</v>
      </c>
      <c r="B575" s="28" t="s">
        <v>1149</v>
      </c>
      <c r="C575" s="23">
        <v>19.8</v>
      </c>
      <c r="D575" s="23">
        <v>4.82</v>
      </c>
      <c r="E575" s="23" t="s">
        <v>4682</v>
      </c>
      <c r="F575" s="23" t="s">
        <v>4682</v>
      </c>
      <c r="G575" s="23" t="s">
        <v>4682</v>
      </c>
      <c r="H575" s="23">
        <v>0</v>
      </c>
      <c r="I575" s="23" t="s">
        <v>4683</v>
      </c>
      <c r="J575" s="23" t="s">
        <v>4728</v>
      </c>
      <c r="K575" s="23" t="s">
        <v>4737</v>
      </c>
      <c r="L575">
        <v>1977</v>
      </c>
      <c r="M575" s="15" t="s">
        <v>4702</v>
      </c>
      <c r="N575">
        <v>9</v>
      </c>
      <c r="O575">
        <v>2</v>
      </c>
      <c r="P575" s="21">
        <f>DATEVALUE(N575&amp;"-"&amp;M575&amp;"-"&amp;L575)</f>
        <v>28285</v>
      </c>
      <c r="Q575" s="22">
        <v>5003.7700000000004</v>
      </c>
      <c r="R575" s="23" t="s">
        <v>4697</v>
      </c>
      <c r="S575" s="23" t="s">
        <v>4698</v>
      </c>
      <c r="T575" s="23" t="s">
        <v>4699</v>
      </c>
      <c r="U575" s="23">
        <f>DATEDIF(P575, DATE(2023, 6, 8), "Y")</f>
        <v>45</v>
      </c>
      <c r="V575">
        <f>SUM(C575:K575)</f>
        <v>24.62</v>
      </c>
    </row>
    <row r="576" spans="1:22" ht="15.75">
      <c r="A576" s="28" t="s">
        <v>1150</v>
      </c>
      <c r="B576" s="28" t="s">
        <v>1151</v>
      </c>
      <c r="C576" s="23">
        <v>27.36</v>
      </c>
      <c r="D576" s="23">
        <v>4.6500000000000004</v>
      </c>
      <c r="E576" s="23" t="s">
        <v>4682</v>
      </c>
      <c r="F576" s="23" t="s">
        <v>4683</v>
      </c>
      <c r="G576" s="23" t="s">
        <v>4682</v>
      </c>
      <c r="H576" s="23">
        <v>1</v>
      </c>
      <c r="I576" s="23" t="s">
        <v>4683</v>
      </c>
      <c r="J576" s="23" t="s">
        <v>4730</v>
      </c>
      <c r="K576" s="23" t="s">
        <v>4737</v>
      </c>
      <c r="L576">
        <v>1988</v>
      </c>
      <c r="M576" s="15" t="s">
        <v>4696</v>
      </c>
      <c r="N576">
        <v>8</v>
      </c>
      <c r="O576">
        <v>1</v>
      </c>
      <c r="P576" s="21">
        <f>DATEVALUE(N576&amp;"-"&amp;M576&amp;"-"&amp;L576)</f>
        <v>32332</v>
      </c>
      <c r="Q576" s="22">
        <v>5003.8500000000004</v>
      </c>
      <c r="R576" s="23" t="s">
        <v>4697</v>
      </c>
      <c r="S576" s="23" t="s">
        <v>4698</v>
      </c>
      <c r="T576" s="23" t="s">
        <v>4708</v>
      </c>
      <c r="U576" s="23">
        <f>DATEDIF(P576, DATE(2023, 6, 8), "Y")</f>
        <v>34</v>
      </c>
      <c r="V576">
        <f>SUM(C576:K576)</f>
        <v>33.01</v>
      </c>
    </row>
    <row r="577" spans="1:22" ht="15.75">
      <c r="A577" s="28" t="s">
        <v>1152</v>
      </c>
      <c r="B577" s="28" t="s">
        <v>1153</v>
      </c>
      <c r="C577" s="23">
        <v>42.95</v>
      </c>
      <c r="D577" s="23">
        <v>5.16</v>
      </c>
      <c r="E577" s="23" t="s">
        <v>4683</v>
      </c>
      <c r="F577" s="23" t="s">
        <v>4682</v>
      </c>
      <c r="G577" s="23" t="s">
        <v>4682</v>
      </c>
      <c r="H577" s="23">
        <v>1</v>
      </c>
      <c r="I577" s="23" t="s">
        <v>4682</v>
      </c>
      <c r="J577" s="23" t="s">
        <v>4729</v>
      </c>
      <c r="K577" s="23" t="s">
        <v>4737</v>
      </c>
      <c r="L577">
        <v>1988</v>
      </c>
      <c r="M577" s="15" t="s">
        <v>4700</v>
      </c>
      <c r="N577">
        <v>9</v>
      </c>
      <c r="O577">
        <v>1</v>
      </c>
      <c r="P577" s="21">
        <f>DATEVALUE(N577&amp;"-"&amp;M577&amp;"-"&amp;L577)</f>
        <v>32456</v>
      </c>
      <c r="Q577" s="22">
        <v>5012.47</v>
      </c>
      <c r="R577" s="23" t="s">
        <v>4697</v>
      </c>
      <c r="S577" s="23" t="s">
        <v>4698</v>
      </c>
      <c r="T577" s="23" t="s">
        <v>4708</v>
      </c>
      <c r="U577" s="23">
        <f>DATEDIF(P577, DATE(2023, 6, 8), "Y")</f>
        <v>34</v>
      </c>
      <c r="V577">
        <f>SUM(C577:K577)</f>
        <v>49.11</v>
      </c>
    </row>
    <row r="578" spans="1:22" ht="15.75">
      <c r="A578" s="28" t="s">
        <v>1154</v>
      </c>
      <c r="B578" s="28" t="s">
        <v>1155</v>
      </c>
      <c r="C578" s="23">
        <v>42.66</v>
      </c>
      <c r="D578" s="23">
        <v>10.44</v>
      </c>
      <c r="E578" s="23" t="s">
        <v>4682</v>
      </c>
      <c r="F578" s="23" t="s">
        <v>4682</v>
      </c>
      <c r="G578" s="23" t="s">
        <v>4682</v>
      </c>
      <c r="H578" s="23">
        <v>0</v>
      </c>
      <c r="I578" s="23" t="s">
        <v>4682</v>
      </c>
      <c r="J578" s="23" t="s">
        <v>4729</v>
      </c>
      <c r="K578" s="23" t="s">
        <v>4735</v>
      </c>
      <c r="L578">
        <v>1985</v>
      </c>
      <c r="M578" s="15" t="s">
        <v>4705</v>
      </c>
      <c r="N578">
        <v>28</v>
      </c>
      <c r="O578">
        <v>0</v>
      </c>
      <c r="P578" s="21">
        <f>DATEVALUE(N578&amp;"-"&amp;M578&amp;"-"&amp;L578)</f>
        <v>31409</v>
      </c>
      <c r="Q578" s="22">
        <v>5028.1499999999996</v>
      </c>
      <c r="R578" s="23" t="s">
        <v>4701</v>
      </c>
      <c r="S578" s="23" t="s">
        <v>4697</v>
      </c>
      <c r="T578" s="23" t="s">
        <v>4704</v>
      </c>
      <c r="U578" s="23">
        <f>DATEDIF(P578, DATE(2023, 6, 8), "Y")</f>
        <v>37</v>
      </c>
      <c r="V578">
        <f>SUM(C578:K578)</f>
        <v>53.099999999999994</v>
      </c>
    </row>
    <row r="579" spans="1:22" ht="15.75">
      <c r="A579" s="28" t="s">
        <v>1156</v>
      </c>
      <c r="B579" s="28" t="s">
        <v>1157</v>
      </c>
      <c r="C579" s="23">
        <v>33.630000000000003</v>
      </c>
      <c r="D579" s="23">
        <v>5.69</v>
      </c>
      <c r="E579" s="23" t="s">
        <v>4682</v>
      </c>
      <c r="F579" s="23" t="s">
        <v>4682</v>
      </c>
      <c r="G579" s="23" t="s">
        <v>4682</v>
      </c>
      <c r="H579" s="23">
        <v>1</v>
      </c>
      <c r="I579" s="23" t="s">
        <v>4682</v>
      </c>
      <c r="J579" s="23" t="s">
        <v>4729</v>
      </c>
      <c r="K579" s="23" t="s">
        <v>4737</v>
      </c>
      <c r="L579">
        <v>1991</v>
      </c>
      <c r="M579" s="15" t="s">
        <v>4703</v>
      </c>
      <c r="N579">
        <v>10</v>
      </c>
      <c r="O579">
        <v>2</v>
      </c>
      <c r="P579" s="21">
        <f>DATEVALUE(N579&amp;"-"&amp;M579&amp;"-"&amp;L579)</f>
        <v>33491</v>
      </c>
      <c r="Q579" s="22">
        <v>5031.2700000000004</v>
      </c>
      <c r="R579" s="23" t="s">
        <v>4698</v>
      </c>
      <c r="S579" s="23" t="s">
        <v>4701</v>
      </c>
      <c r="T579" s="23" t="s">
        <v>4711</v>
      </c>
      <c r="U579" s="23">
        <f>DATEDIF(P579, DATE(2023, 6, 8), "Y")</f>
        <v>31</v>
      </c>
      <c r="V579">
        <f>SUM(C579:K579)</f>
        <v>40.32</v>
      </c>
    </row>
    <row r="580" spans="1:22" ht="15.75">
      <c r="A580" s="28" t="s">
        <v>1158</v>
      </c>
      <c r="B580" s="28" t="s">
        <v>1159</v>
      </c>
      <c r="C580" s="23">
        <v>26.84</v>
      </c>
      <c r="D580" s="23">
        <v>6.5</v>
      </c>
      <c r="E580" s="23" t="s">
        <v>4682</v>
      </c>
      <c r="F580" s="23" t="s">
        <v>4682</v>
      </c>
      <c r="G580" s="23" t="s">
        <v>4682</v>
      </c>
      <c r="H580" s="23">
        <v>0</v>
      </c>
      <c r="I580" s="23" t="s">
        <v>4683</v>
      </c>
      <c r="J580" s="23" t="s">
        <v>4730</v>
      </c>
      <c r="K580" s="23" t="s">
        <v>4735</v>
      </c>
      <c r="L580">
        <v>1986</v>
      </c>
      <c r="M580" s="15" t="s">
        <v>4702</v>
      </c>
      <c r="N580">
        <v>29</v>
      </c>
      <c r="O580">
        <v>3</v>
      </c>
      <c r="P580" s="21">
        <f>DATEVALUE(N580&amp;"-"&amp;M580&amp;"-"&amp;L580)</f>
        <v>31592</v>
      </c>
      <c r="Q580" s="22">
        <v>5034.1000000000004</v>
      </c>
      <c r="R580" s="23" t="s">
        <v>4697</v>
      </c>
      <c r="S580" s="23" t="s">
        <v>4697</v>
      </c>
      <c r="T580" s="23" t="s">
        <v>4699</v>
      </c>
      <c r="U580" s="23">
        <f>DATEDIF(P580, DATE(2023, 6, 8), "Y")</f>
        <v>36</v>
      </c>
      <c r="V580">
        <f>SUM(C580:K580)</f>
        <v>33.340000000000003</v>
      </c>
    </row>
    <row r="581" spans="1:22" ht="15.75">
      <c r="A581" s="28" t="s">
        <v>1160</v>
      </c>
      <c r="B581" s="28" t="s">
        <v>1161</v>
      </c>
      <c r="C581" s="23">
        <v>28.3</v>
      </c>
      <c r="D581" s="23">
        <v>5.73</v>
      </c>
      <c r="E581" s="23" t="s">
        <v>4682</v>
      </c>
      <c r="F581" s="23" t="s">
        <v>4682</v>
      </c>
      <c r="G581" s="23" t="s">
        <v>4684</v>
      </c>
      <c r="H581" s="23">
        <v>1</v>
      </c>
      <c r="I581" s="23" t="s">
        <v>4683</v>
      </c>
      <c r="J581" s="23" t="s">
        <v>4730</v>
      </c>
      <c r="K581" s="23" t="s">
        <v>4736</v>
      </c>
      <c r="L581">
        <v>1997</v>
      </c>
      <c r="M581" s="15" t="s">
        <v>4705</v>
      </c>
      <c r="N581">
        <v>4</v>
      </c>
      <c r="O581">
        <v>0</v>
      </c>
      <c r="P581" s="21">
        <f>DATEVALUE(N581&amp;"-"&amp;M581&amp;"-"&amp;L581)</f>
        <v>35768</v>
      </c>
      <c r="Q581" s="22">
        <v>5038.57</v>
      </c>
      <c r="R581" s="23" t="s">
        <v>4697</v>
      </c>
      <c r="S581" s="23" t="s">
        <v>4697</v>
      </c>
      <c r="T581" s="23" t="s">
        <v>4713</v>
      </c>
      <c r="U581" s="23">
        <f>DATEDIF(P581, DATE(2023, 6, 8), "Y")</f>
        <v>25</v>
      </c>
      <c r="V581">
        <f>SUM(C581:K581)</f>
        <v>35.03</v>
      </c>
    </row>
    <row r="582" spans="1:22" ht="15.75">
      <c r="A582" s="28" t="s">
        <v>1162</v>
      </c>
      <c r="B582" s="28" t="s">
        <v>1163</v>
      </c>
      <c r="C582" s="23">
        <v>27.06</v>
      </c>
      <c r="D582" s="23">
        <v>5.74</v>
      </c>
      <c r="E582" s="23" t="s">
        <v>4683</v>
      </c>
      <c r="F582" s="23" t="s">
        <v>4682</v>
      </c>
      <c r="G582" s="23" t="s">
        <v>4682</v>
      </c>
      <c r="H582" s="23">
        <v>0</v>
      </c>
      <c r="I582" s="23" t="s">
        <v>4683</v>
      </c>
      <c r="J582" s="23" t="s">
        <v>4730</v>
      </c>
      <c r="K582" s="23" t="s">
        <v>4736</v>
      </c>
      <c r="L582">
        <v>2001</v>
      </c>
      <c r="M582" s="15" t="s">
        <v>4707</v>
      </c>
      <c r="N582">
        <v>16</v>
      </c>
      <c r="O582">
        <v>0</v>
      </c>
      <c r="P582" s="21">
        <f>DATEVALUE(N582&amp;"-"&amp;M582&amp;"-"&amp;L582)</f>
        <v>37180</v>
      </c>
      <c r="Q582" s="22">
        <v>5043.13</v>
      </c>
      <c r="R582" s="23" t="s">
        <v>4697</v>
      </c>
      <c r="S582" s="23" t="s">
        <v>4698</v>
      </c>
      <c r="T582" s="23" t="s">
        <v>4708</v>
      </c>
      <c r="U582" s="23">
        <f>DATEDIF(P582, DATE(2023, 6, 8), "Y")</f>
        <v>21</v>
      </c>
      <c r="V582">
        <f>SUM(C582:K582)</f>
        <v>32.799999999999997</v>
      </c>
    </row>
    <row r="583" spans="1:22" ht="15.75">
      <c r="A583" s="28" t="s">
        <v>1164</v>
      </c>
      <c r="B583" s="28" t="s">
        <v>1165</v>
      </c>
      <c r="C583" s="23">
        <v>47.13</v>
      </c>
      <c r="D583" s="23">
        <v>8.6999999999999993</v>
      </c>
      <c r="E583" s="23" t="s">
        <v>4682</v>
      </c>
      <c r="F583" s="23" t="s">
        <v>4682</v>
      </c>
      <c r="G583" s="23" t="s">
        <v>4682</v>
      </c>
      <c r="H583" s="23">
        <v>0</v>
      </c>
      <c r="I583" s="23" t="s">
        <v>4682</v>
      </c>
      <c r="J583" s="23" t="s">
        <v>4729</v>
      </c>
      <c r="K583" s="23" t="s">
        <v>4735</v>
      </c>
      <c r="L583">
        <v>1997</v>
      </c>
      <c r="M583" s="15" t="s">
        <v>4696</v>
      </c>
      <c r="N583">
        <v>29</v>
      </c>
      <c r="O583">
        <v>0</v>
      </c>
      <c r="P583" s="21">
        <f>DATEVALUE(N583&amp;"-"&amp;M583&amp;"-"&amp;L583)</f>
        <v>35640</v>
      </c>
      <c r="Q583" s="22">
        <v>5045.1499999999996</v>
      </c>
      <c r="R583" s="23" t="s">
        <v>4697</v>
      </c>
      <c r="S583" s="23" t="s">
        <v>4697</v>
      </c>
      <c r="T583" s="23" t="s">
        <v>4704</v>
      </c>
      <c r="U583" s="23">
        <f>DATEDIF(P583, DATE(2023, 6, 8), "Y")</f>
        <v>25</v>
      </c>
      <c r="V583">
        <f>SUM(C583:K583)</f>
        <v>55.83</v>
      </c>
    </row>
    <row r="584" spans="1:22" ht="15.75">
      <c r="A584" s="28" t="s">
        <v>1166</v>
      </c>
      <c r="B584" s="28" t="s">
        <v>1167</v>
      </c>
      <c r="C584" s="23">
        <v>51.72</v>
      </c>
      <c r="D584" s="23">
        <v>5.09</v>
      </c>
      <c r="E584" s="23" t="s">
        <v>4682</v>
      </c>
      <c r="F584" s="23" t="s">
        <v>4682</v>
      </c>
      <c r="G584" s="23" t="s">
        <v>4682</v>
      </c>
      <c r="H584" s="23">
        <v>0</v>
      </c>
      <c r="I584" s="23" t="s">
        <v>4682</v>
      </c>
      <c r="J584" s="23" t="s">
        <v>4729</v>
      </c>
      <c r="K584" s="23" t="s">
        <v>4737</v>
      </c>
      <c r="L584">
        <v>1980</v>
      </c>
      <c r="M584" s="15" t="s">
        <v>4703</v>
      </c>
      <c r="N584">
        <v>7</v>
      </c>
      <c r="O584">
        <v>2</v>
      </c>
      <c r="P584" s="21">
        <f>DATEVALUE(N584&amp;"-"&amp;M584&amp;"-"&amp;L584)</f>
        <v>29471</v>
      </c>
      <c r="Q584" s="22">
        <v>5054.05</v>
      </c>
      <c r="R584" s="23" t="s">
        <v>4697</v>
      </c>
      <c r="S584" s="23" t="s">
        <v>4697</v>
      </c>
      <c r="T584" s="23" t="s">
        <v>4699</v>
      </c>
      <c r="U584" s="23">
        <f>DATEDIF(P584, DATE(2023, 6, 8), "Y")</f>
        <v>42</v>
      </c>
      <c r="V584">
        <f>SUM(C584:K584)</f>
        <v>56.81</v>
      </c>
    </row>
    <row r="585" spans="1:22" ht="15.75">
      <c r="A585" s="28" t="s">
        <v>1168</v>
      </c>
      <c r="B585" s="28" t="s">
        <v>1169</v>
      </c>
      <c r="C585" s="23">
        <v>48.59</v>
      </c>
      <c r="D585" s="23">
        <v>5.57</v>
      </c>
      <c r="E585" s="23" t="s">
        <v>4682</v>
      </c>
      <c r="F585" s="23" t="s">
        <v>4682</v>
      </c>
      <c r="G585" s="23" t="s">
        <v>4682</v>
      </c>
      <c r="H585" s="23">
        <v>0</v>
      </c>
      <c r="I585" s="23" t="s">
        <v>4682</v>
      </c>
      <c r="J585" s="23" t="s">
        <v>4729</v>
      </c>
      <c r="K585" s="23" t="s">
        <v>4737</v>
      </c>
      <c r="L585">
        <v>1993</v>
      </c>
      <c r="M585" s="15" t="s">
        <v>4702</v>
      </c>
      <c r="N585">
        <v>11</v>
      </c>
      <c r="O585">
        <v>0</v>
      </c>
      <c r="P585" s="21">
        <f>DATEVALUE(N585&amp;"-"&amp;M585&amp;"-"&amp;L585)</f>
        <v>34131</v>
      </c>
      <c r="Q585" s="22">
        <v>5059.5600000000004</v>
      </c>
      <c r="R585" s="23" t="s">
        <v>4697</v>
      </c>
      <c r="S585" s="23" t="s">
        <v>4701</v>
      </c>
      <c r="T585" s="23" t="s">
        <v>4717</v>
      </c>
      <c r="U585" s="23">
        <f>DATEDIF(P585, DATE(2023, 6, 8), "Y")</f>
        <v>29</v>
      </c>
      <c r="V585">
        <f>SUM(C585:K585)</f>
        <v>54.160000000000004</v>
      </c>
    </row>
    <row r="586" spans="1:22" ht="15.75">
      <c r="A586" s="28" t="s">
        <v>1170</v>
      </c>
      <c r="B586" s="28" t="s">
        <v>1171</v>
      </c>
      <c r="C586" s="23">
        <v>45.18</v>
      </c>
      <c r="D586" s="23">
        <v>10.87</v>
      </c>
      <c r="E586" s="23" t="s">
        <v>4682</v>
      </c>
      <c r="F586" s="23" t="s">
        <v>4682</v>
      </c>
      <c r="G586" s="23" t="s">
        <v>4682</v>
      </c>
      <c r="H586" s="23">
        <v>0</v>
      </c>
      <c r="I586" s="23" t="s">
        <v>4682</v>
      </c>
      <c r="J586" s="23" t="s">
        <v>4729</v>
      </c>
      <c r="K586" s="23" t="s">
        <v>4735</v>
      </c>
      <c r="L586">
        <v>1978</v>
      </c>
      <c r="M586" s="15" t="s">
        <v>4700</v>
      </c>
      <c r="N586">
        <v>22</v>
      </c>
      <c r="O586">
        <v>2</v>
      </c>
      <c r="P586" s="21">
        <f>DATEVALUE(N586&amp;"-"&amp;M586&amp;"-"&amp;L586)</f>
        <v>28816</v>
      </c>
      <c r="Q586" s="22">
        <v>5077.1899999999996</v>
      </c>
      <c r="R586" s="23" t="s">
        <v>4697</v>
      </c>
      <c r="S586" s="23" t="s">
        <v>4698</v>
      </c>
      <c r="T586" s="23" t="s">
        <v>4704</v>
      </c>
      <c r="U586" s="23">
        <f>DATEDIF(P586, DATE(2023, 6, 8), "Y")</f>
        <v>44</v>
      </c>
      <c r="V586">
        <f>SUM(C586:K586)</f>
        <v>56.05</v>
      </c>
    </row>
    <row r="587" spans="1:22" ht="15.75">
      <c r="A587" s="28" t="s">
        <v>1172</v>
      </c>
      <c r="B587" s="28" t="s">
        <v>1173</v>
      </c>
      <c r="C587" s="23">
        <v>27.9</v>
      </c>
      <c r="D587" s="23">
        <v>6.02</v>
      </c>
      <c r="E587" s="23" t="s">
        <v>4682</v>
      </c>
      <c r="F587" s="23" t="s">
        <v>4682</v>
      </c>
      <c r="G587" s="23" t="s">
        <v>4684</v>
      </c>
      <c r="H587" s="23">
        <v>1</v>
      </c>
      <c r="I587" s="23" t="s">
        <v>4683</v>
      </c>
      <c r="J587" s="23" t="s">
        <v>4730</v>
      </c>
      <c r="K587" s="23" t="s">
        <v>4736</v>
      </c>
      <c r="L587">
        <v>1997</v>
      </c>
      <c r="M587" s="15" t="s">
        <v>4696</v>
      </c>
      <c r="N587">
        <v>14</v>
      </c>
      <c r="O587">
        <v>5</v>
      </c>
      <c r="P587" s="21">
        <f>DATEVALUE(N587&amp;"-"&amp;M587&amp;"-"&amp;L587)</f>
        <v>35625</v>
      </c>
      <c r="Q587" s="22">
        <v>5080.1000000000004</v>
      </c>
      <c r="R587" s="23" t="s">
        <v>4698</v>
      </c>
      <c r="S587" s="23" t="s">
        <v>4697</v>
      </c>
      <c r="T587" s="23" t="s">
        <v>4708</v>
      </c>
      <c r="U587" s="23">
        <f>DATEDIF(P587, DATE(2023, 6, 8), "Y")</f>
        <v>25</v>
      </c>
      <c r="V587">
        <f>SUM(C587:K587)</f>
        <v>34.92</v>
      </c>
    </row>
    <row r="588" spans="1:22" ht="15.75">
      <c r="A588" s="28" t="s">
        <v>1174</v>
      </c>
      <c r="B588" s="28" t="s">
        <v>1175</v>
      </c>
      <c r="C588" s="23">
        <v>51.33</v>
      </c>
      <c r="D588" s="23">
        <v>7</v>
      </c>
      <c r="E588" s="23" t="s">
        <v>4682</v>
      </c>
      <c r="F588" s="23" t="s">
        <v>4682</v>
      </c>
      <c r="G588" s="23" t="s">
        <v>4682</v>
      </c>
      <c r="H588" s="23">
        <v>0</v>
      </c>
      <c r="I588" s="23" t="s">
        <v>4682</v>
      </c>
      <c r="J588" s="23" t="s">
        <v>4729</v>
      </c>
      <c r="K588" s="23" t="s">
        <v>4735</v>
      </c>
      <c r="L588">
        <v>1999</v>
      </c>
      <c r="M588" s="15" t="s">
        <v>4702</v>
      </c>
      <c r="N588">
        <v>19</v>
      </c>
      <c r="O588">
        <v>0</v>
      </c>
      <c r="P588" s="21">
        <f>DATEVALUE(N588&amp;"-"&amp;M588&amp;"-"&amp;L588)</f>
        <v>36330</v>
      </c>
      <c r="Q588" s="22">
        <v>5087.92</v>
      </c>
      <c r="R588" s="23" t="s">
        <v>4697</v>
      </c>
      <c r="S588" s="23" t="s">
        <v>4697</v>
      </c>
      <c r="T588" s="23" t="s">
        <v>4720</v>
      </c>
      <c r="U588" s="23">
        <f>DATEDIF(P588, DATE(2023, 6, 8), "Y")</f>
        <v>23</v>
      </c>
      <c r="V588">
        <f>SUM(C588:K588)</f>
        <v>58.33</v>
      </c>
    </row>
    <row r="589" spans="1:22" ht="15.75">
      <c r="A589" s="28" t="s">
        <v>1176</v>
      </c>
      <c r="B589" s="28" t="s">
        <v>1177</v>
      </c>
      <c r="C589" s="23">
        <v>30.59</v>
      </c>
      <c r="D589" s="23">
        <v>5.56</v>
      </c>
      <c r="E589" s="23" t="s">
        <v>4683</v>
      </c>
      <c r="F589" s="23" t="s">
        <v>4682</v>
      </c>
      <c r="G589" s="23" t="s">
        <v>4682</v>
      </c>
      <c r="H589" s="23">
        <v>1</v>
      </c>
      <c r="I589" s="23" t="s">
        <v>4682</v>
      </c>
      <c r="J589" s="23" t="s">
        <v>4729</v>
      </c>
      <c r="K589" s="23" t="s">
        <v>4737</v>
      </c>
      <c r="L589">
        <v>1987</v>
      </c>
      <c r="M589" s="15" t="s">
        <v>4700</v>
      </c>
      <c r="N589">
        <v>18</v>
      </c>
      <c r="O589">
        <v>1</v>
      </c>
      <c r="P589" s="21">
        <f>DATEVALUE(N589&amp;"-"&amp;M589&amp;"-"&amp;L589)</f>
        <v>32099</v>
      </c>
      <c r="Q589" s="22">
        <v>5116.5</v>
      </c>
      <c r="R589" s="23" t="s">
        <v>4697</v>
      </c>
      <c r="S589" s="23" t="s">
        <v>4697</v>
      </c>
      <c r="T589" s="23" t="s">
        <v>4704</v>
      </c>
      <c r="U589" s="23">
        <f>DATEDIF(P589, DATE(2023, 6, 8), "Y")</f>
        <v>35</v>
      </c>
      <c r="V589">
        <f>SUM(C589:K589)</f>
        <v>37.15</v>
      </c>
    </row>
    <row r="590" spans="1:22" ht="15.75">
      <c r="A590" s="28" t="s">
        <v>1178</v>
      </c>
      <c r="B590" s="28" t="s">
        <v>1179</v>
      </c>
      <c r="C590" s="23">
        <v>39.229999999999997</v>
      </c>
      <c r="D590" s="23">
        <v>8.4499999999999993</v>
      </c>
      <c r="E590" s="23" t="s">
        <v>4682</v>
      </c>
      <c r="F590" s="23" t="s">
        <v>4682</v>
      </c>
      <c r="G590" s="23" t="s">
        <v>4682</v>
      </c>
      <c r="H590" s="23">
        <v>0</v>
      </c>
      <c r="I590" s="23" t="s">
        <v>4682</v>
      </c>
      <c r="J590" s="23" t="s">
        <v>4729</v>
      </c>
      <c r="K590" s="23" t="s">
        <v>4735</v>
      </c>
      <c r="L590">
        <v>1988</v>
      </c>
      <c r="M590" s="15" t="s">
        <v>4700</v>
      </c>
      <c r="N590">
        <v>1</v>
      </c>
      <c r="O590">
        <v>2</v>
      </c>
      <c r="P590" s="21">
        <f>DATEVALUE(N590&amp;"-"&amp;M590&amp;"-"&amp;L590)</f>
        <v>32448</v>
      </c>
      <c r="Q590" s="22">
        <v>5124.1899999999996</v>
      </c>
      <c r="R590" s="23" t="s">
        <v>4697</v>
      </c>
      <c r="S590" s="23" t="s">
        <v>4698</v>
      </c>
      <c r="T590" s="23" t="s">
        <v>4699</v>
      </c>
      <c r="U590" s="23">
        <f>DATEDIF(P590, DATE(2023, 6, 8), "Y")</f>
        <v>34</v>
      </c>
      <c r="V590">
        <f>SUM(C590:K590)</f>
        <v>47.679999999999993</v>
      </c>
    </row>
    <row r="591" spans="1:22" ht="15.75">
      <c r="A591" s="28" t="s">
        <v>1180</v>
      </c>
      <c r="B591" s="28" t="s">
        <v>1181</v>
      </c>
      <c r="C591" s="23">
        <v>19.094999999999999</v>
      </c>
      <c r="D591" s="23">
        <v>6.19</v>
      </c>
      <c r="E591" s="23" t="s">
        <v>4682</v>
      </c>
      <c r="F591" s="23" t="s">
        <v>4682</v>
      </c>
      <c r="G591" s="23" t="s">
        <v>4682</v>
      </c>
      <c r="H591" s="23">
        <v>0</v>
      </c>
      <c r="I591" s="23" t="s">
        <v>4683</v>
      </c>
      <c r="J591" s="23" t="s">
        <v>4728</v>
      </c>
      <c r="K591" s="23" t="s">
        <v>4736</v>
      </c>
      <c r="L591">
        <v>1987</v>
      </c>
      <c r="M591" s="15" t="s">
        <v>4703</v>
      </c>
      <c r="N591">
        <v>13</v>
      </c>
      <c r="O591">
        <v>1</v>
      </c>
      <c r="P591" s="21">
        <f>DATEVALUE(N591&amp;"-"&amp;M591&amp;"-"&amp;L591)</f>
        <v>32033</v>
      </c>
      <c r="Q591" s="22">
        <v>5125.22</v>
      </c>
      <c r="R591" s="23" t="s">
        <v>4701</v>
      </c>
      <c r="S591" s="23" t="s">
        <v>4697</v>
      </c>
      <c r="T591" s="23" t="s">
        <v>4704</v>
      </c>
      <c r="U591" s="23">
        <f>DATEDIF(P591, DATE(2023, 6, 8), "Y")</f>
        <v>35</v>
      </c>
      <c r="V591">
        <f>SUM(C591:K591)</f>
        <v>25.285</v>
      </c>
    </row>
    <row r="592" spans="1:22" ht="15.75">
      <c r="A592" s="28" t="s">
        <v>1182</v>
      </c>
      <c r="B592" s="28" t="s">
        <v>1183</v>
      </c>
      <c r="C592" s="23">
        <v>49.72</v>
      </c>
      <c r="D592" s="23">
        <v>7.71</v>
      </c>
      <c r="E592" s="23" t="s">
        <v>4682</v>
      </c>
      <c r="F592" s="23" t="s">
        <v>4682</v>
      </c>
      <c r="G592" s="23" t="s">
        <v>4682</v>
      </c>
      <c r="H592" s="23">
        <v>0</v>
      </c>
      <c r="I592" s="23" t="s">
        <v>4682</v>
      </c>
      <c r="J592" s="23" t="s">
        <v>4729</v>
      </c>
      <c r="K592" s="23" t="s">
        <v>4735</v>
      </c>
      <c r="L592">
        <v>1988</v>
      </c>
      <c r="M592" s="15" t="s">
        <v>4703</v>
      </c>
      <c r="N592">
        <v>15</v>
      </c>
      <c r="O592">
        <v>3</v>
      </c>
      <c r="P592" s="21">
        <f>DATEVALUE(N592&amp;"-"&amp;M592&amp;"-"&amp;L592)</f>
        <v>32401</v>
      </c>
      <c r="Q592" s="22">
        <v>5136.75</v>
      </c>
      <c r="R592" s="23" t="s">
        <v>4697</v>
      </c>
      <c r="S592" s="23" t="s">
        <v>4701</v>
      </c>
      <c r="T592" s="23" t="s">
        <v>4699</v>
      </c>
      <c r="U592" s="23">
        <f>DATEDIF(P592, DATE(2023, 6, 8), "Y")</f>
        <v>34</v>
      </c>
      <c r="V592">
        <f>SUM(C592:K592)</f>
        <v>57.43</v>
      </c>
    </row>
    <row r="593" spans="1:22" ht="15.75">
      <c r="A593" s="28" t="s">
        <v>1184</v>
      </c>
      <c r="B593" s="28" t="s">
        <v>1185</v>
      </c>
      <c r="C593" s="23">
        <v>21.754999999999999</v>
      </c>
      <c r="D593" s="23">
        <v>4.63</v>
      </c>
      <c r="E593" s="23" t="s">
        <v>4682</v>
      </c>
      <c r="F593" s="23" t="s">
        <v>4682</v>
      </c>
      <c r="G593" s="23" t="s">
        <v>4684</v>
      </c>
      <c r="H593" s="23">
        <v>1</v>
      </c>
      <c r="I593" s="23" t="s">
        <v>4683</v>
      </c>
      <c r="J593" s="23" t="s">
        <v>4728</v>
      </c>
      <c r="K593" s="23" t="s">
        <v>4737</v>
      </c>
      <c r="L593">
        <v>1993</v>
      </c>
      <c r="M593" s="15" t="s">
        <v>4705</v>
      </c>
      <c r="N593">
        <v>10</v>
      </c>
      <c r="O593">
        <v>3</v>
      </c>
      <c r="P593" s="21">
        <f>DATEVALUE(N593&amp;"-"&amp;M593&amp;"-"&amp;L593)</f>
        <v>34313</v>
      </c>
      <c r="Q593" s="22">
        <v>5138.26</v>
      </c>
      <c r="R593" s="23" t="s">
        <v>4697</v>
      </c>
      <c r="S593" s="23" t="s">
        <v>4697</v>
      </c>
      <c r="T593" s="23" t="s">
        <v>4699</v>
      </c>
      <c r="U593" s="23">
        <f>DATEDIF(P593, DATE(2023, 6, 8), "Y")</f>
        <v>29</v>
      </c>
      <c r="V593">
        <f>SUM(C593:K593)</f>
        <v>27.384999999999998</v>
      </c>
    </row>
    <row r="594" spans="1:22" ht="15.75">
      <c r="A594" s="28" t="s">
        <v>1186</v>
      </c>
      <c r="B594" s="28" t="s">
        <v>1187</v>
      </c>
      <c r="C594" s="23">
        <v>48.39</v>
      </c>
      <c r="D594" s="23">
        <v>4.6100000000000003</v>
      </c>
      <c r="E594" s="23" t="s">
        <v>4682</v>
      </c>
      <c r="F594" s="23" t="s">
        <v>4682</v>
      </c>
      <c r="G594" s="23" t="s">
        <v>4682</v>
      </c>
      <c r="H594" s="23">
        <v>0</v>
      </c>
      <c r="I594" s="23" t="s">
        <v>4682</v>
      </c>
      <c r="J594" s="23" t="s">
        <v>4729</v>
      </c>
      <c r="K594" s="23" t="s">
        <v>4737</v>
      </c>
      <c r="L594">
        <v>1984</v>
      </c>
      <c r="M594" s="15" t="s">
        <v>4706</v>
      </c>
      <c r="N594">
        <v>22</v>
      </c>
      <c r="O594">
        <v>3</v>
      </c>
      <c r="P594" s="21">
        <f>DATEVALUE(N594&amp;"-"&amp;M594&amp;"-"&amp;L594)</f>
        <v>30916</v>
      </c>
      <c r="Q594" s="22">
        <v>5144.18</v>
      </c>
      <c r="R594" s="23" t="s">
        <v>4697</v>
      </c>
      <c r="S594" s="23" t="s">
        <v>4701</v>
      </c>
      <c r="T594" s="23" t="s">
        <v>4699</v>
      </c>
      <c r="U594" s="23">
        <f>DATEDIF(P594, DATE(2023, 6, 8), "Y")</f>
        <v>38</v>
      </c>
      <c r="V594">
        <f>SUM(C594:K594)</f>
        <v>53</v>
      </c>
    </row>
    <row r="595" spans="1:22" ht="15.75">
      <c r="A595" s="28" t="s">
        <v>1188</v>
      </c>
      <c r="B595" s="28" t="s">
        <v>1189</v>
      </c>
      <c r="C595" s="23">
        <v>47.15</v>
      </c>
      <c r="D595" s="23">
        <v>9.5299999999999994</v>
      </c>
      <c r="E595" s="23" t="s">
        <v>4683</v>
      </c>
      <c r="F595" s="23" t="s">
        <v>4682</v>
      </c>
      <c r="G595" s="23" t="s">
        <v>4682</v>
      </c>
      <c r="H595" s="23">
        <v>1</v>
      </c>
      <c r="I595" s="23" t="s">
        <v>4682</v>
      </c>
      <c r="J595" s="23" t="s">
        <v>4729</v>
      </c>
      <c r="K595" s="23" t="s">
        <v>4735</v>
      </c>
      <c r="L595">
        <v>1990</v>
      </c>
      <c r="M595" s="15" t="s">
        <v>4706</v>
      </c>
      <c r="N595">
        <v>22</v>
      </c>
      <c r="O595">
        <v>1</v>
      </c>
      <c r="P595" s="21">
        <f>DATEVALUE(N595&amp;"-"&amp;M595&amp;"-"&amp;L595)</f>
        <v>33107</v>
      </c>
      <c r="Q595" s="22">
        <v>5148.55</v>
      </c>
      <c r="R595" s="23" t="s">
        <v>4697</v>
      </c>
      <c r="S595" s="23" t="s">
        <v>4697</v>
      </c>
      <c r="T595" s="23" t="s">
        <v>4714</v>
      </c>
      <c r="U595" s="23">
        <f>DATEDIF(P595, DATE(2023, 6, 8), "Y")</f>
        <v>32</v>
      </c>
      <c r="V595">
        <f>SUM(C595:K595)</f>
        <v>57.68</v>
      </c>
    </row>
    <row r="596" spans="1:22" ht="15.75">
      <c r="A596" s="28" t="s">
        <v>1190</v>
      </c>
      <c r="B596" s="28" t="s">
        <v>1191</v>
      </c>
      <c r="C596" s="23">
        <v>47.59</v>
      </c>
      <c r="D596" s="23">
        <v>11.43</v>
      </c>
      <c r="E596" s="23" t="s">
        <v>4683</v>
      </c>
      <c r="F596" s="23" t="s">
        <v>4682</v>
      </c>
      <c r="G596" s="23" t="s">
        <v>4682</v>
      </c>
      <c r="H596" s="23">
        <v>2</v>
      </c>
      <c r="I596" s="23" t="s">
        <v>4682</v>
      </c>
      <c r="J596" s="23" t="s">
        <v>4729</v>
      </c>
      <c r="K596" s="23" t="s">
        <v>4735</v>
      </c>
      <c r="L596">
        <v>1990</v>
      </c>
      <c r="M596" s="15" t="s">
        <v>4707</v>
      </c>
      <c r="N596">
        <v>9</v>
      </c>
      <c r="O596">
        <v>2</v>
      </c>
      <c r="P596" s="21">
        <f>DATEVALUE(N596&amp;"-"&amp;M596&amp;"-"&amp;L596)</f>
        <v>33155</v>
      </c>
      <c r="Q596" s="22">
        <v>5152.13</v>
      </c>
      <c r="R596" s="23" t="s">
        <v>4697</v>
      </c>
      <c r="S596" s="23" t="s">
        <v>4697</v>
      </c>
      <c r="T596" s="23" t="s">
        <v>4708</v>
      </c>
      <c r="U596" s="23">
        <f>DATEDIF(P596, DATE(2023, 6, 8), "Y")</f>
        <v>32</v>
      </c>
      <c r="V596">
        <f>SUM(C596:K596)</f>
        <v>61.02</v>
      </c>
    </row>
    <row r="597" spans="1:22" ht="15.75">
      <c r="A597" s="28" t="s">
        <v>1192</v>
      </c>
      <c r="B597" s="28" t="s">
        <v>1193</v>
      </c>
      <c r="C597" s="23">
        <v>39.81</v>
      </c>
      <c r="D597" s="23">
        <v>7.65</v>
      </c>
      <c r="E597" s="23" t="s">
        <v>4683</v>
      </c>
      <c r="F597" s="23" t="s">
        <v>4682</v>
      </c>
      <c r="G597" s="23" t="s">
        <v>4684</v>
      </c>
      <c r="H597" s="23">
        <v>1</v>
      </c>
      <c r="I597" s="23" t="s">
        <v>4682</v>
      </c>
      <c r="J597" s="23" t="s">
        <v>4729</v>
      </c>
      <c r="K597" s="23" t="s">
        <v>4735</v>
      </c>
      <c r="L597">
        <v>1991</v>
      </c>
      <c r="M597" s="15" t="s">
        <v>4706</v>
      </c>
      <c r="N597">
        <v>29</v>
      </c>
      <c r="O597">
        <v>3</v>
      </c>
      <c r="P597" s="21">
        <f>DATEVALUE(N597&amp;"-"&amp;M597&amp;"-"&amp;L597)</f>
        <v>33479</v>
      </c>
      <c r="Q597" s="22">
        <v>5166.96</v>
      </c>
      <c r="R597" s="23" t="s">
        <v>4697</v>
      </c>
      <c r="S597" s="23" t="s">
        <v>4697</v>
      </c>
      <c r="T597" s="23" t="s">
        <v>4704</v>
      </c>
      <c r="U597" s="23">
        <f>DATEDIF(P597, DATE(2023, 6, 8), "Y")</f>
        <v>31</v>
      </c>
      <c r="V597">
        <f>SUM(C597:K597)</f>
        <v>48.46</v>
      </c>
    </row>
    <row r="598" spans="1:22" ht="15.75">
      <c r="A598" s="28" t="s">
        <v>1194</v>
      </c>
      <c r="B598" s="28" t="s">
        <v>1195</v>
      </c>
      <c r="C598" s="23">
        <v>31.02</v>
      </c>
      <c r="D598" s="23">
        <v>5.87</v>
      </c>
      <c r="E598" s="23" t="s">
        <v>4683</v>
      </c>
      <c r="F598" s="23" t="s">
        <v>4682</v>
      </c>
      <c r="G598" s="23" t="s">
        <v>4682</v>
      </c>
      <c r="H598" s="23">
        <v>0</v>
      </c>
      <c r="I598" s="23" t="s">
        <v>4682</v>
      </c>
      <c r="J598" s="23" t="s">
        <v>4729</v>
      </c>
      <c r="K598" s="23" t="s">
        <v>4736</v>
      </c>
      <c r="L598">
        <v>1984</v>
      </c>
      <c r="M598" s="15" t="s">
        <v>4707</v>
      </c>
      <c r="N598">
        <v>16</v>
      </c>
      <c r="O598">
        <v>3</v>
      </c>
      <c r="P598" s="21">
        <f>DATEVALUE(N598&amp;"-"&amp;M598&amp;"-"&amp;L598)</f>
        <v>30971</v>
      </c>
      <c r="Q598" s="22">
        <v>5177.12</v>
      </c>
      <c r="R598" s="23" t="s">
        <v>4697</v>
      </c>
      <c r="S598" s="23" t="s">
        <v>4701</v>
      </c>
      <c r="T598" s="23" t="s">
        <v>4699</v>
      </c>
      <c r="U598" s="23">
        <f>DATEDIF(P598, DATE(2023, 6, 8), "Y")</f>
        <v>38</v>
      </c>
      <c r="V598">
        <f>SUM(C598:K598)</f>
        <v>36.89</v>
      </c>
    </row>
    <row r="599" spans="1:22" ht="15.75">
      <c r="A599" s="28" t="s">
        <v>1196</v>
      </c>
      <c r="B599" s="28" t="s">
        <v>1197</v>
      </c>
      <c r="C599" s="23">
        <v>24.75</v>
      </c>
      <c r="D599" s="23">
        <v>4.3600000000000003</v>
      </c>
      <c r="E599" s="23" t="s">
        <v>4683</v>
      </c>
      <c r="F599" s="23" t="s">
        <v>4682</v>
      </c>
      <c r="G599" s="23" t="s">
        <v>4682</v>
      </c>
      <c r="H599" s="23">
        <v>1</v>
      </c>
      <c r="I599" s="23" t="s">
        <v>4683</v>
      </c>
      <c r="J599" s="23" t="s">
        <v>4728</v>
      </c>
      <c r="K599" s="23" t="s">
        <v>4737</v>
      </c>
      <c r="L599">
        <v>1979</v>
      </c>
      <c r="M599" s="15" t="s">
        <v>4703</v>
      </c>
      <c r="N599">
        <v>12</v>
      </c>
      <c r="O599">
        <v>2</v>
      </c>
      <c r="P599" s="21">
        <f>DATEVALUE(N599&amp;"-"&amp;M599&amp;"-"&amp;L599)</f>
        <v>29110</v>
      </c>
      <c r="Q599" s="22">
        <v>5195.58</v>
      </c>
      <c r="R599" s="23" t="s">
        <v>4697</v>
      </c>
      <c r="S599" s="23" t="s">
        <v>4697</v>
      </c>
      <c r="T599" s="23" t="s">
        <v>4699</v>
      </c>
      <c r="U599" s="23">
        <f>DATEDIF(P599, DATE(2023, 6, 8), "Y")</f>
        <v>43</v>
      </c>
      <c r="V599">
        <f>SUM(C599:K599)</f>
        <v>30.11</v>
      </c>
    </row>
    <row r="600" spans="1:22" ht="15.75">
      <c r="A600" s="28" t="s">
        <v>1198</v>
      </c>
      <c r="B600" s="28" t="s">
        <v>1199</v>
      </c>
      <c r="C600" s="23">
        <v>30.114999999999998</v>
      </c>
      <c r="D600" s="23">
        <v>10.119999999999999</v>
      </c>
      <c r="E600" s="23" t="s">
        <v>4682</v>
      </c>
      <c r="F600" s="23" t="s">
        <v>4682</v>
      </c>
      <c r="G600" s="23" t="s">
        <v>4682</v>
      </c>
      <c r="H600" s="23">
        <v>3</v>
      </c>
      <c r="I600" s="23" t="s">
        <v>4682</v>
      </c>
      <c r="J600" s="23" t="s">
        <v>4729</v>
      </c>
      <c r="K600" s="23" t="s">
        <v>4735</v>
      </c>
      <c r="L600">
        <v>2004</v>
      </c>
      <c r="M600" s="15" t="s">
        <v>4702</v>
      </c>
      <c r="N600">
        <v>6</v>
      </c>
      <c r="O600">
        <v>0</v>
      </c>
      <c r="P600" s="21">
        <f>DATEVALUE(N600&amp;"-"&amp;M600&amp;"-"&amp;L600)</f>
        <v>38144</v>
      </c>
      <c r="Q600" s="22">
        <v>5198.6899999999996</v>
      </c>
      <c r="R600" s="23" t="s">
        <v>4697</v>
      </c>
      <c r="S600" s="23" t="s">
        <v>4697</v>
      </c>
      <c r="T600" s="23" t="s">
        <v>4721</v>
      </c>
      <c r="U600" s="23">
        <f>DATEDIF(P600, DATE(2023, 6, 8), "Y")</f>
        <v>19</v>
      </c>
      <c r="V600">
        <f>SUM(C600:K600)</f>
        <v>43.234999999999999</v>
      </c>
    </row>
    <row r="601" spans="1:22" ht="15.75">
      <c r="A601" s="28" t="s">
        <v>1200</v>
      </c>
      <c r="B601" s="28" t="s">
        <v>1201</v>
      </c>
      <c r="C601" s="23">
        <v>26.03</v>
      </c>
      <c r="D601" s="23">
        <v>4.01</v>
      </c>
      <c r="E601" s="23" t="s">
        <v>4682</v>
      </c>
      <c r="F601" s="23" t="s">
        <v>4682</v>
      </c>
      <c r="G601" s="23" t="s">
        <v>4684</v>
      </c>
      <c r="H601" s="23">
        <v>1</v>
      </c>
      <c r="I601" s="23" t="s">
        <v>4683</v>
      </c>
      <c r="J601" s="23" t="s">
        <v>4730</v>
      </c>
      <c r="K601" s="23" t="s">
        <v>4737</v>
      </c>
      <c r="L601">
        <v>1983</v>
      </c>
      <c r="M601" s="15" t="s">
        <v>4707</v>
      </c>
      <c r="N601">
        <v>24</v>
      </c>
      <c r="O601">
        <v>3</v>
      </c>
      <c r="P601" s="21">
        <f>DATEVALUE(N601&amp;"-"&amp;M601&amp;"-"&amp;L601)</f>
        <v>30613</v>
      </c>
      <c r="Q601" s="22">
        <v>5207.97</v>
      </c>
      <c r="R601" s="23" t="s">
        <v>4697</v>
      </c>
      <c r="S601" s="23" t="s">
        <v>4697</v>
      </c>
      <c r="T601" s="23" t="s">
        <v>4704</v>
      </c>
      <c r="U601" s="23">
        <f>DATEDIF(P601, DATE(2023, 6, 8), "Y")</f>
        <v>39</v>
      </c>
      <c r="V601">
        <f>SUM(C601:K601)</f>
        <v>31.04</v>
      </c>
    </row>
    <row r="602" spans="1:22" ht="15.75">
      <c r="A602" s="28" t="s">
        <v>1202</v>
      </c>
      <c r="B602" s="28" t="s">
        <v>1203</v>
      </c>
      <c r="C602" s="23">
        <v>20.045000000000002</v>
      </c>
      <c r="D602" s="23">
        <v>4.7699999999999996</v>
      </c>
      <c r="E602" s="23" t="s">
        <v>4683</v>
      </c>
      <c r="F602" s="23" t="s">
        <v>4682</v>
      </c>
      <c r="G602" s="23" t="s">
        <v>4682</v>
      </c>
      <c r="H602" s="23">
        <v>1</v>
      </c>
      <c r="I602" s="23" t="s">
        <v>4683</v>
      </c>
      <c r="J602" s="23" t="s">
        <v>4728</v>
      </c>
      <c r="K602" s="23" t="s">
        <v>4737</v>
      </c>
      <c r="L602">
        <v>1993</v>
      </c>
      <c r="M602" s="15" t="s">
        <v>4702</v>
      </c>
      <c r="N602">
        <v>17</v>
      </c>
      <c r="O602">
        <v>3</v>
      </c>
      <c r="P602" s="21">
        <f>DATEVALUE(N602&amp;"-"&amp;M602&amp;"-"&amp;L602)</f>
        <v>34137</v>
      </c>
      <c r="Q602" s="22">
        <v>5209.58</v>
      </c>
      <c r="R602" s="23" t="s">
        <v>4698</v>
      </c>
      <c r="S602" s="23" t="s">
        <v>4698</v>
      </c>
      <c r="T602" s="23" t="s">
        <v>4718</v>
      </c>
      <c r="U602" s="23">
        <f>DATEDIF(P602, DATE(2023, 6, 8), "Y")</f>
        <v>29</v>
      </c>
      <c r="V602">
        <f>SUM(C602:K602)</f>
        <v>25.815000000000001</v>
      </c>
    </row>
    <row r="603" spans="1:22" ht="15.75">
      <c r="A603" s="28" t="s">
        <v>1204</v>
      </c>
      <c r="B603" s="28" t="s">
        <v>1205</v>
      </c>
      <c r="C603" s="23">
        <v>40.24</v>
      </c>
      <c r="D603" s="23">
        <v>6.83</v>
      </c>
      <c r="E603" s="23" t="s">
        <v>4682</v>
      </c>
      <c r="F603" s="23" t="s">
        <v>4682</v>
      </c>
      <c r="G603" s="23" t="s">
        <v>4682</v>
      </c>
      <c r="H603" s="23">
        <v>0</v>
      </c>
      <c r="I603" s="23" t="s">
        <v>4682</v>
      </c>
      <c r="J603" s="23" t="s">
        <v>4729</v>
      </c>
      <c r="K603" s="23" t="s">
        <v>4735</v>
      </c>
      <c r="L603">
        <v>1999</v>
      </c>
      <c r="M603" s="15" t="s">
        <v>4705</v>
      </c>
      <c r="N603">
        <v>1</v>
      </c>
      <c r="O603">
        <v>0</v>
      </c>
      <c r="P603" s="21">
        <f>DATEVALUE(N603&amp;"-"&amp;M603&amp;"-"&amp;L603)</f>
        <v>36495</v>
      </c>
      <c r="Q603" s="22">
        <v>5213.22</v>
      </c>
      <c r="R603" s="23" t="s">
        <v>4697</v>
      </c>
      <c r="S603" s="23" t="s">
        <v>4701</v>
      </c>
      <c r="T603" s="23" t="s">
        <v>4704</v>
      </c>
      <c r="U603" s="23">
        <f>DATEDIF(P603, DATE(2023, 6, 8), "Y")</f>
        <v>23</v>
      </c>
      <c r="V603">
        <f>SUM(C603:K603)</f>
        <v>47.07</v>
      </c>
    </row>
    <row r="604" spans="1:22" ht="15.75">
      <c r="A604" s="28" t="s">
        <v>1206</v>
      </c>
      <c r="B604" s="28" t="s">
        <v>1207</v>
      </c>
      <c r="C604" s="23">
        <v>43.15</v>
      </c>
      <c r="D604" s="23">
        <v>6.14</v>
      </c>
      <c r="E604" s="23" t="s">
        <v>4683</v>
      </c>
      <c r="F604" s="23" t="s">
        <v>4682</v>
      </c>
      <c r="G604" s="23" t="s">
        <v>4684</v>
      </c>
      <c r="H604" s="23">
        <v>1</v>
      </c>
      <c r="I604" s="23" t="s">
        <v>4682</v>
      </c>
      <c r="J604" s="23" t="s">
        <v>4729</v>
      </c>
      <c r="K604" s="23" t="s">
        <v>4736</v>
      </c>
      <c r="L604">
        <v>1995</v>
      </c>
      <c r="M604" s="15" t="s">
        <v>4702</v>
      </c>
      <c r="N604">
        <v>6</v>
      </c>
      <c r="O604">
        <v>0</v>
      </c>
      <c r="P604" s="21">
        <f>DATEVALUE(N604&amp;"-"&amp;M604&amp;"-"&amp;L604)</f>
        <v>34856</v>
      </c>
      <c r="Q604" s="22">
        <v>5216.4799999999996</v>
      </c>
      <c r="R604" s="23" t="s">
        <v>4697</v>
      </c>
      <c r="S604" s="23" t="s">
        <v>4697</v>
      </c>
      <c r="T604" s="23" t="s">
        <v>4713</v>
      </c>
      <c r="U604" s="23">
        <f>DATEDIF(P604, DATE(2023, 6, 8), "Y")</f>
        <v>28</v>
      </c>
      <c r="V604">
        <f>SUM(C604:K604)</f>
        <v>50.29</v>
      </c>
    </row>
    <row r="605" spans="1:22" ht="15.75">
      <c r="A605" s="28" t="s">
        <v>1208</v>
      </c>
      <c r="B605" s="28" t="s">
        <v>1209</v>
      </c>
      <c r="C605" s="23">
        <v>27.7</v>
      </c>
      <c r="D605" s="23">
        <v>5.6</v>
      </c>
      <c r="E605" s="23" t="s">
        <v>4682</v>
      </c>
      <c r="F605" s="23" t="s">
        <v>4682</v>
      </c>
      <c r="G605" s="23" t="s">
        <v>4684</v>
      </c>
      <c r="H605" s="23">
        <v>1</v>
      </c>
      <c r="I605" s="23" t="s">
        <v>4683</v>
      </c>
      <c r="J605" s="23" t="s">
        <v>4730</v>
      </c>
      <c r="K605" s="23" t="s">
        <v>4737</v>
      </c>
      <c r="L605">
        <v>1987</v>
      </c>
      <c r="M605" s="15" t="s">
        <v>4702</v>
      </c>
      <c r="N605">
        <v>29</v>
      </c>
      <c r="O605">
        <v>0</v>
      </c>
      <c r="P605" s="21">
        <f>DATEVALUE(N605&amp;"-"&amp;M605&amp;"-"&amp;L605)</f>
        <v>31957</v>
      </c>
      <c r="Q605" s="22">
        <v>5227.99</v>
      </c>
      <c r="R605" s="23" t="s">
        <v>4697</v>
      </c>
      <c r="S605" s="23" t="s">
        <v>4701</v>
      </c>
      <c r="T605" s="23" t="s">
        <v>4714</v>
      </c>
      <c r="U605" s="23">
        <f>DATEDIF(P605, DATE(2023, 6, 8), "Y")</f>
        <v>35</v>
      </c>
      <c r="V605">
        <f>SUM(C605:K605)</f>
        <v>34.299999999999997</v>
      </c>
    </row>
    <row r="606" spans="1:22" ht="15.75">
      <c r="A606" s="28" t="s">
        <v>1210</v>
      </c>
      <c r="B606" s="28" t="s">
        <v>1211</v>
      </c>
      <c r="C606" s="23">
        <v>45.68</v>
      </c>
      <c r="D606" s="23">
        <v>4.8</v>
      </c>
      <c r="E606" s="23" t="s">
        <v>4682</v>
      </c>
      <c r="F606" s="23" t="s">
        <v>4682</v>
      </c>
      <c r="G606" s="23" t="s">
        <v>4682</v>
      </c>
      <c r="H606" s="23">
        <v>2</v>
      </c>
      <c r="I606" s="23" t="s">
        <v>4682</v>
      </c>
      <c r="J606" s="23" t="s">
        <v>4729</v>
      </c>
      <c r="K606" s="23" t="s">
        <v>4737</v>
      </c>
      <c r="L606">
        <v>1987</v>
      </c>
      <c r="M606" s="15" t="s">
        <v>4705</v>
      </c>
      <c r="N606">
        <v>26</v>
      </c>
      <c r="O606">
        <v>1</v>
      </c>
      <c r="P606" s="21">
        <f>DATEVALUE(N606&amp;"-"&amp;M606&amp;"-"&amp;L606)</f>
        <v>32137</v>
      </c>
      <c r="Q606" s="22">
        <v>5240.7700000000004</v>
      </c>
      <c r="R606" s="23" t="s">
        <v>4697</v>
      </c>
      <c r="S606" s="23" t="s">
        <v>4697</v>
      </c>
      <c r="T606" s="23" t="s">
        <v>4708</v>
      </c>
      <c r="U606" s="23">
        <f>DATEDIF(P606, DATE(2023, 6, 8), "Y")</f>
        <v>35</v>
      </c>
      <c r="V606">
        <f>SUM(C606:K606)</f>
        <v>52.48</v>
      </c>
    </row>
    <row r="607" spans="1:22" ht="15.75">
      <c r="A607" s="28" t="s">
        <v>1212</v>
      </c>
      <c r="B607" s="28" t="s">
        <v>1213</v>
      </c>
      <c r="C607" s="23">
        <v>27.3</v>
      </c>
      <c r="D607" s="23">
        <v>11.89</v>
      </c>
      <c r="E607" s="23" t="s">
        <v>4682</v>
      </c>
      <c r="F607" s="23" t="s">
        <v>4682</v>
      </c>
      <c r="G607" s="23" t="s">
        <v>4682</v>
      </c>
      <c r="H607" s="23">
        <v>0</v>
      </c>
      <c r="I607" s="23" t="s">
        <v>4683</v>
      </c>
      <c r="J607" s="23" t="s">
        <v>4730</v>
      </c>
      <c r="K607" s="23" t="s">
        <v>4735</v>
      </c>
      <c r="L607">
        <v>1987</v>
      </c>
      <c r="M607" s="15" t="s">
        <v>4696</v>
      </c>
      <c r="N607">
        <v>5</v>
      </c>
      <c r="O607">
        <v>1</v>
      </c>
      <c r="P607" s="21">
        <f>DATEVALUE(N607&amp;"-"&amp;M607&amp;"-"&amp;L607)</f>
        <v>31963</v>
      </c>
      <c r="Q607" s="22">
        <v>5245.23</v>
      </c>
      <c r="R607" s="23" t="s">
        <v>4697</v>
      </c>
      <c r="S607" s="23" t="s">
        <v>4697</v>
      </c>
      <c r="T607" s="23" t="s">
        <v>4699</v>
      </c>
      <c r="U607" s="23">
        <f>DATEDIF(P607, DATE(2023, 6, 8), "Y")</f>
        <v>35</v>
      </c>
      <c r="V607">
        <f>SUM(C607:K607)</f>
        <v>39.19</v>
      </c>
    </row>
    <row r="608" spans="1:22" ht="15.75">
      <c r="A608" s="28" t="s">
        <v>1214</v>
      </c>
      <c r="B608" s="28" t="s">
        <v>1215</v>
      </c>
      <c r="C608" s="23">
        <v>54.45</v>
      </c>
      <c r="D608" s="23">
        <v>4.7300000000000004</v>
      </c>
      <c r="E608" s="23" t="s">
        <v>4683</v>
      </c>
      <c r="F608" s="23" t="s">
        <v>4682</v>
      </c>
      <c r="G608" s="23" t="s">
        <v>4682</v>
      </c>
      <c r="H608" s="23">
        <v>1</v>
      </c>
      <c r="I608" s="23" t="s">
        <v>4682</v>
      </c>
      <c r="J608" s="23" t="s">
        <v>4729</v>
      </c>
      <c r="K608" s="23" t="s">
        <v>4737</v>
      </c>
      <c r="L608">
        <v>1987</v>
      </c>
      <c r="M608" s="15" t="s">
        <v>4703</v>
      </c>
      <c r="N608">
        <v>9</v>
      </c>
      <c r="O608">
        <v>1</v>
      </c>
      <c r="P608" s="21">
        <f>DATEVALUE(N608&amp;"-"&amp;M608&amp;"-"&amp;L608)</f>
        <v>32029</v>
      </c>
      <c r="Q608" s="22">
        <v>5246.05</v>
      </c>
      <c r="R608" s="23" t="s">
        <v>4697</v>
      </c>
      <c r="S608" s="23" t="s">
        <v>4698</v>
      </c>
      <c r="T608" s="23" t="s">
        <v>4708</v>
      </c>
      <c r="U608" s="23">
        <f>DATEDIF(P608, DATE(2023, 6, 8), "Y")</f>
        <v>35</v>
      </c>
      <c r="V608">
        <f>SUM(C608:K608)</f>
        <v>60.180000000000007</v>
      </c>
    </row>
    <row r="609" spans="1:22" ht="15.75">
      <c r="A609" s="28" t="s">
        <v>1216</v>
      </c>
      <c r="B609" s="28" t="s">
        <v>1217</v>
      </c>
      <c r="C609" s="23">
        <v>54.43</v>
      </c>
      <c r="D609" s="23">
        <v>4.6100000000000003</v>
      </c>
      <c r="E609" s="23" t="s">
        <v>4683</v>
      </c>
      <c r="F609" s="23" t="s">
        <v>4682</v>
      </c>
      <c r="G609" s="23" t="s">
        <v>4682</v>
      </c>
      <c r="H609" s="23">
        <v>1</v>
      </c>
      <c r="I609" s="23" t="s">
        <v>4682</v>
      </c>
      <c r="J609" s="23" t="s">
        <v>4729</v>
      </c>
      <c r="K609" s="23" t="s">
        <v>4737</v>
      </c>
      <c r="L609">
        <v>1990</v>
      </c>
      <c r="M609" s="15" t="s">
        <v>4696</v>
      </c>
      <c r="N609">
        <v>6</v>
      </c>
      <c r="O609">
        <v>3</v>
      </c>
      <c r="P609" s="21">
        <f>DATEVALUE(N609&amp;"-"&amp;M609&amp;"-"&amp;L609)</f>
        <v>33060</v>
      </c>
      <c r="Q609" s="22">
        <v>5253.52</v>
      </c>
      <c r="R609" s="23" t="s">
        <v>4698</v>
      </c>
      <c r="S609" s="23" t="s">
        <v>4698</v>
      </c>
      <c r="T609" s="23" t="s">
        <v>4708</v>
      </c>
      <c r="U609" s="23">
        <f>DATEDIF(P609, DATE(2023, 6, 8), "Y")</f>
        <v>32</v>
      </c>
      <c r="V609">
        <f>SUM(C609:K609)</f>
        <v>60.04</v>
      </c>
    </row>
    <row r="610" spans="1:22" ht="15.75">
      <c r="A610" s="28" t="s">
        <v>1218</v>
      </c>
      <c r="B610" s="28" t="s">
        <v>1219</v>
      </c>
      <c r="C610" s="23">
        <v>48.01</v>
      </c>
      <c r="D610" s="23">
        <v>7.3</v>
      </c>
      <c r="E610" s="23" t="s">
        <v>4682</v>
      </c>
      <c r="F610" s="23" t="s">
        <v>4682</v>
      </c>
      <c r="G610" s="23" t="s">
        <v>4682</v>
      </c>
      <c r="H610" s="23">
        <v>0</v>
      </c>
      <c r="I610" s="23" t="s">
        <v>4682</v>
      </c>
      <c r="J610" s="23" t="s">
        <v>4729</v>
      </c>
      <c r="K610" s="23" t="s">
        <v>4735</v>
      </c>
      <c r="L610">
        <v>1989</v>
      </c>
      <c r="M610" s="15" t="s">
        <v>4700</v>
      </c>
      <c r="N610">
        <v>25</v>
      </c>
      <c r="O610">
        <v>2</v>
      </c>
      <c r="P610" s="21">
        <f>DATEVALUE(N610&amp;"-"&amp;M610&amp;"-"&amp;L610)</f>
        <v>32837</v>
      </c>
      <c r="Q610" s="22">
        <v>5257.51</v>
      </c>
      <c r="R610" s="23" t="s">
        <v>4697</v>
      </c>
      <c r="S610" s="23" t="s">
        <v>4697</v>
      </c>
      <c r="T610" s="23" t="s">
        <v>4704</v>
      </c>
      <c r="U610" s="23">
        <f>DATEDIF(P610, DATE(2023, 6, 8), "Y")</f>
        <v>33</v>
      </c>
      <c r="V610">
        <f>SUM(C610:K610)</f>
        <v>55.309999999999995</v>
      </c>
    </row>
    <row r="611" spans="1:22" ht="15.75">
      <c r="A611" s="28" t="s">
        <v>1220</v>
      </c>
      <c r="B611" s="28" t="s">
        <v>1221</v>
      </c>
      <c r="C611" s="23">
        <v>48.32</v>
      </c>
      <c r="D611" s="23">
        <v>5.88</v>
      </c>
      <c r="E611" s="23" t="s">
        <v>4682</v>
      </c>
      <c r="F611" s="23" t="s">
        <v>4682</v>
      </c>
      <c r="G611" s="23" t="s">
        <v>4682</v>
      </c>
      <c r="H611" s="23">
        <v>0</v>
      </c>
      <c r="I611" s="23" t="s">
        <v>4682</v>
      </c>
      <c r="J611" s="23" t="s">
        <v>4729</v>
      </c>
      <c r="K611" s="23" t="s">
        <v>4736</v>
      </c>
      <c r="L611">
        <v>1989</v>
      </c>
      <c r="M611" s="15" t="s">
        <v>4696</v>
      </c>
      <c r="N611">
        <v>19</v>
      </c>
      <c r="O611">
        <v>2</v>
      </c>
      <c r="P611" s="21">
        <f>DATEVALUE(N611&amp;"-"&amp;M611&amp;"-"&amp;L611)</f>
        <v>32708</v>
      </c>
      <c r="Q611" s="22">
        <v>5261.47</v>
      </c>
      <c r="R611" s="23" t="s">
        <v>4697</v>
      </c>
      <c r="S611" s="23" t="s">
        <v>4697</v>
      </c>
      <c r="T611" s="23" t="s">
        <v>4704</v>
      </c>
      <c r="U611" s="23">
        <f>DATEDIF(P611, DATE(2023, 6, 8), "Y")</f>
        <v>33</v>
      </c>
      <c r="V611">
        <f>SUM(C611:K611)</f>
        <v>54.2</v>
      </c>
    </row>
    <row r="612" spans="1:22" ht="15.75">
      <c r="A612" s="28" t="s">
        <v>1222</v>
      </c>
      <c r="B612" s="28" t="s">
        <v>1223</v>
      </c>
      <c r="C612" s="23">
        <v>22.895</v>
      </c>
      <c r="D612" s="23">
        <v>4.0599999999999996</v>
      </c>
      <c r="E612" s="23" t="s">
        <v>4682</v>
      </c>
      <c r="F612" s="23" t="s">
        <v>4682</v>
      </c>
      <c r="G612" s="23" t="s">
        <v>4684</v>
      </c>
      <c r="H612" s="23">
        <v>1</v>
      </c>
      <c r="I612" s="23" t="s">
        <v>4683</v>
      </c>
      <c r="J612" s="23" t="s">
        <v>4728</v>
      </c>
      <c r="K612" s="23" t="s">
        <v>4737</v>
      </c>
      <c r="L612">
        <v>1986</v>
      </c>
      <c r="M612" s="15" t="s">
        <v>4707</v>
      </c>
      <c r="N612">
        <v>25</v>
      </c>
      <c r="O612">
        <v>0</v>
      </c>
      <c r="P612" s="21">
        <f>DATEVALUE(N612&amp;"-"&amp;M612&amp;"-"&amp;L612)</f>
        <v>31710</v>
      </c>
      <c r="Q612" s="22">
        <v>5266.37</v>
      </c>
      <c r="R612" s="23" t="s">
        <v>4697</v>
      </c>
      <c r="S612" s="23" t="s">
        <v>4697</v>
      </c>
      <c r="T612" s="23" t="s">
        <v>4704</v>
      </c>
      <c r="U612" s="23">
        <f>DATEDIF(P612, DATE(2023, 6, 8), "Y")</f>
        <v>36</v>
      </c>
      <c r="V612">
        <f>SUM(C612:K612)</f>
        <v>27.954999999999998</v>
      </c>
    </row>
    <row r="613" spans="1:22" ht="15.75">
      <c r="A613" s="28" t="s">
        <v>1224</v>
      </c>
      <c r="B613" s="28" t="s">
        <v>1225</v>
      </c>
      <c r="C613" s="23">
        <v>54.85</v>
      </c>
      <c r="D613" s="23">
        <v>4.9000000000000004</v>
      </c>
      <c r="E613" s="23" t="s">
        <v>4682</v>
      </c>
      <c r="F613" s="23" t="s">
        <v>4682</v>
      </c>
      <c r="G613" s="23" t="s">
        <v>4682</v>
      </c>
      <c r="H613" s="23">
        <v>1</v>
      </c>
      <c r="I613" s="23" t="s">
        <v>4682</v>
      </c>
      <c r="J613" s="23" t="s">
        <v>4729</v>
      </c>
      <c r="K613" s="23" t="s">
        <v>4737</v>
      </c>
      <c r="L613">
        <v>1986</v>
      </c>
      <c r="M613" s="15" t="s">
        <v>4703</v>
      </c>
      <c r="N613">
        <v>20</v>
      </c>
      <c r="O613">
        <v>0</v>
      </c>
      <c r="P613" s="21">
        <f>DATEVALUE(N613&amp;"-"&amp;M613&amp;"-"&amp;L613)</f>
        <v>31675</v>
      </c>
      <c r="Q613" s="22">
        <v>5267.82</v>
      </c>
      <c r="R613" s="23" t="s">
        <v>4697</v>
      </c>
      <c r="S613" s="23" t="s">
        <v>4697</v>
      </c>
      <c r="T613" s="23" t="s">
        <v>4704</v>
      </c>
      <c r="U613" s="23">
        <f>DATEDIF(P613, DATE(2023, 6, 8), "Y")</f>
        <v>36</v>
      </c>
      <c r="V613">
        <f>SUM(C613:K613)</f>
        <v>60.75</v>
      </c>
    </row>
    <row r="614" spans="1:22" ht="15.75">
      <c r="A614" s="28" t="s">
        <v>1226</v>
      </c>
      <c r="B614" s="28" t="s">
        <v>1227</v>
      </c>
      <c r="C614" s="23">
        <v>21.85</v>
      </c>
      <c r="D614" s="23">
        <v>5.52</v>
      </c>
      <c r="E614" s="23" t="s">
        <v>4682</v>
      </c>
      <c r="F614" s="23" t="s">
        <v>4682</v>
      </c>
      <c r="G614" s="23" t="s">
        <v>4684</v>
      </c>
      <c r="H614" s="23">
        <v>1</v>
      </c>
      <c r="I614" s="23" t="s">
        <v>4683</v>
      </c>
      <c r="J614" s="23" t="s">
        <v>4728</v>
      </c>
      <c r="K614" s="23" t="s">
        <v>4737</v>
      </c>
      <c r="L614">
        <v>1986</v>
      </c>
      <c r="M614" s="15" t="s">
        <v>4707</v>
      </c>
      <c r="N614">
        <v>20</v>
      </c>
      <c r="O614">
        <v>0</v>
      </c>
      <c r="P614" s="21">
        <f>DATEVALUE(N614&amp;"-"&amp;M614&amp;"-"&amp;L614)</f>
        <v>31705</v>
      </c>
      <c r="Q614" s="22">
        <v>5272.18</v>
      </c>
      <c r="R614" s="23" t="s">
        <v>4697</v>
      </c>
      <c r="S614" s="23" t="s">
        <v>4698</v>
      </c>
      <c r="T614" s="23" t="s">
        <v>4704</v>
      </c>
      <c r="U614" s="23">
        <f>DATEDIF(P614, DATE(2023, 6, 8), "Y")</f>
        <v>36</v>
      </c>
      <c r="V614">
        <f>SUM(C614:K614)</f>
        <v>28.37</v>
      </c>
    </row>
    <row r="615" spans="1:22" ht="15.75">
      <c r="A615" s="28" t="s">
        <v>1228</v>
      </c>
      <c r="B615" s="28" t="s">
        <v>1229</v>
      </c>
      <c r="C615" s="23">
        <v>51.86</v>
      </c>
      <c r="D615" s="23">
        <v>5.2</v>
      </c>
      <c r="E615" s="23" t="s">
        <v>4683</v>
      </c>
      <c r="F615" s="23" t="s">
        <v>4682</v>
      </c>
      <c r="G615" s="23" t="s">
        <v>4682</v>
      </c>
      <c r="H615" s="23">
        <v>0</v>
      </c>
      <c r="I615" s="23" t="s">
        <v>4682</v>
      </c>
      <c r="J615" s="23" t="s">
        <v>4729</v>
      </c>
      <c r="K615" s="23" t="s">
        <v>4737</v>
      </c>
      <c r="L615">
        <v>1987</v>
      </c>
      <c r="M615" s="15" t="s">
        <v>4703</v>
      </c>
      <c r="N615">
        <v>1</v>
      </c>
      <c r="O615">
        <v>3</v>
      </c>
      <c r="P615" s="21">
        <f>DATEVALUE(N615&amp;"-"&amp;M615&amp;"-"&amp;L615)</f>
        <v>32021</v>
      </c>
      <c r="Q615" s="22">
        <v>5275.86</v>
      </c>
      <c r="R615" s="23" t="s">
        <v>4697</v>
      </c>
      <c r="S615" s="23" t="s">
        <v>4697</v>
      </c>
      <c r="T615" s="23" t="s">
        <v>4699</v>
      </c>
      <c r="U615" s="23">
        <f>DATEDIF(P615, DATE(2023, 6, 8), "Y")</f>
        <v>35</v>
      </c>
      <c r="V615">
        <f>SUM(C615:K615)</f>
        <v>57.06</v>
      </c>
    </row>
    <row r="616" spans="1:22" ht="15.75">
      <c r="A616" s="28" t="s">
        <v>1230</v>
      </c>
      <c r="B616" s="28" t="s">
        <v>1231</v>
      </c>
      <c r="C616" s="23">
        <v>39.049999999999997</v>
      </c>
      <c r="D616" s="23">
        <v>7.59</v>
      </c>
      <c r="E616" s="23" t="s">
        <v>4682</v>
      </c>
      <c r="F616" s="23" t="s">
        <v>4682</v>
      </c>
      <c r="G616" s="23" t="s">
        <v>4682</v>
      </c>
      <c r="H616" s="23">
        <v>3</v>
      </c>
      <c r="I616" s="23" t="s">
        <v>4682</v>
      </c>
      <c r="J616" s="23" t="s">
        <v>4729</v>
      </c>
      <c r="K616" s="23" t="s">
        <v>4735</v>
      </c>
      <c r="L616">
        <v>1974</v>
      </c>
      <c r="M616" s="15" t="s">
        <v>4700</v>
      </c>
      <c r="N616">
        <v>12</v>
      </c>
      <c r="O616">
        <v>0</v>
      </c>
      <c r="P616" s="21">
        <f>DATEVALUE(N616&amp;"-"&amp;M616&amp;"-"&amp;L616)</f>
        <v>27345</v>
      </c>
      <c r="Q616" s="22">
        <v>5291.71</v>
      </c>
      <c r="R616" s="23" t="s">
        <v>4697</v>
      </c>
      <c r="S616" s="23" t="s">
        <v>4697</v>
      </c>
      <c r="T616" s="23" t="s">
        <v>4704</v>
      </c>
      <c r="U616" s="23">
        <f>DATEDIF(P616, DATE(2023, 6, 8), "Y")</f>
        <v>48</v>
      </c>
      <c r="V616">
        <f>SUM(C616:K616)</f>
        <v>49.64</v>
      </c>
    </row>
    <row r="617" spans="1:22" ht="15.75">
      <c r="A617" s="28" t="s">
        <v>1232</v>
      </c>
      <c r="B617" s="28" t="s">
        <v>1233</v>
      </c>
      <c r="C617" s="23">
        <v>31.824999999999999</v>
      </c>
      <c r="D617" s="23">
        <v>8.2799999999999994</v>
      </c>
      <c r="E617" s="23" t="s">
        <v>4682</v>
      </c>
      <c r="F617" s="23" t="s">
        <v>4682</v>
      </c>
      <c r="G617" s="23" t="s">
        <v>4682</v>
      </c>
      <c r="H617" s="23">
        <v>3</v>
      </c>
      <c r="I617" s="23" t="s">
        <v>4682</v>
      </c>
      <c r="J617" s="23" t="s">
        <v>4729</v>
      </c>
      <c r="K617" s="23" t="s">
        <v>4735</v>
      </c>
      <c r="L617">
        <v>2004</v>
      </c>
      <c r="M617" s="15" t="s">
        <v>4706</v>
      </c>
      <c r="N617">
        <v>22</v>
      </c>
      <c r="O617">
        <v>0</v>
      </c>
      <c r="P617" s="21">
        <f>DATEVALUE(N617&amp;"-"&amp;M617&amp;"-"&amp;L617)</f>
        <v>38221</v>
      </c>
      <c r="Q617" s="22">
        <v>5293.67</v>
      </c>
      <c r="R617" s="23" t="s">
        <v>4697</v>
      </c>
      <c r="S617" s="23" t="s">
        <v>4697</v>
      </c>
      <c r="T617" s="23" t="s">
        <v>4721</v>
      </c>
      <c r="U617" s="23">
        <f>DATEDIF(P617, DATE(2023, 6, 8), "Y")</f>
        <v>18</v>
      </c>
      <c r="V617">
        <f>SUM(C617:K617)</f>
        <v>43.104999999999997</v>
      </c>
    </row>
    <row r="618" spans="1:22" ht="15.75">
      <c r="A618" s="28" t="s">
        <v>1234</v>
      </c>
      <c r="B618" s="28" t="s">
        <v>1235</v>
      </c>
      <c r="C618" s="23">
        <v>46.43</v>
      </c>
      <c r="D618" s="23">
        <v>6.72</v>
      </c>
      <c r="E618" s="23" t="s">
        <v>4682</v>
      </c>
      <c r="F618" s="23" t="s">
        <v>4682</v>
      </c>
      <c r="G618" s="23" t="s">
        <v>4682</v>
      </c>
      <c r="H618" s="23">
        <v>0</v>
      </c>
      <c r="I618" s="23" t="s">
        <v>4682</v>
      </c>
      <c r="J618" s="23" t="s">
        <v>4729</v>
      </c>
      <c r="K618" s="23" t="s">
        <v>4735</v>
      </c>
      <c r="L618">
        <v>2000</v>
      </c>
      <c r="M618" s="15" t="s">
        <v>4703</v>
      </c>
      <c r="N618">
        <v>9</v>
      </c>
      <c r="O618">
        <v>0</v>
      </c>
      <c r="P618" s="21">
        <f>DATEVALUE(N618&amp;"-"&amp;M618&amp;"-"&amp;L618)</f>
        <v>36778</v>
      </c>
      <c r="Q618" s="22">
        <v>5306.7</v>
      </c>
      <c r="R618" s="23" t="s">
        <v>4697</v>
      </c>
      <c r="S618" s="23" t="s">
        <v>4698</v>
      </c>
      <c r="T618" s="23" t="s">
        <v>4704</v>
      </c>
      <c r="U618" s="23">
        <f>DATEDIF(P618, DATE(2023, 6, 8), "Y")</f>
        <v>22</v>
      </c>
      <c r="V618">
        <f>SUM(C618:K618)</f>
        <v>53.15</v>
      </c>
    </row>
    <row r="619" spans="1:22" ht="15.75">
      <c r="A619" s="28" t="s">
        <v>1236</v>
      </c>
      <c r="B619" s="28" t="s">
        <v>1237</v>
      </c>
      <c r="C619" s="23">
        <v>53.63</v>
      </c>
      <c r="D619" s="23">
        <v>5.47</v>
      </c>
      <c r="E619" s="23" t="s">
        <v>4683</v>
      </c>
      <c r="F619" s="23" t="s">
        <v>4682</v>
      </c>
      <c r="G619" s="23" t="s">
        <v>4682</v>
      </c>
      <c r="H619" s="23">
        <v>1</v>
      </c>
      <c r="I619" s="23" t="s">
        <v>4682</v>
      </c>
      <c r="J619" s="23" t="s">
        <v>4729</v>
      </c>
      <c r="K619" s="23" t="s">
        <v>4737</v>
      </c>
      <c r="L619">
        <v>1994</v>
      </c>
      <c r="M619" s="15" t="s">
        <v>4700</v>
      </c>
      <c r="N619">
        <v>13</v>
      </c>
      <c r="O619">
        <v>3</v>
      </c>
      <c r="P619" s="21">
        <f>DATEVALUE(N619&amp;"-"&amp;M619&amp;"-"&amp;L619)</f>
        <v>34651</v>
      </c>
      <c r="Q619" s="22">
        <v>5312.17</v>
      </c>
      <c r="R619" s="23" t="s">
        <v>4697</v>
      </c>
      <c r="S619" s="23" t="s">
        <v>4697</v>
      </c>
      <c r="T619" s="23" t="s">
        <v>4704</v>
      </c>
      <c r="U619" s="23">
        <f>DATEDIF(P619, DATE(2023, 6, 8), "Y")</f>
        <v>28</v>
      </c>
      <c r="V619">
        <f>SUM(C619:K619)</f>
        <v>60.1</v>
      </c>
    </row>
    <row r="620" spans="1:22" ht="15.75">
      <c r="A620" s="28" t="s">
        <v>1238</v>
      </c>
      <c r="B620" s="28" t="s">
        <v>1239</v>
      </c>
      <c r="C620" s="23">
        <v>48.7</v>
      </c>
      <c r="D620" s="23">
        <v>4.71</v>
      </c>
      <c r="E620" s="23" t="s">
        <v>4682</v>
      </c>
      <c r="F620" s="23" t="s">
        <v>4682</v>
      </c>
      <c r="G620" s="23" t="s">
        <v>4682</v>
      </c>
      <c r="H620" s="23">
        <v>0</v>
      </c>
      <c r="I620" s="23" t="s">
        <v>4682</v>
      </c>
      <c r="J620" s="23" t="s">
        <v>4729</v>
      </c>
      <c r="K620" s="23" t="s">
        <v>4737</v>
      </c>
      <c r="L620">
        <v>1974</v>
      </c>
      <c r="M620" s="15" t="s">
        <v>4703</v>
      </c>
      <c r="N620">
        <v>2</v>
      </c>
      <c r="O620">
        <v>0</v>
      </c>
      <c r="P620" s="21">
        <f>DATEVALUE(N620&amp;"-"&amp;M620&amp;"-"&amp;L620)</f>
        <v>27274</v>
      </c>
      <c r="Q620" s="22">
        <v>5322.24</v>
      </c>
      <c r="R620" s="23" t="s">
        <v>4697</v>
      </c>
      <c r="S620" s="23" t="s">
        <v>4701</v>
      </c>
      <c r="T620" s="23" t="s">
        <v>4704</v>
      </c>
      <c r="U620" s="23">
        <f>DATEDIF(P620, DATE(2023, 6, 8), "Y")</f>
        <v>48</v>
      </c>
      <c r="V620">
        <f>SUM(C620:K620)</f>
        <v>53.410000000000004</v>
      </c>
    </row>
    <row r="621" spans="1:22" ht="15.75">
      <c r="A621" s="28" t="s">
        <v>1240</v>
      </c>
      <c r="B621" s="28" t="s">
        <v>1241</v>
      </c>
      <c r="C621" s="23">
        <v>48.81</v>
      </c>
      <c r="D621" s="23">
        <v>5.49</v>
      </c>
      <c r="E621" s="23" t="s">
        <v>4682</v>
      </c>
      <c r="F621" s="23" t="s">
        <v>4682</v>
      </c>
      <c r="G621" s="23" t="s">
        <v>4682</v>
      </c>
      <c r="H621" s="23">
        <v>0</v>
      </c>
      <c r="I621" s="23" t="s">
        <v>4682</v>
      </c>
      <c r="J621" s="23" t="s">
        <v>4729</v>
      </c>
      <c r="K621" s="23" t="s">
        <v>4737</v>
      </c>
      <c r="L621">
        <v>1992</v>
      </c>
      <c r="M621" s="15" t="s">
        <v>4702</v>
      </c>
      <c r="N621">
        <v>18</v>
      </c>
      <c r="O621">
        <v>3</v>
      </c>
      <c r="P621" s="21">
        <f>DATEVALUE(N621&amp;"-"&amp;M621&amp;"-"&amp;L621)</f>
        <v>33773</v>
      </c>
      <c r="Q621" s="22">
        <v>5325.65</v>
      </c>
      <c r="R621" s="23" t="s">
        <v>4697</v>
      </c>
      <c r="S621" s="23" t="s">
        <v>4701</v>
      </c>
      <c r="T621" s="23" t="s">
        <v>4708</v>
      </c>
      <c r="U621" s="23">
        <f>DATEDIF(P621, DATE(2023, 6, 8), "Y")</f>
        <v>30</v>
      </c>
      <c r="V621">
        <f>SUM(C621:K621)</f>
        <v>54.300000000000004</v>
      </c>
    </row>
    <row r="622" spans="1:22" ht="15.75">
      <c r="A622" s="28" t="s">
        <v>1242</v>
      </c>
      <c r="B622" s="28" t="s">
        <v>1243</v>
      </c>
      <c r="C622" s="23">
        <v>47.53</v>
      </c>
      <c r="D622" s="23">
        <v>4.72</v>
      </c>
      <c r="E622" s="23" t="s">
        <v>4682</v>
      </c>
      <c r="F622" s="23" t="s">
        <v>4682</v>
      </c>
      <c r="G622" s="23" t="s">
        <v>4682</v>
      </c>
      <c r="H622" s="23">
        <v>0</v>
      </c>
      <c r="I622" s="23" t="s">
        <v>4682</v>
      </c>
      <c r="J622" s="23" t="s">
        <v>4729</v>
      </c>
      <c r="K622" s="23" t="s">
        <v>4737</v>
      </c>
      <c r="L622">
        <v>1991</v>
      </c>
      <c r="M622" s="15" t="s">
        <v>4706</v>
      </c>
      <c r="N622">
        <v>28</v>
      </c>
      <c r="O622">
        <v>2</v>
      </c>
      <c r="P622" s="21">
        <f>DATEVALUE(N622&amp;"-"&amp;M622&amp;"-"&amp;L622)</f>
        <v>33478</v>
      </c>
      <c r="Q622" s="22">
        <v>5327.4</v>
      </c>
      <c r="R622" s="23" t="s">
        <v>4697</v>
      </c>
      <c r="S622" s="23" t="s">
        <v>4701</v>
      </c>
      <c r="T622" s="23" t="s">
        <v>4704</v>
      </c>
      <c r="U622" s="23">
        <f>DATEDIF(P622, DATE(2023, 6, 8), "Y")</f>
        <v>31</v>
      </c>
      <c r="V622">
        <f>SUM(C622:K622)</f>
        <v>52.25</v>
      </c>
    </row>
    <row r="623" spans="1:22" ht="15.75">
      <c r="A623" s="28" t="s">
        <v>1244</v>
      </c>
      <c r="B623" s="28" t="s">
        <v>1245</v>
      </c>
      <c r="C623" s="23">
        <v>36.85</v>
      </c>
      <c r="D623" s="23">
        <v>6.7</v>
      </c>
      <c r="E623" s="23" t="s">
        <v>4682</v>
      </c>
      <c r="F623" s="23" t="s">
        <v>4682</v>
      </c>
      <c r="G623" s="23" t="s">
        <v>4682</v>
      </c>
      <c r="H623" s="23">
        <v>0</v>
      </c>
      <c r="I623" s="23" t="s">
        <v>4682</v>
      </c>
      <c r="J623" s="23" t="s">
        <v>4729</v>
      </c>
      <c r="K623" s="23" t="s">
        <v>4735</v>
      </c>
      <c r="L623">
        <v>1972</v>
      </c>
      <c r="M623" s="15" t="s">
        <v>4705</v>
      </c>
      <c r="N623">
        <v>15</v>
      </c>
      <c r="O623">
        <v>0</v>
      </c>
      <c r="P623" s="21">
        <f>DATEVALUE(N623&amp;"-"&amp;M623&amp;"-"&amp;L623)</f>
        <v>26648</v>
      </c>
      <c r="Q623" s="22">
        <v>5344.81</v>
      </c>
      <c r="R623" s="23" t="s">
        <v>4697</v>
      </c>
      <c r="S623" s="23" t="s">
        <v>4698</v>
      </c>
      <c r="T623" s="23" t="s">
        <v>4699</v>
      </c>
      <c r="U623" s="23">
        <f>DATEDIF(P623, DATE(2023, 6, 8), "Y")</f>
        <v>50</v>
      </c>
      <c r="V623">
        <f>SUM(C623:K623)</f>
        <v>43.550000000000004</v>
      </c>
    </row>
    <row r="624" spans="1:22" ht="15.75">
      <c r="A624" s="28" t="s">
        <v>1246</v>
      </c>
      <c r="B624" s="28" t="s">
        <v>1247</v>
      </c>
      <c r="C624" s="23">
        <v>29.3</v>
      </c>
      <c r="D624" s="23">
        <v>5.5</v>
      </c>
      <c r="E624" s="23" t="s">
        <v>4682</v>
      </c>
      <c r="F624" s="23" t="s">
        <v>4682</v>
      </c>
      <c r="G624" s="23" t="s">
        <v>4682</v>
      </c>
      <c r="H624" s="23">
        <v>0</v>
      </c>
      <c r="I624" s="23" t="s">
        <v>4682</v>
      </c>
      <c r="J624" s="23" t="s">
        <v>4730</v>
      </c>
      <c r="K624" s="23" t="s">
        <v>4737</v>
      </c>
      <c r="L624">
        <v>1989</v>
      </c>
      <c r="M624" s="15" t="s">
        <v>4700</v>
      </c>
      <c r="N624">
        <v>7</v>
      </c>
      <c r="O624">
        <v>1</v>
      </c>
      <c r="P624" s="21">
        <f>DATEVALUE(N624&amp;"-"&amp;M624&amp;"-"&amp;L624)</f>
        <v>32819</v>
      </c>
      <c r="Q624" s="22">
        <v>5354.07</v>
      </c>
      <c r="R624" s="23" t="s">
        <v>4697</v>
      </c>
      <c r="S624" s="23" t="s">
        <v>4698</v>
      </c>
      <c r="T624" s="23" t="s">
        <v>4714</v>
      </c>
      <c r="U624" s="23">
        <f>DATEDIF(P624, DATE(2023, 6, 8), "Y")</f>
        <v>33</v>
      </c>
      <c r="V624">
        <f>SUM(C624:K624)</f>
        <v>34.799999999999997</v>
      </c>
    </row>
    <row r="625" spans="1:22" ht="15.75">
      <c r="A625" s="28" t="s">
        <v>1248</v>
      </c>
      <c r="B625" s="28" t="s">
        <v>1249</v>
      </c>
      <c r="C625" s="23">
        <v>19.3</v>
      </c>
      <c r="D625" s="23">
        <v>4.46</v>
      </c>
      <c r="E625" s="23" t="s">
        <v>4682</v>
      </c>
      <c r="F625" s="23" t="s">
        <v>4682</v>
      </c>
      <c r="G625" s="23" t="s">
        <v>4682</v>
      </c>
      <c r="H625" s="23">
        <v>1</v>
      </c>
      <c r="I625" s="23" t="s">
        <v>4683</v>
      </c>
      <c r="J625" s="23" t="s">
        <v>4728</v>
      </c>
      <c r="K625" s="23" t="s">
        <v>4737</v>
      </c>
      <c r="L625">
        <v>1994</v>
      </c>
      <c r="M625" s="15" t="s">
        <v>4705</v>
      </c>
      <c r="N625">
        <v>7</v>
      </c>
      <c r="O625">
        <v>0</v>
      </c>
      <c r="P625" s="21">
        <f>DATEVALUE(N625&amp;"-"&amp;M625&amp;"-"&amp;L625)</f>
        <v>34675</v>
      </c>
      <c r="Q625" s="22">
        <v>5364.66</v>
      </c>
      <c r="R625" s="23" t="s">
        <v>4697</v>
      </c>
      <c r="S625" s="23" t="s">
        <v>4701</v>
      </c>
      <c r="T625" s="23" t="s">
        <v>4708</v>
      </c>
      <c r="U625" s="23">
        <f>DATEDIF(P625, DATE(2023, 6, 8), "Y")</f>
        <v>28</v>
      </c>
      <c r="V625">
        <f>SUM(C625:K625)</f>
        <v>24.76</v>
      </c>
    </row>
    <row r="626" spans="1:22" ht="15.75">
      <c r="A626" s="28" t="s">
        <v>1250</v>
      </c>
      <c r="B626" s="28" t="s">
        <v>1251</v>
      </c>
      <c r="C626" s="23">
        <v>24.13</v>
      </c>
      <c r="D626" s="23">
        <v>5.29</v>
      </c>
      <c r="E626" s="23" t="s">
        <v>4683</v>
      </c>
      <c r="F626" s="23" t="s">
        <v>4682</v>
      </c>
      <c r="G626" s="23" t="s">
        <v>4684</v>
      </c>
      <c r="H626" s="23">
        <v>1</v>
      </c>
      <c r="I626" s="23" t="s">
        <v>4683</v>
      </c>
      <c r="J626" s="23" t="s">
        <v>4728</v>
      </c>
      <c r="K626" s="23" t="s">
        <v>4737</v>
      </c>
      <c r="L626">
        <v>1986</v>
      </c>
      <c r="M626" s="15" t="s">
        <v>4702</v>
      </c>
      <c r="N626">
        <v>1</v>
      </c>
      <c r="O626">
        <v>1</v>
      </c>
      <c r="P626" s="21">
        <f>DATEVALUE(N626&amp;"-"&amp;M626&amp;"-"&amp;L626)</f>
        <v>31564</v>
      </c>
      <c r="Q626" s="22">
        <v>5373.36</v>
      </c>
      <c r="R626" s="23" t="s">
        <v>4697</v>
      </c>
      <c r="S626" s="23" t="s">
        <v>4697</v>
      </c>
      <c r="T626" s="23" t="s">
        <v>4704</v>
      </c>
      <c r="U626" s="23">
        <f>DATEDIF(P626, DATE(2023, 6, 8), "Y")</f>
        <v>37</v>
      </c>
      <c r="V626">
        <f>SUM(C626:K626)</f>
        <v>30.419999999999998</v>
      </c>
    </row>
    <row r="627" spans="1:22" ht="15.75">
      <c r="A627" s="28" t="s">
        <v>1252</v>
      </c>
      <c r="B627" s="28" t="s">
        <v>1253</v>
      </c>
      <c r="C627" s="23">
        <v>46.7</v>
      </c>
      <c r="D627" s="23">
        <v>10.99</v>
      </c>
      <c r="E627" s="23" t="s">
        <v>4682</v>
      </c>
      <c r="F627" s="23" t="s">
        <v>4682</v>
      </c>
      <c r="G627" s="23" t="s">
        <v>4682</v>
      </c>
      <c r="H627" s="23">
        <v>0</v>
      </c>
      <c r="I627" s="23" t="s">
        <v>4682</v>
      </c>
      <c r="J627" s="23" t="s">
        <v>4729</v>
      </c>
      <c r="K627" s="23" t="s">
        <v>4735</v>
      </c>
      <c r="L627">
        <v>1989</v>
      </c>
      <c r="M627" s="15" t="s">
        <v>4700</v>
      </c>
      <c r="N627">
        <v>18</v>
      </c>
      <c r="O627">
        <v>2</v>
      </c>
      <c r="P627" s="21">
        <f>DATEVALUE(N627&amp;"-"&amp;M627&amp;"-"&amp;L627)</f>
        <v>32830</v>
      </c>
      <c r="Q627" s="22">
        <v>5375.04</v>
      </c>
      <c r="R627" s="23" t="s">
        <v>4697</v>
      </c>
      <c r="S627" s="23" t="s">
        <v>4701</v>
      </c>
      <c r="T627" s="23" t="s">
        <v>4708</v>
      </c>
      <c r="U627" s="23">
        <f>DATEDIF(P627, DATE(2023, 6, 8), "Y")</f>
        <v>33</v>
      </c>
      <c r="V627">
        <f>SUM(C627:K627)</f>
        <v>57.690000000000005</v>
      </c>
    </row>
    <row r="628" spans="1:22" ht="15.75">
      <c r="A628" s="28" t="s">
        <v>1254</v>
      </c>
      <c r="B628" s="28" t="s">
        <v>1255</v>
      </c>
      <c r="C628" s="23">
        <v>45.27</v>
      </c>
      <c r="D628" s="23">
        <v>5.2</v>
      </c>
      <c r="E628" s="23" t="s">
        <v>4683</v>
      </c>
      <c r="F628" s="23" t="s">
        <v>4682</v>
      </c>
      <c r="G628" s="23" t="s">
        <v>4682</v>
      </c>
      <c r="H628" s="23">
        <v>0</v>
      </c>
      <c r="I628" s="23" t="s">
        <v>4682</v>
      </c>
      <c r="J628" s="23" t="s">
        <v>4729</v>
      </c>
      <c r="K628" s="23" t="s">
        <v>4737</v>
      </c>
      <c r="L628">
        <v>1986</v>
      </c>
      <c r="M628" s="15" t="s">
        <v>4696</v>
      </c>
      <c r="N628">
        <v>22</v>
      </c>
      <c r="O628">
        <v>1</v>
      </c>
      <c r="P628" s="21">
        <f>DATEVALUE(N628&amp;"-"&amp;M628&amp;"-"&amp;L628)</f>
        <v>31615</v>
      </c>
      <c r="Q628" s="22">
        <v>5377.46</v>
      </c>
      <c r="R628" s="23" t="s">
        <v>4697</v>
      </c>
      <c r="S628" s="23" t="s">
        <v>4698</v>
      </c>
      <c r="T628" s="23" t="s">
        <v>4704</v>
      </c>
      <c r="U628" s="23">
        <f>DATEDIF(P628, DATE(2023, 6, 8), "Y")</f>
        <v>36</v>
      </c>
      <c r="V628">
        <f>SUM(C628:K628)</f>
        <v>50.470000000000006</v>
      </c>
    </row>
    <row r="629" spans="1:22" ht="15.75">
      <c r="A629" s="28" t="s">
        <v>1256</v>
      </c>
      <c r="B629" s="28" t="s">
        <v>1257</v>
      </c>
      <c r="C629" s="23">
        <v>44.29</v>
      </c>
      <c r="D629" s="23">
        <v>9.66</v>
      </c>
      <c r="E629" s="23" t="s">
        <v>4682</v>
      </c>
      <c r="F629" s="23" t="s">
        <v>4682</v>
      </c>
      <c r="G629" s="23" t="s">
        <v>4682</v>
      </c>
      <c r="H629" s="23">
        <v>2</v>
      </c>
      <c r="I629" s="23" t="s">
        <v>4682</v>
      </c>
      <c r="J629" s="23" t="s">
        <v>4729</v>
      </c>
      <c r="K629" s="23" t="s">
        <v>4735</v>
      </c>
      <c r="L629">
        <v>1984</v>
      </c>
      <c r="M629" s="15" t="s">
        <v>4702</v>
      </c>
      <c r="N629">
        <v>1</v>
      </c>
      <c r="O629">
        <v>0</v>
      </c>
      <c r="P629" s="21">
        <f>DATEVALUE(N629&amp;"-"&amp;M629&amp;"-"&amp;L629)</f>
        <v>30834</v>
      </c>
      <c r="Q629" s="22">
        <v>5383.54</v>
      </c>
      <c r="R629" s="23" t="s">
        <v>4697</v>
      </c>
      <c r="S629" s="23" t="s">
        <v>4698</v>
      </c>
      <c r="T629" s="23" t="s">
        <v>4708</v>
      </c>
      <c r="U629" s="23">
        <f>DATEDIF(P629, DATE(2023, 6, 8), "Y")</f>
        <v>39</v>
      </c>
      <c r="V629">
        <f>SUM(C629:K629)</f>
        <v>55.95</v>
      </c>
    </row>
    <row r="630" spans="1:22" ht="15.75">
      <c r="A630" s="28" t="s">
        <v>1258</v>
      </c>
      <c r="B630" s="28" t="s">
        <v>1259</v>
      </c>
      <c r="C630" s="23">
        <v>54.59</v>
      </c>
      <c r="D630" s="23">
        <v>4.22</v>
      </c>
      <c r="E630" s="23" t="s">
        <v>4683</v>
      </c>
      <c r="F630" s="23" t="s">
        <v>4682</v>
      </c>
      <c r="G630" s="23" t="s">
        <v>4682</v>
      </c>
      <c r="H630" s="23">
        <v>1</v>
      </c>
      <c r="I630" s="23" t="s">
        <v>4682</v>
      </c>
      <c r="J630" s="23" t="s">
        <v>4729</v>
      </c>
      <c r="K630" s="23" t="s">
        <v>4737</v>
      </c>
      <c r="L630">
        <v>1988</v>
      </c>
      <c r="M630" s="15" t="s">
        <v>4706</v>
      </c>
      <c r="N630">
        <v>8</v>
      </c>
      <c r="O630">
        <v>1</v>
      </c>
      <c r="P630" s="21">
        <f>DATEVALUE(N630&amp;"-"&amp;M630&amp;"-"&amp;L630)</f>
        <v>32363</v>
      </c>
      <c r="Q630" s="22">
        <v>5385.34</v>
      </c>
      <c r="R630" s="23" t="s">
        <v>4697</v>
      </c>
      <c r="S630" s="23" t="s">
        <v>4698</v>
      </c>
      <c r="T630" s="23" t="s">
        <v>4704</v>
      </c>
      <c r="U630" s="23">
        <f>DATEDIF(P630, DATE(2023, 6, 8), "Y")</f>
        <v>34</v>
      </c>
      <c r="V630">
        <f>SUM(C630:K630)</f>
        <v>59.81</v>
      </c>
    </row>
    <row r="631" spans="1:22" ht="15.75">
      <c r="A631" s="28" t="s">
        <v>1260</v>
      </c>
      <c r="B631" s="28" t="s">
        <v>1261</v>
      </c>
      <c r="C631" s="23">
        <v>32.965000000000003</v>
      </c>
      <c r="D631" s="23">
        <v>11.78</v>
      </c>
      <c r="E631" s="23" t="s">
        <v>4682</v>
      </c>
      <c r="F631" s="23" t="s">
        <v>4682</v>
      </c>
      <c r="G631" s="23" t="s">
        <v>4682</v>
      </c>
      <c r="H631" s="23">
        <v>0</v>
      </c>
      <c r="I631" s="23" t="s">
        <v>4682</v>
      </c>
      <c r="J631" s="23" t="s">
        <v>4729</v>
      </c>
      <c r="K631" s="23" t="s">
        <v>4735</v>
      </c>
      <c r="L631">
        <v>1989</v>
      </c>
      <c r="M631" s="15" t="s">
        <v>4700</v>
      </c>
      <c r="N631">
        <v>6</v>
      </c>
      <c r="O631">
        <v>3</v>
      </c>
      <c r="P631" s="21">
        <f>DATEVALUE(N631&amp;"-"&amp;M631&amp;"-"&amp;L631)</f>
        <v>32818</v>
      </c>
      <c r="Q631" s="22">
        <v>5396.44</v>
      </c>
      <c r="R631" s="23" t="s">
        <v>4697</v>
      </c>
      <c r="S631" s="23" t="s">
        <v>4698</v>
      </c>
      <c r="T631" s="23" t="s">
        <v>4699</v>
      </c>
      <c r="U631" s="23">
        <f>DATEDIF(P631, DATE(2023, 6, 8), "Y")</f>
        <v>33</v>
      </c>
      <c r="V631">
        <f>SUM(C631:K631)</f>
        <v>44.745000000000005</v>
      </c>
    </row>
    <row r="632" spans="1:22" ht="15.75">
      <c r="A632" s="28" t="s">
        <v>1262</v>
      </c>
      <c r="B632" s="28" t="s">
        <v>1263</v>
      </c>
      <c r="C632" s="23">
        <v>38.049999999999997</v>
      </c>
      <c r="D632" s="23">
        <v>9.6199999999999992</v>
      </c>
      <c r="E632" s="23" t="s">
        <v>4682</v>
      </c>
      <c r="F632" s="23" t="s">
        <v>4682</v>
      </c>
      <c r="G632" s="23" t="s">
        <v>4682</v>
      </c>
      <c r="H632" s="23">
        <v>0</v>
      </c>
      <c r="I632" s="23" t="s">
        <v>4682</v>
      </c>
      <c r="J632" s="23" t="s">
        <v>4729</v>
      </c>
      <c r="K632" s="23" t="s">
        <v>4735</v>
      </c>
      <c r="L632">
        <v>1984</v>
      </c>
      <c r="M632" s="15" t="s">
        <v>4703</v>
      </c>
      <c r="N632">
        <v>3</v>
      </c>
      <c r="O632">
        <v>0</v>
      </c>
      <c r="P632" s="21">
        <f>DATEVALUE(N632&amp;"-"&amp;M632&amp;"-"&amp;L632)</f>
        <v>30928</v>
      </c>
      <c r="Q632" s="22">
        <v>5397.62</v>
      </c>
      <c r="R632" s="23" t="s">
        <v>4697</v>
      </c>
      <c r="S632" s="23" t="s">
        <v>4697</v>
      </c>
      <c r="T632" s="23" t="s">
        <v>4699</v>
      </c>
      <c r="U632" s="23">
        <f>DATEDIF(P632, DATE(2023, 6, 8), "Y")</f>
        <v>38</v>
      </c>
      <c r="V632">
        <f>SUM(C632:K632)</f>
        <v>47.669999999999995</v>
      </c>
    </row>
    <row r="633" spans="1:22" ht="15.75">
      <c r="A633" s="28" t="s">
        <v>1264</v>
      </c>
      <c r="B633" s="28" t="s">
        <v>1265</v>
      </c>
      <c r="C633" s="23">
        <v>46.14</v>
      </c>
      <c r="D633" s="23">
        <v>10.78</v>
      </c>
      <c r="E633" s="23" t="s">
        <v>4682</v>
      </c>
      <c r="F633" s="23" t="s">
        <v>4682</v>
      </c>
      <c r="G633" s="23" t="s">
        <v>4682</v>
      </c>
      <c r="H633" s="23">
        <v>0</v>
      </c>
      <c r="I633" s="23" t="s">
        <v>4682</v>
      </c>
      <c r="J633" s="23" t="s">
        <v>4729</v>
      </c>
      <c r="K633" s="23" t="s">
        <v>4735</v>
      </c>
      <c r="L633">
        <v>1984</v>
      </c>
      <c r="M633" s="15" t="s">
        <v>4706</v>
      </c>
      <c r="N633">
        <v>1</v>
      </c>
      <c r="O633">
        <v>0</v>
      </c>
      <c r="P633" s="21">
        <f>DATEVALUE(N633&amp;"-"&amp;M633&amp;"-"&amp;L633)</f>
        <v>30895</v>
      </c>
      <c r="Q633" s="22">
        <v>5400.98</v>
      </c>
      <c r="R633" s="23" t="s">
        <v>4697</v>
      </c>
      <c r="S633" s="23" t="s">
        <v>4697</v>
      </c>
      <c r="T633" s="23" t="s">
        <v>4699</v>
      </c>
      <c r="U633" s="23">
        <f>DATEDIF(P633, DATE(2023, 6, 8), "Y")</f>
        <v>38</v>
      </c>
      <c r="V633">
        <f>SUM(C633:K633)</f>
        <v>56.92</v>
      </c>
    </row>
    <row r="634" spans="1:22" ht="15.75">
      <c r="A634" s="28" t="s">
        <v>1266</v>
      </c>
      <c r="B634" s="28" t="s">
        <v>1267</v>
      </c>
      <c r="C634" s="23">
        <v>41.325000000000003</v>
      </c>
      <c r="D634" s="23">
        <v>5.1100000000000003</v>
      </c>
      <c r="E634" s="23" t="s">
        <v>4683</v>
      </c>
      <c r="F634" s="23" t="s">
        <v>4682</v>
      </c>
      <c r="G634" s="23" t="s">
        <v>4682</v>
      </c>
      <c r="H634" s="23">
        <v>2</v>
      </c>
      <c r="I634" s="23" t="s">
        <v>4682</v>
      </c>
      <c r="J634" s="23" t="s">
        <v>4729</v>
      </c>
      <c r="K634" s="23" t="s">
        <v>4737</v>
      </c>
      <c r="L634">
        <v>1985</v>
      </c>
      <c r="M634" s="15" t="s">
        <v>4705</v>
      </c>
      <c r="N634">
        <v>23</v>
      </c>
      <c r="O634">
        <v>3</v>
      </c>
      <c r="P634" s="21">
        <f>DATEVALUE(N634&amp;"-"&amp;M634&amp;"-"&amp;L634)</f>
        <v>31404</v>
      </c>
      <c r="Q634" s="22">
        <v>5402.89</v>
      </c>
      <c r="R634" s="23" t="s">
        <v>4697</v>
      </c>
      <c r="S634" s="23" t="s">
        <v>4701</v>
      </c>
      <c r="T634" s="23" t="s">
        <v>4699</v>
      </c>
      <c r="U634" s="23">
        <f>DATEDIF(P634, DATE(2023, 6, 8), "Y")</f>
        <v>37</v>
      </c>
      <c r="V634">
        <f>SUM(C634:K634)</f>
        <v>48.435000000000002</v>
      </c>
    </row>
    <row r="635" spans="1:22" ht="15.75">
      <c r="A635" s="28" t="s">
        <v>1268</v>
      </c>
      <c r="B635" s="28" t="s">
        <v>1269</v>
      </c>
      <c r="C635" s="23">
        <v>44.64</v>
      </c>
      <c r="D635" s="23">
        <v>7.18</v>
      </c>
      <c r="E635" s="23" t="s">
        <v>4682</v>
      </c>
      <c r="F635" s="23" t="s">
        <v>4682</v>
      </c>
      <c r="G635" s="23" t="s">
        <v>4682</v>
      </c>
      <c r="H635" s="23">
        <v>0</v>
      </c>
      <c r="I635" s="23" t="s">
        <v>4682</v>
      </c>
      <c r="J635" s="23" t="s">
        <v>4729</v>
      </c>
      <c r="K635" s="23" t="s">
        <v>4735</v>
      </c>
      <c r="L635">
        <v>1975</v>
      </c>
      <c r="M635" s="15" t="s">
        <v>4703</v>
      </c>
      <c r="N635">
        <v>27</v>
      </c>
      <c r="O635">
        <v>1</v>
      </c>
      <c r="P635" s="21">
        <f>DATEVALUE(N635&amp;"-"&amp;M635&amp;"-"&amp;L635)</f>
        <v>27664</v>
      </c>
      <c r="Q635" s="22">
        <v>5411.99</v>
      </c>
      <c r="R635" s="23" t="s">
        <v>4697</v>
      </c>
      <c r="S635" s="23" t="s">
        <v>4698</v>
      </c>
      <c r="T635" s="23" t="s">
        <v>4704</v>
      </c>
      <c r="U635" s="23">
        <f>DATEDIF(P635, DATE(2023, 6, 8), "Y")</f>
        <v>47</v>
      </c>
      <c r="V635">
        <f>SUM(C635:K635)</f>
        <v>51.82</v>
      </c>
    </row>
    <row r="636" spans="1:22" ht="15.75">
      <c r="A636" s="28" t="s">
        <v>1270</v>
      </c>
      <c r="B636" s="28" t="s">
        <v>1271</v>
      </c>
      <c r="C636" s="23">
        <v>25.175000000000001</v>
      </c>
      <c r="D636" s="23">
        <v>4.96</v>
      </c>
      <c r="E636" s="23" t="s">
        <v>4682</v>
      </c>
      <c r="F636" s="23" t="s">
        <v>4683</v>
      </c>
      <c r="G636" s="23" t="s">
        <v>4682</v>
      </c>
      <c r="H636" s="23">
        <v>1</v>
      </c>
      <c r="I636" s="23" t="s">
        <v>4685</v>
      </c>
      <c r="J636" s="23" t="s">
        <v>4730</v>
      </c>
      <c r="K636" s="23" t="s">
        <v>4737</v>
      </c>
      <c r="L636">
        <v>1982</v>
      </c>
      <c r="M636" s="15" t="s">
        <v>4703</v>
      </c>
      <c r="N636">
        <v>27</v>
      </c>
      <c r="O636">
        <v>0</v>
      </c>
      <c r="P636" s="21">
        <f>DATEVALUE(N636&amp;"-"&amp;M636&amp;"-"&amp;L636)</f>
        <v>30221</v>
      </c>
      <c r="Q636" s="22">
        <v>5415.66</v>
      </c>
      <c r="R636" s="23" t="s">
        <v>4697</v>
      </c>
      <c r="S636" s="23" t="s">
        <v>4698</v>
      </c>
      <c r="T636" s="23" t="s">
        <v>4699</v>
      </c>
      <c r="U636" s="23">
        <f>DATEDIF(P636, DATE(2023, 6, 8), "Y")</f>
        <v>40</v>
      </c>
      <c r="V636">
        <f>SUM(C636:K636)</f>
        <v>31.135000000000002</v>
      </c>
    </row>
    <row r="637" spans="1:22" ht="15.75">
      <c r="A637" s="28" t="s">
        <v>1272</v>
      </c>
      <c r="B637" s="28" t="s">
        <v>1273</v>
      </c>
      <c r="C637" s="23">
        <v>43.11</v>
      </c>
      <c r="D637" s="23">
        <v>4.67</v>
      </c>
      <c r="E637" s="23" t="s">
        <v>4683</v>
      </c>
      <c r="F637" s="23" t="s">
        <v>4682</v>
      </c>
      <c r="G637" s="23" t="s">
        <v>4682</v>
      </c>
      <c r="H637" s="23">
        <v>0</v>
      </c>
      <c r="I637" s="23" t="s">
        <v>4682</v>
      </c>
      <c r="J637" s="23" t="s">
        <v>4729</v>
      </c>
      <c r="K637" s="23" t="s">
        <v>4737</v>
      </c>
      <c r="L637">
        <v>1991</v>
      </c>
      <c r="M637" s="15" t="s">
        <v>4696</v>
      </c>
      <c r="N637">
        <v>6</v>
      </c>
      <c r="O637">
        <v>3</v>
      </c>
      <c r="P637" s="21">
        <f>DATEVALUE(N637&amp;"-"&amp;M637&amp;"-"&amp;L637)</f>
        <v>33425</v>
      </c>
      <c r="Q637" s="22">
        <v>5425.02</v>
      </c>
      <c r="R637" s="23" t="s">
        <v>4697</v>
      </c>
      <c r="S637" s="23" t="s">
        <v>4701</v>
      </c>
      <c r="T637" s="23" t="s">
        <v>4704</v>
      </c>
      <c r="U637" s="23">
        <f>DATEDIF(P637, DATE(2023, 6, 8), "Y")</f>
        <v>31</v>
      </c>
      <c r="V637">
        <f>SUM(C637:K637)</f>
        <v>47.78</v>
      </c>
    </row>
    <row r="638" spans="1:22" ht="15.75">
      <c r="A638" s="28" t="s">
        <v>1274</v>
      </c>
      <c r="B638" s="28" t="s">
        <v>1275</v>
      </c>
      <c r="C638" s="23">
        <v>53.32</v>
      </c>
      <c r="D638" s="23">
        <v>5.0599999999999996</v>
      </c>
      <c r="E638" s="23" t="s">
        <v>4682</v>
      </c>
      <c r="F638" s="23" t="s">
        <v>4682</v>
      </c>
      <c r="G638" s="23" t="s">
        <v>4682</v>
      </c>
      <c r="H638" s="23">
        <v>0</v>
      </c>
      <c r="I638" s="23" t="s">
        <v>4682</v>
      </c>
      <c r="J638" s="23" t="s">
        <v>4729</v>
      </c>
      <c r="K638" s="23" t="s">
        <v>4737</v>
      </c>
      <c r="L638">
        <v>1992</v>
      </c>
      <c r="M638" s="15" t="s">
        <v>4703</v>
      </c>
      <c r="N638">
        <v>17</v>
      </c>
      <c r="O638">
        <v>3</v>
      </c>
      <c r="P638" s="21">
        <f>DATEVALUE(N638&amp;"-"&amp;M638&amp;"-"&amp;L638)</f>
        <v>33864</v>
      </c>
      <c r="Q638" s="22">
        <v>5428.73</v>
      </c>
      <c r="R638" s="23" t="s">
        <v>4698</v>
      </c>
      <c r="S638" s="23" t="s">
        <v>4701</v>
      </c>
      <c r="T638" s="23" t="s">
        <v>4718</v>
      </c>
      <c r="U638" s="23">
        <f>DATEDIF(P638, DATE(2023, 6, 8), "Y")</f>
        <v>30</v>
      </c>
      <c r="V638">
        <f>SUM(C638:K638)</f>
        <v>58.38</v>
      </c>
    </row>
    <row r="639" spans="1:22" ht="15.75">
      <c r="A639" s="28" t="s">
        <v>1276</v>
      </c>
      <c r="B639" s="28" t="s">
        <v>1277</v>
      </c>
      <c r="C639" s="23">
        <v>38.04</v>
      </c>
      <c r="D639" s="23">
        <v>5.0199999999999996</v>
      </c>
      <c r="E639" s="23" t="s">
        <v>4683</v>
      </c>
      <c r="F639" s="23" t="s">
        <v>4682</v>
      </c>
      <c r="G639" s="23" t="s">
        <v>4682</v>
      </c>
      <c r="H639" s="23">
        <v>1</v>
      </c>
      <c r="I639" s="23" t="s">
        <v>4682</v>
      </c>
      <c r="J639" s="23" t="s">
        <v>4729</v>
      </c>
      <c r="K639" s="23" t="s">
        <v>4737</v>
      </c>
      <c r="L639">
        <v>1978</v>
      </c>
      <c r="M639" s="15" t="s">
        <v>4702</v>
      </c>
      <c r="N639">
        <v>8</v>
      </c>
      <c r="O639">
        <v>2</v>
      </c>
      <c r="P639" s="21">
        <f>DATEVALUE(N639&amp;"-"&amp;M639&amp;"-"&amp;L639)</f>
        <v>28649</v>
      </c>
      <c r="Q639" s="22">
        <v>5428.98</v>
      </c>
      <c r="R639" s="23" t="s">
        <v>4697</v>
      </c>
      <c r="S639" s="23" t="s">
        <v>4697</v>
      </c>
      <c r="T639" s="23" t="s">
        <v>4704</v>
      </c>
      <c r="U639" s="23">
        <f>DATEDIF(P639, DATE(2023, 6, 8), "Y")</f>
        <v>45</v>
      </c>
      <c r="V639">
        <f>SUM(C639:K639)</f>
        <v>44.06</v>
      </c>
    </row>
    <row r="640" spans="1:22" ht="15.75">
      <c r="A640" s="28" t="s">
        <v>1278</v>
      </c>
      <c r="B640" s="28" t="s">
        <v>1279</v>
      </c>
      <c r="C640" s="23">
        <v>37.9</v>
      </c>
      <c r="D640" s="23">
        <v>7.76</v>
      </c>
      <c r="E640" s="23" t="s">
        <v>4682</v>
      </c>
      <c r="F640" s="23" t="s">
        <v>4682</v>
      </c>
      <c r="G640" s="23" t="s">
        <v>4682</v>
      </c>
      <c r="H640" s="23">
        <v>0</v>
      </c>
      <c r="I640" s="23" t="s">
        <v>4682</v>
      </c>
      <c r="J640" s="23" t="s">
        <v>4729</v>
      </c>
      <c r="K640" s="23" t="s">
        <v>4735</v>
      </c>
      <c r="L640">
        <v>1982</v>
      </c>
      <c r="M640" s="15" t="s">
        <v>4706</v>
      </c>
      <c r="N640">
        <v>25</v>
      </c>
      <c r="O640">
        <v>0</v>
      </c>
      <c r="P640" s="21">
        <f>DATEVALUE(N640&amp;"-"&amp;M640&amp;"-"&amp;L640)</f>
        <v>30188</v>
      </c>
      <c r="Q640" s="22">
        <v>5438.75</v>
      </c>
      <c r="R640" s="23" t="s">
        <v>4698</v>
      </c>
      <c r="S640" s="23" t="s">
        <v>4697</v>
      </c>
      <c r="T640" s="23" t="s">
        <v>4699</v>
      </c>
      <c r="U640" s="23">
        <f>DATEDIF(P640, DATE(2023, 6, 8), "Y")</f>
        <v>40</v>
      </c>
      <c r="V640">
        <f>SUM(C640:K640)</f>
        <v>45.66</v>
      </c>
    </row>
    <row r="641" spans="1:22" ht="15.75">
      <c r="A641" s="28" t="s">
        <v>1280</v>
      </c>
      <c r="B641" s="28" t="s">
        <v>1281</v>
      </c>
      <c r="C641" s="23">
        <v>39.6</v>
      </c>
      <c r="D641" s="23">
        <v>9.32</v>
      </c>
      <c r="E641" s="23" t="s">
        <v>4682</v>
      </c>
      <c r="F641" s="23" t="s">
        <v>4682</v>
      </c>
      <c r="G641" s="23" t="s">
        <v>4682</v>
      </c>
      <c r="H641" s="23">
        <v>0</v>
      </c>
      <c r="I641" s="23" t="s">
        <v>4682</v>
      </c>
      <c r="J641" s="23" t="s">
        <v>4729</v>
      </c>
      <c r="K641" s="23" t="s">
        <v>4735</v>
      </c>
      <c r="L641">
        <v>1986</v>
      </c>
      <c r="M641" s="15" t="s">
        <v>4705</v>
      </c>
      <c r="N641">
        <v>25</v>
      </c>
      <c r="O641">
        <v>0</v>
      </c>
      <c r="P641" s="21">
        <f>DATEVALUE(N641&amp;"-"&amp;M641&amp;"-"&amp;L641)</f>
        <v>31771</v>
      </c>
      <c r="Q641" s="22">
        <v>5458.05</v>
      </c>
      <c r="R641" s="23" t="s">
        <v>4697</v>
      </c>
      <c r="S641" s="23" t="s">
        <v>4697</v>
      </c>
      <c r="T641" s="23" t="s">
        <v>4714</v>
      </c>
      <c r="U641" s="23">
        <f>DATEDIF(P641, DATE(2023, 6, 8), "Y")</f>
        <v>36</v>
      </c>
      <c r="V641">
        <f>SUM(C641:K641)</f>
        <v>48.92</v>
      </c>
    </row>
    <row r="642" spans="1:22" ht="15.75">
      <c r="A642" s="28" t="s">
        <v>1282</v>
      </c>
      <c r="B642" s="28" t="s">
        <v>1283</v>
      </c>
      <c r="C642" s="23">
        <v>50.92</v>
      </c>
      <c r="D642" s="23">
        <v>5.31</v>
      </c>
      <c r="E642" s="23" t="s">
        <v>4683</v>
      </c>
      <c r="F642" s="23" t="s">
        <v>4682</v>
      </c>
      <c r="G642" s="23" t="s">
        <v>4682</v>
      </c>
      <c r="H642" s="23">
        <v>1</v>
      </c>
      <c r="I642" s="23" t="s">
        <v>4682</v>
      </c>
      <c r="J642" s="23" t="s">
        <v>4729</v>
      </c>
      <c r="K642" s="23" t="s">
        <v>4737</v>
      </c>
      <c r="L642">
        <v>1973</v>
      </c>
      <c r="M642" s="15" t="s">
        <v>4707</v>
      </c>
      <c r="N642">
        <v>24</v>
      </c>
      <c r="O642">
        <v>0</v>
      </c>
      <c r="P642" s="21">
        <f>DATEVALUE(N642&amp;"-"&amp;M642&amp;"-"&amp;L642)</f>
        <v>26961</v>
      </c>
      <c r="Q642" s="22">
        <v>5466.88</v>
      </c>
      <c r="R642" s="23" t="s">
        <v>4697</v>
      </c>
      <c r="S642" s="23" t="s">
        <v>4697</v>
      </c>
      <c r="T642" s="23" t="s">
        <v>4699</v>
      </c>
      <c r="U642" s="23">
        <f>DATEDIF(P642, DATE(2023, 6, 8), "Y")</f>
        <v>49</v>
      </c>
      <c r="V642">
        <f>SUM(C642:K642)</f>
        <v>57.230000000000004</v>
      </c>
    </row>
    <row r="643" spans="1:22" ht="15.75">
      <c r="A643" s="28" t="s">
        <v>1284</v>
      </c>
      <c r="B643" s="28" t="s">
        <v>1285</v>
      </c>
      <c r="C643" s="23">
        <v>21.85</v>
      </c>
      <c r="D643" s="23">
        <v>5.56</v>
      </c>
      <c r="E643" s="23" t="s">
        <v>4683</v>
      </c>
      <c r="F643" s="23" t="s">
        <v>4682</v>
      </c>
      <c r="G643" s="23" t="s">
        <v>4682</v>
      </c>
      <c r="H643" s="23">
        <v>0</v>
      </c>
      <c r="I643" s="23" t="s">
        <v>4683</v>
      </c>
      <c r="J643" s="23" t="s">
        <v>4728</v>
      </c>
      <c r="K643" s="23" t="s">
        <v>4737</v>
      </c>
      <c r="L643">
        <v>1986</v>
      </c>
      <c r="M643" s="15" t="s">
        <v>4705</v>
      </c>
      <c r="N643">
        <v>2</v>
      </c>
      <c r="O643">
        <v>0</v>
      </c>
      <c r="P643" s="21">
        <f>DATEVALUE(N643&amp;"-"&amp;M643&amp;"-"&amp;L643)</f>
        <v>31748</v>
      </c>
      <c r="Q643" s="22">
        <v>5469.01</v>
      </c>
      <c r="R643" s="23" t="s">
        <v>4697</v>
      </c>
      <c r="S643" s="23" t="s">
        <v>4697</v>
      </c>
      <c r="T643" s="23" t="s">
        <v>4714</v>
      </c>
      <c r="U643" s="23">
        <f>DATEDIF(P643, DATE(2023, 6, 8), "Y")</f>
        <v>36</v>
      </c>
      <c r="V643">
        <f>SUM(C643:K643)</f>
        <v>27.41</v>
      </c>
    </row>
    <row r="644" spans="1:22" ht="15.75">
      <c r="A644" s="28" t="s">
        <v>1286</v>
      </c>
      <c r="B644" s="28" t="s">
        <v>1287</v>
      </c>
      <c r="C644" s="23">
        <v>36.08</v>
      </c>
      <c r="D644" s="23">
        <v>7.11</v>
      </c>
      <c r="E644" s="23" t="s">
        <v>4683</v>
      </c>
      <c r="F644" s="23" t="s">
        <v>4682</v>
      </c>
      <c r="G644" s="23" t="s">
        <v>4684</v>
      </c>
      <c r="H644" s="23">
        <v>1</v>
      </c>
      <c r="I644" s="23" t="s">
        <v>4682</v>
      </c>
      <c r="J644" s="23" t="s">
        <v>4729</v>
      </c>
      <c r="K644" s="23" t="s">
        <v>4735</v>
      </c>
      <c r="L644">
        <v>1986</v>
      </c>
      <c r="M644" s="15" t="s">
        <v>4696</v>
      </c>
      <c r="N644">
        <v>12</v>
      </c>
      <c r="O644">
        <v>1</v>
      </c>
      <c r="P644" s="21">
        <f>DATEVALUE(N644&amp;"-"&amp;M644&amp;"-"&amp;L644)</f>
        <v>31605</v>
      </c>
      <c r="Q644" s="22">
        <v>5472.45</v>
      </c>
      <c r="R644" s="23" t="s">
        <v>4697</v>
      </c>
      <c r="S644" s="23" t="s">
        <v>4698</v>
      </c>
      <c r="T644" s="23" t="s">
        <v>4708</v>
      </c>
      <c r="U644" s="23">
        <f>DATEDIF(P644, DATE(2023, 6, 8), "Y")</f>
        <v>36</v>
      </c>
      <c r="V644">
        <f>SUM(C644:K644)</f>
        <v>44.19</v>
      </c>
    </row>
    <row r="645" spans="1:22" ht="15.75">
      <c r="A645" s="28" t="s">
        <v>1288</v>
      </c>
      <c r="B645" s="28" t="s">
        <v>1289</v>
      </c>
      <c r="C645" s="23">
        <v>40.44</v>
      </c>
      <c r="D645" s="23">
        <v>5.13</v>
      </c>
      <c r="E645" s="23" t="s">
        <v>4683</v>
      </c>
      <c r="F645" s="23" t="s">
        <v>4682</v>
      </c>
      <c r="G645" s="23" t="s">
        <v>4684</v>
      </c>
      <c r="H645" s="23">
        <v>1</v>
      </c>
      <c r="I645" s="23" t="s">
        <v>4682</v>
      </c>
      <c r="J645" s="23" t="s">
        <v>4729</v>
      </c>
      <c r="K645" s="23" t="s">
        <v>4737</v>
      </c>
      <c r="L645">
        <v>1986</v>
      </c>
      <c r="M645" s="15" t="s">
        <v>4703</v>
      </c>
      <c r="N645">
        <v>30</v>
      </c>
      <c r="O645">
        <v>1</v>
      </c>
      <c r="P645" s="21">
        <f>DATEVALUE(N645&amp;"-"&amp;M645&amp;"-"&amp;L645)</f>
        <v>31685</v>
      </c>
      <c r="Q645" s="22">
        <v>5478.04</v>
      </c>
      <c r="R645" s="23" t="s">
        <v>4697</v>
      </c>
      <c r="S645" s="23" t="s">
        <v>4698</v>
      </c>
      <c r="T645" s="23" t="s">
        <v>4699</v>
      </c>
      <c r="U645" s="23">
        <f>DATEDIF(P645, DATE(2023, 6, 8), "Y")</f>
        <v>36</v>
      </c>
      <c r="V645">
        <f>SUM(C645:K645)</f>
        <v>46.57</v>
      </c>
    </row>
    <row r="646" spans="1:22" ht="15.75">
      <c r="A646" s="28" t="s">
        <v>1290</v>
      </c>
      <c r="B646" s="28" t="s">
        <v>1291</v>
      </c>
      <c r="C646" s="23">
        <v>38.094999999999999</v>
      </c>
      <c r="D646" s="23">
        <v>10.199999999999999</v>
      </c>
      <c r="E646" s="23" t="s">
        <v>4682</v>
      </c>
      <c r="F646" s="23" t="s">
        <v>4682</v>
      </c>
      <c r="G646" s="23" t="s">
        <v>4682</v>
      </c>
      <c r="H646" s="23">
        <v>0</v>
      </c>
      <c r="I646" s="23" t="s">
        <v>4682</v>
      </c>
      <c r="J646" s="23" t="s">
        <v>4729</v>
      </c>
      <c r="K646" s="23" t="s">
        <v>4735</v>
      </c>
      <c r="L646">
        <v>1984</v>
      </c>
      <c r="M646" s="15" t="s">
        <v>4706</v>
      </c>
      <c r="N646">
        <v>26</v>
      </c>
      <c r="O646">
        <v>1</v>
      </c>
      <c r="P646" s="21">
        <f>DATEVALUE(N646&amp;"-"&amp;M646&amp;"-"&amp;L646)</f>
        <v>30920</v>
      </c>
      <c r="Q646" s="22">
        <v>5484.47</v>
      </c>
      <c r="R646" s="23" t="s">
        <v>4697</v>
      </c>
      <c r="S646" s="23" t="s">
        <v>4697</v>
      </c>
      <c r="T646" s="23" t="s">
        <v>4699</v>
      </c>
      <c r="U646" s="23">
        <f>DATEDIF(P646, DATE(2023, 6, 8), "Y")</f>
        <v>38</v>
      </c>
      <c r="V646">
        <f>SUM(C646:K646)</f>
        <v>48.295000000000002</v>
      </c>
    </row>
    <row r="647" spans="1:22" ht="15.75">
      <c r="A647" s="28" t="s">
        <v>1292</v>
      </c>
      <c r="B647" s="28" t="s">
        <v>1293</v>
      </c>
      <c r="C647" s="23">
        <v>44.95</v>
      </c>
      <c r="D647" s="23">
        <v>10.4</v>
      </c>
      <c r="E647" s="23" t="s">
        <v>4682</v>
      </c>
      <c r="F647" s="23" t="s">
        <v>4682</v>
      </c>
      <c r="G647" s="23" t="s">
        <v>4682</v>
      </c>
      <c r="H647" s="23">
        <v>0</v>
      </c>
      <c r="I647" s="23" t="s">
        <v>4682</v>
      </c>
      <c r="J647" s="23" t="s">
        <v>4729</v>
      </c>
      <c r="K647" s="23" t="s">
        <v>4735</v>
      </c>
      <c r="L647">
        <v>1984</v>
      </c>
      <c r="M647" s="15" t="s">
        <v>4706</v>
      </c>
      <c r="N647">
        <v>17</v>
      </c>
      <c r="O647">
        <v>1</v>
      </c>
      <c r="P647" s="21">
        <f>DATEVALUE(N647&amp;"-"&amp;M647&amp;"-"&amp;L647)</f>
        <v>30911</v>
      </c>
      <c r="Q647" s="22">
        <v>5488.26</v>
      </c>
      <c r="R647" s="23" t="s">
        <v>4697</v>
      </c>
      <c r="S647" s="23" t="s">
        <v>4698</v>
      </c>
      <c r="T647" s="23" t="s">
        <v>4708</v>
      </c>
      <c r="U647" s="23">
        <f>DATEDIF(P647, DATE(2023, 6, 8), "Y")</f>
        <v>38</v>
      </c>
      <c r="V647">
        <f>SUM(C647:K647)</f>
        <v>55.35</v>
      </c>
    </row>
    <row r="648" spans="1:22" ht="15.75">
      <c r="A648" s="28" t="s">
        <v>1294</v>
      </c>
      <c r="B648" s="28" t="s">
        <v>1295</v>
      </c>
      <c r="C648" s="23">
        <v>35.54</v>
      </c>
      <c r="D648" s="23">
        <v>10.67</v>
      </c>
      <c r="E648" s="23" t="s">
        <v>4682</v>
      </c>
      <c r="F648" s="23" t="s">
        <v>4682</v>
      </c>
      <c r="G648" s="23" t="s">
        <v>4682</v>
      </c>
      <c r="H648" s="23">
        <v>0</v>
      </c>
      <c r="I648" s="23" t="s">
        <v>4682</v>
      </c>
      <c r="J648" s="23" t="s">
        <v>4729</v>
      </c>
      <c r="K648" s="23" t="s">
        <v>4735</v>
      </c>
      <c r="L648">
        <v>1988</v>
      </c>
      <c r="M648" s="15" t="s">
        <v>4696</v>
      </c>
      <c r="N648">
        <v>29</v>
      </c>
      <c r="O648">
        <v>3</v>
      </c>
      <c r="P648" s="21">
        <f>DATEVALUE(N648&amp;"-"&amp;M648&amp;"-"&amp;L648)</f>
        <v>32353</v>
      </c>
      <c r="Q648" s="22">
        <v>5503.36</v>
      </c>
      <c r="R648" s="23" t="s">
        <v>4697</v>
      </c>
      <c r="S648" s="23" t="s">
        <v>4697</v>
      </c>
      <c r="T648" s="23" t="s">
        <v>4704</v>
      </c>
      <c r="U648" s="23">
        <f>DATEDIF(P648, DATE(2023, 6, 8), "Y")</f>
        <v>34</v>
      </c>
      <c r="V648">
        <f>SUM(C648:K648)</f>
        <v>46.21</v>
      </c>
    </row>
    <row r="649" spans="1:22" ht="15.75">
      <c r="A649" s="28" t="s">
        <v>1296</v>
      </c>
      <c r="B649" s="28" t="s">
        <v>1297</v>
      </c>
      <c r="C649" s="23">
        <v>39.799999999999997</v>
      </c>
      <c r="D649" s="23">
        <v>4.6500000000000004</v>
      </c>
      <c r="E649" s="23" t="s">
        <v>4683</v>
      </c>
      <c r="F649" s="23" t="s">
        <v>4682</v>
      </c>
      <c r="G649" s="23" t="s">
        <v>4682</v>
      </c>
      <c r="H649" s="23">
        <v>2</v>
      </c>
      <c r="I649" s="23" t="s">
        <v>4682</v>
      </c>
      <c r="J649" s="23" t="s">
        <v>4729</v>
      </c>
      <c r="K649" s="23" t="s">
        <v>4737</v>
      </c>
      <c r="L649">
        <v>1981</v>
      </c>
      <c r="M649" s="15" t="s">
        <v>4700</v>
      </c>
      <c r="N649">
        <v>7</v>
      </c>
      <c r="O649">
        <v>1</v>
      </c>
      <c r="P649" s="21">
        <f>DATEVALUE(N649&amp;"-"&amp;M649&amp;"-"&amp;L649)</f>
        <v>29897</v>
      </c>
      <c r="Q649" s="22">
        <v>5539.4</v>
      </c>
      <c r="R649" s="23" t="s">
        <v>4697</v>
      </c>
      <c r="S649" s="23" t="s">
        <v>4697</v>
      </c>
      <c r="T649" s="23" t="s">
        <v>4699</v>
      </c>
      <c r="U649" s="23">
        <f>DATEDIF(P649, DATE(2023, 6, 8), "Y")</f>
        <v>41</v>
      </c>
      <c r="V649">
        <f>SUM(C649:K649)</f>
        <v>46.449999999999996</v>
      </c>
    </row>
    <row r="650" spans="1:22" ht="15.75">
      <c r="A650" s="28" t="s">
        <v>1298</v>
      </c>
      <c r="B650" s="28" t="s">
        <v>1299</v>
      </c>
      <c r="C650" s="23">
        <v>33.659999999999997</v>
      </c>
      <c r="D650" s="23">
        <v>5.65</v>
      </c>
      <c r="E650" s="23" t="s">
        <v>4683</v>
      </c>
      <c r="F650" s="23" t="s">
        <v>4682</v>
      </c>
      <c r="G650" s="23" t="s">
        <v>4682</v>
      </c>
      <c r="H650" s="23">
        <v>2</v>
      </c>
      <c r="I650" s="23" t="s">
        <v>4682</v>
      </c>
      <c r="J650" s="23" t="s">
        <v>4729</v>
      </c>
      <c r="K650" s="23" t="s">
        <v>4737</v>
      </c>
      <c r="L650">
        <v>1980</v>
      </c>
      <c r="M650" s="15" t="s">
        <v>4705</v>
      </c>
      <c r="N650">
        <v>7</v>
      </c>
      <c r="O650">
        <v>2</v>
      </c>
      <c r="P650" s="21">
        <f>DATEVALUE(N650&amp;"-"&amp;M650&amp;"-"&amp;L650)</f>
        <v>29562</v>
      </c>
      <c r="Q650" s="22">
        <v>5540.35</v>
      </c>
      <c r="R650" s="23" t="s">
        <v>4697</v>
      </c>
      <c r="S650" s="23" t="s">
        <v>4697</v>
      </c>
      <c r="T650" s="23" t="s">
        <v>4704</v>
      </c>
      <c r="U650" s="23">
        <f>DATEDIF(P650, DATE(2023, 6, 8), "Y")</f>
        <v>42</v>
      </c>
      <c r="V650">
        <f>SUM(C650:K650)</f>
        <v>41.309999999999995</v>
      </c>
    </row>
    <row r="651" spans="1:22" ht="15.75">
      <c r="A651" s="28" t="s">
        <v>1300</v>
      </c>
      <c r="B651" s="28" t="s">
        <v>1301</v>
      </c>
      <c r="C651" s="23">
        <v>35.5</v>
      </c>
      <c r="D651" s="23">
        <v>11.97</v>
      </c>
      <c r="E651" s="23" t="s">
        <v>4682</v>
      </c>
      <c r="F651" s="23" t="s">
        <v>4682</v>
      </c>
      <c r="G651" s="23" t="s">
        <v>4682</v>
      </c>
      <c r="H651" s="23">
        <v>0</v>
      </c>
      <c r="I651" s="23" t="s">
        <v>4682</v>
      </c>
      <c r="J651" s="23" t="s">
        <v>4729</v>
      </c>
      <c r="K651" s="23" t="s">
        <v>4735</v>
      </c>
      <c r="L651">
        <v>1999</v>
      </c>
      <c r="M651" s="15" t="s">
        <v>4703</v>
      </c>
      <c r="N651">
        <v>22</v>
      </c>
      <c r="O651">
        <v>0</v>
      </c>
      <c r="P651" s="21">
        <f>DATEVALUE(N651&amp;"-"&amp;M651&amp;"-"&amp;L651)</f>
        <v>36425</v>
      </c>
      <c r="Q651" s="22">
        <v>5552.61</v>
      </c>
      <c r="R651" s="23" t="s">
        <v>4697</v>
      </c>
      <c r="S651" s="23" t="s">
        <v>4698</v>
      </c>
      <c r="T651" s="23" t="s">
        <v>4720</v>
      </c>
      <c r="U651" s="23">
        <f>DATEDIF(P651, DATE(2023, 6, 8), "Y")</f>
        <v>23</v>
      </c>
      <c r="V651">
        <f>SUM(C651:K651)</f>
        <v>47.47</v>
      </c>
    </row>
    <row r="652" spans="1:22" ht="15.75">
      <c r="A652" s="28" t="s">
        <v>1302</v>
      </c>
      <c r="B652" s="28" t="s">
        <v>1303</v>
      </c>
      <c r="C652" s="23">
        <v>41.63</v>
      </c>
      <c r="D652" s="23">
        <v>6.71</v>
      </c>
      <c r="E652" s="23" t="s">
        <v>4682</v>
      </c>
      <c r="F652" s="23" t="s">
        <v>4682</v>
      </c>
      <c r="G652" s="23" t="s">
        <v>4682</v>
      </c>
      <c r="H652" s="23">
        <v>0</v>
      </c>
      <c r="I652" s="23" t="s">
        <v>4682</v>
      </c>
      <c r="J652" s="23" t="s">
        <v>4729</v>
      </c>
      <c r="K652" s="23" t="s">
        <v>4735</v>
      </c>
      <c r="L652">
        <v>1974</v>
      </c>
      <c r="M652" s="15" t="s">
        <v>4703</v>
      </c>
      <c r="N652">
        <v>18</v>
      </c>
      <c r="O652">
        <v>0</v>
      </c>
      <c r="P652" s="21">
        <f>DATEVALUE(N652&amp;"-"&amp;M652&amp;"-"&amp;L652)</f>
        <v>27290</v>
      </c>
      <c r="Q652" s="22">
        <v>5576.35</v>
      </c>
      <c r="R652" s="23" t="s">
        <v>4697</v>
      </c>
      <c r="S652" s="23" t="s">
        <v>4698</v>
      </c>
      <c r="T652" s="23" t="s">
        <v>4699</v>
      </c>
      <c r="U652" s="23">
        <f>DATEDIF(P652, DATE(2023, 6, 8), "Y")</f>
        <v>48</v>
      </c>
      <c r="V652">
        <f>SUM(C652:K652)</f>
        <v>48.34</v>
      </c>
    </row>
    <row r="653" spans="1:22" ht="15.75">
      <c r="A653" s="28" t="s">
        <v>1304</v>
      </c>
      <c r="B653" s="28" t="s">
        <v>1305</v>
      </c>
      <c r="C653" s="23">
        <v>46.49</v>
      </c>
      <c r="D653" s="23">
        <v>11.92</v>
      </c>
      <c r="E653" s="23" t="s">
        <v>4682</v>
      </c>
      <c r="F653" s="23" t="s">
        <v>4682</v>
      </c>
      <c r="G653" s="23" t="s">
        <v>4682</v>
      </c>
      <c r="H653" s="23">
        <v>0</v>
      </c>
      <c r="I653" s="23" t="s">
        <v>4682</v>
      </c>
      <c r="J653" s="23" t="s">
        <v>4729</v>
      </c>
      <c r="K653" s="23" t="s">
        <v>4735</v>
      </c>
      <c r="L653">
        <v>1985</v>
      </c>
      <c r="M653" s="15" t="s">
        <v>4703</v>
      </c>
      <c r="N653">
        <v>5</v>
      </c>
      <c r="O653">
        <v>3</v>
      </c>
      <c r="P653" s="21">
        <f>DATEVALUE(N653&amp;"-"&amp;M653&amp;"-"&amp;L653)</f>
        <v>31295</v>
      </c>
      <c r="Q653" s="22">
        <v>5582.95</v>
      </c>
      <c r="R653" s="23" t="s">
        <v>4697</v>
      </c>
      <c r="S653" s="23" t="s">
        <v>4701</v>
      </c>
      <c r="T653" s="23" t="s">
        <v>4704</v>
      </c>
      <c r="U653" s="23">
        <f>DATEDIF(P653, DATE(2023, 6, 8), "Y")</f>
        <v>37</v>
      </c>
      <c r="V653">
        <f>SUM(C653:K653)</f>
        <v>58.410000000000004</v>
      </c>
    </row>
    <row r="654" spans="1:22" ht="15.75">
      <c r="A654" s="28" t="s">
        <v>1306</v>
      </c>
      <c r="B654" s="28" t="s">
        <v>1307</v>
      </c>
      <c r="C654" s="23">
        <v>43.29</v>
      </c>
      <c r="D654" s="23">
        <v>5.35</v>
      </c>
      <c r="E654" s="23" t="s">
        <v>4682</v>
      </c>
      <c r="F654" s="23" t="s">
        <v>4682</v>
      </c>
      <c r="G654" s="23" t="s">
        <v>4682</v>
      </c>
      <c r="H654" s="23">
        <v>2</v>
      </c>
      <c r="I654" s="23" t="s">
        <v>4682</v>
      </c>
      <c r="J654" s="23" t="s">
        <v>4729</v>
      </c>
      <c r="K654" s="23" t="s">
        <v>4737</v>
      </c>
      <c r="L654">
        <v>1986</v>
      </c>
      <c r="M654" s="15" t="s">
        <v>4700</v>
      </c>
      <c r="N654">
        <v>21</v>
      </c>
      <c r="O654">
        <v>2</v>
      </c>
      <c r="P654" s="21">
        <f>DATEVALUE(N654&amp;"-"&amp;M654&amp;"-"&amp;L654)</f>
        <v>31737</v>
      </c>
      <c r="Q654" s="22">
        <v>5584.31</v>
      </c>
      <c r="R654" s="23" t="s">
        <v>4698</v>
      </c>
      <c r="S654" s="23" t="s">
        <v>4701</v>
      </c>
      <c r="T654" s="23" t="s">
        <v>4699</v>
      </c>
      <c r="U654" s="23">
        <f>DATEDIF(P654, DATE(2023, 6, 8), "Y")</f>
        <v>36</v>
      </c>
      <c r="V654">
        <f>SUM(C654:K654)</f>
        <v>50.64</v>
      </c>
    </row>
    <row r="655" spans="1:22" ht="15.75">
      <c r="A655" s="28" t="s">
        <v>1308</v>
      </c>
      <c r="B655" s="28" t="s">
        <v>1309</v>
      </c>
      <c r="C655" s="23">
        <v>43.08</v>
      </c>
      <c r="D655" s="23">
        <v>8.9600000000000009</v>
      </c>
      <c r="E655" s="23" t="s">
        <v>4683</v>
      </c>
      <c r="F655" s="23" t="s">
        <v>4682</v>
      </c>
      <c r="G655" s="23" t="s">
        <v>4682</v>
      </c>
      <c r="H655" s="23">
        <v>1</v>
      </c>
      <c r="I655" s="23" t="s">
        <v>4682</v>
      </c>
      <c r="J655" s="23" t="s">
        <v>4729</v>
      </c>
      <c r="K655" s="23" t="s">
        <v>4735</v>
      </c>
      <c r="L655">
        <v>1983</v>
      </c>
      <c r="M655" s="15" t="s">
        <v>4707</v>
      </c>
      <c r="N655">
        <v>3</v>
      </c>
      <c r="O655">
        <v>3</v>
      </c>
      <c r="P655" s="21">
        <f>DATEVALUE(N655&amp;"-"&amp;M655&amp;"-"&amp;L655)</f>
        <v>30592</v>
      </c>
      <c r="Q655" s="22">
        <v>5587.59</v>
      </c>
      <c r="R655" s="23" t="s">
        <v>4697</v>
      </c>
      <c r="S655" s="23" t="s">
        <v>4701</v>
      </c>
      <c r="T655" s="23" t="s">
        <v>4699</v>
      </c>
      <c r="U655" s="23">
        <f>DATEDIF(P655, DATE(2023, 6, 8), "Y")</f>
        <v>39</v>
      </c>
      <c r="V655">
        <f>SUM(C655:K655)</f>
        <v>53.04</v>
      </c>
    </row>
    <row r="656" spans="1:22" ht="15.75">
      <c r="A656" s="28" t="s">
        <v>1310</v>
      </c>
      <c r="B656" s="28" t="s">
        <v>1311</v>
      </c>
      <c r="C656" s="23">
        <v>39.07</v>
      </c>
      <c r="D656" s="23">
        <v>11.93</v>
      </c>
      <c r="E656" s="23" t="s">
        <v>4682</v>
      </c>
      <c r="F656" s="23" t="s">
        <v>4682</v>
      </c>
      <c r="G656" s="23" t="s">
        <v>4682</v>
      </c>
      <c r="H656" s="23">
        <v>0</v>
      </c>
      <c r="I656" s="23" t="s">
        <v>4682</v>
      </c>
      <c r="J656" s="23" t="s">
        <v>4729</v>
      </c>
      <c r="K656" s="23" t="s">
        <v>4735</v>
      </c>
      <c r="L656">
        <v>1988</v>
      </c>
      <c r="M656" s="15" t="s">
        <v>4700</v>
      </c>
      <c r="N656">
        <v>18</v>
      </c>
      <c r="O656">
        <v>1</v>
      </c>
      <c r="P656" s="21">
        <f>DATEVALUE(N656&amp;"-"&amp;M656&amp;"-"&amp;L656)</f>
        <v>32465</v>
      </c>
      <c r="Q656" s="22">
        <v>5594.85</v>
      </c>
      <c r="R656" s="23" t="s">
        <v>4697</v>
      </c>
      <c r="S656" s="23" t="s">
        <v>4698</v>
      </c>
      <c r="T656" s="23" t="s">
        <v>4714</v>
      </c>
      <c r="U656" s="23">
        <f>DATEDIF(P656, DATE(2023, 6, 8), "Y")</f>
        <v>34</v>
      </c>
      <c r="V656">
        <f>SUM(C656:K656)</f>
        <v>51</v>
      </c>
    </row>
    <row r="657" spans="1:22" ht="15.75">
      <c r="A657" s="28" t="s">
        <v>1312</v>
      </c>
      <c r="B657" s="28" t="s">
        <v>1313</v>
      </c>
      <c r="C657" s="23">
        <v>41.3</v>
      </c>
      <c r="D657" s="23">
        <v>9.59</v>
      </c>
      <c r="E657" s="23" t="s">
        <v>4682</v>
      </c>
      <c r="F657" s="23" t="s">
        <v>4682</v>
      </c>
      <c r="G657" s="23" t="s">
        <v>4682</v>
      </c>
      <c r="H657" s="23">
        <v>0</v>
      </c>
      <c r="I657" s="23" t="s">
        <v>4682</v>
      </c>
      <c r="J657" s="23" t="s">
        <v>4729</v>
      </c>
      <c r="K657" s="23" t="s">
        <v>4735</v>
      </c>
      <c r="L657">
        <v>1978</v>
      </c>
      <c r="M657" s="15" t="s">
        <v>4703</v>
      </c>
      <c r="N657">
        <v>11</v>
      </c>
      <c r="O657">
        <v>2</v>
      </c>
      <c r="P657" s="21">
        <f>DATEVALUE(N657&amp;"-"&amp;M657&amp;"-"&amp;L657)</f>
        <v>28744</v>
      </c>
      <c r="Q657" s="22">
        <v>5612.83</v>
      </c>
      <c r="R657" s="23" t="s">
        <v>4697</v>
      </c>
      <c r="S657" s="23" t="s">
        <v>4698</v>
      </c>
      <c r="T657" s="23" t="s">
        <v>4699</v>
      </c>
      <c r="U657" s="23">
        <f>DATEDIF(P657, DATE(2023, 6, 8), "Y")</f>
        <v>44</v>
      </c>
      <c r="V657">
        <f>SUM(C657:K657)</f>
        <v>50.89</v>
      </c>
    </row>
    <row r="658" spans="1:22" ht="15.75">
      <c r="A658" s="28" t="s">
        <v>1314</v>
      </c>
      <c r="B658" s="28" t="s">
        <v>1315</v>
      </c>
      <c r="C658" s="23">
        <v>42.95</v>
      </c>
      <c r="D658" s="23">
        <v>11.88</v>
      </c>
      <c r="E658" s="23" t="s">
        <v>4683</v>
      </c>
      <c r="F658" s="23" t="s">
        <v>4682</v>
      </c>
      <c r="G658" s="23" t="s">
        <v>4682</v>
      </c>
      <c r="H658" s="23">
        <v>2</v>
      </c>
      <c r="I658" s="23" t="s">
        <v>4682</v>
      </c>
      <c r="J658" s="23" t="s">
        <v>4729</v>
      </c>
      <c r="K658" s="23" t="s">
        <v>4735</v>
      </c>
      <c r="L658">
        <v>1994</v>
      </c>
      <c r="M658" s="15" t="s">
        <v>4700</v>
      </c>
      <c r="N658">
        <v>15</v>
      </c>
      <c r="O658">
        <v>5</v>
      </c>
      <c r="P658" s="21">
        <f>DATEVALUE(N658&amp;"-"&amp;M658&amp;"-"&amp;L658)</f>
        <v>34653</v>
      </c>
      <c r="Q658" s="22">
        <v>5615.37</v>
      </c>
      <c r="R658" s="23" t="s">
        <v>4697</v>
      </c>
      <c r="S658" s="23" t="s">
        <v>4698</v>
      </c>
      <c r="T658" s="23" t="s">
        <v>4708</v>
      </c>
      <c r="U658" s="23">
        <f>DATEDIF(P658, DATE(2023, 6, 8), "Y")</f>
        <v>28</v>
      </c>
      <c r="V658">
        <f>SUM(C658:K658)</f>
        <v>56.830000000000005</v>
      </c>
    </row>
    <row r="659" spans="1:22" ht="15.75">
      <c r="A659" s="28" t="s">
        <v>1316</v>
      </c>
      <c r="B659" s="28" t="s">
        <v>1317</v>
      </c>
      <c r="C659" s="23">
        <v>46.96</v>
      </c>
      <c r="D659" s="23">
        <v>4.6399999999999997</v>
      </c>
      <c r="E659" s="23" t="s">
        <v>4682</v>
      </c>
      <c r="F659" s="23" t="s">
        <v>4682</v>
      </c>
      <c r="G659" s="23" t="s">
        <v>4684</v>
      </c>
      <c r="H659" s="23">
        <v>1</v>
      </c>
      <c r="I659" s="23" t="s">
        <v>4682</v>
      </c>
      <c r="J659" s="23" t="s">
        <v>4729</v>
      </c>
      <c r="K659" s="23" t="s">
        <v>4737</v>
      </c>
      <c r="L659">
        <v>1987</v>
      </c>
      <c r="M659" s="15" t="s">
        <v>4705</v>
      </c>
      <c r="N659">
        <v>9</v>
      </c>
      <c r="O659">
        <v>1</v>
      </c>
      <c r="P659" s="21">
        <f>DATEVALUE(N659&amp;"-"&amp;M659&amp;"-"&amp;L659)</f>
        <v>32120</v>
      </c>
      <c r="Q659" s="22">
        <v>5630.46</v>
      </c>
      <c r="R659" s="23" t="s">
        <v>4697</v>
      </c>
      <c r="S659" s="23" t="s">
        <v>4698</v>
      </c>
      <c r="T659" s="23" t="s">
        <v>4704</v>
      </c>
      <c r="U659" s="23">
        <f>DATEDIF(P659, DATE(2023, 6, 8), "Y")</f>
        <v>35</v>
      </c>
      <c r="V659">
        <f>SUM(C659:K659)</f>
        <v>52.6</v>
      </c>
    </row>
    <row r="660" spans="1:22" ht="15.75">
      <c r="A660" s="28" t="s">
        <v>1318</v>
      </c>
      <c r="B660" s="28" t="s">
        <v>1319</v>
      </c>
      <c r="C660" s="23">
        <v>30.495000000000001</v>
      </c>
      <c r="D660" s="23">
        <v>9.5299999999999994</v>
      </c>
      <c r="E660" s="23" t="s">
        <v>4682</v>
      </c>
      <c r="F660" s="23" t="s">
        <v>4682</v>
      </c>
      <c r="G660" s="23" t="s">
        <v>4682</v>
      </c>
      <c r="H660" s="23">
        <v>0</v>
      </c>
      <c r="I660" s="23" t="s">
        <v>4682</v>
      </c>
      <c r="J660" s="23" t="s">
        <v>4729</v>
      </c>
      <c r="K660" s="23" t="s">
        <v>4735</v>
      </c>
      <c r="L660">
        <v>1983</v>
      </c>
      <c r="M660" s="15" t="s">
        <v>4702</v>
      </c>
      <c r="N660">
        <v>8</v>
      </c>
      <c r="O660">
        <v>0</v>
      </c>
      <c r="P660" s="21">
        <f>DATEVALUE(N660&amp;"-"&amp;M660&amp;"-"&amp;L660)</f>
        <v>30475</v>
      </c>
      <c r="Q660" s="22">
        <v>5649.72</v>
      </c>
      <c r="R660" s="23" t="s">
        <v>4697</v>
      </c>
      <c r="S660" s="23" t="s">
        <v>4698</v>
      </c>
      <c r="T660" s="23" t="s">
        <v>4708</v>
      </c>
      <c r="U660" s="23">
        <f>DATEDIF(P660, DATE(2023, 6, 8), "Y")</f>
        <v>40</v>
      </c>
      <c r="V660">
        <f>SUM(C660:K660)</f>
        <v>40.024999999999999</v>
      </c>
    </row>
    <row r="661" spans="1:22" ht="15.75">
      <c r="A661" s="28" t="s">
        <v>1320</v>
      </c>
      <c r="B661" s="28" t="s">
        <v>1321</v>
      </c>
      <c r="C661" s="23">
        <v>17.954999999999998</v>
      </c>
      <c r="D661" s="23">
        <v>5.29</v>
      </c>
      <c r="E661" s="23" t="s">
        <v>4683</v>
      </c>
      <c r="F661" s="23" t="s">
        <v>4682</v>
      </c>
      <c r="G661" s="23" t="s">
        <v>4682</v>
      </c>
      <c r="H661" s="23">
        <v>1</v>
      </c>
      <c r="I661" s="23" t="s">
        <v>4683</v>
      </c>
      <c r="J661" s="23" t="s">
        <v>4731</v>
      </c>
      <c r="K661" s="23" t="s">
        <v>4737</v>
      </c>
      <c r="L661">
        <v>1978</v>
      </c>
      <c r="M661" s="15" t="s">
        <v>4703</v>
      </c>
      <c r="N661">
        <v>27</v>
      </c>
      <c r="O661">
        <v>2</v>
      </c>
      <c r="P661" s="21">
        <f>DATEVALUE(N661&amp;"-"&amp;M661&amp;"-"&amp;L661)</f>
        <v>28760</v>
      </c>
      <c r="Q661" s="22">
        <v>5650.14</v>
      </c>
      <c r="R661" s="23" t="s">
        <v>4697</v>
      </c>
      <c r="S661" s="23" t="s">
        <v>4701</v>
      </c>
      <c r="T661" s="23" t="s">
        <v>4699</v>
      </c>
      <c r="U661" s="23">
        <f>DATEDIF(P661, DATE(2023, 6, 8), "Y")</f>
        <v>44</v>
      </c>
      <c r="V661">
        <f>SUM(C661:K661)</f>
        <v>24.244999999999997</v>
      </c>
    </row>
    <row r="662" spans="1:22" ht="15.75">
      <c r="A662" s="28" t="s">
        <v>1322</v>
      </c>
      <c r="B662" s="28" t="s">
        <v>1323</v>
      </c>
      <c r="C662" s="23">
        <v>25.6</v>
      </c>
      <c r="D662" s="23">
        <v>10.95</v>
      </c>
      <c r="E662" s="23" t="s">
        <v>4682</v>
      </c>
      <c r="F662" s="23" t="s">
        <v>4682</v>
      </c>
      <c r="G662" s="23" t="s">
        <v>4682</v>
      </c>
      <c r="H662" s="23">
        <v>3</v>
      </c>
      <c r="I662" s="23" t="s">
        <v>4682</v>
      </c>
      <c r="J662" s="23" t="s">
        <v>4730</v>
      </c>
      <c r="K662" s="23" t="s">
        <v>4735</v>
      </c>
      <c r="L662">
        <v>1983</v>
      </c>
      <c r="M662" s="15" t="s">
        <v>4703</v>
      </c>
      <c r="N662">
        <v>3</v>
      </c>
      <c r="O662">
        <v>0</v>
      </c>
      <c r="P662" s="21">
        <f>DATEVALUE(N662&amp;"-"&amp;M662&amp;"-"&amp;L662)</f>
        <v>30562</v>
      </c>
      <c r="Q662" s="22">
        <v>5662.23</v>
      </c>
      <c r="R662" s="23" t="s">
        <v>4697</v>
      </c>
      <c r="S662" s="23" t="s">
        <v>4701</v>
      </c>
      <c r="T662" s="23" t="s">
        <v>4699</v>
      </c>
      <c r="U662" s="23">
        <f>DATEDIF(P662, DATE(2023, 6, 8), "Y")</f>
        <v>39</v>
      </c>
      <c r="V662">
        <f>SUM(C662:K662)</f>
        <v>39.549999999999997</v>
      </c>
    </row>
    <row r="663" spans="1:22" ht="15.75">
      <c r="A663" s="28" t="s">
        <v>1324</v>
      </c>
      <c r="B663" s="28" t="s">
        <v>1325</v>
      </c>
      <c r="C663" s="23">
        <v>34.21</v>
      </c>
      <c r="D663" s="23">
        <v>9.17</v>
      </c>
      <c r="E663" s="23" t="s">
        <v>4682</v>
      </c>
      <c r="F663" s="23" t="s">
        <v>4682</v>
      </c>
      <c r="G663" s="23" t="s">
        <v>4682</v>
      </c>
      <c r="H663" s="23">
        <v>0</v>
      </c>
      <c r="I663" s="23" t="s">
        <v>4682</v>
      </c>
      <c r="J663" s="23" t="s">
        <v>4729</v>
      </c>
      <c r="K663" s="23" t="s">
        <v>4735</v>
      </c>
      <c r="L663">
        <v>1984</v>
      </c>
      <c r="M663" s="15" t="s">
        <v>4706</v>
      </c>
      <c r="N663">
        <v>12</v>
      </c>
      <c r="O663">
        <v>3</v>
      </c>
      <c r="P663" s="21">
        <f>DATEVALUE(N663&amp;"-"&amp;M663&amp;"-"&amp;L663)</f>
        <v>30906</v>
      </c>
      <c r="Q663" s="22">
        <v>5679.13</v>
      </c>
      <c r="R663" s="23" t="s">
        <v>4697</v>
      </c>
      <c r="S663" s="23" t="s">
        <v>4697</v>
      </c>
      <c r="T663" s="23" t="s">
        <v>4699</v>
      </c>
      <c r="U663" s="23">
        <f>DATEDIF(P663, DATE(2023, 6, 8), "Y")</f>
        <v>38</v>
      </c>
      <c r="V663">
        <f>SUM(C663:K663)</f>
        <v>43.38</v>
      </c>
    </row>
    <row r="664" spans="1:22" ht="15.75">
      <c r="A664" s="28" t="s">
        <v>1326</v>
      </c>
      <c r="B664" s="28" t="s">
        <v>1327</v>
      </c>
      <c r="C664" s="23">
        <v>39.74</v>
      </c>
      <c r="D664" s="23">
        <v>7.39</v>
      </c>
      <c r="E664" s="23" t="s">
        <v>4682</v>
      </c>
      <c r="F664" s="23" t="s">
        <v>4682</v>
      </c>
      <c r="G664" s="23" t="s">
        <v>4682</v>
      </c>
      <c r="H664" s="23">
        <v>0</v>
      </c>
      <c r="I664" s="23" t="s">
        <v>4682</v>
      </c>
      <c r="J664" s="23" t="s">
        <v>4729</v>
      </c>
      <c r="K664" s="23" t="s">
        <v>4735</v>
      </c>
      <c r="L664">
        <v>1972</v>
      </c>
      <c r="M664" s="15" t="s">
        <v>4707</v>
      </c>
      <c r="N664">
        <v>28</v>
      </c>
      <c r="O664">
        <v>0</v>
      </c>
      <c r="P664" s="21">
        <f>DATEVALUE(N664&amp;"-"&amp;M664&amp;"-"&amp;L664)</f>
        <v>26600</v>
      </c>
      <c r="Q664" s="22">
        <v>5690.79</v>
      </c>
      <c r="R664" s="23" t="s">
        <v>4697</v>
      </c>
      <c r="S664" s="23" t="s">
        <v>4701</v>
      </c>
      <c r="T664" s="23" t="s">
        <v>4699</v>
      </c>
      <c r="U664" s="23">
        <f>DATEDIF(P664, DATE(2023, 6, 8), "Y")</f>
        <v>50</v>
      </c>
      <c r="V664">
        <f>SUM(C664:K664)</f>
        <v>47.13</v>
      </c>
    </row>
    <row r="665" spans="1:22" ht="15.75">
      <c r="A665" s="28" t="s">
        <v>1328</v>
      </c>
      <c r="B665" s="28" t="s">
        <v>1329</v>
      </c>
      <c r="C665" s="23">
        <v>49.53</v>
      </c>
      <c r="D665" s="23">
        <v>9.1300000000000008</v>
      </c>
      <c r="E665" s="23" t="s">
        <v>4683</v>
      </c>
      <c r="F665" s="23" t="s">
        <v>4682</v>
      </c>
      <c r="G665" s="23" t="s">
        <v>4682</v>
      </c>
      <c r="H665" s="23">
        <v>0</v>
      </c>
      <c r="I665" s="23" t="s">
        <v>4682</v>
      </c>
      <c r="J665" s="23" t="s">
        <v>4729</v>
      </c>
      <c r="K665" s="23" t="s">
        <v>4735</v>
      </c>
      <c r="L665">
        <v>1992</v>
      </c>
      <c r="M665" s="15" t="s">
        <v>4700</v>
      </c>
      <c r="N665">
        <v>3</v>
      </c>
      <c r="O665">
        <v>3</v>
      </c>
      <c r="P665" s="21">
        <f>DATEVALUE(N665&amp;"-"&amp;M665&amp;"-"&amp;L665)</f>
        <v>33911</v>
      </c>
      <c r="Q665" s="22">
        <v>5693.43</v>
      </c>
      <c r="R665" s="23" t="s">
        <v>4697</v>
      </c>
      <c r="S665" s="23" t="s">
        <v>4698</v>
      </c>
      <c r="T665" s="23" t="s">
        <v>4704</v>
      </c>
      <c r="U665" s="23">
        <f>DATEDIF(P665, DATE(2023, 6, 8), "Y")</f>
        <v>30</v>
      </c>
      <c r="V665">
        <f>SUM(C665:K665)</f>
        <v>58.660000000000004</v>
      </c>
    </row>
    <row r="666" spans="1:22" ht="15.75">
      <c r="A666" s="28" t="s">
        <v>1330</v>
      </c>
      <c r="B666" s="28" t="s">
        <v>1331</v>
      </c>
      <c r="C666" s="23">
        <v>39.33</v>
      </c>
      <c r="D666" s="23">
        <v>10.4</v>
      </c>
      <c r="E666" s="23" t="s">
        <v>4682</v>
      </c>
      <c r="F666" s="23" t="s">
        <v>4682</v>
      </c>
      <c r="G666" s="23" t="s">
        <v>4682</v>
      </c>
      <c r="H666" s="23">
        <v>3</v>
      </c>
      <c r="I666" s="23" t="s">
        <v>4682</v>
      </c>
      <c r="J666" s="23" t="s">
        <v>4729</v>
      </c>
      <c r="K666" s="23" t="s">
        <v>4735</v>
      </c>
      <c r="L666">
        <v>1974</v>
      </c>
      <c r="M666" s="15" t="s">
        <v>4696</v>
      </c>
      <c r="N666">
        <v>6</v>
      </c>
      <c r="O666">
        <v>0</v>
      </c>
      <c r="P666" s="21">
        <f>DATEVALUE(N666&amp;"-"&amp;M666&amp;"-"&amp;L666)</f>
        <v>27216</v>
      </c>
      <c r="Q666" s="22">
        <v>5698.74</v>
      </c>
      <c r="R666" s="23" t="s">
        <v>4697</v>
      </c>
      <c r="S666" s="23" t="s">
        <v>4697</v>
      </c>
      <c r="T666" s="23" t="s">
        <v>4704</v>
      </c>
      <c r="U666" s="23">
        <f>DATEDIF(P666, DATE(2023, 6, 8), "Y")</f>
        <v>48</v>
      </c>
      <c r="V666">
        <f>SUM(C666:K666)</f>
        <v>52.73</v>
      </c>
    </row>
    <row r="667" spans="1:22" ht="15.75">
      <c r="A667" s="28" t="s">
        <v>1332</v>
      </c>
      <c r="B667" s="28" t="s">
        <v>1333</v>
      </c>
      <c r="C667" s="23">
        <v>39.979999999999997</v>
      </c>
      <c r="D667" s="23">
        <v>9.4600000000000009</v>
      </c>
      <c r="E667" s="23" t="s">
        <v>4683</v>
      </c>
      <c r="F667" s="23" t="s">
        <v>4682</v>
      </c>
      <c r="G667" s="23" t="s">
        <v>4682</v>
      </c>
      <c r="H667" s="23">
        <v>2</v>
      </c>
      <c r="I667" s="23" t="s">
        <v>4682</v>
      </c>
      <c r="J667" s="23" t="s">
        <v>4729</v>
      </c>
      <c r="K667" s="23" t="s">
        <v>4735</v>
      </c>
      <c r="L667">
        <v>1981</v>
      </c>
      <c r="M667" s="15" t="s">
        <v>4702</v>
      </c>
      <c r="N667">
        <v>15</v>
      </c>
      <c r="O667">
        <v>0</v>
      </c>
      <c r="P667" s="21">
        <f>DATEVALUE(N667&amp;"-"&amp;M667&amp;"-"&amp;L667)</f>
        <v>29752</v>
      </c>
      <c r="Q667" s="22">
        <v>5699.84</v>
      </c>
      <c r="R667" s="23" t="s">
        <v>4697</v>
      </c>
      <c r="S667" s="23" t="s">
        <v>4698</v>
      </c>
      <c r="T667" s="23" t="s">
        <v>4699</v>
      </c>
      <c r="U667" s="23">
        <f>DATEDIF(P667, DATE(2023, 6, 8), "Y")</f>
        <v>41</v>
      </c>
      <c r="V667">
        <f>SUM(C667:K667)</f>
        <v>51.44</v>
      </c>
    </row>
    <row r="668" spans="1:22" ht="15.75">
      <c r="A668" s="28" t="s">
        <v>1334</v>
      </c>
      <c r="B668" s="28" t="s">
        <v>1335</v>
      </c>
      <c r="C668" s="23">
        <v>46.51</v>
      </c>
      <c r="D668" s="23">
        <v>8.69</v>
      </c>
      <c r="E668" s="23" t="s">
        <v>4683</v>
      </c>
      <c r="F668" s="23" t="s">
        <v>4682</v>
      </c>
      <c r="G668" s="23" t="s">
        <v>4682</v>
      </c>
      <c r="H668" s="23">
        <v>0</v>
      </c>
      <c r="I668" s="23" t="s">
        <v>4682</v>
      </c>
      <c r="J668" s="23" t="s">
        <v>4729</v>
      </c>
      <c r="K668" s="23" t="s">
        <v>4735</v>
      </c>
      <c r="L668">
        <v>1993</v>
      </c>
      <c r="M668" s="15" t="s">
        <v>4700</v>
      </c>
      <c r="N668">
        <v>3</v>
      </c>
      <c r="O668">
        <v>4</v>
      </c>
      <c r="P668" s="21">
        <f>DATEVALUE(N668&amp;"-"&amp;M668&amp;"-"&amp;L668)</f>
        <v>34276</v>
      </c>
      <c r="Q668" s="22">
        <v>5708.87</v>
      </c>
      <c r="R668" s="23" t="s">
        <v>4697</v>
      </c>
      <c r="S668" s="23" t="s">
        <v>4701</v>
      </c>
      <c r="T668" s="23" t="s">
        <v>4708</v>
      </c>
      <c r="U668" s="23">
        <f>DATEDIF(P668, DATE(2023, 6, 8), "Y")</f>
        <v>29</v>
      </c>
      <c r="V668">
        <f>SUM(C668:K668)</f>
        <v>55.199999999999996</v>
      </c>
    </row>
    <row r="669" spans="1:22" ht="15.75">
      <c r="A669" s="28" t="s">
        <v>1336</v>
      </c>
      <c r="B669" s="28" t="s">
        <v>1337</v>
      </c>
      <c r="C669" s="23">
        <v>43.58</v>
      </c>
      <c r="D669" s="23">
        <v>4.2300000000000004</v>
      </c>
      <c r="E669" s="23" t="s">
        <v>4682</v>
      </c>
      <c r="F669" s="23" t="s">
        <v>4682</v>
      </c>
      <c r="G669" s="23" t="s">
        <v>4684</v>
      </c>
      <c r="H669" s="23">
        <v>1</v>
      </c>
      <c r="I669" s="23" t="s">
        <v>4682</v>
      </c>
      <c r="J669" s="23" t="s">
        <v>4729</v>
      </c>
      <c r="K669" s="23" t="s">
        <v>4737</v>
      </c>
      <c r="L669">
        <v>1981</v>
      </c>
      <c r="M669" s="15" t="s">
        <v>4706</v>
      </c>
      <c r="N669">
        <v>30</v>
      </c>
      <c r="O669">
        <v>0</v>
      </c>
      <c r="P669" s="21">
        <f>DATEVALUE(N669&amp;"-"&amp;M669&amp;"-"&amp;L669)</f>
        <v>29828</v>
      </c>
      <c r="Q669" s="22">
        <v>5709.16</v>
      </c>
      <c r="R669" s="23" t="s">
        <v>4698</v>
      </c>
      <c r="S669" s="23" t="s">
        <v>4698</v>
      </c>
      <c r="T669" s="23" t="s">
        <v>4699</v>
      </c>
      <c r="U669" s="23">
        <f>DATEDIF(P669, DATE(2023, 6, 8), "Y")</f>
        <v>41</v>
      </c>
      <c r="V669">
        <f>SUM(C669:K669)</f>
        <v>48.81</v>
      </c>
    </row>
    <row r="670" spans="1:22" ht="15.75">
      <c r="A670" s="28" t="s">
        <v>1338</v>
      </c>
      <c r="B670" s="28" t="s">
        <v>1339</v>
      </c>
      <c r="C670" s="23">
        <v>42.28</v>
      </c>
      <c r="D670" s="23">
        <v>9.16</v>
      </c>
      <c r="E670" s="23" t="s">
        <v>4683</v>
      </c>
      <c r="F670" s="23" t="s">
        <v>4682</v>
      </c>
      <c r="G670" s="23" t="s">
        <v>4682</v>
      </c>
      <c r="H670" s="23">
        <v>1</v>
      </c>
      <c r="I670" s="23" t="s">
        <v>4682</v>
      </c>
      <c r="J670" s="23" t="s">
        <v>4729</v>
      </c>
      <c r="K670" s="23" t="s">
        <v>4735</v>
      </c>
      <c r="L670">
        <v>1971</v>
      </c>
      <c r="M670" s="15" t="s">
        <v>4705</v>
      </c>
      <c r="N670">
        <v>18</v>
      </c>
      <c r="O670">
        <v>0</v>
      </c>
      <c r="P670" s="21">
        <f>DATEVALUE(N670&amp;"-"&amp;M670&amp;"-"&amp;L670)</f>
        <v>26285</v>
      </c>
      <c r="Q670" s="22">
        <v>5720.38</v>
      </c>
      <c r="R670" s="23" t="s">
        <v>4697</v>
      </c>
      <c r="S670" s="23" t="s">
        <v>4701</v>
      </c>
      <c r="T670" s="23" t="s">
        <v>4699</v>
      </c>
      <c r="U670" s="23">
        <f>DATEDIF(P670, DATE(2023, 6, 8), "Y")</f>
        <v>51</v>
      </c>
      <c r="V670">
        <f>SUM(C670:K670)</f>
        <v>52.44</v>
      </c>
    </row>
    <row r="671" spans="1:22" ht="15.75">
      <c r="A671" s="28" t="s">
        <v>1340</v>
      </c>
      <c r="B671" s="28" t="s">
        <v>1341</v>
      </c>
      <c r="C671" s="23">
        <v>35.520000000000003</v>
      </c>
      <c r="D671" s="23">
        <v>8.26</v>
      </c>
      <c r="E671" s="23" t="s">
        <v>4682</v>
      </c>
      <c r="F671" s="23" t="s">
        <v>4682</v>
      </c>
      <c r="G671" s="23" t="s">
        <v>4682</v>
      </c>
      <c r="H671" s="23">
        <v>0</v>
      </c>
      <c r="I671" s="23" t="s">
        <v>4682</v>
      </c>
      <c r="J671" s="23" t="s">
        <v>4729</v>
      </c>
      <c r="K671" s="23" t="s">
        <v>4735</v>
      </c>
      <c r="L671">
        <v>1987</v>
      </c>
      <c r="M671" s="15" t="s">
        <v>4707</v>
      </c>
      <c r="N671">
        <v>19</v>
      </c>
      <c r="O671">
        <v>2</v>
      </c>
      <c r="P671" s="21">
        <f>DATEVALUE(N671&amp;"-"&amp;M671&amp;"-"&amp;L671)</f>
        <v>32069</v>
      </c>
      <c r="Q671" s="22">
        <v>5729.01</v>
      </c>
      <c r="R671" s="23" t="s">
        <v>4701</v>
      </c>
      <c r="S671" s="23" t="s">
        <v>4697</v>
      </c>
      <c r="T671" s="23" t="s">
        <v>4704</v>
      </c>
      <c r="U671" s="23">
        <f>DATEDIF(P671, DATE(2023, 6, 8), "Y")</f>
        <v>35</v>
      </c>
      <c r="V671">
        <f>SUM(C671:K671)</f>
        <v>43.78</v>
      </c>
    </row>
    <row r="672" spans="1:22" ht="15.75">
      <c r="A672" s="28" t="s">
        <v>1342</v>
      </c>
      <c r="B672" s="28" t="s">
        <v>1343</v>
      </c>
      <c r="C672" s="23">
        <v>33.6</v>
      </c>
      <c r="D672" s="23">
        <v>11.25</v>
      </c>
      <c r="E672" s="23" t="s">
        <v>4682</v>
      </c>
      <c r="F672" s="23" t="s">
        <v>4682</v>
      </c>
      <c r="G672" s="23" t="s">
        <v>4682</v>
      </c>
      <c r="H672" s="23">
        <v>0</v>
      </c>
      <c r="I672" s="23" t="s">
        <v>4682</v>
      </c>
      <c r="J672" s="23" t="s">
        <v>4729</v>
      </c>
      <c r="K672" s="23" t="s">
        <v>4735</v>
      </c>
      <c r="L672">
        <v>1972</v>
      </c>
      <c r="M672" s="15" t="s">
        <v>4706</v>
      </c>
      <c r="N672">
        <v>21</v>
      </c>
      <c r="O672">
        <v>0</v>
      </c>
      <c r="P672" s="21">
        <f>DATEVALUE(N672&amp;"-"&amp;M672&amp;"-"&amp;L672)</f>
        <v>26532</v>
      </c>
      <c r="Q672" s="22">
        <v>5741.67</v>
      </c>
      <c r="R672" s="23" t="s">
        <v>4697</v>
      </c>
      <c r="S672" s="23" t="s">
        <v>4698</v>
      </c>
      <c r="T672" s="23" t="s">
        <v>4699</v>
      </c>
      <c r="U672" s="23">
        <f>DATEDIF(P672, DATE(2023, 6, 8), "Y")</f>
        <v>50</v>
      </c>
      <c r="V672">
        <f>SUM(C672:K672)</f>
        <v>44.85</v>
      </c>
    </row>
    <row r="673" spans="1:22" ht="15.75">
      <c r="A673" s="28" t="s">
        <v>1344</v>
      </c>
      <c r="B673" s="28" t="s">
        <v>1345</v>
      </c>
      <c r="C673" s="23">
        <v>22.42</v>
      </c>
      <c r="D673" s="23">
        <v>6.74</v>
      </c>
      <c r="E673" s="23" t="s">
        <v>4682</v>
      </c>
      <c r="F673" s="23" t="s">
        <v>4682</v>
      </c>
      <c r="G673" s="23" t="s">
        <v>4682</v>
      </c>
      <c r="H673" s="23">
        <v>0</v>
      </c>
      <c r="I673" s="23" t="s">
        <v>4683</v>
      </c>
      <c r="J673" s="23" t="s">
        <v>4728</v>
      </c>
      <c r="K673" s="23" t="s">
        <v>4735</v>
      </c>
      <c r="L673">
        <v>1993</v>
      </c>
      <c r="M673" s="15" t="s">
        <v>4702</v>
      </c>
      <c r="N673">
        <v>10</v>
      </c>
      <c r="O673">
        <v>0</v>
      </c>
      <c r="P673" s="21">
        <f>DATEVALUE(N673&amp;"-"&amp;M673&amp;"-"&amp;L673)</f>
        <v>34130</v>
      </c>
      <c r="Q673" s="22">
        <v>5748.13</v>
      </c>
      <c r="R673" s="23" t="s">
        <v>4697</v>
      </c>
      <c r="S673" s="23" t="s">
        <v>4701</v>
      </c>
      <c r="T673" s="23" t="s">
        <v>4717</v>
      </c>
      <c r="U673" s="23">
        <f>DATEDIF(P673, DATE(2023, 6, 8), "Y")</f>
        <v>29</v>
      </c>
      <c r="V673">
        <f>SUM(C673:K673)</f>
        <v>29.160000000000004</v>
      </c>
    </row>
    <row r="674" spans="1:22" ht="15.75">
      <c r="A674" s="28" t="s">
        <v>1346</v>
      </c>
      <c r="B674" s="28" t="s">
        <v>1347</v>
      </c>
      <c r="C674" s="23">
        <v>46.86</v>
      </c>
      <c r="D674" s="23">
        <v>4.87</v>
      </c>
      <c r="E674" s="23" t="s">
        <v>4682</v>
      </c>
      <c r="F674" s="23" t="s">
        <v>4682</v>
      </c>
      <c r="G674" s="23" t="s">
        <v>4682</v>
      </c>
      <c r="H674" s="23">
        <v>0</v>
      </c>
      <c r="I674" s="23" t="s">
        <v>4682</v>
      </c>
      <c r="J674" s="23" t="s">
        <v>4729</v>
      </c>
      <c r="K674" s="23" t="s">
        <v>4737</v>
      </c>
      <c r="L674">
        <v>1983</v>
      </c>
      <c r="M674" s="15" t="s">
        <v>4706</v>
      </c>
      <c r="N674">
        <v>30</v>
      </c>
      <c r="O674">
        <v>0</v>
      </c>
      <c r="P674" s="21">
        <f>DATEVALUE(N674&amp;"-"&amp;M674&amp;"-"&amp;L674)</f>
        <v>30558</v>
      </c>
      <c r="Q674" s="22">
        <v>5757.41</v>
      </c>
      <c r="R674" s="23" t="s">
        <v>4697</v>
      </c>
      <c r="S674" s="23" t="s">
        <v>4698</v>
      </c>
      <c r="T674" s="23" t="s">
        <v>4710</v>
      </c>
      <c r="U674" s="23">
        <f>DATEDIF(P674, DATE(2023, 6, 8), "Y")</f>
        <v>39</v>
      </c>
      <c r="V674">
        <f>SUM(C674:K674)</f>
        <v>51.73</v>
      </c>
    </row>
    <row r="675" spans="1:22" ht="15.75">
      <c r="A675" s="28" t="s">
        <v>1348</v>
      </c>
      <c r="B675" s="28" t="s">
        <v>1349</v>
      </c>
      <c r="C675" s="23">
        <v>32.965000000000003</v>
      </c>
      <c r="D675" s="23">
        <v>6.68</v>
      </c>
      <c r="E675" s="23" t="s">
        <v>4682</v>
      </c>
      <c r="F675" s="23" t="s">
        <v>4682</v>
      </c>
      <c r="G675" s="23" t="s">
        <v>4682</v>
      </c>
      <c r="H675" s="23">
        <v>3</v>
      </c>
      <c r="I675" s="23" t="s">
        <v>4682</v>
      </c>
      <c r="J675" s="23" t="s">
        <v>4729</v>
      </c>
      <c r="K675" s="23" t="s">
        <v>4735</v>
      </c>
      <c r="L675">
        <v>2004</v>
      </c>
      <c r="M675" s="15" t="s">
        <v>4700</v>
      </c>
      <c r="N675">
        <v>1</v>
      </c>
      <c r="O675">
        <v>0</v>
      </c>
      <c r="P675" s="21">
        <f>DATEVALUE(N675&amp;"-"&amp;M675&amp;"-"&amp;L675)</f>
        <v>38292</v>
      </c>
      <c r="Q675" s="22">
        <v>5778.71</v>
      </c>
      <c r="R675" s="23" t="s">
        <v>4697</v>
      </c>
      <c r="S675" s="23" t="s">
        <v>4698</v>
      </c>
      <c r="T675" s="23" t="s">
        <v>4721</v>
      </c>
      <c r="U675" s="23">
        <f>DATEDIF(P675, DATE(2023, 6, 8), "Y")</f>
        <v>18</v>
      </c>
      <c r="V675">
        <f>SUM(C675:K675)</f>
        <v>42.645000000000003</v>
      </c>
    </row>
    <row r="676" spans="1:22" ht="15.75">
      <c r="A676" s="28" t="s">
        <v>1350</v>
      </c>
      <c r="B676" s="28" t="s">
        <v>1351</v>
      </c>
      <c r="C676" s="23">
        <v>39.340000000000003</v>
      </c>
      <c r="D676" s="23">
        <v>5.0199999999999996</v>
      </c>
      <c r="E676" s="23" t="s">
        <v>4683</v>
      </c>
      <c r="F676" s="23" t="s">
        <v>4682</v>
      </c>
      <c r="G676" s="23" t="s">
        <v>4684</v>
      </c>
      <c r="H676" s="23">
        <v>1</v>
      </c>
      <c r="I676" s="23" t="s">
        <v>4682</v>
      </c>
      <c r="J676" s="23" t="s">
        <v>4729</v>
      </c>
      <c r="K676" s="23" t="s">
        <v>4737</v>
      </c>
      <c r="L676">
        <v>1980</v>
      </c>
      <c r="M676" s="15" t="s">
        <v>4703</v>
      </c>
      <c r="N676">
        <v>18</v>
      </c>
      <c r="O676">
        <v>2</v>
      </c>
      <c r="P676" s="21">
        <f>DATEVALUE(N676&amp;"-"&amp;M676&amp;"-"&amp;L676)</f>
        <v>29482</v>
      </c>
      <c r="Q676" s="22">
        <v>5807.06</v>
      </c>
      <c r="R676" s="23" t="s">
        <v>4697</v>
      </c>
      <c r="S676" s="23" t="s">
        <v>4698</v>
      </c>
      <c r="T676" s="23" t="s">
        <v>4699</v>
      </c>
      <c r="U676" s="23">
        <f>DATEDIF(P676, DATE(2023, 6, 8), "Y")</f>
        <v>42</v>
      </c>
      <c r="V676">
        <f>SUM(C676:K676)</f>
        <v>45.36</v>
      </c>
    </row>
    <row r="677" spans="1:22" ht="15.75">
      <c r="A677" s="28" t="s">
        <v>1352</v>
      </c>
      <c r="B677" s="28" t="s">
        <v>1353</v>
      </c>
      <c r="C677" s="23">
        <v>47</v>
      </c>
      <c r="D677" s="23">
        <v>10.64</v>
      </c>
      <c r="E677" s="23" t="s">
        <v>4683</v>
      </c>
      <c r="F677" s="23" t="s">
        <v>4682</v>
      </c>
      <c r="G677" s="23" t="s">
        <v>4682</v>
      </c>
      <c r="H677" s="23">
        <v>0</v>
      </c>
      <c r="I677" s="23" t="s">
        <v>4682</v>
      </c>
      <c r="J677" s="23" t="s">
        <v>4729</v>
      </c>
      <c r="K677" s="23" t="s">
        <v>4735</v>
      </c>
      <c r="L677">
        <v>1972</v>
      </c>
      <c r="M677" s="15" t="s">
        <v>4700</v>
      </c>
      <c r="N677">
        <v>2</v>
      </c>
      <c r="O677">
        <v>0</v>
      </c>
      <c r="P677" s="21">
        <f>DATEVALUE(N677&amp;"-"&amp;M677&amp;"-"&amp;L677)</f>
        <v>26605</v>
      </c>
      <c r="Q677" s="22">
        <v>5812.9</v>
      </c>
      <c r="R677" s="23" t="s">
        <v>4697</v>
      </c>
      <c r="S677" s="23" t="s">
        <v>4697</v>
      </c>
      <c r="T677" s="23" t="s">
        <v>4699</v>
      </c>
      <c r="U677" s="23">
        <f>DATEDIF(P677, DATE(2023, 6, 8), "Y")</f>
        <v>50</v>
      </c>
      <c r="V677">
        <f>SUM(C677:K677)</f>
        <v>57.64</v>
      </c>
    </row>
    <row r="678" spans="1:22" ht="15.75">
      <c r="A678" s="28" t="s">
        <v>1354</v>
      </c>
      <c r="B678" s="28" t="s">
        <v>1355</v>
      </c>
      <c r="C678" s="23">
        <v>36.71</v>
      </c>
      <c r="D678" s="23">
        <v>8.74</v>
      </c>
      <c r="E678" s="23" t="s">
        <v>4683</v>
      </c>
      <c r="F678" s="23" t="s">
        <v>4682</v>
      </c>
      <c r="G678" s="23" t="s">
        <v>4682</v>
      </c>
      <c r="H678" s="23">
        <v>0</v>
      </c>
      <c r="I678" s="23" t="s">
        <v>4682</v>
      </c>
      <c r="J678" s="23" t="s">
        <v>4729</v>
      </c>
      <c r="K678" s="23" t="s">
        <v>4735</v>
      </c>
      <c r="L678">
        <v>2002</v>
      </c>
      <c r="M678" s="15" t="s">
        <v>4696</v>
      </c>
      <c r="N678">
        <v>22</v>
      </c>
      <c r="O678">
        <v>0</v>
      </c>
      <c r="P678" s="21">
        <f>DATEVALUE(N678&amp;"-"&amp;M678&amp;"-"&amp;L678)</f>
        <v>37459</v>
      </c>
      <c r="Q678" s="22">
        <v>5816.58</v>
      </c>
      <c r="R678" s="23" t="s">
        <v>4697</v>
      </c>
      <c r="S678" s="23" t="s">
        <v>4697</v>
      </c>
      <c r="T678" s="23" t="s">
        <v>4720</v>
      </c>
      <c r="U678" s="23">
        <f>DATEDIF(P678, DATE(2023, 6, 8), "Y")</f>
        <v>20</v>
      </c>
      <c r="V678">
        <f>SUM(C678:K678)</f>
        <v>45.45</v>
      </c>
    </row>
    <row r="679" spans="1:22" ht="15.75">
      <c r="A679" s="28" t="s">
        <v>1356</v>
      </c>
      <c r="B679" s="28" t="s">
        <v>1357</v>
      </c>
      <c r="C679" s="23">
        <v>53.48</v>
      </c>
      <c r="D679" s="23">
        <v>5.64</v>
      </c>
      <c r="E679" s="23" t="s">
        <v>4682</v>
      </c>
      <c r="F679" s="23" t="s">
        <v>4682</v>
      </c>
      <c r="G679" s="23" t="s">
        <v>4682</v>
      </c>
      <c r="H679" s="23">
        <v>0</v>
      </c>
      <c r="I679" s="23" t="s">
        <v>4682</v>
      </c>
      <c r="J679" s="23" t="s">
        <v>4729</v>
      </c>
      <c r="K679" s="23" t="s">
        <v>4737</v>
      </c>
      <c r="L679">
        <v>1971</v>
      </c>
      <c r="M679" s="15" t="s">
        <v>4703</v>
      </c>
      <c r="N679">
        <v>27</v>
      </c>
      <c r="O679">
        <v>0</v>
      </c>
      <c r="P679" s="21">
        <f>DATEVALUE(N679&amp;"-"&amp;M679&amp;"-"&amp;L679)</f>
        <v>26203</v>
      </c>
      <c r="Q679" s="22">
        <v>5832.6</v>
      </c>
      <c r="R679" s="23" t="s">
        <v>4697</v>
      </c>
      <c r="S679" s="23" t="s">
        <v>4698</v>
      </c>
      <c r="T679" s="23" t="s">
        <v>4704</v>
      </c>
      <c r="U679" s="23">
        <f>DATEDIF(P679, DATE(2023, 6, 8), "Y")</f>
        <v>51</v>
      </c>
      <c r="V679">
        <f>SUM(C679:K679)</f>
        <v>59.12</v>
      </c>
    </row>
    <row r="680" spans="1:22" ht="15.75">
      <c r="A680" s="28" t="s">
        <v>1358</v>
      </c>
      <c r="B680" s="28" t="s">
        <v>1359</v>
      </c>
      <c r="C680" s="23">
        <v>35.5</v>
      </c>
      <c r="D680" s="23">
        <v>10.37</v>
      </c>
      <c r="E680" s="23" t="s">
        <v>4682</v>
      </c>
      <c r="F680" s="23" t="s">
        <v>4682</v>
      </c>
      <c r="G680" s="23" t="s">
        <v>4682</v>
      </c>
      <c r="H680" s="23">
        <v>0</v>
      </c>
      <c r="I680" s="23" t="s">
        <v>4682</v>
      </c>
      <c r="J680" s="23" t="s">
        <v>4729</v>
      </c>
      <c r="K680" s="23" t="s">
        <v>4735</v>
      </c>
      <c r="L680">
        <v>1987</v>
      </c>
      <c r="M680" s="15" t="s">
        <v>4696</v>
      </c>
      <c r="N680">
        <v>27</v>
      </c>
      <c r="O680">
        <v>2</v>
      </c>
      <c r="P680" s="21">
        <f>DATEVALUE(N680&amp;"-"&amp;M680&amp;"-"&amp;L680)</f>
        <v>31985</v>
      </c>
      <c r="Q680" s="22">
        <v>5836.52</v>
      </c>
      <c r="R680" s="23" t="s">
        <v>4697</v>
      </c>
      <c r="S680" s="23" t="s">
        <v>4698</v>
      </c>
      <c r="T680" s="23" t="s">
        <v>4699</v>
      </c>
      <c r="U680" s="23">
        <f>DATEDIF(P680, DATE(2023, 6, 8), "Y")</f>
        <v>35</v>
      </c>
      <c r="V680">
        <f>SUM(C680:K680)</f>
        <v>45.87</v>
      </c>
    </row>
    <row r="681" spans="1:22" ht="15.75">
      <c r="A681" s="28" t="s">
        <v>1360</v>
      </c>
      <c r="B681" s="28" t="s">
        <v>1361</v>
      </c>
      <c r="C681" s="23">
        <v>36.979999999999997</v>
      </c>
      <c r="D681" s="23">
        <v>9.56</v>
      </c>
      <c r="E681" s="23" t="s">
        <v>4683</v>
      </c>
      <c r="F681" s="23" t="s">
        <v>4682</v>
      </c>
      <c r="G681" s="23" t="s">
        <v>4682</v>
      </c>
      <c r="H681" s="23">
        <v>0</v>
      </c>
      <c r="I681" s="23" t="s">
        <v>4682</v>
      </c>
      <c r="J681" s="23" t="s">
        <v>4729</v>
      </c>
      <c r="K681" s="23" t="s">
        <v>4735</v>
      </c>
      <c r="L681">
        <v>1995</v>
      </c>
      <c r="M681" s="15" t="s">
        <v>4706</v>
      </c>
      <c r="N681">
        <v>20</v>
      </c>
      <c r="O681">
        <v>0</v>
      </c>
      <c r="P681" s="21">
        <f>DATEVALUE(N681&amp;"-"&amp;M681&amp;"-"&amp;L681)</f>
        <v>34931</v>
      </c>
      <c r="Q681" s="22">
        <v>5843.99</v>
      </c>
      <c r="R681" s="23" t="s">
        <v>4697</v>
      </c>
      <c r="S681" s="23" t="s">
        <v>4697</v>
      </c>
      <c r="T681" s="23" t="s">
        <v>4713</v>
      </c>
      <c r="U681" s="23">
        <f>DATEDIF(P681, DATE(2023, 6, 8), "Y")</f>
        <v>27</v>
      </c>
      <c r="V681">
        <f>SUM(C681:K681)</f>
        <v>46.54</v>
      </c>
    </row>
    <row r="682" spans="1:22" ht="15.75">
      <c r="A682" s="28" t="s">
        <v>1362</v>
      </c>
      <c r="B682" s="28" t="s">
        <v>1363</v>
      </c>
      <c r="C682" s="23">
        <v>32.395000000000003</v>
      </c>
      <c r="D682" s="23">
        <v>8.23</v>
      </c>
      <c r="E682" s="23" t="s">
        <v>4683</v>
      </c>
      <c r="F682" s="23" t="s">
        <v>4682</v>
      </c>
      <c r="G682" s="23" t="s">
        <v>4684</v>
      </c>
      <c r="H682" s="23">
        <v>1</v>
      </c>
      <c r="I682" s="23" t="s">
        <v>4682</v>
      </c>
      <c r="J682" s="23" t="s">
        <v>4729</v>
      </c>
      <c r="K682" s="23" t="s">
        <v>4735</v>
      </c>
      <c r="L682">
        <v>1987</v>
      </c>
      <c r="M682" s="15" t="s">
        <v>4703</v>
      </c>
      <c r="N682">
        <v>30</v>
      </c>
      <c r="O682">
        <v>2</v>
      </c>
      <c r="P682" s="21">
        <f>DATEVALUE(N682&amp;"-"&amp;M682&amp;"-"&amp;L682)</f>
        <v>32050</v>
      </c>
      <c r="Q682" s="22">
        <v>5846.92</v>
      </c>
      <c r="R682" s="23" t="s">
        <v>4697</v>
      </c>
      <c r="S682" s="23" t="s">
        <v>4697</v>
      </c>
      <c r="T682" s="23" t="s">
        <v>4699</v>
      </c>
      <c r="U682" s="23">
        <f>DATEDIF(P682, DATE(2023, 6, 8), "Y")</f>
        <v>35</v>
      </c>
      <c r="V682">
        <f>SUM(C682:K682)</f>
        <v>41.625</v>
      </c>
    </row>
    <row r="683" spans="1:22" ht="15.75">
      <c r="A683" s="28" t="s">
        <v>1364</v>
      </c>
      <c r="B683" s="28" t="s">
        <v>1365</v>
      </c>
      <c r="C683" s="23">
        <v>32.729999999999997</v>
      </c>
      <c r="D683" s="23">
        <v>7.03</v>
      </c>
      <c r="E683" s="23" t="s">
        <v>4682</v>
      </c>
      <c r="F683" s="23" t="s">
        <v>4682</v>
      </c>
      <c r="G683" s="23" t="s">
        <v>4682</v>
      </c>
      <c r="H683" s="23">
        <v>0</v>
      </c>
      <c r="I683" s="23" t="s">
        <v>4682</v>
      </c>
      <c r="J683" s="23" t="s">
        <v>4729</v>
      </c>
      <c r="K683" s="23" t="s">
        <v>4735</v>
      </c>
      <c r="L683">
        <v>1985</v>
      </c>
      <c r="M683" s="15" t="s">
        <v>4702</v>
      </c>
      <c r="N683">
        <v>18</v>
      </c>
      <c r="O683">
        <v>3</v>
      </c>
      <c r="P683" s="21">
        <f>DATEVALUE(N683&amp;"-"&amp;M683&amp;"-"&amp;L683)</f>
        <v>31216</v>
      </c>
      <c r="Q683" s="22">
        <v>5847.24</v>
      </c>
      <c r="R683" s="23" t="s">
        <v>4697</v>
      </c>
      <c r="S683" s="23" t="s">
        <v>4701</v>
      </c>
      <c r="T683" s="23" t="s">
        <v>4699</v>
      </c>
      <c r="U683" s="23">
        <f>DATEDIF(P683, DATE(2023, 6, 8), "Y")</f>
        <v>37</v>
      </c>
      <c r="V683">
        <f>SUM(C683:K683)</f>
        <v>39.76</v>
      </c>
    </row>
    <row r="684" spans="1:22" ht="15.75">
      <c r="A684" s="28" t="s">
        <v>1366</v>
      </c>
      <c r="B684" s="28" t="s">
        <v>1367</v>
      </c>
      <c r="C684" s="23">
        <v>20.52</v>
      </c>
      <c r="D684" s="23">
        <v>5.45</v>
      </c>
      <c r="E684" s="23" t="s">
        <v>4682</v>
      </c>
      <c r="F684" s="23" t="s">
        <v>4682</v>
      </c>
      <c r="G684" s="23" t="s">
        <v>4682</v>
      </c>
      <c r="H684" s="23">
        <v>1</v>
      </c>
      <c r="I684" s="23" t="s">
        <v>4683</v>
      </c>
      <c r="J684" s="23" t="s">
        <v>4728</v>
      </c>
      <c r="K684" s="23" t="s">
        <v>4737</v>
      </c>
      <c r="L684">
        <v>1984</v>
      </c>
      <c r="M684" s="15" t="s">
        <v>4700</v>
      </c>
      <c r="N684">
        <v>22</v>
      </c>
      <c r="O684">
        <v>1</v>
      </c>
      <c r="P684" s="21">
        <f>DATEVALUE(N684&amp;"-"&amp;M684&amp;"-"&amp;L684)</f>
        <v>31008</v>
      </c>
      <c r="Q684" s="22">
        <v>5855.9</v>
      </c>
      <c r="R684" s="23" t="s">
        <v>4697</v>
      </c>
      <c r="S684" s="23" t="s">
        <v>4698</v>
      </c>
      <c r="T684" s="23" t="s">
        <v>4704</v>
      </c>
      <c r="U684" s="23">
        <f>DATEDIF(P684, DATE(2023, 6, 8), "Y")</f>
        <v>38</v>
      </c>
      <c r="V684">
        <f>SUM(C684:K684)</f>
        <v>26.97</v>
      </c>
    </row>
    <row r="685" spans="1:22" ht="15.75">
      <c r="A685" s="28" t="s">
        <v>1368</v>
      </c>
      <c r="B685" s="28" t="s">
        <v>1369</v>
      </c>
      <c r="C685" s="23">
        <v>51.72</v>
      </c>
      <c r="D685" s="23">
        <v>5.76</v>
      </c>
      <c r="E685" s="23" t="s">
        <v>4682</v>
      </c>
      <c r="F685" s="23" t="s">
        <v>4682</v>
      </c>
      <c r="G685" s="23" t="s">
        <v>4682</v>
      </c>
      <c r="H685" s="23">
        <v>0</v>
      </c>
      <c r="I685" s="23" t="s">
        <v>4682</v>
      </c>
      <c r="J685" s="23" t="s">
        <v>4729</v>
      </c>
      <c r="K685" s="23" t="s">
        <v>4736</v>
      </c>
      <c r="L685">
        <v>1993</v>
      </c>
      <c r="M685" s="15" t="s">
        <v>4707</v>
      </c>
      <c r="N685">
        <v>19</v>
      </c>
      <c r="O685">
        <v>0</v>
      </c>
      <c r="P685" s="21">
        <f>DATEVALUE(N685&amp;"-"&amp;M685&amp;"-"&amp;L685)</f>
        <v>34261</v>
      </c>
      <c r="Q685" s="22">
        <v>5877.02</v>
      </c>
      <c r="R685" s="23" t="s">
        <v>4697</v>
      </c>
      <c r="S685" s="23" t="s">
        <v>4697</v>
      </c>
      <c r="T685" s="23" t="s">
        <v>4717</v>
      </c>
      <c r="U685" s="23">
        <f>DATEDIF(P685, DATE(2023, 6, 8), "Y")</f>
        <v>29</v>
      </c>
      <c r="V685">
        <f>SUM(C685:K685)</f>
        <v>57.48</v>
      </c>
    </row>
    <row r="686" spans="1:22" ht="15.75">
      <c r="A686" s="28" t="s">
        <v>1370</v>
      </c>
      <c r="B686" s="28" t="s">
        <v>1371</v>
      </c>
      <c r="C686" s="23">
        <v>50.2</v>
      </c>
      <c r="D686" s="23">
        <v>5.4</v>
      </c>
      <c r="E686" s="23" t="s">
        <v>4682</v>
      </c>
      <c r="F686" s="23" t="s">
        <v>4682</v>
      </c>
      <c r="G686" s="23" t="s">
        <v>4682</v>
      </c>
      <c r="H686" s="23">
        <v>0</v>
      </c>
      <c r="I686" s="23" t="s">
        <v>4682</v>
      </c>
      <c r="J686" s="23" t="s">
        <v>4729</v>
      </c>
      <c r="K686" s="23" t="s">
        <v>4737</v>
      </c>
      <c r="L686">
        <v>1982</v>
      </c>
      <c r="M686" s="15" t="s">
        <v>4696</v>
      </c>
      <c r="N686">
        <v>8</v>
      </c>
      <c r="O686">
        <v>0</v>
      </c>
      <c r="P686" s="21">
        <f>DATEVALUE(N686&amp;"-"&amp;M686&amp;"-"&amp;L686)</f>
        <v>30140</v>
      </c>
      <c r="Q686" s="22">
        <v>5910.94</v>
      </c>
      <c r="R686" s="23" t="s">
        <v>4697</v>
      </c>
      <c r="S686" s="23" t="s">
        <v>4701</v>
      </c>
      <c r="T686" s="23" t="s">
        <v>4708</v>
      </c>
      <c r="U686" s="23">
        <f>DATEDIF(P686, DATE(2023, 6, 8), "Y")</f>
        <v>40</v>
      </c>
      <c r="V686">
        <f>SUM(C686:K686)</f>
        <v>55.6</v>
      </c>
    </row>
    <row r="687" spans="1:22" ht="15.75">
      <c r="A687" s="28" t="s">
        <v>1372</v>
      </c>
      <c r="B687" s="28" t="s">
        <v>1373</v>
      </c>
      <c r="C687" s="23">
        <v>25.52</v>
      </c>
      <c r="D687" s="23">
        <v>6.35</v>
      </c>
      <c r="E687" s="23" t="s">
        <v>4682</v>
      </c>
      <c r="F687" s="23" t="s">
        <v>4682</v>
      </c>
      <c r="G687" s="23" t="s">
        <v>4684</v>
      </c>
      <c r="H687" s="23">
        <v>1</v>
      </c>
      <c r="I687" s="23" t="s">
        <v>4682</v>
      </c>
      <c r="J687" s="23" t="s">
        <v>4730</v>
      </c>
      <c r="K687" s="23" t="s">
        <v>4736</v>
      </c>
      <c r="L687">
        <v>1982</v>
      </c>
      <c r="M687" s="15" t="s">
        <v>4705</v>
      </c>
      <c r="N687">
        <v>21</v>
      </c>
      <c r="O687">
        <v>0</v>
      </c>
      <c r="P687" s="21">
        <f>DATEVALUE(N687&amp;"-"&amp;M687&amp;"-"&amp;L687)</f>
        <v>30306</v>
      </c>
      <c r="Q687" s="22">
        <v>5920.1</v>
      </c>
      <c r="R687" s="23" t="s">
        <v>4697</v>
      </c>
      <c r="S687" s="23" t="s">
        <v>4701</v>
      </c>
      <c r="T687" s="23" t="s">
        <v>4699</v>
      </c>
      <c r="U687" s="23">
        <f>DATEDIF(P687, DATE(2023, 6, 8), "Y")</f>
        <v>40</v>
      </c>
      <c r="V687">
        <f>SUM(C687:K687)</f>
        <v>32.869999999999997</v>
      </c>
    </row>
    <row r="688" spans="1:22" ht="15.75">
      <c r="A688" s="28" t="s">
        <v>1374</v>
      </c>
      <c r="B688" s="28" t="s">
        <v>1375</v>
      </c>
      <c r="C688" s="23">
        <v>35.200000000000003</v>
      </c>
      <c r="D688" s="23">
        <v>6.26</v>
      </c>
      <c r="E688" s="23" t="s">
        <v>4683</v>
      </c>
      <c r="F688" s="23" t="s">
        <v>4682</v>
      </c>
      <c r="G688" s="23" t="s">
        <v>4682</v>
      </c>
      <c r="H688" s="23">
        <v>2</v>
      </c>
      <c r="I688" s="23" t="s">
        <v>4682</v>
      </c>
      <c r="J688" s="23" t="s">
        <v>4729</v>
      </c>
      <c r="K688" s="23" t="s">
        <v>4736</v>
      </c>
      <c r="L688">
        <v>1987</v>
      </c>
      <c r="M688" s="15" t="s">
        <v>4696</v>
      </c>
      <c r="N688">
        <v>29</v>
      </c>
      <c r="O688">
        <v>3</v>
      </c>
      <c r="P688" s="21">
        <f>DATEVALUE(N688&amp;"-"&amp;M688&amp;"-"&amp;L688)</f>
        <v>31987</v>
      </c>
      <c r="Q688" s="22">
        <v>5926.85</v>
      </c>
      <c r="R688" s="23" t="s">
        <v>4698</v>
      </c>
      <c r="S688" s="23" t="s">
        <v>4698</v>
      </c>
      <c r="T688" s="23" t="s">
        <v>4708</v>
      </c>
      <c r="U688" s="23">
        <f>DATEDIF(P688, DATE(2023, 6, 8), "Y")</f>
        <v>35</v>
      </c>
      <c r="V688">
        <f>SUM(C688:K688)</f>
        <v>43.46</v>
      </c>
    </row>
    <row r="689" spans="1:22" ht="15.75">
      <c r="A689" s="28" t="s">
        <v>1376</v>
      </c>
      <c r="B689" s="28" t="s">
        <v>1377</v>
      </c>
      <c r="C689" s="23">
        <v>41.26</v>
      </c>
      <c r="D689" s="23">
        <v>5.97</v>
      </c>
      <c r="E689" s="23" t="s">
        <v>4683</v>
      </c>
      <c r="F689" s="23" t="s">
        <v>4682</v>
      </c>
      <c r="G689" s="23" t="s">
        <v>4682</v>
      </c>
      <c r="H689" s="23">
        <v>0</v>
      </c>
      <c r="I689" s="23" t="s">
        <v>4682</v>
      </c>
      <c r="J689" s="23" t="s">
        <v>4729</v>
      </c>
      <c r="K689" s="23" t="s">
        <v>4736</v>
      </c>
      <c r="L689">
        <v>1993</v>
      </c>
      <c r="M689" s="15" t="s">
        <v>4706</v>
      </c>
      <c r="N689">
        <v>13</v>
      </c>
      <c r="O689">
        <v>0</v>
      </c>
      <c r="P689" s="21">
        <f>DATEVALUE(N689&amp;"-"&amp;M689&amp;"-"&amp;L689)</f>
        <v>34194</v>
      </c>
      <c r="Q689" s="22">
        <v>5926.93</v>
      </c>
      <c r="R689" s="23" t="s">
        <v>4697</v>
      </c>
      <c r="S689" s="23" t="s">
        <v>4697</v>
      </c>
      <c r="T689" s="23" t="s">
        <v>4713</v>
      </c>
      <c r="U689" s="23">
        <f>DATEDIF(P689, DATE(2023, 6, 8), "Y")</f>
        <v>29</v>
      </c>
      <c r="V689">
        <f>SUM(C689:K689)</f>
        <v>47.23</v>
      </c>
    </row>
    <row r="690" spans="1:22" ht="15.75">
      <c r="A690" s="28" t="s">
        <v>1378</v>
      </c>
      <c r="B690" s="28" t="s">
        <v>1379</v>
      </c>
      <c r="C690" s="23">
        <v>17.195</v>
      </c>
      <c r="D690" s="23">
        <v>5.29</v>
      </c>
      <c r="E690" s="23" t="s">
        <v>4683</v>
      </c>
      <c r="F690" s="23" t="s">
        <v>4682</v>
      </c>
      <c r="G690" s="23" t="s">
        <v>4682</v>
      </c>
      <c r="H690" s="23">
        <v>0</v>
      </c>
      <c r="I690" s="23" t="s">
        <v>4683</v>
      </c>
      <c r="J690" s="23" t="s">
        <v>4731</v>
      </c>
      <c r="K690" s="23" t="s">
        <v>4737</v>
      </c>
      <c r="L690">
        <v>1994</v>
      </c>
      <c r="M690" s="15" t="s">
        <v>4696</v>
      </c>
      <c r="N690">
        <v>30</v>
      </c>
      <c r="O690">
        <v>0</v>
      </c>
      <c r="P690" s="21">
        <f>DATEVALUE(N690&amp;"-"&amp;M690&amp;"-"&amp;L690)</f>
        <v>34545</v>
      </c>
      <c r="Q690" s="22">
        <v>5927.65</v>
      </c>
      <c r="R690" s="23" t="s">
        <v>4697</v>
      </c>
      <c r="S690" s="23" t="s">
        <v>4701</v>
      </c>
      <c r="T690" s="23" t="s">
        <v>4704</v>
      </c>
      <c r="U690" s="23">
        <f>DATEDIF(P690, DATE(2023, 6, 8), "Y")</f>
        <v>28</v>
      </c>
      <c r="V690">
        <f>SUM(C690:K690)</f>
        <v>22.484999999999999</v>
      </c>
    </row>
    <row r="691" spans="1:22" ht="15.75">
      <c r="A691" s="28" t="s">
        <v>1380</v>
      </c>
      <c r="B691" s="28" t="s">
        <v>1381</v>
      </c>
      <c r="C691" s="23">
        <v>23.085000000000001</v>
      </c>
      <c r="D691" s="23">
        <v>4.2699999999999996</v>
      </c>
      <c r="E691" s="23" t="s">
        <v>4683</v>
      </c>
      <c r="F691" s="23" t="s">
        <v>4682</v>
      </c>
      <c r="G691" s="23" t="s">
        <v>4682</v>
      </c>
      <c r="H691" s="23">
        <v>2</v>
      </c>
      <c r="I691" s="23" t="s">
        <v>4682</v>
      </c>
      <c r="J691" s="23" t="s">
        <v>4728</v>
      </c>
      <c r="K691" s="23" t="s">
        <v>4737</v>
      </c>
      <c r="L691">
        <v>1987</v>
      </c>
      <c r="M691" s="15" t="s">
        <v>4696</v>
      </c>
      <c r="N691">
        <v>14</v>
      </c>
      <c r="O691">
        <v>3</v>
      </c>
      <c r="P691" s="21">
        <f>DATEVALUE(N691&amp;"-"&amp;M691&amp;"-"&amp;L691)</f>
        <v>31972</v>
      </c>
      <c r="Q691" s="22">
        <v>5934.38</v>
      </c>
      <c r="R691" s="23" t="s">
        <v>4698</v>
      </c>
      <c r="S691" s="23" t="s">
        <v>4697</v>
      </c>
      <c r="T691" s="23" t="s">
        <v>4699</v>
      </c>
      <c r="U691" s="23">
        <f>DATEDIF(P691, DATE(2023, 6, 8), "Y")</f>
        <v>35</v>
      </c>
      <c r="V691">
        <f>SUM(C691:K691)</f>
        <v>29.355</v>
      </c>
    </row>
    <row r="692" spans="1:22" ht="15.75">
      <c r="A692" s="28" t="s">
        <v>1382</v>
      </c>
      <c r="B692" s="28" t="s">
        <v>1383</v>
      </c>
      <c r="C692" s="23">
        <v>21.66</v>
      </c>
      <c r="D692" s="23">
        <v>5.2</v>
      </c>
      <c r="E692" s="23" t="s">
        <v>4683</v>
      </c>
      <c r="F692" s="23" t="s">
        <v>4682</v>
      </c>
      <c r="G692" s="23" t="s">
        <v>4682</v>
      </c>
      <c r="H692" s="23">
        <v>2</v>
      </c>
      <c r="I692" s="23" t="s">
        <v>4682</v>
      </c>
      <c r="J692" s="23" t="s">
        <v>4728</v>
      </c>
      <c r="K692" s="23" t="s">
        <v>4737</v>
      </c>
      <c r="L692">
        <v>2003</v>
      </c>
      <c r="M692" s="15" t="s">
        <v>4706</v>
      </c>
      <c r="N692">
        <v>13</v>
      </c>
      <c r="O692">
        <v>0</v>
      </c>
      <c r="P692" s="21">
        <f>DATEVALUE(N692&amp;"-"&amp;M692&amp;"-"&amp;L692)</f>
        <v>37846</v>
      </c>
      <c r="Q692" s="22">
        <v>5957.35</v>
      </c>
      <c r="R692" s="23" t="s">
        <v>4697</v>
      </c>
      <c r="S692" s="23" t="s">
        <v>4697</v>
      </c>
      <c r="T692" s="23" t="s">
        <v>4704</v>
      </c>
      <c r="U692" s="23">
        <f>DATEDIF(P692, DATE(2023, 6, 8), "Y")</f>
        <v>19</v>
      </c>
      <c r="V692">
        <f>SUM(C692:K692)</f>
        <v>28.86</v>
      </c>
    </row>
    <row r="693" spans="1:22" ht="15.75">
      <c r="A693" s="28" t="s">
        <v>1384</v>
      </c>
      <c r="B693" s="28" t="s">
        <v>1385</v>
      </c>
      <c r="C693" s="23">
        <v>36.47</v>
      </c>
      <c r="D693" s="23">
        <v>8.23</v>
      </c>
      <c r="E693" s="23" t="s">
        <v>4683</v>
      </c>
      <c r="F693" s="23" t="s">
        <v>4682</v>
      </c>
      <c r="G693" s="23" t="s">
        <v>4682</v>
      </c>
      <c r="H693" s="23">
        <v>0</v>
      </c>
      <c r="I693" s="23" t="s">
        <v>4682</v>
      </c>
      <c r="J693" s="23" t="s">
        <v>4729</v>
      </c>
      <c r="K693" s="23" t="s">
        <v>4735</v>
      </c>
      <c r="L693">
        <v>2004</v>
      </c>
      <c r="M693" s="15" t="s">
        <v>4696</v>
      </c>
      <c r="N693">
        <v>15</v>
      </c>
      <c r="O693">
        <v>0</v>
      </c>
      <c r="P693" s="21">
        <f>DATEVALUE(N693&amp;"-"&amp;M693&amp;"-"&amp;L693)</f>
        <v>38183</v>
      </c>
      <c r="Q693" s="22">
        <v>5960.91</v>
      </c>
      <c r="R693" s="23" t="s">
        <v>4697</v>
      </c>
      <c r="S693" s="23" t="s">
        <v>4701</v>
      </c>
      <c r="T693" s="23" t="s">
        <v>4720</v>
      </c>
      <c r="U693" s="23">
        <f>DATEDIF(P693, DATE(2023, 6, 8), "Y")</f>
        <v>18</v>
      </c>
      <c r="V693">
        <f>SUM(C693:K693)</f>
        <v>44.7</v>
      </c>
    </row>
    <row r="694" spans="1:22" ht="15.75">
      <c r="A694" s="28" t="s">
        <v>1386</v>
      </c>
      <c r="B694" s="28" t="s">
        <v>1387</v>
      </c>
      <c r="C694" s="23">
        <v>36.08</v>
      </c>
      <c r="D694" s="23">
        <v>10.33</v>
      </c>
      <c r="E694" s="23" t="s">
        <v>4683</v>
      </c>
      <c r="F694" s="23" t="s">
        <v>4682</v>
      </c>
      <c r="G694" s="23" t="s">
        <v>4682</v>
      </c>
      <c r="H694" s="23">
        <v>0</v>
      </c>
      <c r="I694" s="23" t="s">
        <v>4682</v>
      </c>
      <c r="J694" s="23" t="s">
        <v>4729</v>
      </c>
      <c r="K694" s="23" t="s">
        <v>4735</v>
      </c>
      <c r="L694">
        <v>1980</v>
      </c>
      <c r="M694" s="15" t="s">
        <v>4706</v>
      </c>
      <c r="N694">
        <v>5</v>
      </c>
      <c r="O694">
        <v>0</v>
      </c>
      <c r="P694" s="21">
        <f>DATEVALUE(N694&amp;"-"&amp;M694&amp;"-"&amp;L694)</f>
        <v>29438</v>
      </c>
      <c r="Q694" s="22">
        <v>5966.89</v>
      </c>
      <c r="R694" s="23" t="s">
        <v>4697</v>
      </c>
      <c r="S694" s="23" t="s">
        <v>4698</v>
      </c>
      <c r="T694" s="23" t="s">
        <v>4699</v>
      </c>
      <c r="U694" s="23">
        <f>DATEDIF(P694, DATE(2023, 6, 8), "Y")</f>
        <v>42</v>
      </c>
      <c r="V694">
        <f>SUM(C694:K694)</f>
        <v>46.41</v>
      </c>
    </row>
    <row r="695" spans="1:22" ht="15.75">
      <c r="A695" s="28" t="s">
        <v>1388</v>
      </c>
      <c r="B695" s="28" t="s">
        <v>1389</v>
      </c>
      <c r="C695" s="23">
        <v>23.18</v>
      </c>
      <c r="D695" s="23">
        <v>6.13</v>
      </c>
      <c r="E695" s="23" t="s">
        <v>4682</v>
      </c>
      <c r="F695" s="23" t="s">
        <v>4682</v>
      </c>
      <c r="G695" s="23" t="s">
        <v>4682</v>
      </c>
      <c r="H695" s="23">
        <v>0</v>
      </c>
      <c r="I695" s="23" t="s">
        <v>4682</v>
      </c>
      <c r="J695" s="23" t="s">
        <v>4728</v>
      </c>
      <c r="K695" s="23" t="s">
        <v>4736</v>
      </c>
      <c r="L695">
        <v>1980</v>
      </c>
      <c r="M695" s="15" t="s">
        <v>4696</v>
      </c>
      <c r="N695">
        <v>21</v>
      </c>
      <c r="O695">
        <v>0</v>
      </c>
      <c r="P695" s="21">
        <f>DATEVALUE(N695&amp;"-"&amp;M695&amp;"-"&amp;L695)</f>
        <v>29423</v>
      </c>
      <c r="Q695" s="22">
        <v>5969.72</v>
      </c>
      <c r="R695" s="23" t="s">
        <v>4698</v>
      </c>
      <c r="S695" s="23" t="s">
        <v>4698</v>
      </c>
      <c r="T695" s="23" t="s">
        <v>4708</v>
      </c>
      <c r="U695" s="23">
        <f>DATEDIF(P695, DATE(2023, 6, 8), "Y")</f>
        <v>42</v>
      </c>
      <c r="V695">
        <f>SUM(C695:K695)</f>
        <v>29.31</v>
      </c>
    </row>
    <row r="696" spans="1:22" ht="15.75">
      <c r="A696" s="28" t="s">
        <v>1390</v>
      </c>
      <c r="B696" s="28" t="s">
        <v>1391</v>
      </c>
      <c r="C696" s="23">
        <v>39.159999999999997</v>
      </c>
      <c r="D696" s="23">
        <v>8.08</v>
      </c>
      <c r="E696" s="23" t="s">
        <v>4682</v>
      </c>
      <c r="F696" s="23" t="s">
        <v>4682</v>
      </c>
      <c r="G696" s="23" t="s">
        <v>4682</v>
      </c>
      <c r="H696" s="23">
        <v>3</v>
      </c>
      <c r="I696" s="23" t="s">
        <v>4682</v>
      </c>
      <c r="J696" s="23" t="s">
        <v>4729</v>
      </c>
      <c r="K696" s="23" t="s">
        <v>4735</v>
      </c>
      <c r="L696">
        <v>1989</v>
      </c>
      <c r="M696" s="15" t="s">
        <v>4696</v>
      </c>
      <c r="N696">
        <v>22</v>
      </c>
      <c r="O696">
        <v>3</v>
      </c>
      <c r="P696" s="21">
        <f>DATEVALUE(N696&amp;"-"&amp;M696&amp;"-"&amp;L696)</f>
        <v>32711</v>
      </c>
      <c r="Q696" s="22">
        <v>5972.38</v>
      </c>
      <c r="R696" s="23" t="s">
        <v>4697</v>
      </c>
      <c r="S696" s="23" t="s">
        <v>4697</v>
      </c>
      <c r="T696" s="23" t="s">
        <v>4708</v>
      </c>
      <c r="U696" s="23">
        <f>DATEDIF(P696, DATE(2023, 6, 8), "Y")</f>
        <v>33</v>
      </c>
      <c r="V696">
        <f>SUM(C696:K696)</f>
        <v>50.239999999999995</v>
      </c>
    </row>
    <row r="697" spans="1:22" ht="15.75">
      <c r="A697" s="28" t="s">
        <v>1392</v>
      </c>
      <c r="B697" s="28" t="s">
        <v>1393</v>
      </c>
      <c r="C697" s="23">
        <v>38.19</v>
      </c>
      <c r="D697" s="23">
        <v>10.49</v>
      </c>
      <c r="E697" s="23" t="s">
        <v>4682</v>
      </c>
      <c r="F697" s="23" t="s">
        <v>4682</v>
      </c>
      <c r="G697" s="23" t="s">
        <v>4682</v>
      </c>
      <c r="H697" s="23">
        <v>3</v>
      </c>
      <c r="I697" s="23" t="s">
        <v>4682</v>
      </c>
      <c r="J697" s="23" t="s">
        <v>4729</v>
      </c>
      <c r="K697" s="23" t="s">
        <v>4735</v>
      </c>
      <c r="L697">
        <v>1984</v>
      </c>
      <c r="M697" s="15" t="s">
        <v>4703</v>
      </c>
      <c r="N697">
        <v>19</v>
      </c>
      <c r="O697">
        <v>1</v>
      </c>
      <c r="P697" s="21">
        <f>DATEVALUE(N697&amp;"-"&amp;M697&amp;"-"&amp;L697)</f>
        <v>30944</v>
      </c>
      <c r="Q697" s="22">
        <v>5974.38</v>
      </c>
      <c r="R697" s="23" t="s">
        <v>4697</v>
      </c>
      <c r="S697" s="23" t="s">
        <v>4698</v>
      </c>
      <c r="T697" s="23" t="s">
        <v>4699</v>
      </c>
      <c r="U697" s="23">
        <f>DATEDIF(P697, DATE(2023, 6, 8), "Y")</f>
        <v>38</v>
      </c>
      <c r="V697">
        <f>SUM(C697:K697)</f>
        <v>51.68</v>
      </c>
    </row>
    <row r="698" spans="1:22" ht="15.75">
      <c r="A698" s="28" t="s">
        <v>1394</v>
      </c>
      <c r="B698" s="28" t="s">
        <v>1395</v>
      </c>
      <c r="C698" s="23">
        <v>26.41</v>
      </c>
      <c r="D698" s="23">
        <v>8.11</v>
      </c>
      <c r="E698" s="23" t="s">
        <v>4682</v>
      </c>
      <c r="F698" s="23" t="s">
        <v>4682</v>
      </c>
      <c r="G698" s="23" t="s">
        <v>4682</v>
      </c>
      <c r="H698" s="23">
        <v>3</v>
      </c>
      <c r="I698" s="23" t="s">
        <v>4682</v>
      </c>
      <c r="J698" s="23" t="s">
        <v>4730</v>
      </c>
      <c r="K698" s="23" t="s">
        <v>4735</v>
      </c>
      <c r="L698">
        <v>1984</v>
      </c>
      <c r="M698" s="15" t="s">
        <v>4700</v>
      </c>
      <c r="N698">
        <v>11</v>
      </c>
      <c r="O698">
        <v>1</v>
      </c>
      <c r="P698" s="21">
        <f>DATEVALUE(N698&amp;"-"&amp;M698&amp;"-"&amp;L698)</f>
        <v>30997</v>
      </c>
      <c r="Q698" s="22">
        <v>5976.83</v>
      </c>
      <c r="R698" s="23" t="s">
        <v>4697</v>
      </c>
      <c r="S698" s="23" t="s">
        <v>4697</v>
      </c>
      <c r="T698" s="23" t="s">
        <v>4699</v>
      </c>
      <c r="U698" s="23">
        <f>DATEDIF(P698, DATE(2023, 6, 8), "Y")</f>
        <v>38</v>
      </c>
      <c r="V698">
        <f>SUM(C698:K698)</f>
        <v>37.519999999999996</v>
      </c>
    </row>
    <row r="699" spans="1:22" ht="15.75">
      <c r="A699" s="28" t="s">
        <v>1396</v>
      </c>
      <c r="B699" s="28" t="s">
        <v>1397</v>
      </c>
      <c r="C699" s="23">
        <v>28.785</v>
      </c>
      <c r="D699" s="23">
        <v>6.6</v>
      </c>
      <c r="E699" s="23" t="s">
        <v>4682</v>
      </c>
      <c r="F699" s="23" t="s">
        <v>4682</v>
      </c>
      <c r="G699" s="23" t="s">
        <v>4682</v>
      </c>
      <c r="H699" s="23">
        <v>0</v>
      </c>
      <c r="I699" s="23" t="s">
        <v>4682</v>
      </c>
      <c r="J699" s="23" t="s">
        <v>4730</v>
      </c>
      <c r="K699" s="23" t="s">
        <v>4735</v>
      </c>
      <c r="L699">
        <v>1970</v>
      </c>
      <c r="M699" s="15" t="s">
        <v>4702</v>
      </c>
      <c r="N699">
        <v>25</v>
      </c>
      <c r="O699">
        <v>0</v>
      </c>
      <c r="P699" s="21">
        <f>DATEVALUE(N699&amp;"-"&amp;M699&amp;"-"&amp;L699)</f>
        <v>25744</v>
      </c>
      <c r="Q699" s="22">
        <v>5979.66</v>
      </c>
      <c r="R699" s="23" t="s">
        <v>4697</v>
      </c>
      <c r="S699" s="23" t="s">
        <v>4698</v>
      </c>
      <c r="T699" s="23" t="s">
        <v>4699</v>
      </c>
      <c r="U699" s="23">
        <f>DATEDIF(P699, DATE(2023, 6, 8), "Y")</f>
        <v>52</v>
      </c>
      <c r="V699">
        <f>SUM(C699:K699)</f>
        <v>35.384999999999998</v>
      </c>
    </row>
    <row r="700" spans="1:22" ht="15.75">
      <c r="A700" s="28" t="s">
        <v>1398</v>
      </c>
      <c r="B700" s="28" t="s">
        <v>1399</v>
      </c>
      <c r="C700" s="23">
        <v>26.695</v>
      </c>
      <c r="D700" s="23">
        <v>10.14</v>
      </c>
      <c r="E700" s="23" t="s">
        <v>4683</v>
      </c>
      <c r="F700" s="23" t="s">
        <v>4682</v>
      </c>
      <c r="G700" s="23" t="s">
        <v>4684</v>
      </c>
      <c r="H700" s="23">
        <v>1</v>
      </c>
      <c r="I700" s="23" t="s">
        <v>4682</v>
      </c>
      <c r="J700" s="23" t="s">
        <v>4730</v>
      </c>
      <c r="K700" s="23" t="s">
        <v>4735</v>
      </c>
      <c r="L700">
        <v>1980</v>
      </c>
      <c r="M700" s="15" t="s">
        <v>4707</v>
      </c>
      <c r="N700">
        <v>10</v>
      </c>
      <c r="O700">
        <v>0</v>
      </c>
      <c r="P700" s="21">
        <f>DATEVALUE(N700&amp;"-"&amp;M700&amp;"-"&amp;L700)</f>
        <v>29504</v>
      </c>
      <c r="Q700" s="22">
        <v>5979.73</v>
      </c>
      <c r="R700" s="23" t="s">
        <v>4697</v>
      </c>
      <c r="S700" s="23" t="s">
        <v>4697</v>
      </c>
      <c r="T700" s="23" t="s">
        <v>4708</v>
      </c>
      <c r="U700" s="23">
        <f>DATEDIF(P700, DATE(2023, 6, 8), "Y")</f>
        <v>42</v>
      </c>
      <c r="V700">
        <f>SUM(C700:K700)</f>
        <v>37.835000000000001</v>
      </c>
    </row>
    <row r="701" spans="1:22" ht="15.75">
      <c r="A701" s="28" t="s">
        <v>1400</v>
      </c>
      <c r="B701" s="28" t="s">
        <v>1401</v>
      </c>
      <c r="C701" s="23">
        <v>32.799999999999997</v>
      </c>
      <c r="D701" s="23">
        <v>6.06</v>
      </c>
      <c r="E701" s="23" t="s">
        <v>4683</v>
      </c>
      <c r="F701" s="23" t="s">
        <v>4682</v>
      </c>
      <c r="G701" s="23" t="s">
        <v>4682</v>
      </c>
      <c r="H701" s="23">
        <v>1</v>
      </c>
      <c r="I701" s="23" t="s">
        <v>4682</v>
      </c>
      <c r="J701" s="23" t="s">
        <v>4729</v>
      </c>
      <c r="K701" s="23" t="s">
        <v>4736</v>
      </c>
      <c r="L701">
        <v>1974</v>
      </c>
      <c r="M701" s="15" t="s">
        <v>4707</v>
      </c>
      <c r="N701">
        <v>11</v>
      </c>
      <c r="O701">
        <v>0</v>
      </c>
      <c r="P701" s="21">
        <f>DATEVALUE(N701&amp;"-"&amp;M701&amp;"-"&amp;L701)</f>
        <v>27313</v>
      </c>
      <c r="Q701" s="22">
        <v>5979.99</v>
      </c>
      <c r="R701" s="23" t="s">
        <v>4697</v>
      </c>
      <c r="S701" s="23" t="s">
        <v>4698</v>
      </c>
      <c r="T701" s="23" t="s">
        <v>4699</v>
      </c>
      <c r="U701" s="23">
        <f>DATEDIF(P701, DATE(2023, 6, 8), "Y")</f>
        <v>48</v>
      </c>
      <c r="V701">
        <f>SUM(C701:K701)</f>
        <v>39.86</v>
      </c>
    </row>
    <row r="702" spans="1:22" ht="15.75">
      <c r="A702" s="28" t="s">
        <v>1402</v>
      </c>
      <c r="B702" s="28" t="s">
        <v>1403</v>
      </c>
      <c r="C702" s="23">
        <v>35.869999999999997</v>
      </c>
      <c r="D702" s="23">
        <v>9.91</v>
      </c>
      <c r="E702" s="23" t="s">
        <v>4683</v>
      </c>
      <c r="F702" s="23" t="s">
        <v>4682</v>
      </c>
      <c r="G702" s="23" t="s">
        <v>4682</v>
      </c>
      <c r="H702" s="23">
        <v>0</v>
      </c>
      <c r="I702" s="23" t="s">
        <v>4682</v>
      </c>
      <c r="J702" s="23" t="s">
        <v>4729</v>
      </c>
      <c r="K702" s="23" t="s">
        <v>4735</v>
      </c>
      <c r="L702">
        <v>1988</v>
      </c>
      <c r="M702" s="15" t="s">
        <v>4702</v>
      </c>
      <c r="N702">
        <v>10</v>
      </c>
      <c r="O702">
        <v>2</v>
      </c>
      <c r="P702" s="21">
        <f>DATEVALUE(N702&amp;"-"&amp;M702&amp;"-"&amp;L702)</f>
        <v>32304</v>
      </c>
      <c r="Q702" s="22">
        <v>5989.52</v>
      </c>
      <c r="R702" s="23" t="s">
        <v>4697</v>
      </c>
      <c r="S702" s="23" t="s">
        <v>4701</v>
      </c>
      <c r="T702" s="23" t="s">
        <v>4704</v>
      </c>
      <c r="U702" s="23">
        <f>DATEDIF(P702, DATE(2023, 6, 8), "Y")</f>
        <v>34</v>
      </c>
      <c r="V702">
        <f>SUM(C702:K702)</f>
        <v>45.78</v>
      </c>
    </row>
    <row r="703" spans="1:22" ht="15.75">
      <c r="A703" s="28" t="s">
        <v>1404</v>
      </c>
      <c r="B703" s="28" t="s">
        <v>1405</v>
      </c>
      <c r="C703" s="23">
        <v>21.66</v>
      </c>
      <c r="D703" s="23">
        <v>4.1399999999999997</v>
      </c>
      <c r="E703" s="23" t="s">
        <v>4683</v>
      </c>
      <c r="F703" s="23" t="s">
        <v>4682</v>
      </c>
      <c r="G703" s="23" t="s">
        <v>4682</v>
      </c>
      <c r="H703" s="23">
        <v>2</v>
      </c>
      <c r="I703" s="23" t="s">
        <v>4682</v>
      </c>
      <c r="J703" s="23" t="s">
        <v>4728</v>
      </c>
      <c r="K703" s="23" t="s">
        <v>4737</v>
      </c>
      <c r="L703">
        <v>1974</v>
      </c>
      <c r="M703" s="15" t="s">
        <v>4706</v>
      </c>
      <c r="N703">
        <v>17</v>
      </c>
      <c r="O703">
        <v>0</v>
      </c>
      <c r="P703" s="21">
        <f>DATEVALUE(N703&amp;"-"&amp;M703&amp;"-"&amp;L703)</f>
        <v>27258</v>
      </c>
      <c r="Q703" s="22">
        <v>5990.17</v>
      </c>
      <c r="R703" s="23" t="s">
        <v>4697</v>
      </c>
      <c r="S703" s="23" t="s">
        <v>4697</v>
      </c>
      <c r="T703" s="23" t="s">
        <v>4699</v>
      </c>
      <c r="U703" s="23">
        <f>DATEDIF(P703, DATE(2023, 6, 8), "Y")</f>
        <v>48</v>
      </c>
      <c r="V703">
        <f>SUM(C703:K703)</f>
        <v>27.8</v>
      </c>
    </row>
    <row r="704" spans="1:22" ht="15.75">
      <c r="A704" s="28" t="s">
        <v>1406</v>
      </c>
      <c r="B704" s="28" t="s">
        <v>1407</v>
      </c>
      <c r="C704" s="23">
        <v>37.72</v>
      </c>
      <c r="D704" s="23">
        <v>4.38</v>
      </c>
      <c r="E704" s="23" t="s">
        <v>4683</v>
      </c>
      <c r="F704" s="23" t="s">
        <v>4682</v>
      </c>
      <c r="G704" s="23" t="s">
        <v>4684</v>
      </c>
      <c r="H704" s="23">
        <v>1</v>
      </c>
      <c r="I704" s="23" t="s">
        <v>4682</v>
      </c>
      <c r="J704" s="23" t="s">
        <v>4729</v>
      </c>
      <c r="K704" s="23" t="s">
        <v>4737</v>
      </c>
      <c r="L704">
        <v>1980</v>
      </c>
      <c r="M704" s="15" t="s">
        <v>4706</v>
      </c>
      <c r="N704">
        <v>8</v>
      </c>
      <c r="O704">
        <v>2</v>
      </c>
      <c r="P704" s="21">
        <f>DATEVALUE(N704&amp;"-"&amp;M704&amp;"-"&amp;L704)</f>
        <v>29441</v>
      </c>
      <c r="Q704" s="22">
        <v>5993.62</v>
      </c>
      <c r="R704" s="23" t="s">
        <v>4697</v>
      </c>
      <c r="S704" s="23" t="s">
        <v>4698</v>
      </c>
      <c r="T704" s="23" t="s">
        <v>4699</v>
      </c>
      <c r="U704" s="23">
        <f>DATEDIF(P704, DATE(2023, 6, 8), "Y")</f>
        <v>42</v>
      </c>
      <c r="V704">
        <f>SUM(C704:K704)</f>
        <v>43.1</v>
      </c>
    </row>
    <row r="705" spans="1:22" ht="15.75">
      <c r="A705" s="28" t="s">
        <v>1408</v>
      </c>
      <c r="B705" s="28" t="s">
        <v>1409</v>
      </c>
      <c r="C705" s="23">
        <v>39.700000000000003</v>
      </c>
      <c r="D705" s="23">
        <v>9.83</v>
      </c>
      <c r="E705" s="23" t="s">
        <v>4682</v>
      </c>
      <c r="F705" s="23" t="s">
        <v>4682</v>
      </c>
      <c r="G705" s="23" t="s">
        <v>4682</v>
      </c>
      <c r="H705" s="23">
        <v>3</v>
      </c>
      <c r="I705" s="23" t="s">
        <v>4682</v>
      </c>
      <c r="J705" s="23" t="s">
        <v>4729</v>
      </c>
      <c r="K705" s="23" t="s">
        <v>4735</v>
      </c>
      <c r="L705">
        <v>1989</v>
      </c>
      <c r="M705" s="15" t="s">
        <v>4706</v>
      </c>
      <c r="N705">
        <v>16</v>
      </c>
      <c r="O705">
        <v>4</v>
      </c>
      <c r="P705" s="21">
        <f>DATEVALUE(N705&amp;"-"&amp;M705&amp;"-"&amp;L705)</f>
        <v>32736</v>
      </c>
      <c r="Q705" s="22">
        <v>6059.17</v>
      </c>
      <c r="R705" s="23" t="s">
        <v>4697</v>
      </c>
      <c r="S705" s="23" t="s">
        <v>4701</v>
      </c>
      <c r="T705" s="23" t="s">
        <v>4708</v>
      </c>
      <c r="U705" s="23">
        <f>DATEDIF(P705, DATE(2023, 6, 8), "Y")</f>
        <v>33</v>
      </c>
      <c r="V705">
        <f>SUM(C705:K705)</f>
        <v>52.53</v>
      </c>
    </row>
    <row r="706" spans="1:22" ht="15.75">
      <c r="A706" s="28" t="s">
        <v>1410</v>
      </c>
      <c r="B706" s="28" t="s">
        <v>1411</v>
      </c>
      <c r="C706" s="23">
        <v>35.97</v>
      </c>
      <c r="D706" s="23">
        <v>11.08</v>
      </c>
      <c r="E706" s="23" t="s">
        <v>4682</v>
      </c>
      <c r="F706" s="23" t="s">
        <v>4682</v>
      </c>
      <c r="G706" s="23" t="s">
        <v>4682</v>
      </c>
      <c r="H706" s="23">
        <v>3</v>
      </c>
      <c r="I706" s="23" t="s">
        <v>4682</v>
      </c>
      <c r="J706" s="23" t="s">
        <v>4729</v>
      </c>
      <c r="K706" s="23" t="s">
        <v>4735</v>
      </c>
      <c r="L706">
        <v>1996</v>
      </c>
      <c r="M706" s="15" t="s">
        <v>4696</v>
      </c>
      <c r="N706">
        <v>28</v>
      </c>
      <c r="O706">
        <v>0</v>
      </c>
      <c r="P706" s="21">
        <f>DATEVALUE(N706&amp;"-"&amp;M706&amp;"-"&amp;L706)</f>
        <v>35274</v>
      </c>
      <c r="Q706" s="22">
        <v>6061.8</v>
      </c>
      <c r="R706" s="23" t="s">
        <v>4697</v>
      </c>
      <c r="S706" s="23" t="s">
        <v>4698</v>
      </c>
      <c r="T706" s="23" t="s">
        <v>4704</v>
      </c>
      <c r="U706" s="23">
        <f>DATEDIF(P706, DATE(2023, 6, 8), "Y")</f>
        <v>26</v>
      </c>
      <c r="V706">
        <f>SUM(C706:K706)</f>
        <v>50.05</v>
      </c>
    </row>
    <row r="707" spans="1:22" ht="15.75">
      <c r="A707" s="28" t="s">
        <v>1412</v>
      </c>
      <c r="B707" s="28" t="s">
        <v>1413</v>
      </c>
      <c r="C707" s="23">
        <v>37.85</v>
      </c>
      <c r="D707" s="23">
        <v>11.01</v>
      </c>
      <c r="E707" s="23" t="s">
        <v>4682</v>
      </c>
      <c r="F707" s="23" t="s">
        <v>4682</v>
      </c>
      <c r="G707" s="23" t="s">
        <v>4682</v>
      </c>
      <c r="H707" s="23">
        <v>0</v>
      </c>
      <c r="I707" s="23" t="s">
        <v>4682</v>
      </c>
      <c r="J707" s="23" t="s">
        <v>4729</v>
      </c>
      <c r="K707" s="23" t="s">
        <v>4735</v>
      </c>
      <c r="L707">
        <v>1994</v>
      </c>
      <c r="M707" s="15" t="s">
        <v>4700</v>
      </c>
      <c r="N707">
        <v>8</v>
      </c>
      <c r="O707">
        <v>0</v>
      </c>
      <c r="P707" s="21">
        <f>DATEVALUE(N707&amp;"-"&amp;M707&amp;"-"&amp;L707)</f>
        <v>34646</v>
      </c>
      <c r="Q707" s="22">
        <v>6064.37</v>
      </c>
      <c r="R707" s="23" t="s">
        <v>4697</v>
      </c>
      <c r="S707" s="23" t="s">
        <v>4697</v>
      </c>
      <c r="T707" s="23" t="s">
        <v>4708</v>
      </c>
      <c r="U707" s="23">
        <f>DATEDIF(P707, DATE(2023, 6, 8), "Y")</f>
        <v>28</v>
      </c>
      <c r="V707">
        <f>SUM(C707:K707)</f>
        <v>48.86</v>
      </c>
    </row>
    <row r="708" spans="1:22" ht="15.75">
      <c r="A708" s="28" t="s">
        <v>1414</v>
      </c>
      <c r="B708" s="28" t="s">
        <v>1415</v>
      </c>
      <c r="C708" s="23">
        <v>21.66</v>
      </c>
      <c r="D708" s="23">
        <v>4.37</v>
      </c>
      <c r="E708" s="23" t="s">
        <v>4682</v>
      </c>
      <c r="F708" s="23" t="s">
        <v>4683</v>
      </c>
      <c r="G708" s="23" t="s">
        <v>4682</v>
      </c>
      <c r="H708" s="23">
        <v>1</v>
      </c>
      <c r="I708" s="23" t="s">
        <v>4683</v>
      </c>
      <c r="J708" s="23" t="s">
        <v>4728</v>
      </c>
      <c r="K708" s="23" t="s">
        <v>4737</v>
      </c>
      <c r="L708">
        <v>1984</v>
      </c>
      <c r="M708" s="15" t="s">
        <v>4703</v>
      </c>
      <c r="N708">
        <v>21</v>
      </c>
      <c r="O708">
        <v>1</v>
      </c>
      <c r="P708" s="21">
        <f>DATEVALUE(N708&amp;"-"&amp;M708&amp;"-"&amp;L708)</f>
        <v>30946</v>
      </c>
      <c r="Q708" s="22">
        <v>6067.13</v>
      </c>
      <c r="R708" s="23" t="s">
        <v>4698</v>
      </c>
      <c r="S708" s="23" t="s">
        <v>4701</v>
      </c>
      <c r="T708" s="23" t="s">
        <v>4711</v>
      </c>
      <c r="U708" s="23">
        <f>DATEDIF(P708, DATE(2023, 6, 8), "Y")</f>
        <v>38</v>
      </c>
      <c r="V708">
        <f>SUM(C708:K708)</f>
        <v>27.03</v>
      </c>
    </row>
    <row r="709" spans="1:22" ht="15.75">
      <c r="A709" s="28" t="s">
        <v>1416</v>
      </c>
      <c r="B709" s="28" t="s">
        <v>1417</v>
      </c>
      <c r="C709" s="23">
        <v>39.369999999999997</v>
      </c>
      <c r="D709" s="23">
        <v>5.91</v>
      </c>
      <c r="E709" s="23" t="s">
        <v>4682</v>
      </c>
      <c r="F709" s="23" t="s">
        <v>4682</v>
      </c>
      <c r="G709" s="23" t="s">
        <v>4682</v>
      </c>
      <c r="H709" s="23">
        <v>2</v>
      </c>
      <c r="I709" s="23" t="s">
        <v>4682</v>
      </c>
      <c r="J709" s="23" t="s">
        <v>4729</v>
      </c>
      <c r="K709" s="23" t="s">
        <v>4736</v>
      </c>
      <c r="L709">
        <v>1979</v>
      </c>
      <c r="M709" s="15" t="s">
        <v>4706</v>
      </c>
      <c r="N709">
        <v>8</v>
      </c>
      <c r="O709">
        <v>2</v>
      </c>
      <c r="P709" s="21">
        <f>DATEVALUE(N709&amp;"-"&amp;M709&amp;"-"&amp;L709)</f>
        <v>29075</v>
      </c>
      <c r="Q709" s="22">
        <v>6074.37</v>
      </c>
      <c r="R709" s="23" t="s">
        <v>4697</v>
      </c>
      <c r="S709" s="23" t="s">
        <v>4697</v>
      </c>
      <c r="T709" s="23" t="s">
        <v>4704</v>
      </c>
      <c r="U709" s="23">
        <f>DATEDIF(P709, DATE(2023, 6, 8), "Y")</f>
        <v>43</v>
      </c>
      <c r="V709">
        <f>SUM(C709:K709)</f>
        <v>47.28</v>
      </c>
    </row>
    <row r="710" spans="1:22" ht="15.75">
      <c r="A710" s="28" t="s">
        <v>1418</v>
      </c>
      <c r="B710" s="28" t="s">
        <v>1419</v>
      </c>
      <c r="C710" s="23">
        <v>40.880000000000003</v>
      </c>
      <c r="D710" s="23">
        <v>7.65</v>
      </c>
      <c r="E710" s="23" t="s">
        <v>4682</v>
      </c>
      <c r="F710" s="23" t="s">
        <v>4682</v>
      </c>
      <c r="G710" s="23" t="s">
        <v>4682</v>
      </c>
      <c r="H710" s="23">
        <v>0</v>
      </c>
      <c r="I710" s="23" t="s">
        <v>4682</v>
      </c>
      <c r="J710" s="23" t="s">
        <v>4729</v>
      </c>
      <c r="K710" s="23" t="s">
        <v>4735</v>
      </c>
      <c r="L710">
        <v>1984</v>
      </c>
      <c r="M710" s="15" t="s">
        <v>4707</v>
      </c>
      <c r="N710">
        <v>14</v>
      </c>
      <c r="O710">
        <v>1</v>
      </c>
      <c r="P710" s="21">
        <f>DATEVALUE(N710&amp;"-"&amp;M710&amp;"-"&amp;L710)</f>
        <v>30969</v>
      </c>
      <c r="Q710" s="22">
        <v>6079.67</v>
      </c>
      <c r="R710" s="23" t="s">
        <v>4701</v>
      </c>
      <c r="S710" s="23" t="s">
        <v>4701</v>
      </c>
      <c r="T710" s="23" t="s">
        <v>4716</v>
      </c>
      <c r="U710" s="23">
        <f>DATEDIF(P710, DATE(2023, 6, 8), "Y")</f>
        <v>38</v>
      </c>
      <c r="V710">
        <f>SUM(C710:K710)</f>
        <v>48.53</v>
      </c>
    </row>
    <row r="711" spans="1:22" ht="15.75">
      <c r="A711" s="28" t="s">
        <v>1420</v>
      </c>
      <c r="B711" s="28" t="s">
        <v>1421</v>
      </c>
      <c r="C711" s="23">
        <v>26.22</v>
      </c>
      <c r="D711" s="23">
        <v>5.37</v>
      </c>
      <c r="E711" s="23" t="s">
        <v>4683</v>
      </c>
      <c r="F711" s="23" t="s">
        <v>4682</v>
      </c>
      <c r="G711" s="23" t="s">
        <v>4682</v>
      </c>
      <c r="H711" s="23">
        <v>2</v>
      </c>
      <c r="I711" s="23" t="s">
        <v>4682</v>
      </c>
      <c r="J711" s="23" t="s">
        <v>4730</v>
      </c>
      <c r="K711" s="23" t="s">
        <v>4737</v>
      </c>
      <c r="L711">
        <v>1984</v>
      </c>
      <c r="M711" s="15" t="s">
        <v>4696</v>
      </c>
      <c r="N711">
        <v>25</v>
      </c>
      <c r="O711">
        <v>2</v>
      </c>
      <c r="P711" s="21">
        <f>DATEVALUE(N711&amp;"-"&amp;M711&amp;"-"&amp;L711)</f>
        <v>30888</v>
      </c>
      <c r="Q711" s="22">
        <v>6082.41</v>
      </c>
      <c r="R711" s="23" t="s">
        <v>4701</v>
      </c>
      <c r="S711" s="23" t="s">
        <v>4697</v>
      </c>
      <c r="T711" s="23" t="s">
        <v>4708</v>
      </c>
      <c r="U711" s="23">
        <f>DATEDIF(P711, DATE(2023, 6, 8), "Y")</f>
        <v>38</v>
      </c>
      <c r="V711">
        <f>SUM(C711:K711)</f>
        <v>33.590000000000003</v>
      </c>
    </row>
    <row r="712" spans="1:22" ht="15.75">
      <c r="A712" s="28" t="s">
        <v>1422</v>
      </c>
      <c r="B712" s="28" t="s">
        <v>1423</v>
      </c>
      <c r="C712" s="23">
        <v>25.08</v>
      </c>
      <c r="D712" s="23">
        <v>5.75</v>
      </c>
      <c r="E712" s="23" t="s">
        <v>4683</v>
      </c>
      <c r="F712" s="23" t="s">
        <v>4682</v>
      </c>
      <c r="G712" s="23" t="s">
        <v>4682</v>
      </c>
      <c r="H712" s="23">
        <v>2</v>
      </c>
      <c r="I712" s="23" t="s">
        <v>4682</v>
      </c>
      <c r="J712" s="23" t="s">
        <v>4730</v>
      </c>
      <c r="K712" s="23" t="s">
        <v>4736</v>
      </c>
      <c r="L712">
        <v>1970</v>
      </c>
      <c r="M712" s="15" t="s">
        <v>4702</v>
      </c>
      <c r="N712">
        <v>9</v>
      </c>
      <c r="O712">
        <v>0</v>
      </c>
      <c r="P712" s="21">
        <f>DATEVALUE(N712&amp;"-"&amp;M712&amp;"-"&amp;L712)</f>
        <v>25728</v>
      </c>
      <c r="Q712" s="22">
        <v>6098.38</v>
      </c>
      <c r="R712" s="23" t="s">
        <v>4697</v>
      </c>
      <c r="S712" s="23" t="s">
        <v>4697</v>
      </c>
      <c r="T712" s="23" t="s">
        <v>4699</v>
      </c>
      <c r="U712" s="23">
        <f>DATEDIF(P712, DATE(2023, 6, 8), "Y")</f>
        <v>52</v>
      </c>
      <c r="V712">
        <f>SUM(C712:K712)</f>
        <v>32.83</v>
      </c>
    </row>
    <row r="713" spans="1:22" ht="15.75">
      <c r="A713" s="28" t="s">
        <v>1424</v>
      </c>
      <c r="B713" s="28" t="s">
        <v>1425</v>
      </c>
      <c r="C713" s="23">
        <v>39.1</v>
      </c>
      <c r="D713" s="23">
        <v>6.79</v>
      </c>
      <c r="E713" s="23" t="s">
        <v>4683</v>
      </c>
      <c r="F713" s="23" t="s">
        <v>4682</v>
      </c>
      <c r="G713" s="23" t="s">
        <v>4682</v>
      </c>
      <c r="H713" s="23">
        <v>2</v>
      </c>
      <c r="I713" s="23" t="s">
        <v>4682</v>
      </c>
      <c r="J713" s="23" t="s">
        <v>4729</v>
      </c>
      <c r="K713" s="23" t="s">
        <v>4735</v>
      </c>
      <c r="L713">
        <v>1995</v>
      </c>
      <c r="M713" s="15" t="s">
        <v>4703</v>
      </c>
      <c r="N713">
        <v>9</v>
      </c>
      <c r="O713">
        <v>0</v>
      </c>
      <c r="P713" s="21">
        <f>DATEVALUE(N713&amp;"-"&amp;M713&amp;"-"&amp;L713)</f>
        <v>34951</v>
      </c>
      <c r="Q713" s="22">
        <v>6111.95</v>
      </c>
      <c r="R713" s="23" t="s">
        <v>4697</v>
      </c>
      <c r="S713" s="23" t="s">
        <v>4698</v>
      </c>
      <c r="T713" s="23" t="s">
        <v>4720</v>
      </c>
      <c r="U713" s="23">
        <f>DATEDIF(P713, DATE(2023, 6, 8), "Y")</f>
        <v>27</v>
      </c>
      <c r="V713">
        <f>SUM(C713:K713)</f>
        <v>47.89</v>
      </c>
    </row>
    <row r="714" spans="1:22" ht="15.75">
      <c r="A714" s="28" t="s">
        <v>1426</v>
      </c>
      <c r="B714" s="28" t="s">
        <v>1427</v>
      </c>
      <c r="C714" s="23">
        <v>37.905000000000001</v>
      </c>
      <c r="D714" s="23">
        <v>7.03</v>
      </c>
      <c r="E714" s="23" t="s">
        <v>4682</v>
      </c>
      <c r="F714" s="23" t="s">
        <v>4682</v>
      </c>
      <c r="G714" s="23" t="s">
        <v>4682</v>
      </c>
      <c r="H714" s="23">
        <v>3</v>
      </c>
      <c r="I714" s="23" t="s">
        <v>4682</v>
      </c>
      <c r="J714" s="23" t="s">
        <v>4729</v>
      </c>
      <c r="K714" s="23" t="s">
        <v>4735</v>
      </c>
      <c r="L714">
        <v>1985</v>
      </c>
      <c r="M714" s="15" t="s">
        <v>4696</v>
      </c>
      <c r="N714">
        <v>21</v>
      </c>
      <c r="O714">
        <v>1</v>
      </c>
      <c r="P714" s="21">
        <f>DATEVALUE(N714&amp;"-"&amp;M714&amp;"-"&amp;L714)</f>
        <v>31249</v>
      </c>
      <c r="Q714" s="22">
        <v>6112.35</v>
      </c>
      <c r="R714" s="23" t="s">
        <v>4697</v>
      </c>
      <c r="S714" s="23" t="s">
        <v>4701</v>
      </c>
      <c r="T714" s="23" t="s">
        <v>4704</v>
      </c>
      <c r="U714" s="23">
        <f>DATEDIF(P714, DATE(2023, 6, 8), "Y")</f>
        <v>37</v>
      </c>
      <c r="V714">
        <f>SUM(C714:K714)</f>
        <v>47.935000000000002</v>
      </c>
    </row>
    <row r="715" spans="1:22" ht="15.75">
      <c r="A715" s="28" t="s">
        <v>1428</v>
      </c>
      <c r="B715" s="28" t="s">
        <v>1429</v>
      </c>
      <c r="C715" s="23">
        <v>43.35</v>
      </c>
      <c r="D715" s="23">
        <v>5.41</v>
      </c>
      <c r="E715" s="23" t="s">
        <v>4683</v>
      </c>
      <c r="F715" s="23" t="s">
        <v>4682</v>
      </c>
      <c r="G715" s="23" t="s">
        <v>4684</v>
      </c>
      <c r="H715" s="23">
        <v>1</v>
      </c>
      <c r="I715" s="23" t="s">
        <v>4682</v>
      </c>
      <c r="J715" s="23" t="s">
        <v>4729</v>
      </c>
      <c r="K715" s="23" t="s">
        <v>4737</v>
      </c>
      <c r="L715">
        <v>1991</v>
      </c>
      <c r="M715" s="15" t="s">
        <v>4696</v>
      </c>
      <c r="N715">
        <v>25</v>
      </c>
      <c r="O715">
        <v>3</v>
      </c>
      <c r="P715" s="21">
        <f>DATEVALUE(N715&amp;"-"&amp;M715&amp;"-"&amp;L715)</f>
        <v>33444</v>
      </c>
      <c r="Q715" s="22">
        <v>6113.23</v>
      </c>
      <c r="R715" s="23" t="s">
        <v>4697</v>
      </c>
      <c r="S715" s="23" t="s">
        <v>4697</v>
      </c>
      <c r="T715" s="23" t="s">
        <v>4714</v>
      </c>
      <c r="U715" s="23">
        <f>DATEDIF(P715, DATE(2023, 6, 8), "Y")</f>
        <v>31</v>
      </c>
      <c r="V715">
        <f>SUM(C715:K715)</f>
        <v>49.760000000000005</v>
      </c>
    </row>
    <row r="716" spans="1:22" ht="15.75">
      <c r="A716" s="28" t="s">
        <v>1430</v>
      </c>
      <c r="B716" s="28" t="s">
        <v>1431</v>
      </c>
      <c r="C716" s="23">
        <v>36.15</v>
      </c>
      <c r="D716" s="23">
        <v>8.0500000000000007</v>
      </c>
      <c r="E716" s="23" t="s">
        <v>4682</v>
      </c>
      <c r="F716" s="23" t="s">
        <v>4682</v>
      </c>
      <c r="G716" s="23" t="s">
        <v>4682</v>
      </c>
      <c r="H716" s="23">
        <v>0</v>
      </c>
      <c r="I716" s="23" t="s">
        <v>4682</v>
      </c>
      <c r="J716" s="23" t="s">
        <v>4729</v>
      </c>
      <c r="K716" s="23" t="s">
        <v>4735</v>
      </c>
      <c r="L716">
        <v>1983</v>
      </c>
      <c r="M716" s="15" t="s">
        <v>4706</v>
      </c>
      <c r="N716">
        <v>11</v>
      </c>
      <c r="O716">
        <v>1</v>
      </c>
      <c r="P716" s="21">
        <f>DATEVALUE(N716&amp;"-"&amp;M716&amp;"-"&amp;L716)</f>
        <v>30539</v>
      </c>
      <c r="Q716" s="22">
        <v>6117.49</v>
      </c>
      <c r="R716" s="23" t="s">
        <v>4697</v>
      </c>
      <c r="S716" s="23" t="s">
        <v>4698</v>
      </c>
      <c r="T716" s="23" t="s">
        <v>4704</v>
      </c>
      <c r="U716" s="23">
        <f>DATEDIF(P716, DATE(2023, 6, 8), "Y")</f>
        <v>39</v>
      </c>
      <c r="V716">
        <f>SUM(C716:K716)</f>
        <v>44.2</v>
      </c>
    </row>
    <row r="717" spans="1:22" ht="15.75">
      <c r="A717" s="28" t="s">
        <v>1432</v>
      </c>
      <c r="B717" s="28" t="s">
        <v>1433</v>
      </c>
      <c r="C717" s="23">
        <v>44.98</v>
      </c>
      <c r="D717" s="23">
        <v>5.94</v>
      </c>
      <c r="E717" s="23" t="s">
        <v>4682</v>
      </c>
      <c r="F717" s="23" t="s">
        <v>4682</v>
      </c>
      <c r="G717" s="23" t="s">
        <v>4682</v>
      </c>
      <c r="H717" s="23">
        <v>1</v>
      </c>
      <c r="I717" s="23" t="s">
        <v>4682</v>
      </c>
      <c r="J717" s="23" t="s">
        <v>4729</v>
      </c>
      <c r="K717" s="23" t="s">
        <v>4736</v>
      </c>
      <c r="L717">
        <v>1983</v>
      </c>
      <c r="M717" s="15" t="s">
        <v>4700</v>
      </c>
      <c r="N717">
        <v>16</v>
      </c>
      <c r="O717">
        <v>1</v>
      </c>
      <c r="P717" s="21">
        <f>DATEVALUE(N717&amp;"-"&amp;M717&amp;"-"&amp;L717)</f>
        <v>30636</v>
      </c>
      <c r="Q717" s="22">
        <v>6123.57</v>
      </c>
      <c r="R717" s="23" t="s">
        <v>4698</v>
      </c>
      <c r="S717" s="23" t="s">
        <v>4697</v>
      </c>
      <c r="T717" s="23" t="s">
        <v>4704</v>
      </c>
      <c r="U717" s="23">
        <f>DATEDIF(P717, DATE(2023, 6, 8), "Y")</f>
        <v>39</v>
      </c>
      <c r="V717">
        <f>SUM(C717:K717)</f>
        <v>51.919999999999995</v>
      </c>
    </row>
    <row r="718" spans="1:22" ht="15.75">
      <c r="A718" s="28" t="s">
        <v>1434</v>
      </c>
      <c r="B718" s="28" t="s">
        <v>1435</v>
      </c>
      <c r="C718" s="23">
        <v>38.28</v>
      </c>
      <c r="D718" s="23">
        <v>5.51</v>
      </c>
      <c r="E718" s="23" t="s">
        <v>4682</v>
      </c>
      <c r="F718" s="23" t="s">
        <v>4683</v>
      </c>
      <c r="G718" s="23" t="s">
        <v>4682</v>
      </c>
      <c r="H718" s="23">
        <v>1</v>
      </c>
      <c r="I718" s="23" t="s">
        <v>4682</v>
      </c>
      <c r="J718" s="23" t="s">
        <v>4729</v>
      </c>
      <c r="K718" s="23" t="s">
        <v>4737</v>
      </c>
      <c r="L718">
        <v>1990</v>
      </c>
      <c r="M718" s="15" t="s">
        <v>4706</v>
      </c>
      <c r="N718">
        <v>18</v>
      </c>
      <c r="O718">
        <v>3</v>
      </c>
      <c r="P718" s="21">
        <f>DATEVALUE(N718&amp;"-"&amp;M718&amp;"-"&amp;L718)</f>
        <v>33103</v>
      </c>
      <c r="Q718" s="22">
        <v>6128.8</v>
      </c>
      <c r="R718" s="23" t="s">
        <v>4697</v>
      </c>
      <c r="S718" s="23" t="s">
        <v>4698</v>
      </c>
      <c r="T718" s="23" t="s">
        <v>4704</v>
      </c>
      <c r="U718" s="23">
        <f>DATEDIF(P718, DATE(2023, 6, 8), "Y")</f>
        <v>32</v>
      </c>
      <c r="V718">
        <f>SUM(C718:K718)</f>
        <v>44.79</v>
      </c>
    </row>
    <row r="719" spans="1:22" ht="15.75">
      <c r="A719" s="28" t="s">
        <v>1436</v>
      </c>
      <c r="B719" s="28" t="s">
        <v>1437</v>
      </c>
      <c r="C719" s="23">
        <v>32.299999999999997</v>
      </c>
      <c r="D719" s="23">
        <v>6.55</v>
      </c>
      <c r="E719" s="23" t="s">
        <v>4683</v>
      </c>
      <c r="F719" s="23" t="s">
        <v>4682</v>
      </c>
      <c r="G719" s="23" t="s">
        <v>4682</v>
      </c>
      <c r="H719" s="23">
        <v>2</v>
      </c>
      <c r="I719" s="23" t="s">
        <v>4682</v>
      </c>
      <c r="J719" s="23" t="s">
        <v>4729</v>
      </c>
      <c r="K719" s="23" t="s">
        <v>4735</v>
      </c>
      <c r="L719">
        <v>1969</v>
      </c>
      <c r="M719" s="15" t="s">
        <v>4700</v>
      </c>
      <c r="N719">
        <v>9</v>
      </c>
      <c r="O719">
        <v>0</v>
      </c>
      <c r="P719" s="21">
        <f>DATEVALUE(N719&amp;"-"&amp;M719&amp;"-"&amp;L719)</f>
        <v>25516</v>
      </c>
      <c r="Q719" s="22">
        <v>6138.5</v>
      </c>
      <c r="R719" s="23" t="s">
        <v>4697</v>
      </c>
      <c r="S719" s="23" t="s">
        <v>4697</v>
      </c>
      <c r="T719" s="23" t="s">
        <v>4708</v>
      </c>
      <c r="U719" s="23">
        <f>DATEDIF(P719, DATE(2023, 6, 8), "Y")</f>
        <v>53</v>
      </c>
      <c r="V719">
        <f>SUM(C719:K719)</f>
        <v>40.849999999999994</v>
      </c>
    </row>
    <row r="720" spans="1:22" ht="15.75">
      <c r="A720" s="28" t="s">
        <v>1438</v>
      </c>
      <c r="B720" s="28" t="s">
        <v>1439</v>
      </c>
      <c r="C720" s="23">
        <v>39.51</v>
      </c>
      <c r="D720" s="23">
        <v>5.79</v>
      </c>
      <c r="E720" s="23" t="s">
        <v>4683</v>
      </c>
      <c r="F720" s="23" t="s">
        <v>4682</v>
      </c>
      <c r="G720" s="23" t="s">
        <v>4682</v>
      </c>
      <c r="H720" s="23">
        <v>0</v>
      </c>
      <c r="I720" s="23" t="s">
        <v>4682</v>
      </c>
      <c r="J720" s="23" t="s">
        <v>4729</v>
      </c>
      <c r="K720" s="23" t="s">
        <v>4736</v>
      </c>
      <c r="L720">
        <v>1978</v>
      </c>
      <c r="M720" s="15" t="s">
        <v>4703</v>
      </c>
      <c r="N720">
        <v>5</v>
      </c>
      <c r="O720">
        <v>2</v>
      </c>
      <c r="P720" s="21">
        <f>DATEVALUE(N720&amp;"-"&amp;M720&amp;"-"&amp;L720)</f>
        <v>28738</v>
      </c>
      <c r="Q720" s="22">
        <v>6138.58</v>
      </c>
      <c r="R720" s="23" t="s">
        <v>4697</v>
      </c>
      <c r="S720" s="23" t="s">
        <v>4701</v>
      </c>
      <c r="T720" s="23" t="s">
        <v>4699</v>
      </c>
      <c r="U720" s="23">
        <f>DATEDIF(P720, DATE(2023, 6, 8), "Y")</f>
        <v>44</v>
      </c>
      <c r="V720">
        <f>SUM(C720:K720)</f>
        <v>45.3</v>
      </c>
    </row>
    <row r="721" spans="1:22" ht="15.75">
      <c r="A721" s="28" t="s">
        <v>1440</v>
      </c>
      <c r="B721" s="28" t="s">
        <v>1441</v>
      </c>
      <c r="C721" s="23">
        <v>50.46</v>
      </c>
      <c r="D721" s="23">
        <v>4.5599999999999996</v>
      </c>
      <c r="E721" s="23" t="s">
        <v>4682</v>
      </c>
      <c r="F721" s="23" t="s">
        <v>4682</v>
      </c>
      <c r="G721" s="23" t="s">
        <v>4682</v>
      </c>
      <c r="H721" s="23">
        <v>0</v>
      </c>
      <c r="I721" s="23" t="s">
        <v>4682</v>
      </c>
      <c r="J721" s="23" t="s">
        <v>4729</v>
      </c>
      <c r="K721" s="23" t="s">
        <v>4737</v>
      </c>
      <c r="L721">
        <v>1976</v>
      </c>
      <c r="M721" s="15" t="s">
        <v>4705</v>
      </c>
      <c r="N721">
        <v>12</v>
      </c>
      <c r="O721">
        <v>2</v>
      </c>
      <c r="P721" s="21">
        <f>DATEVALUE(N721&amp;"-"&amp;M721&amp;"-"&amp;L721)</f>
        <v>28106</v>
      </c>
      <c r="Q721" s="22">
        <v>6139.14</v>
      </c>
      <c r="R721" s="23" t="s">
        <v>4697</v>
      </c>
      <c r="S721" s="23" t="s">
        <v>4698</v>
      </c>
      <c r="T721" s="23" t="s">
        <v>4699</v>
      </c>
      <c r="U721" s="23">
        <f>DATEDIF(P721, DATE(2023, 6, 8), "Y")</f>
        <v>46</v>
      </c>
      <c r="V721">
        <f>SUM(C721:K721)</f>
        <v>55.02</v>
      </c>
    </row>
    <row r="722" spans="1:22" ht="15.75">
      <c r="A722" s="28" t="s">
        <v>1442</v>
      </c>
      <c r="B722" s="28" t="s">
        <v>1443</v>
      </c>
      <c r="C722" s="23">
        <v>31.73</v>
      </c>
      <c r="D722" s="23">
        <v>7</v>
      </c>
      <c r="E722" s="23" t="s">
        <v>4682</v>
      </c>
      <c r="F722" s="23" t="s">
        <v>4682</v>
      </c>
      <c r="G722" s="23" t="s">
        <v>4682</v>
      </c>
      <c r="H722" s="23">
        <v>0</v>
      </c>
      <c r="I722" s="23" t="s">
        <v>4682</v>
      </c>
      <c r="J722" s="23" t="s">
        <v>4729</v>
      </c>
      <c r="K722" s="23" t="s">
        <v>4735</v>
      </c>
      <c r="L722">
        <v>1970</v>
      </c>
      <c r="M722" s="15" t="s">
        <v>4707</v>
      </c>
      <c r="N722">
        <v>14</v>
      </c>
      <c r="O722">
        <v>0</v>
      </c>
      <c r="P722" s="21">
        <f>DATEVALUE(N722&amp;"-"&amp;M722&amp;"-"&amp;L722)</f>
        <v>25855</v>
      </c>
      <c r="Q722" s="22">
        <v>6147.12</v>
      </c>
      <c r="R722" s="23" t="s">
        <v>4697</v>
      </c>
      <c r="S722" s="23" t="s">
        <v>4698</v>
      </c>
      <c r="T722" s="23" t="s">
        <v>4704</v>
      </c>
      <c r="U722" s="23">
        <f>DATEDIF(P722, DATE(2023, 6, 8), "Y")</f>
        <v>52</v>
      </c>
      <c r="V722">
        <f>SUM(C722:K722)</f>
        <v>38.730000000000004</v>
      </c>
    </row>
    <row r="723" spans="1:22" ht="15.75">
      <c r="A723" s="28" t="s">
        <v>1444</v>
      </c>
      <c r="B723" s="28" t="s">
        <v>1445</v>
      </c>
      <c r="C723" s="23">
        <v>32.1</v>
      </c>
      <c r="D723" s="23">
        <v>6.57</v>
      </c>
      <c r="E723" s="23" t="s">
        <v>4683</v>
      </c>
      <c r="F723" s="23" t="s">
        <v>4682</v>
      </c>
      <c r="G723" s="23" t="s">
        <v>4684</v>
      </c>
      <c r="H723" s="23">
        <v>1</v>
      </c>
      <c r="I723" s="23" t="s">
        <v>4682</v>
      </c>
      <c r="J723" s="23" t="s">
        <v>4729</v>
      </c>
      <c r="K723" s="23" t="s">
        <v>4735</v>
      </c>
      <c r="L723">
        <v>1973</v>
      </c>
      <c r="M723" s="15" t="s">
        <v>4700</v>
      </c>
      <c r="N723">
        <v>6</v>
      </c>
      <c r="O723">
        <v>0</v>
      </c>
      <c r="P723" s="21">
        <f>DATEVALUE(N723&amp;"-"&amp;M723&amp;"-"&amp;L723)</f>
        <v>26974</v>
      </c>
      <c r="Q723" s="22">
        <v>6152.05</v>
      </c>
      <c r="R723" s="23" t="s">
        <v>4697</v>
      </c>
      <c r="S723" s="23" t="s">
        <v>4698</v>
      </c>
      <c r="T723" s="23" t="s">
        <v>4699</v>
      </c>
      <c r="U723" s="23">
        <f>DATEDIF(P723, DATE(2023, 6, 8), "Y")</f>
        <v>49</v>
      </c>
      <c r="V723">
        <f>SUM(C723:K723)</f>
        <v>39.67</v>
      </c>
    </row>
    <row r="724" spans="1:22" ht="15.75">
      <c r="A724" s="28" t="s">
        <v>1446</v>
      </c>
      <c r="B724" s="28" t="s">
        <v>1447</v>
      </c>
      <c r="C724" s="23">
        <v>27.83</v>
      </c>
      <c r="D724" s="23">
        <v>11.61</v>
      </c>
      <c r="E724" s="23" t="s">
        <v>4683</v>
      </c>
      <c r="F724" s="23" t="s">
        <v>4682</v>
      </c>
      <c r="G724" s="23" t="s">
        <v>4684</v>
      </c>
      <c r="H724" s="23">
        <v>1</v>
      </c>
      <c r="I724" s="23" t="s">
        <v>4682</v>
      </c>
      <c r="J724" s="23" t="s">
        <v>4730</v>
      </c>
      <c r="K724" s="23" t="s">
        <v>4735</v>
      </c>
      <c r="L724">
        <v>1985</v>
      </c>
      <c r="M724" s="15" t="s">
        <v>4707</v>
      </c>
      <c r="N724">
        <v>15</v>
      </c>
      <c r="O724">
        <v>3</v>
      </c>
      <c r="P724" s="21">
        <f>DATEVALUE(N724&amp;"-"&amp;M724&amp;"-"&amp;L724)</f>
        <v>31335</v>
      </c>
      <c r="Q724" s="22">
        <v>6159.57</v>
      </c>
      <c r="R724" s="23" t="s">
        <v>4697</v>
      </c>
      <c r="S724" s="23" t="s">
        <v>4701</v>
      </c>
      <c r="T724" s="23" t="s">
        <v>4704</v>
      </c>
      <c r="U724" s="23">
        <f>DATEDIF(P724, DATE(2023, 6, 8), "Y")</f>
        <v>37</v>
      </c>
      <c r="V724">
        <f>SUM(C724:K724)</f>
        <v>40.44</v>
      </c>
    </row>
    <row r="725" spans="1:22" ht="15.75">
      <c r="A725" s="28" t="s">
        <v>1448</v>
      </c>
      <c r="B725" s="28" t="s">
        <v>1449</v>
      </c>
      <c r="C725" s="23">
        <v>27.72</v>
      </c>
      <c r="D725" s="23">
        <v>8.16</v>
      </c>
      <c r="E725" s="23" t="s">
        <v>4683</v>
      </c>
      <c r="F725" s="23" t="s">
        <v>4682</v>
      </c>
      <c r="G725" s="23" t="s">
        <v>4684</v>
      </c>
      <c r="H725" s="23">
        <v>1</v>
      </c>
      <c r="I725" s="23" t="s">
        <v>4682</v>
      </c>
      <c r="J725" s="23" t="s">
        <v>4730</v>
      </c>
      <c r="K725" s="23" t="s">
        <v>4735</v>
      </c>
      <c r="L725">
        <v>1984</v>
      </c>
      <c r="M725" s="15" t="s">
        <v>4707</v>
      </c>
      <c r="N725">
        <v>6</v>
      </c>
      <c r="O725">
        <v>3</v>
      </c>
      <c r="P725" s="21">
        <f>DATEVALUE(N725&amp;"-"&amp;M725&amp;"-"&amp;L725)</f>
        <v>30961</v>
      </c>
      <c r="Q725" s="22">
        <v>6170.96</v>
      </c>
      <c r="R725" s="23" t="s">
        <v>4697</v>
      </c>
      <c r="S725" s="23" t="s">
        <v>4701</v>
      </c>
      <c r="T725" s="23" t="s">
        <v>4699</v>
      </c>
      <c r="U725" s="23">
        <f>DATEDIF(P725, DATE(2023, 6, 8), "Y")</f>
        <v>38</v>
      </c>
      <c r="V725">
        <f>SUM(C725:K725)</f>
        <v>36.879999999999995</v>
      </c>
    </row>
    <row r="726" spans="1:22" ht="15.75">
      <c r="A726" s="28" t="s">
        <v>1450</v>
      </c>
      <c r="B726" s="28" t="s">
        <v>1451</v>
      </c>
      <c r="C726" s="23">
        <v>36.765000000000001</v>
      </c>
      <c r="D726" s="23">
        <v>4.4800000000000004</v>
      </c>
      <c r="E726" s="23" t="s">
        <v>4683</v>
      </c>
      <c r="F726" s="23" t="s">
        <v>4682</v>
      </c>
      <c r="G726" s="23" t="s">
        <v>4682</v>
      </c>
      <c r="H726" s="23">
        <v>2</v>
      </c>
      <c r="I726" s="23" t="s">
        <v>4682</v>
      </c>
      <c r="J726" s="23" t="s">
        <v>4729</v>
      </c>
      <c r="K726" s="23" t="s">
        <v>4737</v>
      </c>
      <c r="L726">
        <v>1985</v>
      </c>
      <c r="M726" s="15" t="s">
        <v>4706</v>
      </c>
      <c r="N726">
        <v>9</v>
      </c>
      <c r="O726">
        <v>3</v>
      </c>
      <c r="P726" s="21">
        <f>DATEVALUE(N726&amp;"-"&amp;M726&amp;"-"&amp;L726)</f>
        <v>31268</v>
      </c>
      <c r="Q726" s="22">
        <v>6183.32</v>
      </c>
      <c r="R726" s="23" t="s">
        <v>4697</v>
      </c>
      <c r="S726" s="23" t="s">
        <v>4697</v>
      </c>
      <c r="T726" s="23" t="s">
        <v>4704</v>
      </c>
      <c r="U726" s="23">
        <f>DATEDIF(P726, DATE(2023, 6, 8), "Y")</f>
        <v>37</v>
      </c>
      <c r="V726">
        <f>SUM(C726:K726)</f>
        <v>43.245000000000005</v>
      </c>
    </row>
    <row r="727" spans="1:22" ht="15.75">
      <c r="A727" s="28" t="s">
        <v>1452</v>
      </c>
      <c r="B727" s="28" t="s">
        <v>1453</v>
      </c>
      <c r="C727" s="23">
        <v>48.36</v>
      </c>
      <c r="D727" s="23">
        <v>4.08</v>
      </c>
      <c r="E727" s="23" t="s">
        <v>4682</v>
      </c>
      <c r="F727" s="23" t="s">
        <v>4682</v>
      </c>
      <c r="G727" s="23" t="s">
        <v>4682</v>
      </c>
      <c r="H727" s="23">
        <v>0</v>
      </c>
      <c r="I727" s="23" t="s">
        <v>4682</v>
      </c>
      <c r="J727" s="23" t="s">
        <v>4729</v>
      </c>
      <c r="K727" s="23" t="s">
        <v>4737</v>
      </c>
      <c r="L727">
        <v>1970</v>
      </c>
      <c r="M727" s="15" t="s">
        <v>4707</v>
      </c>
      <c r="N727">
        <v>5</v>
      </c>
      <c r="O727">
        <v>0</v>
      </c>
      <c r="P727" s="21">
        <f>DATEVALUE(N727&amp;"-"&amp;M727&amp;"-"&amp;L727)</f>
        <v>25846</v>
      </c>
      <c r="Q727" s="22">
        <v>6183.46</v>
      </c>
      <c r="R727" s="23" t="s">
        <v>4697</v>
      </c>
      <c r="S727" s="23" t="s">
        <v>4697</v>
      </c>
      <c r="T727" s="23" t="s">
        <v>4704</v>
      </c>
      <c r="U727" s="23">
        <f>DATEDIF(P727, DATE(2023, 6, 8), "Y")</f>
        <v>52</v>
      </c>
      <c r="V727">
        <f>SUM(C727:K727)</f>
        <v>52.44</v>
      </c>
    </row>
    <row r="728" spans="1:22" ht="15.75">
      <c r="A728" s="28" t="s">
        <v>1454</v>
      </c>
      <c r="B728" s="28" t="s">
        <v>1455</v>
      </c>
      <c r="C728" s="23">
        <v>31.445</v>
      </c>
      <c r="D728" s="23">
        <v>4.4000000000000004</v>
      </c>
      <c r="E728" s="23" t="s">
        <v>4683</v>
      </c>
      <c r="F728" s="23" t="s">
        <v>4682</v>
      </c>
      <c r="G728" s="23" t="s">
        <v>4682</v>
      </c>
      <c r="H728" s="23">
        <v>2</v>
      </c>
      <c r="I728" s="23" t="s">
        <v>4682</v>
      </c>
      <c r="J728" s="23" t="s">
        <v>4729</v>
      </c>
      <c r="K728" s="23" t="s">
        <v>4737</v>
      </c>
      <c r="L728">
        <v>1988</v>
      </c>
      <c r="M728" s="15" t="s">
        <v>4700</v>
      </c>
      <c r="N728">
        <v>1</v>
      </c>
      <c r="O728">
        <v>3</v>
      </c>
      <c r="P728" s="21">
        <f>DATEVALUE(N728&amp;"-"&amp;M728&amp;"-"&amp;L728)</f>
        <v>32448</v>
      </c>
      <c r="Q728" s="22">
        <v>6184.3</v>
      </c>
      <c r="R728" s="23" t="s">
        <v>4697</v>
      </c>
      <c r="S728" s="23" t="s">
        <v>4698</v>
      </c>
      <c r="T728" s="23" t="s">
        <v>4699</v>
      </c>
      <c r="U728" s="23">
        <f>DATEDIF(P728, DATE(2023, 6, 8), "Y")</f>
        <v>34</v>
      </c>
      <c r="V728">
        <f>SUM(C728:K728)</f>
        <v>37.844999999999999</v>
      </c>
    </row>
    <row r="729" spans="1:22" ht="15.75">
      <c r="A729" s="28" t="s">
        <v>1456</v>
      </c>
      <c r="B729" s="28" t="s">
        <v>1457</v>
      </c>
      <c r="C729" s="23">
        <v>27.55</v>
      </c>
      <c r="D729" s="23">
        <v>9.02</v>
      </c>
      <c r="E729" s="23" t="s">
        <v>4682</v>
      </c>
      <c r="F729" s="23" t="s">
        <v>4682</v>
      </c>
      <c r="G729" s="23" t="s">
        <v>4682</v>
      </c>
      <c r="H729" s="23">
        <v>0</v>
      </c>
      <c r="I729" s="23" t="s">
        <v>4682</v>
      </c>
      <c r="J729" s="23" t="s">
        <v>4730</v>
      </c>
      <c r="K729" s="23" t="s">
        <v>4735</v>
      </c>
      <c r="L729">
        <v>1981</v>
      </c>
      <c r="M729" s="15" t="s">
        <v>4700</v>
      </c>
      <c r="N729">
        <v>22</v>
      </c>
      <c r="O729">
        <v>0</v>
      </c>
      <c r="P729" s="21">
        <f>DATEVALUE(N729&amp;"-"&amp;M729&amp;"-"&amp;L729)</f>
        <v>29912</v>
      </c>
      <c r="Q729" s="22">
        <v>6185.32</v>
      </c>
      <c r="R729" s="23" t="s">
        <v>4697</v>
      </c>
      <c r="S729" s="23" t="s">
        <v>4701</v>
      </c>
      <c r="T729" s="23" t="s">
        <v>4699</v>
      </c>
      <c r="U729" s="23">
        <f>DATEDIF(P729, DATE(2023, 6, 8), "Y")</f>
        <v>41</v>
      </c>
      <c r="V729">
        <f>SUM(C729:K729)</f>
        <v>36.57</v>
      </c>
    </row>
    <row r="730" spans="1:22" ht="15.75">
      <c r="A730" s="28" t="s">
        <v>1458</v>
      </c>
      <c r="B730" s="28" t="s">
        <v>1459</v>
      </c>
      <c r="C730" s="23">
        <v>33.11</v>
      </c>
      <c r="D730" s="23">
        <v>8.06</v>
      </c>
      <c r="E730" s="23" t="s">
        <v>4682</v>
      </c>
      <c r="F730" s="23" t="s">
        <v>4682</v>
      </c>
      <c r="G730" s="23" t="s">
        <v>4682</v>
      </c>
      <c r="H730" s="23">
        <v>0</v>
      </c>
      <c r="I730" s="23" t="s">
        <v>4682</v>
      </c>
      <c r="J730" s="23" t="s">
        <v>4729</v>
      </c>
      <c r="K730" s="23" t="s">
        <v>4735</v>
      </c>
      <c r="L730">
        <v>1981</v>
      </c>
      <c r="M730" s="15" t="s">
        <v>4707</v>
      </c>
      <c r="N730">
        <v>1</v>
      </c>
      <c r="O730">
        <v>0</v>
      </c>
      <c r="P730" s="21">
        <f>DATEVALUE(N730&amp;"-"&amp;M730&amp;"-"&amp;L730)</f>
        <v>29860</v>
      </c>
      <c r="Q730" s="22">
        <v>6186.13</v>
      </c>
      <c r="R730" s="23" t="s">
        <v>4697</v>
      </c>
      <c r="S730" s="23" t="s">
        <v>4698</v>
      </c>
      <c r="T730" s="23" t="s">
        <v>4708</v>
      </c>
      <c r="U730" s="23">
        <f>DATEDIF(P730, DATE(2023, 6, 8), "Y")</f>
        <v>41</v>
      </c>
      <c r="V730">
        <f>SUM(C730:K730)</f>
        <v>41.17</v>
      </c>
    </row>
    <row r="731" spans="1:22" ht="15.75">
      <c r="A731" s="28" t="s">
        <v>1460</v>
      </c>
      <c r="B731" s="28" t="s">
        <v>1461</v>
      </c>
      <c r="C731" s="23">
        <v>36.85</v>
      </c>
      <c r="D731" s="23">
        <v>6.21</v>
      </c>
      <c r="E731" s="23" t="s">
        <v>4683</v>
      </c>
      <c r="F731" s="23" t="s">
        <v>4682</v>
      </c>
      <c r="G731" s="23" t="s">
        <v>4682</v>
      </c>
      <c r="H731" s="23">
        <v>2</v>
      </c>
      <c r="I731" s="23" t="s">
        <v>4682</v>
      </c>
      <c r="J731" s="23" t="s">
        <v>4729</v>
      </c>
      <c r="K731" s="23" t="s">
        <v>4736</v>
      </c>
      <c r="L731">
        <v>1988</v>
      </c>
      <c r="M731" s="15" t="s">
        <v>4707</v>
      </c>
      <c r="N731">
        <v>23</v>
      </c>
      <c r="O731">
        <v>3</v>
      </c>
      <c r="P731" s="21">
        <f>DATEVALUE(N731&amp;"-"&amp;M731&amp;"-"&amp;L731)</f>
        <v>32439</v>
      </c>
      <c r="Q731" s="22">
        <v>6196.45</v>
      </c>
      <c r="R731" s="23" t="s">
        <v>4697</v>
      </c>
      <c r="S731" s="23" t="s">
        <v>4701</v>
      </c>
      <c r="T731" s="23" t="s">
        <v>4708</v>
      </c>
      <c r="U731" s="23">
        <f>DATEDIF(P731, DATE(2023, 6, 8), "Y")</f>
        <v>34</v>
      </c>
      <c r="V731">
        <f>SUM(C731:K731)</f>
        <v>45.06</v>
      </c>
    </row>
    <row r="732" spans="1:22" ht="15.75">
      <c r="A732" s="28" t="s">
        <v>1462</v>
      </c>
      <c r="B732" s="28" t="s">
        <v>1463</v>
      </c>
      <c r="C732" s="23">
        <v>36.299999999999997</v>
      </c>
      <c r="D732" s="23">
        <v>5.79</v>
      </c>
      <c r="E732" s="23" t="s">
        <v>4683</v>
      </c>
      <c r="F732" s="23" t="s">
        <v>4682</v>
      </c>
      <c r="G732" s="23" t="s">
        <v>4682</v>
      </c>
      <c r="H732" s="23">
        <v>2</v>
      </c>
      <c r="I732" s="23" t="s">
        <v>4682</v>
      </c>
      <c r="J732" s="23" t="s">
        <v>4729</v>
      </c>
      <c r="K732" s="23" t="s">
        <v>4736</v>
      </c>
      <c r="L732">
        <v>1985</v>
      </c>
      <c r="M732" s="15" t="s">
        <v>4696</v>
      </c>
      <c r="N732">
        <v>22</v>
      </c>
      <c r="O732">
        <v>2</v>
      </c>
      <c r="P732" s="21">
        <f>DATEVALUE(N732&amp;"-"&amp;M732&amp;"-"&amp;L732)</f>
        <v>31250</v>
      </c>
      <c r="Q732" s="22">
        <v>6198.75</v>
      </c>
      <c r="R732" s="23" t="s">
        <v>4697</v>
      </c>
      <c r="S732" s="23" t="s">
        <v>4701</v>
      </c>
      <c r="T732" s="23" t="s">
        <v>4704</v>
      </c>
      <c r="U732" s="23">
        <f>DATEDIF(P732, DATE(2023, 6, 8), "Y")</f>
        <v>37</v>
      </c>
      <c r="V732">
        <f>SUM(C732:K732)</f>
        <v>44.089999999999996</v>
      </c>
    </row>
    <row r="733" spans="1:22" ht="15.75">
      <c r="A733" s="28" t="s">
        <v>1464</v>
      </c>
      <c r="B733" s="28" t="s">
        <v>1465</v>
      </c>
      <c r="C733" s="23">
        <v>45.34</v>
      </c>
      <c r="D733" s="23">
        <v>5.69</v>
      </c>
      <c r="E733" s="23" t="s">
        <v>4683</v>
      </c>
      <c r="F733" s="23" t="s">
        <v>4682</v>
      </c>
      <c r="G733" s="23" t="s">
        <v>4682</v>
      </c>
      <c r="H733" s="23">
        <v>0</v>
      </c>
      <c r="I733" s="23" t="s">
        <v>4682</v>
      </c>
      <c r="J733" s="23" t="s">
        <v>4729</v>
      </c>
      <c r="K733" s="23" t="s">
        <v>4737</v>
      </c>
      <c r="L733">
        <v>1985</v>
      </c>
      <c r="M733" s="15" t="s">
        <v>4705</v>
      </c>
      <c r="N733">
        <v>20</v>
      </c>
      <c r="O733">
        <v>2</v>
      </c>
      <c r="P733" s="21">
        <f>DATEVALUE(N733&amp;"-"&amp;M733&amp;"-"&amp;L733)</f>
        <v>31401</v>
      </c>
      <c r="Q733" s="22">
        <v>6203.9</v>
      </c>
      <c r="R733" s="23" t="s">
        <v>4701</v>
      </c>
      <c r="S733" s="23" t="s">
        <v>4697</v>
      </c>
      <c r="T733" s="23" t="s">
        <v>4704</v>
      </c>
      <c r="U733" s="23">
        <f>DATEDIF(P733, DATE(2023, 6, 8), "Y")</f>
        <v>37</v>
      </c>
      <c r="V733">
        <f>SUM(C733:K733)</f>
        <v>51.03</v>
      </c>
    </row>
    <row r="734" spans="1:22" ht="15.75">
      <c r="A734" s="28" t="s">
        <v>1466</v>
      </c>
      <c r="B734" s="28" t="s">
        <v>1467</v>
      </c>
      <c r="C734" s="23">
        <v>31.8</v>
      </c>
      <c r="D734" s="23">
        <v>5.36</v>
      </c>
      <c r="E734" s="23" t="s">
        <v>4683</v>
      </c>
      <c r="F734" s="23" t="s">
        <v>4682</v>
      </c>
      <c r="G734" s="23" t="s">
        <v>4682</v>
      </c>
      <c r="H734" s="23">
        <v>2</v>
      </c>
      <c r="I734" s="23" t="s">
        <v>4682</v>
      </c>
      <c r="J734" s="23" t="s">
        <v>4729</v>
      </c>
      <c r="K734" s="23" t="s">
        <v>4737</v>
      </c>
      <c r="L734">
        <v>1985</v>
      </c>
      <c r="M734" s="15" t="s">
        <v>4703</v>
      </c>
      <c r="N734">
        <v>22</v>
      </c>
      <c r="O734">
        <v>2</v>
      </c>
      <c r="P734" s="21">
        <f>DATEVALUE(N734&amp;"-"&amp;M734&amp;"-"&amp;L734)</f>
        <v>31312</v>
      </c>
      <c r="Q734" s="22">
        <v>6203.9</v>
      </c>
      <c r="R734" s="23" t="s">
        <v>4697</v>
      </c>
      <c r="S734" s="23" t="s">
        <v>4697</v>
      </c>
      <c r="T734" s="23" t="s">
        <v>4704</v>
      </c>
      <c r="U734" s="23">
        <f>DATEDIF(P734, DATE(2023, 6, 8), "Y")</f>
        <v>37</v>
      </c>
      <c r="V734">
        <f>SUM(C734:K734)</f>
        <v>39.160000000000004</v>
      </c>
    </row>
    <row r="735" spans="1:22" ht="15.75">
      <c r="A735" s="28" t="s">
        <v>1468</v>
      </c>
      <c r="B735" s="28" t="s">
        <v>1469</v>
      </c>
      <c r="C735" s="23">
        <v>41.02</v>
      </c>
      <c r="D735" s="23">
        <v>11.37</v>
      </c>
      <c r="E735" s="23" t="s">
        <v>4682</v>
      </c>
      <c r="F735" s="23" t="s">
        <v>4682</v>
      </c>
      <c r="G735" s="23" t="s">
        <v>4682</v>
      </c>
      <c r="H735" s="23">
        <v>0</v>
      </c>
      <c r="I735" s="23" t="s">
        <v>4682</v>
      </c>
      <c r="J735" s="23" t="s">
        <v>4729</v>
      </c>
      <c r="K735" s="23" t="s">
        <v>4735</v>
      </c>
      <c r="L735">
        <v>1999</v>
      </c>
      <c r="M735" s="15" t="s">
        <v>4703</v>
      </c>
      <c r="N735">
        <v>10</v>
      </c>
      <c r="O735">
        <v>0</v>
      </c>
      <c r="P735" s="21">
        <f>DATEVALUE(N735&amp;"-"&amp;M735&amp;"-"&amp;L735)</f>
        <v>36413</v>
      </c>
      <c r="Q735" s="22">
        <v>6207.26</v>
      </c>
      <c r="R735" s="23" t="s">
        <v>4697</v>
      </c>
      <c r="S735" s="23" t="s">
        <v>4697</v>
      </c>
      <c r="T735" s="23" t="s">
        <v>4720</v>
      </c>
      <c r="U735" s="23">
        <f>DATEDIF(P735, DATE(2023, 6, 8), "Y")</f>
        <v>23</v>
      </c>
      <c r="V735">
        <f>SUM(C735:K735)</f>
        <v>52.39</v>
      </c>
    </row>
    <row r="736" spans="1:22" ht="15.75">
      <c r="A736" s="28" t="s">
        <v>1470</v>
      </c>
      <c r="B736" s="28" t="s">
        <v>1471</v>
      </c>
      <c r="C736" s="23">
        <v>32.68</v>
      </c>
      <c r="D736" s="23">
        <v>11.87</v>
      </c>
      <c r="E736" s="23" t="s">
        <v>4682</v>
      </c>
      <c r="F736" s="23" t="s">
        <v>4682</v>
      </c>
      <c r="G736" s="23" t="s">
        <v>4682</v>
      </c>
      <c r="H736" s="23">
        <v>0</v>
      </c>
      <c r="I736" s="23" t="s">
        <v>4682</v>
      </c>
      <c r="J736" s="23" t="s">
        <v>4729</v>
      </c>
      <c r="K736" s="23" t="s">
        <v>4735</v>
      </c>
      <c r="L736">
        <v>1992</v>
      </c>
      <c r="M736" s="15" t="s">
        <v>4706</v>
      </c>
      <c r="N736">
        <v>12</v>
      </c>
      <c r="O736">
        <v>0</v>
      </c>
      <c r="P736" s="21">
        <f>DATEVALUE(N736&amp;"-"&amp;M736&amp;"-"&amp;L736)</f>
        <v>33828</v>
      </c>
      <c r="Q736" s="22">
        <v>6208.5</v>
      </c>
      <c r="R736" s="23" t="s">
        <v>4697</v>
      </c>
      <c r="S736" s="23" t="s">
        <v>4701</v>
      </c>
      <c r="T736" s="23" t="s">
        <v>4717</v>
      </c>
      <c r="U736" s="23">
        <f>DATEDIF(P736, DATE(2023, 6, 8), "Y")</f>
        <v>30</v>
      </c>
      <c r="V736">
        <f>SUM(C736:K736)</f>
        <v>44.55</v>
      </c>
    </row>
    <row r="737" spans="1:22" ht="15.75">
      <c r="A737" s="28" t="s">
        <v>1472</v>
      </c>
      <c r="B737" s="28" t="s">
        <v>1473</v>
      </c>
      <c r="C737" s="23">
        <v>21.7</v>
      </c>
      <c r="D737" s="23">
        <v>4.9000000000000004</v>
      </c>
      <c r="E737" s="23" t="s">
        <v>4682</v>
      </c>
      <c r="F737" s="23" t="s">
        <v>4682</v>
      </c>
      <c r="G737" s="23" t="s">
        <v>4684</v>
      </c>
      <c r="H737" s="23">
        <v>1</v>
      </c>
      <c r="I737" s="23" t="s">
        <v>4683</v>
      </c>
      <c r="J737" s="23" t="s">
        <v>4728</v>
      </c>
      <c r="K737" s="23" t="s">
        <v>4737</v>
      </c>
      <c r="L737">
        <v>1972</v>
      </c>
      <c r="M737" s="15" t="s">
        <v>4702</v>
      </c>
      <c r="N737">
        <v>29</v>
      </c>
      <c r="O737">
        <v>0</v>
      </c>
      <c r="P737" s="21">
        <f>DATEVALUE(N737&amp;"-"&amp;M737&amp;"-"&amp;L737)</f>
        <v>26479</v>
      </c>
      <c r="Q737" s="22">
        <v>6219.93</v>
      </c>
      <c r="R737" s="23" t="s">
        <v>4697</v>
      </c>
      <c r="S737" s="23" t="s">
        <v>4697</v>
      </c>
      <c r="T737" s="23" t="s">
        <v>4699</v>
      </c>
      <c r="U737" s="23">
        <f>DATEDIF(P737, DATE(2023, 6, 8), "Y")</f>
        <v>50</v>
      </c>
      <c r="V737">
        <f>SUM(C737:K737)</f>
        <v>27.6</v>
      </c>
    </row>
    <row r="738" spans="1:22" ht="15.75">
      <c r="A738" s="28" t="s">
        <v>1474</v>
      </c>
      <c r="B738" s="28" t="s">
        <v>1475</v>
      </c>
      <c r="C738" s="23">
        <v>40.479999999999997</v>
      </c>
      <c r="D738" s="23">
        <v>6.7</v>
      </c>
      <c r="E738" s="23" t="s">
        <v>4682</v>
      </c>
      <c r="F738" s="23" t="s">
        <v>4682</v>
      </c>
      <c r="G738" s="23" t="s">
        <v>4682</v>
      </c>
      <c r="H738" s="23">
        <v>3</v>
      </c>
      <c r="I738" s="23" t="s">
        <v>4682</v>
      </c>
      <c r="J738" s="23" t="s">
        <v>4729</v>
      </c>
      <c r="K738" s="23" t="s">
        <v>4735</v>
      </c>
      <c r="L738">
        <v>1978</v>
      </c>
      <c r="M738" s="15" t="s">
        <v>4703</v>
      </c>
      <c r="N738">
        <v>19</v>
      </c>
      <c r="O738">
        <v>2</v>
      </c>
      <c r="P738" s="21">
        <f>DATEVALUE(N738&amp;"-"&amp;M738&amp;"-"&amp;L738)</f>
        <v>28752</v>
      </c>
      <c r="Q738" s="22">
        <v>6236.95</v>
      </c>
      <c r="R738" s="23" t="s">
        <v>4697</v>
      </c>
      <c r="S738" s="23" t="s">
        <v>4697</v>
      </c>
      <c r="T738" s="23" t="s">
        <v>4699</v>
      </c>
      <c r="U738" s="23">
        <f>DATEDIF(P738, DATE(2023, 6, 8), "Y")</f>
        <v>44</v>
      </c>
      <c r="V738">
        <f>SUM(C738:K738)</f>
        <v>50.18</v>
      </c>
    </row>
    <row r="739" spans="1:22" ht="15.75">
      <c r="A739" s="28" t="s">
        <v>1476</v>
      </c>
      <c r="B739" s="28" t="s">
        <v>1477</v>
      </c>
      <c r="C739" s="23">
        <v>34.5</v>
      </c>
      <c r="D739" s="23">
        <v>10.3</v>
      </c>
      <c r="E739" s="23" t="s">
        <v>4682</v>
      </c>
      <c r="F739" s="23" t="s">
        <v>4682</v>
      </c>
      <c r="G739" s="23" t="s">
        <v>4682</v>
      </c>
      <c r="H739" s="23">
        <v>3</v>
      </c>
      <c r="I739" s="23" t="s">
        <v>4682</v>
      </c>
      <c r="J739" s="23" t="s">
        <v>4729</v>
      </c>
      <c r="K739" s="23" t="s">
        <v>4735</v>
      </c>
      <c r="L739">
        <v>1983</v>
      </c>
      <c r="M739" s="15" t="s">
        <v>4706</v>
      </c>
      <c r="N739">
        <v>11</v>
      </c>
      <c r="O739">
        <v>1</v>
      </c>
      <c r="P739" s="21">
        <f>DATEVALUE(N739&amp;"-"&amp;M739&amp;"-"&amp;L739)</f>
        <v>30539</v>
      </c>
      <c r="Q739" s="22">
        <v>6238.3</v>
      </c>
      <c r="R739" s="23" t="s">
        <v>4697</v>
      </c>
      <c r="S739" s="23" t="s">
        <v>4701</v>
      </c>
      <c r="T739" s="23" t="s">
        <v>4708</v>
      </c>
      <c r="U739" s="23">
        <f>DATEDIF(P739, DATE(2023, 6, 8), "Y")</f>
        <v>39</v>
      </c>
      <c r="V739">
        <f>SUM(C739:K739)</f>
        <v>47.8</v>
      </c>
    </row>
    <row r="740" spans="1:22" ht="15.75">
      <c r="A740" s="28" t="s">
        <v>1478</v>
      </c>
      <c r="B740" s="28" t="s">
        <v>1479</v>
      </c>
      <c r="C740" s="23">
        <v>45.9</v>
      </c>
      <c r="D740" s="23">
        <v>11.14</v>
      </c>
      <c r="E740" s="23" t="s">
        <v>4683</v>
      </c>
      <c r="F740" s="23" t="s">
        <v>4682</v>
      </c>
      <c r="G740" s="23" t="s">
        <v>4682</v>
      </c>
      <c r="H740" s="23">
        <v>1</v>
      </c>
      <c r="I740" s="23" t="s">
        <v>4682</v>
      </c>
      <c r="J740" s="23" t="s">
        <v>4729</v>
      </c>
      <c r="K740" s="23" t="s">
        <v>4735</v>
      </c>
      <c r="L740">
        <v>1979</v>
      </c>
      <c r="M740" s="15" t="s">
        <v>4707</v>
      </c>
      <c r="N740">
        <v>10</v>
      </c>
      <c r="O740">
        <v>0</v>
      </c>
      <c r="P740" s="21">
        <f>DATEVALUE(N740&amp;"-"&amp;M740&amp;"-"&amp;L740)</f>
        <v>29138</v>
      </c>
      <c r="Q740" s="22">
        <v>6250.44</v>
      </c>
      <c r="R740" s="23" t="s">
        <v>4697</v>
      </c>
      <c r="S740" s="23" t="s">
        <v>4701</v>
      </c>
      <c r="T740" s="23" t="s">
        <v>4708</v>
      </c>
      <c r="U740" s="23">
        <f>DATEDIF(P740, DATE(2023, 6, 8), "Y")</f>
        <v>43</v>
      </c>
      <c r="V740">
        <f>SUM(C740:K740)</f>
        <v>58.04</v>
      </c>
    </row>
    <row r="741" spans="1:22" ht="15.75">
      <c r="A741" s="28" t="s">
        <v>1480</v>
      </c>
      <c r="B741" s="28" t="s">
        <v>1481</v>
      </c>
      <c r="C741" s="23">
        <v>33.479999999999997</v>
      </c>
      <c r="D741" s="23">
        <v>4.74</v>
      </c>
      <c r="E741" s="23" t="s">
        <v>4683</v>
      </c>
      <c r="F741" s="23" t="s">
        <v>4682</v>
      </c>
      <c r="G741" s="23" t="s">
        <v>4682</v>
      </c>
      <c r="H741" s="23">
        <v>2</v>
      </c>
      <c r="I741" s="23" t="s">
        <v>4682</v>
      </c>
      <c r="J741" s="23" t="s">
        <v>4729</v>
      </c>
      <c r="K741" s="23" t="s">
        <v>4737</v>
      </c>
      <c r="L741">
        <v>1972</v>
      </c>
      <c r="M741" s="15" t="s">
        <v>4700</v>
      </c>
      <c r="N741">
        <v>11</v>
      </c>
      <c r="O741">
        <v>0</v>
      </c>
      <c r="P741" s="21">
        <f>DATEVALUE(N741&amp;"-"&amp;M741&amp;"-"&amp;L741)</f>
        <v>26614</v>
      </c>
      <c r="Q741" s="22">
        <v>6253.85</v>
      </c>
      <c r="R741" s="23" t="s">
        <v>4697</v>
      </c>
      <c r="S741" s="23" t="s">
        <v>4697</v>
      </c>
      <c r="T741" s="23" t="s">
        <v>4699</v>
      </c>
      <c r="U741" s="23">
        <f>DATEDIF(P741, DATE(2023, 6, 8), "Y")</f>
        <v>50</v>
      </c>
      <c r="V741">
        <f>SUM(C741:K741)</f>
        <v>40.22</v>
      </c>
    </row>
    <row r="742" spans="1:22" ht="15.75">
      <c r="A742" s="28" t="s">
        <v>1482</v>
      </c>
      <c r="B742" s="28" t="s">
        <v>1483</v>
      </c>
      <c r="C742" s="23">
        <v>28.31</v>
      </c>
      <c r="D742" s="23">
        <v>5.96</v>
      </c>
      <c r="E742" s="23" t="s">
        <v>4683</v>
      </c>
      <c r="F742" s="23" t="s">
        <v>4682</v>
      </c>
      <c r="G742" s="23" t="s">
        <v>4682</v>
      </c>
      <c r="H742" s="23">
        <v>2</v>
      </c>
      <c r="I742" s="23" t="s">
        <v>4682</v>
      </c>
      <c r="J742" s="23" t="s">
        <v>4730</v>
      </c>
      <c r="K742" s="23" t="s">
        <v>4736</v>
      </c>
      <c r="L742">
        <v>1972</v>
      </c>
      <c r="M742" s="15" t="s">
        <v>4703</v>
      </c>
      <c r="N742">
        <v>8</v>
      </c>
      <c r="O742">
        <v>0</v>
      </c>
      <c r="P742" s="21">
        <f>DATEVALUE(N742&amp;"-"&amp;M742&amp;"-"&amp;L742)</f>
        <v>26550</v>
      </c>
      <c r="Q742" s="22">
        <v>6254.13</v>
      </c>
      <c r="R742" s="23" t="s">
        <v>4697</v>
      </c>
      <c r="S742" s="23" t="s">
        <v>4697</v>
      </c>
      <c r="T742" s="23" t="s">
        <v>4704</v>
      </c>
      <c r="U742" s="23">
        <f>DATEDIF(P742, DATE(2023, 6, 8), "Y")</f>
        <v>50</v>
      </c>
      <c r="V742">
        <f>SUM(C742:K742)</f>
        <v>36.269999999999996</v>
      </c>
    </row>
    <row r="743" spans="1:22" ht="15.75">
      <c r="A743" s="28" t="s">
        <v>1484</v>
      </c>
      <c r="B743" s="28" t="s">
        <v>1485</v>
      </c>
      <c r="C743" s="23">
        <v>21.565000000000001</v>
      </c>
      <c r="D743" s="23">
        <v>4.95</v>
      </c>
      <c r="E743" s="23" t="s">
        <v>4682</v>
      </c>
      <c r="F743" s="23" t="s">
        <v>4683</v>
      </c>
      <c r="G743" s="23" t="s">
        <v>4682</v>
      </c>
      <c r="H743" s="23">
        <v>1</v>
      </c>
      <c r="I743" s="23" t="s">
        <v>4683</v>
      </c>
      <c r="J743" s="23" t="s">
        <v>4728</v>
      </c>
      <c r="K743" s="23" t="s">
        <v>4737</v>
      </c>
      <c r="L743">
        <v>1970</v>
      </c>
      <c r="M743" s="15" t="s">
        <v>4707</v>
      </c>
      <c r="N743">
        <v>11</v>
      </c>
      <c r="O743">
        <v>0</v>
      </c>
      <c r="P743" s="21">
        <f>DATEVALUE(N743&amp;"-"&amp;M743&amp;"-"&amp;L743)</f>
        <v>25852</v>
      </c>
      <c r="Q743" s="22">
        <v>6255.38</v>
      </c>
      <c r="R743" s="23" t="s">
        <v>4697</v>
      </c>
      <c r="S743" s="23" t="s">
        <v>4697</v>
      </c>
      <c r="T743" s="23" t="s">
        <v>4699</v>
      </c>
      <c r="U743" s="23">
        <f>DATEDIF(P743, DATE(2023, 6, 8), "Y")</f>
        <v>52</v>
      </c>
      <c r="V743">
        <f>SUM(C743:K743)</f>
        <v>27.515000000000001</v>
      </c>
    </row>
    <row r="744" spans="1:22" ht="15.75">
      <c r="A744" s="28" t="s">
        <v>1486</v>
      </c>
      <c r="B744" s="28" t="s">
        <v>1487</v>
      </c>
      <c r="C744" s="23">
        <v>35.590000000000003</v>
      </c>
      <c r="D744" s="23">
        <v>5.21</v>
      </c>
      <c r="E744" s="23" t="s">
        <v>4683</v>
      </c>
      <c r="F744" s="23" t="s">
        <v>4682</v>
      </c>
      <c r="G744" s="23" t="s">
        <v>4684</v>
      </c>
      <c r="H744" s="23">
        <v>1</v>
      </c>
      <c r="I744" s="23" t="s">
        <v>4682</v>
      </c>
      <c r="J744" s="23" t="s">
        <v>4729</v>
      </c>
      <c r="K744" s="23" t="s">
        <v>4737</v>
      </c>
      <c r="L744">
        <v>1995</v>
      </c>
      <c r="M744" s="15" t="s">
        <v>4707</v>
      </c>
      <c r="N744">
        <v>17</v>
      </c>
      <c r="O744">
        <v>0</v>
      </c>
      <c r="P744" s="21">
        <f>DATEVALUE(N744&amp;"-"&amp;M744&amp;"-"&amp;L744)</f>
        <v>34989</v>
      </c>
      <c r="Q744" s="22">
        <v>6261.2</v>
      </c>
      <c r="R744" s="23" t="s">
        <v>4697</v>
      </c>
      <c r="S744" s="23" t="s">
        <v>4701</v>
      </c>
      <c r="T744" s="23" t="s">
        <v>4720</v>
      </c>
      <c r="U744" s="23">
        <f>DATEDIF(P744, DATE(2023, 6, 8), "Y")</f>
        <v>27</v>
      </c>
      <c r="V744">
        <f>SUM(C744:K744)</f>
        <v>41.800000000000004</v>
      </c>
    </row>
    <row r="745" spans="1:22" ht="15.75">
      <c r="A745" s="28" t="s">
        <v>1488</v>
      </c>
      <c r="B745" s="28" t="s">
        <v>1489</v>
      </c>
      <c r="C745" s="23">
        <v>43.44</v>
      </c>
      <c r="D745" s="23">
        <v>4.8600000000000003</v>
      </c>
      <c r="E745" s="23" t="s">
        <v>4683</v>
      </c>
      <c r="F745" s="23" t="s">
        <v>4682</v>
      </c>
      <c r="G745" s="23" t="s">
        <v>4682</v>
      </c>
      <c r="H745" s="23">
        <v>0</v>
      </c>
      <c r="I745" s="23" t="s">
        <v>4682</v>
      </c>
      <c r="J745" s="23" t="s">
        <v>4729</v>
      </c>
      <c r="K745" s="23" t="s">
        <v>4737</v>
      </c>
      <c r="L745">
        <v>1984</v>
      </c>
      <c r="M745" s="15" t="s">
        <v>4703</v>
      </c>
      <c r="N745">
        <v>25</v>
      </c>
      <c r="O745">
        <v>3</v>
      </c>
      <c r="P745" s="21">
        <f>DATEVALUE(N745&amp;"-"&amp;M745&amp;"-"&amp;L745)</f>
        <v>30950</v>
      </c>
      <c r="Q745" s="22">
        <v>6269.33</v>
      </c>
      <c r="R745" s="23" t="s">
        <v>4697</v>
      </c>
      <c r="S745" s="23" t="s">
        <v>4701</v>
      </c>
      <c r="T745" s="23" t="s">
        <v>4699</v>
      </c>
      <c r="U745" s="23">
        <f>DATEDIF(P745, DATE(2023, 6, 8), "Y")</f>
        <v>38</v>
      </c>
      <c r="V745">
        <f>SUM(C745:K745)</f>
        <v>48.3</v>
      </c>
    </row>
    <row r="746" spans="1:22" ht="15.75">
      <c r="A746" s="28" t="s">
        <v>1490</v>
      </c>
      <c r="B746" s="28" t="s">
        <v>1491</v>
      </c>
      <c r="C746" s="23">
        <v>21.754999999999999</v>
      </c>
      <c r="D746" s="23">
        <v>7.79</v>
      </c>
      <c r="E746" s="23" t="s">
        <v>4683</v>
      </c>
      <c r="F746" s="23" t="s">
        <v>4682</v>
      </c>
      <c r="G746" s="23" t="s">
        <v>4682</v>
      </c>
      <c r="H746" s="23">
        <v>0</v>
      </c>
      <c r="I746" s="23" t="s">
        <v>4682</v>
      </c>
      <c r="J746" s="23" t="s">
        <v>4728</v>
      </c>
      <c r="K746" s="23" t="s">
        <v>4735</v>
      </c>
      <c r="L746">
        <v>1981</v>
      </c>
      <c r="M746" s="15" t="s">
        <v>4702</v>
      </c>
      <c r="N746">
        <v>30</v>
      </c>
      <c r="O746">
        <v>1</v>
      </c>
      <c r="P746" s="21">
        <f>DATEVALUE(N746&amp;"-"&amp;M746&amp;"-"&amp;L746)</f>
        <v>29767</v>
      </c>
      <c r="Q746" s="22">
        <v>6272.48</v>
      </c>
      <c r="R746" s="23" t="s">
        <v>4701</v>
      </c>
      <c r="S746" s="23" t="s">
        <v>4698</v>
      </c>
      <c r="T746" s="23" t="s">
        <v>4699</v>
      </c>
      <c r="U746" s="23">
        <f>DATEDIF(P746, DATE(2023, 6, 8), "Y")</f>
        <v>41</v>
      </c>
      <c r="V746">
        <f>SUM(C746:K746)</f>
        <v>29.544999999999998</v>
      </c>
    </row>
    <row r="747" spans="1:22" ht="15.75">
      <c r="A747" s="28" t="s">
        <v>1492</v>
      </c>
      <c r="B747" s="28" t="s">
        <v>1493</v>
      </c>
      <c r="C747" s="23">
        <v>44.55</v>
      </c>
      <c r="D747" s="23">
        <v>7.12</v>
      </c>
      <c r="E747" s="23" t="s">
        <v>4683</v>
      </c>
      <c r="F747" s="23" t="s">
        <v>4682</v>
      </c>
      <c r="G747" s="23" t="s">
        <v>4682</v>
      </c>
      <c r="H747" s="23">
        <v>1</v>
      </c>
      <c r="I747" s="23" t="s">
        <v>4682</v>
      </c>
      <c r="J747" s="23" t="s">
        <v>4729</v>
      </c>
      <c r="K747" s="23" t="s">
        <v>4735</v>
      </c>
      <c r="L747">
        <v>1993</v>
      </c>
      <c r="M747" s="15" t="s">
        <v>4707</v>
      </c>
      <c r="N747">
        <v>16</v>
      </c>
      <c r="O747">
        <v>0</v>
      </c>
      <c r="P747" s="21">
        <f>DATEVALUE(N747&amp;"-"&amp;M747&amp;"-"&amp;L747)</f>
        <v>34258</v>
      </c>
      <c r="Q747" s="22">
        <v>6276.3</v>
      </c>
      <c r="R747" s="23" t="s">
        <v>4697</v>
      </c>
      <c r="S747" s="23" t="s">
        <v>4701</v>
      </c>
      <c r="T747" s="23" t="s">
        <v>4713</v>
      </c>
      <c r="U747" s="23">
        <f>DATEDIF(P747, DATE(2023, 6, 8), "Y")</f>
        <v>29</v>
      </c>
      <c r="V747">
        <f>SUM(C747:K747)</f>
        <v>52.669999999999995</v>
      </c>
    </row>
    <row r="748" spans="1:22" ht="15.75">
      <c r="A748" s="28" t="s">
        <v>1494</v>
      </c>
      <c r="B748" s="28" t="s">
        <v>1495</v>
      </c>
      <c r="C748" s="23">
        <v>43.32</v>
      </c>
      <c r="D748" s="23">
        <v>4.67</v>
      </c>
      <c r="E748" s="23" t="s">
        <v>4683</v>
      </c>
      <c r="F748" s="23" t="s">
        <v>4682</v>
      </c>
      <c r="G748" s="23" t="s">
        <v>4682</v>
      </c>
      <c r="H748" s="23">
        <v>0</v>
      </c>
      <c r="I748" s="23" t="s">
        <v>4682</v>
      </c>
      <c r="J748" s="23" t="s">
        <v>4729</v>
      </c>
      <c r="K748" s="23" t="s">
        <v>4737</v>
      </c>
      <c r="L748">
        <v>1981</v>
      </c>
      <c r="M748" s="15" t="s">
        <v>4700</v>
      </c>
      <c r="N748">
        <v>24</v>
      </c>
      <c r="O748">
        <v>1</v>
      </c>
      <c r="P748" s="21">
        <f>DATEVALUE(N748&amp;"-"&amp;M748&amp;"-"&amp;L748)</f>
        <v>29914</v>
      </c>
      <c r="Q748" s="22">
        <v>6282.24</v>
      </c>
      <c r="R748" s="23" t="s">
        <v>4697</v>
      </c>
      <c r="S748" s="23" t="s">
        <v>4701</v>
      </c>
      <c r="T748" s="23" t="s">
        <v>4708</v>
      </c>
      <c r="U748" s="23">
        <f>DATEDIF(P748, DATE(2023, 6, 8), "Y")</f>
        <v>41</v>
      </c>
      <c r="V748">
        <f>SUM(C748:K748)</f>
        <v>47.99</v>
      </c>
    </row>
    <row r="749" spans="1:22" ht="15.75">
      <c r="A749" s="28" t="s">
        <v>1496</v>
      </c>
      <c r="B749" s="28" t="s">
        <v>1497</v>
      </c>
      <c r="C749" s="23">
        <v>31.23</v>
      </c>
      <c r="D749" s="23">
        <v>9.1199999999999992</v>
      </c>
      <c r="E749" s="23" t="s">
        <v>4683</v>
      </c>
      <c r="F749" s="23" t="s">
        <v>4682</v>
      </c>
      <c r="G749" s="23" t="s">
        <v>4684</v>
      </c>
      <c r="H749" s="23">
        <v>1</v>
      </c>
      <c r="I749" s="23" t="s">
        <v>4682</v>
      </c>
      <c r="J749" s="23" t="s">
        <v>4729</v>
      </c>
      <c r="K749" s="23" t="s">
        <v>4735</v>
      </c>
      <c r="L749">
        <v>1981</v>
      </c>
      <c r="M749" s="15" t="s">
        <v>4706</v>
      </c>
      <c r="N749">
        <v>26</v>
      </c>
      <c r="O749">
        <v>1</v>
      </c>
      <c r="P749" s="21">
        <f>DATEVALUE(N749&amp;"-"&amp;M749&amp;"-"&amp;L749)</f>
        <v>29824</v>
      </c>
      <c r="Q749" s="22">
        <v>6289.75</v>
      </c>
      <c r="R749" s="23" t="s">
        <v>4697</v>
      </c>
      <c r="S749" s="23" t="s">
        <v>4698</v>
      </c>
      <c r="T749" s="23" t="s">
        <v>4699</v>
      </c>
      <c r="U749" s="23">
        <f>DATEDIF(P749, DATE(2023, 6, 8), "Y")</f>
        <v>41</v>
      </c>
      <c r="V749">
        <f>SUM(C749:K749)</f>
        <v>41.35</v>
      </c>
    </row>
    <row r="750" spans="1:22" ht="15.75">
      <c r="A750" s="28" t="s">
        <v>1498</v>
      </c>
      <c r="B750" s="28" t="s">
        <v>1499</v>
      </c>
      <c r="C750" s="23">
        <v>42.81</v>
      </c>
      <c r="D750" s="23">
        <v>4.1500000000000004</v>
      </c>
      <c r="E750" s="23" t="s">
        <v>4682</v>
      </c>
      <c r="F750" s="23" t="s">
        <v>4682</v>
      </c>
      <c r="G750" s="23" t="s">
        <v>4682</v>
      </c>
      <c r="H750" s="23">
        <v>1</v>
      </c>
      <c r="I750" s="23" t="s">
        <v>4682</v>
      </c>
      <c r="J750" s="23" t="s">
        <v>4729</v>
      </c>
      <c r="K750" s="23" t="s">
        <v>4737</v>
      </c>
      <c r="L750">
        <v>1996</v>
      </c>
      <c r="M750" s="15" t="s">
        <v>4696</v>
      </c>
      <c r="N750">
        <v>4</v>
      </c>
      <c r="O750">
        <v>0</v>
      </c>
      <c r="P750" s="21">
        <f>DATEVALUE(N750&amp;"-"&amp;M750&amp;"-"&amp;L750)</f>
        <v>35250</v>
      </c>
      <c r="Q750" s="22">
        <v>6293.63</v>
      </c>
      <c r="R750" s="23" t="s">
        <v>4697</v>
      </c>
      <c r="S750" s="23" t="s">
        <v>4698</v>
      </c>
      <c r="T750" s="23" t="s">
        <v>4717</v>
      </c>
      <c r="U750" s="23">
        <f>DATEDIF(P750, DATE(2023, 6, 8), "Y")</f>
        <v>26</v>
      </c>
      <c r="V750">
        <f>SUM(C750:K750)</f>
        <v>47.96</v>
      </c>
    </row>
    <row r="751" spans="1:22" ht="15.75">
      <c r="A751" s="28" t="s">
        <v>1500</v>
      </c>
      <c r="B751" s="28" t="s">
        <v>1501</v>
      </c>
      <c r="C751" s="23">
        <v>35.909999999999997</v>
      </c>
      <c r="D751" s="23">
        <v>6.72</v>
      </c>
      <c r="E751" s="23" t="s">
        <v>4683</v>
      </c>
      <c r="F751" s="23" t="s">
        <v>4682</v>
      </c>
      <c r="G751" s="23" t="s">
        <v>4682</v>
      </c>
      <c r="H751" s="23">
        <v>2</v>
      </c>
      <c r="I751" s="23" t="s">
        <v>4682</v>
      </c>
      <c r="J751" s="23" t="s">
        <v>4729</v>
      </c>
      <c r="K751" s="23" t="s">
        <v>4735</v>
      </c>
      <c r="L751">
        <v>1974</v>
      </c>
      <c r="M751" s="15" t="s">
        <v>4703</v>
      </c>
      <c r="N751">
        <v>17</v>
      </c>
      <c r="O751">
        <v>0</v>
      </c>
      <c r="P751" s="21">
        <f>DATEVALUE(N751&amp;"-"&amp;M751&amp;"-"&amp;L751)</f>
        <v>27289</v>
      </c>
      <c r="Q751" s="22">
        <v>6302.23</v>
      </c>
      <c r="R751" s="23" t="s">
        <v>4697</v>
      </c>
      <c r="S751" s="23" t="s">
        <v>4701</v>
      </c>
      <c r="T751" s="23" t="s">
        <v>4699</v>
      </c>
      <c r="U751" s="23">
        <f>DATEDIF(P751, DATE(2023, 6, 8), "Y")</f>
        <v>48</v>
      </c>
      <c r="V751">
        <f>SUM(C751:K751)</f>
        <v>44.629999999999995</v>
      </c>
    </row>
    <row r="752" spans="1:22" ht="15.75">
      <c r="A752" s="28" t="s">
        <v>1502</v>
      </c>
      <c r="B752" s="28" t="s">
        <v>1503</v>
      </c>
      <c r="C752" s="23">
        <v>36.65</v>
      </c>
      <c r="D752" s="23">
        <v>5.01</v>
      </c>
      <c r="E752" s="23" t="s">
        <v>4683</v>
      </c>
      <c r="F752" s="23" t="s">
        <v>4682</v>
      </c>
      <c r="G752" s="23" t="s">
        <v>4684</v>
      </c>
      <c r="H752" s="23">
        <v>1</v>
      </c>
      <c r="I752" s="23" t="s">
        <v>4682</v>
      </c>
      <c r="J752" s="23" t="s">
        <v>4729</v>
      </c>
      <c r="K752" s="23" t="s">
        <v>4737</v>
      </c>
      <c r="L752">
        <v>1969</v>
      </c>
      <c r="M752" s="15" t="s">
        <v>4703</v>
      </c>
      <c r="N752">
        <v>4</v>
      </c>
      <c r="O752">
        <v>0</v>
      </c>
      <c r="P752" s="21">
        <f>DATEVALUE(N752&amp;"-"&amp;M752&amp;"-"&amp;L752)</f>
        <v>25450</v>
      </c>
      <c r="Q752" s="22">
        <v>6305.61</v>
      </c>
      <c r="R752" s="23" t="s">
        <v>4697</v>
      </c>
      <c r="S752" s="23" t="s">
        <v>4697</v>
      </c>
      <c r="T752" s="23" t="s">
        <v>4704</v>
      </c>
      <c r="U752" s="23">
        <f>DATEDIF(P752, DATE(2023, 6, 8), "Y")</f>
        <v>53</v>
      </c>
      <c r="V752">
        <f>SUM(C752:K752)</f>
        <v>42.66</v>
      </c>
    </row>
    <row r="753" spans="1:22" ht="15.75">
      <c r="A753" s="28" t="s">
        <v>1504</v>
      </c>
      <c r="B753" s="28" t="s">
        <v>1505</v>
      </c>
      <c r="C753" s="23">
        <v>22.04</v>
      </c>
      <c r="D753" s="23">
        <v>10.9</v>
      </c>
      <c r="E753" s="23" t="s">
        <v>4683</v>
      </c>
      <c r="F753" s="23" t="s">
        <v>4682</v>
      </c>
      <c r="G753" s="23" t="s">
        <v>4682</v>
      </c>
      <c r="H753" s="23">
        <v>2</v>
      </c>
      <c r="I753" s="23" t="s">
        <v>4682</v>
      </c>
      <c r="J753" s="23" t="s">
        <v>4728</v>
      </c>
      <c r="K753" s="23" t="s">
        <v>4735</v>
      </c>
      <c r="L753">
        <v>2004</v>
      </c>
      <c r="M753" s="15" t="s">
        <v>4696</v>
      </c>
      <c r="N753">
        <v>27</v>
      </c>
      <c r="O753">
        <v>0</v>
      </c>
      <c r="P753" s="21">
        <f>DATEVALUE(N753&amp;"-"&amp;M753&amp;"-"&amp;L753)</f>
        <v>38195</v>
      </c>
      <c r="Q753" s="22">
        <v>6311.11</v>
      </c>
      <c r="R753" s="23" t="s">
        <v>4697</v>
      </c>
      <c r="S753" s="23" t="s">
        <v>4697</v>
      </c>
      <c r="T753" s="23" t="s">
        <v>4708</v>
      </c>
      <c r="U753" s="23">
        <f>DATEDIF(P753, DATE(2023, 6, 8), "Y")</f>
        <v>18</v>
      </c>
      <c r="V753">
        <f>SUM(C753:K753)</f>
        <v>34.94</v>
      </c>
    </row>
    <row r="754" spans="1:22" ht="15.75">
      <c r="A754" s="28" t="s">
        <v>1506</v>
      </c>
      <c r="B754" s="28" t="s">
        <v>1507</v>
      </c>
      <c r="C754" s="23">
        <v>31.824999999999999</v>
      </c>
      <c r="D754" s="23">
        <v>5.52</v>
      </c>
      <c r="E754" s="23" t="s">
        <v>4683</v>
      </c>
      <c r="F754" s="23" t="s">
        <v>4682</v>
      </c>
      <c r="G754" s="23" t="s">
        <v>4682</v>
      </c>
      <c r="H754" s="23">
        <v>1</v>
      </c>
      <c r="I754" s="23" t="s">
        <v>4682</v>
      </c>
      <c r="J754" s="23" t="s">
        <v>4729</v>
      </c>
      <c r="K754" s="23" t="s">
        <v>4737</v>
      </c>
      <c r="L754">
        <v>1985</v>
      </c>
      <c r="M754" s="15" t="s">
        <v>4700</v>
      </c>
      <c r="N754">
        <v>19</v>
      </c>
      <c r="O754">
        <v>2</v>
      </c>
      <c r="P754" s="21">
        <f>DATEVALUE(N754&amp;"-"&amp;M754&amp;"-"&amp;L754)</f>
        <v>31370</v>
      </c>
      <c r="Q754" s="22">
        <v>6311.95</v>
      </c>
      <c r="R754" s="23" t="s">
        <v>4697</v>
      </c>
      <c r="S754" s="23" t="s">
        <v>4701</v>
      </c>
      <c r="T754" s="23" t="s">
        <v>4708</v>
      </c>
      <c r="U754" s="23">
        <f>DATEDIF(P754, DATE(2023, 6, 8), "Y")</f>
        <v>37</v>
      </c>
      <c r="V754">
        <f>SUM(C754:K754)</f>
        <v>38.344999999999999</v>
      </c>
    </row>
    <row r="755" spans="1:22" ht="15.75">
      <c r="A755" s="28" t="s">
        <v>1508</v>
      </c>
      <c r="B755" s="28" t="s">
        <v>1509</v>
      </c>
      <c r="C755" s="23">
        <v>53.58</v>
      </c>
      <c r="D755" s="23">
        <v>4.55</v>
      </c>
      <c r="E755" s="23" t="s">
        <v>4682</v>
      </c>
      <c r="F755" s="23" t="s">
        <v>4682</v>
      </c>
      <c r="G755" s="23" t="s">
        <v>4682</v>
      </c>
      <c r="H755" s="23">
        <v>1</v>
      </c>
      <c r="I755" s="23" t="s">
        <v>4682</v>
      </c>
      <c r="J755" s="23" t="s">
        <v>4729</v>
      </c>
      <c r="K755" s="23" t="s">
        <v>4737</v>
      </c>
      <c r="L755">
        <v>1985</v>
      </c>
      <c r="M755" s="15" t="s">
        <v>4705</v>
      </c>
      <c r="N755">
        <v>15</v>
      </c>
      <c r="O755">
        <v>2</v>
      </c>
      <c r="P755" s="21">
        <f>DATEVALUE(N755&amp;"-"&amp;M755&amp;"-"&amp;L755)</f>
        <v>31396</v>
      </c>
      <c r="Q755" s="22">
        <v>6313.76</v>
      </c>
      <c r="R755" s="23" t="s">
        <v>4697</v>
      </c>
      <c r="S755" s="23" t="s">
        <v>4701</v>
      </c>
      <c r="T755" s="23" t="s">
        <v>4699</v>
      </c>
      <c r="U755" s="23">
        <f>DATEDIF(P755, DATE(2023, 6, 8), "Y")</f>
        <v>37</v>
      </c>
      <c r="V755">
        <f>SUM(C755:K755)</f>
        <v>59.129999999999995</v>
      </c>
    </row>
    <row r="756" spans="1:22" ht="15.75">
      <c r="A756" s="28" t="s">
        <v>1510</v>
      </c>
      <c r="B756" s="28" t="s">
        <v>1511</v>
      </c>
      <c r="C756" s="23">
        <v>34.299999999999997</v>
      </c>
      <c r="D756" s="23">
        <v>11.76</v>
      </c>
      <c r="E756" s="23" t="s">
        <v>4682</v>
      </c>
      <c r="F756" s="23" t="s">
        <v>4682</v>
      </c>
      <c r="G756" s="23" t="s">
        <v>4682</v>
      </c>
      <c r="H756" s="23">
        <v>0</v>
      </c>
      <c r="I756" s="23" t="s">
        <v>4682</v>
      </c>
      <c r="J756" s="23" t="s">
        <v>4729</v>
      </c>
      <c r="K756" s="23" t="s">
        <v>4735</v>
      </c>
      <c r="L756">
        <v>1990</v>
      </c>
      <c r="M756" s="15" t="s">
        <v>4706</v>
      </c>
      <c r="N756">
        <v>13</v>
      </c>
      <c r="O756">
        <v>3</v>
      </c>
      <c r="P756" s="21">
        <f>DATEVALUE(N756&amp;"-"&amp;M756&amp;"-"&amp;L756)</f>
        <v>33098</v>
      </c>
      <c r="Q756" s="22">
        <v>6334.34</v>
      </c>
      <c r="R756" s="23" t="s">
        <v>4697</v>
      </c>
      <c r="S756" s="23" t="s">
        <v>4697</v>
      </c>
      <c r="T756" s="23" t="s">
        <v>4714</v>
      </c>
      <c r="U756" s="23">
        <f>DATEDIF(P756, DATE(2023, 6, 8), "Y")</f>
        <v>32</v>
      </c>
      <c r="V756">
        <f>SUM(C756:K756)</f>
        <v>46.059999999999995</v>
      </c>
    </row>
    <row r="757" spans="1:22" ht="15.75">
      <c r="A757" s="28" t="s">
        <v>1512</v>
      </c>
      <c r="B757" s="28" t="s">
        <v>1513</v>
      </c>
      <c r="C757" s="23">
        <v>32.11</v>
      </c>
      <c r="D757" s="23">
        <v>7.06</v>
      </c>
      <c r="E757" s="23" t="s">
        <v>4682</v>
      </c>
      <c r="F757" s="23" t="s">
        <v>4682</v>
      </c>
      <c r="G757" s="23" t="s">
        <v>4682</v>
      </c>
      <c r="H757" s="23">
        <v>0</v>
      </c>
      <c r="I757" s="23" t="s">
        <v>4682</v>
      </c>
      <c r="J757" s="23" t="s">
        <v>4729</v>
      </c>
      <c r="K757" s="23" t="s">
        <v>4735</v>
      </c>
      <c r="L757">
        <v>1986</v>
      </c>
      <c r="M757" s="15" t="s">
        <v>4703</v>
      </c>
      <c r="N757">
        <v>25</v>
      </c>
      <c r="O757">
        <v>3</v>
      </c>
      <c r="P757" s="21">
        <f>DATEVALUE(N757&amp;"-"&amp;M757&amp;"-"&amp;L757)</f>
        <v>31680</v>
      </c>
      <c r="Q757" s="22">
        <v>6335.64</v>
      </c>
      <c r="R757" s="23" t="s">
        <v>4697</v>
      </c>
      <c r="S757" s="23" t="s">
        <v>4697</v>
      </c>
      <c r="T757" s="23" t="s">
        <v>4699</v>
      </c>
      <c r="U757" s="23">
        <f>DATEDIF(P757, DATE(2023, 6, 8), "Y")</f>
        <v>36</v>
      </c>
      <c r="V757">
        <f>SUM(C757:K757)</f>
        <v>39.17</v>
      </c>
    </row>
    <row r="758" spans="1:22" ht="15.75">
      <c r="A758" s="28" t="s">
        <v>1514</v>
      </c>
      <c r="B758" s="28" t="s">
        <v>1515</v>
      </c>
      <c r="C758" s="23">
        <v>31.78</v>
      </c>
      <c r="D758" s="23">
        <v>11.35</v>
      </c>
      <c r="E758" s="23" t="s">
        <v>4683</v>
      </c>
      <c r="F758" s="23" t="s">
        <v>4682</v>
      </c>
      <c r="G758" s="23" t="s">
        <v>4684</v>
      </c>
      <c r="H758" s="23">
        <v>1</v>
      </c>
      <c r="I758" s="23" t="s">
        <v>4682</v>
      </c>
      <c r="J758" s="23" t="s">
        <v>4729</v>
      </c>
      <c r="K758" s="23" t="s">
        <v>4735</v>
      </c>
      <c r="L758">
        <v>1983</v>
      </c>
      <c r="M758" s="15" t="s">
        <v>4707</v>
      </c>
      <c r="N758">
        <v>21</v>
      </c>
      <c r="O758">
        <v>2</v>
      </c>
      <c r="P758" s="21">
        <f>DATEVALUE(N758&amp;"-"&amp;M758&amp;"-"&amp;L758)</f>
        <v>30610</v>
      </c>
      <c r="Q758" s="22">
        <v>6338.08</v>
      </c>
      <c r="R758" s="23" t="s">
        <v>4697</v>
      </c>
      <c r="S758" s="23" t="s">
        <v>4701</v>
      </c>
      <c r="T758" s="23" t="s">
        <v>4699</v>
      </c>
      <c r="U758" s="23">
        <f>DATEDIF(P758, DATE(2023, 6, 8), "Y")</f>
        <v>39</v>
      </c>
      <c r="V758">
        <f>SUM(C758:K758)</f>
        <v>44.13</v>
      </c>
    </row>
    <row r="759" spans="1:22" ht="15.75">
      <c r="A759" s="28" t="s">
        <v>1516</v>
      </c>
      <c r="B759" s="28" t="s">
        <v>1517</v>
      </c>
      <c r="C759" s="23">
        <v>46.89</v>
      </c>
      <c r="D759" s="23">
        <v>5.52</v>
      </c>
      <c r="E759" s="23" t="s">
        <v>4682</v>
      </c>
      <c r="F759" s="23" t="s">
        <v>4682</v>
      </c>
      <c r="G759" s="23" t="s">
        <v>4682</v>
      </c>
      <c r="H759" s="23">
        <v>0</v>
      </c>
      <c r="I759" s="23" t="s">
        <v>4682</v>
      </c>
      <c r="J759" s="23" t="s">
        <v>4729</v>
      </c>
      <c r="K759" s="23" t="s">
        <v>4737</v>
      </c>
      <c r="L759">
        <v>1983</v>
      </c>
      <c r="M759" s="15" t="s">
        <v>4706</v>
      </c>
      <c r="N759">
        <v>19</v>
      </c>
      <c r="O759">
        <v>2</v>
      </c>
      <c r="P759" s="21">
        <f>DATEVALUE(N759&amp;"-"&amp;M759&amp;"-"&amp;L759)</f>
        <v>30547</v>
      </c>
      <c r="Q759" s="22">
        <v>6356.27</v>
      </c>
      <c r="R759" s="23" t="s">
        <v>4698</v>
      </c>
      <c r="S759" s="23" t="s">
        <v>4697</v>
      </c>
      <c r="T759" s="23" t="s">
        <v>4699</v>
      </c>
      <c r="U759" s="23">
        <f>DATEDIF(P759, DATE(2023, 6, 8), "Y")</f>
        <v>39</v>
      </c>
      <c r="V759">
        <f>SUM(C759:K759)</f>
        <v>52.41</v>
      </c>
    </row>
    <row r="760" spans="1:22" ht="15.75">
      <c r="A760" s="28" t="s">
        <v>1518</v>
      </c>
      <c r="B760" s="28" t="s">
        <v>1519</v>
      </c>
      <c r="C760" s="23">
        <v>39.35</v>
      </c>
      <c r="D760" s="23">
        <v>7.86</v>
      </c>
      <c r="E760" s="23" t="s">
        <v>4683</v>
      </c>
      <c r="F760" s="23" t="s">
        <v>4682</v>
      </c>
      <c r="G760" s="23" t="s">
        <v>4682</v>
      </c>
      <c r="H760" s="23">
        <v>1</v>
      </c>
      <c r="I760" s="23" t="s">
        <v>4682</v>
      </c>
      <c r="J760" s="23" t="s">
        <v>4729</v>
      </c>
      <c r="K760" s="23" t="s">
        <v>4735</v>
      </c>
      <c r="L760">
        <v>1980</v>
      </c>
      <c r="M760" s="15" t="s">
        <v>4707</v>
      </c>
      <c r="N760">
        <v>30</v>
      </c>
      <c r="O760">
        <v>0</v>
      </c>
      <c r="P760" s="21">
        <f>DATEVALUE(N760&amp;"-"&amp;M760&amp;"-"&amp;L760)</f>
        <v>29524</v>
      </c>
      <c r="Q760" s="22">
        <v>6358.78</v>
      </c>
      <c r="R760" s="23" t="s">
        <v>4697</v>
      </c>
      <c r="S760" s="23" t="s">
        <v>4701</v>
      </c>
      <c r="T760" s="23" t="s">
        <v>4704</v>
      </c>
      <c r="U760" s="23">
        <f>DATEDIF(P760, DATE(2023, 6, 8), "Y")</f>
        <v>42</v>
      </c>
      <c r="V760">
        <f>SUM(C760:K760)</f>
        <v>48.21</v>
      </c>
    </row>
    <row r="761" spans="1:22" ht="15.75">
      <c r="A761" s="28" t="s">
        <v>1520</v>
      </c>
      <c r="B761" s="28" t="s">
        <v>1521</v>
      </c>
      <c r="C761" s="23">
        <v>39.200000000000003</v>
      </c>
      <c r="D761" s="23">
        <v>11.38</v>
      </c>
      <c r="E761" s="23" t="s">
        <v>4682</v>
      </c>
      <c r="F761" s="23" t="s">
        <v>4682</v>
      </c>
      <c r="G761" s="23" t="s">
        <v>4682</v>
      </c>
      <c r="H761" s="23">
        <v>0</v>
      </c>
      <c r="I761" s="23" t="s">
        <v>4682</v>
      </c>
      <c r="J761" s="23" t="s">
        <v>4729</v>
      </c>
      <c r="K761" s="23" t="s">
        <v>4735</v>
      </c>
      <c r="L761">
        <v>1989</v>
      </c>
      <c r="M761" s="15" t="s">
        <v>4702</v>
      </c>
      <c r="N761">
        <v>24</v>
      </c>
      <c r="O761">
        <v>3</v>
      </c>
      <c r="P761" s="21">
        <f>DATEVALUE(N761&amp;"-"&amp;M761&amp;"-"&amp;L761)</f>
        <v>32683</v>
      </c>
      <c r="Q761" s="22">
        <v>6360.99</v>
      </c>
      <c r="R761" s="23" t="s">
        <v>4697</v>
      </c>
      <c r="S761" s="23" t="s">
        <v>4697</v>
      </c>
      <c r="T761" s="23" t="s">
        <v>4704</v>
      </c>
      <c r="U761" s="23">
        <f>DATEDIF(P761, DATE(2023, 6, 8), "Y")</f>
        <v>33</v>
      </c>
      <c r="V761">
        <f>SUM(C761:K761)</f>
        <v>50.580000000000005</v>
      </c>
    </row>
    <row r="762" spans="1:22" ht="15.75">
      <c r="A762" s="28" t="s">
        <v>1522</v>
      </c>
      <c r="B762" s="28" t="s">
        <v>1523</v>
      </c>
      <c r="C762" s="23">
        <v>39.159999999999997</v>
      </c>
      <c r="D762" s="23">
        <v>10.48</v>
      </c>
      <c r="E762" s="23" t="s">
        <v>4682</v>
      </c>
      <c r="F762" s="23" t="s">
        <v>4682</v>
      </c>
      <c r="G762" s="23" t="s">
        <v>4682</v>
      </c>
      <c r="H762" s="23">
        <v>0</v>
      </c>
      <c r="I762" s="23" t="s">
        <v>4682</v>
      </c>
      <c r="J762" s="23" t="s">
        <v>4729</v>
      </c>
      <c r="K762" s="23" t="s">
        <v>4735</v>
      </c>
      <c r="L762">
        <v>1996</v>
      </c>
      <c r="M762" s="15" t="s">
        <v>4696</v>
      </c>
      <c r="N762">
        <v>7</v>
      </c>
      <c r="O762">
        <v>0</v>
      </c>
      <c r="P762" s="21">
        <f>DATEVALUE(N762&amp;"-"&amp;M762&amp;"-"&amp;L762)</f>
        <v>35253</v>
      </c>
      <c r="Q762" s="22">
        <v>6361.47</v>
      </c>
      <c r="R762" s="23" t="s">
        <v>4697</v>
      </c>
      <c r="S762" s="23" t="s">
        <v>4698</v>
      </c>
      <c r="T762" s="23" t="s">
        <v>4717</v>
      </c>
      <c r="U762" s="23">
        <f>DATEDIF(P762, DATE(2023, 6, 8), "Y")</f>
        <v>26</v>
      </c>
      <c r="V762">
        <f>SUM(C762:K762)</f>
        <v>49.64</v>
      </c>
    </row>
    <row r="763" spans="1:22" ht="15.75">
      <c r="A763" s="28" t="s">
        <v>1524</v>
      </c>
      <c r="B763" s="28" t="s">
        <v>1525</v>
      </c>
      <c r="C763" s="23">
        <v>44.1</v>
      </c>
      <c r="D763" s="23">
        <v>5.04</v>
      </c>
      <c r="E763" s="23" t="s">
        <v>4683</v>
      </c>
      <c r="F763" s="23" t="s">
        <v>4682</v>
      </c>
      <c r="G763" s="23" t="s">
        <v>4682</v>
      </c>
      <c r="H763" s="23">
        <v>0</v>
      </c>
      <c r="I763" s="23" t="s">
        <v>4682</v>
      </c>
      <c r="J763" s="23" t="s">
        <v>4729</v>
      </c>
      <c r="K763" s="23" t="s">
        <v>4737</v>
      </c>
      <c r="L763">
        <v>1970</v>
      </c>
      <c r="M763" s="15" t="s">
        <v>4700</v>
      </c>
      <c r="N763">
        <v>9</v>
      </c>
      <c r="O763">
        <v>0</v>
      </c>
      <c r="P763" s="21">
        <f>DATEVALUE(N763&amp;"-"&amp;M763&amp;"-"&amp;L763)</f>
        <v>25881</v>
      </c>
      <c r="Q763" s="22">
        <v>6367.31</v>
      </c>
      <c r="R763" s="23" t="s">
        <v>4697</v>
      </c>
      <c r="S763" s="23" t="s">
        <v>4701</v>
      </c>
      <c r="T763" s="23" t="s">
        <v>4699</v>
      </c>
      <c r="U763" s="23">
        <f>DATEDIF(P763, DATE(2023, 6, 8), "Y")</f>
        <v>52</v>
      </c>
      <c r="V763">
        <f>SUM(C763:K763)</f>
        <v>49.14</v>
      </c>
    </row>
    <row r="764" spans="1:22" ht="15.75">
      <c r="A764" s="28" t="s">
        <v>1526</v>
      </c>
      <c r="B764" s="28" t="s">
        <v>1527</v>
      </c>
      <c r="C764" s="23">
        <v>33.200000000000003</v>
      </c>
      <c r="D764" s="23">
        <v>9.06</v>
      </c>
      <c r="E764" s="23" t="s">
        <v>4682</v>
      </c>
      <c r="F764" s="23" t="s">
        <v>4682</v>
      </c>
      <c r="G764" s="23" t="s">
        <v>4682</v>
      </c>
      <c r="H764" s="23">
        <v>0</v>
      </c>
      <c r="I764" s="23" t="s">
        <v>4682</v>
      </c>
      <c r="J764" s="23" t="s">
        <v>4729</v>
      </c>
      <c r="K764" s="23" t="s">
        <v>4735</v>
      </c>
      <c r="L764">
        <v>1984</v>
      </c>
      <c r="M764" s="15" t="s">
        <v>4706</v>
      </c>
      <c r="N764">
        <v>13</v>
      </c>
      <c r="O764">
        <v>1</v>
      </c>
      <c r="P764" s="21">
        <f>DATEVALUE(N764&amp;"-"&amp;M764&amp;"-"&amp;L764)</f>
        <v>30907</v>
      </c>
      <c r="Q764" s="22">
        <v>6373.56</v>
      </c>
      <c r="R764" s="23" t="s">
        <v>4697</v>
      </c>
      <c r="S764" s="23" t="s">
        <v>4701</v>
      </c>
      <c r="T764" s="23" t="s">
        <v>4704</v>
      </c>
      <c r="U764" s="23">
        <f>DATEDIF(P764, DATE(2023, 6, 8), "Y")</f>
        <v>38</v>
      </c>
      <c r="V764">
        <f>SUM(C764:K764)</f>
        <v>42.260000000000005</v>
      </c>
    </row>
    <row r="765" spans="1:22" ht="15.75">
      <c r="A765" s="28" t="s">
        <v>1528</v>
      </c>
      <c r="B765" s="28" t="s">
        <v>1529</v>
      </c>
      <c r="C765" s="23">
        <v>29.92</v>
      </c>
      <c r="D765" s="23">
        <v>11.07</v>
      </c>
      <c r="E765" s="23" t="s">
        <v>4682</v>
      </c>
      <c r="F765" s="23" t="s">
        <v>4682</v>
      </c>
      <c r="G765" s="23" t="s">
        <v>4682</v>
      </c>
      <c r="H765" s="23">
        <v>0</v>
      </c>
      <c r="I765" s="23" t="s">
        <v>4682</v>
      </c>
      <c r="J765" s="23" t="s">
        <v>4729</v>
      </c>
      <c r="K765" s="23" t="s">
        <v>4735</v>
      </c>
      <c r="L765">
        <v>1976</v>
      </c>
      <c r="M765" s="15" t="s">
        <v>4700</v>
      </c>
      <c r="N765">
        <v>18</v>
      </c>
      <c r="O765">
        <v>2</v>
      </c>
      <c r="P765" s="21">
        <f>DATEVALUE(N765&amp;"-"&amp;M765&amp;"-"&amp;L765)</f>
        <v>28082</v>
      </c>
      <c r="Q765" s="22">
        <v>6374.16</v>
      </c>
      <c r="R765" s="23" t="s">
        <v>4697</v>
      </c>
      <c r="S765" s="23" t="s">
        <v>4697</v>
      </c>
      <c r="T765" s="23" t="s">
        <v>4699</v>
      </c>
      <c r="U765" s="23">
        <f>DATEDIF(P765, DATE(2023, 6, 8), "Y")</f>
        <v>46</v>
      </c>
      <c r="V765">
        <f>SUM(C765:K765)</f>
        <v>40.99</v>
      </c>
    </row>
    <row r="766" spans="1:22" ht="15.75">
      <c r="A766" s="28" t="s">
        <v>1530</v>
      </c>
      <c r="B766" s="28" t="s">
        <v>1531</v>
      </c>
      <c r="C766" s="23">
        <v>25</v>
      </c>
      <c r="D766" s="23">
        <v>10.45</v>
      </c>
      <c r="E766" s="23" t="s">
        <v>4682</v>
      </c>
      <c r="F766" s="23" t="s">
        <v>4682</v>
      </c>
      <c r="G766" s="23" t="s">
        <v>4682</v>
      </c>
      <c r="H766" s="23">
        <v>0</v>
      </c>
      <c r="I766" s="23" t="s">
        <v>4682</v>
      </c>
      <c r="J766" s="23" t="s">
        <v>4730</v>
      </c>
      <c r="K766" s="23" t="s">
        <v>4735</v>
      </c>
      <c r="L766">
        <v>1982</v>
      </c>
      <c r="M766" s="15" t="s">
        <v>4706</v>
      </c>
      <c r="N766">
        <v>6</v>
      </c>
      <c r="O766">
        <v>1</v>
      </c>
      <c r="P766" s="21">
        <f>DATEVALUE(N766&amp;"-"&amp;M766&amp;"-"&amp;L766)</f>
        <v>30169</v>
      </c>
      <c r="Q766" s="22">
        <v>6389.38</v>
      </c>
      <c r="R766" s="23" t="s">
        <v>4701</v>
      </c>
      <c r="S766" s="23" t="s">
        <v>4697</v>
      </c>
      <c r="T766" s="23" t="s">
        <v>4704</v>
      </c>
      <c r="U766" s="23">
        <f>DATEDIF(P766, DATE(2023, 6, 8), "Y")</f>
        <v>40</v>
      </c>
      <c r="V766">
        <f>SUM(C766:K766)</f>
        <v>35.450000000000003</v>
      </c>
    </row>
    <row r="767" spans="1:22" ht="15.75">
      <c r="A767" s="28" t="s">
        <v>1532</v>
      </c>
      <c r="B767" s="28" t="s">
        <v>1533</v>
      </c>
      <c r="C767" s="23">
        <v>38.869999999999997</v>
      </c>
      <c r="D767" s="23">
        <v>8.6300000000000008</v>
      </c>
      <c r="E767" s="23" t="s">
        <v>4683</v>
      </c>
      <c r="F767" s="23" t="s">
        <v>4682</v>
      </c>
      <c r="G767" s="23" t="s">
        <v>4682</v>
      </c>
      <c r="H767" s="23">
        <v>1</v>
      </c>
      <c r="I767" s="23" t="s">
        <v>4682</v>
      </c>
      <c r="J767" s="23" t="s">
        <v>4729</v>
      </c>
      <c r="K767" s="23" t="s">
        <v>4735</v>
      </c>
      <c r="L767">
        <v>1997</v>
      </c>
      <c r="M767" s="15" t="s">
        <v>4706</v>
      </c>
      <c r="N767">
        <v>16</v>
      </c>
      <c r="O767">
        <v>0</v>
      </c>
      <c r="P767" s="21">
        <f>DATEVALUE(N767&amp;"-"&amp;M767&amp;"-"&amp;L767)</f>
        <v>35658</v>
      </c>
      <c r="Q767" s="22">
        <v>6389.53</v>
      </c>
      <c r="R767" s="23" t="s">
        <v>4697</v>
      </c>
      <c r="S767" s="23" t="s">
        <v>4697</v>
      </c>
      <c r="T767" s="23" t="s">
        <v>4717</v>
      </c>
      <c r="U767" s="23">
        <f>DATEDIF(P767, DATE(2023, 6, 8), "Y")</f>
        <v>25</v>
      </c>
      <c r="V767">
        <f>SUM(C767:K767)</f>
        <v>48.5</v>
      </c>
    </row>
    <row r="768" spans="1:22" ht="15.75">
      <c r="A768" s="28" t="s">
        <v>1534</v>
      </c>
      <c r="B768" s="28" t="s">
        <v>1535</v>
      </c>
      <c r="C768" s="23">
        <v>32.299999999999997</v>
      </c>
      <c r="D768" s="23">
        <v>5.28</v>
      </c>
      <c r="E768" s="23" t="s">
        <v>4683</v>
      </c>
      <c r="F768" s="23" t="s">
        <v>4682</v>
      </c>
      <c r="G768" s="23" t="s">
        <v>4682</v>
      </c>
      <c r="H768" s="23">
        <v>2</v>
      </c>
      <c r="I768" s="23" t="s">
        <v>4682</v>
      </c>
      <c r="J768" s="23" t="s">
        <v>4729</v>
      </c>
      <c r="K768" s="23" t="s">
        <v>4737</v>
      </c>
      <c r="L768">
        <v>1982</v>
      </c>
      <c r="M768" s="15" t="s">
        <v>4707</v>
      </c>
      <c r="N768">
        <v>28</v>
      </c>
      <c r="O768">
        <v>1</v>
      </c>
      <c r="P768" s="21">
        <f>DATEVALUE(N768&amp;"-"&amp;M768&amp;"-"&amp;L768)</f>
        <v>30252</v>
      </c>
      <c r="Q768" s="22">
        <v>6393.6</v>
      </c>
      <c r="R768" s="23" t="s">
        <v>4697</v>
      </c>
      <c r="S768" s="23" t="s">
        <v>4701</v>
      </c>
      <c r="T768" s="23" t="s">
        <v>4704</v>
      </c>
      <c r="U768" s="23">
        <f>DATEDIF(P768, DATE(2023, 6, 8), "Y")</f>
        <v>40</v>
      </c>
      <c r="V768">
        <f>SUM(C768:K768)</f>
        <v>39.58</v>
      </c>
    </row>
    <row r="769" spans="1:22" ht="15.75">
      <c r="A769" s="28" t="s">
        <v>1536</v>
      </c>
      <c r="B769" s="28" t="s">
        <v>1537</v>
      </c>
      <c r="C769" s="23">
        <v>31.16</v>
      </c>
      <c r="D769" s="23">
        <v>7.49</v>
      </c>
      <c r="E769" s="23" t="s">
        <v>4683</v>
      </c>
      <c r="F769" s="23" t="s">
        <v>4682</v>
      </c>
      <c r="G769" s="23" t="s">
        <v>4682</v>
      </c>
      <c r="H769" s="23">
        <v>2</v>
      </c>
      <c r="I769" s="23" t="s">
        <v>4682</v>
      </c>
      <c r="J769" s="23" t="s">
        <v>4729</v>
      </c>
      <c r="K769" s="23" t="s">
        <v>4735</v>
      </c>
      <c r="L769">
        <v>1987</v>
      </c>
      <c r="M769" s="15" t="s">
        <v>4703</v>
      </c>
      <c r="N769">
        <v>9</v>
      </c>
      <c r="O769">
        <v>2</v>
      </c>
      <c r="P769" s="21">
        <f>DATEVALUE(N769&amp;"-"&amp;M769&amp;"-"&amp;L769)</f>
        <v>32029</v>
      </c>
      <c r="Q769" s="22">
        <v>6402.29</v>
      </c>
      <c r="R769" s="23" t="s">
        <v>4697</v>
      </c>
      <c r="S769" s="23" t="s">
        <v>4698</v>
      </c>
      <c r="T769" s="23" t="s">
        <v>4714</v>
      </c>
      <c r="U769" s="23">
        <f>DATEDIF(P769, DATE(2023, 6, 8), "Y")</f>
        <v>35</v>
      </c>
      <c r="V769">
        <f>SUM(C769:K769)</f>
        <v>40.65</v>
      </c>
    </row>
    <row r="770" spans="1:22" ht="15.75">
      <c r="A770" s="28" t="s">
        <v>1538</v>
      </c>
      <c r="B770" s="28" t="s">
        <v>1539</v>
      </c>
      <c r="C770" s="23">
        <v>54.59</v>
      </c>
      <c r="D770" s="23">
        <v>4.2699999999999996</v>
      </c>
      <c r="E770" s="23" t="s">
        <v>4682</v>
      </c>
      <c r="F770" s="23" t="s">
        <v>4682</v>
      </c>
      <c r="G770" s="23" t="s">
        <v>4682</v>
      </c>
      <c r="H770" s="23">
        <v>0</v>
      </c>
      <c r="I770" s="23" t="s">
        <v>4682</v>
      </c>
      <c r="J770" s="23" t="s">
        <v>4729</v>
      </c>
      <c r="K770" s="23" t="s">
        <v>4737</v>
      </c>
      <c r="L770">
        <v>1985</v>
      </c>
      <c r="M770" s="15" t="s">
        <v>4705</v>
      </c>
      <c r="N770">
        <v>10</v>
      </c>
      <c r="O770">
        <v>2</v>
      </c>
      <c r="P770" s="21">
        <f>DATEVALUE(N770&amp;"-"&amp;M770&amp;"-"&amp;L770)</f>
        <v>31391</v>
      </c>
      <c r="Q770" s="22">
        <v>6406.41</v>
      </c>
      <c r="R770" s="23" t="s">
        <v>4701</v>
      </c>
      <c r="S770" s="23" t="s">
        <v>4698</v>
      </c>
      <c r="T770" s="23" t="s">
        <v>4716</v>
      </c>
      <c r="U770" s="23">
        <f>DATEDIF(P770, DATE(2023, 6, 8), "Y")</f>
        <v>37</v>
      </c>
      <c r="V770">
        <f>SUM(C770:K770)</f>
        <v>58.86</v>
      </c>
    </row>
    <row r="771" spans="1:22" ht="15.75">
      <c r="A771" s="28" t="s">
        <v>1540</v>
      </c>
      <c r="B771" s="28" t="s">
        <v>1541</v>
      </c>
      <c r="C771" s="23">
        <v>21.09</v>
      </c>
      <c r="D771" s="23">
        <v>9.2200000000000006</v>
      </c>
      <c r="E771" s="23" t="s">
        <v>4683</v>
      </c>
      <c r="F771" s="23" t="s">
        <v>4682</v>
      </c>
      <c r="G771" s="23" t="s">
        <v>4682</v>
      </c>
      <c r="H771" s="23">
        <v>2</v>
      </c>
      <c r="I771" s="23" t="s">
        <v>4682</v>
      </c>
      <c r="J771" s="23" t="s">
        <v>4728</v>
      </c>
      <c r="K771" s="23" t="s">
        <v>4735</v>
      </c>
      <c r="L771">
        <v>1970</v>
      </c>
      <c r="M771" s="15" t="s">
        <v>4706</v>
      </c>
      <c r="N771">
        <v>20</v>
      </c>
      <c r="O771">
        <v>0</v>
      </c>
      <c r="P771" s="21">
        <f>DATEVALUE(N771&amp;"-"&amp;M771&amp;"-"&amp;L771)</f>
        <v>25800</v>
      </c>
      <c r="Q771" s="22">
        <v>6407.05</v>
      </c>
      <c r="R771" s="23" t="s">
        <v>4697</v>
      </c>
      <c r="S771" s="23" t="s">
        <v>4701</v>
      </c>
      <c r="T771" s="23" t="s">
        <v>4699</v>
      </c>
      <c r="U771" s="23">
        <f>DATEDIF(P771, DATE(2023, 6, 8), "Y")</f>
        <v>52</v>
      </c>
      <c r="V771">
        <f>SUM(C771:K771)</f>
        <v>32.31</v>
      </c>
    </row>
    <row r="772" spans="1:22" ht="15.75">
      <c r="A772" s="28" t="s">
        <v>1542</v>
      </c>
      <c r="B772" s="28" t="s">
        <v>1543</v>
      </c>
      <c r="C772" s="23">
        <v>52.41</v>
      </c>
      <c r="D772" s="23">
        <v>5.99</v>
      </c>
      <c r="E772" s="23" t="s">
        <v>4682</v>
      </c>
      <c r="F772" s="23" t="s">
        <v>4682</v>
      </c>
      <c r="G772" s="23" t="s">
        <v>4682</v>
      </c>
      <c r="H772" s="23">
        <v>1</v>
      </c>
      <c r="I772" s="23" t="s">
        <v>4682</v>
      </c>
      <c r="J772" s="23" t="s">
        <v>4729</v>
      </c>
      <c r="K772" s="23" t="s">
        <v>4736</v>
      </c>
      <c r="L772">
        <v>1971</v>
      </c>
      <c r="M772" s="15" t="s">
        <v>4706</v>
      </c>
      <c r="N772">
        <v>22</v>
      </c>
      <c r="O772">
        <v>0</v>
      </c>
      <c r="P772" s="21">
        <f>DATEVALUE(N772&amp;"-"&amp;M772&amp;"-"&amp;L772)</f>
        <v>26167</v>
      </c>
      <c r="Q772" s="22">
        <v>6412.34</v>
      </c>
      <c r="R772" s="23" t="s">
        <v>4697</v>
      </c>
      <c r="S772" s="23" t="s">
        <v>4698</v>
      </c>
      <c r="T772" s="23" t="s">
        <v>4699</v>
      </c>
      <c r="U772" s="23">
        <f>DATEDIF(P772, DATE(2023, 6, 8), "Y")</f>
        <v>51</v>
      </c>
      <c r="V772">
        <f>SUM(C772:K772)</f>
        <v>59.4</v>
      </c>
    </row>
    <row r="773" spans="1:22" ht="15.75">
      <c r="A773" s="28" t="s">
        <v>1544</v>
      </c>
      <c r="B773" s="28" t="s">
        <v>1545</v>
      </c>
      <c r="C773" s="23">
        <v>41.47</v>
      </c>
      <c r="D773" s="23">
        <v>5.86</v>
      </c>
      <c r="E773" s="23" t="s">
        <v>4683</v>
      </c>
      <c r="F773" s="23" t="s">
        <v>4682</v>
      </c>
      <c r="G773" s="23" t="s">
        <v>4682</v>
      </c>
      <c r="H773" s="23">
        <v>2</v>
      </c>
      <c r="I773" s="23" t="s">
        <v>4682</v>
      </c>
      <c r="J773" s="23" t="s">
        <v>4729</v>
      </c>
      <c r="K773" s="23" t="s">
        <v>4736</v>
      </c>
      <c r="L773">
        <v>1987</v>
      </c>
      <c r="M773" s="15" t="s">
        <v>4703</v>
      </c>
      <c r="N773">
        <v>4</v>
      </c>
      <c r="O773">
        <v>3</v>
      </c>
      <c r="P773" s="21">
        <f>DATEVALUE(N773&amp;"-"&amp;M773&amp;"-"&amp;L773)</f>
        <v>32024</v>
      </c>
      <c r="Q773" s="22">
        <v>6414.18</v>
      </c>
      <c r="R773" s="23" t="s">
        <v>4697</v>
      </c>
      <c r="S773" s="23" t="s">
        <v>4697</v>
      </c>
      <c r="T773" s="23" t="s">
        <v>4708</v>
      </c>
      <c r="U773" s="23">
        <f>DATEDIF(P773, DATE(2023, 6, 8), "Y")</f>
        <v>35</v>
      </c>
      <c r="V773">
        <f>SUM(C773:K773)</f>
        <v>49.33</v>
      </c>
    </row>
    <row r="774" spans="1:22" ht="15.75">
      <c r="A774" s="28" t="s">
        <v>1546</v>
      </c>
      <c r="B774" s="28" t="s">
        <v>1547</v>
      </c>
      <c r="C774" s="23">
        <v>33.1</v>
      </c>
      <c r="D774" s="23">
        <v>5.19</v>
      </c>
      <c r="E774" s="23" t="s">
        <v>4683</v>
      </c>
      <c r="F774" s="23" t="s">
        <v>4682</v>
      </c>
      <c r="G774" s="23" t="s">
        <v>4682</v>
      </c>
      <c r="H774" s="23">
        <v>2</v>
      </c>
      <c r="I774" s="23" t="s">
        <v>4682</v>
      </c>
      <c r="J774" s="23" t="s">
        <v>4729</v>
      </c>
      <c r="K774" s="23" t="s">
        <v>4737</v>
      </c>
      <c r="L774">
        <v>1976</v>
      </c>
      <c r="M774" s="15" t="s">
        <v>4705</v>
      </c>
      <c r="N774">
        <v>30</v>
      </c>
      <c r="O774">
        <v>2</v>
      </c>
      <c r="P774" s="21">
        <f>DATEVALUE(N774&amp;"-"&amp;M774&amp;"-"&amp;L774)</f>
        <v>28124</v>
      </c>
      <c r="Q774" s="22">
        <v>6417.28</v>
      </c>
      <c r="R774" s="23" t="s">
        <v>4697</v>
      </c>
      <c r="S774" s="23" t="s">
        <v>4698</v>
      </c>
      <c r="T774" s="23" t="s">
        <v>4699</v>
      </c>
      <c r="U774" s="23">
        <f>DATEDIF(P774, DATE(2023, 6, 8), "Y")</f>
        <v>46</v>
      </c>
      <c r="V774">
        <f>SUM(C774:K774)</f>
        <v>40.29</v>
      </c>
    </row>
    <row r="775" spans="1:22" ht="15.75">
      <c r="A775" s="28" t="s">
        <v>1548</v>
      </c>
      <c r="B775" s="28" t="s">
        <v>1549</v>
      </c>
      <c r="C775" s="23">
        <v>30.8</v>
      </c>
      <c r="D775" s="23">
        <v>4.37</v>
      </c>
      <c r="E775" s="23" t="s">
        <v>4683</v>
      </c>
      <c r="F775" s="23" t="s">
        <v>4682</v>
      </c>
      <c r="G775" s="23" t="s">
        <v>4682</v>
      </c>
      <c r="H775" s="23">
        <v>2</v>
      </c>
      <c r="I775" s="23" t="s">
        <v>4682</v>
      </c>
      <c r="J775" s="23" t="s">
        <v>4729</v>
      </c>
      <c r="K775" s="23" t="s">
        <v>4737</v>
      </c>
      <c r="L775">
        <v>1975</v>
      </c>
      <c r="M775" s="15" t="s">
        <v>4706</v>
      </c>
      <c r="N775">
        <v>5</v>
      </c>
      <c r="O775">
        <v>1</v>
      </c>
      <c r="P775" s="21">
        <f>DATEVALUE(N775&amp;"-"&amp;M775&amp;"-"&amp;L775)</f>
        <v>27611</v>
      </c>
      <c r="Q775" s="22">
        <v>6423.48</v>
      </c>
      <c r="R775" s="23" t="s">
        <v>4697</v>
      </c>
      <c r="S775" s="23" t="s">
        <v>4698</v>
      </c>
      <c r="T775" s="23" t="s">
        <v>4699</v>
      </c>
      <c r="U775" s="23">
        <f>DATEDIF(P775, DATE(2023, 6, 8), "Y")</f>
        <v>47</v>
      </c>
      <c r="V775">
        <f>SUM(C775:K775)</f>
        <v>37.17</v>
      </c>
    </row>
    <row r="776" spans="1:22" ht="15.75">
      <c r="A776" s="28" t="s">
        <v>1550</v>
      </c>
      <c r="B776" s="28" t="s">
        <v>1551</v>
      </c>
      <c r="C776" s="23">
        <v>42.06</v>
      </c>
      <c r="D776" s="23">
        <v>5.32</v>
      </c>
      <c r="E776" s="23" t="s">
        <v>4682</v>
      </c>
      <c r="F776" s="23" t="s">
        <v>4682</v>
      </c>
      <c r="G776" s="23" t="s">
        <v>4682</v>
      </c>
      <c r="H776" s="23">
        <v>1</v>
      </c>
      <c r="I776" s="23" t="s">
        <v>4682</v>
      </c>
      <c r="J776" s="23" t="s">
        <v>4729</v>
      </c>
      <c r="K776" s="23" t="s">
        <v>4737</v>
      </c>
      <c r="L776">
        <v>1985</v>
      </c>
      <c r="M776" s="15" t="s">
        <v>4696</v>
      </c>
      <c r="N776">
        <v>22</v>
      </c>
      <c r="O776">
        <v>3</v>
      </c>
      <c r="P776" s="21">
        <f>DATEVALUE(N776&amp;"-"&amp;M776&amp;"-"&amp;L776)</f>
        <v>31250</v>
      </c>
      <c r="Q776" s="22">
        <v>6435.62</v>
      </c>
      <c r="R776" s="23" t="s">
        <v>4698</v>
      </c>
      <c r="S776" s="23" t="s">
        <v>4697</v>
      </c>
      <c r="T776" s="23" t="s">
        <v>4699</v>
      </c>
      <c r="U776" s="23">
        <f>DATEDIF(P776, DATE(2023, 6, 8), "Y")</f>
        <v>37</v>
      </c>
      <c r="V776">
        <f>SUM(C776:K776)</f>
        <v>48.38</v>
      </c>
    </row>
    <row r="777" spans="1:22" ht="15.75">
      <c r="A777" s="28" t="s">
        <v>1552</v>
      </c>
      <c r="B777" s="28" t="s">
        <v>1553</v>
      </c>
      <c r="C777" s="23">
        <v>39.270000000000003</v>
      </c>
      <c r="D777" s="23">
        <v>5.64</v>
      </c>
      <c r="E777" s="23" t="s">
        <v>4682</v>
      </c>
      <c r="F777" s="23" t="s">
        <v>4682</v>
      </c>
      <c r="G777" s="23" t="s">
        <v>4684</v>
      </c>
      <c r="H777" s="23">
        <v>1</v>
      </c>
      <c r="I777" s="23" t="s">
        <v>4682</v>
      </c>
      <c r="J777" s="23" t="s">
        <v>4729</v>
      </c>
      <c r="K777" s="23" t="s">
        <v>4737</v>
      </c>
      <c r="L777">
        <v>1984</v>
      </c>
      <c r="M777" s="15" t="s">
        <v>4706</v>
      </c>
      <c r="N777">
        <v>26</v>
      </c>
      <c r="O777">
        <v>2</v>
      </c>
      <c r="P777" s="21">
        <f>DATEVALUE(N777&amp;"-"&amp;M777&amp;"-"&amp;L777)</f>
        <v>30920</v>
      </c>
      <c r="Q777" s="22">
        <v>6455.86</v>
      </c>
      <c r="R777" s="23" t="s">
        <v>4698</v>
      </c>
      <c r="S777" s="23" t="s">
        <v>4698</v>
      </c>
      <c r="T777" s="23" t="s">
        <v>4704</v>
      </c>
      <c r="U777" s="23">
        <f>DATEDIF(P777, DATE(2023, 6, 8), "Y")</f>
        <v>38</v>
      </c>
      <c r="V777">
        <f>SUM(C777:K777)</f>
        <v>45.910000000000004</v>
      </c>
    </row>
    <row r="778" spans="1:22" ht="15.75">
      <c r="A778" s="28" t="s">
        <v>1554</v>
      </c>
      <c r="B778" s="28" t="s">
        <v>1555</v>
      </c>
      <c r="C778" s="23">
        <v>30.71</v>
      </c>
      <c r="D778" s="23">
        <v>5.59</v>
      </c>
      <c r="E778" s="23" t="s">
        <v>4683</v>
      </c>
      <c r="F778" s="23" t="s">
        <v>4682</v>
      </c>
      <c r="G778" s="23" t="s">
        <v>4682</v>
      </c>
      <c r="H778" s="23">
        <v>1</v>
      </c>
      <c r="I778" s="23" t="s">
        <v>4682</v>
      </c>
      <c r="J778" s="23" t="s">
        <v>4729</v>
      </c>
      <c r="K778" s="23" t="s">
        <v>4737</v>
      </c>
      <c r="L778">
        <v>1984</v>
      </c>
      <c r="M778" s="15" t="s">
        <v>4700</v>
      </c>
      <c r="N778">
        <v>1</v>
      </c>
      <c r="O778">
        <v>2</v>
      </c>
      <c r="P778" s="21">
        <f>DATEVALUE(N778&amp;"-"&amp;M778&amp;"-"&amp;L778)</f>
        <v>30987</v>
      </c>
      <c r="Q778" s="22">
        <v>6457.84</v>
      </c>
      <c r="R778" s="23" t="s">
        <v>4697</v>
      </c>
      <c r="S778" s="23" t="s">
        <v>4698</v>
      </c>
      <c r="T778" s="23" t="s">
        <v>4704</v>
      </c>
      <c r="U778" s="23">
        <f>DATEDIF(P778, DATE(2023, 6, 8), "Y")</f>
        <v>38</v>
      </c>
      <c r="V778">
        <f>SUM(C778:K778)</f>
        <v>37.299999999999997</v>
      </c>
    </row>
    <row r="779" spans="1:22" ht="15.75">
      <c r="A779" s="28" t="s">
        <v>1556</v>
      </c>
      <c r="B779" s="28" t="s">
        <v>1557</v>
      </c>
      <c r="C779" s="23">
        <v>47.19</v>
      </c>
      <c r="D779" s="23">
        <v>5.29</v>
      </c>
      <c r="E779" s="23" t="s">
        <v>4682</v>
      </c>
      <c r="F779" s="23" t="s">
        <v>4682</v>
      </c>
      <c r="G779" s="23" t="s">
        <v>4682</v>
      </c>
      <c r="H779" s="23">
        <v>0</v>
      </c>
      <c r="I779" s="23" t="s">
        <v>4682</v>
      </c>
      <c r="J779" s="23" t="s">
        <v>4729</v>
      </c>
      <c r="K779" s="23" t="s">
        <v>4737</v>
      </c>
      <c r="L779">
        <v>1981</v>
      </c>
      <c r="M779" s="15" t="s">
        <v>4696</v>
      </c>
      <c r="N779">
        <v>27</v>
      </c>
      <c r="O779">
        <v>1</v>
      </c>
      <c r="P779" s="21">
        <f>DATEVALUE(N779&amp;"-"&amp;M779&amp;"-"&amp;L779)</f>
        <v>29794</v>
      </c>
      <c r="Q779" s="22">
        <v>6473.15</v>
      </c>
      <c r="R779" s="23" t="s">
        <v>4697</v>
      </c>
      <c r="S779" s="23" t="s">
        <v>4697</v>
      </c>
      <c r="T779" s="23" t="s">
        <v>4699</v>
      </c>
      <c r="U779" s="23">
        <f>DATEDIF(P779, DATE(2023, 6, 8), "Y")</f>
        <v>41</v>
      </c>
      <c r="V779">
        <f>SUM(C779:K779)</f>
        <v>52.48</v>
      </c>
    </row>
    <row r="780" spans="1:22" ht="15.75">
      <c r="A780" s="28" t="s">
        <v>1558</v>
      </c>
      <c r="B780" s="28" t="s">
        <v>1559</v>
      </c>
      <c r="C780" s="23">
        <v>30.02</v>
      </c>
      <c r="D780" s="23">
        <v>6.65</v>
      </c>
      <c r="E780" s="23" t="s">
        <v>4682</v>
      </c>
      <c r="F780" s="23" t="s">
        <v>4682</v>
      </c>
      <c r="G780" s="23" t="s">
        <v>4682</v>
      </c>
      <c r="H780" s="23">
        <v>0</v>
      </c>
      <c r="I780" s="23" t="s">
        <v>4682</v>
      </c>
      <c r="J780" s="23" t="s">
        <v>4729</v>
      </c>
      <c r="K780" s="23" t="s">
        <v>4735</v>
      </c>
      <c r="L780">
        <v>1980</v>
      </c>
      <c r="M780" s="15" t="s">
        <v>4702</v>
      </c>
      <c r="N780">
        <v>8</v>
      </c>
      <c r="O780">
        <v>0</v>
      </c>
      <c r="P780" s="21">
        <f>DATEVALUE(N780&amp;"-"&amp;M780&amp;"-"&amp;L780)</f>
        <v>29380</v>
      </c>
      <c r="Q780" s="22">
        <v>6474.01</v>
      </c>
      <c r="R780" s="23" t="s">
        <v>4697</v>
      </c>
      <c r="S780" s="23" t="s">
        <v>4698</v>
      </c>
      <c r="T780" s="23" t="s">
        <v>4708</v>
      </c>
      <c r="U780" s="23">
        <f>DATEDIF(P780, DATE(2023, 6, 8), "Y")</f>
        <v>43</v>
      </c>
      <c r="V780">
        <f>SUM(C780:K780)</f>
        <v>36.67</v>
      </c>
    </row>
    <row r="781" spans="1:22" ht="15.75">
      <c r="A781" s="28" t="s">
        <v>1560</v>
      </c>
      <c r="B781" s="28" t="s">
        <v>1561</v>
      </c>
      <c r="C781" s="23">
        <v>37.909999999999997</v>
      </c>
      <c r="D781" s="23">
        <v>5.68</v>
      </c>
      <c r="E781" s="23" t="s">
        <v>4683</v>
      </c>
      <c r="F781" s="23" t="s">
        <v>4682</v>
      </c>
      <c r="G781" s="23" t="s">
        <v>4682</v>
      </c>
      <c r="H781" s="23">
        <v>0</v>
      </c>
      <c r="I781" s="23" t="s">
        <v>4682</v>
      </c>
      <c r="J781" s="23" t="s">
        <v>4729</v>
      </c>
      <c r="K781" s="23" t="s">
        <v>4737</v>
      </c>
      <c r="L781">
        <v>1970</v>
      </c>
      <c r="M781" s="15" t="s">
        <v>4705</v>
      </c>
      <c r="N781">
        <v>1</v>
      </c>
      <c r="O781">
        <v>0</v>
      </c>
      <c r="P781" s="21">
        <f>DATEVALUE(N781&amp;"-"&amp;M781&amp;"-"&amp;L781)</f>
        <v>25903</v>
      </c>
      <c r="Q781" s="22">
        <v>6481.67</v>
      </c>
      <c r="R781" s="23" t="s">
        <v>4697</v>
      </c>
      <c r="S781" s="23" t="s">
        <v>4697</v>
      </c>
      <c r="T781" s="23" t="s">
        <v>4699</v>
      </c>
      <c r="U781" s="23">
        <f>DATEDIF(P781, DATE(2023, 6, 8), "Y")</f>
        <v>52</v>
      </c>
      <c r="V781">
        <f>SUM(C781:K781)</f>
        <v>43.589999999999996</v>
      </c>
    </row>
    <row r="782" spans="1:22" ht="15.75">
      <c r="A782" s="28" t="s">
        <v>1562</v>
      </c>
      <c r="B782" s="28" t="s">
        <v>1563</v>
      </c>
      <c r="C782" s="23">
        <v>54.61</v>
      </c>
      <c r="D782" s="23">
        <v>4.49</v>
      </c>
      <c r="E782" s="23" t="s">
        <v>4682</v>
      </c>
      <c r="F782" s="23" t="s">
        <v>4682</v>
      </c>
      <c r="G782" s="23" t="s">
        <v>4682</v>
      </c>
      <c r="H782" s="23">
        <v>0</v>
      </c>
      <c r="I782" s="23" t="s">
        <v>4682</v>
      </c>
      <c r="J782" s="23" t="s">
        <v>4729</v>
      </c>
      <c r="K782" s="23" t="s">
        <v>4737</v>
      </c>
      <c r="L782">
        <v>1982</v>
      </c>
      <c r="M782" s="15" t="s">
        <v>4707</v>
      </c>
      <c r="N782">
        <v>9</v>
      </c>
      <c r="O782">
        <v>1</v>
      </c>
      <c r="P782" s="21">
        <f>DATEVALUE(N782&amp;"-"&amp;M782&amp;"-"&amp;L782)</f>
        <v>30233</v>
      </c>
      <c r="Q782" s="22">
        <v>6496.89</v>
      </c>
      <c r="R782" s="23" t="s">
        <v>4697</v>
      </c>
      <c r="S782" s="23" t="s">
        <v>4698</v>
      </c>
      <c r="T782" s="23" t="s">
        <v>4708</v>
      </c>
      <c r="U782" s="23">
        <f>DATEDIF(P782, DATE(2023, 6, 8), "Y")</f>
        <v>40</v>
      </c>
      <c r="V782">
        <f>SUM(C782:K782)</f>
        <v>59.1</v>
      </c>
    </row>
    <row r="783" spans="1:22" ht="15.75">
      <c r="A783" s="28" t="s">
        <v>1564</v>
      </c>
      <c r="B783" s="28" t="s">
        <v>1565</v>
      </c>
      <c r="C783" s="23">
        <v>36.005000000000003</v>
      </c>
      <c r="D783" s="23">
        <v>6.9</v>
      </c>
      <c r="E783" s="23" t="s">
        <v>4682</v>
      </c>
      <c r="F783" s="23" t="s">
        <v>4682</v>
      </c>
      <c r="G783" s="23" t="s">
        <v>4682</v>
      </c>
      <c r="H783" s="23">
        <v>0</v>
      </c>
      <c r="I783" s="23" t="s">
        <v>4682</v>
      </c>
      <c r="J783" s="23" t="s">
        <v>4729</v>
      </c>
      <c r="K783" s="23" t="s">
        <v>4735</v>
      </c>
      <c r="L783">
        <v>1982</v>
      </c>
      <c r="M783" s="15" t="s">
        <v>4706</v>
      </c>
      <c r="N783">
        <v>28</v>
      </c>
      <c r="O783">
        <v>1</v>
      </c>
      <c r="P783" s="21">
        <f>DATEVALUE(N783&amp;"-"&amp;M783&amp;"-"&amp;L783)</f>
        <v>30191</v>
      </c>
      <c r="Q783" s="22">
        <v>6500.24</v>
      </c>
      <c r="R783" s="23" t="s">
        <v>4697</v>
      </c>
      <c r="S783" s="23" t="s">
        <v>4697</v>
      </c>
      <c r="T783" s="23" t="s">
        <v>4699</v>
      </c>
      <c r="U783" s="23">
        <f>DATEDIF(P783, DATE(2023, 6, 8), "Y")</f>
        <v>40</v>
      </c>
      <c r="V783">
        <f>SUM(C783:K783)</f>
        <v>42.905000000000001</v>
      </c>
    </row>
    <row r="784" spans="1:22" ht="15.75">
      <c r="A784" s="28" t="s">
        <v>1566</v>
      </c>
      <c r="B784" s="28" t="s">
        <v>1567</v>
      </c>
      <c r="C784" s="23">
        <v>28.7</v>
      </c>
      <c r="D784" s="23">
        <v>11.52</v>
      </c>
      <c r="E784" s="23" t="s">
        <v>4682</v>
      </c>
      <c r="F784" s="23" t="s">
        <v>4682</v>
      </c>
      <c r="G784" s="23" t="s">
        <v>4682</v>
      </c>
      <c r="H784" s="23">
        <v>0</v>
      </c>
      <c r="I784" s="23" t="s">
        <v>4682</v>
      </c>
      <c r="J784" s="23" t="s">
        <v>4730</v>
      </c>
      <c r="K784" s="23" t="s">
        <v>4735</v>
      </c>
      <c r="L784">
        <v>1994</v>
      </c>
      <c r="M784" s="15" t="s">
        <v>4696</v>
      </c>
      <c r="N784">
        <v>7</v>
      </c>
      <c r="O784">
        <v>0</v>
      </c>
      <c r="P784" s="21">
        <f>DATEVALUE(N784&amp;"-"&amp;M784&amp;"-"&amp;L784)</f>
        <v>34522</v>
      </c>
      <c r="Q784" s="22">
        <v>6512.24</v>
      </c>
      <c r="R784" s="23" t="s">
        <v>4697</v>
      </c>
      <c r="S784" s="23" t="s">
        <v>4701</v>
      </c>
      <c r="T784" s="23" t="s">
        <v>4717</v>
      </c>
      <c r="U784" s="23">
        <f>DATEDIF(P784, DATE(2023, 6, 8), "Y")</f>
        <v>28</v>
      </c>
      <c r="V784">
        <f>SUM(C784:K784)</f>
        <v>40.22</v>
      </c>
    </row>
    <row r="785" spans="1:22" ht="15.75">
      <c r="A785" s="28" t="s">
        <v>1568</v>
      </c>
      <c r="B785" s="28" t="s">
        <v>1569</v>
      </c>
      <c r="C785" s="23">
        <v>34.295000000000002</v>
      </c>
      <c r="D785" s="23">
        <v>11.24</v>
      </c>
      <c r="E785" s="23" t="s">
        <v>4682</v>
      </c>
      <c r="F785" s="23" t="s">
        <v>4682</v>
      </c>
      <c r="G785" s="23" t="s">
        <v>4682</v>
      </c>
      <c r="H785" s="23">
        <v>0</v>
      </c>
      <c r="I785" s="23" t="s">
        <v>4682</v>
      </c>
      <c r="J785" s="23" t="s">
        <v>4729</v>
      </c>
      <c r="K785" s="23" t="s">
        <v>4735</v>
      </c>
      <c r="L785">
        <v>1976</v>
      </c>
      <c r="M785" s="15" t="s">
        <v>4707</v>
      </c>
      <c r="N785">
        <v>23</v>
      </c>
      <c r="O785">
        <v>2</v>
      </c>
      <c r="P785" s="21">
        <f>DATEVALUE(N785&amp;"-"&amp;M785&amp;"-"&amp;L785)</f>
        <v>28056</v>
      </c>
      <c r="Q785" s="22">
        <v>6529.21</v>
      </c>
      <c r="R785" s="23" t="s">
        <v>4697</v>
      </c>
      <c r="S785" s="23" t="s">
        <v>4701</v>
      </c>
      <c r="T785" s="23" t="s">
        <v>4699</v>
      </c>
      <c r="U785" s="23">
        <f>DATEDIF(P785, DATE(2023, 6, 8), "Y")</f>
        <v>46</v>
      </c>
      <c r="V785">
        <f>SUM(C785:K785)</f>
        <v>45.535000000000004</v>
      </c>
    </row>
    <row r="786" spans="1:22" ht="15.75">
      <c r="A786" s="28" t="s">
        <v>1570</v>
      </c>
      <c r="B786" s="28" t="s">
        <v>1571</v>
      </c>
      <c r="C786" s="23">
        <v>27.55</v>
      </c>
      <c r="D786" s="23">
        <v>10.98</v>
      </c>
      <c r="E786" s="23" t="s">
        <v>4682</v>
      </c>
      <c r="F786" s="23" t="s">
        <v>4682</v>
      </c>
      <c r="G786" s="23" t="s">
        <v>4682</v>
      </c>
      <c r="H786" s="23">
        <v>0</v>
      </c>
      <c r="I786" s="23" t="s">
        <v>4682</v>
      </c>
      <c r="J786" s="23" t="s">
        <v>4730</v>
      </c>
      <c r="K786" s="23" t="s">
        <v>4735</v>
      </c>
      <c r="L786">
        <v>1982</v>
      </c>
      <c r="M786" s="15" t="s">
        <v>4706</v>
      </c>
      <c r="N786">
        <v>12</v>
      </c>
      <c r="O786">
        <v>3</v>
      </c>
      <c r="P786" s="21">
        <f>DATEVALUE(N786&amp;"-"&amp;M786&amp;"-"&amp;L786)</f>
        <v>30175</v>
      </c>
      <c r="Q786" s="22">
        <v>6532.04</v>
      </c>
      <c r="R786" s="23" t="s">
        <v>4697</v>
      </c>
      <c r="S786" s="23" t="s">
        <v>4701</v>
      </c>
      <c r="T786" s="23" t="s">
        <v>4699</v>
      </c>
      <c r="U786" s="23">
        <f>DATEDIF(P786, DATE(2023, 6, 8), "Y")</f>
        <v>40</v>
      </c>
      <c r="V786">
        <f>SUM(C786:K786)</f>
        <v>38.53</v>
      </c>
    </row>
    <row r="787" spans="1:22" ht="15.75">
      <c r="A787" s="28" t="s">
        <v>1572</v>
      </c>
      <c r="B787" s="28" t="s">
        <v>1573</v>
      </c>
      <c r="C787" s="23">
        <v>40.700000000000003</v>
      </c>
      <c r="D787" s="23">
        <v>5.42</v>
      </c>
      <c r="E787" s="23" t="s">
        <v>4682</v>
      </c>
      <c r="F787" s="23" t="s">
        <v>4682</v>
      </c>
      <c r="G787" s="23" t="s">
        <v>4682</v>
      </c>
      <c r="H787" s="23">
        <v>0</v>
      </c>
      <c r="I787" s="23" t="s">
        <v>4682</v>
      </c>
      <c r="J787" s="23" t="s">
        <v>4729</v>
      </c>
      <c r="K787" s="23" t="s">
        <v>4737</v>
      </c>
      <c r="L787">
        <v>1982</v>
      </c>
      <c r="M787" s="15" t="s">
        <v>4707</v>
      </c>
      <c r="N787">
        <v>2</v>
      </c>
      <c r="O787">
        <v>3</v>
      </c>
      <c r="P787" s="21">
        <f>DATEVALUE(N787&amp;"-"&amp;M787&amp;"-"&amp;L787)</f>
        <v>30226</v>
      </c>
      <c r="Q787" s="22">
        <v>6536.68</v>
      </c>
      <c r="R787" s="23" t="s">
        <v>4697</v>
      </c>
      <c r="S787" s="23" t="s">
        <v>4697</v>
      </c>
      <c r="T787" s="23" t="s">
        <v>4704</v>
      </c>
      <c r="U787" s="23">
        <f>DATEDIF(P787, DATE(2023, 6, 8), "Y")</f>
        <v>40</v>
      </c>
      <c r="V787">
        <f>SUM(C787:K787)</f>
        <v>46.120000000000005</v>
      </c>
    </row>
    <row r="788" spans="1:22" ht="15.75">
      <c r="A788" s="28" t="s">
        <v>1574</v>
      </c>
      <c r="B788" s="28" t="s">
        <v>1575</v>
      </c>
      <c r="C788" s="23">
        <v>18.335000000000001</v>
      </c>
      <c r="D788" s="23">
        <v>10.97</v>
      </c>
      <c r="E788" s="23" t="s">
        <v>4682</v>
      </c>
      <c r="F788" s="23" t="s">
        <v>4682</v>
      </c>
      <c r="G788" s="23" t="s">
        <v>4682</v>
      </c>
      <c r="H788" s="23">
        <v>0</v>
      </c>
      <c r="I788" s="23" t="s">
        <v>4682</v>
      </c>
      <c r="J788" s="23" t="s">
        <v>4731</v>
      </c>
      <c r="K788" s="23" t="s">
        <v>4735</v>
      </c>
      <c r="L788">
        <v>1969</v>
      </c>
      <c r="M788" s="15" t="s">
        <v>4705</v>
      </c>
      <c r="N788">
        <v>3</v>
      </c>
      <c r="O788">
        <v>0</v>
      </c>
      <c r="P788" s="21">
        <f>DATEVALUE(N788&amp;"-"&amp;M788&amp;"-"&amp;L788)</f>
        <v>25540</v>
      </c>
      <c r="Q788" s="22">
        <v>6546.16</v>
      </c>
      <c r="R788" s="23" t="s">
        <v>4697</v>
      </c>
      <c r="S788" s="23" t="s">
        <v>4698</v>
      </c>
      <c r="T788" s="23" t="s">
        <v>4699</v>
      </c>
      <c r="U788" s="23">
        <f>DATEDIF(P788, DATE(2023, 6, 8), "Y")</f>
        <v>53</v>
      </c>
      <c r="V788">
        <f>SUM(C788:K788)</f>
        <v>29.305</v>
      </c>
    </row>
    <row r="789" spans="1:22" ht="15.75">
      <c r="A789" s="28" t="s">
        <v>1576</v>
      </c>
      <c r="B789" s="28" t="s">
        <v>1577</v>
      </c>
      <c r="C789" s="23">
        <v>33.914999999999999</v>
      </c>
      <c r="D789" s="23">
        <v>9.56</v>
      </c>
      <c r="E789" s="23" t="s">
        <v>4683</v>
      </c>
      <c r="F789" s="23" t="s">
        <v>4682</v>
      </c>
      <c r="G789" s="23" t="s">
        <v>4682</v>
      </c>
      <c r="H789" s="23">
        <v>2</v>
      </c>
      <c r="I789" s="23" t="s">
        <v>4682</v>
      </c>
      <c r="J789" s="23" t="s">
        <v>4729</v>
      </c>
      <c r="K789" s="23" t="s">
        <v>4735</v>
      </c>
      <c r="L789">
        <v>1986</v>
      </c>
      <c r="M789" s="15" t="s">
        <v>4705</v>
      </c>
      <c r="N789">
        <v>18</v>
      </c>
      <c r="O789">
        <v>3</v>
      </c>
      <c r="P789" s="21">
        <f>DATEVALUE(N789&amp;"-"&amp;M789&amp;"-"&amp;L789)</f>
        <v>31764</v>
      </c>
      <c r="Q789" s="22">
        <v>6548.2</v>
      </c>
      <c r="R789" s="23" t="s">
        <v>4697</v>
      </c>
      <c r="S789" s="23" t="s">
        <v>4698</v>
      </c>
      <c r="T789" s="23" t="s">
        <v>4704</v>
      </c>
      <c r="U789" s="23">
        <f>DATEDIF(P789, DATE(2023, 6, 8), "Y")</f>
        <v>36</v>
      </c>
      <c r="V789">
        <f>SUM(C789:K789)</f>
        <v>45.475000000000001</v>
      </c>
    </row>
    <row r="790" spans="1:22" ht="15.75">
      <c r="A790" s="28" t="s">
        <v>1578</v>
      </c>
      <c r="B790" s="28" t="s">
        <v>1579</v>
      </c>
      <c r="C790" s="23">
        <v>33.534999999999997</v>
      </c>
      <c r="D790" s="23">
        <v>9.4</v>
      </c>
      <c r="E790" s="23" t="s">
        <v>4683</v>
      </c>
      <c r="F790" s="23" t="s">
        <v>4682</v>
      </c>
      <c r="G790" s="23" t="s">
        <v>4682</v>
      </c>
      <c r="H790" s="23">
        <v>2</v>
      </c>
      <c r="I790" s="23" t="s">
        <v>4682</v>
      </c>
      <c r="J790" s="23" t="s">
        <v>4729</v>
      </c>
      <c r="K790" s="23" t="s">
        <v>4735</v>
      </c>
      <c r="L790">
        <v>1989</v>
      </c>
      <c r="M790" s="15" t="s">
        <v>4706</v>
      </c>
      <c r="N790">
        <v>6</v>
      </c>
      <c r="O790">
        <v>3</v>
      </c>
      <c r="P790" s="21">
        <f>DATEVALUE(N790&amp;"-"&amp;M790&amp;"-"&amp;L790)</f>
        <v>32726</v>
      </c>
      <c r="Q790" s="22">
        <v>6551.75</v>
      </c>
      <c r="R790" s="23" t="s">
        <v>4697</v>
      </c>
      <c r="S790" s="23" t="s">
        <v>4697</v>
      </c>
      <c r="T790" s="23" t="s">
        <v>4714</v>
      </c>
      <c r="U790" s="23">
        <f>DATEDIF(P790, DATE(2023, 6, 8), "Y")</f>
        <v>33</v>
      </c>
      <c r="V790">
        <f>SUM(C790:K790)</f>
        <v>44.934999999999995</v>
      </c>
    </row>
    <row r="791" spans="1:22" ht="15.75">
      <c r="A791" s="28" t="s">
        <v>1580</v>
      </c>
      <c r="B791" s="28" t="s">
        <v>1581</v>
      </c>
      <c r="C791" s="23">
        <v>23.655000000000001</v>
      </c>
      <c r="D791" s="23">
        <v>8.48</v>
      </c>
      <c r="E791" s="23" t="s">
        <v>4683</v>
      </c>
      <c r="F791" s="23" t="s">
        <v>4682</v>
      </c>
      <c r="G791" s="23" t="s">
        <v>4682</v>
      </c>
      <c r="H791" s="23">
        <v>2</v>
      </c>
      <c r="I791" s="23" t="s">
        <v>4682</v>
      </c>
      <c r="J791" s="23" t="s">
        <v>4728</v>
      </c>
      <c r="K791" s="23" t="s">
        <v>4735</v>
      </c>
      <c r="L791">
        <v>1968</v>
      </c>
      <c r="M791" s="15" t="s">
        <v>4705</v>
      </c>
      <c r="N791">
        <v>11</v>
      </c>
      <c r="O791">
        <v>0</v>
      </c>
      <c r="P791" s="21">
        <f>DATEVALUE(N791&amp;"-"&amp;M791&amp;"-"&amp;L791)</f>
        <v>25183</v>
      </c>
      <c r="Q791" s="22">
        <v>6552.01</v>
      </c>
      <c r="R791" s="23" t="s">
        <v>4698</v>
      </c>
      <c r="S791" s="23" t="s">
        <v>4697</v>
      </c>
      <c r="T791" s="23" t="s">
        <v>4699</v>
      </c>
      <c r="U791" s="23">
        <f>DATEDIF(P791, DATE(2023, 6, 8), "Y")</f>
        <v>54</v>
      </c>
      <c r="V791">
        <f>SUM(C791:K791)</f>
        <v>34.135000000000005</v>
      </c>
    </row>
    <row r="792" spans="1:22" ht="15.75">
      <c r="A792" s="28" t="s">
        <v>1582</v>
      </c>
      <c r="B792" s="28" t="s">
        <v>1583</v>
      </c>
      <c r="C792" s="23">
        <v>28</v>
      </c>
      <c r="D792" s="23">
        <v>5.57</v>
      </c>
      <c r="E792" s="23" t="s">
        <v>4682</v>
      </c>
      <c r="F792" s="23" t="s">
        <v>4682</v>
      </c>
      <c r="G792" s="23" t="s">
        <v>4682</v>
      </c>
      <c r="H792" s="23">
        <v>0</v>
      </c>
      <c r="I792" s="23" t="s">
        <v>4682</v>
      </c>
      <c r="J792" s="23" t="s">
        <v>4730</v>
      </c>
      <c r="K792" s="23" t="s">
        <v>4737</v>
      </c>
      <c r="L792">
        <v>1984</v>
      </c>
      <c r="M792" s="15" t="s">
        <v>4703</v>
      </c>
      <c r="N792">
        <v>20</v>
      </c>
      <c r="O792">
        <v>1</v>
      </c>
      <c r="P792" s="21">
        <f>DATEVALUE(N792&amp;"-"&amp;M792&amp;"-"&amp;L792)</f>
        <v>30945</v>
      </c>
      <c r="Q792" s="22">
        <v>6555.07</v>
      </c>
      <c r="R792" s="23" t="s">
        <v>4697</v>
      </c>
      <c r="S792" s="23" t="s">
        <v>4697</v>
      </c>
      <c r="T792" s="23" t="s">
        <v>4714</v>
      </c>
      <c r="U792" s="23">
        <f>DATEDIF(P792, DATE(2023, 6, 8), "Y")</f>
        <v>38</v>
      </c>
      <c r="V792">
        <f>SUM(C792:K792)</f>
        <v>33.57</v>
      </c>
    </row>
    <row r="793" spans="1:22" ht="15.75">
      <c r="A793" s="28" t="s">
        <v>1584</v>
      </c>
      <c r="B793" s="28" t="s">
        <v>1585</v>
      </c>
      <c r="C793" s="23">
        <v>30.23</v>
      </c>
      <c r="D793" s="23">
        <v>6.94</v>
      </c>
      <c r="E793" s="23" t="s">
        <v>4683</v>
      </c>
      <c r="F793" s="23" t="s">
        <v>4682</v>
      </c>
      <c r="G793" s="23" t="s">
        <v>4684</v>
      </c>
      <c r="H793" s="23">
        <v>1</v>
      </c>
      <c r="I793" s="23" t="s">
        <v>4682</v>
      </c>
      <c r="J793" s="23" t="s">
        <v>4729</v>
      </c>
      <c r="K793" s="23" t="s">
        <v>4735</v>
      </c>
      <c r="L793">
        <v>1981</v>
      </c>
      <c r="M793" s="15" t="s">
        <v>4696</v>
      </c>
      <c r="N793">
        <v>20</v>
      </c>
      <c r="O793">
        <v>0</v>
      </c>
      <c r="P793" s="21">
        <f>DATEVALUE(N793&amp;"-"&amp;M793&amp;"-"&amp;L793)</f>
        <v>29787</v>
      </c>
      <c r="Q793" s="22">
        <v>6571.02</v>
      </c>
      <c r="R793" s="23" t="s">
        <v>4697</v>
      </c>
      <c r="S793" s="23" t="s">
        <v>4701</v>
      </c>
      <c r="T793" s="23" t="s">
        <v>4704</v>
      </c>
      <c r="U793" s="23">
        <f>DATEDIF(P793, DATE(2023, 6, 8), "Y")</f>
        <v>41</v>
      </c>
      <c r="V793">
        <f>SUM(C793:K793)</f>
        <v>38.17</v>
      </c>
    </row>
    <row r="794" spans="1:22" ht="15.75">
      <c r="A794" s="28" t="s">
        <v>1586</v>
      </c>
      <c r="B794" s="28" t="s">
        <v>1587</v>
      </c>
      <c r="C794" s="23">
        <v>51.14</v>
      </c>
      <c r="D794" s="23">
        <v>4.05</v>
      </c>
      <c r="E794" s="23" t="s">
        <v>4682</v>
      </c>
      <c r="F794" s="23" t="s">
        <v>4682</v>
      </c>
      <c r="G794" s="23" t="s">
        <v>4682</v>
      </c>
      <c r="H794" s="23">
        <v>1</v>
      </c>
      <c r="I794" s="23" t="s">
        <v>4682</v>
      </c>
      <c r="J794" s="23" t="s">
        <v>4729</v>
      </c>
      <c r="K794" s="23" t="s">
        <v>4737</v>
      </c>
      <c r="L794">
        <v>1984</v>
      </c>
      <c r="M794" s="15" t="s">
        <v>4707</v>
      </c>
      <c r="N794">
        <v>5</v>
      </c>
      <c r="O794">
        <v>2</v>
      </c>
      <c r="P794" s="21">
        <f>DATEVALUE(N794&amp;"-"&amp;M794&amp;"-"&amp;L794)</f>
        <v>30960</v>
      </c>
      <c r="Q794" s="22">
        <v>6571.54</v>
      </c>
      <c r="R794" s="23" t="s">
        <v>4697</v>
      </c>
      <c r="S794" s="23" t="s">
        <v>4698</v>
      </c>
      <c r="T794" s="23" t="s">
        <v>4708</v>
      </c>
      <c r="U794" s="23">
        <f>DATEDIF(P794, DATE(2023, 6, 8), "Y")</f>
        <v>38</v>
      </c>
      <c r="V794">
        <f>SUM(C794:K794)</f>
        <v>56.19</v>
      </c>
    </row>
    <row r="795" spans="1:22" ht="15.75">
      <c r="A795" s="28" t="s">
        <v>1588</v>
      </c>
      <c r="B795" s="28" t="s">
        <v>1589</v>
      </c>
      <c r="C795" s="23">
        <v>24.32</v>
      </c>
      <c r="D795" s="23">
        <v>10.220000000000001</v>
      </c>
      <c r="E795" s="23" t="s">
        <v>4682</v>
      </c>
      <c r="F795" s="23" t="s">
        <v>4682</v>
      </c>
      <c r="G795" s="23" t="s">
        <v>4682</v>
      </c>
      <c r="H795" s="23">
        <v>0</v>
      </c>
      <c r="I795" s="23" t="s">
        <v>4682</v>
      </c>
      <c r="J795" s="23" t="s">
        <v>4728</v>
      </c>
      <c r="K795" s="23" t="s">
        <v>4735</v>
      </c>
      <c r="L795">
        <v>1982</v>
      </c>
      <c r="M795" s="15" t="s">
        <v>4700</v>
      </c>
      <c r="N795">
        <v>22</v>
      </c>
      <c r="O795">
        <v>2</v>
      </c>
      <c r="P795" s="21">
        <f>DATEVALUE(N795&amp;"-"&amp;M795&amp;"-"&amp;L795)</f>
        <v>30277</v>
      </c>
      <c r="Q795" s="22">
        <v>6593.51</v>
      </c>
      <c r="R795" s="23" t="s">
        <v>4697</v>
      </c>
      <c r="S795" s="23" t="s">
        <v>4701</v>
      </c>
      <c r="T795" s="23" t="s">
        <v>4699</v>
      </c>
      <c r="U795" s="23">
        <f>DATEDIF(P795, DATE(2023, 6, 8), "Y")</f>
        <v>40</v>
      </c>
      <c r="V795">
        <f>SUM(C795:K795)</f>
        <v>34.54</v>
      </c>
    </row>
    <row r="796" spans="1:22" ht="15.75">
      <c r="A796" s="28" t="s">
        <v>1590</v>
      </c>
      <c r="B796" s="28" t="s">
        <v>1591</v>
      </c>
      <c r="C796" s="23">
        <v>38.06</v>
      </c>
      <c r="D796" s="23">
        <v>9.24</v>
      </c>
      <c r="E796" s="23" t="s">
        <v>4682</v>
      </c>
      <c r="F796" s="23" t="s">
        <v>4682</v>
      </c>
      <c r="G796" s="23" t="s">
        <v>4682</v>
      </c>
      <c r="H796" s="23">
        <v>0</v>
      </c>
      <c r="I796" s="23" t="s">
        <v>4682</v>
      </c>
      <c r="J796" s="23" t="s">
        <v>4729</v>
      </c>
      <c r="K796" s="23" t="s">
        <v>4735</v>
      </c>
      <c r="L796">
        <v>1982</v>
      </c>
      <c r="M796" s="15" t="s">
        <v>4705</v>
      </c>
      <c r="N796">
        <v>29</v>
      </c>
      <c r="O796">
        <v>1</v>
      </c>
      <c r="P796" s="21">
        <f>DATEVALUE(N796&amp;"-"&amp;M796&amp;"-"&amp;L796)</f>
        <v>30314</v>
      </c>
      <c r="Q796" s="22">
        <v>6600.21</v>
      </c>
      <c r="R796" s="23" t="s">
        <v>4698</v>
      </c>
      <c r="S796" s="23" t="s">
        <v>4697</v>
      </c>
      <c r="T796" s="23" t="s">
        <v>4711</v>
      </c>
      <c r="U796" s="23">
        <f>DATEDIF(P796, DATE(2023, 6, 8), "Y")</f>
        <v>40</v>
      </c>
      <c r="V796">
        <f>SUM(C796:K796)</f>
        <v>47.300000000000004</v>
      </c>
    </row>
    <row r="797" spans="1:22" ht="15.75">
      <c r="A797" s="28" t="s">
        <v>1592</v>
      </c>
      <c r="B797" s="28" t="s">
        <v>1593</v>
      </c>
      <c r="C797" s="23">
        <v>37.700000000000003</v>
      </c>
      <c r="D797" s="23">
        <v>8.6</v>
      </c>
      <c r="E797" s="23" t="s">
        <v>4682</v>
      </c>
      <c r="F797" s="23" t="s">
        <v>4682</v>
      </c>
      <c r="G797" s="23" t="s">
        <v>4682</v>
      </c>
      <c r="H797" s="23">
        <v>0</v>
      </c>
      <c r="I797" s="23" t="s">
        <v>4682</v>
      </c>
      <c r="J797" s="23" t="s">
        <v>4729</v>
      </c>
      <c r="K797" s="23" t="s">
        <v>4735</v>
      </c>
      <c r="L797">
        <v>1982</v>
      </c>
      <c r="M797" s="15" t="s">
        <v>4700</v>
      </c>
      <c r="N797">
        <v>7</v>
      </c>
      <c r="O797">
        <v>2</v>
      </c>
      <c r="P797" s="21">
        <f>DATEVALUE(N797&amp;"-"&amp;M797&amp;"-"&amp;L797)</f>
        <v>30262</v>
      </c>
      <c r="Q797" s="22">
        <v>6600.36</v>
      </c>
      <c r="R797" s="23" t="s">
        <v>4697</v>
      </c>
      <c r="S797" s="23" t="s">
        <v>4698</v>
      </c>
      <c r="T797" s="23" t="s">
        <v>4708</v>
      </c>
      <c r="U797" s="23">
        <f>DATEDIF(P797, DATE(2023, 6, 8), "Y")</f>
        <v>40</v>
      </c>
      <c r="V797">
        <f>SUM(C797:K797)</f>
        <v>46.300000000000004</v>
      </c>
    </row>
    <row r="798" spans="1:22" ht="15.75">
      <c r="A798" s="28" t="s">
        <v>1594</v>
      </c>
      <c r="B798" s="28" t="s">
        <v>1595</v>
      </c>
      <c r="C798" s="23">
        <v>44</v>
      </c>
      <c r="D798" s="23">
        <v>9.32</v>
      </c>
      <c r="E798" s="23" t="s">
        <v>4683</v>
      </c>
      <c r="F798" s="23" t="s">
        <v>4682</v>
      </c>
      <c r="G798" s="23" t="s">
        <v>4682</v>
      </c>
      <c r="H798" s="23">
        <v>2</v>
      </c>
      <c r="I798" s="23" t="s">
        <v>4682</v>
      </c>
      <c r="J798" s="23" t="s">
        <v>4729</v>
      </c>
      <c r="K798" s="23" t="s">
        <v>4735</v>
      </c>
      <c r="L798">
        <v>1982</v>
      </c>
      <c r="M798" s="15" t="s">
        <v>4706</v>
      </c>
      <c r="N798">
        <v>28</v>
      </c>
      <c r="O798">
        <v>1</v>
      </c>
      <c r="P798" s="21">
        <f>DATEVALUE(N798&amp;"-"&amp;M798&amp;"-"&amp;L798)</f>
        <v>30191</v>
      </c>
      <c r="Q798" s="22">
        <v>6610.11</v>
      </c>
      <c r="R798" s="23" t="s">
        <v>4698</v>
      </c>
      <c r="S798" s="23" t="s">
        <v>4697</v>
      </c>
      <c r="T798" s="23" t="s">
        <v>4709</v>
      </c>
      <c r="U798" s="23">
        <f>DATEDIF(P798, DATE(2023, 6, 8), "Y")</f>
        <v>40</v>
      </c>
      <c r="V798">
        <f>SUM(C798:K798)</f>
        <v>55.32</v>
      </c>
    </row>
    <row r="799" spans="1:22" ht="15.75">
      <c r="A799" s="28" t="s">
        <v>1596</v>
      </c>
      <c r="B799" s="28" t="s">
        <v>1597</v>
      </c>
      <c r="C799" s="23">
        <v>41.45</v>
      </c>
      <c r="D799" s="23">
        <v>6.12</v>
      </c>
      <c r="E799" s="23" t="s">
        <v>4683</v>
      </c>
      <c r="F799" s="23" t="s">
        <v>4682</v>
      </c>
      <c r="G799" s="23" t="s">
        <v>4682</v>
      </c>
      <c r="H799" s="23">
        <v>0</v>
      </c>
      <c r="I799" s="23" t="s">
        <v>4682</v>
      </c>
      <c r="J799" s="23" t="s">
        <v>4729</v>
      </c>
      <c r="K799" s="23" t="s">
        <v>4736</v>
      </c>
      <c r="L799">
        <v>1973</v>
      </c>
      <c r="M799" s="15" t="s">
        <v>4706</v>
      </c>
      <c r="N799">
        <v>29</v>
      </c>
      <c r="O799">
        <v>0</v>
      </c>
      <c r="P799" s="21">
        <f>DATEVALUE(N799&amp;"-"&amp;M799&amp;"-"&amp;L799)</f>
        <v>26905</v>
      </c>
      <c r="Q799" s="22">
        <v>6630.31</v>
      </c>
      <c r="R799" s="23" t="s">
        <v>4697</v>
      </c>
      <c r="S799" s="23" t="s">
        <v>4701</v>
      </c>
      <c r="T799" s="23" t="s">
        <v>4699</v>
      </c>
      <c r="U799" s="23">
        <f>DATEDIF(P799, DATE(2023, 6, 8), "Y")</f>
        <v>49</v>
      </c>
      <c r="V799">
        <f>SUM(C799:K799)</f>
        <v>47.57</v>
      </c>
    </row>
    <row r="800" spans="1:22" ht="15.75">
      <c r="A800" s="28" t="s">
        <v>1598</v>
      </c>
      <c r="B800" s="28" t="s">
        <v>1599</v>
      </c>
      <c r="C800" s="23">
        <v>25.364999999999998</v>
      </c>
      <c r="D800" s="23">
        <v>9.19</v>
      </c>
      <c r="E800" s="23" t="s">
        <v>4683</v>
      </c>
      <c r="F800" s="23" t="s">
        <v>4682</v>
      </c>
      <c r="G800" s="23" t="s">
        <v>4682</v>
      </c>
      <c r="H800" s="23">
        <v>0</v>
      </c>
      <c r="I800" s="23" t="s">
        <v>4682</v>
      </c>
      <c r="J800" s="23" t="s">
        <v>4730</v>
      </c>
      <c r="K800" s="23" t="s">
        <v>4735</v>
      </c>
      <c r="L800">
        <v>2003</v>
      </c>
      <c r="M800" s="15" t="s">
        <v>4703</v>
      </c>
      <c r="N800">
        <v>4</v>
      </c>
      <c r="O800">
        <v>0</v>
      </c>
      <c r="P800" s="21">
        <f>DATEVALUE(N800&amp;"-"&amp;M800&amp;"-"&amp;L800)</f>
        <v>37868</v>
      </c>
      <c r="Q800" s="22">
        <v>6638.16</v>
      </c>
      <c r="R800" s="23" t="s">
        <v>4697</v>
      </c>
      <c r="S800" s="23" t="s">
        <v>4701</v>
      </c>
      <c r="T800" s="23" t="s">
        <v>4704</v>
      </c>
      <c r="U800" s="23">
        <f>DATEDIF(P800, DATE(2023, 6, 8), "Y")</f>
        <v>19</v>
      </c>
      <c r="V800">
        <f>SUM(C800:K800)</f>
        <v>34.555</v>
      </c>
    </row>
    <row r="801" spans="1:22" ht="15.75">
      <c r="A801" s="28" t="s">
        <v>1600</v>
      </c>
      <c r="B801" s="28" t="s">
        <v>1601</v>
      </c>
      <c r="C801" s="23">
        <v>34.56</v>
      </c>
      <c r="D801" s="23">
        <v>5.84</v>
      </c>
      <c r="E801" s="23" t="s">
        <v>4683</v>
      </c>
      <c r="F801" s="23" t="s">
        <v>4682</v>
      </c>
      <c r="G801" s="23" t="s">
        <v>4684</v>
      </c>
      <c r="H801" s="23">
        <v>1</v>
      </c>
      <c r="I801" s="23" t="s">
        <v>4682</v>
      </c>
      <c r="J801" s="23" t="s">
        <v>4729</v>
      </c>
      <c r="K801" s="23" t="s">
        <v>4736</v>
      </c>
      <c r="L801">
        <v>1990</v>
      </c>
      <c r="M801" s="15" t="s">
        <v>4702</v>
      </c>
      <c r="N801">
        <v>6</v>
      </c>
      <c r="O801">
        <v>3</v>
      </c>
      <c r="P801" s="21">
        <f>DATEVALUE(N801&amp;"-"&amp;M801&amp;"-"&amp;L801)</f>
        <v>33030</v>
      </c>
      <c r="Q801" s="22">
        <v>6639.3</v>
      </c>
      <c r="R801" s="23" t="s">
        <v>4697</v>
      </c>
      <c r="S801" s="23" t="s">
        <v>4697</v>
      </c>
      <c r="T801" s="23" t="s">
        <v>4717</v>
      </c>
      <c r="U801" s="23">
        <f>DATEDIF(P801, DATE(2023, 6, 8), "Y")</f>
        <v>33</v>
      </c>
      <c r="V801">
        <f>SUM(C801:K801)</f>
        <v>41.400000000000006</v>
      </c>
    </row>
    <row r="802" spans="1:22" ht="15.75">
      <c r="A802" s="28" t="s">
        <v>1602</v>
      </c>
      <c r="B802" s="28" t="s">
        <v>1603</v>
      </c>
      <c r="C802" s="23">
        <v>28.2</v>
      </c>
      <c r="D802" s="23">
        <v>7.19</v>
      </c>
      <c r="E802" s="23" t="s">
        <v>4683</v>
      </c>
      <c r="F802" s="23" t="s">
        <v>4682</v>
      </c>
      <c r="G802" s="23" t="s">
        <v>4682</v>
      </c>
      <c r="H802" s="23">
        <v>2</v>
      </c>
      <c r="I802" s="23" t="s">
        <v>4682</v>
      </c>
      <c r="J802" s="23" t="s">
        <v>4730</v>
      </c>
      <c r="K802" s="23" t="s">
        <v>4735</v>
      </c>
      <c r="L802">
        <v>1984</v>
      </c>
      <c r="M802" s="15" t="s">
        <v>4705</v>
      </c>
      <c r="N802">
        <v>8</v>
      </c>
      <c r="O802">
        <v>2</v>
      </c>
      <c r="P802" s="21">
        <f>DATEVALUE(N802&amp;"-"&amp;M802&amp;"-"&amp;L802)</f>
        <v>31024</v>
      </c>
      <c r="Q802" s="22">
        <v>6640.54</v>
      </c>
      <c r="R802" s="23" t="s">
        <v>4697</v>
      </c>
      <c r="S802" s="23" t="s">
        <v>4698</v>
      </c>
      <c r="T802" s="23" t="s">
        <v>4710</v>
      </c>
      <c r="U802" s="23">
        <f>DATEDIF(P802, DATE(2023, 6, 8), "Y")</f>
        <v>38</v>
      </c>
      <c r="V802">
        <f>SUM(C802:K802)</f>
        <v>37.39</v>
      </c>
    </row>
    <row r="803" spans="1:22" ht="15.75">
      <c r="A803" s="28" t="s">
        <v>1604</v>
      </c>
      <c r="B803" s="28" t="s">
        <v>1605</v>
      </c>
      <c r="C803" s="23">
        <v>30.43</v>
      </c>
      <c r="D803" s="23">
        <v>9.39</v>
      </c>
      <c r="E803" s="23" t="s">
        <v>4682</v>
      </c>
      <c r="F803" s="23" t="s">
        <v>4682</v>
      </c>
      <c r="G803" s="23" t="s">
        <v>4682</v>
      </c>
      <c r="H803" s="23">
        <v>0</v>
      </c>
      <c r="I803" s="23" t="s">
        <v>4682</v>
      </c>
      <c r="J803" s="23" t="s">
        <v>4729</v>
      </c>
      <c r="K803" s="23" t="s">
        <v>4735</v>
      </c>
      <c r="L803">
        <v>1970</v>
      </c>
      <c r="M803" s="15" t="s">
        <v>4700</v>
      </c>
      <c r="N803">
        <v>8</v>
      </c>
      <c r="O803">
        <v>0</v>
      </c>
      <c r="P803" s="21">
        <f>DATEVALUE(N803&amp;"-"&amp;M803&amp;"-"&amp;L803)</f>
        <v>25880</v>
      </c>
      <c r="Q803" s="22">
        <v>6651.26</v>
      </c>
      <c r="R803" s="23" t="s">
        <v>4697</v>
      </c>
      <c r="S803" s="23" t="s">
        <v>4698</v>
      </c>
      <c r="T803" s="23" t="s">
        <v>4699</v>
      </c>
      <c r="U803" s="23">
        <f>DATEDIF(P803, DATE(2023, 6, 8), "Y")</f>
        <v>52</v>
      </c>
      <c r="V803">
        <f>SUM(C803:K803)</f>
        <v>39.82</v>
      </c>
    </row>
    <row r="804" spans="1:22" ht="15.75">
      <c r="A804" s="28" t="s">
        <v>1606</v>
      </c>
      <c r="B804" s="28" t="s">
        <v>1607</v>
      </c>
      <c r="C804" s="23">
        <v>32.395000000000003</v>
      </c>
      <c r="D804" s="23">
        <v>4.2699999999999996</v>
      </c>
      <c r="E804" s="23" t="s">
        <v>4683</v>
      </c>
      <c r="F804" s="23" t="s">
        <v>4682</v>
      </c>
      <c r="G804" s="23" t="s">
        <v>4682</v>
      </c>
      <c r="H804" s="23">
        <v>1</v>
      </c>
      <c r="I804" s="23" t="s">
        <v>4682</v>
      </c>
      <c r="J804" s="23" t="s">
        <v>4729</v>
      </c>
      <c r="K804" s="23" t="s">
        <v>4737</v>
      </c>
      <c r="L804">
        <v>1984</v>
      </c>
      <c r="M804" s="15" t="s">
        <v>4696</v>
      </c>
      <c r="N804">
        <v>1</v>
      </c>
      <c r="O804">
        <v>3</v>
      </c>
      <c r="P804" s="21">
        <f>DATEVALUE(N804&amp;"-"&amp;M804&amp;"-"&amp;L804)</f>
        <v>30864</v>
      </c>
      <c r="Q804" s="22">
        <v>6652.53</v>
      </c>
      <c r="R804" s="23" t="s">
        <v>4698</v>
      </c>
      <c r="S804" s="23" t="s">
        <v>4697</v>
      </c>
      <c r="T804" s="23" t="s">
        <v>4699</v>
      </c>
      <c r="U804" s="23">
        <f>DATEDIF(P804, DATE(2023, 6, 8), "Y")</f>
        <v>38</v>
      </c>
      <c r="V804">
        <f>SUM(C804:K804)</f>
        <v>37.665000000000006</v>
      </c>
    </row>
    <row r="805" spans="1:22" ht="15.75">
      <c r="A805" s="28" t="s">
        <v>1608</v>
      </c>
      <c r="B805" s="28" t="s">
        <v>1609</v>
      </c>
      <c r="C805" s="23">
        <v>24.035</v>
      </c>
      <c r="D805" s="23">
        <v>11.71</v>
      </c>
      <c r="E805" s="23" t="s">
        <v>4682</v>
      </c>
      <c r="F805" s="23" t="s">
        <v>4682</v>
      </c>
      <c r="G805" s="23" t="s">
        <v>4682</v>
      </c>
      <c r="H805" s="23">
        <v>0</v>
      </c>
      <c r="I805" s="23" t="s">
        <v>4682</v>
      </c>
      <c r="J805" s="23" t="s">
        <v>4728</v>
      </c>
      <c r="K805" s="23" t="s">
        <v>4735</v>
      </c>
      <c r="L805">
        <v>1989</v>
      </c>
      <c r="M805" s="15" t="s">
        <v>4700</v>
      </c>
      <c r="N805">
        <v>19</v>
      </c>
      <c r="O805">
        <v>5</v>
      </c>
      <c r="P805" s="21">
        <f>DATEVALUE(N805&amp;"-"&amp;M805&amp;"-"&amp;L805)</f>
        <v>32831</v>
      </c>
      <c r="Q805" s="22">
        <v>6653.79</v>
      </c>
      <c r="R805" s="23" t="s">
        <v>4697</v>
      </c>
      <c r="S805" s="23" t="s">
        <v>4701</v>
      </c>
      <c r="T805" s="23" t="s">
        <v>4699</v>
      </c>
      <c r="U805" s="23">
        <f>DATEDIF(P805, DATE(2023, 6, 8), "Y")</f>
        <v>33</v>
      </c>
      <c r="V805">
        <f>SUM(C805:K805)</f>
        <v>35.745000000000005</v>
      </c>
    </row>
    <row r="806" spans="1:22" ht="15.75">
      <c r="A806" s="28" t="s">
        <v>1610</v>
      </c>
      <c r="B806" s="28" t="s">
        <v>1611</v>
      </c>
      <c r="C806" s="23">
        <v>37.119999999999997</v>
      </c>
      <c r="D806" s="23">
        <v>5.29</v>
      </c>
      <c r="E806" s="23" t="s">
        <v>4682</v>
      </c>
      <c r="F806" s="23" t="s">
        <v>4682</v>
      </c>
      <c r="G806" s="23" t="s">
        <v>4682</v>
      </c>
      <c r="H806" s="23">
        <v>2</v>
      </c>
      <c r="I806" s="23" t="s">
        <v>4682</v>
      </c>
      <c r="J806" s="23" t="s">
        <v>4729</v>
      </c>
      <c r="K806" s="23" t="s">
        <v>4737</v>
      </c>
      <c r="L806">
        <v>1982</v>
      </c>
      <c r="M806" s="15" t="s">
        <v>4703</v>
      </c>
      <c r="N806">
        <v>27</v>
      </c>
      <c r="O806">
        <v>3</v>
      </c>
      <c r="P806" s="21">
        <f>DATEVALUE(N806&amp;"-"&amp;M806&amp;"-"&amp;L806)</f>
        <v>30221</v>
      </c>
      <c r="Q806" s="22">
        <v>6664.32</v>
      </c>
      <c r="R806" s="23" t="s">
        <v>4697</v>
      </c>
      <c r="S806" s="23" t="s">
        <v>4697</v>
      </c>
      <c r="T806" s="23" t="s">
        <v>4699</v>
      </c>
      <c r="U806" s="23">
        <f>DATEDIF(P806, DATE(2023, 6, 8), "Y")</f>
        <v>40</v>
      </c>
      <c r="V806">
        <f>SUM(C806:K806)</f>
        <v>44.41</v>
      </c>
    </row>
    <row r="807" spans="1:22" ht="15.75">
      <c r="A807" s="28" t="s">
        <v>1612</v>
      </c>
      <c r="B807" s="28" t="s">
        <v>1613</v>
      </c>
      <c r="C807" s="23">
        <v>34.840000000000003</v>
      </c>
      <c r="D807" s="23">
        <v>6</v>
      </c>
      <c r="E807" s="23" t="s">
        <v>4683</v>
      </c>
      <c r="F807" s="23" t="s">
        <v>4682</v>
      </c>
      <c r="G807" s="23" t="s">
        <v>4684</v>
      </c>
      <c r="H807" s="23">
        <v>1</v>
      </c>
      <c r="I807" s="23" t="s">
        <v>4682</v>
      </c>
      <c r="J807" s="23" t="s">
        <v>4729</v>
      </c>
      <c r="K807" s="23" t="s">
        <v>4736</v>
      </c>
      <c r="L807">
        <v>1981</v>
      </c>
      <c r="M807" s="15" t="s">
        <v>4703</v>
      </c>
      <c r="N807">
        <v>17</v>
      </c>
      <c r="O807">
        <v>1</v>
      </c>
      <c r="P807" s="21">
        <f>DATEVALUE(N807&amp;"-"&amp;M807&amp;"-"&amp;L807)</f>
        <v>29846</v>
      </c>
      <c r="Q807" s="22">
        <v>6664.69</v>
      </c>
      <c r="R807" s="23" t="s">
        <v>4698</v>
      </c>
      <c r="S807" s="23" t="s">
        <v>4701</v>
      </c>
      <c r="T807" s="23" t="s">
        <v>4704</v>
      </c>
      <c r="U807" s="23">
        <f>DATEDIF(P807, DATE(2023, 6, 8), "Y")</f>
        <v>41</v>
      </c>
      <c r="V807">
        <f>SUM(C807:K807)</f>
        <v>41.84</v>
      </c>
    </row>
    <row r="808" spans="1:22" ht="15.75">
      <c r="A808" s="28" t="s">
        <v>1614</v>
      </c>
      <c r="B808" s="28" t="s">
        <v>1615</v>
      </c>
      <c r="C808" s="23">
        <v>29.53</v>
      </c>
      <c r="D808" s="23">
        <v>10.64</v>
      </c>
      <c r="E808" s="23" t="s">
        <v>4682</v>
      </c>
      <c r="F808" s="23" t="s">
        <v>4682</v>
      </c>
      <c r="G808" s="23" t="s">
        <v>4682</v>
      </c>
      <c r="H808" s="23">
        <v>0</v>
      </c>
      <c r="I808" s="23" t="s">
        <v>4682</v>
      </c>
      <c r="J808" s="23" t="s">
        <v>4730</v>
      </c>
      <c r="K808" s="23" t="s">
        <v>4735</v>
      </c>
      <c r="L808">
        <v>1989</v>
      </c>
      <c r="M808" s="15" t="s">
        <v>4707</v>
      </c>
      <c r="N808">
        <v>20</v>
      </c>
      <c r="O808">
        <v>5</v>
      </c>
      <c r="P808" s="21">
        <f>DATEVALUE(N808&amp;"-"&amp;M808&amp;"-"&amp;L808)</f>
        <v>32801</v>
      </c>
      <c r="Q808" s="22">
        <v>6666.24</v>
      </c>
      <c r="R808" s="23" t="s">
        <v>4698</v>
      </c>
      <c r="S808" s="23" t="s">
        <v>4701</v>
      </c>
      <c r="T808" s="23" t="s">
        <v>4708</v>
      </c>
      <c r="U808" s="23">
        <f>DATEDIF(P808, DATE(2023, 6, 8), "Y")</f>
        <v>33</v>
      </c>
      <c r="V808">
        <f>SUM(C808:K808)</f>
        <v>40.17</v>
      </c>
    </row>
    <row r="809" spans="1:22" ht="15.75">
      <c r="A809" s="28" t="s">
        <v>1616</v>
      </c>
      <c r="B809" s="28" t="s">
        <v>1617</v>
      </c>
      <c r="C809" s="23">
        <v>42.51</v>
      </c>
      <c r="D809" s="23">
        <v>8.2100000000000009</v>
      </c>
      <c r="E809" s="23" t="s">
        <v>4683</v>
      </c>
      <c r="F809" s="23" t="s">
        <v>4682</v>
      </c>
      <c r="G809" s="23" t="s">
        <v>4682</v>
      </c>
      <c r="H809" s="23">
        <v>0</v>
      </c>
      <c r="I809" s="23" t="s">
        <v>4682</v>
      </c>
      <c r="J809" s="23" t="s">
        <v>4729</v>
      </c>
      <c r="K809" s="23" t="s">
        <v>4735</v>
      </c>
      <c r="L809">
        <v>1985</v>
      </c>
      <c r="M809" s="15" t="s">
        <v>4696</v>
      </c>
      <c r="N809">
        <v>9</v>
      </c>
      <c r="O809">
        <v>2</v>
      </c>
      <c r="P809" s="21">
        <f>DATEVALUE(N809&amp;"-"&amp;M809&amp;"-"&amp;L809)</f>
        <v>31237</v>
      </c>
      <c r="Q809" s="22">
        <v>6686.43</v>
      </c>
      <c r="R809" s="23" t="s">
        <v>4697</v>
      </c>
      <c r="S809" s="23" t="s">
        <v>4698</v>
      </c>
      <c r="T809" s="23" t="s">
        <v>4704</v>
      </c>
      <c r="U809" s="23">
        <f>DATEDIF(P809, DATE(2023, 6, 8), "Y")</f>
        <v>37</v>
      </c>
      <c r="V809">
        <f>SUM(C809:K809)</f>
        <v>50.72</v>
      </c>
    </row>
    <row r="810" spans="1:22" ht="15.75">
      <c r="A810" s="28" t="s">
        <v>1618</v>
      </c>
      <c r="B810" s="28" t="s">
        <v>1619</v>
      </c>
      <c r="C810" s="23">
        <v>38.14</v>
      </c>
      <c r="D810" s="23">
        <v>5.58</v>
      </c>
      <c r="E810" s="23" t="s">
        <v>4682</v>
      </c>
      <c r="F810" s="23" t="s">
        <v>4682</v>
      </c>
      <c r="G810" s="23" t="s">
        <v>4684</v>
      </c>
      <c r="H810" s="23">
        <v>1</v>
      </c>
      <c r="I810" s="23" t="s">
        <v>4682</v>
      </c>
      <c r="J810" s="23" t="s">
        <v>4729</v>
      </c>
      <c r="K810" s="23" t="s">
        <v>4737</v>
      </c>
      <c r="L810">
        <v>1968</v>
      </c>
      <c r="M810" s="15" t="s">
        <v>4696</v>
      </c>
      <c r="N810">
        <v>13</v>
      </c>
      <c r="O810">
        <v>0</v>
      </c>
      <c r="P810" s="21">
        <f>DATEVALUE(N810&amp;"-"&amp;M810&amp;"-"&amp;L810)</f>
        <v>25032</v>
      </c>
      <c r="Q810" s="22">
        <v>6700.56</v>
      </c>
      <c r="R810" s="23" t="s">
        <v>4698</v>
      </c>
      <c r="S810" s="23" t="s">
        <v>4701</v>
      </c>
      <c r="T810" s="23" t="s">
        <v>4704</v>
      </c>
      <c r="U810" s="23">
        <f>DATEDIF(P810, DATE(2023, 6, 8), "Y")</f>
        <v>54</v>
      </c>
      <c r="V810">
        <f>SUM(C810:K810)</f>
        <v>44.72</v>
      </c>
    </row>
    <row r="811" spans="1:22" ht="15.75">
      <c r="A811" s="28" t="s">
        <v>1620</v>
      </c>
      <c r="B811" s="28" t="s">
        <v>1621</v>
      </c>
      <c r="C811" s="23">
        <v>39.93</v>
      </c>
      <c r="D811" s="23">
        <v>8.75</v>
      </c>
      <c r="E811" s="23" t="s">
        <v>4682</v>
      </c>
      <c r="F811" s="23" t="s">
        <v>4682</v>
      </c>
      <c r="G811" s="23" t="s">
        <v>4682</v>
      </c>
      <c r="H811" s="23">
        <v>0</v>
      </c>
      <c r="I811" s="23" t="s">
        <v>4682</v>
      </c>
      <c r="J811" s="23" t="s">
        <v>4729</v>
      </c>
      <c r="K811" s="23" t="s">
        <v>4735</v>
      </c>
      <c r="L811">
        <v>1971</v>
      </c>
      <c r="M811" s="15" t="s">
        <v>4705</v>
      </c>
      <c r="N811">
        <v>12</v>
      </c>
      <c r="O811">
        <v>0</v>
      </c>
      <c r="P811" s="21">
        <f>DATEVALUE(N811&amp;"-"&amp;M811&amp;"-"&amp;L811)</f>
        <v>26279</v>
      </c>
      <c r="Q811" s="22">
        <v>6706.47</v>
      </c>
      <c r="R811" s="23" t="s">
        <v>4697</v>
      </c>
      <c r="S811" s="23" t="s">
        <v>4701</v>
      </c>
      <c r="T811" s="23" t="s">
        <v>4699</v>
      </c>
      <c r="U811" s="23">
        <f>DATEDIF(P811, DATE(2023, 6, 8), "Y")</f>
        <v>51</v>
      </c>
      <c r="V811">
        <f>SUM(C811:K811)</f>
        <v>48.68</v>
      </c>
    </row>
    <row r="812" spans="1:22" ht="15.75">
      <c r="A812" s="28" t="s">
        <v>1622</v>
      </c>
      <c r="B812" s="28" t="s">
        <v>1623</v>
      </c>
      <c r="C812" s="23">
        <v>38.83</v>
      </c>
      <c r="D812" s="23">
        <v>11.86</v>
      </c>
      <c r="E812" s="23" t="s">
        <v>4682</v>
      </c>
      <c r="F812" s="23" t="s">
        <v>4682</v>
      </c>
      <c r="G812" s="23" t="s">
        <v>4682</v>
      </c>
      <c r="H812" s="23">
        <v>0</v>
      </c>
      <c r="I812" s="23" t="s">
        <v>4682</v>
      </c>
      <c r="J812" s="23" t="s">
        <v>4729</v>
      </c>
      <c r="K812" s="23" t="s">
        <v>4735</v>
      </c>
      <c r="L812">
        <v>1983</v>
      </c>
      <c r="M812" s="15" t="s">
        <v>4702</v>
      </c>
      <c r="N812">
        <v>12</v>
      </c>
      <c r="O812">
        <v>2</v>
      </c>
      <c r="P812" s="21">
        <f>DATEVALUE(N812&amp;"-"&amp;M812&amp;"-"&amp;L812)</f>
        <v>30479</v>
      </c>
      <c r="Q812" s="22">
        <v>6710.19</v>
      </c>
      <c r="R812" s="23" t="s">
        <v>4698</v>
      </c>
      <c r="S812" s="23" t="s">
        <v>4698</v>
      </c>
      <c r="T812" s="23" t="s">
        <v>4704</v>
      </c>
      <c r="U812" s="23">
        <f>DATEDIF(P812, DATE(2023, 6, 8), "Y")</f>
        <v>39</v>
      </c>
      <c r="V812">
        <f>SUM(C812:K812)</f>
        <v>50.69</v>
      </c>
    </row>
    <row r="813" spans="1:22" ht="15.75">
      <c r="A813" s="28" t="s">
        <v>1624</v>
      </c>
      <c r="B813" s="28" t="s">
        <v>1625</v>
      </c>
      <c r="C813" s="23">
        <v>37.4</v>
      </c>
      <c r="D813" s="23">
        <v>11.46</v>
      </c>
      <c r="E813" s="23" t="s">
        <v>4682</v>
      </c>
      <c r="F813" s="23" t="s">
        <v>4682</v>
      </c>
      <c r="G813" s="23" t="s">
        <v>4682</v>
      </c>
      <c r="H813" s="23">
        <v>0</v>
      </c>
      <c r="I813" s="23" t="s">
        <v>4682</v>
      </c>
      <c r="J813" s="23" t="s">
        <v>4729</v>
      </c>
      <c r="K813" s="23" t="s">
        <v>4735</v>
      </c>
      <c r="L813">
        <v>1994</v>
      </c>
      <c r="M813" s="15" t="s">
        <v>4702</v>
      </c>
      <c r="N813">
        <v>13</v>
      </c>
      <c r="O813">
        <v>0</v>
      </c>
      <c r="P813" s="21">
        <f>DATEVALUE(N813&amp;"-"&amp;M813&amp;"-"&amp;L813)</f>
        <v>34498</v>
      </c>
      <c r="Q813" s="22">
        <v>6721.37</v>
      </c>
      <c r="R813" s="23" t="s">
        <v>4697</v>
      </c>
      <c r="S813" s="23" t="s">
        <v>4701</v>
      </c>
      <c r="T813" s="23" t="s">
        <v>4704</v>
      </c>
      <c r="U813" s="23">
        <f>DATEDIF(P813, DATE(2023, 6, 8), "Y")</f>
        <v>28</v>
      </c>
      <c r="V813">
        <f>SUM(C813:K813)</f>
        <v>48.86</v>
      </c>
    </row>
    <row r="814" spans="1:22" ht="15.75">
      <c r="A814" s="28" t="s">
        <v>1626</v>
      </c>
      <c r="B814" s="28" t="s">
        <v>1627</v>
      </c>
      <c r="C814" s="23">
        <v>21.4</v>
      </c>
      <c r="D814" s="23">
        <v>9.0299999999999994</v>
      </c>
      <c r="E814" s="23" t="s">
        <v>4682</v>
      </c>
      <c r="F814" s="23" t="s">
        <v>4682</v>
      </c>
      <c r="G814" s="23" t="s">
        <v>4682</v>
      </c>
      <c r="H814" s="23">
        <v>0</v>
      </c>
      <c r="I814" s="23" t="s">
        <v>4682</v>
      </c>
      <c r="J814" s="23" t="s">
        <v>4728</v>
      </c>
      <c r="K814" s="23" t="s">
        <v>4735</v>
      </c>
      <c r="L814">
        <v>1978</v>
      </c>
      <c r="M814" s="15" t="s">
        <v>4707</v>
      </c>
      <c r="N814">
        <v>21</v>
      </c>
      <c r="O814">
        <v>2</v>
      </c>
      <c r="P814" s="21">
        <f>DATEVALUE(N814&amp;"-"&amp;M814&amp;"-"&amp;L814)</f>
        <v>28784</v>
      </c>
      <c r="Q814" s="22">
        <v>6737.98</v>
      </c>
      <c r="R814" s="23" t="s">
        <v>4697</v>
      </c>
      <c r="S814" s="23" t="s">
        <v>4698</v>
      </c>
      <c r="T814" s="23" t="s">
        <v>4699</v>
      </c>
      <c r="U814" s="23">
        <f>DATEDIF(P814, DATE(2023, 6, 8), "Y")</f>
        <v>44</v>
      </c>
      <c r="V814">
        <f>SUM(C814:K814)</f>
        <v>30.43</v>
      </c>
    </row>
    <row r="815" spans="1:22" ht="15.75">
      <c r="A815" s="28" t="s">
        <v>1628</v>
      </c>
      <c r="B815" s="28" t="s">
        <v>1629</v>
      </c>
      <c r="C815" s="23">
        <v>38.380000000000003</v>
      </c>
      <c r="D815" s="23">
        <v>8.26</v>
      </c>
      <c r="E815" s="23" t="s">
        <v>4683</v>
      </c>
      <c r="F815" s="23" t="s">
        <v>4682</v>
      </c>
      <c r="G815" s="23" t="s">
        <v>4682</v>
      </c>
      <c r="H815" s="23">
        <v>2</v>
      </c>
      <c r="I815" s="23" t="s">
        <v>4682</v>
      </c>
      <c r="J815" s="23" t="s">
        <v>4729</v>
      </c>
      <c r="K815" s="23" t="s">
        <v>4735</v>
      </c>
      <c r="L815">
        <v>1968</v>
      </c>
      <c r="M815" s="15" t="s">
        <v>4696</v>
      </c>
      <c r="N815">
        <v>18</v>
      </c>
      <c r="O815">
        <v>0</v>
      </c>
      <c r="P815" s="21">
        <f>DATEVALUE(N815&amp;"-"&amp;M815&amp;"-"&amp;L815)</f>
        <v>25037</v>
      </c>
      <c r="Q815" s="22">
        <v>6738.84</v>
      </c>
      <c r="R815" s="23" t="s">
        <v>4698</v>
      </c>
      <c r="S815" s="23" t="s">
        <v>4701</v>
      </c>
      <c r="T815" s="23" t="s">
        <v>4704</v>
      </c>
      <c r="U815" s="23">
        <f>DATEDIF(P815, DATE(2023, 6, 8), "Y")</f>
        <v>54</v>
      </c>
      <c r="V815">
        <f>SUM(C815:K815)</f>
        <v>48.64</v>
      </c>
    </row>
    <row r="816" spans="1:22" ht="15.75">
      <c r="A816" s="28" t="s">
        <v>1630</v>
      </c>
      <c r="B816" s="28" t="s">
        <v>1631</v>
      </c>
      <c r="C816" s="23">
        <v>33.659999999999997</v>
      </c>
      <c r="D816" s="23">
        <v>5.42</v>
      </c>
      <c r="E816" s="23" t="s">
        <v>4683</v>
      </c>
      <c r="F816" s="23" t="s">
        <v>4682</v>
      </c>
      <c r="G816" s="23" t="s">
        <v>4682</v>
      </c>
      <c r="H816" s="23">
        <v>2</v>
      </c>
      <c r="I816" s="23" t="s">
        <v>4682</v>
      </c>
      <c r="J816" s="23" t="s">
        <v>4729</v>
      </c>
      <c r="K816" s="23" t="s">
        <v>4737</v>
      </c>
      <c r="L816">
        <v>1986</v>
      </c>
      <c r="M816" s="15" t="s">
        <v>4706</v>
      </c>
      <c r="N816">
        <v>7</v>
      </c>
      <c r="O816">
        <v>3</v>
      </c>
      <c r="P816" s="21">
        <f>DATEVALUE(N816&amp;"-"&amp;M816&amp;"-"&amp;L816)</f>
        <v>31631</v>
      </c>
      <c r="Q816" s="22">
        <v>6746.74</v>
      </c>
      <c r="R816" s="23" t="s">
        <v>4698</v>
      </c>
      <c r="S816" s="23" t="s">
        <v>4697</v>
      </c>
      <c r="T816" s="23" t="s">
        <v>4711</v>
      </c>
      <c r="U816" s="23">
        <f>DATEDIF(P816, DATE(2023, 6, 8), "Y")</f>
        <v>36</v>
      </c>
      <c r="V816">
        <f>SUM(C816:K816)</f>
        <v>41.08</v>
      </c>
    </row>
    <row r="817" spans="1:22" ht="15.75">
      <c r="A817" s="28" t="s">
        <v>1632</v>
      </c>
      <c r="B817" s="28" t="s">
        <v>1633</v>
      </c>
      <c r="C817" s="23">
        <v>31.79</v>
      </c>
      <c r="D817" s="23">
        <v>11.33</v>
      </c>
      <c r="E817" s="23" t="s">
        <v>4683</v>
      </c>
      <c r="F817" s="23" t="s">
        <v>4682</v>
      </c>
      <c r="G817" s="23" t="s">
        <v>4684</v>
      </c>
      <c r="H817" s="23">
        <v>1</v>
      </c>
      <c r="I817" s="23" t="s">
        <v>4682</v>
      </c>
      <c r="J817" s="23" t="s">
        <v>4729</v>
      </c>
      <c r="K817" s="23" t="s">
        <v>4735</v>
      </c>
      <c r="L817">
        <v>1986</v>
      </c>
      <c r="M817" s="15" t="s">
        <v>4702</v>
      </c>
      <c r="N817">
        <v>5</v>
      </c>
      <c r="O817">
        <v>3</v>
      </c>
      <c r="P817" s="21">
        <f>DATEVALUE(N817&amp;"-"&amp;M817&amp;"-"&amp;L817)</f>
        <v>31568</v>
      </c>
      <c r="Q817" s="22">
        <v>6748.59</v>
      </c>
      <c r="R817" s="23" t="s">
        <v>4698</v>
      </c>
      <c r="S817" s="23" t="s">
        <v>4701</v>
      </c>
      <c r="T817" s="23" t="s">
        <v>4711</v>
      </c>
      <c r="U817" s="23">
        <f>DATEDIF(P817, DATE(2023, 6, 8), "Y")</f>
        <v>37</v>
      </c>
      <c r="V817">
        <f>SUM(C817:K817)</f>
        <v>44.12</v>
      </c>
    </row>
    <row r="818" spans="1:22" ht="15.75">
      <c r="A818" s="28" t="s">
        <v>1634</v>
      </c>
      <c r="B818" s="28" t="s">
        <v>1635</v>
      </c>
      <c r="C818" s="23">
        <v>29.7</v>
      </c>
      <c r="D818" s="23">
        <v>7.69</v>
      </c>
      <c r="E818" s="23" t="s">
        <v>4683</v>
      </c>
      <c r="F818" s="23" t="s">
        <v>4682</v>
      </c>
      <c r="G818" s="23" t="s">
        <v>4684</v>
      </c>
      <c r="H818" s="23">
        <v>1</v>
      </c>
      <c r="I818" s="23" t="s">
        <v>4682</v>
      </c>
      <c r="J818" s="23" t="s">
        <v>4730</v>
      </c>
      <c r="K818" s="23" t="s">
        <v>4735</v>
      </c>
      <c r="L818">
        <v>1970</v>
      </c>
      <c r="M818" s="15" t="s">
        <v>4702</v>
      </c>
      <c r="N818">
        <v>17</v>
      </c>
      <c r="O818">
        <v>0</v>
      </c>
      <c r="P818" s="21">
        <f>DATEVALUE(N818&amp;"-"&amp;M818&amp;"-"&amp;L818)</f>
        <v>25736</v>
      </c>
      <c r="Q818" s="22">
        <v>6749.63</v>
      </c>
      <c r="R818" s="23" t="s">
        <v>4697</v>
      </c>
      <c r="S818" s="23" t="s">
        <v>4701</v>
      </c>
      <c r="T818" s="23" t="s">
        <v>4699</v>
      </c>
      <c r="U818" s="23">
        <f>DATEDIF(P818, DATE(2023, 6, 8), "Y")</f>
        <v>52</v>
      </c>
      <c r="V818">
        <f>SUM(C818:K818)</f>
        <v>38.39</v>
      </c>
    </row>
    <row r="819" spans="1:22" ht="15.75">
      <c r="A819" s="28" t="s">
        <v>1636</v>
      </c>
      <c r="B819" s="28" t="s">
        <v>1637</v>
      </c>
      <c r="C819" s="23">
        <v>25.46</v>
      </c>
      <c r="D819" s="23">
        <v>8.77</v>
      </c>
      <c r="E819" s="23" t="s">
        <v>4683</v>
      </c>
      <c r="F819" s="23" t="s">
        <v>4682</v>
      </c>
      <c r="G819" s="23" t="s">
        <v>4684</v>
      </c>
      <c r="H819" s="23">
        <v>1</v>
      </c>
      <c r="I819" s="23" t="s">
        <v>4682</v>
      </c>
      <c r="J819" s="23" t="s">
        <v>4730</v>
      </c>
      <c r="K819" s="23" t="s">
        <v>4735</v>
      </c>
      <c r="L819">
        <v>1966</v>
      </c>
      <c r="M819" s="15" t="s">
        <v>4705</v>
      </c>
      <c r="N819">
        <v>9</v>
      </c>
      <c r="O819">
        <v>0</v>
      </c>
      <c r="P819" s="21">
        <f>DATEVALUE(N819&amp;"-"&amp;M819&amp;"-"&amp;L819)</f>
        <v>24450</v>
      </c>
      <c r="Q819" s="22">
        <v>6750.27</v>
      </c>
      <c r="R819" s="23" t="s">
        <v>4698</v>
      </c>
      <c r="S819" s="23" t="s">
        <v>4697</v>
      </c>
      <c r="T819" s="23" t="s">
        <v>4699</v>
      </c>
      <c r="U819" s="23">
        <f>DATEDIF(P819, DATE(2023, 6, 8), "Y")</f>
        <v>56</v>
      </c>
      <c r="V819">
        <f>SUM(C819:K819)</f>
        <v>35.230000000000004</v>
      </c>
    </row>
    <row r="820" spans="1:22" ht="15.75">
      <c r="A820" s="28" t="s">
        <v>1638</v>
      </c>
      <c r="B820" s="28" t="s">
        <v>1639</v>
      </c>
      <c r="C820" s="23">
        <v>39.14</v>
      </c>
      <c r="D820" s="23">
        <v>4.91</v>
      </c>
      <c r="E820" s="23" t="s">
        <v>4682</v>
      </c>
      <c r="F820" s="23" t="s">
        <v>4683</v>
      </c>
      <c r="G820" s="23" t="s">
        <v>4682</v>
      </c>
      <c r="H820" s="23">
        <v>1</v>
      </c>
      <c r="I820" s="23" t="s">
        <v>4682</v>
      </c>
      <c r="J820" s="23" t="s">
        <v>4729</v>
      </c>
      <c r="K820" s="23" t="s">
        <v>4737</v>
      </c>
      <c r="L820">
        <v>1988</v>
      </c>
      <c r="M820" s="15" t="s">
        <v>4707</v>
      </c>
      <c r="N820">
        <v>10</v>
      </c>
      <c r="O820">
        <v>3</v>
      </c>
      <c r="P820" s="21">
        <f>DATEVALUE(N820&amp;"-"&amp;M820&amp;"-"&amp;L820)</f>
        <v>32426</v>
      </c>
      <c r="Q820" s="22">
        <v>6753.04</v>
      </c>
      <c r="R820" s="23" t="s">
        <v>4697</v>
      </c>
      <c r="S820" s="23" t="s">
        <v>4697</v>
      </c>
      <c r="T820" s="23" t="s">
        <v>4714</v>
      </c>
      <c r="U820" s="23">
        <f>DATEDIF(P820, DATE(2023, 6, 8), "Y")</f>
        <v>34</v>
      </c>
      <c r="V820">
        <f>SUM(C820:K820)</f>
        <v>45.05</v>
      </c>
    </row>
    <row r="821" spans="1:22" ht="15.75">
      <c r="A821" s="28" t="s">
        <v>1640</v>
      </c>
      <c r="B821" s="28" t="s">
        <v>1641</v>
      </c>
      <c r="C821" s="23">
        <v>41.2</v>
      </c>
      <c r="D821" s="23">
        <v>4.95</v>
      </c>
      <c r="E821" s="23" t="s">
        <v>4682</v>
      </c>
      <c r="F821" s="23" t="s">
        <v>4682</v>
      </c>
      <c r="G821" s="23" t="s">
        <v>4682</v>
      </c>
      <c r="H821" s="23">
        <v>1</v>
      </c>
      <c r="I821" s="23" t="s">
        <v>4682</v>
      </c>
      <c r="J821" s="23" t="s">
        <v>4729</v>
      </c>
      <c r="K821" s="23" t="s">
        <v>4737</v>
      </c>
      <c r="L821">
        <v>1981</v>
      </c>
      <c r="M821" s="15" t="s">
        <v>4703</v>
      </c>
      <c r="N821">
        <v>21</v>
      </c>
      <c r="O821">
        <v>1</v>
      </c>
      <c r="P821" s="21">
        <f>DATEVALUE(N821&amp;"-"&amp;M821&amp;"-"&amp;L821)</f>
        <v>29850</v>
      </c>
      <c r="Q821" s="22">
        <v>6770.19</v>
      </c>
      <c r="R821" s="23" t="s">
        <v>4697</v>
      </c>
      <c r="S821" s="23" t="s">
        <v>4698</v>
      </c>
      <c r="T821" s="23" t="s">
        <v>4699</v>
      </c>
      <c r="U821" s="23">
        <f>DATEDIF(P821, DATE(2023, 6, 8), "Y")</f>
        <v>41</v>
      </c>
      <c r="V821">
        <f>SUM(C821:K821)</f>
        <v>47.150000000000006</v>
      </c>
    </row>
    <row r="822" spans="1:22" ht="15.75">
      <c r="A822" s="28" t="s">
        <v>1642</v>
      </c>
      <c r="B822" s="28" t="s">
        <v>1643</v>
      </c>
      <c r="C822" s="23">
        <v>28.81</v>
      </c>
      <c r="D822" s="23">
        <v>10.8</v>
      </c>
      <c r="E822" s="23" t="s">
        <v>4683</v>
      </c>
      <c r="F822" s="23" t="s">
        <v>4682</v>
      </c>
      <c r="G822" s="23" t="s">
        <v>4684</v>
      </c>
      <c r="H822" s="23">
        <v>1</v>
      </c>
      <c r="I822" s="23" t="s">
        <v>4682</v>
      </c>
      <c r="J822" s="23" t="s">
        <v>4730</v>
      </c>
      <c r="K822" s="23" t="s">
        <v>4735</v>
      </c>
      <c r="L822">
        <v>1981</v>
      </c>
      <c r="M822" s="15" t="s">
        <v>4703</v>
      </c>
      <c r="N822">
        <v>3</v>
      </c>
      <c r="O822">
        <v>1</v>
      </c>
      <c r="P822" s="21">
        <f>DATEVALUE(N822&amp;"-"&amp;M822&amp;"-"&amp;L822)</f>
        <v>29832</v>
      </c>
      <c r="Q822" s="22">
        <v>6775.96</v>
      </c>
      <c r="R822" s="23" t="s">
        <v>4697</v>
      </c>
      <c r="S822" s="23" t="s">
        <v>4698</v>
      </c>
      <c r="T822" s="23" t="s">
        <v>4708</v>
      </c>
      <c r="U822" s="23">
        <f>DATEDIF(P822, DATE(2023, 6, 8), "Y")</f>
        <v>41</v>
      </c>
      <c r="V822">
        <f>SUM(C822:K822)</f>
        <v>40.61</v>
      </c>
    </row>
    <row r="823" spans="1:22" ht="15.75">
      <c r="A823" s="28" t="s">
        <v>1644</v>
      </c>
      <c r="B823" s="28" t="s">
        <v>1645</v>
      </c>
      <c r="C823" s="23">
        <v>37.409999999999997</v>
      </c>
      <c r="D823" s="23">
        <v>7.21</v>
      </c>
      <c r="E823" s="23" t="s">
        <v>4682</v>
      </c>
      <c r="F823" s="23" t="s">
        <v>4682</v>
      </c>
      <c r="G823" s="23" t="s">
        <v>4682</v>
      </c>
      <c r="H823" s="23">
        <v>2</v>
      </c>
      <c r="I823" s="23" t="s">
        <v>4682</v>
      </c>
      <c r="J823" s="23" t="s">
        <v>4729</v>
      </c>
      <c r="K823" s="23" t="s">
        <v>4735</v>
      </c>
      <c r="L823">
        <v>1981</v>
      </c>
      <c r="M823" s="15" t="s">
        <v>4707</v>
      </c>
      <c r="N823">
        <v>8</v>
      </c>
      <c r="O823">
        <v>1</v>
      </c>
      <c r="P823" s="21">
        <f>DATEVALUE(N823&amp;"-"&amp;M823&amp;"-"&amp;L823)</f>
        <v>29867</v>
      </c>
      <c r="Q823" s="22">
        <v>6781.35</v>
      </c>
      <c r="R823" s="23" t="s">
        <v>4697</v>
      </c>
      <c r="S823" s="23" t="s">
        <v>4701</v>
      </c>
      <c r="T823" s="23" t="s">
        <v>4699</v>
      </c>
      <c r="U823" s="23">
        <f>DATEDIF(P823, DATE(2023, 6, 8), "Y")</f>
        <v>41</v>
      </c>
      <c r="V823">
        <f>SUM(C823:K823)</f>
        <v>46.62</v>
      </c>
    </row>
    <row r="824" spans="1:22" ht="15.75">
      <c r="A824" s="28" t="s">
        <v>1646</v>
      </c>
      <c r="B824" s="28" t="s">
        <v>1647</v>
      </c>
      <c r="C824" s="23">
        <v>52.54</v>
      </c>
      <c r="D824" s="23">
        <v>5.12</v>
      </c>
      <c r="E824" s="23" t="s">
        <v>4682</v>
      </c>
      <c r="F824" s="23" t="s">
        <v>4682</v>
      </c>
      <c r="G824" s="23" t="s">
        <v>4684</v>
      </c>
      <c r="H824" s="23">
        <v>1</v>
      </c>
      <c r="I824" s="23" t="s">
        <v>4682</v>
      </c>
      <c r="J824" s="23" t="s">
        <v>4729</v>
      </c>
      <c r="K824" s="23" t="s">
        <v>4737</v>
      </c>
      <c r="L824">
        <v>1980</v>
      </c>
      <c r="M824" s="15" t="s">
        <v>4700</v>
      </c>
      <c r="N824">
        <v>23</v>
      </c>
      <c r="O824">
        <v>2</v>
      </c>
      <c r="P824" s="21">
        <f>DATEVALUE(N824&amp;"-"&amp;M824&amp;"-"&amp;L824)</f>
        <v>29548</v>
      </c>
      <c r="Q824" s="22">
        <v>6781.52</v>
      </c>
      <c r="R824" s="23" t="s">
        <v>4697</v>
      </c>
      <c r="S824" s="23" t="s">
        <v>4697</v>
      </c>
      <c r="T824" s="23" t="s">
        <v>4699</v>
      </c>
      <c r="U824" s="23">
        <f>DATEDIF(P824, DATE(2023, 6, 8), "Y")</f>
        <v>42</v>
      </c>
      <c r="V824">
        <f>SUM(C824:K824)</f>
        <v>58.66</v>
      </c>
    </row>
    <row r="825" spans="1:22" ht="15.75">
      <c r="A825" s="28" t="s">
        <v>1648</v>
      </c>
      <c r="B825" s="28" t="s">
        <v>1649</v>
      </c>
      <c r="C825" s="23">
        <v>17.29</v>
      </c>
      <c r="D825" s="23">
        <v>4.62</v>
      </c>
      <c r="E825" s="23" t="s">
        <v>4682</v>
      </c>
      <c r="F825" s="23" t="s">
        <v>4683</v>
      </c>
      <c r="G825" s="23" t="s">
        <v>4682</v>
      </c>
      <c r="H825" s="23">
        <v>1</v>
      </c>
      <c r="I825" s="23" t="s">
        <v>4683</v>
      </c>
      <c r="J825" s="23" t="s">
        <v>4731</v>
      </c>
      <c r="K825" s="23" t="s">
        <v>4737</v>
      </c>
      <c r="L825">
        <v>1985</v>
      </c>
      <c r="M825" s="15" t="s">
        <v>4705</v>
      </c>
      <c r="N825">
        <v>24</v>
      </c>
      <c r="O825">
        <v>3</v>
      </c>
      <c r="P825" s="21">
        <f>DATEVALUE(N825&amp;"-"&amp;M825&amp;"-"&amp;L825)</f>
        <v>31405</v>
      </c>
      <c r="Q825" s="22">
        <v>6796.86</v>
      </c>
      <c r="R825" s="23" t="s">
        <v>4698</v>
      </c>
      <c r="S825" s="23" t="s">
        <v>4698</v>
      </c>
      <c r="T825" s="23" t="s">
        <v>4704</v>
      </c>
      <c r="U825" s="23">
        <f>DATEDIF(P825, DATE(2023, 6, 8), "Y")</f>
        <v>37</v>
      </c>
      <c r="V825">
        <f>SUM(C825:K825)</f>
        <v>22.91</v>
      </c>
    </row>
    <row r="826" spans="1:22" ht="15.75">
      <c r="A826" s="28" t="s">
        <v>1650</v>
      </c>
      <c r="B826" s="28" t="s">
        <v>1651</v>
      </c>
      <c r="C826" s="23">
        <v>31.74</v>
      </c>
      <c r="D826" s="23">
        <v>7.68</v>
      </c>
      <c r="E826" s="23" t="s">
        <v>4683</v>
      </c>
      <c r="F826" s="23" t="s">
        <v>4682</v>
      </c>
      <c r="G826" s="23" t="s">
        <v>4682</v>
      </c>
      <c r="H826" s="23">
        <v>0</v>
      </c>
      <c r="I826" s="23" t="s">
        <v>4682</v>
      </c>
      <c r="J826" s="23" t="s">
        <v>4729</v>
      </c>
      <c r="K826" s="23" t="s">
        <v>4735</v>
      </c>
      <c r="L826">
        <v>1991</v>
      </c>
      <c r="M826" s="15" t="s">
        <v>4702</v>
      </c>
      <c r="N826">
        <v>29</v>
      </c>
      <c r="O826">
        <v>5</v>
      </c>
      <c r="P826" s="21">
        <f>DATEVALUE(N826&amp;"-"&amp;M826&amp;"-"&amp;L826)</f>
        <v>33418</v>
      </c>
      <c r="Q826" s="22">
        <v>6799.46</v>
      </c>
      <c r="R826" s="23" t="s">
        <v>4701</v>
      </c>
      <c r="S826" s="23" t="s">
        <v>4697</v>
      </c>
      <c r="T826" s="23" t="s">
        <v>4716</v>
      </c>
      <c r="U826" s="23">
        <f>DATEDIF(P826, DATE(2023, 6, 8), "Y")</f>
        <v>31</v>
      </c>
      <c r="V826">
        <f>SUM(C826:K826)</f>
        <v>39.42</v>
      </c>
    </row>
    <row r="827" spans="1:22" ht="15.75">
      <c r="A827" s="28" t="s">
        <v>1652</v>
      </c>
      <c r="B827" s="28" t="s">
        <v>1653</v>
      </c>
      <c r="C827" s="23">
        <v>26.504999999999999</v>
      </c>
      <c r="D827" s="23">
        <v>6.79</v>
      </c>
      <c r="E827" s="23" t="s">
        <v>4683</v>
      </c>
      <c r="F827" s="23" t="s">
        <v>4682</v>
      </c>
      <c r="G827" s="23" t="s">
        <v>4684</v>
      </c>
      <c r="H827" s="23">
        <v>1</v>
      </c>
      <c r="I827" s="23" t="s">
        <v>4682</v>
      </c>
      <c r="J827" s="23" t="s">
        <v>4730</v>
      </c>
      <c r="K827" s="23" t="s">
        <v>4735</v>
      </c>
      <c r="L827">
        <v>1975</v>
      </c>
      <c r="M827" s="15" t="s">
        <v>4706</v>
      </c>
      <c r="N827">
        <v>17</v>
      </c>
      <c r="O827">
        <v>1</v>
      </c>
      <c r="P827" s="21">
        <f>DATEVALUE(N827&amp;"-"&amp;M827&amp;"-"&amp;L827)</f>
        <v>27623</v>
      </c>
      <c r="Q827" s="22">
        <v>6809.46</v>
      </c>
      <c r="R827" s="23" t="s">
        <v>4697</v>
      </c>
      <c r="S827" s="23" t="s">
        <v>4701</v>
      </c>
      <c r="T827" s="23" t="s">
        <v>4704</v>
      </c>
      <c r="U827" s="23">
        <f>DATEDIF(P827, DATE(2023, 6, 8), "Y")</f>
        <v>47</v>
      </c>
      <c r="V827">
        <f>SUM(C827:K827)</f>
        <v>34.295000000000002</v>
      </c>
    </row>
    <row r="828" spans="1:22" ht="15.75">
      <c r="A828" s="28" t="s">
        <v>1654</v>
      </c>
      <c r="B828" s="28" t="s">
        <v>1655</v>
      </c>
      <c r="C828" s="23">
        <v>36.479999999999997</v>
      </c>
      <c r="D828" s="23">
        <v>11.09</v>
      </c>
      <c r="E828" s="23" t="s">
        <v>4682</v>
      </c>
      <c r="F828" s="23" t="s">
        <v>4682</v>
      </c>
      <c r="G828" s="23" t="s">
        <v>4682</v>
      </c>
      <c r="H828" s="23">
        <v>0</v>
      </c>
      <c r="I828" s="23" t="s">
        <v>4682</v>
      </c>
      <c r="J828" s="23" t="s">
        <v>4729</v>
      </c>
      <c r="K828" s="23" t="s">
        <v>4735</v>
      </c>
      <c r="L828">
        <v>1994</v>
      </c>
      <c r="M828" s="15" t="s">
        <v>4696</v>
      </c>
      <c r="N828">
        <v>8</v>
      </c>
      <c r="O828">
        <v>0</v>
      </c>
      <c r="P828" s="21">
        <f>DATEVALUE(N828&amp;"-"&amp;M828&amp;"-"&amp;L828)</f>
        <v>34523</v>
      </c>
      <c r="Q828" s="22">
        <v>6827.69</v>
      </c>
      <c r="R828" s="23" t="s">
        <v>4697</v>
      </c>
      <c r="S828" s="23" t="s">
        <v>4697</v>
      </c>
      <c r="T828" s="23" t="s">
        <v>4717</v>
      </c>
      <c r="U828" s="23">
        <f>DATEDIF(P828, DATE(2023, 6, 8), "Y")</f>
        <v>28</v>
      </c>
      <c r="V828">
        <f>SUM(C828:K828)</f>
        <v>47.569999999999993</v>
      </c>
    </row>
    <row r="829" spans="1:22" ht="15.75">
      <c r="A829" s="28" t="s">
        <v>1656</v>
      </c>
      <c r="B829" s="28" t="s">
        <v>1657</v>
      </c>
      <c r="C829" s="23">
        <v>39.159999999999997</v>
      </c>
      <c r="D829" s="23">
        <v>5.24</v>
      </c>
      <c r="E829" s="23" t="s">
        <v>4683</v>
      </c>
      <c r="F829" s="23" t="s">
        <v>4682</v>
      </c>
      <c r="G829" s="23" t="s">
        <v>4684</v>
      </c>
      <c r="H829" s="23">
        <v>1</v>
      </c>
      <c r="I829" s="23" t="s">
        <v>4682</v>
      </c>
      <c r="J829" s="23" t="s">
        <v>4729</v>
      </c>
      <c r="K829" s="23" t="s">
        <v>4737</v>
      </c>
      <c r="L829">
        <v>1979</v>
      </c>
      <c r="M829" s="15" t="s">
        <v>4696</v>
      </c>
      <c r="N829">
        <v>15</v>
      </c>
      <c r="O829">
        <v>0</v>
      </c>
      <c r="P829" s="21">
        <f>DATEVALUE(N829&amp;"-"&amp;M829&amp;"-"&amp;L829)</f>
        <v>29051</v>
      </c>
      <c r="Q829" s="22">
        <v>6837.37</v>
      </c>
      <c r="R829" s="23" t="s">
        <v>4698</v>
      </c>
      <c r="S829" s="23" t="s">
        <v>4701</v>
      </c>
      <c r="T829" s="23" t="s">
        <v>4711</v>
      </c>
      <c r="U829" s="23">
        <f>DATEDIF(P829, DATE(2023, 6, 8), "Y")</f>
        <v>43</v>
      </c>
      <c r="V829">
        <f>SUM(C829:K829)</f>
        <v>45.4</v>
      </c>
    </row>
    <row r="830" spans="1:22" ht="15.75">
      <c r="A830" s="28" t="s">
        <v>1658</v>
      </c>
      <c r="B830" s="28" t="s">
        <v>1659</v>
      </c>
      <c r="C830" s="23">
        <v>28.22</v>
      </c>
      <c r="D830" s="23">
        <v>7.51</v>
      </c>
      <c r="E830" s="23" t="s">
        <v>4683</v>
      </c>
      <c r="F830" s="23" t="s">
        <v>4682</v>
      </c>
      <c r="G830" s="23" t="s">
        <v>4684</v>
      </c>
      <c r="H830" s="23">
        <v>1</v>
      </c>
      <c r="I830" s="23" t="s">
        <v>4682</v>
      </c>
      <c r="J830" s="23" t="s">
        <v>4730</v>
      </c>
      <c r="K830" s="23" t="s">
        <v>4735</v>
      </c>
      <c r="L830">
        <v>2000</v>
      </c>
      <c r="M830" s="15" t="s">
        <v>4700</v>
      </c>
      <c r="N830">
        <v>30</v>
      </c>
      <c r="O830">
        <v>0</v>
      </c>
      <c r="P830" s="21">
        <f>DATEVALUE(N830&amp;"-"&amp;M830&amp;"-"&amp;L830)</f>
        <v>36860</v>
      </c>
      <c r="Q830" s="22">
        <v>6842.28</v>
      </c>
      <c r="R830" s="23" t="s">
        <v>4697</v>
      </c>
      <c r="S830" s="23" t="s">
        <v>4701</v>
      </c>
      <c r="T830" s="23" t="s">
        <v>4704</v>
      </c>
      <c r="U830" s="23">
        <f>DATEDIF(P830, DATE(2023, 6, 8), "Y")</f>
        <v>22</v>
      </c>
      <c r="V830">
        <f>SUM(C830:K830)</f>
        <v>36.729999999999997</v>
      </c>
    </row>
    <row r="831" spans="1:22" ht="15.75">
      <c r="A831" s="28" t="s">
        <v>1660</v>
      </c>
      <c r="B831" s="28" t="s">
        <v>1661</v>
      </c>
      <c r="C831" s="23">
        <v>35</v>
      </c>
      <c r="D831" s="23">
        <v>4.13</v>
      </c>
      <c r="E831" s="23" t="s">
        <v>4682</v>
      </c>
      <c r="F831" s="23" t="s">
        <v>4682</v>
      </c>
      <c r="G831" s="23" t="s">
        <v>4682</v>
      </c>
      <c r="H831" s="23">
        <v>2</v>
      </c>
      <c r="I831" s="23" t="s">
        <v>4682</v>
      </c>
      <c r="J831" s="23" t="s">
        <v>4729</v>
      </c>
      <c r="K831" s="23" t="s">
        <v>4737</v>
      </c>
      <c r="L831">
        <v>1977</v>
      </c>
      <c r="M831" s="15" t="s">
        <v>4702</v>
      </c>
      <c r="N831">
        <v>15</v>
      </c>
      <c r="O831">
        <v>2</v>
      </c>
      <c r="P831" s="21">
        <f>DATEVALUE(N831&amp;"-"&amp;M831&amp;"-"&amp;L831)</f>
        <v>28291</v>
      </c>
      <c r="Q831" s="22">
        <v>6843.17</v>
      </c>
      <c r="R831" s="23" t="s">
        <v>4697</v>
      </c>
      <c r="S831" s="23" t="s">
        <v>4701</v>
      </c>
      <c r="T831" s="23" t="s">
        <v>4699</v>
      </c>
      <c r="U831" s="23">
        <f>DATEDIF(P831, DATE(2023, 6, 8), "Y")</f>
        <v>45</v>
      </c>
      <c r="V831">
        <f>SUM(C831:K831)</f>
        <v>41.13</v>
      </c>
    </row>
    <row r="832" spans="1:22" ht="15.75">
      <c r="A832" s="28" t="s">
        <v>1662</v>
      </c>
      <c r="B832" s="28" t="s">
        <v>1663</v>
      </c>
      <c r="C832" s="23">
        <v>36.24</v>
      </c>
      <c r="D832" s="23">
        <v>8.3800000000000008</v>
      </c>
      <c r="E832" s="23" t="s">
        <v>4683</v>
      </c>
      <c r="F832" s="23" t="s">
        <v>4682</v>
      </c>
      <c r="G832" s="23" t="s">
        <v>4682</v>
      </c>
      <c r="H832" s="23">
        <v>1</v>
      </c>
      <c r="I832" s="23" t="s">
        <v>4682</v>
      </c>
      <c r="J832" s="23" t="s">
        <v>4729</v>
      </c>
      <c r="K832" s="23" t="s">
        <v>4735</v>
      </c>
      <c r="L832">
        <v>1979</v>
      </c>
      <c r="M832" s="15" t="s">
        <v>4700</v>
      </c>
      <c r="N832">
        <v>4</v>
      </c>
      <c r="O832">
        <v>1</v>
      </c>
      <c r="P832" s="21">
        <f>DATEVALUE(N832&amp;"-"&amp;M832&amp;"-"&amp;L832)</f>
        <v>29163</v>
      </c>
      <c r="Q832" s="22">
        <v>6849.03</v>
      </c>
      <c r="R832" s="23" t="s">
        <v>4697</v>
      </c>
      <c r="S832" s="23" t="s">
        <v>4697</v>
      </c>
      <c r="T832" s="23" t="s">
        <v>4708</v>
      </c>
      <c r="U832" s="23">
        <f>DATEDIF(P832, DATE(2023, 6, 8), "Y")</f>
        <v>43</v>
      </c>
      <c r="V832">
        <f>SUM(C832:K832)</f>
        <v>45.620000000000005</v>
      </c>
    </row>
    <row r="833" spans="1:22" ht="15.75">
      <c r="A833" s="28" t="s">
        <v>1664</v>
      </c>
      <c r="B833" s="28" t="s">
        <v>1665</v>
      </c>
      <c r="C833" s="23">
        <v>36.954999999999998</v>
      </c>
      <c r="D833" s="23">
        <v>8.07</v>
      </c>
      <c r="E833" s="23" t="s">
        <v>4682</v>
      </c>
      <c r="F833" s="23" t="s">
        <v>4682</v>
      </c>
      <c r="G833" s="23" t="s">
        <v>4682</v>
      </c>
      <c r="H833" s="23">
        <v>0</v>
      </c>
      <c r="I833" s="23" t="s">
        <v>4682</v>
      </c>
      <c r="J833" s="23" t="s">
        <v>4729</v>
      </c>
      <c r="K833" s="23" t="s">
        <v>4735</v>
      </c>
      <c r="L833">
        <v>1981</v>
      </c>
      <c r="M833" s="15" t="s">
        <v>4702</v>
      </c>
      <c r="N833">
        <v>19</v>
      </c>
      <c r="O833">
        <v>1</v>
      </c>
      <c r="P833" s="21">
        <f>DATEVALUE(N833&amp;"-"&amp;M833&amp;"-"&amp;L833)</f>
        <v>29756</v>
      </c>
      <c r="Q833" s="22">
        <v>6858.48</v>
      </c>
      <c r="R833" s="23" t="s">
        <v>4697</v>
      </c>
      <c r="S833" s="23" t="s">
        <v>4697</v>
      </c>
      <c r="T833" s="23" t="s">
        <v>4710</v>
      </c>
      <c r="U833" s="23">
        <f>DATEDIF(P833, DATE(2023, 6, 8), "Y")</f>
        <v>41</v>
      </c>
      <c r="V833">
        <f>SUM(C833:K833)</f>
        <v>45.024999999999999</v>
      </c>
    </row>
    <row r="834" spans="1:22" ht="15.75">
      <c r="A834" s="28" t="s">
        <v>1666</v>
      </c>
      <c r="B834" s="28" t="s">
        <v>1667</v>
      </c>
      <c r="C834" s="23">
        <v>29.64</v>
      </c>
      <c r="D834" s="23">
        <v>8.9499999999999993</v>
      </c>
      <c r="E834" s="23" t="s">
        <v>4682</v>
      </c>
      <c r="F834" s="23" t="s">
        <v>4682</v>
      </c>
      <c r="G834" s="23" t="s">
        <v>4682</v>
      </c>
      <c r="H834" s="23">
        <v>0</v>
      </c>
      <c r="I834" s="23" t="s">
        <v>4682</v>
      </c>
      <c r="J834" s="23" t="s">
        <v>4730</v>
      </c>
      <c r="K834" s="23" t="s">
        <v>4735</v>
      </c>
      <c r="L834">
        <v>1978</v>
      </c>
      <c r="M834" s="15" t="s">
        <v>4706</v>
      </c>
      <c r="N834">
        <v>5</v>
      </c>
      <c r="O834">
        <v>2</v>
      </c>
      <c r="P834" s="21">
        <f>DATEVALUE(N834&amp;"-"&amp;M834&amp;"-"&amp;L834)</f>
        <v>28707</v>
      </c>
      <c r="Q834" s="22">
        <v>6863.49</v>
      </c>
      <c r="R834" s="23" t="s">
        <v>4697</v>
      </c>
      <c r="S834" s="23" t="s">
        <v>4701</v>
      </c>
      <c r="T834" s="23" t="s">
        <v>4699</v>
      </c>
      <c r="U834" s="23">
        <f>DATEDIF(P834, DATE(2023, 6, 8), "Y")</f>
        <v>44</v>
      </c>
      <c r="V834">
        <f>SUM(C834:K834)</f>
        <v>38.590000000000003</v>
      </c>
    </row>
    <row r="835" spans="1:22" ht="15.75">
      <c r="A835" s="28" t="s">
        <v>1668</v>
      </c>
      <c r="B835" s="28" t="s">
        <v>1669</v>
      </c>
      <c r="C835" s="23">
        <v>42.74</v>
      </c>
      <c r="D835" s="23">
        <v>6.31</v>
      </c>
      <c r="E835" s="23" t="s">
        <v>4683</v>
      </c>
      <c r="F835" s="23" t="s">
        <v>4682</v>
      </c>
      <c r="G835" s="23" t="s">
        <v>4682</v>
      </c>
      <c r="H835" s="23">
        <v>1</v>
      </c>
      <c r="I835" s="23" t="s">
        <v>4682</v>
      </c>
      <c r="J835" s="23" t="s">
        <v>4729</v>
      </c>
      <c r="K835" s="23" t="s">
        <v>4736</v>
      </c>
      <c r="L835">
        <v>1969</v>
      </c>
      <c r="M835" s="15" t="s">
        <v>4707</v>
      </c>
      <c r="N835">
        <v>23</v>
      </c>
      <c r="O835">
        <v>0</v>
      </c>
      <c r="P835" s="21">
        <f>DATEVALUE(N835&amp;"-"&amp;M835&amp;"-"&amp;L835)</f>
        <v>25499</v>
      </c>
      <c r="Q835" s="22">
        <v>6868.39</v>
      </c>
      <c r="R835" s="23" t="s">
        <v>4697</v>
      </c>
      <c r="S835" s="23" t="s">
        <v>4697</v>
      </c>
      <c r="T835" s="23" t="s">
        <v>4699</v>
      </c>
      <c r="U835" s="23">
        <f>DATEDIF(P835, DATE(2023, 6, 8), "Y")</f>
        <v>53</v>
      </c>
      <c r="V835">
        <f>SUM(C835:K835)</f>
        <v>50.050000000000004</v>
      </c>
    </row>
    <row r="836" spans="1:22" ht="15.75">
      <c r="A836" s="28" t="s">
        <v>1670</v>
      </c>
      <c r="B836" s="28" t="s">
        <v>1671</v>
      </c>
      <c r="C836" s="23">
        <v>36.130000000000003</v>
      </c>
      <c r="D836" s="23">
        <v>7.19</v>
      </c>
      <c r="E836" s="23" t="s">
        <v>4683</v>
      </c>
      <c r="F836" s="23" t="s">
        <v>4682</v>
      </c>
      <c r="G836" s="23" t="s">
        <v>4682</v>
      </c>
      <c r="H836" s="23">
        <v>2</v>
      </c>
      <c r="I836" s="23" t="s">
        <v>4682</v>
      </c>
      <c r="J836" s="23" t="s">
        <v>4729</v>
      </c>
      <c r="K836" s="23" t="s">
        <v>4735</v>
      </c>
      <c r="L836">
        <v>1981</v>
      </c>
      <c r="M836" s="15" t="s">
        <v>4702</v>
      </c>
      <c r="N836">
        <v>23</v>
      </c>
      <c r="O836">
        <v>2</v>
      </c>
      <c r="P836" s="21">
        <f>DATEVALUE(N836&amp;"-"&amp;M836&amp;"-"&amp;L836)</f>
        <v>29760</v>
      </c>
      <c r="Q836" s="22">
        <v>6875.96</v>
      </c>
      <c r="R836" s="23" t="s">
        <v>4697</v>
      </c>
      <c r="S836" s="23" t="s">
        <v>4697</v>
      </c>
      <c r="T836" s="23" t="s">
        <v>4708</v>
      </c>
      <c r="U836" s="23">
        <f>DATEDIF(P836, DATE(2023, 6, 8), "Y")</f>
        <v>41</v>
      </c>
      <c r="V836">
        <f>SUM(C836:K836)</f>
        <v>45.32</v>
      </c>
    </row>
    <row r="837" spans="1:22" ht="15.75">
      <c r="A837" s="28" t="s">
        <v>1672</v>
      </c>
      <c r="B837" s="28" t="s">
        <v>1673</v>
      </c>
      <c r="C837" s="23">
        <v>31.55</v>
      </c>
      <c r="D837" s="23">
        <v>6.11</v>
      </c>
      <c r="E837" s="23" t="s">
        <v>4683</v>
      </c>
      <c r="F837" s="23" t="s">
        <v>4682</v>
      </c>
      <c r="G837" s="23" t="s">
        <v>4682</v>
      </c>
      <c r="H837" s="23">
        <v>1</v>
      </c>
      <c r="I837" s="23" t="s">
        <v>4682</v>
      </c>
      <c r="J837" s="23" t="s">
        <v>4729</v>
      </c>
      <c r="K837" s="23" t="s">
        <v>4736</v>
      </c>
      <c r="L837">
        <v>2004</v>
      </c>
      <c r="M837" s="15" t="s">
        <v>4705</v>
      </c>
      <c r="N837">
        <v>24</v>
      </c>
      <c r="O837">
        <v>0</v>
      </c>
      <c r="P837" s="21">
        <f>DATEVALUE(N837&amp;"-"&amp;M837&amp;"-"&amp;L837)</f>
        <v>38345</v>
      </c>
      <c r="Q837" s="22">
        <v>6876.53</v>
      </c>
      <c r="R837" s="23" t="s">
        <v>4697</v>
      </c>
      <c r="S837" s="23" t="s">
        <v>4701</v>
      </c>
      <c r="T837" s="23" t="s">
        <v>4704</v>
      </c>
      <c r="U837" s="23">
        <f>DATEDIF(P837, DATE(2023, 6, 8), "Y")</f>
        <v>18</v>
      </c>
      <c r="V837">
        <f>SUM(C837:K837)</f>
        <v>38.660000000000004</v>
      </c>
    </row>
    <row r="838" spans="1:22" ht="15.75">
      <c r="A838" s="28" t="s">
        <v>1674</v>
      </c>
      <c r="B838" s="28" t="s">
        <v>1675</v>
      </c>
      <c r="C838" s="23">
        <v>52.75</v>
      </c>
      <c r="D838" s="23">
        <v>6.02</v>
      </c>
      <c r="E838" s="23" t="s">
        <v>4682</v>
      </c>
      <c r="F838" s="23" t="s">
        <v>4682</v>
      </c>
      <c r="G838" s="23" t="s">
        <v>4682</v>
      </c>
      <c r="H838" s="23">
        <v>1</v>
      </c>
      <c r="I838" s="23" t="s">
        <v>4682</v>
      </c>
      <c r="J838" s="23" t="s">
        <v>4729</v>
      </c>
      <c r="K838" s="23" t="s">
        <v>4736</v>
      </c>
      <c r="L838">
        <v>1985</v>
      </c>
      <c r="M838" s="15" t="s">
        <v>4703</v>
      </c>
      <c r="N838">
        <v>10</v>
      </c>
      <c r="O838">
        <v>2</v>
      </c>
      <c r="P838" s="21">
        <f>DATEVALUE(N838&amp;"-"&amp;M838&amp;"-"&amp;L838)</f>
        <v>31300</v>
      </c>
      <c r="Q838" s="22">
        <v>6877.98</v>
      </c>
      <c r="R838" s="23" t="s">
        <v>4697</v>
      </c>
      <c r="S838" s="23" t="s">
        <v>4701</v>
      </c>
      <c r="T838" s="23" t="s">
        <v>4714</v>
      </c>
      <c r="U838" s="23">
        <f>DATEDIF(P838, DATE(2023, 6, 8), "Y")</f>
        <v>37</v>
      </c>
      <c r="V838">
        <f>SUM(C838:K838)</f>
        <v>59.769999999999996</v>
      </c>
    </row>
    <row r="839" spans="1:22" ht="15.75">
      <c r="A839" s="28" t="s">
        <v>1676</v>
      </c>
      <c r="B839" s="28" t="s">
        <v>1677</v>
      </c>
      <c r="C839" s="23">
        <v>36.67</v>
      </c>
      <c r="D839" s="23">
        <v>11.86</v>
      </c>
      <c r="E839" s="23" t="s">
        <v>4682</v>
      </c>
      <c r="F839" s="23" t="s">
        <v>4682</v>
      </c>
      <c r="G839" s="23" t="s">
        <v>4682</v>
      </c>
      <c r="H839" s="23">
        <v>0</v>
      </c>
      <c r="I839" s="23" t="s">
        <v>4682</v>
      </c>
      <c r="J839" s="23" t="s">
        <v>4729</v>
      </c>
      <c r="K839" s="23" t="s">
        <v>4735</v>
      </c>
      <c r="L839">
        <v>1989</v>
      </c>
      <c r="M839" s="15" t="s">
        <v>4705</v>
      </c>
      <c r="N839">
        <v>21</v>
      </c>
      <c r="O839">
        <v>3</v>
      </c>
      <c r="P839" s="21">
        <f>DATEVALUE(N839&amp;"-"&amp;M839&amp;"-"&amp;L839)</f>
        <v>32863</v>
      </c>
      <c r="Q839" s="22">
        <v>6895.19</v>
      </c>
      <c r="R839" s="23" t="s">
        <v>4697</v>
      </c>
      <c r="S839" s="23" t="s">
        <v>4698</v>
      </c>
      <c r="T839" s="23" t="s">
        <v>4714</v>
      </c>
      <c r="U839" s="23">
        <f>DATEDIF(P839, DATE(2023, 6, 8), "Y")</f>
        <v>33</v>
      </c>
      <c r="V839">
        <f>SUM(C839:K839)</f>
        <v>48.53</v>
      </c>
    </row>
    <row r="840" spans="1:22" ht="15.75">
      <c r="A840" s="28" t="s">
        <v>1678</v>
      </c>
      <c r="B840" s="28" t="s">
        <v>1679</v>
      </c>
      <c r="C840" s="23">
        <v>38.06</v>
      </c>
      <c r="D840" s="23">
        <v>8.25</v>
      </c>
      <c r="E840" s="23" t="s">
        <v>4682</v>
      </c>
      <c r="F840" s="23" t="s">
        <v>4682</v>
      </c>
      <c r="G840" s="23" t="s">
        <v>4682</v>
      </c>
      <c r="H840" s="23">
        <v>0</v>
      </c>
      <c r="I840" s="23" t="s">
        <v>4682</v>
      </c>
      <c r="J840" s="23" t="s">
        <v>4729</v>
      </c>
      <c r="K840" s="23" t="s">
        <v>4735</v>
      </c>
      <c r="L840">
        <v>1984</v>
      </c>
      <c r="M840" s="15" t="s">
        <v>4703</v>
      </c>
      <c r="N840">
        <v>5</v>
      </c>
      <c r="O840">
        <v>2</v>
      </c>
      <c r="P840" s="21">
        <f>DATEVALUE(N840&amp;"-"&amp;M840&amp;"-"&amp;L840)</f>
        <v>30930</v>
      </c>
      <c r="Q840" s="22">
        <v>6933.24</v>
      </c>
      <c r="R840" s="23" t="s">
        <v>4697</v>
      </c>
      <c r="S840" s="23" t="s">
        <v>4698</v>
      </c>
      <c r="T840" s="23" t="s">
        <v>4704</v>
      </c>
      <c r="U840" s="23">
        <f>DATEDIF(P840, DATE(2023, 6, 8), "Y")</f>
        <v>38</v>
      </c>
      <c r="V840">
        <f>SUM(C840:K840)</f>
        <v>46.31</v>
      </c>
    </row>
    <row r="841" spans="1:22" ht="15.75">
      <c r="A841" s="28" t="s">
        <v>1680</v>
      </c>
      <c r="B841" s="28" t="s">
        <v>1681</v>
      </c>
      <c r="C841" s="23">
        <v>38</v>
      </c>
      <c r="D841" s="23">
        <v>8.1300000000000008</v>
      </c>
      <c r="E841" s="23" t="s">
        <v>4682</v>
      </c>
      <c r="F841" s="23" t="s">
        <v>4682</v>
      </c>
      <c r="G841" s="23" t="s">
        <v>4682</v>
      </c>
      <c r="H841" s="23">
        <v>0</v>
      </c>
      <c r="I841" s="23" t="s">
        <v>4682</v>
      </c>
      <c r="J841" s="23" t="s">
        <v>4729</v>
      </c>
      <c r="K841" s="23" t="s">
        <v>4735</v>
      </c>
      <c r="L841">
        <v>1978</v>
      </c>
      <c r="M841" s="15" t="s">
        <v>4700</v>
      </c>
      <c r="N841">
        <v>29</v>
      </c>
      <c r="O841">
        <v>2</v>
      </c>
      <c r="P841" s="21">
        <f>DATEVALUE(N841&amp;"-"&amp;M841&amp;"-"&amp;L841)</f>
        <v>28823</v>
      </c>
      <c r="Q841" s="22">
        <v>6938.11</v>
      </c>
      <c r="R841" s="23" t="s">
        <v>4697</v>
      </c>
      <c r="S841" s="23" t="s">
        <v>4697</v>
      </c>
      <c r="T841" s="23" t="s">
        <v>4699</v>
      </c>
      <c r="U841" s="23">
        <f>DATEDIF(P841, DATE(2023, 6, 8), "Y")</f>
        <v>44</v>
      </c>
      <c r="V841">
        <f>SUM(C841:K841)</f>
        <v>46.13</v>
      </c>
    </row>
    <row r="842" spans="1:22" ht="15.75">
      <c r="A842" s="28" t="s">
        <v>1682</v>
      </c>
      <c r="B842" s="28" t="s">
        <v>1683</v>
      </c>
      <c r="C842" s="23">
        <v>35.1</v>
      </c>
      <c r="D842" s="23">
        <v>10.1</v>
      </c>
      <c r="E842" s="23" t="s">
        <v>4682</v>
      </c>
      <c r="F842" s="23" t="s">
        <v>4682</v>
      </c>
      <c r="G842" s="23" t="s">
        <v>4682</v>
      </c>
      <c r="H842" s="23">
        <v>0</v>
      </c>
      <c r="I842" s="23" t="s">
        <v>4682</v>
      </c>
      <c r="J842" s="23" t="s">
        <v>4729</v>
      </c>
      <c r="K842" s="23" t="s">
        <v>4735</v>
      </c>
      <c r="L842">
        <v>1980</v>
      </c>
      <c r="M842" s="15" t="s">
        <v>4706</v>
      </c>
      <c r="N842">
        <v>30</v>
      </c>
      <c r="O842">
        <v>1</v>
      </c>
      <c r="P842" s="21">
        <f>DATEVALUE(N842&amp;"-"&amp;M842&amp;"-"&amp;L842)</f>
        <v>29463</v>
      </c>
      <c r="Q842" s="22">
        <v>6940.91</v>
      </c>
      <c r="R842" s="23" t="s">
        <v>4697</v>
      </c>
      <c r="S842" s="23" t="s">
        <v>4697</v>
      </c>
      <c r="T842" s="23" t="s">
        <v>4704</v>
      </c>
      <c r="U842" s="23">
        <f>DATEDIF(P842, DATE(2023, 6, 8), "Y")</f>
        <v>42</v>
      </c>
      <c r="V842">
        <f>SUM(C842:K842)</f>
        <v>45.2</v>
      </c>
    </row>
    <row r="843" spans="1:22" ht="15.75">
      <c r="A843" s="28" t="s">
        <v>1684</v>
      </c>
      <c r="B843" s="28" t="s">
        <v>1685</v>
      </c>
      <c r="C843" s="23">
        <v>33.82</v>
      </c>
      <c r="D843" s="23">
        <v>5.89</v>
      </c>
      <c r="E843" s="23" t="s">
        <v>4683</v>
      </c>
      <c r="F843" s="23" t="s">
        <v>4682</v>
      </c>
      <c r="G843" s="23" t="s">
        <v>4682</v>
      </c>
      <c r="H843" s="23">
        <v>2</v>
      </c>
      <c r="I843" s="23" t="s">
        <v>4682</v>
      </c>
      <c r="J843" s="23" t="s">
        <v>4729</v>
      </c>
      <c r="K843" s="23" t="s">
        <v>4736</v>
      </c>
      <c r="L843">
        <v>1980</v>
      </c>
      <c r="M843" s="15" t="s">
        <v>4707</v>
      </c>
      <c r="N843">
        <v>5</v>
      </c>
      <c r="O843">
        <v>2</v>
      </c>
      <c r="P843" s="21">
        <f>DATEVALUE(N843&amp;"-"&amp;M843&amp;"-"&amp;L843)</f>
        <v>29499</v>
      </c>
      <c r="Q843" s="22">
        <v>6940.94</v>
      </c>
      <c r="R843" s="23" t="s">
        <v>4697</v>
      </c>
      <c r="S843" s="23" t="s">
        <v>4698</v>
      </c>
      <c r="T843" s="23" t="s">
        <v>4699</v>
      </c>
      <c r="U843" s="23">
        <f>DATEDIF(P843, DATE(2023, 6, 8), "Y")</f>
        <v>42</v>
      </c>
      <c r="V843">
        <f>SUM(C843:K843)</f>
        <v>41.71</v>
      </c>
    </row>
    <row r="844" spans="1:22" ht="15.75">
      <c r="A844" s="28" t="s">
        <v>1686</v>
      </c>
      <c r="B844" s="28" t="s">
        <v>1687</v>
      </c>
      <c r="C844" s="23">
        <v>37.43</v>
      </c>
      <c r="D844" s="23">
        <v>4.97</v>
      </c>
      <c r="E844" s="23" t="s">
        <v>4682</v>
      </c>
      <c r="F844" s="23" t="s">
        <v>4682</v>
      </c>
      <c r="G844" s="23" t="s">
        <v>4682</v>
      </c>
      <c r="H844" s="23">
        <v>2</v>
      </c>
      <c r="I844" s="23" t="s">
        <v>4682</v>
      </c>
      <c r="J844" s="23" t="s">
        <v>4729</v>
      </c>
      <c r="K844" s="23" t="s">
        <v>4737</v>
      </c>
      <c r="L844">
        <v>1978</v>
      </c>
      <c r="M844" s="15" t="s">
        <v>4705</v>
      </c>
      <c r="N844">
        <v>15</v>
      </c>
      <c r="O844">
        <v>0</v>
      </c>
      <c r="P844" s="21">
        <f>DATEVALUE(N844&amp;"-"&amp;M844&amp;"-"&amp;L844)</f>
        <v>28839</v>
      </c>
      <c r="Q844" s="22">
        <v>6948.7</v>
      </c>
      <c r="R844" s="23" t="s">
        <v>4701</v>
      </c>
      <c r="S844" s="23" t="s">
        <v>4697</v>
      </c>
      <c r="T844" s="23" t="s">
        <v>4704</v>
      </c>
      <c r="U844" s="23">
        <f>DATEDIF(P844, DATE(2023, 6, 8), "Y")</f>
        <v>44</v>
      </c>
      <c r="V844">
        <f>SUM(C844:K844)</f>
        <v>44.4</v>
      </c>
    </row>
    <row r="845" spans="1:22" ht="15.75">
      <c r="A845" s="28" t="s">
        <v>1688</v>
      </c>
      <c r="B845" s="28" t="s">
        <v>1689</v>
      </c>
      <c r="C845" s="23">
        <v>30.5</v>
      </c>
      <c r="D845" s="23">
        <v>9.9</v>
      </c>
      <c r="E845" s="23" t="s">
        <v>4682</v>
      </c>
      <c r="F845" s="23" t="s">
        <v>4682</v>
      </c>
      <c r="G845" s="23" t="s">
        <v>4682</v>
      </c>
      <c r="H845" s="23">
        <v>0</v>
      </c>
      <c r="I845" s="23" t="s">
        <v>4682</v>
      </c>
      <c r="J845" s="23" t="s">
        <v>4729</v>
      </c>
      <c r="K845" s="23" t="s">
        <v>4735</v>
      </c>
      <c r="L845">
        <v>1980</v>
      </c>
      <c r="M845" s="15" t="s">
        <v>4706</v>
      </c>
      <c r="N845">
        <v>18</v>
      </c>
      <c r="O845">
        <v>2</v>
      </c>
      <c r="P845" s="21">
        <f>DATEVALUE(N845&amp;"-"&amp;M845&amp;"-"&amp;L845)</f>
        <v>29451</v>
      </c>
      <c r="Q845" s="22">
        <v>6951.12</v>
      </c>
      <c r="R845" s="23" t="s">
        <v>4697</v>
      </c>
      <c r="S845" s="23" t="s">
        <v>4697</v>
      </c>
      <c r="T845" s="23" t="s">
        <v>4699</v>
      </c>
      <c r="U845" s="23">
        <f>DATEDIF(P845, DATE(2023, 6, 8), "Y")</f>
        <v>42</v>
      </c>
      <c r="V845">
        <f>SUM(C845:K845)</f>
        <v>40.4</v>
      </c>
    </row>
    <row r="846" spans="1:22" ht="15.75">
      <c r="A846" s="28" t="s">
        <v>1690</v>
      </c>
      <c r="B846" s="28" t="s">
        <v>1691</v>
      </c>
      <c r="C846" s="23">
        <v>24.53</v>
      </c>
      <c r="D846" s="23">
        <v>9.0500000000000007</v>
      </c>
      <c r="E846" s="23" t="s">
        <v>4682</v>
      </c>
      <c r="F846" s="23" t="s">
        <v>4682</v>
      </c>
      <c r="G846" s="23" t="s">
        <v>4682</v>
      </c>
      <c r="H846" s="23">
        <v>0</v>
      </c>
      <c r="I846" s="23" t="s">
        <v>4682</v>
      </c>
      <c r="J846" s="23" t="s">
        <v>4728</v>
      </c>
      <c r="K846" s="23" t="s">
        <v>4735</v>
      </c>
      <c r="L846">
        <v>1975</v>
      </c>
      <c r="M846" s="15" t="s">
        <v>4702</v>
      </c>
      <c r="N846">
        <v>3</v>
      </c>
      <c r="O846">
        <v>1</v>
      </c>
      <c r="P846" s="21">
        <f>DATEVALUE(N846&amp;"-"&amp;M846&amp;"-"&amp;L846)</f>
        <v>27548</v>
      </c>
      <c r="Q846" s="22">
        <v>6965.21</v>
      </c>
      <c r="R846" s="23" t="s">
        <v>4697</v>
      </c>
      <c r="S846" s="23" t="s">
        <v>4698</v>
      </c>
      <c r="T846" s="23" t="s">
        <v>4699</v>
      </c>
      <c r="U846" s="23">
        <f>DATEDIF(P846, DATE(2023, 6, 8), "Y")</f>
        <v>48</v>
      </c>
      <c r="V846">
        <f>SUM(C846:K846)</f>
        <v>33.58</v>
      </c>
    </row>
    <row r="847" spans="1:22" ht="15.75">
      <c r="A847" s="28" t="s">
        <v>1692</v>
      </c>
      <c r="B847" s="28" t="s">
        <v>1693</v>
      </c>
      <c r="C847" s="23">
        <v>25.74</v>
      </c>
      <c r="D847" s="23">
        <v>10.93</v>
      </c>
      <c r="E847" s="23" t="s">
        <v>4682</v>
      </c>
      <c r="F847" s="23" t="s">
        <v>4682</v>
      </c>
      <c r="G847" s="23" t="s">
        <v>4682</v>
      </c>
      <c r="H847" s="23">
        <v>0</v>
      </c>
      <c r="I847" s="23" t="s">
        <v>4682</v>
      </c>
      <c r="J847" s="23" t="s">
        <v>4730</v>
      </c>
      <c r="K847" s="23" t="s">
        <v>4735</v>
      </c>
      <c r="L847">
        <v>1985</v>
      </c>
      <c r="M847" s="15" t="s">
        <v>4705</v>
      </c>
      <c r="N847">
        <v>10</v>
      </c>
      <c r="O847">
        <v>3</v>
      </c>
      <c r="P847" s="21">
        <f>DATEVALUE(N847&amp;"-"&amp;M847&amp;"-"&amp;L847)</f>
        <v>31391</v>
      </c>
      <c r="Q847" s="22">
        <v>6985.51</v>
      </c>
      <c r="R847" s="23" t="s">
        <v>4697</v>
      </c>
      <c r="S847" s="23" t="s">
        <v>4697</v>
      </c>
      <c r="T847" s="23" t="s">
        <v>4710</v>
      </c>
      <c r="U847" s="23">
        <f>DATEDIF(P847, DATE(2023, 6, 8), "Y")</f>
        <v>37</v>
      </c>
      <c r="V847">
        <f>SUM(C847:K847)</f>
        <v>36.67</v>
      </c>
    </row>
    <row r="848" spans="1:22" ht="15.75">
      <c r="A848" s="28" t="s">
        <v>1694</v>
      </c>
      <c r="B848" s="28" t="s">
        <v>1695</v>
      </c>
      <c r="C848" s="23">
        <v>34.08</v>
      </c>
      <c r="D848" s="23">
        <v>7.58</v>
      </c>
      <c r="E848" s="23" t="s">
        <v>4683</v>
      </c>
      <c r="F848" s="23" t="s">
        <v>4682</v>
      </c>
      <c r="G848" s="23" t="s">
        <v>4682</v>
      </c>
      <c r="H848" s="23">
        <v>2</v>
      </c>
      <c r="I848" s="23" t="s">
        <v>4682</v>
      </c>
      <c r="J848" s="23" t="s">
        <v>4729</v>
      </c>
      <c r="K848" s="23" t="s">
        <v>4735</v>
      </c>
      <c r="L848">
        <v>1982</v>
      </c>
      <c r="M848" s="15" t="s">
        <v>4707</v>
      </c>
      <c r="N848">
        <v>18</v>
      </c>
      <c r="O848">
        <v>2</v>
      </c>
      <c r="P848" s="21">
        <f>DATEVALUE(N848&amp;"-"&amp;M848&amp;"-"&amp;L848)</f>
        <v>30242</v>
      </c>
      <c r="Q848" s="22">
        <v>6986.7</v>
      </c>
      <c r="R848" s="23" t="s">
        <v>4698</v>
      </c>
      <c r="S848" s="23" t="s">
        <v>4701</v>
      </c>
      <c r="T848" s="23" t="s">
        <v>4704</v>
      </c>
      <c r="U848" s="23">
        <f>DATEDIF(P848, DATE(2023, 6, 8), "Y")</f>
        <v>40</v>
      </c>
      <c r="V848">
        <f>SUM(C848:K848)</f>
        <v>43.66</v>
      </c>
    </row>
    <row r="849" spans="1:22" ht="15.75">
      <c r="A849" s="28" t="s">
        <v>1696</v>
      </c>
      <c r="B849" s="28" t="s">
        <v>1697</v>
      </c>
      <c r="C849" s="23">
        <v>31.35</v>
      </c>
      <c r="D849" s="23">
        <v>11</v>
      </c>
      <c r="E849" s="23" t="s">
        <v>4683</v>
      </c>
      <c r="F849" s="23" t="s">
        <v>4682</v>
      </c>
      <c r="G849" s="23" t="s">
        <v>4684</v>
      </c>
      <c r="H849" s="23">
        <v>1</v>
      </c>
      <c r="I849" s="23" t="s">
        <v>4682</v>
      </c>
      <c r="J849" s="23" t="s">
        <v>4729</v>
      </c>
      <c r="K849" s="23" t="s">
        <v>4735</v>
      </c>
      <c r="L849">
        <v>1982</v>
      </c>
      <c r="M849" s="15" t="s">
        <v>4703</v>
      </c>
      <c r="N849">
        <v>1</v>
      </c>
      <c r="O849">
        <v>3</v>
      </c>
      <c r="P849" s="21">
        <f>DATEVALUE(N849&amp;"-"&amp;M849&amp;"-"&amp;L849)</f>
        <v>30195</v>
      </c>
      <c r="Q849" s="22">
        <v>6989.95</v>
      </c>
      <c r="R849" s="23" t="s">
        <v>4697</v>
      </c>
      <c r="S849" s="23" t="s">
        <v>4701</v>
      </c>
      <c r="T849" s="23" t="s">
        <v>4699</v>
      </c>
      <c r="U849" s="23">
        <f>DATEDIF(P849, DATE(2023, 6, 8), "Y")</f>
        <v>40</v>
      </c>
      <c r="V849">
        <f>SUM(C849:K849)</f>
        <v>43.35</v>
      </c>
    </row>
    <row r="850" spans="1:22" ht="15.75">
      <c r="A850" s="28" t="s">
        <v>1698</v>
      </c>
      <c r="B850" s="28" t="s">
        <v>1699</v>
      </c>
      <c r="C850" s="23">
        <v>26.79</v>
      </c>
      <c r="D850" s="23">
        <v>5.0599999999999996</v>
      </c>
      <c r="E850" s="23" t="s">
        <v>4682</v>
      </c>
      <c r="F850" s="23" t="s">
        <v>4682</v>
      </c>
      <c r="G850" s="23" t="s">
        <v>4682</v>
      </c>
      <c r="H850" s="23">
        <v>1</v>
      </c>
      <c r="I850" s="23" t="s">
        <v>4682</v>
      </c>
      <c r="J850" s="23" t="s">
        <v>4730</v>
      </c>
      <c r="K850" s="23" t="s">
        <v>4737</v>
      </c>
      <c r="L850">
        <v>1969</v>
      </c>
      <c r="M850" s="15" t="s">
        <v>4696</v>
      </c>
      <c r="N850">
        <v>6</v>
      </c>
      <c r="O850">
        <v>0</v>
      </c>
      <c r="P850" s="21">
        <f>DATEVALUE(N850&amp;"-"&amp;M850&amp;"-"&amp;L850)</f>
        <v>25390</v>
      </c>
      <c r="Q850" s="22">
        <v>7003.1</v>
      </c>
      <c r="R850" s="23" t="s">
        <v>4697</v>
      </c>
      <c r="S850" s="23" t="s">
        <v>4698</v>
      </c>
      <c r="T850" s="23" t="s">
        <v>4699</v>
      </c>
      <c r="U850" s="23">
        <f>DATEDIF(P850, DATE(2023, 6, 8), "Y")</f>
        <v>53</v>
      </c>
      <c r="V850">
        <f>SUM(C850:K850)</f>
        <v>32.849999999999994</v>
      </c>
    </row>
    <row r="851" spans="1:22" ht="15.75">
      <c r="A851" s="28" t="s">
        <v>1700</v>
      </c>
      <c r="B851" s="28" t="s">
        <v>1701</v>
      </c>
      <c r="C851" s="23">
        <v>42.78</v>
      </c>
      <c r="D851" s="23">
        <v>6.11</v>
      </c>
      <c r="E851" s="23" t="s">
        <v>4683</v>
      </c>
      <c r="F851" s="23" t="s">
        <v>4682</v>
      </c>
      <c r="G851" s="23" t="s">
        <v>4682</v>
      </c>
      <c r="H851" s="23">
        <v>1</v>
      </c>
      <c r="I851" s="23" t="s">
        <v>4682</v>
      </c>
      <c r="J851" s="23" t="s">
        <v>4729</v>
      </c>
      <c r="K851" s="23" t="s">
        <v>4736</v>
      </c>
      <c r="L851">
        <v>1978</v>
      </c>
      <c r="M851" s="15" t="s">
        <v>4702</v>
      </c>
      <c r="N851">
        <v>2</v>
      </c>
      <c r="O851">
        <v>2</v>
      </c>
      <c r="P851" s="21">
        <f>DATEVALUE(N851&amp;"-"&amp;M851&amp;"-"&amp;L851)</f>
        <v>28643</v>
      </c>
      <c r="Q851" s="22">
        <v>7033.08</v>
      </c>
      <c r="R851" s="23" t="s">
        <v>4697</v>
      </c>
      <c r="S851" s="23" t="s">
        <v>4697</v>
      </c>
      <c r="T851" s="23" t="s">
        <v>4699</v>
      </c>
      <c r="U851" s="23">
        <f>DATEDIF(P851, DATE(2023, 6, 8), "Y")</f>
        <v>45</v>
      </c>
      <c r="V851">
        <f>SUM(C851:K851)</f>
        <v>49.89</v>
      </c>
    </row>
    <row r="852" spans="1:22" ht="15.75">
      <c r="A852" s="28" t="s">
        <v>1702</v>
      </c>
      <c r="B852" s="28" t="s">
        <v>1703</v>
      </c>
      <c r="C852" s="23">
        <v>46.75</v>
      </c>
      <c r="D852" s="23">
        <v>6.66</v>
      </c>
      <c r="E852" s="23" t="s">
        <v>4683</v>
      </c>
      <c r="F852" s="23" t="s">
        <v>4682</v>
      </c>
      <c r="G852" s="23" t="s">
        <v>4682</v>
      </c>
      <c r="H852" s="23">
        <v>2</v>
      </c>
      <c r="I852" s="23" t="s">
        <v>4682</v>
      </c>
      <c r="J852" s="23" t="s">
        <v>4729</v>
      </c>
      <c r="K852" s="23" t="s">
        <v>4735</v>
      </c>
      <c r="L852">
        <v>1995</v>
      </c>
      <c r="M852" s="15" t="s">
        <v>4707</v>
      </c>
      <c r="N852">
        <v>29</v>
      </c>
      <c r="O852">
        <v>0</v>
      </c>
      <c r="P852" s="21">
        <f>DATEVALUE(N852&amp;"-"&amp;M852&amp;"-"&amp;L852)</f>
        <v>35001</v>
      </c>
      <c r="Q852" s="22">
        <v>7042.11</v>
      </c>
      <c r="R852" s="23" t="s">
        <v>4697</v>
      </c>
      <c r="S852" s="23" t="s">
        <v>4698</v>
      </c>
      <c r="T852" s="23" t="s">
        <v>4704</v>
      </c>
      <c r="U852" s="23">
        <f>DATEDIF(P852, DATE(2023, 6, 8), "Y")</f>
        <v>27</v>
      </c>
      <c r="V852">
        <f>SUM(C852:K852)</f>
        <v>55.41</v>
      </c>
    </row>
    <row r="853" spans="1:22" ht="15.75">
      <c r="A853" s="28" t="s">
        <v>1704</v>
      </c>
      <c r="B853" s="28" t="s">
        <v>1705</v>
      </c>
      <c r="C853" s="23">
        <v>32.15</v>
      </c>
      <c r="D853" s="23">
        <v>4.0199999999999996</v>
      </c>
      <c r="E853" s="23" t="s">
        <v>4683</v>
      </c>
      <c r="F853" s="23" t="s">
        <v>4682</v>
      </c>
      <c r="G853" s="23" t="s">
        <v>4684</v>
      </c>
      <c r="H853" s="23">
        <v>1</v>
      </c>
      <c r="I853" s="23" t="s">
        <v>4682</v>
      </c>
      <c r="J853" s="23" t="s">
        <v>4729</v>
      </c>
      <c r="K853" s="23" t="s">
        <v>4737</v>
      </c>
      <c r="L853">
        <v>1980</v>
      </c>
      <c r="M853" s="15" t="s">
        <v>4696</v>
      </c>
      <c r="N853">
        <v>26</v>
      </c>
      <c r="O853">
        <v>1</v>
      </c>
      <c r="P853" s="21">
        <f>DATEVALUE(N853&amp;"-"&amp;M853&amp;"-"&amp;L853)</f>
        <v>29428</v>
      </c>
      <c r="Q853" s="22">
        <v>7045.5</v>
      </c>
      <c r="R853" s="23" t="s">
        <v>4697</v>
      </c>
      <c r="S853" s="23" t="s">
        <v>4701</v>
      </c>
      <c r="T853" s="23" t="s">
        <v>4708</v>
      </c>
      <c r="U853" s="23">
        <f>DATEDIF(P853, DATE(2023, 6, 8), "Y")</f>
        <v>42</v>
      </c>
      <c r="V853">
        <f>SUM(C853:K853)</f>
        <v>37.17</v>
      </c>
    </row>
    <row r="854" spans="1:22" ht="15.75">
      <c r="A854" s="28" t="s">
        <v>1706</v>
      </c>
      <c r="B854" s="28" t="s">
        <v>1707</v>
      </c>
      <c r="C854" s="23">
        <v>43.4</v>
      </c>
      <c r="D854" s="23">
        <v>8.81</v>
      </c>
      <c r="E854" s="23" t="s">
        <v>4683</v>
      </c>
      <c r="F854" s="23" t="s">
        <v>4682</v>
      </c>
      <c r="G854" s="23" t="s">
        <v>4682</v>
      </c>
      <c r="H854" s="23">
        <v>2</v>
      </c>
      <c r="I854" s="23" t="s">
        <v>4682</v>
      </c>
      <c r="J854" s="23" t="s">
        <v>4729</v>
      </c>
      <c r="K854" s="23" t="s">
        <v>4735</v>
      </c>
      <c r="L854">
        <v>1980</v>
      </c>
      <c r="M854" s="15" t="s">
        <v>4707</v>
      </c>
      <c r="N854">
        <v>22</v>
      </c>
      <c r="O854">
        <v>1</v>
      </c>
      <c r="P854" s="21">
        <f>DATEVALUE(N854&amp;"-"&amp;M854&amp;"-"&amp;L854)</f>
        <v>29516</v>
      </c>
      <c r="Q854" s="22">
        <v>7046.72</v>
      </c>
      <c r="R854" s="23" t="s">
        <v>4697</v>
      </c>
      <c r="S854" s="23" t="s">
        <v>4698</v>
      </c>
      <c r="T854" s="23" t="s">
        <v>4699</v>
      </c>
      <c r="U854" s="23">
        <f>DATEDIF(P854, DATE(2023, 6, 8), "Y")</f>
        <v>42</v>
      </c>
      <c r="V854">
        <f>SUM(C854:K854)</f>
        <v>54.21</v>
      </c>
    </row>
    <row r="855" spans="1:22" ht="15.75">
      <c r="A855" s="28" t="s">
        <v>1708</v>
      </c>
      <c r="B855" s="28" t="s">
        <v>1709</v>
      </c>
      <c r="C855" s="23">
        <v>31.57</v>
      </c>
      <c r="D855" s="23">
        <v>7.92</v>
      </c>
      <c r="E855" s="23" t="s">
        <v>4683</v>
      </c>
      <c r="F855" s="23" t="s">
        <v>4682</v>
      </c>
      <c r="G855" s="23" t="s">
        <v>4682</v>
      </c>
      <c r="H855" s="23">
        <v>2</v>
      </c>
      <c r="I855" s="23" t="s">
        <v>4682</v>
      </c>
      <c r="J855" s="23" t="s">
        <v>4729</v>
      </c>
      <c r="K855" s="23" t="s">
        <v>4735</v>
      </c>
      <c r="L855">
        <v>1980</v>
      </c>
      <c r="M855" s="15" t="s">
        <v>4696</v>
      </c>
      <c r="N855">
        <v>21</v>
      </c>
      <c r="O855">
        <v>0</v>
      </c>
      <c r="P855" s="21">
        <f>DATEVALUE(N855&amp;"-"&amp;M855&amp;"-"&amp;L855)</f>
        <v>29423</v>
      </c>
      <c r="Q855" s="22">
        <v>7050.02</v>
      </c>
      <c r="R855" s="23" t="s">
        <v>4697</v>
      </c>
      <c r="S855" s="23" t="s">
        <v>4701</v>
      </c>
      <c r="T855" s="23" t="s">
        <v>4714</v>
      </c>
      <c r="U855" s="23">
        <f>DATEDIF(P855, DATE(2023, 6, 8), "Y")</f>
        <v>42</v>
      </c>
      <c r="V855">
        <f>SUM(C855:K855)</f>
        <v>41.49</v>
      </c>
    </row>
    <row r="856" spans="1:22" ht="15.75">
      <c r="A856" s="28" t="s">
        <v>1710</v>
      </c>
      <c r="B856" s="28" t="s">
        <v>1711</v>
      </c>
      <c r="C856" s="23">
        <v>24.32</v>
      </c>
      <c r="D856" s="23">
        <v>7.48</v>
      </c>
      <c r="E856" s="23" t="s">
        <v>4682</v>
      </c>
      <c r="F856" s="23" t="s">
        <v>4682</v>
      </c>
      <c r="G856" s="23" t="s">
        <v>4682</v>
      </c>
      <c r="H856" s="23">
        <v>0</v>
      </c>
      <c r="I856" s="23" t="s">
        <v>4682</v>
      </c>
      <c r="J856" s="23" t="s">
        <v>4728</v>
      </c>
      <c r="K856" s="23" t="s">
        <v>4735</v>
      </c>
      <c r="L856">
        <v>1980</v>
      </c>
      <c r="M856" s="15" t="s">
        <v>4702</v>
      </c>
      <c r="N856">
        <v>28</v>
      </c>
      <c r="O856">
        <v>1</v>
      </c>
      <c r="P856" s="21">
        <f>DATEVALUE(N856&amp;"-"&amp;M856&amp;"-"&amp;L856)</f>
        <v>29400</v>
      </c>
      <c r="Q856" s="22">
        <v>7050.64</v>
      </c>
      <c r="R856" s="23" t="s">
        <v>4697</v>
      </c>
      <c r="S856" s="23" t="s">
        <v>4698</v>
      </c>
      <c r="T856" s="23" t="s">
        <v>4708</v>
      </c>
      <c r="U856" s="23">
        <f>DATEDIF(P856, DATE(2023, 6, 8), "Y")</f>
        <v>42</v>
      </c>
      <c r="V856">
        <f>SUM(C856:K856)</f>
        <v>31.8</v>
      </c>
    </row>
    <row r="857" spans="1:22" ht="15.75">
      <c r="A857" s="28" t="s">
        <v>1712</v>
      </c>
      <c r="B857" s="28" t="s">
        <v>1713</v>
      </c>
      <c r="C857" s="23">
        <v>31.07</v>
      </c>
      <c r="D857" s="23">
        <v>4.62</v>
      </c>
      <c r="E857" s="23" t="s">
        <v>4683</v>
      </c>
      <c r="F857" s="23" t="s">
        <v>4682</v>
      </c>
      <c r="G857" s="23" t="s">
        <v>4682</v>
      </c>
      <c r="H857" s="23">
        <v>2</v>
      </c>
      <c r="I857" s="23" t="s">
        <v>4682</v>
      </c>
      <c r="J857" s="23" t="s">
        <v>4729</v>
      </c>
      <c r="K857" s="23" t="s">
        <v>4737</v>
      </c>
      <c r="L857">
        <v>1978</v>
      </c>
      <c r="M857" s="15" t="s">
        <v>4702</v>
      </c>
      <c r="N857">
        <v>24</v>
      </c>
      <c r="O857">
        <v>2</v>
      </c>
      <c r="P857" s="21">
        <f>DATEVALUE(N857&amp;"-"&amp;M857&amp;"-"&amp;L857)</f>
        <v>28665</v>
      </c>
      <c r="Q857" s="22">
        <v>7054.41</v>
      </c>
      <c r="R857" s="23" t="s">
        <v>4697</v>
      </c>
      <c r="S857" s="23" t="s">
        <v>4697</v>
      </c>
      <c r="T857" s="23" t="s">
        <v>4699</v>
      </c>
      <c r="U857" s="23">
        <f>DATEDIF(P857, DATE(2023, 6, 8), "Y")</f>
        <v>44</v>
      </c>
      <c r="V857">
        <f>SUM(C857:K857)</f>
        <v>37.69</v>
      </c>
    </row>
    <row r="858" spans="1:22" ht="15.75">
      <c r="A858" s="28" t="s">
        <v>1714</v>
      </c>
      <c r="B858" s="28" t="s">
        <v>1715</v>
      </c>
      <c r="C858" s="23">
        <v>35.814999999999998</v>
      </c>
      <c r="D858" s="23">
        <v>8.4700000000000006</v>
      </c>
      <c r="E858" s="23" t="s">
        <v>4682</v>
      </c>
      <c r="F858" s="23" t="s">
        <v>4682</v>
      </c>
      <c r="G858" s="23" t="s">
        <v>4682</v>
      </c>
      <c r="H858" s="23">
        <v>0</v>
      </c>
      <c r="I858" s="23" t="s">
        <v>4682</v>
      </c>
      <c r="J858" s="23" t="s">
        <v>4729</v>
      </c>
      <c r="K858" s="23" t="s">
        <v>4735</v>
      </c>
      <c r="L858">
        <v>1982</v>
      </c>
      <c r="M858" s="15" t="s">
        <v>4707</v>
      </c>
      <c r="N858">
        <v>6</v>
      </c>
      <c r="O858">
        <v>1</v>
      </c>
      <c r="P858" s="21">
        <f>DATEVALUE(N858&amp;"-"&amp;M858&amp;"-"&amp;L858)</f>
        <v>30230</v>
      </c>
      <c r="Q858" s="22">
        <v>7077.19</v>
      </c>
      <c r="R858" s="23" t="s">
        <v>4697</v>
      </c>
      <c r="S858" s="23" t="s">
        <v>4698</v>
      </c>
      <c r="T858" s="23" t="s">
        <v>4714</v>
      </c>
      <c r="U858" s="23">
        <f>DATEDIF(P858, DATE(2023, 6, 8), "Y")</f>
        <v>40</v>
      </c>
      <c r="V858">
        <f>SUM(C858:K858)</f>
        <v>44.284999999999997</v>
      </c>
    </row>
    <row r="859" spans="1:22" ht="15.75">
      <c r="A859" s="28" t="s">
        <v>1716</v>
      </c>
      <c r="B859" s="28" t="s">
        <v>1717</v>
      </c>
      <c r="C859" s="23">
        <v>40.81</v>
      </c>
      <c r="D859" s="23">
        <v>10.58</v>
      </c>
      <c r="E859" s="23" t="s">
        <v>4683</v>
      </c>
      <c r="F859" s="23" t="s">
        <v>4682</v>
      </c>
      <c r="G859" s="23" t="s">
        <v>4682</v>
      </c>
      <c r="H859" s="23">
        <v>0</v>
      </c>
      <c r="I859" s="23" t="s">
        <v>4682</v>
      </c>
      <c r="J859" s="23" t="s">
        <v>4729</v>
      </c>
      <c r="K859" s="23" t="s">
        <v>4735</v>
      </c>
      <c r="L859">
        <v>1992</v>
      </c>
      <c r="M859" s="15" t="s">
        <v>4702</v>
      </c>
      <c r="N859">
        <v>18</v>
      </c>
      <c r="O859">
        <v>0</v>
      </c>
      <c r="P859" s="21">
        <f>DATEVALUE(N859&amp;"-"&amp;M859&amp;"-"&amp;L859)</f>
        <v>33773</v>
      </c>
      <c r="Q859" s="22">
        <v>7096.98</v>
      </c>
      <c r="R859" s="23" t="s">
        <v>4697</v>
      </c>
      <c r="S859" s="23" t="s">
        <v>4697</v>
      </c>
      <c r="T859" s="23" t="s">
        <v>4704</v>
      </c>
      <c r="U859" s="23">
        <f>DATEDIF(P859, DATE(2023, 6, 8), "Y")</f>
        <v>30</v>
      </c>
      <c r="V859">
        <f>SUM(C859:K859)</f>
        <v>51.39</v>
      </c>
    </row>
    <row r="860" spans="1:22" ht="15.75">
      <c r="A860" s="28" t="s">
        <v>1718</v>
      </c>
      <c r="B860" s="28" t="s">
        <v>1719</v>
      </c>
      <c r="C860" s="23">
        <v>24.605</v>
      </c>
      <c r="D860" s="23">
        <v>7.48</v>
      </c>
      <c r="E860" s="23" t="s">
        <v>4682</v>
      </c>
      <c r="F860" s="23" t="s">
        <v>4682</v>
      </c>
      <c r="G860" s="23" t="s">
        <v>4682</v>
      </c>
      <c r="H860" s="23">
        <v>0</v>
      </c>
      <c r="I860" s="23" t="s">
        <v>4682</v>
      </c>
      <c r="J860" s="23" t="s">
        <v>4728</v>
      </c>
      <c r="K860" s="23" t="s">
        <v>4735</v>
      </c>
      <c r="L860">
        <v>1987</v>
      </c>
      <c r="M860" s="15" t="s">
        <v>4706</v>
      </c>
      <c r="N860">
        <v>11</v>
      </c>
      <c r="O860">
        <v>3</v>
      </c>
      <c r="P860" s="21">
        <f>DATEVALUE(N860&amp;"-"&amp;M860&amp;"-"&amp;L860)</f>
        <v>32000</v>
      </c>
      <c r="Q860" s="22">
        <v>7106.81</v>
      </c>
      <c r="R860" s="23" t="s">
        <v>4697</v>
      </c>
      <c r="S860" s="23" t="s">
        <v>4701</v>
      </c>
      <c r="T860" s="23" t="s">
        <v>4704</v>
      </c>
      <c r="U860" s="23">
        <f>DATEDIF(P860, DATE(2023, 6, 8), "Y")</f>
        <v>35</v>
      </c>
      <c r="V860">
        <f>SUM(C860:K860)</f>
        <v>32.085000000000001</v>
      </c>
    </row>
    <row r="861" spans="1:22" ht="15.75">
      <c r="A861" s="28" t="s">
        <v>1720</v>
      </c>
      <c r="B861" s="28" t="s">
        <v>1721</v>
      </c>
      <c r="C861" s="23">
        <v>21.47</v>
      </c>
      <c r="D861" s="23">
        <v>7.82</v>
      </c>
      <c r="E861" s="23" t="s">
        <v>4682</v>
      </c>
      <c r="F861" s="23" t="s">
        <v>4682</v>
      </c>
      <c r="G861" s="23" t="s">
        <v>4682</v>
      </c>
      <c r="H861" s="23">
        <v>0</v>
      </c>
      <c r="I861" s="23" t="s">
        <v>4682</v>
      </c>
      <c r="J861" s="23" t="s">
        <v>4728</v>
      </c>
      <c r="K861" s="23" t="s">
        <v>4735</v>
      </c>
      <c r="L861">
        <v>1968</v>
      </c>
      <c r="M861" s="15" t="s">
        <v>4702</v>
      </c>
      <c r="N861">
        <v>29</v>
      </c>
      <c r="O861">
        <v>0</v>
      </c>
      <c r="P861" s="21">
        <f>DATEVALUE(N861&amp;"-"&amp;M861&amp;"-"&amp;L861)</f>
        <v>25018</v>
      </c>
      <c r="Q861" s="22">
        <v>7125.25</v>
      </c>
      <c r="R861" s="23" t="s">
        <v>4698</v>
      </c>
      <c r="S861" s="23" t="s">
        <v>4697</v>
      </c>
      <c r="T861" s="23" t="s">
        <v>4699</v>
      </c>
      <c r="U861" s="23">
        <f>DATEDIF(P861, DATE(2023, 6, 8), "Y")</f>
        <v>54</v>
      </c>
      <c r="V861">
        <f>SUM(C861:K861)</f>
        <v>29.29</v>
      </c>
    </row>
    <row r="862" spans="1:22" ht="15.75">
      <c r="A862" s="28" t="s">
        <v>1722</v>
      </c>
      <c r="B862" s="28" t="s">
        <v>1723</v>
      </c>
      <c r="C862" s="23">
        <v>52.89</v>
      </c>
      <c r="D862" s="23">
        <v>4.96</v>
      </c>
      <c r="E862" s="23" t="s">
        <v>4683</v>
      </c>
      <c r="F862" s="23" t="s">
        <v>4682</v>
      </c>
      <c r="G862" s="23" t="s">
        <v>4682</v>
      </c>
      <c r="H862" s="23">
        <v>1</v>
      </c>
      <c r="I862" s="23" t="s">
        <v>4682</v>
      </c>
      <c r="J862" s="23" t="s">
        <v>4729</v>
      </c>
      <c r="K862" s="23" t="s">
        <v>4737</v>
      </c>
      <c r="L862">
        <v>1993</v>
      </c>
      <c r="M862" s="15" t="s">
        <v>4706</v>
      </c>
      <c r="N862">
        <v>1</v>
      </c>
      <c r="O862">
        <v>0</v>
      </c>
      <c r="P862" s="21">
        <f>DATEVALUE(N862&amp;"-"&amp;M862&amp;"-"&amp;L862)</f>
        <v>34182</v>
      </c>
      <c r="Q862" s="22">
        <v>7128.64</v>
      </c>
      <c r="R862" s="23" t="s">
        <v>4697</v>
      </c>
      <c r="S862" s="23" t="s">
        <v>4697</v>
      </c>
      <c r="T862" s="23" t="s">
        <v>4717</v>
      </c>
      <c r="U862" s="23">
        <f>DATEDIF(P862, DATE(2023, 6, 8), "Y")</f>
        <v>29</v>
      </c>
      <c r="V862">
        <f>SUM(C862:K862)</f>
        <v>58.85</v>
      </c>
    </row>
    <row r="863" spans="1:22" ht="15.75">
      <c r="A863" s="28" t="s">
        <v>1724</v>
      </c>
      <c r="B863" s="28" t="s">
        <v>1725</v>
      </c>
      <c r="C863" s="23">
        <v>32.965000000000003</v>
      </c>
      <c r="D863" s="23">
        <v>6.15</v>
      </c>
      <c r="E863" s="23" t="s">
        <v>4683</v>
      </c>
      <c r="F863" s="23" t="s">
        <v>4682</v>
      </c>
      <c r="G863" s="23" t="s">
        <v>4682</v>
      </c>
      <c r="H863" s="23">
        <v>1</v>
      </c>
      <c r="I863" s="23" t="s">
        <v>4682</v>
      </c>
      <c r="J863" s="23" t="s">
        <v>4729</v>
      </c>
      <c r="K863" s="23" t="s">
        <v>4736</v>
      </c>
      <c r="L863">
        <v>1984</v>
      </c>
      <c r="M863" s="15" t="s">
        <v>4696</v>
      </c>
      <c r="N863">
        <v>7</v>
      </c>
      <c r="O863">
        <v>2</v>
      </c>
      <c r="P863" s="21">
        <f>DATEVALUE(N863&amp;"-"&amp;M863&amp;"-"&amp;L863)</f>
        <v>30870</v>
      </c>
      <c r="Q863" s="22">
        <v>7133.9</v>
      </c>
      <c r="R863" s="23" t="s">
        <v>4697</v>
      </c>
      <c r="S863" s="23" t="s">
        <v>4701</v>
      </c>
      <c r="T863" s="23" t="s">
        <v>4714</v>
      </c>
      <c r="U863" s="23">
        <f>DATEDIF(P863, DATE(2023, 6, 8), "Y")</f>
        <v>38</v>
      </c>
      <c r="V863">
        <f>SUM(C863:K863)</f>
        <v>40.115000000000002</v>
      </c>
    </row>
    <row r="864" spans="1:22" ht="15.75">
      <c r="A864" s="28" t="s">
        <v>1726</v>
      </c>
      <c r="B864" s="28" t="s">
        <v>1727</v>
      </c>
      <c r="C864" s="23">
        <v>36.799999999999997</v>
      </c>
      <c r="D864" s="23">
        <v>4.62</v>
      </c>
      <c r="E864" s="23" t="s">
        <v>4682</v>
      </c>
      <c r="F864" s="23" t="s">
        <v>4682</v>
      </c>
      <c r="G864" s="23" t="s">
        <v>4684</v>
      </c>
      <c r="H864" s="23">
        <v>1</v>
      </c>
      <c r="I864" s="23" t="s">
        <v>4682</v>
      </c>
      <c r="J864" s="23" t="s">
        <v>4729</v>
      </c>
      <c r="K864" s="23" t="s">
        <v>4737</v>
      </c>
      <c r="L864">
        <v>1999</v>
      </c>
      <c r="M864" s="15" t="s">
        <v>4706</v>
      </c>
      <c r="N864">
        <v>8</v>
      </c>
      <c r="O864">
        <v>0</v>
      </c>
      <c r="P864" s="21">
        <f>DATEVALUE(N864&amp;"-"&amp;M864&amp;"-"&amp;L864)</f>
        <v>36380</v>
      </c>
      <c r="Q864" s="22">
        <v>7144.4</v>
      </c>
      <c r="R864" s="23" t="s">
        <v>4697</v>
      </c>
      <c r="S864" s="23" t="s">
        <v>4701</v>
      </c>
      <c r="T864" s="23" t="s">
        <v>4721</v>
      </c>
      <c r="U864" s="23">
        <f>DATEDIF(P864, DATE(2023, 6, 8), "Y")</f>
        <v>23</v>
      </c>
      <c r="V864">
        <f>SUM(C864:K864)</f>
        <v>42.419999999999995</v>
      </c>
    </row>
    <row r="865" spans="1:22" ht="15.75">
      <c r="A865" s="28" t="s">
        <v>1728</v>
      </c>
      <c r="B865" s="28" t="s">
        <v>1729</v>
      </c>
      <c r="C865" s="23">
        <v>34.299999999999997</v>
      </c>
      <c r="D865" s="23">
        <v>4.87</v>
      </c>
      <c r="E865" s="23" t="s">
        <v>4682</v>
      </c>
      <c r="F865" s="23" t="s">
        <v>4682</v>
      </c>
      <c r="G865" s="23" t="s">
        <v>4682</v>
      </c>
      <c r="H865" s="23">
        <v>2</v>
      </c>
      <c r="I865" s="23" t="s">
        <v>4682</v>
      </c>
      <c r="J865" s="23" t="s">
        <v>4729</v>
      </c>
      <c r="K865" s="23" t="s">
        <v>4737</v>
      </c>
      <c r="L865">
        <v>1984</v>
      </c>
      <c r="M865" s="15" t="s">
        <v>4700</v>
      </c>
      <c r="N865">
        <v>21</v>
      </c>
      <c r="O865">
        <v>2</v>
      </c>
      <c r="P865" s="21">
        <f>DATEVALUE(N865&amp;"-"&amp;M865&amp;"-"&amp;L865)</f>
        <v>31007</v>
      </c>
      <c r="Q865" s="22">
        <v>7144.86</v>
      </c>
      <c r="R865" s="23" t="s">
        <v>4697</v>
      </c>
      <c r="S865" s="23" t="s">
        <v>4697</v>
      </c>
      <c r="T865" s="23" t="s">
        <v>4714</v>
      </c>
      <c r="U865" s="23">
        <f>DATEDIF(P865, DATE(2023, 6, 8), "Y")</f>
        <v>38</v>
      </c>
      <c r="V865">
        <f>SUM(C865:K865)</f>
        <v>41.169999999999995</v>
      </c>
    </row>
    <row r="866" spans="1:22" ht="15.75">
      <c r="A866" s="28" t="s">
        <v>1730</v>
      </c>
      <c r="B866" s="28" t="s">
        <v>1731</v>
      </c>
      <c r="C866" s="23">
        <v>35.244999999999997</v>
      </c>
      <c r="D866" s="23">
        <v>4.63</v>
      </c>
      <c r="E866" s="23" t="s">
        <v>4682</v>
      </c>
      <c r="F866" s="23" t="s">
        <v>4682</v>
      </c>
      <c r="G866" s="23" t="s">
        <v>4682</v>
      </c>
      <c r="H866" s="23">
        <v>0</v>
      </c>
      <c r="I866" s="23" t="s">
        <v>4682</v>
      </c>
      <c r="J866" s="23" t="s">
        <v>4729</v>
      </c>
      <c r="K866" s="23" t="s">
        <v>4737</v>
      </c>
      <c r="L866">
        <v>1976</v>
      </c>
      <c r="M866" s="15" t="s">
        <v>4702</v>
      </c>
      <c r="N866">
        <v>24</v>
      </c>
      <c r="O866">
        <v>0</v>
      </c>
      <c r="P866" s="21">
        <f>DATEVALUE(N866&amp;"-"&amp;M866&amp;"-"&amp;L866)</f>
        <v>27935</v>
      </c>
      <c r="Q866" s="22">
        <v>7147.11</v>
      </c>
      <c r="R866" s="23" t="s">
        <v>4698</v>
      </c>
      <c r="S866" s="23" t="s">
        <v>4697</v>
      </c>
      <c r="T866" s="23" t="s">
        <v>4708</v>
      </c>
      <c r="U866" s="23">
        <f>DATEDIF(P866, DATE(2023, 6, 8), "Y")</f>
        <v>46</v>
      </c>
      <c r="V866">
        <f>SUM(C866:K866)</f>
        <v>39.875</v>
      </c>
    </row>
    <row r="867" spans="1:22" ht="15.75">
      <c r="A867" s="28" t="s">
        <v>1732</v>
      </c>
      <c r="B867" s="28" t="s">
        <v>1733</v>
      </c>
      <c r="C867" s="23">
        <v>26.23</v>
      </c>
      <c r="D867" s="23">
        <v>11.93</v>
      </c>
      <c r="E867" s="23" t="s">
        <v>4682</v>
      </c>
      <c r="F867" s="23" t="s">
        <v>4682</v>
      </c>
      <c r="G867" s="23" t="s">
        <v>4682</v>
      </c>
      <c r="H867" s="23">
        <v>0</v>
      </c>
      <c r="I867" s="23" t="s">
        <v>4682</v>
      </c>
      <c r="J867" s="23" t="s">
        <v>4730</v>
      </c>
      <c r="K867" s="23" t="s">
        <v>4735</v>
      </c>
      <c r="L867">
        <v>1978</v>
      </c>
      <c r="M867" s="15" t="s">
        <v>4696</v>
      </c>
      <c r="N867">
        <v>30</v>
      </c>
      <c r="O867">
        <v>1</v>
      </c>
      <c r="P867" s="21">
        <f>DATEVALUE(N867&amp;"-"&amp;M867&amp;"-"&amp;L867)</f>
        <v>28701</v>
      </c>
      <c r="Q867" s="22">
        <v>7147.47</v>
      </c>
      <c r="R867" s="23" t="s">
        <v>4697</v>
      </c>
      <c r="S867" s="23" t="s">
        <v>4698</v>
      </c>
      <c r="T867" s="23" t="s">
        <v>4699</v>
      </c>
      <c r="U867" s="23">
        <f>DATEDIF(P867, DATE(2023, 6, 8), "Y")</f>
        <v>44</v>
      </c>
      <c r="V867">
        <f>SUM(C867:K867)</f>
        <v>38.159999999999997</v>
      </c>
    </row>
    <row r="868" spans="1:22" ht="15.75">
      <c r="A868" s="28" t="s">
        <v>1734</v>
      </c>
      <c r="B868" s="28" t="s">
        <v>1735</v>
      </c>
      <c r="C868" s="23">
        <v>36.1</v>
      </c>
      <c r="D868" s="23">
        <v>5.65</v>
      </c>
      <c r="E868" s="23" t="s">
        <v>4683</v>
      </c>
      <c r="F868" s="23" t="s">
        <v>4682</v>
      </c>
      <c r="G868" s="23" t="s">
        <v>4682</v>
      </c>
      <c r="H868" s="23">
        <v>2</v>
      </c>
      <c r="I868" s="23" t="s">
        <v>4682</v>
      </c>
      <c r="J868" s="23" t="s">
        <v>4729</v>
      </c>
      <c r="K868" s="23" t="s">
        <v>4737</v>
      </c>
      <c r="L868">
        <v>1984</v>
      </c>
      <c r="M868" s="15" t="s">
        <v>4702</v>
      </c>
      <c r="N868">
        <v>29</v>
      </c>
      <c r="O868">
        <v>3</v>
      </c>
      <c r="P868" s="21">
        <f>DATEVALUE(N868&amp;"-"&amp;M868&amp;"-"&amp;L868)</f>
        <v>30862</v>
      </c>
      <c r="Q868" s="22">
        <v>7151.09</v>
      </c>
      <c r="R868" s="23" t="s">
        <v>4697</v>
      </c>
      <c r="S868" s="23" t="s">
        <v>4697</v>
      </c>
      <c r="T868" s="23" t="s">
        <v>4708</v>
      </c>
      <c r="U868" s="23">
        <f>DATEDIF(P868, DATE(2023, 6, 8), "Y")</f>
        <v>38</v>
      </c>
      <c r="V868">
        <f>SUM(C868:K868)</f>
        <v>43.75</v>
      </c>
    </row>
    <row r="869" spans="1:22" ht="15.75">
      <c r="A869" s="28" t="s">
        <v>1736</v>
      </c>
      <c r="B869" s="28" t="s">
        <v>1737</v>
      </c>
      <c r="C869" s="23">
        <v>37.1</v>
      </c>
      <c r="D869" s="23">
        <v>11.21</v>
      </c>
      <c r="E869" s="23" t="s">
        <v>4683</v>
      </c>
      <c r="F869" s="23" t="s">
        <v>4682</v>
      </c>
      <c r="G869" s="23" t="s">
        <v>4684</v>
      </c>
      <c r="H869" s="23">
        <v>1</v>
      </c>
      <c r="I869" s="23" t="s">
        <v>4682</v>
      </c>
      <c r="J869" s="23" t="s">
        <v>4729</v>
      </c>
      <c r="K869" s="23" t="s">
        <v>4735</v>
      </c>
      <c r="L869">
        <v>1978</v>
      </c>
      <c r="M869" s="15" t="s">
        <v>4703</v>
      </c>
      <c r="N869">
        <v>6</v>
      </c>
      <c r="O869">
        <v>1</v>
      </c>
      <c r="P869" s="21">
        <f>DATEVALUE(N869&amp;"-"&amp;M869&amp;"-"&amp;L869)</f>
        <v>28739</v>
      </c>
      <c r="Q869" s="22">
        <v>7152.67</v>
      </c>
      <c r="R869" s="23" t="s">
        <v>4698</v>
      </c>
      <c r="S869" s="23" t="s">
        <v>4697</v>
      </c>
      <c r="T869" s="23" t="s">
        <v>4699</v>
      </c>
      <c r="U869" s="23">
        <f>DATEDIF(P869, DATE(2023, 6, 8), "Y")</f>
        <v>44</v>
      </c>
      <c r="V869">
        <f>SUM(C869:K869)</f>
        <v>49.31</v>
      </c>
    </row>
    <row r="870" spans="1:22" ht="15.75">
      <c r="A870" s="28" t="s">
        <v>1738</v>
      </c>
      <c r="B870" s="28" t="s">
        <v>1739</v>
      </c>
      <c r="C870" s="23">
        <v>27.5</v>
      </c>
      <c r="D870" s="23">
        <v>10.62</v>
      </c>
      <c r="E870" s="23" t="s">
        <v>4683</v>
      </c>
      <c r="F870" s="23" t="s">
        <v>4682</v>
      </c>
      <c r="G870" s="23" t="s">
        <v>4684</v>
      </c>
      <c r="H870" s="23">
        <v>1</v>
      </c>
      <c r="I870" s="23" t="s">
        <v>4682</v>
      </c>
      <c r="J870" s="23" t="s">
        <v>4730</v>
      </c>
      <c r="K870" s="23" t="s">
        <v>4735</v>
      </c>
      <c r="L870">
        <v>1981</v>
      </c>
      <c r="M870" s="15" t="s">
        <v>4696</v>
      </c>
      <c r="N870">
        <v>17</v>
      </c>
      <c r="O870">
        <v>1</v>
      </c>
      <c r="P870" s="21">
        <f>DATEVALUE(N870&amp;"-"&amp;M870&amp;"-"&amp;L870)</f>
        <v>29784</v>
      </c>
      <c r="Q870" s="22">
        <v>7153.55</v>
      </c>
      <c r="R870" s="23" t="s">
        <v>4697</v>
      </c>
      <c r="S870" s="23" t="s">
        <v>4701</v>
      </c>
      <c r="T870" s="23" t="s">
        <v>4704</v>
      </c>
      <c r="U870" s="23">
        <f>DATEDIF(P870, DATE(2023, 6, 8), "Y")</f>
        <v>41</v>
      </c>
      <c r="V870">
        <f>SUM(C870:K870)</f>
        <v>39.119999999999997</v>
      </c>
    </row>
    <row r="871" spans="1:22" ht="15.75">
      <c r="A871" s="28" t="s">
        <v>1740</v>
      </c>
      <c r="B871" s="28" t="s">
        <v>1741</v>
      </c>
      <c r="C871" s="23">
        <v>24.7</v>
      </c>
      <c r="D871" s="23">
        <v>10.7</v>
      </c>
      <c r="E871" s="23" t="s">
        <v>4683</v>
      </c>
      <c r="F871" s="23" t="s">
        <v>4682</v>
      </c>
      <c r="G871" s="23" t="s">
        <v>4684</v>
      </c>
      <c r="H871" s="23">
        <v>1</v>
      </c>
      <c r="I871" s="23" t="s">
        <v>4682</v>
      </c>
      <c r="J871" s="23" t="s">
        <v>4728</v>
      </c>
      <c r="K871" s="23" t="s">
        <v>4735</v>
      </c>
      <c r="L871">
        <v>1980</v>
      </c>
      <c r="M871" s="15" t="s">
        <v>4702</v>
      </c>
      <c r="N871">
        <v>22</v>
      </c>
      <c r="O871">
        <v>2</v>
      </c>
      <c r="P871" s="21">
        <f>DATEVALUE(N871&amp;"-"&amp;M871&amp;"-"&amp;L871)</f>
        <v>29394</v>
      </c>
      <c r="Q871" s="22">
        <v>7160.09</v>
      </c>
      <c r="R871" s="23" t="s">
        <v>4697</v>
      </c>
      <c r="S871" s="23" t="s">
        <v>4697</v>
      </c>
      <c r="T871" s="23" t="s">
        <v>4708</v>
      </c>
      <c r="U871" s="23">
        <f>DATEDIF(P871, DATE(2023, 6, 8), "Y")</f>
        <v>42</v>
      </c>
      <c r="V871">
        <f>SUM(C871:K871)</f>
        <v>36.4</v>
      </c>
    </row>
    <row r="872" spans="1:22" ht="15.75">
      <c r="A872" s="28" t="s">
        <v>1742</v>
      </c>
      <c r="B872" s="28" t="s">
        <v>1743</v>
      </c>
      <c r="C872" s="23">
        <v>26.78</v>
      </c>
      <c r="D872" s="23">
        <v>10.02</v>
      </c>
      <c r="E872" s="23" t="s">
        <v>4683</v>
      </c>
      <c r="F872" s="23" t="s">
        <v>4682</v>
      </c>
      <c r="G872" s="23" t="s">
        <v>4684</v>
      </c>
      <c r="H872" s="23">
        <v>1</v>
      </c>
      <c r="I872" s="23" t="s">
        <v>4682</v>
      </c>
      <c r="J872" s="23" t="s">
        <v>4730</v>
      </c>
      <c r="K872" s="23" t="s">
        <v>4735</v>
      </c>
      <c r="L872">
        <v>1980</v>
      </c>
      <c r="M872" s="15" t="s">
        <v>4707</v>
      </c>
      <c r="N872">
        <v>7</v>
      </c>
      <c r="O872">
        <v>2</v>
      </c>
      <c r="P872" s="21">
        <f>DATEVALUE(N872&amp;"-"&amp;M872&amp;"-"&amp;L872)</f>
        <v>29501</v>
      </c>
      <c r="Q872" s="22">
        <v>7160.33</v>
      </c>
      <c r="R872" s="23" t="s">
        <v>4697</v>
      </c>
      <c r="S872" s="23" t="s">
        <v>4701</v>
      </c>
      <c r="T872" s="23" t="s">
        <v>4699</v>
      </c>
      <c r="U872" s="23">
        <f>DATEDIF(P872, DATE(2023, 6, 8), "Y")</f>
        <v>42</v>
      </c>
      <c r="V872">
        <f>SUM(C872:K872)</f>
        <v>37.799999999999997</v>
      </c>
    </row>
    <row r="873" spans="1:22" ht="15.75">
      <c r="A873" s="28" t="s">
        <v>1744</v>
      </c>
      <c r="B873" s="28" t="s">
        <v>1745</v>
      </c>
      <c r="C873" s="23">
        <v>45.8</v>
      </c>
      <c r="D873" s="23">
        <v>4.8499999999999996</v>
      </c>
      <c r="E873" s="23" t="s">
        <v>4682</v>
      </c>
      <c r="F873" s="23" t="s">
        <v>4682</v>
      </c>
      <c r="G873" s="23" t="s">
        <v>4682</v>
      </c>
      <c r="H873" s="23">
        <v>0</v>
      </c>
      <c r="I873" s="23" t="s">
        <v>4682</v>
      </c>
      <c r="J873" s="23" t="s">
        <v>4729</v>
      </c>
      <c r="K873" s="23" t="s">
        <v>4737</v>
      </c>
      <c r="L873">
        <v>1980</v>
      </c>
      <c r="M873" s="15" t="s">
        <v>4703</v>
      </c>
      <c r="N873">
        <v>30</v>
      </c>
      <c r="O873">
        <v>2</v>
      </c>
      <c r="P873" s="21">
        <f>DATEVALUE(N873&amp;"-"&amp;M873&amp;"-"&amp;L873)</f>
        <v>29494</v>
      </c>
      <c r="Q873" s="22">
        <v>7162.01</v>
      </c>
      <c r="R873" s="23" t="s">
        <v>4697</v>
      </c>
      <c r="S873" s="23" t="s">
        <v>4698</v>
      </c>
      <c r="T873" s="23" t="s">
        <v>4699</v>
      </c>
      <c r="U873" s="23">
        <f>DATEDIF(P873, DATE(2023, 6, 8), "Y")</f>
        <v>42</v>
      </c>
      <c r="V873">
        <f>SUM(C873:K873)</f>
        <v>50.65</v>
      </c>
    </row>
    <row r="874" spans="1:22" ht="15.75">
      <c r="A874" s="28" t="s">
        <v>1746</v>
      </c>
      <c r="B874" s="28" t="s">
        <v>1747</v>
      </c>
      <c r="C874" s="23">
        <v>29</v>
      </c>
      <c r="D874" s="23">
        <v>4.3899999999999997</v>
      </c>
      <c r="E874" s="23" t="s">
        <v>4683</v>
      </c>
      <c r="F874" s="23" t="s">
        <v>4682</v>
      </c>
      <c r="G874" s="23" t="s">
        <v>4682</v>
      </c>
      <c r="H874" s="23">
        <v>2</v>
      </c>
      <c r="I874" s="23" t="s">
        <v>4682</v>
      </c>
      <c r="J874" s="23" t="s">
        <v>4730</v>
      </c>
      <c r="K874" s="23" t="s">
        <v>4737</v>
      </c>
      <c r="L874">
        <v>1982</v>
      </c>
      <c r="M874" s="15" t="s">
        <v>4706</v>
      </c>
      <c r="N874">
        <v>16</v>
      </c>
      <c r="O874">
        <v>2</v>
      </c>
      <c r="P874" s="21">
        <f>DATEVALUE(N874&amp;"-"&amp;M874&amp;"-"&amp;L874)</f>
        <v>30179</v>
      </c>
      <c r="Q874" s="22">
        <v>7173.36</v>
      </c>
      <c r="R874" s="23" t="s">
        <v>4698</v>
      </c>
      <c r="S874" s="23" t="s">
        <v>4697</v>
      </c>
      <c r="T874" s="23" t="s">
        <v>4711</v>
      </c>
      <c r="U874" s="23">
        <f>DATEDIF(P874, DATE(2023, 6, 8), "Y")</f>
        <v>40</v>
      </c>
      <c r="V874">
        <f>SUM(C874:K874)</f>
        <v>35.39</v>
      </c>
    </row>
    <row r="875" spans="1:22" ht="15.75">
      <c r="A875" s="28" t="s">
        <v>1748</v>
      </c>
      <c r="B875" s="28" t="s">
        <v>1749</v>
      </c>
      <c r="C875" s="23">
        <v>33.534999999999997</v>
      </c>
      <c r="D875" s="23">
        <v>8.24</v>
      </c>
      <c r="E875" s="23" t="s">
        <v>4683</v>
      </c>
      <c r="F875" s="23" t="s">
        <v>4682</v>
      </c>
      <c r="G875" s="23" t="s">
        <v>4682</v>
      </c>
      <c r="H875" s="23">
        <v>0</v>
      </c>
      <c r="I875" s="23" t="s">
        <v>4682</v>
      </c>
      <c r="J875" s="23" t="s">
        <v>4729</v>
      </c>
      <c r="K875" s="23" t="s">
        <v>4735</v>
      </c>
      <c r="L875">
        <v>1975</v>
      </c>
      <c r="M875" s="15" t="s">
        <v>4696</v>
      </c>
      <c r="N875">
        <v>19</v>
      </c>
      <c r="O875">
        <v>1</v>
      </c>
      <c r="P875" s="21">
        <f>DATEVALUE(N875&amp;"-"&amp;M875&amp;"-"&amp;L875)</f>
        <v>27594</v>
      </c>
      <c r="Q875" s="22">
        <v>7175.51</v>
      </c>
      <c r="R875" s="23" t="s">
        <v>4697</v>
      </c>
      <c r="S875" s="23" t="s">
        <v>4698</v>
      </c>
      <c r="T875" s="23" t="s">
        <v>4699</v>
      </c>
      <c r="U875" s="23">
        <f>DATEDIF(P875, DATE(2023, 6, 8), "Y")</f>
        <v>47</v>
      </c>
      <c r="V875">
        <f>SUM(C875:K875)</f>
        <v>41.774999999999999</v>
      </c>
    </row>
    <row r="876" spans="1:22" ht="15.75">
      <c r="A876" s="28" t="s">
        <v>1750</v>
      </c>
      <c r="B876" s="28" t="s">
        <v>1751</v>
      </c>
      <c r="C876" s="23">
        <v>32.774999999999999</v>
      </c>
      <c r="D876" s="23">
        <v>9.77</v>
      </c>
      <c r="E876" s="23" t="s">
        <v>4683</v>
      </c>
      <c r="F876" s="23" t="s">
        <v>4682</v>
      </c>
      <c r="G876" s="23" t="s">
        <v>4682</v>
      </c>
      <c r="H876" s="23">
        <v>0</v>
      </c>
      <c r="I876" s="23" t="s">
        <v>4682</v>
      </c>
      <c r="J876" s="23" t="s">
        <v>4729</v>
      </c>
      <c r="K876" s="23" t="s">
        <v>4735</v>
      </c>
      <c r="L876">
        <v>1968</v>
      </c>
      <c r="M876" s="15" t="s">
        <v>4706</v>
      </c>
      <c r="N876">
        <v>26</v>
      </c>
      <c r="O876">
        <v>0</v>
      </c>
      <c r="P876" s="21">
        <f>DATEVALUE(N876&amp;"-"&amp;M876&amp;"-"&amp;L876)</f>
        <v>25076</v>
      </c>
      <c r="Q876" s="22">
        <v>7179.52</v>
      </c>
      <c r="R876" s="23" t="s">
        <v>4698</v>
      </c>
      <c r="S876" s="23" t="s">
        <v>4698</v>
      </c>
      <c r="T876" s="23" t="s">
        <v>4699</v>
      </c>
      <c r="U876" s="23">
        <f>DATEDIF(P876, DATE(2023, 6, 8), "Y")</f>
        <v>54</v>
      </c>
      <c r="V876">
        <f>SUM(C876:K876)</f>
        <v>42.545000000000002</v>
      </c>
    </row>
    <row r="877" spans="1:22" ht="15.75">
      <c r="A877" s="28" t="s">
        <v>1752</v>
      </c>
      <c r="B877" s="28" t="s">
        <v>1753</v>
      </c>
      <c r="C877" s="23">
        <v>37.51</v>
      </c>
      <c r="D877" s="23">
        <v>5.5</v>
      </c>
      <c r="E877" s="23" t="s">
        <v>4683</v>
      </c>
      <c r="F877" s="23" t="s">
        <v>4682</v>
      </c>
      <c r="G877" s="23" t="s">
        <v>4682</v>
      </c>
      <c r="H877" s="23">
        <v>2</v>
      </c>
      <c r="I877" s="23" t="s">
        <v>4682</v>
      </c>
      <c r="J877" s="23" t="s">
        <v>4729</v>
      </c>
      <c r="K877" s="23" t="s">
        <v>4737</v>
      </c>
      <c r="L877">
        <v>1982</v>
      </c>
      <c r="M877" s="15" t="s">
        <v>4703</v>
      </c>
      <c r="N877">
        <v>14</v>
      </c>
      <c r="O877">
        <v>3</v>
      </c>
      <c r="P877" s="21">
        <f>DATEVALUE(N877&amp;"-"&amp;M877&amp;"-"&amp;L877)</f>
        <v>30208</v>
      </c>
      <c r="Q877" s="22">
        <v>7196.87</v>
      </c>
      <c r="R877" s="23" t="s">
        <v>4698</v>
      </c>
      <c r="S877" s="23" t="s">
        <v>4697</v>
      </c>
      <c r="T877" s="23" t="s">
        <v>4708</v>
      </c>
      <c r="U877" s="23">
        <f>DATEDIF(P877, DATE(2023, 6, 8), "Y")</f>
        <v>40</v>
      </c>
      <c r="V877">
        <f>SUM(C877:K877)</f>
        <v>45.01</v>
      </c>
    </row>
    <row r="878" spans="1:22" ht="15.75">
      <c r="A878" s="28" t="s">
        <v>1754</v>
      </c>
      <c r="B878" s="28" t="s">
        <v>1755</v>
      </c>
      <c r="C878" s="23">
        <v>39.86</v>
      </c>
      <c r="D878" s="23">
        <v>11.84</v>
      </c>
      <c r="E878" s="23" t="s">
        <v>4683</v>
      </c>
      <c r="F878" s="23" t="s">
        <v>4682</v>
      </c>
      <c r="G878" s="23" t="s">
        <v>4682</v>
      </c>
      <c r="H878" s="23">
        <v>1</v>
      </c>
      <c r="I878" s="23" t="s">
        <v>4682</v>
      </c>
      <c r="J878" s="23" t="s">
        <v>4729</v>
      </c>
      <c r="K878" s="23" t="s">
        <v>4735</v>
      </c>
      <c r="L878">
        <v>1983</v>
      </c>
      <c r="M878" s="15" t="s">
        <v>4706</v>
      </c>
      <c r="N878">
        <v>11</v>
      </c>
      <c r="O878">
        <v>2</v>
      </c>
      <c r="P878" s="21">
        <f>DATEVALUE(N878&amp;"-"&amp;M878&amp;"-"&amp;L878)</f>
        <v>30539</v>
      </c>
      <c r="Q878" s="22">
        <v>7201.7</v>
      </c>
      <c r="R878" s="23" t="s">
        <v>4697</v>
      </c>
      <c r="S878" s="23" t="s">
        <v>4698</v>
      </c>
      <c r="T878" s="23" t="s">
        <v>4704</v>
      </c>
      <c r="U878" s="23">
        <f>DATEDIF(P878, DATE(2023, 6, 8), "Y")</f>
        <v>39</v>
      </c>
      <c r="V878">
        <f>SUM(C878:K878)</f>
        <v>52.7</v>
      </c>
    </row>
    <row r="879" spans="1:22" ht="15.75">
      <c r="A879" s="28" t="s">
        <v>1756</v>
      </c>
      <c r="B879" s="28" t="s">
        <v>1757</v>
      </c>
      <c r="C879" s="23">
        <v>42.13</v>
      </c>
      <c r="D879" s="23">
        <v>4.66</v>
      </c>
      <c r="E879" s="23" t="s">
        <v>4682</v>
      </c>
      <c r="F879" s="23" t="s">
        <v>4682</v>
      </c>
      <c r="G879" s="23" t="s">
        <v>4682</v>
      </c>
      <c r="H879" s="23">
        <v>0</v>
      </c>
      <c r="I879" s="23" t="s">
        <v>4682</v>
      </c>
      <c r="J879" s="23" t="s">
        <v>4729</v>
      </c>
      <c r="K879" s="23" t="s">
        <v>4737</v>
      </c>
      <c r="L879">
        <v>1983</v>
      </c>
      <c r="M879" s="15" t="s">
        <v>4700</v>
      </c>
      <c r="N879">
        <v>21</v>
      </c>
      <c r="O879">
        <v>2</v>
      </c>
      <c r="P879" s="21">
        <f>DATEVALUE(N879&amp;"-"&amp;M879&amp;"-"&amp;L879)</f>
        <v>30641</v>
      </c>
      <c r="Q879" s="22">
        <v>7209.49</v>
      </c>
      <c r="R879" s="23" t="s">
        <v>4697</v>
      </c>
      <c r="S879" s="23" t="s">
        <v>4698</v>
      </c>
      <c r="T879" s="23" t="s">
        <v>4704</v>
      </c>
      <c r="U879" s="23">
        <f>DATEDIF(P879, DATE(2023, 6, 8), "Y")</f>
        <v>39</v>
      </c>
      <c r="V879">
        <f>SUM(C879:K879)</f>
        <v>46.790000000000006</v>
      </c>
    </row>
    <row r="880" spans="1:22" ht="15.75">
      <c r="A880" s="28" t="s">
        <v>1758</v>
      </c>
      <c r="B880" s="28" t="s">
        <v>1759</v>
      </c>
      <c r="C880" s="23">
        <v>35.99</v>
      </c>
      <c r="D880" s="23">
        <v>11.11</v>
      </c>
      <c r="E880" s="23" t="s">
        <v>4682</v>
      </c>
      <c r="F880" s="23" t="s">
        <v>4682</v>
      </c>
      <c r="G880" s="23" t="s">
        <v>4682</v>
      </c>
      <c r="H880" s="23">
        <v>0</v>
      </c>
      <c r="I880" s="23" t="s">
        <v>4682</v>
      </c>
      <c r="J880" s="23" t="s">
        <v>4729</v>
      </c>
      <c r="K880" s="23" t="s">
        <v>4735</v>
      </c>
      <c r="L880">
        <v>1991</v>
      </c>
      <c r="M880" s="15" t="s">
        <v>4702</v>
      </c>
      <c r="N880">
        <v>28</v>
      </c>
      <c r="O880">
        <v>3</v>
      </c>
      <c r="P880" s="21">
        <f>DATEVALUE(N880&amp;"-"&amp;M880&amp;"-"&amp;L880)</f>
        <v>33417</v>
      </c>
      <c r="Q880" s="22">
        <v>7220.25</v>
      </c>
      <c r="R880" s="23" t="s">
        <v>4697</v>
      </c>
      <c r="S880" s="23" t="s">
        <v>4697</v>
      </c>
      <c r="T880" s="23" t="s">
        <v>4717</v>
      </c>
      <c r="U880" s="23">
        <f>DATEDIF(P880, DATE(2023, 6, 8), "Y")</f>
        <v>31</v>
      </c>
      <c r="V880">
        <f>SUM(C880:K880)</f>
        <v>47.1</v>
      </c>
    </row>
    <row r="881" spans="1:22" ht="15.75">
      <c r="A881" s="28" t="s">
        <v>1760</v>
      </c>
      <c r="B881" s="28" t="s">
        <v>1761</v>
      </c>
      <c r="C881" s="23">
        <v>35.200000000000003</v>
      </c>
      <c r="D881" s="23">
        <v>7.72</v>
      </c>
      <c r="E881" s="23" t="s">
        <v>4683</v>
      </c>
      <c r="F881" s="23" t="s">
        <v>4682</v>
      </c>
      <c r="G881" s="23" t="s">
        <v>4684</v>
      </c>
      <c r="H881" s="23">
        <v>1</v>
      </c>
      <c r="I881" s="23" t="s">
        <v>4682</v>
      </c>
      <c r="J881" s="23" t="s">
        <v>4729</v>
      </c>
      <c r="K881" s="23" t="s">
        <v>4735</v>
      </c>
      <c r="L881">
        <v>1977</v>
      </c>
      <c r="M881" s="15" t="s">
        <v>4703</v>
      </c>
      <c r="N881">
        <v>15</v>
      </c>
      <c r="O881">
        <v>0</v>
      </c>
      <c r="P881" s="21">
        <f>DATEVALUE(N881&amp;"-"&amp;M881&amp;"-"&amp;L881)</f>
        <v>28383</v>
      </c>
      <c r="Q881" s="22">
        <v>7222.79</v>
      </c>
      <c r="R881" s="23" t="s">
        <v>4698</v>
      </c>
      <c r="S881" s="23" t="s">
        <v>4698</v>
      </c>
      <c r="T881" s="23" t="s">
        <v>4704</v>
      </c>
      <c r="U881" s="23">
        <f>DATEDIF(P881, DATE(2023, 6, 8), "Y")</f>
        <v>45</v>
      </c>
      <c r="V881">
        <f>SUM(C881:K881)</f>
        <v>43.92</v>
      </c>
    </row>
    <row r="882" spans="1:22" ht="15.75">
      <c r="A882" s="28" t="s">
        <v>1762</v>
      </c>
      <c r="B882" s="28" t="s">
        <v>1763</v>
      </c>
      <c r="C882" s="23">
        <v>29.91</v>
      </c>
      <c r="D882" s="23">
        <v>5.55</v>
      </c>
      <c r="E882" s="23" t="s">
        <v>4683</v>
      </c>
      <c r="F882" s="23" t="s">
        <v>4682</v>
      </c>
      <c r="G882" s="23" t="s">
        <v>4682</v>
      </c>
      <c r="H882" s="23">
        <v>2</v>
      </c>
      <c r="I882" s="23" t="s">
        <v>4682</v>
      </c>
      <c r="J882" s="23" t="s">
        <v>4729</v>
      </c>
      <c r="K882" s="23" t="s">
        <v>4737</v>
      </c>
      <c r="L882">
        <v>1986</v>
      </c>
      <c r="M882" s="15" t="s">
        <v>4696</v>
      </c>
      <c r="N882">
        <v>13</v>
      </c>
      <c r="O882">
        <v>3</v>
      </c>
      <c r="P882" s="21">
        <f>DATEVALUE(N882&amp;"-"&amp;M882&amp;"-"&amp;L882)</f>
        <v>31606</v>
      </c>
      <c r="Q882" s="22">
        <v>7228.22</v>
      </c>
      <c r="R882" s="23" t="s">
        <v>4697</v>
      </c>
      <c r="S882" s="23" t="s">
        <v>4701</v>
      </c>
      <c r="T882" s="23" t="s">
        <v>4714</v>
      </c>
      <c r="U882" s="23">
        <f>DATEDIF(P882, DATE(2023, 6, 8), "Y")</f>
        <v>36</v>
      </c>
      <c r="V882">
        <f>SUM(C882:K882)</f>
        <v>37.46</v>
      </c>
    </row>
    <row r="883" spans="1:22" ht="15.75">
      <c r="A883" s="28" t="s">
        <v>1764</v>
      </c>
      <c r="B883" s="28" t="s">
        <v>1765</v>
      </c>
      <c r="C883" s="23">
        <v>36.479999999999997</v>
      </c>
      <c r="D883" s="23">
        <v>5.05</v>
      </c>
      <c r="E883" s="23" t="s">
        <v>4683</v>
      </c>
      <c r="F883" s="23" t="s">
        <v>4682</v>
      </c>
      <c r="G883" s="23" t="s">
        <v>4682</v>
      </c>
      <c r="H883" s="23">
        <v>1</v>
      </c>
      <c r="I883" s="23" t="s">
        <v>4682</v>
      </c>
      <c r="J883" s="23" t="s">
        <v>4729</v>
      </c>
      <c r="K883" s="23" t="s">
        <v>4737</v>
      </c>
      <c r="L883">
        <v>1986</v>
      </c>
      <c r="M883" s="15" t="s">
        <v>4703</v>
      </c>
      <c r="N883">
        <v>2</v>
      </c>
      <c r="O883">
        <v>4</v>
      </c>
      <c r="P883" s="21">
        <f>DATEVALUE(N883&amp;"-"&amp;M883&amp;"-"&amp;L883)</f>
        <v>31657</v>
      </c>
      <c r="Q883" s="22">
        <v>7243.81</v>
      </c>
      <c r="R883" s="23" t="s">
        <v>4697</v>
      </c>
      <c r="S883" s="23" t="s">
        <v>4698</v>
      </c>
      <c r="T883" s="23" t="s">
        <v>4699</v>
      </c>
      <c r="U883" s="23">
        <f>DATEDIF(P883, DATE(2023, 6, 8), "Y")</f>
        <v>36</v>
      </c>
      <c r="V883">
        <f>SUM(C883:K883)</f>
        <v>42.529999999999994</v>
      </c>
    </row>
    <row r="884" spans="1:22" ht="15.75">
      <c r="A884" s="28" t="s">
        <v>1766</v>
      </c>
      <c r="B884" s="28" t="s">
        <v>1767</v>
      </c>
      <c r="C884" s="23">
        <v>27.5</v>
      </c>
      <c r="D884" s="23">
        <v>8.69</v>
      </c>
      <c r="E884" s="23" t="s">
        <v>4683</v>
      </c>
      <c r="F884" s="23" t="s">
        <v>4682</v>
      </c>
      <c r="G884" s="23" t="s">
        <v>4684</v>
      </c>
      <c r="H884" s="23">
        <v>1</v>
      </c>
      <c r="I884" s="23" t="s">
        <v>4682</v>
      </c>
      <c r="J884" s="23" t="s">
        <v>4730</v>
      </c>
      <c r="K884" s="23" t="s">
        <v>4735</v>
      </c>
      <c r="L884">
        <v>1982</v>
      </c>
      <c r="M884" s="15" t="s">
        <v>4696</v>
      </c>
      <c r="N884">
        <v>24</v>
      </c>
      <c r="O884">
        <v>3</v>
      </c>
      <c r="P884" s="21">
        <f>DATEVALUE(N884&amp;"-"&amp;M884&amp;"-"&amp;L884)</f>
        <v>30156</v>
      </c>
      <c r="Q884" s="22">
        <v>7248.71</v>
      </c>
      <c r="R884" s="23" t="s">
        <v>4697</v>
      </c>
      <c r="S884" s="23" t="s">
        <v>4701</v>
      </c>
      <c r="T884" s="23" t="s">
        <v>4699</v>
      </c>
      <c r="U884" s="23">
        <f>DATEDIF(P884, DATE(2023, 6, 8), "Y")</f>
        <v>40</v>
      </c>
      <c r="V884">
        <f>SUM(C884:K884)</f>
        <v>37.19</v>
      </c>
    </row>
    <row r="885" spans="1:22" ht="15.75">
      <c r="A885" s="28" t="s">
        <v>1768</v>
      </c>
      <c r="B885" s="28" t="s">
        <v>1769</v>
      </c>
      <c r="C885" s="23">
        <v>33.44</v>
      </c>
      <c r="D885" s="23">
        <v>5.9</v>
      </c>
      <c r="E885" s="23" t="s">
        <v>4683</v>
      </c>
      <c r="F885" s="23" t="s">
        <v>4682</v>
      </c>
      <c r="G885" s="23" t="s">
        <v>4682</v>
      </c>
      <c r="H885" s="23">
        <v>1</v>
      </c>
      <c r="I885" s="23" t="s">
        <v>4682</v>
      </c>
      <c r="J885" s="23" t="s">
        <v>4729</v>
      </c>
      <c r="K885" s="23" t="s">
        <v>4736</v>
      </c>
      <c r="L885">
        <v>1981</v>
      </c>
      <c r="M885" s="15" t="s">
        <v>4706</v>
      </c>
      <c r="N885">
        <v>14</v>
      </c>
      <c r="O885">
        <v>2</v>
      </c>
      <c r="P885" s="21">
        <f>DATEVALUE(N885&amp;"-"&amp;M885&amp;"-"&amp;L885)</f>
        <v>29812</v>
      </c>
      <c r="Q885" s="22">
        <v>7256.72</v>
      </c>
      <c r="R885" s="23" t="s">
        <v>4698</v>
      </c>
      <c r="S885" s="23" t="s">
        <v>4697</v>
      </c>
      <c r="T885" s="23" t="s">
        <v>4704</v>
      </c>
      <c r="U885" s="23">
        <f>DATEDIF(P885, DATE(2023, 6, 8), "Y")</f>
        <v>41</v>
      </c>
      <c r="V885">
        <f>SUM(C885:K885)</f>
        <v>40.339999999999996</v>
      </c>
    </row>
    <row r="886" spans="1:22" ht="15.75">
      <c r="A886" s="28" t="s">
        <v>1770</v>
      </c>
      <c r="B886" s="28" t="s">
        <v>1771</v>
      </c>
      <c r="C886" s="23">
        <v>28.215</v>
      </c>
      <c r="D886" s="23">
        <v>6.29</v>
      </c>
      <c r="E886" s="23" t="s">
        <v>4683</v>
      </c>
      <c r="F886" s="23" t="s">
        <v>4682</v>
      </c>
      <c r="G886" s="23" t="s">
        <v>4682</v>
      </c>
      <c r="H886" s="23">
        <v>1</v>
      </c>
      <c r="I886" s="23" t="s">
        <v>4682</v>
      </c>
      <c r="J886" s="23" t="s">
        <v>4730</v>
      </c>
      <c r="K886" s="23" t="s">
        <v>4736</v>
      </c>
      <c r="L886">
        <v>1981</v>
      </c>
      <c r="M886" s="15" t="s">
        <v>4702</v>
      </c>
      <c r="N886">
        <v>13</v>
      </c>
      <c r="O886">
        <v>2</v>
      </c>
      <c r="P886" s="21">
        <f>DATEVALUE(N886&amp;"-"&amp;M886&amp;"-"&amp;L886)</f>
        <v>29750</v>
      </c>
      <c r="Q886" s="22">
        <v>7261.74</v>
      </c>
      <c r="R886" s="23" t="s">
        <v>4698</v>
      </c>
      <c r="S886" s="23" t="s">
        <v>4698</v>
      </c>
      <c r="T886" s="23" t="s">
        <v>4704</v>
      </c>
      <c r="U886" s="23">
        <f>DATEDIF(P886, DATE(2023, 6, 8), "Y")</f>
        <v>41</v>
      </c>
      <c r="V886">
        <f>SUM(C886:K886)</f>
        <v>35.505000000000003</v>
      </c>
    </row>
    <row r="887" spans="1:22" ht="15.75">
      <c r="A887" s="28" t="s">
        <v>1772</v>
      </c>
      <c r="B887" s="28" t="s">
        <v>1773</v>
      </c>
      <c r="C887" s="23">
        <v>27.17</v>
      </c>
      <c r="D887" s="23">
        <v>5.84</v>
      </c>
      <c r="E887" s="23" t="s">
        <v>4683</v>
      </c>
      <c r="F887" s="23" t="s">
        <v>4682</v>
      </c>
      <c r="G887" s="23" t="s">
        <v>4682</v>
      </c>
      <c r="H887" s="23">
        <v>1</v>
      </c>
      <c r="I887" s="23" t="s">
        <v>4682</v>
      </c>
      <c r="J887" s="23" t="s">
        <v>4730</v>
      </c>
      <c r="K887" s="23" t="s">
        <v>4736</v>
      </c>
      <c r="L887">
        <v>1973</v>
      </c>
      <c r="M887" s="15" t="s">
        <v>4707</v>
      </c>
      <c r="N887">
        <v>25</v>
      </c>
      <c r="O887">
        <v>0</v>
      </c>
      <c r="P887" s="21">
        <f>DATEVALUE(N887&amp;"-"&amp;M887&amp;"-"&amp;L887)</f>
        <v>26962</v>
      </c>
      <c r="Q887" s="22">
        <v>7265.58</v>
      </c>
      <c r="R887" s="23" t="s">
        <v>4697</v>
      </c>
      <c r="S887" s="23" t="s">
        <v>4697</v>
      </c>
      <c r="T887" s="23" t="s">
        <v>4699</v>
      </c>
      <c r="U887" s="23">
        <f>DATEDIF(P887, DATE(2023, 6, 8), "Y")</f>
        <v>49</v>
      </c>
      <c r="V887">
        <f>SUM(C887:K887)</f>
        <v>34.010000000000005</v>
      </c>
    </row>
    <row r="888" spans="1:22" ht="15.75">
      <c r="A888" s="28" t="s">
        <v>1774</v>
      </c>
      <c r="B888" s="28" t="s">
        <v>1775</v>
      </c>
      <c r="C888" s="23">
        <v>35.380000000000003</v>
      </c>
      <c r="D888" s="23">
        <v>6.12</v>
      </c>
      <c r="E888" s="23" t="s">
        <v>4682</v>
      </c>
      <c r="F888" s="23" t="s">
        <v>4682</v>
      </c>
      <c r="G888" s="23" t="s">
        <v>4682</v>
      </c>
      <c r="H888" s="23">
        <v>0</v>
      </c>
      <c r="I888" s="23" t="s">
        <v>4682</v>
      </c>
      <c r="J888" s="23" t="s">
        <v>4729</v>
      </c>
      <c r="K888" s="23" t="s">
        <v>4736</v>
      </c>
      <c r="L888">
        <v>1981</v>
      </c>
      <c r="M888" s="15" t="s">
        <v>4706</v>
      </c>
      <c r="N888">
        <v>4</v>
      </c>
      <c r="O888">
        <v>2</v>
      </c>
      <c r="P888" s="21">
        <f>DATEVALUE(N888&amp;"-"&amp;M888&amp;"-"&amp;L888)</f>
        <v>29802</v>
      </c>
      <c r="Q888" s="22">
        <v>7265.7</v>
      </c>
      <c r="R888" s="23" t="s">
        <v>4698</v>
      </c>
      <c r="S888" s="23" t="s">
        <v>4698</v>
      </c>
      <c r="T888" s="23" t="s">
        <v>4704</v>
      </c>
      <c r="U888" s="23">
        <f>DATEDIF(P888, DATE(2023, 6, 8), "Y")</f>
        <v>41</v>
      </c>
      <c r="V888">
        <f>SUM(C888:K888)</f>
        <v>41.5</v>
      </c>
    </row>
    <row r="889" spans="1:22" ht="15.75">
      <c r="A889" s="28" t="s">
        <v>1776</v>
      </c>
      <c r="B889" s="28" t="s">
        <v>1777</v>
      </c>
      <c r="C889" s="23">
        <v>43.48</v>
      </c>
      <c r="D889" s="23">
        <v>6.24</v>
      </c>
      <c r="E889" s="23" t="s">
        <v>4682</v>
      </c>
      <c r="F889" s="23" t="s">
        <v>4682</v>
      </c>
      <c r="G889" s="23" t="s">
        <v>4682</v>
      </c>
      <c r="H889" s="23">
        <v>0</v>
      </c>
      <c r="I889" s="23" t="s">
        <v>4682</v>
      </c>
      <c r="J889" s="23" t="s">
        <v>4729</v>
      </c>
      <c r="K889" s="23" t="s">
        <v>4736</v>
      </c>
      <c r="L889">
        <v>1976</v>
      </c>
      <c r="M889" s="15" t="s">
        <v>4705</v>
      </c>
      <c r="N889">
        <v>18</v>
      </c>
      <c r="O889">
        <v>2</v>
      </c>
      <c r="P889" s="21">
        <f>DATEVALUE(N889&amp;"-"&amp;M889&amp;"-"&amp;L889)</f>
        <v>28112</v>
      </c>
      <c r="Q889" s="22">
        <v>7273.02</v>
      </c>
      <c r="R889" s="23" t="s">
        <v>4697</v>
      </c>
      <c r="S889" s="23" t="s">
        <v>4701</v>
      </c>
      <c r="T889" s="23" t="s">
        <v>4699</v>
      </c>
      <c r="U889" s="23">
        <f>DATEDIF(P889, DATE(2023, 6, 8), "Y")</f>
        <v>46</v>
      </c>
      <c r="V889">
        <f>SUM(C889:K889)</f>
        <v>49.72</v>
      </c>
    </row>
    <row r="890" spans="1:22" ht="15.75">
      <c r="A890" s="28" t="s">
        <v>1778</v>
      </c>
      <c r="B890" s="28" t="s">
        <v>1779</v>
      </c>
      <c r="C890" s="23">
        <v>41.73</v>
      </c>
      <c r="D890" s="23">
        <v>6.25</v>
      </c>
      <c r="E890" s="23" t="s">
        <v>4682</v>
      </c>
      <c r="F890" s="23" t="s">
        <v>4682</v>
      </c>
      <c r="G890" s="23" t="s">
        <v>4682</v>
      </c>
      <c r="H890" s="23">
        <v>1</v>
      </c>
      <c r="I890" s="23" t="s">
        <v>4682</v>
      </c>
      <c r="J890" s="23" t="s">
        <v>4729</v>
      </c>
      <c r="K890" s="23" t="s">
        <v>4736</v>
      </c>
      <c r="L890">
        <v>1985</v>
      </c>
      <c r="M890" s="15" t="s">
        <v>4700</v>
      </c>
      <c r="N890">
        <v>2</v>
      </c>
      <c r="O890">
        <v>3</v>
      </c>
      <c r="P890" s="21">
        <f>DATEVALUE(N890&amp;"-"&amp;M890&amp;"-"&amp;L890)</f>
        <v>31353</v>
      </c>
      <c r="Q890" s="22">
        <v>7281.51</v>
      </c>
      <c r="R890" s="23" t="s">
        <v>4697</v>
      </c>
      <c r="S890" s="23" t="s">
        <v>4701</v>
      </c>
      <c r="T890" s="23" t="s">
        <v>4704</v>
      </c>
      <c r="U890" s="23">
        <f>DATEDIF(P890, DATE(2023, 6, 8), "Y")</f>
        <v>37</v>
      </c>
      <c r="V890">
        <f>SUM(C890:K890)</f>
        <v>48.98</v>
      </c>
    </row>
    <row r="891" spans="1:22" ht="15.75">
      <c r="A891" s="28" t="s">
        <v>1780</v>
      </c>
      <c r="B891" s="28" t="s">
        <v>1781</v>
      </c>
      <c r="C891" s="23">
        <v>28.9</v>
      </c>
      <c r="D891" s="23">
        <v>11.96</v>
      </c>
      <c r="E891" s="23" t="s">
        <v>4682</v>
      </c>
      <c r="F891" s="23" t="s">
        <v>4682</v>
      </c>
      <c r="G891" s="23" t="s">
        <v>4682</v>
      </c>
      <c r="H891" s="23">
        <v>0</v>
      </c>
      <c r="I891" s="23" t="s">
        <v>4682</v>
      </c>
      <c r="J891" s="23" t="s">
        <v>4730</v>
      </c>
      <c r="K891" s="23" t="s">
        <v>4735</v>
      </c>
      <c r="L891">
        <v>1966</v>
      </c>
      <c r="M891" s="15" t="s">
        <v>4705</v>
      </c>
      <c r="N891">
        <v>26</v>
      </c>
      <c r="O891">
        <v>0</v>
      </c>
      <c r="P891" s="21">
        <f>DATEVALUE(N891&amp;"-"&amp;M891&amp;"-"&amp;L891)</f>
        <v>24467</v>
      </c>
      <c r="Q891" s="22">
        <v>7302.46</v>
      </c>
      <c r="R891" s="23" t="s">
        <v>4698</v>
      </c>
      <c r="S891" s="23" t="s">
        <v>4701</v>
      </c>
      <c r="T891" s="23" t="s">
        <v>4704</v>
      </c>
      <c r="U891" s="23">
        <f>DATEDIF(P891, DATE(2023, 6, 8), "Y")</f>
        <v>56</v>
      </c>
      <c r="V891">
        <f>SUM(C891:K891)</f>
        <v>40.86</v>
      </c>
    </row>
    <row r="892" spans="1:22" ht="15.75">
      <c r="A892" s="28" t="s">
        <v>1782</v>
      </c>
      <c r="B892" s="28" t="s">
        <v>1783</v>
      </c>
      <c r="C892" s="23">
        <v>25.74</v>
      </c>
      <c r="D892" s="23">
        <v>7.69</v>
      </c>
      <c r="E892" s="23" t="s">
        <v>4682</v>
      </c>
      <c r="F892" s="23" t="s">
        <v>4682</v>
      </c>
      <c r="G892" s="23" t="s">
        <v>4682</v>
      </c>
      <c r="H892" s="23">
        <v>0</v>
      </c>
      <c r="I892" s="23" t="s">
        <v>4682</v>
      </c>
      <c r="J892" s="23" t="s">
        <v>4730</v>
      </c>
      <c r="K892" s="23" t="s">
        <v>4735</v>
      </c>
      <c r="L892">
        <v>1965</v>
      </c>
      <c r="M892" s="15" t="s">
        <v>4702</v>
      </c>
      <c r="N892">
        <v>6</v>
      </c>
      <c r="O892">
        <v>0</v>
      </c>
      <c r="P892" s="21">
        <f>DATEVALUE(N892&amp;"-"&amp;M892&amp;"-"&amp;L892)</f>
        <v>23899</v>
      </c>
      <c r="Q892" s="22">
        <v>7304.65</v>
      </c>
      <c r="R892" s="23" t="s">
        <v>4698</v>
      </c>
      <c r="S892" s="23" t="s">
        <v>4698</v>
      </c>
      <c r="T892" s="23" t="s">
        <v>4699</v>
      </c>
      <c r="U892" s="23">
        <f>DATEDIF(P892, DATE(2023, 6, 8), "Y")</f>
        <v>58</v>
      </c>
      <c r="V892">
        <f>SUM(C892:K892)</f>
        <v>33.43</v>
      </c>
    </row>
    <row r="893" spans="1:22" ht="15.75">
      <c r="A893" s="28" t="s">
        <v>1784</v>
      </c>
      <c r="B893" s="28" t="s">
        <v>1785</v>
      </c>
      <c r="C893" s="23">
        <v>36.06</v>
      </c>
      <c r="D893" s="23">
        <v>8.83</v>
      </c>
      <c r="E893" s="23" t="s">
        <v>4682</v>
      </c>
      <c r="F893" s="23" t="s">
        <v>4682</v>
      </c>
      <c r="G893" s="23" t="s">
        <v>4682</v>
      </c>
      <c r="H893" s="23">
        <v>0</v>
      </c>
      <c r="I893" s="23" t="s">
        <v>4682</v>
      </c>
      <c r="J893" s="23" t="s">
        <v>4729</v>
      </c>
      <c r="K893" s="23" t="s">
        <v>4735</v>
      </c>
      <c r="L893">
        <v>1965</v>
      </c>
      <c r="M893" s="15" t="s">
        <v>4702</v>
      </c>
      <c r="N893">
        <v>25</v>
      </c>
      <c r="O893">
        <v>0</v>
      </c>
      <c r="P893" s="21">
        <f>DATEVALUE(N893&amp;"-"&amp;M893&amp;"-"&amp;L893)</f>
        <v>23918</v>
      </c>
      <c r="Q893" s="22">
        <v>7318.21</v>
      </c>
      <c r="R893" s="23" t="s">
        <v>4698</v>
      </c>
      <c r="S893" s="23" t="s">
        <v>4701</v>
      </c>
      <c r="T893" s="23" t="s">
        <v>4699</v>
      </c>
      <c r="U893" s="23">
        <f>DATEDIF(P893, DATE(2023, 6, 8), "Y")</f>
        <v>57</v>
      </c>
      <c r="V893">
        <f>SUM(C893:K893)</f>
        <v>44.89</v>
      </c>
    </row>
    <row r="894" spans="1:22" ht="15.75">
      <c r="A894" s="28" t="s">
        <v>1786</v>
      </c>
      <c r="B894" s="28" t="s">
        <v>1787</v>
      </c>
      <c r="C894" s="23">
        <v>43.28</v>
      </c>
      <c r="D894" s="23">
        <v>4.41</v>
      </c>
      <c r="E894" s="23" t="s">
        <v>4682</v>
      </c>
      <c r="F894" s="23" t="s">
        <v>4682</v>
      </c>
      <c r="G894" s="23" t="s">
        <v>4682</v>
      </c>
      <c r="H894" s="23">
        <v>0</v>
      </c>
      <c r="I894" s="23" t="s">
        <v>4682</v>
      </c>
      <c r="J894" s="23" t="s">
        <v>4729</v>
      </c>
      <c r="K894" s="23" t="s">
        <v>4737</v>
      </c>
      <c r="L894">
        <v>1972</v>
      </c>
      <c r="M894" s="15" t="s">
        <v>4706</v>
      </c>
      <c r="N894">
        <v>11</v>
      </c>
      <c r="O894">
        <v>0</v>
      </c>
      <c r="P894" s="21">
        <f>DATEVALUE(N894&amp;"-"&amp;M894&amp;"-"&amp;L894)</f>
        <v>26522</v>
      </c>
      <c r="Q894" s="22">
        <v>7318.22</v>
      </c>
      <c r="R894" s="23" t="s">
        <v>4697</v>
      </c>
      <c r="S894" s="23" t="s">
        <v>4698</v>
      </c>
      <c r="T894" s="23" t="s">
        <v>4704</v>
      </c>
      <c r="U894" s="23">
        <f>DATEDIF(P894, DATE(2023, 6, 8), "Y")</f>
        <v>50</v>
      </c>
      <c r="V894">
        <f>SUM(C894:K894)</f>
        <v>47.69</v>
      </c>
    </row>
    <row r="895" spans="1:22" ht="15.75">
      <c r="A895" s="28" t="s">
        <v>1788</v>
      </c>
      <c r="B895" s="28" t="s">
        <v>1789</v>
      </c>
      <c r="C895" s="23">
        <v>28.785</v>
      </c>
      <c r="D895" s="23">
        <v>9.1</v>
      </c>
      <c r="E895" s="23" t="s">
        <v>4683</v>
      </c>
      <c r="F895" s="23" t="s">
        <v>4682</v>
      </c>
      <c r="G895" s="23" t="s">
        <v>4684</v>
      </c>
      <c r="H895" s="23">
        <v>1</v>
      </c>
      <c r="I895" s="23" t="s">
        <v>4682</v>
      </c>
      <c r="J895" s="23" t="s">
        <v>4730</v>
      </c>
      <c r="K895" s="23" t="s">
        <v>4735</v>
      </c>
      <c r="L895">
        <v>1965</v>
      </c>
      <c r="M895" s="15" t="s">
        <v>4696</v>
      </c>
      <c r="N895">
        <v>11</v>
      </c>
      <c r="O895">
        <v>0</v>
      </c>
      <c r="P895" s="21">
        <f>DATEVALUE(N895&amp;"-"&amp;M895&amp;"-"&amp;L895)</f>
        <v>23934</v>
      </c>
      <c r="Q895" s="22">
        <v>7322.86</v>
      </c>
      <c r="R895" s="23" t="s">
        <v>4698</v>
      </c>
      <c r="S895" s="23" t="s">
        <v>4698</v>
      </c>
      <c r="T895" s="23" t="s">
        <v>4704</v>
      </c>
      <c r="U895" s="23">
        <f>DATEDIF(P895, DATE(2023, 6, 8), "Y")</f>
        <v>57</v>
      </c>
      <c r="V895">
        <f>SUM(C895:K895)</f>
        <v>38.884999999999998</v>
      </c>
    </row>
    <row r="896" spans="1:22" ht="15.75">
      <c r="A896" s="28" t="s">
        <v>1790</v>
      </c>
      <c r="B896" s="28" t="s">
        <v>1791</v>
      </c>
      <c r="C896" s="23">
        <v>25.46</v>
      </c>
      <c r="D896" s="23">
        <v>11.52</v>
      </c>
      <c r="E896" s="23" t="s">
        <v>4683</v>
      </c>
      <c r="F896" s="23" t="s">
        <v>4682</v>
      </c>
      <c r="G896" s="23" t="s">
        <v>4684</v>
      </c>
      <c r="H896" s="23">
        <v>1</v>
      </c>
      <c r="I896" s="23" t="s">
        <v>4682</v>
      </c>
      <c r="J896" s="23" t="s">
        <v>4730</v>
      </c>
      <c r="K896" s="23" t="s">
        <v>4735</v>
      </c>
      <c r="L896">
        <v>2004</v>
      </c>
      <c r="M896" s="15" t="s">
        <v>4700</v>
      </c>
      <c r="N896">
        <v>15</v>
      </c>
      <c r="O896">
        <v>0</v>
      </c>
      <c r="P896" s="21">
        <f>DATEVALUE(N896&amp;"-"&amp;M896&amp;"-"&amp;L896)</f>
        <v>38306</v>
      </c>
      <c r="Q896" s="22">
        <v>7323.73</v>
      </c>
      <c r="R896" s="23" t="s">
        <v>4697</v>
      </c>
      <c r="S896" s="23" t="s">
        <v>4697</v>
      </c>
      <c r="T896" s="23" t="s">
        <v>4714</v>
      </c>
      <c r="U896" s="23">
        <f>DATEDIF(P896, DATE(2023, 6, 8), "Y")</f>
        <v>18</v>
      </c>
      <c r="V896">
        <f>SUM(C896:K896)</f>
        <v>37.980000000000004</v>
      </c>
    </row>
    <row r="897" spans="1:22" ht="15.75">
      <c r="A897" s="28" t="s">
        <v>1792</v>
      </c>
      <c r="B897" s="28" t="s">
        <v>1793</v>
      </c>
      <c r="C897" s="23">
        <v>30.8</v>
      </c>
      <c r="D897" s="23">
        <v>10.95</v>
      </c>
      <c r="E897" s="23" t="s">
        <v>4682</v>
      </c>
      <c r="F897" s="23" t="s">
        <v>4682</v>
      </c>
      <c r="G897" s="23" t="s">
        <v>4682</v>
      </c>
      <c r="H897" s="23">
        <v>0</v>
      </c>
      <c r="I897" s="23" t="s">
        <v>4682</v>
      </c>
      <c r="J897" s="23" t="s">
        <v>4729</v>
      </c>
      <c r="K897" s="23" t="s">
        <v>4735</v>
      </c>
      <c r="L897">
        <v>1979</v>
      </c>
      <c r="M897" s="15" t="s">
        <v>4702</v>
      </c>
      <c r="N897">
        <v>19</v>
      </c>
      <c r="O897">
        <v>0</v>
      </c>
      <c r="P897" s="21">
        <f>DATEVALUE(N897&amp;"-"&amp;M897&amp;"-"&amp;L897)</f>
        <v>29025</v>
      </c>
      <c r="Q897" s="22">
        <v>7325.05</v>
      </c>
      <c r="R897" s="23" t="s">
        <v>4697</v>
      </c>
      <c r="S897" s="23" t="s">
        <v>4698</v>
      </c>
      <c r="T897" s="23" t="s">
        <v>4714</v>
      </c>
      <c r="U897" s="23">
        <f>DATEDIF(P897, DATE(2023, 6, 8), "Y")</f>
        <v>43</v>
      </c>
      <c r="V897">
        <f>SUM(C897:K897)</f>
        <v>41.75</v>
      </c>
    </row>
    <row r="898" spans="1:22" ht="15.75">
      <c r="A898" s="28" t="s">
        <v>1794</v>
      </c>
      <c r="B898" s="28" t="s">
        <v>1795</v>
      </c>
      <c r="C898" s="23">
        <v>28.88</v>
      </c>
      <c r="D898" s="23">
        <v>11.5</v>
      </c>
      <c r="E898" s="23" t="s">
        <v>4682</v>
      </c>
      <c r="F898" s="23" t="s">
        <v>4682</v>
      </c>
      <c r="G898" s="23" t="s">
        <v>4682</v>
      </c>
      <c r="H898" s="23">
        <v>0</v>
      </c>
      <c r="I898" s="23" t="s">
        <v>4682</v>
      </c>
      <c r="J898" s="23" t="s">
        <v>4730</v>
      </c>
      <c r="K898" s="23" t="s">
        <v>4735</v>
      </c>
      <c r="L898">
        <v>1984</v>
      </c>
      <c r="M898" s="15" t="s">
        <v>4696</v>
      </c>
      <c r="N898">
        <v>25</v>
      </c>
      <c r="O898">
        <v>3</v>
      </c>
      <c r="P898" s="21">
        <f>DATEVALUE(N898&amp;"-"&amp;M898&amp;"-"&amp;L898)</f>
        <v>30888</v>
      </c>
      <c r="Q898" s="22">
        <v>7325.47</v>
      </c>
      <c r="R898" s="23" t="s">
        <v>4697</v>
      </c>
      <c r="S898" s="23" t="s">
        <v>4701</v>
      </c>
      <c r="T898" s="23" t="s">
        <v>4704</v>
      </c>
      <c r="U898" s="23">
        <f>DATEDIF(P898, DATE(2023, 6, 8), "Y")</f>
        <v>38</v>
      </c>
      <c r="V898">
        <f>SUM(C898:K898)</f>
        <v>40.379999999999995</v>
      </c>
    </row>
    <row r="899" spans="1:22" ht="15.75">
      <c r="A899" s="28" t="s">
        <v>1796</v>
      </c>
      <c r="B899" s="28" t="s">
        <v>1797</v>
      </c>
      <c r="C899" s="23">
        <v>23</v>
      </c>
      <c r="D899" s="23">
        <v>9.8800000000000008</v>
      </c>
      <c r="E899" s="23" t="s">
        <v>4682</v>
      </c>
      <c r="F899" s="23" t="s">
        <v>4682</v>
      </c>
      <c r="G899" s="23" t="s">
        <v>4682</v>
      </c>
      <c r="H899" s="23">
        <v>0</v>
      </c>
      <c r="I899" s="23" t="s">
        <v>4682</v>
      </c>
      <c r="J899" s="23" t="s">
        <v>4728</v>
      </c>
      <c r="K899" s="23" t="s">
        <v>4735</v>
      </c>
      <c r="L899">
        <v>1979</v>
      </c>
      <c r="M899" s="15" t="s">
        <v>4703</v>
      </c>
      <c r="N899">
        <v>19</v>
      </c>
      <c r="O899">
        <v>1</v>
      </c>
      <c r="P899" s="21">
        <f>DATEVALUE(N899&amp;"-"&amp;M899&amp;"-"&amp;L899)</f>
        <v>29117</v>
      </c>
      <c r="Q899" s="22">
        <v>7337.75</v>
      </c>
      <c r="R899" s="23" t="s">
        <v>4697</v>
      </c>
      <c r="S899" s="23" t="s">
        <v>4698</v>
      </c>
      <c r="T899" s="23" t="s">
        <v>4708</v>
      </c>
      <c r="U899" s="23">
        <f>DATEDIF(P899, DATE(2023, 6, 8), "Y")</f>
        <v>43</v>
      </c>
      <c r="V899">
        <f>SUM(C899:K899)</f>
        <v>32.880000000000003</v>
      </c>
    </row>
    <row r="900" spans="1:22" ht="15.75">
      <c r="A900" s="28" t="s">
        <v>1798</v>
      </c>
      <c r="B900" s="28" t="s">
        <v>1799</v>
      </c>
      <c r="C900" s="23">
        <v>38.25</v>
      </c>
      <c r="D900" s="23">
        <v>6.2</v>
      </c>
      <c r="E900" s="23" t="s">
        <v>4682</v>
      </c>
      <c r="F900" s="23" t="s">
        <v>4682</v>
      </c>
      <c r="G900" s="23" t="s">
        <v>4682</v>
      </c>
      <c r="H900" s="23">
        <v>1</v>
      </c>
      <c r="I900" s="23" t="s">
        <v>4682</v>
      </c>
      <c r="J900" s="23" t="s">
        <v>4729</v>
      </c>
      <c r="K900" s="23" t="s">
        <v>4736</v>
      </c>
      <c r="L900">
        <v>1986</v>
      </c>
      <c r="M900" s="15" t="s">
        <v>4702</v>
      </c>
      <c r="N900">
        <v>15</v>
      </c>
      <c r="O900">
        <v>3</v>
      </c>
      <c r="P900" s="21">
        <f>DATEVALUE(N900&amp;"-"&amp;M900&amp;"-"&amp;L900)</f>
        <v>31578</v>
      </c>
      <c r="Q900" s="22">
        <v>7339.93</v>
      </c>
      <c r="R900" s="23" t="s">
        <v>4697</v>
      </c>
      <c r="S900" s="23" t="s">
        <v>4697</v>
      </c>
      <c r="T900" s="23" t="s">
        <v>4704</v>
      </c>
      <c r="U900" s="23">
        <f>DATEDIF(P900, DATE(2023, 6, 8), "Y")</f>
        <v>36</v>
      </c>
      <c r="V900">
        <f>SUM(C900:K900)</f>
        <v>45.45</v>
      </c>
    </row>
    <row r="901" spans="1:22" ht="15.75">
      <c r="A901" s="28" t="s">
        <v>1800</v>
      </c>
      <c r="B901" s="28" t="s">
        <v>1801</v>
      </c>
      <c r="C901" s="23">
        <v>39.25</v>
      </c>
      <c r="D901" s="23">
        <v>8.41</v>
      </c>
      <c r="E901" s="23" t="s">
        <v>4683</v>
      </c>
      <c r="F901" s="23" t="s">
        <v>4682</v>
      </c>
      <c r="G901" s="23" t="s">
        <v>4682</v>
      </c>
      <c r="H901" s="23">
        <v>1</v>
      </c>
      <c r="I901" s="23" t="s">
        <v>4682</v>
      </c>
      <c r="J901" s="23" t="s">
        <v>4729</v>
      </c>
      <c r="K901" s="23" t="s">
        <v>4735</v>
      </c>
      <c r="L901">
        <v>1977</v>
      </c>
      <c r="M901" s="15" t="s">
        <v>4705</v>
      </c>
      <c r="N901">
        <v>18</v>
      </c>
      <c r="O901">
        <v>0</v>
      </c>
      <c r="P901" s="21">
        <f>DATEVALUE(N901&amp;"-"&amp;M901&amp;"-"&amp;L901)</f>
        <v>28477</v>
      </c>
      <c r="Q901" s="22">
        <v>7345.08</v>
      </c>
      <c r="R901" s="23" t="s">
        <v>4697</v>
      </c>
      <c r="S901" s="23" t="s">
        <v>4701</v>
      </c>
      <c r="T901" s="23" t="s">
        <v>4708</v>
      </c>
      <c r="U901" s="23">
        <f>DATEDIF(P901, DATE(2023, 6, 8), "Y")</f>
        <v>45</v>
      </c>
      <c r="V901">
        <f>SUM(C901:K901)</f>
        <v>48.66</v>
      </c>
    </row>
    <row r="902" spans="1:22" ht="15.75">
      <c r="A902" s="28" t="s">
        <v>1802</v>
      </c>
      <c r="B902" s="28" t="s">
        <v>1803</v>
      </c>
      <c r="C902" s="23">
        <v>26.6</v>
      </c>
      <c r="D902" s="23">
        <v>5.07</v>
      </c>
      <c r="E902" s="23" t="s">
        <v>4683</v>
      </c>
      <c r="F902" s="23" t="s">
        <v>4682</v>
      </c>
      <c r="G902" s="23" t="s">
        <v>4682</v>
      </c>
      <c r="H902" s="23">
        <v>2</v>
      </c>
      <c r="I902" s="23" t="s">
        <v>4682</v>
      </c>
      <c r="J902" s="23" t="s">
        <v>4730</v>
      </c>
      <c r="K902" s="23" t="s">
        <v>4737</v>
      </c>
      <c r="L902">
        <v>1979</v>
      </c>
      <c r="M902" s="15" t="s">
        <v>4702</v>
      </c>
      <c r="N902">
        <v>26</v>
      </c>
      <c r="O902">
        <v>1</v>
      </c>
      <c r="P902" s="21">
        <f>DATEVALUE(N902&amp;"-"&amp;M902&amp;"-"&amp;L902)</f>
        <v>29032</v>
      </c>
      <c r="Q902" s="22">
        <v>7345.73</v>
      </c>
      <c r="R902" s="23" t="s">
        <v>4697</v>
      </c>
      <c r="S902" s="23" t="s">
        <v>4701</v>
      </c>
      <c r="T902" s="23" t="s">
        <v>4699</v>
      </c>
      <c r="U902" s="23">
        <f>DATEDIF(P902, DATE(2023, 6, 8), "Y")</f>
        <v>43</v>
      </c>
      <c r="V902">
        <f>SUM(C902:K902)</f>
        <v>33.67</v>
      </c>
    </row>
    <row r="903" spans="1:22" ht="15.75">
      <c r="A903" s="28" t="s">
        <v>1804</v>
      </c>
      <c r="B903" s="28" t="s">
        <v>1805</v>
      </c>
      <c r="C903" s="23">
        <v>35.700000000000003</v>
      </c>
      <c r="D903" s="23">
        <v>4.0599999999999996</v>
      </c>
      <c r="E903" s="23" t="s">
        <v>4682</v>
      </c>
      <c r="F903" s="23" t="s">
        <v>4682</v>
      </c>
      <c r="G903" s="23" t="s">
        <v>4684</v>
      </c>
      <c r="H903" s="23">
        <v>1</v>
      </c>
      <c r="I903" s="23" t="s">
        <v>4682</v>
      </c>
      <c r="J903" s="23" t="s">
        <v>4729</v>
      </c>
      <c r="K903" s="23" t="s">
        <v>4737</v>
      </c>
      <c r="L903">
        <v>1977</v>
      </c>
      <c r="M903" s="15" t="s">
        <v>4705</v>
      </c>
      <c r="N903">
        <v>1</v>
      </c>
      <c r="O903">
        <v>0</v>
      </c>
      <c r="P903" s="21">
        <f>DATEVALUE(N903&amp;"-"&amp;M903&amp;"-"&amp;L903)</f>
        <v>28460</v>
      </c>
      <c r="Q903" s="22">
        <v>7348.14</v>
      </c>
      <c r="R903" s="23" t="s">
        <v>4697</v>
      </c>
      <c r="S903" s="23" t="s">
        <v>4701</v>
      </c>
      <c r="T903" s="23" t="s">
        <v>4708</v>
      </c>
      <c r="U903" s="23">
        <f>DATEDIF(P903, DATE(2023, 6, 8), "Y")</f>
        <v>45</v>
      </c>
      <c r="V903">
        <f>SUM(C903:K903)</f>
        <v>40.760000000000005</v>
      </c>
    </row>
    <row r="904" spans="1:22" ht="15.75">
      <c r="A904" s="28" t="s">
        <v>1806</v>
      </c>
      <c r="B904" s="28" t="s">
        <v>1807</v>
      </c>
      <c r="C904" s="23">
        <v>20.100000000000001</v>
      </c>
      <c r="D904" s="23">
        <v>10.52</v>
      </c>
      <c r="E904" s="23" t="s">
        <v>4682</v>
      </c>
      <c r="F904" s="23" t="s">
        <v>4682</v>
      </c>
      <c r="G904" s="23" t="s">
        <v>4682</v>
      </c>
      <c r="H904" s="23">
        <v>0</v>
      </c>
      <c r="I904" s="23" t="s">
        <v>4682</v>
      </c>
      <c r="J904" s="23" t="s">
        <v>4728</v>
      </c>
      <c r="K904" s="23" t="s">
        <v>4735</v>
      </c>
      <c r="L904">
        <v>1993</v>
      </c>
      <c r="M904" s="15" t="s">
        <v>4707</v>
      </c>
      <c r="N904">
        <v>5</v>
      </c>
      <c r="O904">
        <v>0</v>
      </c>
      <c r="P904" s="21">
        <f>DATEVALUE(N904&amp;"-"&amp;M904&amp;"-"&amp;L904)</f>
        <v>34247</v>
      </c>
      <c r="Q904" s="22">
        <v>7349.12</v>
      </c>
      <c r="R904" s="23" t="s">
        <v>4697</v>
      </c>
      <c r="S904" s="23" t="s">
        <v>4697</v>
      </c>
      <c r="T904" s="23" t="s">
        <v>4717</v>
      </c>
      <c r="U904" s="23">
        <f>DATEDIF(P904, DATE(2023, 6, 8), "Y")</f>
        <v>29</v>
      </c>
      <c r="V904">
        <f>SUM(C904:K904)</f>
        <v>30.62</v>
      </c>
    </row>
    <row r="905" spans="1:22" ht="15.75">
      <c r="A905" s="28" t="s">
        <v>1808</v>
      </c>
      <c r="B905" s="28" t="s">
        <v>1809</v>
      </c>
      <c r="C905" s="23">
        <v>22.23</v>
      </c>
      <c r="D905" s="23">
        <v>9.65</v>
      </c>
      <c r="E905" s="23" t="s">
        <v>4682</v>
      </c>
      <c r="F905" s="23" t="s">
        <v>4682</v>
      </c>
      <c r="G905" s="23" t="s">
        <v>4682</v>
      </c>
      <c r="H905" s="23">
        <v>0</v>
      </c>
      <c r="I905" s="23" t="s">
        <v>4682</v>
      </c>
      <c r="J905" s="23" t="s">
        <v>4728</v>
      </c>
      <c r="K905" s="23" t="s">
        <v>4735</v>
      </c>
      <c r="L905">
        <v>1983</v>
      </c>
      <c r="M905" s="15" t="s">
        <v>4702</v>
      </c>
      <c r="N905">
        <v>21</v>
      </c>
      <c r="O905">
        <v>3</v>
      </c>
      <c r="P905" s="21">
        <f>DATEVALUE(N905&amp;"-"&amp;M905&amp;"-"&amp;L905)</f>
        <v>30488</v>
      </c>
      <c r="Q905" s="22">
        <v>7357.49</v>
      </c>
      <c r="R905" s="23" t="s">
        <v>4697</v>
      </c>
      <c r="S905" s="23" t="s">
        <v>4697</v>
      </c>
      <c r="T905" s="23" t="s">
        <v>4704</v>
      </c>
      <c r="U905" s="23">
        <f>DATEDIF(P905, DATE(2023, 6, 8), "Y")</f>
        <v>39</v>
      </c>
      <c r="V905">
        <f>SUM(C905:K905)</f>
        <v>31.880000000000003</v>
      </c>
    </row>
    <row r="906" spans="1:22" ht="15.75">
      <c r="A906" s="28" t="s">
        <v>1810</v>
      </c>
      <c r="B906" s="28" t="s">
        <v>1811</v>
      </c>
      <c r="C906" s="23">
        <v>36.47</v>
      </c>
      <c r="D906" s="23">
        <v>6.21</v>
      </c>
      <c r="E906" s="23" t="s">
        <v>4682</v>
      </c>
      <c r="F906" s="23" t="s">
        <v>4682</v>
      </c>
      <c r="G906" s="23" t="s">
        <v>4682</v>
      </c>
      <c r="H906" s="23">
        <v>0</v>
      </c>
      <c r="I906" s="23" t="s">
        <v>4682</v>
      </c>
      <c r="J906" s="23" t="s">
        <v>4729</v>
      </c>
      <c r="K906" s="23" t="s">
        <v>4736</v>
      </c>
      <c r="L906">
        <v>1981</v>
      </c>
      <c r="M906" s="15" t="s">
        <v>4696</v>
      </c>
      <c r="N906">
        <v>16</v>
      </c>
      <c r="O906">
        <v>1</v>
      </c>
      <c r="P906" s="21">
        <f>DATEVALUE(N906&amp;"-"&amp;M906&amp;"-"&amp;L906)</f>
        <v>29783</v>
      </c>
      <c r="Q906" s="22">
        <v>7358.18</v>
      </c>
      <c r="R906" s="23" t="s">
        <v>4697</v>
      </c>
      <c r="S906" s="23" t="s">
        <v>4698</v>
      </c>
      <c r="T906" s="23" t="s">
        <v>4714</v>
      </c>
      <c r="U906" s="23">
        <f>DATEDIF(P906, DATE(2023, 6, 8), "Y")</f>
        <v>41</v>
      </c>
      <c r="V906">
        <f>SUM(C906:K906)</f>
        <v>42.68</v>
      </c>
    </row>
    <row r="907" spans="1:22" ht="15.75">
      <c r="A907" s="28" t="s">
        <v>1812</v>
      </c>
      <c r="B907" s="28" t="s">
        <v>1813</v>
      </c>
      <c r="C907" s="23">
        <v>49.64</v>
      </c>
      <c r="D907" s="23">
        <v>4.76</v>
      </c>
      <c r="E907" s="23" t="s">
        <v>4682</v>
      </c>
      <c r="F907" s="23" t="s">
        <v>4682</v>
      </c>
      <c r="G907" s="23" t="s">
        <v>4684</v>
      </c>
      <c r="H907" s="23">
        <v>1</v>
      </c>
      <c r="I907" s="23" t="s">
        <v>4682</v>
      </c>
      <c r="J907" s="23" t="s">
        <v>4729</v>
      </c>
      <c r="K907" s="23" t="s">
        <v>4737</v>
      </c>
      <c r="L907">
        <v>1965</v>
      </c>
      <c r="M907" s="15" t="s">
        <v>4705</v>
      </c>
      <c r="N907">
        <v>9</v>
      </c>
      <c r="O907">
        <v>0</v>
      </c>
      <c r="P907" s="21">
        <f>DATEVALUE(N907&amp;"-"&amp;M907&amp;"-"&amp;L907)</f>
        <v>24085</v>
      </c>
      <c r="Q907" s="22">
        <v>7362.31</v>
      </c>
      <c r="R907" s="23" t="s">
        <v>4698</v>
      </c>
      <c r="S907" s="23" t="s">
        <v>4698</v>
      </c>
      <c r="T907" s="23" t="s">
        <v>4699</v>
      </c>
      <c r="U907" s="23">
        <f>DATEDIF(P907, DATE(2023, 6, 8), "Y")</f>
        <v>57</v>
      </c>
      <c r="V907">
        <f>SUM(C907:K907)</f>
        <v>55.4</v>
      </c>
    </row>
    <row r="908" spans="1:22" ht="15.75">
      <c r="A908" s="28" t="s">
        <v>1814</v>
      </c>
      <c r="B908" s="28" t="s">
        <v>1815</v>
      </c>
      <c r="C908" s="23">
        <v>36.799999999999997</v>
      </c>
      <c r="D908" s="23">
        <v>5.73</v>
      </c>
      <c r="E908" s="23" t="s">
        <v>4683</v>
      </c>
      <c r="F908" s="23" t="s">
        <v>4682</v>
      </c>
      <c r="G908" s="23" t="s">
        <v>4684</v>
      </c>
      <c r="H908" s="23">
        <v>1</v>
      </c>
      <c r="I908" s="23" t="s">
        <v>4682</v>
      </c>
      <c r="J908" s="23" t="s">
        <v>4729</v>
      </c>
      <c r="K908" s="23" t="s">
        <v>4736</v>
      </c>
      <c r="L908">
        <v>1981</v>
      </c>
      <c r="M908" s="15" t="s">
        <v>4700</v>
      </c>
      <c r="N908">
        <v>24</v>
      </c>
      <c r="O908">
        <v>2</v>
      </c>
      <c r="P908" s="21">
        <f>DATEVALUE(N908&amp;"-"&amp;M908&amp;"-"&amp;L908)</f>
        <v>29914</v>
      </c>
      <c r="Q908" s="22">
        <v>7371.77</v>
      </c>
      <c r="R908" s="23" t="s">
        <v>4697</v>
      </c>
      <c r="S908" s="23" t="s">
        <v>4701</v>
      </c>
      <c r="T908" s="23" t="s">
        <v>4708</v>
      </c>
      <c r="U908" s="23">
        <f>DATEDIF(P908, DATE(2023, 6, 8), "Y")</f>
        <v>41</v>
      </c>
      <c r="V908">
        <f>SUM(C908:K908)</f>
        <v>43.53</v>
      </c>
    </row>
    <row r="909" spans="1:22" ht="15.75">
      <c r="A909" s="28" t="s">
        <v>1816</v>
      </c>
      <c r="B909" s="28" t="s">
        <v>1817</v>
      </c>
      <c r="C909" s="23">
        <v>33.880000000000003</v>
      </c>
      <c r="D909" s="23">
        <v>10.78</v>
      </c>
      <c r="E909" s="23" t="s">
        <v>4683</v>
      </c>
      <c r="F909" s="23" t="s">
        <v>4682</v>
      </c>
      <c r="G909" s="23" t="s">
        <v>4682</v>
      </c>
      <c r="H909" s="23">
        <v>0</v>
      </c>
      <c r="I909" s="23" t="s">
        <v>4682</v>
      </c>
      <c r="J909" s="23" t="s">
        <v>4729</v>
      </c>
      <c r="K909" s="23" t="s">
        <v>4735</v>
      </c>
      <c r="L909">
        <v>1993</v>
      </c>
      <c r="M909" s="15" t="s">
        <v>4696</v>
      </c>
      <c r="N909">
        <v>22</v>
      </c>
      <c r="O909">
        <v>0</v>
      </c>
      <c r="P909" s="21">
        <f>DATEVALUE(N909&amp;"-"&amp;M909&amp;"-"&amp;L909)</f>
        <v>34172</v>
      </c>
      <c r="Q909" s="22">
        <v>7388.85</v>
      </c>
      <c r="R909" s="23" t="s">
        <v>4697</v>
      </c>
      <c r="S909" s="23" t="s">
        <v>4697</v>
      </c>
      <c r="T909" s="23" t="s">
        <v>4720</v>
      </c>
      <c r="U909" s="23">
        <f>DATEDIF(P909, DATE(2023, 6, 8), "Y")</f>
        <v>29</v>
      </c>
      <c r="V909">
        <f>SUM(C909:K909)</f>
        <v>44.660000000000004</v>
      </c>
    </row>
    <row r="910" spans="1:22" ht="15.75">
      <c r="A910" s="28" t="s">
        <v>1818</v>
      </c>
      <c r="B910" s="28" t="s">
        <v>1819</v>
      </c>
      <c r="C910" s="23">
        <v>32.01</v>
      </c>
      <c r="D910" s="23">
        <v>5.08</v>
      </c>
      <c r="E910" s="23" t="s">
        <v>4683</v>
      </c>
      <c r="F910" s="23" t="s">
        <v>4682</v>
      </c>
      <c r="G910" s="23" t="s">
        <v>4682</v>
      </c>
      <c r="H910" s="23">
        <v>1</v>
      </c>
      <c r="I910" s="23" t="s">
        <v>4682</v>
      </c>
      <c r="J910" s="23" t="s">
        <v>4729</v>
      </c>
      <c r="K910" s="23" t="s">
        <v>4737</v>
      </c>
      <c r="L910">
        <v>1965</v>
      </c>
      <c r="M910" s="15" t="s">
        <v>4705</v>
      </c>
      <c r="N910">
        <v>5</v>
      </c>
      <c r="O910">
        <v>0</v>
      </c>
      <c r="P910" s="21">
        <f>DATEVALUE(N910&amp;"-"&amp;M910&amp;"-"&amp;L910)</f>
        <v>24081</v>
      </c>
      <c r="Q910" s="22">
        <v>7403.98</v>
      </c>
      <c r="R910" s="23" t="s">
        <v>4698</v>
      </c>
      <c r="S910" s="23" t="s">
        <v>4697</v>
      </c>
      <c r="T910" s="23" t="s">
        <v>4699</v>
      </c>
      <c r="U910" s="23">
        <f>DATEDIF(P910, DATE(2023, 6, 8), "Y")</f>
        <v>57</v>
      </c>
      <c r="V910">
        <f>SUM(C910:K910)</f>
        <v>38.089999999999996</v>
      </c>
    </row>
    <row r="911" spans="1:22" ht="15.75">
      <c r="A911" s="28" t="s">
        <v>1820</v>
      </c>
      <c r="B911" s="28" t="s">
        <v>1821</v>
      </c>
      <c r="C911" s="23">
        <v>33.630000000000003</v>
      </c>
      <c r="D911" s="23">
        <v>11.39</v>
      </c>
      <c r="E911" s="23" t="s">
        <v>4682</v>
      </c>
      <c r="F911" s="23" t="s">
        <v>4682</v>
      </c>
      <c r="G911" s="23" t="s">
        <v>4682</v>
      </c>
      <c r="H911" s="23">
        <v>0</v>
      </c>
      <c r="I911" s="23" t="s">
        <v>4682</v>
      </c>
      <c r="J911" s="23" t="s">
        <v>4729</v>
      </c>
      <c r="K911" s="23" t="s">
        <v>4735</v>
      </c>
      <c r="L911">
        <v>1983</v>
      </c>
      <c r="M911" s="15" t="s">
        <v>4703</v>
      </c>
      <c r="N911">
        <v>19</v>
      </c>
      <c r="O911">
        <v>3</v>
      </c>
      <c r="P911" s="21">
        <f>DATEVALUE(N911&amp;"-"&amp;M911&amp;"-"&amp;L911)</f>
        <v>30578</v>
      </c>
      <c r="Q911" s="22">
        <v>7418.52</v>
      </c>
      <c r="R911" s="23" t="s">
        <v>4697</v>
      </c>
      <c r="S911" s="23" t="s">
        <v>4697</v>
      </c>
      <c r="T911" s="23" t="s">
        <v>4708</v>
      </c>
      <c r="U911" s="23">
        <f>DATEDIF(P911, DATE(2023, 6, 8), "Y")</f>
        <v>39</v>
      </c>
      <c r="V911">
        <f>SUM(C911:K911)</f>
        <v>45.02</v>
      </c>
    </row>
    <row r="912" spans="1:22" ht="15.75">
      <c r="A912" s="28" t="s">
        <v>1822</v>
      </c>
      <c r="B912" s="28" t="s">
        <v>1823</v>
      </c>
      <c r="C912" s="23">
        <v>34.865000000000002</v>
      </c>
      <c r="D912" s="23">
        <v>5.35</v>
      </c>
      <c r="E912" s="23" t="s">
        <v>4683</v>
      </c>
      <c r="F912" s="23" t="s">
        <v>4682</v>
      </c>
      <c r="G912" s="23" t="s">
        <v>4682</v>
      </c>
      <c r="H912" s="23">
        <v>1</v>
      </c>
      <c r="I912" s="23" t="s">
        <v>4682</v>
      </c>
      <c r="J912" s="23" t="s">
        <v>4729</v>
      </c>
      <c r="K912" s="23" t="s">
        <v>4737</v>
      </c>
      <c r="L912">
        <v>1978</v>
      </c>
      <c r="M912" s="15" t="s">
        <v>4700</v>
      </c>
      <c r="N912">
        <v>12</v>
      </c>
      <c r="O912">
        <v>0</v>
      </c>
      <c r="P912" s="21">
        <f>DATEVALUE(N912&amp;"-"&amp;M912&amp;"-"&amp;L912)</f>
        <v>28806</v>
      </c>
      <c r="Q912" s="22">
        <v>7419.48</v>
      </c>
      <c r="R912" s="23" t="s">
        <v>4697</v>
      </c>
      <c r="S912" s="23" t="s">
        <v>4697</v>
      </c>
      <c r="T912" s="23" t="s">
        <v>4704</v>
      </c>
      <c r="U912" s="23">
        <f>DATEDIF(P912, DATE(2023, 6, 8), "Y")</f>
        <v>44</v>
      </c>
      <c r="V912">
        <f>SUM(C912:K912)</f>
        <v>41.215000000000003</v>
      </c>
    </row>
    <row r="913" spans="1:22" ht="15.75">
      <c r="A913" s="28" t="s">
        <v>1824</v>
      </c>
      <c r="B913" s="28" t="s">
        <v>1825</v>
      </c>
      <c r="C913" s="23">
        <v>43.11</v>
      </c>
      <c r="D913" s="23">
        <v>5.6</v>
      </c>
      <c r="E913" s="23" t="s">
        <v>4682</v>
      </c>
      <c r="F913" s="23" t="s">
        <v>4682</v>
      </c>
      <c r="G913" s="23" t="s">
        <v>4682</v>
      </c>
      <c r="H913" s="23">
        <v>0</v>
      </c>
      <c r="I913" s="23" t="s">
        <v>4682</v>
      </c>
      <c r="J913" s="23" t="s">
        <v>4729</v>
      </c>
      <c r="K913" s="23" t="s">
        <v>4737</v>
      </c>
      <c r="L913">
        <v>1978</v>
      </c>
      <c r="M913" s="15" t="s">
        <v>4705</v>
      </c>
      <c r="N913">
        <v>2</v>
      </c>
      <c r="O913">
        <v>0</v>
      </c>
      <c r="P913" s="21">
        <f>DATEVALUE(N913&amp;"-"&amp;M913&amp;"-"&amp;L913)</f>
        <v>28826</v>
      </c>
      <c r="Q913" s="22">
        <v>7421.19</v>
      </c>
      <c r="R913" s="23" t="s">
        <v>4697</v>
      </c>
      <c r="S913" s="23" t="s">
        <v>4698</v>
      </c>
      <c r="T913" s="23" t="s">
        <v>4704</v>
      </c>
      <c r="U913" s="23">
        <f>DATEDIF(P913, DATE(2023, 6, 8), "Y")</f>
        <v>44</v>
      </c>
      <c r="V913">
        <f>SUM(C913:K913)</f>
        <v>48.71</v>
      </c>
    </row>
    <row r="914" spans="1:22" ht="15.75">
      <c r="A914" s="28" t="s">
        <v>1826</v>
      </c>
      <c r="B914" s="28" t="s">
        <v>1827</v>
      </c>
      <c r="C914" s="23">
        <v>30.305</v>
      </c>
      <c r="D914" s="23">
        <v>4.2699999999999996</v>
      </c>
      <c r="E914" s="23" t="s">
        <v>4683</v>
      </c>
      <c r="F914" s="23" t="s">
        <v>4682</v>
      </c>
      <c r="G914" s="23" t="s">
        <v>4682</v>
      </c>
      <c r="H914" s="23">
        <v>1</v>
      </c>
      <c r="I914" s="23" t="s">
        <v>4682</v>
      </c>
      <c r="J914" s="23" t="s">
        <v>4729</v>
      </c>
      <c r="K914" s="23" t="s">
        <v>4737</v>
      </c>
      <c r="L914">
        <v>1977</v>
      </c>
      <c r="M914" s="15" t="s">
        <v>4706</v>
      </c>
      <c r="N914">
        <v>25</v>
      </c>
      <c r="O914">
        <v>1</v>
      </c>
      <c r="P914" s="21">
        <f>DATEVALUE(N914&amp;"-"&amp;M914&amp;"-"&amp;L914)</f>
        <v>28362</v>
      </c>
      <c r="Q914" s="22">
        <v>7441.05</v>
      </c>
      <c r="R914" s="23" t="s">
        <v>4698</v>
      </c>
      <c r="S914" s="23" t="s">
        <v>4697</v>
      </c>
      <c r="T914" s="23" t="s">
        <v>4708</v>
      </c>
      <c r="U914" s="23">
        <f>DATEDIF(P914, DATE(2023, 6, 8), "Y")</f>
        <v>45</v>
      </c>
      <c r="V914">
        <f>SUM(C914:K914)</f>
        <v>35.575000000000003</v>
      </c>
    </row>
    <row r="915" spans="1:22" ht="15.75">
      <c r="A915" s="28" t="s">
        <v>1828</v>
      </c>
      <c r="B915" s="28" t="s">
        <v>1829</v>
      </c>
      <c r="C915" s="23">
        <v>25.175000000000001</v>
      </c>
      <c r="D915" s="23">
        <v>5.57</v>
      </c>
      <c r="E915" s="23" t="s">
        <v>4683</v>
      </c>
      <c r="F915" s="23" t="s">
        <v>4682</v>
      </c>
      <c r="G915" s="23" t="s">
        <v>4682</v>
      </c>
      <c r="H915" s="23">
        <v>1</v>
      </c>
      <c r="I915" s="23" t="s">
        <v>4682</v>
      </c>
      <c r="J915" s="23" t="s">
        <v>4730</v>
      </c>
      <c r="K915" s="23" t="s">
        <v>4737</v>
      </c>
      <c r="L915">
        <v>1979</v>
      </c>
      <c r="M915" s="15" t="s">
        <v>4703</v>
      </c>
      <c r="N915">
        <v>1</v>
      </c>
      <c r="O915">
        <v>2</v>
      </c>
      <c r="P915" s="21">
        <f>DATEVALUE(N915&amp;"-"&amp;M915&amp;"-"&amp;L915)</f>
        <v>29099</v>
      </c>
      <c r="Q915" s="22">
        <v>7441.5</v>
      </c>
      <c r="R915" s="23" t="s">
        <v>4698</v>
      </c>
      <c r="S915" s="23" t="s">
        <v>4697</v>
      </c>
      <c r="T915" s="23" t="s">
        <v>4708</v>
      </c>
      <c r="U915" s="23">
        <f>DATEDIF(P915, DATE(2023, 6, 8), "Y")</f>
        <v>43</v>
      </c>
      <c r="V915">
        <f>SUM(C915:K915)</f>
        <v>31.745000000000001</v>
      </c>
    </row>
    <row r="916" spans="1:22" ht="15.75">
      <c r="A916" s="28" t="s">
        <v>1830</v>
      </c>
      <c r="B916" s="28" t="s">
        <v>1831</v>
      </c>
      <c r="C916" s="23">
        <v>26.8</v>
      </c>
      <c r="D916" s="23">
        <v>5.68</v>
      </c>
      <c r="E916" s="23" t="s">
        <v>4683</v>
      </c>
      <c r="F916" s="23" t="s">
        <v>4682</v>
      </c>
      <c r="G916" s="23" t="s">
        <v>4682</v>
      </c>
      <c r="H916" s="23">
        <v>1</v>
      </c>
      <c r="I916" s="23" t="s">
        <v>4682</v>
      </c>
      <c r="J916" s="23" t="s">
        <v>4730</v>
      </c>
      <c r="K916" s="23" t="s">
        <v>4737</v>
      </c>
      <c r="L916">
        <v>1980</v>
      </c>
      <c r="M916" s="15" t="s">
        <v>4696</v>
      </c>
      <c r="N916">
        <v>7</v>
      </c>
      <c r="O916">
        <v>1</v>
      </c>
      <c r="P916" s="21">
        <f>DATEVALUE(N916&amp;"-"&amp;M916&amp;"-"&amp;L916)</f>
        <v>29409</v>
      </c>
      <c r="Q916" s="22">
        <v>7443.64</v>
      </c>
      <c r="R916" s="23" t="s">
        <v>4697</v>
      </c>
      <c r="S916" s="23" t="s">
        <v>4698</v>
      </c>
      <c r="T916" s="23" t="s">
        <v>4704</v>
      </c>
      <c r="U916" s="23">
        <f>DATEDIF(P916, DATE(2023, 6, 8), "Y")</f>
        <v>42</v>
      </c>
      <c r="V916">
        <f>SUM(C916:K916)</f>
        <v>33.480000000000004</v>
      </c>
    </row>
    <row r="917" spans="1:22" ht="15.75">
      <c r="A917" s="28" t="s">
        <v>1832</v>
      </c>
      <c r="B917" s="28" t="s">
        <v>1833</v>
      </c>
      <c r="C917" s="23">
        <v>21.78</v>
      </c>
      <c r="D917" s="23">
        <v>5.3</v>
      </c>
      <c r="E917" s="23" t="s">
        <v>4682</v>
      </c>
      <c r="F917" s="23" t="s">
        <v>4683</v>
      </c>
      <c r="G917" s="23" t="s">
        <v>4682</v>
      </c>
      <c r="H917" s="23">
        <v>1</v>
      </c>
      <c r="I917" s="23" t="s">
        <v>4682</v>
      </c>
      <c r="J917" s="23" t="s">
        <v>4728</v>
      </c>
      <c r="K917" s="23" t="s">
        <v>4737</v>
      </c>
      <c r="L917">
        <v>1977</v>
      </c>
      <c r="M917" s="15" t="s">
        <v>4703</v>
      </c>
      <c r="N917">
        <v>25</v>
      </c>
      <c r="O917">
        <v>1</v>
      </c>
      <c r="P917" s="21">
        <f>DATEVALUE(N917&amp;"-"&amp;M917&amp;"-"&amp;L917)</f>
        <v>28393</v>
      </c>
      <c r="Q917" s="22">
        <v>7445.92</v>
      </c>
      <c r="R917" s="23" t="s">
        <v>4698</v>
      </c>
      <c r="S917" s="23" t="s">
        <v>4701</v>
      </c>
      <c r="T917" s="23" t="s">
        <v>4708</v>
      </c>
      <c r="U917" s="23">
        <f>DATEDIF(P917, DATE(2023, 6, 8), "Y")</f>
        <v>45</v>
      </c>
      <c r="V917">
        <f>SUM(C917:K917)</f>
        <v>28.080000000000002</v>
      </c>
    </row>
    <row r="918" spans="1:22" ht="15.75">
      <c r="A918" s="28" t="s">
        <v>1834</v>
      </c>
      <c r="B918" s="28" t="s">
        <v>1835</v>
      </c>
      <c r="C918" s="23">
        <v>30.14</v>
      </c>
      <c r="D918" s="23">
        <v>9.4499999999999993</v>
      </c>
      <c r="E918" s="23" t="s">
        <v>4683</v>
      </c>
      <c r="F918" s="23" t="s">
        <v>4682</v>
      </c>
      <c r="G918" s="23" t="s">
        <v>4682</v>
      </c>
      <c r="H918" s="23">
        <v>0</v>
      </c>
      <c r="I918" s="23" t="s">
        <v>4682</v>
      </c>
      <c r="J918" s="23" t="s">
        <v>4729</v>
      </c>
      <c r="K918" s="23" t="s">
        <v>4735</v>
      </c>
      <c r="L918">
        <v>1977</v>
      </c>
      <c r="M918" s="15" t="s">
        <v>4703</v>
      </c>
      <c r="N918">
        <v>30</v>
      </c>
      <c r="O918">
        <v>0</v>
      </c>
      <c r="P918" s="21">
        <f>DATEVALUE(N918&amp;"-"&amp;M918&amp;"-"&amp;L918)</f>
        <v>28398</v>
      </c>
      <c r="Q918" s="22">
        <v>7448.4</v>
      </c>
      <c r="R918" s="23" t="s">
        <v>4698</v>
      </c>
      <c r="S918" s="23" t="s">
        <v>4698</v>
      </c>
      <c r="T918" s="23" t="s">
        <v>4718</v>
      </c>
      <c r="U918" s="23">
        <f>DATEDIF(P918, DATE(2023, 6, 8), "Y")</f>
        <v>45</v>
      </c>
      <c r="V918">
        <f>SUM(C918:K918)</f>
        <v>39.590000000000003</v>
      </c>
    </row>
    <row r="919" spans="1:22" ht="15.75">
      <c r="A919" s="28" t="s">
        <v>1836</v>
      </c>
      <c r="B919" s="28" t="s">
        <v>1837</v>
      </c>
      <c r="C919" s="23">
        <v>29.7</v>
      </c>
      <c r="D919" s="23">
        <v>6.79</v>
      </c>
      <c r="E919" s="23" t="s">
        <v>4683</v>
      </c>
      <c r="F919" s="23" t="s">
        <v>4682</v>
      </c>
      <c r="G919" s="23" t="s">
        <v>4682</v>
      </c>
      <c r="H919" s="23">
        <v>0</v>
      </c>
      <c r="I919" s="23" t="s">
        <v>4682</v>
      </c>
      <c r="J919" s="23" t="s">
        <v>4730</v>
      </c>
      <c r="K919" s="23" t="s">
        <v>4735</v>
      </c>
      <c r="L919">
        <v>2001</v>
      </c>
      <c r="M919" s="15" t="s">
        <v>4702</v>
      </c>
      <c r="N919">
        <v>1</v>
      </c>
      <c r="O919">
        <v>0</v>
      </c>
      <c r="P919" s="21">
        <f>DATEVALUE(N919&amp;"-"&amp;M919&amp;"-"&amp;L919)</f>
        <v>37043</v>
      </c>
      <c r="Q919" s="22">
        <v>7450.36</v>
      </c>
      <c r="R919" s="23" t="s">
        <v>4697</v>
      </c>
      <c r="S919" s="23" t="s">
        <v>4697</v>
      </c>
      <c r="T919" s="23" t="s">
        <v>4704</v>
      </c>
      <c r="U919" s="23">
        <f>DATEDIF(P919, DATE(2023, 6, 8), "Y")</f>
        <v>22</v>
      </c>
      <c r="V919">
        <f>SUM(C919:K919)</f>
        <v>36.49</v>
      </c>
    </row>
    <row r="920" spans="1:22" ht="15.75">
      <c r="A920" s="28" t="s">
        <v>1838</v>
      </c>
      <c r="B920" s="28" t="s">
        <v>1839</v>
      </c>
      <c r="C920" s="23">
        <v>32.395000000000003</v>
      </c>
      <c r="D920" s="23">
        <v>11.1</v>
      </c>
      <c r="E920" s="23" t="s">
        <v>4683</v>
      </c>
      <c r="F920" s="23" t="s">
        <v>4682</v>
      </c>
      <c r="G920" s="23" t="s">
        <v>4682</v>
      </c>
      <c r="H920" s="23">
        <v>0</v>
      </c>
      <c r="I920" s="23" t="s">
        <v>4682</v>
      </c>
      <c r="J920" s="23" t="s">
        <v>4729</v>
      </c>
      <c r="K920" s="23" t="s">
        <v>4735</v>
      </c>
      <c r="L920">
        <v>1967</v>
      </c>
      <c r="M920" s="15" t="s">
        <v>4706</v>
      </c>
      <c r="N920">
        <v>4</v>
      </c>
      <c r="O920">
        <v>0</v>
      </c>
      <c r="P920" s="21">
        <f>DATEVALUE(N920&amp;"-"&amp;M920&amp;"-"&amp;L920)</f>
        <v>24688</v>
      </c>
      <c r="Q920" s="22">
        <v>7463.51</v>
      </c>
      <c r="R920" s="23" t="s">
        <v>4698</v>
      </c>
      <c r="S920" s="23" t="s">
        <v>4698</v>
      </c>
      <c r="T920" s="23" t="s">
        <v>4699</v>
      </c>
      <c r="U920" s="23">
        <f>DATEDIF(P920, DATE(2023, 6, 8), "Y")</f>
        <v>55</v>
      </c>
      <c r="V920">
        <f>SUM(C920:K920)</f>
        <v>43.495000000000005</v>
      </c>
    </row>
    <row r="921" spans="1:22" ht="15.75">
      <c r="A921" s="28" t="s">
        <v>1840</v>
      </c>
      <c r="B921" s="28" t="s">
        <v>1841</v>
      </c>
      <c r="C921" s="23">
        <v>36.64</v>
      </c>
      <c r="D921" s="23">
        <v>7.26</v>
      </c>
      <c r="E921" s="23" t="s">
        <v>4682</v>
      </c>
      <c r="F921" s="23" t="s">
        <v>4682</v>
      </c>
      <c r="G921" s="23" t="s">
        <v>4682</v>
      </c>
      <c r="H921" s="23">
        <v>0</v>
      </c>
      <c r="I921" s="23" t="s">
        <v>4682</v>
      </c>
      <c r="J921" s="23" t="s">
        <v>4729</v>
      </c>
      <c r="K921" s="23" t="s">
        <v>4735</v>
      </c>
      <c r="L921">
        <v>1996</v>
      </c>
      <c r="M921" s="15" t="s">
        <v>4702</v>
      </c>
      <c r="N921">
        <v>14</v>
      </c>
      <c r="O921">
        <v>0</v>
      </c>
      <c r="P921" s="21">
        <f>DATEVALUE(N921&amp;"-"&amp;M921&amp;"-"&amp;L921)</f>
        <v>35230</v>
      </c>
      <c r="Q921" s="22">
        <v>7487.38</v>
      </c>
      <c r="R921" s="23" t="s">
        <v>4697</v>
      </c>
      <c r="S921" s="23" t="s">
        <v>4698</v>
      </c>
      <c r="T921" s="23" t="s">
        <v>4704</v>
      </c>
      <c r="U921" s="23">
        <f>DATEDIF(P921, DATE(2023, 6, 8), "Y")</f>
        <v>26</v>
      </c>
      <c r="V921">
        <f>SUM(C921:K921)</f>
        <v>43.9</v>
      </c>
    </row>
    <row r="922" spans="1:22" ht="15.75">
      <c r="A922" s="28" t="s">
        <v>1842</v>
      </c>
      <c r="B922" s="28" t="s">
        <v>1843</v>
      </c>
      <c r="C922" s="23">
        <v>39.049999999999997</v>
      </c>
      <c r="D922" s="23">
        <v>5.27</v>
      </c>
      <c r="E922" s="23" t="s">
        <v>4683</v>
      </c>
      <c r="F922" s="23" t="s">
        <v>4682</v>
      </c>
      <c r="G922" s="23" t="s">
        <v>4682</v>
      </c>
      <c r="H922" s="23">
        <v>1</v>
      </c>
      <c r="I922" s="23" t="s">
        <v>4682</v>
      </c>
      <c r="J922" s="23" t="s">
        <v>4729</v>
      </c>
      <c r="K922" s="23" t="s">
        <v>4737</v>
      </c>
      <c r="L922">
        <v>1988</v>
      </c>
      <c r="M922" s="15" t="s">
        <v>4705</v>
      </c>
      <c r="N922">
        <v>15</v>
      </c>
      <c r="O922">
        <v>3</v>
      </c>
      <c r="P922" s="21">
        <f>DATEVALUE(N922&amp;"-"&amp;M922&amp;"-"&amp;L922)</f>
        <v>32492</v>
      </c>
      <c r="Q922" s="22">
        <v>7494.63</v>
      </c>
      <c r="R922" s="23" t="s">
        <v>4697</v>
      </c>
      <c r="S922" s="23" t="s">
        <v>4698</v>
      </c>
      <c r="T922" s="23" t="s">
        <v>4713</v>
      </c>
      <c r="U922" s="23">
        <f>DATEDIF(P922, DATE(2023, 6, 8), "Y")</f>
        <v>34</v>
      </c>
      <c r="V922">
        <f>SUM(C922:K922)</f>
        <v>45.319999999999993</v>
      </c>
    </row>
    <row r="923" spans="1:22" ht="15.75">
      <c r="A923" s="28" t="s">
        <v>1844</v>
      </c>
      <c r="B923" s="28" t="s">
        <v>1845</v>
      </c>
      <c r="C923" s="23">
        <v>33.1</v>
      </c>
      <c r="D923" s="23">
        <v>5.46</v>
      </c>
      <c r="E923" s="23" t="s">
        <v>4683</v>
      </c>
      <c r="F923" s="23" t="s">
        <v>4682</v>
      </c>
      <c r="G923" s="23" t="s">
        <v>4682</v>
      </c>
      <c r="H923" s="23">
        <v>1</v>
      </c>
      <c r="I923" s="23" t="s">
        <v>4682</v>
      </c>
      <c r="J923" s="23" t="s">
        <v>4729</v>
      </c>
      <c r="K923" s="23" t="s">
        <v>4737</v>
      </c>
      <c r="L923">
        <v>1997</v>
      </c>
      <c r="M923" s="15" t="s">
        <v>4707</v>
      </c>
      <c r="N923">
        <v>28</v>
      </c>
      <c r="O923">
        <v>0</v>
      </c>
      <c r="P923" s="21">
        <f>DATEVALUE(N923&amp;"-"&amp;M923&amp;"-"&amp;L923)</f>
        <v>35731</v>
      </c>
      <c r="Q923" s="22">
        <v>7504.3</v>
      </c>
      <c r="R923" s="23" t="s">
        <v>4697</v>
      </c>
      <c r="S923" s="23" t="s">
        <v>4701</v>
      </c>
      <c r="T923" s="23" t="s">
        <v>4704</v>
      </c>
      <c r="U923" s="23">
        <f>DATEDIF(P923, DATE(2023, 6, 8), "Y")</f>
        <v>25</v>
      </c>
      <c r="V923">
        <f>SUM(C923:K923)</f>
        <v>39.56</v>
      </c>
    </row>
    <row r="924" spans="1:22" ht="15.75">
      <c r="A924" s="28" t="s">
        <v>1846</v>
      </c>
      <c r="B924" s="28" t="s">
        <v>1847</v>
      </c>
      <c r="C924" s="23">
        <v>31.824999999999999</v>
      </c>
      <c r="D924" s="23">
        <v>8.1300000000000008</v>
      </c>
      <c r="E924" s="23" t="s">
        <v>4682</v>
      </c>
      <c r="F924" s="23" t="s">
        <v>4682</v>
      </c>
      <c r="G924" s="23" t="s">
        <v>4682</v>
      </c>
      <c r="H924" s="23">
        <v>0</v>
      </c>
      <c r="I924" s="23" t="s">
        <v>4682</v>
      </c>
      <c r="J924" s="23" t="s">
        <v>4729</v>
      </c>
      <c r="K924" s="23" t="s">
        <v>4735</v>
      </c>
      <c r="L924">
        <v>1983</v>
      </c>
      <c r="M924" s="15" t="s">
        <v>4696</v>
      </c>
      <c r="N924">
        <v>10</v>
      </c>
      <c r="O924">
        <v>4</v>
      </c>
      <c r="P924" s="21">
        <f>DATEVALUE(N924&amp;"-"&amp;M924&amp;"-"&amp;L924)</f>
        <v>30507</v>
      </c>
      <c r="Q924" s="22">
        <v>7512.27</v>
      </c>
      <c r="R924" s="23" t="s">
        <v>4698</v>
      </c>
      <c r="S924" s="23" t="s">
        <v>4697</v>
      </c>
      <c r="T924" s="23" t="s">
        <v>4708</v>
      </c>
      <c r="U924" s="23">
        <f>DATEDIF(P924, DATE(2023, 6, 8), "Y")</f>
        <v>39</v>
      </c>
      <c r="V924">
        <f>SUM(C924:K924)</f>
        <v>39.954999999999998</v>
      </c>
    </row>
    <row r="925" spans="1:22" ht="15.75">
      <c r="A925" s="28" t="s">
        <v>1848</v>
      </c>
      <c r="B925" s="28" t="s">
        <v>1849</v>
      </c>
      <c r="C925" s="23">
        <v>29</v>
      </c>
      <c r="D925" s="23">
        <v>4.25</v>
      </c>
      <c r="E925" s="23" t="s">
        <v>4683</v>
      </c>
      <c r="F925" s="23" t="s">
        <v>4682</v>
      </c>
      <c r="G925" s="23" t="s">
        <v>4682</v>
      </c>
      <c r="H925" s="23">
        <v>1</v>
      </c>
      <c r="I925" s="23" t="s">
        <v>4682</v>
      </c>
      <c r="J925" s="23" t="s">
        <v>4730</v>
      </c>
      <c r="K925" s="23" t="s">
        <v>4737</v>
      </c>
      <c r="L925">
        <v>1978</v>
      </c>
      <c r="M925" s="15" t="s">
        <v>4707</v>
      </c>
      <c r="N925">
        <v>18</v>
      </c>
      <c r="O925">
        <v>1</v>
      </c>
      <c r="P925" s="21">
        <f>DATEVALUE(N925&amp;"-"&amp;M925&amp;"-"&amp;L925)</f>
        <v>28781</v>
      </c>
      <c r="Q925" s="22">
        <v>7518.03</v>
      </c>
      <c r="R925" s="23" t="s">
        <v>4697</v>
      </c>
      <c r="S925" s="23" t="s">
        <v>4698</v>
      </c>
      <c r="T925" s="23" t="s">
        <v>4704</v>
      </c>
      <c r="U925" s="23">
        <f>DATEDIF(P925, DATE(2023, 6, 8), "Y")</f>
        <v>44</v>
      </c>
      <c r="V925">
        <f>SUM(C925:K925)</f>
        <v>34.25</v>
      </c>
    </row>
    <row r="926" spans="1:22" ht="15.75">
      <c r="A926" s="28" t="s">
        <v>1850</v>
      </c>
      <c r="B926" s="28" t="s">
        <v>1851</v>
      </c>
      <c r="C926" s="23">
        <v>30.495000000000001</v>
      </c>
      <c r="D926" s="23">
        <v>8.68</v>
      </c>
      <c r="E926" s="23" t="s">
        <v>4682</v>
      </c>
      <c r="F926" s="23" t="s">
        <v>4682</v>
      </c>
      <c r="G926" s="23" t="s">
        <v>4682</v>
      </c>
      <c r="H926" s="23">
        <v>0</v>
      </c>
      <c r="I926" s="23" t="s">
        <v>4682</v>
      </c>
      <c r="J926" s="23" t="s">
        <v>4729</v>
      </c>
      <c r="K926" s="23" t="s">
        <v>4735</v>
      </c>
      <c r="L926">
        <v>1976</v>
      </c>
      <c r="M926" s="15" t="s">
        <v>4707</v>
      </c>
      <c r="N926">
        <v>10</v>
      </c>
      <c r="O926">
        <v>0</v>
      </c>
      <c r="P926" s="21">
        <f>DATEVALUE(N926&amp;"-"&amp;M926&amp;"-"&amp;L926)</f>
        <v>28043</v>
      </c>
      <c r="Q926" s="22">
        <v>7526.71</v>
      </c>
      <c r="R926" s="23" t="s">
        <v>4698</v>
      </c>
      <c r="S926" s="23" t="s">
        <v>4701</v>
      </c>
      <c r="T926" s="23" t="s">
        <v>4704</v>
      </c>
      <c r="U926" s="23">
        <f>DATEDIF(P926, DATE(2023, 6, 8), "Y")</f>
        <v>46</v>
      </c>
      <c r="V926">
        <f>SUM(C926:K926)</f>
        <v>39.174999999999997</v>
      </c>
    </row>
    <row r="927" spans="1:22" ht="15.75">
      <c r="A927" s="28" t="s">
        <v>1852</v>
      </c>
      <c r="B927" s="28" t="s">
        <v>1853</v>
      </c>
      <c r="C927" s="23">
        <v>25.2</v>
      </c>
      <c r="D927" s="23">
        <v>6.25</v>
      </c>
      <c r="E927" s="23" t="s">
        <v>4683</v>
      </c>
      <c r="F927" s="23" t="s">
        <v>4682</v>
      </c>
      <c r="G927" s="23" t="s">
        <v>4682</v>
      </c>
      <c r="H927" s="23">
        <v>1</v>
      </c>
      <c r="I927" s="23" t="s">
        <v>4682</v>
      </c>
      <c r="J927" s="23" t="s">
        <v>4730</v>
      </c>
      <c r="K927" s="23" t="s">
        <v>4736</v>
      </c>
      <c r="L927">
        <v>1978</v>
      </c>
      <c r="M927" s="15" t="s">
        <v>4705</v>
      </c>
      <c r="N927">
        <v>14</v>
      </c>
      <c r="O927">
        <v>2</v>
      </c>
      <c r="P927" s="21">
        <f>DATEVALUE(N927&amp;"-"&amp;M927&amp;"-"&amp;L927)</f>
        <v>28838</v>
      </c>
      <c r="Q927" s="22">
        <v>7531.7</v>
      </c>
      <c r="R927" s="23" t="s">
        <v>4697</v>
      </c>
      <c r="S927" s="23" t="s">
        <v>4701</v>
      </c>
      <c r="T927" s="23" t="s">
        <v>4699</v>
      </c>
      <c r="U927" s="23">
        <f>DATEDIF(P927, DATE(2023, 6, 8), "Y")</f>
        <v>44</v>
      </c>
      <c r="V927">
        <f>SUM(C927:K927)</f>
        <v>32.450000000000003</v>
      </c>
    </row>
    <row r="928" spans="1:22" ht="15.75">
      <c r="A928" s="28" t="s">
        <v>1854</v>
      </c>
      <c r="B928" s="28" t="s">
        <v>1855</v>
      </c>
      <c r="C928" s="23">
        <v>22.77</v>
      </c>
      <c r="D928" s="23">
        <v>4.47</v>
      </c>
      <c r="E928" s="23" t="s">
        <v>4683</v>
      </c>
      <c r="F928" s="23" t="s">
        <v>4682</v>
      </c>
      <c r="G928" s="23" t="s">
        <v>4682</v>
      </c>
      <c r="H928" s="23">
        <v>1</v>
      </c>
      <c r="I928" s="23" t="s">
        <v>4682</v>
      </c>
      <c r="J928" s="23" t="s">
        <v>4728</v>
      </c>
      <c r="K928" s="23" t="s">
        <v>4737</v>
      </c>
      <c r="L928">
        <v>1984</v>
      </c>
      <c r="M928" s="15" t="s">
        <v>4706</v>
      </c>
      <c r="N928">
        <v>22</v>
      </c>
      <c r="O928">
        <v>3</v>
      </c>
      <c r="P928" s="21">
        <f>DATEVALUE(N928&amp;"-"&amp;M928&amp;"-"&amp;L928)</f>
        <v>30916</v>
      </c>
      <c r="Q928" s="22">
        <v>7537.16</v>
      </c>
      <c r="R928" s="23" t="s">
        <v>4697</v>
      </c>
      <c r="S928" s="23" t="s">
        <v>4697</v>
      </c>
      <c r="T928" s="23" t="s">
        <v>4704</v>
      </c>
      <c r="U928" s="23">
        <f>DATEDIF(P928, DATE(2023, 6, 8), "Y")</f>
        <v>38</v>
      </c>
      <c r="V928">
        <f>SUM(C928:K928)</f>
        <v>28.24</v>
      </c>
    </row>
    <row r="929" spans="1:22" ht="15.75">
      <c r="A929" s="28" t="s">
        <v>1856</v>
      </c>
      <c r="B929" s="28" t="s">
        <v>1857</v>
      </c>
      <c r="C929" s="23">
        <v>23.18</v>
      </c>
      <c r="D929" s="23">
        <v>8.31</v>
      </c>
      <c r="E929" s="23" t="s">
        <v>4682</v>
      </c>
      <c r="F929" s="23" t="s">
        <v>4682</v>
      </c>
      <c r="G929" s="23" t="s">
        <v>4682</v>
      </c>
      <c r="H929" s="23">
        <v>0</v>
      </c>
      <c r="I929" s="23" t="s">
        <v>4682</v>
      </c>
      <c r="J929" s="23" t="s">
        <v>4728</v>
      </c>
      <c r="K929" s="23" t="s">
        <v>4735</v>
      </c>
      <c r="L929">
        <v>1988</v>
      </c>
      <c r="M929" s="15" t="s">
        <v>4705</v>
      </c>
      <c r="N929">
        <v>15</v>
      </c>
      <c r="O929">
        <v>3</v>
      </c>
      <c r="P929" s="21">
        <f>DATEVALUE(N929&amp;"-"&amp;M929&amp;"-"&amp;L929)</f>
        <v>32492</v>
      </c>
      <c r="Q929" s="22">
        <v>7538.52</v>
      </c>
      <c r="R929" s="23" t="s">
        <v>4697</v>
      </c>
      <c r="S929" s="23" t="s">
        <v>4697</v>
      </c>
      <c r="T929" s="23" t="s">
        <v>4704</v>
      </c>
      <c r="U929" s="23">
        <f>DATEDIF(P929, DATE(2023, 6, 8), "Y")</f>
        <v>34</v>
      </c>
      <c r="V929">
        <f>SUM(C929:K929)</f>
        <v>31.490000000000002</v>
      </c>
    </row>
    <row r="930" spans="1:22" ht="15.75">
      <c r="A930" s="28" t="s">
        <v>1858</v>
      </c>
      <c r="B930" s="28" t="s">
        <v>1859</v>
      </c>
      <c r="C930" s="23">
        <v>35.409999999999997</v>
      </c>
      <c r="D930" s="23">
        <v>5.68</v>
      </c>
      <c r="E930" s="23" t="s">
        <v>4682</v>
      </c>
      <c r="F930" s="23" t="s">
        <v>4682</v>
      </c>
      <c r="G930" s="23" t="s">
        <v>4682</v>
      </c>
      <c r="H930" s="23">
        <v>0</v>
      </c>
      <c r="I930" s="23" t="s">
        <v>4682</v>
      </c>
      <c r="J930" s="23" t="s">
        <v>4729</v>
      </c>
      <c r="K930" s="23" t="s">
        <v>4737</v>
      </c>
      <c r="L930">
        <v>1994</v>
      </c>
      <c r="M930" s="15" t="s">
        <v>4706</v>
      </c>
      <c r="N930">
        <v>14</v>
      </c>
      <c r="O930">
        <v>0</v>
      </c>
      <c r="P930" s="21">
        <f>DATEVALUE(N930&amp;"-"&amp;M930&amp;"-"&amp;L930)</f>
        <v>34560</v>
      </c>
      <c r="Q930" s="22">
        <v>7567.13</v>
      </c>
      <c r="R930" s="23" t="s">
        <v>4697</v>
      </c>
      <c r="S930" s="23" t="s">
        <v>4697</v>
      </c>
      <c r="T930" s="23" t="s">
        <v>4717</v>
      </c>
      <c r="U930" s="23">
        <f>DATEDIF(P930, DATE(2023, 6, 8), "Y")</f>
        <v>28</v>
      </c>
      <c r="V930">
        <f>SUM(C930:K930)</f>
        <v>41.089999999999996</v>
      </c>
    </row>
    <row r="931" spans="1:22" ht="15.75">
      <c r="A931" s="28" t="s">
        <v>1860</v>
      </c>
      <c r="B931" s="28" t="s">
        <v>1861</v>
      </c>
      <c r="C931" s="23">
        <v>32.11</v>
      </c>
      <c r="D931" s="23">
        <v>4.75</v>
      </c>
      <c r="E931" s="23" t="s">
        <v>4683</v>
      </c>
      <c r="F931" s="23" t="s">
        <v>4682</v>
      </c>
      <c r="G931" s="23" t="s">
        <v>4682</v>
      </c>
      <c r="H931" s="23">
        <v>2</v>
      </c>
      <c r="I931" s="23" t="s">
        <v>4682</v>
      </c>
      <c r="J931" s="23" t="s">
        <v>4729</v>
      </c>
      <c r="K931" s="23" t="s">
        <v>4737</v>
      </c>
      <c r="L931">
        <v>1967</v>
      </c>
      <c r="M931" s="15" t="s">
        <v>4696</v>
      </c>
      <c r="N931">
        <v>17</v>
      </c>
      <c r="O931">
        <v>0</v>
      </c>
      <c r="P931" s="21">
        <f>DATEVALUE(N931&amp;"-"&amp;M931&amp;"-"&amp;L931)</f>
        <v>24670</v>
      </c>
      <c r="Q931" s="22">
        <v>7585.62</v>
      </c>
      <c r="R931" s="23" t="s">
        <v>4698</v>
      </c>
      <c r="S931" s="23" t="s">
        <v>4697</v>
      </c>
      <c r="T931" s="23" t="s">
        <v>4699</v>
      </c>
      <c r="U931" s="23">
        <f>DATEDIF(P931, DATE(2023, 6, 8), "Y")</f>
        <v>55</v>
      </c>
      <c r="V931">
        <f>SUM(C931:K931)</f>
        <v>38.86</v>
      </c>
    </row>
    <row r="932" spans="1:22" ht="15.75">
      <c r="A932" s="28" t="s">
        <v>1862</v>
      </c>
      <c r="B932" s="28" t="s">
        <v>1863</v>
      </c>
      <c r="C932" s="23">
        <v>34.479999999999997</v>
      </c>
      <c r="D932" s="23">
        <v>6.31</v>
      </c>
      <c r="E932" s="23" t="s">
        <v>4682</v>
      </c>
      <c r="F932" s="23" t="s">
        <v>4682</v>
      </c>
      <c r="G932" s="23" t="s">
        <v>4684</v>
      </c>
      <c r="H932" s="23">
        <v>1</v>
      </c>
      <c r="I932" s="23" t="s">
        <v>4682</v>
      </c>
      <c r="J932" s="23" t="s">
        <v>4729</v>
      </c>
      <c r="K932" s="23" t="s">
        <v>4736</v>
      </c>
      <c r="L932">
        <v>1997</v>
      </c>
      <c r="M932" s="15" t="s">
        <v>4703</v>
      </c>
      <c r="N932">
        <v>30</v>
      </c>
      <c r="O932">
        <v>0</v>
      </c>
      <c r="P932" s="21">
        <f>DATEVALUE(N932&amp;"-"&amp;M932&amp;"-"&amp;L932)</f>
        <v>35703</v>
      </c>
      <c r="Q932" s="22">
        <v>7607.03</v>
      </c>
      <c r="R932" s="23" t="s">
        <v>4697</v>
      </c>
      <c r="S932" s="23" t="s">
        <v>4697</v>
      </c>
      <c r="T932" s="23" t="s">
        <v>4704</v>
      </c>
      <c r="U932" s="23">
        <f>DATEDIF(P932, DATE(2023, 6, 8), "Y")</f>
        <v>25</v>
      </c>
      <c r="V932">
        <f>SUM(C932:K932)</f>
        <v>41.79</v>
      </c>
    </row>
    <row r="933" spans="1:22" ht="15.75">
      <c r="A933" s="28" t="s">
        <v>1864</v>
      </c>
      <c r="B933" s="28" t="s">
        <v>1865</v>
      </c>
      <c r="C933" s="23">
        <v>34.39</v>
      </c>
      <c r="D933" s="23">
        <v>6.28</v>
      </c>
      <c r="E933" s="23" t="s">
        <v>4683</v>
      </c>
      <c r="F933" s="23" t="s">
        <v>4682</v>
      </c>
      <c r="G933" s="23" t="s">
        <v>4682</v>
      </c>
      <c r="H933" s="23">
        <v>1</v>
      </c>
      <c r="I933" s="23" t="s">
        <v>4682</v>
      </c>
      <c r="J933" s="23" t="s">
        <v>4729</v>
      </c>
      <c r="K933" s="23" t="s">
        <v>4736</v>
      </c>
      <c r="L933">
        <v>1968</v>
      </c>
      <c r="M933" s="15" t="s">
        <v>4696</v>
      </c>
      <c r="N933">
        <v>3</v>
      </c>
      <c r="O933">
        <v>0</v>
      </c>
      <c r="P933" s="21">
        <f>DATEVALUE(N933&amp;"-"&amp;M933&amp;"-"&amp;L933)</f>
        <v>25022</v>
      </c>
      <c r="Q933" s="22">
        <v>7609.6</v>
      </c>
      <c r="R933" s="23" t="s">
        <v>4698</v>
      </c>
      <c r="S933" s="23" t="s">
        <v>4697</v>
      </c>
      <c r="T933" s="23" t="s">
        <v>4704</v>
      </c>
      <c r="U933" s="23">
        <f>DATEDIF(P933, DATE(2023, 6, 8), "Y")</f>
        <v>54</v>
      </c>
      <c r="V933">
        <f>SUM(C933:K933)</f>
        <v>41.67</v>
      </c>
    </row>
    <row r="934" spans="1:22" ht="15.75">
      <c r="A934" s="28" t="s">
        <v>1866</v>
      </c>
      <c r="B934" s="28" t="s">
        <v>1867</v>
      </c>
      <c r="C934" s="23">
        <v>26.4</v>
      </c>
      <c r="D934" s="23">
        <v>9.2899999999999991</v>
      </c>
      <c r="E934" s="23" t="s">
        <v>4683</v>
      </c>
      <c r="F934" s="23" t="s">
        <v>4682</v>
      </c>
      <c r="G934" s="23" t="s">
        <v>4684</v>
      </c>
      <c r="H934" s="23">
        <v>1</v>
      </c>
      <c r="I934" s="23" t="s">
        <v>4682</v>
      </c>
      <c r="J934" s="23" t="s">
        <v>4730</v>
      </c>
      <c r="K934" s="23" t="s">
        <v>4735</v>
      </c>
      <c r="L934">
        <v>1996</v>
      </c>
      <c r="M934" s="15" t="s">
        <v>4703</v>
      </c>
      <c r="N934">
        <v>17</v>
      </c>
      <c r="O934">
        <v>0</v>
      </c>
      <c r="P934" s="21">
        <f>DATEVALUE(N934&amp;"-"&amp;M934&amp;"-"&amp;L934)</f>
        <v>35325</v>
      </c>
      <c r="Q934" s="22">
        <v>7623.13</v>
      </c>
      <c r="R934" s="23" t="s">
        <v>4697</v>
      </c>
      <c r="S934" s="23" t="s">
        <v>4698</v>
      </c>
      <c r="T934" s="23" t="s">
        <v>4708</v>
      </c>
      <c r="U934" s="23">
        <f>DATEDIF(P934, DATE(2023, 6, 8), "Y")</f>
        <v>26</v>
      </c>
      <c r="V934">
        <f>SUM(C934:K934)</f>
        <v>36.69</v>
      </c>
    </row>
    <row r="935" spans="1:22" ht="15.75">
      <c r="A935" s="28" t="s">
        <v>1868</v>
      </c>
      <c r="B935" s="28" t="s">
        <v>1869</v>
      </c>
      <c r="C935" s="23">
        <v>28.1</v>
      </c>
      <c r="D935" s="23">
        <v>5.79</v>
      </c>
      <c r="E935" s="23" t="s">
        <v>4683</v>
      </c>
      <c r="F935" s="23" t="s">
        <v>4682</v>
      </c>
      <c r="G935" s="23" t="s">
        <v>4684</v>
      </c>
      <c r="H935" s="23">
        <v>1</v>
      </c>
      <c r="I935" s="23" t="s">
        <v>4682</v>
      </c>
      <c r="J935" s="23" t="s">
        <v>4730</v>
      </c>
      <c r="K935" s="23" t="s">
        <v>4736</v>
      </c>
      <c r="L935">
        <v>1978</v>
      </c>
      <c r="M935" s="15" t="s">
        <v>4700</v>
      </c>
      <c r="N935">
        <v>28</v>
      </c>
      <c r="O935">
        <v>1</v>
      </c>
      <c r="P935" s="21">
        <f>DATEVALUE(N935&amp;"-"&amp;M935&amp;"-"&amp;L935)</f>
        <v>28822</v>
      </c>
      <c r="Q935" s="22">
        <v>7623.52</v>
      </c>
      <c r="R935" s="23" t="s">
        <v>4697</v>
      </c>
      <c r="S935" s="23" t="s">
        <v>4701</v>
      </c>
      <c r="T935" s="23" t="s">
        <v>4708</v>
      </c>
      <c r="U935" s="23">
        <f>DATEDIF(P935, DATE(2023, 6, 8), "Y")</f>
        <v>44</v>
      </c>
      <c r="V935">
        <f>SUM(C935:K935)</f>
        <v>34.89</v>
      </c>
    </row>
    <row r="936" spans="1:22" ht="15.75">
      <c r="A936" s="28" t="s">
        <v>1870</v>
      </c>
      <c r="B936" s="28" t="s">
        <v>1871</v>
      </c>
      <c r="C936" s="23">
        <v>27</v>
      </c>
      <c r="D936" s="23">
        <v>4.54</v>
      </c>
      <c r="E936" s="23" t="s">
        <v>4683</v>
      </c>
      <c r="F936" s="23" t="s">
        <v>4682</v>
      </c>
      <c r="G936" s="23" t="s">
        <v>4682</v>
      </c>
      <c r="H936" s="23">
        <v>1</v>
      </c>
      <c r="I936" s="23" t="s">
        <v>4682</v>
      </c>
      <c r="J936" s="23" t="s">
        <v>4730</v>
      </c>
      <c r="K936" s="23" t="s">
        <v>4737</v>
      </c>
      <c r="L936">
        <v>1978</v>
      </c>
      <c r="M936" s="15" t="s">
        <v>4700</v>
      </c>
      <c r="N936">
        <v>6</v>
      </c>
      <c r="O936">
        <v>1</v>
      </c>
      <c r="P936" s="21">
        <f>DATEVALUE(N936&amp;"-"&amp;M936&amp;"-"&amp;L936)</f>
        <v>28800</v>
      </c>
      <c r="Q936" s="22">
        <v>7624.63</v>
      </c>
      <c r="R936" s="23" t="s">
        <v>4697</v>
      </c>
      <c r="S936" s="23" t="s">
        <v>4701</v>
      </c>
      <c r="T936" s="23" t="s">
        <v>4708</v>
      </c>
      <c r="U936" s="23">
        <f>DATEDIF(P936, DATE(2023, 6, 8), "Y")</f>
        <v>44</v>
      </c>
      <c r="V936">
        <f>SUM(C936:K936)</f>
        <v>32.54</v>
      </c>
    </row>
    <row r="937" spans="1:22" ht="15.75">
      <c r="A937" s="28" t="s">
        <v>1872</v>
      </c>
      <c r="B937" s="28" t="s">
        <v>1873</v>
      </c>
      <c r="C937" s="23">
        <v>28.594999999999999</v>
      </c>
      <c r="D937" s="23">
        <v>4.68</v>
      </c>
      <c r="E937" s="23" t="s">
        <v>4683</v>
      </c>
      <c r="F937" s="23" t="s">
        <v>4682</v>
      </c>
      <c r="G937" s="23" t="s">
        <v>4682</v>
      </c>
      <c r="H937" s="23">
        <v>1</v>
      </c>
      <c r="I937" s="23" t="s">
        <v>4682</v>
      </c>
      <c r="J937" s="23" t="s">
        <v>4730</v>
      </c>
      <c r="K937" s="23" t="s">
        <v>4737</v>
      </c>
      <c r="L937">
        <v>1978</v>
      </c>
      <c r="M937" s="15" t="s">
        <v>4700</v>
      </c>
      <c r="N937">
        <v>29</v>
      </c>
      <c r="O937">
        <v>1</v>
      </c>
      <c r="P937" s="21">
        <f>DATEVALUE(N937&amp;"-"&amp;M937&amp;"-"&amp;L937)</f>
        <v>28823</v>
      </c>
      <c r="Q937" s="22">
        <v>7626.99</v>
      </c>
      <c r="R937" s="23" t="s">
        <v>4697</v>
      </c>
      <c r="S937" s="23" t="s">
        <v>4697</v>
      </c>
      <c r="T937" s="23" t="s">
        <v>4708</v>
      </c>
      <c r="U937" s="23">
        <f>DATEDIF(P937, DATE(2023, 6, 8), "Y")</f>
        <v>44</v>
      </c>
      <c r="V937">
        <f>SUM(C937:K937)</f>
        <v>34.274999999999999</v>
      </c>
    </row>
    <row r="938" spans="1:22" ht="15.75">
      <c r="A938" s="28" t="s">
        <v>1874</v>
      </c>
      <c r="B938" s="28" t="s">
        <v>1875</v>
      </c>
      <c r="C938" s="23">
        <v>36.799999999999997</v>
      </c>
      <c r="D938" s="23">
        <v>5.88</v>
      </c>
      <c r="E938" s="23" t="s">
        <v>4682</v>
      </c>
      <c r="F938" s="23" t="s">
        <v>4682</v>
      </c>
      <c r="G938" s="23" t="s">
        <v>4682</v>
      </c>
      <c r="H938" s="23">
        <v>1</v>
      </c>
      <c r="I938" s="23" t="s">
        <v>4682</v>
      </c>
      <c r="J938" s="23" t="s">
        <v>4729</v>
      </c>
      <c r="K938" s="23" t="s">
        <v>4736</v>
      </c>
      <c r="L938">
        <v>1978</v>
      </c>
      <c r="M938" s="15" t="s">
        <v>4706</v>
      </c>
      <c r="N938">
        <v>24</v>
      </c>
      <c r="O938">
        <v>1</v>
      </c>
      <c r="P938" s="21">
        <f>DATEVALUE(N938&amp;"-"&amp;M938&amp;"-"&amp;L938)</f>
        <v>28726</v>
      </c>
      <c r="Q938" s="22">
        <v>7633.72</v>
      </c>
      <c r="R938" s="23" t="s">
        <v>4697</v>
      </c>
      <c r="S938" s="23" t="s">
        <v>4701</v>
      </c>
      <c r="T938" s="23" t="s">
        <v>4699</v>
      </c>
      <c r="U938" s="23">
        <f>DATEDIF(P938, DATE(2023, 6, 8), "Y")</f>
        <v>44</v>
      </c>
      <c r="V938">
        <f>SUM(C938:K938)</f>
        <v>43.68</v>
      </c>
    </row>
    <row r="939" spans="1:22" ht="15.75">
      <c r="A939" s="28" t="s">
        <v>1876</v>
      </c>
      <c r="B939" s="28" t="s">
        <v>1877</v>
      </c>
      <c r="C939" s="23">
        <v>23.75</v>
      </c>
      <c r="D939" s="23">
        <v>5.42</v>
      </c>
      <c r="E939" s="23" t="s">
        <v>4683</v>
      </c>
      <c r="F939" s="23" t="s">
        <v>4682</v>
      </c>
      <c r="G939" s="23" t="s">
        <v>4684</v>
      </c>
      <c r="H939" s="23">
        <v>1</v>
      </c>
      <c r="I939" s="23" t="s">
        <v>4682</v>
      </c>
      <c r="J939" s="23" t="s">
        <v>4728</v>
      </c>
      <c r="K939" s="23" t="s">
        <v>4737</v>
      </c>
      <c r="L939">
        <v>2001</v>
      </c>
      <c r="M939" s="15" t="s">
        <v>4705</v>
      </c>
      <c r="N939">
        <v>13</v>
      </c>
      <c r="O939">
        <v>0</v>
      </c>
      <c r="P939" s="21">
        <f>DATEVALUE(N939&amp;"-"&amp;M939&amp;"-"&amp;L939)</f>
        <v>37238</v>
      </c>
      <c r="Q939" s="22">
        <v>7636.92</v>
      </c>
      <c r="R939" s="23" t="s">
        <v>4697</v>
      </c>
      <c r="S939" s="23" t="s">
        <v>4698</v>
      </c>
      <c r="T939" s="23" t="s">
        <v>4704</v>
      </c>
      <c r="U939" s="23">
        <f>DATEDIF(P939, DATE(2023, 6, 8), "Y")</f>
        <v>21</v>
      </c>
      <c r="V939">
        <f>SUM(C939:K939)</f>
        <v>30.17</v>
      </c>
    </row>
    <row r="940" spans="1:22" ht="15.75">
      <c r="A940" s="28" t="s">
        <v>1878</v>
      </c>
      <c r="B940" s="28" t="s">
        <v>1879</v>
      </c>
      <c r="C940" s="23">
        <v>35.619999999999997</v>
      </c>
      <c r="D940" s="23">
        <v>4.16</v>
      </c>
      <c r="E940" s="23" t="s">
        <v>4682</v>
      </c>
      <c r="F940" s="23" t="s">
        <v>4682</v>
      </c>
      <c r="G940" s="23" t="s">
        <v>4682</v>
      </c>
      <c r="H940" s="23">
        <v>0</v>
      </c>
      <c r="I940" s="23" t="s">
        <v>4682</v>
      </c>
      <c r="J940" s="23" t="s">
        <v>4729</v>
      </c>
      <c r="K940" s="23" t="s">
        <v>4737</v>
      </c>
      <c r="L940">
        <v>1980</v>
      </c>
      <c r="M940" s="15" t="s">
        <v>4702</v>
      </c>
      <c r="N940">
        <v>20</v>
      </c>
      <c r="O940">
        <v>1</v>
      </c>
      <c r="P940" s="21">
        <f>DATEVALUE(N940&amp;"-"&amp;M940&amp;"-"&amp;L940)</f>
        <v>29392</v>
      </c>
      <c r="Q940" s="22">
        <v>7639.42</v>
      </c>
      <c r="R940" s="23" t="s">
        <v>4697</v>
      </c>
      <c r="S940" s="23" t="s">
        <v>4697</v>
      </c>
      <c r="T940" s="23" t="s">
        <v>4714</v>
      </c>
      <c r="U940" s="23">
        <f>DATEDIF(P940, DATE(2023, 6, 8), "Y")</f>
        <v>42</v>
      </c>
      <c r="V940">
        <f>SUM(C940:K940)</f>
        <v>39.78</v>
      </c>
    </row>
    <row r="941" spans="1:22" ht="15.75">
      <c r="A941" s="28" t="s">
        <v>1880</v>
      </c>
      <c r="B941" s="28" t="s">
        <v>1881</v>
      </c>
      <c r="C941" s="23">
        <v>30.69</v>
      </c>
      <c r="D941" s="23">
        <v>7.05</v>
      </c>
      <c r="E941" s="23" t="s">
        <v>4683</v>
      </c>
      <c r="F941" s="23" t="s">
        <v>4682</v>
      </c>
      <c r="G941" s="23" t="s">
        <v>4682</v>
      </c>
      <c r="H941" s="23">
        <v>2</v>
      </c>
      <c r="I941" s="23" t="s">
        <v>4682</v>
      </c>
      <c r="J941" s="23" t="s">
        <v>4729</v>
      </c>
      <c r="K941" s="23" t="s">
        <v>4735</v>
      </c>
      <c r="L941">
        <v>1980</v>
      </c>
      <c r="M941" s="15" t="s">
        <v>4696</v>
      </c>
      <c r="N941">
        <v>24</v>
      </c>
      <c r="O941">
        <v>2</v>
      </c>
      <c r="P941" s="21">
        <f>DATEVALUE(N941&amp;"-"&amp;M941&amp;"-"&amp;L941)</f>
        <v>29426</v>
      </c>
      <c r="Q941" s="22">
        <v>7640.31</v>
      </c>
      <c r="R941" s="23" t="s">
        <v>4697</v>
      </c>
      <c r="S941" s="23" t="s">
        <v>4701</v>
      </c>
      <c r="T941" s="23" t="s">
        <v>4699</v>
      </c>
      <c r="U941" s="23">
        <f>DATEDIF(P941, DATE(2023, 6, 8), "Y")</f>
        <v>42</v>
      </c>
      <c r="V941">
        <f>SUM(C941:K941)</f>
        <v>39.74</v>
      </c>
    </row>
    <row r="942" spans="1:22" ht="15.75">
      <c r="A942" s="28" t="s">
        <v>1882</v>
      </c>
      <c r="B942" s="28" t="s">
        <v>1883</v>
      </c>
      <c r="C942" s="23">
        <v>35.799999999999997</v>
      </c>
      <c r="D942" s="23">
        <v>5.63</v>
      </c>
      <c r="E942" s="23" t="s">
        <v>4683</v>
      </c>
      <c r="F942" s="23" t="s">
        <v>4682</v>
      </c>
      <c r="G942" s="23" t="s">
        <v>4682</v>
      </c>
      <c r="H942" s="23">
        <v>2</v>
      </c>
      <c r="I942" s="23" t="s">
        <v>4682</v>
      </c>
      <c r="J942" s="23" t="s">
        <v>4729</v>
      </c>
      <c r="K942" s="23" t="s">
        <v>4737</v>
      </c>
      <c r="L942">
        <v>1999</v>
      </c>
      <c r="M942" s="15" t="s">
        <v>4702</v>
      </c>
      <c r="N942">
        <v>15</v>
      </c>
      <c r="O942">
        <v>0</v>
      </c>
      <c r="P942" s="21">
        <f>DATEVALUE(N942&amp;"-"&amp;M942&amp;"-"&amp;L942)</f>
        <v>36326</v>
      </c>
      <c r="Q942" s="22">
        <v>7642.05</v>
      </c>
      <c r="R942" s="23" t="s">
        <v>4697</v>
      </c>
      <c r="S942" s="23" t="s">
        <v>4697</v>
      </c>
      <c r="T942" s="23" t="s">
        <v>4720</v>
      </c>
      <c r="U942" s="23">
        <f>DATEDIF(P942, DATE(2023, 6, 8), "Y")</f>
        <v>23</v>
      </c>
      <c r="V942">
        <f>SUM(C942:K942)</f>
        <v>43.43</v>
      </c>
    </row>
    <row r="943" spans="1:22" ht="15.75">
      <c r="A943" s="28" t="s">
        <v>1884</v>
      </c>
      <c r="B943" s="28" t="s">
        <v>1885</v>
      </c>
      <c r="C943" s="23">
        <v>28.785</v>
      </c>
      <c r="D943" s="23">
        <v>4.24</v>
      </c>
      <c r="E943" s="23" t="s">
        <v>4683</v>
      </c>
      <c r="F943" s="23" t="s">
        <v>4682</v>
      </c>
      <c r="G943" s="23" t="s">
        <v>4682</v>
      </c>
      <c r="H943" s="23">
        <v>2</v>
      </c>
      <c r="I943" s="23" t="s">
        <v>4682</v>
      </c>
      <c r="J943" s="23" t="s">
        <v>4730</v>
      </c>
      <c r="K943" s="23" t="s">
        <v>4737</v>
      </c>
      <c r="L943">
        <v>1980</v>
      </c>
      <c r="M943" s="15" t="s">
        <v>4707</v>
      </c>
      <c r="N943">
        <v>16</v>
      </c>
      <c r="O943">
        <v>1</v>
      </c>
      <c r="P943" s="21">
        <f>DATEVALUE(N943&amp;"-"&amp;M943&amp;"-"&amp;L943)</f>
        <v>29510</v>
      </c>
      <c r="Q943" s="22">
        <v>7650.77</v>
      </c>
      <c r="R943" s="23" t="s">
        <v>4697</v>
      </c>
      <c r="S943" s="23" t="s">
        <v>4697</v>
      </c>
      <c r="T943" s="23" t="s">
        <v>4714</v>
      </c>
      <c r="U943" s="23">
        <f>DATEDIF(P943, DATE(2023, 6, 8), "Y")</f>
        <v>42</v>
      </c>
      <c r="V943">
        <f>SUM(C943:K943)</f>
        <v>35.024999999999999</v>
      </c>
    </row>
    <row r="944" spans="1:22" ht="15.75">
      <c r="A944" s="28" t="s">
        <v>1886</v>
      </c>
      <c r="B944" s="28" t="s">
        <v>1887</v>
      </c>
      <c r="C944" s="23">
        <v>28.594999999999999</v>
      </c>
      <c r="D944" s="23">
        <v>4.96</v>
      </c>
      <c r="E944" s="23" t="s">
        <v>4683</v>
      </c>
      <c r="F944" s="23" t="s">
        <v>4682</v>
      </c>
      <c r="G944" s="23" t="s">
        <v>4682</v>
      </c>
      <c r="H944" s="23">
        <v>2</v>
      </c>
      <c r="I944" s="23" t="s">
        <v>4682</v>
      </c>
      <c r="J944" s="23" t="s">
        <v>4730</v>
      </c>
      <c r="K944" s="23" t="s">
        <v>4737</v>
      </c>
      <c r="L944">
        <v>1993</v>
      </c>
      <c r="M944" s="15" t="s">
        <v>4706</v>
      </c>
      <c r="N944">
        <v>10</v>
      </c>
      <c r="O944">
        <v>0</v>
      </c>
      <c r="P944" s="21">
        <f>DATEVALUE(N944&amp;"-"&amp;M944&amp;"-"&amp;L944)</f>
        <v>34191</v>
      </c>
      <c r="Q944" s="22">
        <v>7650.8</v>
      </c>
      <c r="R944" s="23" t="s">
        <v>4697</v>
      </c>
      <c r="S944" s="23" t="s">
        <v>4697</v>
      </c>
      <c r="T944" s="23" t="s">
        <v>4704</v>
      </c>
      <c r="U944" s="23">
        <f>DATEDIF(P944, DATE(2023, 6, 8), "Y")</f>
        <v>29</v>
      </c>
      <c r="V944">
        <f>SUM(C944:K944)</f>
        <v>35.555</v>
      </c>
    </row>
    <row r="945" spans="1:22" ht="15.75">
      <c r="A945" s="28" t="s">
        <v>1888</v>
      </c>
      <c r="B945" s="28" t="s">
        <v>1889</v>
      </c>
      <c r="C945" s="23">
        <v>48.75</v>
      </c>
      <c r="D945" s="23">
        <v>4.34</v>
      </c>
      <c r="E945" s="23" t="s">
        <v>4682</v>
      </c>
      <c r="F945" s="23" t="s">
        <v>4682</v>
      </c>
      <c r="G945" s="23" t="s">
        <v>4682</v>
      </c>
      <c r="H945" s="23">
        <v>0</v>
      </c>
      <c r="I945" s="23" t="s">
        <v>4682</v>
      </c>
      <c r="J945" s="23" t="s">
        <v>4729</v>
      </c>
      <c r="K945" s="23" t="s">
        <v>4737</v>
      </c>
      <c r="L945">
        <v>1998</v>
      </c>
      <c r="M945" s="15" t="s">
        <v>4703</v>
      </c>
      <c r="N945">
        <v>30</v>
      </c>
      <c r="O945">
        <v>0</v>
      </c>
      <c r="P945" s="21">
        <f>DATEVALUE(N945&amp;"-"&amp;M945&amp;"-"&amp;L945)</f>
        <v>36068</v>
      </c>
      <c r="Q945" s="22">
        <v>7652.26</v>
      </c>
      <c r="R945" s="23" t="s">
        <v>4697</v>
      </c>
      <c r="S945" s="23" t="s">
        <v>4698</v>
      </c>
      <c r="T945" s="23" t="s">
        <v>4715</v>
      </c>
      <c r="U945" s="23">
        <f>DATEDIF(P945, DATE(2023, 6, 8), "Y")</f>
        <v>24</v>
      </c>
      <c r="V945">
        <f>SUM(C945:K945)</f>
        <v>53.09</v>
      </c>
    </row>
    <row r="946" spans="1:22" ht="15.75">
      <c r="A946" s="28" t="s">
        <v>1890</v>
      </c>
      <c r="B946" s="28" t="s">
        <v>1891</v>
      </c>
      <c r="C946" s="23">
        <v>28.31</v>
      </c>
      <c r="D946" s="23">
        <v>5.43</v>
      </c>
      <c r="E946" s="23" t="s">
        <v>4683</v>
      </c>
      <c r="F946" s="23" t="s">
        <v>4682</v>
      </c>
      <c r="G946" s="23" t="s">
        <v>4682</v>
      </c>
      <c r="H946" s="23">
        <v>2</v>
      </c>
      <c r="I946" s="23" t="s">
        <v>4682</v>
      </c>
      <c r="J946" s="23" t="s">
        <v>4730</v>
      </c>
      <c r="K946" s="23" t="s">
        <v>4737</v>
      </c>
      <c r="L946">
        <v>1965</v>
      </c>
      <c r="M946" s="15" t="s">
        <v>4705</v>
      </c>
      <c r="N946">
        <v>27</v>
      </c>
      <c r="O946">
        <v>0</v>
      </c>
      <c r="P946" s="21">
        <f>DATEVALUE(N946&amp;"-"&amp;M946&amp;"-"&amp;L946)</f>
        <v>24103</v>
      </c>
      <c r="Q946" s="22">
        <v>7657.69</v>
      </c>
      <c r="R946" s="23" t="s">
        <v>4698</v>
      </c>
      <c r="S946" s="23" t="s">
        <v>4698</v>
      </c>
      <c r="T946" s="23" t="s">
        <v>4704</v>
      </c>
      <c r="U946" s="23">
        <f>DATEDIF(P946, DATE(2023, 6, 8), "Y")</f>
        <v>57</v>
      </c>
      <c r="V946">
        <f>SUM(C946:K946)</f>
        <v>35.739999999999995</v>
      </c>
    </row>
    <row r="947" spans="1:22" ht="15.75">
      <c r="A947" s="28" t="s">
        <v>1892</v>
      </c>
      <c r="B947" s="28" t="s">
        <v>1893</v>
      </c>
      <c r="C947" s="23">
        <v>38.39</v>
      </c>
      <c r="D947" s="23">
        <v>8.33</v>
      </c>
      <c r="E947" s="23" t="s">
        <v>4683</v>
      </c>
      <c r="F947" s="23" t="s">
        <v>4682</v>
      </c>
      <c r="G947" s="23" t="s">
        <v>4682</v>
      </c>
      <c r="H947" s="23">
        <v>1</v>
      </c>
      <c r="I947" s="23" t="s">
        <v>4682</v>
      </c>
      <c r="J947" s="23" t="s">
        <v>4729</v>
      </c>
      <c r="K947" s="23" t="s">
        <v>4735</v>
      </c>
      <c r="L947">
        <v>1976</v>
      </c>
      <c r="M947" s="15" t="s">
        <v>4707</v>
      </c>
      <c r="N947">
        <v>9</v>
      </c>
      <c r="O947">
        <v>2</v>
      </c>
      <c r="P947" s="21">
        <f>DATEVALUE(N947&amp;"-"&amp;M947&amp;"-"&amp;L947)</f>
        <v>28042</v>
      </c>
      <c r="Q947" s="22">
        <v>7662.47</v>
      </c>
      <c r="R947" s="23" t="s">
        <v>4697</v>
      </c>
      <c r="S947" s="23" t="s">
        <v>4701</v>
      </c>
      <c r="T947" s="23" t="s">
        <v>4708</v>
      </c>
      <c r="U947" s="23">
        <f>DATEDIF(P947, DATE(2023, 6, 8), "Y")</f>
        <v>46</v>
      </c>
      <c r="V947">
        <f>SUM(C947:K947)</f>
        <v>47.72</v>
      </c>
    </row>
    <row r="948" spans="1:22" ht="15.75">
      <c r="A948" s="28" t="s">
        <v>1894</v>
      </c>
      <c r="B948" s="28" t="s">
        <v>1895</v>
      </c>
      <c r="C948" s="23">
        <v>25.87</v>
      </c>
      <c r="D948" s="23">
        <v>5.63</v>
      </c>
      <c r="E948" s="23" t="s">
        <v>4683</v>
      </c>
      <c r="F948" s="23" t="s">
        <v>4682</v>
      </c>
      <c r="G948" s="23" t="s">
        <v>4682</v>
      </c>
      <c r="H948" s="23">
        <v>1</v>
      </c>
      <c r="I948" s="23" t="s">
        <v>4682</v>
      </c>
      <c r="J948" s="23" t="s">
        <v>4730</v>
      </c>
      <c r="K948" s="23" t="s">
        <v>4737</v>
      </c>
      <c r="L948">
        <v>1996</v>
      </c>
      <c r="M948" s="15" t="s">
        <v>4700</v>
      </c>
      <c r="N948">
        <v>24</v>
      </c>
      <c r="O948">
        <v>0</v>
      </c>
      <c r="P948" s="21">
        <f>DATEVALUE(N948&amp;"-"&amp;M948&amp;"-"&amp;L948)</f>
        <v>35393</v>
      </c>
      <c r="Q948" s="22">
        <v>7670.75</v>
      </c>
      <c r="R948" s="23" t="s">
        <v>4697</v>
      </c>
      <c r="S948" s="23" t="s">
        <v>4697</v>
      </c>
      <c r="T948" s="23" t="s">
        <v>4721</v>
      </c>
      <c r="U948" s="23">
        <f>DATEDIF(P948, DATE(2023, 6, 8), "Y")</f>
        <v>26</v>
      </c>
      <c r="V948">
        <f>SUM(C948:K948)</f>
        <v>32.5</v>
      </c>
    </row>
    <row r="949" spans="1:22" ht="15.75">
      <c r="A949" s="28" t="s">
        <v>1896</v>
      </c>
      <c r="B949" s="28" t="s">
        <v>1897</v>
      </c>
      <c r="C949" s="23">
        <v>43.7</v>
      </c>
      <c r="D949" s="23">
        <v>7.23</v>
      </c>
      <c r="E949" s="23" t="s">
        <v>4682</v>
      </c>
      <c r="F949" s="23" t="s">
        <v>4682</v>
      </c>
      <c r="G949" s="23" t="s">
        <v>4682</v>
      </c>
      <c r="H949" s="23">
        <v>0</v>
      </c>
      <c r="I949" s="23" t="s">
        <v>4682</v>
      </c>
      <c r="J949" s="23" t="s">
        <v>4729</v>
      </c>
      <c r="K949" s="23" t="s">
        <v>4735</v>
      </c>
      <c r="L949">
        <v>1995</v>
      </c>
      <c r="M949" s="15" t="s">
        <v>4703</v>
      </c>
      <c r="N949">
        <v>13</v>
      </c>
      <c r="O949">
        <v>0</v>
      </c>
      <c r="P949" s="21">
        <f>DATEVALUE(N949&amp;"-"&amp;M949&amp;"-"&amp;L949)</f>
        <v>34955</v>
      </c>
      <c r="Q949" s="22">
        <v>7676.4</v>
      </c>
      <c r="R949" s="23" t="s">
        <v>4697</v>
      </c>
      <c r="S949" s="23" t="s">
        <v>4701</v>
      </c>
      <c r="T949" s="23" t="s">
        <v>4704</v>
      </c>
      <c r="U949" s="23">
        <f>DATEDIF(P949, DATE(2023, 6, 8), "Y")</f>
        <v>27</v>
      </c>
      <c r="V949">
        <f>SUM(C949:K949)</f>
        <v>50.930000000000007</v>
      </c>
    </row>
    <row r="950" spans="1:22" ht="15.75">
      <c r="A950" s="28" t="s">
        <v>1898</v>
      </c>
      <c r="B950" s="28" t="s">
        <v>1899</v>
      </c>
      <c r="C950" s="23">
        <v>40.945</v>
      </c>
      <c r="D950" s="23">
        <v>10.57</v>
      </c>
      <c r="E950" s="23" t="s">
        <v>4682</v>
      </c>
      <c r="F950" s="23" t="s">
        <v>4682</v>
      </c>
      <c r="G950" s="23" t="s">
        <v>4682</v>
      </c>
      <c r="H950" s="23">
        <v>0</v>
      </c>
      <c r="I950" s="23" t="s">
        <v>4682</v>
      </c>
      <c r="J950" s="23" t="s">
        <v>4729</v>
      </c>
      <c r="K950" s="23" t="s">
        <v>4735</v>
      </c>
      <c r="L950">
        <v>1971</v>
      </c>
      <c r="M950" s="15" t="s">
        <v>4707</v>
      </c>
      <c r="N950">
        <v>11</v>
      </c>
      <c r="O950">
        <v>0</v>
      </c>
      <c r="P950" s="21">
        <f>DATEVALUE(N950&amp;"-"&amp;M950&amp;"-"&amp;L950)</f>
        <v>26217</v>
      </c>
      <c r="Q950" s="22">
        <v>7680.92</v>
      </c>
      <c r="R950" s="23" t="s">
        <v>4697</v>
      </c>
      <c r="S950" s="23" t="s">
        <v>4701</v>
      </c>
      <c r="T950" s="23" t="s">
        <v>4699</v>
      </c>
      <c r="U950" s="23">
        <f>DATEDIF(P950, DATE(2023, 6, 8), "Y")</f>
        <v>51</v>
      </c>
      <c r="V950">
        <f>SUM(C950:K950)</f>
        <v>51.515000000000001</v>
      </c>
    </row>
    <row r="951" spans="1:22" ht="15.75">
      <c r="A951" s="28" t="s">
        <v>1900</v>
      </c>
      <c r="B951" s="28" t="s">
        <v>1901</v>
      </c>
      <c r="C951" s="23">
        <v>27.94</v>
      </c>
      <c r="D951" s="23">
        <v>7.92</v>
      </c>
      <c r="E951" s="23" t="s">
        <v>4682</v>
      </c>
      <c r="F951" s="23" t="s">
        <v>4682</v>
      </c>
      <c r="G951" s="23" t="s">
        <v>4682</v>
      </c>
      <c r="H951" s="23">
        <v>0</v>
      </c>
      <c r="I951" s="23" t="s">
        <v>4682</v>
      </c>
      <c r="J951" s="23" t="s">
        <v>4730</v>
      </c>
      <c r="K951" s="23" t="s">
        <v>4735</v>
      </c>
      <c r="L951">
        <v>1981</v>
      </c>
      <c r="M951" s="15" t="s">
        <v>4705</v>
      </c>
      <c r="N951">
        <v>19</v>
      </c>
      <c r="O951">
        <v>1</v>
      </c>
      <c r="P951" s="21">
        <f>DATEVALUE(N951&amp;"-"&amp;M951&amp;"-"&amp;L951)</f>
        <v>29939</v>
      </c>
      <c r="Q951" s="22">
        <v>7681.17</v>
      </c>
      <c r="R951" s="23" t="s">
        <v>4697</v>
      </c>
      <c r="S951" s="23" t="s">
        <v>4697</v>
      </c>
      <c r="T951" s="23" t="s">
        <v>4719</v>
      </c>
      <c r="U951" s="23">
        <f>DATEDIF(P951, DATE(2023, 6, 8), "Y")</f>
        <v>41</v>
      </c>
      <c r="V951">
        <f>SUM(C951:K951)</f>
        <v>35.86</v>
      </c>
    </row>
    <row r="952" spans="1:22" ht="15.75">
      <c r="A952" s="28" t="s">
        <v>1902</v>
      </c>
      <c r="B952" s="28" t="s">
        <v>1903</v>
      </c>
      <c r="C952" s="23">
        <v>31.9</v>
      </c>
      <c r="D952" s="23">
        <v>10.119999999999999</v>
      </c>
      <c r="E952" s="23" t="s">
        <v>4682</v>
      </c>
      <c r="F952" s="23" t="s">
        <v>4682</v>
      </c>
      <c r="G952" s="23" t="s">
        <v>4682</v>
      </c>
      <c r="H952" s="23">
        <v>2</v>
      </c>
      <c r="I952" s="23" t="s">
        <v>4682</v>
      </c>
      <c r="J952" s="23" t="s">
        <v>4729</v>
      </c>
      <c r="K952" s="23" t="s">
        <v>4735</v>
      </c>
      <c r="L952">
        <v>1982</v>
      </c>
      <c r="M952" s="15" t="s">
        <v>4705</v>
      </c>
      <c r="N952">
        <v>18</v>
      </c>
      <c r="O952">
        <v>3</v>
      </c>
      <c r="P952" s="21">
        <f>DATEVALUE(N952&amp;"-"&amp;M952&amp;"-"&amp;L952)</f>
        <v>30303</v>
      </c>
      <c r="Q952" s="22">
        <v>7682.67</v>
      </c>
      <c r="R952" s="23" t="s">
        <v>4697</v>
      </c>
      <c r="S952" s="23" t="s">
        <v>4701</v>
      </c>
      <c r="T952" s="23" t="s">
        <v>4699</v>
      </c>
      <c r="U952" s="23">
        <f>DATEDIF(P952, DATE(2023, 6, 8), "Y")</f>
        <v>40</v>
      </c>
      <c r="V952">
        <f>SUM(C952:K952)</f>
        <v>44.019999999999996</v>
      </c>
    </row>
    <row r="953" spans="1:22" ht="15.75">
      <c r="A953" s="28" t="s">
        <v>1904</v>
      </c>
      <c r="B953" s="28" t="s">
        <v>1905</v>
      </c>
      <c r="C953" s="23">
        <v>31.64</v>
      </c>
      <c r="D953" s="23">
        <v>7.91</v>
      </c>
      <c r="E953" s="23" t="s">
        <v>4682</v>
      </c>
      <c r="F953" s="23" t="s">
        <v>4682</v>
      </c>
      <c r="G953" s="23" t="s">
        <v>4682</v>
      </c>
      <c r="H953" s="23">
        <v>0</v>
      </c>
      <c r="I953" s="23" t="s">
        <v>4682</v>
      </c>
      <c r="J953" s="23" t="s">
        <v>4729</v>
      </c>
      <c r="K953" s="23" t="s">
        <v>4735</v>
      </c>
      <c r="L953">
        <v>1987</v>
      </c>
      <c r="M953" s="15" t="s">
        <v>4696</v>
      </c>
      <c r="N953">
        <v>12</v>
      </c>
      <c r="O953">
        <v>3</v>
      </c>
      <c r="P953" s="21">
        <f>DATEVALUE(N953&amp;"-"&amp;M953&amp;"-"&amp;L953)</f>
        <v>31970</v>
      </c>
      <c r="Q953" s="22">
        <v>7684.62</v>
      </c>
      <c r="R953" s="23" t="s">
        <v>4697</v>
      </c>
      <c r="S953" s="23" t="s">
        <v>4698</v>
      </c>
      <c r="T953" s="23" t="s">
        <v>4717</v>
      </c>
      <c r="U953" s="23">
        <f>DATEDIF(P953, DATE(2023, 6, 8), "Y")</f>
        <v>35</v>
      </c>
      <c r="V953">
        <f>SUM(C953:K953)</f>
        <v>39.549999999999997</v>
      </c>
    </row>
    <row r="954" spans="1:22" ht="15.75">
      <c r="A954" s="28" t="s">
        <v>1906</v>
      </c>
      <c r="B954" s="28" t="s">
        <v>1907</v>
      </c>
      <c r="C954" s="23">
        <v>46.7</v>
      </c>
      <c r="D954" s="23">
        <v>10.9</v>
      </c>
      <c r="E954" s="23" t="s">
        <v>4682</v>
      </c>
      <c r="F954" s="23" t="s">
        <v>4682</v>
      </c>
      <c r="G954" s="23" t="s">
        <v>4682</v>
      </c>
      <c r="H954" s="23">
        <v>0</v>
      </c>
      <c r="I954" s="23" t="s">
        <v>4682</v>
      </c>
      <c r="J954" s="23" t="s">
        <v>4729</v>
      </c>
      <c r="K954" s="23" t="s">
        <v>4735</v>
      </c>
      <c r="L954">
        <v>1978</v>
      </c>
      <c r="M954" s="15" t="s">
        <v>4705</v>
      </c>
      <c r="N954">
        <v>29</v>
      </c>
      <c r="O954">
        <v>2</v>
      </c>
      <c r="P954" s="21">
        <f>DATEVALUE(N954&amp;"-"&amp;M954&amp;"-"&amp;L954)</f>
        <v>28853</v>
      </c>
      <c r="Q954" s="22">
        <v>7726.85</v>
      </c>
      <c r="R954" s="23" t="s">
        <v>4701</v>
      </c>
      <c r="S954" s="23" t="s">
        <v>4697</v>
      </c>
      <c r="T954" s="23" t="s">
        <v>4708</v>
      </c>
      <c r="U954" s="23">
        <f>DATEDIF(P954, DATE(2023, 6, 8), "Y")</f>
        <v>44</v>
      </c>
      <c r="V954">
        <f>SUM(C954:K954)</f>
        <v>57.6</v>
      </c>
    </row>
    <row r="955" spans="1:22" ht="15.75">
      <c r="A955" s="28" t="s">
        <v>1908</v>
      </c>
      <c r="B955" s="28" t="s">
        <v>1909</v>
      </c>
      <c r="C955" s="23">
        <v>18.335000000000001</v>
      </c>
      <c r="D955" s="23">
        <v>11.83</v>
      </c>
      <c r="E955" s="23" t="s">
        <v>4682</v>
      </c>
      <c r="F955" s="23" t="s">
        <v>4682</v>
      </c>
      <c r="G955" s="23" t="s">
        <v>4682</v>
      </c>
      <c r="H955" s="23">
        <v>0</v>
      </c>
      <c r="I955" s="23" t="s">
        <v>4682</v>
      </c>
      <c r="J955" s="23" t="s">
        <v>4731</v>
      </c>
      <c r="K955" s="23" t="s">
        <v>4735</v>
      </c>
      <c r="L955">
        <v>1979</v>
      </c>
      <c r="M955" s="15" t="s">
        <v>4702</v>
      </c>
      <c r="N955">
        <v>2</v>
      </c>
      <c r="O955">
        <v>1</v>
      </c>
      <c r="P955" s="21">
        <f>DATEVALUE(N955&amp;"-"&amp;M955&amp;"-"&amp;L955)</f>
        <v>29008</v>
      </c>
      <c r="Q955" s="22">
        <v>7727.25</v>
      </c>
      <c r="R955" s="23" t="s">
        <v>4697</v>
      </c>
      <c r="S955" s="23" t="s">
        <v>4698</v>
      </c>
      <c r="T955" s="23" t="s">
        <v>4704</v>
      </c>
      <c r="U955" s="23">
        <f>DATEDIF(P955, DATE(2023, 6, 8), "Y")</f>
        <v>44</v>
      </c>
      <c r="V955">
        <f>SUM(C955:K955)</f>
        <v>30.164999999999999</v>
      </c>
    </row>
    <row r="956" spans="1:22" ht="15.75">
      <c r="A956" s="28" t="s">
        <v>1910</v>
      </c>
      <c r="B956" s="28" t="s">
        <v>1911</v>
      </c>
      <c r="C956" s="23">
        <v>31.24</v>
      </c>
      <c r="D956" s="23">
        <v>7.42</v>
      </c>
      <c r="E956" s="23" t="s">
        <v>4683</v>
      </c>
      <c r="F956" s="23" t="s">
        <v>4682</v>
      </c>
      <c r="G956" s="23" t="s">
        <v>4682</v>
      </c>
      <c r="H956" s="23">
        <v>2</v>
      </c>
      <c r="I956" s="23" t="s">
        <v>4682</v>
      </c>
      <c r="J956" s="23" t="s">
        <v>4729</v>
      </c>
      <c r="K956" s="23" t="s">
        <v>4735</v>
      </c>
      <c r="L956">
        <v>1980</v>
      </c>
      <c r="M956" s="15" t="s">
        <v>4703</v>
      </c>
      <c r="N956">
        <v>10</v>
      </c>
      <c r="O956">
        <v>2</v>
      </c>
      <c r="P956" s="21">
        <f>DATEVALUE(N956&amp;"-"&amp;M956&amp;"-"&amp;L956)</f>
        <v>29474</v>
      </c>
      <c r="Q956" s="22">
        <v>7729.65</v>
      </c>
      <c r="R956" s="23" t="s">
        <v>4698</v>
      </c>
      <c r="S956" s="23" t="s">
        <v>4701</v>
      </c>
      <c r="T956" s="23" t="s">
        <v>4711</v>
      </c>
      <c r="U956" s="23">
        <f>DATEDIF(P956, DATE(2023, 6, 8), "Y")</f>
        <v>42</v>
      </c>
      <c r="V956">
        <f>SUM(C956:K956)</f>
        <v>40.659999999999997</v>
      </c>
    </row>
    <row r="957" spans="1:22" ht="15.75">
      <c r="A957" s="28" t="s">
        <v>1912</v>
      </c>
      <c r="B957" s="28" t="s">
        <v>1913</v>
      </c>
      <c r="C957" s="23">
        <v>39.22</v>
      </c>
      <c r="D957" s="23">
        <v>5.62</v>
      </c>
      <c r="E957" s="23" t="s">
        <v>4683</v>
      </c>
      <c r="F957" s="23" t="s">
        <v>4682</v>
      </c>
      <c r="G957" s="23" t="s">
        <v>4682</v>
      </c>
      <c r="H957" s="23">
        <v>1</v>
      </c>
      <c r="I957" s="23" t="s">
        <v>4682</v>
      </c>
      <c r="J957" s="23" t="s">
        <v>4729</v>
      </c>
      <c r="K957" s="23" t="s">
        <v>4737</v>
      </c>
      <c r="L957">
        <v>1978</v>
      </c>
      <c r="M957" s="15" t="s">
        <v>4705</v>
      </c>
      <c r="N957">
        <v>4</v>
      </c>
      <c r="O957">
        <v>2</v>
      </c>
      <c r="P957" s="21">
        <f>DATEVALUE(N957&amp;"-"&amp;M957&amp;"-"&amp;L957)</f>
        <v>28828</v>
      </c>
      <c r="Q957" s="22">
        <v>7731.43</v>
      </c>
      <c r="R957" s="23" t="s">
        <v>4698</v>
      </c>
      <c r="S957" s="23" t="s">
        <v>4697</v>
      </c>
      <c r="T957" s="23" t="s">
        <v>4699</v>
      </c>
      <c r="U957" s="23">
        <f>DATEDIF(P957, DATE(2023, 6, 8), "Y")</f>
        <v>44</v>
      </c>
      <c r="V957">
        <f>SUM(C957:K957)</f>
        <v>45.839999999999996</v>
      </c>
    </row>
    <row r="958" spans="1:22" ht="15.75">
      <c r="A958" s="28" t="s">
        <v>1914</v>
      </c>
      <c r="B958" s="28" t="s">
        <v>1915</v>
      </c>
      <c r="C958" s="23">
        <v>24.414999999999999</v>
      </c>
      <c r="D958" s="23">
        <v>7.16</v>
      </c>
      <c r="E958" s="23" t="s">
        <v>4682</v>
      </c>
      <c r="F958" s="23" t="s">
        <v>4682</v>
      </c>
      <c r="G958" s="23" t="s">
        <v>4682</v>
      </c>
      <c r="H958" s="23">
        <v>0</v>
      </c>
      <c r="I958" s="23" t="s">
        <v>4682</v>
      </c>
      <c r="J958" s="23" t="s">
        <v>4728</v>
      </c>
      <c r="K958" s="23" t="s">
        <v>4735</v>
      </c>
      <c r="L958">
        <v>1977</v>
      </c>
      <c r="M958" s="15" t="s">
        <v>4706</v>
      </c>
      <c r="N958">
        <v>29</v>
      </c>
      <c r="O958">
        <v>0</v>
      </c>
      <c r="P958" s="21">
        <f>DATEVALUE(N958&amp;"-"&amp;M958&amp;"-"&amp;L958)</f>
        <v>28366</v>
      </c>
      <c r="Q958" s="22">
        <v>7731.86</v>
      </c>
      <c r="R958" s="23" t="s">
        <v>4697</v>
      </c>
      <c r="S958" s="23" t="s">
        <v>4698</v>
      </c>
      <c r="T958" s="23" t="s">
        <v>4704</v>
      </c>
      <c r="U958" s="23">
        <f>DATEDIF(P958, DATE(2023, 6, 8), "Y")</f>
        <v>45</v>
      </c>
      <c r="V958">
        <f>SUM(C958:K958)</f>
        <v>31.574999999999999</v>
      </c>
    </row>
    <row r="959" spans="1:22" ht="15.75">
      <c r="A959" s="28" t="s">
        <v>1916</v>
      </c>
      <c r="B959" s="28" t="s">
        <v>1917</v>
      </c>
      <c r="C959" s="23">
        <v>32.299999999999997</v>
      </c>
      <c r="D959" s="23">
        <v>9.89</v>
      </c>
      <c r="E959" s="23" t="s">
        <v>4682</v>
      </c>
      <c r="F959" s="23" t="s">
        <v>4682</v>
      </c>
      <c r="G959" s="23" t="s">
        <v>4682</v>
      </c>
      <c r="H959" s="23">
        <v>0</v>
      </c>
      <c r="I959" s="23" t="s">
        <v>4682</v>
      </c>
      <c r="J959" s="23" t="s">
        <v>4729</v>
      </c>
      <c r="K959" s="23" t="s">
        <v>4735</v>
      </c>
      <c r="L959">
        <v>1965</v>
      </c>
      <c r="M959" s="15" t="s">
        <v>4696</v>
      </c>
      <c r="N959">
        <v>18</v>
      </c>
      <c r="O959">
        <v>0</v>
      </c>
      <c r="P959" s="21">
        <f>DATEVALUE(N959&amp;"-"&amp;M959&amp;"-"&amp;L959)</f>
        <v>23941</v>
      </c>
      <c r="Q959" s="22">
        <v>7736.39</v>
      </c>
      <c r="R959" s="23" t="s">
        <v>4698</v>
      </c>
      <c r="S959" s="23" t="s">
        <v>4697</v>
      </c>
      <c r="T959" s="23" t="s">
        <v>4699</v>
      </c>
      <c r="U959" s="23">
        <f>DATEDIF(P959, DATE(2023, 6, 8), "Y")</f>
        <v>57</v>
      </c>
      <c r="V959">
        <f>SUM(C959:K959)</f>
        <v>42.19</v>
      </c>
    </row>
    <row r="960" spans="1:22" ht="15.75">
      <c r="A960" s="28" t="s">
        <v>1918</v>
      </c>
      <c r="B960" s="28" t="s">
        <v>1919</v>
      </c>
      <c r="C960" s="23">
        <v>39.94</v>
      </c>
      <c r="D960" s="23">
        <v>5.14</v>
      </c>
      <c r="E960" s="23" t="s">
        <v>4682</v>
      </c>
      <c r="F960" s="23" t="s">
        <v>4682</v>
      </c>
      <c r="G960" s="23" t="s">
        <v>4682</v>
      </c>
      <c r="H960" s="23">
        <v>0</v>
      </c>
      <c r="I960" s="23" t="s">
        <v>4682</v>
      </c>
      <c r="J960" s="23" t="s">
        <v>4729</v>
      </c>
      <c r="K960" s="23" t="s">
        <v>4737</v>
      </c>
      <c r="L960">
        <v>1978</v>
      </c>
      <c r="M960" s="15" t="s">
        <v>4703</v>
      </c>
      <c r="N960">
        <v>4</v>
      </c>
      <c r="O960">
        <v>2</v>
      </c>
      <c r="P960" s="21">
        <f>DATEVALUE(N960&amp;"-"&amp;M960&amp;"-"&amp;L960)</f>
        <v>28737</v>
      </c>
      <c r="Q960" s="22">
        <v>7740.34</v>
      </c>
      <c r="R960" s="23" t="s">
        <v>4701</v>
      </c>
      <c r="S960" s="23" t="s">
        <v>4701</v>
      </c>
      <c r="T960" s="23" t="s">
        <v>4708</v>
      </c>
      <c r="U960" s="23">
        <f>DATEDIF(P960, DATE(2023, 6, 8), "Y")</f>
        <v>44</v>
      </c>
      <c r="V960">
        <f>SUM(C960:K960)</f>
        <v>45.08</v>
      </c>
    </row>
    <row r="961" spans="1:22" ht="15.75">
      <c r="A961" s="28" t="s">
        <v>1920</v>
      </c>
      <c r="B961" s="28" t="s">
        <v>1921</v>
      </c>
      <c r="C961" s="23">
        <v>30</v>
      </c>
      <c r="D961" s="23">
        <v>5.61</v>
      </c>
      <c r="E961" s="23" t="s">
        <v>4683</v>
      </c>
      <c r="F961" s="23" t="s">
        <v>4682</v>
      </c>
      <c r="G961" s="23" t="s">
        <v>4684</v>
      </c>
      <c r="H961" s="23">
        <v>1</v>
      </c>
      <c r="I961" s="23" t="s">
        <v>4682</v>
      </c>
      <c r="J961" s="23" t="s">
        <v>4729</v>
      </c>
      <c r="K961" s="23" t="s">
        <v>4737</v>
      </c>
      <c r="L961">
        <v>1976</v>
      </c>
      <c r="M961" s="15" t="s">
        <v>4705</v>
      </c>
      <c r="N961">
        <v>12</v>
      </c>
      <c r="O961">
        <v>1</v>
      </c>
      <c r="P961" s="21">
        <f>DATEVALUE(N961&amp;"-"&amp;M961&amp;"-"&amp;L961)</f>
        <v>28106</v>
      </c>
      <c r="Q961" s="22">
        <v>7742.11</v>
      </c>
      <c r="R961" s="23" t="s">
        <v>4698</v>
      </c>
      <c r="S961" s="23" t="s">
        <v>4697</v>
      </c>
      <c r="T961" s="23" t="s">
        <v>4699</v>
      </c>
      <c r="U961" s="23">
        <f>DATEDIF(P961, DATE(2023, 6, 8), "Y")</f>
        <v>46</v>
      </c>
      <c r="V961">
        <f>SUM(C961:K961)</f>
        <v>36.61</v>
      </c>
    </row>
    <row r="962" spans="1:22" ht="15.75">
      <c r="A962" s="28" t="s">
        <v>1922</v>
      </c>
      <c r="B962" s="28" t="s">
        <v>1923</v>
      </c>
      <c r="C962" s="23">
        <v>35.340000000000003</v>
      </c>
      <c r="D962" s="23">
        <v>5.51</v>
      </c>
      <c r="E962" s="23" t="s">
        <v>4683</v>
      </c>
      <c r="F962" s="23" t="s">
        <v>4682</v>
      </c>
      <c r="G962" s="23" t="s">
        <v>4684</v>
      </c>
      <c r="H962" s="23">
        <v>1</v>
      </c>
      <c r="I962" s="23" t="s">
        <v>4682</v>
      </c>
      <c r="J962" s="23" t="s">
        <v>4729</v>
      </c>
      <c r="K962" s="23" t="s">
        <v>4737</v>
      </c>
      <c r="L962">
        <v>1981</v>
      </c>
      <c r="M962" s="15" t="s">
        <v>4702</v>
      </c>
      <c r="N962">
        <v>30</v>
      </c>
      <c r="O962">
        <v>2</v>
      </c>
      <c r="P962" s="21">
        <f>DATEVALUE(N962&amp;"-"&amp;M962&amp;"-"&amp;L962)</f>
        <v>29767</v>
      </c>
      <c r="Q962" s="22">
        <v>7749.16</v>
      </c>
      <c r="R962" s="23" t="s">
        <v>4697</v>
      </c>
      <c r="S962" s="23" t="s">
        <v>4701</v>
      </c>
      <c r="T962" s="23" t="s">
        <v>4704</v>
      </c>
      <c r="U962" s="23">
        <f>DATEDIF(P962, DATE(2023, 6, 8), "Y")</f>
        <v>41</v>
      </c>
      <c r="V962">
        <f>SUM(C962:K962)</f>
        <v>41.85</v>
      </c>
    </row>
    <row r="963" spans="1:22" ht="15.75">
      <c r="A963" s="28" t="s">
        <v>1924</v>
      </c>
      <c r="B963" s="28" t="s">
        <v>1925</v>
      </c>
      <c r="C963" s="23">
        <v>32.204999999999998</v>
      </c>
      <c r="D963" s="23">
        <v>8.3800000000000008</v>
      </c>
      <c r="E963" s="23" t="s">
        <v>4683</v>
      </c>
      <c r="F963" s="23" t="s">
        <v>4682</v>
      </c>
      <c r="G963" s="23" t="s">
        <v>4682</v>
      </c>
      <c r="H963" s="23">
        <v>2</v>
      </c>
      <c r="I963" s="23" t="s">
        <v>4682</v>
      </c>
      <c r="J963" s="23" t="s">
        <v>4729</v>
      </c>
      <c r="K963" s="23" t="s">
        <v>4735</v>
      </c>
      <c r="L963">
        <v>1997</v>
      </c>
      <c r="M963" s="15" t="s">
        <v>4705</v>
      </c>
      <c r="N963">
        <v>21</v>
      </c>
      <c r="O963">
        <v>0</v>
      </c>
      <c r="P963" s="21">
        <f>DATEVALUE(N963&amp;"-"&amp;M963&amp;"-"&amp;L963)</f>
        <v>35785</v>
      </c>
      <c r="Q963" s="22">
        <v>7763.06</v>
      </c>
      <c r="R963" s="23" t="s">
        <v>4697</v>
      </c>
      <c r="S963" s="23" t="s">
        <v>4701</v>
      </c>
      <c r="T963" s="23" t="s">
        <v>4704</v>
      </c>
      <c r="U963" s="23">
        <f>DATEDIF(P963, DATE(2023, 6, 8), "Y")</f>
        <v>25</v>
      </c>
      <c r="V963">
        <f>SUM(C963:K963)</f>
        <v>42.585000000000001</v>
      </c>
    </row>
    <row r="964" spans="1:22" ht="15.75">
      <c r="A964" s="28" t="s">
        <v>1926</v>
      </c>
      <c r="B964" s="28" t="s">
        <v>1927</v>
      </c>
      <c r="C964" s="23">
        <v>33.880000000000003</v>
      </c>
      <c r="D964" s="23">
        <v>4.68</v>
      </c>
      <c r="E964" s="23" t="s">
        <v>4682</v>
      </c>
      <c r="F964" s="23" t="s">
        <v>4683</v>
      </c>
      <c r="G964" s="23" t="s">
        <v>4682</v>
      </c>
      <c r="H964" s="23">
        <v>1</v>
      </c>
      <c r="I964" s="23" t="s">
        <v>4682</v>
      </c>
      <c r="J964" s="23" t="s">
        <v>4729</v>
      </c>
      <c r="K964" s="23" t="s">
        <v>4737</v>
      </c>
      <c r="L964">
        <v>1974</v>
      </c>
      <c r="M964" s="15" t="s">
        <v>4705</v>
      </c>
      <c r="N964">
        <v>6</v>
      </c>
      <c r="O964">
        <v>0</v>
      </c>
      <c r="P964" s="21">
        <f>DATEVALUE(N964&amp;"-"&amp;M964&amp;"-"&amp;L964)</f>
        <v>27369</v>
      </c>
      <c r="Q964" s="22">
        <v>7789.64</v>
      </c>
      <c r="R964" s="23" t="s">
        <v>4701</v>
      </c>
      <c r="S964" s="23" t="s">
        <v>4698</v>
      </c>
      <c r="T964" s="23" t="s">
        <v>4699</v>
      </c>
      <c r="U964" s="23">
        <f>DATEDIF(P964, DATE(2023, 6, 8), "Y")</f>
        <v>48</v>
      </c>
      <c r="V964">
        <f>SUM(C964:K964)</f>
        <v>39.56</v>
      </c>
    </row>
    <row r="965" spans="1:22" ht="15.75">
      <c r="A965" s="28" t="s">
        <v>1928</v>
      </c>
      <c r="B965" s="28" t="s">
        <v>1929</v>
      </c>
      <c r="C965" s="23">
        <v>26.63</v>
      </c>
      <c r="D965" s="23">
        <v>4.3600000000000003</v>
      </c>
      <c r="E965" s="23" t="s">
        <v>4683</v>
      </c>
      <c r="F965" s="23" t="s">
        <v>4682</v>
      </c>
      <c r="G965" s="23" t="s">
        <v>4682</v>
      </c>
      <c r="H965" s="23">
        <v>2</v>
      </c>
      <c r="I965" s="23" t="s">
        <v>4682</v>
      </c>
      <c r="J965" s="23" t="s">
        <v>4730</v>
      </c>
      <c r="K965" s="23" t="s">
        <v>4737</v>
      </c>
      <c r="L965">
        <v>1999</v>
      </c>
      <c r="M965" s="15" t="s">
        <v>4705</v>
      </c>
      <c r="N965">
        <v>25</v>
      </c>
      <c r="O965">
        <v>0</v>
      </c>
      <c r="P965" s="21">
        <f>DATEVALUE(N965&amp;"-"&amp;M965&amp;"-"&amp;L965)</f>
        <v>36519</v>
      </c>
      <c r="Q965" s="22">
        <v>7794.68</v>
      </c>
      <c r="R965" s="23" t="s">
        <v>4697</v>
      </c>
      <c r="S965" s="23" t="s">
        <v>4697</v>
      </c>
      <c r="T965" s="23" t="s">
        <v>4720</v>
      </c>
      <c r="U965" s="23">
        <f>DATEDIF(P965, DATE(2023, 6, 8), "Y")</f>
        <v>23</v>
      </c>
      <c r="V965">
        <f>SUM(C965:K965)</f>
        <v>32.989999999999995</v>
      </c>
    </row>
    <row r="966" spans="1:22" ht="15.75">
      <c r="A966" s="28" t="s">
        <v>1930</v>
      </c>
      <c r="B966" s="28" t="s">
        <v>1931</v>
      </c>
      <c r="C966" s="23">
        <v>28.7</v>
      </c>
      <c r="D966" s="23">
        <v>7.74</v>
      </c>
      <c r="E966" s="23" t="s">
        <v>4682</v>
      </c>
      <c r="F966" s="23" t="s">
        <v>4682</v>
      </c>
      <c r="G966" s="23" t="s">
        <v>4682</v>
      </c>
      <c r="H966" s="23">
        <v>0</v>
      </c>
      <c r="I966" s="23" t="s">
        <v>4682</v>
      </c>
      <c r="J966" s="23" t="s">
        <v>4730</v>
      </c>
      <c r="K966" s="23" t="s">
        <v>4735</v>
      </c>
      <c r="L966">
        <v>1997</v>
      </c>
      <c r="M966" s="15" t="s">
        <v>4705</v>
      </c>
      <c r="N966">
        <v>2</v>
      </c>
      <c r="O966">
        <v>0</v>
      </c>
      <c r="P966" s="21">
        <f>DATEVALUE(N966&amp;"-"&amp;M966&amp;"-"&amp;L966)</f>
        <v>35766</v>
      </c>
      <c r="Q966" s="22">
        <v>7803.77</v>
      </c>
      <c r="R966" s="23" t="s">
        <v>4697</v>
      </c>
      <c r="S966" s="23" t="s">
        <v>4698</v>
      </c>
      <c r="T966" s="23" t="s">
        <v>4704</v>
      </c>
      <c r="U966" s="23">
        <f>DATEDIF(P966, DATE(2023, 6, 8), "Y")</f>
        <v>25</v>
      </c>
      <c r="V966">
        <f>SUM(C966:K966)</f>
        <v>36.44</v>
      </c>
    </row>
    <row r="967" spans="1:22" ht="15.75">
      <c r="A967" s="28" t="s">
        <v>1932</v>
      </c>
      <c r="B967" s="28" t="s">
        <v>1933</v>
      </c>
      <c r="C967" s="23">
        <v>25.65</v>
      </c>
      <c r="D967" s="23">
        <v>4.05</v>
      </c>
      <c r="E967" s="23" t="s">
        <v>4683</v>
      </c>
      <c r="F967" s="23" t="s">
        <v>4682</v>
      </c>
      <c r="G967" s="23" t="s">
        <v>4682</v>
      </c>
      <c r="H967" s="23">
        <v>2</v>
      </c>
      <c r="I967" s="23" t="s">
        <v>4682</v>
      </c>
      <c r="J967" s="23" t="s">
        <v>4730</v>
      </c>
      <c r="K967" s="23" t="s">
        <v>4737</v>
      </c>
      <c r="L967">
        <v>1974</v>
      </c>
      <c r="M967" s="15" t="s">
        <v>4700</v>
      </c>
      <c r="N967">
        <v>9</v>
      </c>
      <c r="O967">
        <v>0</v>
      </c>
      <c r="P967" s="21">
        <f>DATEVALUE(N967&amp;"-"&amp;M967&amp;"-"&amp;L967)</f>
        <v>27342</v>
      </c>
      <c r="Q967" s="22">
        <v>7804.16</v>
      </c>
      <c r="R967" s="23" t="s">
        <v>4697</v>
      </c>
      <c r="S967" s="23" t="s">
        <v>4698</v>
      </c>
      <c r="T967" s="23" t="s">
        <v>4699</v>
      </c>
      <c r="U967" s="23">
        <f>DATEDIF(P967, DATE(2023, 6, 8), "Y")</f>
        <v>48</v>
      </c>
      <c r="V967">
        <f>SUM(C967:K967)</f>
        <v>31.7</v>
      </c>
    </row>
    <row r="968" spans="1:22" ht="15.75">
      <c r="A968" s="28" t="s">
        <v>1934</v>
      </c>
      <c r="B968" s="28" t="s">
        <v>1935</v>
      </c>
      <c r="C968" s="23">
        <v>36.384999999999998</v>
      </c>
      <c r="D968" s="23">
        <v>11.49</v>
      </c>
      <c r="E968" s="23" t="s">
        <v>4682</v>
      </c>
      <c r="F968" s="23" t="s">
        <v>4682</v>
      </c>
      <c r="G968" s="23" t="s">
        <v>4682</v>
      </c>
      <c r="H968" s="23">
        <v>0</v>
      </c>
      <c r="I968" s="23" t="s">
        <v>4682</v>
      </c>
      <c r="J968" s="23" t="s">
        <v>4729</v>
      </c>
      <c r="K968" s="23" t="s">
        <v>4735</v>
      </c>
      <c r="L968">
        <v>1991</v>
      </c>
      <c r="M968" s="15" t="s">
        <v>4705</v>
      </c>
      <c r="N968">
        <v>21</v>
      </c>
      <c r="O968">
        <v>3</v>
      </c>
      <c r="P968" s="21">
        <f>DATEVALUE(N968&amp;"-"&amp;M968&amp;"-"&amp;L968)</f>
        <v>33593</v>
      </c>
      <c r="Q968" s="22">
        <v>7812.67</v>
      </c>
      <c r="R968" s="23" t="s">
        <v>4697</v>
      </c>
      <c r="S968" s="23" t="s">
        <v>4701</v>
      </c>
      <c r="T968" s="23" t="s">
        <v>4704</v>
      </c>
      <c r="U968" s="23">
        <f>DATEDIF(P968, DATE(2023, 6, 8), "Y")</f>
        <v>31</v>
      </c>
      <c r="V968">
        <f>SUM(C968:K968)</f>
        <v>47.875</v>
      </c>
    </row>
    <row r="969" spans="1:22" ht="15.75">
      <c r="A969" s="28" t="s">
        <v>1936</v>
      </c>
      <c r="B969" s="28" t="s">
        <v>1937</v>
      </c>
      <c r="C969" s="23">
        <v>34.69</v>
      </c>
      <c r="D969" s="23">
        <v>5.65</v>
      </c>
      <c r="E969" s="23" t="s">
        <v>4682</v>
      </c>
      <c r="F969" s="23" t="s">
        <v>4682</v>
      </c>
      <c r="G969" s="23" t="s">
        <v>4682</v>
      </c>
      <c r="H969" s="23">
        <v>0</v>
      </c>
      <c r="I969" s="23" t="s">
        <v>4682</v>
      </c>
      <c r="J969" s="23" t="s">
        <v>4729</v>
      </c>
      <c r="K969" s="23" t="s">
        <v>4737</v>
      </c>
      <c r="L969">
        <v>1989</v>
      </c>
      <c r="M969" s="15" t="s">
        <v>4707</v>
      </c>
      <c r="N969">
        <v>12</v>
      </c>
      <c r="O969">
        <v>3</v>
      </c>
      <c r="P969" s="21">
        <f>DATEVALUE(N969&amp;"-"&amp;M969&amp;"-"&amp;L969)</f>
        <v>32793</v>
      </c>
      <c r="Q969" s="22">
        <v>7824.37</v>
      </c>
      <c r="R969" s="23" t="s">
        <v>4697</v>
      </c>
      <c r="S969" s="23" t="s">
        <v>4697</v>
      </c>
      <c r="T969" s="23" t="s">
        <v>4704</v>
      </c>
      <c r="U969" s="23">
        <f>DATEDIF(P969, DATE(2023, 6, 8), "Y")</f>
        <v>33</v>
      </c>
      <c r="V969">
        <f>SUM(C969:K969)</f>
        <v>40.339999999999996</v>
      </c>
    </row>
    <row r="970" spans="1:22" ht="15.75">
      <c r="A970" s="28" t="s">
        <v>1938</v>
      </c>
      <c r="B970" s="28" t="s">
        <v>1939</v>
      </c>
      <c r="C970" s="23">
        <v>37.68</v>
      </c>
      <c r="D970" s="23">
        <v>4.29</v>
      </c>
      <c r="E970" s="23" t="s">
        <v>4683</v>
      </c>
      <c r="F970" s="23" t="s">
        <v>4682</v>
      </c>
      <c r="G970" s="23" t="s">
        <v>4682</v>
      </c>
      <c r="H970" s="23">
        <v>0</v>
      </c>
      <c r="I970" s="23" t="s">
        <v>4682</v>
      </c>
      <c r="J970" s="23" t="s">
        <v>4729</v>
      </c>
      <c r="K970" s="23" t="s">
        <v>4737</v>
      </c>
      <c r="L970">
        <v>2001</v>
      </c>
      <c r="M970" s="15" t="s">
        <v>4707</v>
      </c>
      <c r="N970">
        <v>5</v>
      </c>
      <c r="O970">
        <v>0</v>
      </c>
      <c r="P970" s="21">
        <f>DATEVALUE(N970&amp;"-"&amp;M970&amp;"-"&amp;L970)</f>
        <v>37169</v>
      </c>
      <c r="Q970" s="22">
        <v>7844.8</v>
      </c>
      <c r="R970" s="23" t="s">
        <v>4697</v>
      </c>
      <c r="S970" s="23" t="s">
        <v>4697</v>
      </c>
      <c r="T970" s="23" t="s">
        <v>4704</v>
      </c>
      <c r="U970" s="23">
        <f>DATEDIF(P970, DATE(2023, 6, 8), "Y")</f>
        <v>21</v>
      </c>
      <c r="V970">
        <f>SUM(C970:K970)</f>
        <v>41.97</v>
      </c>
    </row>
    <row r="971" spans="1:22" ht="15.75">
      <c r="A971" s="28" t="s">
        <v>1940</v>
      </c>
      <c r="B971" s="28" t="s">
        <v>1941</v>
      </c>
      <c r="C971" s="23">
        <v>35.49</v>
      </c>
      <c r="D971" s="23">
        <v>4.74</v>
      </c>
      <c r="E971" s="23" t="s">
        <v>4683</v>
      </c>
      <c r="F971" s="23" t="s">
        <v>4682</v>
      </c>
      <c r="G971" s="23" t="s">
        <v>4684</v>
      </c>
      <c r="H971" s="23">
        <v>1</v>
      </c>
      <c r="I971" s="23" t="s">
        <v>4682</v>
      </c>
      <c r="J971" s="23" t="s">
        <v>4729</v>
      </c>
      <c r="K971" s="23" t="s">
        <v>4737</v>
      </c>
      <c r="L971">
        <v>1994</v>
      </c>
      <c r="M971" s="15" t="s">
        <v>4700</v>
      </c>
      <c r="N971">
        <v>17</v>
      </c>
      <c r="O971">
        <v>0</v>
      </c>
      <c r="P971" s="21">
        <f>DATEVALUE(N971&amp;"-"&amp;M971&amp;"-"&amp;L971)</f>
        <v>34655</v>
      </c>
      <c r="Q971" s="22">
        <v>7851.85</v>
      </c>
      <c r="R971" s="23" t="s">
        <v>4697</v>
      </c>
      <c r="S971" s="23" t="s">
        <v>4698</v>
      </c>
      <c r="T971" s="23" t="s">
        <v>4704</v>
      </c>
      <c r="U971" s="23">
        <f>DATEDIF(P971, DATE(2023, 6, 8), "Y")</f>
        <v>28</v>
      </c>
      <c r="V971">
        <f>SUM(C971:K971)</f>
        <v>41.230000000000004</v>
      </c>
    </row>
    <row r="972" spans="1:22" ht="15.75">
      <c r="A972" s="28" t="s">
        <v>1942</v>
      </c>
      <c r="B972" s="28" t="s">
        <v>1943</v>
      </c>
      <c r="C972" s="23">
        <v>44.7</v>
      </c>
      <c r="D972" s="23">
        <v>7.6</v>
      </c>
      <c r="E972" s="23" t="s">
        <v>4683</v>
      </c>
      <c r="F972" s="23" t="s">
        <v>4682</v>
      </c>
      <c r="G972" s="23" t="s">
        <v>4682</v>
      </c>
      <c r="H972" s="23">
        <v>2</v>
      </c>
      <c r="I972" s="23" t="s">
        <v>4682</v>
      </c>
      <c r="J972" s="23" t="s">
        <v>4729</v>
      </c>
      <c r="K972" s="23" t="s">
        <v>4735</v>
      </c>
      <c r="L972">
        <v>1962</v>
      </c>
      <c r="M972" s="15" t="s">
        <v>4707</v>
      </c>
      <c r="N972">
        <v>10</v>
      </c>
      <c r="O972">
        <v>0</v>
      </c>
      <c r="P972" s="21">
        <f>DATEVALUE(N972&amp;"-"&amp;M972&amp;"-"&amp;L972)</f>
        <v>22929</v>
      </c>
      <c r="Q972" s="22">
        <v>7896.41</v>
      </c>
      <c r="R972" s="23" t="s">
        <v>4698</v>
      </c>
      <c r="S972" s="23" t="s">
        <v>4697</v>
      </c>
      <c r="T972" s="23" t="s">
        <v>4699</v>
      </c>
      <c r="U972" s="23">
        <f>DATEDIF(P972, DATE(2023, 6, 8), "Y")</f>
        <v>60</v>
      </c>
      <c r="V972">
        <f>SUM(C972:K972)</f>
        <v>54.300000000000004</v>
      </c>
    </row>
    <row r="973" spans="1:22" ht="15.75">
      <c r="A973" s="28" t="s">
        <v>1944</v>
      </c>
      <c r="B973" s="28" t="s">
        <v>1945</v>
      </c>
      <c r="C973" s="23">
        <v>38.380000000000003</v>
      </c>
      <c r="D973" s="23">
        <v>8.5</v>
      </c>
      <c r="E973" s="23" t="s">
        <v>4683</v>
      </c>
      <c r="F973" s="23" t="s">
        <v>4682</v>
      </c>
      <c r="G973" s="23" t="s">
        <v>4682</v>
      </c>
      <c r="H973" s="23">
        <v>2</v>
      </c>
      <c r="I973" s="23" t="s">
        <v>4682</v>
      </c>
      <c r="J973" s="23" t="s">
        <v>4729</v>
      </c>
      <c r="K973" s="23" t="s">
        <v>4735</v>
      </c>
      <c r="L973">
        <v>1977</v>
      </c>
      <c r="M973" s="15" t="s">
        <v>4696</v>
      </c>
      <c r="N973">
        <v>20</v>
      </c>
      <c r="O973">
        <v>0</v>
      </c>
      <c r="P973" s="21">
        <f>DATEVALUE(N973&amp;"-"&amp;M973&amp;"-"&amp;L973)</f>
        <v>28326</v>
      </c>
      <c r="Q973" s="22">
        <v>7935.29</v>
      </c>
      <c r="R973" s="23" t="s">
        <v>4697</v>
      </c>
      <c r="S973" s="23" t="s">
        <v>4701</v>
      </c>
      <c r="T973" s="23" t="s">
        <v>4714</v>
      </c>
      <c r="U973" s="23">
        <f>DATEDIF(P973, DATE(2023, 6, 8), "Y")</f>
        <v>45</v>
      </c>
      <c r="V973">
        <f>SUM(C973:K973)</f>
        <v>48.88</v>
      </c>
    </row>
    <row r="974" spans="1:22" ht="15.75">
      <c r="A974" s="28" t="s">
        <v>1946</v>
      </c>
      <c r="B974" s="28" t="s">
        <v>1947</v>
      </c>
      <c r="C974" s="23">
        <v>35.244999999999997</v>
      </c>
      <c r="D974" s="23">
        <v>11.22</v>
      </c>
      <c r="E974" s="23" t="s">
        <v>4683</v>
      </c>
      <c r="F974" s="23" t="s">
        <v>4682</v>
      </c>
      <c r="G974" s="23" t="s">
        <v>4682</v>
      </c>
      <c r="H974" s="23">
        <v>0</v>
      </c>
      <c r="I974" s="23" t="s">
        <v>4682</v>
      </c>
      <c r="J974" s="23" t="s">
        <v>4729</v>
      </c>
      <c r="K974" s="23" t="s">
        <v>4735</v>
      </c>
      <c r="L974">
        <v>1987</v>
      </c>
      <c r="M974" s="15" t="s">
        <v>4707</v>
      </c>
      <c r="N974">
        <v>29</v>
      </c>
      <c r="O974">
        <v>3</v>
      </c>
      <c r="P974" s="21">
        <f>DATEVALUE(N974&amp;"-"&amp;M974&amp;"-"&amp;L974)</f>
        <v>32079</v>
      </c>
      <c r="Q974" s="22">
        <v>7948.22</v>
      </c>
      <c r="R974" s="23" t="s">
        <v>4697</v>
      </c>
      <c r="S974" s="23" t="s">
        <v>4698</v>
      </c>
      <c r="T974" s="23" t="s">
        <v>4713</v>
      </c>
      <c r="U974" s="23">
        <f>DATEDIF(P974, DATE(2023, 6, 8), "Y")</f>
        <v>35</v>
      </c>
      <c r="V974">
        <f>SUM(C974:K974)</f>
        <v>46.464999999999996</v>
      </c>
    </row>
    <row r="975" spans="1:22" ht="15.75">
      <c r="A975" s="28" t="s">
        <v>1948</v>
      </c>
      <c r="B975" s="28" t="s">
        <v>1949</v>
      </c>
      <c r="C975" s="23">
        <v>49.84</v>
      </c>
      <c r="D975" s="23">
        <v>5.0999999999999996</v>
      </c>
      <c r="E975" s="23" t="s">
        <v>4683</v>
      </c>
      <c r="F975" s="23" t="s">
        <v>4682</v>
      </c>
      <c r="G975" s="23" t="s">
        <v>4684</v>
      </c>
      <c r="H975" s="23">
        <v>1</v>
      </c>
      <c r="I975" s="23" t="s">
        <v>4682</v>
      </c>
      <c r="J975" s="23" t="s">
        <v>4729</v>
      </c>
      <c r="K975" s="23" t="s">
        <v>4737</v>
      </c>
      <c r="L975">
        <v>1966</v>
      </c>
      <c r="M975" s="15" t="s">
        <v>4696</v>
      </c>
      <c r="N975">
        <v>9</v>
      </c>
      <c r="O975">
        <v>0</v>
      </c>
      <c r="P975" s="21">
        <f>DATEVALUE(N975&amp;"-"&amp;M975&amp;"-"&amp;L975)</f>
        <v>24297</v>
      </c>
      <c r="Q975" s="22">
        <v>7953.72</v>
      </c>
      <c r="R975" s="23" t="s">
        <v>4698</v>
      </c>
      <c r="S975" s="23" t="s">
        <v>4698</v>
      </c>
      <c r="T975" s="23" t="s">
        <v>4704</v>
      </c>
      <c r="U975" s="23">
        <f>DATEDIF(P975, DATE(2023, 6, 8), "Y")</f>
        <v>56</v>
      </c>
      <c r="V975">
        <f>SUM(C975:K975)</f>
        <v>55.940000000000005</v>
      </c>
    </row>
    <row r="976" spans="1:22" ht="15.75">
      <c r="A976" s="28" t="s">
        <v>1950</v>
      </c>
      <c r="B976" s="28" t="s">
        <v>1951</v>
      </c>
      <c r="C976" s="23">
        <v>49.06</v>
      </c>
      <c r="D976" s="23">
        <v>5.43</v>
      </c>
      <c r="E976" s="23" t="s">
        <v>4683</v>
      </c>
      <c r="F976" s="23" t="s">
        <v>4682</v>
      </c>
      <c r="G976" s="23" t="s">
        <v>4682</v>
      </c>
      <c r="H976" s="23">
        <v>1</v>
      </c>
      <c r="I976" s="23" t="s">
        <v>4682</v>
      </c>
      <c r="J976" s="23" t="s">
        <v>4729</v>
      </c>
      <c r="K976" s="23" t="s">
        <v>4737</v>
      </c>
      <c r="L976">
        <v>1981</v>
      </c>
      <c r="M976" s="15" t="s">
        <v>4705</v>
      </c>
      <c r="N976">
        <v>28</v>
      </c>
      <c r="O976">
        <v>3</v>
      </c>
      <c r="P976" s="21">
        <f>DATEVALUE(N976&amp;"-"&amp;M976&amp;"-"&amp;L976)</f>
        <v>29948</v>
      </c>
      <c r="Q976" s="22">
        <v>7954.52</v>
      </c>
      <c r="R976" s="23" t="s">
        <v>4697</v>
      </c>
      <c r="S976" s="23" t="s">
        <v>4697</v>
      </c>
      <c r="T976" s="23" t="s">
        <v>4708</v>
      </c>
      <c r="U976" s="23">
        <f>DATEDIF(P976, DATE(2023, 6, 8), "Y")</f>
        <v>41</v>
      </c>
      <c r="V976">
        <f>SUM(C976:K976)</f>
        <v>55.49</v>
      </c>
    </row>
    <row r="977" spans="1:22" ht="15.75">
      <c r="A977" s="28" t="s">
        <v>1952</v>
      </c>
      <c r="B977" s="28" t="s">
        <v>1953</v>
      </c>
      <c r="C977" s="23">
        <v>30.88</v>
      </c>
      <c r="D977" s="23">
        <v>5.82</v>
      </c>
      <c r="E977" s="23" t="s">
        <v>4682</v>
      </c>
      <c r="F977" s="23" t="s">
        <v>4682</v>
      </c>
      <c r="G977" s="23" t="s">
        <v>4682</v>
      </c>
      <c r="H977" s="23">
        <v>2</v>
      </c>
      <c r="I977" s="23" t="s">
        <v>4682</v>
      </c>
      <c r="J977" s="23" t="s">
        <v>4729</v>
      </c>
      <c r="K977" s="23" t="s">
        <v>4736</v>
      </c>
      <c r="L977">
        <v>1970</v>
      </c>
      <c r="M977" s="15" t="s">
        <v>4702</v>
      </c>
      <c r="N977">
        <v>19</v>
      </c>
      <c r="O977">
        <v>0</v>
      </c>
      <c r="P977" s="21">
        <f>DATEVALUE(N977&amp;"-"&amp;M977&amp;"-"&amp;L977)</f>
        <v>25738</v>
      </c>
      <c r="Q977" s="22">
        <v>7958.13</v>
      </c>
      <c r="R977" s="23" t="s">
        <v>4697</v>
      </c>
      <c r="S977" s="23" t="s">
        <v>4697</v>
      </c>
      <c r="T977" s="23" t="s">
        <v>4699</v>
      </c>
      <c r="U977" s="23">
        <f>DATEDIF(P977, DATE(2023, 6, 8), "Y")</f>
        <v>52</v>
      </c>
      <c r="V977">
        <f>SUM(C977:K977)</f>
        <v>38.700000000000003</v>
      </c>
    </row>
    <row r="978" spans="1:22" ht="15.75">
      <c r="A978" s="28" t="s">
        <v>1954</v>
      </c>
      <c r="B978" s="28" t="s">
        <v>1955</v>
      </c>
      <c r="C978" s="23">
        <v>33.35</v>
      </c>
      <c r="D978" s="23">
        <v>6.05</v>
      </c>
      <c r="E978" s="23" t="s">
        <v>4682</v>
      </c>
      <c r="F978" s="23" t="s">
        <v>4682</v>
      </c>
      <c r="G978" s="23" t="s">
        <v>4684</v>
      </c>
      <c r="H978" s="23">
        <v>1</v>
      </c>
      <c r="I978" s="23" t="s">
        <v>4682</v>
      </c>
      <c r="J978" s="23" t="s">
        <v>4729</v>
      </c>
      <c r="K978" s="23" t="s">
        <v>4736</v>
      </c>
      <c r="L978">
        <v>1975</v>
      </c>
      <c r="M978" s="15" t="s">
        <v>4706</v>
      </c>
      <c r="N978">
        <v>10</v>
      </c>
      <c r="O978">
        <v>1</v>
      </c>
      <c r="P978" s="21">
        <f>DATEVALUE(N978&amp;"-"&amp;M978&amp;"-"&amp;L978)</f>
        <v>27616</v>
      </c>
      <c r="Q978" s="22">
        <v>7966.81</v>
      </c>
      <c r="R978" s="23" t="s">
        <v>4697</v>
      </c>
      <c r="S978" s="23" t="s">
        <v>4697</v>
      </c>
      <c r="T978" s="23" t="s">
        <v>4699</v>
      </c>
      <c r="U978" s="23">
        <f>DATEDIF(P978, DATE(2023, 6, 8), "Y")</f>
        <v>47</v>
      </c>
      <c r="V978">
        <f>SUM(C978:K978)</f>
        <v>40.4</v>
      </c>
    </row>
    <row r="979" spans="1:22" ht="15.75">
      <c r="A979" s="28" t="s">
        <v>1956</v>
      </c>
      <c r="B979" s="28" t="s">
        <v>1957</v>
      </c>
      <c r="C979" s="23">
        <v>38</v>
      </c>
      <c r="D979" s="23">
        <v>6.38</v>
      </c>
      <c r="E979" s="23" t="s">
        <v>4683</v>
      </c>
      <c r="F979" s="23" t="s">
        <v>4682</v>
      </c>
      <c r="G979" s="23" t="s">
        <v>4682</v>
      </c>
      <c r="H979" s="23">
        <v>1</v>
      </c>
      <c r="I979" s="23" t="s">
        <v>4682</v>
      </c>
      <c r="J979" s="23" t="s">
        <v>4729</v>
      </c>
      <c r="K979" s="23" t="s">
        <v>4736</v>
      </c>
      <c r="L979">
        <v>1972</v>
      </c>
      <c r="M979" s="15" t="s">
        <v>4700</v>
      </c>
      <c r="N979">
        <v>23</v>
      </c>
      <c r="O979">
        <v>0</v>
      </c>
      <c r="P979" s="21">
        <f>DATEVALUE(N979&amp;"-"&amp;M979&amp;"-"&amp;L979)</f>
        <v>26626</v>
      </c>
      <c r="Q979" s="22">
        <v>7980.34</v>
      </c>
      <c r="R979" s="23" t="s">
        <v>4697</v>
      </c>
      <c r="S979" s="23" t="s">
        <v>4697</v>
      </c>
      <c r="T979" s="23" t="s">
        <v>4699</v>
      </c>
      <c r="U979" s="23">
        <f>DATEDIF(P979, DATE(2023, 6, 8), "Y")</f>
        <v>50</v>
      </c>
      <c r="V979">
        <f>SUM(C979:K979)</f>
        <v>45.38</v>
      </c>
    </row>
    <row r="980" spans="1:22" ht="15.75">
      <c r="A980" s="28" t="s">
        <v>1958</v>
      </c>
      <c r="B980" s="28" t="s">
        <v>1959</v>
      </c>
      <c r="C980" s="23">
        <v>36.08</v>
      </c>
      <c r="D980" s="23">
        <v>5.73</v>
      </c>
      <c r="E980" s="23" t="s">
        <v>4683</v>
      </c>
      <c r="F980" s="23" t="s">
        <v>4682</v>
      </c>
      <c r="G980" s="23" t="s">
        <v>4682</v>
      </c>
      <c r="H980" s="23">
        <v>1</v>
      </c>
      <c r="I980" s="23" t="s">
        <v>4682</v>
      </c>
      <c r="J980" s="23" t="s">
        <v>4729</v>
      </c>
      <c r="K980" s="23" t="s">
        <v>4736</v>
      </c>
      <c r="L980">
        <v>1983</v>
      </c>
      <c r="M980" s="15" t="s">
        <v>4706</v>
      </c>
      <c r="N980">
        <v>28</v>
      </c>
      <c r="O980">
        <v>3</v>
      </c>
      <c r="P980" s="21">
        <f>DATEVALUE(N980&amp;"-"&amp;M980&amp;"-"&amp;L980)</f>
        <v>30556</v>
      </c>
      <c r="Q980" s="22">
        <v>7985.82</v>
      </c>
      <c r="R980" s="23" t="s">
        <v>4697</v>
      </c>
      <c r="S980" s="23" t="s">
        <v>4701</v>
      </c>
      <c r="T980" s="23" t="s">
        <v>4714</v>
      </c>
      <c r="U980" s="23">
        <f>DATEDIF(P980, DATE(2023, 6, 8), "Y")</f>
        <v>39</v>
      </c>
      <c r="V980">
        <f>SUM(C980:K980)</f>
        <v>42.81</v>
      </c>
    </row>
    <row r="981" spans="1:22" ht="15.75">
      <c r="A981" s="28" t="s">
        <v>1960</v>
      </c>
      <c r="B981" s="28" t="s">
        <v>1961</v>
      </c>
      <c r="C981" s="23">
        <v>35.700000000000003</v>
      </c>
      <c r="D981" s="23">
        <v>5.47</v>
      </c>
      <c r="E981" s="23" t="s">
        <v>4683</v>
      </c>
      <c r="F981" s="23" t="s">
        <v>4682</v>
      </c>
      <c r="G981" s="23" t="s">
        <v>4682</v>
      </c>
      <c r="H981" s="23">
        <v>1</v>
      </c>
      <c r="I981" s="23" t="s">
        <v>4682</v>
      </c>
      <c r="J981" s="23" t="s">
        <v>4729</v>
      </c>
      <c r="K981" s="23" t="s">
        <v>4737</v>
      </c>
      <c r="L981">
        <v>1983</v>
      </c>
      <c r="M981" s="15" t="s">
        <v>4706</v>
      </c>
      <c r="N981">
        <v>20</v>
      </c>
      <c r="O981">
        <v>3</v>
      </c>
      <c r="P981" s="21">
        <f>DATEVALUE(N981&amp;"-"&amp;M981&amp;"-"&amp;L981)</f>
        <v>30548</v>
      </c>
      <c r="Q981" s="22">
        <v>7986.48</v>
      </c>
      <c r="R981" s="23" t="s">
        <v>4697</v>
      </c>
      <c r="S981" s="23" t="s">
        <v>4698</v>
      </c>
      <c r="T981" s="23" t="s">
        <v>4714</v>
      </c>
      <c r="U981" s="23">
        <f>DATEDIF(P981, DATE(2023, 6, 8), "Y")</f>
        <v>39</v>
      </c>
      <c r="V981">
        <f>SUM(C981:K981)</f>
        <v>42.17</v>
      </c>
    </row>
    <row r="982" spans="1:22" ht="15.75">
      <c r="A982" s="28" t="s">
        <v>1962</v>
      </c>
      <c r="B982" s="28" t="s">
        <v>1963</v>
      </c>
      <c r="C982" s="23">
        <v>34.01</v>
      </c>
      <c r="D982" s="23">
        <v>11.3</v>
      </c>
      <c r="E982" s="23" t="s">
        <v>4682</v>
      </c>
      <c r="F982" s="23" t="s">
        <v>4682</v>
      </c>
      <c r="G982" s="23" t="s">
        <v>4682</v>
      </c>
      <c r="H982" s="23">
        <v>0</v>
      </c>
      <c r="I982" s="23" t="s">
        <v>4682</v>
      </c>
      <c r="J982" s="23" t="s">
        <v>4729</v>
      </c>
      <c r="K982" s="23" t="s">
        <v>4735</v>
      </c>
      <c r="L982">
        <v>1962</v>
      </c>
      <c r="M982" s="15" t="s">
        <v>4706</v>
      </c>
      <c r="N982">
        <v>22</v>
      </c>
      <c r="O982">
        <v>0</v>
      </c>
      <c r="P982" s="21">
        <f>DATEVALUE(N982&amp;"-"&amp;M982&amp;"-"&amp;L982)</f>
        <v>22880</v>
      </c>
      <c r="Q982" s="22">
        <v>8004.96</v>
      </c>
      <c r="R982" s="23" t="s">
        <v>4698</v>
      </c>
      <c r="S982" s="23" t="s">
        <v>4701</v>
      </c>
      <c r="T982" s="23" t="s">
        <v>4699</v>
      </c>
      <c r="U982" s="23">
        <f>DATEDIF(P982, DATE(2023, 6, 8), "Y")</f>
        <v>60</v>
      </c>
      <c r="V982">
        <f>SUM(C982:K982)</f>
        <v>45.31</v>
      </c>
    </row>
    <row r="983" spans="1:22" ht="15.75">
      <c r="A983" s="28" t="s">
        <v>1964</v>
      </c>
      <c r="B983" s="28" t="s">
        <v>1965</v>
      </c>
      <c r="C983" s="23">
        <v>31.54</v>
      </c>
      <c r="D983" s="23">
        <v>6.72</v>
      </c>
      <c r="E983" s="23" t="s">
        <v>4682</v>
      </c>
      <c r="F983" s="23" t="s">
        <v>4682</v>
      </c>
      <c r="G983" s="23" t="s">
        <v>4682</v>
      </c>
      <c r="H983" s="23">
        <v>0</v>
      </c>
      <c r="I983" s="23" t="s">
        <v>4682</v>
      </c>
      <c r="J983" s="23" t="s">
        <v>4729</v>
      </c>
      <c r="K983" s="23" t="s">
        <v>4735</v>
      </c>
      <c r="L983">
        <v>1995</v>
      </c>
      <c r="M983" s="15" t="s">
        <v>4703</v>
      </c>
      <c r="N983">
        <v>18</v>
      </c>
      <c r="O983">
        <v>0</v>
      </c>
      <c r="P983" s="21">
        <f>DATEVALUE(N983&amp;"-"&amp;M983&amp;"-"&amp;L983)</f>
        <v>34960</v>
      </c>
      <c r="Q983" s="22">
        <v>8014.62</v>
      </c>
      <c r="R983" s="23" t="s">
        <v>4697</v>
      </c>
      <c r="S983" s="23" t="s">
        <v>4698</v>
      </c>
      <c r="T983" s="23" t="s">
        <v>4704</v>
      </c>
      <c r="U983" s="23">
        <f>DATEDIF(P983, DATE(2023, 6, 8), "Y")</f>
        <v>27</v>
      </c>
      <c r="V983">
        <f>SUM(C983:K983)</f>
        <v>38.26</v>
      </c>
    </row>
    <row r="984" spans="1:22" ht="15.75">
      <c r="A984" s="28" t="s">
        <v>1966</v>
      </c>
      <c r="B984" s="28" t="s">
        <v>1967</v>
      </c>
      <c r="C984" s="23">
        <v>23.3</v>
      </c>
      <c r="D984" s="23">
        <v>5.36</v>
      </c>
      <c r="E984" s="23" t="s">
        <v>4683</v>
      </c>
      <c r="F984" s="23" t="s">
        <v>4682</v>
      </c>
      <c r="G984" s="23" t="s">
        <v>4682</v>
      </c>
      <c r="H984" s="23">
        <v>1</v>
      </c>
      <c r="I984" s="23" t="s">
        <v>4682</v>
      </c>
      <c r="J984" s="23" t="s">
        <v>4728</v>
      </c>
      <c r="K984" s="23" t="s">
        <v>4737</v>
      </c>
      <c r="L984">
        <v>1980</v>
      </c>
      <c r="M984" s="15" t="s">
        <v>4700</v>
      </c>
      <c r="N984">
        <v>8</v>
      </c>
      <c r="O984">
        <v>2</v>
      </c>
      <c r="P984" s="21">
        <f>DATEVALUE(N984&amp;"-"&amp;M984&amp;"-"&amp;L984)</f>
        <v>29533</v>
      </c>
      <c r="Q984" s="22">
        <v>8017.06</v>
      </c>
      <c r="R984" s="23" t="s">
        <v>4697</v>
      </c>
      <c r="S984" s="23" t="s">
        <v>4697</v>
      </c>
      <c r="T984" s="23" t="s">
        <v>4704</v>
      </c>
      <c r="U984" s="23">
        <f>DATEDIF(P984, DATE(2023, 6, 8), "Y")</f>
        <v>42</v>
      </c>
      <c r="V984">
        <f>SUM(C984:K984)</f>
        <v>29.66</v>
      </c>
    </row>
    <row r="985" spans="1:22" ht="15.75">
      <c r="A985" s="28" t="s">
        <v>1968</v>
      </c>
      <c r="B985" s="28" t="s">
        <v>1969</v>
      </c>
      <c r="C985" s="23">
        <v>27.75</v>
      </c>
      <c r="D985" s="23">
        <v>9.8800000000000008</v>
      </c>
      <c r="E985" s="23" t="s">
        <v>4682</v>
      </c>
      <c r="F985" s="23" t="s">
        <v>4682</v>
      </c>
      <c r="G985" s="23" t="s">
        <v>4682</v>
      </c>
      <c r="H985" s="23">
        <v>0</v>
      </c>
      <c r="I985" s="23" t="s">
        <v>4682</v>
      </c>
      <c r="J985" s="23" t="s">
        <v>4730</v>
      </c>
      <c r="K985" s="23" t="s">
        <v>4735</v>
      </c>
      <c r="L985">
        <v>1989</v>
      </c>
      <c r="M985" s="15" t="s">
        <v>4700</v>
      </c>
      <c r="N985">
        <v>3</v>
      </c>
      <c r="O985">
        <v>3</v>
      </c>
      <c r="P985" s="21">
        <f>DATEVALUE(N985&amp;"-"&amp;M985&amp;"-"&amp;L985)</f>
        <v>32815</v>
      </c>
      <c r="Q985" s="22">
        <v>8021.11</v>
      </c>
      <c r="R985" s="23" t="s">
        <v>4697</v>
      </c>
      <c r="S985" s="23" t="s">
        <v>4701</v>
      </c>
      <c r="T985" s="23" t="s">
        <v>4704</v>
      </c>
      <c r="U985" s="23">
        <f>DATEDIF(P985, DATE(2023, 6, 8), "Y")</f>
        <v>33</v>
      </c>
      <c r="V985">
        <f>SUM(C985:K985)</f>
        <v>37.630000000000003</v>
      </c>
    </row>
    <row r="986" spans="1:22" ht="15.75">
      <c r="A986" s="28" t="s">
        <v>1970</v>
      </c>
      <c r="B986" s="28" t="s">
        <v>1971</v>
      </c>
      <c r="C986" s="23">
        <v>42.46</v>
      </c>
      <c r="D986" s="23">
        <v>4.1100000000000003</v>
      </c>
      <c r="E986" s="23" t="s">
        <v>4682</v>
      </c>
      <c r="F986" s="23" t="s">
        <v>4682</v>
      </c>
      <c r="G986" s="23" t="s">
        <v>4682</v>
      </c>
      <c r="H986" s="23">
        <v>0</v>
      </c>
      <c r="I986" s="23" t="s">
        <v>4682</v>
      </c>
      <c r="J986" s="23" t="s">
        <v>4729</v>
      </c>
      <c r="K986" s="23" t="s">
        <v>4737</v>
      </c>
      <c r="L986">
        <v>1978</v>
      </c>
      <c r="M986" s="15" t="s">
        <v>4696</v>
      </c>
      <c r="N986">
        <v>17</v>
      </c>
      <c r="O986">
        <v>1</v>
      </c>
      <c r="P986" s="21">
        <f>DATEVALUE(N986&amp;"-"&amp;M986&amp;"-"&amp;L986)</f>
        <v>28688</v>
      </c>
      <c r="Q986" s="22">
        <v>8023.14</v>
      </c>
      <c r="R986" s="23" t="s">
        <v>4697</v>
      </c>
      <c r="S986" s="23" t="s">
        <v>4698</v>
      </c>
      <c r="T986" s="23" t="s">
        <v>4704</v>
      </c>
      <c r="U986" s="23">
        <f>DATEDIF(P986, DATE(2023, 6, 8), "Y")</f>
        <v>44</v>
      </c>
      <c r="V986">
        <f>SUM(C986:K986)</f>
        <v>46.57</v>
      </c>
    </row>
    <row r="987" spans="1:22" ht="15.75">
      <c r="A987" s="28" t="s">
        <v>1972</v>
      </c>
      <c r="B987" s="28" t="s">
        <v>1973</v>
      </c>
      <c r="C987" s="23">
        <v>54.47</v>
      </c>
      <c r="D987" s="23">
        <v>7.48</v>
      </c>
      <c r="E987" s="23" t="s">
        <v>4682</v>
      </c>
      <c r="F987" s="23" t="s">
        <v>4682</v>
      </c>
      <c r="G987" s="23" t="s">
        <v>4682</v>
      </c>
      <c r="H987" s="23">
        <v>0</v>
      </c>
      <c r="I987" s="23" t="s">
        <v>4682</v>
      </c>
      <c r="J987" s="23" t="s">
        <v>4729</v>
      </c>
      <c r="K987" s="23" t="s">
        <v>4735</v>
      </c>
      <c r="L987">
        <v>1976</v>
      </c>
      <c r="M987" s="15" t="s">
        <v>4705</v>
      </c>
      <c r="N987">
        <v>20</v>
      </c>
      <c r="O987">
        <v>0</v>
      </c>
      <c r="P987" s="21">
        <f>DATEVALUE(N987&amp;"-"&amp;M987&amp;"-"&amp;L987)</f>
        <v>28114</v>
      </c>
      <c r="Q987" s="22">
        <v>8026.67</v>
      </c>
      <c r="R987" s="23" t="s">
        <v>4697</v>
      </c>
      <c r="S987" s="23" t="s">
        <v>4697</v>
      </c>
      <c r="T987" s="23" t="s">
        <v>4704</v>
      </c>
      <c r="U987" s="23">
        <f>DATEDIF(P987, DATE(2023, 6, 8), "Y")</f>
        <v>46</v>
      </c>
      <c r="V987">
        <f>SUM(C987:K987)</f>
        <v>61.95</v>
      </c>
    </row>
    <row r="988" spans="1:22" ht="15.75">
      <c r="A988" s="28" t="s">
        <v>1974</v>
      </c>
      <c r="B988" s="28" t="s">
        <v>1975</v>
      </c>
      <c r="C988" s="23">
        <v>24.93</v>
      </c>
      <c r="D988" s="23">
        <v>9.18</v>
      </c>
      <c r="E988" s="23" t="s">
        <v>4683</v>
      </c>
      <c r="F988" s="23" t="s">
        <v>4682</v>
      </c>
      <c r="G988" s="23" t="s">
        <v>4684</v>
      </c>
      <c r="H988" s="23">
        <v>1</v>
      </c>
      <c r="I988" s="23" t="s">
        <v>4682</v>
      </c>
      <c r="J988" s="23" t="s">
        <v>4730</v>
      </c>
      <c r="K988" s="23" t="s">
        <v>4735</v>
      </c>
      <c r="L988">
        <v>1977</v>
      </c>
      <c r="M988" s="15" t="s">
        <v>4700</v>
      </c>
      <c r="N988">
        <v>6</v>
      </c>
      <c r="O988">
        <v>2</v>
      </c>
      <c r="P988" s="21">
        <f>DATEVALUE(N988&amp;"-"&amp;M988&amp;"-"&amp;L988)</f>
        <v>28435</v>
      </c>
      <c r="Q988" s="22">
        <v>8027.97</v>
      </c>
      <c r="R988" s="23" t="s">
        <v>4698</v>
      </c>
      <c r="S988" s="23" t="s">
        <v>4697</v>
      </c>
      <c r="T988" s="23" t="s">
        <v>4708</v>
      </c>
      <c r="U988" s="23">
        <f>DATEDIF(P988, DATE(2023, 6, 8), "Y")</f>
        <v>45</v>
      </c>
      <c r="V988">
        <f>SUM(C988:K988)</f>
        <v>35.11</v>
      </c>
    </row>
    <row r="989" spans="1:22" ht="15.75">
      <c r="A989" s="28" t="s">
        <v>1976</v>
      </c>
      <c r="B989" s="28" t="s">
        <v>1977</v>
      </c>
      <c r="C989" s="23">
        <v>48.12</v>
      </c>
      <c r="D989" s="23">
        <v>4.51</v>
      </c>
      <c r="E989" s="23" t="s">
        <v>4683</v>
      </c>
      <c r="F989" s="23" t="s">
        <v>4682</v>
      </c>
      <c r="G989" s="23" t="s">
        <v>4682</v>
      </c>
      <c r="H989" s="23">
        <v>1</v>
      </c>
      <c r="I989" s="23" t="s">
        <v>4682</v>
      </c>
      <c r="J989" s="23" t="s">
        <v>4729</v>
      </c>
      <c r="K989" s="23" t="s">
        <v>4737</v>
      </c>
      <c r="L989">
        <v>2003</v>
      </c>
      <c r="M989" s="15" t="s">
        <v>4705</v>
      </c>
      <c r="N989">
        <v>12</v>
      </c>
      <c r="O989">
        <v>0</v>
      </c>
      <c r="P989" s="21">
        <f>DATEVALUE(N989&amp;"-"&amp;M989&amp;"-"&amp;L989)</f>
        <v>37967</v>
      </c>
      <c r="Q989" s="22">
        <v>8035.64</v>
      </c>
      <c r="R989" s="23" t="s">
        <v>4697</v>
      </c>
      <c r="S989" s="23" t="s">
        <v>4697</v>
      </c>
      <c r="T989" s="23" t="s">
        <v>4704</v>
      </c>
      <c r="U989" s="23">
        <f>DATEDIF(P989, DATE(2023, 6, 8), "Y")</f>
        <v>19</v>
      </c>
      <c r="V989">
        <f>SUM(C989:K989)</f>
        <v>53.629999999999995</v>
      </c>
    </row>
    <row r="990" spans="1:22" ht="15.75">
      <c r="A990" s="28" t="s">
        <v>1978</v>
      </c>
      <c r="B990" s="28" t="s">
        <v>1979</v>
      </c>
      <c r="C990" s="23">
        <v>24.91</v>
      </c>
      <c r="D990" s="23">
        <v>7.33</v>
      </c>
      <c r="E990" s="23" t="s">
        <v>4683</v>
      </c>
      <c r="F990" s="23" t="s">
        <v>4682</v>
      </c>
      <c r="G990" s="23" t="s">
        <v>4684</v>
      </c>
      <c r="H990" s="23">
        <v>1</v>
      </c>
      <c r="I990" s="23" t="s">
        <v>4682</v>
      </c>
      <c r="J990" s="23" t="s">
        <v>4730</v>
      </c>
      <c r="K990" s="23" t="s">
        <v>4735</v>
      </c>
      <c r="L990">
        <v>1985</v>
      </c>
      <c r="M990" s="15" t="s">
        <v>4700</v>
      </c>
      <c r="N990">
        <v>28</v>
      </c>
      <c r="O990">
        <v>3</v>
      </c>
      <c r="P990" s="21">
        <f>DATEVALUE(N990&amp;"-"&amp;M990&amp;"-"&amp;L990)</f>
        <v>31379</v>
      </c>
      <c r="Q990" s="22">
        <v>8059.06</v>
      </c>
      <c r="R990" s="23" t="s">
        <v>4697</v>
      </c>
      <c r="S990" s="23" t="s">
        <v>4698</v>
      </c>
      <c r="T990" s="23" t="s">
        <v>4704</v>
      </c>
      <c r="U990" s="23">
        <f>DATEDIF(P990, DATE(2023, 6, 8), "Y")</f>
        <v>37</v>
      </c>
      <c r="V990">
        <f>SUM(C990:K990)</f>
        <v>33.24</v>
      </c>
    </row>
    <row r="991" spans="1:22" ht="15.75">
      <c r="A991" s="28" t="s">
        <v>1980</v>
      </c>
      <c r="B991" s="28" t="s">
        <v>1981</v>
      </c>
      <c r="C991" s="23">
        <v>27.645</v>
      </c>
      <c r="D991" s="23">
        <v>10.56</v>
      </c>
      <c r="E991" s="23" t="s">
        <v>4682</v>
      </c>
      <c r="F991" s="23" t="s">
        <v>4682</v>
      </c>
      <c r="G991" s="23" t="s">
        <v>4682</v>
      </c>
      <c r="H991" s="23">
        <v>0</v>
      </c>
      <c r="I991" s="23" t="s">
        <v>4682</v>
      </c>
      <c r="J991" s="23" t="s">
        <v>4730</v>
      </c>
      <c r="K991" s="23" t="s">
        <v>4735</v>
      </c>
      <c r="L991">
        <v>1982</v>
      </c>
      <c r="M991" s="15" t="s">
        <v>4705</v>
      </c>
      <c r="N991">
        <v>27</v>
      </c>
      <c r="O991">
        <v>3</v>
      </c>
      <c r="P991" s="21">
        <f>DATEVALUE(N991&amp;"-"&amp;M991&amp;"-"&amp;L991)</f>
        <v>30312</v>
      </c>
      <c r="Q991" s="22">
        <v>8059.68</v>
      </c>
      <c r="R991" s="23" t="s">
        <v>4697</v>
      </c>
      <c r="S991" s="23" t="s">
        <v>4698</v>
      </c>
      <c r="T991" s="23" t="s">
        <v>4704</v>
      </c>
      <c r="U991" s="23">
        <f>DATEDIF(P991, DATE(2023, 6, 8), "Y")</f>
        <v>40</v>
      </c>
      <c r="V991">
        <f>SUM(C991:K991)</f>
        <v>38.204999999999998</v>
      </c>
    </row>
    <row r="992" spans="1:22" ht="15.75">
      <c r="A992" s="28" t="s">
        <v>1982</v>
      </c>
      <c r="B992" s="28" t="s">
        <v>1983</v>
      </c>
      <c r="C992" s="23">
        <v>33.700000000000003</v>
      </c>
      <c r="D992" s="23">
        <v>4.01</v>
      </c>
      <c r="E992" s="23" t="s">
        <v>4682</v>
      </c>
      <c r="F992" s="23" t="s">
        <v>4682</v>
      </c>
      <c r="G992" s="23" t="s">
        <v>4682</v>
      </c>
      <c r="H992" s="23">
        <v>2</v>
      </c>
      <c r="I992" s="23" t="s">
        <v>4682</v>
      </c>
      <c r="J992" s="23" t="s">
        <v>4729</v>
      </c>
      <c r="K992" s="23" t="s">
        <v>4737</v>
      </c>
      <c r="L992">
        <v>1970</v>
      </c>
      <c r="M992" s="15" t="s">
        <v>4705</v>
      </c>
      <c r="N992">
        <v>12</v>
      </c>
      <c r="O992">
        <v>0</v>
      </c>
      <c r="P992" s="21">
        <f>DATEVALUE(N992&amp;"-"&amp;M992&amp;"-"&amp;L992)</f>
        <v>25914</v>
      </c>
      <c r="Q992" s="22">
        <v>8062.31</v>
      </c>
      <c r="R992" s="23" t="s">
        <v>4697</v>
      </c>
      <c r="S992" s="23" t="s">
        <v>4701</v>
      </c>
      <c r="T992" s="23" t="s">
        <v>4699</v>
      </c>
      <c r="U992" s="23">
        <f>DATEDIF(P992, DATE(2023, 6, 8), "Y")</f>
        <v>52</v>
      </c>
      <c r="V992">
        <f>SUM(C992:K992)</f>
        <v>39.71</v>
      </c>
    </row>
    <row r="993" spans="1:22" ht="15.75">
      <c r="A993" s="28" t="s">
        <v>1984</v>
      </c>
      <c r="B993" s="28" t="s">
        <v>1985</v>
      </c>
      <c r="C993" s="23">
        <v>38.93</v>
      </c>
      <c r="D993" s="23">
        <v>5.64</v>
      </c>
      <c r="E993" s="23" t="s">
        <v>4683</v>
      </c>
      <c r="F993" s="23" t="s">
        <v>4682</v>
      </c>
      <c r="G993" s="23" t="s">
        <v>4682</v>
      </c>
      <c r="H993" s="23">
        <v>1</v>
      </c>
      <c r="I993" s="23" t="s">
        <v>4682</v>
      </c>
      <c r="J993" s="23" t="s">
        <v>4729</v>
      </c>
      <c r="K993" s="23" t="s">
        <v>4737</v>
      </c>
      <c r="L993">
        <v>1975</v>
      </c>
      <c r="M993" s="15" t="s">
        <v>4702</v>
      </c>
      <c r="N993">
        <v>28</v>
      </c>
      <c r="O993">
        <v>1</v>
      </c>
      <c r="P993" s="21">
        <f>DATEVALUE(N993&amp;"-"&amp;M993&amp;"-"&amp;L993)</f>
        <v>27573</v>
      </c>
      <c r="Q993" s="22">
        <v>8062.76</v>
      </c>
      <c r="R993" s="23" t="s">
        <v>4698</v>
      </c>
      <c r="S993" s="23" t="s">
        <v>4698</v>
      </c>
      <c r="T993" s="23" t="s">
        <v>4708</v>
      </c>
      <c r="U993" s="23">
        <f>DATEDIF(P993, DATE(2023, 6, 8), "Y")</f>
        <v>47</v>
      </c>
      <c r="V993">
        <f>SUM(C993:K993)</f>
        <v>45.57</v>
      </c>
    </row>
    <row r="994" spans="1:22" ht="15.75">
      <c r="A994" s="28" t="s">
        <v>1986</v>
      </c>
      <c r="B994" s="28" t="s">
        <v>1987</v>
      </c>
      <c r="C994" s="23">
        <v>32.774999999999999</v>
      </c>
      <c r="D994" s="23">
        <v>8.02</v>
      </c>
      <c r="E994" s="23" t="s">
        <v>4683</v>
      </c>
      <c r="F994" s="23" t="s">
        <v>4682</v>
      </c>
      <c r="G994" s="23" t="s">
        <v>4682</v>
      </c>
      <c r="H994" s="23">
        <v>2</v>
      </c>
      <c r="I994" s="23" t="s">
        <v>4682</v>
      </c>
      <c r="J994" s="23" t="s">
        <v>4729</v>
      </c>
      <c r="K994" s="23" t="s">
        <v>4735</v>
      </c>
      <c r="L994">
        <v>1965</v>
      </c>
      <c r="M994" s="15" t="s">
        <v>4706</v>
      </c>
      <c r="N994">
        <v>11</v>
      </c>
      <c r="O994">
        <v>0</v>
      </c>
      <c r="P994" s="21">
        <f>DATEVALUE(N994&amp;"-"&amp;M994&amp;"-"&amp;L994)</f>
        <v>23965</v>
      </c>
      <c r="Q994" s="22">
        <v>8067.83</v>
      </c>
      <c r="R994" s="23" t="s">
        <v>4698</v>
      </c>
      <c r="S994" s="23" t="s">
        <v>4701</v>
      </c>
      <c r="T994" s="23" t="s">
        <v>4699</v>
      </c>
      <c r="U994" s="23">
        <f>DATEDIF(P994, DATE(2023, 6, 8), "Y")</f>
        <v>57</v>
      </c>
      <c r="V994">
        <f>SUM(C994:K994)</f>
        <v>42.795000000000002</v>
      </c>
    </row>
    <row r="995" spans="1:22" ht="15.75">
      <c r="A995" s="28" t="s">
        <v>1988</v>
      </c>
      <c r="B995" s="28" t="s">
        <v>1989</v>
      </c>
      <c r="C995" s="23">
        <v>29.83</v>
      </c>
      <c r="D995" s="23">
        <v>7.2</v>
      </c>
      <c r="E995" s="23" t="s">
        <v>4683</v>
      </c>
      <c r="F995" s="23" t="s">
        <v>4682</v>
      </c>
      <c r="G995" s="23" t="s">
        <v>4682</v>
      </c>
      <c r="H995" s="23">
        <v>0</v>
      </c>
      <c r="I995" s="23" t="s">
        <v>4682</v>
      </c>
      <c r="J995" s="23" t="s">
        <v>4730</v>
      </c>
      <c r="K995" s="23" t="s">
        <v>4735</v>
      </c>
      <c r="L995">
        <v>1975</v>
      </c>
      <c r="M995" s="15" t="s">
        <v>4705</v>
      </c>
      <c r="N995">
        <v>15</v>
      </c>
      <c r="O995">
        <v>1</v>
      </c>
      <c r="P995" s="21">
        <f>DATEVALUE(N995&amp;"-"&amp;M995&amp;"-"&amp;L995)</f>
        <v>27743</v>
      </c>
      <c r="Q995" s="22">
        <v>8068.19</v>
      </c>
      <c r="R995" s="23" t="s">
        <v>4698</v>
      </c>
      <c r="S995" s="23" t="s">
        <v>4697</v>
      </c>
      <c r="T995" s="23" t="s">
        <v>4708</v>
      </c>
      <c r="U995" s="23">
        <f>DATEDIF(P995, DATE(2023, 6, 8), "Y")</f>
        <v>47</v>
      </c>
      <c r="V995">
        <f>SUM(C995:K995)</f>
        <v>37.03</v>
      </c>
    </row>
    <row r="996" spans="1:22" ht="15.75">
      <c r="A996" s="28" t="s">
        <v>1990</v>
      </c>
      <c r="B996" s="28" t="s">
        <v>1991</v>
      </c>
      <c r="C996" s="23">
        <v>28.31</v>
      </c>
      <c r="D996" s="23">
        <v>4.55</v>
      </c>
      <c r="E996" s="23" t="s">
        <v>4682</v>
      </c>
      <c r="F996" s="23" t="s">
        <v>4683</v>
      </c>
      <c r="G996" s="23" t="s">
        <v>4682</v>
      </c>
      <c r="H996" s="23">
        <v>1</v>
      </c>
      <c r="I996" s="23" t="s">
        <v>4682</v>
      </c>
      <c r="J996" s="23" t="s">
        <v>4730</v>
      </c>
      <c r="K996" s="23" t="s">
        <v>4737</v>
      </c>
      <c r="L996">
        <v>1965</v>
      </c>
      <c r="M996" s="15" t="s">
        <v>4707</v>
      </c>
      <c r="N996">
        <v>21</v>
      </c>
      <c r="O996">
        <v>0</v>
      </c>
      <c r="P996" s="21">
        <f>DATEVALUE(N996&amp;"-"&amp;M996&amp;"-"&amp;L996)</f>
        <v>24036</v>
      </c>
      <c r="Q996" s="22">
        <v>8071.57</v>
      </c>
      <c r="R996" s="23" t="s">
        <v>4698</v>
      </c>
      <c r="S996" s="23" t="s">
        <v>4701</v>
      </c>
      <c r="T996" s="23" t="s">
        <v>4708</v>
      </c>
      <c r="U996" s="23">
        <f>DATEDIF(P996, DATE(2023, 6, 8), "Y")</f>
        <v>57</v>
      </c>
      <c r="V996">
        <f>SUM(C996:K996)</f>
        <v>33.86</v>
      </c>
    </row>
    <row r="997" spans="1:22" ht="15.75">
      <c r="A997" s="28" t="s">
        <v>1992</v>
      </c>
      <c r="B997" s="28" t="s">
        <v>1993</v>
      </c>
      <c r="C997" s="23">
        <v>29.79</v>
      </c>
      <c r="D997" s="23">
        <v>9.0299999999999994</v>
      </c>
      <c r="E997" s="23" t="s">
        <v>4682</v>
      </c>
      <c r="F997" s="23" t="s">
        <v>4682</v>
      </c>
      <c r="G997" s="23" t="s">
        <v>4682</v>
      </c>
      <c r="H997" s="23">
        <v>0</v>
      </c>
      <c r="I997" s="23" t="s">
        <v>4682</v>
      </c>
      <c r="J997" s="23" t="s">
        <v>4730</v>
      </c>
      <c r="K997" s="23" t="s">
        <v>4735</v>
      </c>
      <c r="L997">
        <v>1993</v>
      </c>
      <c r="M997" s="15" t="s">
        <v>4700</v>
      </c>
      <c r="N997">
        <v>7</v>
      </c>
      <c r="O997">
        <v>0</v>
      </c>
      <c r="P997" s="21">
        <f>DATEVALUE(N997&amp;"-"&amp;M997&amp;"-"&amp;L997)</f>
        <v>34280</v>
      </c>
      <c r="Q997" s="22">
        <v>8077.41</v>
      </c>
      <c r="R997" s="23" t="s">
        <v>4697</v>
      </c>
      <c r="S997" s="23" t="s">
        <v>4701</v>
      </c>
      <c r="T997" s="23" t="s">
        <v>4720</v>
      </c>
      <c r="U997" s="23">
        <f>DATEDIF(P997, DATE(2023, 6, 8), "Y")</f>
        <v>29</v>
      </c>
      <c r="V997">
        <f>SUM(C997:K997)</f>
        <v>38.82</v>
      </c>
    </row>
    <row r="998" spans="1:22" ht="15.75">
      <c r="A998" s="28" t="s">
        <v>1994</v>
      </c>
      <c r="B998" s="28" t="s">
        <v>1995</v>
      </c>
      <c r="C998" s="23">
        <v>36.6</v>
      </c>
      <c r="D998" s="23">
        <v>5.2</v>
      </c>
      <c r="E998" s="23" t="s">
        <v>4683</v>
      </c>
      <c r="F998" s="23" t="s">
        <v>4682</v>
      </c>
      <c r="G998" s="23" t="s">
        <v>4684</v>
      </c>
      <c r="H998" s="23">
        <v>1</v>
      </c>
      <c r="I998" s="23" t="s">
        <v>4682</v>
      </c>
      <c r="J998" s="23" t="s">
        <v>4729</v>
      </c>
      <c r="K998" s="23" t="s">
        <v>4737</v>
      </c>
      <c r="L998">
        <v>2001</v>
      </c>
      <c r="M998" s="15" t="s">
        <v>4706</v>
      </c>
      <c r="N998">
        <v>28</v>
      </c>
      <c r="O998">
        <v>0</v>
      </c>
      <c r="P998" s="21">
        <f>DATEVALUE(N998&amp;"-"&amp;M998&amp;"-"&amp;L998)</f>
        <v>37131</v>
      </c>
      <c r="Q998" s="22">
        <v>8081.26</v>
      </c>
      <c r="R998" s="23" t="s">
        <v>4697</v>
      </c>
      <c r="S998" s="23" t="s">
        <v>4697</v>
      </c>
      <c r="T998" s="23" t="s">
        <v>4704</v>
      </c>
      <c r="U998" s="23">
        <f>DATEDIF(P998, DATE(2023, 6, 8), "Y")</f>
        <v>21</v>
      </c>
      <c r="V998">
        <f>SUM(C998:K998)</f>
        <v>42.800000000000004</v>
      </c>
    </row>
    <row r="999" spans="1:22" ht="15.75">
      <c r="A999" s="28" t="s">
        <v>1996</v>
      </c>
      <c r="B999" s="28" t="s">
        <v>1997</v>
      </c>
      <c r="C999" s="23">
        <v>35.93</v>
      </c>
      <c r="D999" s="23">
        <v>8.3000000000000007</v>
      </c>
      <c r="E999" s="23" t="s">
        <v>4683</v>
      </c>
      <c r="F999" s="23" t="s">
        <v>4682</v>
      </c>
      <c r="G999" s="23" t="s">
        <v>4682</v>
      </c>
      <c r="H999" s="23">
        <v>0</v>
      </c>
      <c r="I999" s="23" t="s">
        <v>4682</v>
      </c>
      <c r="J999" s="23" t="s">
        <v>4729</v>
      </c>
      <c r="K999" s="23" t="s">
        <v>4735</v>
      </c>
      <c r="L999">
        <v>1994</v>
      </c>
      <c r="M999" s="15" t="s">
        <v>4707</v>
      </c>
      <c r="N999">
        <v>12</v>
      </c>
      <c r="O999">
        <v>0</v>
      </c>
      <c r="P999" s="21">
        <f>DATEVALUE(N999&amp;"-"&amp;M999&amp;"-"&amp;L999)</f>
        <v>34619</v>
      </c>
      <c r="Q999" s="22">
        <v>8081.74</v>
      </c>
      <c r="R999" s="23" t="s">
        <v>4697</v>
      </c>
      <c r="S999" s="23" t="s">
        <v>4697</v>
      </c>
      <c r="T999" s="23" t="s">
        <v>4720</v>
      </c>
      <c r="U999" s="23">
        <f>DATEDIF(P999, DATE(2023, 6, 8), "Y")</f>
        <v>28</v>
      </c>
      <c r="V999">
        <f>SUM(C999:K999)</f>
        <v>44.230000000000004</v>
      </c>
    </row>
    <row r="1000" spans="1:22" ht="15.75">
      <c r="A1000" s="28" t="s">
        <v>1998</v>
      </c>
      <c r="B1000" s="28" t="s">
        <v>1999</v>
      </c>
      <c r="C1000" s="23">
        <v>28.6</v>
      </c>
      <c r="D1000" s="23">
        <v>5.56</v>
      </c>
      <c r="E1000" s="23" t="s">
        <v>4683</v>
      </c>
      <c r="F1000" s="23" t="s">
        <v>4682</v>
      </c>
      <c r="G1000" s="23" t="s">
        <v>4684</v>
      </c>
      <c r="H1000" s="23">
        <v>1</v>
      </c>
      <c r="I1000" s="23" t="s">
        <v>4682</v>
      </c>
      <c r="J1000" s="23" t="s">
        <v>4730</v>
      </c>
      <c r="K1000" s="23" t="s">
        <v>4737</v>
      </c>
      <c r="L1000">
        <v>1975</v>
      </c>
      <c r="M1000" s="15" t="s">
        <v>4705</v>
      </c>
      <c r="N1000">
        <v>21</v>
      </c>
      <c r="O1000">
        <v>1</v>
      </c>
      <c r="P1000" s="21">
        <f>DATEVALUE(N1000&amp;"-"&amp;M1000&amp;"-"&amp;L1000)</f>
        <v>27749</v>
      </c>
      <c r="Q1000" s="22">
        <v>8083.92</v>
      </c>
      <c r="R1000" s="23" t="s">
        <v>4698</v>
      </c>
      <c r="S1000" s="23" t="s">
        <v>4698</v>
      </c>
      <c r="T1000" s="23" t="s">
        <v>4699</v>
      </c>
      <c r="U1000" s="23">
        <f>DATEDIF(P1000, DATE(2023, 6, 8), "Y")</f>
        <v>47</v>
      </c>
      <c r="V1000">
        <f>SUM(C1000:K1000)</f>
        <v>35.160000000000004</v>
      </c>
    </row>
    <row r="1001" spans="1:22" ht="15.75">
      <c r="A1001" s="28" t="s">
        <v>2000</v>
      </c>
      <c r="B1001" s="28" t="s">
        <v>2001</v>
      </c>
      <c r="C1001" s="23">
        <v>39.17</v>
      </c>
      <c r="D1001" s="23">
        <v>4.1500000000000004</v>
      </c>
      <c r="E1001" s="23" t="s">
        <v>4682</v>
      </c>
      <c r="F1001" s="23" t="s">
        <v>4682</v>
      </c>
      <c r="G1001" s="23" t="s">
        <v>4682</v>
      </c>
      <c r="H1001" s="23">
        <v>0</v>
      </c>
      <c r="I1001" s="23" t="s">
        <v>4682</v>
      </c>
      <c r="J1001" s="23" t="s">
        <v>4729</v>
      </c>
      <c r="K1001" s="23" t="s">
        <v>4737</v>
      </c>
      <c r="L1001">
        <v>1967</v>
      </c>
      <c r="M1001" s="15" t="s">
        <v>4702</v>
      </c>
      <c r="N1001">
        <v>10</v>
      </c>
      <c r="O1001">
        <v>0</v>
      </c>
      <c r="P1001" s="21">
        <f>DATEVALUE(N1001&amp;"-"&amp;M1001&amp;"-"&amp;L1001)</f>
        <v>24633</v>
      </c>
      <c r="Q1001" s="22">
        <v>8091.3</v>
      </c>
      <c r="R1001" s="23" t="s">
        <v>4698</v>
      </c>
      <c r="S1001" s="23" t="s">
        <v>4701</v>
      </c>
      <c r="T1001" s="23" t="s">
        <v>4704</v>
      </c>
      <c r="U1001" s="23">
        <f>DATEDIF(P1001, DATE(2023, 6, 8), "Y")</f>
        <v>55</v>
      </c>
      <c r="V1001">
        <f>SUM(C1001:K1001)</f>
        <v>43.32</v>
      </c>
    </row>
    <row r="1002" spans="1:22" ht="15.75">
      <c r="A1002" s="28" t="s">
        <v>2002</v>
      </c>
      <c r="B1002" s="28" t="s">
        <v>2003</v>
      </c>
      <c r="C1002" s="23">
        <v>26.41</v>
      </c>
      <c r="D1002" s="23">
        <v>5.99</v>
      </c>
      <c r="E1002" s="23" t="s">
        <v>4683</v>
      </c>
      <c r="F1002" s="23" t="s">
        <v>4682</v>
      </c>
      <c r="G1002" s="23" t="s">
        <v>4684</v>
      </c>
      <c r="H1002" s="23">
        <v>1</v>
      </c>
      <c r="I1002" s="23" t="s">
        <v>4682</v>
      </c>
      <c r="J1002" s="23" t="s">
        <v>4730</v>
      </c>
      <c r="K1002" s="23" t="s">
        <v>4736</v>
      </c>
      <c r="L1002">
        <v>1973</v>
      </c>
      <c r="M1002" s="15" t="s">
        <v>4707</v>
      </c>
      <c r="N1002">
        <v>11</v>
      </c>
      <c r="O1002">
        <v>0</v>
      </c>
      <c r="P1002" s="21">
        <f>DATEVALUE(N1002&amp;"-"&amp;M1002&amp;"-"&amp;L1002)</f>
        <v>26948</v>
      </c>
      <c r="Q1002" s="22">
        <v>8112.59</v>
      </c>
      <c r="R1002" s="23" t="s">
        <v>4697</v>
      </c>
      <c r="S1002" s="23" t="s">
        <v>4697</v>
      </c>
      <c r="T1002" s="23" t="s">
        <v>4699</v>
      </c>
      <c r="U1002" s="23">
        <f>DATEDIF(P1002, DATE(2023, 6, 8), "Y")</f>
        <v>49</v>
      </c>
      <c r="V1002">
        <f>SUM(C1002:K1002)</f>
        <v>33.4</v>
      </c>
    </row>
    <row r="1003" spans="1:22" ht="15.75">
      <c r="A1003" s="28" t="s">
        <v>2004</v>
      </c>
      <c r="B1003" s="28" t="s">
        <v>2005</v>
      </c>
      <c r="C1003" s="23">
        <v>30.63</v>
      </c>
      <c r="D1003" s="23">
        <v>5.8</v>
      </c>
      <c r="E1003" s="23" t="s">
        <v>4683</v>
      </c>
      <c r="F1003" s="23" t="s">
        <v>4682</v>
      </c>
      <c r="G1003" s="23" t="s">
        <v>4682</v>
      </c>
      <c r="H1003" s="23">
        <v>0</v>
      </c>
      <c r="I1003" s="23" t="s">
        <v>4682</v>
      </c>
      <c r="J1003" s="23" t="s">
        <v>4729</v>
      </c>
      <c r="K1003" s="23" t="s">
        <v>4736</v>
      </c>
      <c r="L1003">
        <v>1978</v>
      </c>
      <c r="M1003" s="15" t="s">
        <v>4703</v>
      </c>
      <c r="N1003">
        <v>1</v>
      </c>
      <c r="O1003">
        <v>2</v>
      </c>
      <c r="P1003" s="21">
        <f>DATEVALUE(N1003&amp;"-"&amp;M1003&amp;"-"&amp;L1003)</f>
        <v>28734</v>
      </c>
      <c r="Q1003" s="22">
        <v>8116.27</v>
      </c>
      <c r="R1003" s="23" t="s">
        <v>4698</v>
      </c>
      <c r="S1003" s="23" t="s">
        <v>4701</v>
      </c>
      <c r="T1003" s="23" t="s">
        <v>4704</v>
      </c>
      <c r="U1003" s="23">
        <f>DATEDIF(P1003, DATE(2023, 6, 8), "Y")</f>
        <v>44</v>
      </c>
      <c r="V1003">
        <f>SUM(C1003:K1003)</f>
        <v>36.43</v>
      </c>
    </row>
    <row r="1004" spans="1:22" ht="15.75">
      <c r="A1004" s="28" t="s">
        <v>2006</v>
      </c>
      <c r="B1004" s="28" t="s">
        <v>2007</v>
      </c>
      <c r="C1004" s="23">
        <v>31.73</v>
      </c>
      <c r="D1004" s="23">
        <v>7.32</v>
      </c>
      <c r="E1004" s="23" t="s">
        <v>4683</v>
      </c>
      <c r="F1004" s="23" t="s">
        <v>4682</v>
      </c>
      <c r="G1004" s="23" t="s">
        <v>4682</v>
      </c>
      <c r="H1004" s="23">
        <v>2</v>
      </c>
      <c r="I1004" s="23" t="s">
        <v>4682</v>
      </c>
      <c r="J1004" s="23" t="s">
        <v>4729</v>
      </c>
      <c r="K1004" s="23" t="s">
        <v>4735</v>
      </c>
      <c r="L1004">
        <v>1973</v>
      </c>
      <c r="M1004" s="15" t="s">
        <v>4705</v>
      </c>
      <c r="N1004">
        <v>16</v>
      </c>
      <c r="O1004">
        <v>0</v>
      </c>
      <c r="P1004" s="21">
        <f>DATEVALUE(N1004&amp;"-"&amp;M1004&amp;"-"&amp;L1004)</f>
        <v>27014</v>
      </c>
      <c r="Q1004" s="22">
        <v>8116.68</v>
      </c>
      <c r="R1004" s="23" t="s">
        <v>4698</v>
      </c>
      <c r="S1004" s="23" t="s">
        <v>4701</v>
      </c>
      <c r="T1004" s="23" t="s">
        <v>4708</v>
      </c>
      <c r="U1004" s="23">
        <f>DATEDIF(P1004, DATE(2023, 6, 8), "Y")</f>
        <v>49</v>
      </c>
      <c r="V1004">
        <f>SUM(C1004:K1004)</f>
        <v>41.05</v>
      </c>
    </row>
    <row r="1005" spans="1:22" ht="15.75">
      <c r="A1005" s="28" t="s">
        <v>2008</v>
      </c>
      <c r="B1005" s="28" t="s">
        <v>2009</v>
      </c>
      <c r="C1005" s="23">
        <v>30.7</v>
      </c>
      <c r="D1005" s="23">
        <v>5.16</v>
      </c>
      <c r="E1005" s="23" t="s">
        <v>4682</v>
      </c>
      <c r="F1005" s="23" t="s">
        <v>4682</v>
      </c>
      <c r="G1005" s="23" t="s">
        <v>4682</v>
      </c>
      <c r="H1005" s="23">
        <v>2</v>
      </c>
      <c r="I1005" s="23" t="s">
        <v>4682</v>
      </c>
      <c r="J1005" s="23" t="s">
        <v>4729</v>
      </c>
      <c r="K1005" s="23" t="s">
        <v>4737</v>
      </c>
      <c r="L1005">
        <v>1973</v>
      </c>
      <c r="M1005" s="15" t="s">
        <v>4706</v>
      </c>
      <c r="N1005">
        <v>30</v>
      </c>
      <c r="O1005">
        <v>0</v>
      </c>
      <c r="P1005" s="21">
        <f>DATEVALUE(N1005&amp;"-"&amp;M1005&amp;"-"&amp;L1005)</f>
        <v>26906</v>
      </c>
      <c r="Q1005" s="22">
        <v>8124.41</v>
      </c>
      <c r="R1005" s="23" t="s">
        <v>4698</v>
      </c>
      <c r="S1005" s="23" t="s">
        <v>4701</v>
      </c>
      <c r="T1005" s="23" t="s">
        <v>4699</v>
      </c>
      <c r="U1005" s="23">
        <f>DATEDIF(P1005, DATE(2023, 6, 8), "Y")</f>
        <v>49</v>
      </c>
      <c r="V1005">
        <f>SUM(C1005:K1005)</f>
        <v>37.86</v>
      </c>
    </row>
    <row r="1006" spans="1:22" ht="15.75">
      <c r="A1006" s="28" t="s">
        <v>2010</v>
      </c>
      <c r="B1006" s="28" t="s">
        <v>2011</v>
      </c>
      <c r="C1006" s="23">
        <v>25.934999999999999</v>
      </c>
      <c r="D1006" s="23">
        <v>5.96</v>
      </c>
      <c r="E1006" s="23" t="s">
        <v>4683</v>
      </c>
      <c r="F1006" s="23" t="s">
        <v>4682</v>
      </c>
      <c r="G1006" s="23" t="s">
        <v>4682</v>
      </c>
      <c r="H1006" s="23">
        <v>2</v>
      </c>
      <c r="I1006" s="23" t="s">
        <v>4682</v>
      </c>
      <c r="J1006" s="23" t="s">
        <v>4730</v>
      </c>
      <c r="K1006" s="23" t="s">
        <v>4736</v>
      </c>
      <c r="L1006">
        <v>1973</v>
      </c>
      <c r="M1006" s="15" t="s">
        <v>4703</v>
      </c>
      <c r="N1006">
        <v>3</v>
      </c>
      <c r="O1006">
        <v>0</v>
      </c>
      <c r="P1006" s="21">
        <f>DATEVALUE(N1006&amp;"-"&amp;M1006&amp;"-"&amp;L1006)</f>
        <v>26910</v>
      </c>
      <c r="Q1006" s="22">
        <v>8125.78</v>
      </c>
      <c r="R1006" s="23" t="s">
        <v>4697</v>
      </c>
      <c r="S1006" s="23" t="s">
        <v>4697</v>
      </c>
      <c r="T1006" s="23" t="s">
        <v>4699</v>
      </c>
      <c r="U1006" s="23">
        <f>DATEDIF(P1006, DATE(2023, 6, 8), "Y")</f>
        <v>49</v>
      </c>
      <c r="V1006">
        <f>SUM(C1006:K1006)</f>
        <v>33.894999999999996</v>
      </c>
    </row>
    <row r="1007" spans="1:22" ht="15.75">
      <c r="A1007" s="28" t="s">
        <v>2012</v>
      </c>
      <c r="B1007" s="28" t="s">
        <v>2013</v>
      </c>
      <c r="C1007" s="23">
        <v>35.9</v>
      </c>
      <c r="D1007" s="23">
        <v>4.8499999999999996</v>
      </c>
      <c r="E1007" s="23" t="s">
        <v>4683</v>
      </c>
      <c r="F1007" s="23" t="s">
        <v>4682</v>
      </c>
      <c r="G1007" s="23" t="s">
        <v>4684</v>
      </c>
      <c r="H1007" s="23">
        <v>1</v>
      </c>
      <c r="I1007" s="23" t="s">
        <v>4682</v>
      </c>
      <c r="J1007" s="23" t="s">
        <v>4729</v>
      </c>
      <c r="K1007" s="23" t="s">
        <v>4737</v>
      </c>
      <c r="L1007">
        <v>1990</v>
      </c>
      <c r="M1007" s="15" t="s">
        <v>4702</v>
      </c>
      <c r="N1007">
        <v>21</v>
      </c>
      <c r="O1007">
        <v>3</v>
      </c>
      <c r="P1007" s="21">
        <f>DATEVALUE(N1007&amp;"-"&amp;M1007&amp;"-"&amp;L1007)</f>
        <v>33045</v>
      </c>
      <c r="Q1007" s="22">
        <v>8157.92</v>
      </c>
      <c r="R1007" s="23" t="s">
        <v>4697</v>
      </c>
      <c r="S1007" s="23" t="s">
        <v>4698</v>
      </c>
      <c r="T1007" s="23" t="s">
        <v>4713</v>
      </c>
      <c r="U1007" s="23">
        <f>DATEDIF(P1007, DATE(2023, 6, 8), "Y")</f>
        <v>32</v>
      </c>
      <c r="V1007">
        <f>SUM(C1007:K1007)</f>
        <v>41.75</v>
      </c>
    </row>
    <row r="1008" spans="1:22" ht="15.75">
      <c r="A1008" s="28" t="s">
        <v>2014</v>
      </c>
      <c r="B1008" s="28" t="s">
        <v>2015</v>
      </c>
      <c r="C1008" s="23">
        <v>26.7</v>
      </c>
      <c r="D1008" s="23">
        <v>5.09</v>
      </c>
      <c r="E1008" s="23" t="s">
        <v>4683</v>
      </c>
      <c r="F1008" s="23" t="s">
        <v>4682</v>
      </c>
      <c r="G1008" s="23" t="s">
        <v>4684</v>
      </c>
      <c r="H1008" s="23">
        <v>1</v>
      </c>
      <c r="I1008" s="23" t="s">
        <v>4682</v>
      </c>
      <c r="J1008" s="23" t="s">
        <v>4730</v>
      </c>
      <c r="K1008" s="23" t="s">
        <v>4737</v>
      </c>
      <c r="L1008">
        <v>1982</v>
      </c>
      <c r="M1008" s="15" t="s">
        <v>4702</v>
      </c>
      <c r="N1008">
        <v>28</v>
      </c>
      <c r="O1008">
        <v>4</v>
      </c>
      <c r="P1008" s="21">
        <f>DATEVALUE(N1008&amp;"-"&amp;M1008&amp;"-"&amp;L1008)</f>
        <v>30130</v>
      </c>
      <c r="Q1008" s="22">
        <v>8162.72</v>
      </c>
      <c r="R1008" s="23" t="s">
        <v>4698</v>
      </c>
      <c r="S1008" s="23" t="s">
        <v>4698</v>
      </c>
      <c r="T1008" s="23" t="s">
        <v>4704</v>
      </c>
      <c r="U1008" s="23">
        <f>DATEDIF(P1008, DATE(2023, 6, 8), "Y")</f>
        <v>40</v>
      </c>
      <c r="V1008">
        <f>SUM(C1008:K1008)</f>
        <v>32.79</v>
      </c>
    </row>
    <row r="1009" spans="1:22" ht="15.75">
      <c r="A1009" s="28" t="s">
        <v>2016</v>
      </c>
      <c r="B1009" s="28" t="s">
        <v>2017</v>
      </c>
      <c r="C1009" s="23">
        <v>33.71</v>
      </c>
      <c r="D1009" s="23">
        <v>4.9400000000000004</v>
      </c>
      <c r="E1009" s="23" t="s">
        <v>4682</v>
      </c>
      <c r="F1009" s="23" t="s">
        <v>4682</v>
      </c>
      <c r="G1009" s="23" t="s">
        <v>4682</v>
      </c>
      <c r="H1009" s="23">
        <v>0</v>
      </c>
      <c r="I1009" s="23" t="s">
        <v>4682</v>
      </c>
      <c r="J1009" s="23" t="s">
        <v>4729</v>
      </c>
      <c r="K1009" s="23" t="s">
        <v>4737</v>
      </c>
      <c r="L1009">
        <v>1963</v>
      </c>
      <c r="M1009" s="15" t="s">
        <v>4700</v>
      </c>
      <c r="N1009">
        <v>5</v>
      </c>
      <c r="O1009">
        <v>0</v>
      </c>
      <c r="P1009" s="21">
        <f>DATEVALUE(N1009&amp;"-"&amp;M1009&amp;"-"&amp;L1009)</f>
        <v>23320</v>
      </c>
      <c r="Q1009" s="22">
        <v>8177.9</v>
      </c>
      <c r="R1009" s="23" t="s">
        <v>4698</v>
      </c>
      <c r="S1009" s="23" t="s">
        <v>4701</v>
      </c>
      <c r="T1009" s="23" t="s">
        <v>4699</v>
      </c>
      <c r="U1009" s="23">
        <f>DATEDIF(P1009, DATE(2023, 6, 8), "Y")</f>
        <v>59</v>
      </c>
      <c r="V1009">
        <f>SUM(C1009:K1009)</f>
        <v>38.65</v>
      </c>
    </row>
    <row r="1010" spans="1:22" ht="15.75">
      <c r="A1010" s="28" t="s">
        <v>2018</v>
      </c>
      <c r="B1010" s="28" t="s">
        <v>2019</v>
      </c>
      <c r="C1010" s="23">
        <v>41.91</v>
      </c>
      <c r="D1010" s="23">
        <v>4.92</v>
      </c>
      <c r="E1010" s="23" t="s">
        <v>4683</v>
      </c>
      <c r="F1010" s="23" t="s">
        <v>4682</v>
      </c>
      <c r="G1010" s="23" t="s">
        <v>4682</v>
      </c>
      <c r="H1010" s="23">
        <v>2</v>
      </c>
      <c r="I1010" s="23" t="s">
        <v>4682</v>
      </c>
      <c r="J1010" s="23" t="s">
        <v>4729</v>
      </c>
      <c r="K1010" s="23" t="s">
        <v>4737</v>
      </c>
      <c r="L1010">
        <v>1983</v>
      </c>
      <c r="M1010" s="15" t="s">
        <v>4702</v>
      </c>
      <c r="N1010">
        <v>8</v>
      </c>
      <c r="O1010">
        <v>3</v>
      </c>
      <c r="P1010" s="21">
        <f>DATEVALUE(N1010&amp;"-"&amp;M1010&amp;"-"&amp;L1010)</f>
        <v>30475</v>
      </c>
      <c r="Q1010" s="22">
        <v>8179.51</v>
      </c>
      <c r="R1010" s="23" t="s">
        <v>4697</v>
      </c>
      <c r="S1010" s="23" t="s">
        <v>4697</v>
      </c>
      <c r="T1010" s="23" t="s">
        <v>4719</v>
      </c>
      <c r="U1010" s="23">
        <f>DATEDIF(P1010, DATE(2023, 6, 8), "Y")</f>
        <v>40</v>
      </c>
      <c r="V1010">
        <f>SUM(C1010:K1010)</f>
        <v>48.83</v>
      </c>
    </row>
    <row r="1011" spans="1:22" ht="15.75">
      <c r="A1011" s="28" t="s">
        <v>2020</v>
      </c>
      <c r="B1011" s="28" t="s">
        <v>2021</v>
      </c>
      <c r="C1011" s="23">
        <v>39.82</v>
      </c>
      <c r="D1011" s="23">
        <v>6.05</v>
      </c>
      <c r="E1011" s="23" t="s">
        <v>4683</v>
      </c>
      <c r="F1011" s="23" t="s">
        <v>4682</v>
      </c>
      <c r="G1011" s="23" t="s">
        <v>4682</v>
      </c>
      <c r="H1011" s="23">
        <v>2</v>
      </c>
      <c r="I1011" s="23" t="s">
        <v>4682</v>
      </c>
      <c r="J1011" s="23" t="s">
        <v>4729</v>
      </c>
      <c r="K1011" s="23" t="s">
        <v>4736</v>
      </c>
      <c r="L1011">
        <v>1997</v>
      </c>
      <c r="M1011" s="15" t="s">
        <v>4707</v>
      </c>
      <c r="N1011">
        <v>21</v>
      </c>
      <c r="O1011">
        <v>0</v>
      </c>
      <c r="P1011" s="21">
        <f>DATEVALUE(N1011&amp;"-"&amp;M1011&amp;"-"&amp;L1011)</f>
        <v>35724</v>
      </c>
      <c r="Q1011" s="22">
        <v>8182.89</v>
      </c>
      <c r="R1011" s="23" t="s">
        <v>4697</v>
      </c>
      <c r="S1011" s="23" t="s">
        <v>4701</v>
      </c>
      <c r="T1011" s="23" t="s">
        <v>4720</v>
      </c>
      <c r="U1011" s="23">
        <f>DATEDIF(P1011, DATE(2023, 6, 8), "Y")</f>
        <v>25</v>
      </c>
      <c r="V1011">
        <f>SUM(C1011:K1011)</f>
        <v>47.87</v>
      </c>
    </row>
    <row r="1012" spans="1:22" ht="15.75">
      <c r="A1012" s="28" t="s">
        <v>2022</v>
      </c>
      <c r="B1012" s="28" t="s">
        <v>2023</v>
      </c>
      <c r="C1012" s="23">
        <v>28.12</v>
      </c>
      <c r="D1012" s="23">
        <v>4.67</v>
      </c>
      <c r="E1012" s="23" t="s">
        <v>4682</v>
      </c>
      <c r="F1012" s="23" t="s">
        <v>4682</v>
      </c>
      <c r="G1012" s="23" t="s">
        <v>4682</v>
      </c>
      <c r="H1012" s="23">
        <v>2</v>
      </c>
      <c r="I1012" s="23" t="s">
        <v>4682</v>
      </c>
      <c r="J1012" s="23" t="s">
        <v>4730</v>
      </c>
      <c r="K1012" s="23" t="s">
        <v>4737</v>
      </c>
      <c r="L1012">
        <v>1962</v>
      </c>
      <c r="M1012" s="15" t="s">
        <v>4700</v>
      </c>
      <c r="N1012">
        <v>23</v>
      </c>
      <c r="O1012">
        <v>0</v>
      </c>
      <c r="P1012" s="21">
        <f>DATEVALUE(N1012&amp;"-"&amp;M1012&amp;"-"&amp;L1012)</f>
        <v>22973</v>
      </c>
      <c r="Q1012" s="22">
        <v>8188.12</v>
      </c>
      <c r="R1012" s="23" t="s">
        <v>4698</v>
      </c>
      <c r="S1012" s="23" t="s">
        <v>4698</v>
      </c>
      <c r="T1012" s="23" t="s">
        <v>4699</v>
      </c>
      <c r="U1012" s="23">
        <f>DATEDIF(P1012, DATE(2023, 6, 8), "Y")</f>
        <v>60</v>
      </c>
      <c r="V1012">
        <f>SUM(C1012:K1012)</f>
        <v>34.79</v>
      </c>
    </row>
    <row r="1013" spans="1:22" ht="15.75">
      <c r="A1013" s="28" t="s">
        <v>2024</v>
      </c>
      <c r="B1013" s="28" t="s">
        <v>2025</v>
      </c>
      <c r="C1013" s="23">
        <v>26.98</v>
      </c>
      <c r="D1013" s="23">
        <v>9.81</v>
      </c>
      <c r="E1013" s="23" t="s">
        <v>4683</v>
      </c>
      <c r="F1013" s="23" t="s">
        <v>4682</v>
      </c>
      <c r="G1013" s="23" t="s">
        <v>4682</v>
      </c>
      <c r="H1013" s="23">
        <v>0</v>
      </c>
      <c r="I1013" s="23" t="s">
        <v>4682</v>
      </c>
      <c r="J1013" s="23" t="s">
        <v>4730</v>
      </c>
      <c r="K1013" s="23" t="s">
        <v>4735</v>
      </c>
      <c r="L1013">
        <v>1978</v>
      </c>
      <c r="M1013" s="15" t="s">
        <v>4707</v>
      </c>
      <c r="N1013">
        <v>24</v>
      </c>
      <c r="O1013">
        <v>2</v>
      </c>
      <c r="P1013" s="21">
        <f>DATEVALUE(N1013&amp;"-"&amp;M1013&amp;"-"&amp;L1013)</f>
        <v>28787</v>
      </c>
      <c r="Q1013" s="22">
        <v>8211.1</v>
      </c>
      <c r="R1013" s="23" t="s">
        <v>4697</v>
      </c>
      <c r="S1013" s="23" t="s">
        <v>4698</v>
      </c>
      <c r="T1013" s="23" t="s">
        <v>4699</v>
      </c>
      <c r="U1013" s="23">
        <f>DATEDIF(P1013, DATE(2023, 6, 8), "Y")</f>
        <v>44</v>
      </c>
      <c r="V1013">
        <f>SUM(C1013:K1013)</f>
        <v>36.79</v>
      </c>
    </row>
    <row r="1014" spans="1:22" ht="15.75">
      <c r="A1014" s="28" t="s">
        <v>2026</v>
      </c>
      <c r="B1014" s="28" t="s">
        <v>2027</v>
      </c>
      <c r="C1014" s="23">
        <v>27.2</v>
      </c>
      <c r="D1014" s="23">
        <v>6.06</v>
      </c>
      <c r="E1014" s="23" t="s">
        <v>4683</v>
      </c>
      <c r="F1014" s="23" t="s">
        <v>4682</v>
      </c>
      <c r="G1014" s="23" t="s">
        <v>4682</v>
      </c>
      <c r="H1014" s="23">
        <v>2</v>
      </c>
      <c r="I1014" s="23" t="s">
        <v>4682</v>
      </c>
      <c r="J1014" s="23" t="s">
        <v>4730</v>
      </c>
      <c r="K1014" s="23" t="s">
        <v>4736</v>
      </c>
      <c r="L1014">
        <v>1978</v>
      </c>
      <c r="M1014" s="15" t="s">
        <v>4702</v>
      </c>
      <c r="N1014">
        <v>30</v>
      </c>
      <c r="O1014">
        <v>2</v>
      </c>
      <c r="P1014" s="21">
        <f>DATEVALUE(N1014&amp;"-"&amp;M1014&amp;"-"&amp;L1014)</f>
        <v>28671</v>
      </c>
      <c r="Q1014" s="22">
        <v>8219.2000000000007</v>
      </c>
      <c r="R1014" s="23" t="s">
        <v>4697</v>
      </c>
      <c r="S1014" s="23" t="s">
        <v>4697</v>
      </c>
      <c r="T1014" s="23" t="s">
        <v>4699</v>
      </c>
      <c r="U1014" s="23">
        <f>DATEDIF(P1014, DATE(2023, 6, 8), "Y")</f>
        <v>44</v>
      </c>
      <c r="V1014">
        <f>SUM(C1014:K1014)</f>
        <v>35.26</v>
      </c>
    </row>
    <row r="1015" spans="1:22" ht="15.75">
      <c r="A1015" s="28" t="s">
        <v>2028</v>
      </c>
      <c r="B1015" s="28" t="s">
        <v>2029</v>
      </c>
      <c r="C1015" s="23">
        <v>25.3</v>
      </c>
      <c r="D1015" s="23">
        <v>5.19</v>
      </c>
      <c r="E1015" s="23" t="s">
        <v>4683</v>
      </c>
      <c r="F1015" s="23" t="s">
        <v>4682</v>
      </c>
      <c r="G1015" s="23" t="s">
        <v>4682</v>
      </c>
      <c r="H1015" s="23">
        <v>2</v>
      </c>
      <c r="I1015" s="23" t="s">
        <v>4682</v>
      </c>
      <c r="J1015" s="23" t="s">
        <v>4730</v>
      </c>
      <c r="K1015" s="23" t="s">
        <v>4737</v>
      </c>
      <c r="L1015">
        <v>1976</v>
      </c>
      <c r="M1015" s="15" t="s">
        <v>4703</v>
      </c>
      <c r="N1015">
        <v>3</v>
      </c>
      <c r="O1015">
        <v>1</v>
      </c>
      <c r="P1015" s="21">
        <f>DATEVALUE(N1015&amp;"-"&amp;M1015&amp;"-"&amp;L1015)</f>
        <v>28006</v>
      </c>
      <c r="Q1015" s="22">
        <v>8232.64</v>
      </c>
      <c r="R1015" s="23" t="s">
        <v>4697</v>
      </c>
      <c r="S1015" s="23" t="s">
        <v>4698</v>
      </c>
      <c r="T1015" s="23" t="s">
        <v>4699</v>
      </c>
      <c r="U1015" s="23">
        <f>DATEDIF(P1015, DATE(2023, 6, 8), "Y")</f>
        <v>46</v>
      </c>
      <c r="V1015">
        <f>SUM(C1015:K1015)</f>
        <v>32.49</v>
      </c>
    </row>
    <row r="1016" spans="1:22" ht="15.75">
      <c r="A1016" s="28" t="s">
        <v>2030</v>
      </c>
      <c r="B1016" s="28" t="s">
        <v>2031</v>
      </c>
      <c r="C1016" s="23">
        <v>30.25</v>
      </c>
      <c r="D1016" s="23">
        <v>10.16</v>
      </c>
      <c r="E1016" s="23" t="s">
        <v>4682</v>
      </c>
      <c r="F1016" s="23" t="s">
        <v>4682</v>
      </c>
      <c r="G1016" s="23" t="s">
        <v>4682</v>
      </c>
      <c r="H1016" s="23">
        <v>0</v>
      </c>
      <c r="I1016" s="23" t="s">
        <v>4682</v>
      </c>
      <c r="J1016" s="23" t="s">
        <v>4729</v>
      </c>
      <c r="K1016" s="23" t="s">
        <v>4735</v>
      </c>
      <c r="L1016">
        <v>1976</v>
      </c>
      <c r="M1016" s="15" t="s">
        <v>4702</v>
      </c>
      <c r="N1016">
        <v>30</v>
      </c>
      <c r="O1016">
        <v>1</v>
      </c>
      <c r="P1016" s="21">
        <f>DATEVALUE(N1016&amp;"-"&amp;M1016&amp;"-"&amp;L1016)</f>
        <v>27941</v>
      </c>
      <c r="Q1016" s="22">
        <v>8233.1</v>
      </c>
      <c r="R1016" s="23" t="s">
        <v>4697</v>
      </c>
      <c r="S1016" s="23" t="s">
        <v>4697</v>
      </c>
      <c r="T1016" s="23" t="s">
        <v>4699</v>
      </c>
      <c r="U1016" s="23">
        <f>DATEDIF(P1016, DATE(2023, 6, 8), "Y")</f>
        <v>46</v>
      </c>
      <c r="V1016">
        <f>SUM(C1016:K1016)</f>
        <v>40.409999999999997</v>
      </c>
    </row>
    <row r="1017" spans="1:22" ht="15.75">
      <c r="A1017" s="28" t="s">
        <v>2032</v>
      </c>
      <c r="B1017" s="28" t="s">
        <v>2033</v>
      </c>
      <c r="C1017" s="23">
        <v>54</v>
      </c>
      <c r="D1017" s="23">
        <v>4.68</v>
      </c>
      <c r="E1017" s="23" t="s">
        <v>4683</v>
      </c>
      <c r="F1017" s="23" t="s">
        <v>4683</v>
      </c>
      <c r="G1017" s="23" t="s">
        <v>4682</v>
      </c>
      <c r="H1017" s="23">
        <v>2</v>
      </c>
      <c r="I1017" s="23" t="s">
        <v>4682</v>
      </c>
      <c r="J1017" s="23" t="s">
        <v>4729</v>
      </c>
      <c r="K1017" s="23" t="s">
        <v>4737</v>
      </c>
      <c r="L1017">
        <v>1976</v>
      </c>
      <c r="M1017" s="15" t="s">
        <v>4703</v>
      </c>
      <c r="N1017">
        <v>2</v>
      </c>
      <c r="O1017">
        <v>1</v>
      </c>
      <c r="P1017" s="21">
        <f>DATEVALUE(N1017&amp;"-"&amp;M1017&amp;"-"&amp;L1017)</f>
        <v>28005</v>
      </c>
      <c r="Q1017" s="22">
        <v>8240.59</v>
      </c>
      <c r="R1017" s="23" t="s">
        <v>4697</v>
      </c>
      <c r="S1017" s="23" t="s">
        <v>4697</v>
      </c>
      <c r="T1017" s="23" t="s">
        <v>4699</v>
      </c>
      <c r="U1017" s="23">
        <f>DATEDIF(P1017, DATE(2023, 6, 8), "Y")</f>
        <v>46</v>
      </c>
      <c r="V1017">
        <f>SUM(C1017:K1017)</f>
        <v>60.68</v>
      </c>
    </row>
    <row r="1018" spans="1:22" ht="15.75">
      <c r="A1018" s="28" t="s">
        <v>2034</v>
      </c>
      <c r="B1018" s="28" t="s">
        <v>2035</v>
      </c>
      <c r="C1018" s="23">
        <v>51.86</v>
      </c>
      <c r="D1018" s="23">
        <v>5.32</v>
      </c>
      <c r="E1018" s="23" t="s">
        <v>4683</v>
      </c>
      <c r="F1018" s="23" t="s">
        <v>4682</v>
      </c>
      <c r="G1018" s="23" t="s">
        <v>4682</v>
      </c>
      <c r="H1018" s="23">
        <v>0</v>
      </c>
      <c r="I1018" s="23" t="s">
        <v>4682</v>
      </c>
      <c r="J1018" s="23" t="s">
        <v>4729</v>
      </c>
      <c r="K1018" s="23" t="s">
        <v>4737</v>
      </c>
      <c r="L1018">
        <v>1982</v>
      </c>
      <c r="M1018" s="15" t="s">
        <v>4703</v>
      </c>
      <c r="N1018">
        <v>27</v>
      </c>
      <c r="O1018">
        <v>3</v>
      </c>
      <c r="P1018" s="21">
        <f>DATEVALUE(N1018&amp;"-"&amp;M1018&amp;"-"&amp;L1018)</f>
        <v>30221</v>
      </c>
      <c r="Q1018" s="22">
        <v>8252.2800000000007</v>
      </c>
      <c r="R1018" s="23" t="s">
        <v>4697</v>
      </c>
      <c r="S1018" s="23" t="s">
        <v>4697</v>
      </c>
      <c r="T1018" s="23" t="s">
        <v>4714</v>
      </c>
      <c r="U1018" s="23">
        <f>DATEDIF(P1018, DATE(2023, 6, 8), "Y")</f>
        <v>40</v>
      </c>
      <c r="V1018">
        <f>SUM(C1018:K1018)</f>
        <v>57.18</v>
      </c>
    </row>
    <row r="1019" spans="1:22" ht="15.75">
      <c r="A1019" s="28" t="s">
        <v>2036</v>
      </c>
      <c r="B1019" s="28" t="s">
        <v>2037</v>
      </c>
      <c r="C1019" s="23">
        <v>31.39</v>
      </c>
      <c r="D1019" s="23">
        <v>6.99</v>
      </c>
      <c r="E1019" s="23" t="s">
        <v>4682</v>
      </c>
      <c r="F1019" s="23" t="s">
        <v>4682</v>
      </c>
      <c r="G1019" s="23" t="s">
        <v>4682</v>
      </c>
      <c r="H1019" s="23">
        <v>0</v>
      </c>
      <c r="I1019" s="23" t="s">
        <v>4682</v>
      </c>
      <c r="J1019" s="23" t="s">
        <v>4729</v>
      </c>
      <c r="K1019" s="23" t="s">
        <v>4735</v>
      </c>
      <c r="L1019">
        <v>1964</v>
      </c>
      <c r="M1019" s="15" t="s">
        <v>4703</v>
      </c>
      <c r="N1019">
        <v>5</v>
      </c>
      <c r="O1019">
        <v>0</v>
      </c>
      <c r="P1019" s="21">
        <f>DATEVALUE(N1019&amp;"-"&amp;M1019&amp;"-"&amp;L1019)</f>
        <v>23625</v>
      </c>
      <c r="Q1019" s="22">
        <v>8268</v>
      </c>
      <c r="R1019" s="23" t="s">
        <v>4698</v>
      </c>
      <c r="S1019" s="23" t="s">
        <v>4698</v>
      </c>
      <c r="T1019" s="23" t="s">
        <v>4699</v>
      </c>
      <c r="U1019" s="23">
        <f>DATEDIF(P1019, DATE(2023, 6, 8), "Y")</f>
        <v>58</v>
      </c>
      <c r="V1019">
        <f>SUM(C1019:K1019)</f>
        <v>38.380000000000003</v>
      </c>
    </row>
    <row r="1020" spans="1:22" ht="15.75">
      <c r="A1020" s="28" t="s">
        <v>2038</v>
      </c>
      <c r="B1020" s="28" t="s">
        <v>2039</v>
      </c>
      <c r="C1020" s="23">
        <v>39.97</v>
      </c>
      <c r="D1020" s="23">
        <v>5.55</v>
      </c>
      <c r="E1020" s="23" t="s">
        <v>4682</v>
      </c>
      <c r="F1020" s="23" t="s">
        <v>4682</v>
      </c>
      <c r="G1020" s="23" t="s">
        <v>4682</v>
      </c>
      <c r="H1020" s="23">
        <v>0</v>
      </c>
      <c r="I1020" s="23" t="s">
        <v>4682</v>
      </c>
      <c r="J1020" s="23" t="s">
        <v>4729</v>
      </c>
      <c r="K1020" s="23" t="s">
        <v>4737</v>
      </c>
      <c r="L1020">
        <v>1974</v>
      </c>
      <c r="M1020" s="15" t="s">
        <v>4706</v>
      </c>
      <c r="N1020">
        <v>5</v>
      </c>
      <c r="O1020">
        <v>0</v>
      </c>
      <c r="P1020" s="21">
        <f>DATEVALUE(N1020&amp;"-"&amp;M1020&amp;"-"&amp;L1020)</f>
        <v>27246</v>
      </c>
      <c r="Q1020" s="22">
        <v>8269.0400000000009</v>
      </c>
      <c r="R1020" s="23" t="s">
        <v>4697</v>
      </c>
      <c r="S1020" s="23" t="s">
        <v>4701</v>
      </c>
      <c r="T1020" s="23" t="s">
        <v>4708</v>
      </c>
      <c r="U1020" s="23">
        <f>DATEDIF(P1020, DATE(2023, 6, 8), "Y")</f>
        <v>48</v>
      </c>
      <c r="V1020">
        <f>SUM(C1020:K1020)</f>
        <v>45.519999999999996</v>
      </c>
    </row>
    <row r="1021" spans="1:22" ht="15.75">
      <c r="A1021" s="28" t="s">
        <v>2040</v>
      </c>
      <c r="B1021" s="28" t="s">
        <v>2041</v>
      </c>
      <c r="C1021" s="23">
        <v>41.23</v>
      </c>
      <c r="D1021" s="23">
        <v>6.94</v>
      </c>
      <c r="E1021" s="23" t="s">
        <v>4682</v>
      </c>
      <c r="F1021" s="23" t="s">
        <v>4682</v>
      </c>
      <c r="G1021" s="23" t="s">
        <v>4682</v>
      </c>
      <c r="H1021" s="23">
        <v>0</v>
      </c>
      <c r="I1021" s="23" t="s">
        <v>4682</v>
      </c>
      <c r="J1021" s="23" t="s">
        <v>4729</v>
      </c>
      <c r="K1021" s="23" t="s">
        <v>4735</v>
      </c>
      <c r="L1021">
        <v>2000</v>
      </c>
      <c r="M1021" s="15" t="s">
        <v>4700</v>
      </c>
      <c r="N1021">
        <v>28</v>
      </c>
      <c r="O1021">
        <v>0</v>
      </c>
      <c r="P1021" s="21">
        <f>DATEVALUE(N1021&amp;"-"&amp;M1021&amp;"-"&amp;L1021)</f>
        <v>36858</v>
      </c>
      <c r="Q1021" s="22">
        <v>8271.4599999999991</v>
      </c>
      <c r="R1021" s="23" t="s">
        <v>4697</v>
      </c>
      <c r="S1021" s="23" t="s">
        <v>4701</v>
      </c>
      <c r="T1021" s="23" t="s">
        <v>4715</v>
      </c>
      <c r="U1021" s="23">
        <f>DATEDIF(P1021, DATE(2023, 6, 8), "Y")</f>
        <v>22</v>
      </c>
      <c r="V1021">
        <f>SUM(C1021:K1021)</f>
        <v>48.169999999999995</v>
      </c>
    </row>
    <row r="1022" spans="1:22" ht="15.75">
      <c r="A1022" s="28" t="s">
        <v>2042</v>
      </c>
      <c r="B1022" s="28" t="s">
        <v>2043</v>
      </c>
      <c r="C1022" s="23">
        <v>49.45</v>
      </c>
      <c r="D1022" s="23">
        <v>4.2</v>
      </c>
      <c r="E1022" s="23" t="s">
        <v>4683</v>
      </c>
      <c r="F1022" s="23" t="s">
        <v>4682</v>
      </c>
      <c r="G1022" s="23" t="s">
        <v>4682</v>
      </c>
      <c r="H1022" s="23">
        <v>0</v>
      </c>
      <c r="I1022" s="23" t="s">
        <v>4682</v>
      </c>
      <c r="J1022" s="23" t="s">
        <v>4729</v>
      </c>
      <c r="K1022" s="23" t="s">
        <v>4737</v>
      </c>
      <c r="L1022">
        <v>1974</v>
      </c>
      <c r="M1022" s="15" t="s">
        <v>4703</v>
      </c>
      <c r="N1022">
        <v>26</v>
      </c>
      <c r="O1022">
        <v>0</v>
      </c>
      <c r="P1022" s="21">
        <f>DATEVALUE(N1022&amp;"-"&amp;M1022&amp;"-"&amp;L1022)</f>
        <v>27298</v>
      </c>
      <c r="Q1022" s="22">
        <v>8277.52</v>
      </c>
      <c r="R1022" s="23" t="s">
        <v>4697</v>
      </c>
      <c r="S1022" s="23" t="s">
        <v>4697</v>
      </c>
      <c r="T1022" s="23" t="s">
        <v>4708</v>
      </c>
      <c r="U1022" s="23">
        <f>DATEDIF(P1022, DATE(2023, 6, 8), "Y")</f>
        <v>48</v>
      </c>
      <c r="V1022">
        <f>SUM(C1022:K1022)</f>
        <v>53.650000000000006</v>
      </c>
    </row>
    <row r="1023" spans="1:22" ht="15.75">
      <c r="A1023" s="28" t="s">
        <v>2044</v>
      </c>
      <c r="B1023" s="28" t="s">
        <v>2045</v>
      </c>
      <c r="C1023" s="23">
        <v>41.04</v>
      </c>
      <c r="D1023" s="23">
        <v>5.59</v>
      </c>
      <c r="E1023" s="23" t="s">
        <v>4682</v>
      </c>
      <c r="F1023" s="23" t="s">
        <v>4682</v>
      </c>
      <c r="G1023" s="23" t="s">
        <v>4682</v>
      </c>
      <c r="H1023" s="23">
        <v>0</v>
      </c>
      <c r="I1023" s="23" t="s">
        <v>4682</v>
      </c>
      <c r="J1023" s="23" t="s">
        <v>4729</v>
      </c>
      <c r="K1023" s="23" t="s">
        <v>4737</v>
      </c>
      <c r="L1023">
        <v>1974</v>
      </c>
      <c r="M1023" s="15" t="s">
        <v>4705</v>
      </c>
      <c r="N1023">
        <v>22</v>
      </c>
      <c r="O1023">
        <v>0</v>
      </c>
      <c r="P1023" s="21">
        <f>DATEVALUE(N1023&amp;"-"&amp;M1023&amp;"-"&amp;L1023)</f>
        <v>27385</v>
      </c>
      <c r="Q1023" s="22">
        <v>8280.6200000000008</v>
      </c>
      <c r="R1023" s="23" t="s">
        <v>4697</v>
      </c>
      <c r="S1023" s="23" t="s">
        <v>4697</v>
      </c>
      <c r="T1023" s="23" t="s">
        <v>4699</v>
      </c>
      <c r="U1023" s="23">
        <f>DATEDIF(P1023, DATE(2023, 6, 8), "Y")</f>
        <v>48</v>
      </c>
      <c r="V1023">
        <f>SUM(C1023:K1023)</f>
        <v>46.629999999999995</v>
      </c>
    </row>
    <row r="1024" spans="1:22" ht="15.75">
      <c r="A1024" s="28" t="s">
        <v>2046</v>
      </c>
      <c r="B1024" s="28" t="s">
        <v>2047</v>
      </c>
      <c r="C1024" s="23">
        <v>27.93</v>
      </c>
      <c r="D1024" s="23">
        <v>9.9600000000000009</v>
      </c>
      <c r="E1024" s="23" t="s">
        <v>4682</v>
      </c>
      <c r="F1024" s="23" t="s">
        <v>4682</v>
      </c>
      <c r="G1024" s="23" t="s">
        <v>4682</v>
      </c>
      <c r="H1024" s="23">
        <v>0</v>
      </c>
      <c r="I1024" s="23" t="s">
        <v>4682</v>
      </c>
      <c r="J1024" s="23" t="s">
        <v>4730</v>
      </c>
      <c r="K1024" s="23" t="s">
        <v>4735</v>
      </c>
      <c r="L1024">
        <v>1974</v>
      </c>
      <c r="M1024" s="15" t="s">
        <v>4702</v>
      </c>
      <c r="N1024">
        <v>6</v>
      </c>
      <c r="O1024">
        <v>0</v>
      </c>
      <c r="P1024" s="21">
        <f>DATEVALUE(N1024&amp;"-"&amp;M1024&amp;"-"&amp;L1024)</f>
        <v>27186</v>
      </c>
      <c r="Q1024" s="22">
        <v>8283.68</v>
      </c>
      <c r="R1024" s="23" t="s">
        <v>4697</v>
      </c>
      <c r="S1024" s="23" t="s">
        <v>4698</v>
      </c>
      <c r="T1024" s="23" t="s">
        <v>4699</v>
      </c>
      <c r="U1024" s="23">
        <f>DATEDIF(P1024, DATE(2023, 6, 8), "Y")</f>
        <v>49</v>
      </c>
      <c r="V1024">
        <f>SUM(C1024:K1024)</f>
        <v>37.89</v>
      </c>
    </row>
    <row r="1025" spans="1:22" ht="15.75">
      <c r="A1025" s="28" t="s">
        <v>2048</v>
      </c>
      <c r="B1025" s="28" t="s">
        <v>2049</v>
      </c>
      <c r="C1025" s="23">
        <v>21.01</v>
      </c>
      <c r="D1025" s="23">
        <v>7.37</v>
      </c>
      <c r="E1025" s="23" t="s">
        <v>4682</v>
      </c>
      <c r="F1025" s="23" t="s">
        <v>4682</v>
      </c>
      <c r="G1025" s="23" t="s">
        <v>4682</v>
      </c>
      <c r="H1025" s="23">
        <v>0</v>
      </c>
      <c r="I1025" s="23" t="s">
        <v>4682</v>
      </c>
      <c r="J1025" s="23" t="s">
        <v>4728</v>
      </c>
      <c r="K1025" s="23" t="s">
        <v>4735</v>
      </c>
      <c r="L1025">
        <v>1978</v>
      </c>
      <c r="M1025" s="15" t="s">
        <v>4702</v>
      </c>
      <c r="N1025">
        <v>26</v>
      </c>
      <c r="O1025">
        <v>2</v>
      </c>
      <c r="P1025" s="21">
        <f>DATEVALUE(N1025&amp;"-"&amp;M1025&amp;"-"&amp;L1025)</f>
        <v>28667</v>
      </c>
      <c r="Q1025" s="22">
        <v>8302.5400000000009</v>
      </c>
      <c r="R1025" s="23" t="s">
        <v>4698</v>
      </c>
      <c r="S1025" s="23" t="s">
        <v>4698</v>
      </c>
      <c r="T1025" s="23" t="s">
        <v>4711</v>
      </c>
      <c r="U1025" s="23">
        <f>DATEDIF(P1025, DATE(2023, 6, 8), "Y")</f>
        <v>44</v>
      </c>
      <c r="V1025">
        <f>SUM(C1025:K1025)</f>
        <v>28.380000000000003</v>
      </c>
    </row>
    <row r="1026" spans="1:22" ht="15.75">
      <c r="A1026" s="28" t="s">
        <v>2050</v>
      </c>
      <c r="B1026" s="28" t="s">
        <v>2051</v>
      </c>
      <c r="C1026" s="23">
        <v>52.37</v>
      </c>
      <c r="D1026" s="23">
        <v>5.0599999999999996</v>
      </c>
      <c r="E1026" s="23" t="s">
        <v>4683</v>
      </c>
      <c r="F1026" s="23" t="s">
        <v>4683</v>
      </c>
      <c r="G1026" s="23" t="s">
        <v>4682</v>
      </c>
      <c r="H1026" s="23">
        <v>2</v>
      </c>
      <c r="I1026" s="23" t="s">
        <v>4682</v>
      </c>
      <c r="J1026" s="23" t="s">
        <v>4729</v>
      </c>
      <c r="K1026" s="23" t="s">
        <v>4737</v>
      </c>
      <c r="L1026">
        <v>1979</v>
      </c>
      <c r="M1026" s="15" t="s">
        <v>4706</v>
      </c>
      <c r="N1026">
        <v>7</v>
      </c>
      <c r="O1026">
        <v>2</v>
      </c>
      <c r="P1026" s="21">
        <f>DATEVALUE(N1026&amp;"-"&amp;M1026&amp;"-"&amp;L1026)</f>
        <v>29074</v>
      </c>
      <c r="Q1026" s="22">
        <v>8310.84</v>
      </c>
      <c r="R1026" s="23" t="s">
        <v>4697</v>
      </c>
      <c r="S1026" s="23" t="s">
        <v>4697</v>
      </c>
      <c r="T1026" s="23" t="s">
        <v>4704</v>
      </c>
      <c r="U1026" s="23">
        <f>DATEDIF(P1026, DATE(2023, 6, 8), "Y")</f>
        <v>43</v>
      </c>
      <c r="V1026">
        <f>SUM(C1026:K1026)</f>
        <v>59.43</v>
      </c>
    </row>
    <row r="1027" spans="1:22" ht="15.75">
      <c r="A1027" s="28" t="s">
        <v>2052</v>
      </c>
      <c r="B1027" s="28" t="s">
        <v>2053</v>
      </c>
      <c r="C1027" s="23">
        <v>40.369999999999997</v>
      </c>
      <c r="D1027" s="23">
        <v>8.2100000000000009</v>
      </c>
      <c r="E1027" s="23" t="s">
        <v>4682</v>
      </c>
      <c r="F1027" s="23" t="s">
        <v>4682</v>
      </c>
      <c r="G1027" s="23" t="s">
        <v>4682</v>
      </c>
      <c r="H1027" s="23">
        <v>0</v>
      </c>
      <c r="I1027" s="23" t="s">
        <v>4682</v>
      </c>
      <c r="J1027" s="23" t="s">
        <v>4729</v>
      </c>
      <c r="K1027" s="23" t="s">
        <v>4735</v>
      </c>
      <c r="L1027">
        <v>1993</v>
      </c>
      <c r="M1027" s="15" t="s">
        <v>4702</v>
      </c>
      <c r="N1027">
        <v>22</v>
      </c>
      <c r="O1027">
        <v>0</v>
      </c>
      <c r="P1027" s="21">
        <f>DATEVALUE(N1027&amp;"-"&amp;M1027&amp;"-"&amp;L1027)</f>
        <v>34142</v>
      </c>
      <c r="Q1027" s="22">
        <v>8314.65</v>
      </c>
      <c r="R1027" s="23" t="s">
        <v>4697</v>
      </c>
      <c r="S1027" s="23" t="s">
        <v>4701</v>
      </c>
      <c r="T1027" s="23" t="s">
        <v>4704</v>
      </c>
      <c r="U1027" s="23">
        <f>DATEDIF(P1027, DATE(2023, 6, 8), "Y")</f>
        <v>29</v>
      </c>
      <c r="V1027">
        <f>SUM(C1027:K1027)</f>
        <v>48.58</v>
      </c>
    </row>
    <row r="1028" spans="1:22" ht="15.75">
      <c r="A1028" s="28" t="s">
        <v>2054</v>
      </c>
      <c r="B1028" s="28" t="s">
        <v>2055</v>
      </c>
      <c r="C1028" s="23">
        <v>41.47</v>
      </c>
      <c r="D1028" s="23">
        <v>10.34</v>
      </c>
      <c r="E1028" s="23" t="s">
        <v>4682</v>
      </c>
      <c r="F1028" s="23" t="s">
        <v>4682</v>
      </c>
      <c r="G1028" s="23" t="s">
        <v>4682</v>
      </c>
      <c r="H1028" s="23">
        <v>2</v>
      </c>
      <c r="I1028" s="23" t="s">
        <v>4682</v>
      </c>
      <c r="J1028" s="23" t="s">
        <v>4729</v>
      </c>
      <c r="K1028" s="23" t="s">
        <v>4735</v>
      </c>
      <c r="L1028">
        <v>1976</v>
      </c>
      <c r="M1028" s="15" t="s">
        <v>4696</v>
      </c>
      <c r="N1028">
        <v>12</v>
      </c>
      <c r="O1028">
        <v>1</v>
      </c>
      <c r="P1028" s="21">
        <f>DATEVALUE(N1028&amp;"-"&amp;M1028&amp;"-"&amp;L1028)</f>
        <v>27953</v>
      </c>
      <c r="Q1028" s="22">
        <v>8334.4599999999991</v>
      </c>
      <c r="R1028" s="23" t="s">
        <v>4698</v>
      </c>
      <c r="S1028" s="23" t="s">
        <v>4697</v>
      </c>
      <c r="T1028" s="23" t="s">
        <v>4711</v>
      </c>
      <c r="U1028" s="23">
        <f>DATEDIF(P1028, DATE(2023, 6, 8), "Y")</f>
        <v>46</v>
      </c>
      <c r="V1028">
        <f>SUM(C1028:K1028)</f>
        <v>53.81</v>
      </c>
    </row>
    <row r="1029" spans="1:22" ht="15.75">
      <c r="A1029" s="28" t="s">
        <v>2056</v>
      </c>
      <c r="B1029" s="28" t="s">
        <v>2057</v>
      </c>
      <c r="C1029" s="23">
        <v>33.725000000000001</v>
      </c>
      <c r="D1029" s="23">
        <v>5.51</v>
      </c>
      <c r="E1029" s="23" t="s">
        <v>4683</v>
      </c>
      <c r="F1029" s="23" t="s">
        <v>4682</v>
      </c>
      <c r="G1029" s="23" t="s">
        <v>4682</v>
      </c>
      <c r="H1029" s="23">
        <v>2</v>
      </c>
      <c r="I1029" s="23" t="s">
        <v>4682</v>
      </c>
      <c r="J1029" s="23" t="s">
        <v>4729</v>
      </c>
      <c r="K1029" s="23" t="s">
        <v>4737</v>
      </c>
      <c r="L1029">
        <v>1976</v>
      </c>
      <c r="M1029" s="15" t="s">
        <v>4696</v>
      </c>
      <c r="N1029">
        <v>20</v>
      </c>
      <c r="O1029">
        <v>1</v>
      </c>
      <c r="P1029" s="21">
        <f>DATEVALUE(N1029&amp;"-"&amp;M1029&amp;"-"&amp;L1029)</f>
        <v>27961</v>
      </c>
      <c r="Q1029" s="22">
        <v>8334.59</v>
      </c>
      <c r="R1029" s="23" t="s">
        <v>4698</v>
      </c>
      <c r="S1029" s="23" t="s">
        <v>4697</v>
      </c>
      <c r="T1029" s="23" t="s">
        <v>4711</v>
      </c>
      <c r="U1029" s="23">
        <f>DATEDIF(P1029, DATE(2023, 6, 8), "Y")</f>
        <v>46</v>
      </c>
      <c r="V1029">
        <f>SUM(C1029:K1029)</f>
        <v>41.234999999999999</v>
      </c>
    </row>
    <row r="1030" spans="1:22" ht="15.75">
      <c r="A1030" s="28" t="s">
        <v>2058</v>
      </c>
      <c r="B1030" s="28" t="s">
        <v>2059</v>
      </c>
      <c r="C1030" s="23">
        <v>28.1</v>
      </c>
      <c r="D1030" s="23">
        <v>11.2</v>
      </c>
      <c r="E1030" s="23" t="s">
        <v>4682</v>
      </c>
      <c r="F1030" s="23" t="s">
        <v>4682</v>
      </c>
      <c r="G1030" s="23" t="s">
        <v>4682</v>
      </c>
      <c r="H1030" s="23">
        <v>0</v>
      </c>
      <c r="I1030" s="23" t="s">
        <v>4682</v>
      </c>
      <c r="J1030" s="23" t="s">
        <v>4730</v>
      </c>
      <c r="K1030" s="23" t="s">
        <v>4735</v>
      </c>
      <c r="L1030">
        <v>1976</v>
      </c>
      <c r="M1030" s="15" t="s">
        <v>4696</v>
      </c>
      <c r="N1030">
        <v>7</v>
      </c>
      <c r="O1030">
        <v>1</v>
      </c>
      <c r="P1030" s="21">
        <f>DATEVALUE(N1030&amp;"-"&amp;M1030&amp;"-"&amp;L1030)</f>
        <v>27948</v>
      </c>
      <c r="Q1030" s="22">
        <v>8342.91</v>
      </c>
      <c r="R1030" s="23" t="s">
        <v>4698</v>
      </c>
      <c r="S1030" s="23" t="s">
        <v>4701</v>
      </c>
      <c r="T1030" s="23" t="s">
        <v>4711</v>
      </c>
      <c r="U1030" s="23">
        <f>DATEDIF(P1030, DATE(2023, 6, 8), "Y")</f>
        <v>46</v>
      </c>
      <c r="V1030">
        <f>SUM(C1030:K1030)</f>
        <v>39.299999999999997</v>
      </c>
    </row>
    <row r="1031" spans="1:22" ht="15.75">
      <c r="A1031" s="28" t="s">
        <v>2060</v>
      </c>
      <c r="B1031" s="28" t="s">
        <v>2061</v>
      </c>
      <c r="C1031" s="23">
        <v>37.43</v>
      </c>
      <c r="D1031" s="23">
        <v>4.3499999999999996</v>
      </c>
      <c r="E1031" s="23" t="s">
        <v>4683</v>
      </c>
      <c r="F1031" s="23" t="s">
        <v>4682</v>
      </c>
      <c r="G1031" s="23" t="s">
        <v>4684</v>
      </c>
      <c r="H1031" s="23">
        <v>1</v>
      </c>
      <c r="I1031" s="23" t="s">
        <v>4682</v>
      </c>
      <c r="J1031" s="23" t="s">
        <v>4729</v>
      </c>
      <c r="K1031" s="23" t="s">
        <v>4737</v>
      </c>
      <c r="L1031">
        <v>1976</v>
      </c>
      <c r="M1031" s="15" t="s">
        <v>4702</v>
      </c>
      <c r="N1031">
        <v>12</v>
      </c>
      <c r="O1031">
        <v>2</v>
      </c>
      <c r="P1031" s="21">
        <f>DATEVALUE(N1031&amp;"-"&amp;M1031&amp;"-"&amp;L1031)</f>
        <v>27923</v>
      </c>
      <c r="Q1031" s="22">
        <v>8347.16</v>
      </c>
      <c r="R1031" s="23" t="s">
        <v>4697</v>
      </c>
      <c r="S1031" s="23" t="s">
        <v>4701</v>
      </c>
      <c r="T1031" s="23" t="s">
        <v>4699</v>
      </c>
      <c r="U1031" s="23">
        <f>DATEDIF(P1031, DATE(2023, 6, 8), "Y")</f>
        <v>46</v>
      </c>
      <c r="V1031">
        <f>SUM(C1031:K1031)</f>
        <v>42.78</v>
      </c>
    </row>
    <row r="1032" spans="1:22" ht="15.75">
      <c r="A1032" s="28" t="s">
        <v>2062</v>
      </c>
      <c r="B1032" s="28" t="s">
        <v>2063</v>
      </c>
      <c r="C1032" s="23">
        <v>23.7</v>
      </c>
      <c r="D1032" s="23">
        <v>10.45</v>
      </c>
      <c r="E1032" s="23" t="s">
        <v>4682</v>
      </c>
      <c r="F1032" s="23" t="s">
        <v>4682</v>
      </c>
      <c r="G1032" s="23" t="s">
        <v>4682</v>
      </c>
      <c r="H1032" s="23">
        <v>0</v>
      </c>
      <c r="I1032" s="23" t="s">
        <v>4682</v>
      </c>
      <c r="J1032" s="23" t="s">
        <v>4728</v>
      </c>
      <c r="K1032" s="23" t="s">
        <v>4735</v>
      </c>
      <c r="L1032">
        <v>1963</v>
      </c>
      <c r="M1032" s="15" t="s">
        <v>4703</v>
      </c>
      <c r="N1032">
        <v>21</v>
      </c>
      <c r="O1032">
        <v>0</v>
      </c>
      <c r="P1032" s="21">
        <f>DATEVALUE(N1032&amp;"-"&amp;M1032&amp;"-"&amp;L1032)</f>
        <v>23275</v>
      </c>
      <c r="Q1032" s="22">
        <v>8355.5400000000009</v>
      </c>
      <c r="R1032" s="23" t="s">
        <v>4698</v>
      </c>
      <c r="S1032" s="23" t="s">
        <v>4698</v>
      </c>
      <c r="T1032" s="23" t="s">
        <v>4704</v>
      </c>
      <c r="U1032" s="23">
        <f>DATEDIF(P1032, DATE(2023, 6, 8), "Y")</f>
        <v>59</v>
      </c>
      <c r="V1032">
        <f>SUM(C1032:K1032)</f>
        <v>34.15</v>
      </c>
    </row>
    <row r="1033" spans="1:22" ht="15.75">
      <c r="A1033" s="28" t="s">
        <v>2064</v>
      </c>
      <c r="B1033" s="28" t="s">
        <v>2065</v>
      </c>
      <c r="C1033" s="23">
        <v>24.795000000000002</v>
      </c>
      <c r="D1033" s="23">
        <v>4.07</v>
      </c>
      <c r="E1033" s="23" t="s">
        <v>4683</v>
      </c>
      <c r="F1033" s="23" t="s">
        <v>4682</v>
      </c>
      <c r="G1033" s="23" t="s">
        <v>4684</v>
      </c>
      <c r="H1033" s="23">
        <v>1</v>
      </c>
      <c r="I1033" s="23" t="s">
        <v>4682</v>
      </c>
      <c r="J1033" s="23" t="s">
        <v>4728</v>
      </c>
      <c r="K1033" s="23" t="s">
        <v>4737</v>
      </c>
      <c r="L1033">
        <v>1971</v>
      </c>
      <c r="M1033" s="15" t="s">
        <v>4703</v>
      </c>
      <c r="N1033">
        <v>4</v>
      </c>
      <c r="O1033">
        <v>0</v>
      </c>
      <c r="P1033" s="21">
        <f>DATEVALUE(N1033&amp;"-"&amp;M1033&amp;"-"&amp;L1033)</f>
        <v>26180</v>
      </c>
      <c r="Q1033" s="22">
        <v>8396.6200000000008</v>
      </c>
      <c r="R1033" s="23" t="s">
        <v>4697</v>
      </c>
      <c r="S1033" s="23" t="s">
        <v>4698</v>
      </c>
      <c r="T1033" s="23" t="s">
        <v>4699</v>
      </c>
      <c r="U1033" s="23">
        <f>DATEDIF(P1033, DATE(2023, 6, 8), "Y")</f>
        <v>51</v>
      </c>
      <c r="V1033">
        <f>SUM(C1033:K1033)</f>
        <v>29.865000000000002</v>
      </c>
    </row>
    <row r="1034" spans="1:22" ht="15.75">
      <c r="A1034" s="28" t="s">
        <v>2066</v>
      </c>
      <c r="B1034" s="28" t="s">
        <v>2067</v>
      </c>
      <c r="C1034" s="23">
        <v>31.9</v>
      </c>
      <c r="D1034" s="23">
        <v>8.34</v>
      </c>
      <c r="E1034" s="23" t="s">
        <v>4682</v>
      </c>
      <c r="F1034" s="23" t="s">
        <v>4682</v>
      </c>
      <c r="G1034" s="23" t="s">
        <v>4682</v>
      </c>
      <c r="H1034" s="23">
        <v>0</v>
      </c>
      <c r="I1034" s="23" t="s">
        <v>4682</v>
      </c>
      <c r="J1034" s="23" t="s">
        <v>4729</v>
      </c>
      <c r="K1034" s="23" t="s">
        <v>4735</v>
      </c>
      <c r="L1034">
        <v>1971</v>
      </c>
      <c r="M1034" s="15" t="s">
        <v>4703</v>
      </c>
      <c r="N1034">
        <v>18</v>
      </c>
      <c r="O1034">
        <v>0</v>
      </c>
      <c r="P1034" s="21">
        <f>DATEVALUE(N1034&amp;"-"&amp;M1034&amp;"-"&amp;L1034)</f>
        <v>26194</v>
      </c>
      <c r="Q1034" s="22">
        <v>8400.01</v>
      </c>
      <c r="R1034" s="23" t="s">
        <v>4697</v>
      </c>
      <c r="S1034" s="23" t="s">
        <v>4698</v>
      </c>
      <c r="T1034" s="23" t="s">
        <v>4699</v>
      </c>
      <c r="U1034" s="23">
        <f>DATEDIF(P1034, DATE(2023, 6, 8), "Y")</f>
        <v>51</v>
      </c>
      <c r="V1034">
        <f>SUM(C1034:K1034)</f>
        <v>40.239999999999995</v>
      </c>
    </row>
    <row r="1035" spans="1:22" ht="15.75">
      <c r="A1035" s="28" t="s">
        <v>2068</v>
      </c>
      <c r="B1035" s="28" t="s">
        <v>2069</v>
      </c>
      <c r="C1035" s="23">
        <v>32.68</v>
      </c>
      <c r="D1035" s="23">
        <v>7.41</v>
      </c>
      <c r="E1035" s="23" t="s">
        <v>4682</v>
      </c>
      <c r="F1035" s="23" t="s">
        <v>4682</v>
      </c>
      <c r="G1035" s="23" t="s">
        <v>4682</v>
      </c>
      <c r="H1035" s="23">
        <v>0</v>
      </c>
      <c r="I1035" s="23" t="s">
        <v>4682</v>
      </c>
      <c r="J1035" s="23" t="s">
        <v>4729</v>
      </c>
      <c r="K1035" s="23" t="s">
        <v>4735</v>
      </c>
      <c r="L1035">
        <v>1979</v>
      </c>
      <c r="M1035" s="15" t="s">
        <v>4702</v>
      </c>
      <c r="N1035">
        <v>11</v>
      </c>
      <c r="O1035">
        <v>3</v>
      </c>
      <c r="P1035" s="21">
        <f>DATEVALUE(N1035&amp;"-"&amp;M1035&amp;"-"&amp;L1035)</f>
        <v>29017</v>
      </c>
      <c r="Q1035" s="22">
        <v>8410.0499999999993</v>
      </c>
      <c r="R1035" s="23" t="s">
        <v>4697</v>
      </c>
      <c r="S1035" s="23" t="s">
        <v>4697</v>
      </c>
      <c r="T1035" s="23" t="s">
        <v>4704</v>
      </c>
      <c r="U1035" s="23">
        <f>DATEDIF(P1035, DATE(2023, 6, 8), "Y")</f>
        <v>43</v>
      </c>
      <c r="V1035">
        <f>SUM(C1035:K1035)</f>
        <v>40.090000000000003</v>
      </c>
    </row>
    <row r="1036" spans="1:22" ht="15.75">
      <c r="A1036" s="28" t="s">
        <v>2070</v>
      </c>
      <c r="B1036" s="28" t="s">
        <v>2071</v>
      </c>
      <c r="C1036" s="23">
        <v>47.13</v>
      </c>
      <c r="D1036" s="23">
        <v>4.3099999999999996</v>
      </c>
      <c r="E1036" s="23" t="s">
        <v>4682</v>
      </c>
      <c r="F1036" s="23" t="s">
        <v>4682</v>
      </c>
      <c r="G1036" s="23" t="s">
        <v>4682</v>
      </c>
      <c r="H1036" s="23">
        <v>0</v>
      </c>
      <c r="I1036" s="23" t="s">
        <v>4682</v>
      </c>
      <c r="J1036" s="23" t="s">
        <v>4729</v>
      </c>
      <c r="K1036" s="23" t="s">
        <v>4737</v>
      </c>
      <c r="L1036">
        <v>1977</v>
      </c>
      <c r="M1036" s="15" t="s">
        <v>4703</v>
      </c>
      <c r="N1036">
        <v>4</v>
      </c>
      <c r="O1036">
        <v>2</v>
      </c>
      <c r="P1036" s="21">
        <f>DATEVALUE(N1036&amp;"-"&amp;M1036&amp;"-"&amp;L1036)</f>
        <v>28372</v>
      </c>
      <c r="Q1036" s="22">
        <v>8413.4599999999991</v>
      </c>
      <c r="R1036" s="23" t="s">
        <v>4698</v>
      </c>
      <c r="S1036" s="23" t="s">
        <v>4701</v>
      </c>
      <c r="T1036" s="23" t="s">
        <v>4704</v>
      </c>
      <c r="U1036" s="23">
        <f>DATEDIF(P1036, DATE(2023, 6, 8), "Y")</f>
        <v>45</v>
      </c>
      <c r="V1036">
        <f>SUM(C1036:K1036)</f>
        <v>51.440000000000005</v>
      </c>
    </row>
    <row r="1037" spans="1:22" ht="15.75">
      <c r="A1037" s="28" t="s">
        <v>2072</v>
      </c>
      <c r="B1037" s="28" t="s">
        <v>2073</v>
      </c>
      <c r="C1037" s="23">
        <v>36.67</v>
      </c>
      <c r="D1037" s="23">
        <v>10.83</v>
      </c>
      <c r="E1037" s="23" t="s">
        <v>4682</v>
      </c>
      <c r="F1037" s="23" t="s">
        <v>4682</v>
      </c>
      <c r="G1037" s="23" t="s">
        <v>4682</v>
      </c>
      <c r="H1037" s="23">
        <v>0</v>
      </c>
      <c r="I1037" s="23" t="s">
        <v>4682</v>
      </c>
      <c r="J1037" s="23" t="s">
        <v>4729</v>
      </c>
      <c r="K1037" s="23" t="s">
        <v>4735</v>
      </c>
      <c r="L1037">
        <v>1975</v>
      </c>
      <c r="M1037" s="15" t="s">
        <v>4703</v>
      </c>
      <c r="N1037">
        <v>28</v>
      </c>
      <c r="O1037">
        <v>1</v>
      </c>
      <c r="P1037" s="21">
        <f>DATEVALUE(N1037&amp;"-"&amp;M1037&amp;"-"&amp;L1037)</f>
        <v>27665</v>
      </c>
      <c r="Q1037" s="22">
        <v>8428.07</v>
      </c>
      <c r="R1037" s="23" t="s">
        <v>4698</v>
      </c>
      <c r="S1037" s="23" t="s">
        <v>4697</v>
      </c>
      <c r="T1037" s="23" t="s">
        <v>4704</v>
      </c>
      <c r="U1037" s="23">
        <f>DATEDIF(P1037, DATE(2023, 6, 8), "Y")</f>
        <v>47</v>
      </c>
      <c r="V1037">
        <f>SUM(C1037:K1037)</f>
        <v>47.5</v>
      </c>
    </row>
    <row r="1038" spans="1:22" ht="15.75">
      <c r="A1038" s="28" t="s">
        <v>2074</v>
      </c>
      <c r="B1038" s="28" t="s">
        <v>2075</v>
      </c>
      <c r="C1038" s="23">
        <v>33.630000000000003</v>
      </c>
      <c r="D1038" s="23">
        <v>11.31</v>
      </c>
      <c r="E1038" s="23" t="s">
        <v>4682</v>
      </c>
      <c r="F1038" s="23" t="s">
        <v>4682</v>
      </c>
      <c r="G1038" s="23" t="s">
        <v>4682</v>
      </c>
      <c r="H1038" s="23">
        <v>0</v>
      </c>
      <c r="I1038" s="23" t="s">
        <v>4682</v>
      </c>
      <c r="J1038" s="23" t="s">
        <v>4729</v>
      </c>
      <c r="K1038" s="23" t="s">
        <v>4735</v>
      </c>
      <c r="L1038">
        <v>1963</v>
      </c>
      <c r="M1038" s="15" t="s">
        <v>4703</v>
      </c>
      <c r="N1038">
        <v>24</v>
      </c>
      <c r="O1038">
        <v>0</v>
      </c>
      <c r="P1038" s="21">
        <f>DATEVALUE(N1038&amp;"-"&amp;M1038&amp;"-"&amp;L1038)</f>
        <v>23278</v>
      </c>
      <c r="Q1038" s="22">
        <v>8440.0499999999993</v>
      </c>
      <c r="R1038" s="23" t="s">
        <v>4698</v>
      </c>
      <c r="S1038" s="23" t="s">
        <v>4697</v>
      </c>
      <c r="T1038" s="23" t="s">
        <v>4699</v>
      </c>
      <c r="U1038" s="23">
        <f>DATEDIF(P1038, DATE(2023, 6, 8), "Y")</f>
        <v>59</v>
      </c>
      <c r="V1038">
        <f>SUM(C1038:K1038)</f>
        <v>44.940000000000005</v>
      </c>
    </row>
    <row r="1039" spans="1:22" ht="15.75">
      <c r="A1039" s="28" t="s">
        <v>2076</v>
      </c>
      <c r="B1039" s="28" t="s">
        <v>2077</v>
      </c>
      <c r="C1039" s="23">
        <v>32.67</v>
      </c>
      <c r="D1039" s="23">
        <v>11.81</v>
      </c>
      <c r="E1039" s="23" t="s">
        <v>4683</v>
      </c>
      <c r="F1039" s="23" t="s">
        <v>4682</v>
      </c>
      <c r="G1039" s="23" t="s">
        <v>4682</v>
      </c>
      <c r="H1039" s="23">
        <v>0</v>
      </c>
      <c r="I1039" s="23" t="s">
        <v>4682</v>
      </c>
      <c r="J1039" s="23" t="s">
        <v>4729</v>
      </c>
      <c r="K1039" s="23" t="s">
        <v>4735</v>
      </c>
      <c r="L1039">
        <v>1972</v>
      </c>
      <c r="M1039" s="15" t="s">
        <v>4703</v>
      </c>
      <c r="N1039">
        <v>9</v>
      </c>
      <c r="O1039">
        <v>0</v>
      </c>
      <c r="P1039" s="21">
        <f>DATEVALUE(N1039&amp;"-"&amp;M1039&amp;"-"&amp;L1039)</f>
        <v>26551</v>
      </c>
      <c r="Q1039" s="22">
        <v>8442.67</v>
      </c>
      <c r="R1039" s="23" t="s">
        <v>4697</v>
      </c>
      <c r="S1039" s="23" t="s">
        <v>4698</v>
      </c>
      <c r="T1039" s="23" t="s">
        <v>4699</v>
      </c>
      <c r="U1039" s="23">
        <f>DATEDIF(P1039, DATE(2023, 6, 8), "Y")</f>
        <v>50</v>
      </c>
      <c r="V1039">
        <f>SUM(C1039:K1039)</f>
        <v>44.480000000000004</v>
      </c>
    </row>
    <row r="1040" spans="1:22" ht="15.75">
      <c r="A1040" s="28" t="s">
        <v>2078</v>
      </c>
      <c r="B1040" s="28" t="s">
        <v>2079</v>
      </c>
      <c r="C1040" s="23">
        <v>33.299999999999997</v>
      </c>
      <c r="D1040" s="23">
        <v>8.26</v>
      </c>
      <c r="E1040" s="23" t="s">
        <v>4683</v>
      </c>
      <c r="F1040" s="23" t="s">
        <v>4682</v>
      </c>
      <c r="G1040" s="23" t="s">
        <v>4682</v>
      </c>
      <c r="H1040" s="23">
        <v>2</v>
      </c>
      <c r="I1040" s="23" t="s">
        <v>4682</v>
      </c>
      <c r="J1040" s="23" t="s">
        <v>4729</v>
      </c>
      <c r="K1040" s="23" t="s">
        <v>4735</v>
      </c>
      <c r="L1040">
        <v>1972</v>
      </c>
      <c r="M1040" s="15" t="s">
        <v>4703</v>
      </c>
      <c r="N1040">
        <v>4</v>
      </c>
      <c r="O1040">
        <v>0</v>
      </c>
      <c r="P1040" s="21">
        <f>DATEVALUE(N1040&amp;"-"&amp;M1040&amp;"-"&amp;L1040)</f>
        <v>26546</v>
      </c>
      <c r="Q1040" s="22">
        <v>8444.4699999999993</v>
      </c>
      <c r="R1040" s="23" t="s">
        <v>4698</v>
      </c>
      <c r="S1040" s="23" t="s">
        <v>4701</v>
      </c>
      <c r="T1040" s="23" t="s">
        <v>4708</v>
      </c>
      <c r="U1040" s="23">
        <f>DATEDIF(P1040, DATE(2023, 6, 8), "Y")</f>
        <v>50</v>
      </c>
      <c r="V1040">
        <f>SUM(C1040:K1040)</f>
        <v>43.559999999999995</v>
      </c>
    </row>
    <row r="1041" spans="1:22" ht="15.75">
      <c r="A1041" s="28" t="s">
        <v>2080</v>
      </c>
      <c r="B1041" s="28" t="s">
        <v>2081</v>
      </c>
      <c r="C1041" s="23">
        <v>30.78</v>
      </c>
      <c r="D1041" s="23">
        <v>10.74</v>
      </c>
      <c r="E1041" s="23" t="s">
        <v>4683</v>
      </c>
      <c r="F1041" s="23" t="s">
        <v>4682</v>
      </c>
      <c r="G1041" s="23" t="s">
        <v>4682</v>
      </c>
      <c r="H1041" s="23">
        <v>2</v>
      </c>
      <c r="I1041" s="23" t="s">
        <v>4682</v>
      </c>
      <c r="J1041" s="23" t="s">
        <v>4729</v>
      </c>
      <c r="K1041" s="23" t="s">
        <v>4735</v>
      </c>
      <c r="L1041">
        <v>1966</v>
      </c>
      <c r="M1041" s="15" t="s">
        <v>4702</v>
      </c>
      <c r="N1041">
        <v>12</v>
      </c>
      <c r="O1041">
        <v>0</v>
      </c>
      <c r="P1041" s="21">
        <f>DATEVALUE(N1041&amp;"-"&amp;M1041&amp;"-"&amp;L1041)</f>
        <v>24270</v>
      </c>
      <c r="Q1041" s="22">
        <v>8448.66</v>
      </c>
      <c r="R1041" s="23" t="s">
        <v>4698</v>
      </c>
      <c r="S1041" s="23" t="s">
        <v>4701</v>
      </c>
      <c r="T1041" s="23" t="s">
        <v>4699</v>
      </c>
      <c r="U1041" s="23">
        <f>DATEDIF(P1041, DATE(2023, 6, 8), "Y")</f>
        <v>56</v>
      </c>
      <c r="V1041">
        <f>SUM(C1041:K1041)</f>
        <v>43.52</v>
      </c>
    </row>
    <row r="1042" spans="1:22" ht="15.75">
      <c r="A1042" s="28" t="s">
        <v>2082</v>
      </c>
      <c r="B1042" s="28" t="s">
        <v>2083</v>
      </c>
      <c r="C1042" s="23">
        <v>28.975000000000001</v>
      </c>
      <c r="D1042" s="23">
        <v>7.69</v>
      </c>
      <c r="E1042" s="23" t="s">
        <v>4683</v>
      </c>
      <c r="F1042" s="23" t="s">
        <v>4682</v>
      </c>
      <c r="G1042" s="23" t="s">
        <v>4682</v>
      </c>
      <c r="H1042" s="23">
        <v>0</v>
      </c>
      <c r="I1042" s="23" t="s">
        <v>4682</v>
      </c>
      <c r="J1042" s="23" t="s">
        <v>4730</v>
      </c>
      <c r="K1042" s="23" t="s">
        <v>4735</v>
      </c>
      <c r="L1042">
        <v>1984</v>
      </c>
      <c r="M1042" s="15" t="s">
        <v>4702</v>
      </c>
      <c r="N1042">
        <v>19</v>
      </c>
      <c r="O1042">
        <v>3</v>
      </c>
      <c r="P1042" s="21">
        <f>DATEVALUE(N1042&amp;"-"&amp;M1042&amp;"-"&amp;L1042)</f>
        <v>30852</v>
      </c>
      <c r="Q1042" s="22">
        <v>8450.82</v>
      </c>
      <c r="R1042" s="23" t="s">
        <v>4697</v>
      </c>
      <c r="S1042" s="23" t="s">
        <v>4697</v>
      </c>
      <c r="T1042" s="23" t="s">
        <v>4713</v>
      </c>
      <c r="U1042" s="23">
        <f>DATEDIF(P1042, DATE(2023, 6, 8), "Y")</f>
        <v>38</v>
      </c>
      <c r="V1042">
        <f>SUM(C1042:K1042)</f>
        <v>36.664999999999999</v>
      </c>
    </row>
    <row r="1043" spans="1:22" ht="15.75">
      <c r="A1043" s="28" t="s">
        <v>2084</v>
      </c>
      <c r="B1043" s="28" t="s">
        <v>2085</v>
      </c>
      <c r="C1043" s="23">
        <v>33.4</v>
      </c>
      <c r="D1043" s="23">
        <v>4.84</v>
      </c>
      <c r="E1043" s="23" t="s">
        <v>4682</v>
      </c>
      <c r="F1043" s="23" t="s">
        <v>4682</v>
      </c>
      <c r="G1043" s="23" t="s">
        <v>4682</v>
      </c>
      <c r="H1043" s="23">
        <v>0</v>
      </c>
      <c r="I1043" s="23" t="s">
        <v>4682</v>
      </c>
      <c r="J1043" s="23" t="s">
        <v>4729</v>
      </c>
      <c r="K1043" s="23" t="s">
        <v>4737</v>
      </c>
      <c r="L1043">
        <v>1972</v>
      </c>
      <c r="M1043" s="15" t="s">
        <v>4705</v>
      </c>
      <c r="N1043">
        <v>26</v>
      </c>
      <c r="O1043">
        <v>0</v>
      </c>
      <c r="P1043" s="21">
        <f>DATEVALUE(N1043&amp;"-"&amp;M1043&amp;"-"&amp;L1043)</f>
        <v>26659</v>
      </c>
      <c r="Q1043" s="22">
        <v>8457.82</v>
      </c>
      <c r="R1043" s="23" t="s">
        <v>4697</v>
      </c>
      <c r="S1043" s="23" t="s">
        <v>4698</v>
      </c>
      <c r="T1043" s="23" t="s">
        <v>4708</v>
      </c>
      <c r="U1043" s="23">
        <f>DATEDIF(P1043, DATE(2023, 6, 8), "Y")</f>
        <v>50</v>
      </c>
      <c r="V1043">
        <f>SUM(C1043:K1043)</f>
        <v>38.239999999999995</v>
      </c>
    </row>
    <row r="1044" spans="1:22" ht="15.75">
      <c r="A1044" s="28" t="s">
        <v>2086</v>
      </c>
      <c r="B1044" s="28" t="s">
        <v>2087</v>
      </c>
      <c r="C1044" s="23">
        <v>21.5</v>
      </c>
      <c r="D1044" s="23">
        <v>9.77</v>
      </c>
      <c r="E1044" s="23" t="s">
        <v>4683</v>
      </c>
      <c r="F1044" s="23" t="s">
        <v>4682</v>
      </c>
      <c r="G1044" s="23" t="s">
        <v>4682</v>
      </c>
      <c r="H1044" s="23">
        <v>0</v>
      </c>
      <c r="I1044" s="23" t="s">
        <v>4682</v>
      </c>
      <c r="J1044" s="23" t="s">
        <v>4728</v>
      </c>
      <c r="K1044" s="23" t="s">
        <v>4735</v>
      </c>
      <c r="L1044">
        <v>1992</v>
      </c>
      <c r="M1044" s="15" t="s">
        <v>4703</v>
      </c>
      <c r="N1044">
        <v>9</v>
      </c>
      <c r="O1044">
        <v>0</v>
      </c>
      <c r="P1044" s="21">
        <f>DATEVALUE(N1044&amp;"-"&amp;M1044&amp;"-"&amp;L1044)</f>
        <v>33856</v>
      </c>
      <c r="Q1044" s="22">
        <v>8466.35</v>
      </c>
      <c r="R1044" s="23" t="s">
        <v>4697</v>
      </c>
      <c r="S1044" s="23" t="s">
        <v>4697</v>
      </c>
      <c r="T1044" s="23" t="s">
        <v>4704</v>
      </c>
      <c r="U1044" s="23">
        <f>DATEDIF(P1044, DATE(2023, 6, 8), "Y")</f>
        <v>30</v>
      </c>
      <c r="V1044">
        <f>SUM(C1044:K1044)</f>
        <v>31.27</v>
      </c>
    </row>
    <row r="1045" spans="1:22" ht="15.75">
      <c r="A1045" s="28" t="s">
        <v>2088</v>
      </c>
      <c r="B1045" s="28" t="s">
        <v>2089</v>
      </c>
      <c r="C1045" s="23">
        <v>38.14</v>
      </c>
      <c r="D1045" s="23">
        <v>5.84</v>
      </c>
      <c r="E1045" s="23" t="s">
        <v>4682</v>
      </c>
      <c r="F1045" s="23" t="s">
        <v>4682</v>
      </c>
      <c r="G1045" s="23" t="s">
        <v>4682</v>
      </c>
      <c r="H1045" s="23">
        <v>0</v>
      </c>
      <c r="I1045" s="23" t="s">
        <v>4682</v>
      </c>
      <c r="J1045" s="23" t="s">
        <v>4729</v>
      </c>
      <c r="K1045" s="23" t="s">
        <v>4736</v>
      </c>
      <c r="L1045">
        <v>1993</v>
      </c>
      <c r="M1045" s="15" t="s">
        <v>4700</v>
      </c>
      <c r="N1045">
        <v>10</v>
      </c>
      <c r="O1045">
        <v>0</v>
      </c>
      <c r="P1045" s="21">
        <f>DATEVALUE(N1045&amp;"-"&amp;M1045&amp;"-"&amp;L1045)</f>
        <v>34283</v>
      </c>
      <c r="Q1045" s="22">
        <v>8471.65</v>
      </c>
      <c r="R1045" s="23" t="s">
        <v>4697</v>
      </c>
      <c r="S1045" s="23" t="s">
        <v>4701</v>
      </c>
      <c r="T1045" s="23" t="s">
        <v>4704</v>
      </c>
      <c r="U1045" s="23">
        <f>DATEDIF(P1045, DATE(2023, 6, 8), "Y")</f>
        <v>29</v>
      </c>
      <c r="V1045">
        <f>SUM(C1045:K1045)</f>
        <v>43.980000000000004</v>
      </c>
    </row>
    <row r="1046" spans="1:22" ht="15.75">
      <c r="A1046" s="28" t="s">
        <v>2090</v>
      </c>
      <c r="B1046" s="28" t="s">
        <v>2091</v>
      </c>
      <c r="C1046" s="23">
        <v>35.42</v>
      </c>
      <c r="D1046" s="23">
        <v>8.6999999999999993</v>
      </c>
      <c r="E1046" s="23" t="s">
        <v>4683</v>
      </c>
      <c r="F1046" s="23" t="s">
        <v>4682</v>
      </c>
      <c r="G1046" s="23" t="s">
        <v>4682</v>
      </c>
      <c r="H1046" s="23">
        <v>1</v>
      </c>
      <c r="I1046" s="23" t="s">
        <v>4682</v>
      </c>
      <c r="J1046" s="23" t="s">
        <v>4729</v>
      </c>
      <c r="K1046" s="23" t="s">
        <v>4735</v>
      </c>
      <c r="L1046">
        <v>1977</v>
      </c>
      <c r="M1046" s="15" t="s">
        <v>4705</v>
      </c>
      <c r="N1046">
        <v>26</v>
      </c>
      <c r="O1046">
        <v>2</v>
      </c>
      <c r="P1046" s="21">
        <f>DATEVALUE(N1046&amp;"-"&amp;M1046&amp;"-"&amp;L1046)</f>
        <v>28485</v>
      </c>
      <c r="Q1046" s="22">
        <v>8515.76</v>
      </c>
      <c r="R1046" s="23" t="s">
        <v>4697</v>
      </c>
      <c r="S1046" s="23" t="s">
        <v>4697</v>
      </c>
      <c r="T1046" s="23" t="s">
        <v>4699</v>
      </c>
      <c r="U1046" s="23">
        <f>DATEDIF(P1046, DATE(2023, 6, 8), "Y")</f>
        <v>45</v>
      </c>
      <c r="V1046">
        <f>SUM(C1046:K1046)</f>
        <v>45.120000000000005</v>
      </c>
    </row>
    <row r="1047" spans="1:22" ht="15.75">
      <c r="A1047" s="28" t="s">
        <v>2092</v>
      </c>
      <c r="B1047" s="28" t="s">
        <v>2093</v>
      </c>
      <c r="C1047" s="23">
        <v>35.625</v>
      </c>
      <c r="D1047" s="23">
        <v>10.79</v>
      </c>
      <c r="E1047" s="23" t="s">
        <v>4682</v>
      </c>
      <c r="F1047" s="23" t="s">
        <v>4682</v>
      </c>
      <c r="G1047" s="23" t="s">
        <v>4682</v>
      </c>
      <c r="H1047" s="23">
        <v>0</v>
      </c>
      <c r="I1047" s="23" t="s">
        <v>4682</v>
      </c>
      <c r="J1047" s="23" t="s">
        <v>4729</v>
      </c>
      <c r="K1047" s="23" t="s">
        <v>4735</v>
      </c>
      <c r="L1047">
        <v>1977</v>
      </c>
      <c r="M1047" s="15" t="s">
        <v>4702</v>
      </c>
      <c r="N1047">
        <v>21</v>
      </c>
      <c r="O1047">
        <v>2</v>
      </c>
      <c r="P1047" s="21">
        <f>DATEVALUE(N1047&amp;"-"&amp;M1047&amp;"-"&amp;L1047)</f>
        <v>28297</v>
      </c>
      <c r="Q1047" s="22">
        <v>8516.83</v>
      </c>
      <c r="R1047" s="23" t="s">
        <v>4697</v>
      </c>
      <c r="S1047" s="23" t="s">
        <v>4701</v>
      </c>
      <c r="T1047" s="23" t="s">
        <v>4699</v>
      </c>
      <c r="U1047" s="23">
        <f>DATEDIF(P1047, DATE(2023, 6, 8), "Y")</f>
        <v>45</v>
      </c>
      <c r="V1047">
        <f>SUM(C1047:K1047)</f>
        <v>46.414999999999999</v>
      </c>
    </row>
    <row r="1048" spans="1:22" ht="15.75">
      <c r="A1048" s="28" t="s">
        <v>2094</v>
      </c>
      <c r="B1048" s="28" t="s">
        <v>2095</v>
      </c>
      <c r="C1048" s="23">
        <v>45.51</v>
      </c>
      <c r="D1048" s="23">
        <v>4.32</v>
      </c>
      <c r="E1048" s="23" t="s">
        <v>4682</v>
      </c>
      <c r="F1048" s="23" t="s">
        <v>4682</v>
      </c>
      <c r="G1048" s="23" t="s">
        <v>4682</v>
      </c>
      <c r="H1048" s="23">
        <v>1</v>
      </c>
      <c r="I1048" s="23" t="s">
        <v>4682</v>
      </c>
      <c r="J1048" s="23" t="s">
        <v>4729</v>
      </c>
      <c r="K1048" s="23" t="s">
        <v>4737</v>
      </c>
      <c r="L1048">
        <v>1977</v>
      </c>
      <c r="M1048" s="15" t="s">
        <v>4705</v>
      </c>
      <c r="N1048">
        <v>29</v>
      </c>
      <c r="O1048">
        <v>2</v>
      </c>
      <c r="P1048" s="21">
        <f>DATEVALUE(N1048&amp;"-"&amp;M1048&amp;"-"&amp;L1048)</f>
        <v>28488</v>
      </c>
      <c r="Q1048" s="22">
        <v>8520.0300000000007</v>
      </c>
      <c r="R1048" s="23" t="s">
        <v>4697</v>
      </c>
      <c r="S1048" s="23" t="s">
        <v>4698</v>
      </c>
      <c r="T1048" s="23" t="s">
        <v>4708</v>
      </c>
      <c r="U1048" s="23">
        <f>DATEDIF(P1048, DATE(2023, 6, 8), "Y")</f>
        <v>45</v>
      </c>
      <c r="V1048">
        <f>SUM(C1048:K1048)</f>
        <v>50.83</v>
      </c>
    </row>
    <row r="1049" spans="1:22" ht="15.75">
      <c r="A1049" s="28" t="s">
        <v>2096</v>
      </c>
      <c r="B1049" s="28" t="s">
        <v>2097</v>
      </c>
      <c r="C1049" s="23">
        <v>37.1</v>
      </c>
      <c r="D1049" s="23">
        <v>7.19</v>
      </c>
      <c r="E1049" s="23" t="s">
        <v>4683</v>
      </c>
      <c r="F1049" s="23" t="s">
        <v>4682</v>
      </c>
      <c r="G1049" s="23" t="s">
        <v>4682</v>
      </c>
      <c r="H1049" s="23">
        <v>0</v>
      </c>
      <c r="I1049" s="23" t="s">
        <v>4682</v>
      </c>
      <c r="J1049" s="23" t="s">
        <v>4729</v>
      </c>
      <c r="K1049" s="23" t="s">
        <v>4735</v>
      </c>
      <c r="L1049">
        <v>1979</v>
      </c>
      <c r="M1049" s="15" t="s">
        <v>4706</v>
      </c>
      <c r="N1049">
        <v>13</v>
      </c>
      <c r="O1049">
        <v>3</v>
      </c>
      <c r="P1049" s="21">
        <f>DATEVALUE(N1049&amp;"-"&amp;M1049&amp;"-"&amp;L1049)</f>
        <v>29080</v>
      </c>
      <c r="Q1049" s="22">
        <v>8522</v>
      </c>
      <c r="R1049" s="23" t="s">
        <v>4697</v>
      </c>
      <c r="S1049" s="23" t="s">
        <v>4697</v>
      </c>
      <c r="T1049" s="23" t="s">
        <v>4708</v>
      </c>
      <c r="U1049" s="23">
        <f>DATEDIF(P1049, DATE(2023, 6, 8), "Y")</f>
        <v>43</v>
      </c>
      <c r="V1049">
        <f>SUM(C1049:K1049)</f>
        <v>44.29</v>
      </c>
    </row>
    <row r="1050" spans="1:22" ht="15.75">
      <c r="A1050" s="28" t="s">
        <v>2098</v>
      </c>
      <c r="B1050" s="28" t="s">
        <v>2099</v>
      </c>
      <c r="C1050" s="23">
        <v>30.5</v>
      </c>
      <c r="D1050" s="23">
        <v>11.94</v>
      </c>
      <c r="E1050" s="23" t="s">
        <v>4683</v>
      </c>
      <c r="F1050" s="23" t="s">
        <v>4682</v>
      </c>
      <c r="G1050" s="23" t="s">
        <v>4682</v>
      </c>
      <c r="H1050" s="23">
        <v>0</v>
      </c>
      <c r="I1050" s="23" t="s">
        <v>4682</v>
      </c>
      <c r="J1050" s="23" t="s">
        <v>4729</v>
      </c>
      <c r="K1050" s="23" t="s">
        <v>4735</v>
      </c>
      <c r="L1050">
        <v>1977</v>
      </c>
      <c r="M1050" s="15" t="s">
        <v>4696</v>
      </c>
      <c r="N1050">
        <v>26</v>
      </c>
      <c r="O1050">
        <v>2</v>
      </c>
      <c r="P1050" s="21">
        <f>DATEVALUE(N1050&amp;"-"&amp;M1050&amp;"-"&amp;L1050)</f>
        <v>28332</v>
      </c>
      <c r="Q1050" s="22">
        <v>8527.5300000000007</v>
      </c>
      <c r="R1050" s="23" t="s">
        <v>4697</v>
      </c>
      <c r="S1050" s="23" t="s">
        <v>4697</v>
      </c>
      <c r="T1050" s="23" t="s">
        <v>4699</v>
      </c>
      <c r="U1050" s="23">
        <f>DATEDIF(P1050, DATE(2023, 6, 8), "Y")</f>
        <v>45</v>
      </c>
      <c r="V1050">
        <f>SUM(C1050:K1050)</f>
        <v>42.44</v>
      </c>
    </row>
    <row r="1051" spans="1:22" ht="15.75">
      <c r="A1051" s="28" t="s">
        <v>2100</v>
      </c>
      <c r="B1051" s="28" t="s">
        <v>2101</v>
      </c>
      <c r="C1051" s="23">
        <v>28.16</v>
      </c>
      <c r="D1051" s="23">
        <v>5.56</v>
      </c>
      <c r="E1051" s="23" t="s">
        <v>4682</v>
      </c>
      <c r="F1051" s="23" t="s">
        <v>4682</v>
      </c>
      <c r="G1051" s="23" t="s">
        <v>4682</v>
      </c>
      <c r="H1051" s="23">
        <v>2</v>
      </c>
      <c r="I1051" s="23" t="s">
        <v>4682</v>
      </c>
      <c r="J1051" s="23" t="s">
        <v>4730</v>
      </c>
      <c r="K1051" s="23" t="s">
        <v>4737</v>
      </c>
      <c r="L1051" t="s">
        <v>4685</v>
      </c>
      <c r="M1051" s="15" t="s">
        <v>4696</v>
      </c>
      <c r="N1051">
        <v>24</v>
      </c>
      <c r="O1051">
        <v>0</v>
      </c>
      <c r="P1051" s="21" t="e">
        <f>DATEVALUE(N1051&amp;"-"&amp;M1051&amp;"-"&amp;L1051)</f>
        <v>#VALUE!</v>
      </c>
      <c r="Q1051" s="22">
        <v>8534.67</v>
      </c>
      <c r="R1051" s="23" t="s">
        <v>4697</v>
      </c>
      <c r="S1051" s="23" t="s">
        <v>4698</v>
      </c>
      <c r="T1051" s="23" t="s">
        <v>4714</v>
      </c>
      <c r="U1051" s="23" t="e">
        <f>DATEDIF(P1051, DATE(2023, 6, 8), "Y")</f>
        <v>#VALUE!</v>
      </c>
      <c r="V1051">
        <f>SUM(C1051:K1051)</f>
        <v>35.72</v>
      </c>
    </row>
    <row r="1052" spans="1:22" ht="15.75">
      <c r="A1052" s="28" t="s">
        <v>2102</v>
      </c>
      <c r="B1052" s="28" t="s">
        <v>2103</v>
      </c>
      <c r="C1052" s="23">
        <v>29.1</v>
      </c>
      <c r="D1052" s="23">
        <v>5.64</v>
      </c>
      <c r="E1052" s="23" t="s">
        <v>4683</v>
      </c>
      <c r="F1052" s="23" t="s">
        <v>4682</v>
      </c>
      <c r="G1052" s="23" t="s">
        <v>4682</v>
      </c>
      <c r="H1052" s="23">
        <v>0</v>
      </c>
      <c r="I1052" s="23" t="s">
        <v>4682</v>
      </c>
      <c r="J1052" s="23" t="s">
        <v>4730</v>
      </c>
      <c r="K1052" s="23" t="s">
        <v>4737</v>
      </c>
      <c r="L1052">
        <v>1981</v>
      </c>
      <c r="M1052" s="15" t="s">
        <v>4705</v>
      </c>
      <c r="N1052">
        <v>27</v>
      </c>
      <c r="O1052">
        <v>3</v>
      </c>
      <c r="P1052" s="21">
        <f>DATEVALUE(N1052&amp;"-"&amp;M1052&amp;"-"&amp;L1052)</f>
        <v>29947</v>
      </c>
      <c r="Q1052" s="22">
        <v>8538.2900000000009</v>
      </c>
      <c r="R1052" s="23" t="s">
        <v>4697</v>
      </c>
      <c r="S1052" s="23" t="s">
        <v>4698</v>
      </c>
      <c r="T1052" s="23" t="s">
        <v>4714</v>
      </c>
      <c r="U1052" s="23">
        <f>DATEDIF(P1052, DATE(2023, 6, 8), "Y")</f>
        <v>41</v>
      </c>
      <c r="V1052">
        <f>SUM(C1052:K1052)</f>
        <v>34.74</v>
      </c>
    </row>
    <row r="1053" spans="1:22" ht="15.75">
      <c r="A1053" s="28" t="s">
        <v>2104</v>
      </c>
      <c r="B1053" s="28" t="s">
        <v>2105</v>
      </c>
      <c r="C1053" s="23">
        <v>30.22</v>
      </c>
      <c r="D1053" s="23">
        <v>4.6500000000000004</v>
      </c>
      <c r="E1053" s="23" t="s">
        <v>4682</v>
      </c>
      <c r="F1053" s="23" t="s">
        <v>4682</v>
      </c>
      <c r="G1053" s="23" t="s">
        <v>4682</v>
      </c>
      <c r="H1053" s="23">
        <v>0</v>
      </c>
      <c r="I1053" s="23" t="s">
        <v>4682</v>
      </c>
      <c r="J1053" s="23" t="s">
        <v>4729</v>
      </c>
      <c r="K1053" s="23" t="s">
        <v>4737</v>
      </c>
      <c r="L1053">
        <v>1975</v>
      </c>
      <c r="M1053" s="15" t="s">
        <v>4700</v>
      </c>
      <c r="N1053">
        <v>6</v>
      </c>
      <c r="O1053">
        <v>1</v>
      </c>
      <c r="P1053" s="21">
        <f>DATEVALUE(N1053&amp;"-"&amp;M1053&amp;"-"&amp;L1053)</f>
        <v>27704</v>
      </c>
      <c r="Q1053" s="22">
        <v>8539.67</v>
      </c>
      <c r="R1053" s="23" t="s">
        <v>4697</v>
      </c>
      <c r="S1053" s="23" t="s">
        <v>4698</v>
      </c>
      <c r="T1053" s="23" t="s">
        <v>4708</v>
      </c>
      <c r="U1053" s="23">
        <f>DATEDIF(P1053, DATE(2023, 6, 8), "Y")</f>
        <v>47</v>
      </c>
      <c r="V1053">
        <f>SUM(C1053:K1053)</f>
        <v>34.869999999999997</v>
      </c>
    </row>
    <row r="1054" spans="1:22" ht="15.75">
      <c r="A1054" s="28" t="s">
        <v>2106</v>
      </c>
      <c r="B1054" s="28" t="s">
        <v>2107</v>
      </c>
      <c r="C1054" s="23">
        <v>24.29</v>
      </c>
      <c r="D1054" s="23">
        <v>9.0500000000000007</v>
      </c>
      <c r="E1054" s="23" t="s">
        <v>4682</v>
      </c>
      <c r="F1054" s="23" t="s">
        <v>4682</v>
      </c>
      <c r="G1054" s="23" t="s">
        <v>4682</v>
      </c>
      <c r="H1054" s="23">
        <v>0</v>
      </c>
      <c r="I1054" s="23" t="s">
        <v>4682</v>
      </c>
      <c r="J1054" s="23" t="s">
        <v>4728</v>
      </c>
      <c r="K1054" s="23" t="s">
        <v>4735</v>
      </c>
      <c r="L1054" t="s">
        <v>4685</v>
      </c>
      <c r="M1054" s="15" t="s">
        <v>4705</v>
      </c>
      <c r="N1054">
        <v>12</v>
      </c>
      <c r="O1054">
        <v>1</v>
      </c>
      <c r="P1054" s="21" t="e">
        <f>DATEVALUE(N1054&amp;"-"&amp;M1054&amp;"-"&amp;L1054)</f>
        <v>#VALUE!</v>
      </c>
      <c r="Q1054" s="22">
        <v>8547.69</v>
      </c>
      <c r="R1054" s="23" t="s">
        <v>4697</v>
      </c>
      <c r="S1054" s="23" t="s">
        <v>4701</v>
      </c>
      <c r="T1054" s="23" t="s">
        <v>4699</v>
      </c>
      <c r="U1054" s="23" t="e">
        <f>DATEDIF(P1054, DATE(2023, 6, 8), "Y")</f>
        <v>#VALUE!</v>
      </c>
      <c r="V1054">
        <f>SUM(C1054:K1054)</f>
        <v>33.340000000000003</v>
      </c>
    </row>
    <row r="1055" spans="1:22" ht="15.75">
      <c r="A1055" s="28" t="s">
        <v>2108</v>
      </c>
      <c r="B1055" s="28" t="s">
        <v>2109</v>
      </c>
      <c r="C1055" s="23">
        <v>29.39</v>
      </c>
      <c r="D1055" s="23">
        <v>4.5199999999999996</v>
      </c>
      <c r="E1055" s="23" t="s">
        <v>4683</v>
      </c>
      <c r="F1055" s="23" t="s">
        <v>4682</v>
      </c>
      <c r="G1055" s="23" t="s">
        <v>4682</v>
      </c>
      <c r="H1055" s="23">
        <v>0</v>
      </c>
      <c r="I1055" s="23" t="s">
        <v>4682</v>
      </c>
      <c r="J1055" s="23" t="s">
        <v>4730</v>
      </c>
      <c r="K1055" s="23" t="s">
        <v>4737</v>
      </c>
      <c r="L1055">
        <v>1975</v>
      </c>
      <c r="M1055" s="15" t="s">
        <v>4706</v>
      </c>
      <c r="N1055">
        <v>6</v>
      </c>
      <c r="O1055">
        <v>1</v>
      </c>
      <c r="P1055" s="21">
        <f>DATEVALUE(N1055&amp;"-"&amp;M1055&amp;"-"&amp;L1055)</f>
        <v>27612</v>
      </c>
      <c r="Q1055" s="22">
        <v>8551.35</v>
      </c>
      <c r="R1055" s="23" t="s">
        <v>4697</v>
      </c>
      <c r="S1055" s="23" t="s">
        <v>4697</v>
      </c>
      <c r="T1055" s="23" t="s">
        <v>4708</v>
      </c>
      <c r="U1055" s="23">
        <f>DATEDIF(P1055, DATE(2023, 6, 8), "Y")</f>
        <v>47</v>
      </c>
      <c r="V1055">
        <f>SUM(C1055:K1055)</f>
        <v>33.909999999999997</v>
      </c>
    </row>
    <row r="1056" spans="1:22" ht="15.75">
      <c r="A1056" s="28" t="s">
        <v>2110</v>
      </c>
      <c r="B1056" s="28" t="s">
        <v>2111</v>
      </c>
      <c r="C1056" s="23">
        <v>25.66</v>
      </c>
      <c r="D1056" s="23">
        <v>4.62</v>
      </c>
      <c r="E1056" s="23" t="s">
        <v>4683</v>
      </c>
      <c r="F1056" s="23" t="s">
        <v>4682</v>
      </c>
      <c r="G1056" s="23" t="s">
        <v>4682</v>
      </c>
      <c r="H1056" s="23">
        <v>1</v>
      </c>
      <c r="I1056" s="23" t="s">
        <v>4682</v>
      </c>
      <c r="J1056" s="23" t="s">
        <v>4730</v>
      </c>
      <c r="K1056" s="23" t="s">
        <v>4737</v>
      </c>
      <c r="L1056">
        <v>1975</v>
      </c>
      <c r="M1056" s="15" t="s">
        <v>4706</v>
      </c>
      <c r="N1056">
        <v>21</v>
      </c>
      <c r="O1056">
        <v>1</v>
      </c>
      <c r="P1056" s="21">
        <f>DATEVALUE(N1056&amp;"-"&amp;M1056&amp;"-"&amp;L1056)</f>
        <v>27627</v>
      </c>
      <c r="Q1056" s="22">
        <v>8556.91</v>
      </c>
      <c r="R1056" s="23" t="s">
        <v>4697</v>
      </c>
      <c r="S1056" s="23" t="s">
        <v>4701</v>
      </c>
      <c r="T1056" s="23" t="s">
        <v>4708</v>
      </c>
      <c r="U1056" s="23">
        <f>DATEDIF(P1056, DATE(2023, 6, 8), "Y")</f>
        <v>47</v>
      </c>
      <c r="V1056">
        <f>SUM(C1056:K1056)</f>
        <v>31.28</v>
      </c>
    </row>
    <row r="1057" spans="1:22" ht="15.75">
      <c r="A1057" s="28" t="s">
        <v>2112</v>
      </c>
      <c r="B1057" s="28" t="s">
        <v>2113</v>
      </c>
      <c r="C1057" s="23">
        <v>39.11</v>
      </c>
      <c r="D1057" s="23">
        <v>5.87</v>
      </c>
      <c r="E1057" s="23" t="s">
        <v>4682</v>
      </c>
      <c r="F1057" s="23" t="s">
        <v>4682</v>
      </c>
      <c r="G1057" s="23" t="s">
        <v>4682</v>
      </c>
      <c r="H1057" s="23">
        <v>0</v>
      </c>
      <c r="I1057" s="23" t="s">
        <v>4682</v>
      </c>
      <c r="J1057" s="23" t="s">
        <v>4729</v>
      </c>
      <c r="K1057" s="23" t="s">
        <v>4736</v>
      </c>
      <c r="L1057">
        <v>1988</v>
      </c>
      <c r="M1057" s="15" t="s">
        <v>4703</v>
      </c>
      <c r="N1057">
        <v>21</v>
      </c>
      <c r="O1057">
        <v>3</v>
      </c>
      <c r="P1057" s="21">
        <f>DATEVALUE(N1057&amp;"-"&amp;M1057&amp;"-"&amp;L1057)</f>
        <v>32407</v>
      </c>
      <c r="Q1057" s="22">
        <v>8567.25</v>
      </c>
      <c r="R1057" s="23" t="s">
        <v>4697</v>
      </c>
      <c r="S1057" s="23" t="s">
        <v>4701</v>
      </c>
      <c r="T1057" s="23" t="s">
        <v>4704</v>
      </c>
      <c r="U1057" s="23">
        <f>DATEDIF(P1057, DATE(2023, 6, 8), "Y")</f>
        <v>34</v>
      </c>
      <c r="V1057">
        <f>SUM(C1057:K1057)</f>
        <v>44.98</v>
      </c>
    </row>
    <row r="1058" spans="1:22" ht="15.75">
      <c r="A1058" s="28" t="s">
        <v>2114</v>
      </c>
      <c r="B1058" s="28" t="s">
        <v>2115</v>
      </c>
      <c r="C1058" s="23">
        <v>43.78</v>
      </c>
      <c r="D1058" s="23">
        <v>5.71</v>
      </c>
      <c r="E1058" s="23" t="s">
        <v>4682</v>
      </c>
      <c r="F1058" s="23" t="s">
        <v>4682</v>
      </c>
      <c r="G1058" s="23" t="s">
        <v>4682</v>
      </c>
      <c r="H1058" s="23">
        <v>1</v>
      </c>
      <c r="I1058" s="23" t="s">
        <v>4682</v>
      </c>
      <c r="J1058" s="23" t="s">
        <v>4729</v>
      </c>
      <c r="K1058" s="23" t="s">
        <v>4736</v>
      </c>
      <c r="L1058">
        <v>1975</v>
      </c>
      <c r="M1058" s="15" t="s">
        <v>4703</v>
      </c>
      <c r="N1058">
        <v>26</v>
      </c>
      <c r="O1058">
        <v>1</v>
      </c>
      <c r="P1058" s="21">
        <f>DATEVALUE(N1058&amp;"-"&amp;M1058&amp;"-"&amp;L1058)</f>
        <v>27663</v>
      </c>
      <c r="Q1058" s="22">
        <v>8569.86</v>
      </c>
      <c r="R1058" s="23" t="s">
        <v>4697</v>
      </c>
      <c r="S1058" s="23" t="s">
        <v>4698</v>
      </c>
      <c r="T1058" s="23" t="s">
        <v>4699</v>
      </c>
      <c r="U1058" s="23">
        <f>DATEDIF(P1058, DATE(2023, 6, 8), "Y")</f>
        <v>47</v>
      </c>
      <c r="V1058">
        <f>SUM(C1058:K1058)</f>
        <v>50.49</v>
      </c>
    </row>
    <row r="1059" spans="1:22" ht="15.75">
      <c r="A1059" s="28" t="s">
        <v>2116</v>
      </c>
      <c r="B1059" s="28" t="s">
        <v>2117</v>
      </c>
      <c r="C1059" s="23">
        <v>24.35</v>
      </c>
      <c r="D1059" s="23">
        <v>9.08</v>
      </c>
      <c r="E1059" s="23" t="s">
        <v>4682</v>
      </c>
      <c r="F1059" s="23" t="s">
        <v>4682</v>
      </c>
      <c r="G1059" s="23" t="s">
        <v>4682</v>
      </c>
      <c r="H1059" s="23">
        <v>0</v>
      </c>
      <c r="I1059" s="23" t="s">
        <v>4682</v>
      </c>
      <c r="J1059" s="23" t="s">
        <v>4728</v>
      </c>
      <c r="K1059" s="23" t="s">
        <v>4735</v>
      </c>
      <c r="L1059">
        <v>1982</v>
      </c>
      <c r="M1059" s="15" t="s">
        <v>4705</v>
      </c>
      <c r="N1059">
        <v>6</v>
      </c>
      <c r="O1059">
        <v>3</v>
      </c>
      <c r="P1059" s="21">
        <f>DATEVALUE(N1059&amp;"-"&amp;M1059&amp;"-"&amp;L1059)</f>
        <v>30291</v>
      </c>
      <c r="Q1059" s="22">
        <v>8572.0400000000009</v>
      </c>
      <c r="R1059" s="23" t="s">
        <v>4697</v>
      </c>
      <c r="S1059" s="23" t="s">
        <v>4697</v>
      </c>
      <c r="T1059" s="23" t="s">
        <v>4717</v>
      </c>
      <c r="U1059" s="23">
        <f>DATEDIF(P1059, DATE(2023, 6, 8), "Y")</f>
        <v>40</v>
      </c>
      <c r="V1059">
        <f>SUM(C1059:K1059)</f>
        <v>33.43</v>
      </c>
    </row>
    <row r="1060" spans="1:22" ht="15.75">
      <c r="A1060" s="28" t="s">
        <v>2118</v>
      </c>
      <c r="B1060" s="28" t="s">
        <v>2119</v>
      </c>
      <c r="C1060" s="23">
        <v>40.299999999999997</v>
      </c>
      <c r="D1060" s="23">
        <v>5.3</v>
      </c>
      <c r="E1060" s="23" t="s">
        <v>4683</v>
      </c>
      <c r="F1060" s="23" t="s">
        <v>4682</v>
      </c>
      <c r="G1060" s="23" t="s">
        <v>4682</v>
      </c>
      <c r="H1060" s="23">
        <v>2</v>
      </c>
      <c r="I1060" s="23" t="s">
        <v>4682</v>
      </c>
      <c r="J1060" s="23" t="s">
        <v>4729</v>
      </c>
      <c r="K1060" s="23" t="s">
        <v>4737</v>
      </c>
      <c r="L1060">
        <v>1987</v>
      </c>
      <c r="M1060" s="15" t="s">
        <v>4700</v>
      </c>
      <c r="N1060">
        <v>11</v>
      </c>
      <c r="O1060">
        <v>3</v>
      </c>
      <c r="P1060" s="21">
        <f>DATEVALUE(N1060&amp;"-"&amp;M1060&amp;"-"&amp;L1060)</f>
        <v>32092</v>
      </c>
      <c r="Q1060" s="22">
        <v>8573.2999999999993</v>
      </c>
      <c r="R1060" s="23" t="s">
        <v>4697</v>
      </c>
      <c r="S1060" s="23" t="s">
        <v>4697</v>
      </c>
      <c r="T1060" s="23" t="s">
        <v>4717</v>
      </c>
      <c r="U1060" s="23">
        <f>DATEDIF(P1060, DATE(2023, 6, 8), "Y")</f>
        <v>35</v>
      </c>
      <c r="V1060">
        <f>SUM(C1060:K1060)</f>
        <v>47.599999999999994</v>
      </c>
    </row>
    <row r="1061" spans="1:22" ht="15.75">
      <c r="A1061" s="28" t="s">
        <v>2120</v>
      </c>
      <c r="B1061" s="28" t="s">
        <v>2121</v>
      </c>
      <c r="C1061" s="23">
        <v>32.774999999999999</v>
      </c>
      <c r="D1061" s="23">
        <v>11.76</v>
      </c>
      <c r="E1061" s="23" t="s">
        <v>4683</v>
      </c>
      <c r="F1061" s="23" t="s">
        <v>4682</v>
      </c>
      <c r="G1061" s="23" t="s">
        <v>4682</v>
      </c>
      <c r="H1061" s="23">
        <v>0</v>
      </c>
      <c r="I1061" s="23" t="s">
        <v>4682</v>
      </c>
      <c r="J1061" s="23" t="s">
        <v>4729</v>
      </c>
      <c r="K1061" s="23" t="s">
        <v>4735</v>
      </c>
      <c r="L1061">
        <v>1983</v>
      </c>
      <c r="M1061" s="15" t="s">
        <v>4705</v>
      </c>
      <c r="N1061">
        <v>30</v>
      </c>
      <c r="O1061">
        <v>5</v>
      </c>
      <c r="P1061" s="21">
        <f>DATEVALUE(N1061&amp;"-"&amp;M1061&amp;"-"&amp;L1061)</f>
        <v>30680</v>
      </c>
      <c r="Q1061" s="22">
        <v>8582.2999999999993</v>
      </c>
      <c r="R1061" s="23" t="s">
        <v>4697</v>
      </c>
      <c r="S1061" s="23" t="s">
        <v>4701</v>
      </c>
      <c r="T1061" s="23" t="s">
        <v>4699</v>
      </c>
      <c r="U1061" s="23">
        <f>DATEDIF(P1061, DATE(2023, 6, 8), "Y")</f>
        <v>39</v>
      </c>
      <c r="V1061">
        <f>SUM(C1061:K1061)</f>
        <v>44.534999999999997</v>
      </c>
    </row>
    <row r="1062" spans="1:22" ht="15.75">
      <c r="A1062" s="28" t="s">
        <v>2122</v>
      </c>
      <c r="B1062" s="28" t="s">
        <v>2123</v>
      </c>
      <c r="C1062" s="23">
        <v>39.6</v>
      </c>
      <c r="D1062" s="23">
        <v>5.1100000000000003</v>
      </c>
      <c r="E1062" s="23" t="s">
        <v>4683</v>
      </c>
      <c r="F1062" s="23" t="s">
        <v>4682</v>
      </c>
      <c r="G1062" s="23" t="s">
        <v>4682</v>
      </c>
      <c r="H1062" s="23">
        <v>2</v>
      </c>
      <c r="I1062" s="23" t="s">
        <v>4682</v>
      </c>
      <c r="J1062" s="23" t="s">
        <v>4729</v>
      </c>
      <c r="K1062" s="23" t="s">
        <v>4737</v>
      </c>
      <c r="L1062">
        <v>1983</v>
      </c>
      <c r="M1062" s="15" t="s">
        <v>4696</v>
      </c>
      <c r="N1062">
        <v>25</v>
      </c>
      <c r="O1062">
        <v>5</v>
      </c>
      <c r="P1062" s="21">
        <f>DATEVALUE(N1062&amp;"-"&amp;M1062&amp;"-"&amp;L1062)</f>
        <v>30522</v>
      </c>
      <c r="Q1062" s="22">
        <v>8596.83</v>
      </c>
      <c r="R1062" s="23" t="s">
        <v>4697</v>
      </c>
      <c r="S1062" s="23" t="s">
        <v>4698</v>
      </c>
      <c r="T1062" s="23" t="s">
        <v>4699</v>
      </c>
      <c r="U1062" s="23">
        <f>DATEDIF(P1062, DATE(2023, 6, 8), "Y")</f>
        <v>39</v>
      </c>
      <c r="V1062">
        <f>SUM(C1062:K1062)</f>
        <v>46.71</v>
      </c>
    </row>
    <row r="1063" spans="1:22" ht="15.75">
      <c r="A1063" s="28" t="s">
        <v>2124</v>
      </c>
      <c r="B1063" s="28" t="s">
        <v>2125</v>
      </c>
      <c r="C1063" s="23">
        <v>30.97</v>
      </c>
      <c r="D1063" s="23">
        <v>5.54</v>
      </c>
      <c r="E1063" s="23" t="s">
        <v>4682</v>
      </c>
      <c r="F1063" s="23" t="s">
        <v>4682</v>
      </c>
      <c r="G1063" s="23" t="s">
        <v>4682</v>
      </c>
      <c r="H1063" s="23">
        <v>2</v>
      </c>
      <c r="I1063" s="23" t="s">
        <v>4682</v>
      </c>
      <c r="J1063" s="23" t="s">
        <v>4729</v>
      </c>
      <c r="K1063" s="23" t="s">
        <v>4737</v>
      </c>
      <c r="L1063">
        <v>1973</v>
      </c>
      <c r="M1063" s="15" t="s">
        <v>4696</v>
      </c>
      <c r="N1063">
        <v>11</v>
      </c>
      <c r="O1063">
        <v>0</v>
      </c>
      <c r="P1063" s="21">
        <f>DATEVALUE(N1063&amp;"-"&amp;M1063&amp;"-"&amp;L1063)</f>
        <v>26856</v>
      </c>
      <c r="Q1063" s="22">
        <v>8601.33</v>
      </c>
      <c r="R1063" s="23" t="s">
        <v>4697</v>
      </c>
      <c r="S1063" s="23" t="s">
        <v>4701</v>
      </c>
      <c r="T1063" s="23" t="s">
        <v>4699</v>
      </c>
      <c r="U1063" s="23">
        <f>DATEDIF(P1063, DATE(2023, 6, 8), "Y")</f>
        <v>49</v>
      </c>
      <c r="V1063">
        <f>SUM(C1063:K1063)</f>
        <v>38.51</v>
      </c>
    </row>
    <row r="1064" spans="1:22" ht="15.75">
      <c r="A1064" s="28" t="s">
        <v>2126</v>
      </c>
      <c r="B1064" s="28" t="s">
        <v>2127</v>
      </c>
      <c r="C1064" s="23">
        <v>27.645</v>
      </c>
      <c r="D1064" s="23">
        <v>8.8699999999999992</v>
      </c>
      <c r="E1064" s="23" t="s">
        <v>4683</v>
      </c>
      <c r="F1064" s="23" t="s">
        <v>4682</v>
      </c>
      <c r="G1064" s="23" t="s">
        <v>4682</v>
      </c>
      <c r="H1064" s="23">
        <v>0</v>
      </c>
      <c r="I1064" s="23" t="s">
        <v>4682</v>
      </c>
      <c r="J1064" s="23" t="s">
        <v>4730</v>
      </c>
      <c r="K1064" s="23" t="s">
        <v>4735</v>
      </c>
      <c r="L1064">
        <v>1977</v>
      </c>
      <c r="M1064" s="15" t="s">
        <v>4703</v>
      </c>
      <c r="N1064">
        <v>24</v>
      </c>
      <c r="O1064">
        <v>2</v>
      </c>
      <c r="P1064" s="21">
        <f>DATEVALUE(N1064&amp;"-"&amp;M1064&amp;"-"&amp;L1064)</f>
        <v>28392</v>
      </c>
      <c r="Q1064" s="22">
        <v>8603.82</v>
      </c>
      <c r="R1064" s="23" t="s">
        <v>4697</v>
      </c>
      <c r="S1064" s="23" t="s">
        <v>4701</v>
      </c>
      <c r="T1064" s="23" t="s">
        <v>4710</v>
      </c>
      <c r="U1064" s="23">
        <f>DATEDIF(P1064, DATE(2023, 6, 8), "Y")</f>
        <v>45</v>
      </c>
      <c r="V1064">
        <f>SUM(C1064:K1064)</f>
        <v>36.515000000000001</v>
      </c>
    </row>
    <row r="1065" spans="1:22" ht="15.75">
      <c r="A1065" s="28" t="s">
        <v>2128</v>
      </c>
      <c r="B1065" s="28" t="s">
        <v>2129</v>
      </c>
      <c r="C1065" s="23">
        <v>34.43</v>
      </c>
      <c r="D1065" s="23">
        <v>5.96</v>
      </c>
      <c r="E1065" s="23" t="s">
        <v>4683</v>
      </c>
      <c r="F1065" s="23" t="s">
        <v>4682</v>
      </c>
      <c r="G1065" s="23" t="s">
        <v>4682</v>
      </c>
      <c r="H1065" s="23">
        <v>2</v>
      </c>
      <c r="I1065" s="23" t="s">
        <v>4682</v>
      </c>
      <c r="J1065" s="23" t="s">
        <v>4729</v>
      </c>
      <c r="K1065" s="23" t="s">
        <v>4736</v>
      </c>
      <c r="L1065">
        <v>1977</v>
      </c>
      <c r="M1065" s="15" t="s">
        <v>4700</v>
      </c>
      <c r="N1065">
        <v>12</v>
      </c>
      <c r="O1065">
        <v>2</v>
      </c>
      <c r="P1065" s="21">
        <f>DATEVALUE(N1065&amp;"-"&amp;M1065&amp;"-"&amp;L1065)</f>
        <v>28441</v>
      </c>
      <c r="Q1065" s="22">
        <v>8604.48</v>
      </c>
      <c r="R1065" s="23" t="s">
        <v>4698</v>
      </c>
      <c r="S1065" s="23" t="s">
        <v>4697</v>
      </c>
      <c r="T1065" s="23" t="s">
        <v>4711</v>
      </c>
      <c r="U1065" s="23">
        <f>DATEDIF(P1065, DATE(2023, 6, 8), "Y")</f>
        <v>45</v>
      </c>
      <c r="V1065">
        <f>SUM(C1065:K1065)</f>
        <v>42.39</v>
      </c>
    </row>
    <row r="1066" spans="1:22" ht="15.75">
      <c r="A1066" s="28" t="s">
        <v>2130</v>
      </c>
      <c r="B1066" s="28" t="s">
        <v>2131</v>
      </c>
      <c r="C1066" s="23">
        <v>39.6</v>
      </c>
      <c r="D1066" s="23">
        <v>4.4400000000000004</v>
      </c>
      <c r="E1066" s="23" t="s">
        <v>4683</v>
      </c>
      <c r="F1066" s="23" t="s">
        <v>4682</v>
      </c>
      <c r="G1066" s="23" t="s">
        <v>4684</v>
      </c>
      <c r="H1066" s="23">
        <v>1</v>
      </c>
      <c r="I1066" s="23" t="s">
        <v>4682</v>
      </c>
      <c r="J1066" s="23" t="s">
        <v>4729</v>
      </c>
      <c r="K1066" s="23" t="s">
        <v>4737</v>
      </c>
      <c r="L1066">
        <v>1977</v>
      </c>
      <c r="M1066" s="15" t="s">
        <v>4707</v>
      </c>
      <c r="N1066">
        <v>15</v>
      </c>
      <c r="O1066">
        <v>3</v>
      </c>
      <c r="P1066" s="21">
        <f>DATEVALUE(N1066&amp;"-"&amp;M1066&amp;"-"&amp;L1066)</f>
        <v>28413</v>
      </c>
      <c r="Q1066" s="22">
        <v>8605.36</v>
      </c>
      <c r="R1066" s="23" t="s">
        <v>4697</v>
      </c>
      <c r="S1066" s="23" t="s">
        <v>4697</v>
      </c>
      <c r="T1066" s="23" t="s">
        <v>4699</v>
      </c>
      <c r="U1066" s="23">
        <f>DATEDIF(P1066, DATE(2023, 6, 8), "Y")</f>
        <v>45</v>
      </c>
      <c r="V1066">
        <f>SUM(C1066:K1066)</f>
        <v>45.04</v>
      </c>
    </row>
    <row r="1067" spans="1:22" ht="15.75">
      <c r="A1067" s="28" t="s">
        <v>2132</v>
      </c>
      <c r="B1067" s="28" t="s">
        <v>2133</v>
      </c>
      <c r="C1067" s="23">
        <v>22.1</v>
      </c>
      <c r="D1067" s="23">
        <v>4.6500000000000004</v>
      </c>
      <c r="E1067" s="23" t="s">
        <v>4683</v>
      </c>
      <c r="F1067" s="23" t="s">
        <v>4682</v>
      </c>
      <c r="G1067" s="23" t="s">
        <v>4682</v>
      </c>
      <c r="H1067" s="23">
        <v>2</v>
      </c>
      <c r="I1067" s="23" t="s">
        <v>4682</v>
      </c>
      <c r="J1067" s="23" t="s">
        <v>4728</v>
      </c>
      <c r="K1067" s="23" t="s">
        <v>4737</v>
      </c>
      <c r="L1067">
        <v>1979</v>
      </c>
      <c r="M1067" s="15" t="s">
        <v>4696</v>
      </c>
      <c r="N1067">
        <v>17</v>
      </c>
      <c r="O1067">
        <v>3</v>
      </c>
      <c r="P1067" s="21">
        <f>DATEVALUE(N1067&amp;"-"&amp;M1067&amp;"-"&amp;L1067)</f>
        <v>29053</v>
      </c>
      <c r="Q1067" s="22">
        <v>8606.2199999999993</v>
      </c>
      <c r="R1067" s="23" t="s">
        <v>4701</v>
      </c>
      <c r="S1067" s="23" t="s">
        <v>4697</v>
      </c>
      <c r="T1067" s="23" t="s">
        <v>4716</v>
      </c>
      <c r="U1067" s="23">
        <f>DATEDIF(P1067, DATE(2023, 6, 8), "Y")</f>
        <v>43</v>
      </c>
      <c r="V1067">
        <f>SUM(C1067:K1067)</f>
        <v>28.75</v>
      </c>
    </row>
    <row r="1068" spans="1:22" ht="15.75">
      <c r="A1068" s="28" t="s">
        <v>2134</v>
      </c>
      <c r="B1068" s="28" t="s">
        <v>2135</v>
      </c>
      <c r="C1068" s="23">
        <v>33.25</v>
      </c>
      <c r="D1068" s="23">
        <v>5.64</v>
      </c>
      <c r="E1068" s="23" t="s">
        <v>4683</v>
      </c>
      <c r="F1068" s="23" t="s">
        <v>4682</v>
      </c>
      <c r="G1068" s="23" t="s">
        <v>4684</v>
      </c>
      <c r="H1068" s="23">
        <v>1</v>
      </c>
      <c r="I1068" s="23" t="s">
        <v>4682</v>
      </c>
      <c r="J1068" s="23" t="s">
        <v>4729</v>
      </c>
      <c r="K1068" s="23" t="s">
        <v>4737</v>
      </c>
      <c r="L1068">
        <v>1977</v>
      </c>
      <c r="M1068" s="15" t="s">
        <v>4703</v>
      </c>
      <c r="N1068">
        <v>2</v>
      </c>
      <c r="O1068">
        <v>3</v>
      </c>
      <c r="P1068" s="21">
        <f>DATEVALUE(N1068&amp;"-"&amp;M1068&amp;"-"&amp;L1068)</f>
        <v>28370</v>
      </c>
      <c r="Q1068" s="22">
        <v>8615.2999999999993</v>
      </c>
      <c r="R1068" s="23" t="s">
        <v>4697</v>
      </c>
      <c r="S1068" s="23" t="s">
        <v>4698</v>
      </c>
      <c r="T1068" s="23" t="s">
        <v>4708</v>
      </c>
      <c r="U1068" s="23">
        <f>DATEDIF(P1068, DATE(2023, 6, 8), "Y")</f>
        <v>45</v>
      </c>
      <c r="V1068">
        <f>SUM(C1068:K1068)</f>
        <v>39.89</v>
      </c>
    </row>
    <row r="1069" spans="1:22" ht="15.75">
      <c r="A1069" s="28" t="s">
        <v>2136</v>
      </c>
      <c r="B1069" s="28" t="s">
        <v>2137</v>
      </c>
      <c r="C1069" s="23">
        <v>33.33</v>
      </c>
      <c r="D1069" s="23">
        <v>10.19</v>
      </c>
      <c r="E1069" s="23" t="s">
        <v>4682</v>
      </c>
      <c r="F1069" s="23" t="s">
        <v>4682</v>
      </c>
      <c r="G1069" s="23" t="s">
        <v>4682</v>
      </c>
      <c r="H1069" s="23">
        <v>0</v>
      </c>
      <c r="I1069" s="23" t="s">
        <v>4682</v>
      </c>
      <c r="J1069" s="23" t="s">
        <v>4729</v>
      </c>
      <c r="K1069" s="23" t="s">
        <v>4735</v>
      </c>
      <c r="L1069">
        <v>1975</v>
      </c>
      <c r="M1069" s="15" t="s">
        <v>4706</v>
      </c>
      <c r="N1069">
        <v>3</v>
      </c>
      <c r="O1069">
        <v>1</v>
      </c>
      <c r="P1069" s="21">
        <f>DATEVALUE(N1069&amp;"-"&amp;M1069&amp;"-"&amp;L1069)</f>
        <v>27609</v>
      </c>
      <c r="Q1069" s="22">
        <v>8627.5400000000009</v>
      </c>
      <c r="R1069" s="23" t="s">
        <v>4697</v>
      </c>
      <c r="S1069" s="23" t="s">
        <v>4697</v>
      </c>
      <c r="T1069" s="23" t="s">
        <v>4718</v>
      </c>
      <c r="U1069" s="23">
        <f>DATEDIF(P1069, DATE(2023, 6, 8), "Y")</f>
        <v>47</v>
      </c>
      <c r="V1069">
        <f>SUM(C1069:K1069)</f>
        <v>43.519999999999996</v>
      </c>
    </row>
    <row r="1070" spans="1:22" ht="15.75">
      <c r="A1070" s="28" t="s">
        <v>2138</v>
      </c>
      <c r="B1070" s="28" t="s">
        <v>2139</v>
      </c>
      <c r="C1070" s="23">
        <v>30.5</v>
      </c>
      <c r="D1070" s="23">
        <v>10.79</v>
      </c>
      <c r="E1070" s="23" t="s">
        <v>4682</v>
      </c>
      <c r="F1070" s="23" t="s">
        <v>4682</v>
      </c>
      <c r="G1070" s="23" t="s">
        <v>4682</v>
      </c>
      <c r="H1070" s="23">
        <v>0</v>
      </c>
      <c r="I1070" s="23" t="s">
        <v>4682</v>
      </c>
      <c r="J1070" s="23" t="s">
        <v>4729</v>
      </c>
      <c r="K1070" s="23" t="s">
        <v>4735</v>
      </c>
      <c r="L1070">
        <v>1965</v>
      </c>
      <c r="M1070" s="15" t="s">
        <v>4707</v>
      </c>
      <c r="N1070">
        <v>21</v>
      </c>
      <c r="O1070">
        <v>0</v>
      </c>
      <c r="P1070" s="21">
        <f>DATEVALUE(N1070&amp;"-"&amp;M1070&amp;"-"&amp;L1070)</f>
        <v>24036</v>
      </c>
      <c r="Q1070" s="22">
        <v>8665.09</v>
      </c>
      <c r="R1070" s="23" t="s">
        <v>4698</v>
      </c>
      <c r="S1070" s="23" t="s">
        <v>4697</v>
      </c>
      <c r="T1070" s="23" t="s">
        <v>4704</v>
      </c>
      <c r="U1070" s="23">
        <f>DATEDIF(P1070, DATE(2023, 6, 8), "Y")</f>
        <v>57</v>
      </c>
      <c r="V1070">
        <f>SUM(C1070:K1070)</f>
        <v>41.29</v>
      </c>
    </row>
    <row r="1071" spans="1:22" ht="15.75">
      <c r="A1071" s="28" t="s">
        <v>2140</v>
      </c>
      <c r="B1071" s="28" t="s">
        <v>2141</v>
      </c>
      <c r="C1071" s="23">
        <v>30.3</v>
      </c>
      <c r="D1071" s="23">
        <v>4.24</v>
      </c>
      <c r="E1071" s="23" t="s">
        <v>4682</v>
      </c>
      <c r="F1071" s="23" t="s">
        <v>4682</v>
      </c>
      <c r="G1071" s="23" t="s">
        <v>4682</v>
      </c>
      <c r="H1071" s="23">
        <v>0</v>
      </c>
      <c r="I1071" s="23" t="s">
        <v>4682</v>
      </c>
      <c r="J1071" s="23" t="s">
        <v>4729</v>
      </c>
      <c r="K1071" s="23" t="s">
        <v>4737</v>
      </c>
      <c r="L1071">
        <v>1969</v>
      </c>
      <c r="M1071" s="15" t="s">
        <v>4706</v>
      </c>
      <c r="N1071">
        <v>10</v>
      </c>
      <c r="O1071">
        <v>0</v>
      </c>
      <c r="P1071" s="21">
        <f>DATEVALUE(N1071&amp;"-"&amp;M1071&amp;"-"&amp;L1071)</f>
        <v>25425</v>
      </c>
      <c r="Q1071" s="22">
        <v>8665.14</v>
      </c>
      <c r="R1071" s="23" t="s">
        <v>4697</v>
      </c>
      <c r="S1071" s="23" t="s">
        <v>4698</v>
      </c>
      <c r="T1071" s="23" t="s">
        <v>4699</v>
      </c>
      <c r="U1071" s="23">
        <f>DATEDIF(P1071, DATE(2023, 6, 8), "Y")</f>
        <v>53</v>
      </c>
      <c r="V1071">
        <f>SUM(C1071:K1071)</f>
        <v>34.54</v>
      </c>
    </row>
    <row r="1072" spans="1:22" ht="15.75">
      <c r="A1072" s="28" t="s">
        <v>2142</v>
      </c>
      <c r="B1072" s="28" t="s">
        <v>2143</v>
      </c>
      <c r="C1072" s="23">
        <v>26.22</v>
      </c>
      <c r="D1072" s="23">
        <v>5.83</v>
      </c>
      <c r="E1072" s="23" t="s">
        <v>4682</v>
      </c>
      <c r="F1072" s="23" t="s">
        <v>4682</v>
      </c>
      <c r="G1072" s="23" t="s">
        <v>4682</v>
      </c>
      <c r="H1072" s="23">
        <v>2</v>
      </c>
      <c r="I1072" s="23" t="s">
        <v>4682</v>
      </c>
      <c r="J1072" s="23" t="s">
        <v>4730</v>
      </c>
      <c r="K1072" s="23" t="s">
        <v>4736</v>
      </c>
      <c r="L1072">
        <v>1974</v>
      </c>
      <c r="M1072" s="15" t="s">
        <v>4706</v>
      </c>
      <c r="N1072">
        <v>16</v>
      </c>
      <c r="O1072">
        <v>0</v>
      </c>
      <c r="P1072" s="21">
        <f>DATEVALUE(N1072&amp;"-"&amp;M1072&amp;"-"&amp;L1072)</f>
        <v>27257</v>
      </c>
      <c r="Q1072" s="22">
        <v>8671.19</v>
      </c>
      <c r="R1072" s="23" t="s">
        <v>4697</v>
      </c>
      <c r="S1072" s="23" t="s">
        <v>4701</v>
      </c>
      <c r="T1072" s="23" t="s">
        <v>4704</v>
      </c>
      <c r="U1072" s="23">
        <f>DATEDIF(P1072, DATE(2023, 6, 8), "Y")</f>
        <v>48</v>
      </c>
      <c r="V1072">
        <f>SUM(C1072:K1072)</f>
        <v>34.049999999999997</v>
      </c>
    </row>
    <row r="1073" spans="1:22" ht="15.75">
      <c r="A1073" s="28" t="s">
        <v>2144</v>
      </c>
      <c r="B1073" s="28" t="s">
        <v>2145</v>
      </c>
      <c r="C1073" s="23">
        <v>29.99</v>
      </c>
      <c r="D1073" s="23">
        <v>11.85</v>
      </c>
      <c r="E1073" s="23" t="s">
        <v>4682</v>
      </c>
      <c r="F1073" s="23" t="s">
        <v>4682</v>
      </c>
      <c r="G1073" s="23" t="s">
        <v>4682</v>
      </c>
      <c r="H1073" s="23">
        <v>0</v>
      </c>
      <c r="I1073" s="23" t="s">
        <v>4682</v>
      </c>
      <c r="J1073" s="23" t="s">
        <v>4729</v>
      </c>
      <c r="K1073" s="23" t="s">
        <v>4735</v>
      </c>
      <c r="L1073">
        <v>1973</v>
      </c>
      <c r="M1073" s="15" t="s">
        <v>4707</v>
      </c>
      <c r="N1073">
        <v>11</v>
      </c>
      <c r="O1073">
        <v>0</v>
      </c>
      <c r="P1073" s="21">
        <f>DATEVALUE(N1073&amp;"-"&amp;M1073&amp;"-"&amp;L1073)</f>
        <v>26948</v>
      </c>
      <c r="Q1073" s="22">
        <v>8688.86</v>
      </c>
      <c r="R1073" s="23" t="s">
        <v>4697</v>
      </c>
      <c r="S1073" s="23" t="s">
        <v>4701</v>
      </c>
      <c r="T1073" s="23" t="s">
        <v>4718</v>
      </c>
      <c r="U1073" s="23">
        <f>DATEDIF(P1073, DATE(2023, 6, 8), "Y")</f>
        <v>49</v>
      </c>
      <c r="V1073">
        <f>SUM(C1073:K1073)</f>
        <v>41.839999999999996</v>
      </c>
    </row>
    <row r="1074" spans="1:22" ht="15.75">
      <c r="A1074" s="28" t="s">
        <v>2146</v>
      </c>
      <c r="B1074" s="28" t="s">
        <v>2147</v>
      </c>
      <c r="C1074" s="23">
        <v>36.380000000000003</v>
      </c>
      <c r="D1074" s="23">
        <v>5.98</v>
      </c>
      <c r="E1074" s="23" t="s">
        <v>4682</v>
      </c>
      <c r="F1074" s="23" t="s">
        <v>4682</v>
      </c>
      <c r="G1074" s="23" t="s">
        <v>4682</v>
      </c>
      <c r="H1074" s="23">
        <v>1</v>
      </c>
      <c r="I1074" s="23" t="s">
        <v>4682</v>
      </c>
      <c r="J1074" s="23" t="s">
        <v>4729</v>
      </c>
      <c r="K1074" s="23" t="s">
        <v>4736</v>
      </c>
      <c r="L1074">
        <v>1980</v>
      </c>
      <c r="M1074" s="15" t="s">
        <v>4707</v>
      </c>
      <c r="N1074">
        <v>28</v>
      </c>
      <c r="O1074">
        <v>2</v>
      </c>
      <c r="P1074" s="21">
        <f>DATEVALUE(N1074&amp;"-"&amp;M1074&amp;"-"&amp;L1074)</f>
        <v>29522</v>
      </c>
      <c r="Q1074" s="22">
        <v>8701.84</v>
      </c>
      <c r="R1074" s="23" t="s">
        <v>4697</v>
      </c>
      <c r="S1074" s="23" t="s">
        <v>4698</v>
      </c>
      <c r="T1074" s="23" t="s">
        <v>4717</v>
      </c>
      <c r="U1074" s="23">
        <f>DATEDIF(P1074, DATE(2023, 6, 8), "Y")</f>
        <v>42</v>
      </c>
      <c r="V1074">
        <f>SUM(C1074:K1074)</f>
        <v>43.36</v>
      </c>
    </row>
    <row r="1075" spans="1:22" ht="15.75">
      <c r="A1075" s="28" t="s">
        <v>2148</v>
      </c>
      <c r="B1075" s="28" t="s">
        <v>2149</v>
      </c>
      <c r="C1075" s="23">
        <v>31.16</v>
      </c>
      <c r="D1075" s="23">
        <v>4.26</v>
      </c>
      <c r="E1075" s="23" t="s">
        <v>4683</v>
      </c>
      <c r="F1075" s="23" t="s">
        <v>4682</v>
      </c>
      <c r="G1075" s="23" t="s">
        <v>4684</v>
      </c>
      <c r="H1075" s="23">
        <v>1</v>
      </c>
      <c r="I1075" s="23" t="s">
        <v>4682</v>
      </c>
      <c r="J1075" s="23" t="s">
        <v>4729</v>
      </c>
      <c r="K1075" s="23" t="s">
        <v>4737</v>
      </c>
      <c r="L1075">
        <v>1973</v>
      </c>
      <c r="M1075" s="15" t="s">
        <v>4702</v>
      </c>
      <c r="N1075">
        <v>25</v>
      </c>
      <c r="O1075">
        <v>1</v>
      </c>
      <c r="P1075" s="21">
        <f>DATEVALUE(N1075&amp;"-"&amp;M1075&amp;"-"&amp;L1075)</f>
        <v>26840</v>
      </c>
      <c r="Q1075" s="22">
        <v>8703.4599999999991</v>
      </c>
      <c r="R1075" s="23" t="s">
        <v>4698</v>
      </c>
      <c r="S1075" s="23" t="s">
        <v>4698</v>
      </c>
      <c r="T1075" s="23" t="s">
        <v>4708</v>
      </c>
      <c r="U1075" s="23">
        <f>DATEDIF(P1075, DATE(2023, 6, 8), "Y")</f>
        <v>49</v>
      </c>
      <c r="V1075">
        <f>SUM(C1075:K1075)</f>
        <v>36.42</v>
      </c>
    </row>
    <row r="1076" spans="1:22" ht="15.75">
      <c r="A1076" s="28" t="s">
        <v>2150</v>
      </c>
      <c r="B1076" s="28" t="s">
        <v>2151</v>
      </c>
      <c r="C1076" s="23">
        <v>25.55</v>
      </c>
      <c r="D1076" s="23">
        <v>4.96</v>
      </c>
      <c r="E1076" s="23" t="s">
        <v>4683</v>
      </c>
      <c r="F1076" s="23" t="s">
        <v>4682</v>
      </c>
      <c r="G1076" s="23" t="s">
        <v>4682</v>
      </c>
      <c r="H1076" s="23">
        <v>1</v>
      </c>
      <c r="I1076" s="23" t="s">
        <v>4682</v>
      </c>
      <c r="J1076" s="23" t="s">
        <v>4730</v>
      </c>
      <c r="K1076" s="23" t="s">
        <v>4737</v>
      </c>
      <c r="L1076">
        <v>1976</v>
      </c>
      <c r="M1076" s="15" t="s">
        <v>4702</v>
      </c>
      <c r="N1076">
        <v>17</v>
      </c>
      <c r="O1076">
        <v>2</v>
      </c>
      <c r="P1076" s="21">
        <f>DATEVALUE(N1076&amp;"-"&amp;M1076&amp;"-"&amp;L1076)</f>
        <v>27928</v>
      </c>
      <c r="Q1076" s="22">
        <v>8733.23</v>
      </c>
      <c r="R1076" s="23" t="s">
        <v>4697</v>
      </c>
      <c r="S1076" s="23" t="s">
        <v>4698</v>
      </c>
      <c r="T1076" s="23" t="s">
        <v>4704</v>
      </c>
      <c r="U1076" s="23">
        <f>DATEDIF(P1076, DATE(2023, 6, 8), "Y")</f>
        <v>46</v>
      </c>
      <c r="V1076">
        <f>SUM(C1076:K1076)</f>
        <v>31.51</v>
      </c>
    </row>
    <row r="1077" spans="1:22" ht="15.75">
      <c r="A1077" s="28" t="s">
        <v>2152</v>
      </c>
      <c r="B1077" s="28" t="s">
        <v>2153</v>
      </c>
      <c r="C1077" s="23">
        <v>28.77</v>
      </c>
      <c r="D1077" s="23">
        <v>4</v>
      </c>
      <c r="E1077" s="23" t="s">
        <v>4683</v>
      </c>
      <c r="F1077" s="23" t="s">
        <v>4682</v>
      </c>
      <c r="G1077" s="23" t="s">
        <v>4682</v>
      </c>
      <c r="H1077" s="23">
        <v>0</v>
      </c>
      <c r="I1077" s="23" t="s">
        <v>4682</v>
      </c>
      <c r="J1077" s="23" t="s">
        <v>4730</v>
      </c>
      <c r="K1077" s="23" t="s">
        <v>4737</v>
      </c>
      <c r="L1077">
        <v>1999</v>
      </c>
      <c r="M1077" s="15" t="s">
        <v>4706</v>
      </c>
      <c r="N1077">
        <v>23</v>
      </c>
      <c r="O1077">
        <v>0</v>
      </c>
      <c r="P1077" s="21">
        <f>DATEVALUE(N1077&amp;"-"&amp;M1077&amp;"-"&amp;L1077)</f>
        <v>36395</v>
      </c>
      <c r="Q1077" s="22">
        <v>8747.68</v>
      </c>
      <c r="R1077" s="23" t="s">
        <v>4697</v>
      </c>
      <c r="S1077" s="23" t="s">
        <v>4698</v>
      </c>
      <c r="T1077" s="23" t="s">
        <v>4708</v>
      </c>
      <c r="U1077" s="23">
        <f>DATEDIF(P1077, DATE(2023, 6, 8), "Y")</f>
        <v>23</v>
      </c>
      <c r="V1077">
        <f>SUM(C1077:K1077)</f>
        <v>32.769999999999996</v>
      </c>
    </row>
    <row r="1078" spans="1:22" ht="15.75">
      <c r="A1078" s="28" t="s">
        <v>2154</v>
      </c>
      <c r="B1078" s="28" t="s">
        <v>2155</v>
      </c>
      <c r="C1078" s="23">
        <v>23.14</v>
      </c>
      <c r="D1078" s="23">
        <v>4.1500000000000004</v>
      </c>
      <c r="E1078" s="23" t="s">
        <v>4683</v>
      </c>
      <c r="F1078" s="23" t="s">
        <v>4682</v>
      </c>
      <c r="G1078" s="23" t="s">
        <v>4682</v>
      </c>
      <c r="H1078" s="23">
        <v>1</v>
      </c>
      <c r="I1078" s="23" t="s">
        <v>4682</v>
      </c>
      <c r="J1078" s="23" t="s">
        <v>4728</v>
      </c>
      <c r="K1078" s="23" t="s">
        <v>4737</v>
      </c>
      <c r="L1078">
        <v>1969</v>
      </c>
      <c r="M1078" s="15" t="s">
        <v>4703</v>
      </c>
      <c r="N1078">
        <v>9</v>
      </c>
      <c r="O1078">
        <v>0</v>
      </c>
      <c r="P1078" s="21">
        <f>DATEVALUE(N1078&amp;"-"&amp;M1078&amp;"-"&amp;L1078)</f>
        <v>25455</v>
      </c>
      <c r="Q1078" s="22">
        <v>8760.1200000000008</v>
      </c>
      <c r="R1078" s="23" t="s">
        <v>4697</v>
      </c>
      <c r="S1078" s="23" t="s">
        <v>4701</v>
      </c>
      <c r="T1078" s="23" t="s">
        <v>4699</v>
      </c>
      <c r="U1078" s="23">
        <f>DATEDIF(P1078, DATE(2023, 6, 8), "Y")</f>
        <v>53</v>
      </c>
      <c r="V1078">
        <f>SUM(C1078:K1078)</f>
        <v>28.29</v>
      </c>
    </row>
    <row r="1079" spans="1:22" ht="15.75">
      <c r="A1079" s="28" t="s">
        <v>2156</v>
      </c>
      <c r="B1079" s="28" t="s">
        <v>2157</v>
      </c>
      <c r="C1079" s="23">
        <v>39.6</v>
      </c>
      <c r="D1079" s="23">
        <v>11.36</v>
      </c>
      <c r="E1079" s="23" t="s">
        <v>4682</v>
      </c>
      <c r="F1079" s="23" t="s">
        <v>4682</v>
      </c>
      <c r="G1079" s="23" t="s">
        <v>4682</v>
      </c>
      <c r="H1079" s="23">
        <v>0</v>
      </c>
      <c r="I1079" s="23" t="s">
        <v>4682</v>
      </c>
      <c r="J1079" s="23" t="s">
        <v>4729</v>
      </c>
      <c r="K1079" s="23" t="s">
        <v>4735</v>
      </c>
      <c r="L1079">
        <v>1974</v>
      </c>
      <c r="M1079" s="15" t="s">
        <v>4703</v>
      </c>
      <c r="N1079">
        <v>6</v>
      </c>
      <c r="O1079">
        <v>1</v>
      </c>
      <c r="P1079" s="21">
        <f>DATEVALUE(N1079&amp;"-"&amp;M1079&amp;"-"&amp;L1079)</f>
        <v>27278</v>
      </c>
      <c r="Q1079" s="22">
        <v>8765.25</v>
      </c>
      <c r="R1079" s="23" t="s">
        <v>4697</v>
      </c>
      <c r="S1079" s="23" t="s">
        <v>4698</v>
      </c>
      <c r="T1079" s="23" t="s">
        <v>4704</v>
      </c>
      <c r="U1079" s="23">
        <f>DATEDIF(P1079, DATE(2023, 6, 8), "Y")</f>
        <v>48</v>
      </c>
      <c r="V1079">
        <f>SUM(C1079:K1079)</f>
        <v>50.96</v>
      </c>
    </row>
    <row r="1080" spans="1:22" ht="15.75">
      <c r="A1080" s="28" t="s">
        <v>2158</v>
      </c>
      <c r="B1080" s="28" t="s">
        <v>2159</v>
      </c>
      <c r="C1080" s="23">
        <v>29.2</v>
      </c>
      <c r="D1080" s="23">
        <v>7.53</v>
      </c>
      <c r="E1080" s="23" t="s">
        <v>4682</v>
      </c>
      <c r="F1080" s="23" t="s">
        <v>4682</v>
      </c>
      <c r="G1080" s="23" t="s">
        <v>4682</v>
      </c>
      <c r="H1080" s="23">
        <v>0</v>
      </c>
      <c r="I1080" s="23" t="s">
        <v>4682</v>
      </c>
      <c r="J1080" s="23" t="s">
        <v>4730</v>
      </c>
      <c r="K1080" s="23" t="s">
        <v>4735</v>
      </c>
      <c r="L1080">
        <v>1971</v>
      </c>
      <c r="M1080" s="15" t="s">
        <v>4706</v>
      </c>
      <c r="N1080">
        <v>23</v>
      </c>
      <c r="O1080">
        <v>0</v>
      </c>
      <c r="P1080" s="21">
        <f>DATEVALUE(N1080&amp;"-"&amp;M1080&amp;"-"&amp;L1080)</f>
        <v>26168</v>
      </c>
      <c r="Q1080" s="22">
        <v>8782.4699999999993</v>
      </c>
      <c r="R1080" s="23" t="s">
        <v>4697</v>
      </c>
      <c r="S1080" s="23" t="s">
        <v>4698</v>
      </c>
      <c r="T1080" s="23" t="s">
        <v>4708</v>
      </c>
      <c r="U1080" s="23">
        <f>DATEDIF(P1080, DATE(2023, 6, 8), "Y")</f>
        <v>51</v>
      </c>
      <c r="V1080">
        <f>SUM(C1080:K1080)</f>
        <v>36.729999999999997</v>
      </c>
    </row>
    <row r="1081" spans="1:22" ht="15.75">
      <c r="A1081" s="28" t="s">
        <v>2160</v>
      </c>
      <c r="B1081" s="28" t="s">
        <v>2161</v>
      </c>
      <c r="C1081" s="23">
        <v>32.774999999999999</v>
      </c>
      <c r="D1081" s="23">
        <v>7.95</v>
      </c>
      <c r="E1081" s="23" t="s">
        <v>4682</v>
      </c>
      <c r="F1081" s="23" t="s">
        <v>4682</v>
      </c>
      <c r="G1081" s="23" t="s">
        <v>4682</v>
      </c>
      <c r="H1081" s="23">
        <v>0</v>
      </c>
      <c r="I1081" s="23" t="s">
        <v>4682</v>
      </c>
      <c r="J1081" s="23" t="s">
        <v>4729</v>
      </c>
      <c r="K1081" s="23" t="s">
        <v>4735</v>
      </c>
      <c r="L1081">
        <v>1971</v>
      </c>
      <c r="M1081" s="15" t="s">
        <v>4702</v>
      </c>
      <c r="N1081">
        <v>18</v>
      </c>
      <c r="O1081">
        <v>0</v>
      </c>
      <c r="P1081" s="21">
        <f>DATEVALUE(N1081&amp;"-"&amp;M1081&amp;"-"&amp;L1081)</f>
        <v>26102</v>
      </c>
      <c r="Q1081" s="22">
        <v>8798.59</v>
      </c>
      <c r="R1081" s="23" t="s">
        <v>4697</v>
      </c>
      <c r="S1081" s="23" t="s">
        <v>4701</v>
      </c>
      <c r="T1081" s="23" t="s">
        <v>4708</v>
      </c>
      <c r="U1081" s="23">
        <f>DATEDIF(P1081, DATE(2023, 6, 8), "Y")</f>
        <v>51</v>
      </c>
      <c r="V1081">
        <f>SUM(C1081:K1081)</f>
        <v>40.725000000000001</v>
      </c>
    </row>
    <row r="1082" spans="1:22" ht="15.75">
      <c r="A1082" s="28" t="s">
        <v>2162</v>
      </c>
      <c r="B1082" s="28" t="s">
        <v>2163</v>
      </c>
      <c r="C1082" s="23">
        <v>24.035</v>
      </c>
      <c r="D1082" s="23">
        <v>8.5</v>
      </c>
      <c r="E1082" s="23" t="s">
        <v>4682</v>
      </c>
      <c r="F1082" s="23" t="s">
        <v>4682</v>
      </c>
      <c r="G1082" s="23" t="s">
        <v>4682</v>
      </c>
      <c r="H1082" s="23">
        <v>0</v>
      </c>
      <c r="I1082" s="23" t="s">
        <v>4682</v>
      </c>
      <c r="J1082" s="23" t="s">
        <v>4728</v>
      </c>
      <c r="K1082" s="23" t="s">
        <v>4735</v>
      </c>
      <c r="L1082">
        <v>1965</v>
      </c>
      <c r="M1082" s="15" t="s">
        <v>4706</v>
      </c>
      <c r="N1082">
        <v>29</v>
      </c>
      <c r="O1082">
        <v>0</v>
      </c>
      <c r="P1082" s="21">
        <f>DATEVALUE(N1082&amp;"-"&amp;M1082&amp;"-"&amp;L1082)</f>
        <v>23983</v>
      </c>
      <c r="Q1082" s="22">
        <v>8800.49</v>
      </c>
      <c r="R1082" s="23" t="s">
        <v>4698</v>
      </c>
      <c r="S1082" s="23" t="s">
        <v>4697</v>
      </c>
      <c r="T1082" s="23" t="s">
        <v>4699</v>
      </c>
      <c r="U1082" s="23">
        <f>DATEDIF(P1082, DATE(2023, 6, 8), "Y")</f>
        <v>57</v>
      </c>
      <c r="V1082">
        <f>SUM(C1082:K1082)</f>
        <v>32.534999999999997</v>
      </c>
    </row>
    <row r="1083" spans="1:22" ht="15.75">
      <c r="A1083" s="28" t="s">
        <v>2164</v>
      </c>
      <c r="B1083" s="28" t="s">
        <v>2165</v>
      </c>
      <c r="C1083" s="23">
        <v>30.55</v>
      </c>
      <c r="D1083" s="23">
        <v>5.89</v>
      </c>
      <c r="E1083" s="23" t="s">
        <v>4682</v>
      </c>
      <c r="F1083" s="23" t="s">
        <v>4682</v>
      </c>
      <c r="G1083" s="23" t="s">
        <v>4684</v>
      </c>
      <c r="H1083" s="23">
        <v>1</v>
      </c>
      <c r="I1083" s="23" t="s">
        <v>4682</v>
      </c>
      <c r="J1083" s="23" t="s">
        <v>4729</v>
      </c>
      <c r="K1083" s="23" t="s">
        <v>4736</v>
      </c>
      <c r="L1083">
        <v>2001</v>
      </c>
      <c r="M1083" s="15" t="s">
        <v>4700</v>
      </c>
      <c r="N1083">
        <v>7</v>
      </c>
      <c r="O1083">
        <v>0</v>
      </c>
      <c r="P1083" s="21">
        <f>DATEVALUE(N1083&amp;"-"&amp;M1083&amp;"-"&amp;L1083)</f>
        <v>37202</v>
      </c>
      <c r="Q1083" s="22">
        <v>8821.8799999999992</v>
      </c>
      <c r="R1083" s="23" t="s">
        <v>4697</v>
      </c>
      <c r="S1083" s="23" t="s">
        <v>4698</v>
      </c>
      <c r="T1083" s="23" t="s">
        <v>4715</v>
      </c>
      <c r="U1083" s="23">
        <f>DATEDIF(P1083, DATE(2023, 6, 8), "Y")</f>
        <v>21</v>
      </c>
      <c r="V1083">
        <f>SUM(C1083:K1083)</f>
        <v>37.44</v>
      </c>
    </row>
    <row r="1084" spans="1:22" ht="15.75">
      <c r="A1084" s="28" t="s">
        <v>2166</v>
      </c>
      <c r="B1084" s="28" t="s">
        <v>2167</v>
      </c>
      <c r="C1084" s="23">
        <v>28.81</v>
      </c>
      <c r="D1084" s="23">
        <v>8.76</v>
      </c>
      <c r="E1084" s="23" t="s">
        <v>4682</v>
      </c>
      <c r="F1084" s="23" t="s">
        <v>4682</v>
      </c>
      <c r="G1084" s="23" t="s">
        <v>4682</v>
      </c>
      <c r="H1084" s="23">
        <v>2</v>
      </c>
      <c r="I1084" s="23" t="s">
        <v>4682</v>
      </c>
      <c r="J1084" s="23" t="s">
        <v>4730</v>
      </c>
      <c r="K1084" s="23" t="s">
        <v>4735</v>
      </c>
      <c r="L1084">
        <v>1976</v>
      </c>
      <c r="M1084" s="15" t="s">
        <v>4702</v>
      </c>
      <c r="N1084">
        <v>14</v>
      </c>
      <c r="O1084">
        <v>2</v>
      </c>
      <c r="P1084" s="21">
        <f>DATEVALUE(N1084&amp;"-"&amp;M1084&amp;"-"&amp;L1084)</f>
        <v>27925</v>
      </c>
      <c r="Q1084" s="22">
        <v>8823.2800000000007</v>
      </c>
      <c r="R1084" s="23" t="s">
        <v>4697</v>
      </c>
      <c r="S1084" s="23" t="s">
        <v>4701</v>
      </c>
      <c r="T1084" s="23" t="s">
        <v>4708</v>
      </c>
      <c r="U1084" s="23">
        <f>DATEDIF(P1084, DATE(2023, 6, 8), "Y")</f>
        <v>46</v>
      </c>
      <c r="V1084">
        <f>SUM(C1084:K1084)</f>
        <v>39.57</v>
      </c>
    </row>
    <row r="1085" spans="1:22" ht="15.75">
      <c r="A1085" s="28" t="s">
        <v>2168</v>
      </c>
      <c r="B1085" s="28" t="s">
        <v>2169</v>
      </c>
      <c r="C1085" s="23">
        <v>31.66</v>
      </c>
      <c r="D1085" s="23">
        <v>4.1100000000000003</v>
      </c>
      <c r="E1085" s="23" t="s">
        <v>4682</v>
      </c>
      <c r="F1085" s="23" t="s">
        <v>4682</v>
      </c>
      <c r="G1085" s="23" t="s">
        <v>4682</v>
      </c>
      <c r="H1085" s="23">
        <v>0</v>
      </c>
      <c r="I1085" s="23" t="s">
        <v>4682</v>
      </c>
      <c r="J1085" s="23" t="s">
        <v>4729</v>
      </c>
      <c r="K1085" s="23" t="s">
        <v>4737</v>
      </c>
      <c r="L1085">
        <v>1976</v>
      </c>
      <c r="M1085" s="15" t="s">
        <v>4707</v>
      </c>
      <c r="N1085">
        <v>19</v>
      </c>
      <c r="O1085">
        <v>1</v>
      </c>
      <c r="P1085" s="21">
        <f>DATEVALUE(N1085&amp;"-"&amp;M1085&amp;"-"&amp;L1085)</f>
        <v>28052</v>
      </c>
      <c r="Q1085" s="22">
        <v>8823.99</v>
      </c>
      <c r="R1085" s="23" t="s">
        <v>4697</v>
      </c>
      <c r="S1085" s="23" t="s">
        <v>4698</v>
      </c>
      <c r="T1085" s="23" t="s">
        <v>4714</v>
      </c>
      <c r="U1085" s="23">
        <f>DATEDIF(P1085, DATE(2023, 6, 8), "Y")</f>
        <v>46</v>
      </c>
      <c r="V1085">
        <f>SUM(C1085:K1085)</f>
        <v>35.770000000000003</v>
      </c>
    </row>
    <row r="1086" spans="1:22" ht="15.75">
      <c r="A1086" s="28" t="s">
        <v>2170</v>
      </c>
      <c r="B1086" s="28" t="s">
        <v>2171</v>
      </c>
      <c r="C1086" s="23">
        <v>28.215</v>
      </c>
      <c r="D1086" s="23">
        <v>7.56</v>
      </c>
      <c r="E1086" s="23" t="s">
        <v>4683</v>
      </c>
      <c r="F1086" s="23" t="s">
        <v>4682</v>
      </c>
      <c r="G1086" s="23" t="s">
        <v>4682</v>
      </c>
      <c r="H1086" s="23">
        <v>1</v>
      </c>
      <c r="I1086" s="23" t="s">
        <v>4682</v>
      </c>
      <c r="J1086" s="23" t="s">
        <v>4730</v>
      </c>
      <c r="K1086" s="23" t="s">
        <v>4735</v>
      </c>
      <c r="L1086">
        <v>1988</v>
      </c>
      <c r="M1086" s="15" t="s">
        <v>4706</v>
      </c>
      <c r="N1086">
        <v>22</v>
      </c>
      <c r="O1086">
        <v>3</v>
      </c>
      <c r="P1086" s="21">
        <f>DATEVALUE(N1086&amp;"-"&amp;M1086&amp;"-"&amp;L1086)</f>
        <v>32377</v>
      </c>
      <c r="Q1086" s="22">
        <v>8824.27</v>
      </c>
      <c r="R1086" s="23" t="s">
        <v>4697</v>
      </c>
      <c r="S1086" s="23" t="s">
        <v>4701</v>
      </c>
      <c r="T1086" s="23" t="s">
        <v>4713</v>
      </c>
      <c r="U1086" s="23">
        <f>DATEDIF(P1086, DATE(2023, 6, 8), "Y")</f>
        <v>34</v>
      </c>
      <c r="V1086">
        <f>SUM(C1086:K1086)</f>
        <v>36.774999999999999</v>
      </c>
    </row>
    <row r="1087" spans="1:22" ht="15.75">
      <c r="A1087" s="28" t="s">
        <v>2172</v>
      </c>
      <c r="B1087" s="28" t="s">
        <v>2173</v>
      </c>
      <c r="C1087" s="23">
        <v>26.12</v>
      </c>
      <c r="D1087" s="23">
        <v>4.17</v>
      </c>
      <c r="E1087" s="23" t="s">
        <v>4683</v>
      </c>
      <c r="F1087" s="23" t="s">
        <v>4682</v>
      </c>
      <c r="G1087" s="23" t="s">
        <v>4684</v>
      </c>
      <c r="H1087" s="23">
        <v>1</v>
      </c>
      <c r="I1087" s="23" t="s">
        <v>4682</v>
      </c>
      <c r="J1087" s="23" t="s">
        <v>4730</v>
      </c>
      <c r="K1087" s="23" t="s">
        <v>4737</v>
      </c>
      <c r="L1087">
        <v>1976</v>
      </c>
      <c r="M1087" s="15" t="s">
        <v>4696</v>
      </c>
      <c r="N1087">
        <v>14</v>
      </c>
      <c r="O1087">
        <v>2</v>
      </c>
      <c r="P1087" s="21">
        <f>DATEVALUE(N1087&amp;"-"&amp;M1087&amp;"-"&amp;L1087)</f>
        <v>27955</v>
      </c>
      <c r="Q1087" s="22">
        <v>8825.09</v>
      </c>
      <c r="R1087" s="23" t="s">
        <v>4697</v>
      </c>
      <c r="S1087" s="23" t="s">
        <v>4698</v>
      </c>
      <c r="T1087" s="23" t="s">
        <v>4708</v>
      </c>
      <c r="U1087" s="23">
        <f>DATEDIF(P1087, DATE(2023, 6, 8), "Y")</f>
        <v>46</v>
      </c>
      <c r="V1087">
        <f>SUM(C1087:K1087)</f>
        <v>31.29</v>
      </c>
    </row>
    <row r="1088" spans="1:22" ht="15.75">
      <c r="A1088" s="28" t="s">
        <v>2174</v>
      </c>
      <c r="B1088" s="28" t="s">
        <v>2175</v>
      </c>
      <c r="C1088" s="23">
        <v>36.630000000000003</v>
      </c>
      <c r="D1088" s="23">
        <v>11.42</v>
      </c>
      <c r="E1088" s="23" t="s">
        <v>4682</v>
      </c>
      <c r="F1088" s="23" t="s">
        <v>4682</v>
      </c>
      <c r="G1088" s="23" t="s">
        <v>4682</v>
      </c>
      <c r="H1088" s="23">
        <v>2</v>
      </c>
      <c r="I1088" s="23" t="s">
        <v>4682</v>
      </c>
      <c r="J1088" s="23" t="s">
        <v>4729</v>
      </c>
      <c r="K1088" s="23" t="s">
        <v>4735</v>
      </c>
      <c r="L1088">
        <v>1972</v>
      </c>
      <c r="M1088" s="15" t="s">
        <v>4700</v>
      </c>
      <c r="N1088">
        <v>14</v>
      </c>
      <c r="O1088">
        <v>0</v>
      </c>
      <c r="P1088" s="21">
        <f>DATEVALUE(N1088&amp;"-"&amp;M1088&amp;"-"&amp;L1088)</f>
        <v>26617</v>
      </c>
      <c r="Q1088" s="22">
        <v>8827.2099999999991</v>
      </c>
      <c r="R1088" s="23" t="s">
        <v>4698</v>
      </c>
      <c r="S1088" s="23" t="s">
        <v>4701</v>
      </c>
      <c r="T1088" s="23" t="s">
        <v>4704</v>
      </c>
      <c r="U1088" s="23">
        <f>DATEDIF(P1088, DATE(2023, 6, 8), "Y")</f>
        <v>50</v>
      </c>
      <c r="V1088">
        <f>SUM(C1088:K1088)</f>
        <v>50.050000000000004</v>
      </c>
    </row>
    <row r="1089" spans="1:22" ht="15.75">
      <c r="A1089" s="28" t="s">
        <v>2176</v>
      </c>
      <c r="B1089" s="28" t="s">
        <v>2177</v>
      </c>
      <c r="C1089" s="23">
        <v>33.344999999999999</v>
      </c>
      <c r="D1089" s="23">
        <v>7.33</v>
      </c>
      <c r="E1089" s="23" t="s">
        <v>4682</v>
      </c>
      <c r="F1089" s="23" t="s">
        <v>4682</v>
      </c>
      <c r="G1089" s="23" t="s">
        <v>4682</v>
      </c>
      <c r="H1089" s="23">
        <v>2</v>
      </c>
      <c r="I1089" s="23" t="s">
        <v>4682</v>
      </c>
      <c r="J1089" s="23" t="s">
        <v>4729</v>
      </c>
      <c r="K1089" s="23" t="s">
        <v>4735</v>
      </c>
      <c r="L1089">
        <v>1972</v>
      </c>
      <c r="M1089" s="15" t="s">
        <v>4700</v>
      </c>
      <c r="N1089">
        <v>22</v>
      </c>
      <c r="O1089">
        <v>0</v>
      </c>
      <c r="P1089" s="21">
        <f>DATEVALUE(N1089&amp;"-"&amp;M1089&amp;"-"&amp;L1089)</f>
        <v>26625</v>
      </c>
      <c r="Q1089" s="22">
        <v>8835.26</v>
      </c>
      <c r="R1089" s="23" t="s">
        <v>4698</v>
      </c>
      <c r="S1089" s="23" t="s">
        <v>4697</v>
      </c>
      <c r="T1089" s="23" t="s">
        <v>4704</v>
      </c>
      <c r="U1089" s="23">
        <f>DATEDIF(P1089, DATE(2023, 6, 8), "Y")</f>
        <v>50</v>
      </c>
      <c r="V1089">
        <f>SUM(C1089:K1089)</f>
        <v>42.674999999999997</v>
      </c>
    </row>
    <row r="1090" spans="1:22" ht="15.75">
      <c r="A1090" s="28" t="s">
        <v>2178</v>
      </c>
      <c r="B1090" s="28" t="s">
        <v>2179</v>
      </c>
      <c r="C1090" s="23">
        <v>27.11</v>
      </c>
      <c r="D1090" s="23">
        <v>6.7</v>
      </c>
      <c r="E1090" s="23" t="s">
        <v>4682</v>
      </c>
      <c r="F1090" s="23" t="s">
        <v>4682</v>
      </c>
      <c r="G1090" s="23" t="s">
        <v>4682</v>
      </c>
      <c r="H1090" s="23">
        <v>0</v>
      </c>
      <c r="I1090" s="23" t="s">
        <v>4682</v>
      </c>
      <c r="J1090" s="23" t="s">
        <v>4730</v>
      </c>
      <c r="K1090" s="23" t="s">
        <v>4735</v>
      </c>
      <c r="L1090">
        <v>1974</v>
      </c>
      <c r="M1090" s="15" t="s">
        <v>4702</v>
      </c>
      <c r="N1090">
        <v>18</v>
      </c>
      <c r="O1090">
        <v>1</v>
      </c>
      <c r="P1090" s="21">
        <f>DATEVALUE(N1090&amp;"-"&amp;M1090&amp;"-"&amp;L1090)</f>
        <v>27198</v>
      </c>
      <c r="Q1090" s="22">
        <v>8871.15</v>
      </c>
      <c r="R1090" s="23" t="s">
        <v>4697</v>
      </c>
      <c r="S1090" s="23" t="s">
        <v>4698</v>
      </c>
      <c r="T1090" s="23" t="s">
        <v>4699</v>
      </c>
      <c r="U1090" s="23">
        <f>DATEDIF(P1090, DATE(2023, 6, 8), "Y")</f>
        <v>48</v>
      </c>
      <c r="V1090">
        <f>SUM(C1090:K1090)</f>
        <v>33.81</v>
      </c>
    </row>
    <row r="1091" spans="1:22" ht="15.75">
      <c r="A1091" s="28" t="s">
        <v>2180</v>
      </c>
      <c r="B1091" s="28" t="s">
        <v>2181</v>
      </c>
      <c r="C1091" s="23">
        <v>26.6</v>
      </c>
      <c r="D1091" s="23">
        <v>5.27</v>
      </c>
      <c r="E1091" s="23" t="s">
        <v>4683</v>
      </c>
      <c r="F1091" s="23" t="s">
        <v>4682</v>
      </c>
      <c r="G1091" s="23" t="s">
        <v>4684</v>
      </c>
      <c r="H1091" s="23">
        <v>1</v>
      </c>
      <c r="I1091" s="23" t="s">
        <v>4682</v>
      </c>
      <c r="J1091" s="23" t="s">
        <v>4730</v>
      </c>
      <c r="K1091" s="23" t="s">
        <v>4737</v>
      </c>
      <c r="L1091">
        <v>1973</v>
      </c>
      <c r="M1091" s="15" t="s">
        <v>4703</v>
      </c>
      <c r="N1091">
        <v>9</v>
      </c>
      <c r="O1091">
        <v>0</v>
      </c>
      <c r="P1091" s="21">
        <f>DATEVALUE(N1091&amp;"-"&amp;M1091&amp;"-"&amp;L1091)</f>
        <v>26916</v>
      </c>
      <c r="Q1091" s="22">
        <v>8890.59</v>
      </c>
      <c r="R1091" s="23" t="s">
        <v>4697</v>
      </c>
      <c r="S1091" s="23" t="s">
        <v>4698</v>
      </c>
      <c r="T1091" s="23" t="s">
        <v>4704</v>
      </c>
      <c r="U1091" s="23">
        <f>DATEDIF(P1091, DATE(2023, 6, 8), "Y")</f>
        <v>49</v>
      </c>
      <c r="V1091">
        <f>SUM(C1091:K1091)</f>
        <v>32.870000000000005</v>
      </c>
    </row>
    <row r="1092" spans="1:22" ht="15.75">
      <c r="A1092" s="28" t="s">
        <v>2182</v>
      </c>
      <c r="B1092" s="28" t="s">
        <v>2183</v>
      </c>
      <c r="C1092" s="23">
        <v>30.41</v>
      </c>
      <c r="D1092" s="23">
        <v>7.72</v>
      </c>
      <c r="E1092" s="23" t="s">
        <v>4682</v>
      </c>
      <c r="F1092" s="23" t="s">
        <v>4682</v>
      </c>
      <c r="G1092" s="23" t="s">
        <v>4682</v>
      </c>
      <c r="H1092" s="23">
        <v>0</v>
      </c>
      <c r="I1092" s="23" t="s">
        <v>4682</v>
      </c>
      <c r="J1092" s="23" t="s">
        <v>4729</v>
      </c>
      <c r="K1092" s="23" t="s">
        <v>4735</v>
      </c>
      <c r="L1092">
        <v>1978</v>
      </c>
      <c r="M1092" s="15" t="s">
        <v>4705</v>
      </c>
      <c r="N1092">
        <v>16</v>
      </c>
      <c r="O1092">
        <v>3</v>
      </c>
      <c r="P1092" s="21">
        <f>DATEVALUE(N1092&amp;"-"&amp;M1092&amp;"-"&amp;L1092)</f>
        <v>28840</v>
      </c>
      <c r="Q1092" s="22">
        <v>8891.14</v>
      </c>
      <c r="R1092" s="23" t="s">
        <v>4697</v>
      </c>
      <c r="S1092" s="23" t="s">
        <v>4698</v>
      </c>
      <c r="T1092" s="23" t="s">
        <v>4718</v>
      </c>
      <c r="U1092" s="23">
        <f>DATEDIF(P1092, DATE(2023, 6, 8), "Y")</f>
        <v>44</v>
      </c>
      <c r="V1092">
        <f>SUM(C1092:K1092)</f>
        <v>38.130000000000003</v>
      </c>
    </row>
    <row r="1093" spans="1:22" ht="15.75">
      <c r="A1093" s="28" t="s">
        <v>2184</v>
      </c>
      <c r="B1093" s="28" t="s">
        <v>2185</v>
      </c>
      <c r="C1093" s="23">
        <v>28.98</v>
      </c>
      <c r="D1093" s="23">
        <v>8.68</v>
      </c>
      <c r="E1093" s="23" t="s">
        <v>4682</v>
      </c>
      <c r="F1093" s="23" t="s">
        <v>4682</v>
      </c>
      <c r="G1093" s="23" t="s">
        <v>4682</v>
      </c>
      <c r="H1093" s="23">
        <v>2</v>
      </c>
      <c r="I1093" s="23" t="s">
        <v>4682</v>
      </c>
      <c r="J1093" s="23" t="s">
        <v>4730</v>
      </c>
      <c r="K1093" s="23" t="s">
        <v>4735</v>
      </c>
      <c r="L1093">
        <v>1997</v>
      </c>
      <c r="M1093" s="15" t="s">
        <v>4700</v>
      </c>
      <c r="N1093">
        <v>28</v>
      </c>
      <c r="O1093">
        <v>0</v>
      </c>
      <c r="P1093" s="21">
        <f>DATEVALUE(N1093&amp;"-"&amp;M1093&amp;"-"&amp;L1093)</f>
        <v>35762</v>
      </c>
      <c r="Q1093" s="22">
        <v>8906.14</v>
      </c>
      <c r="R1093" s="23" t="s">
        <v>4697</v>
      </c>
      <c r="S1093" s="23" t="s">
        <v>4697</v>
      </c>
      <c r="T1093" s="23" t="s">
        <v>4704</v>
      </c>
      <c r="U1093" s="23">
        <f>DATEDIF(P1093, DATE(2023, 6, 8), "Y")</f>
        <v>25</v>
      </c>
      <c r="V1093">
        <f>SUM(C1093:K1093)</f>
        <v>39.659999999999997</v>
      </c>
    </row>
    <row r="1094" spans="1:22" ht="15.75">
      <c r="A1094" s="28" t="s">
        <v>2186</v>
      </c>
      <c r="B1094" s="28" t="s">
        <v>2187</v>
      </c>
      <c r="C1094" s="23">
        <v>31.24</v>
      </c>
      <c r="D1094" s="23">
        <v>9.8000000000000007</v>
      </c>
      <c r="E1094" s="23" t="s">
        <v>4682</v>
      </c>
      <c r="F1094" s="23" t="s">
        <v>4682</v>
      </c>
      <c r="G1094" s="23" t="s">
        <v>4682</v>
      </c>
      <c r="H1094" s="23">
        <v>0</v>
      </c>
      <c r="I1094" s="23" t="s">
        <v>4682</v>
      </c>
      <c r="J1094" s="23" t="s">
        <v>4729</v>
      </c>
      <c r="K1094" s="23" t="s">
        <v>4735</v>
      </c>
      <c r="L1094">
        <v>1967</v>
      </c>
      <c r="M1094" s="15" t="s">
        <v>4703</v>
      </c>
      <c r="N1094">
        <v>6</v>
      </c>
      <c r="O1094">
        <v>0</v>
      </c>
      <c r="P1094" s="21">
        <f>DATEVALUE(N1094&amp;"-"&amp;M1094&amp;"-"&amp;L1094)</f>
        <v>24721</v>
      </c>
      <c r="Q1094" s="22">
        <v>8908.4699999999993</v>
      </c>
      <c r="R1094" s="23" t="s">
        <v>4698</v>
      </c>
      <c r="S1094" s="23" t="s">
        <v>4697</v>
      </c>
      <c r="T1094" s="23" t="s">
        <v>4699</v>
      </c>
      <c r="U1094" s="23">
        <f>DATEDIF(P1094, DATE(2023, 6, 8), "Y")</f>
        <v>55</v>
      </c>
      <c r="V1094">
        <f>SUM(C1094:K1094)</f>
        <v>41.04</v>
      </c>
    </row>
    <row r="1095" spans="1:22" ht="15.75">
      <c r="A1095" s="28" t="s">
        <v>2188</v>
      </c>
      <c r="B1095" s="28" t="s">
        <v>2189</v>
      </c>
      <c r="C1095" s="23">
        <v>31.54</v>
      </c>
      <c r="D1095" s="23">
        <v>4.4400000000000004</v>
      </c>
      <c r="E1095" s="23" t="s">
        <v>4682</v>
      </c>
      <c r="F1095" s="23" t="s">
        <v>4682</v>
      </c>
      <c r="G1095" s="23" t="s">
        <v>4682</v>
      </c>
      <c r="H1095" s="23">
        <v>0</v>
      </c>
      <c r="I1095" s="23" t="s">
        <v>4682</v>
      </c>
      <c r="J1095" s="23" t="s">
        <v>4729</v>
      </c>
      <c r="K1095" s="23" t="s">
        <v>4737</v>
      </c>
      <c r="L1095">
        <v>1975</v>
      </c>
      <c r="M1095" s="15" t="s">
        <v>4696</v>
      </c>
      <c r="N1095">
        <v>7</v>
      </c>
      <c r="O1095">
        <v>1</v>
      </c>
      <c r="P1095" s="21">
        <f>DATEVALUE(N1095&amp;"-"&amp;M1095&amp;"-"&amp;L1095)</f>
        <v>27582</v>
      </c>
      <c r="Q1095" s="22">
        <v>8930.93</v>
      </c>
      <c r="R1095" s="23" t="s">
        <v>4697</v>
      </c>
      <c r="S1095" s="23" t="s">
        <v>4697</v>
      </c>
      <c r="T1095" s="23" t="s">
        <v>4704</v>
      </c>
      <c r="U1095" s="23">
        <f>DATEDIF(P1095, DATE(2023, 6, 8), "Y")</f>
        <v>47</v>
      </c>
      <c r="V1095">
        <f>SUM(C1095:K1095)</f>
        <v>35.979999999999997</v>
      </c>
    </row>
    <row r="1096" spans="1:22" ht="15.75">
      <c r="A1096" s="28" t="s">
        <v>2190</v>
      </c>
      <c r="B1096" s="28" t="s">
        <v>2191</v>
      </c>
      <c r="C1096" s="23">
        <v>38.6</v>
      </c>
      <c r="D1096" s="23">
        <v>7.19</v>
      </c>
      <c r="E1096" s="23" t="s">
        <v>4683</v>
      </c>
      <c r="F1096" s="23" t="s">
        <v>4682</v>
      </c>
      <c r="G1096" s="23" t="s">
        <v>4682</v>
      </c>
      <c r="H1096" s="23">
        <v>2</v>
      </c>
      <c r="I1096" s="23" t="s">
        <v>4682</v>
      </c>
      <c r="J1096" s="23" t="s">
        <v>4729</v>
      </c>
      <c r="K1096" s="23" t="s">
        <v>4735</v>
      </c>
      <c r="L1096">
        <v>1972</v>
      </c>
      <c r="M1096" s="15" t="s">
        <v>4702</v>
      </c>
      <c r="N1096">
        <v>6</v>
      </c>
      <c r="O1096">
        <v>0</v>
      </c>
      <c r="P1096" s="21">
        <f>DATEVALUE(N1096&amp;"-"&amp;M1096&amp;"-"&amp;L1096)</f>
        <v>26456</v>
      </c>
      <c r="Q1096" s="22">
        <v>8932.08</v>
      </c>
      <c r="R1096" s="23" t="s">
        <v>4697</v>
      </c>
      <c r="S1096" s="23" t="s">
        <v>4701</v>
      </c>
      <c r="T1096" s="23" t="s">
        <v>4708</v>
      </c>
      <c r="U1096" s="23">
        <f>DATEDIF(P1096, DATE(2023, 6, 8), "Y")</f>
        <v>51</v>
      </c>
      <c r="V1096">
        <f>SUM(C1096:K1096)</f>
        <v>47.79</v>
      </c>
    </row>
    <row r="1097" spans="1:22" ht="15.75">
      <c r="A1097" s="28" t="s">
        <v>2192</v>
      </c>
      <c r="B1097" s="28" t="s">
        <v>2193</v>
      </c>
      <c r="C1097" s="23">
        <v>37.950000000000003</v>
      </c>
      <c r="D1097" s="23">
        <v>6.06</v>
      </c>
      <c r="E1097" s="23" t="s">
        <v>4682</v>
      </c>
      <c r="F1097" s="23" t="s">
        <v>4682</v>
      </c>
      <c r="G1097" s="23" t="s">
        <v>4682</v>
      </c>
      <c r="H1097" s="23">
        <v>0</v>
      </c>
      <c r="I1097" s="23" t="s">
        <v>4682</v>
      </c>
      <c r="J1097" s="23" t="s">
        <v>4729</v>
      </c>
      <c r="K1097" s="23" t="s">
        <v>4736</v>
      </c>
      <c r="L1097">
        <v>1976</v>
      </c>
      <c r="M1097" s="15" t="s">
        <v>4705</v>
      </c>
      <c r="N1097">
        <v>25</v>
      </c>
      <c r="O1097">
        <v>3</v>
      </c>
      <c r="P1097" s="21">
        <f>DATEVALUE(N1097&amp;"-"&amp;M1097&amp;"-"&amp;L1097)</f>
        <v>28119</v>
      </c>
      <c r="Q1097" s="22">
        <v>8944.1200000000008</v>
      </c>
      <c r="R1097" s="23" t="s">
        <v>4698</v>
      </c>
      <c r="S1097" s="23" t="s">
        <v>4697</v>
      </c>
      <c r="T1097" s="23" t="s">
        <v>4699</v>
      </c>
      <c r="U1097" s="23">
        <f>DATEDIF(P1097, DATE(2023, 6, 8), "Y")</f>
        <v>46</v>
      </c>
      <c r="V1097">
        <f>SUM(C1097:K1097)</f>
        <v>44.010000000000005</v>
      </c>
    </row>
    <row r="1098" spans="1:22" ht="15.75">
      <c r="A1098" s="28" t="s">
        <v>2194</v>
      </c>
      <c r="B1098" s="28" t="s">
        <v>2195</v>
      </c>
      <c r="C1098" s="23">
        <v>38.97</v>
      </c>
      <c r="D1098" s="23">
        <v>5.12</v>
      </c>
      <c r="E1098" s="23" t="s">
        <v>4682</v>
      </c>
      <c r="F1098" s="23" t="s">
        <v>4682</v>
      </c>
      <c r="G1098" s="23" t="s">
        <v>4682</v>
      </c>
      <c r="H1098" s="23">
        <v>0</v>
      </c>
      <c r="I1098" s="23" t="s">
        <v>4682</v>
      </c>
      <c r="J1098" s="23" t="s">
        <v>4729</v>
      </c>
      <c r="K1098" s="23" t="s">
        <v>4737</v>
      </c>
      <c r="L1098">
        <v>1992</v>
      </c>
      <c r="M1098" s="15" t="s">
        <v>4703</v>
      </c>
      <c r="N1098">
        <v>27</v>
      </c>
      <c r="O1098">
        <v>0</v>
      </c>
      <c r="P1098" s="21">
        <f>DATEVALUE(N1098&amp;"-"&amp;M1098&amp;"-"&amp;L1098)</f>
        <v>33874</v>
      </c>
      <c r="Q1098" s="22">
        <v>8954.99</v>
      </c>
      <c r="R1098" s="23" t="s">
        <v>4697</v>
      </c>
      <c r="S1098" s="23" t="s">
        <v>4698</v>
      </c>
      <c r="T1098" s="23" t="s">
        <v>4720</v>
      </c>
      <c r="U1098" s="23">
        <f>DATEDIF(P1098, DATE(2023, 6, 8), "Y")</f>
        <v>30</v>
      </c>
      <c r="V1098">
        <f>SUM(C1098:K1098)</f>
        <v>44.089999999999996</v>
      </c>
    </row>
    <row r="1099" spans="1:22" ht="15.75">
      <c r="A1099" s="28" t="s">
        <v>2196</v>
      </c>
      <c r="B1099" s="28" t="s">
        <v>2197</v>
      </c>
      <c r="C1099" s="23">
        <v>21.2</v>
      </c>
      <c r="D1099" s="23">
        <v>10.72</v>
      </c>
      <c r="E1099" s="23" t="s">
        <v>4682</v>
      </c>
      <c r="F1099" s="23" t="s">
        <v>4682</v>
      </c>
      <c r="G1099" s="23" t="s">
        <v>4682</v>
      </c>
      <c r="H1099" s="23">
        <v>0</v>
      </c>
      <c r="I1099" s="23" t="s">
        <v>4682</v>
      </c>
      <c r="J1099" s="23" t="s">
        <v>4728</v>
      </c>
      <c r="K1099" s="23" t="s">
        <v>4735</v>
      </c>
      <c r="L1099">
        <v>1974</v>
      </c>
      <c r="M1099" s="15" t="s">
        <v>4706</v>
      </c>
      <c r="N1099">
        <v>17</v>
      </c>
      <c r="O1099">
        <v>1</v>
      </c>
      <c r="P1099" s="21">
        <f>DATEVALUE(N1099&amp;"-"&amp;M1099&amp;"-"&amp;L1099)</f>
        <v>27258</v>
      </c>
      <c r="Q1099" s="22">
        <v>8964.06</v>
      </c>
      <c r="R1099" s="23" t="s">
        <v>4698</v>
      </c>
      <c r="S1099" s="23" t="s">
        <v>4697</v>
      </c>
      <c r="T1099" s="23" t="s">
        <v>4711</v>
      </c>
      <c r="U1099" s="23">
        <f>DATEDIF(P1099, DATE(2023, 6, 8), "Y")</f>
        <v>48</v>
      </c>
      <c r="V1099">
        <f>SUM(C1099:K1099)</f>
        <v>31.92</v>
      </c>
    </row>
    <row r="1100" spans="1:22" ht="15.75">
      <c r="A1100" s="28" t="s">
        <v>2198</v>
      </c>
      <c r="B1100" s="28" t="s">
        <v>2199</v>
      </c>
      <c r="C1100" s="23">
        <v>23.96</v>
      </c>
      <c r="D1100" s="23">
        <v>9.58</v>
      </c>
      <c r="E1100" s="23" t="s">
        <v>4683</v>
      </c>
      <c r="F1100" s="23" t="s">
        <v>4682</v>
      </c>
      <c r="G1100" s="23" t="s">
        <v>4684</v>
      </c>
      <c r="H1100" s="23">
        <v>1</v>
      </c>
      <c r="I1100" s="23" t="s">
        <v>4682</v>
      </c>
      <c r="J1100" s="23" t="s">
        <v>4728</v>
      </c>
      <c r="K1100" s="23" t="s">
        <v>4735</v>
      </c>
      <c r="L1100">
        <v>1983</v>
      </c>
      <c r="M1100" s="15" t="s">
        <v>4696</v>
      </c>
      <c r="N1100">
        <v>15</v>
      </c>
      <c r="O1100">
        <v>5</v>
      </c>
      <c r="P1100" s="21">
        <f>DATEVALUE(N1100&amp;"-"&amp;M1100&amp;"-"&amp;L1100)</f>
        <v>30512</v>
      </c>
      <c r="Q1100" s="22">
        <v>8965.7999999999993</v>
      </c>
      <c r="R1100" s="23" t="s">
        <v>4697</v>
      </c>
      <c r="S1100" s="23" t="s">
        <v>4698</v>
      </c>
      <c r="T1100" s="23" t="s">
        <v>4704</v>
      </c>
      <c r="U1100" s="23">
        <f>DATEDIF(P1100, DATE(2023, 6, 8), "Y")</f>
        <v>39</v>
      </c>
      <c r="V1100">
        <f>SUM(C1100:K1100)</f>
        <v>34.54</v>
      </c>
    </row>
    <row r="1101" spans="1:22" ht="15.75">
      <c r="A1101" s="28" t="s">
        <v>2200</v>
      </c>
      <c r="B1101" s="28" t="s">
        <v>2201</v>
      </c>
      <c r="C1101" s="23">
        <v>35.93</v>
      </c>
      <c r="D1101" s="23">
        <v>6.4</v>
      </c>
      <c r="E1101" s="23" t="s">
        <v>4683</v>
      </c>
      <c r="F1101" s="23" t="s">
        <v>4682</v>
      </c>
      <c r="G1101" s="23" t="s">
        <v>4682</v>
      </c>
      <c r="H1101" s="23">
        <v>1</v>
      </c>
      <c r="I1101" s="23" t="s">
        <v>4682</v>
      </c>
      <c r="J1101" s="23" t="s">
        <v>4729</v>
      </c>
      <c r="K1101" s="23" t="s">
        <v>4736</v>
      </c>
      <c r="L1101">
        <v>1974</v>
      </c>
      <c r="M1101" s="15" t="s">
        <v>4703</v>
      </c>
      <c r="N1101">
        <v>8</v>
      </c>
      <c r="O1101">
        <v>2</v>
      </c>
      <c r="P1101" s="21">
        <f>DATEVALUE(N1101&amp;"-"&amp;M1101&amp;"-"&amp;L1101)</f>
        <v>27280</v>
      </c>
      <c r="Q1101" s="22">
        <v>8968.33</v>
      </c>
      <c r="R1101" s="23" t="s">
        <v>4698</v>
      </c>
      <c r="S1101" s="23" t="s">
        <v>4697</v>
      </c>
      <c r="T1101" s="23" t="s">
        <v>4708</v>
      </c>
      <c r="U1101" s="23">
        <f>DATEDIF(P1101, DATE(2023, 6, 8), "Y")</f>
        <v>48</v>
      </c>
      <c r="V1101">
        <f>SUM(C1101:K1101)</f>
        <v>43.33</v>
      </c>
    </row>
    <row r="1102" spans="1:22" ht="15.75">
      <c r="A1102" s="28" t="s">
        <v>2202</v>
      </c>
      <c r="B1102" s="28" t="s">
        <v>2203</v>
      </c>
      <c r="C1102" s="23">
        <v>26.11</v>
      </c>
      <c r="D1102" s="23">
        <v>6.8</v>
      </c>
      <c r="E1102" s="23" t="s">
        <v>4683</v>
      </c>
      <c r="F1102" s="23" t="s">
        <v>4682</v>
      </c>
      <c r="G1102" s="23" t="s">
        <v>4682</v>
      </c>
      <c r="H1102" s="23">
        <v>2</v>
      </c>
      <c r="I1102" s="23" t="s">
        <v>4682</v>
      </c>
      <c r="J1102" s="23" t="s">
        <v>4730</v>
      </c>
      <c r="K1102" s="23" t="s">
        <v>4735</v>
      </c>
      <c r="L1102">
        <v>1974</v>
      </c>
      <c r="M1102" s="15" t="s">
        <v>4696</v>
      </c>
      <c r="N1102">
        <v>21</v>
      </c>
      <c r="O1102">
        <v>2</v>
      </c>
      <c r="P1102" s="21">
        <f>DATEVALUE(N1102&amp;"-"&amp;M1102&amp;"-"&amp;L1102)</f>
        <v>27231</v>
      </c>
      <c r="Q1102" s="22">
        <v>8978.19</v>
      </c>
      <c r="R1102" s="23" t="s">
        <v>4697</v>
      </c>
      <c r="S1102" s="23" t="s">
        <v>4697</v>
      </c>
      <c r="T1102" s="23" t="s">
        <v>4699</v>
      </c>
      <c r="U1102" s="23">
        <f>DATEDIF(P1102, DATE(2023, 6, 8), "Y")</f>
        <v>48</v>
      </c>
      <c r="V1102">
        <f>SUM(C1102:K1102)</f>
        <v>34.909999999999997</v>
      </c>
    </row>
    <row r="1103" spans="1:22" ht="15.75">
      <c r="A1103" s="28" t="s">
        <v>2204</v>
      </c>
      <c r="B1103" s="28" t="s">
        <v>2205</v>
      </c>
      <c r="C1103" s="23">
        <v>32.299999999999997</v>
      </c>
      <c r="D1103" s="23">
        <v>9.48</v>
      </c>
      <c r="E1103" s="23" t="s">
        <v>4682</v>
      </c>
      <c r="F1103" s="23" t="s">
        <v>4682</v>
      </c>
      <c r="G1103" s="23" t="s">
        <v>4682</v>
      </c>
      <c r="H1103" s="23">
        <v>2</v>
      </c>
      <c r="I1103" s="23" t="s">
        <v>4682</v>
      </c>
      <c r="J1103" s="23" t="s">
        <v>4729</v>
      </c>
      <c r="K1103" s="23" t="s">
        <v>4735</v>
      </c>
      <c r="L1103">
        <v>1973</v>
      </c>
      <c r="M1103" s="15" t="s">
        <v>4707</v>
      </c>
      <c r="N1103">
        <v>11</v>
      </c>
      <c r="O1103">
        <v>0</v>
      </c>
      <c r="P1103" s="21">
        <f>DATEVALUE(N1103&amp;"-"&amp;M1103&amp;"-"&amp;L1103)</f>
        <v>26948</v>
      </c>
      <c r="Q1103" s="22">
        <v>8988.16</v>
      </c>
      <c r="R1103" s="23" t="s">
        <v>4697</v>
      </c>
      <c r="S1103" s="23" t="s">
        <v>4701</v>
      </c>
      <c r="T1103" s="23" t="s">
        <v>4704</v>
      </c>
      <c r="U1103" s="23">
        <f>DATEDIF(P1103, DATE(2023, 6, 8), "Y")</f>
        <v>49</v>
      </c>
      <c r="V1103">
        <f>SUM(C1103:K1103)</f>
        <v>43.78</v>
      </c>
    </row>
    <row r="1104" spans="1:22" ht="15.75">
      <c r="A1104" s="28" t="s">
        <v>2206</v>
      </c>
      <c r="B1104" s="28" t="s">
        <v>2207</v>
      </c>
      <c r="C1104" s="23">
        <v>28.69</v>
      </c>
      <c r="D1104" s="23">
        <v>7.45</v>
      </c>
      <c r="E1104" s="23" t="s">
        <v>4682</v>
      </c>
      <c r="F1104" s="23" t="s">
        <v>4682</v>
      </c>
      <c r="G1104" s="23" t="s">
        <v>4682</v>
      </c>
      <c r="H1104" s="23">
        <v>2</v>
      </c>
      <c r="I1104" s="23" t="s">
        <v>4682</v>
      </c>
      <c r="J1104" s="23" t="s">
        <v>4730</v>
      </c>
      <c r="K1104" s="23" t="s">
        <v>4735</v>
      </c>
      <c r="L1104">
        <v>1979</v>
      </c>
      <c r="M1104" s="15" t="s">
        <v>4705</v>
      </c>
      <c r="N1104">
        <v>16</v>
      </c>
      <c r="O1104">
        <v>2</v>
      </c>
      <c r="P1104" s="21">
        <f>DATEVALUE(N1104&amp;"-"&amp;M1104&amp;"-"&amp;L1104)</f>
        <v>29205</v>
      </c>
      <c r="Q1104" s="22">
        <v>8998.43</v>
      </c>
      <c r="R1104" s="23" t="s">
        <v>4697</v>
      </c>
      <c r="S1104" s="23" t="s">
        <v>4701</v>
      </c>
      <c r="T1104" s="23" t="s">
        <v>4713</v>
      </c>
      <c r="U1104" s="23">
        <f>DATEDIF(P1104, DATE(2023, 6, 8), "Y")</f>
        <v>43</v>
      </c>
      <c r="V1104">
        <f>SUM(C1104:K1104)</f>
        <v>38.14</v>
      </c>
    </row>
    <row r="1105" spans="1:22" ht="15.75">
      <c r="A1105" s="28" t="s">
        <v>2208</v>
      </c>
      <c r="B1105" s="28" t="s">
        <v>2209</v>
      </c>
      <c r="C1105" s="23">
        <v>31.28</v>
      </c>
      <c r="D1105" s="23">
        <v>6.94</v>
      </c>
      <c r="E1105" s="23" t="s">
        <v>4683</v>
      </c>
      <c r="F1105" s="23" t="s">
        <v>4682</v>
      </c>
      <c r="G1105" s="23" t="s">
        <v>4682</v>
      </c>
      <c r="H1105" s="23">
        <v>1</v>
      </c>
      <c r="I1105" s="23" t="s">
        <v>4682</v>
      </c>
      <c r="J1105" s="23" t="s">
        <v>4729</v>
      </c>
      <c r="K1105" s="23" t="s">
        <v>4735</v>
      </c>
      <c r="L1105">
        <v>1993</v>
      </c>
      <c r="M1105" s="15" t="s">
        <v>4705</v>
      </c>
      <c r="N1105">
        <v>1</v>
      </c>
      <c r="O1105">
        <v>0</v>
      </c>
      <c r="P1105" s="21">
        <f>DATEVALUE(N1105&amp;"-"&amp;M1105&amp;"-"&amp;L1105)</f>
        <v>34304</v>
      </c>
      <c r="Q1105" s="22">
        <v>9010.2000000000007</v>
      </c>
      <c r="R1105" s="23" t="s">
        <v>4697</v>
      </c>
      <c r="S1105" s="23" t="s">
        <v>4698</v>
      </c>
      <c r="T1105" s="23" t="s">
        <v>4720</v>
      </c>
      <c r="U1105" s="23">
        <f>DATEDIF(P1105, DATE(2023, 6, 8), "Y")</f>
        <v>29</v>
      </c>
      <c r="V1105">
        <f>SUM(C1105:K1105)</f>
        <v>39.22</v>
      </c>
    </row>
    <row r="1106" spans="1:22" ht="15.75">
      <c r="A1106" s="28" t="s">
        <v>2210</v>
      </c>
      <c r="B1106" s="28" t="s">
        <v>2211</v>
      </c>
      <c r="C1106" s="23">
        <v>30.21</v>
      </c>
      <c r="D1106" s="23">
        <v>7.83</v>
      </c>
      <c r="E1106" s="23" t="s">
        <v>4682</v>
      </c>
      <c r="F1106" s="23" t="s">
        <v>4682</v>
      </c>
      <c r="G1106" s="23" t="s">
        <v>4682</v>
      </c>
      <c r="H1106" s="23">
        <v>0</v>
      </c>
      <c r="I1106" s="23" t="s">
        <v>4682</v>
      </c>
      <c r="J1106" s="23" t="s">
        <v>4729</v>
      </c>
      <c r="K1106" s="23" t="s">
        <v>4735</v>
      </c>
      <c r="L1106">
        <v>1972</v>
      </c>
      <c r="M1106" s="15" t="s">
        <v>4705</v>
      </c>
      <c r="N1106">
        <v>7</v>
      </c>
      <c r="O1106">
        <v>1</v>
      </c>
      <c r="P1106" s="21">
        <f>DATEVALUE(N1106&amp;"-"&amp;M1106&amp;"-"&amp;L1106)</f>
        <v>26640</v>
      </c>
      <c r="Q1106" s="22">
        <v>9048.0300000000007</v>
      </c>
      <c r="R1106" s="23" t="s">
        <v>4697</v>
      </c>
      <c r="S1106" s="23" t="s">
        <v>4697</v>
      </c>
      <c r="T1106" s="23" t="s">
        <v>4699</v>
      </c>
      <c r="U1106" s="23">
        <f>DATEDIF(P1106, DATE(2023, 6, 8), "Y")</f>
        <v>50</v>
      </c>
      <c r="V1106">
        <f>SUM(C1106:K1106)</f>
        <v>38.04</v>
      </c>
    </row>
    <row r="1107" spans="1:22" ht="15.75">
      <c r="A1107" s="28" t="s">
        <v>2212</v>
      </c>
      <c r="B1107" s="28" t="s">
        <v>2213</v>
      </c>
      <c r="C1107" s="23">
        <v>38.28</v>
      </c>
      <c r="D1107" s="23">
        <v>10.17</v>
      </c>
      <c r="E1107" s="23" t="s">
        <v>4683</v>
      </c>
      <c r="F1107" s="23" t="s">
        <v>4682</v>
      </c>
      <c r="G1107" s="23" t="s">
        <v>4682</v>
      </c>
      <c r="H1107" s="23">
        <v>0</v>
      </c>
      <c r="I1107" s="23" t="s">
        <v>4682</v>
      </c>
      <c r="J1107" s="23" t="s">
        <v>4729</v>
      </c>
      <c r="K1107" s="23" t="s">
        <v>4735</v>
      </c>
      <c r="L1107">
        <v>1972</v>
      </c>
      <c r="M1107" s="15" t="s">
        <v>4705</v>
      </c>
      <c r="N1107">
        <v>2</v>
      </c>
      <c r="O1107">
        <v>1</v>
      </c>
      <c r="P1107" s="21">
        <f>DATEVALUE(N1107&amp;"-"&amp;M1107&amp;"-"&amp;L1107)</f>
        <v>26635</v>
      </c>
      <c r="Q1107" s="22">
        <v>9058.73</v>
      </c>
      <c r="R1107" s="23" t="s">
        <v>4698</v>
      </c>
      <c r="S1107" s="23" t="s">
        <v>4697</v>
      </c>
      <c r="T1107" s="23" t="s">
        <v>4699</v>
      </c>
      <c r="U1107" s="23">
        <f>DATEDIF(P1107, DATE(2023, 6, 8), "Y")</f>
        <v>50</v>
      </c>
      <c r="V1107">
        <f>SUM(C1107:K1107)</f>
        <v>48.45</v>
      </c>
    </row>
    <row r="1108" spans="1:22" ht="15.75">
      <c r="A1108" s="28" t="s">
        <v>2214</v>
      </c>
      <c r="B1108" s="28" t="s">
        <v>2215</v>
      </c>
      <c r="C1108" s="23">
        <v>29.9</v>
      </c>
      <c r="D1108" s="23">
        <v>8.9600000000000009</v>
      </c>
      <c r="E1108" s="23" t="s">
        <v>4683</v>
      </c>
      <c r="F1108" s="23" t="s">
        <v>4682</v>
      </c>
      <c r="G1108" s="23" t="s">
        <v>4682</v>
      </c>
      <c r="H1108" s="23">
        <v>0</v>
      </c>
      <c r="I1108" s="23" t="s">
        <v>4682</v>
      </c>
      <c r="J1108" s="23" t="s">
        <v>4730</v>
      </c>
      <c r="K1108" s="23" t="s">
        <v>4735</v>
      </c>
      <c r="L1108">
        <v>1977</v>
      </c>
      <c r="M1108" s="15" t="s">
        <v>4700</v>
      </c>
      <c r="N1108">
        <v>4</v>
      </c>
      <c r="O1108">
        <v>2</v>
      </c>
      <c r="P1108" s="21">
        <f>DATEVALUE(N1108&amp;"-"&amp;M1108&amp;"-"&amp;L1108)</f>
        <v>28433</v>
      </c>
      <c r="Q1108" s="22">
        <v>9095.07</v>
      </c>
      <c r="R1108" s="23" t="s">
        <v>4697</v>
      </c>
      <c r="S1108" s="23" t="s">
        <v>4697</v>
      </c>
      <c r="T1108" s="23" t="s">
        <v>4714</v>
      </c>
      <c r="U1108" s="23">
        <f>DATEDIF(P1108, DATE(2023, 6, 8), "Y")</f>
        <v>45</v>
      </c>
      <c r="V1108">
        <f>SUM(C1108:K1108)</f>
        <v>38.86</v>
      </c>
    </row>
    <row r="1109" spans="1:22" ht="15.75">
      <c r="A1109" s="28" t="s">
        <v>2216</v>
      </c>
      <c r="B1109" s="28" t="s">
        <v>2217</v>
      </c>
      <c r="C1109" s="23">
        <v>23.18</v>
      </c>
      <c r="D1109" s="23">
        <v>6.96</v>
      </c>
      <c r="E1109" s="23" t="s">
        <v>4683</v>
      </c>
      <c r="F1109" s="23" t="s">
        <v>4682</v>
      </c>
      <c r="G1109" s="23" t="s">
        <v>4682</v>
      </c>
      <c r="H1109" s="23">
        <v>2</v>
      </c>
      <c r="I1109" s="23" t="s">
        <v>4682</v>
      </c>
      <c r="J1109" s="23" t="s">
        <v>4728</v>
      </c>
      <c r="K1109" s="23" t="s">
        <v>4735</v>
      </c>
      <c r="L1109">
        <v>1965</v>
      </c>
      <c r="M1109" s="15" t="s">
        <v>4700</v>
      </c>
      <c r="N1109">
        <v>9</v>
      </c>
      <c r="O1109">
        <v>0</v>
      </c>
      <c r="P1109" s="21">
        <f>DATEVALUE(N1109&amp;"-"&amp;M1109&amp;"-"&amp;L1109)</f>
        <v>24055</v>
      </c>
      <c r="Q1109" s="22">
        <v>9095.94</v>
      </c>
      <c r="R1109" s="23" t="s">
        <v>4698</v>
      </c>
      <c r="S1109" s="23" t="s">
        <v>4701</v>
      </c>
      <c r="T1109" s="23" t="s">
        <v>4708</v>
      </c>
      <c r="U1109" s="23">
        <f>DATEDIF(P1109, DATE(2023, 6, 8), "Y")</f>
        <v>57</v>
      </c>
      <c r="V1109">
        <f>SUM(C1109:K1109)</f>
        <v>32.14</v>
      </c>
    </row>
    <row r="1110" spans="1:22" ht="15.75">
      <c r="A1110" s="28" t="s">
        <v>2218</v>
      </c>
      <c r="B1110" s="28" t="s">
        <v>2219</v>
      </c>
      <c r="C1110" s="23">
        <v>33.020000000000003</v>
      </c>
      <c r="D1110" s="23">
        <v>5.07</v>
      </c>
      <c r="E1110" s="23" t="s">
        <v>4683</v>
      </c>
      <c r="F1110" s="23" t="s">
        <v>4682</v>
      </c>
      <c r="G1110" s="23" t="s">
        <v>4682</v>
      </c>
      <c r="H1110" s="23">
        <v>0</v>
      </c>
      <c r="I1110" s="23" t="s">
        <v>4682</v>
      </c>
      <c r="J1110" s="23" t="s">
        <v>4729</v>
      </c>
      <c r="K1110" s="23" t="s">
        <v>4737</v>
      </c>
      <c r="L1110">
        <v>1977</v>
      </c>
      <c r="M1110" s="15" t="s">
        <v>4705</v>
      </c>
      <c r="N1110">
        <v>2</v>
      </c>
      <c r="O1110">
        <v>3</v>
      </c>
      <c r="P1110" s="21">
        <f>DATEVALUE(N1110&amp;"-"&amp;M1110&amp;"-"&amp;L1110)</f>
        <v>28461</v>
      </c>
      <c r="Q1110" s="22">
        <v>9101.7999999999993</v>
      </c>
      <c r="R1110" s="23" t="s">
        <v>4697</v>
      </c>
      <c r="S1110" s="23" t="s">
        <v>4701</v>
      </c>
      <c r="T1110" s="23" t="s">
        <v>4708</v>
      </c>
      <c r="U1110" s="23">
        <f>DATEDIF(P1110, DATE(2023, 6, 8), "Y")</f>
        <v>45</v>
      </c>
      <c r="V1110">
        <f>SUM(C1110:K1110)</f>
        <v>38.090000000000003</v>
      </c>
    </row>
    <row r="1111" spans="1:22" ht="15.75">
      <c r="A1111" s="28" t="s">
        <v>2220</v>
      </c>
      <c r="B1111" s="28" t="s">
        <v>2221</v>
      </c>
      <c r="C1111" s="23">
        <v>27.29</v>
      </c>
      <c r="D1111" s="23">
        <v>5.85</v>
      </c>
      <c r="E1111" s="23" t="s">
        <v>4682</v>
      </c>
      <c r="F1111" s="23" t="s">
        <v>4682</v>
      </c>
      <c r="G1111" s="23" t="s">
        <v>4682</v>
      </c>
      <c r="H1111" s="23">
        <v>2</v>
      </c>
      <c r="I1111" s="23" t="s">
        <v>4682</v>
      </c>
      <c r="J1111" s="23" t="s">
        <v>4730</v>
      </c>
      <c r="K1111" s="23" t="s">
        <v>4736</v>
      </c>
      <c r="L1111">
        <v>1970</v>
      </c>
      <c r="M1111" s="15" t="s">
        <v>4706</v>
      </c>
      <c r="N1111">
        <v>12</v>
      </c>
      <c r="O1111">
        <v>0</v>
      </c>
      <c r="P1111" s="21">
        <f>DATEVALUE(N1111&amp;"-"&amp;M1111&amp;"-"&amp;L1111)</f>
        <v>25792</v>
      </c>
      <c r="Q1111" s="22">
        <v>9140.9500000000007</v>
      </c>
      <c r="R1111" s="23" t="s">
        <v>4698</v>
      </c>
      <c r="S1111" s="23" t="s">
        <v>4698</v>
      </c>
      <c r="T1111" s="23" t="s">
        <v>4699</v>
      </c>
      <c r="U1111" s="23">
        <f>DATEDIF(P1111, DATE(2023, 6, 8), "Y")</f>
        <v>52</v>
      </c>
      <c r="V1111">
        <f>SUM(C1111:K1111)</f>
        <v>35.14</v>
      </c>
    </row>
    <row r="1112" spans="1:22" ht="15.75">
      <c r="A1112" s="28" t="s">
        <v>2222</v>
      </c>
      <c r="B1112" s="28" t="s">
        <v>2223</v>
      </c>
      <c r="C1112" s="23">
        <v>23.18</v>
      </c>
      <c r="D1112" s="23">
        <v>10.56</v>
      </c>
      <c r="E1112" s="23" t="s">
        <v>4682</v>
      </c>
      <c r="F1112" s="23" t="s">
        <v>4682</v>
      </c>
      <c r="G1112" s="23" t="s">
        <v>4682</v>
      </c>
      <c r="H1112" s="23">
        <v>2</v>
      </c>
      <c r="I1112" s="23" t="s">
        <v>4682</v>
      </c>
      <c r="J1112" s="23" t="s">
        <v>4728</v>
      </c>
      <c r="K1112" s="23" t="s">
        <v>4735</v>
      </c>
      <c r="L1112">
        <v>1970</v>
      </c>
      <c r="M1112" s="15" t="s">
        <v>4707</v>
      </c>
      <c r="N1112">
        <v>18</v>
      </c>
      <c r="O1112">
        <v>0</v>
      </c>
      <c r="P1112" s="21">
        <f>DATEVALUE(N1112&amp;"-"&amp;M1112&amp;"-"&amp;L1112)</f>
        <v>25859</v>
      </c>
      <c r="Q1112" s="22">
        <v>9144.57</v>
      </c>
      <c r="R1112" s="23" t="s">
        <v>4698</v>
      </c>
      <c r="S1112" s="23" t="s">
        <v>4697</v>
      </c>
      <c r="T1112" s="23" t="s">
        <v>4708</v>
      </c>
      <c r="U1112" s="23">
        <f>DATEDIF(P1112, DATE(2023, 6, 8), "Y")</f>
        <v>52</v>
      </c>
      <c r="V1112">
        <f>SUM(C1112:K1112)</f>
        <v>35.74</v>
      </c>
    </row>
    <row r="1113" spans="1:22" ht="15.75">
      <c r="A1113" s="28" t="s">
        <v>2224</v>
      </c>
      <c r="B1113" s="28" t="s">
        <v>2225</v>
      </c>
      <c r="C1113" s="23">
        <v>32.659999999999997</v>
      </c>
      <c r="D1113" s="23">
        <v>8.92</v>
      </c>
      <c r="E1113" s="23" t="s">
        <v>4683</v>
      </c>
      <c r="F1113" s="23" t="s">
        <v>4682</v>
      </c>
      <c r="G1113" s="23" t="s">
        <v>4682</v>
      </c>
      <c r="H1113" s="23">
        <v>0</v>
      </c>
      <c r="I1113" s="23" t="s">
        <v>4682</v>
      </c>
      <c r="J1113" s="23" t="s">
        <v>4729</v>
      </c>
      <c r="K1113" s="23" t="s">
        <v>4735</v>
      </c>
      <c r="L1113">
        <v>1982</v>
      </c>
      <c r="M1113" s="15" t="s">
        <v>4705</v>
      </c>
      <c r="N1113">
        <v>8</v>
      </c>
      <c r="O1113">
        <v>3</v>
      </c>
      <c r="P1113" s="21">
        <f>DATEVALUE(N1113&amp;"-"&amp;M1113&amp;"-"&amp;L1113)</f>
        <v>30293</v>
      </c>
      <c r="Q1113" s="22">
        <v>9147.5</v>
      </c>
      <c r="R1113" s="23" t="s">
        <v>4697</v>
      </c>
      <c r="S1113" s="23" t="s">
        <v>4701</v>
      </c>
      <c r="T1113" s="23" t="s">
        <v>4704</v>
      </c>
      <c r="U1113" s="23">
        <f>DATEDIF(P1113, DATE(2023, 6, 8), "Y")</f>
        <v>40</v>
      </c>
      <c r="V1113">
        <f>SUM(C1113:K1113)</f>
        <v>41.58</v>
      </c>
    </row>
    <row r="1114" spans="1:22" ht="15.75">
      <c r="A1114" s="28" t="s">
        <v>2226</v>
      </c>
      <c r="B1114" s="28" t="s">
        <v>2227</v>
      </c>
      <c r="C1114" s="23">
        <v>30.78</v>
      </c>
      <c r="D1114" s="23">
        <v>8.6300000000000008</v>
      </c>
      <c r="E1114" s="23" t="s">
        <v>4682</v>
      </c>
      <c r="F1114" s="23" t="s">
        <v>4682</v>
      </c>
      <c r="G1114" s="23" t="s">
        <v>4682</v>
      </c>
      <c r="H1114" s="23">
        <v>0</v>
      </c>
      <c r="I1114" s="23" t="s">
        <v>4682</v>
      </c>
      <c r="J1114" s="23" t="s">
        <v>4729</v>
      </c>
      <c r="K1114" s="23" t="s">
        <v>4735</v>
      </c>
      <c r="L1114">
        <v>1990</v>
      </c>
      <c r="M1114" s="15" t="s">
        <v>4706</v>
      </c>
      <c r="N1114">
        <v>23</v>
      </c>
      <c r="O1114">
        <v>3</v>
      </c>
      <c r="P1114" s="21">
        <f>DATEVALUE(N1114&amp;"-"&amp;M1114&amp;"-"&amp;L1114)</f>
        <v>33108</v>
      </c>
      <c r="Q1114" s="22">
        <v>9159.51</v>
      </c>
      <c r="R1114" s="23" t="s">
        <v>4697</v>
      </c>
      <c r="S1114" s="23" t="s">
        <v>4697</v>
      </c>
      <c r="T1114" s="23" t="s">
        <v>4717</v>
      </c>
      <c r="U1114" s="23">
        <f>DATEDIF(P1114, DATE(2023, 6, 8), "Y")</f>
        <v>32</v>
      </c>
      <c r="V1114">
        <f>SUM(C1114:K1114)</f>
        <v>39.410000000000004</v>
      </c>
    </row>
    <row r="1115" spans="1:22" ht="15.75">
      <c r="A1115" s="28" t="s">
        <v>2228</v>
      </c>
      <c r="B1115" s="28" t="s">
        <v>2229</v>
      </c>
      <c r="C1115" s="23">
        <v>47.2</v>
      </c>
      <c r="D1115" s="23">
        <v>6.29</v>
      </c>
      <c r="E1115" s="23" t="s">
        <v>4683</v>
      </c>
      <c r="F1115" s="23" t="s">
        <v>4682</v>
      </c>
      <c r="G1115" s="23" t="s">
        <v>4684</v>
      </c>
      <c r="H1115" s="23">
        <v>1</v>
      </c>
      <c r="I1115" s="23" t="s">
        <v>4682</v>
      </c>
      <c r="J1115" s="23" t="s">
        <v>4729</v>
      </c>
      <c r="K1115" s="23" t="s">
        <v>4736</v>
      </c>
      <c r="L1115">
        <v>1970</v>
      </c>
      <c r="M1115" s="15" t="s">
        <v>4707</v>
      </c>
      <c r="N1115">
        <v>24</v>
      </c>
      <c r="O1115">
        <v>0</v>
      </c>
      <c r="P1115" s="21">
        <f>DATEVALUE(N1115&amp;"-"&amp;M1115&amp;"-"&amp;L1115)</f>
        <v>25865</v>
      </c>
      <c r="Q1115" s="22">
        <v>9171.75</v>
      </c>
      <c r="R1115" s="23" t="s">
        <v>4697</v>
      </c>
      <c r="S1115" s="23" t="s">
        <v>4697</v>
      </c>
      <c r="T1115" s="23" t="s">
        <v>4704</v>
      </c>
      <c r="U1115" s="23">
        <f>DATEDIF(P1115, DATE(2023, 6, 8), "Y")</f>
        <v>52</v>
      </c>
      <c r="V1115">
        <f>SUM(C1115:K1115)</f>
        <v>54.49</v>
      </c>
    </row>
    <row r="1116" spans="1:22" ht="15.75">
      <c r="A1116" s="28" t="s">
        <v>2230</v>
      </c>
      <c r="B1116" s="28" t="s">
        <v>2231</v>
      </c>
      <c r="C1116" s="23">
        <v>31.6</v>
      </c>
      <c r="D1116" s="23">
        <v>5.75</v>
      </c>
      <c r="E1116" s="23" t="s">
        <v>4682</v>
      </c>
      <c r="F1116" s="23" t="s">
        <v>4682</v>
      </c>
      <c r="G1116" s="23" t="s">
        <v>4682</v>
      </c>
      <c r="H1116" s="23">
        <v>2</v>
      </c>
      <c r="I1116" s="23" t="s">
        <v>4682</v>
      </c>
      <c r="J1116" s="23" t="s">
        <v>4729</v>
      </c>
      <c r="K1116" s="23" t="s">
        <v>4736</v>
      </c>
      <c r="L1116">
        <v>1971</v>
      </c>
      <c r="M1116" s="15" t="s">
        <v>4705</v>
      </c>
      <c r="N1116">
        <v>29</v>
      </c>
      <c r="O1116">
        <v>0</v>
      </c>
      <c r="P1116" s="21">
        <f>DATEVALUE(N1116&amp;"-"&amp;M1116&amp;"-"&amp;L1116)</f>
        <v>26296</v>
      </c>
      <c r="Q1116" s="22">
        <v>9174.14</v>
      </c>
      <c r="R1116" s="23" t="s">
        <v>4698</v>
      </c>
      <c r="S1116" s="23" t="s">
        <v>4701</v>
      </c>
      <c r="T1116" s="23" t="s">
        <v>4704</v>
      </c>
      <c r="U1116" s="23">
        <f>DATEDIF(P1116, DATE(2023, 6, 8), "Y")</f>
        <v>51</v>
      </c>
      <c r="V1116">
        <f>SUM(C1116:K1116)</f>
        <v>39.35</v>
      </c>
    </row>
    <row r="1117" spans="1:22" ht="15.75">
      <c r="A1117" s="28" t="s">
        <v>2232</v>
      </c>
      <c r="B1117" s="28" t="s">
        <v>2233</v>
      </c>
      <c r="C1117" s="23">
        <v>33.914999999999999</v>
      </c>
      <c r="D1117" s="23">
        <v>6.66</v>
      </c>
      <c r="E1117" s="23" t="s">
        <v>4683</v>
      </c>
      <c r="F1117" s="23" t="s">
        <v>4682</v>
      </c>
      <c r="G1117" s="23" t="s">
        <v>4682</v>
      </c>
      <c r="H1117" s="23">
        <v>1</v>
      </c>
      <c r="I1117" s="23" t="s">
        <v>4682</v>
      </c>
      <c r="J1117" s="23" t="s">
        <v>4729</v>
      </c>
      <c r="K1117" s="23" t="s">
        <v>4735</v>
      </c>
      <c r="L1117">
        <v>1973</v>
      </c>
      <c r="M1117" s="15" t="s">
        <v>4705</v>
      </c>
      <c r="N1117">
        <v>25</v>
      </c>
      <c r="O1117">
        <v>1</v>
      </c>
      <c r="P1117" s="21">
        <f>DATEVALUE(N1117&amp;"-"&amp;M1117&amp;"-"&amp;L1117)</f>
        <v>27023</v>
      </c>
      <c r="Q1117" s="22">
        <v>9182.17</v>
      </c>
      <c r="R1117" s="23" t="s">
        <v>4697</v>
      </c>
      <c r="S1117" s="23" t="s">
        <v>4698</v>
      </c>
      <c r="T1117" s="23" t="s">
        <v>4708</v>
      </c>
      <c r="U1117" s="23">
        <f>DATEDIF(P1117, DATE(2023, 6, 8), "Y")</f>
        <v>49</v>
      </c>
      <c r="V1117">
        <f>SUM(C1117:K1117)</f>
        <v>41.575000000000003</v>
      </c>
    </row>
    <row r="1118" spans="1:22" ht="15.75">
      <c r="A1118" s="28" t="s">
        <v>2234</v>
      </c>
      <c r="B1118" s="28" t="s">
        <v>2235</v>
      </c>
      <c r="C1118" s="23">
        <v>23.54</v>
      </c>
      <c r="D1118" s="23">
        <v>5.0999999999999996</v>
      </c>
      <c r="E1118" s="23" t="s">
        <v>4682</v>
      </c>
      <c r="F1118" s="23" t="s">
        <v>4682</v>
      </c>
      <c r="G1118" s="23" t="s">
        <v>4682</v>
      </c>
      <c r="H1118" s="23">
        <v>2</v>
      </c>
      <c r="I1118" s="23" t="s">
        <v>4682</v>
      </c>
      <c r="J1118" s="23" t="s">
        <v>4728</v>
      </c>
      <c r="K1118" s="23" t="s">
        <v>4737</v>
      </c>
      <c r="L1118">
        <v>1976</v>
      </c>
      <c r="M1118" s="15" t="s">
        <v>4703</v>
      </c>
      <c r="N1118">
        <v>10</v>
      </c>
      <c r="O1118">
        <v>2</v>
      </c>
      <c r="P1118" s="21">
        <f>DATEVALUE(N1118&amp;"-"&amp;M1118&amp;"-"&amp;L1118)</f>
        <v>28013</v>
      </c>
      <c r="Q1118" s="22">
        <v>9193.84</v>
      </c>
      <c r="R1118" s="23" t="s">
        <v>4697</v>
      </c>
      <c r="S1118" s="23" t="s">
        <v>4701</v>
      </c>
      <c r="T1118" s="23" t="s">
        <v>4704</v>
      </c>
      <c r="U1118" s="23">
        <f>DATEDIF(P1118, DATE(2023, 6, 8), "Y")</f>
        <v>46</v>
      </c>
      <c r="V1118">
        <f>SUM(C1118:K1118)</f>
        <v>30.64</v>
      </c>
    </row>
    <row r="1119" spans="1:22" ht="15.75">
      <c r="A1119" s="28" t="s">
        <v>2236</v>
      </c>
      <c r="B1119" s="28" t="s">
        <v>2237</v>
      </c>
      <c r="C1119" s="23">
        <v>27.074999999999999</v>
      </c>
      <c r="D1119" s="23">
        <v>4.41</v>
      </c>
      <c r="E1119" s="23" t="s">
        <v>4682</v>
      </c>
      <c r="F1119" s="23" t="s">
        <v>4682</v>
      </c>
      <c r="G1119" s="23" t="s">
        <v>4682</v>
      </c>
      <c r="H1119" s="23">
        <v>2</v>
      </c>
      <c r="I1119" s="23" t="s">
        <v>4682</v>
      </c>
      <c r="J1119" s="23" t="s">
        <v>4730</v>
      </c>
      <c r="K1119" s="23" t="s">
        <v>4737</v>
      </c>
      <c r="L1119">
        <v>1986</v>
      </c>
      <c r="M1119" s="15" t="s">
        <v>4705</v>
      </c>
      <c r="N1119">
        <v>25</v>
      </c>
      <c r="O1119">
        <v>3</v>
      </c>
      <c r="P1119" s="21">
        <f>DATEVALUE(N1119&amp;"-"&amp;M1119&amp;"-"&amp;L1119)</f>
        <v>31771</v>
      </c>
      <c r="Q1119" s="22">
        <v>9210.06</v>
      </c>
      <c r="R1119" s="23" t="s">
        <v>4697</v>
      </c>
      <c r="S1119" s="23" t="s">
        <v>4698</v>
      </c>
      <c r="T1119" s="23" t="s">
        <v>4717</v>
      </c>
      <c r="U1119" s="23">
        <f>DATEDIF(P1119, DATE(2023, 6, 8), "Y")</f>
        <v>36</v>
      </c>
      <c r="V1119">
        <f>SUM(C1119:K1119)</f>
        <v>33.484999999999999</v>
      </c>
    </row>
    <row r="1120" spans="1:22" ht="15.75">
      <c r="A1120" s="28" t="s">
        <v>2238</v>
      </c>
      <c r="B1120" s="28" t="s">
        <v>2239</v>
      </c>
      <c r="C1120" s="23">
        <v>25.8</v>
      </c>
      <c r="D1120" s="23">
        <v>5.52</v>
      </c>
      <c r="E1120" s="23" t="s">
        <v>4683</v>
      </c>
      <c r="F1120" s="23" t="s">
        <v>4682</v>
      </c>
      <c r="G1120" s="23" t="s">
        <v>4682</v>
      </c>
      <c r="H1120" s="23">
        <v>0</v>
      </c>
      <c r="I1120" s="23" t="s">
        <v>4682</v>
      </c>
      <c r="J1120" s="23" t="s">
        <v>4730</v>
      </c>
      <c r="K1120" s="23" t="s">
        <v>4737</v>
      </c>
      <c r="L1120">
        <v>1981</v>
      </c>
      <c r="M1120" s="15" t="s">
        <v>4705</v>
      </c>
      <c r="N1120">
        <v>5</v>
      </c>
      <c r="O1120">
        <v>5</v>
      </c>
      <c r="P1120" s="21">
        <f>DATEVALUE(N1120&amp;"-"&amp;M1120&amp;"-"&amp;L1120)</f>
        <v>29925</v>
      </c>
      <c r="Q1120" s="22">
        <v>9222.4</v>
      </c>
      <c r="R1120" s="23" t="s">
        <v>4697</v>
      </c>
      <c r="S1120" s="23" t="s">
        <v>4698</v>
      </c>
      <c r="T1120" s="23" t="s">
        <v>4710</v>
      </c>
      <c r="U1120" s="23">
        <f>DATEDIF(P1120, DATE(2023, 6, 8), "Y")</f>
        <v>41</v>
      </c>
      <c r="V1120">
        <f>SUM(C1120:K1120)</f>
        <v>31.32</v>
      </c>
    </row>
    <row r="1121" spans="1:22" ht="15.75">
      <c r="A1121" s="28" t="s">
        <v>2240</v>
      </c>
      <c r="B1121" s="28" t="s">
        <v>2241</v>
      </c>
      <c r="C1121" s="23">
        <v>36.1</v>
      </c>
      <c r="D1121" s="23">
        <v>4.62</v>
      </c>
      <c r="E1121" s="23" t="s">
        <v>4683</v>
      </c>
      <c r="F1121" s="23" t="s">
        <v>4682</v>
      </c>
      <c r="G1121" s="23" t="s">
        <v>4684</v>
      </c>
      <c r="H1121" s="23">
        <v>1</v>
      </c>
      <c r="I1121" s="23" t="s">
        <v>4682</v>
      </c>
      <c r="J1121" s="23" t="s">
        <v>4729</v>
      </c>
      <c r="K1121" s="23" t="s">
        <v>4737</v>
      </c>
      <c r="L1121">
        <v>1975</v>
      </c>
      <c r="M1121" s="15" t="s">
        <v>4705</v>
      </c>
      <c r="N1121">
        <v>6</v>
      </c>
      <c r="O1121">
        <v>2</v>
      </c>
      <c r="P1121" s="21">
        <f>DATEVALUE(N1121&amp;"-"&amp;M1121&amp;"-"&amp;L1121)</f>
        <v>27734</v>
      </c>
      <c r="Q1121" s="22">
        <v>9225.26</v>
      </c>
      <c r="R1121" s="23" t="s">
        <v>4698</v>
      </c>
      <c r="S1121" s="23" t="s">
        <v>4698</v>
      </c>
      <c r="T1121" s="23" t="s">
        <v>4709</v>
      </c>
      <c r="U1121" s="23">
        <f>DATEDIF(P1121, DATE(2023, 6, 8), "Y")</f>
        <v>47</v>
      </c>
      <c r="V1121">
        <f>SUM(C1121:K1121)</f>
        <v>41.72</v>
      </c>
    </row>
    <row r="1122" spans="1:22" ht="15.75">
      <c r="A1122" s="28" t="s">
        <v>2242</v>
      </c>
      <c r="B1122" s="28" t="s">
        <v>2243</v>
      </c>
      <c r="C1122" s="23">
        <v>30.495000000000001</v>
      </c>
      <c r="D1122" s="23">
        <v>5.74</v>
      </c>
      <c r="E1122" s="23" t="s">
        <v>4683</v>
      </c>
      <c r="F1122" s="23" t="s">
        <v>4682</v>
      </c>
      <c r="G1122" s="23" t="s">
        <v>4684</v>
      </c>
      <c r="H1122" s="23">
        <v>1</v>
      </c>
      <c r="I1122" s="23" t="s">
        <v>4682</v>
      </c>
      <c r="J1122" s="23" t="s">
        <v>4729</v>
      </c>
      <c r="K1122" s="23" t="s">
        <v>4736</v>
      </c>
      <c r="L1122">
        <v>1980</v>
      </c>
      <c r="M1122" s="15" t="s">
        <v>4707</v>
      </c>
      <c r="N1122">
        <v>5</v>
      </c>
      <c r="O1122">
        <v>2</v>
      </c>
      <c r="P1122" s="21">
        <f>DATEVALUE(N1122&amp;"-"&amp;M1122&amp;"-"&amp;L1122)</f>
        <v>29499</v>
      </c>
      <c r="Q1122" s="22">
        <v>9247.94</v>
      </c>
      <c r="R1122" s="23" t="s">
        <v>4697</v>
      </c>
      <c r="S1122" s="23" t="s">
        <v>4701</v>
      </c>
      <c r="T1122" s="23" t="s">
        <v>4717</v>
      </c>
      <c r="U1122" s="23">
        <f>DATEDIF(P1122, DATE(2023, 6, 8), "Y")</f>
        <v>42</v>
      </c>
      <c r="V1122">
        <f>SUM(C1122:K1122)</f>
        <v>37.234999999999999</v>
      </c>
    </row>
    <row r="1123" spans="1:22" ht="15.75">
      <c r="A1123" s="28" t="s">
        <v>2244</v>
      </c>
      <c r="B1123" s="28" t="s">
        <v>2245</v>
      </c>
      <c r="C1123" s="23">
        <v>21.4</v>
      </c>
      <c r="D1123" s="23">
        <v>6.3</v>
      </c>
      <c r="E1123" s="23" t="s">
        <v>4683</v>
      </c>
      <c r="F1123" s="23" t="s">
        <v>4682</v>
      </c>
      <c r="G1123" s="23" t="s">
        <v>4684</v>
      </c>
      <c r="H1123" s="23">
        <v>1</v>
      </c>
      <c r="I1123" s="23" t="s">
        <v>4682</v>
      </c>
      <c r="J1123" s="23" t="s">
        <v>4728</v>
      </c>
      <c r="K1123" s="23" t="s">
        <v>4736</v>
      </c>
      <c r="L1123">
        <v>1974</v>
      </c>
      <c r="M1123" s="15" t="s">
        <v>4706</v>
      </c>
      <c r="N1123">
        <v>21</v>
      </c>
      <c r="O1123">
        <v>1</v>
      </c>
      <c r="P1123" s="21">
        <f>DATEVALUE(N1123&amp;"-"&amp;M1123&amp;"-"&amp;L1123)</f>
        <v>27262</v>
      </c>
      <c r="Q1123" s="22">
        <v>9249.5</v>
      </c>
      <c r="R1123" s="23" t="s">
        <v>4697</v>
      </c>
      <c r="S1123" s="23" t="s">
        <v>4701</v>
      </c>
      <c r="T1123" s="23" t="s">
        <v>4704</v>
      </c>
      <c r="U1123" s="23">
        <f>DATEDIF(P1123, DATE(2023, 6, 8), "Y")</f>
        <v>48</v>
      </c>
      <c r="V1123">
        <f>SUM(C1123:K1123)</f>
        <v>28.7</v>
      </c>
    </row>
    <row r="1124" spans="1:22" ht="15.75">
      <c r="A1124" s="28" t="s">
        <v>2246</v>
      </c>
      <c r="B1124" s="28" t="s">
        <v>2247</v>
      </c>
      <c r="C1124" s="23">
        <v>32.299999999999997</v>
      </c>
      <c r="D1124" s="23">
        <v>10.27</v>
      </c>
      <c r="E1124" s="23" t="s">
        <v>4682</v>
      </c>
      <c r="F1124" s="23" t="s">
        <v>4682</v>
      </c>
      <c r="G1124" s="23" t="s">
        <v>4682</v>
      </c>
      <c r="H1124" s="23">
        <v>0</v>
      </c>
      <c r="I1124" s="23" t="s">
        <v>4682</v>
      </c>
      <c r="J1124" s="23" t="s">
        <v>4729</v>
      </c>
      <c r="K1124" s="23" t="s">
        <v>4735</v>
      </c>
      <c r="L1124">
        <v>1971</v>
      </c>
      <c r="M1124" s="15" t="s">
        <v>4706</v>
      </c>
      <c r="N1124">
        <v>6</v>
      </c>
      <c r="O1124">
        <v>0</v>
      </c>
      <c r="P1124" s="21">
        <f>DATEVALUE(N1124&amp;"-"&amp;M1124&amp;"-"&amp;L1124)</f>
        <v>26151</v>
      </c>
      <c r="Q1124" s="22">
        <v>9264.7999999999993</v>
      </c>
      <c r="R1124" s="23" t="s">
        <v>4697</v>
      </c>
      <c r="S1124" s="23" t="s">
        <v>4701</v>
      </c>
      <c r="T1124" s="23" t="s">
        <v>4708</v>
      </c>
      <c r="U1124" s="23">
        <f>DATEDIF(P1124, DATE(2023, 6, 8), "Y")</f>
        <v>51</v>
      </c>
      <c r="V1124">
        <f>SUM(C1124:K1124)</f>
        <v>42.569999999999993</v>
      </c>
    </row>
    <row r="1125" spans="1:22" ht="15.75">
      <c r="A1125" s="28" t="s">
        <v>2248</v>
      </c>
      <c r="B1125" s="28" t="s">
        <v>2249</v>
      </c>
      <c r="C1125" s="23">
        <v>29.78</v>
      </c>
      <c r="D1125" s="23">
        <v>5.85</v>
      </c>
      <c r="E1125" s="23" t="s">
        <v>4682</v>
      </c>
      <c r="F1125" s="23" t="s">
        <v>4682</v>
      </c>
      <c r="G1125" s="23" t="s">
        <v>4684</v>
      </c>
      <c r="H1125" s="23">
        <v>1</v>
      </c>
      <c r="I1125" s="23" t="s">
        <v>4682</v>
      </c>
      <c r="J1125" s="23" t="s">
        <v>4730</v>
      </c>
      <c r="K1125" s="23" t="s">
        <v>4736</v>
      </c>
      <c r="L1125">
        <v>1973</v>
      </c>
      <c r="M1125" s="15" t="s">
        <v>4707</v>
      </c>
      <c r="N1125">
        <v>27</v>
      </c>
      <c r="O1125">
        <v>1</v>
      </c>
      <c r="P1125" s="21">
        <f>DATEVALUE(N1125&amp;"-"&amp;M1125&amp;"-"&amp;L1125)</f>
        <v>26964</v>
      </c>
      <c r="Q1125" s="22">
        <v>9282.48</v>
      </c>
      <c r="R1125" s="23" t="s">
        <v>4698</v>
      </c>
      <c r="S1125" s="23" t="s">
        <v>4697</v>
      </c>
      <c r="T1125" s="23" t="s">
        <v>4711</v>
      </c>
      <c r="U1125" s="23">
        <f>DATEDIF(P1125, DATE(2023, 6, 8), "Y")</f>
        <v>49</v>
      </c>
      <c r="V1125">
        <f>SUM(C1125:K1125)</f>
        <v>36.630000000000003</v>
      </c>
    </row>
    <row r="1126" spans="1:22" ht="15.75">
      <c r="A1126" s="28" t="s">
        <v>2250</v>
      </c>
      <c r="B1126" s="28" t="s">
        <v>2251</v>
      </c>
      <c r="C1126" s="23">
        <v>34.76</v>
      </c>
      <c r="D1126" s="23">
        <v>5.92</v>
      </c>
      <c r="E1126" s="23" t="s">
        <v>4683</v>
      </c>
      <c r="F1126" s="23" t="s">
        <v>4682</v>
      </c>
      <c r="G1126" s="23" t="s">
        <v>4682</v>
      </c>
      <c r="H1126" s="23">
        <v>1</v>
      </c>
      <c r="I1126" s="23" t="s">
        <v>4682</v>
      </c>
      <c r="J1126" s="23" t="s">
        <v>4729</v>
      </c>
      <c r="K1126" s="23" t="s">
        <v>4736</v>
      </c>
      <c r="L1126">
        <v>1971</v>
      </c>
      <c r="M1126" s="15" t="s">
        <v>4696</v>
      </c>
      <c r="N1126">
        <v>2</v>
      </c>
      <c r="O1126">
        <v>0</v>
      </c>
      <c r="P1126" s="21">
        <f>DATEVALUE(N1126&amp;"-"&amp;M1126&amp;"-"&amp;L1126)</f>
        <v>26116</v>
      </c>
      <c r="Q1126" s="22">
        <v>9283.56</v>
      </c>
      <c r="R1126" s="23" t="s">
        <v>4697</v>
      </c>
      <c r="S1126" s="23" t="s">
        <v>4698</v>
      </c>
      <c r="T1126" s="23" t="s">
        <v>4699</v>
      </c>
      <c r="U1126" s="23">
        <f>DATEDIF(P1126, DATE(2023, 6, 8), "Y")</f>
        <v>51</v>
      </c>
      <c r="V1126">
        <f>SUM(C1126:K1126)</f>
        <v>41.68</v>
      </c>
    </row>
    <row r="1127" spans="1:22" ht="15.75">
      <c r="A1127" s="28" t="s">
        <v>2252</v>
      </c>
      <c r="B1127" s="28" t="s">
        <v>2253</v>
      </c>
      <c r="C1127" s="23">
        <v>18.335000000000001</v>
      </c>
      <c r="D1127" s="23">
        <v>10.01</v>
      </c>
      <c r="E1127" s="23" t="s">
        <v>4683</v>
      </c>
      <c r="F1127" s="23" t="s">
        <v>4682</v>
      </c>
      <c r="G1127" s="23" t="s">
        <v>4682</v>
      </c>
      <c r="H1127" s="23">
        <v>2</v>
      </c>
      <c r="I1127" s="23" t="s">
        <v>4682</v>
      </c>
      <c r="J1127" s="23" t="s">
        <v>4731</v>
      </c>
      <c r="K1127" s="23" t="s">
        <v>4735</v>
      </c>
      <c r="L1127">
        <v>1969</v>
      </c>
      <c r="M1127" s="15" t="s">
        <v>4700</v>
      </c>
      <c r="N1127">
        <v>26</v>
      </c>
      <c r="O1127">
        <v>0</v>
      </c>
      <c r="P1127" s="21">
        <f>DATEVALUE(N1127&amp;"-"&amp;M1127&amp;"-"&amp;L1127)</f>
        <v>25533</v>
      </c>
      <c r="Q1127" s="22">
        <v>9285.8700000000008</v>
      </c>
      <c r="R1127" s="23" t="s">
        <v>4697</v>
      </c>
      <c r="S1127" s="23" t="s">
        <v>4698</v>
      </c>
      <c r="T1127" s="23" t="s">
        <v>4699</v>
      </c>
      <c r="U1127" s="23">
        <f>DATEDIF(P1127, DATE(2023, 6, 8), "Y")</f>
        <v>53</v>
      </c>
      <c r="V1127">
        <f>SUM(C1127:K1127)</f>
        <v>30.344999999999999</v>
      </c>
    </row>
    <row r="1128" spans="1:22" ht="15.75">
      <c r="A1128" s="28" t="s">
        <v>2254</v>
      </c>
      <c r="B1128" s="28" t="s">
        <v>2255</v>
      </c>
      <c r="C1128" s="23">
        <v>32.299999999999997</v>
      </c>
      <c r="D1128" s="23">
        <v>9.59</v>
      </c>
      <c r="E1128" s="23" t="s">
        <v>4682</v>
      </c>
      <c r="F1128" s="23" t="s">
        <v>4682</v>
      </c>
      <c r="G1128" s="23" t="s">
        <v>4682</v>
      </c>
      <c r="H1128" s="23">
        <v>0</v>
      </c>
      <c r="I1128" s="23" t="s">
        <v>4682</v>
      </c>
      <c r="J1128" s="23" t="s">
        <v>4729</v>
      </c>
      <c r="K1128" s="23" t="s">
        <v>4735</v>
      </c>
      <c r="L1128">
        <v>1973</v>
      </c>
      <c r="M1128" s="15" t="s">
        <v>4707</v>
      </c>
      <c r="N1128">
        <v>16</v>
      </c>
      <c r="O1128">
        <v>1</v>
      </c>
      <c r="P1128" s="21">
        <f>DATEVALUE(N1128&amp;"-"&amp;M1128&amp;"-"&amp;L1128)</f>
        <v>26953</v>
      </c>
      <c r="Q1128" s="22">
        <v>9288.0300000000007</v>
      </c>
      <c r="R1128" s="23" t="s">
        <v>4697</v>
      </c>
      <c r="S1128" s="23" t="s">
        <v>4698</v>
      </c>
      <c r="T1128" s="23" t="s">
        <v>4712</v>
      </c>
      <c r="U1128" s="23">
        <f>DATEDIF(P1128, DATE(2023, 6, 8), "Y")</f>
        <v>49</v>
      </c>
      <c r="V1128">
        <f>SUM(C1128:K1128)</f>
        <v>41.89</v>
      </c>
    </row>
    <row r="1129" spans="1:22" ht="15.75">
      <c r="A1129" s="28" t="s">
        <v>2256</v>
      </c>
      <c r="B1129" s="28" t="s">
        <v>2257</v>
      </c>
      <c r="C1129" s="23">
        <v>27.74</v>
      </c>
      <c r="D1129" s="23">
        <v>10.37</v>
      </c>
      <c r="E1129" s="23" t="s">
        <v>4682</v>
      </c>
      <c r="F1129" s="23" t="s">
        <v>4682</v>
      </c>
      <c r="G1129" s="23" t="s">
        <v>4682</v>
      </c>
      <c r="H1129" s="23">
        <v>0</v>
      </c>
      <c r="I1129" s="23" t="s">
        <v>4682</v>
      </c>
      <c r="J1129" s="23" t="s">
        <v>4730</v>
      </c>
      <c r="K1129" s="23" t="s">
        <v>4735</v>
      </c>
      <c r="L1129">
        <v>1973</v>
      </c>
      <c r="M1129" s="15" t="s">
        <v>4703</v>
      </c>
      <c r="N1129">
        <v>18</v>
      </c>
      <c r="O1129">
        <v>1</v>
      </c>
      <c r="P1129" s="21">
        <f>DATEVALUE(N1129&amp;"-"&amp;M1129&amp;"-"&amp;L1129)</f>
        <v>26925</v>
      </c>
      <c r="Q1129" s="22">
        <v>9290.14</v>
      </c>
      <c r="R1129" s="23" t="s">
        <v>4698</v>
      </c>
      <c r="S1129" s="23" t="s">
        <v>4698</v>
      </c>
      <c r="T1129" s="23" t="s">
        <v>4711</v>
      </c>
      <c r="U1129" s="23">
        <f>DATEDIF(P1129, DATE(2023, 6, 8), "Y")</f>
        <v>49</v>
      </c>
      <c r="V1129">
        <f>SUM(C1129:K1129)</f>
        <v>38.11</v>
      </c>
    </row>
    <row r="1130" spans="1:22" ht="15.75">
      <c r="A1130" s="28" t="s">
        <v>2258</v>
      </c>
      <c r="B1130" s="28" t="s">
        <v>2259</v>
      </c>
      <c r="C1130" s="23">
        <v>24</v>
      </c>
      <c r="D1130" s="23">
        <v>4.01</v>
      </c>
      <c r="E1130" s="23" t="s">
        <v>4683</v>
      </c>
      <c r="F1130" s="23" t="s">
        <v>4682</v>
      </c>
      <c r="G1130" s="23" t="s">
        <v>4682</v>
      </c>
      <c r="H1130" s="23">
        <v>1</v>
      </c>
      <c r="I1130" s="23" t="s">
        <v>4682</v>
      </c>
      <c r="J1130" s="23" t="s">
        <v>4728</v>
      </c>
      <c r="K1130" s="23" t="s">
        <v>4737</v>
      </c>
      <c r="L1130">
        <v>1976</v>
      </c>
      <c r="M1130" s="15" t="s">
        <v>4700</v>
      </c>
      <c r="N1130">
        <v>3</v>
      </c>
      <c r="O1130">
        <v>3</v>
      </c>
      <c r="P1130" s="21">
        <f>DATEVALUE(N1130&amp;"-"&amp;M1130&amp;"-"&amp;L1130)</f>
        <v>28067</v>
      </c>
      <c r="Q1130" s="22">
        <v>9301.89</v>
      </c>
      <c r="R1130" s="23" t="s">
        <v>4697</v>
      </c>
      <c r="S1130" s="23" t="s">
        <v>4701</v>
      </c>
      <c r="T1130" s="23" t="s">
        <v>4704</v>
      </c>
      <c r="U1130" s="23">
        <f>DATEDIF(P1130, DATE(2023, 6, 8), "Y")</f>
        <v>46</v>
      </c>
      <c r="V1130">
        <f>SUM(C1130:K1130)</f>
        <v>29.009999999999998</v>
      </c>
    </row>
    <row r="1131" spans="1:22" ht="15.75">
      <c r="A1131" s="28" t="s">
        <v>2260</v>
      </c>
      <c r="B1131" s="28" t="s">
        <v>2261</v>
      </c>
      <c r="C1131" s="23">
        <v>31.78</v>
      </c>
      <c r="D1131" s="23">
        <v>4.24</v>
      </c>
      <c r="E1131" s="23" t="s">
        <v>4683</v>
      </c>
      <c r="F1131" s="23" t="s">
        <v>4682</v>
      </c>
      <c r="G1131" s="23" t="s">
        <v>4684</v>
      </c>
      <c r="H1131" s="23">
        <v>1</v>
      </c>
      <c r="I1131" s="23" t="s">
        <v>4682</v>
      </c>
      <c r="J1131" s="23" t="s">
        <v>4729</v>
      </c>
      <c r="K1131" s="23" t="s">
        <v>4737</v>
      </c>
      <c r="L1131">
        <v>1973</v>
      </c>
      <c r="M1131" s="15" t="s">
        <v>4707</v>
      </c>
      <c r="N1131">
        <v>16</v>
      </c>
      <c r="O1131">
        <v>2</v>
      </c>
      <c r="P1131" s="21">
        <f>DATEVALUE(N1131&amp;"-"&amp;M1131&amp;"-"&amp;L1131)</f>
        <v>26953</v>
      </c>
      <c r="Q1131" s="22">
        <v>9304.7000000000007</v>
      </c>
      <c r="R1131" s="23" t="s">
        <v>4698</v>
      </c>
      <c r="S1131" s="23" t="s">
        <v>4698</v>
      </c>
      <c r="T1131" s="23" t="s">
        <v>4699</v>
      </c>
      <c r="U1131" s="23">
        <f>DATEDIF(P1131, DATE(2023, 6, 8), "Y")</f>
        <v>49</v>
      </c>
      <c r="V1131">
        <f>SUM(C1131:K1131)</f>
        <v>37.020000000000003</v>
      </c>
    </row>
    <row r="1132" spans="1:22" ht="15.75">
      <c r="A1132" s="28" t="s">
        <v>2262</v>
      </c>
      <c r="B1132" s="28" t="s">
        <v>2263</v>
      </c>
      <c r="C1132" s="23">
        <v>32.25</v>
      </c>
      <c r="D1132" s="23">
        <v>5.36</v>
      </c>
      <c r="E1132" s="23" t="s">
        <v>4683</v>
      </c>
      <c r="F1132" s="23" t="s">
        <v>4682</v>
      </c>
      <c r="G1132" s="23" t="s">
        <v>4682</v>
      </c>
      <c r="H1132" s="23">
        <v>0</v>
      </c>
      <c r="I1132" s="23" t="s">
        <v>4682</v>
      </c>
      <c r="J1132" s="23" t="s">
        <v>4729</v>
      </c>
      <c r="K1132" s="23" t="s">
        <v>4737</v>
      </c>
      <c r="L1132">
        <v>1963</v>
      </c>
      <c r="M1132" s="15" t="s">
        <v>4702</v>
      </c>
      <c r="N1132">
        <v>8</v>
      </c>
      <c r="O1132">
        <v>0</v>
      </c>
      <c r="P1132" s="21">
        <f>DATEVALUE(N1132&amp;"-"&amp;M1132&amp;"-"&amp;L1132)</f>
        <v>23170</v>
      </c>
      <c r="Q1132" s="22">
        <v>9310.81</v>
      </c>
      <c r="R1132" s="23" t="s">
        <v>4698</v>
      </c>
      <c r="S1132" s="23" t="s">
        <v>4701</v>
      </c>
      <c r="T1132" s="23" t="s">
        <v>4699</v>
      </c>
      <c r="U1132" s="23">
        <f>DATEDIF(P1132, DATE(2023, 6, 8), "Y")</f>
        <v>60</v>
      </c>
      <c r="V1132">
        <f>SUM(C1132:K1132)</f>
        <v>37.61</v>
      </c>
    </row>
    <row r="1133" spans="1:22" ht="15.75">
      <c r="A1133" s="28" t="s">
        <v>2264</v>
      </c>
      <c r="B1133" s="28" t="s">
        <v>2265</v>
      </c>
      <c r="C1133" s="23">
        <v>30.114999999999998</v>
      </c>
      <c r="D1133" s="23">
        <v>4.99</v>
      </c>
      <c r="E1133" s="23" t="s">
        <v>4682</v>
      </c>
      <c r="F1133" s="23" t="s">
        <v>4682</v>
      </c>
      <c r="G1133" s="23" t="s">
        <v>4682</v>
      </c>
      <c r="H1133" s="23">
        <v>2</v>
      </c>
      <c r="I1133" s="23" t="s">
        <v>4682</v>
      </c>
      <c r="J1133" s="23" t="s">
        <v>4729</v>
      </c>
      <c r="K1133" s="23" t="s">
        <v>4737</v>
      </c>
      <c r="L1133">
        <v>1977</v>
      </c>
      <c r="M1133" s="15" t="s">
        <v>4707</v>
      </c>
      <c r="N1133">
        <v>12</v>
      </c>
      <c r="O1133">
        <v>2</v>
      </c>
      <c r="P1133" s="21">
        <f>DATEVALUE(N1133&amp;"-"&amp;M1133&amp;"-"&amp;L1133)</f>
        <v>28410</v>
      </c>
      <c r="Q1133" s="22">
        <v>9315.41</v>
      </c>
      <c r="R1133" s="23" t="s">
        <v>4697</v>
      </c>
      <c r="S1133" s="23" t="s">
        <v>4701</v>
      </c>
      <c r="T1133" s="23" t="s">
        <v>4714</v>
      </c>
      <c r="U1133" s="23">
        <f>DATEDIF(P1133, DATE(2023, 6, 8), "Y")</f>
        <v>45</v>
      </c>
      <c r="V1133">
        <f>SUM(C1133:K1133)</f>
        <v>37.104999999999997</v>
      </c>
    </row>
    <row r="1134" spans="1:22" ht="15.75">
      <c r="A1134" s="28" t="s">
        <v>2266</v>
      </c>
      <c r="B1134" s="28" t="s">
        <v>2267</v>
      </c>
      <c r="C1134" s="23">
        <v>22.41</v>
      </c>
      <c r="D1134" s="23">
        <v>8.68</v>
      </c>
      <c r="E1134" s="23" t="s">
        <v>4682</v>
      </c>
      <c r="F1134" s="23" t="s">
        <v>4682</v>
      </c>
      <c r="G1134" s="23" t="s">
        <v>4682</v>
      </c>
      <c r="H1134" s="23">
        <v>0</v>
      </c>
      <c r="I1134" s="23" t="s">
        <v>4682</v>
      </c>
      <c r="J1134" s="23" t="s">
        <v>4728</v>
      </c>
      <c r="K1134" s="23" t="s">
        <v>4735</v>
      </c>
      <c r="L1134">
        <v>1988</v>
      </c>
      <c r="M1134" s="15" t="s">
        <v>4696</v>
      </c>
      <c r="N1134">
        <v>9</v>
      </c>
      <c r="O1134">
        <v>3</v>
      </c>
      <c r="P1134" s="21">
        <f>DATEVALUE(N1134&amp;"-"&amp;M1134&amp;"-"&amp;L1134)</f>
        <v>32333</v>
      </c>
      <c r="Q1134" s="22">
        <v>9320.26</v>
      </c>
      <c r="R1134" s="23" t="s">
        <v>4697</v>
      </c>
      <c r="S1134" s="23" t="s">
        <v>4701</v>
      </c>
      <c r="T1134" s="23" t="s">
        <v>4704</v>
      </c>
      <c r="U1134" s="23">
        <f>DATEDIF(P1134, DATE(2023, 6, 8), "Y")</f>
        <v>34</v>
      </c>
      <c r="V1134">
        <f>SUM(C1134:K1134)</f>
        <v>31.09</v>
      </c>
    </row>
    <row r="1135" spans="1:22" ht="15.75">
      <c r="A1135" s="28" t="s">
        <v>2268</v>
      </c>
      <c r="B1135" s="28" t="s">
        <v>2269</v>
      </c>
      <c r="C1135" s="23">
        <v>45.72</v>
      </c>
      <c r="D1135" s="23">
        <v>4.2300000000000004</v>
      </c>
      <c r="E1135" s="23" t="s">
        <v>4683</v>
      </c>
      <c r="F1135" s="23" t="s">
        <v>4682</v>
      </c>
      <c r="G1135" s="23" t="s">
        <v>4682</v>
      </c>
      <c r="H1135" s="23">
        <v>0</v>
      </c>
      <c r="I1135" s="23" t="s">
        <v>4682</v>
      </c>
      <c r="J1135" s="23" t="s">
        <v>4729</v>
      </c>
      <c r="K1135" s="23" t="s">
        <v>4737</v>
      </c>
      <c r="L1135">
        <v>1996</v>
      </c>
      <c r="M1135" s="15" t="s">
        <v>4707</v>
      </c>
      <c r="N1135">
        <v>12</v>
      </c>
      <c r="O1135">
        <v>0</v>
      </c>
      <c r="P1135" s="21">
        <f>DATEVALUE(N1135&amp;"-"&amp;M1135&amp;"-"&amp;L1135)</f>
        <v>35350</v>
      </c>
      <c r="Q1135" s="22">
        <v>9338.61</v>
      </c>
      <c r="R1135" s="23" t="s">
        <v>4697</v>
      </c>
      <c r="S1135" s="23" t="s">
        <v>4701</v>
      </c>
      <c r="T1135" s="23" t="s">
        <v>4720</v>
      </c>
      <c r="U1135" s="23">
        <f>DATEDIF(P1135, DATE(2023, 6, 8), "Y")</f>
        <v>26</v>
      </c>
      <c r="V1135">
        <f>SUM(C1135:K1135)</f>
        <v>49.95</v>
      </c>
    </row>
    <row r="1136" spans="1:22" ht="15.75">
      <c r="A1136" s="28" t="s">
        <v>2270</v>
      </c>
      <c r="B1136" s="28" t="s">
        <v>2271</v>
      </c>
      <c r="C1136" s="23">
        <v>25</v>
      </c>
      <c r="D1136" s="23">
        <v>5.32</v>
      </c>
      <c r="E1136" s="23" t="s">
        <v>4683</v>
      </c>
      <c r="F1136" s="23" t="s">
        <v>4682</v>
      </c>
      <c r="G1136" s="23" t="s">
        <v>4682</v>
      </c>
      <c r="H1136" s="23">
        <v>2</v>
      </c>
      <c r="I1136" s="23" t="s">
        <v>4682</v>
      </c>
      <c r="J1136" s="23" t="s">
        <v>4730</v>
      </c>
      <c r="K1136" s="23" t="s">
        <v>4737</v>
      </c>
      <c r="L1136">
        <v>1988</v>
      </c>
      <c r="M1136" s="15" t="s">
        <v>4696</v>
      </c>
      <c r="N1136">
        <v>1</v>
      </c>
      <c r="O1136">
        <v>3</v>
      </c>
      <c r="P1136" s="21">
        <f>DATEVALUE(N1136&amp;"-"&amp;M1136&amp;"-"&amp;L1136)</f>
        <v>32325</v>
      </c>
      <c r="Q1136" s="22">
        <v>9344.2000000000007</v>
      </c>
      <c r="R1136" s="23" t="s">
        <v>4697</v>
      </c>
      <c r="S1136" s="23" t="s">
        <v>4701</v>
      </c>
      <c r="T1136" s="23" t="s">
        <v>4717</v>
      </c>
      <c r="U1136" s="23">
        <f>DATEDIF(P1136, DATE(2023, 6, 8), "Y")</f>
        <v>34</v>
      </c>
      <c r="V1136">
        <f>SUM(C1136:K1136)</f>
        <v>32.32</v>
      </c>
    </row>
    <row r="1137" spans="1:22" ht="15.75">
      <c r="A1137" s="28" t="s">
        <v>2272</v>
      </c>
      <c r="B1137" s="28" t="s">
        <v>2273</v>
      </c>
      <c r="C1137" s="23">
        <v>39.5</v>
      </c>
      <c r="D1137" s="23">
        <v>6.66</v>
      </c>
      <c r="E1137" s="23" t="s">
        <v>4682</v>
      </c>
      <c r="F1137" s="23" t="s">
        <v>4682</v>
      </c>
      <c r="G1137" s="23" t="s">
        <v>4682</v>
      </c>
      <c r="H1137" s="23">
        <v>0</v>
      </c>
      <c r="I1137" s="23" t="s">
        <v>4682</v>
      </c>
      <c r="J1137" s="23" t="s">
        <v>4729</v>
      </c>
      <c r="K1137" s="23" t="s">
        <v>4735</v>
      </c>
      <c r="L1137">
        <v>1971</v>
      </c>
      <c r="M1137" s="15" t="s">
        <v>4707</v>
      </c>
      <c r="N1137">
        <v>8</v>
      </c>
      <c r="O1137">
        <v>0</v>
      </c>
      <c r="P1137" s="21">
        <f>DATEVALUE(N1137&amp;"-"&amp;M1137&amp;"-"&amp;L1137)</f>
        <v>26214</v>
      </c>
      <c r="Q1137" s="22">
        <v>9361.33</v>
      </c>
      <c r="R1137" s="23" t="s">
        <v>4698</v>
      </c>
      <c r="S1137" s="23" t="s">
        <v>4701</v>
      </c>
      <c r="T1137" s="23" t="s">
        <v>4711</v>
      </c>
      <c r="U1137" s="23">
        <f>DATEDIF(P1137, DATE(2023, 6, 8), "Y")</f>
        <v>51</v>
      </c>
      <c r="V1137">
        <f>SUM(C1137:K1137)</f>
        <v>46.16</v>
      </c>
    </row>
    <row r="1138" spans="1:22" ht="15.75">
      <c r="A1138" s="28" t="s">
        <v>2274</v>
      </c>
      <c r="B1138" s="28" t="s">
        <v>2275</v>
      </c>
      <c r="C1138" s="23">
        <v>37.729999999999997</v>
      </c>
      <c r="D1138" s="23">
        <v>7.4</v>
      </c>
      <c r="E1138" s="23" t="s">
        <v>4682</v>
      </c>
      <c r="F1138" s="23" t="s">
        <v>4682</v>
      </c>
      <c r="G1138" s="23" t="s">
        <v>4682</v>
      </c>
      <c r="H1138" s="23">
        <v>0</v>
      </c>
      <c r="I1138" s="23" t="s">
        <v>4682</v>
      </c>
      <c r="J1138" s="23" t="s">
        <v>4729</v>
      </c>
      <c r="K1138" s="23" t="s">
        <v>4735</v>
      </c>
      <c r="L1138">
        <v>1969</v>
      </c>
      <c r="M1138" s="15" t="s">
        <v>4700</v>
      </c>
      <c r="N1138">
        <v>24</v>
      </c>
      <c r="O1138">
        <v>0</v>
      </c>
      <c r="P1138" s="21">
        <f>DATEVALUE(N1138&amp;"-"&amp;M1138&amp;"-"&amp;L1138)</f>
        <v>25531</v>
      </c>
      <c r="Q1138" s="22">
        <v>9377.4500000000007</v>
      </c>
      <c r="R1138" s="23" t="s">
        <v>4697</v>
      </c>
      <c r="S1138" s="23" t="s">
        <v>4698</v>
      </c>
      <c r="T1138" s="23" t="s">
        <v>4699</v>
      </c>
      <c r="U1138" s="23">
        <f>DATEDIF(P1138, DATE(2023, 6, 8), "Y")</f>
        <v>53</v>
      </c>
      <c r="V1138">
        <f>SUM(C1138:K1138)</f>
        <v>45.129999999999995</v>
      </c>
    </row>
    <row r="1139" spans="1:22" ht="15.75">
      <c r="A1139" s="28" t="s">
        <v>2276</v>
      </c>
      <c r="B1139" s="28" t="s">
        <v>2277</v>
      </c>
      <c r="C1139" s="23">
        <v>40.659999999999997</v>
      </c>
      <c r="D1139" s="23">
        <v>10.08</v>
      </c>
      <c r="E1139" s="23" t="s">
        <v>4682</v>
      </c>
      <c r="F1139" s="23" t="s">
        <v>4682</v>
      </c>
      <c r="G1139" s="23" t="s">
        <v>4682</v>
      </c>
      <c r="H1139" s="23">
        <v>0</v>
      </c>
      <c r="I1139" s="23" t="s">
        <v>4682</v>
      </c>
      <c r="J1139" s="23" t="s">
        <v>4729</v>
      </c>
      <c r="K1139" s="23" t="s">
        <v>4735</v>
      </c>
      <c r="L1139">
        <v>1971</v>
      </c>
      <c r="M1139" s="15" t="s">
        <v>4700</v>
      </c>
      <c r="N1139">
        <v>26</v>
      </c>
      <c r="O1139">
        <v>1</v>
      </c>
      <c r="P1139" s="21">
        <f>DATEVALUE(N1139&amp;"-"&amp;M1139&amp;"-"&amp;L1139)</f>
        <v>26263</v>
      </c>
      <c r="Q1139" s="22">
        <v>9377.9</v>
      </c>
      <c r="R1139" s="23" t="s">
        <v>4697</v>
      </c>
      <c r="S1139" s="23" t="s">
        <v>4701</v>
      </c>
      <c r="T1139" s="23" t="s">
        <v>4699</v>
      </c>
      <c r="U1139" s="23">
        <f>DATEDIF(P1139, DATE(2023, 6, 8), "Y")</f>
        <v>51</v>
      </c>
      <c r="V1139">
        <f>SUM(C1139:K1139)</f>
        <v>50.739999999999995</v>
      </c>
    </row>
    <row r="1140" spans="1:22" ht="15.75">
      <c r="A1140" s="28" t="s">
        <v>2278</v>
      </c>
      <c r="B1140" s="28" t="s">
        <v>2279</v>
      </c>
      <c r="C1140" s="23">
        <v>34.200000000000003</v>
      </c>
      <c r="D1140" s="23">
        <v>8.58</v>
      </c>
      <c r="E1140" s="23" t="s">
        <v>4682</v>
      </c>
      <c r="F1140" s="23" t="s">
        <v>4682</v>
      </c>
      <c r="G1140" s="23" t="s">
        <v>4682</v>
      </c>
      <c r="H1140" s="23">
        <v>0</v>
      </c>
      <c r="I1140" s="23" t="s">
        <v>4682</v>
      </c>
      <c r="J1140" s="23" t="s">
        <v>4729</v>
      </c>
      <c r="K1140" s="23" t="s">
        <v>4735</v>
      </c>
      <c r="L1140">
        <v>1975</v>
      </c>
      <c r="M1140" s="15" t="s">
        <v>4705</v>
      </c>
      <c r="N1140">
        <v>2</v>
      </c>
      <c r="O1140">
        <v>1</v>
      </c>
      <c r="P1140" s="21">
        <f>DATEVALUE(N1140&amp;"-"&amp;M1140&amp;"-"&amp;L1140)</f>
        <v>27730</v>
      </c>
      <c r="Q1140" s="22">
        <v>9380.75</v>
      </c>
      <c r="R1140" s="23" t="s">
        <v>4697</v>
      </c>
      <c r="S1140" s="23" t="s">
        <v>4697</v>
      </c>
      <c r="T1140" s="23" t="s">
        <v>4714</v>
      </c>
      <c r="U1140" s="23">
        <f>DATEDIF(P1140, DATE(2023, 6, 8), "Y")</f>
        <v>47</v>
      </c>
      <c r="V1140">
        <f>SUM(C1140:K1140)</f>
        <v>42.78</v>
      </c>
    </row>
    <row r="1141" spans="1:22" ht="15.75">
      <c r="A1141" s="28" t="s">
        <v>2280</v>
      </c>
      <c r="B1141" s="28" t="s">
        <v>2281</v>
      </c>
      <c r="C1141" s="23">
        <v>46.51</v>
      </c>
      <c r="D1141" s="23">
        <v>5.84</v>
      </c>
      <c r="E1141" s="23" t="s">
        <v>4682</v>
      </c>
      <c r="F1141" s="23" t="s">
        <v>4682</v>
      </c>
      <c r="G1141" s="23" t="s">
        <v>4682</v>
      </c>
      <c r="H1141" s="23">
        <v>1</v>
      </c>
      <c r="I1141" s="23" t="s">
        <v>4682</v>
      </c>
      <c r="J1141" s="23" t="s">
        <v>4729</v>
      </c>
      <c r="K1141" s="23" t="s">
        <v>4736</v>
      </c>
      <c r="L1141">
        <v>1971</v>
      </c>
      <c r="M1141" s="15" t="s">
        <v>4705</v>
      </c>
      <c r="N1141">
        <v>29</v>
      </c>
      <c r="O1141">
        <v>1</v>
      </c>
      <c r="P1141" s="21">
        <f>DATEVALUE(N1141&amp;"-"&amp;M1141&amp;"-"&amp;L1141)</f>
        <v>26296</v>
      </c>
      <c r="Q1141" s="22">
        <v>9386.16</v>
      </c>
      <c r="R1141" s="23" t="s">
        <v>4698</v>
      </c>
      <c r="S1141" s="23" t="s">
        <v>4697</v>
      </c>
      <c r="T1141" s="23" t="s">
        <v>4699</v>
      </c>
      <c r="U1141" s="23">
        <f>DATEDIF(P1141, DATE(2023, 6, 8), "Y")</f>
        <v>51</v>
      </c>
      <c r="V1141">
        <f>SUM(C1141:K1141)</f>
        <v>53.349999999999994</v>
      </c>
    </row>
    <row r="1142" spans="1:22" ht="15.75">
      <c r="A1142" s="28" t="s">
        <v>2282</v>
      </c>
      <c r="B1142" s="28" t="s">
        <v>2283</v>
      </c>
      <c r="C1142" s="23">
        <v>28.88</v>
      </c>
      <c r="D1142" s="23">
        <v>4.8600000000000003</v>
      </c>
      <c r="E1142" s="23" t="s">
        <v>4683</v>
      </c>
      <c r="F1142" s="23" t="s">
        <v>4682</v>
      </c>
      <c r="G1142" s="23" t="s">
        <v>4684</v>
      </c>
      <c r="H1142" s="23">
        <v>1</v>
      </c>
      <c r="I1142" s="23" t="s">
        <v>4682</v>
      </c>
      <c r="J1142" s="23" t="s">
        <v>4730</v>
      </c>
      <c r="K1142" s="23" t="s">
        <v>4737</v>
      </c>
      <c r="L1142">
        <v>1971</v>
      </c>
      <c r="M1142" s="15" t="s">
        <v>4707</v>
      </c>
      <c r="N1142">
        <v>20</v>
      </c>
      <c r="O1142">
        <v>1</v>
      </c>
      <c r="P1142" s="21">
        <f>DATEVALUE(N1142&amp;"-"&amp;M1142&amp;"-"&amp;L1142)</f>
        <v>26226</v>
      </c>
      <c r="Q1142" s="22">
        <v>9391.35</v>
      </c>
      <c r="R1142" s="23" t="s">
        <v>4698</v>
      </c>
      <c r="S1142" s="23" t="s">
        <v>4698</v>
      </c>
      <c r="T1142" s="23" t="s">
        <v>4708</v>
      </c>
      <c r="U1142" s="23">
        <f>DATEDIF(P1142, DATE(2023, 6, 8), "Y")</f>
        <v>51</v>
      </c>
      <c r="V1142">
        <f>SUM(C1142:K1142)</f>
        <v>34.74</v>
      </c>
    </row>
    <row r="1143" spans="1:22" ht="15.75">
      <c r="A1143" s="28" t="s">
        <v>2284</v>
      </c>
      <c r="B1143" s="28" t="s">
        <v>2285</v>
      </c>
      <c r="C1143" s="23">
        <v>33.914999999999999</v>
      </c>
      <c r="D1143" s="23">
        <v>11.52</v>
      </c>
      <c r="E1143" s="23" t="s">
        <v>4682</v>
      </c>
      <c r="F1143" s="23" t="s">
        <v>4682</v>
      </c>
      <c r="G1143" s="23" t="s">
        <v>4682</v>
      </c>
      <c r="H1143" s="23">
        <v>0</v>
      </c>
      <c r="I1143" s="23" t="s">
        <v>4682</v>
      </c>
      <c r="J1143" s="23" t="s">
        <v>4729</v>
      </c>
      <c r="K1143" s="23" t="s">
        <v>4735</v>
      </c>
      <c r="L1143">
        <v>1976</v>
      </c>
      <c r="M1143" s="15" t="s">
        <v>4707</v>
      </c>
      <c r="N1143">
        <v>17</v>
      </c>
      <c r="O1143">
        <v>2</v>
      </c>
      <c r="P1143" s="21">
        <f>DATEVALUE(N1143&amp;"-"&amp;M1143&amp;"-"&amp;L1143)</f>
        <v>28050</v>
      </c>
      <c r="Q1143" s="22">
        <v>9411.01</v>
      </c>
      <c r="R1143" s="23" t="s">
        <v>4697</v>
      </c>
      <c r="S1143" s="23" t="s">
        <v>4698</v>
      </c>
      <c r="T1143" s="23" t="s">
        <v>4714</v>
      </c>
      <c r="U1143" s="23">
        <f>DATEDIF(P1143, DATE(2023, 6, 8), "Y")</f>
        <v>46</v>
      </c>
      <c r="V1143">
        <f>SUM(C1143:K1143)</f>
        <v>45.435000000000002</v>
      </c>
    </row>
    <row r="1144" spans="1:22" ht="15.75">
      <c r="A1144" s="28" t="s">
        <v>2286</v>
      </c>
      <c r="B1144" s="28" t="s">
        <v>2287</v>
      </c>
      <c r="C1144" s="23">
        <v>24.32</v>
      </c>
      <c r="D1144" s="23">
        <v>6.15</v>
      </c>
      <c r="E1144" s="23" t="s">
        <v>4683</v>
      </c>
      <c r="F1144" s="23" t="s">
        <v>4682</v>
      </c>
      <c r="G1144" s="23" t="s">
        <v>4684</v>
      </c>
      <c r="H1144" s="23">
        <v>1</v>
      </c>
      <c r="I1144" s="23" t="s">
        <v>4682</v>
      </c>
      <c r="J1144" s="23" t="s">
        <v>4728</v>
      </c>
      <c r="K1144" s="23" t="s">
        <v>4736</v>
      </c>
      <c r="L1144">
        <v>1976</v>
      </c>
      <c r="M1144" s="15" t="s">
        <v>4707</v>
      </c>
      <c r="N1144">
        <v>30</v>
      </c>
      <c r="O1144">
        <v>3</v>
      </c>
      <c r="P1144" s="21">
        <f>DATEVALUE(N1144&amp;"-"&amp;M1144&amp;"-"&amp;L1144)</f>
        <v>28063</v>
      </c>
      <c r="Q1144" s="22">
        <v>9414.92</v>
      </c>
      <c r="R1144" s="23" t="s">
        <v>4697</v>
      </c>
      <c r="S1144" s="23" t="s">
        <v>4697</v>
      </c>
      <c r="T1144" s="23" t="s">
        <v>4708</v>
      </c>
      <c r="U1144" s="23">
        <f>DATEDIF(P1144, DATE(2023, 6, 8), "Y")</f>
        <v>46</v>
      </c>
      <c r="V1144">
        <f>SUM(C1144:K1144)</f>
        <v>31.47</v>
      </c>
    </row>
    <row r="1145" spans="1:22" ht="15.75">
      <c r="A1145" s="28" t="s">
        <v>2288</v>
      </c>
      <c r="B1145" s="28" t="s">
        <v>2289</v>
      </c>
      <c r="C1145" s="23">
        <v>25.8</v>
      </c>
      <c r="D1145" s="23">
        <v>9.94</v>
      </c>
      <c r="E1145" s="23" t="s">
        <v>4682</v>
      </c>
      <c r="F1145" s="23" t="s">
        <v>4682</v>
      </c>
      <c r="G1145" s="23" t="s">
        <v>4682</v>
      </c>
      <c r="H1145" s="23">
        <v>0</v>
      </c>
      <c r="I1145" s="23" t="s">
        <v>4682</v>
      </c>
      <c r="J1145" s="23" t="s">
        <v>4730</v>
      </c>
      <c r="K1145" s="23" t="s">
        <v>4735</v>
      </c>
      <c r="L1145">
        <v>1976</v>
      </c>
      <c r="M1145" s="15" t="s">
        <v>4700</v>
      </c>
      <c r="N1145">
        <v>3</v>
      </c>
      <c r="O1145">
        <v>2</v>
      </c>
      <c r="P1145" s="21">
        <f>DATEVALUE(N1145&amp;"-"&amp;M1145&amp;"-"&amp;L1145)</f>
        <v>28067</v>
      </c>
      <c r="Q1145" s="22">
        <v>9432.93</v>
      </c>
      <c r="R1145" s="23" t="s">
        <v>4697</v>
      </c>
      <c r="S1145" s="23" t="s">
        <v>4701</v>
      </c>
      <c r="T1145" s="23" t="s">
        <v>4714</v>
      </c>
      <c r="U1145" s="23">
        <f>DATEDIF(P1145, DATE(2023, 6, 8), "Y")</f>
        <v>46</v>
      </c>
      <c r="V1145">
        <f>SUM(C1145:K1145)</f>
        <v>35.74</v>
      </c>
    </row>
    <row r="1146" spans="1:22" ht="15.75">
      <c r="A1146" s="28" t="s">
        <v>2290</v>
      </c>
      <c r="B1146" s="28" t="s">
        <v>2291</v>
      </c>
      <c r="C1146" s="23">
        <v>21.56</v>
      </c>
      <c r="D1146" s="23">
        <v>10.56</v>
      </c>
      <c r="E1146" s="23" t="s">
        <v>4682</v>
      </c>
      <c r="F1146" s="23" t="s">
        <v>4682</v>
      </c>
      <c r="G1146" s="23" t="s">
        <v>4682</v>
      </c>
      <c r="H1146" s="23">
        <v>0</v>
      </c>
      <c r="I1146" s="23" t="s">
        <v>4682</v>
      </c>
      <c r="J1146" s="23" t="s">
        <v>4728</v>
      </c>
      <c r="K1146" s="23" t="s">
        <v>4735</v>
      </c>
      <c r="L1146">
        <v>1974</v>
      </c>
      <c r="M1146" s="15" t="s">
        <v>4700</v>
      </c>
      <c r="N1146">
        <v>27</v>
      </c>
      <c r="O1146">
        <v>1</v>
      </c>
      <c r="P1146" s="21">
        <f>DATEVALUE(N1146&amp;"-"&amp;M1146&amp;"-"&amp;L1146)</f>
        <v>27360</v>
      </c>
      <c r="Q1146" s="22">
        <v>9447.25</v>
      </c>
      <c r="R1146" s="23" t="s">
        <v>4697</v>
      </c>
      <c r="S1146" s="23" t="s">
        <v>4701</v>
      </c>
      <c r="T1146" s="23" t="s">
        <v>4714</v>
      </c>
      <c r="U1146" s="23">
        <f>DATEDIF(P1146, DATE(2023, 6, 8), "Y")</f>
        <v>48</v>
      </c>
      <c r="V1146">
        <f>SUM(C1146:K1146)</f>
        <v>32.119999999999997</v>
      </c>
    </row>
    <row r="1147" spans="1:22" ht="15.75">
      <c r="A1147" s="28" t="s">
        <v>2292</v>
      </c>
      <c r="B1147" s="28" t="s">
        <v>2293</v>
      </c>
      <c r="C1147" s="23">
        <v>31.6</v>
      </c>
      <c r="D1147" s="23">
        <v>6.79</v>
      </c>
      <c r="E1147" s="23" t="s">
        <v>4682</v>
      </c>
      <c r="F1147" s="23" t="s">
        <v>4682</v>
      </c>
      <c r="G1147" s="23" t="s">
        <v>4682</v>
      </c>
      <c r="H1147" s="23">
        <v>0</v>
      </c>
      <c r="I1147" s="23" t="s">
        <v>4682</v>
      </c>
      <c r="J1147" s="23" t="s">
        <v>4729</v>
      </c>
      <c r="K1147" s="23" t="s">
        <v>4735</v>
      </c>
      <c r="L1147">
        <v>1974</v>
      </c>
      <c r="M1147" s="15" t="s">
        <v>4702</v>
      </c>
      <c r="N1147">
        <v>8</v>
      </c>
      <c r="O1147">
        <v>1</v>
      </c>
      <c r="P1147" s="21">
        <f>DATEVALUE(N1147&amp;"-"&amp;M1147&amp;"-"&amp;L1147)</f>
        <v>27188</v>
      </c>
      <c r="Q1147" s="22">
        <v>9447.3799999999992</v>
      </c>
      <c r="R1147" s="23" t="s">
        <v>4697</v>
      </c>
      <c r="S1147" s="23" t="s">
        <v>4698</v>
      </c>
      <c r="T1147" s="23" t="s">
        <v>4714</v>
      </c>
      <c r="U1147" s="23">
        <f>DATEDIF(P1147, DATE(2023, 6, 8), "Y")</f>
        <v>49</v>
      </c>
      <c r="V1147">
        <f>SUM(C1147:K1147)</f>
        <v>38.39</v>
      </c>
    </row>
    <row r="1148" spans="1:22" ht="15.75">
      <c r="A1148" s="28" t="s">
        <v>2294</v>
      </c>
      <c r="B1148" s="28" t="s">
        <v>2295</v>
      </c>
      <c r="C1148" s="23">
        <v>42.93</v>
      </c>
      <c r="D1148" s="23">
        <v>4.8</v>
      </c>
      <c r="E1148" s="23" t="s">
        <v>4682</v>
      </c>
      <c r="F1148" s="23" t="s">
        <v>4682</v>
      </c>
      <c r="G1148" s="23" t="s">
        <v>4682</v>
      </c>
      <c r="H1148" s="23">
        <v>1</v>
      </c>
      <c r="I1148" s="23" t="s">
        <v>4682</v>
      </c>
      <c r="J1148" s="23" t="s">
        <v>4729</v>
      </c>
      <c r="K1148" s="23" t="s">
        <v>4737</v>
      </c>
      <c r="L1148">
        <v>1987</v>
      </c>
      <c r="M1148" s="15" t="s">
        <v>4700</v>
      </c>
      <c r="N1148">
        <v>14</v>
      </c>
      <c r="O1148">
        <v>3</v>
      </c>
      <c r="P1148" s="21">
        <f>DATEVALUE(N1148&amp;"-"&amp;M1148&amp;"-"&amp;L1148)</f>
        <v>32095</v>
      </c>
      <c r="Q1148" s="22">
        <v>9448.42</v>
      </c>
      <c r="R1148" s="23" t="s">
        <v>4697</v>
      </c>
      <c r="S1148" s="23" t="s">
        <v>4698</v>
      </c>
      <c r="T1148" s="23" t="s">
        <v>4717</v>
      </c>
      <c r="U1148" s="23">
        <f>DATEDIF(P1148, DATE(2023, 6, 8), "Y")</f>
        <v>35</v>
      </c>
      <c r="V1148">
        <f>SUM(C1148:K1148)</f>
        <v>48.73</v>
      </c>
    </row>
    <row r="1149" spans="1:22" ht="15.75">
      <c r="A1149" s="28" t="s">
        <v>2296</v>
      </c>
      <c r="B1149" s="28" t="s">
        <v>2297</v>
      </c>
      <c r="C1149" s="23">
        <v>26.72</v>
      </c>
      <c r="D1149" s="23">
        <v>5.75</v>
      </c>
      <c r="E1149" s="23" t="s">
        <v>4682</v>
      </c>
      <c r="F1149" s="23" t="s">
        <v>4682</v>
      </c>
      <c r="G1149" s="23" t="s">
        <v>4682</v>
      </c>
      <c r="H1149" s="23">
        <v>2</v>
      </c>
      <c r="I1149" s="23" t="s">
        <v>4682</v>
      </c>
      <c r="J1149" s="23" t="s">
        <v>4730</v>
      </c>
      <c r="K1149" s="23" t="s">
        <v>4736</v>
      </c>
      <c r="L1149">
        <v>1979</v>
      </c>
      <c r="M1149" s="15" t="s">
        <v>4696</v>
      </c>
      <c r="N1149">
        <v>17</v>
      </c>
      <c r="O1149">
        <v>2</v>
      </c>
      <c r="P1149" s="21">
        <f>DATEVALUE(N1149&amp;"-"&amp;M1149&amp;"-"&amp;L1149)</f>
        <v>29053</v>
      </c>
      <c r="Q1149" s="22">
        <v>9453.92</v>
      </c>
      <c r="R1149" s="23" t="s">
        <v>4697</v>
      </c>
      <c r="S1149" s="23" t="s">
        <v>4697</v>
      </c>
      <c r="T1149" s="23" t="s">
        <v>4717</v>
      </c>
      <c r="U1149" s="23">
        <f>DATEDIF(P1149, DATE(2023, 6, 8), "Y")</f>
        <v>43</v>
      </c>
      <c r="V1149">
        <f>SUM(C1149:K1149)</f>
        <v>34.47</v>
      </c>
    </row>
    <row r="1150" spans="1:22" ht="15.75">
      <c r="A1150" s="28" t="s">
        <v>2298</v>
      </c>
      <c r="B1150" s="28" t="s">
        <v>2299</v>
      </c>
      <c r="C1150" s="23">
        <v>26.67</v>
      </c>
      <c r="D1150" s="23">
        <v>5.81</v>
      </c>
      <c r="E1150" s="23" t="s">
        <v>4682</v>
      </c>
      <c r="F1150" s="23" t="s">
        <v>4682</v>
      </c>
      <c r="G1150" s="23" t="s">
        <v>4682</v>
      </c>
      <c r="H1150" s="23">
        <v>2</v>
      </c>
      <c r="I1150" s="23" t="s">
        <v>4682</v>
      </c>
      <c r="J1150" s="23" t="s">
        <v>4730</v>
      </c>
      <c r="K1150" s="23" t="s">
        <v>4736</v>
      </c>
      <c r="L1150">
        <v>1969</v>
      </c>
      <c r="M1150" s="15" t="s">
        <v>4702</v>
      </c>
      <c r="N1150">
        <v>4</v>
      </c>
      <c r="O1150">
        <v>0</v>
      </c>
      <c r="P1150" s="21">
        <f>DATEVALUE(N1150&amp;"-"&amp;M1150&amp;"-"&amp;L1150)</f>
        <v>25358</v>
      </c>
      <c r="Q1150" s="22">
        <v>9487.64</v>
      </c>
      <c r="R1150" s="23" t="s">
        <v>4697</v>
      </c>
      <c r="S1150" s="23" t="s">
        <v>4697</v>
      </c>
      <c r="T1150" s="23" t="s">
        <v>4699</v>
      </c>
      <c r="U1150" s="23">
        <f>DATEDIF(P1150, DATE(2023, 6, 8), "Y")</f>
        <v>54</v>
      </c>
      <c r="V1150">
        <f>SUM(C1150:K1150)</f>
        <v>34.480000000000004</v>
      </c>
    </row>
    <row r="1151" spans="1:22" ht="15.75">
      <c r="A1151" s="28" t="s">
        <v>2300</v>
      </c>
      <c r="B1151" s="28" t="s">
        <v>2301</v>
      </c>
      <c r="C1151" s="23">
        <v>42.68</v>
      </c>
      <c r="D1151" s="23">
        <v>9.2799999999999994</v>
      </c>
      <c r="E1151" s="23" t="s">
        <v>4682</v>
      </c>
      <c r="F1151" s="23" t="s">
        <v>4682</v>
      </c>
      <c r="G1151" s="23" t="s">
        <v>4682</v>
      </c>
      <c r="H1151" s="23">
        <v>2</v>
      </c>
      <c r="I1151" s="23" t="s">
        <v>4682</v>
      </c>
      <c r="J1151" s="23" t="s">
        <v>4729</v>
      </c>
      <c r="K1151" s="23" t="s">
        <v>4735</v>
      </c>
      <c r="L1151">
        <v>1976</v>
      </c>
      <c r="M1151" s="15" t="s">
        <v>4700</v>
      </c>
      <c r="N1151">
        <v>28</v>
      </c>
      <c r="O1151">
        <v>3</v>
      </c>
      <c r="P1151" s="21">
        <f>DATEVALUE(N1151&amp;"-"&amp;M1151&amp;"-"&amp;L1151)</f>
        <v>28092</v>
      </c>
      <c r="Q1151" s="22">
        <v>9500.57</v>
      </c>
      <c r="R1151" s="23" t="s">
        <v>4697</v>
      </c>
      <c r="S1151" s="23" t="s">
        <v>4698</v>
      </c>
      <c r="T1151" s="23" t="s">
        <v>4718</v>
      </c>
      <c r="U1151" s="23">
        <f>DATEDIF(P1151, DATE(2023, 6, 8), "Y")</f>
        <v>46</v>
      </c>
      <c r="V1151">
        <f>SUM(C1151:K1151)</f>
        <v>53.96</v>
      </c>
    </row>
    <row r="1152" spans="1:22" ht="15.75">
      <c r="A1152" s="28" t="s">
        <v>2302</v>
      </c>
      <c r="B1152" s="28" t="s">
        <v>2303</v>
      </c>
      <c r="C1152" s="23">
        <v>24.31</v>
      </c>
      <c r="D1152" s="23">
        <v>6.37</v>
      </c>
      <c r="E1152" s="23" t="s">
        <v>4682</v>
      </c>
      <c r="F1152" s="23" t="s">
        <v>4682</v>
      </c>
      <c r="G1152" s="23" t="s">
        <v>4682</v>
      </c>
      <c r="H1152" s="23">
        <v>0</v>
      </c>
      <c r="I1152" s="23" t="s">
        <v>4682</v>
      </c>
      <c r="J1152" s="23" t="s">
        <v>4728</v>
      </c>
      <c r="K1152" s="23" t="s">
        <v>4736</v>
      </c>
      <c r="L1152">
        <v>1969</v>
      </c>
      <c r="M1152" s="15" t="s">
        <v>4706</v>
      </c>
      <c r="N1152">
        <v>24</v>
      </c>
      <c r="O1152">
        <v>0</v>
      </c>
      <c r="P1152" s="21">
        <f>DATEVALUE(N1152&amp;"-"&amp;M1152&amp;"-"&amp;L1152)</f>
        <v>25439</v>
      </c>
      <c r="Q1152" s="22">
        <v>9504.31</v>
      </c>
      <c r="R1152" s="23" t="s">
        <v>4698</v>
      </c>
      <c r="S1152" s="23" t="s">
        <v>4697</v>
      </c>
      <c r="T1152" s="23" t="s">
        <v>4699</v>
      </c>
      <c r="U1152" s="23">
        <f>DATEDIF(P1152, DATE(2023, 6, 8), "Y")</f>
        <v>53</v>
      </c>
      <c r="V1152">
        <f>SUM(C1152:K1152)</f>
        <v>30.68</v>
      </c>
    </row>
    <row r="1153" spans="1:22" ht="15.75">
      <c r="A1153" s="28" t="s">
        <v>2304</v>
      </c>
      <c r="B1153" s="28" t="s">
        <v>2305</v>
      </c>
      <c r="C1153" s="23">
        <v>44.75</v>
      </c>
      <c r="D1153" s="23">
        <v>5.09</v>
      </c>
      <c r="E1153" s="23" t="s">
        <v>4683</v>
      </c>
      <c r="F1153" s="23" t="s">
        <v>4682</v>
      </c>
      <c r="G1153" s="23" t="s">
        <v>4682</v>
      </c>
      <c r="H1153" s="23">
        <v>0</v>
      </c>
      <c r="I1153" s="23" t="s">
        <v>4682</v>
      </c>
      <c r="J1153" s="23" t="s">
        <v>4729</v>
      </c>
      <c r="K1153" s="23" t="s">
        <v>4737</v>
      </c>
      <c r="L1153">
        <v>1992</v>
      </c>
      <c r="M1153" s="15" t="s">
        <v>4706</v>
      </c>
      <c r="N1153">
        <v>22</v>
      </c>
      <c r="O1153">
        <v>0</v>
      </c>
      <c r="P1153" s="21">
        <f>DATEVALUE(N1153&amp;"-"&amp;M1153&amp;"-"&amp;L1153)</f>
        <v>33838</v>
      </c>
      <c r="Q1153" s="22">
        <v>9507.68</v>
      </c>
      <c r="R1153" s="23" t="s">
        <v>4697</v>
      </c>
      <c r="S1153" s="23" t="s">
        <v>4701</v>
      </c>
      <c r="T1153" s="23" t="s">
        <v>4704</v>
      </c>
      <c r="U1153" s="23">
        <f>DATEDIF(P1153, DATE(2023, 6, 8), "Y")</f>
        <v>30</v>
      </c>
      <c r="V1153">
        <f>SUM(C1153:K1153)</f>
        <v>49.84</v>
      </c>
    </row>
    <row r="1154" spans="1:22" ht="15.75">
      <c r="A1154" s="28" t="s">
        <v>2306</v>
      </c>
      <c r="B1154" s="28" t="s">
        <v>2307</v>
      </c>
      <c r="C1154" s="23">
        <v>30.78</v>
      </c>
      <c r="D1154" s="23">
        <v>7.94</v>
      </c>
      <c r="E1154" s="23" t="s">
        <v>4682</v>
      </c>
      <c r="F1154" s="23" t="s">
        <v>4682</v>
      </c>
      <c r="G1154" s="23" t="s">
        <v>4682</v>
      </c>
      <c r="H1154" s="23">
        <v>2</v>
      </c>
      <c r="I1154" s="23" t="s">
        <v>4682</v>
      </c>
      <c r="J1154" s="23" t="s">
        <v>4729</v>
      </c>
      <c r="K1154" s="23" t="s">
        <v>4735</v>
      </c>
      <c r="L1154">
        <v>1971</v>
      </c>
      <c r="M1154" s="15" t="s">
        <v>4700</v>
      </c>
      <c r="N1154">
        <v>29</v>
      </c>
      <c r="O1154">
        <v>0</v>
      </c>
      <c r="P1154" s="21">
        <f>DATEVALUE(N1154&amp;"-"&amp;M1154&amp;"-"&amp;L1154)</f>
        <v>26266</v>
      </c>
      <c r="Q1154" s="22">
        <v>9528.9</v>
      </c>
      <c r="R1154" s="23" t="s">
        <v>4697</v>
      </c>
      <c r="S1154" s="23" t="s">
        <v>4697</v>
      </c>
      <c r="T1154" s="23" t="s">
        <v>4708</v>
      </c>
      <c r="U1154" s="23">
        <f>DATEDIF(P1154, DATE(2023, 6, 8), "Y")</f>
        <v>51</v>
      </c>
      <c r="V1154">
        <f>SUM(C1154:K1154)</f>
        <v>40.72</v>
      </c>
    </row>
    <row r="1155" spans="1:22" ht="15.75">
      <c r="A1155" s="28" t="s">
        <v>2308</v>
      </c>
      <c r="B1155" s="28" t="s">
        <v>2309</v>
      </c>
      <c r="C1155" s="23">
        <v>21.86</v>
      </c>
      <c r="D1155" s="23">
        <v>10.95</v>
      </c>
      <c r="E1155" s="23" t="s">
        <v>4682</v>
      </c>
      <c r="F1155" s="23" t="s">
        <v>4682</v>
      </c>
      <c r="G1155" s="23" t="s">
        <v>4682</v>
      </c>
      <c r="H1155" s="23">
        <v>0</v>
      </c>
      <c r="I1155" s="23" t="s">
        <v>4682</v>
      </c>
      <c r="J1155" s="23" t="s">
        <v>4728</v>
      </c>
      <c r="K1155" s="23" t="s">
        <v>4735</v>
      </c>
      <c r="L1155">
        <v>1973</v>
      </c>
      <c r="M1155" s="15" t="s">
        <v>4705</v>
      </c>
      <c r="N1155">
        <v>21</v>
      </c>
      <c r="O1155">
        <v>0</v>
      </c>
      <c r="P1155" s="21">
        <f>DATEVALUE(N1155&amp;"-"&amp;M1155&amp;"-"&amp;L1155)</f>
        <v>27019</v>
      </c>
      <c r="Q1155" s="22">
        <v>9538.65</v>
      </c>
      <c r="R1155" s="23" t="s">
        <v>4697</v>
      </c>
      <c r="S1155" s="23" t="s">
        <v>4698</v>
      </c>
      <c r="T1155" s="23" t="s">
        <v>4717</v>
      </c>
      <c r="U1155" s="23">
        <f>DATEDIF(P1155, DATE(2023, 6, 8), "Y")</f>
        <v>49</v>
      </c>
      <c r="V1155">
        <f>SUM(C1155:K1155)</f>
        <v>32.81</v>
      </c>
    </row>
    <row r="1156" spans="1:22" ht="15.75">
      <c r="A1156" s="28" t="s">
        <v>2310</v>
      </c>
      <c r="B1156" s="28" t="s">
        <v>2311</v>
      </c>
      <c r="C1156" s="23">
        <v>49.09</v>
      </c>
      <c r="D1156" s="23">
        <v>6.3</v>
      </c>
      <c r="E1156" s="23" t="s">
        <v>4683</v>
      </c>
      <c r="F1156" s="23" t="s">
        <v>4682</v>
      </c>
      <c r="G1156" s="23" t="s">
        <v>4682</v>
      </c>
      <c r="H1156" s="23">
        <v>0</v>
      </c>
      <c r="I1156" s="23" t="s">
        <v>4682</v>
      </c>
      <c r="J1156" s="23" t="s">
        <v>4729</v>
      </c>
      <c r="K1156" s="23" t="s">
        <v>4736</v>
      </c>
      <c r="L1156">
        <v>1975</v>
      </c>
      <c r="M1156" s="15" t="s">
        <v>4696</v>
      </c>
      <c r="N1156">
        <v>28</v>
      </c>
      <c r="O1156">
        <v>1</v>
      </c>
      <c r="P1156" s="21">
        <f>DATEVALUE(N1156&amp;"-"&amp;M1156&amp;"-"&amp;L1156)</f>
        <v>27603</v>
      </c>
      <c r="Q1156" s="22">
        <v>9540.17</v>
      </c>
      <c r="R1156" s="23" t="s">
        <v>4697</v>
      </c>
      <c r="S1156" s="23" t="s">
        <v>4697</v>
      </c>
      <c r="T1156" s="23" t="s">
        <v>4714</v>
      </c>
      <c r="U1156" s="23">
        <f>DATEDIF(P1156, DATE(2023, 6, 8), "Y")</f>
        <v>47</v>
      </c>
      <c r="V1156">
        <f>SUM(C1156:K1156)</f>
        <v>55.39</v>
      </c>
    </row>
    <row r="1157" spans="1:22" ht="15.75">
      <c r="A1157" s="28" t="s">
        <v>2312</v>
      </c>
      <c r="B1157" s="28" t="s">
        <v>2313</v>
      </c>
      <c r="C1157" s="23">
        <v>47.74</v>
      </c>
      <c r="D1157" s="23">
        <v>8.0500000000000007</v>
      </c>
      <c r="E1157" s="23" t="s">
        <v>4683</v>
      </c>
      <c r="F1157" s="23" t="s">
        <v>4682</v>
      </c>
      <c r="G1157" s="23" t="s">
        <v>4682</v>
      </c>
      <c r="H1157" s="23">
        <v>2</v>
      </c>
      <c r="I1157" s="23" t="s">
        <v>4682</v>
      </c>
      <c r="J1157" s="23" t="s">
        <v>4729</v>
      </c>
      <c r="K1157" s="23" t="s">
        <v>4735</v>
      </c>
      <c r="L1157">
        <v>1972</v>
      </c>
      <c r="M1157" s="15" t="s">
        <v>4703</v>
      </c>
      <c r="N1157">
        <v>22</v>
      </c>
      <c r="O1157">
        <v>0</v>
      </c>
      <c r="P1157" s="21">
        <f>DATEVALUE(N1157&amp;"-"&amp;M1157&amp;"-"&amp;L1157)</f>
        <v>26564</v>
      </c>
      <c r="Q1157" s="22">
        <v>9541.7000000000007</v>
      </c>
      <c r="R1157" s="23" t="s">
        <v>4697</v>
      </c>
      <c r="S1157" s="23" t="s">
        <v>4701</v>
      </c>
      <c r="T1157" s="23" t="s">
        <v>4714</v>
      </c>
      <c r="U1157" s="23">
        <f>DATEDIF(P1157, DATE(2023, 6, 8), "Y")</f>
        <v>50</v>
      </c>
      <c r="V1157">
        <f>SUM(C1157:K1157)</f>
        <v>57.790000000000006</v>
      </c>
    </row>
    <row r="1158" spans="1:22" ht="15.75">
      <c r="A1158" s="28" t="s">
        <v>2314</v>
      </c>
      <c r="B1158" s="28" t="s">
        <v>2315</v>
      </c>
      <c r="C1158" s="23">
        <v>30.2</v>
      </c>
      <c r="D1158" s="23">
        <v>9.8800000000000008</v>
      </c>
      <c r="E1158" s="23" t="s">
        <v>4683</v>
      </c>
      <c r="F1158" s="23" t="s">
        <v>4682</v>
      </c>
      <c r="G1158" s="23" t="s">
        <v>4682</v>
      </c>
      <c r="H1158" s="23">
        <v>2</v>
      </c>
      <c r="I1158" s="23" t="s">
        <v>4682</v>
      </c>
      <c r="J1158" s="23" t="s">
        <v>4729</v>
      </c>
      <c r="K1158" s="23" t="s">
        <v>4735</v>
      </c>
      <c r="L1158">
        <v>1972</v>
      </c>
      <c r="M1158" s="15" t="s">
        <v>4703</v>
      </c>
      <c r="N1158">
        <v>22</v>
      </c>
      <c r="O1158">
        <v>1</v>
      </c>
      <c r="P1158" s="21">
        <f>DATEVALUE(N1158&amp;"-"&amp;M1158&amp;"-"&amp;L1158)</f>
        <v>26564</v>
      </c>
      <c r="Q1158" s="22">
        <v>9549.57</v>
      </c>
      <c r="R1158" s="23" t="s">
        <v>4697</v>
      </c>
      <c r="S1158" s="23" t="s">
        <v>4701</v>
      </c>
      <c r="T1158" s="23" t="s">
        <v>4699</v>
      </c>
      <c r="U1158" s="23">
        <f>DATEDIF(P1158, DATE(2023, 6, 8), "Y")</f>
        <v>50</v>
      </c>
      <c r="V1158">
        <f>SUM(C1158:K1158)</f>
        <v>42.08</v>
      </c>
    </row>
    <row r="1159" spans="1:22" ht="15.75">
      <c r="A1159" s="28" t="s">
        <v>2316</v>
      </c>
      <c r="B1159" s="28" t="s">
        <v>2317</v>
      </c>
      <c r="C1159" s="23">
        <v>33.25</v>
      </c>
      <c r="D1159" s="23">
        <v>7.42</v>
      </c>
      <c r="E1159" s="23" t="s">
        <v>4683</v>
      </c>
      <c r="F1159" s="23" t="s">
        <v>4682</v>
      </c>
      <c r="G1159" s="23" t="s">
        <v>4682</v>
      </c>
      <c r="H1159" s="23">
        <v>2</v>
      </c>
      <c r="I1159" s="23" t="s">
        <v>4682</v>
      </c>
      <c r="J1159" s="23" t="s">
        <v>4729</v>
      </c>
      <c r="K1159" s="23" t="s">
        <v>4735</v>
      </c>
      <c r="L1159">
        <v>1974</v>
      </c>
      <c r="M1159" s="15" t="s">
        <v>4706</v>
      </c>
      <c r="N1159">
        <v>14</v>
      </c>
      <c r="O1159">
        <v>3</v>
      </c>
      <c r="P1159" s="21">
        <f>DATEVALUE(N1159&amp;"-"&amp;M1159&amp;"-"&amp;L1159)</f>
        <v>27255</v>
      </c>
      <c r="Q1159" s="22">
        <v>9563.0300000000007</v>
      </c>
      <c r="R1159" s="23" t="s">
        <v>4698</v>
      </c>
      <c r="S1159" s="23" t="s">
        <v>4701</v>
      </c>
      <c r="T1159" s="23" t="s">
        <v>4708</v>
      </c>
      <c r="U1159" s="23">
        <f>DATEDIF(P1159, DATE(2023, 6, 8), "Y")</f>
        <v>48</v>
      </c>
      <c r="V1159">
        <f>SUM(C1159:K1159)</f>
        <v>42.67</v>
      </c>
    </row>
    <row r="1160" spans="1:22" ht="15.75">
      <c r="A1160" s="28" t="s">
        <v>2318</v>
      </c>
      <c r="B1160" s="28" t="s">
        <v>2319</v>
      </c>
      <c r="C1160" s="23">
        <v>26.6</v>
      </c>
      <c r="D1160" s="23">
        <v>8.4499999999999993</v>
      </c>
      <c r="E1160" s="23" t="s">
        <v>4683</v>
      </c>
      <c r="F1160" s="23" t="s">
        <v>4682</v>
      </c>
      <c r="G1160" s="23" t="s">
        <v>4682</v>
      </c>
      <c r="H1160" s="23">
        <v>1</v>
      </c>
      <c r="I1160" s="23" t="s">
        <v>4682</v>
      </c>
      <c r="J1160" s="23" t="s">
        <v>4730</v>
      </c>
      <c r="K1160" s="23" t="s">
        <v>4735</v>
      </c>
      <c r="L1160">
        <v>1973</v>
      </c>
      <c r="M1160" s="15" t="s">
        <v>4705</v>
      </c>
      <c r="N1160">
        <v>1</v>
      </c>
      <c r="O1160">
        <v>1</v>
      </c>
      <c r="P1160" s="21">
        <f>DATEVALUE(N1160&amp;"-"&amp;M1160&amp;"-"&amp;L1160)</f>
        <v>26999</v>
      </c>
      <c r="Q1160" s="22">
        <v>9566.99</v>
      </c>
      <c r="R1160" s="23" t="s">
        <v>4697</v>
      </c>
      <c r="S1160" s="23" t="s">
        <v>4701</v>
      </c>
      <c r="T1160" s="23" t="s">
        <v>4704</v>
      </c>
      <c r="U1160" s="23">
        <f>DATEDIF(P1160, DATE(2023, 6, 8), "Y")</f>
        <v>49</v>
      </c>
      <c r="V1160">
        <f>SUM(C1160:K1160)</f>
        <v>36.049999999999997</v>
      </c>
    </row>
    <row r="1161" spans="1:22" ht="15.75">
      <c r="A1161" s="28" t="s">
        <v>2320</v>
      </c>
      <c r="B1161" s="28" t="s">
        <v>2321</v>
      </c>
      <c r="C1161" s="23">
        <v>26.35</v>
      </c>
      <c r="D1161" s="23">
        <v>6.21</v>
      </c>
      <c r="E1161" s="23" t="s">
        <v>4682</v>
      </c>
      <c r="F1161" s="23" t="s">
        <v>4682</v>
      </c>
      <c r="G1161" s="23" t="s">
        <v>4682</v>
      </c>
      <c r="H1161" s="23">
        <v>2</v>
      </c>
      <c r="I1161" s="23" t="s">
        <v>4682</v>
      </c>
      <c r="J1161" s="23" t="s">
        <v>4730</v>
      </c>
      <c r="K1161" s="23" t="s">
        <v>4736</v>
      </c>
      <c r="L1161">
        <v>1966</v>
      </c>
      <c r="M1161" s="15" t="s">
        <v>4705</v>
      </c>
      <c r="N1161">
        <v>4</v>
      </c>
      <c r="O1161">
        <v>0</v>
      </c>
      <c r="P1161" s="21">
        <f>DATEVALUE(N1161&amp;"-"&amp;M1161&amp;"-"&amp;L1161)</f>
        <v>24445</v>
      </c>
      <c r="Q1161" s="22">
        <v>9582.5400000000009</v>
      </c>
      <c r="R1161" s="23" t="s">
        <v>4698</v>
      </c>
      <c r="S1161" s="23" t="s">
        <v>4697</v>
      </c>
      <c r="T1161" s="23" t="s">
        <v>4699</v>
      </c>
      <c r="U1161" s="23">
        <f>DATEDIF(P1161, DATE(2023, 6, 8), "Y")</f>
        <v>56</v>
      </c>
      <c r="V1161">
        <f>SUM(C1161:K1161)</f>
        <v>34.56</v>
      </c>
    </row>
    <row r="1162" spans="1:22" ht="15.75">
      <c r="A1162" s="28" t="s">
        <v>2322</v>
      </c>
      <c r="B1162" s="28" t="s">
        <v>2323</v>
      </c>
      <c r="C1162" s="23">
        <v>39.994999999999997</v>
      </c>
      <c r="D1162" s="23">
        <v>4.6500000000000004</v>
      </c>
      <c r="E1162" s="23" t="s">
        <v>4682</v>
      </c>
      <c r="F1162" s="23" t="s">
        <v>4682</v>
      </c>
      <c r="G1162" s="23" t="s">
        <v>4682</v>
      </c>
      <c r="H1162" s="23">
        <v>0</v>
      </c>
      <c r="I1162" s="23" t="s">
        <v>4682</v>
      </c>
      <c r="J1162" s="23" t="s">
        <v>4729</v>
      </c>
      <c r="K1162" s="23" t="s">
        <v>4737</v>
      </c>
      <c r="L1162">
        <v>1973</v>
      </c>
      <c r="M1162" s="15" t="s">
        <v>4700</v>
      </c>
      <c r="N1162">
        <v>28</v>
      </c>
      <c r="O1162">
        <v>1</v>
      </c>
      <c r="P1162" s="21">
        <f>DATEVALUE(N1162&amp;"-"&amp;M1162&amp;"-"&amp;L1162)</f>
        <v>26996</v>
      </c>
      <c r="Q1162" s="22">
        <v>9583.89</v>
      </c>
      <c r="R1162" s="23" t="s">
        <v>4697</v>
      </c>
      <c r="S1162" s="23" t="s">
        <v>4698</v>
      </c>
      <c r="T1162" s="23" t="s">
        <v>4704</v>
      </c>
      <c r="U1162" s="23">
        <f>DATEDIF(P1162, DATE(2023, 6, 8), "Y")</f>
        <v>49</v>
      </c>
      <c r="V1162">
        <f>SUM(C1162:K1162)</f>
        <v>44.644999999999996</v>
      </c>
    </row>
    <row r="1163" spans="1:22" ht="15.75">
      <c r="A1163" s="28" t="s">
        <v>2324</v>
      </c>
      <c r="B1163" s="28" t="s">
        <v>2325</v>
      </c>
      <c r="C1163" s="23">
        <v>22.92</v>
      </c>
      <c r="D1163" s="23">
        <v>5.87</v>
      </c>
      <c r="E1163" s="23" t="s">
        <v>4683</v>
      </c>
      <c r="F1163" s="23" t="s">
        <v>4682</v>
      </c>
      <c r="G1163" s="23" t="s">
        <v>4682</v>
      </c>
      <c r="H1163" s="23">
        <v>1</v>
      </c>
      <c r="I1163" s="23" t="s">
        <v>4682</v>
      </c>
      <c r="J1163" s="23" t="s">
        <v>4728</v>
      </c>
      <c r="K1163" s="23" t="s">
        <v>4736</v>
      </c>
      <c r="L1163">
        <v>1981</v>
      </c>
      <c r="M1163" s="15" t="s">
        <v>4707</v>
      </c>
      <c r="N1163">
        <v>18</v>
      </c>
      <c r="O1163">
        <v>1</v>
      </c>
      <c r="P1163" s="21">
        <f>DATEVALUE(N1163&amp;"-"&amp;M1163&amp;"-"&amp;L1163)</f>
        <v>29877</v>
      </c>
      <c r="Q1163" s="22">
        <v>9584.0400000000009</v>
      </c>
      <c r="R1163" s="23" t="s">
        <v>4697</v>
      </c>
      <c r="S1163" s="23" t="s">
        <v>4701</v>
      </c>
      <c r="T1163" s="23" t="s">
        <v>4717</v>
      </c>
      <c r="U1163" s="23">
        <f>DATEDIF(P1163, DATE(2023, 6, 8), "Y")</f>
        <v>41</v>
      </c>
      <c r="V1163">
        <f>SUM(C1163:K1163)</f>
        <v>29.790000000000003</v>
      </c>
    </row>
    <row r="1164" spans="1:22" ht="15.75">
      <c r="A1164" s="28" t="s">
        <v>2326</v>
      </c>
      <c r="B1164" s="28" t="s">
        <v>2327</v>
      </c>
      <c r="C1164" s="23">
        <v>24.78</v>
      </c>
      <c r="D1164" s="23">
        <v>4.24</v>
      </c>
      <c r="E1164" s="23" t="s">
        <v>4683</v>
      </c>
      <c r="F1164" s="23" t="s">
        <v>4682</v>
      </c>
      <c r="G1164" s="23" t="s">
        <v>4682</v>
      </c>
      <c r="H1164" s="23">
        <v>2</v>
      </c>
      <c r="I1164" s="23" t="s">
        <v>4682</v>
      </c>
      <c r="J1164" s="23" t="s">
        <v>4728</v>
      </c>
      <c r="K1164" s="23" t="s">
        <v>4737</v>
      </c>
      <c r="L1164">
        <v>1964</v>
      </c>
      <c r="M1164" s="15" t="s">
        <v>4705</v>
      </c>
      <c r="N1164">
        <v>15</v>
      </c>
      <c r="O1164">
        <v>0</v>
      </c>
      <c r="P1164" s="21">
        <f>DATEVALUE(N1164&amp;"-"&amp;M1164&amp;"-"&amp;L1164)</f>
        <v>23726</v>
      </c>
      <c r="Q1164" s="22">
        <v>9597.6299999999992</v>
      </c>
      <c r="R1164" s="23" t="s">
        <v>4698</v>
      </c>
      <c r="S1164" s="23" t="s">
        <v>4698</v>
      </c>
      <c r="T1164" s="23" t="s">
        <v>4699</v>
      </c>
      <c r="U1164" s="23">
        <f>DATEDIF(P1164, DATE(2023, 6, 8), "Y")</f>
        <v>58</v>
      </c>
      <c r="V1164">
        <f>SUM(C1164:K1164)</f>
        <v>31.020000000000003</v>
      </c>
    </row>
    <row r="1165" spans="1:22" ht="15.75">
      <c r="A1165" s="28" t="s">
        <v>2328</v>
      </c>
      <c r="B1165" s="28" t="s">
        <v>2329</v>
      </c>
      <c r="C1165" s="23">
        <v>34.07</v>
      </c>
      <c r="D1165" s="23">
        <v>7.81</v>
      </c>
      <c r="E1165" s="23" t="s">
        <v>4683</v>
      </c>
      <c r="F1165" s="23" t="s">
        <v>4682</v>
      </c>
      <c r="G1165" s="23" t="s">
        <v>4682</v>
      </c>
      <c r="H1165" s="23">
        <v>0</v>
      </c>
      <c r="I1165" s="23" t="s">
        <v>4682</v>
      </c>
      <c r="J1165" s="23" t="s">
        <v>4729</v>
      </c>
      <c r="K1165" s="23" t="s">
        <v>4735</v>
      </c>
      <c r="L1165">
        <v>1972</v>
      </c>
      <c r="M1165" s="15" t="s">
        <v>4705</v>
      </c>
      <c r="N1165">
        <v>27</v>
      </c>
      <c r="O1165">
        <v>1</v>
      </c>
      <c r="P1165" s="21">
        <f>DATEVALUE(N1165&amp;"-"&amp;M1165&amp;"-"&amp;L1165)</f>
        <v>26660</v>
      </c>
      <c r="Q1165" s="22">
        <v>9617.66</v>
      </c>
      <c r="R1165" s="23" t="s">
        <v>4698</v>
      </c>
      <c r="S1165" s="23" t="s">
        <v>4698</v>
      </c>
      <c r="T1165" s="23" t="s">
        <v>4711</v>
      </c>
      <c r="U1165" s="23">
        <f>DATEDIF(P1165, DATE(2023, 6, 8), "Y")</f>
        <v>50</v>
      </c>
      <c r="V1165">
        <f>SUM(C1165:K1165)</f>
        <v>41.88</v>
      </c>
    </row>
    <row r="1166" spans="1:22" ht="15.75">
      <c r="A1166" s="28" t="s">
        <v>2330</v>
      </c>
      <c r="B1166" s="28" t="s">
        <v>2331</v>
      </c>
      <c r="C1166" s="23">
        <v>30.14</v>
      </c>
      <c r="D1166" s="23">
        <v>9.85</v>
      </c>
      <c r="E1166" s="23" t="s">
        <v>4682</v>
      </c>
      <c r="F1166" s="23" t="s">
        <v>4682</v>
      </c>
      <c r="G1166" s="23" t="s">
        <v>4682</v>
      </c>
      <c r="H1166" s="23">
        <v>0</v>
      </c>
      <c r="I1166" s="23" t="s">
        <v>4682</v>
      </c>
      <c r="J1166" s="23" t="s">
        <v>4729</v>
      </c>
      <c r="K1166" s="23" t="s">
        <v>4735</v>
      </c>
      <c r="L1166">
        <v>1982</v>
      </c>
      <c r="M1166" s="15" t="s">
        <v>4706</v>
      </c>
      <c r="N1166">
        <v>29</v>
      </c>
      <c r="O1166">
        <v>3</v>
      </c>
      <c r="P1166" s="21">
        <f>DATEVALUE(N1166&amp;"-"&amp;M1166&amp;"-"&amp;L1166)</f>
        <v>30192</v>
      </c>
      <c r="Q1166" s="22">
        <v>9619.18</v>
      </c>
      <c r="R1166" s="23" t="s">
        <v>4697</v>
      </c>
      <c r="S1166" s="23" t="s">
        <v>4701</v>
      </c>
      <c r="T1166" s="23" t="s">
        <v>4713</v>
      </c>
      <c r="U1166" s="23">
        <f>DATEDIF(P1166, DATE(2023, 6, 8), "Y")</f>
        <v>40</v>
      </c>
      <c r="V1166">
        <f>SUM(C1166:K1166)</f>
        <v>39.99</v>
      </c>
    </row>
    <row r="1167" spans="1:22" ht="15.75">
      <c r="A1167" s="28" t="s">
        <v>2332</v>
      </c>
      <c r="B1167" s="28" t="s">
        <v>2333</v>
      </c>
      <c r="C1167" s="23">
        <v>18.05</v>
      </c>
      <c r="D1167" s="23">
        <v>6.94</v>
      </c>
      <c r="E1167" s="23" t="s">
        <v>4682</v>
      </c>
      <c r="F1167" s="23" t="s">
        <v>4682</v>
      </c>
      <c r="G1167" s="23" t="s">
        <v>4682</v>
      </c>
      <c r="H1167" s="23">
        <v>0</v>
      </c>
      <c r="I1167" s="23" t="s">
        <v>4682</v>
      </c>
      <c r="J1167" s="23" t="s">
        <v>4731</v>
      </c>
      <c r="K1167" s="23" t="s">
        <v>4735</v>
      </c>
      <c r="L1167">
        <v>1975</v>
      </c>
      <c r="M1167" s="15" t="s">
        <v>4707</v>
      </c>
      <c r="N1167">
        <v>29</v>
      </c>
      <c r="O1167">
        <v>3</v>
      </c>
      <c r="P1167" s="21">
        <f>DATEVALUE(N1167&amp;"-"&amp;M1167&amp;"-"&amp;L1167)</f>
        <v>27696</v>
      </c>
      <c r="Q1167" s="22">
        <v>9620.33</v>
      </c>
      <c r="R1167" s="23" t="s">
        <v>4698</v>
      </c>
      <c r="S1167" s="23" t="s">
        <v>4698</v>
      </c>
      <c r="T1167" s="23" t="s">
        <v>4704</v>
      </c>
      <c r="U1167" s="23">
        <f>DATEDIF(P1167, DATE(2023, 6, 8), "Y")</f>
        <v>47</v>
      </c>
      <c r="V1167">
        <f>SUM(C1167:K1167)</f>
        <v>24.990000000000002</v>
      </c>
    </row>
    <row r="1168" spans="1:22" ht="15.75">
      <c r="A1168" s="28" t="s">
        <v>2334</v>
      </c>
      <c r="B1168" s="28" t="s">
        <v>2335</v>
      </c>
      <c r="C1168" s="23">
        <v>37.4</v>
      </c>
      <c r="D1168" s="23">
        <v>11.3</v>
      </c>
      <c r="E1168" s="23" t="s">
        <v>4683</v>
      </c>
      <c r="F1168" s="23" t="s">
        <v>4682</v>
      </c>
      <c r="G1168" s="23" t="s">
        <v>4682</v>
      </c>
      <c r="H1168" s="23">
        <v>2</v>
      </c>
      <c r="I1168" s="23" t="s">
        <v>4682</v>
      </c>
      <c r="J1168" s="23" t="s">
        <v>4729</v>
      </c>
      <c r="K1168" s="23" t="s">
        <v>4735</v>
      </c>
      <c r="L1168">
        <v>1970</v>
      </c>
      <c r="M1168" s="15" t="s">
        <v>4705</v>
      </c>
      <c r="N1168">
        <v>16</v>
      </c>
      <c r="O1168">
        <v>0</v>
      </c>
      <c r="P1168" s="21">
        <f>DATEVALUE(N1168&amp;"-"&amp;M1168&amp;"-"&amp;L1168)</f>
        <v>25918</v>
      </c>
      <c r="Q1168" s="22">
        <v>9625.92</v>
      </c>
      <c r="R1168" s="23" t="s">
        <v>4697</v>
      </c>
      <c r="S1168" s="23" t="s">
        <v>4698</v>
      </c>
      <c r="T1168" s="23" t="s">
        <v>4708</v>
      </c>
      <c r="U1168" s="23">
        <f>DATEDIF(P1168, DATE(2023, 6, 8), "Y")</f>
        <v>52</v>
      </c>
      <c r="V1168">
        <f>SUM(C1168:K1168)</f>
        <v>50.7</v>
      </c>
    </row>
    <row r="1169" spans="1:22" ht="15.75">
      <c r="A1169" s="28" t="s">
        <v>2336</v>
      </c>
      <c r="B1169" s="28" t="s">
        <v>2337</v>
      </c>
      <c r="C1169" s="23">
        <v>25.75</v>
      </c>
      <c r="D1169" s="23">
        <v>9.23</v>
      </c>
      <c r="E1169" s="23" t="s">
        <v>4682</v>
      </c>
      <c r="F1169" s="23" t="s">
        <v>4682</v>
      </c>
      <c r="G1169" s="23" t="s">
        <v>4682</v>
      </c>
      <c r="H1169" s="23">
        <v>0</v>
      </c>
      <c r="I1169" s="23" t="s">
        <v>4682</v>
      </c>
      <c r="J1169" s="23" t="s">
        <v>4730</v>
      </c>
      <c r="K1169" s="23" t="s">
        <v>4735</v>
      </c>
      <c r="L1169">
        <v>1998</v>
      </c>
      <c r="M1169" s="15" t="s">
        <v>4702</v>
      </c>
      <c r="N1169">
        <v>23</v>
      </c>
      <c r="O1169">
        <v>0</v>
      </c>
      <c r="P1169" s="21">
        <f>DATEVALUE(N1169&amp;"-"&amp;M1169&amp;"-"&amp;L1169)</f>
        <v>35969</v>
      </c>
      <c r="Q1169" s="22">
        <v>9628.7900000000009</v>
      </c>
      <c r="R1169" s="23" t="s">
        <v>4697</v>
      </c>
      <c r="S1169" s="23" t="s">
        <v>4697</v>
      </c>
      <c r="T1169" s="23" t="s">
        <v>4720</v>
      </c>
      <c r="U1169" s="23">
        <f>DATEDIF(P1169, DATE(2023, 6, 8), "Y")</f>
        <v>24</v>
      </c>
      <c r="V1169">
        <f>SUM(C1169:K1169)</f>
        <v>34.980000000000004</v>
      </c>
    </row>
    <row r="1170" spans="1:22" ht="15.75">
      <c r="A1170" s="28" t="s">
        <v>2338</v>
      </c>
      <c r="B1170" s="28" t="s">
        <v>2339</v>
      </c>
      <c r="C1170" s="23">
        <v>32.299999999999997</v>
      </c>
      <c r="D1170" s="23">
        <v>4.37</v>
      </c>
      <c r="E1170" s="23" t="s">
        <v>4682</v>
      </c>
      <c r="F1170" s="23" t="s">
        <v>4682</v>
      </c>
      <c r="G1170" s="23" t="s">
        <v>4682</v>
      </c>
      <c r="H1170" s="23">
        <v>2</v>
      </c>
      <c r="I1170" s="23" t="s">
        <v>4682</v>
      </c>
      <c r="J1170" s="23" t="s">
        <v>4729</v>
      </c>
      <c r="K1170" s="23" t="s">
        <v>4737</v>
      </c>
      <c r="L1170">
        <v>1979</v>
      </c>
      <c r="M1170" s="15" t="s">
        <v>4705</v>
      </c>
      <c r="N1170">
        <v>19</v>
      </c>
      <c r="O1170">
        <v>2</v>
      </c>
      <c r="P1170" s="21">
        <f>DATEVALUE(N1170&amp;"-"&amp;M1170&amp;"-"&amp;L1170)</f>
        <v>29208</v>
      </c>
      <c r="Q1170" s="22">
        <v>9630.2999999999993</v>
      </c>
      <c r="R1170" s="23" t="s">
        <v>4697</v>
      </c>
      <c r="S1170" s="23" t="s">
        <v>4697</v>
      </c>
      <c r="T1170" s="23" t="s">
        <v>4717</v>
      </c>
      <c r="U1170" s="23">
        <f>DATEDIF(P1170, DATE(2023, 6, 8), "Y")</f>
        <v>43</v>
      </c>
      <c r="V1170">
        <f>SUM(C1170:K1170)</f>
        <v>38.669999999999995</v>
      </c>
    </row>
    <row r="1171" spans="1:22" ht="15.75">
      <c r="A1171" s="28" t="s">
        <v>2340</v>
      </c>
      <c r="B1171" s="28" t="s">
        <v>2341</v>
      </c>
      <c r="C1171" s="23">
        <v>28.61</v>
      </c>
      <c r="D1171" s="23">
        <v>5.76</v>
      </c>
      <c r="E1171" s="23" t="s">
        <v>4682</v>
      </c>
      <c r="F1171" s="23" t="s">
        <v>4682</v>
      </c>
      <c r="G1171" s="23" t="s">
        <v>4684</v>
      </c>
      <c r="H1171" s="23">
        <v>1</v>
      </c>
      <c r="I1171" s="23" t="s">
        <v>4682</v>
      </c>
      <c r="J1171" s="23" t="s">
        <v>4730</v>
      </c>
      <c r="K1171" s="23" t="s">
        <v>4736</v>
      </c>
      <c r="L1171">
        <v>1972</v>
      </c>
      <c r="M1171" s="15" t="s">
        <v>4707</v>
      </c>
      <c r="N1171">
        <v>23</v>
      </c>
      <c r="O1171">
        <v>2</v>
      </c>
      <c r="P1171" s="21">
        <f>DATEVALUE(N1171&amp;"-"&amp;M1171&amp;"-"&amp;L1171)</f>
        <v>26595</v>
      </c>
      <c r="Q1171" s="22">
        <v>9630.4</v>
      </c>
      <c r="R1171" s="23" t="s">
        <v>4697</v>
      </c>
      <c r="S1171" s="23" t="s">
        <v>4697</v>
      </c>
      <c r="T1171" s="23" t="s">
        <v>4708</v>
      </c>
      <c r="U1171" s="23">
        <f>DATEDIF(P1171, DATE(2023, 6, 8), "Y")</f>
        <v>50</v>
      </c>
      <c r="V1171">
        <f>SUM(C1171:K1171)</f>
        <v>35.369999999999997</v>
      </c>
    </row>
    <row r="1172" spans="1:22" ht="15.75">
      <c r="A1172" s="28" t="s">
        <v>2342</v>
      </c>
      <c r="B1172" s="28" t="s">
        <v>2343</v>
      </c>
      <c r="C1172" s="23">
        <v>45.41</v>
      </c>
      <c r="D1172" s="23">
        <v>4.96</v>
      </c>
      <c r="E1172" s="23" t="s">
        <v>4682</v>
      </c>
      <c r="F1172" s="23" t="s">
        <v>4682</v>
      </c>
      <c r="G1172" s="23" t="s">
        <v>4682</v>
      </c>
      <c r="H1172" s="23">
        <v>1</v>
      </c>
      <c r="I1172" s="23" t="s">
        <v>4682</v>
      </c>
      <c r="J1172" s="23" t="s">
        <v>4729</v>
      </c>
      <c r="K1172" s="23" t="s">
        <v>4737</v>
      </c>
      <c r="L1172">
        <v>1968</v>
      </c>
      <c r="M1172" s="15" t="s">
        <v>4702</v>
      </c>
      <c r="N1172">
        <v>22</v>
      </c>
      <c r="O1172">
        <v>0</v>
      </c>
      <c r="P1172" s="21">
        <f>DATEVALUE(N1172&amp;"-"&amp;M1172&amp;"-"&amp;L1172)</f>
        <v>25011</v>
      </c>
      <c r="Q1172" s="22">
        <v>9630.91</v>
      </c>
      <c r="R1172" s="23" t="s">
        <v>4698</v>
      </c>
      <c r="S1172" s="23" t="s">
        <v>4697</v>
      </c>
      <c r="T1172" s="23" t="s">
        <v>4699</v>
      </c>
      <c r="U1172" s="23">
        <f>DATEDIF(P1172, DATE(2023, 6, 8), "Y")</f>
        <v>54</v>
      </c>
      <c r="V1172">
        <f>SUM(C1172:K1172)</f>
        <v>51.37</v>
      </c>
    </row>
    <row r="1173" spans="1:22" ht="15.75">
      <c r="A1173" s="28" t="s">
        <v>2344</v>
      </c>
      <c r="B1173" s="28" t="s">
        <v>2345</v>
      </c>
      <c r="C1173" s="23">
        <v>31.2</v>
      </c>
      <c r="D1173" s="23">
        <v>11.04</v>
      </c>
      <c r="E1173" s="23" t="s">
        <v>4683</v>
      </c>
      <c r="F1173" s="23" t="s">
        <v>4682</v>
      </c>
      <c r="G1173" s="23" t="s">
        <v>4682</v>
      </c>
      <c r="H1173" s="23">
        <v>2</v>
      </c>
      <c r="I1173" s="23" t="s">
        <v>4682</v>
      </c>
      <c r="J1173" s="23" t="s">
        <v>4729</v>
      </c>
      <c r="K1173" s="23" t="s">
        <v>4735</v>
      </c>
      <c r="L1173">
        <v>1970</v>
      </c>
      <c r="M1173" s="15" t="s">
        <v>4703</v>
      </c>
      <c r="N1173">
        <v>30</v>
      </c>
      <c r="O1173">
        <v>0</v>
      </c>
      <c r="P1173" s="21">
        <f>DATEVALUE(N1173&amp;"-"&amp;M1173&amp;"-"&amp;L1173)</f>
        <v>25841</v>
      </c>
      <c r="Q1173" s="22">
        <v>9634.5400000000009</v>
      </c>
      <c r="R1173" s="23" t="s">
        <v>4697</v>
      </c>
      <c r="S1173" s="23" t="s">
        <v>4697</v>
      </c>
      <c r="T1173" s="23" t="s">
        <v>4708</v>
      </c>
      <c r="U1173" s="23">
        <f>DATEDIF(P1173, DATE(2023, 6, 8), "Y")</f>
        <v>52</v>
      </c>
      <c r="V1173">
        <f>SUM(C1173:K1173)</f>
        <v>44.239999999999995</v>
      </c>
    </row>
    <row r="1174" spans="1:22" ht="15.75">
      <c r="A1174" s="28" t="s">
        <v>2346</v>
      </c>
      <c r="B1174" s="28" t="s">
        <v>2347</v>
      </c>
      <c r="C1174" s="23">
        <v>29.83</v>
      </c>
      <c r="D1174" s="23">
        <v>7.81</v>
      </c>
      <c r="E1174" s="23" t="s">
        <v>4683</v>
      </c>
      <c r="F1174" s="23" t="s">
        <v>4682</v>
      </c>
      <c r="G1174" s="23" t="s">
        <v>4682</v>
      </c>
      <c r="H1174" s="23">
        <v>1</v>
      </c>
      <c r="I1174" s="23" t="s">
        <v>4682</v>
      </c>
      <c r="J1174" s="23" t="s">
        <v>4730</v>
      </c>
      <c r="K1174" s="23" t="s">
        <v>4735</v>
      </c>
      <c r="L1174">
        <v>1971</v>
      </c>
      <c r="M1174" s="15" t="s">
        <v>4696</v>
      </c>
      <c r="N1174">
        <v>19</v>
      </c>
      <c r="O1174">
        <v>0</v>
      </c>
      <c r="P1174" s="21">
        <f>DATEVALUE(N1174&amp;"-"&amp;M1174&amp;"-"&amp;L1174)</f>
        <v>26133</v>
      </c>
      <c r="Q1174" s="22">
        <v>9644.25</v>
      </c>
      <c r="R1174" s="23" t="s">
        <v>4697</v>
      </c>
      <c r="S1174" s="23" t="s">
        <v>4701</v>
      </c>
      <c r="T1174" s="23" t="s">
        <v>4704</v>
      </c>
      <c r="U1174" s="23">
        <f>DATEDIF(P1174, DATE(2023, 6, 8), "Y")</f>
        <v>51</v>
      </c>
      <c r="V1174">
        <f>SUM(C1174:K1174)</f>
        <v>38.64</v>
      </c>
    </row>
    <row r="1175" spans="1:22" ht="15.75">
      <c r="A1175" s="28" t="s">
        <v>2348</v>
      </c>
      <c r="B1175" s="28" t="s">
        <v>2349</v>
      </c>
      <c r="C1175" s="23">
        <v>29.06</v>
      </c>
      <c r="D1175" s="23">
        <v>4.55</v>
      </c>
      <c r="E1175" s="23" t="s">
        <v>4682</v>
      </c>
      <c r="F1175" s="23" t="s">
        <v>4682</v>
      </c>
      <c r="G1175" s="23" t="s">
        <v>4682</v>
      </c>
      <c r="H1175" s="23">
        <v>0</v>
      </c>
      <c r="I1175" s="23" t="s">
        <v>4682</v>
      </c>
      <c r="J1175" s="23" t="s">
        <v>4730</v>
      </c>
      <c r="K1175" s="23" t="s">
        <v>4737</v>
      </c>
      <c r="L1175">
        <v>1974</v>
      </c>
      <c r="M1175" s="15" t="s">
        <v>4696</v>
      </c>
      <c r="N1175">
        <v>8</v>
      </c>
      <c r="O1175">
        <v>0</v>
      </c>
      <c r="P1175" s="21">
        <f>DATEVALUE(N1175&amp;"-"&amp;M1175&amp;"-"&amp;L1175)</f>
        <v>27218</v>
      </c>
      <c r="Q1175" s="22">
        <v>9653.81</v>
      </c>
      <c r="R1175" s="23" t="s">
        <v>4697</v>
      </c>
      <c r="S1175" s="23" t="s">
        <v>4697</v>
      </c>
      <c r="T1175" s="23" t="s">
        <v>4708</v>
      </c>
      <c r="U1175" s="23">
        <f>DATEDIF(P1175, DATE(2023, 6, 8), "Y")</f>
        <v>48</v>
      </c>
      <c r="V1175">
        <f>SUM(C1175:K1175)</f>
        <v>33.61</v>
      </c>
    </row>
    <row r="1176" spans="1:22" ht="15.75">
      <c r="A1176" s="28" t="s">
        <v>2350</v>
      </c>
      <c r="B1176" s="28" t="s">
        <v>2351</v>
      </c>
      <c r="C1176" s="23">
        <v>27.454999999999998</v>
      </c>
      <c r="D1176" s="23">
        <v>6.13</v>
      </c>
      <c r="E1176" s="23" t="s">
        <v>4682</v>
      </c>
      <c r="F1176" s="23" t="s">
        <v>4682</v>
      </c>
      <c r="G1176" s="23" t="s">
        <v>4682</v>
      </c>
      <c r="H1176" s="23">
        <v>2</v>
      </c>
      <c r="I1176" s="23" t="s">
        <v>4682</v>
      </c>
      <c r="J1176" s="23" t="s">
        <v>4730</v>
      </c>
      <c r="K1176" s="23" t="s">
        <v>4736</v>
      </c>
      <c r="L1176">
        <v>1981</v>
      </c>
      <c r="M1176" s="15" t="s">
        <v>4706</v>
      </c>
      <c r="N1176">
        <v>8</v>
      </c>
      <c r="O1176">
        <v>1</v>
      </c>
      <c r="P1176" s="21">
        <f>DATEVALUE(N1176&amp;"-"&amp;M1176&amp;"-"&amp;L1176)</f>
        <v>29806</v>
      </c>
      <c r="Q1176" s="22">
        <v>9664.34</v>
      </c>
      <c r="R1176" s="23" t="s">
        <v>4697</v>
      </c>
      <c r="S1176" s="23" t="s">
        <v>4698</v>
      </c>
      <c r="T1176" s="23" t="s">
        <v>4708</v>
      </c>
      <c r="U1176" s="23">
        <f>DATEDIF(P1176, DATE(2023, 6, 8), "Y")</f>
        <v>41</v>
      </c>
      <c r="V1176">
        <f>SUM(C1176:K1176)</f>
        <v>35.585000000000001</v>
      </c>
    </row>
    <row r="1177" spans="1:22" ht="15.75">
      <c r="A1177" s="28" t="s">
        <v>2352</v>
      </c>
      <c r="B1177" s="28" t="s">
        <v>2353</v>
      </c>
      <c r="C1177" s="23">
        <v>23.01</v>
      </c>
      <c r="D1177" s="23">
        <v>6.04</v>
      </c>
      <c r="E1177" s="23" t="s">
        <v>4683</v>
      </c>
      <c r="F1177" s="23" t="s">
        <v>4682</v>
      </c>
      <c r="G1177" s="23" t="s">
        <v>4682</v>
      </c>
      <c r="H1177" s="23">
        <v>1</v>
      </c>
      <c r="I1177" s="23" t="s">
        <v>4682</v>
      </c>
      <c r="J1177" s="23" t="s">
        <v>4728</v>
      </c>
      <c r="K1177" s="23" t="s">
        <v>4736</v>
      </c>
      <c r="L1177">
        <v>1966</v>
      </c>
      <c r="M1177" s="15" t="s">
        <v>4703</v>
      </c>
      <c r="N1177">
        <v>16</v>
      </c>
      <c r="O1177">
        <v>0</v>
      </c>
      <c r="P1177" s="21">
        <f>DATEVALUE(N1177&amp;"-"&amp;M1177&amp;"-"&amp;L1177)</f>
        <v>24366</v>
      </c>
      <c r="Q1177" s="22">
        <v>9684.2900000000009</v>
      </c>
      <c r="R1177" s="23" t="s">
        <v>4698</v>
      </c>
      <c r="S1177" s="23" t="s">
        <v>4697</v>
      </c>
      <c r="T1177" s="23" t="s">
        <v>4699</v>
      </c>
      <c r="U1177" s="23">
        <f>DATEDIF(P1177, DATE(2023, 6, 8), "Y")</f>
        <v>56</v>
      </c>
      <c r="V1177">
        <f>SUM(C1177:K1177)</f>
        <v>30.05</v>
      </c>
    </row>
    <row r="1178" spans="1:22" ht="15.75">
      <c r="A1178" s="28" t="s">
        <v>2354</v>
      </c>
      <c r="B1178" s="28" t="s">
        <v>2355</v>
      </c>
      <c r="C1178" s="23">
        <v>31.39</v>
      </c>
      <c r="D1178" s="23">
        <v>8.85</v>
      </c>
      <c r="E1178" s="23" t="s">
        <v>4683</v>
      </c>
      <c r="F1178" s="23" t="s">
        <v>4682</v>
      </c>
      <c r="G1178" s="23" t="s">
        <v>4682</v>
      </c>
      <c r="H1178" s="23">
        <v>0</v>
      </c>
      <c r="I1178" s="23" t="s">
        <v>4682</v>
      </c>
      <c r="J1178" s="23" t="s">
        <v>4729</v>
      </c>
      <c r="K1178" s="23" t="s">
        <v>4735</v>
      </c>
      <c r="L1178">
        <v>1964</v>
      </c>
      <c r="M1178" s="15" t="s">
        <v>4700</v>
      </c>
      <c r="N1178">
        <v>7</v>
      </c>
      <c r="O1178">
        <v>0</v>
      </c>
      <c r="P1178" s="21">
        <f>DATEVALUE(N1178&amp;"-"&amp;M1178&amp;"-"&amp;L1178)</f>
        <v>23688</v>
      </c>
      <c r="Q1178" s="22">
        <v>9698.42</v>
      </c>
      <c r="R1178" s="23" t="s">
        <v>4698</v>
      </c>
      <c r="S1178" s="23" t="s">
        <v>4698</v>
      </c>
      <c r="T1178" s="23" t="s">
        <v>4699</v>
      </c>
      <c r="U1178" s="23">
        <f>DATEDIF(P1178, DATE(2023, 6, 8), "Y")</f>
        <v>58</v>
      </c>
      <c r="V1178">
        <f>SUM(C1178:K1178)</f>
        <v>40.24</v>
      </c>
    </row>
    <row r="1179" spans="1:22" ht="15.75">
      <c r="A1179" s="28" t="s">
        <v>2356</v>
      </c>
      <c r="B1179" s="28" t="s">
        <v>2357</v>
      </c>
      <c r="C1179" s="23">
        <v>34.770000000000003</v>
      </c>
      <c r="D1179" s="23">
        <v>10.54</v>
      </c>
      <c r="E1179" s="23" t="s">
        <v>4682</v>
      </c>
      <c r="F1179" s="23" t="s">
        <v>4682</v>
      </c>
      <c r="G1179" s="23" t="s">
        <v>4682</v>
      </c>
      <c r="H1179" s="23">
        <v>2</v>
      </c>
      <c r="I1179" s="23" t="s">
        <v>4682</v>
      </c>
      <c r="J1179" s="23" t="s">
        <v>4729</v>
      </c>
      <c r="K1179" s="23" t="s">
        <v>4735</v>
      </c>
      <c r="L1179">
        <v>1977</v>
      </c>
      <c r="M1179" s="15" t="s">
        <v>4703</v>
      </c>
      <c r="N1179">
        <v>19</v>
      </c>
      <c r="O1179">
        <v>3</v>
      </c>
      <c r="P1179" s="21">
        <f>DATEVALUE(N1179&amp;"-"&amp;M1179&amp;"-"&amp;L1179)</f>
        <v>28387</v>
      </c>
      <c r="Q1179" s="22">
        <v>9704.67</v>
      </c>
      <c r="R1179" s="23" t="s">
        <v>4697</v>
      </c>
      <c r="S1179" s="23" t="s">
        <v>4698</v>
      </c>
      <c r="T1179" s="23" t="s">
        <v>4714</v>
      </c>
      <c r="U1179" s="23">
        <f>DATEDIF(P1179, DATE(2023, 6, 8), "Y")</f>
        <v>45</v>
      </c>
      <c r="V1179">
        <f>SUM(C1179:K1179)</f>
        <v>47.31</v>
      </c>
    </row>
    <row r="1180" spans="1:22" ht="15.75">
      <c r="A1180" s="28" t="s">
        <v>2358</v>
      </c>
      <c r="B1180" s="28" t="s">
        <v>2359</v>
      </c>
      <c r="C1180" s="23">
        <v>24.48</v>
      </c>
      <c r="D1180" s="23">
        <v>4.37</v>
      </c>
      <c r="E1180" s="23" t="s">
        <v>4683</v>
      </c>
      <c r="F1180" s="23" t="s">
        <v>4682</v>
      </c>
      <c r="G1180" s="23" t="s">
        <v>4682</v>
      </c>
      <c r="H1180" s="23">
        <v>2</v>
      </c>
      <c r="I1180" s="23" t="s">
        <v>4682</v>
      </c>
      <c r="J1180" s="23" t="s">
        <v>4728</v>
      </c>
      <c r="K1180" s="23" t="s">
        <v>4737</v>
      </c>
      <c r="L1180">
        <v>1972</v>
      </c>
      <c r="M1180" s="15" t="s">
        <v>4696</v>
      </c>
      <c r="N1180">
        <v>10</v>
      </c>
      <c r="O1180">
        <v>0</v>
      </c>
      <c r="P1180" s="21">
        <f>DATEVALUE(N1180&amp;"-"&amp;M1180&amp;"-"&amp;L1180)</f>
        <v>26490</v>
      </c>
      <c r="Q1180" s="22">
        <v>9710.7099999999991</v>
      </c>
      <c r="R1180" s="23" t="s">
        <v>4697</v>
      </c>
      <c r="S1180" s="23" t="s">
        <v>4701</v>
      </c>
      <c r="T1180" s="23" t="s">
        <v>4717</v>
      </c>
      <c r="U1180" s="23">
        <f>DATEDIF(P1180, DATE(2023, 6, 8), "Y")</f>
        <v>50</v>
      </c>
      <c r="V1180">
        <f>SUM(C1180:K1180)</f>
        <v>30.85</v>
      </c>
    </row>
    <row r="1181" spans="1:22" ht="15.75">
      <c r="A1181" s="28" t="s">
        <v>2360</v>
      </c>
      <c r="B1181" s="28" t="s">
        <v>2361</v>
      </c>
      <c r="C1181" s="23">
        <v>22.61</v>
      </c>
      <c r="D1181" s="23">
        <v>9.6300000000000008</v>
      </c>
      <c r="E1181" s="23" t="s">
        <v>4682</v>
      </c>
      <c r="F1181" s="23" t="s">
        <v>4682</v>
      </c>
      <c r="G1181" s="23" t="s">
        <v>4682</v>
      </c>
      <c r="H1181" s="23">
        <v>2</v>
      </c>
      <c r="I1181" s="23" t="s">
        <v>4682</v>
      </c>
      <c r="J1181" s="23" t="s">
        <v>4728</v>
      </c>
      <c r="K1181" s="23" t="s">
        <v>4735</v>
      </c>
      <c r="L1181">
        <v>1975</v>
      </c>
      <c r="M1181" s="15" t="s">
        <v>4702</v>
      </c>
      <c r="N1181">
        <v>27</v>
      </c>
      <c r="O1181">
        <v>2</v>
      </c>
      <c r="P1181" s="21">
        <f>DATEVALUE(N1181&amp;"-"&amp;M1181&amp;"-"&amp;L1181)</f>
        <v>27572</v>
      </c>
      <c r="Q1181" s="22">
        <v>9715.84</v>
      </c>
      <c r="R1181" s="23" t="s">
        <v>4697</v>
      </c>
      <c r="S1181" s="23" t="s">
        <v>4701</v>
      </c>
      <c r="T1181" s="23" t="s">
        <v>4714</v>
      </c>
      <c r="U1181" s="23">
        <f>DATEDIF(P1181, DATE(2023, 6, 8), "Y")</f>
        <v>47</v>
      </c>
      <c r="V1181">
        <f>SUM(C1181:K1181)</f>
        <v>34.24</v>
      </c>
    </row>
    <row r="1182" spans="1:22" ht="15.75">
      <c r="A1182" s="28" t="s">
        <v>2362</v>
      </c>
      <c r="B1182" s="28" t="s">
        <v>2363</v>
      </c>
      <c r="C1182" s="23">
        <v>34.299999999999997</v>
      </c>
      <c r="D1182" s="23">
        <v>10.37</v>
      </c>
      <c r="E1182" s="23" t="s">
        <v>4682</v>
      </c>
      <c r="F1182" s="23" t="s">
        <v>4682</v>
      </c>
      <c r="G1182" s="23" t="s">
        <v>4682</v>
      </c>
      <c r="H1182" s="23">
        <v>0</v>
      </c>
      <c r="I1182" s="23" t="s">
        <v>4682</v>
      </c>
      <c r="J1182" s="23" t="s">
        <v>4729</v>
      </c>
      <c r="K1182" s="23" t="s">
        <v>4735</v>
      </c>
      <c r="L1182">
        <v>1970</v>
      </c>
      <c r="M1182" s="15" t="s">
        <v>4703</v>
      </c>
      <c r="N1182">
        <v>12</v>
      </c>
      <c r="O1182">
        <v>0</v>
      </c>
      <c r="P1182" s="21">
        <f>DATEVALUE(N1182&amp;"-"&amp;M1182&amp;"-"&amp;L1182)</f>
        <v>25823</v>
      </c>
      <c r="Q1182" s="22">
        <v>9722.77</v>
      </c>
      <c r="R1182" s="23" t="s">
        <v>4698</v>
      </c>
      <c r="S1182" s="23" t="s">
        <v>4701</v>
      </c>
      <c r="T1182" s="23" t="s">
        <v>4711</v>
      </c>
      <c r="U1182" s="23">
        <f>DATEDIF(P1182, DATE(2023, 6, 8), "Y")</f>
        <v>52</v>
      </c>
      <c r="V1182">
        <f>SUM(C1182:K1182)</f>
        <v>44.669999999999995</v>
      </c>
    </row>
    <row r="1183" spans="1:22" ht="15.75">
      <c r="A1183" s="28" t="s">
        <v>2364</v>
      </c>
      <c r="B1183" s="28" t="s">
        <v>2365</v>
      </c>
      <c r="C1183" s="23">
        <v>46.09</v>
      </c>
      <c r="D1183" s="23">
        <v>5.44</v>
      </c>
      <c r="E1183" s="23" t="s">
        <v>4682</v>
      </c>
      <c r="F1183" s="23" t="s">
        <v>4682</v>
      </c>
      <c r="G1183" s="23" t="s">
        <v>4682</v>
      </c>
      <c r="H1183" s="23">
        <v>2</v>
      </c>
      <c r="I1183" s="23" t="s">
        <v>4682</v>
      </c>
      <c r="J1183" s="23" t="s">
        <v>4729</v>
      </c>
      <c r="K1183" s="23" t="s">
        <v>4737</v>
      </c>
      <c r="L1183">
        <v>1970</v>
      </c>
      <c r="M1183" s="15" t="s">
        <v>4706</v>
      </c>
      <c r="N1183">
        <v>18</v>
      </c>
      <c r="O1183">
        <v>1</v>
      </c>
      <c r="P1183" s="21">
        <f>DATEVALUE(N1183&amp;"-"&amp;M1183&amp;"-"&amp;L1183)</f>
        <v>25798</v>
      </c>
      <c r="Q1183" s="22">
        <v>9724.5300000000007</v>
      </c>
      <c r="R1183" s="23" t="s">
        <v>4698</v>
      </c>
      <c r="S1183" s="23" t="s">
        <v>4701</v>
      </c>
      <c r="T1183" s="23" t="s">
        <v>4708</v>
      </c>
      <c r="U1183" s="23">
        <f>DATEDIF(P1183, DATE(2023, 6, 8), "Y")</f>
        <v>52</v>
      </c>
      <c r="V1183">
        <f>SUM(C1183:K1183)</f>
        <v>53.53</v>
      </c>
    </row>
    <row r="1184" spans="1:22" ht="15.75">
      <c r="A1184" s="28" t="s">
        <v>2366</v>
      </c>
      <c r="B1184" s="28" t="s">
        <v>2367</v>
      </c>
      <c r="C1184" s="23">
        <v>44.744999999999997</v>
      </c>
      <c r="D1184" s="23">
        <v>5.19</v>
      </c>
      <c r="E1184" s="23" t="s">
        <v>4682</v>
      </c>
      <c r="F1184" s="23" t="s">
        <v>4682</v>
      </c>
      <c r="G1184" s="23" t="s">
        <v>4682</v>
      </c>
      <c r="H1184" s="23">
        <v>2</v>
      </c>
      <c r="I1184" s="23" t="s">
        <v>4682</v>
      </c>
      <c r="J1184" s="23" t="s">
        <v>4729</v>
      </c>
      <c r="K1184" s="23" t="s">
        <v>4737</v>
      </c>
      <c r="L1184">
        <v>1970</v>
      </c>
      <c r="M1184" s="15" t="s">
        <v>4696</v>
      </c>
      <c r="N1184">
        <v>4</v>
      </c>
      <c r="O1184">
        <v>1</v>
      </c>
      <c r="P1184" s="21">
        <f>DATEVALUE(N1184&amp;"-"&amp;M1184&amp;"-"&amp;L1184)</f>
        <v>25753</v>
      </c>
      <c r="Q1184" s="22">
        <v>9748.91</v>
      </c>
      <c r="R1184" s="23" t="s">
        <v>4697</v>
      </c>
      <c r="S1184" s="23" t="s">
        <v>4701</v>
      </c>
      <c r="T1184" s="23" t="s">
        <v>4699</v>
      </c>
      <c r="U1184" s="23">
        <f>DATEDIF(P1184, DATE(2023, 6, 8), "Y")</f>
        <v>52</v>
      </c>
      <c r="V1184">
        <f>SUM(C1184:K1184)</f>
        <v>51.934999999999995</v>
      </c>
    </row>
    <row r="1185" spans="1:22" ht="15.75">
      <c r="A1185" s="28" t="s">
        <v>2368</v>
      </c>
      <c r="B1185" s="28" t="s">
        <v>2369</v>
      </c>
      <c r="C1185" s="23">
        <v>26.33</v>
      </c>
      <c r="D1185" s="23">
        <v>11.8</v>
      </c>
      <c r="E1185" s="23" t="s">
        <v>4683</v>
      </c>
      <c r="F1185" s="23" t="s">
        <v>4682</v>
      </c>
      <c r="G1185" s="23" t="s">
        <v>4682</v>
      </c>
      <c r="H1185" s="23">
        <v>1</v>
      </c>
      <c r="I1185" s="23" t="s">
        <v>4682</v>
      </c>
      <c r="J1185" s="23" t="s">
        <v>4730</v>
      </c>
      <c r="K1185" s="23" t="s">
        <v>4735</v>
      </c>
      <c r="L1185">
        <v>2001</v>
      </c>
      <c r="M1185" s="15" t="s">
        <v>4696</v>
      </c>
      <c r="N1185">
        <v>14</v>
      </c>
      <c r="O1185">
        <v>0</v>
      </c>
      <c r="P1185" s="21">
        <f>DATEVALUE(N1185&amp;"-"&amp;M1185&amp;"-"&amp;L1185)</f>
        <v>37086</v>
      </c>
      <c r="Q1185" s="22">
        <v>9753.49</v>
      </c>
      <c r="R1185" s="23" t="s">
        <v>4697</v>
      </c>
      <c r="S1185" s="23" t="s">
        <v>4697</v>
      </c>
      <c r="T1185" s="23" t="s">
        <v>4704</v>
      </c>
      <c r="U1185" s="23">
        <f>DATEDIF(P1185, DATE(2023, 6, 8), "Y")</f>
        <v>21</v>
      </c>
      <c r="V1185">
        <f>SUM(C1185:K1185)</f>
        <v>39.129999999999995</v>
      </c>
    </row>
    <row r="1186" spans="1:22" ht="15.75">
      <c r="A1186" s="28" t="s">
        <v>2370</v>
      </c>
      <c r="B1186" s="28" t="s">
        <v>2371</v>
      </c>
      <c r="C1186" s="23">
        <v>26.6</v>
      </c>
      <c r="D1186" s="23">
        <v>8.3800000000000008</v>
      </c>
      <c r="E1186" s="23" t="s">
        <v>4682</v>
      </c>
      <c r="F1186" s="23" t="s">
        <v>4682</v>
      </c>
      <c r="G1186" s="23" t="s">
        <v>4682</v>
      </c>
      <c r="H1186" s="23">
        <v>2</v>
      </c>
      <c r="I1186" s="23" t="s">
        <v>4682</v>
      </c>
      <c r="J1186" s="23" t="s">
        <v>4730</v>
      </c>
      <c r="K1186" s="23" t="s">
        <v>4735</v>
      </c>
      <c r="L1186">
        <v>1965</v>
      </c>
      <c r="M1186" s="15" t="s">
        <v>4703</v>
      </c>
      <c r="N1186">
        <v>5</v>
      </c>
      <c r="O1186">
        <v>0</v>
      </c>
      <c r="P1186" s="21">
        <f>DATEVALUE(N1186&amp;"-"&amp;M1186&amp;"-"&amp;L1186)</f>
        <v>23990</v>
      </c>
      <c r="Q1186" s="22">
        <v>9764.08</v>
      </c>
      <c r="R1186" s="23" t="s">
        <v>4698</v>
      </c>
      <c r="S1186" s="23" t="s">
        <v>4701</v>
      </c>
      <c r="T1186" s="23" t="s">
        <v>4704</v>
      </c>
      <c r="U1186" s="23">
        <f>DATEDIF(P1186, DATE(2023, 6, 8), "Y")</f>
        <v>57</v>
      </c>
      <c r="V1186">
        <f>SUM(C1186:K1186)</f>
        <v>36.980000000000004</v>
      </c>
    </row>
    <row r="1187" spans="1:22" ht="15.75">
      <c r="A1187" s="28" t="s">
        <v>2372</v>
      </c>
      <c r="B1187" s="28" t="s">
        <v>2373</v>
      </c>
      <c r="C1187" s="23">
        <v>27.5</v>
      </c>
      <c r="D1187" s="23">
        <v>7.58</v>
      </c>
      <c r="E1187" s="23" t="s">
        <v>4682</v>
      </c>
      <c r="F1187" s="23" t="s">
        <v>4682</v>
      </c>
      <c r="G1187" s="23" t="s">
        <v>4682</v>
      </c>
      <c r="H1187" s="23">
        <v>0</v>
      </c>
      <c r="I1187" s="23" t="s">
        <v>4682</v>
      </c>
      <c r="J1187" s="23" t="s">
        <v>4730</v>
      </c>
      <c r="K1187" s="23" t="s">
        <v>4735</v>
      </c>
      <c r="L1187">
        <v>1973</v>
      </c>
      <c r="M1187" s="15" t="s">
        <v>4696</v>
      </c>
      <c r="N1187">
        <v>7</v>
      </c>
      <c r="O1187">
        <v>1</v>
      </c>
      <c r="P1187" s="21">
        <f>DATEVALUE(N1187&amp;"-"&amp;M1187&amp;"-"&amp;L1187)</f>
        <v>26852</v>
      </c>
      <c r="Q1187" s="22">
        <v>9778.35</v>
      </c>
      <c r="R1187" s="23" t="s">
        <v>4697</v>
      </c>
      <c r="S1187" s="23" t="s">
        <v>4697</v>
      </c>
      <c r="T1187" s="23" t="s">
        <v>4714</v>
      </c>
      <c r="U1187" s="23">
        <f>DATEDIF(P1187, DATE(2023, 6, 8), "Y")</f>
        <v>49</v>
      </c>
      <c r="V1187">
        <f>SUM(C1187:K1187)</f>
        <v>35.08</v>
      </c>
    </row>
    <row r="1188" spans="1:22" ht="15.75">
      <c r="A1188" s="28" t="s">
        <v>2374</v>
      </c>
      <c r="B1188" s="28" t="s">
        <v>2375</v>
      </c>
      <c r="C1188" s="23">
        <v>41.55</v>
      </c>
      <c r="D1188" s="23">
        <v>4.6100000000000003</v>
      </c>
      <c r="E1188" s="23" t="s">
        <v>4682</v>
      </c>
      <c r="F1188" s="23" t="s">
        <v>4682</v>
      </c>
      <c r="G1188" s="23" t="s">
        <v>4682</v>
      </c>
      <c r="H1188" s="23">
        <v>1</v>
      </c>
      <c r="I1188" s="23" t="s">
        <v>4682</v>
      </c>
      <c r="J1188" s="23" t="s">
        <v>4729</v>
      </c>
      <c r="K1188" s="23" t="s">
        <v>4737</v>
      </c>
      <c r="L1188">
        <v>1996</v>
      </c>
      <c r="M1188" s="15" t="s">
        <v>4706</v>
      </c>
      <c r="N1188">
        <v>8</v>
      </c>
      <c r="O1188">
        <v>0</v>
      </c>
      <c r="P1188" s="21">
        <f>DATEVALUE(N1188&amp;"-"&amp;M1188&amp;"-"&amp;L1188)</f>
        <v>35285</v>
      </c>
      <c r="Q1188" s="22">
        <v>9787.32</v>
      </c>
      <c r="R1188" s="23" t="s">
        <v>4697</v>
      </c>
      <c r="S1188" s="23" t="s">
        <v>4698</v>
      </c>
      <c r="T1188" s="23" t="s">
        <v>4715</v>
      </c>
      <c r="U1188" s="23">
        <f>DATEDIF(P1188, DATE(2023, 6, 8), "Y")</f>
        <v>26</v>
      </c>
      <c r="V1188">
        <f>SUM(C1188:K1188)</f>
        <v>47.16</v>
      </c>
    </row>
    <row r="1189" spans="1:22" ht="15.75">
      <c r="A1189" s="28" t="s">
        <v>2376</v>
      </c>
      <c r="B1189" s="28" t="s">
        <v>2377</v>
      </c>
      <c r="C1189" s="23">
        <v>41.47</v>
      </c>
      <c r="D1189" s="23">
        <v>4.7</v>
      </c>
      <c r="E1189" s="23" t="s">
        <v>4683</v>
      </c>
      <c r="F1189" s="23" t="s">
        <v>4682</v>
      </c>
      <c r="G1189" s="23" t="s">
        <v>4684</v>
      </c>
      <c r="H1189" s="23">
        <v>1</v>
      </c>
      <c r="I1189" s="23" t="s">
        <v>4682</v>
      </c>
      <c r="J1189" s="23" t="s">
        <v>4729</v>
      </c>
      <c r="K1189" s="23" t="s">
        <v>4737</v>
      </c>
      <c r="L1189">
        <v>1977</v>
      </c>
      <c r="M1189" s="15" t="s">
        <v>4702</v>
      </c>
      <c r="N1189">
        <v>7</v>
      </c>
      <c r="O1189">
        <v>5</v>
      </c>
      <c r="P1189" s="21">
        <f>DATEVALUE(N1189&amp;"-"&amp;M1189&amp;"-"&amp;L1189)</f>
        <v>28283</v>
      </c>
      <c r="Q1189" s="22">
        <v>9788.8700000000008</v>
      </c>
      <c r="R1189" s="23" t="s">
        <v>4698</v>
      </c>
      <c r="S1189" s="23" t="s">
        <v>4697</v>
      </c>
      <c r="T1189" s="23" t="s">
        <v>4699</v>
      </c>
      <c r="U1189" s="23">
        <f>DATEDIF(P1189, DATE(2023, 6, 8), "Y")</f>
        <v>46</v>
      </c>
      <c r="V1189">
        <f>SUM(C1189:K1189)</f>
        <v>47.17</v>
      </c>
    </row>
    <row r="1190" spans="1:22" ht="15.75">
      <c r="A1190" s="28" t="s">
        <v>2378</v>
      </c>
      <c r="B1190" s="28" t="s">
        <v>2379</v>
      </c>
      <c r="C1190" s="23">
        <v>24.795000000000002</v>
      </c>
      <c r="D1190" s="23">
        <v>6.05</v>
      </c>
      <c r="E1190" s="23" t="s">
        <v>4683</v>
      </c>
      <c r="F1190" s="23" t="s">
        <v>4682</v>
      </c>
      <c r="G1190" s="23" t="s">
        <v>4682</v>
      </c>
      <c r="H1190" s="23">
        <v>0</v>
      </c>
      <c r="I1190" s="23" t="s">
        <v>4682</v>
      </c>
      <c r="J1190" s="23" t="s">
        <v>4728</v>
      </c>
      <c r="K1190" s="23" t="s">
        <v>4736</v>
      </c>
      <c r="L1190">
        <v>1973</v>
      </c>
      <c r="M1190" s="15" t="s">
        <v>4703</v>
      </c>
      <c r="N1190">
        <v>17</v>
      </c>
      <c r="O1190">
        <v>2</v>
      </c>
      <c r="P1190" s="21">
        <f>DATEVALUE(N1190&amp;"-"&amp;M1190&amp;"-"&amp;L1190)</f>
        <v>26924</v>
      </c>
      <c r="Q1190" s="22">
        <v>9800.89</v>
      </c>
      <c r="R1190" s="23" t="s">
        <v>4697</v>
      </c>
      <c r="S1190" s="23" t="s">
        <v>4701</v>
      </c>
      <c r="T1190" s="23" t="s">
        <v>4699</v>
      </c>
      <c r="U1190" s="23">
        <f>DATEDIF(P1190, DATE(2023, 6, 8), "Y")</f>
        <v>49</v>
      </c>
      <c r="V1190">
        <f>SUM(C1190:K1190)</f>
        <v>30.845000000000002</v>
      </c>
    </row>
    <row r="1191" spans="1:22" ht="15.75">
      <c r="A1191" s="28" t="s">
        <v>2380</v>
      </c>
      <c r="B1191" s="28" t="s">
        <v>2381</v>
      </c>
      <c r="C1191" s="23">
        <v>29.48</v>
      </c>
      <c r="D1191" s="23">
        <v>5.63</v>
      </c>
      <c r="E1191" s="23" t="s">
        <v>4683</v>
      </c>
      <c r="F1191" s="23" t="s">
        <v>4682</v>
      </c>
      <c r="G1191" s="23" t="s">
        <v>4684</v>
      </c>
      <c r="H1191" s="23">
        <v>1</v>
      </c>
      <c r="I1191" s="23" t="s">
        <v>4682</v>
      </c>
      <c r="J1191" s="23" t="s">
        <v>4730</v>
      </c>
      <c r="K1191" s="23" t="s">
        <v>4737</v>
      </c>
      <c r="L1191">
        <v>1972</v>
      </c>
      <c r="M1191" s="15" t="s">
        <v>4702</v>
      </c>
      <c r="N1191">
        <v>28</v>
      </c>
      <c r="O1191">
        <v>0</v>
      </c>
      <c r="P1191" s="21">
        <f>DATEVALUE(N1191&amp;"-"&amp;M1191&amp;"-"&amp;L1191)</f>
        <v>26478</v>
      </c>
      <c r="Q1191" s="22">
        <v>9819.25</v>
      </c>
      <c r="R1191" s="23" t="s">
        <v>4697</v>
      </c>
      <c r="S1191" s="23" t="s">
        <v>4697</v>
      </c>
      <c r="T1191" s="23" t="s">
        <v>4717</v>
      </c>
      <c r="U1191" s="23">
        <f>DATEDIF(P1191, DATE(2023, 6, 8), "Y")</f>
        <v>50</v>
      </c>
      <c r="V1191">
        <f>SUM(C1191:K1191)</f>
        <v>36.11</v>
      </c>
    </row>
    <row r="1192" spans="1:22" ht="15.75">
      <c r="A1192" s="28" t="s">
        <v>2382</v>
      </c>
      <c r="B1192" s="28" t="s">
        <v>2383</v>
      </c>
      <c r="C1192" s="23">
        <v>28.09</v>
      </c>
      <c r="D1192" s="23">
        <v>6.06</v>
      </c>
      <c r="E1192" s="23" t="s">
        <v>4682</v>
      </c>
      <c r="F1192" s="23" t="s">
        <v>4682</v>
      </c>
      <c r="G1192" s="23" t="s">
        <v>4684</v>
      </c>
      <c r="H1192" s="23">
        <v>1</v>
      </c>
      <c r="I1192" s="23" t="s">
        <v>4682</v>
      </c>
      <c r="J1192" s="23" t="s">
        <v>4730</v>
      </c>
      <c r="K1192" s="23" t="s">
        <v>4736</v>
      </c>
      <c r="L1192">
        <v>1972</v>
      </c>
      <c r="M1192" s="15" t="s">
        <v>4703</v>
      </c>
      <c r="N1192">
        <v>26</v>
      </c>
      <c r="O1192">
        <v>0</v>
      </c>
      <c r="P1192" s="21">
        <f>DATEVALUE(N1192&amp;"-"&amp;M1192&amp;"-"&amp;L1192)</f>
        <v>26568</v>
      </c>
      <c r="Q1192" s="22">
        <v>9836.2099999999991</v>
      </c>
      <c r="R1192" s="23" t="s">
        <v>4697</v>
      </c>
      <c r="S1192" s="23" t="s">
        <v>4698</v>
      </c>
      <c r="T1192" s="23" t="s">
        <v>4717</v>
      </c>
      <c r="U1192" s="23">
        <f>DATEDIF(P1192, DATE(2023, 6, 8), "Y")</f>
        <v>50</v>
      </c>
      <c r="V1192">
        <f>SUM(C1192:K1192)</f>
        <v>35.15</v>
      </c>
    </row>
    <row r="1193" spans="1:22" ht="15.75">
      <c r="A1193" s="28" t="s">
        <v>2384</v>
      </c>
      <c r="B1193" s="28" t="s">
        <v>2385</v>
      </c>
      <c r="C1193" s="23">
        <v>32.729999999999997</v>
      </c>
      <c r="D1193" s="23">
        <v>5.19</v>
      </c>
      <c r="E1193" s="23" t="s">
        <v>4682</v>
      </c>
      <c r="F1193" s="23" t="s">
        <v>4682</v>
      </c>
      <c r="G1193" s="23" t="s">
        <v>4682</v>
      </c>
      <c r="H1193" s="23">
        <v>1</v>
      </c>
      <c r="I1193" s="23" t="s">
        <v>4682</v>
      </c>
      <c r="J1193" s="23" t="s">
        <v>4729</v>
      </c>
      <c r="K1193" s="23" t="s">
        <v>4737</v>
      </c>
      <c r="L1193">
        <v>1992</v>
      </c>
      <c r="M1193" s="15" t="s">
        <v>4706</v>
      </c>
      <c r="N1193">
        <v>13</v>
      </c>
      <c r="O1193">
        <v>0</v>
      </c>
      <c r="P1193" s="21">
        <f>DATEVALUE(N1193&amp;"-"&amp;M1193&amp;"-"&amp;L1193)</f>
        <v>33829</v>
      </c>
      <c r="Q1193" s="22">
        <v>9844.4500000000007</v>
      </c>
      <c r="R1193" s="23" t="s">
        <v>4697</v>
      </c>
      <c r="S1193" s="23" t="s">
        <v>4701</v>
      </c>
      <c r="T1193" s="23" t="s">
        <v>4704</v>
      </c>
      <c r="U1193" s="23">
        <f>DATEDIF(P1193, DATE(2023, 6, 8), "Y")</f>
        <v>30</v>
      </c>
      <c r="V1193">
        <f>SUM(C1193:K1193)</f>
        <v>38.919999999999995</v>
      </c>
    </row>
    <row r="1194" spans="1:22" ht="15.75">
      <c r="A1194" s="28" t="s">
        <v>2386</v>
      </c>
      <c r="B1194" s="28" t="s">
        <v>2387</v>
      </c>
      <c r="C1194" s="23">
        <v>27.36</v>
      </c>
      <c r="D1194" s="23">
        <v>8.9600000000000009</v>
      </c>
      <c r="E1194" s="23" t="s">
        <v>4682</v>
      </c>
      <c r="F1194" s="23" t="s">
        <v>4682</v>
      </c>
      <c r="G1194" s="23" t="s">
        <v>4682</v>
      </c>
      <c r="H1194" s="23">
        <v>0</v>
      </c>
      <c r="I1194" s="23" t="s">
        <v>4682</v>
      </c>
      <c r="J1194" s="23" t="s">
        <v>4730</v>
      </c>
      <c r="K1194" s="23" t="s">
        <v>4735</v>
      </c>
      <c r="L1194">
        <v>1968</v>
      </c>
      <c r="M1194" s="15" t="s">
        <v>4700</v>
      </c>
      <c r="N1194">
        <v>4</v>
      </c>
      <c r="O1194">
        <v>0</v>
      </c>
      <c r="P1194" s="21">
        <f>DATEVALUE(N1194&amp;"-"&amp;M1194&amp;"-"&amp;L1194)</f>
        <v>25146</v>
      </c>
      <c r="Q1194" s="22">
        <v>9850.43</v>
      </c>
      <c r="R1194" s="23" t="s">
        <v>4698</v>
      </c>
      <c r="S1194" s="23" t="s">
        <v>4698</v>
      </c>
      <c r="T1194" s="23" t="s">
        <v>4708</v>
      </c>
      <c r="U1194" s="23">
        <f>DATEDIF(P1194, DATE(2023, 6, 8), "Y")</f>
        <v>54</v>
      </c>
      <c r="V1194">
        <f>SUM(C1194:K1194)</f>
        <v>36.32</v>
      </c>
    </row>
    <row r="1195" spans="1:22" ht="15.75">
      <c r="A1195" s="28" t="s">
        <v>2388</v>
      </c>
      <c r="B1195" s="28" t="s">
        <v>2389</v>
      </c>
      <c r="C1195" s="23">
        <v>27.265000000000001</v>
      </c>
      <c r="D1195" s="23">
        <v>11.39</v>
      </c>
      <c r="E1195" s="23" t="s">
        <v>4682</v>
      </c>
      <c r="F1195" s="23" t="s">
        <v>4682</v>
      </c>
      <c r="G1195" s="23" t="s">
        <v>4682</v>
      </c>
      <c r="H1195" s="23">
        <v>0</v>
      </c>
      <c r="I1195" s="23" t="s">
        <v>4682</v>
      </c>
      <c r="J1195" s="23" t="s">
        <v>4730</v>
      </c>
      <c r="K1195" s="23" t="s">
        <v>4735</v>
      </c>
      <c r="L1195">
        <v>1971</v>
      </c>
      <c r="M1195" s="15" t="s">
        <v>4707</v>
      </c>
      <c r="N1195">
        <v>23</v>
      </c>
      <c r="O1195">
        <v>1</v>
      </c>
      <c r="P1195" s="21">
        <f>DATEVALUE(N1195&amp;"-"&amp;M1195&amp;"-"&amp;L1195)</f>
        <v>26229</v>
      </c>
      <c r="Q1195" s="22">
        <v>9855.1299999999992</v>
      </c>
      <c r="R1195" s="23" t="s">
        <v>4697</v>
      </c>
      <c r="S1195" s="23" t="s">
        <v>4698</v>
      </c>
      <c r="T1195" s="23" t="s">
        <v>4699</v>
      </c>
      <c r="U1195" s="23">
        <f>DATEDIF(P1195, DATE(2023, 6, 8), "Y")</f>
        <v>51</v>
      </c>
      <c r="V1195">
        <f>SUM(C1195:K1195)</f>
        <v>38.655000000000001</v>
      </c>
    </row>
    <row r="1196" spans="1:22" ht="15.75">
      <c r="A1196" s="28" t="s">
        <v>2390</v>
      </c>
      <c r="B1196" s="28" t="s">
        <v>2391</v>
      </c>
      <c r="C1196" s="23">
        <v>48.07</v>
      </c>
      <c r="D1196" s="23">
        <v>4.0599999999999996</v>
      </c>
      <c r="E1196" s="23" t="s">
        <v>4683</v>
      </c>
      <c r="F1196" s="23" t="s">
        <v>4682</v>
      </c>
      <c r="G1196" s="23" t="s">
        <v>4682</v>
      </c>
      <c r="H1196" s="23">
        <v>0</v>
      </c>
      <c r="I1196" s="23" t="s">
        <v>4682</v>
      </c>
      <c r="J1196" s="23" t="s">
        <v>4729</v>
      </c>
      <c r="K1196" s="23" t="s">
        <v>4737</v>
      </c>
      <c r="L1196">
        <v>1971</v>
      </c>
      <c r="M1196" s="15" t="s">
        <v>4696</v>
      </c>
      <c r="N1196">
        <v>17</v>
      </c>
      <c r="O1196">
        <v>1</v>
      </c>
      <c r="P1196" s="21">
        <f>DATEVALUE(N1196&amp;"-"&amp;M1196&amp;"-"&amp;L1196)</f>
        <v>26131</v>
      </c>
      <c r="Q1196" s="22">
        <v>9861.0300000000007</v>
      </c>
      <c r="R1196" s="23" t="s">
        <v>4697</v>
      </c>
      <c r="S1196" s="23" t="s">
        <v>4697</v>
      </c>
      <c r="T1196" s="23" t="s">
        <v>4708</v>
      </c>
      <c r="U1196" s="23">
        <f>DATEDIF(P1196, DATE(2023, 6, 8), "Y")</f>
        <v>51</v>
      </c>
      <c r="V1196">
        <f>SUM(C1196:K1196)</f>
        <v>52.13</v>
      </c>
    </row>
    <row r="1197" spans="1:22" ht="15.75">
      <c r="A1197" s="28" t="s">
        <v>2392</v>
      </c>
      <c r="B1197" s="28" t="s">
        <v>2393</v>
      </c>
      <c r="C1197" s="23">
        <v>30.8</v>
      </c>
      <c r="D1197" s="23">
        <v>5.23</v>
      </c>
      <c r="E1197" s="23" t="s">
        <v>4683</v>
      </c>
      <c r="F1197" s="23" t="s">
        <v>4682</v>
      </c>
      <c r="G1197" s="23" t="s">
        <v>4682</v>
      </c>
      <c r="H1197" s="23">
        <v>0</v>
      </c>
      <c r="I1197" s="23" t="s">
        <v>4682</v>
      </c>
      <c r="J1197" s="23" t="s">
        <v>4729</v>
      </c>
      <c r="K1197" s="23" t="s">
        <v>4737</v>
      </c>
      <c r="L1197">
        <v>1969</v>
      </c>
      <c r="M1197" s="15" t="s">
        <v>4707</v>
      </c>
      <c r="N1197">
        <v>20</v>
      </c>
      <c r="O1197">
        <v>0</v>
      </c>
      <c r="P1197" s="21">
        <f>DATEVALUE(N1197&amp;"-"&amp;M1197&amp;"-"&amp;L1197)</f>
        <v>25496</v>
      </c>
      <c r="Q1197" s="22">
        <v>9863.4699999999993</v>
      </c>
      <c r="R1197" s="23" t="s">
        <v>4698</v>
      </c>
      <c r="S1197" s="23" t="s">
        <v>4698</v>
      </c>
      <c r="T1197" s="23" t="s">
        <v>4704</v>
      </c>
      <c r="U1197" s="23">
        <f>DATEDIF(P1197, DATE(2023, 6, 8), "Y")</f>
        <v>53</v>
      </c>
      <c r="V1197">
        <f>SUM(C1197:K1197)</f>
        <v>36.03</v>
      </c>
    </row>
    <row r="1198" spans="1:22" ht="15.75">
      <c r="A1198" s="28" t="s">
        <v>2394</v>
      </c>
      <c r="B1198" s="28" t="s">
        <v>2395</v>
      </c>
      <c r="C1198" s="23">
        <v>32.299999999999997</v>
      </c>
      <c r="D1198" s="23">
        <v>5.05</v>
      </c>
      <c r="E1198" s="23" t="s">
        <v>4683</v>
      </c>
      <c r="F1198" s="23" t="s">
        <v>4682</v>
      </c>
      <c r="G1198" s="23" t="s">
        <v>4682</v>
      </c>
      <c r="H1198" s="23">
        <v>0</v>
      </c>
      <c r="I1198" s="23" t="s">
        <v>4682</v>
      </c>
      <c r="J1198" s="23" t="s">
        <v>4729</v>
      </c>
      <c r="K1198" s="23" t="s">
        <v>4737</v>
      </c>
      <c r="L1198">
        <v>1971</v>
      </c>
      <c r="M1198" s="15" t="s">
        <v>4700</v>
      </c>
      <c r="N1198">
        <v>9</v>
      </c>
      <c r="O1198">
        <v>0</v>
      </c>
      <c r="P1198" s="21">
        <f>DATEVALUE(N1198&amp;"-"&amp;M1198&amp;"-"&amp;L1198)</f>
        <v>26246</v>
      </c>
      <c r="Q1198" s="22">
        <v>9866.2999999999993</v>
      </c>
      <c r="R1198" s="23" t="s">
        <v>4697</v>
      </c>
      <c r="S1198" s="23" t="s">
        <v>4698</v>
      </c>
      <c r="T1198" s="23" t="s">
        <v>4714</v>
      </c>
      <c r="U1198" s="23">
        <f>DATEDIF(P1198, DATE(2023, 6, 8), "Y")</f>
        <v>51</v>
      </c>
      <c r="V1198">
        <f>SUM(C1198:K1198)</f>
        <v>37.349999999999994</v>
      </c>
    </row>
    <row r="1199" spans="1:22" ht="15.75">
      <c r="A1199" s="28" t="s">
        <v>2396</v>
      </c>
      <c r="B1199" s="28" t="s">
        <v>2397</v>
      </c>
      <c r="C1199" s="23">
        <v>39.700000000000003</v>
      </c>
      <c r="D1199" s="23">
        <v>7.34</v>
      </c>
      <c r="E1199" s="23" t="s">
        <v>4682</v>
      </c>
      <c r="F1199" s="23" t="s">
        <v>4682</v>
      </c>
      <c r="G1199" s="23" t="s">
        <v>4682</v>
      </c>
      <c r="H1199" s="23">
        <v>0</v>
      </c>
      <c r="I1199" s="23" t="s">
        <v>4682</v>
      </c>
      <c r="J1199" s="23" t="s">
        <v>4729</v>
      </c>
      <c r="K1199" s="23" t="s">
        <v>4735</v>
      </c>
      <c r="L1199">
        <v>1969</v>
      </c>
      <c r="M1199" s="15" t="s">
        <v>4706</v>
      </c>
      <c r="N1199">
        <v>13</v>
      </c>
      <c r="O1199">
        <v>0</v>
      </c>
      <c r="P1199" s="21">
        <f>DATEVALUE(N1199&amp;"-"&amp;M1199&amp;"-"&amp;L1199)</f>
        <v>25428</v>
      </c>
      <c r="Q1199" s="22">
        <v>9869.81</v>
      </c>
      <c r="R1199" s="23" t="s">
        <v>4698</v>
      </c>
      <c r="S1199" s="23" t="s">
        <v>4698</v>
      </c>
      <c r="T1199" s="23" t="s">
        <v>4704</v>
      </c>
      <c r="U1199" s="23">
        <f>DATEDIF(P1199, DATE(2023, 6, 8), "Y")</f>
        <v>53</v>
      </c>
      <c r="V1199">
        <f>SUM(C1199:K1199)</f>
        <v>47.040000000000006</v>
      </c>
    </row>
    <row r="1200" spans="1:22" ht="15.75">
      <c r="A1200" s="28" t="s">
        <v>2398</v>
      </c>
      <c r="B1200" s="28" t="s">
        <v>2399</v>
      </c>
      <c r="C1200" s="23">
        <v>35.97</v>
      </c>
      <c r="D1200" s="23">
        <v>8.1300000000000008</v>
      </c>
      <c r="E1200" s="23" t="s">
        <v>4682</v>
      </c>
      <c r="F1200" s="23" t="s">
        <v>4682</v>
      </c>
      <c r="G1200" s="23" t="s">
        <v>4682</v>
      </c>
      <c r="H1200" s="23">
        <v>0</v>
      </c>
      <c r="I1200" s="23" t="s">
        <v>4682</v>
      </c>
      <c r="J1200" s="23" t="s">
        <v>4729</v>
      </c>
      <c r="K1200" s="23" t="s">
        <v>4735</v>
      </c>
      <c r="L1200">
        <v>1998</v>
      </c>
      <c r="M1200" s="15" t="s">
        <v>4696</v>
      </c>
      <c r="N1200">
        <v>6</v>
      </c>
      <c r="O1200">
        <v>0</v>
      </c>
      <c r="P1200" s="21">
        <f>DATEVALUE(N1200&amp;"-"&amp;M1200&amp;"-"&amp;L1200)</f>
        <v>35982</v>
      </c>
      <c r="Q1200" s="22">
        <v>9870.59</v>
      </c>
      <c r="R1200" s="23" t="s">
        <v>4697</v>
      </c>
      <c r="S1200" s="23" t="s">
        <v>4697</v>
      </c>
      <c r="T1200" s="23" t="s">
        <v>4715</v>
      </c>
      <c r="U1200" s="23">
        <f>DATEDIF(P1200, DATE(2023, 6, 8), "Y")</f>
        <v>24</v>
      </c>
      <c r="V1200">
        <f>SUM(C1200:K1200)</f>
        <v>44.1</v>
      </c>
    </row>
    <row r="1201" spans="1:22" ht="15.75">
      <c r="A1201" s="28" t="s">
        <v>2400</v>
      </c>
      <c r="B1201" s="28" t="s">
        <v>2401</v>
      </c>
      <c r="C1201" s="23">
        <v>25.86</v>
      </c>
      <c r="D1201" s="23">
        <v>6.68</v>
      </c>
      <c r="E1201" s="23" t="s">
        <v>4683</v>
      </c>
      <c r="F1201" s="23" t="s">
        <v>4682</v>
      </c>
      <c r="G1201" s="23" t="s">
        <v>4682</v>
      </c>
      <c r="H1201" s="23">
        <v>1</v>
      </c>
      <c r="I1201" s="23" t="s">
        <v>4682</v>
      </c>
      <c r="J1201" s="23" t="s">
        <v>4730</v>
      </c>
      <c r="K1201" s="23" t="s">
        <v>4735</v>
      </c>
      <c r="L1201">
        <v>1971</v>
      </c>
      <c r="M1201" s="15" t="s">
        <v>4705</v>
      </c>
      <c r="N1201">
        <v>22</v>
      </c>
      <c r="O1201">
        <v>1</v>
      </c>
      <c r="P1201" s="21">
        <f>DATEVALUE(N1201&amp;"-"&amp;M1201&amp;"-"&amp;L1201)</f>
        <v>26289</v>
      </c>
      <c r="Q1201" s="22">
        <v>9872.7000000000007</v>
      </c>
      <c r="R1201" s="23" t="s">
        <v>4697</v>
      </c>
      <c r="S1201" s="23" t="s">
        <v>4697</v>
      </c>
      <c r="T1201" s="23" t="s">
        <v>4708</v>
      </c>
      <c r="U1201" s="23">
        <f>DATEDIF(P1201, DATE(2023, 6, 8), "Y")</f>
        <v>51</v>
      </c>
      <c r="V1201">
        <f>SUM(C1201:K1201)</f>
        <v>33.54</v>
      </c>
    </row>
    <row r="1202" spans="1:22" ht="15.75">
      <c r="A1202" s="28" t="s">
        <v>2402</v>
      </c>
      <c r="B1202" s="28" t="s">
        <v>2403</v>
      </c>
      <c r="C1202" s="23">
        <v>30.03</v>
      </c>
      <c r="D1202" s="23">
        <v>11.51</v>
      </c>
      <c r="E1202" s="23" t="s">
        <v>4682</v>
      </c>
      <c r="F1202" s="23" t="s">
        <v>4682</v>
      </c>
      <c r="G1202" s="23" t="s">
        <v>4682</v>
      </c>
      <c r="H1202" s="23">
        <v>0</v>
      </c>
      <c r="I1202" s="23" t="s">
        <v>4682</v>
      </c>
      <c r="J1202" s="23" t="s">
        <v>4729</v>
      </c>
      <c r="K1202" s="23" t="s">
        <v>4735</v>
      </c>
      <c r="L1202">
        <v>1971</v>
      </c>
      <c r="M1202" s="15" t="s">
        <v>4696</v>
      </c>
      <c r="N1202">
        <v>3</v>
      </c>
      <c r="O1202">
        <v>0</v>
      </c>
      <c r="P1202" s="21">
        <f>DATEVALUE(N1202&amp;"-"&amp;M1202&amp;"-"&amp;L1202)</f>
        <v>26117</v>
      </c>
      <c r="Q1202" s="22">
        <v>9875.68</v>
      </c>
      <c r="R1202" s="23" t="s">
        <v>4697</v>
      </c>
      <c r="S1202" s="23" t="s">
        <v>4698</v>
      </c>
      <c r="T1202" s="23" t="s">
        <v>4714</v>
      </c>
      <c r="U1202" s="23">
        <f>DATEDIF(P1202, DATE(2023, 6, 8), "Y")</f>
        <v>51</v>
      </c>
      <c r="V1202">
        <f>SUM(C1202:K1202)</f>
        <v>41.54</v>
      </c>
    </row>
    <row r="1203" spans="1:22" ht="15.75">
      <c r="A1203" s="28" t="s">
        <v>2404</v>
      </c>
      <c r="B1203" s="28" t="s">
        <v>2405</v>
      </c>
      <c r="C1203" s="23">
        <v>25.76</v>
      </c>
      <c r="D1203" s="23">
        <v>6.02</v>
      </c>
      <c r="E1203" s="23" t="s">
        <v>4683</v>
      </c>
      <c r="F1203" s="23" t="s">
        <v>4682</v>
      </c>
      <c r="G1203" s="23" t="s">
        <v>4684</v>
      </c>
      <c r="H1203" s="23">
        <v>1</v>
      </c>
      <c r="I1203" s="23" t="s">
        <v>4682</v>
      </c>
      <c r="J1203" s="23" t="s">
        <v>4730</v>
      </c>
      <c r="K1203" s="23" t="s">
        <v>4736</v>
      </c>
      <c r="L1203">
        <v>1971</v>
      </c>
      <c r="M1203" s="15" t="s">
        <v>4707</v>
      </c>
      <c r="N1203">
        <v>3</v>
      </c>
      <c r="O1203">
        <v>1</v>
      </c>
      <c r="P1203" s="21">
        <f>DATEVALUE(N1203&amp;"-"&amp;M1203&amp;"-"&amp;L1203)</f>
        <v>26209</v>
      </c>
      <c r="Q1203" s="22">
        <v>9877.61</v>
      </c>
      <c r="R1203" s="23" t="s">
        <v>4697</v>
      </c>
      <c r="S1203" s="23" t="s">
        <v>4701</v>
      </c>
      <c r="T1203" s="23" t="s">
        <v>4699</v>
      </c>
      <c r="U1203" s="23">
        <f>DATEDIF(P1203, DATE(2023, 6, 8), "Y")</f>
        <v>51</v>
      </c>
      <c r="V1203">
        <f>SUM(C1203:K1203)</f>
        <v>32.78</v>
      </c>
    </row>
    <row r="1204" spans="1:22" ht="15.75">
      <c r="A1204" s="28" t="s">
        <v>2406</v>
      </c>
      <c r="B1204" s="28" t="s">
        <v>2407</v>
      </c>
      <c r="C1204" s="23">
        <v>22.42</v>
      </c>
      <c r="D1204" s="23">
        <v>7.96</v>
      </c>
      <c r="E1204" s="23" t="s">
        <v>4682</v>
      </c>
      <c r="F1204" s="23" t="s">
        <v>4682</v>
      </c>
      <c r="G1204" s="23" t="s">
        <v>4682</v>
      </c>
      <c r="H1204" s="23">
        <v>0</v>
      </c>
      <c r="I1204" s="23" t="s">
        <v>4682</v>
      </c>
      <c r="J1204" s="23" t="s">
        <v>4728</v>
      </c>
      <c r="K1204" s="23" t="s">
        <v>4735</v>
      </c>
      <c r="L1204">
        <v>1971</v>
      </c>
      <c r="M1204" s="15" t="s">
        <v>4700</v>
      </c>
      <c r="N1204">
        <v>8</v>
      </c>
      <c r="O1204">
        <v>1</v>
      </c>
      <c r="P1204" s="21">
        <f>DATEVALUE(N1204&amp;"-"&amp;M1204&amp;"-"&amp;L1204)</f>
        <v>26245</v>
      </c>
      <c r="Q1204" s="22">
        <v>9880.07</v>
      </c>
      <c r="R1204" s="23" t="s">
        <v>4697</v>
      </c>
      <c r="S1204" s="23" t="s">
        <v>4698</v>
      </c>
      <c r="T1204" s="23" t="s">
        <v>4708</v>
      </c>
      <c r="U1204" s="23">
        <f>DATEDIF(P1204, DATE(2023, 6, 8), "Y")</f>
        <v>51</v>
      </c>
      <c r="V1204">
        <f>SUM(C1204:K1204)</f>
        <v>30.380000000000003</v>
      </c>
    </row>
    <row r="1205" spans="1:22" ht="15.75">
      <c r="A1205" s="28" t="s">
        <v>2408</v>
      </c>
      <c r="B1205" s="28" t="s">
        <v>2409</v>
      </c>
      <c r="C1205" s="23">
        <v>33.18</v>
      </c>
      <c r="D1205" s="23">
        <v>6.01</v>
      </c>
      <c r="E1205" s="23" t="s">
        <v>4683</v>
      </c>
      <c r="F1205" s="23" t="s">
        <v>4682</v>
      </c>
      <c r="G1205" s="23" t="s">
        <v>4682</v>
      </c>
      <c r="H1205" s="23">
        <v>1</v>
      </c>
      <c r="I1205" s="23" t="s">
        <v>4682</v>
      </c>
      <c r="J1205" s="23" t="s">
        <v>4729</v>
      </c>
      <c r="K1205" s="23" t="s">
        <v>4736</v>
      </c>
      <c r="L1205">
        <v>1966</v>
      </c>
      <c r="M1205" s="15" t="s">
        <v>4700</v>
      </c>
      <c r="N1205">
        <v>5</v>
      </c>
      <c r="O1205">
        <v>0</v>
      </c>
      <c r="P1205" s="21">
        <f>DATEVALUE(N1205&amp;"-"&amp;M1205&amp;"-"&amp;L1205)</f>
        <v>24416</v>
      </c>
      <c r="Q1205" s="22">
        <v>9890.23</v>
      </c>
      <c r="R1205" s="23" t="s">
        <v>4698</v>
      </c>
      <c r="S1205" s="23" t="s">
        <v>4698</v>
      </c>
      <c r="T1205" s="23" t="s">
        <v>4699</v>
      </c>
      <c r="U1205" s="23">
        <f>DATEDIF(P1205, DATE(2023, 6, 8), "Y")</f>
        <v>56</v>
      </c>
      <c r="V1205">
        <f>SUM(C1205:K1205)</f>
        <v>40.19</v>
      </c>
    </row>
    <row r="1206" spans="1:22" ht="15.75">
      <c r="A1206" s="28" t="s">
        <v>2410</v>
      </c>
      <c r="B1206" s="28" t="s">
        <v>2411</v>
      </c>
      <c r="C1206" s="23">
        <v>43.04</v>
      </c>
      <c r="D1206" s="23">
        <v>5.9</v>
      </c>
      <c r="E1206" s="23" t="s">
        <v>4683</v>
      </c>
      <c r="F1206" s="23" t="s">
        <v>4682</v>
      </c>
      <c r="G1206" s="23" t="s">
        <v>4682</v>
      </c>
      <c r="H1206" s="23">
        <v>0</v>
      </c>
      <c r="I1206" s="23" t="s">
        <v>4682</v>
      </c>
      <c r="J1206" s="23" t="s">
        <v>4729</v>
      </c>
      <c r="K1206" s="23" t="s">
        <v>4736</v>
      </c>
      <c r="L1206">
        <v>1996</v>
      </c>
      <c r="M1206" s="15" t="s">
        <v>4696</v>
      </c>
      <c r="N1206">
        <v>8</v>
      </c>
      <c r="O1206">
        <v>0</v>
      </c>
      <c r="P1206" s="21">
        <f>DATEVALUE(N1206&amp;"-"&amp;M1206&amp;"-"&amp;L1206)</f>
        <v>35254</v>
      </c>
      <c r="Q1206" s="22">
        <v>9894.69</v>
      </c>
      <c r="R1206" s="23" t="s">
        <v>4697</v>
      </c>
      <c r="S1206" s="23" t="s">
        <v>4698</v>
      </c>
      <c r="T1206" s="23" t="s">
        <v>4704</v>
      </c>
      <c r="U1206" s="23">
        <f>DATEDIF(P1206, DATE(2023, 6, 8), "Y")</f>
        <v>26</v>
      </c>
      <c r="V1206">
        <f>SUM(C1206:K1206)</f>
        <v>48.94</v>
      </c>
    </row>
    <row r="1207" spans="1:22" ht="15.75">
      <c r="A1207" s="28" t="s">
        <v>2412</v>
      </c>
      <c r="B1207" s="28" t="s">
        <v>2413</v>
      </c>
      <c r="C1207" s="23">
        <v>34.15</v>
      </c>
      <c r="D1207" s="23">
        <v>4.49</v>
      </c>
      <c r="E1207" s="23" t="s">
        <v>4683</v>
      </c>
      <c r="F1207" s="23" t="s">
        <v>4682</v>
      </c>
      <c r="G1207" s="23" t="s">
        <v>4682</v>
      </c>
      <c r="H1207" s="23">
        <v>1</v>
      </c>
      <c r="I1207" s="23" t="s">
        <v>4682</v>
      </c>
      <c r="J1207" s="23" t="s">
        <v>4729</v>
      </c>
      <c r="K1207" s="23" t="s">
        <v>4737</v>
      </c>
      <c r="L1207">
        <v>1962</v>
      </c>
      <c r="M1207" s="15" t="s">
        <v>4706</v>
      </c>
      <c r="N1207">
        <v>17</v>
      </c>
      <c r="O1207">
        <v>0</v>
      </c>
      <c r="P1207" s="21">
        <f>DATEVALUE(N1207&amp;"-"&amp;M1207&amp;"-"&amp;L1207)</f>
        <v>22875</v>
      </c>
      <c r="Q1207" s="22">
        <v>9907.83</v>
      </c>
      <c r="R1207" s="23" t="s">
        <v>4698</v>
      </c>
      <c r="S1207" s="23" t="s">
        <v>4697</v>
      </c>
      <c r="T1207" s="23" t="s">
        <v>4699</v>
      </c>
      <c r="U1207" s="23">
        <f>DATEDIF(P1207, DATE(2023, 6, 8), "Y")</f>
        <v>60</v>
      </c>
      <c r="V1207">
        <f>SUM(C1207:K1207)</f>
        <v>39.64</v>
      </c>
    </row>
    <row r="1208" spans="1:22" ht="15.75">
      <c r="A1208" s="28" t="s">
        <v>2414</v>
      </c>
      <c r="B1208" s="28" t="s">
        <v>2415</v>
      </c>
      <c r="C1208" s="23">
        <v>25.78</v>
      </c>
      <c r="D1208" s="23">
        <v>6.25</v>
      </c>
      <c r="E1208" s="23" t="s">
        <v>4682</v>
      </c>
      <c r="F1208" s="23" t="s">
        <v>4682</v>
      </c>
      <c r="G1208" s="23" t="s">
        <v>4682</v>
      </c>
      <c r="H1208" s="23">
        <v>0</v>
      </c>
      <c r="I1208" s="23" t="s">
        <v>4682</v>
      </c>
      <c r="J1208" s="23" t="s">
        <v>4730</v>
      </c>
      <c r="K1208" s="23" t="s">
        <v>4736</v>
      </c>
      <c r="L1208">
        <v>1972</v>
      </c>
      <c r="M1208" s="15" t="s">
        <v>4703</v>
      </c>
      <c r="N1208">
        <v>14</v>
      </c>
      <c r="O1208">
        <v>1</v>
      </c>
      <c r="P1208" s="21">
        <f>DATEVALUE(N1208&amp;"-"&amp;M1208&amp;"-"&amp;L1208)</f>
        <v>26556</v>
      </c>
      <c r="Q1208" s="22">
        <v>9910.36</v>
      </c>
      <c r="R1208" s="23" t="s">
        <v>4697</v>
      </c>
      <c r="S1208" s="23" t="s">
        <v>4698</v>
      </c>
      <c r="T1208" s="23" t="s">
        <v>4704</v>
      </c>
      <c r="U1208" s="23">
        <f>DATEDIF(P1208, DATE(2023, 6, 8), "Y")</f>
        <v>50</v>
      </c>
      <c r="V1208">
        <f>SUM(C1208:K1208)</f>
        <v>32.03</v>
      </c>
    </row>
    <row r="1209" spans="1:22" ht="15.75">
      <c r="A1209" s="28" t="s">
        <v>2416</v>
      </c>
      <c r="B1209" s="28" t="s">
        <v>2417</v>
      </c>
      <c r="C1209" s="23">
        <v>21.02</v>
      </c>
      <c r="D1209" s="23">
        <v>9.6199999999999992</v>
      </c>
      <c r="E1209" s="23" t="s">
        <v>4683</v>
      </c>
      <c r="F1209" s="23" t="s">
        <v>4682</v>
      </c>
      <c r="G1209" s="23" t="s">
        <v>4684</v>
      </c>
      <c r="H1209" s="23">
        <v>1</v>
      </c>
      <c r="I1209" s="23" t="s">
        <v>4682</v>
      </c>
      <c r="J1209" s="23" t="s">
        <v>4728</v>
      </c>
      <c r="K1209" s="23" t="s">
        <v>4735</v>
      </c>
      <c r="L1209">
        <v>1985</v>
      </c>
      <c r="M1209" s="15" t="s">
        <v>4706</v>
      </c>
      <c r="N1209">
        <v>19</v>
      </c>
      <c r="O1209">
        <v>3</v>
      </c>
      <c r="P1209" s="21">
        <f>DATEVALUE(N1209&amp;"-"&amp;M1209&amp;"-"&amp;L1209)</f>
        <v>31278</v>
      </c>
      <c r="Q1209" s="22">
        <v>9930.64</v>
      </c>
      <c r="R1209" s="23" t="s">
        <v>4697</v>
      </c>
      <c r="S1209" s="23" t="s">
        <v>4698</v>
      </c>
      <c r="T1209" s="23" t="s">
        <v>4713</v>
      </c>
      <c r="U1209" s="23">
        <f>DATEDIF(P1209, DATE(2023, 6, 8), "Y")</f>
        <v>37</v>
      </c>
      <c r="V1209">
        <f>SUM(C1209:K1209)</f>
        <v>31.64</v>
      </c>
    </row>
    <row r="1210" spans="1:22" ht="15.75">
      <c r="A1210" s="28" t="s">
        <v>2418</v>
      </c>
      <c r="B1210" s="28" t="s">
        <v>2419</v>
      </c>
      <c r="C1210" s="23">
        <v>37.51</v>
      </c>
      <c r="D1210" s="23">
        <v>11.06</v>
      </c>
      <c r="E1210" s="23" t="s">
        <v>4682</v>
      </c>
      <c r="F1210" s="23" t="s">
        <v>4682</v>
      </c>
      <c r="G1210" s="23" t="s">
        <v>4682</v>
      </c>
      <c r="H1210" s="23">
        <v>2</v>
      </c>
      <c r="I1210" s="23" t="s">
        <v>4682</v>
      </c>
      <c r="J1210" s="23" t="s">
        <v>4729</v>
      </c>
      <c r="K1210" s="23" t="s">
        <v>4735</v>
      </c>
      <c r="L1210">
        <v>1983</v>
      </c>
      <c r="M1210" s="15" t="s">
        <v>4705</v>
      </c>
      <c r="N1210">
        <v>3</v>
      </c>
      <c r="O1210">
        <v>3</v>
      </c>
      <c r="P1210" s="21">
        <f>DATEVALUE(N1210&amp;"-"&amp;M1210&amp;"-"&amp;L1210)</f>
        <v>30653</v>
      </c>
      <c r="Q1210" s="22">
        <v>9931.9599999999991</v>
      </c>
      <c r="R1210" s="23" t="s">
        <v>4697</v>
      </c>
      <c r="S1210" s="23" t="s">
        <v>4697</v>
      </c>
      <c r="T1210" s="23" t="s">
        <v>4704</v>
      </c>
      <c r="U1210" s="23">
        <f>DATEDIF(P1210, DATE(2023, 6, 8), "Y")</f>
        <v>39</v>
      </c>
      <c r="V1210">
        <f>SUM(C1210:K1210)</f>
        <v>50.57</v>
      </c>
    </row>
    <row r="1211" spans="1:22" ht="15.75">
      <c r="A1211" s="28" t="s">
        <v>2420</v>
      </c>
      <c r="B1211" s="28" t="s">
        <v>2421</v>
      </c>
      <c r="C1211" s="23">
        <v>25.745000000000001</v>
      </c>
      <c r="D1211" s="23">
        <v>6.11</v>
      </c>
      <c r="E1211" s="23" t="s">
        <v>4683</v>
      </c>
      <c r="F1211" s="23" t="s">
        <v>4682</v>
      </c>
      <c r="G1211" s="23" t="s">
        <v>4682</v>
      </c>
      <c r="H1211" s="23">
        <v>0</v>
      </c>
      <c r="I1211" s="23" t="s">
        <v>4682</v>
      </c>
      <c r="J1211" s="23" t="s">
        <v>4730</v>
      </c>
      <c r="K1211" s="23" t="s">
        <v>4736</v>
      </c>
      <c r="L1211">
        <v>1964</v>
      </c>
      <c r="M1211" s="15" t="s">
        <v>4703</v>
      </c>
      <c r="N1211">
        <v>11</v>
      </c>
      <c r="O1211">
        <v>0</v>
      </c>
      <c r="P1211" s="21">
        <f>DATEVALUE(N1211&amp;"-"&amp;M1211&amp;"-"&amp;L1211)</f>
        <v>23631</v>
      </c>
      <c r="Q1211" s="22">
        <v>9933.44</v>
      </c>
      <c r="R1211" s="23" t="s">
        <v>4698</v>
      </c>
      <c r="S1211" s="23" t="s">
        <v>4698</v>
      </c>
      <c r="T1211" s="23" t="s">
        <v>4699</v>
      </c>
      <c r="U1211" s="23">
        <f>DATEDIF(P1211, DATE(2023, 6, 8), "Y")</f>
        <v>58</v>
      </c>
      <c r="V1211">
        <f>SUM(C1211:K1211)</f>
        <v>31.855</v>
      </c>
    </row>
    <row r="1212" spans="1:22" ht="15.75">
      <c r="A1212" s="28" t="s">
        <v>2422</v>
      </c>
      <c r="B1212" s="28" t="s">
        <v>2423</v>
      </c>
      <c r="C1212" s="23">
        <v>31.35</v>
      </c>
      <c r="D1212" s="23">
        <v>11.49</v>
      </c>
      <c r="E1212" s="23" t="s">
        <v>4682</v>
      </c>
      <c r="F1212" s="23" t="s">
        <v>4682</v>
      </c>
      <c r="G1212" s="23" t="s">
        <v>4682</v>
      </c>
      <c r="H1212" s="23">
        <v>2</v>
      </c>
      <c r="I1212" s="23" t="s">
        <v>4682</v>
      </c>
      <c r="J1212" s="23" t="s">
        <v>4729</v>
      </c>
      <c r="K1212" s="23" t="s">
        <v>4735</v>
      </c>
      <c r="L1212">
        <v>1971</v>
      </c>
      <c r="M1212" s="15" t="s">
        <v>4705</v>
      </c>
      <c r="N1212">
        <v>26</v>
      </c>
      <c r="O1212">
        <v>1</v>
      </c>
      <c r="P1212" s="21">
        <f>DATEVALUE(N1212&amp;"-"&amp;M1212&amp;"-"&amp;L1212)</f>
        <v>26293</v>
      </c>
      <c r="Q1212" s="22">
        <v>9957.7199999999993</v>
      </c>
      <c r="R1212" s="23" t="s">
        <v>4697</v>
      </c>
      <c r="S1212" s="23" t="s">
        <v>4698</v>
      </c>
      <c r="T1212" s="23" t="s">
        <v>4712</v>
      </c>
      <c r="U1212" s="23">
        <f>DATEDIF(P1212, DATE(2023, 6, 8), "Y")</f>
        <v>51</v>
      </c>
      <c r="V1212">
        <f>SUM(C1212:K1212)</f>
        <v>44.84</v>
      </c>
    </row>
    <row r="1213" spans="1:22" ht="15.75">
      <c r="A1213" s="28" t="s">
        <v>2424</v>
      </c>
      <c r="B1213" s="28" t="s">
        <v>2425</v>
      </c>
      <c r="C1213" s="23">
        <v>29.83</v>
      </c>
      <c r="D1213" s="23">
        <v>8.68</v>
      </c>
      <c r="E1213" s="23" t="s">
        <v>4682</v>
      </c>
      <c r="F1213" s="23" t="s">
        <v>4682</v>
      </c>
      <c r="G1213" s="23" t="s">
        <v>4682</v>
      </c>
      <c r="H1213" s="23">
        <v>2</v>
      </c>
      <c r="I1213" s="23" t="s">
        <v>4682</v>
      </c>
      <c r="J1213" s="23" t="s">
        <v>4730</v>
      </c>
      <c r="K1213" s="23" t="s">
        <v>4735</v>
      </c>
      <c r="L1213">
        <v>1971</v>
      </c>
      <c r="M1213" s="15" t="s">
        <v>4707</v>
      </c>
      <c r="N1213">
        <v>6</v>
      </c>
      <c r="O1213">
        <v>1</v>
      </c>
      <c r="P1213" s="21">
        <f>DATEVALUE(N1213&amp;"-"&amp;M1213&amp;"-"&amp;L1213)</f>
        <v>26212</v>
      </c>
      <c r="Q1213" s="22">
        <v>9964.06</v>
      </c>
      <c r="R1213" s="23" t="s">
        <v>4697</v>
      </c>
      <c r="S1213" s="23" t="s">
        <v>4697</v>
      </c>
      <c r="T1213" s="23" t="s">
        <v>4710</v>
      </c>
      <c r="U1213" s="23">
        <f>DATEDIF(P1213, DATE(2023, 6, 8), "Y")</f>
        <v>51</v>
      </c>
      <c r="V1213">
        <f>SUM(C1213:K1213)</f>
        <v>40.51</v>
      </c>
    </row>
    <row r="1214" spans="1:22" ht="15.75">
      <c r="A1214" s="28" t="s">
        <v>2426</v>
      </c>
      <c r="B1214" s="28" t="s">
        <v>2427</v>
      </c>
      <c r="C1214" s="23">
        <v>25.49</v>
      </c>
      <c r="D1214" s="23">
        <v>5.68</v>
      </c>
      <c r="E1214" s="23" t="s">
        <v>4683</v>
      </c>
      <c r="F1214" s="23" t="s">
        <v>4682</v>
      </c>
      <c r="G1214" s="23" t="s">
        <v>4684</v>
      </c>
      <c r="H1214" s="23">
        <v>1</v>
      </c>
      <c r="I1214" s="23" t="s">
        <v>4682</v>
      </c>
      <c r="J1214" s="23" t="s">
        <v>4730</v>
      </c>
      <c r="K1214" s="23" t="s">
        <v>4737</v>
      </c>
      <c r="L1214">
        <v>1970</v>
      </c>
      <c r="M1214" s="15" t="s">
        <v>4706</v>
      </c>
      <c r="N1214">
        <v>11</v>
      </c>
      <c r="O1214">
        <v>0</v>
      </c>
      <c r="P1214" s="21">
        <f>DATEVALUE(N1214&amp;"-"&amp;M1214&amp;"-"&amp;L1214)</f>
        <v>25791</v>
      </c>
      <c r="Q1214" s="22">
        <v>9991.0400000000009</v>
      </c>
      <c r="R1214" s="23" t="s">
        <v>4697</v>
      </c>
      <c r="S1214" s="23" t="s">
        <v>4698</v>
      </c>
      <c r="T1214" s="23" t="s">
        <v>4704</v>
      </c>
      <c r="U1214" s="23">
        <f>DATEDIF(P1214, DATE(2023, 6, 8), "Y")</f>
        <v>52</v>
      </c>
      <c r="V1214">
        <f>SUM(C1214:K1214)</f>
        <v>32.17</v>
      </c>
    </row>
    <row r="1215" spans="1:22" ht="15.75">
      <c r="A1215" s="28" t="s">
        <v>2428</v>
      </c>
      <c r="B1215" s="28" t="s">
        <v>2429</v>
      </c>
      <c r="C1215" s="23">
        <v>34.1</v>
      </c>
      <c r="D1215" s="23">
        <v>8.4499999999999993</v>
      </c>
      <c r="E1215" s="23" t="s">
        <v>4682</v>
      </c>
      <c r="F1215" s="23" t="s">
        <v>4682</v>
      </c>
      <c r="G1215" s="23" t="s">
        <v>4682</v>
      </c>
      <c r="H1215" s="23">
        <v>0</v>
      </c>
      <c r="I1215" s="23" t="s">
        <v>4682</v>
      </c>
      <c r="J1215" s="23" t="s">
        <v>4729</v>
      </c>
      <c r="K1215" s="23" t="s">
        <v>4735</v>
      </c>
      <c r="L1215">
        <v>1988</v>
      </c>
      <c r="M1215" s="15" t="s">
        <v>4696</v>
      </c>
      <c r="N1215">
        <v>3</v>
      </c>
      <c r="O1215">
        <v>3</v>
      </c>
      <c r="P1215" s="21">
        <f>DATEVALUE(N1215&amp;"-"&amp;M1215&amp;"-"&amp;L1215)</f>
        <v>32327</v>
      </c>
      <c r="Q1215" s="22">
        <v>10011.44</v>
      </c>
      <c r="R1215" s="23" t="s">
        <v>4698</v>
      </c>
      <c r="S1215" s="23" t="s">
        <v>4698</v>
      </c>
      <c r="T1215" s="23" t="s">
        <v>4720</v>
      </c>
      <c r="U1215" s="23">
        <f>DATEDIF(P1215, DATE(2023, 6, 8), "Y")</f>
        <v>34</v>
      </c>
      <c r="V1215">
        <f>SUM(C1215:K1215)</f>
        <v>42.55</v>
      </c>
    </row>
    <row r="1216" spans="1:22" ht="15.75">
      <c r="A1216" s="28" t="s">
        <v>2430</v>
      </c>
      <c r="B1216" s="28" t="s">
        <v>2431</v>
      </c>
      <c r="C1216" s="23">
        <v>25.84</v>
      </c>
      <c r="D1216" s="23">
        <v>8.51</v>
      </c>
      <c r="E1216" s="23" t="s">
        <v>4682</v>
      </c>
      <c r="F1216" s="23" t="s">
        <v>4682</v>
      </c>
      <c r="G1216" s="23" t="s">
        <v>4682</v>
      </c>
      <c r="H1216" s="23">
        <v>2</v>
      </c>
      <c r="I1216" s="23" t="s">
        <v>4682</v>
      </c>
      <c r="J1216" s="23" t="s">
        <v>4730</v>
      </c>
      <c r="K1216" s="23" t="s">
        <v>4735</v>
      </c>
      <c r="L1216">
        <v>1979</v>
      </c>
      <c r="M1216" s="15" t="s">
        <v>4705</v>
      </c>
      <c r="N1216">
        <v>28</v>
      </c>
      <c r="O1216">
        <v>2</v>
      </c>
      <c r="P1216" s="21">
        <f>DATEVALUE(N1216&amp;"-"&amp;M1216&amp;"-"&amp;L1216)</f>
        <v>29217</v>
      </c>
      <c r="Q1216" s="22">
        <v>10027.15</v>
      </c>
      <c r="R1216" s="23" t="s">
        <v>4698</v>
      </c>
      <c r="S1216" s="23" t="s">
        <v>4701</v>
      </c>
      <c r="T1216" s="23" t="s">
        <v>4717</v>
      </c>
      <c r="U1216" s="23">
        <f>DATEDIF(P1216, DATE(2023, 6, 8), "Y")</f>
        <v>43</v>
      </c>
      <c r="V1216">
        <f>SUM(C1216:K1216)</f>
        <v>36.35</v>
      </c>
    </row>
    <row r="1217" spans="1:22" ht="15.75">
      <c r="A1217" s="28" t="s">
        <v>2432</v>
      </c>
      <c r="B1217" s="28" t="s">
        <v>2433</v>
      </c>
      <c r="C1217" s="23">
        <v>20.6</v>
      </c>
      <c r="D1217" s="23">
        <v>7.62</v>
      </c>
      <c r="E1217" s="23" t="s">
        <v>4682</v>
      </c>
      <c r="F1217" s="23" t="s">
        <v>4682</v>
      </c>
      <c r="G1217" s="23" t="s">
        <v>4682</v>
      </c>
      <c r="H1217" s="23">
        <v>0</v>
      </c>
      <c r="I1217" s="23" t="s">
        <v>4682</v>
      </c>
      <c r="J1217" s="23" t="s">
        <v>4728</v>
      </c>
      <c r="K1217" s="23" t="s">
        <v>4735</v>
      </c>
      <c r="L1217">
        <v>1974</v>
      </c>
      <c r="M1217" s="15" t="s">
        <v>4706</v>
      </c>
      <c r="N1217">
        <v>30</v>
      </c>
      <c r="O1217">
        <v>2</v>
      </c>
      <c r="P1217" s="21">
        <f>DATEVALUE(N1217&amp;"-"&amp;M1217&amp;"-"&amp;L1217)</f>
        <v>27271</v>
      </c>
      <c r="Q1217" s="22">
        <v>10043.25</v>
      </c>
      <c r="R1217" s="23" t="s">
        <v>4698</v>
      </c>
      <c r="S1217" s="23" t="s">
        <v>4697</v>
      </c>
      <c r="T1217" s="23" t="s">
        <v>4714</v>
      </c>
      <c r="U1217" s="23">
        <f>DATEDIF(P1217, DATE(2023, 6, 8), "Y")</f>
        <v>48</v>
      </c>
      <c r="V1217">
        <f>SUM(C1217:K1217)</f>
        <v>28.220000000000002</v>
      </c>
    </row>
    <row r="1218" spans="1:22" ht="15.75">
      <c r="A1218" s="28" t="s">
        <v>2434</v>
      </c>
      <c r="B1218" s="28" t="s">
        <v>2435</v>
      </c>
      <c r="C1218" s="23">
        <v>28.88</v>
      </c>
      <c r="D1218" s="23">
        <v>10.18</v>
      </c>
      <c r="E1218" s="23" t="s">
        <v>4682</v>
      </c>
      <c r="F1218" s="23" t="s">
        <v>4682</v>
      </c>
      <c r="G1218" s="23" t="s">
        <v>4682</v>
      </c>
      <c r="H1218" s="23">
        <v>0</v>
      </c>
      <c r="I1218" s="23" t="s">
        <v>4682</v>
      </c>
      <c r="J1218" s="23" t="s">
        <v>4730</v>
      </c>
      <c r="K1218" s="23" t="s">
        <v>4735</v>
      </c>
      <c r="L1218">
        <v>1969</v>
      </c>
      <c r="M1218" s="15" t="s">
        <v>4706</v>
      </c>
      <c r="N1218">
        <v>22</v>
      </c>
      <c r="O1218">
        <v>1</v>
      </c>
      <c r="P1218" s="21">
        <f>DATEVALUE(N1218&amp;"-"&amp;M1218&amp;"-"&amp;L1218)</f>
        <v>25437</v>
      </c>
      <c r="Q1218" s="22">
        <v>10065.41</v>
      </c>
      <c r="R1218" s="23" t="s">
        <v>4698</v>
      </c>
      <c r="S1218" s="23" t="s">
        <v>4697</v>
      </c>
      <c r="T1218" s="23" t="s">
        <v>4708</v>
      </c>
      <c r="U1218" s="23">
        <f>DATEDIF(P1218, DATE(2023, 6, 8), "Y")</f>
        <v>53</v>
      </c>
      <c r="V1218">
        <f>SUM(C1218:K1218)</f>
        <v>39.06</v>
      </c>
    </row>
    <row r="1219" spans="1:22" ht="15.75">
      <c r="A1219" s="28" t="s">
        <v>2436</v>
      </c>
      <c r="B1219" s="28" t="s">
        <v>2437</v>
      </c>
      <c r="C1219" s="23">
        <v>28.24</v>
      </c>
      <c r="D1219" s="23">
        <v>5.36</v>
      </c>
      <c r="E1219" s="23" t="s">
        <v>4682</v>
      </c>
      <c r="F1219" s="23" t="s">
        <v>4682</v>
      </c>
      <c r="G1219" s="23" t="s">
        <v>4682</v>
      </c>
      <c r="H1219" s="23">
        <v>0</v>
      </c>
      <c r="I1219" s="23" t="s">
        <v>4682</v>
      </c>
      <c r="J1219" s="23" t="s">
        <v>4730</v>
      </c>
      <c r="K1219" s="23" t="s">
        <v>4737</v>
      </c>
      <c r="L1219">
        <v>1969</v>
      </c>
      <c r="M1219" s="15" t="s">
        <v>4707</v>
      </c>
      <c r="N1219">
        <v>27</v>
      </c>
      <c r="O1219">
        <v>0</v>
      </c>
      <c r="P1219" s="21">
        <f>DATEVALUE(N1219&amp;"-"&amp;M1219&amp;"-"&amp;L1219)</f>
        <v>25503</v>
      </c>
      <c r="Q1219" s="22">
        <v>10072.06</v>
      </c>
      <c r="R1219" s="23" t="s">
        <v>4698</v>
      </c>
      <c r="S1219" s="23" t="s">
        <v>4701</v>
      </c>
      <c r="T1219" s="23" t="s">
        <v>4718</v>
      </c>
      <c r="U1219" s="23">
        <f>DATEDIF(P1219, DATE(2023, 6, 8), "Y")</f>
        <v>53</v>
      </c>
      <c r="V1219">
        <f>SUM(C1219:K1219)</f>
        <v>33.6</v>
      </c>
    </row>
    <row r="1220" spans="1:22" ht="15.75">
      <c r="A1220" s="28" t="s">
        <v>2438</v>
      </c>
      <c r="B1220" s="28" t="s">
        <v>2439</v>
      </c>
      <c r="C1220" s="23">
        <v>25.46</v>
      </c>
      <c r="D1220" s="23">
        <v>11.78</v>
      </c>
      <c r="E1220" s="23" t="s">
        <v>4683</v>
      </c>
      <c r="F1220" s="23" t="s">
        <v>4682</v>
      </c>
      <c r="G1220" s="23" t="s">
        <v>4682</v>
      </c>
      <c r="H1220" s="23">
        <v>1</v>
      </c>
      <c r="I1220" s="23" t="s">
        <v>4682</v>
      </c>
      <c r="J1220" s="23" t="s">
        <v>4730</v>
      </c>
      <c r="K1220" s="23" t="s">
        <v>4735</v>
      </c>
      <c r="L1220">
        <v>1969</v>
      </c>
      <c r="M1220" s="15" t="s">
        <v>4696</v>
      </c>
      <c r="N1220">
        <v>3</v>
      </c>
      <c r="O1220">
        <v>1</v>
      </c>
      <c r="P1220" s="21">
        <f>DATEVALUE(N1220&amp;"-"&amp;M1220&amp;"-"&amp;L1220)</f>
        <v>25387</v>
      </c>
      <c r="Q1220" s="22">
        <v>10085.85</v>
      </c>
      <c r="R1220" s="23" t="s">
        <v>4698</v>
      </c>
      <c r="S1220" s="23" t="s">
        <v>4698</v>
      </c>
      <c r="T1220" s="23" t="s">
        <v>4708</v>
      </c>
      <c r="U1220" s="23">
        <f>DATEDIF(P1220, DATE(2023, 6, 8), "Y")</f>
        <v>53</v>
      </c>
      <c r="V1220">
        <f>SUM(C1220:K1220)</f>
        <v>38.24</v>
      </c>
    </row>
    <row r="1221" spans="1:22" ht="15.75">
      <c r="A1221" s="28" t="s">
        <v>2440</v>
      </c>
      <c r="B1221" s="28" t="s">
        <v>2441</v>
      </c>
      <c r="C1221" s="23">
        <v>29.64</v>
      </c>
      <c r="D1221" s="23">
        <v>10.82</v>
      </c>
      <c r="E1221" s="23" t="s">
        <v>4683</v>
      </c>
      <c r="F1221" s="23" t="s">
        <v>4682</v>
      </c>
      <c r="G1221" s="23" t="s">
        <v>4682</v>
      </c>
      <c r="H1221" s="23">
        <v>0</v>
      </c>
      <c r="I1221" s="23" t="s">
        <v>4682</v>
      </c>
      <c r="J1221" s="23" t="s">
        <v>4730</v>
      </c>
      <c r="K1221" s="23" t="s">
        <v>4735</v>
      </c>
      <c r="L1221">
        <v>1976</v>
      </c>
      <c r="M1221" s="15" t="s">
        <v>4705</v>
      </c>
      <c r="N1221">
        <v>19</v>
      </c>
      <c r="O1221">
        <v>5</v>
      </c>
      <c r="P1221" s="21">
        <f>DATEVALUE(N1221&amp;"-"&amp;M1221&amp;"-"&amp;L1221)</f>
        <v>28113</v>
      </c>
      <c r="Q1221" s="22">
        <v>10096.969999999999</v>
      </c>
      <c r="R1221" s="23" t="s">
        <v>4698</v>
      </c>
      <c r="S1221" s="23" t="s">
        <v>4697</v>
      </c>
      <c r="T1221" s="23" t="s">
        <v>4708</v>
      </c>
      <c r="U1221" s="23">
        <f>DATEDIF(P1221, DATE(2023, 6, 8), "Y")</f>
        <v>46</v>
      </c>
      <c r="V1221">
        <f>SUM(C1221:K1221)</f>
        <v>40.46</v>
      </c>
    </row>
    <row r="1222" spans="1:22" ht="15.75">
      <c r="A1222" s="28" t="s">
        <v>2442</v>
      </c>
      <c r="B1222" s="28" t="s">
        <v>2443</v>
      </c>
      <c r="C1222" s="23">
        <v>31.27</v>
      </c>
      <c r="D1222" s="23">
        <v>7.73</v>
      </c>
      <c r="E1222" s="23" t="s">
        <v>4683</v>
      </c>
      <c r="F1222" s="23" t="s">
        <v>4682</v>
      </c>
      <c r="G1222" s="23" t="s">
        <v>4682</v>
      </c>
      <c r="H1222" s="23">
        <v>1</v>
      </c>
      <c r="I1222" s="23" t="s">
        <v>4682</v>
      </c>
      <c r="J1222" s="23" t="s">
        <v>4729</v>
      </c>
      <c r="K1222" s="23" t="s">
        <v>4735</v>
      </c>
      <c r="L1222">
        <v>1972</v>
      </c>
      <c r="M1222" s="15" t="s">
        <v>4707</v>
      </c>
      <c r="N1222">
        <v>19</v>
      </c>
      <c r="O1222">
        <v>1</v>
      </c>
      <c r="P1222" s="21">
        <f>DATEVALUE(N1222&amp;"-"&amp;M1222&amp;"-"&amp;L1222)</f>
        <v>26591</v>
      </c>
      <c r="Q1222" s="22">
        <v>10106.129999999999</v>
      </c>
      <c r="R1222" s="23" t="s">
        <v>4698</v>
      </c>
      <c r="S1222" s="23" t="s">
        <v>4701</v>
      </c>
      <c r="T1222" s="23" t="s">
        <v>4714</v>
      </c>
      <c r="U1222" s="23">
        <f>DATEDIF(P1222, DATE(2023, 6, 8), "Y")</f>
        <v>50</v>
      </c>
      <c r="V1222">
        <f>SUM(C1222:K1222)</f>
        <v>40</v>
      </c>
    </row>
    <row r="1223" spans="1:22" ht="15.75">
      <c r="A1223" s="28" t="s">
        <v>2444</v>
      </c>
      <c r="B1223" s="28" t="s">
        <v>2445</v>
      </c>
      <c r="C1223" s="23">
        <v>19.95</v>
      </c>
      <c r="D1223" s="23">
        <v>6.24</v>
      </c>
      <c r="E1223" s="23" t="s">
        <v>4683</v>
      </c>
      <c r="F1223" s="23" t="s">
        <v>4682</v>
      </c>
      <c r="G1223" s="23" t="s">
        <v>4682</v>
      </c>
      <c r="H1223" s="23">
        <v>0</v>
      </c>
      <c r="I1223" s="23" t="s">
        <v>4682</v>
      </c>
      <c r="J1223" s="23" t="s">
        <v>4728</v>
      </c>
      <c r="K1223" s="23" t="s">
        <v>4736</v>
      </c>
      <c r="L1223">
        <v>1972</v>
      </c>
      <c r="M1223" s="15" t="s">
        <v>4706</v>
      </c>
      <c r="N1223">
        <v>8</v>
      </c>
      <c r="O1223">
        <v>2</v>
      </c>
      <c r="P1223" s="21">
        <f>DATEVALUE(N1223&amp;"-"&amp;M1223&amp;"-"&amp;L1223)</f>
        <v>26519</v>
      </c>
      <c r="Q1223" s="22">
        <v>10107.219999999999</v>
      </c>
      <c r="R1223" s="23" t="s">
        <v>4698</v>
      </c>
      <c r="S1223" s="23" t="s">
        <v>4701</v>
      </c>
      <c r="T1223" s="23" t="s">
        <v>4699</v>
      </c>
      <c r="U1223" s="23">
        <f>DATEDIF(P1223, DATE(2023, 6, 8), "Y")</f>
        <v>50</v>
      </c>
      <c r="V1223">
        <f>SUM(C1223:K1223)</f>
        <v>26.189999999999998</v>
      </c>
    </row>
    <row r="1224" spans="1:22" ht="15.75">
      <c r="A1224" s="28" t="s">
        <v>2446</v>
      </c>
      <c r="B1224" s="28" t="s">
        <v>2447</v>
      </c>
      <c r="C1224" s="23">
        <v>21.3</v>
      </c>
      <c r="D1224" s="23">
        <v>10.42</v>
      </c>
      <c r="E1224" s="23" t="s">
        <v>4682</v>
      </c>
      <c r="F1224" s="23" t="s">
        <v>4682</v>
      </c>
      <c r="G1224" s="23" t="s">
        <v>4682</v>
      </c>
      <c r="H1224" s="23">
        <v>2</v>
      </c>
      <c r="I1224" s="23" t="s">
        <v>4682</v>
      </c>
      <c r="J1224" s="23" t="s">
        <v>4728</v>
      </c>
      <c r="K1224" s="23" t="s">
        <v>4735</v>
      </c>
      <c r="L1224">
        <v>1975</v>
      </c>
      <c r="M1224" s="15" t="s">
        <v>4696</v>
      </c>
      <c r="N1224">
        <v>2</v>
      </c>
      <c r="O1224">
        <v>3</v>
      </c>
      <c r="P1224" s="21">
        <f>DATEVALUE(N1224&amp;"-"&amp;M1224&amp;"-"&amp;L1224)</f>
        <v>27577</v>
      </c>
      <c r="Q1224" s="22">
        <v>10115.01</v>
      </c>
      <c r="R1224" s="23" t="s">
        <v>4698</v>
      </c>
      <c r="S1224" s="23" t="s">
        <v>4698</v>
      </c>
      <c r="T1224" s="23" t="s">
        <v>4704</v>
      </c>
      <c r="U1224" s="23">
        <f>DATEDIF(P1224, DATE(2023, 6, 8), "Y")</f>
        <v>47</v>
      </c>
      <c r="V1224">
        <f>SUM(C1224:K1224)</f>
        <v>33.72</v>
      </c>
    </row>
    <row r="1225" spans="1:22" ht="15.75">
      <c r="A1225" s="28" t="s">
        <v>2448</v>
      </c>
      <c r="B1225" s="28" t="s">
        <v>2449</v>
      </c>
      <c r="C1225" s="23">
        <v>31.635000000000002</v>
      </c>
      <c r="D1225" s="23">
        <v>11.11</v>
      </c>
      <c r="E1225" s="23" t="s">
        <v>4682</v>
      </c>
      <c r="F1225" s="23" t="s">
        <v>4682</v>
      </c>
      <c r="G1225" s="23" t="s">
        <v>4682</v>
      </c>
      <c r="H1225" s="23">
        <v>0</v>
      </c>
      <c r="I1225" s="23" t="s">
        <v>4682</v>
      </c>
      <c r="J1225" s="23" t="s">
        <v>4729</v>
      </c>
      <c r="K1225" s="23" t="s">
        <v>4735</v>
      </c>
      <c r="L1225">
        <v>1972</v>
      </c>
      <c r="M1225" s="15" t="s">
        <v>4700</v>
      </c>
      <c r="N1225">
        <v>16</v>
      </c>
      <c r="O1225">
        <v>2</v>
      </c>
      <c r="P1225" s="21">
        <f>DATEVALUE(N1225&amp;"-"&amp;M1225&amp;"-"&amp;L1225)</f>
        <v>26619</v>
      </c>
      <c r="Q1225" s="22">
        <v>10118.42</v>
      </c>
      <c r="R1225" s="23" t="s">
        <v>4698</v>
      </c>
      <c r="S1225" s="23" t="s">
        <v>4698</v>
      </c>
      <c r="T1225" s="23" t="s">
        <v>4708</v>
      </c>
      <c r="U1225" s="23">
        <f>DATEDIF(P1225, DATE(2023, 6, 8), "Y")</f>
        <v>50</v>
      </c>
      <c r="V1225">
        <f>SUM(C1225:K1225)</f>
        <v>42.745000000000005</v>
      </c>
    </row>
    <row r="1226" spans="1:22" ht="15.75">
      <c r="A1226" s="28" t="s">
        <v>2450</v>
      </c>
      <c r="B1226" s="28" t="s">
        <v>2451</v>
      </c>
      <c r="C1226" s="23">
        <v>23.9</v>
      </c>
      <c r="D1226" s="23">
        <v>7.67</v>
      </c>
      <c r="E1226" s="23" t="s">
        <v>4683</v>
      </c>
      <c r="F1226" s="23" t="s">
        <v>4682</v>
      </c>
      <c r="G1226" s="23" t="s">
        <v>4682</v>
      </c>
      <c r="H1226" s="23">
        <v>2</v>
      </c>
      <c r="I1226" s="23" t="s">
        <v>4682</v>
      </c>
      <c r="J1226" s="23" t="s">
        <v>4728</v>
      </c>
      <c r="K1226" s="23" t="s">
        <v>4735</v>
      </c>
      <c r="L1226">
        <v>1997</v>
      </c>
      <c r="M1226" s="15" t="s">
        <v>4703</v>
      </c>
      <c r="N1226">
        <v>5</v>
      </c>
      <c r="O1226">
        <v>0</v>
      </c>
      <c r="P1226" s="21">
        <f>DATEVALUE(N1226&amp;"-"&amp;M1226&amp;"-"&amp;L1226)</f>
        <v>35678</v>
      </c>
      <c r="Q1226" s="22">
        <v>10139.84</v>
      </c>
      <c r="R1226" s="23" t="s">
        <v>4698</v>
      </c>
      <c r="S1226" s="23" t="s">
        <v>4697</v>
      </c>
      <c r="T1226" s="23" t="s">
        <v>4704</v>
      </c>
      <c r="U1226" s="23">
        <f>DATEDIF(P1226, DATE(2023, 6, 8), "Y")</f>
        <v>25</v>
      </c>
      <c r="V1226">
        <f>SUM(C1226:K1226)</f>
        <v>33.57</v>
      </c>
    </row>
    <row r="1227" spans="1:22" ht="15.75">
      <c r="A1227" s="28" t="s">
        <v>2452</v>
      </c>
      <c r="B1227" s="28" t="s">
        <v>2453</v>
      </c>
      <c r="C1227" s="23">
        <v>34.15</v>
      </c>
      <c r="D1227" s="23">
        <v>6.15</v>
      </c>
      <c r="E1227" s="23" t="s">
        <v>4682</v>
      </c>
      <c r="F1227" s="23" t="s">
        <v>4682</v>
      </c>
      <c r="G1227" s="23" t="s">
        <v>4682</v>
      </c>
      <c r="H1227" s="23">
        <v>0</v>
      </c>
      <c r="I1227" s="23" t="s">
        <v>4682</v>
      </c>
      <c r="J1227" s="23" t="s">
        <v>4729</v>
      </c>
      <c r="K1227" s="23" t="s">
        <v>4736</v>
      </c>
      <c r="L1227">
        <v>1974</v>
      </c>
      <c r="M1227" s="15" t="s">
        <v>4705</v>
      </c>
      <c r="N1227">
        <v>30</v>
      </c>
      <c r="O1227">
        <v>3</v>
      </c>
      <c r="P1227" s="21">
        <f>DATEVALUE(N1227&amp;"-"&amp;M1227&amp;"-"&amp;L1227)</f>
        <v>27393</v>
      </c>
      <c r="Q1227" s="22">
        <v>10141.14</v>
      </c>
      <c r="R1227" s="23" t="s">
        <v>4698</v>
      </c>
      <c r="S1227" s="23" t="s">
        <v>4701</v>
      </c>
      <c r="T1227" s="23" t="s">
        <v>4711</v>
      </c>
      <c r="U1227" s="23">
        <f>DATEDIF(P1227, DATE(2023, 6, 8), "Y")</f>
        <v>48</v>
      </c>
      <c r="V1227">
        <f>SUM(C1227:K1227)</f>
        <v>40.299999999999997</v>
      </c>
    </row>
    <row r="1228" spans="1:22" ht="15.75">
      <c r="A1228" s="28" t="s">
        <v>2454</v>
      </c>
      <c r="B1228" s="28" t="s">
        <v>2455</v>
      </c>
      <c r="C1228" s="23">
        <v>28.71</v>
      </c>
      <c r="D1228" s="23">
        <v>5.71</v>
      </c>
      <c r="E1228" s="23" t="s">
        <v>4682</v>
      </c>
      <c r="F1228" s="23" t="s">
        <v>4682</v>
      </c>
      <c r="G1228" s="23" t="s">
        <v>4682</v>
      </c>
      <c r="H1228" s="23">
        <v>0</v>
      </c>
      <c r="I1228" s="23" t="s">
        <v>4682</v>
      </c>
      <c r="J1228" s="23" t="s">
        <v>4730</v>
      </c>
      <c r="K1228" s="23" t="s">
        <v>4736</v>
      </c>
      <c r="L1228">
        <v>1981</v>
      </c>
      <c r="M1228" s="15" t="s">
        <v>4702</v>
      </c>
      <c r="N1228">
        <v>12</v>
      </c>
      <c r="O1228">
        <v>1</v>
      </c>
      <c r="P1228" s="21">
        <f>DATEVALUE(N1228&amp;"-"&amp;M1228&amp;"-"&amp;L1228)</f>
        <v>29749</v>
      </c>
      <c r="Q1228" s="22">
        <v>10146.129999999999</v>
      </c>
      <c r="R1228" s="23" t="s">
        <v>4698</v>
      </c>
      <c r="S1228" s="23" t="s">
        <v>4701</v>
      </c>
      <c r="T1228" s="23" t="s">
        <v>4713</v>
      </c>
      <c r="U1228" s="23">
        <f>DATEDIF(P1228, DATE(2023, 6, 8), "Y")</f>
        <v>41</v>
      </c>
      <c r="V1228">
        <f>SUM(C1228:K1228)</f>
        <v>34.42</v>
      </c>
    </row>
    <row r="1229" spans="1:22" ht="15.75">
      <c r="A1229" s="28" t="s">
        <v>2456</v>
      </c>
      <c r="B1229" s="28" t="s">
        <v>2457</v>
      </c>
      <c r="C1229" s="23">
        <v>36.700000000000003</v>
      </c>
      <c r="D1229" s="23">
        <v>8.6999999999999993</v>
      </c>
      <c r="E1229" s="23" t="s">
        <v>4683</v>
      </c>
      <c r="F1229" s="23" t="s">
        <v>4682</v>
      </c>
      <c r="G1229" s="23" t="s">
        <v>4682</v>
      </c>
      <c r="H1229" s="23">
        <v>2</v>
      </c>
      <c r="I1229" s="23" t="s">
        <v>4682</v>
      </c>
      <c r="J1229" s="23" t="s">
        <v>4729</v>
      </c>
      <c r="K1229" s="23" t="s">
        <v>4735</v>
      </c>
      <c r="L1229">
        <v>1973</v>
      </c>
      <c r="M1229" s="15" t="s">
        <v>4707</v>
      </c>
      <c r="N1229">
        <v>13</v>
      </c>
      <c r="O1229">
        <v>2</v>
      </c>
      <c r="P1229" s="21">
        <f>DATEVALUE(N1229&amp;"-"&amp;M1229&amp;"-"&amp;L1229)</f>
        <v>26950</v>
      </c>
      <c r="Q1229" s="22">
        <v>10156.780000000001</v>
      </c>
      <c r="R1229" s="23" t="s">
        <v>4698</v>
      </c>
      <c r="S1229" s="23" t="s">
        <v>4697</v>
      </c>
      <c r="T1229" s="23" t="s">
        <v>4704</v>
      </c>
      <c r="U1229" s="23">
        <f>DATEDIF(P1229, DATE(2023, 6, 8), "Y")</f>
        <v>49</v>
      </c>
      <c r="V1229">
        <f>SUM(C1229:K1229)</f>
        <v>47.400000000000006</v>
      </c>
    </row>
    <row r="1230" spans="1:22" ht="15.75">
      <c r="A1230" s="28" t="s">
        <v>2458</v>
      </c>
      <c r="B1230" s="28" t="s">
        <v>2459</v>
      </c>
      <c r="C1230" s="23">
        <v>34.1</v>
      </c>
      <c r="D1230" s="23">
        <v>9.0399999999999991</v>
      </c>
      <c r="E1230" s="23" t="s">
        <v>4683</v>
      </c>
      <c r="F1230" s="23" t="s">
        <v>4682</v>
      </c>
      <c r="G1230" s="23" t="s">
        <v>4682</v>
      </c>
      <c r="H1230" s="23">
        <v>2</v>
      </c>
      <c r="I1230" s="23" t="s">
        <v>4682</v>
      </c>
      <c r="J1230" s="23" t="s">
        <v>4729</v>
      </c>
      <c r="K1230" s="23" t="s">
        <v>4735</v>
      </c>
      <c r="L1230">
        <v>1972</v>
      </c>
      <c r="M1230" s="15" t="s">
        <v>4696</v>
      </c>
      <c r="N1230">
        <v>10</v>
      </c>
      <c r="O1230">
        <v>0</v>
      </c>
      <c r="P1230" s="21">
        <f>DATEVALUE(N1230&amp;"-"&amp;M1230&amp;"-"&amp;L1230)</f>
        <v>26490</v>
      </c>
      <c r="Q1230" s="22">
        <v>10160.870000000001</v>
      </c>
      <c r="R1230" s="23" t="s">
        <v>4698</v>
      </c>
      <c r="S1230" s="23" t="s">
        <v>4698</v>
      </c>
      <c r="T1230" s="23" t="s">
        <v>4713</v>
      </c>
      <c r="U1230" s="23">
        <f>DATEDIF(P1230, DATE(2023, 6, 8), "Y")</f>
        <v>50</v>
      </c>
      <c r="V1230">
        <f>SUM(C1230:K1230)</f>
        <v>45.14</v>
      </c>
    </row>
    <row r="1231" spans="1:22" ht="15.75">
      <c r="A1231" s="28" t="s">
        <v>2460</v>
      </c>
      <c r="B1231" s="28" t="s">
        <v>2461</v>
      </c>
      <c r="C1231" s="23">
        <v>25.7</v>
      </c>
      <c r="D1231" s="23">
        <v>5.61</v>
      </c>
      <c r="E1231" s="23" t="s">
        <v>4682</v>
      </c>
      <c r="F1231" s="23" t="s">
        <v>4682</v>
      </c>
      <c r="G1231" s="23" t="s">
        <v>4682</v>
      </c>
      <c r="H1231" s="23">
        <v>0</v>
      </c>
      <c r="I1231" s="23" t="s">
        <v>4682</v>
      </c>
      <c r="J1231" s="23" t="s">
        <v>4730</v>
      </c>
      <c r="K1231" s="23" t="s">
        <v>4737</v>
      </c>
      <c r="L1231">
        <v>1985</v>
      </c>
      <c r="M1231" s="15" t="s">
        <v>4707</v>
      </c>
      <c r="N1231">
        <v>16</v>
      </c>
      <c r="O1231">
        <v>3</v>
      </c>
      <c r="P1231" s="21">
        <f>DATEVALUE(N1231&amp;"-"&amp;M1231&amp;"-"&amp;L1231)</f>
        <v>31336</v>
      </c>
      <c r="Q1231" s="22">
        <v>10191.82</v>
      </c>
      <c r="R1231" s="23" t="s">
        <v>4698</v>
      </c>
      <c r="S1231" s="23" t="s">
        <v>4697</v>
      </c>
      <c r="T1231" s="23" t="s">
        <v>4720</v>
      </c>
      <c r="U1231" s="23">
        <f>DATEDIF(P1231, DATE(2023, 6, 8), "Y")</f>
        <v>37</v>
      </c>
      <c r="V1231">
        <f>SUM(C1231:K1231)</f>
        <v>31.31</v>
      </c>
    </row>
    <row r="1232" spans="1:22" ht="15.75">
      <c r="A1232" s="28" t="s">
        <v>2462</v>
      </c>
      <c r="B1232" s="28" t="s">
        <v>2463</v>
      </c>
      <c r="C1232" s="23">
        <v>21.68</v>
      </c>
      <c r="D1232" s="23">
        <v>8.1199999999999992</v>
      </c>
      <c r="E1232" s="23" t="s">
        <v>4682</v>
      </c>
      <c r="F1232" s="23" t="s">
        <v>4682</v>
      </c>
      <c r="G1232" s="23" t="s">
        <v>4682</v>
      </c>
      <c r="H1232" s="23">
        <v>0</v>
      </c>
      <c r="I1232" s="23" t="s">
        <v>4682</v>
      </c>
      <c r="J1232" s="23" t="s">
        <v>4728</v>
      </c>
      <c r="K1232" s="23" t="s">
        <v>4735</v>
      </c>
      <c r="L1232">
        <v>1970</v>
      </c>
      <c r="M1232" s="15" t="s">
        <v>4705</v>
      </c>
      <c r="N1232">
        <v>24</v>
      </c>
      <c r="O1232">
        <v>0</v>
      </c>
      <c r="P1232" s="21">
        <f>DATEVALUE(N1232&amp;"-"&amp;M1232&amp;"-"&amp;L1232)</f>
        <v>25926</v>
      </c>
      <c r="Q1232" s="22">
        <v>10197.77</v>
      </c>
      <c r="R1232" s="23" t="s">
        <v>4698</v>
      </c>
      <c r="S1232" s="23" t="s">
        <v>4701</v>
      </c>
      <c r="T1232" s="23" t="s">
        <v>4714</v>
      </c>
      <c r="U1232" s="23">
        <f>DATEDIF(P1232, DATE(2023, 6, 8), "Y")</f>
        <v>52</v>
      </c>
      <c r="V1232">
        <f>SUM(C1232:K1232)</f>
        <v>29.799999999999997</v>
      </c>
    </row>
    <row r="1233" spans="1:22" ht="15.75">
      <c r="A1233" s="28" t="s">
        <v>2464</v>
      </c>
      <c r="B1233" s="28" t="s">
        <v>2465</v>
      </c>
      <c r="C1233" s="23">
        <v>25.175000000000001</v>
      </c>
      <c r="D1233" s="23">
        <v>4.74</v>
      </c>
      <c r="E1233" s="23" t="s">
        <v>4682</v>
      </c>
      <c r="F1233" s="23" t="s">
        <v>4682</v>
      </c>
      <c r="G1233" s="23" t="s">
        <v>4682</v>
      </c>
      <c r="H1233" s="23">
        <v>0</v>
      </c>
      <c r="I1233" s="23" t="s">
        <v>4682</v>
      </c>
      <c r="J1233" s="23" t="s">
        <v>4730</v>
      </c>
      <c r="K1233" s="23" t="s">
        <v>4737</v>
      </c>
      <c r="L1233">
        <v>1967</v>
      </c>
      <c r="M1233" s="15" t="s">
        <v>4703</v>
      </c>
      <c r="N1233">
        <v>26</v>
      </c>
      <c r="O1233">
        <v>0</v>
      </c>
      <c r="P1233" s="21">
        <f>DATEVALUE(N1233&amp;"-"&amp;M1233&amp;"-"&amp;L1233)</f>
        <v>24741</v>
      </c>
      <c r="Q1233" s="22">
        <v>10214.64</v>
      </c>
      <c r="R1233" s="23" t="s">
        <v>4698</v>
      </c>
      <c r="S1233" s="23" t="s">
        <v>4697</v>
      </c>
      <c r="T1233" s="23" t="s">
        <v>4708</v>
      </c>
      <c r="U1233" s="23">
        <f>DATEDIF(P1233, DATE(2023, 6, 8), "Y")</f>
        <v>55</v>
      </c>
      <c r="V1233">
        <f>SUM(C1233:K1233)</f>
        <v>29.914999999999999</v>
      </c>
    </row>
    <row r="1234" spans="1:22" ht="15.75">
      <c r="A1234" s="28" t="s">
        <v>2466</v>
      </c>
      <c r="B1234" s="28" t="s">
        <v>2467</v>
      </c>
      <c r="C1234" s="23">
        <v>44.77</v>
      </c>
      <c r="D1234" s="23">
        <v>4.0599999999999996</v>
      </c>
      <c r="E1234" s="23" t="s">
        <v>4682</v>
      </c>
      <c r="F1234" s="23" t="s">
        <v>4682</v>
      </c>
      <c r="G1234" s="23" t="s">
        <v>4682</v>
      </c>
      <c r="H1234" s="23">
        <v>2</v>
      </c>
      <c r="I1234" s="23" t="s">
        <v>4682</v>
      </c>
      <c r="J1234" s="23" t="s">
        <v>4729</v>
      </c>
      <c r="K1234" s="23" t="s">
        <v>4737</v>
      </c>
      <c r="L1234">
        <v>1967</v>
      </c>
      <c r="M1234" s="15" t="s">
        <v>4702</v>
      </c>
      <c r="N1234">
        <v>28</v>
      </c>
      <c r="O1234">
        <v>0</v>
      </c>
      <c r="P1234" s="21">
        <f>DATEVALUE(N1234&amp;"-"&amp;M1234&amp;"-"&amp;L1234)</f>
        <v>24651</v>
      </c>
      <c r="Q1234" s="22">
        <v>10226.280000000001</v>
      </c>
      <c r="R1234" s="23" t="s">
        <v>4698</v>
      </c>
      <c r="S1234" s="23" t="s">
        <v>4698</v>
      </c>
      <c r="T1234" s="23" t="s">
        <v>4699</v>
      </c>
      <c r="U1234" s="23">
        <f>DATEDIF(P1234, DATE(2023, 6, 8), "Y")</f>
        <v>55</v>
      </c>
      <c r="V1234">
        <f>SUM(C1234:K1234)</f>
        <v>50.830000000000005</v>
      </c>
    </row>
    <row r="1235" spans="1:22" ht="15.75">
      <c r="A1235" s="28" t="s">
        <v>2468</v>
      </c>
      <c r="B1235" s="28" t="s">
        <v>2469</v>
      </c>
      <c r="C1235" s="23">
        <v>37.07</v>
      </c>
      <c r="D1235" s="23">
        <v>5.69</v>
      </c>
      <c r="E1235" s="23" t="s">
        <v>4682</v>
      </c>
      <c r="F1235" s="23" t="s">
        <v>4682</v>
      </c>
      <c r="G1235" s="23" t="s">
        <v>4682</v>
      </c>
      <c r="H1235" s="23">
        <v>2</v>
      </c>
      <c r="I1235" s="23" t="s">
        <v>4682</v>
      </c>
      <c r="J1235" s="23" t="s">
        <v>4729</v>
      </c>
      <c r="K1235" s="23" t="s">
        <v>4737</v>
      </c>
      <c r="L1235">
        <v>1968</v>
      </c>
      <c r="M1235" s="15" t="s">
        <v>4703</v>
      </c>
      <c r="N1235">
        <v>23</v>
      </c>
      <c r="O1235">
        <v>0</v>
      </c>
      <c r="P1235" s="21">
        <f>DATEVALUE(N1235&amp;"-"&amp;M1235&amp;"-"&amp;L1235)</f>
        <v>25104</v>
      </c>
      <c r="Q1235" s="22">
        <v>10231.5</v>
      </c>
      <c r="R1235" s="23" t="s">
        <v>4698</v>
      </c>
      <c r="S1235" s="23" t="s">
        <v>4701</v>
      </c>
      <c r="T1235" s="23" t="s">
        <v>4704</v>
      </c>
      <c r="U1235" s="23">
        <f>DATEDIF(P1235, DATE(2023, 6, 8), "Y")</f>
        <v>54</v>
      </c>
      <c r="V1235">
        <f>SUM(C1235:K1235)</f>
        <v>44.76</v>
      </c>
    </row>
    <row r="1236" spans="1:22" ht="15.75">
      <c r="A1236" s="28" t="s">
        <v>2470</v>
      </c>
      <c r="B1236" s="28" t="s">
        <v>2471</v>
      </c>
      <c r="C1236" s="23">
        <v>39.799999999999997</v>
      </c>
      <c r="D1236" s="23">
        <v>5.66</v>
      </c>
      <c r="E1236" s="23" t="s">
        <v>4682</v>
      </c>
      <c r="F1236" s="23" t="s">
        <v>4682</v>
      </c>
      <c r="G1236" s="23" t="s">
        <v>4684</v>
      </c>
      <c r="H1236" s="23">
        <v>1</v>
      </c>
      <c r="I1236" s="23" t="s">
        <v>4682</v>
      </c>
      <c r="J1236" s="23" t="s">
        <v>4729</v>
      </c>
      <c r="K1236" s="23" t="s">
        <v>4737</v>
      </c>
      <c r="L1236">
        <v>1975</v>
      </c>
      <c r="M1236" s="15" t="s">
        <v>4706</v>
      </c>
      <c r="N1236">
        <v>15</v>
      </c>
      <c r="O1236">
        <v>1</v>
      </c>
      <c r="P1236" s="21">
        <f>DATEVALUE(N1236&amp;"-"&amp;M1236&amp;"-"&amp;L1236)</f>
        <v>27621</v>
      </c>
      <c r="Q1236" s="22">
        <v>10259.129999999999</v>
      </c>
      <c r="R1236" s="23" t="s">
        <v>4698</v>
      </c>
      <c r="S1236" s="23" t="s">
        <v>4697</v>
      </c>
      <c r="T1236" s="23" t="s">
        <v>4708</v>
      </c>
      <c r="U1236" s="23">
        <f>DATEDIF(P1236, DATE(2023, 6, 8), "Y")</f>
        <v>47</v>
      </c>
      <c r="V1236">
        <f>SUM(C1236:K1236)</f>
        <v>46.459999999999994</v>
      </c>
    </row>
    <row r="1237" spans="1:22" ht="15.75">
      <c r="A1237" s="28" t="s">
        <v>2472</v>
      </c>
      <c r="B1237" s="28" t="s">
        <v>2473</v>
      </c>
      <c r="C1237" s="23">
        <v>26.36</v>
      </c>
      <c r="D1237" s="23">
        <v>4.32</v>
      </c>
      <c r="E1237" s="23" t="s">
        <v>4682</v>
      </c>
      <c r="F1237" s="23" t="s">
        <v>4682</v>
      </c>
      <c r="G1237" s="23" t="s">
        <v>4684</v>
      </c>
      <c r="H1237" s="23">
        <v>1</v>
      </c>
      <c r="I1237" s="23" t="s">
        <v>4682</v>
      </c>
      <c r="J1237" s="23" t="s">
        <v>4730</v>
      </c>
      <c r="K1237" s="23" t="s">
        <v>4737</v>
      </c>
      <c r="L1237">
        <v>1973</v>
      </c>
      <c r="M1237" s="15" t="s">
        <v>4703</v>
      </c>
      <c r="N1237">
        <v>5</v>
      </c>
      <c r="O1237">
        <v>3</v>
      </c>
      <c r="P1237" s="21">
        <f>DATEVALUE(N1237&amp;"-"&amp;M1237&amp;"-"&amp;L1237)</f>
        <v>26912</v>
      </c>
      <c r="Q1237" s="22">
        <v>10264.44</v>
      </c>
      <c r="R1237" s="23" t="s">
        <v>4698</v>
      </c>
      <c r="S1237" s="23" t="s">
        <v>4697</v>
      </c>
      <c r="T1237" s="23" t="s">
        <v>4704</v>
      </c>
      <c r="U1237" s="23">
        <f>DATEDIF(P1237, DATE(2023, 6, 8), "Y")</f>
        <v>49</v>
      </c>
      <c r="V1237">
        <f>SUM(C1237:K1237)</f>
        <v>31.68</v>
      </c>
    </row>
    <row r="1238" spans="1:22" ht="15.75">
      <c r="A1238" s="28" t="s">
        <v>2474</v>
      </c>
      <c r="B1238" s="28" t="s">
        <v>2475</v>
      </c>
      <c r="C1238" s="23">
        <v>29.925000000000001</v>
      </c>
      <c r="D1238" s="23">
        <v>8.2899999999999991</v>
      </c>
      <c r="E1238" s="23" t="s">
        <v>4682</v>
      </c>
      <c r="F1238" s="23" t="s">
        <v>4682</v>
      </c>
      <c r="G1238" s="23" t="s">
        <v>4682</v>
      </c>
      <c r="H1238" s="23">
        <v>2</v>
      </c>
      <c r="I1238" s="23" t="s">
        <v>4682</v>
      </c>
      <c r="J1238" s="23" t="s">
        <v>4729</v>
      </c>
      <c r="K1238" s="23" t="s">
        <v>4735</v>
      </c>
      <c r="L1238">
        <v>1973</v>
      </c>
      <c r="M1238" s="15" t="s">
        <v>4700</v>
      </c>
      <c r="N1238">
        <v>27</v>
      </c>
      <c r="O1238">
        <v>3</v>
      </c>
      <c r="P1238" s="21">
        <f>DATEVALUE(N1238&amp;"-"&amp;M1238&amp;"-"&amp;L1238)</f>
        <v>26995</v>
      </c>
      <c r="Q1238" s="22">
        <v>10269.459999999999</v>
      </c>
      <c r="R1238" s="23" t="s">
        <v>4698</v>
      </c>
      <c r="S1238" s="23" t="s">
        <v>4698</v>
      </c>
      <c r="T1238" s="23" t="s">
        <v>4704</v>
      </c>
      <c r="U1238" s="23">
        <f>DATEDIF(P1238, DATE(2023, 6, 8), "Y")</f>
        <v>49</v>
      </c>
      <c r="V1238">
        <f>SUM(C1238:K1238)</f>
        <v>40.215000000000003</v>
      </c>
    </row>
    <row r="1239" spans="1:22" ht="15.75">
      <c r="A1239" s="28" t="s">
        <v>2476</v>
      </c>
      <c r="B1239" s="28" t="s">
        <v>2477</v>
      </c>
      <c r="C1239" s="23">
        <v>37.29</v>
      </c>
      <c r="D1239" s="23">
        <v>10.46</v>
      </c>
      <c r="E1239" s="23" t="s">
        <v>4682</v>
      </c>
      <c r="F1239" s="23" t="s">
        <v>4682</v>
      </c>
      <c r="G1239" s="23" t="s">
        <v>4682</v>
      </c>
      <c r="H1239" s="23">
        <v>0</v>
      </c>
      <c r="I1239" s="23" t="s">
        <v>4682</v>
      </c>
      <c r="J1239" s="23" t="s">
        <v>4729</v>
      </c>
      <c r="K1239" s="23" t="s">
        <v>4735</v>
      </c>
      <c r="L1239">
        <v>1970</v>
      </c>
      <c r="M1239" s="15" t="s">
        <v>4702</v>
      </c>
      <c r="N1239">
        <v>21</v>
      </c>
      <c r="O1239">
        <v>0</v>
      </c>
      <c r="P1239" s="21">
        <f>DATEVALUE(N1239&amp;"-"&amp;M1239&amp;"-"&amp;L1239)</f>
        <v>25740</v>
      </c>
      <c r="Q1239" s="22">
        <v>10274.33</v>
      </c>
      <c r="R1239" s="23" t="s">
        <v>4698</v>
      </c>
      <c r="S1239" s="23" t="s">
        <v>4701</v>
      </c>
      <c r="T1239" s="23" t="s">
        <v>4714</v>
      </c>
      <c r="U1239" s="23">
        <f>DATEDIF(P1239, DATE(2023, 6, 8), "Y")</f>
        <v>52</v>
      </c>
      <c r="V1239">
        <f>SUM(C1239:K1239)</f>
        <v>47.75</v>
      </c>
    </row>
    <row r="1240" spans="1:22" ht="15.75">
      <c r="A1240" s="28" t="s">
        <v>2478</v>
      </c>
      <c r="B1240" s="28" t="s">
        <v>2479</v>
      </c>
      <c r="C1240" s="23">
        <v>30.2</v>
      </c>
      <c r="D1240" s="23">
        <v>11.96</v>
      </c>
      <c r="E1240" s="23" t="s">
        <v>4682</v>
      </c>
      <c r="F1240" s="23" t="s">
        <v>4682</v>
      </c>
      <c r="G1240" s="23" t="s">
        <v>4682</v>
      </c>
      <c r="H1240" s="23">
        <v>0</v>
      </c>
      <c r="I1240" s="23" t="s">
        <v>4682</v>
      </c>
      <c r="J1240" s="23" t="s">
        <v>4729</v>
      </c>
      <c r="K1240" s="23" t="s">
        <v>4735</v>
      </c>
      <c r="L1240">
        <v>1988</v>
      </c>
      <c r="M1240" s="15" t="s">
        <v>4703</v>
      </c>
      <c r="N1240">
        <v>14</v>
      </c>
      <c r="O1240">
        <v>3</v>
      </c>
      <c r="P1240" s="21">
        <f>DATEVALUE(N1240&amp;"-"&amp;M1240&amp;"-"&amp;L1240)</f>
        <v>32400</v>
      </c>
      <c r="Q1240" s="22">
        <v>10276.99</v>
      </c>
      <c r="R1240" s="23" t="s">
        <v>4698</v>
      </c>
      <c r="S1240" s="23" t="s">
        <v>4701</v>
      </c>
      <c r="T1240" s="23" t="s">
        <v>4717</v>
      </c>
      <c r="U1240" s="23">
        <f>DATEDIF(P1240, DATE(2023, 6, 8), "Y")</f>
        <v>34</v>
      </c>
      <c r="V1240">
        <f>SUM(C1240:K1240)</f>
        <v>42.16</v>
      </c>
    </row>
    <row r="1241" spans="1:22" ht="15.75">
      <c r="A1241" s="28" t="s">
        <v>2480</v>
      </c>
      <c r="B1241" s="28" t="s">
        <v>2481</v>
      </c>
      <c r="C1241" s="23">
        <v>24.225000000000001</v>
      </c>
      <c r="D1241" s="23">
        <v>4.25</v>
      </c>
      <c r="E1241" s="23" t="s">
        <v>4683</v>
      </c>
      <c r="F1241" s="23" t="s">
        <v>4682</v>
      </c>
      <c r="G1241" s="23" t="s">
        <v>4684</v>
      </c>
      <c r="H1241" s="23">
        <v>1</v>
      </c>
      <c r="I1241" s="23" t="s">
        <v>4682</v>
      </c>
      <c r="J1241" s="23" t="s">
        <v>4728</v>
      </c>
      <c r="K1241" s="23" t="s">
        <v>4737</v>
      </c>
      <c r="L1241">
        <v>1963</v>
      </c>
      <c r="M1241" s="15" t="s">
        <v>4703</v>
      </c>
      <c r="N1241">
        <v>24</v>
      </c>
      <c r="O1241">
        <v>0</v>
      </c>
      <c r="P1241" s="21">
        <f>DATEVALUE(N1241&amp;"-"&amp;M1241&amp;"-"&amp;L1241)</f>
        <v>23278</v>
      </c>
      <c r="Q1241" s="22">
        <v>10308.040000000001</v>
      </c>
      <c r="R1241" s="23" t="s">
        <v>4698</v>
      </c>
      <c r="S1241" s="23" t="s">
        <v>4701</v>
      </c>
      <c r="T1241" s="23" t="s">
        <v>4699</v>
      </c>
      <c r="U1241" s="23">
        <f>DATEDIF(P1241, DATE(2023, 6, 8), "Y")</f>
        <v>59</v>
      </c>
      <c r="V1241">
        <f>SUM(C1241:K1241)</f>
        <v>29.475000000000001</v>
      </c>
    </row>
    <row r="1242" spans="1:22" ht="15.75">
      <c r="A1242" s="28" t="s">
        <v>2482</v>
      </c>
      <c r="B1242" s="28" t="s">
        <v>2483</v>
      </c>
      <c r="C1242" s="23">
        <v>31.445</v>
      </c>
      <c r="D1242" s="23">
        <v>8.33</v>
      </c>
      <c r="E1242" s="23" t="s">
        <v>4682</v>
      </c>
      <c r="F1242" s="23" t="s">
        <v>4682</v>
      </c>
      <c r="G1242" s="23" t="s">
        <v>4682</v>
      </c>
      <c r="H1242" s="23">
        <v>0</v>
      </c>
      <c r="I1242" s="23" t="s">
        <v>4682</v>
      </c>
      <c r="J1242" s="23" t="s">
        <v>4729</v>
      </c>
      <c r="K1242" s="23" t="s">
        <v>4735</v>
      </c>
      <c r="L1242">
        <v>1962</v>
      </c>
      <c r="M1242" s="15" t="s">
        <v>4696</v>
      </c>
      <c r="N1242">
        <v>12</v>
      </c>
      <c r="O1242">
        <v>0</v>
      </c>
      <c r="P1242" s="21">
        <f>DATEVALUE(N1242&amp;"-"&amp;M1242&amp;"-"&amp;L1242)</f>
        <v>22839</v>
      </c>
      <c r="Q1242" s="22">
        <v>10310.780000000001</v>
      </c>
      <c r="R1242" s="23" t="s">
        <v>4698</v>
      </c>
      <c r="S1242" s="23" t="s">
        <v>4698</v>
      </c>
      <c r="T1242" s="23" t="s">
        <v>4704</v>
      </c>
      <c r="U1242" s="23">
        <f>DATEDIF(P1242, DATE(2023, 6, 8), "Y")</f>
        <v>60</v>
      </c>
      <c r="V1242">
        <f>SUM(C1242:K1242)</f>
        <v>39.774999999999999</v>
      </c>
    </row>
    <row r="1243" spans="1:22" ht="15.75">
      <c r="A1243" s="28" t="s">
        <v>2484</v>
      </c>
      <c r="B1243" s="28" t="s">
        <v>2485</v>
      </c>
      <c r="C1243" s="23">
        <v>38.880000000000003</v>
      </c>
      <c r="D1243" s="23">
        <v>4.29</v>
      </c>
      <c r="E1243" s="23" t="s">
        <v>4682</v>
      </c>
      <c r="F1243" s="23" t="s">
        <v>4682</v>
      </c>
      <c r="G1243" s="23" t="s">
        <v>4682</v>
      </c>
      <c r="H1243" s="23">
        <v>1</v>
      </c>
      <c r="I1243" s="23" t="s">
        <v>4682</v>
      </c>
      <c r="J1243" s="23" t="s">
        <v>4729</v>
      </c>
      <c r="K1243" s="23" t="s">
        <v>4737</v>
      </c>
      <c r="L1243">
        <v>1991</v>
      </c>
      <c r="M1243" s="15" t="s">
        <v>4700</v>
      </c>
      <c r="N1243">
        <v>17</v>
      </c>
      <c r="O1243">
        <v>3</v>
      </c>
      <c r="P1243" s="21">
        <f>DATEVALUE(N1243&amp;"-"&amp;M1243&amp;"-"&amp;L1243)</f>
        <v>33559</v>
      </c>
      <c r="Q1243" s="22">
        <v>10315.91</v>
      </c>
      <c r="R1243" s="23" t="s">
        <v>4698</v>
      </c>
      <c r="S1243" s="23" t="s">
        <v>4697</v>
      </c>
      <c r="T1243" s="23" t="s">
        <v>4704</v>
      </c>
      <c r="U1243" s="23">
        <f>DATEDIF(P1243, DATE(2023, 6, 8), "Y")</f>
        <v>31</v>
      </c>
      <c r="V1243">
        <f>SUM(C1243:K1243)</f>
        <v>44.17</v>
      </c>
    </row>
    <row r="1244" spans="1:22" ht="15.75">
      <c r="A1244" s="28" t="s">
        <v>2486</v>
      </c>
      <c r="B1244" s="28" t="s">
        <v>2487</v>
      </c>
      <c r="C1244" s="23">
        <v>43.89</v>
      </c>
      <c r="D1244" s="23">
        <v>6.32</v>
      </c>
      <c r="E1244" s="23" t="s">
        <v>4683</v>
      </c>
      <c r="F1244" s="23" t="s">
        <v>4682</v>
      </c>
      <c r="G1244" s="23" t="s">
        <v>4682</v>
      </c>
      <c r="H1244" s="23">
        <v>0</v>
      </c>
      <c r="I1244" s="23" t="s">
        <v>4682</v>
      </c>
      <c r="J1244" s="23" t="s">
        <v>4729</v>
      </c>
      <c r="K1244" s="23" t="s">
        <v>4736</v>
      </c>
      <c r="L1244">
        <v>1991</v>
      </c>
      <c r="M1244" s="15" t="s">
        <v>4706</v>
      </c>
      <c r="N1244">
        <v>21</v>
      </c>
      <c r="O1244">
        <v>3</v>
      </c>
      <c r="P1244" s="21">
        <f>DATEVALUE(N1244&amp;"-"&amp;M1244&amp;"-"&amp;L1244)</f>
        <v>33471</v>
      </c>
      <c r="Q1244" s="22">
        <v>10322.9</v>
      </c>
      <c r="R1244" s="23" t="s">
        <v>4698</v>
      </c>
      <c r="S1244" s="23" t="s">
        <v>4701</v>
      </c>
      <c r="T1244" s="23" t="s">
        <v>4720</v>
      </c>
      <c r="U1244" s="23">
        <f>DATEDIF(P1244, DATE(2023, 6, 8), "Y")</f>
        <v>31</v>
      </c>
      <c r="V1244">
        <f>SUM(C1244:K1244)</f>
        <v>50.21</v>
      </c>
    </row>
    <row r="1245" spans="1:22" ht="15.75">
      <c r="A1245" s="28" t="s">
        <v>2488</v>
      </c>
      <c r="B1245" s="28" t="s">
        <v>2489</v>
      </c>
      <c r="C1245" s="23">
        <v>25.6</v>
      </c>
      <c r="D1245" s="23">
        <v>5.65</v>
      </c>
      <c r="E1245" s="23" t="s">
        <v>4682</v>
      </c>
      <c r="F1245" s="23" t="s">
        <v>4682</v>
      </c>
      <c r="G1245" s="23" t="s">
        <v>4682</v>
      </c>
      <c r="H1245" s="23">
        <v>2</v>
      </c>
      <c r="I1245" s="23" t="s">
        <v>4682</v>
      </c>
      <c r="J1245" s="23" t="s">
        <v>4730</v>
      </c>
      <c r="K1245" s="23" t="s">
        <v>4737</v>
      </c>
      <c r="L1245">
        <v>1970</v>
      </c>
      <c r="M1245" s="15" t="s">
        <v>4705</v>
      </c>
      <c r="N1245">
        <v>1</v>
      </c>
      <c r="O1245">
        <v>2</v>
      </c>
      <c r="P1245" s="21">
        <f>DATEVALUE(N1245&amp;"-"&amp;M1245&amp;"-"&amp;L1245)</f>
        <v>25903</v>
      </c>
      <c r="Q1245" s="22">
        <v>10325.209999999999</v>
      </c>
      <c r="R1245" s="23" t="s">
        <v>4698</v>
      </c>
      <c r="S1245" s="23" t="s">
        <v>4698</v>
      </c>
      <c r="T1245" s="23" t="s">
        <v>4708</v>
      </c>
      <c r="U1245" s="23">
        <f>DATEDIF(P1245, DATE(2023, 6, 8), "Y")</f>
        <v>52</v>
      </c>
      <c r="V1245">
        <f>SUM(C1245:K1245)</f>
        <v>33.25</v>
      </c>
    </row>
    <row r="1246" spans="1:22" ht="15.75">
      <c r="A1246" s="28" t="s">
        <v>2490</v>
      </c>
      <c r="B1246" s="28" t="s">
        <v>2491</v>
      </c>
      <c r="C1246" s="23">
        <v>29.545000000000002</v>
      </c>
      <c r="D1246" s="23">
        <v>8.41</v>
      </c>
      <c r="E1246" s="23" t="s">
        <v>4683</v>
      </c>
      <c r="F1246" s="23" t="s">
        <v>4682</v>
      </c>
      <c r="G1246" s="23" t="s">
        <v>4682</v>
      </c>
      <c r="H1246" s="23">
        <v>1</v>
      </c>
      <c r="I1246" s="23" t="s">
        <v>4682</v>
      </c>
      <c r="J1246" s="23" t="s">
        <v>4730</v>
      </c>
      <c r="K1246" s="23" t="s">
        <v>4735</v>
      </c>
      <c r="L1246">
        <v>1982</v>
      </c>
      <c r="M1246" s="15" t="s">
        <v>4696</v>
      </c>
      <c r="N1246">
        <v>21</v>
      </c>
      <c r="O1246">
        <v>3</v>
      </c>
      <c r="P1246" s="21">
        <f>DATEVALUE(N1246&amp;"-"&amp;M1246&amp;"-"&amp;L1246)</f>
        <v>30153</v>
      </c>
      <c r="Q1246" s="22">
        <v>10329.06</v>
      </c>
      <c r="R1246" s="23" t="s">
        <v>4698</v>
      </c>
      <c r="S1246" s="23" t="s">
        <v>4701</v>
      </c>
      <c r="T1246" s="23" t="s">
        <v>4717</v>
      </c>
      <c r="U1246" s="23">
        <f>DATEDIF(P1246, DATE(2023, 6, 8), "Y")</f>
        <v>40</v>
      </c>
      <c r="V1246">
        <f>SUM(C1246:K1246)</f>
        <v>38.954999999999998</v>
      </c>
    </row>
    <row r="1247" spans="1:22" ht="15.75">
      <c r="A1247" s="28" t="s">
        <v>2492</v>
      </c>
      <c r="B1247" s="28" t="s">
        <v>2493</v>
      </c>
      <c r="C1247" s="23">
        <v>23.25</v>
      </c>
      <c r="D1247" s="23">
        <v>11.96</v>
      </c>
      <c r="E1247" s="23" t="s">
        <v>4683</v>
      </c>
      <c r="F1247" s="23" t="s">
        <v>4682</v>
      </c>
      <c r="G1247" s="23" t="s">
        <v>4682</v>
      </c>
      <c r="H1247" s="23">
        <v>0</v>
      </c>
      <c r="I1247" s="23" t="s">
        <v>4682</v>
      </c>
      <c r="J1247" s="23" t="s">
        <v>4728</v>
      </c>
      <c r="K1247" s="23" t="s">
        <v>4735</v>
      </c>
      <c r="L1247">
        <v>1968</v>
      </c>
      <c r="M1247" s="15" t="s">
        <v>4696</v>
      </c>
      <c r="N1247">
        <v>19</v>
      </c>
      <c r="O1247">
        <v>0</v>
      </c>
      <c r="P1247" s="21">
        <f>DATEVALUE(N1247&amp;"-"&amp;M1247&amp;"-"&amp;L1247)</f>
        <v>25038</v>
      </c>
      <c r="Q1247" s="22">
        <v>10338.93</v>
      </c>
      <c r="R1247" s="23" t="s">
        <v>4698</v>
      </c>
      <c r="S1247" s="23" t="s">
        <v>4701</v>
      </c>
      <c r="T1247" s="23" t="s">
        <v>4699</v>
      </c>
      <c r="U1247" s="23">
        <f>DATEDIF(P1247, DATE(2023, 6, 8), "Y")</f>
        <v>54</v>
      </c>
      <c r="V1247">
        <f>SUM(C1247:K1247)</f>
        <v>35.21</v>
      </c>
    </row>
    <row r="1248" spans="1:22" ht="15.75">
      <c r="A1248" s="28" t="s">
        <v>2494</v>
      </c>
      <c r="B1248" s="28" t="s">
        <v>2495</v>
      </c>
      <c r="C1248" s="23">
        <v>43.95</v>
      </c>
      <c r="D1248" s="23">
        <v>5.17</v>
      </c>
      <c r="E1248" s="23" t="s">
        <v>4683</v>
      </c>
      <c r="F1248" s="23" t="s">
        <v>4682</v>
      </c>
      <c r="G1248" s="23" t="s">
        <v>4684</v>
      </c>
      <c r="H1248" s="23">
        <v>1</v>
      </c>
      <c r="I1248" s="23" t="s">
        <v>4682</v>
      </c>
      <c r="J1248" s="23" t="s">
        <v>4729</v>
      </c>
      <c r="K1248" s="23" t="s">
        <v>4737</v>
      </c>
      <c r="L1248">
        <v>1973</v>
      </c>
      <c r="M1248" s="15" t="s">
        <v>4706</v>
      </c>
      <c r="N1248">
        <v>8</v>
      </c>
      <c r="O1248">
        <v>0</v>
      </c>
      <c r="P1248" s="21">
        <f>DATEVALUE(N1248&amp;"-"&amp;M1248&amp;"-"&amp;L1248)</f>
        <v>26884</v>
      </c>
      <c r="Q1248" s="22">
        <v>10345.93</v>
      </c>
      <c r="R1248" s="23" t="s">
        <v>4698</v>
      </c>
      <c r="S1248" s="23" t="s">
        <v>4697</v>
      </c>
      <c r="T1248" s="23" t="s">
        <v>4717</v>
      </c>
      <c r="U1248" s="23">
        <f>DATEDIF(P1248, DATE(2023, 6, 8), "Y")</f>
        <v>49</v>
      </c>
      <c r="V1248">
        <f>SUM(C1248:K1248)</f>
        <v>50.120000000000005</v>
      </c>
    </row>
    <row r="1249" spans="1:22" ht="15.75">
      <c r="A1249" s="28" t="s">
        <v>2496</v>
      </c>
      <c r="B1249" s="28" t="s">
        <v>2497</v>
      </c>
      <c r="C1249" s="23">
        <v>21.85</v>
      </c>
      <c r="D1249" s="23">
        <v>8.76</v>
      </c>
      <c r="E1249" s="23" t="s">
        <v>4682</v>
      </c>
      <c r="F1249" s="23" t="s">
        <v>4682</v>
      </c>
      <c r="G1249" s="23" t="s">
        <v>4682</v>
      </c>
      <c r="H1249" s="23">
        <v>0</v>
      </c>
      <c r="I1249" s="23" t="s">
        <v>4682</v>
      </c>
      <c r="J1249" s="23" t="s">
        <v>4728</v>
      </c>
      <c r="K1249" s="23" t="s">
        <v>4735</v>
      </c>
      <c r="L1249">
        <v>1974</v>
      </c>
      <c r="M1249" s="15" t="s">
        <v>4703</v>
      </c>
      <c r="N1249">
        <v>29</v>
      </c>
      <c r="O1249">
        <v>0</v>
      </c>
      <c r="P1249" s="21">
        <f>DATEVALUE(N1249&amp;"-"&amp;M1249&amp;"-"&amp;L1249)</f>
        <v>27301</v>
      </c>
      <c r="Q1249" s="22">
        <v>10352.48</v>
      </c>
      <c r="R1249" s="23" t="s">
        <v>4698</v>
      </c>
      <c r="S1249" s="23" t="s">
        <v>4701</v>
      </c>
      <c r="T1249" s="23" t="s">
        <v>4704</v>
      </c>
      <c r="U1249" s="23">
        <f>DATEDIF(P1249, DATE(2023, 6, 8), "Y")</f>
        <v>48</v>
      </c>
      <c r="V1249">
        <f>SUM(C1249:K1249)</f>
        <v>30.61</v>
      </c>
    </row>
    <row r="1250" spans="1:22" ht="15.75">
      <c r="A1250" s="28" t="s">
        <v>2498</v>
      </c>
      <c r="B1250" s="28" t="s">
        <v>2499</v>
      </c>
      <c r="C1250" s="23">
        <v>25.73</v>
      </c>
      <c r="D1250" s="23">
        <v>7.99</v>
      </c>
      <c r="E1250" s="23" t="s">
        <v>4682</v>
      </c>
      <c r="F1250" s="23" t="s">
        <v>4682</v>
      </c>
      <c r="G1250" s="23" t="s">
        <v>4682</v>
      </c>
      <c r="H1250" s="23">
        <v>2</v>
      </c>
      <c r="I1250" s="23" t="s">
        <v>4682</v>
      </c>
      <c r="J1250" s="23" t="s">
        <v>4730</v>
      </c>
      <c r="K1250" s="23" t="s">
        <v>4735</v>
      </c>
      <c r="L1250">
        <v>1969</v>
      </c>
      <c r="M1250" s="15" t="s">
        <v>4702</v>
      </c>
      <c r="N1250">
        <v>17</v>
      </c>
      <c r="O1250">
        <v>0</v>
      </c>
      <c r="P1250" s="21">
        <f>DATEVALUE(N1250&amp;"-"&amp;M1250&amp;"-"&amp;L1250)</f>
        <v>25371</v>
      </c>
      <c r="Q1250" s="22">
        <v>10355.64</v>
      </c>
      <c r="R1250" s="23" t="s">
        <v>4698</v>
      </c>
      <c r="S1250" s="23" t="s">
        <v>4701</v>
      </c>
      <c r="T1250" s="23" t="s">
        <v>4704</v>
      </c>
      <c r="U1250" s="23">
        <f>DATEDIF(P1250, DATE(2023, 6, 8), "Y")</f>
        <v>53</v>
      </c>
      <c r="V1250">
        <f>SUM(C1250:K1250)</f>
        <v>35.72</v>
      </c>
    </row>
    <row r="1251" spans="1:22" ht="15.75">
      <c r="A1251" s="28" t="s">
        <v>2500</v>
      </c>
      <c r="B1251" s="28" t="s">
        <v>2501</v>
      </c>
      <c r="C1251" s="23">
        <v>32.229999999999997</v>
      </c>
      <c r="D1251" s="23">
        <v>8.59</v>
      </c>
      <c r="E1251" s="23" t="s">
        <v>4682</v>
      </c>
      <c r="F1251" s="23" t="s">
        <v>4682</v>
      </c>
      <c r="G1251" s="23" t="s">
        <v>4682</v>
      </c>
      <c r="H1251" s="23">
        <v>0</v>
      </c>
      <c r="I1251" s="23" t="s">
        <v>4682</v>
      </c>
      <c r="J1251" s="23" t="s">
        <v>4729</v>
      </c>
      <c r="K1251" s="23" t="s">
        <v>4735</v>
      </c>
      <c r="L1251">
        <v>1971</v>
      </c>
      <c r="M1251" s="15" t="s">
        <v>4703</v>
      </c>
      <c r="N1251">
        <v>6</v>
      </c>
      <c r="O1251">
        <v>0</v>
      </c>
      <c r="P1251" s="21">
        <f>DATEVALUE(N1251&amp;"-"&amp;M1251&amp;"-"&amp;L1251)</f>
        <v>26182</v>
      </c>
      <c r="Q1251" s="22">
        <v>10356.67</v>
      </c>
      <c r="R1251" s="23" t="s">
        <v>4698</v>
      </c>
      <c r="S1251" s="23" t="s">
        <v>4701</v>
      </c>
      <c r="T1251" s="23" t="s">
        <v>4713</v>
      </c>
      <c r="U1251" s="23">
        <f>DATEDIF(P1251, DATE(2023, 6, 8), "Y")</f>
        <v>51</v>
      </c>
      <c r="V1251">
        <f>SUM(C1251:K1251)</f>
        <v>40.819999999999993</v>
      </c>
    </row>
    <row r="1252" spans="1:22" ht="15.75">
      <c r="A1252" s="28" t="s">
        <v>2502</v>
      </c>
      <c r="B1252" s="28" t="s">
        <v>2503</v>
      </c>
      <c r="C1252" s="23">
        <v>32.204999999999998</v>
      </c>
      <c r="D1252" s="23">
        <v>6.14</v>
      </c>
      <c r="E1252" s="23" t="s">
        <v>4682</v>
      </c>
      <c r="F1252" s="23" t="s">
        <v>4682</v>
      </c>
      <c r="G1252" s="23" t="s">
        <v>4682</v>
      </c>
      <c r="H1252" s="23">
        <v>2</v>
      </c>
      <c r="I1252" s="23" t="s">
        <v>4682</v>
      </c>
      <c r="J1252" s="23" t="s">
        <v>4729</v>
      </c>
      <c r="K1252" s="23" t="s">
        <v>4736</v>
      </c>
      <c r="L1252">
        <v>1973</v>
      </c>
      <c r="M1252" s="15" t="s">
        <v>4703</v>
      </c>
      <c r="N1252">
        <v>29</v>
      </c>
      <c r="O1252">
        <v>2</v>
      </c>
      <c r="P1252" s="21">
        <f>DATEVALUE(N1252&amp;"-"&amp;M1252&amp;"-"&amp;L1252)</f>
        <v>26936</v>
      </c>
      <c r="Q1252" s="22">
        <v>10370.91</v>
      </c>
      <c r="R1252" s="23" t="s">
        <v>4698</v>
      </c>
      <c r="S1252" s="23" t="s">
        <v>4698</v>
      </c>
      <c r="T1252" s="23" t="s">
        <v>4714</v>
      </c>
      <c r="U1252" s="23">
        <f>DATEDIF(P1252, DATE(2023, 6, 8), "Y")</f>
        <v>49</v>
      </c>
      <c r="V1252">
        <f>SUM(C1252:K1252)</f>
        <v>40.344999999999999</v>
      </c>
    </row>
    <row r="1253" spans="1:22" ht="15.75">
      <c r="A1253" s="28" t="s">
        <v>2504</v>
      </c>
      <c r="B1253" s="28" t="s">
        <v>2505</v>
      </c>
      <c r="C1253" s="23">
        <v>26.41</v>
      </c>
      <c r="D1253" s="23">
        <v>4.08</v>
      </c>
      <c r="E1253" s="23" t="s">
        <v>4682</v>
      </c>
      <c r="F1253" s="23" t="s">
        <v>4682</v>
      </c>
      <c r="G1253" s="23" t="s">
        <v>4682</v>
      </c>
      <c r="H1253" s="23">
        <v>2</v>
      </c>
      <c r="I1253" s="23" t="s">
        <v>4682</v>
      </c>
      <c r="J1253" s="23" t="s">
        <v>4730</v>
      </c>
      <c r="K1253" s="23" t="s">
        <v>4737</v>
      </c>
      <c r="L1253">
        <v>1973</v>
      </c>
      <c r="M1253" s="15" t="s">
        <v>4703</v>
      </c>
      <c r="N1253">
        <v>19</v>
      </c>
      <c r="O1253">
        <v>3</v>
      </c>
      <c r="P1253" s="21">
        <f>DATEVALUE(N1253&amp;"-"&amp;M1253&amp;"-"&amp;L1253)</f>
        <v>26926</v>
      </c>
      <c r="Q1253" s="22">
        <v>10381.48</v>
      </c>
      <c r="R1253" s="23" t="s">
        <v>4698</v>
      </c>
      <c r="S1253" s="23" t="s">
        <v>4698</v>
      </c>
      <c r="T1253" s="23" t="s">
        <v>4699</v>
      </c>
      <c r="U1253" s="23">
        <f>DATEDIF(P1253, DATE(2023, 6, 8), "Y")</f>
        <v>49</v>
      </c>
      <c r="V1253">
        <f>SUM(C1253:K1253)</f>
        <v>32.49</v>
      </c>
    </row>
    <row r="1254" spans="1:22" ht="15.75">
      <c r="A1254" s="28" t="s">
        <v>2506</v>
      </c>
      <c r="B1254" s="28" t="s">
        <v>2507</v>
      </c>
      <c r="C1254" s="23">
        <v>30.2</v>
      </c>
      <c r="D1254" s="23">
        <v>6.25</v>
      </c>
      <c r="E1254" s="23" t="s">
        <v>4683</v>
      </c>
      <c r="F1254" s="23" t="s">
        <v>4682</v>
      </c>
      <c r="G1254" s="23" t="s">
        <v>4682</v>
      </c>
      <c r="H1254" s="23">
        <v>0</v>
      </c>
      <c r="I1254" s="23" t="s">
        <v>4682</v>
      </c>
      <c r="J1254" s="23" t="s">
        <v>4729</v>
      </c>
      <c r="K1254" s="23" t="s">
        <v>4736</v>
      </c>
      <c r="L1254">
        <v>1969</v>
      </c>
      <c r="M1254" s="15" t="s">
        <v>4696</v>
      </c>
      <c r="N1254">
        <v>7</v>
      </c>
      <c r="O1254">
        <v>0</v>
      </c>
      <c r="P1254" s="21">
        <f>DATEVALUE(N1254&amp;"-"&amp;M1254&amp;"-"&amp;L1254)</f>
        <v>25391</v>
      </c>
      <c r="Q1254" s="22">
        <v>10403.27</v>
      </c>
      <c r="R1254" s="23" t="s">
        <v>4698</v>
      </c>
      <c r="S1254" s="23" t="s">
        <v>4697</v>
      </c>
      <c r="T1254" s="23" t="s">
        <v>4719</v>
      </c>
      <c r="U1254" s="23">
        <f>DATEDIF(P1254, DATE(2023, 6, 8), "Y")</f>
        <v>53</v>
      </c>
      <c r="V1254">
        <f>SUM(C1254:K1254)</f>
        <v>36.450000000000003</v>
      </c>
    </row>
    <row r="1255" spans="1:22" ht="15.75">
      <c r="A1255" s="28" t="s">
        <v>2508</v>
      </c>
      <c r="B1255" s="28" t="s">
        <v>2509</v>
      </c>
      <c r="C1255" s="23">
        <v>31.26</v>
      </c>
      <c r="D1255" s="23">
        <v>5.94</v>
      </c>
      <c r="E1255" s="23" t="s">
        <v>4683</v>
      </c>
      <c r="F1255" s="23" t="s">
        <v>4682</v>
      </c>
      <c r="G1255" s="23" t="s">
        <v>4682</v>
      </c>
      <c r="H1255" s="23">
        <v>1</v>
      </c>
      <c r="I1255" s="23" t="s">
        <v>4682</v>
      </c>
      <c r="J1255" s="23" t="s">
        <v>4729</v>
      </c>
      <c r="K1255" s="23" t="s">
        <v>4736</v>
      </c>
      <c r="L1255">
        <v>1975</v>
      </c>
      <c r="M1255" s="15" t="s">
        <v>4702</v>
      </c>
      <c r="N1255">
        <v>5</v>
      </c>
      <c r="O1255">
        <v>4</v>
      </c>
      <c r="P1255" s="21">
        <f>DATEVALUE(N1255&amp;"-"&amp;M1255&amp;"-"&amp;L1255)</f>
        <v>27550</v>
      </c>
      <c r="Q1255" s="22">
        <v>10407.09</v>
      </c>
      <c r="R1255" s="23" t="s">
        <v>4698</v>
      </c>
      <c r="S1255" s="23" t="s">
        <v>4701</v>
      </c>
      <c r="T1255" s="23" t="s">
        <v>4709</v>
      </c>
      <c r="U1255" s="23">
        <f>DATEDIF(P1255, DATE(2023, 6, 8), "Y")</f>
        <v>48</v>
      </c>
      <c r="V1255">
        <f>SUM(C1255:K1255)</f>
        <v>38.200000000000003</v>
      </c>
    </row>
    <row r="1256" spans="1:22" ht="15.75">
      <c r="A1256" s="28" t="s">
        <v>2510</v>
      </c>
      <c r="B1256" s="28" t="s">
        <v>2511</v>
      </c>
      <c r="C1256" s="23">
        <v>33.725000000000001</v>
      </c>
      <c r="D1256" s="23">
        <v>6.45</v>
      </c>
      <c r="E1256" s="23" t="s">
        <v>4683</v>
      </c>
      <c r="F1256" s="23" t="s">
        <v>4682</v>
      </c>
      <c r="G1256" s="23" t="s">
        <v>4682</v>
      </c>
      <c r="H1256" s="23">
        <v>0</v>
      </c>
      <c r="I1256" s="23" t="s">
        <v>4682</v>
      </c>
      <c r="J1256" s="23" t="s">
        <v>4729</v>
      </c>
      <c r="K1256" s="23" t="s">
        <v>4735</v>
      </c>
      <c r="L1256">
        <v>1980</v>
      </c>
      <c r="M1256" s="15" t="s">
        <v>4707</v>
      </c>
      <c r="N1256">
        <v>24</v>
      </c>
      <c r="O1256">
        <v>2</v>
      </c>
      <c r="P1256" s="21">
        <f>DATEVALUE(N1256&amp;"-"&amp;M1256&amp;"-"&amp;L1256)</f>
        <v>29518</v>
      </c>
      <c r="Q1256" s="22">
        <v>10407.98</v>
      </c>
      <c r="R1256" s="23" t="s">
        <v>4698</v>
      </c>
      <c r="S1256" s="23" t="s">
        <v>4701</v>
      </c>
      <c r="T1256" s="23" t="s">
        <v>4717</v>
      </c>
      <c r="U1256" s="23">
        <f>DATEDIF(P1256, DATE(2023, 6, 8), "Y")</f>
        <v>42</v>
      </c>
      <c r="V1256">
        <f>SUM(C1256:K1256)</f>
        <v>40.175000000000004</v>
      </c>
    </row>
    <row r="1257" spans="1:22" ht="15.75">
      <c r="A1257" s="28" t="s">
        <v>2512</v>
      </c>
      <c r="B1257" s="28" t="s">
        <v>2513</v>
      </c>
      <c r="C1257" s="23">
        <v>28.9</v>
      </c>
      <c r="D1257" s="23">
        <v>5.74</v>
      </c>
      <c r="E1257" s="23" t="s">
        <v>4683</v>
      </c>
      <c r="F1257" s="23" t="s">
        <v>4682</v>
      </c>
      <c r="G1257" s="23" t="s">
        <v>4682</v>
      </c>
      <c r="H1257" s="23">
        <v>0</v>
      </c>
      <c r="I1257" s="23" t="s">
        <v>4682</v>
      </c>
      <c r="J1257" s="23" t="s">
        <v>4730</v>
      </c>
      <c r="K1257" s="23" t="s">
        <v>4736</v>
      </c>
      <c r="L1257">
        <v>1973</v>
      </c>
      <c r="M1257" s="15" t="s">
        <v>4707</v>
      </c>
      <c r="N1257">
        <v>11</v>
      </c>
      <c r="O1257">
        <v>0</v>
      </c>
      <c r="P1257" s="21">
        <f>DATEVALUE(N1257&amp;"-"&amp;M1257&amp;"-"&amp;L1257)</f>
        <v>26948</v>
      </c>
      <c r="Q1257" s="22">
        <v>10419.59</v>
      </c>
      <c r="R1257" s="23" t="s">
        <v>4698</v>
      </c>
      <c r="S1257" s="23" t="s">
        <v>4697</v>
      </c>
      <c r="T1257" s="23" t="s">
        <v>4713</v>
      </c>
      <c r="U1257" s="23">
        <f>DATEDIF(P1257, DATE(2023, 6, 8), "Y")</f>
        <v>49</v>
      </c>
      <c r="V1257">
        <f>SUM(C1257:K1257)</f>
        <v>34.64</v>
      </c>
    </row>
    <row r="1258" spans="1:22" ht="15.75">
      <c r="A1258" s="28" t="s">
        <v>2514</v>
      </c>
      <c r="B1258" s="28" t="s">
        <v>2515</v>
      </c>
      <c r="C1258" s="23">
        <v>45.69</v>
      </c>
      <c r="D1258" s="23">
        <v>4.43</v>
      </c>
      <c r="E1258" s="23" t="s">
        <v>4683</v>
      </c>
      <c r="F1258" s="23" t="s">
        <v>4682</v>
      </c>
      <c r="G1258" s="23" t="s">
        <v>4682</v>
      </c>
      <c r="H1258" s="23">
        <v>0</v>
      </c>
      <c r="I1258" s="23" t="s">
        <v>4682</v>
      </c>
      <c r="J1258" s="23" t="s">
        <v>4729</v>
      </c>
      <c r="K1258" s="23" t="s">
        <v>4737</v>
      </c>
      <c r="L1258">
        <v>1979</v>
      </c>
      <c r="M1258" s="15" t="s">
        <v>4700</v>
      </c>
      <c r="N1258">
        <v>25</v>
      </c>
      <c r="O1258">
        <v>2</v>
      </c>
      <c r="P1258" s="21">
        <f>DATEVALUE(N1258&amp;"-"&amp;M1258&amp;"-"&amp;L1258)</f>
        <v>29184</v>
      </c>
      <c r="Q1258" s="22">
        <v>10419.65</v>
      </c>
      <c r="R1258" s="23" t="s">
        <v>4698</v>
      </c>
      <c r="S1258" s="23" t="s">
        <v>4697</v>
      </c>
      <c r="T1258" s="23" t="s">
        <v>4713</v>
      </c>
      <c r="U1258" s="23">
        <f>DATEDIF(P1258, DATE(2023, 6, 8), "Y")</f>
        <v>43</v>
      </c>
      <c r="V1258">
        <f>SUM(C1258:K1258)</f>
        <v>50.12</v>
      </c>
    </row>
    <row r="1259" spans="1:22" ht="15.75">
      <c r="A1259" s="28" t="s">
        <v>2516</v>
      </c>
      <c r="B1259" s="28" t="s">
        <v>2517</v>
      </c>
      <c r="C1259" s="23">
        <v>21.03</v>
      </c>
      <c r="D1259" s="23">
        <v>6.5</v>
      </c>
      <c r="E1259" s="23" t="s">
        <v>4682</v>
      </c>
      <c r="F1259" s="23" t="s">
        <v>4682</v>
      </c>
      <c r="G1259" s="23" t="s">
        <v>4682</v>
      </c>
      <c r="H1259" s="23">
        <v>0</v>
      </c>
      <c r="I1259" s="23" t="s">
        <v>4682</v>
      </c>
      <c r="J1259" s="23" t="s">
        <v>4728</v>
      </c>
      <c r="K1259" s="23" t="s">
        <v>4735</v>
      </c>
      <c r="L1259">
        <v>1968</v>
      </c>
      <c r="M1259" s="15" t="s">
        <v>4705</v>
      </c>
      <c r="N1259">
        <v>27</v>
      </c>
      <c r="O1259">
        <v>0</v>
      </c>
      <c r="P1259" s="21">
        <f>DATEVALUE(N1259&amp;"-"&amp;M1259&amp;"-"&amp;L1259)</f>
        <v>25199</v>
      </c>
      <c r="Q1259" s="22">
        <v>10422.92</v>
      </c>
      <c r="R1259" s="23" t="s">
        <v>4698</v>
      </c>
      <c r="S1259" s="23" t="s">
        <v>4701</v>
      </c>
      <c r="T1259" s="23" t="s">
        <v>4718</v>
      </c>
      <c r="U1259" s="23">
        <f>DATEDIF(P1259, DATE(2023, 6, 8), "Y")</f>
        <v>54</v>
      </c>
      <c r="V1259">
        <f>SUM(C1259:K1259)</f>
        <v>27.53</v>
      </c>
    </row>
    <row r="1260" spans="1:22" ht="15.75">
      <c r="A1260" s="28" t="s">
        <v>2518</v>
      </c>
      <c r="B1260" s="28" t="s">
        <v>2519</v>
      </c>
      <c r="C1260" s="23">
        <v>37</v>
      </c>
      <c r="D1260" s="23">
        <v>8.75</v>
      </c>
      <c r="E1260" s="23" t="s">
        <v>4682</v>
      </c>
      <c r="F1260" s="23" t="s">
        <v>4682</v>
      </c>
      <c r="G1260" s="23" t="s">
        <v>4682</v>
      </c>
      <c r="H1260" s="23">
        <v>0</v>
      </c>
      <c r="I1260" s="23" t="s">
        <v>4682</v>
      </c>
      <c r="J1260" s="23" t="s">
        <v>4729</v>
      </c>
      <c r="K1260" s="23" t="s">
        <v>4735</v>
      </c>
      <c r="L1260">
        <v>1968</v>
      </c>
      <c r="M1260" s="15" t="s">
        <v>4706</v>
      </c>
      <c r="N1260">
        <v>23</v>
      </c>
      <c r="O1260">
        <v>0</v>
      </c>
      <c r="P1260" s="21">
        <f>DATEVALUE(N1260&amp;"-"&amp;M1260&amp;"-"&amp;L1260)</f>
        <v>25073</v>
      </c>
      <c r="Q1260" s="22">
        <v>10435.07</v>
      </c>
      <c r="R1260" s="23" t="s">
        <v>4698</v>
      </c>
      <c r="S1260" s="23" t="s">
        <v>4701</v>
      </c>
      <c r="T1260" s="23" t="s">
        <v>4711</v>
      </c>
      <c r="U1260" s="23">
        <f>DATEDIF(P1260, DATE(2023, 6, 8), "Y")</f>
        <v>54</v>
      </c>
      <c r="V1260">
        <f>SUM(C1260:K1260)</f>
        <v>45.75</v>
      </c>
    </row>
    <row r="1261" spans="1:22" ht="15.75">
      <c r="A1261" s="28" t="s">
        <v>2520</v>
      </c>
      <c r="B1261" s="28" t="s">
        <v>2521</v>
      </c>
      <c r="C1261" s="23">
        <v>25.4</v>
      </c>
      <c r="D1261" s="23">
        <v>11.96</v>
      </c>
      <c r="E1261" s="23" t="s">
        <v>4682</v>
      </c>
      <c r="F1261" s="23" t="s">
        <v>4682</v>
      </c>
      <c r="G1261" s="23" t="s">
        <v>4682</v>
      </c>
      <c r="H1261" s="23">
        <v>0</v>
      </c>
      <c r="I1261" s="23" t="s">
        <v>4682</v>
      </c>
      <c r="J1261" s="23" t="s">
        <v>4730</v>
      </c>
      <c r="K1261" s="23" t="s">
        <v>4735</v>
      </c>
      <c r="L1261">
        <v>1968</v>
      </c>
      <c r="M1261" s="15" t="s">
        <v>4706</v>
      </c>
      <c r="N1261">
        <v>29</v>
      </c>
      <c r="O1261">
        <v>1</v>
      </c>
      <c r="P1261" s="21">
        <f>DATEVALUE(N1261&amp;"-"&amp;M1261&amp;"-"&amp;L1261)</f>
        <v>25079</v>
      </c>
      <c r="Q1261" s="22">
        <v>10436.1</v>
      </c>
      <c r="R1261" s="23" t="s">
        <v>4698</v>
      </c>
      <c r="S1261" s="23" t="s">
        <v>4698</v>
      </c>
      <c r="T1261" s="23" t="s">
        <v>4708</v>
      </c>
      <c r="U1261" s="23">
        <f>DATEDIF(P1261, DATE(2023, 6, 8), "Y")</f>
        <v>54</v>
      </c>
      <c r="V1261">
        <f>SUM(C1261:K1261)</f>
        <v>37.36</v>
      </c>
    </row>
    <row r="1262" spans="1:22" ht="15.75">
      <c r="A1262" s="28" t="s">
        <v>2522</v>
      </c>
      <c r="B1262" s="28" t="s">
        <v>2523</v>
      </c>
      <c r="C1262" s="23">
        <v>32.299999999999997</v>
      </c>
      <c r="D1262" s="23">
        <v>10.54</v>
      </c>
      <c r="E1262" s="23" t="s">
        <v>4682</v>
      </c>
      <c r="F1262" s="23" t="s">
        <v>4682</v>
      </c>
      <c r="G1262" s="23" t="s">
        <v>4682</v>
      </c>
      <c r="H1262" s="23">
        <v>0</v>
      </c>
      <c r="I1262" s="23" t="s">
        <v>4682</v>
      </c>
      <c r="J1262" s="23" t="s">
        <v>4729</v>
      </c>
      <c r="K1262" s="23" t="s">
        <v>4735</v>
      </c>
      <c r="L1262">
        <v>1968</v>
      </c>
      <c r="M1262" s="15" t="s">
        <v>4700</v>
      </c>
      <c r="N1262">
        <v>8</v>
      </c>
      <c r="O1262">
        <v>1</v>
      </c>
      <c r="P1262" s="21">
        <f>DATEVALUE(N1262&amp;"-"&amp;M1262&amp;"-"&amp;L1262)</f>
        <v>25150</v>
      </c>
      <c r="Q1262" s="22">
        <v>10450.549999999999</v>
      </c>
      <c r="R1262" s="23" t="s">
        <v>4698</v>
      </c>
      <c r="S1262" s="23" t="s">
        <v>4701</v>
      </c>
      <c r="T1262" s="23" t="s">
        <v>4708</v>
      </c>
      <c r="U1262" s="23">
        <f>DATEDIF(P1262, DATE(2023, 6, 8), "Y")</f>
        <v>54</v>
      </c>
      <c r="V1262">
        <f>SUM(C1262:K1262)</f>
        <v>42.839999999999996</v>
      </c>
    </row>
    <row r="1263" spans="1:22" ht="15.75">
      <c r="A1263" s="28" t="s">
        <v>2524</v>
      </c>
      <c r="B1263" s="28" t="s">
        <v>2525</v>
      </c>
      <c r="C1263" s="23">
        <v>23.94</v>
      </c>
      <c r="D1263" s="23">
        <v>4.54</v>
      </c>
      <c r="E1263" s="23" t="s">
        <v>4683</v>
      </c>
      <c r="F1263" s="23" t="s">
        <v>4682</v>
      </c>
      <c r="G1263" s="23" t="s">
        <v>4684</v>
      </c>
      <c r="H1263" s="23">
        <v>1</v>
      </c>
      <c r="I1263" s="23" t="s">
        <v>4682</v>
      </c>
      <c r="J1263" s="23" t="s">
        <v>4728</v>
      </c>
      <c r="K1263" s="23" t="s">
        <v>4737</v>
      </c>
      <c r="L1263">
        <v>1964</v>
      </c>
      <c r="M1263" s="15" t="s">
        <v>4707</v>
      </c>
      <c r="N1263">
        <v>14</v>
      </c>
      <c r="O1263">
        <v>0</v>
      </c>
      <c r="P1263" s="21">
        <f>DATEVALUE(N1263&amp;"-"&amp;M1263&amp;"-"&amp;L1263)</f>
        <v>23664</v>
      </c>
      <c r="Q1263" s="22">
        <v>10455.1</v>
      </c>
      <c r="R1263" s="23" t="s">
        <v>4698</v>
      </c>
      <c r="S1263" s="23" t="s">
        <v>4701</v>
      </c>
      <c r="T1263" s="23" t="s">
        <v>4704</v>
      </c>
      <c r="U1263" s="23">
        <f>DATEDIF(P1263, DATE(2023, 6, 8), "Y")</f>
        <v>58</v>
      </c>
      <c r="V1263">
        <f>SUM(C1263:K1263)</f>
        <v>29.48</v>
      </c>
    </row>
    <row r="1264" spans="1:22" ht="15.75">
      <c r="A1264" s="28" t="s">
        <v>2526</v>
      </c>
      <c r="B1264" s="28" t="s">
        <v>2527</v>
      </c>
      <c r="C1264" s="23">
        <v>46.4</v>
      </c>
      <c r="D1264" s="23">
        <v>5.71</v>
      </c>
      <c r="E1264" s="23" t="s">
        <v>4682</v>
      </c>
      <c r="F1264" s="23" t="s">
        <v>4682</v>
      </c>
      <c r="G1264" s="23" t="s">
        <v>4682</v>
      </c>
      <c r="H1264" s="23">
        <v>0</v>
      </c>
      <c r="I1264" s="23" t="s">
        <v>4682</v>
      </c>
      <c r="J1264" s="23" t="s">
        <v>4729</v>
      </c>
      <c r="K1264" s="23" t="s">
        <v>4736</v>
      </c>
      <c r="L1264">
        <v>1976</v>
      </c>
      <c r="M1264" s="15" t="s">
        <v>4706</v>
      </c>
      <c r="N1264">
        <v>3</v>
      </c>
      <c r="O1264">
        <v>2</v>
      </c>
      <c r="P1264" s="21">
        <f>DATEVALUE(N1264&amp;"-"&amp;M1264&amp;"-"&amp;L1264)</f>
        <v>27975</v>
      </c>
      <c r="Q1264" s="22">
        <v>10455.14</v>
      </c>
      <c r="R1264" s="23" t="s">
        <v>4698</v>
      </c>
      <c r="S1264" s="23" t="s">
        <v>4697</v>
      </c>
      <c r="T1264" s="23" t="s">
        <v>4717</v>
      </c>
      <c r="U1264" s="23">
        <f>DATEDIF(P1264, DATE(2023, 6, 8), "Y")</f>
        <v>46</v>
      </c>
      <c r="V1264">
        <f>SUM(C1264:K1264)</f>
        <v>52.11</v>
      </c>
    </row>
    <row r="1265" spans="1:22" ht="15.75">
      <c r="A1265" s="28" t="s">
        <v>2528</v>
      </c>
      <c r="B1265" s="28" t="s">
        <v>2529</v>
      </c>
      <c r="C1265" s="23">
        <v>40.375</v>
      </c>
      <c r="D1265" s="23">
        <v>6.25</v>
      </c>
      <c r="E1265" s="23" t="s">
        <v>4683</v>
      </c>
      <c r="F1265" s="23" t="s">
        <v>4682</v>
      </c>
      <c r="G1265" s="23" t="s">
        <v>4682</v>
      </c>
      <c r="H1265" s="23">
        <v>0</v>
      </c>
      <c r="I1265" s="23" t="s">
        <v>4682</v>
      </c>
      <c r="J1265" s="23" t="s">
        <v>4729</v>
      </c>
      <c r="K1265" s="23" t="s">
        <v>4736</v>
      </c>
      <c r="L1265">
        <v>1964</v>
      </c>
      <c r="M1265" s="15" t="s">
        <v>4696</v>
      </c>
      <c r="N1265">
        <v>27</v>
      </c>
      <c r="O1265">
        <v>0</v>
      </c>
      <c r="P1265" s="21">
        <f>DATEVALUE(N1265&amp;"-"&amp;M1265&amp;"-"&amp;L1265)</f>
        <v>23585</v>
      </c>
      <c r="Q1265" s="22">
        <v>10459.19</v>
      </c>
      <c r="R1265" s="23" t="s">
        <v>4698</v>
      </c>
      <c r="S1265" s="23" t="s">
        <v>4701</v>
      </c>
      <c r="T1265" s="23" t="s">
        <v>4699</v>
      </c>
      <c r="U1265" s="23">
        <f>DATEDIF(P1265, DATE(2023, 6, 8), "Y")</f>
        <v>58</v>
      </c>
      <c r="V1265">
        <f>SUM(C1265:K1265)</f>
        <v>46.625</v>
      </c>
    </row>
    <row r="1266" spans="1:22" ht="15.75">
      <c r="A1266" s="28" t="s">
        <v>2530</v>
      </c>
      <c r="B1266" s="28" t="s">
        <v>2531</v>
      </c>
      <c r="C1266" s="23">
        <v>28.7</v>
      </c>
      <c r="D1266" s="23">
        <v>9.4700000000000006</v>
      </c>
      <c r="E1266" s="23" t="s">
        <v>4682</v>
      </c>
      <c r="F1266" s="23" t="s">
        <v>4682</v>
      </c>
      <c r="G1266" s="23" t="s">
        <v>4682</v>
      </c>
      <c r="H1266" s="23">
        <v>2</v>
      </c>
      <c r="I1266" s="23" t="s">
        <v>4682</v>
      </c>
      <c r="J1266" s="23" t="s">
        <v>4730</v>
      </c>
      <c r="K1266" s="23" t="s">
        <v>4735</v>
      </c>
      <c r="L1266">
        <v>1969</v>
      </c>
      <c r="M1266" s="15" t="s">
        <v>4703</v>
      </c>
      <c r="N1266">
        <v>22</v>
      </c>
      <c r="O1266">
        <v>1</v>
      </c>
      <c r="P1266" s="21">
        <f>DATEVALUE(N1266&amp;"-"&amp;M1266&amp;"-"&amp;L1266)</f>
        <v>25468</v>
      </c>
      <c r="Q1266" s="22">
        <v>10461.98</v>
      </c>
      <c r="R1266" s="23" t="s">
        <v>4698</v>
      </c>
      <c r="S1266" s="23" t="s">
        <v>4701</v>
      </c>
      <c r="T1266" s="23" t="s">
        <v>4704</v>
      </c>
      <c r="U1266" s="23">
        <f>DATEDIF(P1266, DATE(2023, 6, 8), "Y")</f>
        <v>53</v>
      </c>
      <c r="V1266">
        <f>SUM(C1266:K1266)</f>
        <v>40.17</v>
      </c>
    </row>
    <row r="1267" spans="1:22" ht="15.75">
      <c r="A1267" s="28" t="s">
        <v>2532</v>
      </c>
      <c r="B1267" s="28" t="s">
        <v>2533</v>
      </c>
      <c r="C1267" s="23">
        <v>26.63</v>
      </c>
      <c r="D1267" s="23">
        <v>5.7</v>
      </c>
      <c r="E1267" s="23" t="s">
        <v>4682</v>
      </c>
      <c r="F1267" s="23" t="s">
        <v>4682</v>
      </c>
      <c r="G1267" s="23" t="s">
        <v>4682</v>
      </c>
      <c r="H1267" s="23">
        <v>0</v>
      </c>
      <c r="I1267" s="23" t="s">
        <v>4682</v>
      </c>
      <c r="J1267" s="23" t="s">
        <v>4730</v>
      </c>
      <c r="K1267" s="23" t="s">
        <v>4736</v>
      </c>
      <c r="L1267">
        <v>1987</v>
      </c>
      <c r="M1267" s="15" t="s">
        <v>4702</v>
      </c>
      <c r="N1267">
        <v>28</v>
      </c>
      <c r="O1267">
        <v>3</v>
      </c>
      <c r="P1267" s="21">
        <f>DATEVALUE(N1267&amp;"-"&amp;M1267&amp;"-"&amp;L1267)</f>
        <v>31956</v>
      </c>
      <c r="Q1267" s="22">
        <v>10464.83</v>
      </c>
      <c r="R1267" s="23" t="s">
        <v>4698</v>
      </c>
      <c r="S1267" s="23" t="s">
        <v>4701</v>
      </c>
      <c r="T1267" s="23" t="s">
        <v>4704</v>
      </c>
      <c r="U1267" s="23">
        <f>DATEDIF(P1267, DATE(2023, 6, 8), "Y")</f>
        <v>35</v>
      </c>
      <c r="V1267">
        <f>SUM(C1267:K1267)</f>
        <v>32.33</v>
      </c>
    </row>
    <row r="1268" spans="1:22" ht="15.75">
      <c r="A1268" s="28" t="s">
        <v>2534</v>
      </c>
      <c r="B1268" s="28" t="s">
        <v>2535</v>
      </c>
      <c r="C1268" s="23">
        <v>22.515000000000001</v>
      </c>
      <c r="D1268" s="23">
        <v>11.18</v>
      </c>
      <c r="E1268" s="23" t="s">
        <v>4682</v>
      </c>
      <c r="F1268" s="23" t="s">
        <v>4682</v>
      </c>
      <c r="G1268" s="23" t="s">
        <v>4682</v>
      </c>
      <c r="H1268" s="23">
        <v>2</v>
      </c>
      <c r="I1268" s="23" t="s">
        <v>4682</v>
      </c>
      <c r="J1268" s="23" t="s">
        <v>4728</v>
      </c>
      <c r="K1268" s="23" t="s">
        <v>4735</v>
      </c>
      <c r="L1268">
        <v>1978</v>
      </c>
      <c r="M1268" s="15" t="s">
        <v>4706</v>
      </c>
      <c r="N1268">
        <v>21</v>
      </c>
      <c r="O1268">
        <v>2</v>
      </c>
      <c r="P1268" s="21">
        <f>DATEVALUE(N1268&amp;"-"&amp;M1268&amp;"-"&amp;L1268)</f>
        <v>28723</v>
      </c>
      <c r="Q1268" s="22">
        <v>10486.55</v>
      </c>
      <c r="R1268" s="23" t="s">
        <v>4698</v>
      </c>
      <c r="S1268" s="23" t="s">
        <v>4698</v>
      </c>
      <c r="T1268" s="23" t="s">
        <v>4713</v>
      </c>
      <c r="U1268" s="23">
        <f>DATEDIF(P1268, DATE(2023, 6, 8), "Y")</f>
        <v>44</v>
      </c>
      <c r="V1268">
        <f>SUM(C1268:K1268)</f>
        <v>35.695</v>
      </c>
    </row>
    <row r="1269" spans="1:22" ht="15.75">
      <c r="A1269" s="28" t="s">
        <v>2536</v>
      </c>
      <c r="B1269" s="28" t="s">
        <v>2537</v>
      </c>
      <c r="C1269" s="23">
        <v>36.575000000000003</v>
      </c>
      <c r="D1269" s="23">
        <v>10.98</v>
      </c>
      <c r="E1269" s="23" t="s">
        <v>4682</v>
      </c>
      <c r="F1269" s="23" t="s">
        <v>4682</v>
      </c>
      <c r="G1269" s="23" t="s">
        <v>4682</v>
      </c>
      <c r="H1269" s="23">
        <v>0</v>
      </c>
      <c r="I1269" s="23" t="s">
        <v>4682</v>
      </c>
      <c r="J1269" s="23" t="s">
        <v>4729</v>
      </c>
      <c r="K1269" s="23" t="s">
        <v>4735</v>
      </c>
      <c r="L1269">
        <v>1972</v>
      </c>
      <c r="M1269" s="15" t="s">
        <v>4707</v>
      </c>
      <c r="N1269">
        <v>19</v>
      </c>
      <c r="O1269">
        <v>2</v>
      </c>
      <c r="P1269" s="21">
        <f>DATEVALUE(N1269&amp;"-"&amp;M1269&amp;"-"&amp;L1269)</f>
        <v>26591</v>
      </c>
      <c r="Q1269" s="22">
        <v>10493.95</v>
      </c>
      <c r="R1269" s="23" t="s">
        <v>4698</v>
      </c>
      <c r="S1269" s="23" t="s">
        <v>4701</v>
      </c>
      <c r="T1269" s="23" t="s">
        <v>4704</v>
      </c>
      <c r="U1269" s="23">
        <f>DATEDIF(P1269, DATE(2023, 6, 8), "Y")</f>
        <v>50</v>
      </c>
      <c r="V1269">
        <f>SUM(C1269:K1269)</f>
        <v>47.555000000000007</v>
      </c>
    </row>
    <row r="1270" spans="1:22" ht="15.75">
      <c r="A1270" s="28" t="s">
        <v>2538</v>
      </c>
      <c r="B1270" s="28" t="s">
        <v>2539</v>
      </c>
      <c r="C1270" s="23">
        <v>23.66</v>
      </c>
      <c r="D1270" s="23">
        <v>5.1100000000000003</v>
      </c>
      <c r="E1270" s="23" t="s">
        <v>4683</v>
      </c>
      <c r="F1270" s="23" t="s">
        <v>4682</v>
      </c>
      <c r="G1270" s="23" t="s">
        <v>4684</v>
      </c>
      <c r="H1270" s="23">
        <v>1</v>
      </c>
      <c r="I1270" s="23" t="s">
        <v>4682</v>
      </c>
      <c r="J1270" s="23" t="s">
        <v>4728</v>
      </c>
      <c r="K1270" s="23" t="s">
        <v>4737</v>
      </c>
      <c r="L1270">
        <v>1977</v>
      </c>
      <c r="M1270" s="15" t="s">
        <v>4707</v>
      </c>
      <c r="N1270">
        <v>25</v>
      </c>
      <c r="O1270">
        <v>2</v>
      </c>
      <c r="P1270" s="21">
        <f>DATEVALUE(N1270&amp;"-"&amp;M1270&amp;"-"&amp;L1270)</f>
        <v>28423</v>
      </c>
      <c r="Q1270" s="22">
        <v>10495.6</v>
      </c>
      <c r="R1270" s="23" t="s">
        <v>4698</v>
      </c>
      <c r="S1270" s="23" t="s">
        <v>4701</v>
      </c>
      <c r="T1270" s="23" t="s">
        <v>4704</v>
      </c>
      <c r="U1270" s="23">
        <f>DATEDIF(P1270, DATE(2023, 6, 8), "Y")</f>
        <v>45</v>
      </c>
      <c r="V1270">
        <f>SUM(C1270:K1270)</f>
        <v>29.77</v>
      </c>
    </row>
    <row r="1271" spans="1:22" ht="15.75">
      <c r="A1271" s="28" t="s">
        <v>2540</v>
      </c>
      <c r="B1271" s="28" t="s">
        <v>2541</v>
      </c>
      <c r="C1271" s="23">
        <v>18.62</v>
      </c>
      <c r="D1271" s="23">
        <v>10.24</v>
      </c>
      <c r="E1271" s="23" t="s">
        <v>4682</v>
      </c>
      <c r="F1271" s="23" t="s">
        <v>4682</v>
      </c>
      <c r="G1271" s="23" t="s">
        <v>4682</v>
      </c>
      <c r="H1271" s="23">
        <v>0</v>
      </c>
      <c r="I1271" s="23" t="s">
        <v>4682</v>
      </c>
      <c r="J1271" s="23" t="s">
        <v>4728</v>
      </c>
      <c r="K1271" s="23" t="s">
        <v>4735</v>
      </c>
      <c r="L1271">
        <v>1971</v>
      </c>
      <c r="M1271" s="15" t="s">
        <v>4703</v>
      </c>
      <c r="N1271">
        <v>26</v>
      </c>
      <c r="O1271">
        <v>0</v>
      </c>
      <c r="P1271" s="21">
        <f>DATEVALUE(N1271&amp;"-"&amp;M1271&amp;"-"&amp;L1271)</f>
        <v>26202</v>
      </c>
      <c r="Q1271" s="22">
        <v>10546.48</v>
      </c>
      <c r="R1271" s="23" t="s">
        <v>4698</v>
      </c>
      <c r="S1271" s="23" t="s">
        <v>4698</v>
      </c>
      <c r="T1271" s="23" t="s">
        <v>4708</v>
      </c>
      <c r="U1271" s="23">
        <f>DATEDIF(P1271, DATE(2023, 6, 8), "Y")</f>
        <v>51</v>
      </c>
      <c r="V1271">
        <f>SUM(C1271:K1271)</f>
        <v>28.86</v>
      </c>
    </row>
    <row r="1272" spans="1:22" ht="15.75">
      <c r="A1272" s="28" t="s">
        <v>2542</v>
      </c>
      <c r="B1272" s="28" t="s">
        <v>2543</v>
      </c>
      <c r="C1272" s="23">
        <v>19.190000000000001</v>
      </c>
      <c r="D1272" s="23">
        <v>7.71</v>
      </c>
      <c r="E1272" s="23" t="s">
        <v>4683</v>
      </c>
      <c r="F1272" s="23" t="s">
        <v>4682</v>
      </c>
      <c r="G1272" s="23" t="s">
        <v>4682</v>
      </c>
      <c r="H1272" s="23">
        <v>1</v>
      </c>
      <c r="I1272" s="23" t="s">
        <v>4682</v>
      </c>
      <c r="J1272" s="23" t="s">
        <v>4728</v>
      </c>
      <c r="K1272" s="23" t="s">
        <v>4735</v>
      </c>
      <c r="L1272">
        <v>1971</v>
      </c>
      <c r="M1272" s="15" t="s">
        <v>4702</v>
      </c>
      <c r="N1272">
        <v>29</v>
      </c>
      <c r="O1272">
        <v>3</v>
      </c>
      <c r="P1272" s="21">
        <f>DATEVALUE(N1272&amp;"-"&amp;M1272&amp;"-"&amp;L1272)</f>
        <v>26113</v>
      </c>
      <c r="Q1272" s="22">
        <v>10560.49</v>
      </c>
      <c r="R1272" s="23" t="s">
        <v>4698</v>
      </c>
      <c r="S1272" s="23" t="s">
        <v>4697</v>
      </c>
      <c r="T1272" s="23" t="s">
        <v>4699</v>
      </c>
      <c r="U1272" s="23">
        <f>DATEDIF(P1272, DATE(2023, 6, 8), "Y")</f>
        <v>51</v>
      </c>
      <c r="V1272">
        <f>SUM(C1272:K1272)</f>
        <v>27.900000000000002</v>
      </c>
    </row>
    <row r="1273" spans="1:22" ht="15.75">
      <c r="A1273" s="28" t="s">
        <v>2544</v>
      </c>
      <c r="B1273" s="28" t="s">
        <v>2545</v>
      </c>
      <c r="C1273" s="23">
        <v>27.5</v>
      </c>
      <c r="D1273" s="23">
        <v>6.03</v>
      </c>
      <c r="E1273" s="23" t="s">
        <v>4682</v>
      </c>
      <c r="F1273" s="23" t="s">
        <v>4682</v>
      </c>
      <c r="G1273" s="23" t="s">
        <v>4682</v>
      </c>
      <c r="H1273" s="23">
        <v>0</v>
      </c>
      <c r="I1273" s="23" t="s">
        <v>4682</v>
      </c>
      <c r="J1273" s="23" t="s">
        <v>4730</v>
      </c>
      <c r="K1273" s="23" t="s">
        <v>4736</v>
      </c>
      <c r="L1273">
        <v>1969</v>
      </c>
      <c r="M1273" s="15" t="s">
        <v>4696</v>
      </c>
      <c r="N1273">
        <v>17</v>
      </c>
      <c r="O1273">
        <v>0</v>
      </c>
      <c r="P1273" s="21">
        <f>DATEVALUE(N1273&amp;"-"&amp;M1273&amp;"-"&amp;L1273)</f>
        <v>25401</v>
      </c>
      <c r="Q1273" s="22">
        <v>10564.88</v>
      </c>
      <c r="R1273" s="23" t="s">
        <v>4698</v>
      </c>
      <c r="S1273" s="23" t="s">
        <v>4701</v>
      </c>
      <c r="T1273" s="23" t="s">
        <v>4714</v>
      </c>
      <c r="U1273" s="23">
        <f>DATEDIF(P1273, DATE(2023, 6, 8), "Y")</f>
        <v>53</v>
      </c>
      <c r="V1273">
        <f>SUM(C1273:K1273)</f>
        <v>33.53</v>
      </c>
    </row>
    <row r="1274" spans="1:22" ht="15.75">
      <c r="A1274" s="28" t="s">
        <v>2546</v>
      </c>
      <c r="B1274" s="28" t="s">
        <v>2547</v>
      </c>
      <c r="C1274" s="23">
        <v>27.36</v>
      </c>
      <c r="D1274" s="23">
        <v>5.96</v>
      </c>
      <c r="E1274" s="23" t="s">
        <v>4682</v>
      </c>
      <c r="F1274" s="23" t="s">
        <v>4682</v>
      </c>
      <c r="G1274" s="23" t="s">
        <v>4684</v>
      </c>
      <c r="H1274" s="23">
        <v>1</v>
      </c>
      <c r="I1274" s="23" t="s">
        <v>4682</v>
      </c>
      <c r="J1274" s="23" t="s">
        <v>4730</v>
      </c>
      <c r="K1274" s="23" t="s">
        <v>4736</v>
      </c>
      <c r="L1274">
        <v>1966</v>
      </c>
      <c r="M1274" s="15" t="s">
        <v>4705</v>
      </c>
      <c r="N1274">
        <v>11</v>
      </c>
      <c r="O1274">
        <v>0</v>
      </c>
      <c r="P1274" s="21">
        <f>DATEVALUE(N1274&amp;"-"&amp;M1274&amp;"-"&amp;L1274)</f>
        <v>24452</v>
      </c>
      <c r="Q1274" s="22">
        <v>10577.09</v>
      </c>
      <c r="R1274" s="23" t="s">
        <v>4698</v>
      </c>
      <c r="S1274" s="23" t="s">
        <v>4698</v>
      </c>
      <c r="T1274" s="23" t="s">
        <v>4708</v>
      </c>
      <c r="U1274" s="23">
        <f>DATEDIF(P1274, DATE(2023, 6, 8), "Y")</f>
        <v>56</v>
      </c>
      <c r="V1274">
        <f>SUM(C1274:K1274)</f>
        <v>34.32</v>
      </c>
    </row>
    <row r="1275" spans="1:22" ht="15.75">
      <c r="A1275" s="28" t="s">
        <v>2548</v>
      </c>
      <c r="B1275" s="28" t="s">
        <v>2549</v>
      </c>
      <c r="C1275" s="23">
        <v>20.350000000000001</v>
      </c>
      <c r="D1275" s="23">
        <v>4.16</v>
      </c>
      <c r="E1275" s="23" t="s">
        <v>4682</v>
      </c>
      <c r="F1275" s="23" t="s">
        <v>4682</v>
      </c>
      <c r="G1275" s="23" t="s">
        <v>4682</v>
      </c>
      <c r="H1275" s="23">
        <v>0</v>
      </c>
      <c r="I1275" s="23" t="s">
        <v>4682</v>
      </c>
      <c r="J1275" s="23" t="s">
        <v>4728</v>
      </c>
      <c r="K1275" s="23" t="s">
        <v>4737</v>
      </c>
      <c r="L1275">
        <v>1969</v>
      </c>
      <c r="M1275" s="15" t="s">
        <v>4705</v>
      </c>
      <c r="N1275">
        <v>25</v>
      </c>
      <c r="O1275">
        <v>1</v>
      </c>
      <c r="P1275" s="21">
        <f>DATEVALUE(N1275&amp;"-"&amp;M1275&amp;"-"&amp;L1275)</f>
        <v>25562</v>
      </c>
      <c r="Q1275" s="22">
        <v>10579.71</v>
      </c>
      <c r="R1275" s="23" t="s">
        <v>4698</v>
      </c>
      <c r="S1275" s="23" t="s">
        <v>4698</v>
      </c>
      <c r="T1275" s="23" t="s">
        <v>4699</v>
      </c>
      <c r="U1275" s="23">
        <f>DATEDIF(P1275, DATE(2023, 6, 8), "Y")</f>
        <v>53</v>
      </c>
      <c r="V1275">
        <f>SUM(C1275:K1275)</f>
        <v>24.51</v>
      </c>
    </row>
    <row r="1276" spans="1:22" ht="15.75">
      <c r="A1276" s="28" t="s">
        <v>2550</v>
      </c>
      <c r="B1276" s="28" t="s">
        <v>2551</v>
      </c>
      <c r="C1276" s="23">
        <v>24.035</v>
      </c>
      <c r="D1276" s="23">
        <v>6.11</v>
      </c>
      <c r="E1276" s="23" t="s">
        <v>4682</v>
      </c>
      <c r="F1276" s="23" t="s">
        <v>4682</v>
      </c>
      <c r="G1276" s="23" t="s">
        <v>4682</v>
      </c>
      <c r="H1276" s="23">
        <v>0</v>
      </c>
      <c r="I1276" s="23" t="s">
        <v>4682</v>
      </c>
      <c r="J1276" s="23" t="s">
        <v>4728</v>
      </c>
      <c r="K1276" s="23" t="s">
        <v>4736</v>
      </c>
      <c r="L1276">
        <v>1966</v>
      </c>
      <c r="M1276" s="15" t="s">
        <v>4700</v>
      </c>
      <c r="N1276">
        <v>3</v>
      </c>
      <c r="O1276">
        <v>0</v>
      </c>
      <c r="P1276" s="21">
        <f>DATEVALUE(N1276&amp;"-"&amp;M1276&amp;"-"&amp;L1276)</f>
        <v>24414</v>
      </c>
      <c r="Q1276" s="22">
        <v>10594.23</v>
      </c>
      <c r="R1276" s="23" t="s">
        <v>4698</v>
      </c>
      <c r="S1276" s="23" t="s">
        <v>4698</v>
      </c>
      <c r="T1276" s="23" t="s">
        <v>4699</v>
      </c>
      <c r="U1276" s="23">
        <f>DATEDIF(P1276, DATE(2023, 6, 8), "Y")</f>
        <v>56</v>
      </c>
      <c r="V1276">
        <f>SUM(C1276:K1276)</f>
        <v>30.145</v>
      </c>
    </row>
    <row r="1277" spans="1:22" ht="15.75">
      <c r="A1277" s="28" t="s">
        <v>2552</v>
      </c>
      <c r="B1277" s="28" t="s">
        <v>2553</v>
      </c>
      <c r="C1277" s="23">
        <v>23.56</v>
      </c>
      <c r="D1277" s="23">
        <v>5.97</v>
      </c>
      <c r="E1277" s="23" t="s">
        <v>4682</v>
      </c>
      <c r="F1277" s="23" t="s">
        <v>4682</v>
      </c>
      <c r="G1277" s="23" t="s">
        <v>4682</v>
      </c>
      <c r="H1277" s="23">
        <v>0</v>
      </c>
      <c r="I1277" s="23" t="s">
        <v>4682</v>
      </c>
      <c r="J1277" s="23" t="s">
        <v>4728</v>
      </c>
      <c r="K1277" s="23" t="s">
        <v>4736</v>
      </c>
      <c r="L1277">
        <v>1967</v>
      </c>
      <c r="M1277" s="15" t="s">
        <v>4700</v>
      </c>
      <c r="N1277">
        <v>29</v>
      </c>
      <c r="O1277">
        <v>0</v>
      </c>
      <c r="P1277" s="21">
        <f>DATEVALUE(N1277&amp;"-"&amp;M1277&amp;"-"&amp;L1277)</f>
        <v>24805</v>
      </c>
      <c r="Q1277" s="22">
        <v>10594.5</v>
      </c>
      <c r="R1277" s="23" t="s">
        <v>4698</v>
      </c>
      <c r="S1277" s="23" t="s">
        <v>4701</v>
      </c>
      <c r="T1277" s="23" t="s">
        <v>4704</v>
      </c>
      <c r="U1277" s="23">
        <f>DATEDIF(P1277, DATE(2023, 6, 8), "Y")</f>
        <v>55</v>
      </c>
      <c r="V1277">
        <f>SUM(C1277:K1277)</f>
        <v>29.529999999999998</v>
      </c>
    </row>
    <row r="1278" spans="1:22" ht="15.75">
      <c r="A1278" s="28" t="s">
        <v>2554</v>
      </c>
      <c r="B1278" s="28" t="s">
        <v>2555</v>
      </c>
      <c r="C1278" s="23">
        <v>27.17</v>
      </c>
      <c r="D1278" s="23">
        <v>10.81</v>
      </c>
      <c r="E1278" s="23" t="s">
        <v>4682</v>
      </c>
      <c r="F1278" s="23" t="s">
        <v>4682</v>
      </c>
      <c r="G1278" s="23" t="s">
        <v>4682</v>
      </c>
      <c r="H1278" s="23">
        <v>2</v>
      </c>
      <c r="I1278" s="23" t="s">
        <v>4682</v>
      </c>
      <c r="J1278" s="23" t="s">
        <v>4730</v>
      </c>
      <c r="K1278" s="23" t="s">
        <v>4735</v>
      </c>
      <c r="L1278">
        <v>1972</v>
      </c>
      <c r="M1278" s="15" t="s">
        <v>4705</v>
      </c>
      <c r="N1278">
        <v>14</v>
      </c>
      <c r="O1278">
        <v>3</v>
      </c>
      <c r="P1278" s="21">
        <f>DATEVALUE(N1278&amp;"-"&amp;M1278&amp;"-"&amp;L1278)</f>
        <v>26647</v>
      </c>
      <c r="Q1278" s="22">
        <v>10600.55</v>
      </c>
      <c r="R1278" s="23" t="s">
        <v>4698</v>
      </c>
      <c r="S1278" s="23" t="s">
        <v>4701</v>
      </c>
      <c r="T1278" s="23" t="s">
        <v>4704</v>
      </c>
      <c r="U1278" s="23">
        <f>DATEDIF(P1278, DATE(2023, 6, 8), "Y")</f>
        <v>50</v>
      </c>
      <c r="V1278">
        <f>SUM(C1278:K1278)</f>
        <v>39.980000000000004</v>
      </c>
    </row>
    <row r="1279" spans="1:22" ht="15.75">
      <c r="A1279" s="28" t="s">
        <v>2556</v>
      </c>
      <c r="B1279" s="28" t="s">
        <v>2557</v>
      </c>
      <c r="C1279" s="23">
        <v>34.32</v>
      </c>
      <c r="D1279" s="23">
        <v>5.7</v>
      </c>
      <c r="E1279" s="23" t="s">
        <v>4683</v>
      </c>
      <c r="F1279" s="23" t="s">
        <v>4682</v>
      </c>
      <c r="G1279" s="23" t="s">
        <v>4684</v>
      </c>
      <c r="H1279" s="23">
        <v>1</v>
      </c>
      <c r="I1279" s="23" t="s">
        <v>4682</v>
      </c>
      <c r="J1279" s="23" t="s">
        <v>4729</v>
      </c>
      <c r="K1279" s="23" t="s">
        <v>4736</v>
      </c>
      <c r="L1279">
        <v>1966</v>
      </c>
      <c r="M1279" s="15" t="s">
        <v>4696</v>
      </c>
      <c r="N1279">
        <v>20</v>
      </c>
      <c r="O1279">
        <v>0</v>
      </c>
      <c r="P1279" s="21">
        <f>DATEVALUE(N1279&amp;"-"&amp;M1279&amp;"-"&amp;L1279)</f>
        <v>24308</v>
      </c>
      <c r="Q1279" s="22">
        <v>10601.41</v>
      </c>
      <c r="R1279" s="23" t="s">
        <v>4698</v>
      </c>
      <c r="S1279" s="23" t="s">
        <v>4697</v>
      </c>
      <c r="T1279" s="23" t="s">
        <v>4708</v>
      </c>
      <c r="U1279" s="23">
        <f>DATEDIF(P1279, DATE(2023, 6, 8), "Y")</f>
        <v>56</v>
      </c>
      <c r="V1279">
        <f>SUM(C1279:K1279)</f>
        <v>41.02</v>
      </c>
    </row>
    <row r="1280" spans="1:22" ht="15.75">
      <c r="A1280" s="28" t="s">
        <v>2558</v>
      </c>
      <c r="B1280" s="28" t="s">
        <v>2559</v>
      </c>
      <c r="C1280" s="23">
        <v>23.87</v>
      </c>
      <c r="D1280" s="23">
        <v>4.7699999999999996</v>
      </c>
      <c r="E1280" s="23" t="s">
        <v>4683</v>
      </c>
      <c r="F1280" s="23" t="s">
        <v>4682</v>
      </c>
      <c r="G1280" s="23" t="s">
        <v>4684</v>
      </c>
      <c r="H1280" s="23">
        <v>1</v>
      </c>
      <c r="I1280" s="23" t="s">
        <v>4682</v>
      </c>
      <c r="J1280" s="23" t="s">
        <v>4728</v>
      </c>
      <c r="K1280" s="23" t="s">
        <v>4737</v>
      </c>
      <c r="L1280">
        <v>1967</v>
      </c>
      <c r="M1280" s="15" t="s">
        <v>4702</v>
      </c>
      <c r="N1280">
        <v>23</v>
      </c>
      <c r="O1280">
        <v>0</v>
      </c>
      <c r="P1280" s="21">
        <f>DATEVALUE(N1280&amp;"-"&amp;M1280&amp;"-"&amp;L1280)</f>
        <v>24646</v>
      </c>
      <c r="Q1280" s="22">
        <v>10601.63</v>
      </c>
      <c r="R1280" s="23" t="s">
        <v>4698</v>
      </c>
      <c r="S1280" s="23" t="s">
        <v>4697</v>
      </c>
      <c r="T1280" s="23" t="s">
        <v>4704</v>
      </c>
      <c r="U1280" s="23">
        <f>DATEDIF(P1280, DATE(2023, 6, 8), "Y")</f>
        <v>55</v>
      </c>
      <c r="V1280">
        <f>SUM(C1280:K1280)</f>
        <v>29.64</v>
      </c>
    </row>
    <row r="1281" spans="1:22" ht="15.75">
      <c r="A1281" s="28" t="s">
        <v>2560</v>
      </c>
      <c r="B1281" s="28" t="s">
        <v>2561</v>
      </c>
      <c r="C1281" s="23">
        <v>30.15</v>
      </c>
      <c r="D1281" s="23">
        <v>4.25</v>
      </c>
      <c r="E1281" s="23" t="s">
        <v>4682</v>
      </c>
      <c r="F1281" s="23" t="s">
        <v>4682</v>
      </c>
      <c r="G1281" s="23" t="s">
        <v>4682</v>
      </c>
      <c r="H1281" s="23">
        <v>1</v>
      </c>
      <c r="I1281" s="23" t="s">
        <v>4682</v>
      </c>
      <c r="J1281" s="23" t="s">
        <v>4729</v>
      </c>
      <c r="K1281" s="23" t="s">
        <v>4737</v>
      </c>
      <c r="L1281">
        <v>1966</v>
      </c>
      <c r="M1281" s="15" t="s">
        <v>4696</v>
      </c>
      <c r="N1281">
        <v>2</v>
      </c>
      <c r="O1281">
        <v>0</v>
      </c>
      <c r="P1281" s="21">
        <f>DATEVALUE(N1281&amp;"-"&amp;M1281&amp;"-"&amp;L1281)</f>
        <v>24290</v>
      </c>
      <c r="Q1281" s="22">
        <v>10602.39</v>
      </c>
      <c r="R1281" s="23" t="s">
        <v>4698</v>
      </c>
      <c r="S1281" s="23" t="s">
        <v>4698</v>
      </c>
      <c r="T1281" s="23" t="s">
        <v>4708</v>
      </c>
      <c r="U1281" s="23">
        <f>DATEDIF(P1281, DATE(2023, 6, 8), "Y")</f>
        <v>56</v>
      </c>
      <c r="V1281">
        <f>SUM(C1281:K1281)</f>
        <v>35.4</v>
      </c>
    </row>
    <row r="1282" spans="1:22" ht="15.75">
      <c r="A1282" s="28" t="s">
        <v>2562</v>
      </c>
      <c r="B1282" s="28" t="s">
        <v>2563</v>
      </c>
      <c r="C1282" s="23">
        <v>26.36</v>
      </c>
      <c r="D1282" s="23">
        <v>5.52</v>
      </c>
      <c r="E1282" s="23" t="s">
        <v>4682</v>
      </c>
      <c r="F1282" s="23" t="s">
        <v>4682</v>
      </c>
      <c r="G1282" s="23" t="s">
        <v>4682</v>
      </c>
      <c r="H1282" s="23">
        <v>0</v>
      </c>
      <c r="I1282" s="23" t="s">
        <v>4682</v>
      </c>
      <c r="J1282" s="23" t="s">
        <v>4730</v>
      </c>
      <c r="K1282" s="23" t="s">
        <v>4737</v>
      </c>
      <c r="L1282">
        <v>1965</v>
      </c>
      <c r="M1282" s="15" t="s">
        <v>4702</v>
      </c>
      <c r="N1282">
        <v>27</v>
      </c>
      <c r="O1282">
        <v>0</v>
      </c>
      <c r="P1282" s="21">
        <f>DATEVALUE(N1282&amp;"-"&amp;M1282&amp;"-"&amp;L1282)</f>
        <v>23920</v>
      </c>
      <c r="Q1282" s="22">
        <v>10608.67</v>
      </c>
      <c r="R1282" s="23" t="s">
        <v>4698</v>
      </c>
      <c r="S1282" s="23" t="s">
        <v>4698</v>
      </c>
      <c r="T1282" s="23" t="s">
        <v>4704</v>
      </c>
      <c r="U1282" s="23">
        <f>DATEDIF(P1282, DATE(2023, 6, 8), "Y")</f>
        <v>57</v>
      </c>
      <c r="V1282">
        <f>SUM(C1282:K1282)</f>
        <v>31.88</v>
      </c>
    </row>
    <row r="1283" spans="1:22" ht="15.75">
      <c r="A1283" s="28" t="s">
        <v>2564</v>
      </c>
      <c r="B1283" s="28" t="s">
        <v>2565</v>
      </c>
      <c r="C1283" s="23">
        <v>45.32</v>
      </c>
      <c r="D1283" s="23">
        <v>6.53</v>
      </c>
      <c r="E1283" s="23" t="s">
        <v>4683</v>
      </c>
      <c r="F1283" s="23" t="s">
        <v>4682</v>
      </c>
      <c r="G1283" s="23" t="s">
        <v>4682</v>
      </c>
      <c r="H1283" s="23">
        <v>1</v>
      </c>
      <c r="I1283" s="23" t="s">
        <v>4682</v>
      </c>
      <c r="J1283" s="23" t="s">
        <v>4729</v>
      </c>
      <c r="K1283" s="23" t="s">
        <v>4735</v>
      </c>
      <c r="L1283">
        <v>1992</v>
      </c>
      <c r="M1283" s="15" t="s">
        <v>4696</v>
      </c>
      <c r="N1283">
        <v>23</v>
      </c>
      <c r="O1283">
        <v>0</v>
      </c>
      <c r="P1283" s="21">
        <f>DATEVALUE(N1283&amp;"-"&amp;M1283&amp;"-"&amp;L1283)</f>
        <v>33808</v>
      </c>
      <c r="Q1283" s="22">
        <v>10617.04</v>
      </c>
      <c r="R1283" s="23" t="s">
        <v>4698</v>
      </c>
      <c r="S1283" s="23" t="s">
        <v>4698</v>
      </c>
      <c r="T1283" s="23" t="s">
        <v>4720</v>
      </c>
      <c r="U1283" s="23">
        <f>DATEDIF(P1283, DATE(2023, 6, 8), "Y")</f>
        <v>30</v>
      </c>
      <c r="V1283">
        <f>SUM(C1283:K1283)</f>
        <v>52.85</v>
      </c>
    </row>
    <row r="1284" spans="1:22" ht="15.75">
      <c r="A1284" s="28" t="s">
        <v>2566</v>
      </c>
      <c r="B1284" s="28" t="s">
        <v>2567</v>
      </c>
      <c r="C1284" s="23">
        <v>31.93</v>
      </c>
      <c r="D1284" s="23">
        <v>4.82</v>
      </c>
      <c r="E1284" s="23" t="s">
        <v>4683</v>
      </c>
      <c r="F1284" s="23" t="s">
        <v>4682</v>
      </c>
      <c r="G1284" s="23" t="s">
        <v>4682</v>
      </c>
      <c r="H1284" s="23">
        <v>1</v>
      </c>
      <c r="I1284" s="23" t="s">
        <v>4682</v>
      </c>
      <c r="J1284" s="23" t="s">
        <v>4729</v>
      </c>
      <c r="K1284" s="23" t="s">
        <v>4737</v>
      </c>
      <c r="L1284">
        <v>1990</v>
      </c>
      <c r="M1284" s="15" t="s">
        <v>4696</v>
      </c>
      <c r="N1284">
        <v>6</v>
      </c>
      <c r="O1284">
        <v>3</v>
      </c>
      <c r="P1284" s="21">
        <f>DATEVALUE(N1284&amp;"-"&amp;M1284&amp;"-"&amp;L1284)</f>
        <v>33060</v>
      </c>
      <c r="Q1284" s="22">
        <v>10620.26</v>
      </c>
      <c r="R1284" s="23" t="s">
        <v>4698</v>
      </c>
      <c r="S1284" s="23" t="s">
        <v>4698</v>
      </c>
      <c r="T1284" s="23" t="s">
        <v>4704</v>
      </c>
      <c r="U1284" s="23">
        <f>DATEDIF(P1284, DATE(2023, 6, 8), "Y")</f>
        <v>32</v>
      </c>
      <c r="V1284">
        <f>SUM(C1284:K1284)</f>
        <v>37.75</v>
      </c>
    </row>
    <row r="1285" spans="1:22" ht="15.75">
      <c r="A1285" s="28" t="s">
        <v>2568</v>
      </c>
      <c r="B1285" s="28" t="s">
        <v>2569</v>
      </c>
      <c r="C1285" s="23">
        <v>36</v>
      </c>
      <c r="D1285" s="23">
        <v>11.94</v>
      </c>
      <c r="E1285" s="23" t="s">
        <v>4683</v>
      </c>
      <c r="F1285" s="23" t="s">
        <v>4682</v>
      </c>
      <c r="G1285" s="23" t="s">
        <v>4682</v>
      </c>
      <c r="H1285" s="23">
        <v>1</v>
      </c>
      <c r="I1285" s="23" t="s">
        <v>4682</v>
      </c>
      <c r="J1285" s="23" t="s">
        <v>4729</v>
      </c>
      <c r="K1285" s="23" t="s">
        <v>4735</v>
      </c>
      <c r="L1285">
        <v>1964</v>
      </c>
      <c r="M1285" s="15" t="s">
        <v>4706</v>
      </c>
      <c r="N1285">
        <v>8</v>
      </c>
      <c r="O1285">
        <v>0</v>
      </c>
      <c r="P1285" s="21">
        <f>DATEVALUE(N1285&amp;"-"&amp;M1285&amp;"-"&amp;L1285)</f>
        <v>23597</v>
      </c>
      <c r="Q1285" s="22">
        <v>10627.81</v>
      </c>
      <c r="R1285" s="23" t="s">
        <v>4698</v>
      </c>
      <c r="S1285" s="23" t="s">
        <v>4698</v>
      </c>
      <c r="T1285" s="23" t="s">
        <v>4699</v>
      </c>
      <c r="U1285" s="23">
        <f>DATEDIF(P1285, DATE(2023, 6, 8), "Y")</f>
        <v>58</v>
      </c>
      <c r="V1285">
        <f>SUM(C1285:K1285)</f>
        <v>48.94</v>
      </c>
    </row>
    <row r="1286" spans="1:22" ht="15.75">
      <c r="A1286" s="28" t="s">
        <v>2570</v>
      </c>
      <c r="B1286" s="28" t="s">
        <v>2571</v>
      </c>
      <c r="C1286" s="23">
        <v>32</v>
      </c>
      <c r="D1286" s="23">
        <v>7.85</v>
      </c>
      <c r="E1286" s="23" t="s">
        <v>4683</v>
      </c>
      <c r="F1286" s="23" t="s">
        <v>4682</v>
      </c>
      <c r="G1286" s="23" t="s">
        <v>4682</v>
      </c>
      <c r="H1286" s="23">
        <v>1</v>
      </c>
      <c r="I1286" s="23" t="s">
        <v>4682</v>
      </c>
      <c r="J1286" s="23" t="s">
        <v>4729</v>
      </c>
      <c r="K1286" s="23" t="s">
        <v>4735</v>
      </c>
      <c r="L1286">
        <v>1976</v>
      </c>
      <c r="M1286" s="15" t="s">
        <v>4700</v>
      </c>
      <c r="N1286">
        <v>22</v>
      </c>
      <c r="O1286">
        <v>2</v>
      </c>
      <c r="P1286" s="21">
        <f>DATEVALUE(N1286&amp;"-"&amp;M1286&amp;"-"&amp;L1286)</f>
        <v>28086</v>
      </c>
      <c r="Q1286" s="22">
        <v>10665.44</v>
      </c>
      <c r="R1286" s="23" t="s">
        <v>4698</v>
      </c>
      <c r="S1286" s="23" t="s">
        <v>4697</v>
      </c>
      <c r="T1286" s="23" t="s">
        <v>4717</v>
      </c>
      <c r="U1286" s="23">
        <f>DATEDIF(P1286, DATE(2023, 6, 8), "Y")</f>
        <v>46</v>
      </c>
      <c r="V1286">
        <f>SUM(C1286:K1286)</f>
        <v>40.85</v>
      </c>
    </row>
    <row r="1287" spans="1:22" ht="15.75">
      <c r="A1287" s="28" t="s">
        <v>2572</v>
      </c>
      <c r="B1287" s="28" t="s">
        <v>2573</v>
      </c>
      <c r="C1287" s="23">
        <v>29.37</v>
      </c>
      <c r="D1287" s="23">
        <v>8.01</v>
      </c>
      <c r="E1287" s="23" t="s">
        <v>4683</v>
      </c>
      <c r="F1287" s="23" t="s">
        <v>4682</v>
      </c>
      <c r="G1287" s="23" t="s">
        <v>4682</v>
      </c>
      <c r="H1287" s="23">
        <v>1</v>
      </c>
      <c r="I1287" s="23" t="s">
        <v>4682</v>
      </c>
      <c r="J1287" s="23" t="s">
        <v>4730</v>
      </c>
      <c r="K1287" s="23" t="s">
        <v>4735</v>
      </c>
      <c r="L1287">
        <v>1962</v>
      </c>
      <c r="M1287" s="15" t="s">
        <v>4703</v>
      </c>
      <c r="N1287">
        <v>7</v>
      </c>
      <c r="O1287">
        <v>0</v>
      </c>
      <c r="P1287" s="21">
        <f>DATEVALUE(N1287&amp;"-"&amp;M1287&amp;"-"&amp;L1287)</f>
        <v>22896</v>
      </c>
      <c r="Q1287" s="22">
        <v>10676.83</v>
      </c>
      <c r="R1287" s="23" t="s">
        <v>4698</v>
      </c>
      <c r="S1287" s="23" t="s">
        <v>4698</v>
      </c>
      <c r="T1287" s="23" t="s">
        <v>4699</v>
      </c>
      <c r="U1287" s="23">
        <f>DATEDIF(P1287, DATE(2023, 6, 8), "Y")</f>
        <v>60</v>
      </c>
      <c r="V1287">
        <f>SUM(C1287:K1287)</f>
        <v>38.380000000000003</v>
      </c>
    </row>
    <row r="1288" spans="1:22" ht="15.75">
      <c r="A1288" s="28" t="s">
        <v>2574</v>
      </c>
      <c r="B1288" s="28" t="s">
        <v>2575</v>
      </c>
      <c r="C1288" s="23">
        <v>23.6</v>
      </c>
      <c r="D1288" s="23">
        <v>7.4</v>
      </c>
      <c r="E1288" s="23" t="s">
        <v>4683</v>
      </c>
      <c r="F1288" s="23" t="s">
        <v>4682</v>
      </c>
      <c r="G1288" s="23" t="s">
        <v>4682</v>
      </c>
      <c r="H1288" s="23">
        <v>1</v>
      </c>
      <c r="I1288" s="23" t="s">
        <v>4682</v>
      </c>
      <c r="J1288" s="23" t="s">
        <v>4728</v>
      </c>
      <c r="K1288" s="23" t="s">
        <v>4735</v>
      </c>
      <c r="L1288">
        <v>1977</v>
      </c>
      <c r="M1288" s="15" t="s">
        <v>4706</v>
      </c>
      <c r="N1288">
        <v>2</v>
      </c>
      <c r="O1288">
        <v>2</v>
      </c>
      <c r="P1288" s="21">
        <f>DATEVALUE(N1288&amp;"-"&amp;M1288&amp;"-"&amp;L1288)</f>
        <v>28339</v>
      </c>
      <c r="Q1288" s="22">
        <v>10690.11</v>
      </c>
      <c r="R1288" s="23" t="s">
        <v>4698</v>
      </c>
      <c r="S1288" s="23" t="s">
        <v>4697</v>
      </c>
      <c r="T1288" s="23" t="s">
        <v>4717</v>
      </c>
      <c r="U1288" s="23">
        <f>DATEDIF(P1288, DATE(2023, 6, 8), "Y")</f>
        <v>45</v>
      </c>
      <c r="V1288">
        <f>SUM(C1288:K1288)</f>
        <v>32</v>
      </c>
    </row>
    <row r="1289" spans="1:22" ht="15.75">
      <c r="A1289" s="28" t="s">
        <v>2576</v>
      </c>
      <c r="B1289" s="28" t="s">
        <v>2577</v>
      </c>
      <c r="C1289" s="23">
        <v>33.155000000000001</v>
      </c>
      <c r="D1289" s="23">
        <v>8.3800000000000008</v>
      </c>
      <c r="E1289" s="23" t="s">
        <v>4683</v>
      </c>
      <c r="F1289" s="23" t="s">
        <v>4682</v>
      </c>
      <c r="G1289" s="23" t="s">
        <v>4682</v>
      </c>
      <c r="H1289" s="23">
        <v>0</v>
      </c>
      <c r="I1289" s="23" t="s">
        <v>4682</v>
      </c>
      <c r="J1289" s="23" t="s">
        <v>4729</v>
      </c>
      <c r="K1289" s="23" t="s">
        <v>4735</v>
      </c>
      <c r="L1289">
        <v>1976</v>
      </c>
      <c r="M1289" s="15" t="s">
        <v>4703</v>
      </c>
      <c r="N1289">
        <v>30</v>
      </c>
      <c r="O1289">
        <v>2</v>
      </c>
      <c r="P1289" s="21">
        <f>DATEVALUE(N1289&amp;"-"&amp;M1289&amp;"-"&amp;L1289)</f>
        <v>28033</v>
      </c>
      <c r="Q1289" s="22">
        <v>10698.38</v>
      </c>
      <c r="R1289" s="23" t="s">
        <v>4698</v>
      </c>
      <c r="S1289" s="23" t="s">
        <v>4701</v>
      </c>
      <c r="T1289" s="23" t="s">
        <v>4713</v>
      </c>
      <c r="U1289" s="23">
        <f>DATEDIF(P1289, DATE(2023, 6, 8), "Y")</f>
        <v>46</v>
      </c>
      <c r="V1289">
        <f>SUM(C1289:K1289)</f>
        <v>41.535000000000004</v>
      </c>
    </row>
    <row r="1290" spans="1:22" ht="15.75">
      <c r="A1290" s="28" t="s">
        <v>2578</v>
      </c>
      <c r="B1290" s="28" t="s">
        <v>2579</v>
      </c>
      <c r="C1290" s="23">
        <v>24.32</v>
      </c>
      <c r="D1290" s="23">
        <v>11.56</v>
      </c>
      <c r="E1290" s="23" t="s">
        <v>4683</v>
      </c>
      <c r="F1290" s="23" t="s">
        <v>4682</v>
      </c>
      <c r="G1290" s="23" t="s">
        <v>4682</v>
      </c>
      <c r="H1290" s="23">
        <v>1</v>
      </c>
      <c r="I1290" s="23" t="s">
        <v>4682</v>
      </c>
      <c r="J1290" s="23" t="s">
        <v>4728</v>
      </c>
      <c r="K1290" s="23" t="s">
        <v>4735</v>
      </c>
      <c r="L1290">
        <v>1972</v>
      </c>
      <c r="M1290" s="15" t="s">
        <v>4707</v>
      </c>
      <c r="N1290">
        <v>24</v>
      </c>
      <c r="O1290">
        <v>3</v>
      </c>
      <c r="P1290" s="21">
        <f>DATEVALUE(N1290&amp;"-"&amp;M1290&amp;"-"&amp;L1290)</f>
        <v>26596</v>
      </c>
      <c r="Q1290" s="22">
        <v>10702.64</v>
      </c>
      <c r="R1290" s="23" t="s">
        <v>4698</v>
      </c>
      <c r="S1290" s="23" t="s">
        <v>4698</v>
      </c>
      <c r="T1290" s="23" t="s">
        <v>4699</v>
      </c>
      <c r="U1290" s="23">
        <f>DATEDIF(P1290, DATE(2023, 6, 8), "Y")</f>
        <v>50</v>
      </c>
      <c r="V1290">
        <f>SUM(C1290:K1290)</f>
        <v>36.880000000000003</v>
      </c>
    </row>
    <row r="1291" spans="1:22" ht="15.75">
      <c r="A1291" s="28" t="s">
        <v>2580</v>
      </c>
      <c r="B1291" s="28" t="s">
        <v>2581</v>
      </c>
      <c r="C1291" s="23">
        <v>36.299999999999997</v>
      </c>
      <c r="D1291" s="23">
        <v>4.6100000000000003</v>
      </c>
      <c r="E1291" s="23" t="s">
        <v>4682</v>
      </c>
      <c r="F1291" s="23" t="s">
        <v>4682</v>
      </c>
      <c r="G1291" s="23" t="s">
        <v>4682</v>
      </c>
      <c r="H1291" s="23">
        <v>0</v>
      </c>
      <c r="I1291" s="23" t="s">
        <v>4682</v>
      </c>
      <c r="J1291" s="23" t="s">
        <v>4729</v>
      </c>
      <c r="K1291" s="23" t="s">
        <v>4737</v>
      </c>
      <c r="L1291">
        <v>1967</v>
      </c>
      <c r="M1291" s="15" t="s">
        <v>4696</v>
      </c>
      <c r="N1291">
        <v>30</v>
      </c>
      <c r="O1291">
        <v>0</v>
      </c>
      <c r="P1291" s="21">
        <f>DATEVALUE(N1291&amp;"-"&amp;M1291&amp;"-"&amp;L1291)</f>
        <v>24683</v>
      </c>
      <c r="Q1291" s="22">
        <v>10704.47</v>
      </c>
      <c r="R1291" s="23" t="s">
        <v>4698</v>
      </c>
      <c r="S1291" s="23" t="s">
        <v>4697</v>
      </c>
      <c r="T1291" s="23" t="s">
        <v>4708</v>
      </c>
      <c r="U1291" s="23">
        <f>DATEDIF(P1291, DATE(2023, 6, 8), "Y")</f>
        <v>55</v>
      </c>
      <c r="V1291">
        <f>SUM(C1291:K1291)</f>
        <v>40.909999999999997</v>
      </c>
    </row>
    <row r="1292" spans="1:22" ht="15.75">
      <c r="A1292" s="28" t="s">
        <v>2582</v>
      </c>
      <c r="B1292" s="28" t="s">
        <v>2583</v>
      </c>
      <c r="C1292" s="23">
        <v>34.4</v>
      </c>
      <c r="D1292" s="23">
        <v>4.95</v>
      </c>
      <c r="E1292" s="23" t="s">
        <v>4682</v>
      </c>
      <c r="F1292" s="23" t="s">
        <v>4682</v>
      </c>
      <c r="G1292" s="23" t="s">
        <v>4684</v>
      </c>
      <c r="H1292" s="23">
        <v>1</v>
      </c>
      <c r="I1292" s="23" t="s">
        <v>4682</v>
      </c>
      <c r="J1292" s="23" t="s">
        <v>4729</v>
      </c>
      <c r="K1292" s="23" t="s">
        <v>4737</v>
      </c>
      <c r="L1292">
        <v>1967</v>
      </c>
      <c r="M1292" s="15" t="s">
        <v>4707</v>
      </c>
      <c r="N1292">
        <v>5</v>
      </c>
      <c r="O1292">
        <v>0</v>
      </c>
      <c r="P1292" s="21">
        <f>DATEVALUE(N1292&amp;"-"&amp;M1292&amp;"-"&amp;L1292)</f>
        <v>24750</v>
      </c>
      <c r="Q1292" s="22">
        <v>10713.64</v>
      </c>
      <c r="R1292" s="23" t="s">
        <v>4698</v>
      </c>
      <c r="S1292" s="23" t="s">
        <v>4698</v>
      </c>
      <c r="T1292" s="23" t="s">
        <v>4708</v>
      </c>
      <c r="U1292" s="23">
        <f>DATEDIF(P1292, DATE(2023, 6, 8), "Y")</f>
        <v>55</v>
      </c>
      <c r="V1292">
        <f>SUM(C1292:K1292)</f>
        <v>40.35</v>
      </c>
    </row>
    <row r="1293" spans="1:22" ht="15.75">
      <c r="A1293" s="28" t="s">
        <v>2584</v>
      </c>
      <c r="B1293" s="28" t="s">
        <v>2585</v>
      </c>
      <c r="C1293" s="23">
        <v>30.9</v>
      </c>
      <c r="D1293" s="23">
        <v>5.04</v>
      </c>
      <c r="E1293" s="23" t="s">
        <v>4682</v>
      </c>
      <c r="F1293" s="23" t="s">
        <v>4682</v>
      </c>
      <c r="G1293" s="23" t="s">
        <v>4682</v>
      </c>
      <c r="H1293" s="23">
        <v>0</v>
      </c>
      <c r="I1293" s="23" t="s">
        <v>4682</v>
      </c>
      <c r="J1293" s="23" t="s">
        <v>4729</v>
      </c>
      <c r="K1293" s="23" t="s">
        <v>4737</v>
      </c>
      <c r="L1293">
        <v>1992</v>
      </c>
      <c r="M1293" s="15" t="s">
        <v>4702</v>
      </c>
      <c r="N1293">
        <v>25</v>
      </c>
      <c r="O1293">
        <v>0</v>
      </c>
      <c r="P1293" s="21">
        <f>DATEVALUE(N1293&amp;"-"&amp;M1293&amp;"-"&amp;L1293)</f>
        <v>33780</v>
      </c>
      <c r="Q1293" s="22">
        <v>10719.57</v>
      </c>
      <c r="R1293" s="23" t="s">
        <v>4698</v>
      </c>
      <c r="S1293" s="23" t="s">
        <v>4701</v>
      </c>
      <c r="T1293" s="23" t="s">
        <v>4704</v>
      </c>
      <c r="U1293" s="23">
        <f>DATEDIF(P1293, DATE(2023, 6, 8), "Y")</f>
        <v>30</v>
      </c>
      <c r="V1293">
        <f>SUM(C1293:K1293)</f>
        <v>35.94</v>
      </c>
    </row>
    <row r="1294" spans="1:22" ht="15.75">
      <c r="A1294" s="28" t="s">
        <v>2586</v>
      </c>
      <c r="B1294" s="28" t="s">
        <v>2587</v>
      </c>
      <c r="C1294" s="23">
        <v>28.6</v>
      </c>
      <c r="D1294" s="23">
        <v>5.42</v>
      </c>
      <c r="E1294" s="23" t="s">
        <v>4682</v>
      </c>
      <c r="F1294" s="23" t="s">
        <v>4682</v>
      </c>
      <c r="G1294" s="23" t="s">
        <v>4682</v>
      </c>
      <c r="H1294" s="23">
        <v>0</v>
      </c>
      <c r="I1294" s="23" t="s">
        <v>4682</v>
      </c>
      <c r="J1294" s="23" t="s">
        <v>4730</v>
      </c>
      <c r="K1294" s="23" t="s">
        <v>4737</v>
      </c>
      <c r="L1294">
        <v>1974</v>
      </c>
      <c r="M1294" s="15" t="s">
        <v>4705</v>
      </c>
      <c r="N1294">
        <v>9</v>
      </c>
      <c r="O1294">
        <v>4</v>
      </c>
      <c r="P1294" s="21">
        <f>DATEVALUE(N1294&amp;"-"&amp;M1294&amp;"-"&amp;L1294)</f>
        <v>27372</v>
      </c>
      <c r="Q1294" s="22">
        <v>10736.87</v>
      </c>
      <c r="R1294" s="23" t="s">
        <v>4698</v>
      </c>
      <c r="S1294" s="23" t="s">
        <v>4701</v>
      </c>
      <c r="T1294" s="23" t="s">
        <v>4711</v>
      </c>
      <c r="U1294" s="23">
        <f>DATEDIF(P1294, DATE(2023, 6, 8), "Y")</f>
        <v>48</v>
      </c>
      <c r="V1294">
        <f>SUM(C1294:K1294)</f>
        <v>34.020000000000003</v>
      </c>
    </row>
    <row r="1295" spans="1:22" ht="15.75">
      <c r="A1295" s="28" t="s">
        <v>2588</v>
      </c>
      <c r="B1295" s="28" t="s">
        <v>2589</v>
      </c>
      <c r="C1295" s="23">
        <v>27.83</v>
      </c>
      <c r="D1295" s="23">
        <v>5.39</v>
      </c>
      <c r="E1295" s="23" t="s">
        <v>4682</v>
      </c>
      <c r="F1295" s="23" t="s">
        <v>4682</v>
      </c>
      <c r="G1295" s="23" t="s">
        <v>4682</v>
      </c>
      <c r="H1295" s="23">
        <v>0</v>
      </c>
      <c r="I1295" s="23" t="s">
        <v>4682</v>
      </c>
      <c r="J1295" s="23" t="s">
        <v>4730</v>
      </c>
      <c r="K1295" s="23" t="s">
        <v>4737</v>
      </c>
      <c r="L1295">
        <v>1986</v>
      </c>
      <c r="M1295" s="15" t="s">
        <v>4706</v>
      </c>
      <c r="N1295">
        <v>29</v>
      </c>
      <c r="O1295">
        <v>3</v>
      </c>
      <c r="P1295" s="21">
        <f>DATEVALUE(N1295&amp;"-"&amp;M1295&amp;"-"&amp;L1295)</f>
        <v>31653</v>
      </c>
      <c r="Q1295" s="22">
        <v>10749.02</v>
      </c>
      <c r="R1295" s="23" t="s">
        <v>4698</v>
      </c>
      <c r="S1295" s="23" t="s">
        <v>4701</v>
      </c>
      <c r="T1295" s="23" t="s">
        <v>4720</v>
      </c>
      <c r="U1295" s="23">
        <f>DATEDIF(P1295, DATE(2023, 6, 8), "Y")</f>
        <v>36</v>
      </c>
      <c r="V1295">
        <f>SUM(C1295:K1295)</f>
        <v>33.22</v>
      </c>
    </row>
    <row r="1296" spans="1:22" ht="15.75">
      <c r="A1296" s="28" t="s">
        <v>2590</v>
      </c>
      <c r="B1296" s="28" t="s">
        <v>2591</v>
      </c>
      <c r="C1296" s="23">
        <v>39.64</v>
      </c>
      <c r="D1296" s="23">
        <v>6</v>
      </c>
      <c r="E1296" s="23" t="s">
        <v>4682</v>
      </c>
      <c r="F1296" s="23" t="s">
        <v>4682</v>
      </c>
      <c r="G1296" s="23" t="s">
        <v>4684</v>
      </c>
      <c r="H1296" s="23">
        <v>1</v>
      </c>
      <c r="I1296" s="23" t="s">
        <v>4682</v>
      </c>
      <c r="J1296" s="23" t="s">
        <v>4729</v>
      </c>
      <c r="K1296" s="23" t="s">
        <v>4736</v>
      </c>
      <c r="L1296">
        <v>1989</v>
      </c>
      <c r="M1296" s="15" t="s">
        <v>4700</v>
      </c>
      <c r="N1296">
        <v>25</v>
      </c>
      <c r="O1296">
        <v>3</v>
      </c>
      <c r="P1296" s="21">
        <f>DATEVALUE(N1296&amp;"-"&amp;M1296&amp;"-"&amp;L1296)</f>
        <v>32837</v>
      </c>
      <c r="Q1296" s="22">
        <v>10769.75</v>
      </c>
      <c r="R1296" s="23" t="s">
        <v>4698</v>
      </c>
      <c r="S1296" s="23" t="s">
        <v>4697</v>
      </c>
      <c r="T1296" s="23" t="s">
        <v>4721</v>
      </c>
      <c r="U1296" s="23">
        <f>DATEDIF(P1296, DATE(2023, 6, 8), "Y")</f>
        <v>33</v>
      </c>
      <c r="V1296">
        <f>SUM(C1296:K1296)</f>
        <v>46.64</v>
      </c>
    </row>
    <row r="1297" spans="1:22" ht="15.75">
      <c r="A1297" s="28" t="s">
        <v>2592</v>
      </c>
      <c r="B1297" s="28" t="s">
        <v>2593</v>
      </c>
      <c r="C1297" s="23">
        <v>38.479999999999997</v>
      </c>
      <c r="D1297" s="23">
        <v>6.02</v>
      </c>
      <c r="E1297" s="23" t="s">
        <v>4682</v>
      </c>
      <c r="F1297" s="23" t="s">
        <v>4682</v>
      </c>
      <c r="G1297" s="23" t="s">
        <v>4682</v>
      </c>
      <c r="H1297" s="23">
        <v>1</v>
      </c>
      <c r="I1297" s="23" t="s">
        <v>4682</v>
      </c>
      <c r="J1297" s="23" t="s">
        <v>4729</v>
      </c>
      <c r="K1297" s="23" t="s">
        <v>4736</v>
      </c>
      <c r="L1297">
        <v>1967</v>
      </c>
      <c r="M1297" s="15" t="s">
        <v>4700</v>
      </c>
      <c r="N1297">
        <v>11</v>
      </c>
      <c r="O1297">
        <v>1</v>
      </c>
      <c r="P1297" s="21">
        <f>DATEVALUE(N1297&amp;"-"&amp;M1297&amp;"-"&amp;L1297)</f>
        <v>24787</v>
      </c>
      <c r="Q1297" s="22">
        <v>10791.96</v>
      </c>
      <c r="R1297" s="23" t="s">
        <v>4698</v>
      </c>
      <c r="S1297" s="23" t="s">
        <v>4697</v>
      </c>
      <c r="T1297" s="23" t="s">
        <v>4708</v>
      </c>
      <c r="U1297" s="23">
        <f>DATEDIF(P1297, DATE(2023, 6, 8), "Y")</f>
        <v>55</v>
      </c>
      <c r="V1297">
        <f>SUM(C1297:K1297)</f>
        <v>45.5</v>
      </c>
    </row>
    <row r="1298" spans="1:22" ht="15.75">
      <c r="A1298" s="28" t="s">
        <v>2594</v>
      </c>
      <c r="B1298" s="28" t="s">
        <v>2595</v>
      </c>
      <c r="C1298" s="23">
        <v>36.200000000000003</v>
      </c>
      <c r="D1298" s="23">
        <v>4.62</v>
      </c>
      <c r="E1298" s="23" t="s">
        <v>4682</v>
      </c>
      <c r="F1298" s="23" t="s">
        <v>4682</v>
      </c>
      <c r="G1298" s="23" t="s">
        <v>4682</v>
      </c>
      <c r="H1298" s="23">
        <v>2</v>
      </c>
      <c r="I1298" s="23" t="s">
        <v>4682</v>
      </c>
      <c r="J1298" s="23" t="s">
        <v>4729</v>
      </c>
      <c r="K1298" s="23" t="s">
        <v>4737</v>
      </c>
      <c r="L1298">
        <v>1999</v>
      </c>
      <c r="M1298" s="15" t="s">
        <v>4705</v>
      </c>
      <c r="N1298">
        <v>24</v>
      </c>
      <c r="O1298">
        <v>0</v>
      </c>
      <c r="P1298" s="21">
        <f>DATEVALUE(N1298&amp;"-"&amp;M1298&amp;"-"&amp;L1298)</f>
        <v>36518</v>
      </c>
      <c r="Q1298" s="22">
        <v>10795.94</v>
      </c>
      <c r="R1298" s="23" t="s">
        <v>4698</v>
      </c>
      <c r="S1298" s="23" t="s">
        <v>4701</v>
      </c>
      <c r="T1298" s="23" t="s">
        <v>4708</v>
      </c>
      <c r="U1298" s="23">
        <f>DATEDIF(P1298, DATE(2023, 6, 8), "Y")</f>
        <v>23</v>
      </c>
      <c r="V1298">
        <f>SUM(C1298:K1298)</f>
        <v>42.82</v>
      </c>
    </row>
    <row r="1299" spans="1:22" ht="15.75">
      <c r="A1299" s="28" t="s">
        <v>2596</v>
      </c>
      <c r="B1299" s="28" t="s">
        <v>2597</v>
      </c>
      <c r="C1299" s="23">
        <v>27.13</v>
      </c>
      <c r="D1299" s="23">
        <v>5.59</v>
      </c>
      <c r="E1299" s="23" t="s">
        <v>4682</v>
      </c>
      <c r="F1299" s="23" t="s">
        <v>4682</v>
      </c>
      <c r="G1299" s="23" t="s">
        <v>4682</v>
      </c>
      <c r="H1299" s="23">
        <v>1</v>
      </c>
      <c r="I1299" s="23" t="s">
        <v>4682</v>
      </c>
      <c r="J1299" s="23" t="s">
        <v>4730</v>
      </c>
      <c r="K1299" s="23" t="s">
        <v>4737</v>
      </c>
      <c r="L1299">
        <v>1967</v>
      </c>
      <c r="M1299" s="15" t="s">
        <v>4707</v>
      </c>
      <c r="N1299">
        <v>23</v>
      </c>
      <c r="O1299">
        <v>0</v>
      </c>
      <c r="P1299" s="21">
        <f>DATEVALUE(N1299&amp;"-"&amp;M1299&amp;"-"&amp;L1299)</f>
        <v>24768</v>
      </c>
      <c r="Q1299" s="22">
        <v>10796.35</v>
      </c>
      <c r="R1299" s="23" t="s">
        <v>4698</v>
      </c>
      <c r="S1299" s="23" t="s">
        <v>4701</v>
      </c>
      <c r="T1299" s="23" t="s">
        <v>4710</v>
      </c>
      <c r="U1299" s="23">
        <f>DATEDIF(P1299, DATE(2023, 6, 8), "Y")</f>
        <v>55</v>
      </c>
      <c r="V1299">
        <f>SUM(C1299:K1299)</f>
        <v>33.72</v>
      </c>
    </row>
    <row r="1300" spans="1:22" ht="15.75">
      <c r="A1300" s="28" t="s">
        <v>2598</v>
      </c>
      <c r="B1300" s="28" t="s">
        <v>2599</v>
      </c>
      <c r="C1300" s="23">
        <v>20.75</v>
      </c>
      <c r="D1300" s="23">
        <v>5.18</v>
      </c>
      <c r="E1300" s="23" t="s">
        <v>4683</v>
      </c>
      <c r="F1300" s="23" t="s">
        <v>4682</v>
      </c>
      <c r="G1300" s="23" t="s">
        <v>4682</v>
      </c>
      <c r="H1300" s="23">
        <v>2</v>
      </c>
      <c r="I1300" s="23" t="s">
        <v>4682</v>
      </c>
      <c r="J1300" s="23" t="s">
        <v>4728</v>
      </c>
      <c r="K1300" s="23" t="s">
        <v>4737</v>
      </c>
      <c r="L1300">
        <v>1970</v>
      </c>
      <c r="M1300" s="15" t="s">
        <v>4707</v>
      </c>
      <c r="N1300">
        <v>28</v>
      </c>
      <c r="O1300">
        <v>1</v>
      </c>
      <c r="P1300" s="21">
        <f>DATEVALUE(N1300&amp;"-"&amp;M1300&amp;"-"&amp;L1300)</f>
        <v>25869</v>
      </c>
      <c r="Q1300" s="22">
        <v>10797.34</v>
      </c>
      <c r="R1300" s="23" t="s">
        <v>4698</v>
      </c>
      <c r="S1300" s="23" t="s">
        <v>4697</v>
      </c>
      <c r="T1300" s="23" t="s">
        <v>4715</v>
      </c>
      <c r="U1300" s="23">
        <f>DATEDIF(P1300, DATE(2023, 6, 8), "Y")</f>
        <v>52</v>
      </c>
      <c r="V1300">
        <f>SUM(C1300:K1300)</f>
        <v>27.93</v>
      </c>
    </row>
    <row r="1301" spans="1:22" ht="15.75">
      <c r="A1301" s="28" t="s">
        <v>2600</v>
      </c>
      <c r="B1301" s="28" t="s">
        <v>2601</v>
      </c>
      <c r="C1301" s="23">
        <v>26.6</v>
      </c>
      <c r="D1301" s="23">
        <v>6.29</v>
      </c>
      <c r="E1301" s="23" t="s">
        <v>4682</v>
      </c>
      <c r="F1301" s="23" t="s">
        <v>4682</v>
      </c>
      <c r="G1301" s="23" t="s">
        <v>4682</v>
      </c>
      <c r="H1301" s="23">
        <v>2</v>
      </c>
      <c r="I1301" s="23" t="s">
        <v>4682</v>
      </c>
      <c r="J1301" s="23" t="s">
        <v>4730</v>
      </c>
      <c r="K1301" s="23" t="s">
        <v>4736</v>
      </c>
      <c r="L1301">
        <v>1970</v>
      </c>
      <c r="M1301" s="15" t="s">
        <v>4705</v>
      </c>
      <c r="N1301">
        <v>18</v>
      </c>
      <c r="O1301">
        <v>2</v>
      </c>
      <c r="P1301" s="21">
        <f>DATEVALUE(N1301&amp;"-"&amp;M1301&amp;"-"&amp;L1301)</f>
        <v>25920</v>
      </c>
      <c r="Q1301" s="22">
        <v>10806.84</v>
      </c>
      <c r="R1301" s="23" t="s">
        <v>4698</v>
      </c>
      <c r="S1301" s="23" t="s">
        <v>4697</v>
      </c>
      <c r="T1301" s="23" t="s">
        <v>4708</v>
      </c>
      <c r="U1301" s="23">
        <f>DATEDIF(P1301, DATE(2023, 6, 8), "Y")</f>
        <v>52</v>
      </c>
      <c r="V1301">
        <f>SUM(C1301:K1301)</f>
        <v>34.89</v>
      </c>
    </row>
    <row r="1302" spans="1:22" ht="15.75">
      <c r="A1302" s="28" t="s">
        <v>2602</v>
      </c>
      <c r="B1302" s="28" t="s">
        <v>2603</v>
      </c>
      <c r="C1302" s="23">
        <v>25.3</v>
      </c>
      <c r="D1302" s="23">
        <v>4.49</v>
      </c>
      <c r="E1302" s="23" t="s">
        <v>4682</v>
      </c>
      <c r="F1302" s="23" t="s">
        <v>4682</v>
      </c>
      <c r="G1302" s="23" t="s">
        <v>4682</v>
      </c>
      <c r="H1302" s="23">
        <v>2</v>
      </c>
      <c r="I1302" s="23" t="s">
        <v>4682</v>
      </c>
      <c r="J1302" s="23" t="s">
        <v>4730</v>
      </c>
      <c r="K1302" s="23" t="s">
        <v>4737</v>
      </c>
      <c r="L1302">
        <v>1967</v>
      </c>
      <c r="M1302" s="15" t="s">
        <v>4707</v>
      </c>
      <c r="N1302">
        <v>2</v>
      </c>
      <c r="O1302">
        <v>1</v>
      </c>
      <c r="P1302" s="21">
        <f>DATEVALUE(N1302&amp;"-"&amp;M1302&amp;"-"&amp;L1302)</f>
        <v>24747</v>
      </c>
      <c r="Q1302" s="22">
        <v>10807.49</v>
      </c>
      <c r="R1302" s="23" t="s">
        <v>4698</v>
      </c>
      <c r="S1302" s="23" t="s">
        <v>4697</v>
      </c>
      <c r="T1302" s="23" t="s">
        <v>4699</v>
      </c>
      <c r="U1302" s="23">
        <f>DATEDIF(P1302, DATE(2023, 6, 8), "Y")</f>
        <v>55</v>
      </c>
      <c r="V1302">
        <f>SUM(C1302:K1302)</f>
        <v>31.79</v>
      </c>
    </row>
    <row r="1303" spans="1:22" ht="15.75">
      <c r="A1303" s="28" t="s">
        <v>2604</v>
      </c>
      <c r="B1303" s="28" t="s">
        <v>2605</v>
      </c>
      <c r="C1303" s="23">
        <v>18.84</v>
      </c>
      <c r="D1303" s="23">
        <v>11.82</v>
      </c>
      <c r="E1303" s="23" t="s">
        <v>4683</v>
      </c>
      <c r="F1303" s="23" t="s">
        <v>4682</v>
      </c>
      <c r="G1303" s="23" t="s">
        <v>4684</v>
      </c>
      <c r="H1303" s="23">
        <v>1</v>
      </c>
      <c r="I1303" s="23" t="s">
        <v>4682</v>
      </c>
      <c r="J1303" s="23" t="s">
        <v>4728</v>
      </c>
      <c r="K1303" s="23" t="s">
        <v>4735</v>
      </c>
      <c r="L1303">
        <v>1968</v>
      </c>
      <c r="M1303" s="15" t="s">
        <v>4696</v>
      </c>
      <c r="N1303">
        <v>28</v>
      </c>
      <c r="O1303">
        <v>1</v>
      </c>
      <c r="P1303" s="21">
        <f>DATEVALUE(N1303&amp;"-"&amp;M1303&amp;"-"&amp;L1303)</f>
        <v>25047</v>
      </c>
      <c r="Q1303" s="22">
        <v>10825.25</v>
      </c>
      <c r="R1303" s="23" t="s">
        <v>4698</v>
      </c>
      <c r="S1303" s="23" t="s">
        <v>4698</v>
      </c>
      <c r="T1303" s="23" t="s">
        <v>4704</v>
      </c>
      <c r="U1303" s="23">
        <f>DATEDIF(P1303, DATE(2023, 6, 8), "Y")</f>
        <v>54</v>
      </c>
      <c r="V1303">
        <f>SUM(C1303:K1303)</f>
        <v>31.66</v>
      </c>
    </row>
    <row r="1304" spans="1:22" ht="15.75">
      <c r="A1304" s="28" t="s">
        <v>2606</v>
      </c>
      <c r="B1304" s="28" t="s">
        <v>2607</v>
      </c>
      <c r="C1304" s="23">
        <v>19.57</v>
      </c>
      <c r="D1304" s="23">
        <v>7.41</v>
      </c>
      <c r="E1304" s="23" t="s">
        <v>4683</v>
      </c>
      <c r="F1304" s="23" t="s">
        <v>4682</v>
      </c>
      <c r="G1304" s="23" t="s">
        <v>4682</v>
      </c>
      <c r="H1304" s="23">
        <v>1</v>
      </c>
      <c r="I1304" s="23" t="s">
        <v>4682</v>
      </c>
      <c r="J1304" s="23" t="s">
        <v>4728</v>
      </c>
      <c r="K1304" s="23" t="s">
        <v>4735</v>
      </c>
      <c r="L1304">
        <v>1971</v>
      </c>
      <c r="M1304" s="15" t="s">
        <v>4705</v>
      </c>
      <c r="N1304">
        <v>20</v>
      </c>
      <c r="O1304">
        <v>2</v>
      </c>
      <c r="P1304" s="21">
        <f>DATEVALUE(N1304&amp;"-"&amp;M1304&amp;"-"&amp;L1304)</f>
        <v>26287</v>
      </c>
      <c r="Q1304" s="22">
        <v>10848.13</v>
      </c>
      <c r="R1304" s="23" t="s">
        <v>4698</v>
      </c>
      <c r="S1304" s="23" t="s">
        <v>4698</v>
      </c>
      <c r="T1304" s="23" t="s">
        <v>4704</v>
      </c>
      <c r="U1304" s="23">
        <f>DATEDIF(P1304, DATE(2023, 6, 8), "Y")</f>
        <v>51</v>
      </c>
      <c r="V1304">
        <f>SUM(C1304:K1304)</f>
        <v>27.98</v>
      </c>
    </row>
    <row r="1305" spans="1:22" ht="15.75">
      <c r="A1305" s="28" t="s">
        <v>2608</v>
      </c>
      <c r="B1305" s="28" t="s">
        <v>2609</v>
      </c>
      <c r="C1305" s="23">
        <v>30.495000000000001</v>
      </c>
      <c r="D1305" s="23">
        <v>5.97</v>
      </c>
      <c r="E1305" s="23" t="s">
        <v>4682</v>
      </c>
      <c r="F1305" s="23" t="s">
        <v>4682</v>
      </c>
      <c r="G1305" s="23" t="s">
        <v>4682</v>
      </c>
      <c r="H1305" s="23">
        <v>0</v>
      </c>
      <c r="I1305" s="23" t="s">
        <v>4682</v>
      </c>
      <c r="J1305" s="23" t="s">
        <v>4729</v>
      </c>
      <c r="K1305" s="23" t="s">
        <v>4736</v>
      </c>
      <c r="L1305">
        <v>1994</v>
      </c>
      <c r="M1305" s="15" t="s">
        <v>4703</v>
      </c>
      <c r="N1305">
        <v>6</v>
      </c>
      <c r="O1305">
        <v>0</v>
      </c>
      <c r="P1305" s="21">
        <f>DATEVALUE(N1305&amp;"-"&amp;M1305&amp;"-"&amp;L1305)</f>
        <v>34583</v>
      </c>
      <c r="Q1305" s="22">
        <v>10886.66</v>
      </c>
      <c r="R1305" s="23" t="s">
        <v>4698</v>
      </c>
      <c r="S1305" s="23" t="s">
        <v>4698</v>
      </c>
      <c r="T1305" s="23" t="s">
        <v>4704</v>
      </c>
      <c r="U1305" s="23">
        <f>DATEDIF(P1305, DATE(2023, 6, 8), "Y")</f>
        <v>28</v>
      </c>
      <c r="V1305">
        <f>SUM(C1305:K1305)</f>
        <v>36.465000000000003</v>
      </c>
    </row>
    <row r="1306" spans="1:22" ht="15.75">
      <c r="A1306" s="28" t="s">
        <v>2610</v>
      </c>
      <c r="B1306" s="28" t="s">
        <v>2611</v>
      </c>
      <c r="C1306" s="23">
        <v>30.114999999999998</v>
      </c>
      <c r="D1306" s="23">
        <v>5.74</v>
      </c>
      <c r="E1306" s="23" t="s">
        <v>4682</v>
      </c>
      <c r="F1306" s="23" t="s">
        <v>4682</v>
      </c>
      <c r="G1306" s="23" t="s">
        <v>4684</v>
      </c>
      <c r="H1306" s="23">
        <v>1</v>
      </c>
      <c r="I1306" s="23" t="s">
        <v>4682</v>
      </c>
      <c r="J1306" s="23" t="s">
        <v>4729</v>
      </c>
      <c r="K1306" s="23" t="s">
        <v>4736</v>
      </c>
      <c r="L1306">
        <v>1968</v>
      </c>
      <c r="M1306" s="15" t="s">
        <v>4700</v>
      </c>
      <c r="N1306">
        <v>13</v>
      </c>
      <c r="O1306">
        <v>0</v>
      </c>
      <c r="P1306" s="21">
        <f>DATEVALUE(N1306&amp;"-"&amp;M1306&amp;"-"&amp;L1306)</f>
        <v>25155</v>
      </c>
      <c r="Q1306" s="22">
        <v>10923.93</v>
      </c>
      <c r="R1306" s="23" t="s">
        <v>4698</v>
      </c>
      <c r="S1306" s="23" t="s">
        <v>4701</v>
      </c>
      <c r="T1306" s="23" t="s">
        <v>4714</v>
      </c>
      <c r="U1306" s="23">
        <f>DATEDIF(P1306, DATE(2023, 6, 8), "Y")</f>
        <v>54</v>
      </c>
      <c r="V1306">
        <f>SUM(C1306:K1306)</f>
        <v>36.854999999999997</v>
      </c>
    </row>
    <row r="1307" spans="1:22" ht="15.75">
      <c r="A1307" s="28" t="s">
        <v>2612</v>
      </c>
      <c r="B1307" s="28" t="s">
        <v>2613</v>
      </c>
      <c r="C1307" s="23">
        <v>24.78</v>
      </c>
      <c r="D1307" s="23">
        <v>9.85</v>
      </c>
      <c r="E1307" s="23" t="s">
        <v>4682</v>
      </c>
      <c r="F1307" s="23" t="s">
        <v>4682</v>
      </c>
      <c r="G1307" s="23" t="s">
        <v>4682</v>
      </c>
      <c r="H1307" s="23">
        <v>0</v>
      </c>
      <c r="I1307" s="23" t="s">
        <v>4682</v>
      </c>
      <c r="J1307" s="23" t="s">
        <v>4728</v>
      </c>
      <c r="K1307" s="23" t="s">
        <v>4735</v>
      </c>
      <c r="L1307">
        <v>1968</v>
      </c>
      <c r="M1307" s="15" t="s">
        <v>4700</v>
      </c>
      <c r="N1307">
        <v>12</v>
      </c>
      <c r="O1307">
        <v>1</v>
      </c>
      <c r="P1307" s="21">
        <f>DATEVALUE(N1307&amp;"-"&amp;M1307&amp;"-"&amp;L1307)</f>
        <v>25154</v>
      </c>
      <c r="Q1307" s="22">
        <v>10928.85</v>
      </c>
      <c r="R1307" s="23" t="s">
        <v>4698</v>
      </c>
      <c r="S1307" s="23" t="s">
        <v>4698</v>
      </c>
      <c r="T1307" s="23" t="s">
        <v>4699</v>
      </c>
      <c r="U1307" s="23">
        <f>DATEDIF(P1307, DATE(2023, 6, 8), "Y")</f>
        <v>54</v>
      </c>
      <c r="V1307">
        <f>SUM(C1307:K1307)</f>
        <v>34.630000000000003</v>
      </c>
    </row>
    <row r="1308" spans="1:22" ht="15.75">
      <c r="A1308" s="28" t="s">
        <v>2614</v>
      </c>
      <c r="B1308" s="28" t="s">
        <v>2615</v>
      </c>
      <c r="C1308" s="23">
        <v>24.77</v>
      </c>
      <c r="D1308" s="23">
        <v>7.59</v>
      </c>
      <c r="E1308" s="23" t="s">
        <v>4682</v>
      </c>
      <c r="F1308" s="23" t="s">
        <v>4682</v>
      </c>
      <c r="G1308" s="23" t="s">
        <v>4682</v>
      </c>
      <c r="H1308" s="23">
        <v>0</v>
      </c>
      <c r="I1308" s="23" t="s">
        <v>4682</v>
      </c>
      <c r="J1308" s="23" t="s">
        <v>4728</v>
      </c>
      <c r="K1308" s="23" t="s">
        <v>4735</v>
      </c>
      <c r="L1308">
        <v>1969</v>
      </c>
      <c r="M1308" s="15" t="s">
        <v>4700</v>
      </c>
      <c r="N1308">
        <v>10</v>
      </c>
      <c r="O1308">
        <v>1</v>
      </c>
      <c r="P1308" s="21">
        <f>DATEVALUE(N1308&amp;"-"&amp;M1308&amp;"-"&amp;L1308)</f>
        <v>25517</v>
      </c>
      <c r="Q1308" s="22">
        <v>10942.13</v>
      </c>
      <c r="R1308" s="23" t="s">
        <v>4698</v>
      </c>
      <c r="S1308" s="23" t="s">
        <v>4698</v>
      </c>
      <c r="T1308" s="23" t="s">
        <v>4704</v>
      </c>
      <c r="U1308" s="23">
        <f>DATEDIF(P1308, DATE(2023, 6, 8), "Y")</f>
        <v>53</v>
      </c>
      <c r="V1308">
        <f>SUM(C1308:K1308)</f>
        <v>32.36</v>
      </c>
    </row>
    <row r="1309" spans="1:22" ht="15.75">
      <c r="A1309" s="28" t="s">
        <v>2616</v>
      </c>
      <c r="B1309" s="28" t="s">
        <v>2617</v>
      </c>
      <c r="C1309" s="23">
        <v>16.579999999999998</v>
      </c>
      <c r="D1309" s="23">
        <v>6.98</v>
      </c>
      <c r="E1309" s="23" t="s">
        <v>4683</v>
      </c>
      <c r="F1309" s="23" t="s">
        <v>4682</v>
      </c>
      <c r="G1309" s="23" t="s">
        <v>4684</v>
      </c>
      <c r="H1309" s="23">
        <v>1</v>
      </c>
      <c r="I1309" s="23" t="s">
        <v>4682</v>
      </c>
      <c r="J1309" s="23" t="s">
        <v>4731</v>
      </c>
      <c r="K1309" s="23" t="s">
        <v>4735</v>
      </c>
      <c r="L1309">
        <v>1965</v>
      </c>
      <c r="M1309" s="15" t="s">
        <v>4705</v>
      </c>
      <c r="N1309">
        <v>4</v>
      </c>
      <c r="O1309">
        <v>0</v>
      </c>
      <c r="P1309" s="21">
        <f>DATEVALUE(N1309&amp;"-"&amp;M1309&amp;"-"&amp;L1309)</f>
        <v>24080</v>
      </c>
      <c r="Q1309" s="22">
        <v>10959.33</v>
      </c>
      <c r="R1309" s="23" t="s">
        <v>4698</v>
      </c>
      <c r="S1309" s="23" t="s">
        <v>4698</v>
      </c>
      <c r="T1309" s="23" t="s">
        <v>4708</v>
      </c>
      <c r="U1309" s="23">
        <f>DATEDIF(P1309, DATE(2023, 6, 8), "Y")</f>
        <v>57</v>
      </c>
      <c r="V1309">
        <f>SUM(C1309:K1309)</f>
        <v>24.56</v>
      </c>
    </row>
    <row r="1310" spans="1:22" ht="15.75">
      <c r="A1310" s="28" t="s">
        <v>2618</v>
      </c>
      <c r="B1310" s="28" t="s">
        <v>2619</v>
      </c>
      <c r="C1310" s="23">
        <v>38.17</v>
      </c>
      <c r="D1310" s="23">
        <v>4.7300000000000004</v>
      </c>
      <c r="E1310" s="23" t="s">
        <v>4683</v>
      </c>
      <c r="F1310" s="23" t="s">
        <v>4682</v>
      </c>
      <c r="G1310" s="23" t="s">
        <v>4682</v>
      </c>
      <c r="H1310" s="23">
        <v>0</v>
      </c>
      <c r="I1310" s="23" t="s">
        <v>4682</v>
      </c>
      <c r="J1310" s="23" t="s">
        <v>4729</v>
      </c>
      <c r="K1310" s="23" t="s">
        <v>4737</v>
      </c>
      <c r="L1310">
        <v>1969</v>
      </c>
      <c r="M1310" s="15" t="s">
        <v>4706</v>
      </c>
      <c r="N1310">
        <v>14</v>
      </c>
      <c r="O1310">
        <v>1</v>
      </c>
      <c r="P1310" s="21">
        <f>DATEVALUE(N1310&amp;"-"&amp;M1310&amp;"-"&amp;L1310)</f>
        <v>25429</v>
      </c>
      <c r="Q1310" s="22">
        <v>10959.69</v>
      </c>
      <c r="R1310" s="23" t="s">
        <v>4698</v>
      </c>
      <c r="S1310" s="23" t="s">
        <v>4698</v>
      </c>
      <c r="T1310" s="23" t="s">
        <v>4704</v>
      </c>
      <c r="U1310" s="23">
        <f>DATEDIF(P1310, DATE(2023, 6, 8), "Y")</f>
        <v>53</v>
      </c>
      <c r="V1310">
        <f>SUM(C1310:K1310)</f>
        <v>42.900000000000006</v>
      </c>
    </row>
    <row r="1311" spans="1:22" ht="15.75">
      <c r="A1311" s="28" t="s">
        <v>2620</v>
      </c>
      <c r="B1311" s="28" t="s">
        <v>2621</v>
      </c>
      <c r="C1311" s="23">
        <v>39.424999999999997</v>
      </c>
      <c r="D1311" s="23">
        <v>4.76</v>
      </c>
      <c r="E1311" s="23" t="s">
        <v>4683</v>
      </c>
      <c r="F1311" s="23" t="s">
        <v>4682</v>
      </c>
      <c r="G1311" s="23" t="s">
        <v>4682</v>
      </c>
      <c r="H1311" s="23">
        <v>0</v>
      </c>
      <c r="I1311" s="23" t="s">
        <v>4682</v>
      </c>
      <c r="J1311" s="23" t="s">
        <v>4729</v>
      </c>
      <c r="K1311" s="23" t="s">
        <v>4737</v>
      </c>
      <c r="L1311">
        <v>1965</v>
      </c>
      <c r="M1311" s="15" t="s">
        <v>4702</v>
      </c>
      <c r="N1311">
        <v>19</v>
      </c>
      <c r="O1311">
        <v>0</v>
      </c>
      <c r="P1311" s="21">
        <f>DATEVALUE(N1311&amp;"-"&amp;M1311&amp;"-"&amp;L1311)</f>
        <v>23912</v>
      </c>
      <c r="Q1311" s="22">
        <v>10965.45</v>
      </c>
      <c r="R1311" s="23" t="s">
        <v>4698</v>
      </c>
      <c r="S1311" s="23" t="s">
        <v>4697</v>
      </c>
      <c r="T1311" s="23" t="s">
        <v>4708</v>
      </c>
      <c r="U1311" s="23">
        <f>DATEDIF(P1311, DATE(2023, 6, 8), "Y")</f>
        <v>57</v>
      </c>
      <c r="V1311">
        <f>SUM(C1311:K1311)</f>
        <v>44.184999999999995</v>
      </c>
    </row>
    <row r="1312" spans="1:22" ht="15.75">
      <c r="A1312" s="28" t="s">
        <v>2622</v>
      </c>
      <c r="B1312" s="28" t="s">
        <v>2623</v>
      </c>
      <c r="C1312" s="23">
        <v>33.44</v>
      </c>
      <c r="D1312" s="23">
        <v>6.24</v>
      </c>
      <c r="E1312" s="23" t="s">
        <v>4683</v>
      </c>
      <c r="F1312" s="23" t="s">
        <v>4682</v>
      </c>
      <c r="G1312" s="23" t="s">
        <v>4682</v>
      </c>
      <c r="H1312" s="23">
        <v>0</v>
      </c>
      <c r="I1312" s="23" t="s">
        <v>4682</v>
      </c>
      <c r="J1312" s="23" t="s">
        <v>4729</v>
      </c>
      <c r="K1312" s="23" t="s">
        <v>4736</v>
      </c>
      <c r="L1312">
        <v>1966</v>
      </c>
      <c r="M1312" s="15" t="s">
        <v>4696</v>
      </c>
      <c r="N1312">
        <v>9</v>
      </c>
      <c r="O1312">
        <v>0</v>
      </c>
      <c r="P1312" s="21">
        <f>DATEVALUE(N1312&amp;"-"&amp;M1312&amp;"-"&amp;L1312)</f>
        <v>24297</v>
      </c>
      <c r="Q1312" s="22">
        <v>10976.25</v>
      </c>
      <c r="R1312" s="23" t="s">
        <v>4698</v>
      </c>
      <c r="S1312" s="23" t="s">
        <v>4697</v>
      </c>
      <c r="T1312" s="23" t="s">
        <v>4704</v>
      </c>
      <c r="U1312" s="23">
        <f>DATEDIF(P1312, DATE(2023, 6, 8), "Y")</f>
        <v>56</v>
      </c>
      <c r="V1312">
        <f>SUM(C1312:K1312)</f>
        <v>39.68</v>
      </c>
    </row>
    <row r="1313" spans="1:22" ht="15.75">
      <c r="A1313" s="28" t="s">
        <v>2624</v>
      </c>
      <c r="B1313" s="28" t="s">
        <v>2625</v>
      </c>
      <c r="C1313" s="23">
        <v>33.344999999999999</v>
      </c>
      <c r="D1313" s="23">
        <v>5.44</v>
      </c>
      <c r="E1313" s="23" t="s">
        <v>4683</v>
      </c>
      <c r="F1313" s="23" t="s">
        <v>4682</v>
      </c>
      <c r="G1313" s="23" t="s">
        <v>4682</v>
      </c>
      <c r="H1313" s="23">
        <v>0</v>
      </c>
      <c r="I1313" s="23" t="s">
        <v>4682</v>
      </c>
      <c r="J1313" s="23" t="s">
        <v>4729</v>
      </c>
      <c r="K1313" s="23" t="s">
        <v>4737</v>
      </c>
      <c r="L1313">
        <v>1973</v>
      </c>
      <c r="M1313" s="15" t="s">
        <v>4707</v>
      </c>
      <c r="N1313">
        <v>21</v>
      </c>
      <c r="O1313">
        <v>4</v>
      </c>
      <c r="P1313" s="21">
        <f>DATEVALUE(N1313&amp;"-"&amp;M1313&amp;"-"&amp;L1313)</f>
        <v>26958</v>
      </c>
      <c r="Q1313" s="22">
        <v>10977.21</v>
      </c>
      <c r="R1313" s="23" t="s">
        <v>4698</v>
      </c>
      <c r="S1313" s="23" t="s">
        <v>4701</v>
      </c>
      <c r="T1313" s="23" t="s">
        <v>4699</v>
      </c>
      <c r="U1313" s="23">
        <f>DATEDIF(P1313, DATE(2023, 6, 8), "Y")</f>
        <v>49</v>
      </c>
      <c r="V1313">
        <f>SUM(C1313:K1313)</f>
        <v>38.784999999999997</v>
      </c>
    </row>
    <row r="1314" spans="1:22" ht="15.75">
      <c r="A1314" s="28" t="s">
        <v>2626</v>
      </c>
      <c r="B1314" s="28" t="s">
        <v>2627</v>
      </c>
      <c r="C1314" s="23">
        <v>38.79</v>
      </c>
      <c r="D1314" s="23">
        <v>5.08</v>
      </c>
      <c r="E1314" s="23" t="s">
        <v>4682</v>
      </c>
      <c r="F1314" s="23" t="s">
        <v>4682</v>
      </c>
      <c r="G1314" s="23" t="s">
        <v>4684</v>
      </c>
      <c r="H1314" s="23">
        <v>1</v>
      </c>
      <c r="I1314" s="23" t="s">
        <v>4682</v>
      </c>
      <c r="J1314" s="23" t="s">
        <v>4729</v>
      </c>
      <c r="K1314" s="23" t="s">
        <v>4737</v>
      </c>
      <c r="L1314">
        <v>1965</v>
      </c>
      <c r="M1314" s="15" t="s">
        <v>4705</v>
      </c>
      <c r="N1314">
        <v>18</v>
      </c>
      <c r="O1314">
        <v>0</v>
      </c>
      <c r="P1314" s="21">
        <f>DATEVALUE(N1314&amp;"-"&amp;M1314&amp;"-"&amp;L1314)</f>
        <v>24094</v>
      </c>
      <c r="Q1314" s="22">
        <v>10982.5</v>
      </c>
      <c r="R1314" s="23" t="s">
        <v>4698</v>
      </c>
      <c r="S1314" s="23" t="s">
        <v>4698</v>
      </c>
      <c r="T1314" s="23" t="s">
        <v>4699</v>
      </c>
      <c r="U1314" s="23">
        <f>DATEDIF(P1314, DATE(2023, 6, 8), "Y")</f>
        <v>57</v>
      </c>
      <c r="V1314">
        <f>SUM(C1314:K1314)</f>
        <v>44.87</v>
      </c>
    </row>
    <row r="1315" spans="1:22" ht="15.75">
      <c r="A1315" s="28" t="s">
        <v>2628</v>
      </c>
      <c r="B1315" s="28" t="s">
        <v>2629</v>
      </c>
      <c r="C1315" s="23">
        <v>30.684999999999999</v>
      </c>
      <c r="D1315" s="23">
        <v>4.87</v>
      </c>
      <c r="E1315" s="23" t="s">
        <v>4682</v>
      </c>
      <c r="F1315" s="23" t="s">
        <v>4682</v>
      </c>
      <c r="G1315" s="23" t="s">
        <v>4684</v>
      </c>
      <c r="H1315" s="23">
        <v>1</v>
      </c>
      <c r="I1315" s="23" t="s">
        <v>4682</v>
      </c>
      <c r="J1315" s="23" t="s">
        <v>4729</v>
      </c>
      <c r="K1315" s="23" t="s">
        <v>4737</v>
      </c>
      <c r="L1315">
        <v>2000</v>
      </c>
      <c r="M1315" s="15" t="s">
        <v>4703</v>
      </c>
      <c r="N1315">
        <v>17</v>
      </c>
      <c r="O1315">
        <v>0</v>
      </c>
      <c r="P1315" s="21">
        <f>DATEVALUE(N1315&amp;"-"&amp;M1315&amp;"-"&amp;L1315)</f>
        <v>36786</v>
      </c>
      <c r="Q1315" s="22">
        <v>10991.58</v>
      </c>
      <c r="R1315" s="23" t="s">
        <v>4698</v>
      </c>
      <c r="S1315" s="23" t="s">
        <v>4698</v>
      </c>
      <c r="T1315" s="23" t="s">
        <v>4704</v>
      </c>
      <c r="U1315" s="23">
        <f>DATEDIF(P1315, DATE(2023, 6, 8), "Y")</f>
        <v>22</v>
      </c>
      <c r="V1315">
        <f>SUM(C1315:K1315)</f>
        <v>36.555</v>
      </c>
    </row>
    <row r="1316" spans="1:22" ht="15.75">
      <c r="A1316" s="28" t="s">
        <v>2630</v>
      </c>
      <c r="B1316" s="28" t="s">
        <v>2631</v>
      </c>
      <c r="C1316" s="23">
        <v>22.135000000000002</v>
      </c>
      <c r="D1316" s="23">
        <v>8.17</v>
      </c>
      <c r="E1316" s="23" t="s">
        <v>4682</v>
      </c>
      <c r="F1316" s="23" t="s">
        <v>4682</v>
      </c>
      <c r="G1316" s="23" t="s">
        <v>4682</v>
      </c>
      <c r="H1316" s="23">
        <v>0</v>
      </c>
      <c r="I1316" s="23" t="s">
        <v>4682</v>
      </c>
      <c r="J1316" s="23" t="s">
        <v>4728</v>
      </c>
      <c r="K1316" s="23" t="s">
        <v>4735</v>
      </c>
      <c r="L1316">
        <v>1968</v>
      </c>
      <c r="M1316" s="15" t="s">
        <v>4707</v>
      </c>
      <c r="N1316">
        <v>24</v>
      </c>
      <c r="O1316">
        <v>2</v>
      </c>
      <c r="P1316" s="21">
        <f>DATEVALUE(N1316&amp;"-"&amp;M1316&amp;"-"&amp;L1316)</f>
        <v>25135</v>
      </c>
      <c r="Q1316" s="22">
        <v>11013.71</v>
      </c>
      <c r="R1316" s="23" t="s">
        <v>4698</v>
      </c>
      <c r="S1316" s="23" t="s">
        <v>4701</v>
      </c>
      <c r="T1316" s="23" t="s">
        <v>4699</v>
      </c>
      <c r="U1316" s="23">
        <f>DATEDIF(P1316, DATE(2023, 6, 8), "Y")</f>
        <v>54</v>
      </c>
      <c r="V1316">
        <f>SUM(C1316:K1316)</f>
        <v>30.305</v>
      </c>
    </row>
    <row r="1317" spans="1:22" ht="15.75">
      <c r="A1317" s="28" t="s">
        <v>2632</v>
      </c>
      <c r="B1317" s="28" t="s">
        <v>2633</v>
      </c>
      <c r="C1317" s="23">
        <v>33.33</v>
      </c>
      <c r="D1317" s="23">
        <v>7.61</v>
      </c>
      <c r="E1317" s="23" t="s">
        <v>4682</v>
      </c>
      <c r="F1317" s="23" t="s">
        <v>4682</v>
      </c>
      <c r="G1317" s="23" t="s">
        <v>4682</v>
      </c>
      <c r="H1317" s="23">
        <v>0</v>
      </c>
      <c r="I1317" s="23" t="s">
        <v>4682</v>
      </c>
      <c r="J1317" s="23" t="s">
        <v>4729</v>
      </c>
      <c r="K1317" s="23" t="s">
        <v>4735</v>
      </c>
      <c r="L1317">
        <v>1974</v>
      </c>
      <c r="M1317" s="15" t="s">
        <v>4705</v>
      </c>
      <c r="N1317">
        <v>15</v>
      </c>
      <c r="O1317">
        <v>4</v>
      </c>
      <c r="P1317" s="21">
        <f>DATEVALUE(N1317&amp;"-"&amp;M1317&amp;"-"&amp;L1317)</f>
        <v>27378</v>
      </c>
      <c r="Q1317" s="22">
        <v>11015.17</v>
      </c>
      <c r="R1317" s="23" t="s">
        <v>4698</v>
      </c>
      <c r="S1317" s="23" t="s">
        <v>4701</v>
      </c>
      <c r="T1317" s="23" t="s">
        <v>4704</v>
      </c>
      <c r="U1317" s="23">
        <f>DATEDIF(P1317, DATE(2023, 6, 8), "Y")</f>
        <v>48</v>
      </c>
      <c r="V1317">
        <f>SUM(C1317:K1317)</f>
        <v>40.94</v>
      </c>
    </row>
    <row r="1318" spans="1:22" ht="15.75">
      <c r="A1318" s="28" t="s">
        <v>2634</v>
      </c>
      <c r="B1318" s="28" t="s">
        <v>2635</v>
      </c>
      <c r="C1318" s="23">
        <v>31.13</v>
      </c>
      <c r="D1318" s="23">
        <v>10.1</v>
      </c>
      <c r="E1318" s="23" t="s">
        <v>4682</v>
      </c>
      <c r="F1318" s="23" t="s">
        <v>4682</v>
      </c>
      <c r="G1318" s="23" t="s">
        <v>4682</v>
      </c>
      <c r="H1318" s="23">
        <v>0</v>
      </c>
      <c r="I1318" s="23" t="s">
        <v>4682</v>
      </c>
      <c r="J1318" s="23" t="s">
        <v>4729</v>
      </c>
      <c r="K1318" s="23" t="s">
        <v>4735</v>
      </c>
      <c r="L1318">
        <v>1991</v>
      </c>
      <c r="M1318" s="15" t="s">
        <v>4702</v>
      </c>
      <c r="N1318">
        <v>26</v>
      </c>
      <c r="O1318">
        <v>3</v>
      </c>
      <c r="P1318" s="21">
        <f>DATEVALUE(N1318&amp;"-"&amp;M1318&amp;"-"&amp;L1318)</f>
        <v>33415</v>
      </c>
      <c r="Q1318" s="22">
        <v>11018.05</v>
      </c>
      <c r="R1318" s="23" t="s">
        <v>4698</v>
      </c>
      <c r="S1318" s="23" t="s">
        <v>4697</v>
      </c>
      <c r="T1318" s="23" t="s">
        <v>4704</v>
      </c>
      <c r="U1318" s="23">
        <f>DATEDIF(P1318, DATE(2023, 6, 8), "Y")</f>
        <v>31</v>
      </c>
      <c r="V1318">
        <f>SUM(C1318:K1318)</f>
        <v>41.23</v>
      </c>
    </row>
    <row r="1319" spans="1:22" ht="15.75">
      <c r="A1319" s="28" t="s">
        <v>2636</v>
      </c>
      <c r="B1319" s="28" t="s">
        <v>2637</v>
      </c>
      <c r="C1319" s="23">
        <v>28.9</v>
      </c>
      <c r="D1319" s="23">
        <v>11.24</v>
      </c>
      <c r="E1319" s="23" t="s">
        <v>4682</v>
      </c>
      <c r="F1319" s="23" t="s">
        <v>4682</v>
      </c>
      <c r="G1319" s="23" t="s">
        <v>4682</v>
      </c>
      <c r="H1319" s="23">
        <v>0</v>
      </c>
      <c r="I1319" s="23" t="s">
        <v>4682</v>
      </c>
      <c r="J1319" s="23" t="s">
        <v>4730</v>
      </c>
      <c r="K1319" s="23" t="s">
        <v>4735</v>
      </c>
      <c r="L1319">
        <v>1996</v>
      </c>
      <c r="M1319" s="15" t="s">
        <v>4696</v>
      </c>
      <c r="N1319">
        <v>21</v>
      </c>
      <c r="O1319">
        <v>0</v>
      </c>
      <c r="P1319" s="21">
        <f>DATEVALUE(N1319&amp;"-"&amp;M1319&amp;"-"&amp;L1319)</f>
        <v>35267</v>
      </c>
      <c r="Q1319" s="22">
        <v>11028.56</v>
      </c>
      <c r="R1319" s="23" t="s">
        <v>4698</v>
      </c>
      <c r="S1319" s="23" t="s">
        <v>4698</v>
      </c>
      <c r="T1319" s="23" t="s">
        <v>4704</v>
      </c>
      <c r="U1319" s="23">
        <f>DATEDIF(P1319, DATE(2023, 6, 8), "Y")</f>
        <v>26</v>
      </c>
      <c r="V1319">
        <f>SUM(C1319:K1319)</f>
        <v>40.14</v>
      </c>
    </row>
    <row r="1320" spans="1:22" ht="15.75">
      <c r="A1320" s="28" t="s">
        <v>2638</v>
      </c>
      <c r="B1320" s="28" t="s">
        <v>2639</v>
      </c>
      <c r="C1320" s="23">
        <v>43.31</v>
      </c>
      <c r="D1320" s="23">
        <v>6.1</v>
      </c>
      <c r="E1320" s="23" t="s">
        <v>4683</v>
      </c>
      <c r="F1320" s="23" t="s">
        <v>4683</v>
      </c>
      <c r="G1320" s="23" t="s">
        <v>4682</v>
      </c>
      <c r="H1320" s="23">
        <v>1</v>
      </c>
      <c r="I1320" s="23" t="s">
        <v>4682</v>
      </c>
      <c r="J1320" s="23" t="s">
        <v>4729</v>
      </c>
      <c r="K1320" s="23" t="s">
        <v>4736</v>
      </c>
      <c r="L1320">
        <v>1974</v>
      </c>
      <c r="M1320" s="15" t="s">
        <v>4705</v>
      </c>
      <c r="N1320">
        <v>10</v>
      </c>
      <c r="O1320">
        <v>4</v>
      </c>
      <c r="P1320" s="21">
        <f>DATEVALUE(N1320&amp;"-"&amp;M1320&amp;"-"&amp;L1320)</f>
        <v>27373</v>
      </c>
      <c r="Q1320" s="22">
        <v>11033.66</v>
      </c>
      <c r="R1320" s="23" t="s">
        <v>4698</v>
      </c>
      <c r="S1320" s="23" t="s">
        <v>4698</v>
      </c>
      <c r="T1320" s="23" t="s">
        <v>4704</v>
      </c>
      <c r="U1320" s="23">
        <f>DATEDIF(P1320, DATE(2023, 6, 8), "Y")</f>
        <v>48</v>
      </c>
      <c r="V1320">
        <f>SUM(C1320:K1320)</f>
        <v>50.410000000000004</v>
      </c>
    </row>
    <row r="1321" spans="1:22" ht="15.75">
      <c r="A1321" s="28" t="s">
        <v>2640</v>
      </c>
      <c r="B1321" s="28" t="s">
        <v>2641</v>
      </c>
      <c r="C1321" s="23">
        <v>22.8</v>
      </c>
      <c r="D1321" s="23">
        <v>6.98</v>
      </c>
      <c r="E1321" s="23" t="s">
        <v>4682</v>
      </c>
      <c r="F1321" s="23" t="s">
        <v>4682</v>
      </c>
      <c r="G1321" s="23" t="s">
        <v>4682</v>
      </c>
      <c r="H1321" s="23">
        <v>0</v>
      </c>
      <c r="I1321" s="23" t="s">
        <v>4682</v>
      </c>
      <c r="J1321" s="23" t="s">
        <v>4728</v>
      </c>
      <c r="K1321" s="23" t="s">
        <v>4735</v>
      </c>
      <c r="L1321">
        <v>1989</v>
      </c>
      <c r="M1321" s="15" t="s">
        <v>4707</v>
      </c>
      <c r="N1321">
        <v>25</v>
      </c>
      <c r="O1321">
        <v>3</v>
      </c>
      <c r="P1321" s="21">
        <f>DATEVALUE(N1321&amp;"-"&amp;M1321&amp;"-"&amp;L1321)</f>
        <v>32806</v>
      </c>
      <c r="Q1321" s="22">
        <v>11037.51</v>
      </c>
      <c r="R1321" s="23" t="s">
        <v>4698</v>
      </c>
      <c r="S1321" s="23" t="s">
        <v>4701</v>
      </c>
      <c r="T1321" s="23" t="s">
        <v>4704</v>
      </c>
      <c r="U1321" s="23">
        <f>DATEDIF(P1321, DATE(2023, 6, 8), "Y")</f>
        <v>33</v>
      </c>
      <c r="V1321">
        <f>SUM(C1321:K1321)</f>
        <v>29.78</v>
      </c>
    </row>
    <row r="1322" spans="1:22" ht="15.75">
      <c r="A1322" s="28" t="s">
        <v>2642</v>
      </c>
      <c r="B1322" s="28" t="s">
        <v>2643</v>
      </c>
      <c r="C1322" s="23">
        <v>19.09</v>
      </c>
      <c r="D1322" s="23">
        <v>4</v>
      </c>
      <c r="E1322" s="23" t="s">
        <v>4683</v>
      </c>
      <c r="F1322" s="23" t="s">
        <v>4682</v>
      </c>
      <c r="G1322" s="23" t="s">
        <v>4682</v>
      </c>
      <c r="H1322" s="23">
        <v>1</v>
      </c>
      <c r="I1322" s="23" t="s">
        <v>4682</v>
      </c>
      <c r="J1322" s="23" t="s">
        <v>4728</v>
      </c>
      <c r="K1322" s="23" t="s">
        <v>4737</v>
      </c>
      <c r="L1322">
        <v>1974</v>
      </c>
      <c r="M1322" s="15" t="s">
        <v>4706</v>
      </c>
      <c r="N1322">
        <v>30</v>
      </c>
      <c r="O1322">
        <v>0</v>
      </c>
      <c r="P1322" s="21">
        <f>DATEVALUE(N1322&amp;"-"&amp;M1322&amp;"-"&amp;L1322)</f>
        <v>27271</v>
      </c>
      <c r="Q1322" s="22">
        <v>11037.85</v>
      </c>
      <c r="R1322" s="23" t="s">
        <v>4698</v>
      </c>
      <c r="S1322" s="23" t="s">
        <v>4697</v>
      </c>
      <c r="T1322" s="23" t="s">
        <v>4713</v>
      </c>
      <c r="U1322" s="23">
        <f>DATEDIF(P1322, DATE(2023, 6, 8), "Y")</f>
        <v>48</v>
      </c>
      <c r="V1322">
        <f>SUM(C1322:K1322)</f>
        <v>24.09</v>
      </c>
    </row>
    <row r="1323" spans="1:22" ht="15.75">
      <c r="A1323" s="28" t="s">
        <v>2644</v>
      </c>
      <c r="B1323" s="28" t="s">
        <v>2645</v>
      </c>
      <c r="C1323" s="23">
        <v>23.37</v>
      </c>
      <c r="D1323" s="23">
        <v>4.2300000000000004</v>
      </c>
      <c r="E1323" s="23" t="s">
        <v>4682</v>
      </c>
      <c r="F1323" s="23" t="s">
        <v>4682</v>
      </c>
      <c r="G1323" s="23" t="s">
        <v>4682</v>
      </c>
      <c r="H1323" s="23">
        <v>0</v>
      </c>
      <c r="I1323" s="23" t="s">
        <v>4682</v>
      </c>
      <c r="J1323" s="23" t="s">
        <v>4728</v>
      </c>
      <c r="K1323" s="23" t="s">
        <v>4737</v>
      </c>
      <c r="L1323">
        <v>2001</v>
      </c>
      <c r="M1323" s="15" t="s">
        <v>4705</v>
      </c>
      <c r="N1323">
        <v>17</v>
      </c>
      <c r="O1323">
        <v>0</v>
      </c>
      <c r="P1323" s="21">
        <f>DATEVALUE(N1323&amp;"-"&amp;M1323&amp;"-"&amp;L1323)</f>
        <v>37242</v>
      </c>
      <c r="Q1323" s="22">
        <v>11046.02</v>
      </c>
      <c r="R1323" s="23" t="s">
        <v>4698</v>
      </c>
      <c r="S1323" s="23" t="s">
        <v>4701</v>
      </c>
      <c r="T1323" s="23" t="s">
        <v>4720</v>
      </c>
      <c r="U1323" s="23">
        <f>DATEDIF(P1323, DATE(2023, 6, 8), "Y")</f>
        <v>21</v>
      </c>
      <c r="V1323">
        <f>SUM(C1323:K1323)</f>
        <v>27.6</v>
      </c>
    </row>
    <row r="1324" spans="1:22" ht="15.75">
      <c r="A1324" s="28" t="s">
        <v>2646</v>
      </c>
      <c r="B1324" s="28" t="s">
        <v>2647</v>
      </c>
      <c r="C1324" s="23">
        <v>33.44</v>
      </c>
      <c r="D1324" s="23">
        <v>4.72</v>
      </c>
      <c r="E1324" s="23" t="s">
        <v>4683</v>
      </c>
      <c r="F1324" s="23" t="s">
        <v>4682</v>
      </c>
      <c r="G1324" s="23" t="s">
        <v>4682</v>
      </c>
      <c r="H1324" s="23">
        <v>0</v>
      </c>
      <c r="I1324" s="23" t="s">
        <v>4682</v>
      </c>
      <c r="J1324" s="23" t="s">
        <v>4729</v>
      </c>
      <c r="K1324" s="23" t="s">
        <v>4737</v>
      </c>
      <c r="L1324">
        <v>2000</v>
      </c>
      <c r="M1324" s="15" t="s">
        <v>4703</v>
      </c>
      <c r="N1324">
        <v>18</v>
      </c>
      <c r="O1324">
        <v>0</v>
      </c>
      <c r="P1324" s="21">
        <f>DATEVALUE(N1324&amp;"-"&amp;M1324&amp;"-"&amp;L1324)</f>
        <v>36787</v>
      </c>
      <c r="Q1324" s="22">
        <v>11068.7</v>
      </c>
      <c r="R1324" s="23" t="s">
        <v>4698</v>
      </c>
      <c r="S1324" s="23" t="s">
        <v>4701</v>
      </c>
      <c r="T1324" s="23" t="s">
        <v>4708</v>
      </c>
      <c r="U1324" s="23">
        <f>DATEDIF(P1324, DATE(2023, 6, 8), "Y")</f>
        <v>22</v>
      </c>
      <c r="V1324">
        <f>SUM(C1324:K1324)</f>
        <v>38.159999999999997</v>
      </c>
    </row>
    <row r="1325" spans="1:22" ht="15.75">
      <c r="A1325" s="28" t="s">
        <v>2648</v>
      </c>
      <c r="B1325" s="28" t="s">
        <v>2649</v>
      </c>
      <c r="C1325" s="23">
        <v>28.05</v>
      </c>
      <c r="D1325" s="23">
        <v>5.63</v>
      </c>
      <c r="E1325" s="23" t="s">
        <v>4683</v>
      </c>
      <c r="F1325" s="23" t="s">
        <v>4682</v>
      </c>
      <c r="G1325" s="23" t="s">
        <v>4682</v>
      </c>
      <c r="H1325" s="23">
        <v>0</v>
      </c>
      <c r="I1325" s="23" t="s">
        <v>4682</v>
      </c>
      <c r="J1325" s="23" t="s">
        <v>4730</v>
      </c>
      <c r="K1325" s="23" t="s">
        <v>4737</v>
      </c>
      <c r="L1325">
        <v>1971</v>
      </c>
      <c r="M1325" s="15" t="s">
        <v>4700</v>
      </c>
      <c r="N1325">
        <v>9</v>
      </c>
      <c r="O1325">
        <v>0</v>
      </c>
      <c r="P1325" s="21">
        <f>DATEVALUE(N1325&amp;"-"&amp;M1325&amp;"-"&amp;L1325)</f>
        <v>26246</v>
      </c>
      <c r="Q1325" s="22">
        <v>11068.77</v>
      </c>
      <c r="R1325" s="23" t="s">
        <v>4698</v>
      </c>
      <c r="S1325" s="23" t="s">
        <v>4697</v>
      </c>
      <c r="T1325" s="23" t="s">
        <v>4704</v>
      </c>
      <c r="U1325" s="23">
        <f>DATEDIF(P1325, DATE(2023, 6, 8), "Y")</f>
        <v>51</v>
      </c>
      <c r="V1325">
        <f>SUM(C1325:K1325)</f>
        <v>33.68</v>
      </c>
    </row>
    <row r="1326" spans="1:22" ht="15.75">
      <c r="A1326" s="28" t="s">
        <v>2650</v>
      </c>
      <c r="B1326" s="28" t="s">
        <v>2651</v>
      </c>
      <c r="C1326" s="23">
        <v>27.72</v>
      </c>
      <c r="D1326" s="23">
        <v>5.83</v>
      </c>
      <c r="E1326" s="23" t="s">
        <v>4683</v>
      </c>
      <c r="F1326" s="23" t="s">
        <v>4682</v>
      </c>
      <c r="G1326" s="23" t="s">
        <v>4682</v>
      </c>
      <c r="H1326" s="23">
        <v>0</v>
      </c>
      <c r="I1326" s="23" t="s">
        <v>4682</v>
      </c>
      <c r="J1326" s="23" t="s">
        <v>4730</v>
      </c>
      <c r="K1326" s="23" t="s">
        <v>4736</v>
      </c>
      <c r="L1326">
        <v>1966</v>
      </c>
      <c r="M1326" s="15" t="s">
        <v>4700</v>
      </c>
      <c r="N1326">
        <v>7</v>
      </c>
      <c r="O1326">
        <v>0</v>
      </c>
      <c r="P1326" s="21">
        <f>DATEVALUE(N1326&amp;"-"&amp;M1326&amp;"-"&amp;L1326)</f>
        <v>24418</v>
      </c>
      <c r="Q1326" s="22">
        <v>11070.54</v>
      </c>
      <c r="R1326" s="23" t="s">
        <v>4698</v>
      </c>
      <c r="S1326" s="23" t="s">
        <v>4698</v>
      </c>
      <c r="T1326" s="23" t="s">
        <v>4708</v>
      </c>
      <c r="U1326" s="23">
        <f>DATEDIF(P1326, DATE(2023, 6, 8), "Y")</f>
        <v>56</v>
      </c>
      <c r="V1326">
        <f>SUM(C1326:K1326)</f>
        <v>33.549999999999997</v>
      </c>
    </row>
    <row r="1327" spans="1:22" ht="15.75">
      <c r="A1327" s="28" t="s">
        <v>2652</v>
      </c>
      <c r="B1327" s="28" t="s">
        <v>2653</v>
      </c>
      <c r="C1327" s="23">
        <v>29.81</v>
      </c>
      <c r="D1327" s="23">
        <v>9.23</v>
      </c>
      <c r="E1327" s="23" t="s">
        <v>4682</v>
      </c>
      <c r="F1327" s="23" t="s">
        <v>4682</v>
      </c>
      <c r="G1327" s="23" t="s">
        <v>4682</v>
      </c>
      <c r="H1327" s="23">
        <v>0</v>
      </c>
      <c r="I1327" s="23" t="s">
        <v>4682</v>
      </c>
      <c r="J1327" s="23" t="s">
        <v>4730</v>
      </c>
      <c r="K1327" s="23" t="s">
        <v>4735</v>
      </c>
      <c r="L1327">
        <v>1966</v>
      </c>
      <c r="M1327" s="15" t="s">
        <v>4700</v>
      </c>
      <c r="N1327">
        <v>20</v>
      </c>
      <c r="O1327">
        <v>0</v>
      </c>
      <c r="P1327" s="21">
        <f>DATEVALUE(N1327&amp;"-"&amp;M1327&amp;"-"&amp;L1327)</f>
        <v>24431</v>
      </c>
      <c r="Q1327" s="22">
        <v>11073.18</v>
      </c>
      <c r="R1327" s="23" t="s">
        <v>4698</v>
      </c>
      <c r="S1327" s="23" t="s">
        <v>4698</v>
      </c>
      <c r="T1327" s="23" t="s">
        <v>4708</v>
      </c>
      <c r="U1327" s="23">
        <f>DATEDIF(P1327, DATE(2023, 6, 8), "Y")</f>
        <v>56</v>
      </c>
      <c r="V1327">
        <f>SUM(C1327:K1327)</f>
        <v>39.04</v>
      </c>
    </row>
    <row r="1328" spans="1:22" ht="15.75">
      <c r="A1328" s="28" t="s">
        <v>2654</v>
      </c>
      <c r="B1328" s="28" t="s">
        <v>2655</v>
      </c>
      <c r="C1328" s="23">
        <v>23.98</v>
      </c>
      <c r="D1328" s="23">
        <v>9.89</v>
      </c>
      <c r="E1328" s="23" t="s">
        <v>4682</v>
      </c>
      <c r="F1328" s="23" t="s">
        <v>4682</v>
      </c>
      <c r="G1328" s="23" t="s">
        <v>4682</v>
      </c>
      <c r="H1328" s="23">
        <v>0</v>
      </c>
      <c r="I1328" s="23" t="s">
        <v>4682</v>
      </c>
      <c r="J1328" s="23" t="s">
        <v>4728</v>
      </c>
      <c r="K1328" s="23" t="s">
        <v>4735</v>
      </c>
      <c r="L1328">
        <v>1967</v>
      </c>
      <c r="M1328" s="15" t="s">
        <v>4703</v>
      </c>
      <c r="N1328">
        <v>4</v>
      </c>
      <c r="O1328">
        <v>0</v>
      </c>
      <c r="P1328" s="21">
        <f>DATEVALUE(N1328&amp;"-"&amp;M1328&amp;"-"&amp;L1328)</f>
        <v>24719</v>
      </c>
      <c r="Q1328" s="22">
        <v>11082.58</v>
      </c>
      <c r="R1328" s="23" t="s">
        <v>4698</v>
      </c>
      <c r="S1328" s="23" t="s">
        <v>4697</v>
      </c>
      <c r="T1328" s="23" t="s">
        <v>4704</v>
      </c>
      <c r="U1328" s="23">
        <f>DATEDIF(P1328, DATE(2023, 6, 8), "Y")</f>
        <v>55</v>
      </c>
      <c r="V1328">
        <f>SUM(C1328:K1328)</f>
        <v>33.870000000000005</v>
      </c>
    </row>
    <row r="1329" spans="1:22" ht="15.75">
      <c r="A1329" s="28" t="s">
        <v>2656</v>
      </c>
      <c r="B1329" s="28" t="s">
        <v>2657</v>
      </c>
      <c r="C1329" s="23">
        <v>17.34</v>
      </c>
      <c r="D1329" s="23">
        <v>12</v>
      </c>
      <c r="E1329" s="23" t="s">
        <v>4682</v>
      </c>
      <c r="F1329" s="23" t="s">
        <v>4682</v>
      </c>
      <c r="G1329" s="23" t="s">
        <v>4682</v>
      </c>
      <c r="H1329" s="23">
        <v>0</v>
      </c>
      <c r="I1329" s="23" t="s">
        <v>4682</v>
      </c>
      <c r="J1329" s="23" t="s">
        <v>4731</v>
      </c>
      <c r="K1329" s="23" t="s">
        <v>4735</v>
      </c>
      <c r="L1329">
        <v>1972</v>
      </c>
      <c r="M1329" s="15" t="s">
        <v>4707</v>
      </c>
      <c r="N1329">
        <v>7</v>
      </c>
      <c r="O1329">
        <v>3</v>
      </c>
      <c r="P1329" s="21">
        <f>DATEVALUE(N1329&amp;"-"&amp;M1329&amp;"-"&amp;L1329)</f>
        <v>26579</v>
      </c>
      <c r="Q1329" s="22">
        <v>11085.59</v>
      </c>
      <c r="R1329" s="23" t="s">
        <v>4698</v>
      </c>
      <c r="S1329" s="23" t="s">
        <v>4697</v>
      </c>
      <c r="T1329" s="23" t="s">
        <v>4704</v>
      </c>
      <c r="U1329" s="23">
        <f>DATEDIF(P1329, DATE(2023, 6, 8), "Y")</f>
        <v>50</v>
      </c>
      <c r="V1329">
        <f>SUM(C1329:K1329)</f>
        <v>29.34</v>
      </c>
    </row>
    <row r="1330" spans="1:22" ht="15.75">
      <c r="A1330" s="28" t="s">
        <v>2658</v>
      </c>
      <c r="B1330" s="28" t="s">
        <v>2659</v>
      </c>
      <c r="C1330" s="23">
        <v>40.39</v>
      </c>
      <c r="D1330" s="23">
        <v>4.24</v>
      </c>
      <c r="E1330" s="23" t="s">
        <v>4683</v>
      </c>
      <c r="F1330" s="23" t="s">
        <v>4682</v>
      </c>
      <c r="G1330" s="23" t="s">
        <v>4684</v>
      </c>
      <c r="H1330" s="23">
        <v>1</v>
      </c>
      <c r="I1330" s="23" t="s">
        <v>4682</v>
      </c>
      <c r="J1330" s="23" t="s">
        <v>4729</v>
      </c>
      <c r="K1330" s="23" t="s">
        <v>4737</v>
      </c>
      <c r="L1330">
        <v>1966</v>
      </c>
      <c r="M1330" s="15" t="s">
        <v>4703</v>
      </c>
      <c r="N1330">
        <v>9</v>
      </c>
      <c r="O1330">
        <v>0</v>
      </c>
      <c r="P1330" s="21">
        <f>DATEVALUE(N1330&amp;"-"&amp;M1330&amp;"-"&amp;L1330)</f>
        <v>24359</v>
      </c>
      <c r="Q1330" s="22">
        <v>11090.72</v>
      </c>
      <c r="R1330" s="23" t="s">
        <v>4698</v>
      </c>
      <c r="S1330" s="23" t="s">
        <v>4701</v>
      </c>
      <c r="T1330" s="23" t="s">
        <v>4699</v>
      </c>
      <c r="U1330" s="23">
        <f>DATEDIF(P1330, DATE(2023, 6, 8), "Y")</f>
        <v>56</v>
      </c>
      <c r="V1330">
        <f>SUM(C1330:K1330)</f>
        <v>45.63</v>
      </c>
    </row>
    <row r="1331" spans="1:22" ht="15.75">
      <c r="A1331" s="28" t="s">
        <v>2660</v>
      </c>
      <c r="B1331" s="28" t="s">
        <v>2661</v>
      </c>
      <c r="C1331" s="23">
        <v>25.96</v>
      </c>
      <c r="D1331" s="23">
        <v>4.68</v>
      </c>
      <c r="E1331" s="23" t="s">
        <v>4683</v>
      </c>
      <c r="F1331" s="23" t="s">
        <v>4682</v>
      </c>
      <c r="G1331" s="23" t="s">
        <v>4684</v>
      </c>
      <c r="H1331" s="23">
        <v>1</v>
      </c>
      <c r="I1331" s="23" t="s">
        <v>4682</v>
      </c>
      <c r="J1331" s="23" t="s">
        <v>4730</v>
      </c>
      <c r="K1331" s="23" t="s">
        <v>4737</v>
      </c>
      <c r="L1331">
        <v>1966</v>
      </c>
      <c r="M1331" s="15" t="s">
        <v>4696</v>
      </c>
      <c r="N1331">
        <v>5</v>
      </c>
      <c r="O1331">
        <v>0</v>
      </c>
      <c r="P1331" s="21">
        <f>DATEVALUE(N1331&amp;"-"&amp;M1331&amp;"-"&amp;L1331)</f>
        <v>24293</v>
      </c>
      <c r="Q1331" s="22">
        <v>11093.62</v>
      </c>
      <c r="R1331" s="23" t="s">
        <v>4698</v>
      </c>
      <c r="S1331" s="23" t="s">
        <v>4701</v>
      </c>
      <c r="T1331" s="23" t="s">
        <v>4699</v>
      </c>
      <c r="U1331" s="23">
        <f>DATEDIF(P1331, DATE(2023, 6, 8), "Y")</f>
        <v>56</v>
      </c>
      <c r="V1331">
        <f>SUM(C1331:K1331)</f>
        <v>31.64</v>
      </c>
    </row>
    <row r="1332" spans="1:22" ht="15.75">
      <c r="A1332" s="28" t="s">
        <v>2662</v>
      </c>
      <c r="B1332" s="28" t="s">
        <v>2663</v>
      </c>
      <c r="C1332" s="23">
        <v>17.68</v>
      </c>
      <c r="D1332" s="23">
        <v>8.57</v>
      </c>
      <c r="E1332" s="23" t="s">
        <v>4683</v>
      </c>
      <c r="F1332" s="23" t="s">
        <v>4682</v>
      </c>
      <c r="G1332" s="23" t="s">
        <v>4684</v>
      </c>
      <c r="H1332" s="23">
        <v>1</v>
      </c>
      <c r="I1332" s="23" t="s">
        <v>4682</v>
      </c>
      <c r="J1332" s="23" t="s">
        <v>4731</v>
      </c>
      <c r="K1332" s="23" t="s">
        <v>4735</v>
      </c>
      <c r="L1332">
        <v>1980</v>
      </c>
      <c r="M1332" s="15" t="s">
        <v>4706</v>
      </c>
      <c r="N1332">
        <v>20</v>
      </c>
      <c r="O1332">
        <v>2</v>
      </c>
      <c r="P1332" s="21">
        <f>DATEVALUE(N1332&amp;"-"&amp;M1332&amp;"-"&amp;L1332)</f>
        <v>29453</v>
      </c>
      <c r="Q1332" s="22">
        <v>11103.33</v>
      </c>
      <c r="R1332" s="23" t="s">
        <v>4698</v>
      </c>
      <c r="S1332" s="23" t="s">
        <v>4701</v>
      </c>
      <c r="T1332" s="23" t="s">
        <v>4717</v>
      </c>
      <c r="U1332" s="23">
        <f>DATEDIF(P1332, DATE(2023, 6, 8), "Y")</f>
        <v>42</v>
      </c>
      <c r="V1332">
        <f>SUM(C1332:K1332)</f>
        <v>27.25</v>
      </c>
    </row>
    <row r="1333" spans="1:22" ht="15.75">
      <c r="A1333" s="28" t="s">
        <v>2664</v>
      </c>
      <c r="B1333" s="28" t="s">
        <v>2665</v>
      </c>
      <c r="C1333" s="23">
        <v>30.875</v>
      </c>
      <c r="D1333" s="23">
        <v>4.0999999999999996</v>
      </c>
      <c r="E1333" s="23" t="s">
        <v>4682</v>
      </c>
      <c r="F1333" s="23" t="s">
        <v>4682</v>
      </c>
      <c r="G1333" s="23" t="s">
        <v>4682</v>
      </c>
      <c r="H1333" s="23">
        <v>0</v>
      </c>
      <c r="I1333" s="23" t="s">
        <v>4682</v>
      </c>
      <c r="J1333" s="23" t="s">
        <v>4729</v>
      </c>
      <c r="K1333" s="23" t="s">
        <v>4737</v>
      </c>
      <c r="L1333">
        <v>1969</v>
      </c>
      <c r="M1333" s="15" t="s">
        <v>4700</v>
      </c>
      <c r="N1333">
        <v>30</v>
      </c>
      <c r="O1333">
        <v>2</v>
      </c>
      <c r="P1333" s="21">
        <f>DATEVALUE(N1333&amp;"-"&amp;M1333&amp;"-"&amp;L1333)</f>
        <v>25537</v>
      </c>
      <c r="Q1333" s="22">
        <v>11150.78</v>
      </c>
      <c r="R1333" s="23" t="s">
        <v>4698</v>
      </c>
      <c r="S1333" s="23" t="s">
        <v>4697</v>
      </c>
      <c r="T1333" s="23" t="s">
        <v>4708</v>
      </c>
      <c r="U1333" s="23">
        <f>DATEDIF(P1333, DATE(2023, 6, 8), "Y")</f>
        <v>53</v>
      </c>
      <c r="V1333">
        <f>SUM(C1333:K1333)</f>
        <v>34.975000000000001</v>
      </c>
    </row>
    <row r="1334" spans="1:22" ht="15.75">
      <c r="A1334" s="28" t="s">
        <v>2666</v>
      </c>
      <c r="B1334" s="28" t="s">
        <v>2667</v>
      </c>
      <c r="C1334" s="23">
        <v>30.81</v>
      </c>
      <c r="D1334" s="23">
        <v>4.49</v>
      </c>
      <c r="E1334" s="23" t="s">
        <v>4682</v>
      </c>
      <c r="F1334" s="23" t="s">
        <v>4682</v>
      </c>
      <c r="G1334" s="23" t="s">
        <v>4682</v>
      </c>
      <c r="H1334" s="23">
        <v>0</v>
      </c>
      <c r="I1334" s="23" t="s">
        <v>4682</v>
      </c>
      <c r="J1334" s="23" t="s">
        <v>4729</v>
      </c>
      <c r="K1334" s="23" t="s">
        <v>4737</v>
      </c>
      <c r="L1334">
        <v>1969</v>
      </c>
      <c r="M1334" s="15" t="s">
        <v>4702</v>
      </c>
      <c r="N1334">
        <v>25</v>
      </c>
      <c r="O1334">
        <v>2</v>
      </c>
      <c r="P1334" s="21">
        <f>DATEVALUE(N1334&amp;"-"&amp;M1334&amp;"-"&amp;L1334)</f>
        <v>25379</v>
      </c>
      <c r="Q1334" s="22">
        <v>11163.57</v>
      </c>
      <c r="R1334" s="23" t="s">
        <v>4698</v>
      </c>
      <c r="S1334" s="23" t="s">
        <v>4697</v>
      </c>
      <c r="T1334" s="23" t="s">
        <v>4708</v>
      </c>
      <c r="U1334" s="23">
        <f>DATEDIF(P1334, DATE(2023, 6, 8), "Y")</f>
        <v>53</v>
      </c>
      <c r="V1334">
        <f>SUM(C1334:K1334)</f>
        <v>35.299999999999997</v>
      </c>
    </row>
    <row r="1335" spans="1:22" ht="15.75">
      <c r="A1335" s="28" t="s">
        <v>2668</v>
      </c>
      <c r="B1335" s="28" t="s">
        <v>2669</v>
      </c>
      <c r="C1335" s="23">
        <v>36.85</v>
      </c>
      <c r="D1335" s="23">
        <v>8.8000000000000007</v>
      </c>
      <c r="E1335" s="23" t="s">
        <v>4682</v>
      </c>
      <c r="F1335" s="23" t="s">
        <v>4682</v>
      </c>
      <c r="G1335" s="23" t="s">
        <v>4682</v>
      </c>
      <c r="H1335" s="23">
        <v>2</v>
      </c>
      <c r="I1335" s="23" t="s">
        <v>4682</v>
      </c>
      <c r="J1335" s="23" t="s">
        <v>4729</v>
      </c>
      <c r="K1335" s="23" t="s">
        <v>4735</v>
      </c>
      <c r="L1335">
        <v>1966</v>
      </c>
      <c r="M1335" s="15" t="s">
        <v>4706</v>
      </c>
      <c r="N1335">
        <v>6</v>
      </c>
      <c r="O1335">
        <v>0</v>
      </c>
      <c r="P1335" s="21">
        <f>DATEVALUE(N1335&amp;"-"&amp;M1335&amp;"-"&amp;L1335)</f>
        <v>24325</v>
      </c>
      <c r="Q1335" s="22">
        <v>11165.42</v>
      </c>
      <c r="R1335" s="23" t="s">
        <v>4698</v>
      </c>
      <c r="S1335" s="23" t="s">
        <v>4701</v>
      </c>
      <c r="T1335" s="23" t="s">
        <v>4711</v>
      </c>
      <c r="U1335" s="23">
        <f>DATEDIF(P1335, DATE(2023, 6, 8), "Y")</f>
        <v>56</v>
      </c>
      <c r="V1335">
        <f>SUM(C1335:K1335)</f>
        <v>47.650000000000006</v>
      </c>
    </row>
    <row r="1336" spans="1:22" ht="15.75">
      <c r="A1336" s="28" t="s">
        <v>2670</v>
      </c>
      <c r="B1336" s="28" t="s">
        <v>2671</v>
      </c>
      <c r="C1336" s="23">
        <v>35.86</v>
      </c>
      <c r="D1336" s="23">
        <v>7.93</v>
      </c>
      <c r="E1336" s="23" t="s">
        <v>4682</v>
      </c>
      <c r="F1336" s="23" t="s">
        <v>4682</v>
      </c>
      <c r="G1336" s="23" t="s">
        <v>4682</v>
      </c>
      <c r="H1336" s="23">
        <v>2</v>
      </c>
      <c r="I1336" s="23" t="s">
        <v>4682</v>
      </c>
      <c r="J1336" s="23" t="s">
        <v>4729</v>
      </c>
      <c r="K1336" s="23" t="s">
        <v>4735</v>
      </c>
      <c r="L1336">
        <v>1972</v>
      </c>
      <c r="M1336" s="15" t="s">
        <v>4703</v>
      </c>
      <c r="N1336">
        <v>3</v>
      </c>
      <c r="O1336">
        <v>0</v>
      </c>
      <c r="P1336" s="21">
        <f>DATEVALUE(N1336&amp;"-"&amp;M1336&amp;"-"&amp;L1336)</f>
        <v>26545</v>
      </c>
      <c r="Q1336" s="22">
        <v>11186.2</v>
      </c>
      <c r="R1336" s="23" t="s">
        <v>4698</v>
      </c>
      <c r="S1336" s="23" t="s">
        <v>4697</v>
      </c>
      <c r="T1336" s="23" t="s">
        <v>4717</v>
      </c>
      <c r="U1336" s="23">
        <f>DATEDIF(P1336, DATE(2023, 6, 8), "Y")</f>
        <v>50</v>
      </c>
      <c r="V1336">
        <f>SUM(C1336:K1336)</f>
        <v>45.79</v>
      </c>
    </row>
    <row r="1337" spans="1:22" ht="15.75">
      <c r="A1337" s="28" t="s">
        <v>2672</v>
      </c>
      <c r="B1337" s="28" t="s">
        <v>2673</v>
      </c>
      <c r="C1337" s="23">
        <v>30.3</v>
      </c>
      <c r="D1337" s="23">
        <v>9.4499999999999993</v>
      </c>
      <c r="E1337" s="23" t="s">
        <v>4682</v>
      </c>
      <c r="F1337" s="23" t="s">
        <v>4682</v>
      </c>
      <c r="G1337" s="23" t="s">
        <v>4682</v>
      </c>
      <c r="H1337" s="23">
        <v>2</v>
      </c>
      <c r="I1337" s="23" t="s">
        <v>4682</v>
      </c>
      <c r="J1337" s="23" t="s">
        <v>4729</v>
      </c>
      <c r="K1337" s="23" t="s">
        <v>4735</v>
      </c>
      <c r="L1337">
        <v>1970</v>
      </c>
      <c r="M1337" s="15" t="s">
        <v>4702</v>
      </c>
      <c r="N1337">
        <v>14</v>
      </c>
      <c r="O1337">
        <v>2</v>
      </c>
      <c r="P1337" s="21">
        <f>DATEVALUE(N1337&amp;"-"&amp;M1337&amp;"-"&amp;L1337)</f>
        <v>25733</v>
      </c>
      <c r="Q1337" s="22">
        <v>11187.66</v>
      </c>
      <c r="R1337" s="23" t="s">
        <v>4698</v>
      </c>
      <c r="S1337" s="23" t="s">
        <v>4697</v>
      </c>
      <c r="T1337" s="23" t="s">
        <v>4704</v>
      </c>
      <c r="U1337" s="23">
        <f>DATEDIF(P1337, DATE(2023, 6, 8), "Y")</f>
        <v>52</v>
      </c>
      <c r="V1337">
        <f>SUM(C1337:K1337)</f>
        <v>41.75</v>
      </c>
    </row>
    <row r="1338" spans="1:22" ht="15.75">
      <c r="A1338" s="28" t="s">
        <v>2674</v>
      </c>
      <c r="B1338" s="28" t="s">
        <v>2675</v>
      </c>
      <c r="C1338" s="23">
        <v>32.015000000000001</v>
      </c>
      <c r="D1338" s="23">
        <v>7.67</v>
      </c>
      <c r="E1338" s="23" t="s">
        <v>4682</v>
      </c>
      <c r="F1338" s="23" t="s">
        <v>4682</v>
      </c>
      <c r="G1338" s="23" t="s">
        <v>4682</v>
      </c>
      <c r="H1338" s="23">
        <v>0</v>
      </c>
      <c r="I1338" s="23" t="s">
        <v>4682</v>
      </c>
      <c r="J1338" s="23" t="s">
        <v>4729</v>
      </c>
      <c r="K1338" s="23" t="s">
        <v>4735</v>
      </c>
      <c r="L1338">
        <v>1976</v>
      </c>
      <c r="M1338" s="15" t="s">
        <v>4702</v>
      </c>
      <c r="N1338">
        <v>28</v>
      </c>
      <c r="O1338">
        <v>2</v>
      </c>
      <c r="P1338" s="21">
        <f>DATEVALUE(N1338&amp;"-"&amp;M1338&amp;"-"&amp;L1338)</f>
        <v>27939</v>
      </c>
      <c r="Q1338" s="22">
        <v>11217.35</v>
      </c>
      <c r="R1338" s="23" t="s">
        <v>4698</v>
      </c>
      <c r="S1338" s="23" t="s">
        <v>4697</v>
      </c>
      <c r="T1338" s="23" t="s">
        <v>4713</v>
      </c>
      <c r="U1338" s="23">
        <f>DATEDIF(P1338, DATE(2023, 6, 8), "Y")</f>
        <v>46</v>
      </c>
      <c r="V1338">
        <f>SUM(C1338:K1338)</f>
        <v>39.685000000000002</v>
      </c>
    </row>
    <row r="1339" spans="1:22" ht="15.75">
      <c r="A1339" s="28" t="s">
        <v>2676</v>
      </c>
      <c r="B1339" s="28" t="s">
        <v>2677</v>
      </c>
      <c r="C1339" s="23">
        <v>25.06</v>
      </c>
      <c r="D1339" s="23">
        <v>10.53</v>
      </c>
      <c r="E1339" s="23" t="s">
        <v>4682</v>
      </c>
      <c r="F1339" s="23" t="s">
        <v>4682</v>
      </c>
      <c r="G1339" s="23" t="s">
        <v>4682</v>
      </c>
      <c r="H1339" s="23">
        <v>2</v>
      </c>
      <c r="I1339" s="23" t="s">
        <v>4682</v>
      </c>
      <c r="J1339" s="23" t="s">
        <v>4730</v>
      </c>
      <c r="K1339" s="23" t="s">
        <v>4735</v>
      </c>
      <c r="L1339">
        <v>1969</v>
      </c>
      <c r="M1339" s="15" t="s">
        <v>4705</v>
      </c>
      <c r="N1339">
        <v>30</v>
      </c>
      <c r="O1339">
        <v>2</v>
      </c>
      <c r="P1339" s="21">
        <f>DATEVALUE(N1339&amp;"-"&amp;M1339&amp;"-"&amp;L1339)</f>
        <v>25567</v>
      </c>
      <c r="Q1339" s="22">
        <v>11244.38</v>
      </c>
      <c r="R1339" s="23" t="s">
        <v>4698</v>
      </c>
      <c r="S1339" s="23" t="s">
        <v>4701</v>
      </c>
      <c r="T1339" s="23" t="s">
        <v>4711</v>
      </c>
      <c r="U1339" s="23">
        <f>DATEDIF(P1339, DATE(2023, 6, 8), "Y")</f>
        <v>53</v>
      </c>
      <c r="V1339">
        <f>SUM(C1339:K1339)</f>
        <v>37.589999999999996</v>
      </c>
    </row>
    <row r="1340" spans="1:22" ht="15.75">
      <c r="A1340" s="28" t="s">
        <v>2678</v>
      </c>
      <c r="B1340" s="28" t="s">
        <v>2679</v>
      </c>
      <c r="C1340" s="23">
        <v>18.829999999999998</v>
      </c>
      <c r="D1340" s="23">
        <v>10.08</v>
      </c>
      <c r="E1340" s="23" t="s">
        <v>4683</v>
      </c>
      <c r="F1340" s="23" t="s">
        <v>4682</v>
      </c>
      <c r="G1340" s="23" t="s">
        <v>4682</v>
      </c>
      <c r="H1340" s="23">
        <v>0</v>
      </c>
      <c r="I1340" s="23" t="s">
        <v>4682</v>
      </c>
      <c r="J1340" s="23" t="s">
        <v>4728</v>
      </c>
      <c r="K1340" s="23" t="s">
        <v>4735</v>
      </c>
      <c r="L1340">
        <v>1989</v>
      </c>
      <c r="M1340" s="15" t="s">
        <v>4705</v>
      </c>
      <c r="N1340">
        <v>17</v>
      </c>
      <c r="O1340">
        <v>3</v>
      </c>
      <c r="P1340" s="21">
        <f>DATEVALUE(N1340&amp;"-"&amp;M1340&amp;"-"&amp;L1340)</f>
        <v>32859</v>
      </c>
      <c r="Q1340" s="22">
        <v>11250.43</v>
      </c>
      <c r="R1340" s="23" t="s">
        <v>4698</v>
      </c>
      <c r="S1340" s="23" t="s">
        <v>4697</v>
      </c>
      <c r="T1340" s="23" t="s">
        <v>4720</v>
      </c>
      <c r="U1340" s="23">
        <f>DATEDIF(P1340, DATE(2023, 6, 8), "Y")</f>
        <v>33</v>
      </c>
      <c r="V1340">
        <f>SUM(C1340:K1340)</f>
        <v>28.909999999999997</v>
      </c>
    </row>
    <row r="1341" spans="1:22" ht="15.75">
      <c r="A1341" s="28" t="s">
        <v>2680</v>
      </c>
      <c r="B1341" s="28" t="s">
        <v>2681</v>
      </c>
      <c r="C1341" s="23">
        <v>47.52</v>
      </c>
      <c r="D1341" s="23">
        <v>11.39</v>
      </c>
      <c r="E1341" s="23" t="s">
        <v>4683</v>
      </c>
      <c r="F1341" s="23" t="s">
        <v>4682</v>
      </c>
      <c r="G1341" s="23" t="s">
        <v>4682</v>
      </c>
      <c r="H1341" s="23">
        <v>1</v>
      </c>
      <c r="I1341" s="23" t="s">
        <v>4682</v>
      </c>
      <c r="J1341" s="23" t="s">
        <v>4729</v>
      </c>
      <c r="K1341" s="23" t="s">
        <v>4735</v>
      </c>
      <c r="L1341">
        <v>1969</v>
      </c>
      <c r="M1341" s="15" t="s">
        <v>4706</v>
      </c>
      <c r="N1341">
        <v>20</v>
      </c>
      <c r="O1341">
        <v>3</v>
      </c>
      <c r="P1341" s="21">
        <f>DATEVALUE(N1341&amp;"-"&amp;M1341&amp;"-"&amp;L1341)</f>
        <v>25435</v>
      </c>
      <c r="Q1341" s="22">
        <v>11253.42</v>
      </c>
      <c r="R1341" s="23" t="s">
        <v>4698</v>
      </c>
      <c r="S1341" s="23" t="s">
        <v>4701</v>
      </c>
      <c r="T1341" s="23" t="s">
        <v>4708</v>
      </c>
      <c r="U1341" s="23">
        <f>DATEDIF(P1341, DATE(2023, 6, 8), "Y")</f>
        <v>53</v>
      </c>
      <c r="V1341">
        <f>SUM(C1341:K1341)</f>
        <v>59.910000000000004</v>
      </c>
    </row>
    <row r="1342" spans="1:22" ht="15.75">
      <c r="A1342" s="28" t="s">
        <v>2682</v>
      </c>
      <c r="B1342" s="28" t="s">
        <v>2683</v>
      </c>
      <c r="C1342" s="23">
        <v>37.82</v>
      </c>
      <c r="D1342" s="23">
        <v>6.36</v>
      </c>
      <c r="E1342" s="23" t="s">
        <v>4682</v>
      </c>
      <c r="F1342" s="23" t="s">
        <v>4682</v>
      </c>
      <c r="G1342" s="23" t="s">
        <v>4682</v>
      </c>
      <c r="H1342" s="23">
        <v>0</v>
      </c>
      <c r="I1342" s="23" t="s">
        <v>4682</v>
      </c>
      <c r="J1342" s="23" t="s">
        <v>4729</v>
      </c>
      <c r="K1342" s="23" t="s">
        <v>4736</v>
      </c>
      <c r="L1342">
        <v>1981</v>
      </c>
      <c r="M1342" s="15" t="s">
        <v>4707</v>
      </c>
      <c r="N1342">
        <v>2</v>
      </c>
      <c r="O1342">
        <v>1</v>
      </c>
      <c r="P1342" s="21">
        <f>DATEVALUE(N1342&amp;"-"&amp;M1342&amp;"-"&amp;L1342)</f>
        <v>29861</v>
      </c>
      <c r="Q1342" s="22">
        <v>11255.29</v>
      </c>
      <c r="R1342" s="23" t="s">
        <v>4698</v>
      </c>
      <c r="S1342" s="23" t="s">
        <v>4701</v>
      </c>
      <c r="T1342" s="23" t="s">
        <v>4720</v>
      </c>
      <c r="U1342" s="23">
        <f>DATEDIF(P1342, DATE(2023, 6, 8), "Y")</f>
        <v>41</v>
      </c>
      <c r="V1342">
        <f>SUM(C1342:K1342)</f>
        <v>44.18</v>
      </c>
    </row>
    <row r="1343" spans="1:22" ht="15.75">
      <c r="A1343" s="28" t="s">
        <v>2684</v>
      </c>
      <c r="B1343" s="28" t="s">
        <v>2685</v>
      </c>
      <c r="C1343" s="23">
        <v>44.16</v>
      </c>
      <c r="D1343" s="23">
        <v>5.31</v>
      </c>
      <c r="E1343" s="23" t="s">
        <v>4683</v>
      </c>
      <c r="F1343" s="23" t="s">
        <v>4682</v>
      </c>
      <c r="G1343" s="23" t="s">
        <v>4682</v>
      </c>
      <c r="H1343" s="23">
        <v>0</v>
      </c>
      <c r="I1343" s="23" t="s">
        <v>4682</v>
      </c>
      <c r="J1343" s="23" t="s">
        <v>4729</v>
      </c>
      <c r="K1343" s="23" t="s">
        <v>4737</v>
      </c>
      <c r="L1343">
        <v>1969</v>
      </c>
      <c r="M1343" s="15" t="s">
        <v>4707</v>
      </c>
      <c r="N1343">
        <v>11</v>
      </c>
      <c r="O1343">
        <v>3</v>
      </c>
      <c r="P1343" s="21">
        <f>DATEVALUE(N1343&amp;"-"&amp;M1343&amp;"-"&amp;L1343)</f>
        <v>25487</v>
      </c>
      <c r="Q1343" s="22">
        <v>11264.54</v>
      </c>
      <c r="R1343" s="23" t="s">
        <v>4698</v>
      </c>
      <c r="S1343" s="23" t="s">
        <v>4697</v>
      </c>
      <c r="T1343" s="23" t="s">
        <v>4708</v>
      </c>
      <c r="U1343" s="23">
        <f>DATEDIF(P1343, DATE(2023, 6, 8), "Y")</f>
        <v>53</v>
      </c>
      <c r="V1343">
        <f>SUM(C1343:K1343)</f>
        <v>49.47</v>
      </c>
    </row>
    <row r="1344" spans="1:22" ht="15.75">
      <c r="A1344" s="28" t="s">
        <v>2686</v>
      </c>
      <c r="B1344" s="28" t="s">
        <v>2687</v>
      </c>
      <c r="C1344" s="23">
        <v>37.049999999999997</v>
      </c>
      <c r="D1344" s="23">
        <v>4.74</v>
      </c>
      <c r="E1344" s="23" t="s">
        <v>4682</v>
      </c>
      <c r="F1344" s="23" t="s">
        <v>4682</v>
      </c>
      <c r="G1344" s="23" t="s">
        <v>4684</v>
      </c>
      <c r="H1344" s="23">
        <v>1</v>
      </c>
      <c r="I1344" s="23" t="s">
        <v>4682</v>
      </c>
      <c r="J1344" s="23" t="s">
        <v>4729</v>
      </c>
      <c r="K1344" s="23" t="s">
        <v>4737</v>
      </c>
      <c r="L1344">
        <v>1971</v>
      </c>
      <c r="M1344" s="15" t="s">
        <v>4705</v>
      </c>
      <c r="N1344">
        <v>26</v>
      </c>
      <c r="O1344">
        <v>0</v>
      </c>
      <c r="P1344" s="21">
        <f>DATEVALUE(N1344&amp;"-"&amp;M1344&amp;"-"&amp;L1344)</f>
        <v>26293</v>
      </c>
      <c r="Q1344" s="22">
        <v>11265.71</v>
      </c>
      <c r="R1344" s="23" t="s">
        <v>4698</v>
      </c>
      <c r="S1344" s="23" t="s">
        <v>4701</v>
      </c>
      <c r="T1344" s="23" t="s">
        <v>4713</v>
      </c>
      <c r="U1344" s="23">
        <f>DATEDIF(P1344, DATE(2023, 6, 8), "Y")</f>
        <v>51</v>
      </c>
      <c r="V1344">
        <f>SUM(C1344:K1344)</f>
        <v>42.79</v>
      </c>
    </row>
    <row r="1345" spans="1:22" ht="15.75">
      <c r="A1345" s="28" t="s">
        <v>2688</v>
      </c>
      <c r="B1345" s="28" t="s">
        <v>2689</v>
      </c>
      <c r="C1345" s="23">
        <v>18.66</v>
      </c>
      <c r="D1345" s="23">
        <v>11.35</v>
      </c>
      <c r="E1345" s="23" t="s">
        <v>4682</v>
      </c>
      <c r="F1345" s="23" t="s">
        <v>4682</v>
      </c>
      <c r="G1345" s="23" t="s">
        <v>4682</v>
      </c>
      <c r="H1345" s="23">
        <v>0</v>
      </c>
      <c r="I1345" s="23" t="s">
        <v>4682</v>
      </c>
      <c r="J1345" s="23" t="s">
        <v>4728</v>
      </c>
      <c r="K1345" s="23" t="s">
        <v>4735</v>
      </c>
      <c r="L1345">
        <v>2004</v>
      </c>
      <c r="M1345" s="15" t="s">
        <v>4707</v>
      </c>
      <c r="N1345">
        <v>4</v>
      </c>
      <c r="O1345">
        <v>1</v>
      </c>
      <c r="P1345" s="21">
        <f>DATEVALUE(N1345&amp;"-"&amp;M1345&amp;"-"&amp;L1345)</f>
        <v>38264</v>
      </c>
      <c r="Q1345" s="22">
        <v>11272.33</v>
      </c>
      <c r="R1345" s="23" t="s">
        <v>4698</v>
      </c>
      <c r="S1345" s="23" t="s">
        <v>4697</v>
      </c>
      <c r="T1345" s="23" t="s">
        <v>4710</v>
      </c>
      <c r="U1345" s="23">
        <f>DATEDIF(P1345, DATE(2023, 6, 8), "Y")</f>
        <v>18</v>
      </c>
      <c r="V1345">
        <f>SUM(C1345:K1345)</f>
        <v>30.009999999999998</v>
      </c>
    </row>
    <row r="1346" spans="1:22" ht="15.75">
      <c r="A1346" s="28" t="s">
        <v>2690</v>
      </c>
      <c r="B1346" s="28" t="s">
        <v>2691</v>
      </c>
      <c r="C1346" s="23">
        <v>36.200000000000003</v>
      </c>
      <c r="D1346" s="23">
        <v>6.81</v>
      </c>
      <c r="E1346" s="23" t="s">
        <v>4683</v>
      </c>
      <c r="F1346" s="23" t="s">
        <v>4682</v>
      </c>
      <c r="G1346" s="23" t="s">
        <v>4682</v>
      </c>
      <c r="H1346" s="23">
        <v>1</v>
      </c>
      <c r="I1346" s="23" t="s">
        <v>4682</v>
      </c>
      <c r="J1346" s="23" t="s">
        <v>4729</v>
      </c>
      <c r="K1346" s="23" t="s">
        <v>4735</v>
      </c>
      <c r="L1346">
        <v>1967</v>
      </c>
      <c r="M1346" s="15" t="s">
        <v>4702</v>
      </c>
      <c r="N1346">
        <v>14</v>
      </c>
      <c r="O1346">
        <v>0</v>
      </c>
      <c r="P1346" s="21">
        <f>DATEVALUE(N1346&amp;"-"&amp;M1346&amp;"-"&amp;L1346)</f>
        <v>24637</v>
      </c>
      <c r="Q1346" s="22">
        <v>11286.54</v>
      </c>
      <c r="R1346" s="23" t="s">
        <v>4698</v>
      </c>
      <c r="S1346" s="23" t="s">
        <v>4698</v>
      </c>
      <c r="T1346" s="23" t="s">
        <v>4714</v>
      </c>
      <c r="U1346" s="23">
        <f>DATEDIF(P1346, DATE(2023, 6, 8), "Y")</f>
        <v>55</v>
      </c>
      <c r="V1346">
        <f>SUM(C1346:K1346)</f>
        <v>44.010000000000005</v>
      </c>
    </row>
    <row r="1347" spans="1:22" ht="15.75">
      <c r="A1347" s="28" t="s">
        <v>2692</v>
      </c>
      <c r="B1347" s="28" t="s">
        <v>2693</v>
      </c>
      <c r="C1347" s="23">
        <v>18.87</v>
      </c>
      <c r="D1347" s="23">
        <v>8.06</v>
      </c>
      <c r="E1347" s="23" t="s">
        <v>4682</v>
      </c>
      <c r="F1347" s="23" t="s">
        <v>4682</v>
      </c>
      <c r="G1347" s="23" t="s">
        <v>4682</v>
      </c>
      <c r="H1347" s="23">
        <v>0</v>
      </c>
      <c r="I1347" s="23" t="s">
        <v>4682</v>
      </c>
      <c r="J1347" s="23" t="s">
        <v>4728</v>
      </c>
      <c r="K1347" s="23" t="s">
        <v>4735</v>
      </c>
      <c r="L1347">
        <v>1970</v>
      </c>
      <c r="M1347" s="15" t="s">
        <v>4702</v>
      </c>
      <c r="N1347">
        <v>22</v>
      </c>
      <c r="O1347">
        <v>3</v>
      </c>
      <c r="P1347" s="21">
        <f>DATEVALUE(N1347&amp;"-"&amp;M1347&amp;"-"&amp;L1347)</f>
        <v>25741</v>
      </c>
      <c r="Q1347" s="22">
        <v>11289.11</v>
      </c>
      <c r="R1347" s="23" t="s">
        <v>4698</v>
      </c>
      <c r="S1347" s="23" t="s">
        <v>4701</v>
      </c>
      <c r="T1347" s="23" t="s">
        <v>4704</v>
      </c>
      <c r="U1347" s="23">
        <f>DATEDIF(P1347, DATE(2023, 6, 8), "Y")</f>
        <v>52</v>
      </c>
      <c r="V1347">
        <f>SUM(C1347:K1347)</f>
        <v>26.93</v>
      </c>
    </row>
    <row r="1348" spans="1:22" ht="15.75">
      <c r="A1348" s="28" t="s">
        <v>2694</v>
      </c>
      <c r="B1348" s="28" t="s">
        <v>2695</v>
      </c>
      <c r="C1348" s="23">
        <v>32.299999999999997</v>
      </c>
      <c r="D1348" s="23">
        <v>6.74</v>
      </c>
      <c r="E1348" s="23" t="s">
        <v>4683</v>
      </c>
      <c r="F1348" s="23" t="s">
        <v>4682</v>
      </c>
      <c r="G1348" s="23" t="s">
        <v>4682</v>
      </c>
      <c r="H1348" s="23">
        <v>1</v>
      </c>
      <c r="I1348" s="23" t="s">
        <v>4682</v>
      </c>
      <c r="J1348" s="23" t="s">
        <v>4729</v>
      </c>
      <c r="K1348" s="23" t="s">
        <v>4735</v>
      </c>
      <c r="L1348">
        <v>1988</v>
      </c>
      <c r="M1348" s="15" t="s">
        <v>4700</v>
      </c>
      <c r="N1348">
        <v>14</v>
      </c>
      <c r="O1348">
        <v>3</v>
      </c>
      <c r="P1348" s="21">
        <f>DATEVALUE(N1348&amp;"-"&amp;M1348&amp;"-"&amp;L1348)</f>
        <v>32461</v>
      </c>
      <c r="Q1348" s="22">
        <v>11294.57</v>
      </c>
      <c r="R1348" s="23" t="s">
        <v>4698</v>
      </c>
      <c r="S1348" s="23" t="s">
        <v>4701</v>
      </c>
      <c r="T1348" s="23" t="s">
        <v>4721</v>
      </c>
      <c r="U1348" s="23">
        <f>DATEDIF(P1348, DATE(2023, 6, 8), "Y")</f>
        <v>34</v>
      </c>
      <c r="V1348">
        <f>SUM(C1348:K1348)</f>
        <v>40.04</v>
      </c>
    </row>
    <row r="1349" spans="1:22" ht="15.75">
      <c r="A1349" s="28" t="s">
        <v>2696</v>
      </c>
      <c r="B1349" s="28" t="s">
        <v>2697</v>
      </c>
      <c r="C1349" s="23">
        <v>22.64</v>
      </c>
      <c r="D1349" s="23">
        <v>6.54</v>
      </c>
      <c r="E1349" s="23" t="s">
        <v>4683</v>
      </c>
      <c r="F1349" s="23" t="s">
        <v>4682</v>
      </c>
      <c r="G1349" s="23" t="s">
        <v>4682</v>
      </c>
      <c r="H1349" s="23">
        <v>2</v>
      </c>
      <c r="I1349" s="23" t="s">
        <v>4682</v>
      </c>
      <c r="J1349" s="23" t="s">
        <v>4728</v>
      </c>
      <c r="K1349" s="23" t="s">
        <v>4735</v>
      </c>
      <c r="L1349">
        <v>1972</v>
      </c>
      <c r="M1349" s="15" t="s">
        <v>4703</v>
      </c>
      <c r="N1349">
        <v>25</v>
      </c>
      <c r="O1349">
        <v>4</v>
      </c>
      <c r="P1349" s="21">
        <f>DATEVALUE(N1349&amp;"-"&amp;M1349&amp;"-"&amp;L1349)</f>
        <v>26567</v>
      </c>
      <c r="Q1349" s="22">
        <v>11299.34</v>
      </c>
      <c r="R1349" s="23" t="s">
        <v>4698</v>
      </c>
      <c r="S1349" s="23" t="s">
        <v>4697</v>
      </c>
      <c r="T1349" s="23" t="s">
        <v>4708</v>
      </c>
      <c r="U1349" s="23">
        <f>DATEDIF(P1349, DATE(2023, 6, 8), "Y")</f>
        <v>50</v>
      </c>
      <c r="V1349">
        <f>SUM(C1349:K1349)</f>
        <v>31.18</v>
      </c>
    </row>
    <row r="1350" spans="1:22" ht="15.75">
      <c r="A1350" s="28" t="s">
        <v>2698</v>
      </c>
      <c r="B1350" s="28" t="s">
        <v>2699</v>
      </c>
      <c r="C1350" s="23">
        <v>28.69</v>
      </c>
      <c r="D1350" s="23">
        <v>5.4</v>
      </c>
      <c r="E1350" s="23" t="s">
        <v>4682</v>
      </c>
      <c r="F1350" s="23" t="s">
        <v>4682</v>
      </c>
      <c r="G1350" s="23" t="s">
        <v>4682</v>
      </c>
      <c r="H1350" s="23">
        <v>0</v>
      </c>
      <c r="I1350" s="23" t="s">
        <v>4682</v>
      </c>
      <c r="J1350" s="23" t="s">
        <v>4730</v>
      </c>
      <c r="K1350" s="23" t="s">
        <v>4737</v>
      </c>
      <c r="L1350">
        <v>1968</v>
      </c>
      <c r="M1350" s="15" t="s">
        <v>4707</v>
      </c>
      <c r="N1350">
        <v>6</v>
      </c>
      <c r="O1350">
        <v>1</v>
      </c>
      <c r="P1350" s="21">
        <f>DATEVALUE(N1350&amp;"-"&amp;M1350&amp;"-"&amp;L1350)</f>
        <v>25117</v>
      </c>
      <c r="Q1350" s="22">
        <v>11305.93</v>
      </c>
      <c r="R1350" s="23" t="s">
        <v>4698</v>
      </c>
      <c r="S1350" s="23" t="s">
        <v>4701</v>
      </c>
      <c r="T1350" s="23" t="s">
        <v>4704</v>
      </c>
      <c r="U1350" s="23">
        <f>DATEDIF(P1350, DATE(2023, 6, 8), "Y")</f>
        <v>54</v>
      </c>
      <c r="V1350">
        <f>SUM(C1350:K1350)</f>
        <v>34.090000000000003</v>
      </c>
    </row>
    <row r="1351" spans="1:22" ht="15.75">
      <c r="A1351" s="28" t="s">
        <v>2700</v>
      </c>
      <c r="B1351" s="28" t="s">
        <v>2701</v>
      </c>
      <c r="C1351" s="23">
        <v>28.16</v>
      </c>
      <c r="D1351" s="23">
        <v>5.58</v>
      </c>
      <c r="E1351" s="23" t="s">
        <v>4683</v>
      </c>
      <c r="F1351" s="23" t="s">
        <v>4682</v>
      </c>
      <c r="G1351" s="23" t="s">
        <v>4682</v>
      </c>
      <c r="H1351" s="23">
        <v>0</v>
      </c>
      <c r="I1351" s="23" t="s">
        <v>4682</v>
      </c>
      <c r="J1351" s="23" t="s">
        <v>4730</v>
      </c>
      <c r="K1351" s="23" t="s">
        <v>4737</v>
      </c>
      <c r="L1351">
        <v>1963</v>
      </c>
      <c r="M1351" s="15" t="s">
        <v>4700</v>
      </c>
      <c r="N1351">
        <v>22</v>
      </c>
      <c r="O1351">
        <v>0</v>
      </c>
      <c r="P1351" s="21">
        <f>DATEVALUE(N1351&amp;"-"&amp;M1351&amp;"-"&amp;L1351)</f>
        <v>23337</v>
      </c>
      <c r="Q1351" s="22">
        <v>11312.33</v>
      </c>
      <c r="R1351" s="23" t="s">
        <v>4698</v>
      </c>
      <c r="S1351" s="23" t="s">
        <v>4698</v>
      </c>
      <c r="T1351" s="23" t="s">
        <v>4704</v>
      </c>
      <c r="U1351" s="23">
        <f>DATEDIF(P1351, DATE(2023, 6, 8), "Y")</f>
        <v>59</v>
      </c>
      <c r="V1351">
        <f>SUM(C1351:K1351)</f>
        <v>33.74</v>
      </c>
    </row>
    <row r="1352" spans="1:22" ht="15.75">
      <c r="A1352" s="28" t="s">
        <v>2702</v>
      </c>
      <c r="B1352" s="28" t="s">
        <v>2703</v>
      </c>
      <c r="C1352" s="23">
        <v>45.54</v>
      </c>
      <c r="D1352" s="23">
        <v>5.84</v>
      </c>
      <c r="E1352" s="23" t="s">
        <v>4682</v>
      </c>
      <c r="F1352" s="23" t="s">
        <v>4682</v>
      </c>
      <c r="G1352" s="23" t="s">
        <v>4684</v>
      </c>
      <c r="H1352" s="23">
        <v>1</v>
      </c>
      <c r="I1352" s="23" t="s">
        <v>4682</v>
      </c>
      <c r="J1352" s="23" t="s">
        <v>4729</v>
      </c>
      <c r="K1352" s="23" t="s">
        <v>4736</v>
      </c>
      <c r="L1352">
        <v>1995</v>
      </c>
      <c r="M1352" s="15" t="s">
        <v>4705</v>
      </c>
      <c r="N1352">
        <v>10</v>
      </c>
      <c r="O1352">
        <v>0</v>
      </c>
      <c r="P1352" s="21">
        <f>DATEVALUE(N1352&amp;"-"&amp;M1352&amp;"-"&amp;L1352)</f>
        <v>35043</v>
      </c>
      <c r="Q1352" s="22">
        <v>11318.57</v>
      </c>
      <c r="R1352" s="23" t="s">
        <v>4698</v>
      </c>
      <c r="S1352" s="23" t="s">
        <v>4697</v>
      </c>
      <c r="T1352" s="23" t="s">
        <v>4720</v>
      </c>
      <c r="U1352" s="23">
        <f>DATEDIF(P1352, DATE(2023, 6, 8), "Y")</f>
        <v>27</v>
      </c>
      <c r="V1352">
        <f>SUM(C1352:K1352)</f>
        <v>52.379999999999995</v>
      </c>
    </row>
    <row r="1353" spans="1:22" ht="15.75">
      <c r="A1353" s="28" t="s">
        <v>2704</v>
      </c>
      <c r="B1353" s="28" t="s">
        <v>2705</v>
      </c>
      <c r="C1353" s="23">
        <v>28.7</v>
      </c>
      <c r="D1353" s="23">
        <v>4.2</v>
      </c>
      <c r="E1353" s="23" t="s">
        <v>4682</v>
      </c>
      <c r="F1353" s="23" t="s">
        <v>4682</v>
      </c>
      <c r="G1353" s="23" t="s">
        <v>4682</v>
      </c>
      <c r="H1353" s="23">
        <v>0</v>
      </c>
      <c r="I1353" s="23" t="s">
        <v>4682</v>
      </c>
      <c r="J1353" s="23" t="s">
        <v>4730</v>
      </c>
      <c r="K1353" s="23" t="s">
        <v>4737</v>
      </c>
      <c r="L1353">
        <v>1963</v>
      </c>
      <c r="M1353" s="15" t="s">
        <v>4696</v>
      </c>
      <c r="N1353">
        <v>11</v>
      </c>
      <c r="O1353">
        <v>0</v>
      </c>
      <c r="P1353" s="21">
        <f>DATEVALUE(N1353&amp;"-"&amp;M1353&amp;"-"&amp;L1353)</f>
        <v>23203</v>
      </c>
      <c r="Q1353" s="22">
        <v>11319.12</v>
      </c>
      <c r="R1353" s="23" t="s">
        <v>4698</v>
      </c>
      <c r="S1353" s="23" t="s">
        <v>4701</v>
      </c>
      <c r="T1353" s="23" t="s">
        <v>4704</v>
      </c>
      <c r="U1353" s="23">
        <f>DATEDIF(P1353, DATE(2023, 6, 8), "Y")</f>
        <v>59</v>
      </c>
      <c r="V1353">
        <f>SUM(C1353:K1353)</f>
        <v>32.9</v>
      </c>
    </row>
    <row r="1354" spans="1:22" ht="15.75">
      <c r="A1354" s="28" t="s">
        <v>2706</v>
      </c>
      <c r="B1354" s="28" t="s">
        <v>2707</v>
      </c>
      <c r="C1354" s="23">
        <v>27.74</v>
      </c>
      <c r="D1354" s="23">
        <v>6.06</v>
      </c>
      <c r="E1354" s="23" t="s">
        <v>4683</v>
      </c>
      <c r="F1354" s="23" t="s">
        <v>4682</v>
      </c>
      <c r="G1354" s="23" t="s">
        <v>4682</v>
      </c>
      <c r="H1354" s="23">
        <v>0</v>
      </c>
      <c r="I1354" s="23" t="s">
        <v>4682</v>
      </c>
      <c r="J1354" s="23" t="s">
        <v>4730</v>
      </c>
      <c r="K1354" s="23" t="s">
        <v>4736</v>
      </c>
      <c r="L1354">
        <v>2002</v>
      </c>
      <c r="M1354" s="15" t="s">
        <v>4703</v>
      </c>
      <c r="N1354">
        <v>20</v>
      </c>
      <c r="O1354">
        <v>0</v>
      </c>
      <c r="P1354" s="21">
        <f>DATEVALUE(N1354&amp;"-"&amp;M1354&amp;"-"&amp;L1354)</f>
        <v>37519</v>
      </c>
      <c r="Q1354" s="22">
        <v>11321.49</v>
      </c>
      <c r="R1354" s="23" t="s">
        <v>4698</v>
      </c>
      <c r="S1354" s="23" t="s">
        <v>4698</v>
      </c>
      <c r="T1354" s="23" t="s">
        <v>4704</v>
      </c>
      <c r="U1354" s="23">
        <f>DATEDIF(P1354, DATE(2023, 6, 8), "Y")</f>
        <v>20</v>
      </c>
      <c r="V1354">
        <f>SUM(C1354:K1354)</f>
        <v>33.799999999999997</v>
      </c>
    </row>
    <row r="1355" spans="1:22" ht="15.75">
      <c r="A1355" s="28" t="s">
        <v>2708</v>
      </c>
      <c r="B1355" s="28" t="s">
        <v>2709</v>
      </c>
      <c r="C1355" s="23">
        <v>36.954999999999998</v>
      </c>
      <c r="D1355" s="23">
        <v>7.57</v>
      </c>
      <c r="E1355" s="23" t="s">
        <v>4682</v>
      </c>
      <c r="F1355" s="23" t="s">
        <v>4682</v>
      </c>
      <c r="G1355" s="23" t="s">
        <v>4682</v>
      </c>
      <c r="H1355" s="23">
        <v>0</v>
      </c>
      <c r="I1355" s="23" t="s">
        <v>4682</v>
      </c>
      <c r="J1355" s="23" t="s">
        <v>4729</v>
      </c>
      <c r="K1355" s="23" t="s">
        <v>4735</v>
      </c>
      <c r="L1355">
        <v>1989</v>
      </c>
      <c r="M1355" s="15" t="s">
        <v>4706</v>
      </c>
      <c r="N1355">
        <v>19</v>
      </c>
      <c r="O1355">
        <v>1</v>
      </c>
      <c r="P1355" s="21">
        <f>DATEVALUE(N1355&amp;"-"&amp;M1355&amp;"-"&amp;L1355)</f>
        <v>32739</v>
      </c>
      <c r="Q1355" s="22">
        <v>11326.71</v>
      </c>
      <c r="R1355" s="23" t="s">
        <v>4698</v>
      </c>
      <c r="S1355" s="23" t="s">
        <v>4698</v>
      </c>
      <c r="T1355" s="23" t="s">
        <v>4699</v>
      </c>
      <c r="U1355" s="23">
        <f>DATEDIF(P1355, DATE(2023, 6, 8), "Y")</f>
        <v>33</v>
      </c>
      <c r="V1355">
        <f>SUM(C1355:K1355)</f>
        <v>44.524999999999999</v>
      </c>
    </row>
    <row r="1356" spans="1:22" ht="15.75">
      <c r="A1356" s="28" t="s">
        <v>2710</v>
      </c>
      <c r="B1356" s="28" t="s">
        <v>2711</v>
      </c>
      <c r="C1356" s="23">
        <v>30.69</v>
      </c>
      <c r="D1356" s="23">
        <v>6.15</v>
      </c>
      <c r="E1356" s="23" t="s">
        <v>4682</v>
      </c>
      <c r="F1356" s="23" t="s">
        <v>4682</v>
      </c>
      <c r="G1356" s="23" t="s">
        <v>4682</v>
      </c>
      <c r="H1356" s="23">
        <v>0</v>
      </c>
      <c r="I1356" s="23" t="s">
        <v>4682</v>
      </c>
      <c r="J1356" s="23" t="s">
        <v>4729</v>
      </c>
      <c r="K1356" s="23" t="s">
        <v>4736</v>
      </c>
      <c r="L1356">
        <v>1968</v>
      </c>
      <c r="M1356" s="15" t="s">
        <v>4700</v>
      </c>
      <c r="N1356">
        <v>2</v>
      </c>
      <c r="O1356">
        <v>0</v>
      </c>
      <c r="P1356" s="21">
        <f>DATEVALUE(N1356&amp;"-"&amp;M1356&amp;"-"&amp;L1356)</f>
        <v>25144</v>
      </c>
      <c r="Q1356" s="22">
        <v>11344.32</v>
      </c>
      <c r="R1356" s="23" t="s">
        <v>4698</v>
      </c>
      <c r="S1356" s="23" t="s">
        <v>4697</v>
      </c>
      <c r="T1356" s="23" t="s">
        <v>4713</v>
      </c>
      <c r="U1356" s="23">
        <f>DATEDIF(P1356, DATE(2023, 6, 8), "Y")</f>
        <v>54</v>
      </c>
      <c r="V1356">
        <f>SUM(C1356:K1356)</f>
        <v>36.840000000000003</v>
      </c>
    </row>
    <row r="1357" spans="1:22" ht="15.75">
      <c r="A1357" s="28" t="s">
        <v>2712</v>
      </c>
      <c r="B1357" s="28" t="s">
        <v>2713</v>
      </c>
      <c r="C1357" s="23">
        <v>24.984999999999999</v>
      </c>
      <c r="D1357" s="23">
        <v>4.5599999999999996</v>
      </c>
      <c r="E1357" s="23" t="s">
        <v>4682</v>
      </c>
      <c r="F1357" s="23" t="s">
        <v>4682</v>
      </c>
      <c r="G1357" s="23" t="s">
        <v>4682</v>
      </c>
      <c r="H1357" s="23">
        <v>0</v>
      </c>
      <c r="I1357" s="23" t="s">
        <v>4682</v>
      </c>
      <c r="J1357" s="23" t="s">
        <v>4730</v>
      </c>
      <c r="K1357" s="23" t="s">
        <v>4737</v>
      </c>
      <c r="L1357">
        <v>1964</v>
      </c>
      <c r="M1357" s="15" t="s">
        <v>4696</v>
      </c>
      <c r="N1357">
        <v>12</v>
      </c>
      <c r="O1357">
        <v>0</v>
      </c>
      <c r="P1357" s="21">
        <f>DATEVALUE(N1357&amp;"-"&amp;M1357&amp;"-"&amp;L1357)</f>
        <v>23570</v>
      </c>
      <c r="Q1357" s="22">
        <v>11345.52</v>
      </c>
      <c r="R1357" s="23" t="s">
        <v>4698</v>
      </c>
      <c r="S1357" s="23" t="s">
        <v>4698</v>
      </c>
      <c r="T1357" s="23" t="s">
        <v>4708</v>
      </c>
      <c r="U1357" s="23">
        <f>DATEDIF(P1357, DATE(2023, 6, 8), "Y")</f>
        <v>58</v>
      </c>
      <c r="V1357">
        <f>SUM(C1357:K1357)</f>
        <v>29.544999999999998</v>
      </c>
    </row>
    <row r="1358" spans="1:22" ht="15.75">
      <c r="A1358" s="28" t="s">
        <v>2714</v>
      </c>
      <c r="B1358" s="28" t="s">
        <v>2715</v>
      </c>
      <c r="C1358" s="23">
        <v>39.42</v>
      </c>
      <c r="D1358" s="23">
        <v>4.72</v>
      </c>
      <c r="E1358" s="23" t="s">
        <v>4683</v>
      </c>
      <c r="F1358" s="23" t="s">
        <v>4682</v>
      </c>
      <c r="G1358" s="23" t="s">
        <v>4682</v>
      </c>
      <c r="H1358" s="23">
        <v>1</v>
      </c>
      <c r="I1358" s="23" t="s">
        <v>4682</v>
      </c>
      <c r="J1358" s="23" t="s">
        <v>4729</v>
      </c>
      <c r="K1358" s="23" t="s">
        <v>4737</v>
      </c>
      <c r="L1358">
        <v>1965</v>
      </c>
      <c r="M1358" s="15" t="s">
        <v>4700</v>
      </c>
      <c r="N1358">
        <v>29</v>
      </c>
      <c r="O1358">
        <v>0</v>
      </c>
      <c r="P1358" s="21">
        <f>DATEVALUE(N1358&amp;"-"&amp;M1358&amp;"-"&amp;L1358)</f>
        <v>24075</v>
      </c>
      <c r="Q1358" s="22">
        <v>11353.23</v>
      </c>
      <c r="R1358" s="23" t="s">
        <v>4698</v>
      </c>
      <c r="S1358" s="23" t="s">
        <v>4701</v>
      </c>
      <c r="T1358" s="23" t="s">
        <v>4704</v>
      </c>
      <c r="U1358" s="23">
        <f>DATEDIF(P1358, DATE(2023, 6, 8), "Y")</f>
        <v>57</v>
      </c>
      <c r="V1358">
        <f>SUM(C1358:K1358)</f>
        <v>45.14</v>
      </c>
    </row>
    <row r="1359" spans="1:22" ht="15.75">
      <c r="A1359" s="28" t="s">
        <v>2716</v>
      </c>
      <c r="B1359" s="28" t="s">
        <v>2717</v>
      </c>
      <c r="C1359" s="23">
        <v>16.8</v>
      </c>
      <c r="D1359" s="23">
        <v>7.98</v>
      </c>
      <c r="E1359" s="23" t="s">
        <v>4682</v>
      </c>
      <c r="F1359" s="23" t="s">
        <v>4682</v>
      </c>
      <c r="G1359" s="23" t="s">
        <v>4682</v>
      </c>
      <c r="H1359" s="23">
        <v>0</v>
      </c>
      <c r="I1359" s="23" t="s">
        <v>4682</v>
      </c>
      <c r="J1359" s="23" t="s">
        <v>4731</v>
      </c>
      <c r="K1359" s="23" t="s">
        <v>4735</v>
      </c>
      <c r="L1359">
        <v>1965</v>
      </c>
      <c r="M1359" s="15" t="s">
        <v>4703</v>
      </c>
      <c r="N1359">
        <v>26</v>
      </c>
      <c r="O1359">
        <v>0</v>
      </c>
      <c r="P1359" s="21">
        <f>DATEVALUE(N1359&amp;"-"&amp;M1359&amp;"-"&amp;L1359)</f>
        <v>24011</v>
      </c>
      <c r="Q1359" s="22">
        <v>11356.66</v>
      </c>
      <c r="R1359" s="23" t="s">
        <v>4698</v>
      </c>
      <c r="S1359" s="23" t="s">
        <v>4698</v>
      </c>
      <c r="T1359" s="23" t="s">
        <v>4704</v>
      </c>
      <c r="U1359" s="23">
        <f>DATEDIF(P1359, DATE(2023, 6, 8), "Y")</f>
        <v>57</v>
      </c>
      <c r="V1359">
        <f>SUM(C1359:K1359)</f>
        <v>24.78</v>
      </c>
    </row>
    <row r="1360" spans="1:22" ht="15.75">
      <c r="A1360" s="28" t="s">
        <v>2718</v>
      </c>
      <c r="B1360" s="28" t="s">
        <v>2719</v>
      </c>
      <c r="C1360" s="23">
        <v>23.274999999999999</v>
      </c>
      <c r="D1360" s="23">
        <v>6.26</v>
      </c>
      <c r="E1360" s="23" t="s">
        <v>4683</v>
      </c>
      <c r="F1360" s="23" t="s">
        <v>4682</v>
      </c>
      <c r="G1360" s="23" t="s">
        <v>4684</v>
      </c>
      <c r="H1360" s="23">
        <v>1</v>
      </c>
      <c r="I1360" s="23" t="s">
        <v>4682</v>
      </c>
      <c r="J1360" s="23" t="s">
        <v>4728</v>
      </c>
      <c r="K1360" s="23" t="s">
        <v>4736</v>
      </c>
      <c r="L1360">
        <v>1964</v>
      </c>
      <c r="M1360" s="15" t="s">
        <v>4696</v>
      </c>
      <c r="N1360">
        <v>4</v>
      </c>
      <c r="O1360">
        <v>0</v>
      </c>
      <c r="P1360" s="21">
        <f>DATEVALUE(N1360&amp;"-"&amp;M1360&amp;"-"&amp;L1360)</f>
        <v>23562</v>
      </c>
      <c r="Q1360" s="22">
        <v>11362.76</v>
      </c>
      <c r="R1360" s="23" t="s">
        <v>4698</v>
      </c>
      <c r="S1360" s="23" t="s">
        <v>4701</v>
      </c>
      <c r="T1360" s="23" t="s">
        <v>4708</v>
      </c>
      <c r="U1360" s="23">
        <f>DATEDIF(P1360, DATE(2023, 6, 8), "Y")</f>
        <v>58</v>
      </c>
      <c r="V1360">
        <f>SUM(C1360:K1360)</f>
        <v>30.534999999999997</v>
      </c>
    </row>
    <row r="1361" spans="1:22" ht="15.75">
      <c r="A1361" s="28" t="s">
        <v>2720</v>
      </c>
      <c r="B1361" s="28" t="s">
        <v>2721</v>
      </c>
      <c r="C1361" s="23">
        <v>22.8</v>
      </c>
      <c r="D1361" s="23">
        <v>4.29</v>
      </c>
      <c r="E1361" s="23" t="s">
        <v>4683</v>
      </c>
      <c r="F1361" s="23" t="s">
        <v>4682</v>
      </c>
      <c r="G1361" s="23" t="s">
        <v>4684</v>
      </c>
      <c r="H1361" s="23">
        <v>1</v>
      </c>
      <c r="I1361" s="23" t="s">
        <v>4682</v>
      </c>
      <c r="J1361" s="23" t="s">
        <v>4728</v>
      </c>
      <c r="K1361" s="23" t="s">
        <v>4737</v>
      </c>
      <c r="L1361">
        <v>1964</v>
      </c>
      <c r="M1361" s="15" t="s">
        <v>4696</v>
      </c>
      <c r="N1361">
        <v>3</v>
      </c>
      <c r="O1361">
        <v>0</v>
      </c>
      <c r="P1361" s="21">
        <f>DATEVALUE(N1361&amp;"-"&amp;M1361&amp;"-"&amp;L1361)</f>
        <v>23561</v>
      </c>
      <c r="Q1361" s="22">
        <v>11363.28</v>
      </c>
      <c r="R1361" s="23" t="s">
        <v>4698</v>
      </c>
      <c r="S1361" s="23" t="s">
        <v>4701</v>
      </c>
      <c r="T1361" s="23" t="s">
        <v>4699</v>
      </c>
      <c r="U1361" s="23">
        <f>DATEDIF(P1361, DATE(2023, 6, 8), "Y")</f>
        <v>58</v>
      </c>
      <c r="V1361">
        <f>SUM(C1361:K1361)</f>
        <v>28.09</v>
      </c>
    </row>
    <row r="1362" spans="1:22" ht="15.75">
      <c r="A1362" s="28" t="s">
        <v>2722</v>
      </c>
      <c r="B1362" s="28" t="s">
        <v>2723</v>
      </c>
      <c r="C1362" s="23">
        <v>24.3</v>
      </c>
      <c r="D1362" s="23">
        <v>5.43</v>
      </c>
      <c r="E1362" s="23" t="s">
        <v>4682</v>
      </c>
      <c r="F1362" s="23" t="s">
        <v>4682</v>
      </c>
      <c r="G1362" s="23" t="s">
        <v>4682</v>
      </c>
      <c r="H1362" s="23">
        <v>2</v>
      </c>
      <c r="I1362" s="23" t="s">
        <v>4682</v>
      </c>
      <c r="J1362" s="23" t="s">
        <v>4728</v>
      </c>
      <c r="K1362" s="23" t="s">
        <v>4737</v>
      </c>
      <c r="L1362">
        <v>1964</v>
      </c>
      <c r="M1362" s="15" t="s">
        <v>4705</v>
      </c>
      <c r="N1362">
        <v>13</v>
      </c>
      <c r="O1362">
        <v>0</v>
      </c>
      <c r="P1362" s="21">
        <f>DATEVALUE(N1362&amp;"-"&amp;M1362&amp;"-"&amp;L1362)</f>
        <v>23724</v>
      </c>
      <c r="Q1362" s="22">
        <v>11365.95</v>
      </c>
      <c r="R1362" s="23" t="s">
        <v>4698</v>
      </c>
      <c r="S1362" s="23" t="s">
        <v>4697</v>
      </c>
      <c r="T1362" s="23" t="s">
        <v>4708</v>
      </c>
      <c r="U1362" s="23">
        <f>DATEDIF(P1362, DATE(2023, 6, 8), "Y")</f>
        <v>58</v>
      </c>
      <c r="V1362">
        <f>SUM(C1362:K1362)</f>
        <v>31.73</v>
      </c>
    </row>
    <row r="1363" spans="1:22" ht="15.75">
      <c r="A1363" s="28" t="s">
        <v>2724</v>
      </c>
      <c r="B1363" s="28" t="s">
        <v>2725</v>
      </c>
      <c r="C1363" s="23">
        <v>25.13</v>
      </c>
      <c r="D1363" s="23">
        <v>8</v>
      </c>
      <c r="E1363" s="23" t="s">
        <v>4683</v>
      </c>
      <c r="F1363" s="23" t="s">
        <v>4682</v>
      </c>
      <c r="G1363" s="23" t="s">
        <v>4682</v>
      </c>
      <c r="H1363" s="23">
        <v>1</v>
      </c>
      <c r="I1363" s="23" t="s">
        <v>4682</v>
      </c>
      <c r="J1363" s="23" t="s">
        <v>4730</v>
      </c>
      <c r="K1363" s="23" t="s">
        <v>4735</v>
      </c>
      <c r="L1363">
        <v>1979</v>
      </c>
      <c r="M1363" s="15" t="s">
        <v>4702</v>
      </c>
      <c r="N1363">
        <v>7</v>
      </c>
      <c r="O1363">
        <v>2</v>
      </c>
      <c r="P1363" s="21">
        <f>DATEVALUE(N1363&amp;"-"&amp;M1363&amp;"-"&amp;L1363)</f>
        <v>29013</v>
      </c>
      <c r="Q1363" s="22">
        <v>11369.39</v>
      </c>
      <c r="R1363" s="23" t="s">
        <v>4698</v>
      </c>
      <c r="S1363" s="23" t="s">
        <v>4701</v>
      </c>
      <c r="T1363" s="23" t="s">
        <v>4720</v>
      </c>
      <c r="U1363" s="23">
        <f>DATEDIF(P1363, DATE(2023, 6, 8), "Y")</f>
        <v>44</v>
      </c>
      <c r="V1363">
        <f>SUM(C1363:K1363)</f>
        <v>34.129999999999995</v>
      </c>
    </row>
    <row r="1364" spans="1:22" ht="15.75">
      <c r="A1364" s="28" t="s">
        <v>2726</v>
      </c>
      <c r="B1364" s="28" t="s">
        <v>2727</v>
      </c>
      <c r="C1364" s="23">
        <v>22.72</v>
      </c>
      <c r="D1364" s="23">
        <v>9.9600000000000009</v>
      </c>
      <c r="E1364" s="23" t="s">
        <v>4683</v>
      </c>
      <c r="F1364" s="23" t="s">
        <v>4682</v>
      </c>
      <c r="G1364" s="23" t="s">
        <v>4682</v>
      </c>
      <c r="H1364" s="23">
        <v>2</v>
      </c>
      <c r="I1364" s="23" t="s">
        <v>4682</v>
      </c>
      <c r="J1364" s="23" t="s">
        <v>4728</v>
      </c>
      <c r="K1364" s="23" t="s">
        <v>4735</v>
      </c>
      <c r="L1364">
        <v>1972</v>
      </c>
      <c r="M1364" s="15" t="s">
        <v>4705</v>
      </c>
      <c r="N1364">
        <v>6</v>
      </c>
      <c r="O1364">
        <v>0</v>
      </c>
      <c r="P1364" s="21">
        <f>DATEVALUE(N1364&amp;"-"&amp;M1364&amp;"-"&amp;L1364)</f>
        <v>26639</v>
      </c>
      <c r="Q1364" s="22">
        <v>11378.57</v>
      </c>
      <c r="R1364" s="23" t="s">
        <v>4698</v>
      </c>
      <c r="S1364" s="23" t="s">
        <v>4697</v>
      </c>
      <c r="T1364" s="23" t="s">
        <v>4713</v>
      </c>
      <c r="U1364" s="23">
        <f>DATEDIF(P1364, DATE(2023, 6, 8), "Y")</f>
        <v>50</v>
      </c>
      <c r="V1364">
        <f>SUM(C1364:K1364)</f>
        <v>34.68</v>
      </c>
    </row>
    <row r="1365" spans="1:22" ht="15.75">
      <c r="A1365" s="28" t="s">
        <v>2728</v>
      </c>
      <c r="B1365" s="28" t="s">
        <v>2729</v>
      </c>
      <c r="C1365" s="23">
        <v>32.6</v>
      </c>
      <c r="D1365" s="23">
        <v>6.8</v>
      </c>
      <c r="E1365" s="23" t="s">
        <v>4683</v>
      </c>
      <c r="F1365" s="23" t="s">
        <v>4682</v>
      </c>
      <c r="G1365" s="23" t="s">
        <v>4682</v>
      </c>
      <c r="H1365" s="23">
        <v>0</v>
      </c>
      <c r="I1365" s="23" t="s">
        <v>4682</v>
      </c>
      <c r="J1365" s="23" t="s">
        <v>4729</v>
      </c>
      <c r="K1365" s="23" t="s">
        <v>4735</v>
      </c>
      <c r="L1365">
        <v>1964</v>
      </c>
      <c r="M1365" s="15" t="s">
        <v>4702</v>
      </c>
      <c r="N1365">
        <v>13</v>
      </c>
      <c r="O1365">
        <v>0</v>
      </c>
      <c r="P1365" s="21">
        <f>DATEVALUE(N1365&amp;"-"&amp;M1365&amp;"-"&amp;L1365)</f>
        <v>23541</v>
      </c>
      <c r="Q1365" s="22">
        <v>11381.33</v>
      </c>
      <c r="R1365" s="23" t="s">
        <v>4698</v>
      </c>
      <c r="S1365" s="23" t="s">
        <v>4697</v>
      </c>
      <c r="T1365" s="23" t="s">
        <v>4699</v>
      </c>
      <c r="U1365" s="23">
        <f>DATEDIF(P1365, DATE(2023, 6, 8), "Y")</f>
        <v>58</v>
      </c>
      <c r="V1365">
        <f>SUM(C1365:K1365)</f>
        <v>39.4</v>
      </c>
    </row>
    <row r="1366" spans="1:22" ht="15.75">
      <c r="A1366" s="28" t="s">
        <v>2730</v>
      </c>
      <c r="B1366" s="28" t="s">
        <v>2731</v>
      </c>
      <c r="C1366" s="23">
        <v>17.28</v>
      </c>
      <c r="D1366" s="23">
        <v>6.22</v>
      </c>
      <c r="E1366" s="23" t="s">
        <v>4683</v>
      </c>
      <c r="F1366" s="23" t="s">
        <v>4682</v>
      </c>
      <c r="G1366" s="23" t="s">
        <v>4682</v>
      </c>
      <c r="H1366" s="23">
        <v>2</v>
      </c>
      <c r="I1366" s="23" t="s">
        <v>4682</v>
      </c>
      <c r="J1366" s="23" t="s">
        <v>4731</v>
      </c>
      <c r="K1366" s="23" t="s">
        <v>4736</v>
      </c>
      <c r="L1366">
        <v>1997</v>
      </c>
      <c r="M1366" s="15" t="s">
        <v>4696</v>
      </c>
      <c r="N1366">
        <v>28</v>
      </c>
      <c r="O1366">
        <v>0</v>
      </c>
      <c r="P1366" s="21">
        <f>DATEVALUE(N1366&amp;"-"&amp;M1366&amp;"-"&amp;L1366)</f>
        <v>35639</v>
      </c>
      <c r="Q1366" s="22">
        <v>11388.27</v>
      </c>
      <c r="R1366" s="23" t="s">
        <v>4698</v>
      </c>
      <c r="S1366" s="23" t="s">
        <v>4697</v>
      </c>
      <c r="T1366" s="23" t="s">
        <v>4720</v>
      </c>
      <c r="U1366" s="23">
        <f>DATEDIF(P1366, DATE(2023, 6, 8), "Y")</f>
        <v>25</v>
      </c>
      <c r="V1366">
        <f>SUM(C1366:K1366)</f>
        <v>25.5</v>
      </c>
    </row>
    <row r="1367" spans="1:22" ht="15.75">
      <c r="A1367" s="28" t="s">
        <v>2732</v>
      </c>
      <c r="B1367" s="28" t="s">
        <v>2733</v>
      </c>
      <c r="C1367" s="23">
        <v>27.92</v>
      </c>
      <c r="D1367" s="23">
        <v>5.79</v>
      </c>
      <c r="E1367" s="23" t="s">
        <v>4682</v>
      </c>
      <c r="F1367" s="23" t="s">
        <v>4682</v>
      </c>
      <c r="G1367" s="23" t="s">
        <v>4682</v>
      </c>
      <c r="H1367" s="23">
        <v>1</v>
      </c>
      <c r="I1367" s="23" t="s">
        <v>4682</v>
      </c>
      <c r="J1367" s="23" t="s">
        <v>4730</v>
      </c>
      <c r="K1367" s="23" t="s">
        <v>4736</v>
      </c>
      <c r="L1367">
        <v>1967</v>
      </c>
      <c r="M1367" s="15" t="s">
        <v>4705</v>
      </c>
      <c r="N1367">
        <v>19</v>
      </c>
      <c r="O1367">
        <v>1</v>
      </c>
      <c r="P1367" s="21">
        <f>DATEVALUE(N1367&amp;"-"&amp;M1367&amp;"-"&amp;L1367)</f>
        <v>24825</v>
      </c>
      <c r="Q1367" s="22">
        <v>11394.07</v>
      </c>
      <c r="R1367" s="23" t="s">
        <v>4698</v>
      </c>
      <c r="S1367" s="23" t="s">
        <v>4701</v>
      </c>
      <c r="T1367" s="23" t="s">
        <v>4712</v>
      </c>
      <c r="U1367" s="23">
        <f>DATEDIF(P1367, DATE(2023, 6, 8), "Y")</f>
        <v>55</v>
      </c>
      <c r="V1367">
        <f>SUM(C1367:K1367)</f>
        <v>34.71</v>
      </c>
    </row>
    <row r="1368" spans="1:22" ht="15.75">
      <c r="A1368" s="28" t="s">
        <v>2734</v>
      </c>
      <c r="B1368" s="28" t="s">
        <v>2735</v>
      </c>
      <c r="C1368" s="23">
        <v>38.284999999999997</v>
      </c>
      <c r="D1368" s="23">
        <v>5.41</v>
      </c>
      <c r="E1368" s="23" t="s">
        <v>4682</v>
      </c>
      <c r="F1368" s="23" t="s">
        <v>4682</v>
      </c>
      <c r="G1368" s="23" t="s">
        <v>4682</v>
      </c>
      <c r="H1368" s="23">
        <v>0</v>
      </c>
      <c r="I1368" s="23" t="s">
        <v>4682</v>
      </c>
      <c r="J1368" s="23" t="s">
        <v>4729</v>
      </c>
      <c r="K1368" s="23" t="s">
        <v>4737</v>
      </c>
      <c r="L1368">
        <v>1970</v>
      </c>
      <c r="M1368" s="15" t="s">
        <v>4707</v>
      </c>
      <c r="N1368">
        <v>2</v>
      </c>
      <c r="O1368">
        <v>2</v>
      </c>
      <c r="P1368" s="21">
        <f>DATEVALUE(N1368&amp;"-"&amp;M1368&amp;"-"&amp;L1368)</f>
        <v>25843</v>
      </c>
      <c r="Q1368" s="22">
        <v>11396.9</v>
      </c>
      <c r="R1368" s="23" t="s">
        <v>4698</v>
      </c>
      <c r="S1368" s="23" t="s">
        <v>4698</v>
      </c>
      <c r="T1368" s="23" t="s">
        <v>4714</v>
      </c>
      <c r="U1368" s="23">
        <f>DATEDIF(P1368, DATE(2023, 6, 8), "Y")</f>
        <v>52</v>
      </c>
      <c r="V1368">
        <f>SUM(C1368:K1368)</f>
        <v>43.694999999999993</v>
      </c>
    </row>
    <row r="1369" spans="1:22" ht="15.75">
      <c r="A1369" s="28" t="s">
        <v>2736</v>
      </c>
      <c r="B1369" s="28" t="s">
        <v>2737</v>
      </c>
      <c r="C1369" s="23">
        <v>16.48</v>
      </c>
      <c r="D1369" s="23">
        <v>11.05</v>
      </c>
      <c r="E1369" s="23" t="s">
        <v>4682</v>
      </c>
      <c r="F1369" s="23" t="s">
        <v>4682</v>
      </c>
      <c r="G1369" s="23" t="s">
        <v>4682</v>
      </c>
      <c r="H1369" s="23">
        <v>0</v>
      </c>
      <c r="I1369" s="23" t="s">
        <v>4682</v>
      </c>
      <c r="J1369" s="23" t="s">
        <v>4731</v>
      </c>
      <c r="K1369" s="23" t="s">
        <v>4735</v>
      </c>
      <c r="L1369">
        <v>1970</v>
      </c>
      <c r="M1369" s="15" t="s">
        <v>4707</v>
      </c>
      <c r="N1369">
        <v>7</v>
      </c>
      <c r="O1369">
        <v>3</v>
      </c>
      <c r="P1369" s="21">
        <f>DATEVALUE(N1369&amp;"-"&amp;M1369&amp;"-"&amp;L1369)</f>
        <v>25848</v>
      </c>
      <c r="Q1369" s="22">
        <v>11411.69</v>
      </c>
      <c r="R1369" s="23" t="s">
        <v>4698</v>
      </c>
      <c r="S1369" s="23" t="s">
        <v>4697</v>
      </c>
      <c r="T1369" s="23" t="s">
        <v>4708</v>
      </c>
      <c r="U1369" s="23">
        <f>DATEDIF(P1369, DATE(2023, 6, 8), "Y")</f>
        <v>52</v>
      </c>
      <c r="V1369">
        <f>SUM(C1369:K1369)</f>
        <v>27.53</v>
      </c>
    </row>
    <row r="1370" spans="1:22" ht="15.75">
      <c r="A1370" s="28" t="s">
        <v>2738</v>
      </c>
      <c r="B1370" s="28" t="s">
        <v>2739</v>
      </c>
      <c r="C1370" s="23">
        <v>38.57</v>
      </c>
      <c r="D1370" s="23">
        <v>6.27</v>
      </c>
      <c r="E1370" s="23" t="s">
        <v>4682</v>
      </c>
      <c r="F1370" s="23" t="s">
        <v>4682</v>
      </c>
      <c r="G1370" s="23" t="s">
        <v>4682</v>
      </c>
      <c r="H1370" s="23">
        <v>0</v>
      </c>
      <c r="I1370" s="23" t="s">
        <v>4682</v>
      </c>
      <c r="J1370" s="23" t="s">
        <v>4729</v>
      </c>
      <c r="K1370" s="23" t="s">
        <v>4736</v>
      </c>
      <c r="L1370">
        <v>1983</v>
      </c>
      <c r="M1370" s="15" t="s">
        <v>4707</v>
      </c>
      <c r="N1370">
        <v>23</v>
      </c>
      <c r="O1370">
        <v>3</v>
      </c>
      <c r="P1370" s="21">
        <f>DATEVALUE(N1370&amp;"-"&amp;M1370&amp;"-"&amp;L1370)</f>
        <v>30612</v>
      </c>
      <c r="Q1370" s="22">
        <v>11412.02</v>
      </c>
      <c r="R1370" s="23" t="s">
        <v>4698</v>
      </c>
      <c r="S1370" s="23" t="s">
        <v>4701</v>
      </c>
      <c r="T1370" s="23" t="s">
        <v>4717</v>
      </c>
      <c r="U1370" s="23">
        <f>DATEDIF(P1370, DATE(2023, 6, 8), "Y")</f>
        <v>39</v>
      </c>
      <c r="V1370">
        <f>SUM(C1370:K1370)</f>
        <v>44.84</v>
      </c>
    </row>
    <row r="1371" spans="1:22" ht="15.75">
      <c r="A1371" s="28" t="s">
        <v>2740</v>
      </c>
      <c r="B1371" s="28" t="s">
        <v>2741</v>
      </c>
      <c r="C1371" s="23">
        <v>43.85</v>
      </c>
      <c r="D1371" s="23">
        <v>4.7699999999999996</v>
      </c>
      <c r="E1371" s="23" t="s">
        <v>4683</v>
      </c>
      <c r="F1371" s="23" t="s">
        <v>4682</v>
      </c>
      <c r="G1371" s="23" t="s">
        <v>4682</v>
      </c>
      <c r="H1371" s="23">
        <v>0</v>
      </c>
      <c r="I1371" s="23" t="s">
        <v>4682</v>
      </c>
      <c r="J1371" s="23" t="s">
        <v>4729</v>
      </c>
      <c r="K1371" s="23" t="s">
        <v>4737</v>
      </c>
      <c r="L1371">
        <v>1985</v>
      </c>
      <c r="M1371" s="15" t="s">
        <v>4702</v>
      </c>
      <c r="N1371">
        <v>9</v>
      </c>
      <c r="O1371">
        <v>3</v>
      </c>
      <c r="P1371" s="21">
        <f>DATEVALUE(N1371&amp;"-"&amp;M1371&amp;"-"&amp;L1371)</f>
        <v>31207</v>
      </c>
      <c r="Q1371" s="22">
        <v>11419.49</v>
      </c>
      <c r="R1371" s="23" t="s">
        <v>4698</v>
      </c>
      <c r="S1371" s="23" t="s">
        <v>4701</v>
      </c>
      <c r="T1371" s="23" t="s">
        <v>4704</v>
      </c>
      <c r="U1371" s="23">
        <f>DATEDIF(P1371, DATE(2023, 6, 8), "Y")</f>
        <v>37</v>
      </c>
      <c r="V1371">
        <f>SUM(C1371:K1371)</f>
        <v>48.620000000000005</v>
      </c>
    </row>
    <row r="1372" spans="1:22" ht="15.75">
      <c r="A1372" s="28" t="s">
        <v>2742</v>
      </c>
      <c r="B1372" s="28" t="s">
        <v>2743</v>
      </c>
      <c r="C1372" s="23">
        <v>30.11</v>
      </c>
      <c r="D1372" s="23">
        <v>4.08</v>
      </c>
      <c r="E1372" s="23" t="s">
        <v>4682</v>
      </c>
      <c r="F1372" s="23" t="s">
        <v>4682</v>
      </c>
      <c r="G1372" s="23" t="s">
        <v>4682</v>
      </c>
      <c r="H1372" s="23">
        <v>0</v>
      </c>
      <c r="I1372" s="23" t="s">
        <v>4682</v>
      </c>
      <c r="J1372" s="23" t="s">
        <v>4729</v>
      </c>
      <c r="K1372" s="23" t="s">
        <v>4737</v>
      </c>
      <c r="L1372">
        <v>1980</v>
      </c>
      <c r="M1372" s="15" t="s">
        <v>4696</v>
      </c>
      <c r="N1372">
        <v>17</v>
      </c>
      <c r="O1372">
        <v>2</v>
      </c>
      <c r="P1372" s="21">
        <f>DATEVALUE(N1372&amp;"-"&amp;M1372&amp;"-"&amp;L1372)</f>
        <v>29419</v>
      </c>
      <c r="Q1372" s="22">
        <v>11435.74</v>
      </c>
      <c r="R1372" s="23" t="s">
        <v>4698</v>
      </c>
      <c r="S1372" s="23" t="s">
        <v>4698</v>
      </c>
      <c r="T1372" s="23" t="s">
        <v>4717</v>
      </c>
      <c r="U1372" s="23">
        <f>DATEDIF(P1372, DATE(2023, 6, 8), "Y")</f>
        <v>42</v>
      </c>
      <c r="V1372">
        <f>SUM(C1372:K1372)</f>
        <v>34.19</v>
      </c>
    </row>
    <row r="1373" spans="1:22" ht="15.75">
      <c r="A1373" s="28" t="s">
        <v>2744</v>
      </c>
      <c r="B1373" s="28" t="s">
        <v>2745</v>
      </c>
      <c r="C1373" s="23">
        <v>31.59</v>
      </c>
      <c r="D1373" s="23">
        <v>6.01</v>
      </c>
      <c r="E1373" s="23" t="s">
        <v>4682</v>
      </c>
      <c r="F1373" s="23" t="s">
        <v>4682</v>
      </c>
      <c r="G1373" s="23" t="s">
        <v>4682</v>
      </c>
      <c r="H1373" s="23">
        <v>0</v>
      </c>
      <c r="I1373" s="23" t="s">
        <v>4682</v>
      </c>
      <c r="J1373" s="23" t="s">
        <v>4729</v>
      </c>
      <c r="K1373" s="23" t="s">
        <v>4736</v>
      </c>
      <c r="L1373">
        <v>1971</v>
      </c>
      <c r="M1373" s="15" t="s">
        <v>4703</v>
      </c>
      <c r="N1373">
        <v>12</v>
      </c>
      <c r="O1373">
        <v>3</v>
      </c>
      <c r="P1373" s="21">
        <f>DATEVALUE(N1373&amp;"-"&amp;M1373&amp;"-"&amp;L1373)</f>
        <v>26188</v>
      </c>
      <c r="Q1373" s="22">
        <v>11436.74</v>
      </c>
      <c r="R1373" s="23" t="s">
        <v>4698</v>
      </c>
      <c r="S1373" s="23" t="s">
        <v>4698</v>
      </c>
      <c r="T1373" s="23" t="s">
        <v>4704</v>
      </c>
      <c r="U1373" s="23">
        <f>DATEDIF(P1373, DATE(2023, 6, 8), "Y")</f>
        <v>51</v>
      </c>
      <c r="V1373">
        <f>SUM(C1373:K1373)</f>
        <v>37.6</v>
      </c>
    </row>
    <row r="1374" spans="1:22" ht="15.75">
      <c r="A1374" s="28" t="s">
        <v>2746</v>
      </c>
      <c r="B1374" s="28" t="s">
        <v>2747</v>
      </c>
      <c r="C1374" s="23">
        <v>40.15</v>
      </c>
      <c r="D1374" s="23">
        <v>11.84</v>
      </c>
      <c r="E1374" s="23" t="s">
        <v>4682</v>
      </c>
      <c r="F1374" s="23" t="s">
        <v>4682</v>
      </c>
      <c r="G1374" s="23" t="s">
        <v>4682</v>
      </c>
      <c r="H1374" s="23">
        <v>0</v>
      </c>
      <c r="I1374" s="23" t="s">
        <v>4682</v>
      </c>
      <c r="J1374" s="23" t="s">
        <v>4729</v>
      </c>
      <c r="K1374" s="23" t="s">
        <v>4735</v>
      </c>
      <c r="L1374">
        <v>1966</v>
      </c>
      <c r="M1374" s="15" t="s">
        <v>4702</v>
      </c>
      <c r="N1374">
        <v>14</v>
      </c>
      <c r="O1374">
        <v>0</v>
      </c>
      <c r="P1374" s="21">
        <f>DATEVALUE(N1374&amp;"-"&amp;M1374&amp;"-"&amp;L1374)</f>
        <v>24272</v>
      </c>
      <c r="Q1374" s="22">
        <v>11454.02</v>
      </c>
      <c r="R1374" s="23" t="s">
        <v>4698</v>
      </c>
      <c r="S1374" s="23" t="s">
        <v>4701</v>
      </c>
      <c r="T1374" s="23" t="s">
        <v>4704</v>
      </c>
      <c r="U1374" s="23">
        <f>DATEDIF(P1374, DATE(2023, 6, 8), "Y")</f>
        <v>56</v>
      </c>
      <c r="V1374">
        <f>SUM(C1374:K1374)</f>
        <v>51.989999999999995</v>
      </c>
    </row>
    <row r="1375" spans="1:22" ht="15.75">
      <c r="A1375" s="28" t="s">
        <v>2748</v>
      </c>
      <c r="B1375" s="28" t="s">
        <v>2749</v>
      </c>
      <c r="C1375" s="23">
        <v>40.700000000000003</v>
      </c>
      <c r="D1375" s="23">
        <v>6.27</v>
      </c>
      <c r="E1375" s="23" t="s">
        <v>4683</v>
      </c>
      <c r="F1375" s="23" t="s">
        <v>4682</v>
      </c>
      <c r="G1375" s="23" t="s">
        <v>4684</v>
      </c>
      <c r="H1375" s="23">
        <v>1</v>
      </c>
      <c r="I1375" s="23" t="s">
        <v>4682</v>
      </c>
      <c r="J1375" s="23" t="s">
        <v>4729</v>
      </c>
      <c r="K1375" s="23" t="s">
        <v>4736</v>
      </c>
      <c r="L1375">
        <v>1965</v>
      </c>
      <c r="M1375" s="15" t="s">
        <v>4702</v>
      </c>
      <c r="N1375">
        <v>23</v>
      </c>
      <c r="O1375">
        <v>0</v>
      </c>
      <c r="P1375" s="21">
        <f>DATEVALUE(N1375&amp;"-"&amp;M1375&amp;"-"&amp;L1375)</f>
        <v>23916</v>
      </c>
      <c r="Q1375" s="22">
        <v>11455.28</v>
      </c>
      <c r="R1375" s="23" t="s">
        <v>4698</v>
      </c>
      <c r="S1375" s="23" t="s">
        <v>4697</v>
      </c>
      <c r="T1375" s="23" t="s">
        <v>4708</v>
      </c>
      <c r="U1375" s="23">
        <f>DATEDIF(P1375, DATE(2023, 6, 8), "Y")</f>
        <v>57</v>
      </c>
      <c r="V1375">
        <f>SUM(C1375:K1375)</f>
        <v>47.97</v>
      </c>
    </row>
    <row r="1376" spans="1:22" ht="15.75">
      <c r="A1376" s="28" t="s">
        <v>2750</v>
      </c>
      <c r="B1376" s="28" t="s">
        <v>2751</v>
      </c>
      <c r="C1376" s="23">
        <v>40.76</v>
      </c>
      <c r="D1376" s="23">
        <v>5.28</v>
      </c>
      <c r="E1376" s="23" t="s">
        <v>4682</v>
      </c>
      <c r="F1376" s="23" t="s">
        <v>4682</v>
      </c>
      <c r="G1376" s="23" t="s">
        <v>4682</v>
      </c>
      <c r="H1376" s="23">
        <v>0</v>
      </c>
      <c r="I1376" s="23" t="s">
        <v>4682</v>
      </c>
      <c r="J1376" s="23" t="s">
        <v>4729</v>
      </c>
      <c r="K1376" s="23" t="s">
        <v>4737</v>
      </c>
      <c r="L1376">
        <v>1966</v>
      </c>
      <c r="M1376" s="15" t="s">
        <v>4703</v>
      </c>
      <c r="N1376">
        <v>7</v>
      </c>
      <c r="O1376">
        <v>0</v>
      </c>
      <c r="P1376" s="21">
        <f>DATEVALUE(N1376&amp;"-"&amp;M1376&amp;"-"&amp;L1376)</f>
        <v>24357</v>
      </c>
      <c r="Q1376" s="22">
        <v>11478.14</v>
      </c>
      <c r="R1376" s="23" t="s">
        <v>4698</v>
      </c>
      <c r="S1376" s="23" t="s">
        <v>4697</v>
      </c>
      <c r="T1376" s="23" t="s">
        <v>4713</v>
      </c>
      <c r="U1376" s="23">
        <f>DATEDIF(P1376, DATE(2023, 6, 8), "Y")</f>
        <v>56</v>
      </c>
      <c r="V1376">
        <f>SUM(C1376:K1376)</f>
        <v>46.04</v>
      </c>
    </row>
    <row r="1377" spans="1:22" ht="15.75">
      <c r="A1377" s="28" t="s">
        <v>2752</v>
      </c>
      <c r="B1377" s="28" t="s">
        <v>2753</v>
      </c>
      <c r="C1377" s="23">
        <v>29.7</v>
      </c>
      <c r="D1377" s="23">
        <v>7.03</v>
      </c>
      <c r="E1377" s="23" t="s">
        <v>4682</v>
      </c>
      <c r="F1377" s="23" t="s">
        <v>4682</v>
      </c>
      <c r="G1377" s="23" t="s">
        <v>4682</v>
      </c>
      <c r="H1377" s="23">
        <v>0</v>
      </c>
      <c r="I1377" s="23" t="s">
        <v>4682</v>
      </c>
      <c r="J1377" s="23" t="s">
        <v>4730</v>
      </c>
      <c r="K1377" s="23" t="s">
        <v>4735</v>
      </c>
      <c r="L1377">
        <v>2004</v>
      </c>
      <c r="M1377" s="15" t="s">
        <v>4703</v>
      </c>
      <c r="N1377">
        <v>10</v>
      </c>
      <c r="O1377">
        <v>0</v>
      </c>
      <c r="P1377" s="21">
        <f>DATEVALUE(N1377&amp;"-"&amp;M1377&amp;"-"&amp;L1377)</f>
        <v>38240</v>
      </c>
      <c r="Q1377" s="22">
        <v>11482.63</v>
      </c>
      <c r="R1377" s="23" t="s">
        <v>4698</v>
      </c>
      <c r="S1377" s="23" t="s">
        <v>4697</v>
      </c>
      <c r="T1377" s="23" t="s">
        <v>4699</v>
      </c>
      <c r="U1377" s="23">
        <f>DATEDIF(P1377, DATE(2023, 6, 8), "Y")</f>
        <v>18</v>
      </c>
      <c r="V1377">
        <f>SUM(C1377:K1377)</f>
        <v>36.729999999999997</v>
      </c>
    </row>
    <row r="1378" spans="1:22" ht="15.75">
      <c r="A1378" s="28" t="s">
        <v>2754</v>
      </c>
      <c r="B1378" s="28" t="s">
        <v>2755</v>
      </c>
      <c r="C1378" s="23">
        <v>40.58</v>
      </c>
      <c r="D1378" s="23">
        <v>5.32</v>
      </c>
      <c r="E1378" s="23" t="s">
        <v>4683</v>
      </c>
      <c r="F1378" s="23" t="s">
        <v>4682</v>
      </c>
      <c r="G1378" s="23" t="s">
        <v>4684</v>
      </c>
      <c r="H1378" s="23">
        <v>1</v>
      </c>
      <c r="I1378" s="23" t="s">
        <v>4682</v>
      </c>
      <c r="J1378" s="23" t="s">
        <v>4729</v>
      </c>
      <c r="K1378" s="23" t="s">
        <v>4737</v>
      </c>
      <c r="L1378">
        <v>1970</v>
      </c>
      <c r="M1378" s="15" t="s">
        <v>4707</v>
      </c>
      <c r="N1378">
        <v>13</v>
      </c>
      <c r="O1378">
        <v>3</v>
      </c>
      <c r="P1378" s="21">
        <f>DATEVALUE(N1378&amp;"-"&amp;M1378&amp;"-"&amp;L1378)</f>
        <v>25854</v>
      </c>
      <c r="Q1378" s="22">
        <v>11488.32</v>
      </c>
      <c r="R1378" s="23" t="s">
        <v>4698</v>
      </c>
      <c r="S1378" s="23" t="s">
        <v>4701</v>
      </c>
      <c r="T1378" s="23" t="s">
        <v>4716</v>
      </c>
      <c r="U1378" s="23">
        <f>DATEDIF(P1378, DATE(2023, 6, 8), "Y")</f>
        <v>52</v>
      </c>
      <c r="V1378">
        <f>SUM(C1378:K1378)</f>
        <v>46.9</v>
      </c>
    </row>
    <row r="1379" spans="1:22" ht="15.75">
      <c r="A1379" s="28" t="s">
        <v>2756</v>
      </c>
      <c r="B1379" s="28" t="s">
        <v>2757</v>
      </c>
      <c r="C1379" s="23">
        <v>33.06</v>
      </c>
      <c r="D1379" s="23">
        <v>9.59</v>
      </c>
      <c r="E1379" s="23" t="s">
        <v>4683</v>
      </c>
      <c r="F1379" s="23" t="s">
        <v>4682</v>
      </c>
      <c r="G1379" s="23" t="s">
        <v>4682</v>
      </c>
      <c r="H1379" s="23">
        <v>0</v>
      </c>
      <c r="I1379" s="23" t="s">
        <v>4682</v>
      </c>
      <c r="J1379" s="23" t="s">
        <v>4729</v>
      </c>
      <c r="K1379" s="23" t="s">
        <v>4735</v>
      </c>
      <c r="L1379">
        <v>1983</v>
      </c>
      <c r="M1379" s="15" t="s">
        <v>4702</v>
      </c>
      <c r="N1379">
        <v>7</v>
      </c>
      <c r="O1379">
        <v>3</v>
      </c>
      <c r="P1379" s="21">
        <f>DATEVALUE(N1379&amp;"-"&amp;M1379&amp;"-"&amp;L1379)</f>
        <v>30474</v>
      </c>
      <c r="Q1379" s="22">
        <v>11492.46</v>
      </c>
      <c r="R1379" s="23" t="s">
        <v>4698</v>
      </c>
      <c r="S1379" s="23" t="s">
        <v>4698</v>
      </c>
      <c r="T1379" s="23" t="s">
        <v>4720</v>
      </c>
      <c r="U1379" s="23">
        <f>DATEDIF(P1379, DATE(2023, 6, 8), "Y")</f>
        <v>40</v>
      </c>
      <c r="V1379">
        <f>SUM(C1379:K1379)</f>
        <v>42.650000000000006</v>
      </c>
    </row>
    <row r="1380" spans="1:22" ht="15.75">
      <c r="A1380" s="28" t="s">
        <v>2758</v>
      </c>
      <c r="B1380" s="28" t="s">
        <v>2759</v>
      </c>
      <c r="C1380" s="23">
        <v>26.62</v>
      </c>
      <c r="D1380" s="23">
        <v>6.15</v>
      </c>
      <c r="E1380" s="23" t="s">
        <v>4683</v>
      </c>
      <c r="F1380" s="23" t="s">
        <v>4682</v>
      </c>
      <c r="G1380" s="23" t="s">
        <v>4682</v>
      </c>
      <c r="H1380" s="23">
        <v>0</v>
      </c>
      <c r="I1380" s="23" t="s">
        <v>4682</v>
      </c>
      <c r="J1380" s="23" t="s">
        <v>4730</v>
      </c>
      <c r="K1380" s="23" t="s">
        <v>4736</v>
      </c>
      <c r="L1380">
        <v>1969</v>
      </c>
      <c r="M1380" s="15" t="s">
        <v>4706</v>
      </c>
      <c r="N1380">
        <v>11</v>
      </c>
      <c r="O1380">
        <v>0</v>
      </c>
      <c r="P1380" s="21">
        <f>DATEVALUE(N1380&amp;"-"&amp;M1380&amp;"-"&amp;L1380)</f>
        <v>25426</v>
      </c>
      <c r="Q1380" s="22">
        <v>11497.69</v>
      </c>
      <c r="R1380" s="23" t="s">
        <v>4698</v>
      </c>
      <c r="S1380" s="23" t="s">
        <v>4701</v>
      </c>
      <c r="T1380" s="23" t="s">
        <v>4704</v>
      </c>
      <c r="U1380" s="23">
        <f>DATEDIF(P1380, DATE(2023, 6, 8), "Y")</f>
        <v>53</v>
      </c>
      <c r="V1380">
        <f>SUM(C1380:K1380)</f>
        <v>32.770000000000003</v>
      </c>
    </row>
    <row r="1381" spans="1:22" ht="15.75">
      <c r="A1381" s="28" t="s">
        <v>2760</v>
      </c>
      <c r="B1381" s="28" t="s">
        <v>2761</v>
      </c>
      <c r="C1381" s="23">
        <v>37.1</v>
      </c>
      <c r="D1381" s="23">
        <v>11.08</v>
      </c>
      <c r="E1381" s="23" t="s">
        <v>4682</v>
      </c>
      <c r="F1381" s="23" t="s">
        <v>4682</v>
      </c>
      <c r="G1381" s="23" t="s">
        <v>4682</v>
      </c>
      <c r="H1381" s="23">
        <v>0</v>
      </c>
      <c r="I1381" s="23" t="s">
        <v>4682</v>
      </c>
      <c r="J1381" s="23" t="s">
        <v>4729</v>
      </c>
      <c r="K1381" s="23" t="s">
        <v>4735</v>
      </c>
      <c r="L1381">
        <v>1989</v>
      </c>
      <c r="M1381" s="15" t="s">
        <v>4707</v>
      </c>
      <c r="N1381">
        <v>6</v>
      </c>
      <c r="O1381">
        <v>3</v>
      </c>
      <c r="P1381" s="21">
        <f>DATEVALUE(N1381&amp;"-"&amp;M1381&amp;"-"&amp;L1381)</f>
        <v>32787</v>
      </c>
      <c r="Q1381" s="22">
        <v>11511.61</v>
      </c>
      <c r="R1381" s="23" t="s">
        <v>4698</v>
      </c>
      <c r="S1381" s="23" t="s">
        <v>4698</v>
      </c>
      <c r="T1381" s="23" t="s">
        <v>4720</v>
      </c>
      <c r="U1381" s="23">
        <f>DATEDIF(P1381, DATE(2023, 6, 8), "Y")</f>
        <v>33</v>
      </c>
      <c r="V1381">
        <f>SUM(C1381:K1381)</f>
        <v>48.18</v>
      </c>
    </row>
    <row r="1382" spans="1:22" ht="15.75">
      <c r="A1382" s="28" t="s">
        <v>2762</v>
      </c>
      <c r="B1382" s="28" t="s">
        <v>2763</v>
      </c>
      <c r="C1382" s="23">
        <v>18.28</v>
      </c>
      <c r="D1382" s="23">
        <v>7.95</v>
      </c>
      <c r="E1382" s="23" t="s">
        <v>4682</v>
      </c>
      <c r="F1382" s="23" t="s">
        <v>4682</v>
      </c>
      <c r="G1382" s="23" t="s">
        <v>4682</v>
      </c>
      <c r="H1382" s="23">
        <v>0</v>
      </c>
      <c r="I1382" s="23" t="s">
        <v>4682</v>
      </c>
      <c r="J1382" s="23" t="s">
        <v>4731</v>
      </c>
      <c r="K1382" s="23" t="s">
        <v>4735</v>
      </c>
      <c r="L1382">
        <v>1968</v>
      </c>
      <c r="M1382" s="15" t="s">
        <v>4702</v>
      </c>
      <c r="N1382">
        <v>24</v>
      </c>
      <c r="O1382">
        <v>1</v>
      </c>
      <c r="P1382" s="21">
        <f>DATEVALUE(N1382&amp;"-"&amp;M1382&amp;"-"&amp;L1382)</f>
        <v>25013</v>
      </c>
      <c r="Q1382" s="22">
        <v>11512.41</v>
      </c>
      <c r="R1382" s="23" t="s">
        <v>4698</v>
      </c>
      <c r="S1382" s="23" t="s">
        <v>4701</v>
      </c>
      <c r="T1382" s="23" t="s">
        <v>4714</v>
      </c>
      <c r="U1382" s="23">
        <f>DATEDIF(P1382, DATE(2023, 6, 8), "Y")</f>
        <v>54</v>
      </c>
      <c r="V1382">
        <f>SUM(C1382:K1382)</f>
        <v>26.23</v>
      </c>
    </row>
    <row r="1383" spans="1:22" ht="15.75">
      <c r="A1383" s="28" t="s">
        <v>2764</v>
      </c>
      <c r="B1383" s="28" t="s">
        <v>2765</v>
      </c>
      <c r="C1383" s="23">
        <v>35.814999999999998</v>
      </c>
      <c r="D1383" s="23">
        <v>6.23</v>
      </c>
      <c r="E1383" s="23" t="s">
        <v>4682</v>
      </c>
      <c r="F1383" s="23" t="s">
        <v>4682</v>
      </c>
      <c r="G1383" s="23" t="s">
        <v>4682</v>
      </c>
      <c r="H1383" s="23">
        <v>0</v>
      </c>
      <c r="I1383" s="23" t="s">
        <v>4682</v>
      </c>
      <c r="J1383" s="23" t="s">
        <v>4729</v>
      </c>
      <c r="K1383" s="23" t="s">
        <v>4736</v>
      </c>
      <c r="L1383">
        <v>1971</v>
      </c>
      <c r="M1383" s="15" t="s">
        <v>4705</v>
      </c>
      <c r="N1383">
        <v>19</v>
      </c>
      <c r="O1383">
        <v>4</v>
      </c>
      <c r="P1383" s="21">
        <f>DATEVALUE(N1383&amp;"-"&amp;M1383&amp;"-"&amp;L1383)</f>
        <v>26286</v>
      </c>
      <c r="Q1383" s="22">
        <v>11520.1</v>
      </c>
      <c r="R1383" s="23" t="s">
        <v>4698</v>
      </c>
      <c r="S1383" s="23" t="s">
        <v>4701</v>
      </c>
      <c r="T1383" s="23" t="s">
        <v>4704</v>
      </c>
      <c r="U1383" s="23">
        <f>DATEDIF(P1383, DATE(2023, 6, 8), "Y")</f>
        <v>51</v>
      </c>
      <c r="V1383">
        <f>SUM(C1383:K1383)</f>
        <v>42.045000000000002</v>
      </c>
    </row>
    <row r="1384" spans="1:22" ht="15.75">
      <c r="A1384" s="28" t="s">
        <v>2766</v>
      </c>
      <c r="B1384" s="28" t="s">
        <v>2767</v>
      </c>
      <c r="C1384" s="23">
        <v>30.69</v>
      </c>
      <c r="D1384" s="23">
        <v>6.5</v>
      </c>
      <c r="E1384" s="23" t="s">
        <v>4682</v>
      </c>
      <c r="F1384" s="23" t="s">
        <v>4682</v>
      </c>
      <c r="G1384" s="23" t="s">
        <v>4682</v>
      </c>
      <c r="H1384" s="23">
        <v>0</v>
      </c>
      <c r="I1384" s="23" t="s">
        <v>4682</v>
      </c>
      <c r="J1384" s="23" t="s">
        <v>4729</v>
      </c>
      <c r="K1384" s="23" t="s">
        <v>4735</v>
      </c>
      <c r="L1384">
        <v>1988</v>
      </c>
      <c r="M1384" s="15" t="s">
        <v>4702</v>
      </c>
      <c r="N1384">
        <v>12</v>
      </c>
      <c r="O1384">
        <v>3</v>
      </c>
      <c r="P1384" s="21">
        <f>DATEVALUE(N1384&amp;"-"&amp;M1384&amp;"-"&amp;L1384)</f>
        <v>32306</v>
      </c>
      <c r="Q1384" s="22">
        <v>11524.25</v>
      </c>
      <c r="R1384" s="23" t="s">
        <v>4698</v>
      </c>
      <c r="S1384" s="23" t="s">
        <v>4701</v>
      </c>
      <c r="T1384" s="23" t="s">
        <v>4720</v>
      </c>
      <c r="U1384" s="23">
        <f>DATEDIF(P1384, DATE(2023, 6, 8), "Y")</f>
        <v>34</v>
      </c>
      <c r="V1384">
        <f>SUM(C1384:K1384)</f>
        <v>37.19</v>
      </c>
    </row>
    <row r="1385" spans="1:22" ht="15.75">
      <c r="A1385" s="28" t="s">
        <v>2768</v>
      </c>
      <c r="B1385" s="28" t="s">
        <v>2769</v>
      </c>
      <c r="C1385" s="23">
        <v>26.125</v>
      </c>
      <c r="D1385" s="23">
        <v>5.22</v>
      </c>
      <c r="E1385" s="23" t="s">
        <v>4682</v>
      </c>
      <c r="F1385" s="23" t="s">
        <v>4682</v>
      </c>
      <c r="G1385" s="23" t="s">
        <v>4682</v>
      </c>
      <c r="H1385" s="23">
        <v>0</v>
      </c>
      <c r="I1385" s="23" t="s">
        <v>4682</v>
      </c>
      <c r="J1385" s="23" t="s">
        <v>4730</v>
      </c>
      <c r="K1385" s="23" t="s">
        <v>4737</v>
      </c>
      <c r="L1385">
        <v>1970</v>
      </c>
      <c r="M1385" s="15" t="s">
        <v>4696</v>
      </c>
      <c r="N1385">
        <v>23</v>
      </c>
      <c r="O1385">
        <v>0</v>
      </c>
      <c r="P1385" s="21">
        <f>DATEVALUE(N1385&amp;"-"&amp;M1385&amp;"-"&amp;L1385)</f>
        <v>25772</v>
      </c>
      <c r="Q1385" s="22">
        <v>11530.12</v>
      </c>
      <c r="R1385" s="23" t="s">
        <v>4698</v>
      </c>
      <c r="S1385" s="23" t="s">
        <v>4701</v>
      </c>
      <c r="T1385" s="23" t="s">
        <v>4704</v>
      </c>
      <c r="U1385" s="23">
        <f>DATEDIF(P1385, DATE(2023, 6, 8), "Y")</f>
        <v>52</v>
      </c>
      <c r="V1385">
        <f>SUM(C1385:K1385)</f>
        <v>31.344999999999999</v>
      </c>
    </row>
    <row r="1386" spans="1:22" ht="15.75">
      <c r="A1386" s="28" t="s">
        <v>2770</v>
      </c>
      <c r="B1386" s="28" t="s">
        <v>2771</v>
      </c>
      <c r="C1386" s="23">
        <v>34.58</v>
      </c>
      <c r="D1386" s="23">
        <v>6.3</v>
      </c>
      <c r="E1386" s="23" t="s">
        <v>4682</v>
      </c>
      <c r="F1386" s="23" t="s">
        <v>4682</v>
      </c>
      <c r="G1386" s="23" t="s">
        <v>4684</v>
      </c>
      <c r="H1386" s="23">
        <v>1</v>
      </c>
      <c r="I1386" s="23" t="s">
        <v>4682</v>
      </c>
      <c r="J1386" s="23" t="s">
        <v>4729</v>
      </c>
      <c r="K1386" s="23" t="s">
        <v>4736</v>
      </c>
      <c r="L1386">
        <v>1965</v>
      </c>
      <c r="M1386" s="15" t="s">
        <v>4707</v>
      </c>
      <c r="N1386">
        <v>3</v>
      </c>
      <c r="O1386">
        <v>0</v>
      </c>
      <c r="P1386" s="21">
        <f>DATEVALUE(N1386&amp;"-"&amp;M1386&amp;"-"&amp;L1386)</f>
        <v>24018</v>
      </c>
      <c r="Q1386" s="22">
        <v>11534.87</v>
      </c>
      <c r="R1386" s="23" t="s">
        <v>4698</v>
      </c>
      <c r="S1386" s="23" t="s">
        <v>4701</v>
      </c>
      <c r="T1386" s="23" t="s">
        <v>4718</v>
      </c>
      <c r="U1386" s="23">
        <f>DATEDIF(P1386, DATE(2023, 6, 8), "Y")</f>
        <v>57</v>
      </c>
      <c r="V1386">
        <f>SUM(C1386:K1386)</f>
        <v>41.879999999999995</v>
      </c>
    </row>
    <row r="1387" spans="1:22" ht="15.75">
      <c r="A1387" s="28" t="s">
        <v>2772</v>
      </c>
      <c r="B1387" s="28" t="s">
        <v>2773</v>
      </c>
      <c r="C1387" s="23">
        <v>27.4</v>
      </c>
      <c r="D1387" s="23">
        <v>8.84</v>
      </c>
      <c r="E1387" s="23" t="s">
        <v>4682</v>
      </c>
      <c r="F1387" s="23" t="s">
        <v>4682</v>
      </c>
      <c r="G1387" s="23" t="s">
        <v>4682</v>
      </c>
      <c r="H1387" s="23">
        <v>0</v>
      </c>
      <c r="I1387" s="23" t="s">
        <v>4682</v>
      </c>
      <c r="J1387" s="23" t="s">
        <v>4730</v>
      </c>
      <c r="K1387" s="23" t="s">
        <v>4735</v>
      </c>
      <c r="L1387">
        <v>1968</v>
      </c>
      <c r="M1387" s="15" t="s">
        <v>4700</v>
      </c>
      <c r="N1387">
        <v>14</v>
      </c>
      <c r="O1387">
        <v>2</v>
      </c>
      <c r="P1387" s="21">
        <f>DATEVALUE(N1387&amp;"-"&amp;M1387&amp;"-"&amp;L1387)</f>
        <v>25156</v>
      </c>
      <c r="Q1387" s="22">
        <v>11538.42</v>
      </c>
      <c r="R1387" s="23" t="s">
        <v>4698</v>
      </c>
      <c r="S1387" s="23" t="s">
        <v>4701</v>
      </c>
      <c r="T1387" s="23" t="s">
        <v>4708</v>
      </c>
      <c r="U1387" s="23">
        <f>DATEDIF(P1387, DATE(2023, 6, 8), "Y")</f>
        <v>54</v>
      </c>
      <c r="V1387">
        <f>SUM(C1387:K1387)</f>
        <v>36.239999999999995</v>
      </c>
    </row>
    <row r="1388" spans="1:22" ht="15.75">
      <c r="A1388" s="28" t="s">
        <v>2774</v>
      </c>
      <c r="B1388" s="28" t="s">
        <v>2775</v>
      </c>
      <c r="C1388" s="23">
        <v>27.53</v>
      </c>
      <c r="D1388" s="23">
        <v>4.1100000000000003</v>
      </c>
      <c r="E1388" s="23" t="s">
        <v>4682</v>
      </c>
      <c r="F1388" s="23" t="s">
        <v>4682</v>
      </c>
      <c r="G1388" s="23" t="s">
        <v>4682</v>
      </c>
      <c r="H1388" s="23">
        <v>1</v>
      </c>
      <c r="I1388" s="23" t="s">
        <v>4682</v>
      </c>
      <c r="J1388" s="23" t="s">
        <v>4730</v>
      </c>
      <c r="K1388" s="23" t="s">
        <v>4737</v>
      </c>
      <c r="L1388">
        <v>1971</v>
      </c>
      <c r="M1388" s="15" t="s">
        <v>4705</v>
      </c>
      <c r="N1388">
        <v>1</v>
      </c>
      <c r="O1388">
        <v>0</v>
      </c>
      <c r="P1388" s="21">
        <f>DATEVALUE(N1388&amp;"-"&amp;M1388&amp;"-"&amp;L1388)</f>
        <v>26268</v>
      </c>
      <c r="Q1388" s="22">
        <v>11540.25</v>
      </c>
      <c r="R1388" s="23" t="s">
        <v>4698</v>
      </c>
      <c r="S1388" s="23" t="s">
        <v>4701</v>
      </c>
      <c r="T1388" s="23" t="s">
        <v>4704</v>
      </c>
      <c r="U1388" s="23">
        <f>DATEDIF(P1388, DATE(2023, 6, 8), "Y")</f>
        <v>51</v>
      </c>
      <c r="V1388">
        <f>SUM(C1388:K1388)</f>
        <v>32.64</v>
      </c>
    </row>
    <row r="1389" spans="1:22" ht="15.75">
      <c r="A1389" s="28" t="s">
        <v>2776</v>
      </c>
      <c r="B1389" s="28" t="s">
        <v>2777</v>
      </c>
      <c r="C1389" s="23">
        <v>33</v>
      </c>
      <c r="D1389" s="23">
        <v>4.57</v>
      </c>
      <c r="E1389" s="23" t="s">
        <v>4682</v>
      </c>
      <c r="F1389" s="23" t="s">
        <v>4682</v>
      </c>
      <c r="G1389" s="23" t="s">
        <v>4682</v>
      </c>
      <c r="H1389" s="23">
        <v>0</v>
      </c>
      <c r="I1389" s="23" t="s">
        <v>4682</v>
      </c>
      <c r="J1389" s="23" t="s">
        <v>4729</v>
      </c>
      <c r="K1389" s="23" t="s">
        <v>4737</v>
      </c>
      <c r="L1389">
        <v>1973</v>
      </c>
      <c r="M1389" s="15" t="s">
        <v>4696</v>
      </c>
      <c r="N1389">
        <v>23</v>
      </c>
      <c r="O1389">
        <v>5</v>
      </c>
      <c r="P1389" s="21">
        <f>DATEVALUE(N1389&amp;"-"&amp;M1389&amp;"-"&amp;L1389)</f>
        <v>26868</v>
      </c>
      <c r="Q1389" s="22">
        <v>11552.9</v>
      </c>
      <c r="R1389" s="23" t="s">
        <v>4698</v>
      </c>
      <c r="S1389" s="23" t="s">
        <v>4697</v>
      </c>
      <c r="T1389" s="23" t="s">
        <v>4708</v>
      </c>
      <c r="U1389" s="23">
        <f>DATEDIF(P1389, DATE(2023, 6, 8), "Y")</f>
        <v>49</v>
      </c>
      <c r="V1389">
        <f>SUM(C1389:K1389)</f>
        <v>37.57</v>
      </c>
    </row>
    <row r="1390" spans="1:22" ht="15.75">
      <c r="A1390" s="28" t="s">
        <v>2778</v>
      </c>
      <c r="B1390" s="28" t="s">
        <v>2779</v>
      </c>
      <c r="C1390" s="23">
        <v>25.78</v>
      </c>
      <c r="D1390" s="23">
        <v>11.06</v>
      </c>
      <c r="E1390" s="23" t="s">
        <v>4683</v>
      </c>
      <c r="F1390" s="23" t="s">
        <v>4682</v>
      </c>
      <c r="G1390" s="23" t="s">
        <v>4682</v>
      </c>
      <c r="H1390" s="23">
        <v>0</v>
      </c>
      <c r="I1390" s="23" t="s">
        <v>4682</v>
      </c>
      <c r="J1390" s="23" t="s">
        <v>4730</v>
      </c>
      <c r="K1390" s="23" t="s">
        <v>4735</v>
      </c>
      <c r="L1390">
        <v>1965</v>
      </c>
      <c r="M1390" s="15" t="s">
        <v>4707</v>
      </c>
      <c r="N1390">
        <v>27</v>
      </c>
      <c r="O1390">
        <v>1</v>
      </c>
      <c r="P1390" s="21">
        <f>DATEVALUE(N1390&amp;"-"&amp;M1390&amp;"-"&amp;L1390)</f>
        <v>24042</v>
      </c>
      <c r="Q1390" s="22">
        <v>11554.22</v>
      </c>
      <c r="R1390" s="23" t="s">
        <v>4698</v>
      </c>
      <c r="S1390" s="23" t="s">
        <v>4701</v>
      </c>
      <c r="T1390" s="23" t="s">
        <v>4699</v>
      </c>
      <c r="U1390" s="23">
        <f>DATEDIF(P1390, DATE(2023, 6, 8), "Y")</f>
        <v>57</v>
      </c>
      <c r="V1390">
        <f>SUM(C1390:K1390)</f>
        <v>36.840000000000003</v>
      </c>
    </row>
    <row r="1391" spans="1:22" ht="15.75">
      <c r="A1391" s="28" t="s">
        <v>2780</v>
      </c>
      <c r="B1391" s="28" t="s">
        <v>2781</v>
      </c>
      <c r="C1391" s="23">
        <v>22.66</v>
      </c>
      <c r="D1391" s="23">
        <v>10.68</v>
      </c>
      <c r="E1391" s="23" t="s">
        <v>4682</v>
      </c>
      <c r="F1391" s="23" t="s">
        <v>4682</v>
      </c>
      <c r="G1391" s="23" t="s">
        <v>4682</v>
      </c>
      <c r="H1391" s="23">
        <v>0</v>
      </c>
      <c r="I1391" s="23" t="s">
        <v>4682</v>
      </c>
      <c r="J1391" s="23" t="s">
        <v>4728</v>
      </c>
      <c r="K1391" s="23" t="s">
        <v>4735</v>
      </c>
      <c r="L1391">
        <v>1965</v>
      </c>
      <c r="M1391" s="15" t="s">
        <v>4705</v>
      </c>
      <c r="N1391">
        <v>25</v>
      </c>
      <c r="O1391">
        <v>0</v>
      </c>
      <c r="P1391" s="21">
        <f>DATEVALUE(N1391&amp;"-"&amp;M1391&amp;"-"&amp;L1391)</f>
        <v>24101</v>
      </c>
      <c r="Q1391" s="22">
        <v>11566.3</v>
      </c>
      <c r="R1391" s="23" t="s">
        <v>4698</v>
      </c>
      <c r="S1391" s="23" t="s">
        <v>4698</v>
      </c>
      <c r="T1391" s="23" t="s">
        <v>4711</v>
      </c>
      <c r="U1391" s="23">
        <f>DATEDIF(P1391, DATE(2023, 6, 8), "Y")</f>
        <v>57</v>
      </c>
      <c r="V1391">
        <f>SUM(C1391:K1391)</f>
        <v>33.340000000000003</v>
      </c>
    </row>
    <row r="1392" spans="1:22" ht="15.75">
      <c r="A1392" s="28" t="s">
        <v>2782</v>
      </c>
      <c r="B1392" s="28" t="s">
        <v>2783</v>
      </c>
      <c r="C1392" s="23">
        <v>38.81</v>
      </c>
      <c r="D1392" s="23">
        <v>6.14</v>
      </c>
      <c r="E1392" s="23" t="s">
        <v>4683</v>
      </c>
      <c r="F1392" s="23" t="s">
        <v>4682</v>
      </c>
      <c r="G1392" s="23" t="s">
        <v>4682</v>
      </c>
      <c r="H1392" s="23">
        <v>1</v>
      </c>
      <c r="I1392" s="23" t="s">
        <v>4682</v>
      </c>
      <c r="J1392" s="23" t="s">
        <v>4729</v>
      </c>
      <c r="K1392" s="23" t="s">
        <v>4736</v>
      </c>
      <c r="L1392">
        <v>1965</v>
      </c>
      <c r="M1392" s="15" t="s">
        <v>4700</v>
      </c>
      <c r="N1392">
        <v>6</v>
      </c>
      <c r="O1392">
        <v>1</v>
      </c>
      <c r="P1392" s="21">
        <f>DATEVALUE(N1392&amp;"-"&amp;M1392&amp;"-"&amp;L1392)</f>
        <v>24052</v>
      </c>
      <c r="Q1392" s="22">
        <v>11576.13</v>
      </c>
      <c r="R1392" s="23" t="s">
        <v>4698</v>
      </c>
      <c r="S1392" s="23" t="s">
        <v>4698</v>
      </c>
      <c r="T1392" s="23" t="s">
        <v>4708</v>
      </c>
      <c r="U1392" s="23">
        <f>DATEDIF(P1392, DATE(2023, 6, 8), "Y")</f>
        <v>57</v>
      </c>
      <c r="V1392">
        <f>SUM(C1392:K1392)</f>
        <v>45.95</v>
      </c>
    </row>
    <row r="1393" spans="1:22" ht="15.75">
      <c r="A1393" s="28" t="s">
        <v>2784</v>
      </c>
      <c r="B1393" s="28" t="s">
        <v>2785</v>
      </c>
      <c r="C1393" s="23">
        <v>38.51</v>
      </c>
      <c r="D1393" s="23">
        <v>5.45</v>
      </c>
      <c r="E1393" s="23" t="s">
        <v>4683</v>
      </c>
      <c r="F1393" s="23" t="s">
        <v>4682</v>
      </c>
      <c r="G1393" s="23" t="s">
        <v>4682</v>
      </c>
      <c r="H1393" s="23">
        <v>0</v>
      </c>
      <c r="I1393" s="23" t="s">
        <v>4682</v>
      </c>
      <c r="J1393" s="23" t="s">
        <v>4729</v>
      </c>
      <c r="K1393" s="23" t="s">
        <v>4737</v>
      </c>
      <c r="L1393">
        <v>1964</v>
      </c>
      <c r="M1393" s="15" t="s">
        <v>4702</v>
      </c>
      <c r="N1393">
        <v>20</v>
      </c>
      <c r="O1393">
        <v>0</v>
      </c>
      <c r="P1393" s="21">
        <f>DATEVALUE(N1393&amp;"-"&amp;M1393&amp;"-"&amp;L1393)</f>
        <v>23548</v>
      </c>
      <c r="Q1393" s="22">
        <v>11602.75</v>
      </c>
      <c r="R1393" s="23" t="s">
        <v>4698</v>
      </c>
      <c r="S1393" s="23" t="s">
        <v>4701</v>
      </c>
      <c r="T1393" s="23" t="s">
        <v>4719</v>
      </c>
      <c r="U1393" s="23">
        <f>DATEDIF(P1393, DATE(2023, 6, 8), "Y")</f>
        <v>58</v>
      </c>
      <c r="V1393">
        <f>SUM(C1393:K1393)</f>
        <v>43.96</v>
      </c>
    </row>
    <row r="1394" spans="1:22" ht="15.75">
      <c r="A1394" s="28" t="s">
        <v>2786</v>
      </c>
      <c r="B1394" s="28" t="s">
        <v>2787</v>
      </c>
      <c r="C1394" s="23">
        <v>22.98</v>
      </c>
      <c r="D1394" s="23">
        <v>6.14</v>
      </c>
      <c r="E1394" s="23" t="s">
        <v>4683</v>
      </c>
      <c r="F1394" s="23" t="s">
        <v>4682</v>
      </c>
      <c r="G1394" s="23" t="s">
        <v>4682</v>
      </c>
      <c r="H1394" s="23">
        <v>0</v>
      </c>
      <c r="I1394" s="23" t="s">
        <v>4682</v>
      </c>
      <c r="J1394" s="23" t="s">
        <v>4728</v>
      </c>
      <c r="K1394" s="23" t="s">
        <v>4736</v>
      </c>
      <c r="L1394">
        <v>1986</v>
      </c>
      <c r="M1394" s="15" t="s">
        <v>4696</v>
      </c>
      <c r="N1394">
        <v>17</v>
      </c>
      <c r="O1394">
        <v>3</v>
      </c>
      <c r="P1394" s="21">
        <f>DATEVALUE(N1394&amp;"-"&amp;M1394&amp;"-"&amp;L1394)</f>
        <v>31610</v>
      </c>
      <c r="Q1394" s="22">
        <v>11625.11</v>
      </c>
      <c r="R1394" s="23" t="s">
        <v>4698</v>
      </c>
      <c r="S1394" s="23" t="s">
        <v>4698</v>
      </c>
      <c r="T1394" s="23" t="s">
        <v>4721</v>
      </c>
      <c r="U1394" s="23">
        <f>DATEDIF(P1394, DATE(2023, 6, 8), "Y")</f>
        <v>36</v>
      </c>
      <c r="V1394">
        <f>SUM(C1394:K1394)</f>
        <v>29.12</v>
      </c>
    </row>
    <row r="1395" spans="1:22" ht="15.75">
      <c r="A1395" s="28" t="s">
        <v>2788</v>
      </c>
      <c r="B1395" s="28" t="s">
        <v>2789</v>
      </c>
      <c r="C1395" s="23">
        <v>15.65</v>
      </c>
      <c r="D1395" s="23">
        <v>7.85</v>
      </c>
      <c r="E1395" s="23" t="s">
        <v>4682</v>
      </c>
      <c r="F1395" s="23" t="s">
        <v>4682</v>
      </c>
      <c r="G1395" s="23" t="s">
        <v>4682</v>
      </c>
      <c r="H1395" s="23">
        <v>0</v>
      </c>
      <c r="I1395" s="23" t="s">
        <v>4682</v>
      </c>
      <c r="J1395" s="23" t="s">
        <v>4731</v>
      </c>
      <c r="K1395" s="23" t="s">
        <v>4735</v>
      </c>
      <c r="L1395">
        <v>1966</v>
      </c>
      <c r="M1395" s="15" t="s">
        <v>4707</v>
      </c>
      <c r="N1395">
        <v>4</v>
      </c>
      <c r="O1395">
        <v>0</v>
      </c>
      <c r="P1395" s="21">
        <f>DATEVALUE(N1395&amp;"-"&amp;M1395&amp;"-"&amp;L1395)</f>
        <v>24384</v>
      </c>
      <c r="Q1395" s="22">
        <v>11657.72</v>
      </c>
      <c r="R1395" s="23" t="s">
        <v>4698</v>
      </c>
      <c r="S1395" s="23" t="s">
        <v>4697</v>
      </c>
      <c r="T1395" s="23" t="s">
        <v>4714</v>
      </c>
      <c r="U1395" s="23">
        <f>DATEDIF(P1395, DATE(2023, 6, 8), "Y")</f>
        <v>56</v>
      </c>
      <c r="V1395">
        <f>SUM(C1395:K1395)</f>
        <v>23.5</v>
      </c>
    </row>
    <row r="1396" spans="1:22" ht="15.75">
      <c r="A1396" s="28" t="s">
        <v>2790</v>
      </c>
      <c r="B1396" s="28" t="s">
        <v>2791</v>
      </c>
      <c r="C1396" s="23">
        <v>39.97</v>
      </c>
      <c r="D1396" s="23">
        <v>4.09</v>
      </c>
      <c r="E1396" s="23" t="s">
        <v>4682</v>
      </c>
      <c r="F1396" s="23" t="s">
        <v>4682</v>
      </c>
      <c r="G1396" s="23" t="s">
        <v>4682</v>
      </c>
      <c r="H1396" s="23">
        <v>1</v>
      </c>
      <c r="I1396" s="23" t="s">
        <v>4682</v>
      </c>
      <c r="J1396" s="23" t="s">
        <v>4729</v>
      </c>
      <c r="K1396" s="23" t="s">
        <v>4737</v>
      </c>
      <c r="L1396">
        <v>1994</v>
      </c>
      <c r="M1396" s="15" t="s">
        <v>4696</v>
      </c>
      <c r="N1396">
        <v>20</v>
      </c>
      <c r="O1396">
        <v>0</v>
      </c>
      <c r="P1396" s="21">
        <f>DATEVALUE(N1396&amp;"-"&amp;M1396&amp;"-"&amp;L1396)</f>
        <v>34535</v>
      </c>
      <c r="Q1396" s="22">
        <v>11657.81</v>
      </c>
      <c r="R1396" s="23" t="s">
        <v>4698</v>
      </c>
      <c r="S1396" s="23" t="s">
        <v>4697</v>
      </c>
      <c r="T1396" s="23" t="s">
        <v>4715</v>
      </c>
      <c r="U1396" s="23">
        <f>DATEDIF(P1396, DATE(2023, 6, 8), "Y")</f>
        <v>28</v>
      </c>
      <c r="V1396">
        <f>SUM(C1396:K1396)</f>
        <v>45.06</v>
      </c>
    </row>
    <row r="1397" spans="1:22" ht="15.75">
      <c r="A1397" s="28" t="s">
        <v>2792</v>
      </c>
      <c r="B1397" s="28" t="s">
        <v>2793</v>
      </c>
      <c r="C1397" s="23">
        <v>37.22</v>
      </c>
      <c r="D1397" s="23">
        <v>4.62</v>
      </c>
      <c r="E1397" s="23" t="s">
        <v>4682</v>
      </c>
      <c r="F1397" s="23" t="s">
        <v>4682</v>
      </c>
      <c r="G1397" s="23" t="s">
        <v>4684</v>
      </c>
      <c r="H1397" s="23">
        <v>1</v>
      </c>
      <c r="I1397" s="23" t="s">
        <v>4682</v>
      </c>
      <c r="J1397" s="23" t="s">
        <v>4729</v>
      </c>
      <c r="K1397" s="23" t="s">
        <v>4737</v>
      </c>
      <c r="L1397">
        <v>1966</v>
      </c>
      <c r="M1397" s="15" t="s">
        <v>4696</v>
      </c>
      <c r="N1397">
        <v>6</v>
      </c>
      <c r="O1397">
        <v>0</v>
      </c>
      <c r="P1397" s="21">
        <f>DATEVALUE(N1397&amp;"-"&amp;M1397&amp;"-"&amp;L1397)</f>
        <v>24294</v>
      </c>
      <c r="Q1397" s="22">
        <v>11658.12</v>
      </c>
      <c r="R1397" s="23" t="s">
        <v>4698</v>
      </c>
      <c r="S1397" s="23" t="s">
        <v>4701</v>
      </c>
      <c r="T1397" s="23" t="s">
        <v>4714</v>
      </c>
      <c r="U1397" s="23">
        <f>DATEDIF(P1397, DATE(2023, 6, 8), "Y")</f>
        <v>56</v>
      </c>
      <c r="V1397">
        <f>SUM(C1397:K1397)</f>
        <v>42.839999999999996</v>
      </c>
    </row>
    <row r="1398" spans="1:22" ht="15.75">
      <c r="A1398" s="28" t="s">
        <v>2794</v>
      </c>
      <c r="B1398" s="28" t="s">
        <v>2795</v>
      </c>
      <c r="C1398" s="23">
        <v>41.325000000000003</v>
      </c>
      <c r="D1398" s="23">
        <v>5.77</v>
      </c>
      <c r="E1398" s="23" t="s">
        <v>4682</v>
      </c>
      <c r="F1398" s="23" t="s">
        <v>4682</v>
      </c>
      <c r="G1398" s="23" t="s">
        <v>4682</v>
      </c>
      <c r="H1398" s="23">
        <v>0</v>
      </c>
      <c r="I1398" s="23" t="s">
        <v>4682</v>
      </c>
      <c r="J1398" s="23" t="s">
        <v>4729</v>
      </c>
      <c r="K1398" s="23" t="s">
        <v>4736</v>
      </c>
      <c r="L1398">
        <v>1966</v>
      </c>
      <c r="M1398" s="15" t="s">
        <v>4706</v>
      </c>
      <c r="N1398">
        <v>23</v>
      </c>
      <c r="O1398">
        <v>0</v>
      </c>
      <c r="P1398" s="21">
        <f>DATEVALUE(N1398&amp;"-"&amp;M1398&amp;"-"&amp;L1398)</f>
        <v>24342</v>
      </c>
      <c r="Q1398" s="22">
        <v>11658.38</v>
      </c>
      <c r="R1398" s="23" t="s">
        <v>4698</v>
      </c>
      <c r="S1398" s="23" t="s">
        <v>4698</v>
      </c>
      <c r="T1398" s="23" t="s">
        <v>4714</v>
      </c>
      <c r="U1398" s="23">
        <f>DATEDIF(P1398, DATE(2023, 6, 8), "Y")</f>
        <v>56</v>
      </c>
      <c r="V1398">
        <f>SUM(C1398:K1398)</f>
        <v>47.094999999999999</v>
      </c>
    </row>
    <row r="1399" spans="1:22" ht="15.75">
      <c r="A1399" s="28" t="s">
        <v>2796</v>
      </c>
      <c r="B1399" s="28" t="s">
        <v>2797</v>
      </c>
      <c r="C1399" s="23">
        <v>40.31</v>
      </c>
      <c r="D1399" s="23">
        <v>5.84</v>
      </c>
      <c r="E1399" s="23" t="s">
        <v>4682</v>
      </c>
      <c r="F1399" s="23" t="s">
        <v>4682</v>
      </c>
      <c r="G1399" s="23" t="s">
        <v>4682</v>
      </c>
      <c r="H1399" s="23">
        <v>0</v>
      </c>
      <c r="I1399" s="23" t="s">
        <v>4682</v>
      </c>
      <c r="J1399" s="23" t="s">
        <v>4729</v>
      </c>
      <c r="K1399" s="23" t="s">
        <v>4736</v>
      </c>
      <c r="L1399">
        <v>1966</v>
      </c>
      <c r="M1399" s="15" t="s">
        <v>4700</v>
      </c>
      <c r="N1399">
        <v>9</v>
      </c>
      <c r="O1399">
        <v>1</v>
      </c>
      <c r="P1399" s="21">
        <f>DATEVALUE(N1399&amp;"-"&amp;M1399&amp;"-"&amp;L1399)</f>
        <v>24420</v>
      </c>
      <c r="Q1399" s="22">
        <v>11674.13</v>
      </c>
      <c r="R1399" s="23" t="s">
        <v>4698</v>
      </c>
      <c r="S1399" s="23" t="s">
        <v>4701</v>
      </c>
      <c r="T1399" s="23" t="s">
        <v>4708</v>
      </c>
      <c r="U1399" s="23">
        <f>DATEDIF(P1399, DATE(2023, 6, 8), "Y")</f>
        <v>56</v>
      </c>
      <c r="V1399">
        <f>SUM(C1399:K1399)</f>
        <v>46.150000000000006</v>
      </c>
    </row>
    <row r="1400" spans="1:22" ht="15.75">
      <c r="A1400" s="28" t="s">
        <v>2798</v>
      </c>
      <c r="B1400" s="28" t="s">
        <v>2799</v>
      </c>
      <c r="C1400" s="23">
        <v>29.48</v>
      </c>
      <c r="D1400" s="23">
        <v>4.91</v>
      </c>
      <c r="E1400" s="23" t="s">
        <v>4682</v>
      </c>
      <c r="F1400" s="23" t="s">
        <v>4682</v>
      </c>
      <c r="G1400" s="23" t="s">
        <v>4682</v>
      </c>
      <c r="H1400" s="23">
        <v>0</v>
      </c>
      <c r="I1400" s="23" t="s">
        <v>4682</v>
      </c>
      <c r="J1400" s="23" t="s">
        <v>4730</v>
      </c>
      <c r="K1400" s="23" t="s">
        <v>4737</v>
      </c>
      <c r="L1400">
        <v>1970</v>
      </c>
      <c r="M1400" s="15" t="s">
        <v>4705</v>
      </c>
      <c r="N1400">
        <v>1</v>
      </c>
      <c r="O1400">
        <v>0</v>
      </c>
      <c r="P1400" s="21">
        <f>DATEVALUE(N1400&amp;"-"&amp;M1400&amp;"-"&amp;L1400)</f>
        <v>25903</v>
      </c>
      <c r="Q1400" s="22">
        <v>11696.52</v>
      </c>
      <c r="R1400" s="23" t="s">
        <v>4698</v>
      </c>
      <c r="S1400" s="23" t="s">
        <v>4701</v>
      </c>
      <c r="T1400" s="23" t="s">
        <v>4717</v>
      </c>
      <c r="U1400" s="23">
        <f>DATEDIF(P1400, DATE(2023, 6, 8), "Y")</f>
        <v>52</v>
      </c>
      <c r="V1400">
        <f>SUM(C1400:K1400)</f>
        <v>34.39</v>
      </c>
    </row>
    <row r="1401" spans="1:22" ht="15.75">
      <c r="A1401" s="28" t="s">
        <v>2800</v>
      </c>
      <c r="B1401" s="28" t="s">
        <v>2801</v>
      </c>
      <c r="C1401" s="23">
        <v>33.155000000000001</v>
      </c>
      <c r="D1401" s="23">
        <v>5.07</v>
      </c>
      <c r="E1401" s="23" t="s">
        <v>4682</v>
      </c>
      <c r="F1401" s="23" t="s">
        <v>4682</v>
      </c>
      <c r="G1401" s="23" t="s">
        <v>4682</v>
      </c>
      <c r="H1401" s="23">
        <v>0</v>
      </c>
      <c r="I1401" s="23" t="s">
        <v>4682</v>
      </c>
      <c r="J1401" s="23" t="s">
        <v>4729</v>
      </c>
      <c r="K1401" s="23" t="s">
        <v>4737</v>
      </c>
      <c r="L1401">
        <v>1982</v>
      </c>
      <c r="M1401" s="15" t="s">
        <v>4707</v>
      </c>
      <c r="N1401">
        <v>21</v>
      </c>
      <c r="O1401">
        <v>3</v>
      </c>
      <c r="P1401" s="21">
        <f>DATEVALUE(N1401&amp;"-"&amp;M1401&amp;"-"&amp;L1401)</f>
        <v>30245</v>
      </c>
      <c r="Q1401" s="22">
        <v>11712.97</v>
      </c>
      <c r="R1401" s="23" t="s">
        <v>4698</v>
      </c>
      <c r="S1401" s="23" t="s">
        <v>4697</v>
      </c>
      <c r="T1401" s="23" t="s">
        <v>4717</v>
      </c>
      <c r="U1401" s="23">
        <f>DATEDIF(P1401, DATE(2023, 6, 8), "Y")</f>
        <v>40</v>
      </c>
      <c r="V1401">
        <f>SUM(C1401:K1401)</f>
        <v>38.225000000000001</v>
      </c>
    </row>
    <row r="1402" spans="1:22" ht="15.75">
      <c r="A1402" s="28" t="s">
        <v>2802</v>
      </c>
      <c r="B1402" s="28" t="s">
        <v>2803</v>
      </c>
      <c r="C1402" s="23">
        <v>42.85</v>
      </c>
      <c r="D1402" s="23">
        <v>5.81</v>
      </c>
      <c r="E1402" s="23" t="s">
        <v>4683</v>
      </c>
      <c r="F1402" s="23" t="s">
        <v>4682</v>
      </c>
      <c r="G1402" s="23" t="s">
        <v>4682</v>
      </c>
      <c r="H1402" s="23">
        <v>0</v>
      </c>
      <c r="I1402" s="23" t="s">
        <v>4682</v>
      </c>
      <c r="J1402" s="23" t="s">
        <v>4729</v>
      </c>
      <c r="K1402" s="23" t="s">
        <v>4736</v>
      </c>
      <c r="L1402">
        <v>1969</v>
      </c>
      <c r="M1402" s="15" t="s">
        <v>4707</v>
      </c>
      <c r="N1402">
        <v>12</v>
      </c>
      <c r="O1402">
        <v>2</v>
      </c>
      <c r="P1402" s="21">
        <f>DATEVALUE(N1402&amp;"-"&amp;M1402&amp;"-"&amp;L1402)</f>
        <v>25488</v>
      </c>
      <c r="Q1402" s="22">
        <v>11729.68</v>
      </c>
      <c r="R1402" s="23" t="s">
        <v>4698</v>
      </c>
      <c r="S1402" s="23" t="s">
        <v>4701</v>
      </c>
      <c r="T1402" s="23" t="s">
        <v>4714</v>
      </c>
      <c r="U1402" s="23">
        <f>DATEDIF(P1402, DATE(2023, 6, 8), "Y")</f>
        <v>53</v>
      </c>
      <c r="V1402">
        <f>SUM(C1402:K1402)</f>
        <v>48.660000000000004</v>
      </c>
    </row>
    <row r="1403" spans="1:22" ht="15.75">
      <c r="A1403" s="28" t="s">
        <v>2804</v>
      </c>
      <c r="B1403" s="28" t="s">
        <v>2805</v>
      </c>
      <c r="C1403" s="23">
        <v>32.340000000000003</v>
      </c>
      <c r="D1403" s="23">
        <v>11.2</v>
      </c>
      <c r="E1403" s="23" t="s">
        <v>4682</v>
      </c>
      <c r="F1403" s="23" t="s">
        <v>4682</v>
      </c>
      <c r="G1403" s="23" t="s">
        <v>4682</v>
      </c>
      <c r="H1403" s="23">
        <v>0</v>
      </c>
      <c r="I1403" s="23" t="s">
        <v>4682</v>
      </c>
      <c r="J1403" s="23" t="s">
        <v>4729</v>
      </c>
      <c r="K1403" s="23" t="s">
        <v>4735</v>
      </c>
      <c r="L1403">
        <v>1984</v>
      </c>
      <c r="M1403" s="15" t="s">
        <v>4700</v>
      </c>
      <c r="N1403">
        <v>26</v>
      </c>
      <c r="O1403">
        <v>3</v>
      </c>
      <c r="P1403" s="21">
        <f>DATEVALUE(N1403&amp;"-"&amp;M1403&amp;"-"&amp;L1403)</f>
        <v>31012</v>
      </c>
      <c r="Q1403" s="22">
        <v>11730.82</v>
      </c>
      <c r="R1403" s="23" t="s">
        <v>4698</v>
      </c>
      <c r="S1403" s="23" t="s">
        <v>4698</v>
      </c>
      <c r="T1403" s="23" t="s">
        <v>4720</v>
      </c>
      <c r="U1403" s="23">
        <f>DATEDIF(P1403, DATE(2023, 6, 8), "Y")</f>
        <v>38</v>
      </c>
      <c r="V1403">
        <f>SUM(C1403:K1403)</f>
        <v>43.540000000000006</v>
      </c>
    </row>
    <row r="1404" spans="1:22" ht="15.75">
      <c r="A1404" s="28" t="s">
        <v>2806</v>
      </c>
      <c r="B1404" s="28" t="s">
        <v>2807</v>
      </c>
      <c r="C1404" s="23">
        <v>27.5</v>
      </c>
      <c r="D1404" s="23">
        <v>10.75</v>
      </c>
      <c r="E1404" s="23" t="s">
        <v>4682</v>
      </c>
      <c r="F1404" s="23" t="s">
        <v>4682</v>
      </c>
      <c r="G1404" s="23" t="s">
        <v>4682</v>
      </c>
      <c r="H1404" s="23">
        <v>0</v>
      </c>
      <c r="I1404" s="23" t="s">
        <v>4682</v>
      </c>
      <c r="J1404" s="23" t="s">
        <v>4730</v>
      </c>
      <c r="K1404" s="23" t="s">
        <v>4735</v>
      </c>
      <c r="L1404">
        <v>1964</v>
      </c>
      <c r="M1404" s="15" t="s">
        <v>4700</v>
      </c>
      <c r="N1404">
        <v>9</v>
      </c>
      <c r="O1404">
        <v>0</v>
      </c>
      <c r="P1404" s="21">
        <f>DATEVALUE(N1404&amp;"-"&amp;M1404&amp;"-"&amp;L1404)</f>
        <v>23690</v>
      </c>
      <c r="Q1404" s="22">
        <v>11735.88</v>
      </c>
      <c r="R1404" s="23" t="s">
        <v>4698</v>
      </c>
      <c r="S1404" s="23" t="s">
        <v>4701</v>
      </c>
      <c r="T1404" s="23" t="s">
        <v>4704</v>
      </c>
      <c r="U1404" s="23">
        <f>DATEDIF(P1404, DATE(2023, 6, 8), "Y")</f>
        <v>58</v>
      </c>
      <c r="V1404">
        <f>SUM(C1404:K1404)</f>
        <v>38.25</v>
      </c>
    </row>
    <row r="1405" spans="1:22" ht="15.75">
      <c r="A1405" s="28" t="s">
        <v>2808</v>
      </c>
      <c r="B1405" s="28" t="s">
        <v>2809</v>
      </c>
      <c r="C1405" s="23">
        <v>25.8</v>
      </c>
      <c r="D1405" s="23">
        <v>7.8</v>
      </c>
      <c r="E1405" s="23" t="s">
        <v>4682</v>
      </c>
      <c r="F1405" s="23" t="s">
        <v>4682</v>
      </c>
      <c r="G1405" s="23" t="s">
        <v>4682</v>
      </c>
      <c r="H1405" s="23">
        <v>0</v>
      </c>
      <c r="I1405" s="23" t="s">
        <v>4682</v>
      </c>
      <c r="J1405" s="23" t="s">
        <v>4730</v>
      </c>
      <c r="K1405" s="23" t="s">
        <v>4735</v>
      </c>
      <c r="L1405">
        <v>1988</v>
      </c>
      <c r="M1405" s="15" t="s">
        <v>4703</v>
      </c>
      <c r="N1405">
        <v>5</v>
      </c>
      <c r="O1405">
        <v>2</v>
      </c>
      <c r="P1405" s="21">
        <f>DATEVALUE(N1405&amp;"-"&amp;M1405&amp;"-"&amp;L1405)</f>
        <v>32391</v>
      </c>
      <c r="Q1405" s="22">
        <v>11737.85</v>
      </c>
      <c r="R1405" s="23" t="s">
        <v>4698</v>
      </c>
      <c r="S1405" s="23" t="s">
        <v>4701</v>
      </c>
      <c r="T1405" s="23" t="s">
        <v>4708</v>
      </c>
      <c r="U1405" s="23">
        <f>DATEDIF(P1405, DATE(2023, 6, 8), "Y")</f>
        <v>34</v>
      </c>
      <c r="V1405">
        <f>SUM(C1405:K1405)</f>
        <v>33.6</v>
      </c>
    </row>
    <row r="1406" spans="1:22" ht="15.75">
      <c r="A1406" s="28" t="s">
        <v>2810</v>
      </c>
      <c r="B1406" s="28" t="s">
        <v>2811</v>
      </c>
      <c r="C1406" s="23">
        <v>25</v>
      </c>
      <c r="D1406" s="23">
        <v>7.04</v>
      </c>
      <c r="E1406" s="23" t="s">
        <v>4682</v>
      </c>
      <c r="F1406" s="23" t="s">
        <v>4682</v>
      </c>
      <c r="G1406" s="23" t="s">
        <v>4682</v>
      </c>
      <c r="H1406" s="23">
        <v>0</v>
      </c>
      <c r="I1406" s="23" t="s">
        <v>4682</v>
      </c>
      <c r="J1406" s="23" t="s">
        <v>4730</v>
      </c>
      <c r="K1406" s="23" t="s">
        <v>4735</v>
      </c>
      <c r="L1406">
        <v>1969</v>
      </c>
      <c r="M1406" s="15" t="s">
        <v>4700</v>
      </c>
      <c r="N1406">
        <v>12</v>
      </c>
      <c r="O1406">
        <v>3</v>
      </c>
      <c r="P1406" s="21">
        <f>DATEVALUE(N1406&amp;"-"&amp;M1406&amp;"-"&amp;L1406)</f>
        <v>25519</v>
      </c>
      <c r="Q1406" s="22">
        <v>11741.73</v>
      </c>
      <c r="R1406" s="23" t="s">
        <v>4698</v>
      </c>
      <c r="S1406" s="23" t="s">
        <v>4701</v>
      </c>
      <c r="T1406" s="23" t="s">
        <v>4708</v>
      </c>
      <c r="U1406" s="23">
        <f>DATEDIF(P1406, DATE(2023, 6, 8), "Y")</f>
        <v>53</v>
      </c>
      <c r="V1406">
        <f>SUM(C1406:K1406)</f>
        <v>32.04</v>
      </c>
    </row>
    <row r="1407" spans="1:22" ht="15.75">
      <c r="A1407" s="28" t="s">
        <v>2812</v>
      </c>
      <c r="B1407" s="28" t="s">
        <v>2813</v>
      </c>
      <c r="C1407" s="23">
        <v>41.2</v>
      </c>
      <c r="D1407" s="23">
        <v>4.18</v>
      </c>
      <c r="E1407" s="23" t="s">
        <v>4683</v>
      </c>
      <c r="F1407" s="23" t="s">
        <v>4682</v>
      </c>
      <c r="G1407" s="23" t="s">
        <v>4682</v>
      </c>
      <c r="H1407" s="23">
        <v>0</v>
      </c>
      <c r="I1407" s="23" t="s">
        <v>4682</v>
      </c>
      <c r="J1407" s="23" t="s">
        <v>4729</v>
      </c>
      <c r="K1407" s="23" t="s">
        <v>4737</v>
      </c>
      <c r="L1407">
        <v>1963</v>
      </c>
      <c r="M1407" s="15" t="s">
        <v>4702</v>
      </c>
      <c r="N1407">
        <v>9</v>
      </c>
      <c r="O1407">
        <v>0</v>
      </c>
      <c r="P1407" s="21">
        <f>DATEVALUE(N1407&amp;"-"&amp;M1407&amp;"-"&amp;L1407)</f>
        <v>23171</v>
      </c>
      <c r="Q1407" s="22">
        <v>11743.3</v>
      </c>
      <c r="R1407" s="23" t="s">
        <v>4698</v>
      </c>
      <c r="S1407" s="23" t="s">
        <v>4698</v>
      </c>
      <c r="T1407" s="23" t="s">
        <v>4699</v>
      </c>
      <c r="U1407" s="23">
        <f>DATEDIF(P1407, DATE(2023, 6, 8), "Y")</f>
        <v>59</v>
      </c>
      <c r="V1407">
        <f>SUM(C1407:K1407)</f>
        <v>45.38</v>
      </c>
    </row>
    <row r="1408" spans="1:22" ht="15.75">
      <c r="A1408" s="28" t="s">
        <v>2814</v>
      </c>
      <c r="B1408" s="28" t="s">
        <v>2815</v>
      </c>
      <c r="C1408" s="23">
        <v>17.78</v>
      </c>
      <c r="D1408" s="23">
        <v>8.19</v>
      </c>
      <c r="E1408" s="23" t="s">
        <v>4682</v>
      </c>
      <c r="F1408" s="23" t="s">
        <v>4682</v>
      </c>
      <c r="G1408" s="23" t="s">
        <v>4682</v>
      </c>
      <c r="H1408" s="23">
        <v>0</v>
      </c>
      <c r="I1408" s="23" t="s">
        <v>4682</v>
      </c>
      <c r="J1408" s="23" t="s">
        <v>4731</v>
      </c>
      <c r="K1408" s="23" t="s">
        <v>4735</v>
      </c>
      <c r="L1408">
        <v>1964</v>
      </c>
      <c r="M1408" s="15" t="s">
        <v>4705</v>
      </c>
      <c r="N1408">
        <v>2</v>
      </c>
      <c r="O1408">
        <v>0</v>
      </c>
      <c r="P1408" s="21">
        <f>DATEVALUE(N1408&amp;"-"&amp;M1408&amp;"-"&amp;L1408)</f>
        <v>23713</v>
      </c>
      <c r="Q1408" s="22">
        <v>11743.93</v>
      </c>
      <c r="R1408" s="23" t="s">
        <v>4698</v>
      </c>
      <c r="S1408" s="23" t="s">
        <v>4701</v>
      </c>
      <c r="T1408" s="23" t="s">
        <v>4704</v>
      </c>
      <c r="U1408" s="23">
        <f>DATEDIF(P1408, DATE(2023, 6, 8), "Y")</f>
        <v>58</v>
      </c>
      <c r="V1408">
        <f>SUM(C1408:K1408)</f>
        <v>25.97</v>
      </c>
    </row>
    <row r="1409" spans="1:22" ht="15.75">
      <c r="A1409" s="28" t="s">
        <v>2816</v>
      </c>
      <c r="B1409" s="28" t="s">
        <v>2817</v>
      </c>
      <c r="C1409" s="23">
        <v>40.119999999999997</v>
      </c>
      <c r="D1409" s="23">
        <v>6.22</v>
      </c>
      <c r="E1409" s="23" t="s">
        <v>4683</v>
      </c>
      <c r="F1409" s="23" t="s">
        <v>4682</v>
      </c>
      <c r="G1409" s="23" t="s">
        <v>4684</v>
      </c>
      <c r="H1409" s="23">
        <v>1</v>
      </c>
      <c r="I1409" s="23" t="s">
        <v>4682</v>
      </c>
      <c r="J1409" s="23" t="s">
        <v>4729</v>
      </c>
      <c r="K1409" s="23" t="s">
        <v>4736</v>
      </c>
      <c r="L1409">
        <v>1979</v>
      </c>
      <c r="M1409" s="15" t="s">
        <v>4700</v>
      </c>
      <c r="N1409">
        <v>6</v>
      </c>
      <c r="O1409">
        <v>2</v>
      </c>
      <c r="P1409" s="21">
        <f>DATEVALUE(N1409&amp;"-"&amp;M1409&amp;"-"&amp;L1409)</f>
        <v>29165</v>
      </c>
      <c r="Q1409" s="22">
        <v>11752.68</v>
      </c>
      <c r="R1409" s="23" t="s">
        <v>4698</v>
      </c>
      <c r="S1409" s="23" t="s">
        <v>4701</v>
      </c>
      <c r="T1409" s="23" t="s">
        <v>4720</v>
      </c>
      <c r="U1409" s="23">
        <f>DATEDIF(P1409, DATE(2023, 6, 8), "Y")</f>
        <v>43</v>
      </c>
      <c r="V1409">
        <f>SUM(C1409:K1409)</f>
        <v>47.339999999999996</v>
      </c>
    </row>
    <row r="1410" spans="1:22" ht="15.75">
      <c r="A1410" s="28" t="s">
        <v>2818</v>
      </c>
      <c r="B1410" s="28" t="s">
        <v>2819</v>
      </c>
      <c r="C1410" s="23">
        <v>19.350000000000001</v>
      </c>
      <c r="D1410" s="23">
        <v>8.2200000000000006</v>
      </c>
      <c r="E1410" s="23" t="s">
        <v>4683</v>
      </c>
      <c r="F1410" s="23" t="s">
        <v>4682</v>
      </c>
      <c r="G1410" s="23" t="s">
        <v>4682</v>
      </c>
      <c r="H1410" s="23">
        <v>0</v>
      </c>
      <c r="I1410" s="23" t="s">
        <v>4682</v>
      </c>
      <c r="J1410" s="23" t="s">
        <v>4728</v>
      </c>
      <c r="K1410" s="23" t="s">
        <v>4735</v>
      </c>
      <c r="L1410">
        <v>1966</v>
      </c>
      <c r="M1410" s="15" t="s">
        <v>4696</v>
      </c>
      <c r="N1410">
        <v>25</v>
      </c>
      <c r="O1410">
        <v>1</v>
      </c>
      <c r="P1410" s="21">
        <f>DATEVALUE(N1410&amp;"-"&amp;M1410&amp;"-"&amp;L1410)</f>
        <v>24313</v>
      </c>
      <c r="Q1410" s="22">
        <v>11763</v>
      </c>
      <c r="R1410" s="23" t="s">
        <v>4698</v>
      </c>
      <c r="S1410" s="23" t="s">
        <v>4698</v>
      </c>
      <c r="T1410" s="23" t="s">
        <v>4711</v>
      </c>
      <c r="U1410" s="23">
        <f>DATEDIF(P1410, DATE(2023, 6, 8), "Y")</f>
        <v>56</v>
      </c>
      <c r="V1410">
        <f>SUM(C1410:K1410)</f>
        <v>27.57</v>
      </c>
    </row>
    <row r="1411" spans="1:22" ht="15.75">
      <c r="A1411" s="28" t="s">
        <v>2820</v>
      </c>
      <c r="B1411" s="28" t="s">
        <v>2821</v>
      </c>
      <c r="C1411" s="23">
        <v>36.69</v>
      </c>
      <c r="D1411" s="23">
        <v>6.15</v>
      </c>
      <c r="E1411" s="23" t="s">
        <v>4682</v>
      </c>
      <c r="F1411" s="23" t="s">
        <v>4682</v>
      </c>
      <c r="G1411" s="23" t="s">
        <v>4682</v>
      </c>
      <c r="H1411" s="23">
        <v>0</v>
      </c>
      <c r="I1411" s="23" t="s">
        <v>4682</v>
      </c>
      <c r="J1411" s="23" t="s">
        <v>4729</v>
      </c>
      <c r="K1411" s="23" t="s">
        <v>4736</v>
      </c>
      <c r="L1411">
        <v>1982</v>
      </c>
      <c r="M1411" s="15" t="s">
        <v>4700</v>
      </c>
      <c r="N1411">
        <v>20</v>
      </c>
      <c r="O1411">
        <v>3</v>
      </c>
      <c r="P1411" s="21">
        <f>DATEVALUE(N1411&amp;"-"&amp;M1411&amp;"-"&amp;L1411)</f>
        <v>30275</v>
      </c>
      <c r="Q1411" s="22">
        <v>11773.06</v>
      </c>
      <c r="R1411" s="23" t="s">
        <v>4698</v>
      </c>
      <c r="S1411" s="23" t="s">
        <v>4698</v>
      </c>
      <c r="T1411" s="23" t="s">
        <v>4720</v>
      </c>
      <c r="U1411" s="23">
        <f>DATEDIF(P1411, DATE(2023, 6, 8), "Y")</f>
        <v>40</v>
      </c>
      <c r="V1411">
        <f>SUM(C1411:K1411)</f>
        <v>42.839999999999996</v>
      </c>
    </row>
    <row r="1412" spans="1:22" ht="15.75">
      <c r="A1412" s="28" t="s">
        <v>2822</v>
      </c>
      <c r="B1412" s="28" t="s">
        <v>2823</v>
      </c>
      <c r="C1412" s="23">
        <v>28.51</v>
      </c>
      <c r="D1412" s="23">
        <v>5.65</v>
      </c>
      <c r="E1412" s="23" t="s">
        <v>4683</v>
      </c>
      <c r="F1412" s="23" t="s">
        <v>4682</v>
      </c>
      <c r="G1412" s="23" t="s">
        <v>4682</v>
      </c>
      <c r="H1412" s="23">
        <v>1</v>
      </c>
      <c r="I1412" s="23" t="s">
        <v>4682</v>
      </c>
      <c r="J1412" s="23" t="s">
        <v>4730</v>
      </c>
      <c r="K1412" s="23" t="s">
        <v>4737</v>
      </c>
      <c r="L1412">
        <v>1965</v>
      </c>
      <c r="M1412" s="15" t="s">
        <v>4707</v>
      </c>
      <c r="N1412">
        <v>3</v>
      </c>
      <c r="O1412">
        <v>0</v>
      </c>
      <c r="P1412" s="21">
        <f>DATEVALUE(N1412&amp;"-"&amp;M1412&amp;"-"&amp;L1412)</f>
        <v>24018</v>
      </c>
      <c r="Q1412" s="22">
        <v>11830.61</v>
      </c>
      <c r="R1412" s="23" t="s">
        <v>4698</v>
      </c>
      <c r="S1412" s="23" t="s">
        <v>4701</v>
      </c>
      <c r="T1412" s="23" t="s">
        <v>4704</v>
      </c>
      <c r="U1412" s="23">
        <f>DATEDIF(P1412, DATE(2023, 6, 8), "Y")</f>
        <v>57</v>
      </c>
      <c r="V1412">
        <f>SUM(C1412:K1412)</f>
        <v>35.160000000000004</v>
      </c>
    </row>
    <row r="1413" spans="1:22" ht="15.75">
      <c r="A1413" s="28" t="s">
        <v>2824</v>
      </c>
      <c r="B1413" s="28" t="s">
        <v>2825</v>
      </c>
      <c r="C1413" s="23">
        <v>30.21</v>
      </c>
      <c r="D1413" s="23">
        <v>5.5</v>
      </c>
      <c r="E1413" s="23" t="s">
        <v>4682</v>
      </c>
      <c r="F1413" s="23" t="s">
        <v>4682</v>
      </c>
      <c r="G1413" s="23" t="s">
        <v>4682</v>
      </c>
      <c r="H1413" s="23">
        <v>1</v>
      </c>
      <c r="I1413" s="23" t="s">
        <v>4682</v>
      </c>
      <c r="J1413" s="23" t="s">
        <v>4729</v>
      </c>
      <c r="K1413" s="23" t="s">
        <v>4737</v>
      </c>
      <c r="L1413">
        <v>1964</v>
      </c>
      <c r="M1413" s="15" t="s">
        <v>4702</v>
      </c>
      <c r="N1413">
        <v>27</v>
      </c>
      <c r="O1413">
        <v>0</v>
      </c>
      <c r="P1413" s="21">
        <f>DATEVALUE(N1413&amp;"-"&amp;M1413&amp;"-"&amp;L1413)</f>
        <v>23555</v>
      </c>
      <c r="Q1413" s="22">
        <v>11833.78</v>
      </c>
      <c r="R1413" s="23" t="s">
        <v>4698</v>
      </c>
      <c r="S1413" s="23" t="s">
        <v>4698</v>
      </c>
      <c r="T1413" s="23" t="s">
        <v>4699</v>
      </c>
      <c r="U1413" s="23">
        <f>DATEDIF(P1413, DATE(2023, 6, 8), "Y")</f>
        <v>58</v>
      </c>
      <c r="V1413">
        <f>SUM(C1413:K1413)</f>
        <v>36.71</v>
      </c>
    </row>
    <row r="1414" spans="1:22" ht="15.75">
      <c r="A1414" s="28" t="s">
        <v>2826</v>
      </c>
      <c r="B1414" s="28" t="s">
        <v>2827</v>
      </c>
      <c r="C1414" s="23">
        <v>24.33</v>
      </c>
      <c r="D1414" s="23">
        <v>8</v>
      </c>
      <c r="E1414" s="23" t="s">
        <v>4682</v>
      </c>
      <c r="F1414" s="23" t="s">
        <v>4682</v>
      </c>
      <c r="G1414" s="23" t="s">
        <v>4682</v>
      </c>
      <c r="H1414" s="23">
        <v>0</v>
      </c>
      <c r="I1414" s="23" t="s">
        <v>4682</v>
      </c>
      <c r="J1414" s="23" t="s">
        <v>4728</v>
      </c>
      <c r="K1414" s="23" t="s">
        <v>4735</v>
      </c>
      <c r="L1414">
        <v>1964</v>
      </c>
      <c r="M1414" s="15" t="s">
        <v>4703</v>
      </c>
      <c r="N1414">
        <v>11</v>
      </c>
      <c r="O1414">
        <v>0</v>
      </c>
      <c r="P1414" s="21">
        <f>DATEVALUE(N1414&amp;"-"&amp;M1414&amp;"-"&amp;L1414)</f>
        <v>23631</v>
      </c>
      <c r="Q1414" s="22">
        <v>11837.16</v>
      </c>
      <c r="R1414" s="23" t="s">
        <v>4698</v>
      </c>
      <c r="S1414" s="23" t="s">
        <v>4698</v>
      </c>
      <c r="T1414" s="23" t="s">
        <v>4708</v>
      </c>
      <c r="U1414" s="23">
        <f>DATEDIF(P1414, DATE(2023, 6, 8), "Y")</f>
        <v>58</v>
      </c>
      <c r="V1414">
        <f>SUM(C1414:K1414)</f>
        <v>32.33</v>
      </c>
    </row>
    <row r="1415" spans="1:22" ht="15.75">
      <c r="A1415" s="28" t="s">
        <v>2828</v>
      </c>
      <c r="B1415" s="28" t="s">
        <v>2829</v>
      </c>
      <c r="C1415" s="23">
        <v>19.855</v>
      </c>
      <c r="D1415" s="23">
        <v>5.71</v>
      </c>
      <c r="E1415" s="23" t="s">
        <v>4683</v>
      </c>
      <c r="F1415" s="23" t="s">
        <v>4682</v>
      </c>
      <c r="G1415" s="23" t="s">
        <v>4682</v>
      </c>
      <c r="H1415" s="23">
        <v>0</v>
      </c>
      <c r="I1415" s="23" t="s">
        <v>4682</v>
      </c>
      <c r="J1415" s="23" t="s">
        <v>4728</v>
      </c>
      <c r="K1415" s="23" t="s">
        <v>4736</v>
      </c>
      <c r="L1415">
        <v>1965</v>
      </c>
      <c r="M1415" s="15" t="s">
        <v>4703</v>
      </c>
      <c r="N1415">
        <v>25</v>
      </c>
      <c r="O1415">
        <v>0</v>
      </c>
      <c r="P1415" s="21">
        <f>DATEVALUE(N1415&amp;"-"&amp;M1415&amp;"-"&amp;L1415)</f>
        <v>24010</v>
      </c>
      <c r="Q1415" s="22">
        <v>11840.78</v>
      </c>
      <c r="R1415" s="23" t="s">
        <v>4698</v>
      </c>
      <c r="S1415" s="23" t="s">
        <v>4697</v>
      </c>
      <c r="T1415" s="23" t="s">
        <v>4704</v>
      </c>
      <c r="U1415" s="23">
        <f>DATEDIF(P1415, DATE(2023, 6, 8), "Y")</f>
        <v>57</v>
      </c>
      <c r="V1415">
        <f>SUM(C1415:K1415)</f>
        <v>25.565000000000001</v>
      </c>
    </row>
    <row r="1416" spans="1:22" ht="15.75">
      <c r="A1416" s="28" t="s">
        <v>2830</v>
      </c>
      <c r="B1416" s="28" t="s">
        <v>2831</v>
      </c>
      <c r="C1416" s="23">
        <v>25.364999999999998</v>
      </c>
      <c r="D1416" s="23">
        <v>11.71</v>
      </c>
      <c r="E1416" s="23" t="s">
        <v>4682</v>
      </c>
      <c r="F1416" s="23" t="s">
        <v>4682</v>
      </c>
      <c r="G1416" s="23" t="s">
        <v>4682</v>
      </c>
      <c r="H1416" s="23">
        <v>0</v>
      </c>
      <c r="I1416" s="23" t="s">
        <v>4682</v>
      </c>
      <c r="J1416" s="23" t="s">
        <v>4730</v>
      </c>
      <c r="K1416" s="23" t="s">
        <v>4735</v>
      </c>
      <c r="L1416">
        <v>1964</v>
      </c>
      <c r="M1416" s="15" t="s">
        <v>4696</v>
      </c>
      <c r="N1416">
        <v>11</v>
      </c>
      <c r="O1416">
        <v>0</v>
      </c>
      <c r="P1416" s="21">
        <f>DATEVALUE(N1416&amp;"-"&amp;M1416&amp;"-"&amp;L1416)</f>
        <v>23569</v>
      </c>
      <c r="Q1416" s="22">
        <v>11842.44</v>
      </c>
      <c r="R1416" s="23" t="s">
        <v>4698</v>
      </c>
      <c r="S1416" s="23" t="s">
        <v>4697</v>
      </c>
      <c r="T1416" s="23" t="s">
        <v>4708</v>
      </c>
      <c r="U1416" s="23">
        <f>DATEDIF(P1416, DATE(2023, 6, 8), "Y")</f>
        <v>58</v>
      </c>
      <c r="V1416">
        <f>SUM(C1416:K1416)</f>
        <v>37.075000000000003</v>
      </c>
    </row>
    <row r="1417" spans="1:22" ht="15.75">
      <c r="A1417" s="28" t="s">
        <v>2832</v>
      </c>
      <c r="B1417" s="28" t="s">
        <v>2833</v>
      </c>
      <c r="C1417" s="23">
        <v>29.6</v>
      </c>
      <c r="D1417" s="23">
        <v>6.17</v>
      </c>
      <c r="E1417" s="23" t="s">
        <v>4683</v>
      </c>
      <c r="F1417" s="23" t="s">
        <v>4682</v>
      </c>
      <c r="G1417" s="23" t="s">
        <v>4684</v>
      </c>
      <c r="H1417" s="23">
        <v>1</v>
      </c>
      <c r="I1417" s="23" t="s">
        <v>4682</v>
      </c>
      <c r="J1417" s="23" t="s">
        <v>4730</v>
      </c>
      <c r="K1417" s="23" t="s">
        <v>4736</v>
      </c>
      <c r="L1417">
        <v>1965</v>
      </c>
      <c r="M1417" s="15" t="s">
        <v>4700</v>
      </c>
      <c r="N1417">
        <v>10</v>
      </c>
      <c r="O1417">
        <v>0</v>
      </c>
      <c r="P1417" s="21">
        <f>DATEVALUE(N1417&amp;"-"&amp;M1417&amp;"-"&amp;L1417)</f>
        <v>24056</v>
      </c>
      <c r="Q1417" s="22">
        <v>11842.62</v>
      </c>
      <c r="R1417" s="23" t="s">
        <v>4698</v>
      </c>
      <c r="S1417" s="23" t="s">
        <v>4698</v>
      </c>
      <c r="T1417" s="23" t="s">
        <v>4704</v>
      </c>
      <c r="U1417" s="23">
        <f>DATEDIF(P1417, DATE(2023, 6, 8), "Y")</f>
        <v>57</v>
      </c>
      <c r="V1417">
        <f>SUM(C1417:K1417)</f>
        <v>36.770000000000003</v>
      </c>
    </row>
    <row r="1418" spans="1:22" ht="15.75">
      <c r="A1418" s="28" t="s">
        <v>2834</v>
      </c>
      <c r="B1418" s="28" t="s">
        <v>2835</v>
      </c>
      <c r="C1418" s="23">
        <v>39.43</v>
      </c>
      <c r="D1418" s="23">
        <v>6.1</v>
      </c>
      <c r="E1418" s="23" t="s">
        <v>4683</v>
      </c>
      <c r="F1418" s="23" t="s">
        <v>4682</v>
      </c>
      <c r="G1418" s="23" t="s">
        <v>4684</v>
      </c>
      <c r="H1418" s="23">
        <v>1</v>
      </c>
      <c r="I1418" s="23" t="s">
        <v>4682</v>
      </c>
      <c r="J1418" s="23" t="s">
        <v>4729</v>
      </c>
      <c r="K1418" s="23" t="s">
        <v>4736</v>
      </c>
      <c r="L1418">
        <v>1964</v>
      </c>
      <c r="M1418" s="15" t="s">
        <v>4702</v>
      </c>
      <c r="N1418">
        <v>27</v>
      </c>
      <c r="O1418">
        <v>0</v>
      </c>
      <c r="P1418" s="21">
        <f>DATEVALUE(N1418&amp;"-"&amp;M1418&amp;"-"&amp;L1418)</f>
        <v>23555</v>
      </c>
      <c r="Q1418" s="22">
        <v>11848.14</v>
      </c>
      <c r="R1418" s="23" t="s">
        <v>4698</v>
      </c>
      <c r="S1418" s="23" t="s">
        <v>4697</v>
      </c>
      <c r="T1418" s="23" t="s">
        <v>4708</v>
      </c>
      <c r="U1418" s="23">
        <f>DATEDIF(P1418, DATE(2023, 6, 8), "Y")</f>
        <v>58</v>
      </c>
      <c r="V1418">
        <f>SUM(C1418:K1418)</f>
        <v>46.53</v>
      </c>
    </row>
    <row r="1419" spans="1:22" ht="15.75">
      <c r="A1419" s="28" t="s">
        <v>2836</v>
      </c>
      <c r="B1419" s="28" t="s">
        <v>2837</v>
      </c>
      <c r="C1419" s="23">
        <v>27.34</v>
      </c>
      <c r="D1419" s="23">
        <v>5.19</v>
      </c>
      <c r="E1419" s="23" t="s">
        <v>4683</v>
      </c>
      <c r="F1419" s="23" t="s">
        <v>4682</v>
      </c>
      <c r="G1419" s="23" t="s">
        <v>4682</v>
      </c>
      <c r="H1419" s="23">
        <v>1</v>
      </c>
      <c r="I1419" s="23" t="s">
        <v>4682</v>
      </c>
      <c r="J1419" s="23" t="s">
        <v>4730</v>
      </c>
      <c r="K1419" s="23" t="s">
        <v>4737</v>
      </c>
      <c r="L1419">
        <v>1964</v>
      </c>
      <c r="M1419" s="15" t="s">
        <v>4703</v>
      </c>
      <c r="N1419">
        <v>29</v>
      </c>
      <c r="O1419">
        <v>0</v>
      </c>
      <c r="P1419" s="21">
        <f>DATEVALUE(N1419&amp;"-"&amp;M1419&amp;"-"&amp;L1419)</f>
        <v>23649</v>
      </c>
      <c r="Q1419" s="22">
        <v>11856.41</v>
      </c>
      <c r="R1419" s="23" t="s">
        <v>4698</v>
      </c>
      <c r="S1419" s="23" t="s">
        <v>4697</v>
      </c>
      <c r="T1419" s="23" t="s">
        <v>4699</v>
      </c>
      <c r="U1419" s="23">
        <f>DATEDIF(P1419, DATE(2023, 6, 8), "Y")</f>
        <v>58</v>
      </c>
      <c r="V1419">
        <f>SUM(C1419:K1419)</f>
        <v>33.53</v>
      </c>
    </row>
    <row r="1420" spans="1:22" ht="15.75">
      <c r="A1420" s="28" t="s">
        <v>2838</v>
      </c>
      <c r="B1420" s="28" t="s">
        <v>2839</v>
      </c>
      <c r="C1420" s="23">
        <v>39.01</v>
      </c>
      <c r="D1420" s="23">
        <v>5.37</v>
      </c>
      <c r="E1420" s="23" t="s">
        <v>4683</v>
      </c>
      <c r="F1420" s="23" t="s">
        <v>4682</v>
      </c>
      <c r="G1420" s="23" t="s">
        <v>4682</v>
      </c>
      <c r="H1420" s="23">
        <v>0</v>
      </c>
      <c r="I1420" s="23" t="s">
        <v>4682</v>
      </c>
      <c r="J1420" s="23" t="s">
        <v>4729</v>
      </c>
      <c r="K1420" s="23" t="s">
        <v>4737</v>
      </c>
      <c r="L1420">
        <v>1974</v>
      </c>
      <c r="M1420" s="15" t="s">
        <v>4696</v>
      </c>
      <c r="N1420">
        <v>7</v>
      </c>
      <c r="O1420">
        <v>0</v>
      </c>
      <c r="P1420" s="21">
        <f>DATEVALUE(N1420&amp;"-"&amp;M1420&amp;"-"&amp;L1420)</f>
        <v>27217</v>
      </c>
      <c r="Q1420" s="22">
        <v>11858.56</v>
      </c>
      <c r="R1420" s="23" t="s">
        <v>4698</v>
      </c>
      <c r="S1420" s="23" t="s">
        <v>4698</v>
      </c>
      <c r="T1420" s="23" t="s">
        <v>4708</v>
      </c>
      <c r="U1420" s="23">
        <f>DATEDIF(P1420, DATE(2023, 6, 8), "Y")</f>
        <v>48</v>
      </c>
      <c r="V1420">
        <f>SUM(C1420:K1420)</f>
        <v>44.379999999999995</v>
      </c>
    </row>
    <row r="1421" spans="1:22" ht="15.75">
      <c r="A1421" s="28" t="s">
        <v>2840</v>
      </c>
      <c r="B1421" s="28" t="s">
        <v>2841</v>
      </c>
      <c r="C1421" s="23">
        <v>18.989999999999998</v>
      </c>
      <c r="D1421" s="23">
        <v>10.82</v>
      </c>
      <c r="E1421" s="23" t="s">
        <v>4683</v>
      </c>
      <c r="F1421" s="23" t="s">
        <v>4682</v>
      </c>
      <c r="G1421" s="23" t="s">
        <v>4682</v>
      </c>
      <c r="H1421" s="23">
        <v>0</v>
      </c>
      <c r="I1421" s="23" t="s">
        <v>4682</v>
      </c>
      <c r="J1421" s="23" t="s">
        <v>4728</v>
      </c>
      <c r="K1421" s="23" t="s">
        <v>4735</v>
      </c>
      <c r="L1421">
        <v>1967</v>
      </c>
      <c r="M1421" s="15" t="s">
        <v>4706</v>
      </c>
      <c r="N1421">
        <v>24</v>
      </c>
      <c r="O1421">
        <v>1</v>
      </c>
      <c r="P1421" s="21">
        <f>DATEVALUE(N1421&amp;"-"&amp;M1421&amp;"-"&amp;L1421)</f>
        <v>24708</v>
      </c>
      <c r="Q1421" s="22">
        <v>11879.1</v>
      </c>
      <c r="R1421" s="23" t="s">
        <v>4698</v>
      </c>
      <c r="S1421" s="23" t="s">
        <v>4698</v>
      </c>
      <c r="T1421" s="23" t="s">
        <v>4714</v>
      </c>
      <c r="U1421" s="23">
        <f>DATEDIF(P1421, DATE(2023, 6, 8), "Y")</f>
        <v>55</v>
      </c>
      <c r="V1421">
        <f>SUM(C1421:K1421)</f>
        <v>29.81</v>
      </c>
    </row>
    <row r="1422" spans="1:22" ht="15.75">
      <c r="A1422" s="28" t="s">
        <v>2842</v>
      </c>
      <c r="B1422" s="28" t="s">
        <v>2843</v>
      </c>
      <c r="C1422" s="23">
        <v>42.3</v>
      </c>
      <c r="D1422" s="23">
        <v>6.06</v>
      </c>
      <c r="E1422" s="23" t="s">
        <v>4683</v>
      </c>
      <c r="F1422" s="23" t="s">
        <v>4682</v>
      </c>
      <c r="G1422" s="23" t="s">
        <v>4682</v>
      </c>
      <c r="H1422" s="23">
        <v>0</v>
      </c>
      <c r="I1422" s="23" t="s">
        <v>4682</v>
      </c>
      <c r="J1422" s="23" t="s">
        <v>4729</v>
      </c>
      <c r="K1422" s="23" t="s">
        <v>4736</v>
      </c>
      <c r="L1422">
        <v>1967</v>
      </c>
      <c r="M1422" s="15" t="s">
        <v>4696</v>
      </c>
      <c r="N1422">
        <v>14</v>
      </c>
      <c r="O1422">
        <v>2</v>
      </c>
      <c r="P1422" s="21">
        <f>DATEVALUE(N1422&amp;"-"&amp;M1422&amp;"-"&amp;L1422)</f>
        <v>24667</v>
      </c>
      <c r="Q1422" s="22">
        <v>11881.36</v>
      </c>
      <c r="R1422" s="23" t="s">
        <v>4698</v>
      </c>
      <c r="S1422" s="23" t="s">
        <v>4697</v>
      </c>
      <c r="T1422" s="23" t="s">
        <v>4708</v>
      </c>
      <c r="U1422" s="23">
        <f>DATEDIF(P1422, DATE(2023, 6, 8), "Y")</f>
        <v>55</v>
      </c>
      <c r="V1422">
        <f>SUM(C1422:K1422)</f>
        <v>48.36</v>
      </c>
    </row>
    <row r="1423" spans="1:22" ht="15.75">
      <c r="A1423" s="28" t="s">
        <v>2844</v>
      </c>
      <c r="B1423" s="28" t="s">
        <v>2845</v>
      </c>
      <c r="C1423" s="23">
        <v>39.805</v>
      </c>
      <c r="D1423" s="23">
        <v>5.91</v>
      </c>
      <c r="E1423" s="23" t="s">
        <v>4682</v>
      </c>
      <c r="F1423" s="23" t="s">
        <v>4682</v>
      </c>
      <c r="G1423" s="23" t="s">
        <v>4682</v>
      </c>
      <c r="H1423" s="23">
        <v>0</v>
      </c>
      <c r="I1423" s="23" t="s">
        <v>4682</v>
      </c>
      <c r="J1423" s="23" t="s">
        <v>4729</v>
      </c>
      <c r="K1423" s="23" t="s">
        <v>4736</v>
      </c>
      <c r="L1423">
        <v>1967</v>
      </c>
      <c r="M1423" s="15" t="s">
        <v>4707</v>
      </c>
      <c r="N1423">
        <v>29</v>
      </c>
      <c r="O1423">
        <v>2</v>
      </c>
      <c r="P1423" s="21">
        <f>DATEVALUE(N1423&amp;"-"&amp;M1423&amp;"-"&amp;L1423)</f>
        <v>24774</v>
      </c>
      <c r="Q1423" s="22">
        <v>11881.97</v>
      </c>
      <c r="R1423" s="23" t="s">
        <v>4698</v>
      </c>
      <c r="S1423" s="23" t="s">
        <v>4701</v>
      </c>
      <c r="T1423" s="23" t="s">
        <v>4699</v>
      </c>
      <c r="U1423" s="23">
        <f>DATEDIF(P1423, DATE(2023, 6, 8), "Y")</f>
        <v>55</v>
      </c>
      <c r="V1423">
        <f>SUM(C1423:K1423)</f>
        <v>45.715000000000003</v>
      </c>
    </row>
    <row r="1424" spans="1:22" ht="15.75">
      <c r="A1424" s="28" t="s">
        <v>2846</v>
      </c>
      <c r="B1424" s="28" t="s">
        <v>2847</v>
      </c>
      <c r="C1424" s="23">
        <v>33.700000000000003</v>
      </c>
      <c r="D1424" s="23">
        <v>5.87</v>
      </c>
      <c r="E1424" s="23" t="s">
        <v>4682</v>
      </c>
      <c r="F1424" s="23" t="s">
        <v>4682</v>
      </c>
      <c r="G1424" s="23" t="s">
        <v>4682</v>
      </c>
      <c r="H1424" s="23">
        <v>0</v>
      </c>
      <c r="I1424" s="23" t="s">
        <v>4682</v>
      </c>
      <c r="J1424" s="23" t="s">
        <v>4729</v>
      </c>
      <c r="K1424" s="23" t="s">
        <v>4736</v>
      </c>
      <c r="L1424">
        <v>2004</v>
      </c>
      <c r="M1424" s="15" t="s">
        <v>4702</v>
      </c>
      <c r="N1424">
        <v>2</v>
      </c>
      <c r="O1424">
        <v>2</v>
      </c>
      <c r="P1424" s="21">
        <f>DATEVALUE(N1424&amp;"-"&amp;M1424&amp;"-"&amp;L1424)</f>
        <v>38140</v>
      </c>
      <c r="Q1424" s="22">
        <v>11884.05</v>
      </c>
      <c r="R1424" s="23" t="s">
        <v>4698</v>
      </c>
      <c r="S1424" s="23" t="s">
        <v>4698</v>
      </c>
      <c r="T1424" s="23" t="s">
        <v>4699</v>
      </c>
      <c r="U1424" s="23">
        <f>DATEDIF(P1424, DATE(2023, 6, 8), "Y")</f>
        <v>19</v>
      </c>
      <c r="V1424">
        <f>SUM(C1424:K1424)</f>
        <v>39.57</v>
      </c>
    </row>
    <row r="1425" spans="1:22" ht="15.75">
      <c r="A1425" s="28" t="s">
        <v>2848</v>
      </c>
      <c r="B1425" s="28" t="s">
        <v>2849</v>
      </c>
      <c r="C1425" s="23">
        <v>36.195</v>
      </c>
      <c r="D1425" s="23">
        <v>6.22</v>
      </c>
      <c r="E1425" s="23" t="s">
        <v>4682</v>
      </c>
      <c r="F1425" s="23" t="s">
        <v>4682</v>
      </c>
      <c r="G1425" s="23" t="s">
        <v>4682</v>
      </c>
      <c r="H1425" s="23">
        <v>0</v>
      </c>
      <c r="I1425" s="23" t="s">
        <v>4682</v>
      </c>
      <c r="J1425" s="23" t="s">
        <v>4729</v>
      </c>
      <c r="K1425" s="23" t="s">
        <v>4736</v>
      </c>
      <c r="L1425">
        <v>1964</v>
      </c>
      <c r="M1425" s="15" t="s">
        <v>4700</v>
      </c>
      <c r="N1425">
        <v>19</v>
      </c>
      <c r="O1425">
        <v>0</v>
      </c>
      <c r="P1425" s="21">
        <f>DATEVALUE(N1425&amp;"-"&amp;M1425&amp;"-"&amp;L1425)</f>
        <v>23700</v>
      </c>
      <c r="Q1425" s="22">
        <v>11918.2</v>
      </c>
      <c r="R1425" s="23" t="s">
        <v>4698</v>
      </c>
      <c r="S1425" s="23" t="s">
        <v>4701</v>
      </c>
      <c r="T1425" s="23" t="s">
        <v>4717</v>
      </c>
      <c r="U1425" s="23">
        <f>DATEDIF(P1425, DATE(2023, 6, 8), "Y")</f>
        <v>58</v>
      </c>
      <c r="V1425">
        <f>SUM(C1425:K1425)</f>
        <v>42.414999999999999</v>
      </c>
    </row>
    <row r="1426" spans="1:22" ht="15.75">
      <c r="A1426" s="28" t="s">
        <v>2850</v>
      </c>
      <c r="B1426" s="28" t="s">
        <v>2851</v>
      </c>
      <c r="C1426" s="23">
        <v>32.6</v>
      </c>
      <c r="D1426" s="23">
        <v>5.73</v>
      </c>
      <c r="E1426" s="23" t="s">
        <v>4682</v>
      </c>
      <c r="F1426" s="23" t="s">
        <v>4682</v>
      </c>
      <c r="G1426" s="23" t="s">
        <v>4684</v>
      </c>
      <c r="H1426" s="23">
        <v>1</v>
      </c>
      <c r="I1426" s="23" t="s">
        <v>4682</v>
      </c>
      <c r="J1426" s="23" t="s">
        <v>4729</v>
      </c>
      <c r="K1426" s="23" t="s">
        <v>4736</v>
      </c>
      <c r="L1426">
        <v>1964</v>
      </c>
      <c r="M1426" s="15" t="s">
        <v>4705</v>
      </c>
      <c r="N1426">
        <v>20</v>
      </c>
      <c r="O1426">
        <v>0</v>
      </c>
      <c r="P1426" s="21">
        <f>DATEVALUE(N1426&amp;"-"&amp;M1426&amp;"-"&amp;L1426)</f>
        <v>23731</v>
      </c>
      <c r="Q1426" s="22">
        <v>11931.13</v>
      </c>
      <c r="R1426" s="23" t="s">
        <v>4698</v>
      </c>
      <c r="S1426" s="23" t="s">
        <v>4701</v>
      </c>
      <c r="T1426" s="23" t="s">
        <v>4710</v>
      </c>
      <c r="U1426" s="23">
        <f>DATEDIF(P1426, DATE(2023, 6, 8), "Y")</f>
        <v>58</v>
      </c>
      <c r="V1426">
        <f>SUM(C1426:K1426)</f>
        <v>39.33</v>
      </c>
    </row>
    <row r="1427" spans="1:22" ht="15.75">
      <c r="A1427" s="28" t="s">
        <v>2852</v>
      </c>
      <c r="B1427" s="28" t="s">
        <v>2853</v>
      </c>
      <c r="C1427" s="23">
        <v>30.2</v>
      </c>
      <c r="D1427" s="23">
        <v>5.7</v>
      </c>
      <c r="E1427" s="23" t="s">
        <v>4682</v>
      </c>
      <c r="F1427" s="23" t="s">
        <v>4682</v>
      </c>
      <c r="G1427" s="23" t="s">
        <v>4682</v>
      </c>
      <c r="H1427" s="23">
        <v>0</v>
      </c>
      <c r="I1427" s="23" t="s">
        <v>4682</v>
      </c>
      <c r="J1427" s="23" t="s">
        <v>4729</v>
      </c>
      <c r="K1427" s="23" t="s">
        <v>4736</v>
      </c>
      <c r="L1427">
        <v>1964</v>
      </c>
      <c r="M1427" s="15" t="s">
        <v>4706</v>
      </c>
      <c r="N1427">
        <v>2</v>
      </c>
      <c r="O1427">
        <v>0</v>
      </c>
      <c r="P1427" s="21">
        <f>DATEVALUE(N1427&amp;"-"&amp;M1427&amp;"-"&amp;L1427)</f>
        <v>23591</v>
      </c>
      <c r="Q1427" s="22">
        <v>11938.26</v>
      </c>
      <c r="R1427" s="23" t="s">
        <v>4698</v>
      </c>
      <c r="S1427" s="23" t="s">
        <v>4698</v>
      </c>
      <c r="T1427" s="23" t="s">
        <v>4710</v>
      </c>
      <c r="U1427" s="23">
        <f>DATEDIF(P1427, DATE(2023, 6, 8), "Y")</f>
        <v>58</v>
      </c>
      <c r="V1427">
        <f>SUM(C1427:K1427)</f>
        <v>35.9</v>
      </c>
    </row>
    <row r="1428" spans="1:22" ht="15.75">
      <c r="A1428" s="28" t="s">
        <v>2854</v>
      </c>
      <c r="B1428" s="28" t="s">
        <v>2855</v>
      </c>
      <c r="C1428" s="23">
        <v>27.645</v>
      </c>
      <c r="D1428" s="23">
        <v>9.91</v>
      </c>
      <c r="E1428" s="23" t="s">
        <v>4682</v>
      </c>
      <c r="F1428" s="23" t="s">
        <v>4682</v>
      </c>
      <c r="G1428" s="23" t="s">
        <v>4682</v>
      </c>
      <c r="H1428" s="23">
        <v>0</v>
      </c>
      <c r="I1428" s="23" t="s">
        <v>4682</v>
      </c>
      <c r="J1428" s="23" t="s">
        <v>4730</v>
      </c>
      <c r="K1428" s="23" t="s">
        <v>4735</v>
      </c>
      <c r="L1428">
        <v>1991</v>
      </c>
      <c r="M1428" s="15" t="s">
        <v>4707</v>
      </c>
      <c r="N1428">
        <v>19</v>
      </c>
      <c r="O1428">
        <v>3</v>
      </c>
      <c r="P1428" s="21">
        <f>DATEVALUE(N1428&amp;"-"&amp;M1428&amp;"-"&amp;L1428)</f>
        <v>33530</v>
      </c>
      <c r="Q1428" s="22">
        <v>11941.83</v>
      </c>
      <c r="R1428" s="23" t="s">
        <v>4698</v>
      </c>
      <c r="S1428" s="23" t="s">
        <v>4701</v>
      </c>
      <c r="T1428" s="23" t="s">
        <v>4715</v>
      </c>
      <c r="U1428" s="23">
        <f>DATEDIF(P1428, DATE(2023, 6, 8), "Y")</f>
        <v>31</v>
      </c>
      <c r="V1428">
        <f>SUM(C1428:K1428)</f>
        <v>37.555</v>
      </c>
    </row>
    <row r="1429" spans="1:22" ht="15.75">
      <c r="A1429" s="28" t="s">
        <v>2856</v>
      </c>
      <c r="B1429" s="28" t="s">
        <v>2857</v>
      </c>
      <c r="C1429" s="23">
        <v>26.41</v>
      </c>
      <c r="D1429" s="23">
        <v>11.4</v>
      </c>
      <c r="E1429" s="23" t="s">
        <v>4682</v>
      </c>
      <c r="F1429" s="23" t="s">
        <v>4682</v>
      </c>
      <c r="G1429" s="23" t="s">
        <v>4682</v>
      </c>
      <c r="H1429" s="23">
        <v>0</v>
      </c>
      <c r="I1429" s="23" t="s">
        <v>4682</v>
      </c>
      <c r="J1429" s="23" t="s">
        <v>4730</v>
      </c>
      <c r="K1429" s="23" t="s">
        <v>4735</v>
      </c>
      <c r="L1429">
        <v>1964</v>
      </c>
      <c r="M1429" s="15" t="s">
        <v>4705</v>
      </c>
      <c r="N1429">
        <v>25</v>
      </c>
      <c r="O1429">
        <v>0</v>
      </c>
      <c r="P1429" s="21">
        <f>DATEVALUE(N1429&amp;"-"&amp;M1429&amp;"-"&amp;L1429)</f>
        <v>23736</v>
      </c>
      <c r="Q1429" s="22">
        <v>11944.59</v>
      </c>
      <c r="R1429" s="23" t="s">
        <v>4698</v>
      </c>
      <c r="S1429" s="23" t="s">
        <v>4697</v>
      </c>
      <c r="T1429" s="23" t="s">
        <v>4711</v>
      </c>
      <c r="U1429" s="23">
        <f>DATEDIF(P1429, DATE(2023, 6, 8), "Y")</f>
        <v>58</v>
      </c>
      <c r="V1429">
        <f>SUM(C1429:K1429)</f>
        <v>37.81</v>
      </c>
    </row>
    <row r="1430" spans="1:22" ht="15.75">
      <c r="A1430" s="28" t="s">
        <v>2858</v>
      </c>
      <c r="B1430" s="28" t="s">
        <v>2859</v>
      </c>
      <c r="C1430" s="23">
        <v>34.1</v>
      </c>
      <c r="D1430" s="23">
        <v>6.29</v>
      </c>
      <c r="E1430" s="23" t="s">
        <v>4683</v>
      </c>
      <c r="F1430" s="23" t="s">
        <v>4682</v>
      </c>
      <c r="G1430" s="23" t="s">
        <v>4684</v>
      </c>
      <c r="H1430" s="23">
        <v>1</v>
      </c>
      <c r="I1430" s="23" t="s">
        <v>4682</v>
      </c>
      <c r="J1430" s="23" t="s">
        <v>4729</v>
      </c>
      <c r="K1430" s="23" t="s">
        <v>4736</v>
      </c>
      <c r="L1430">
        <v>1965</v>
      </c>
      <c r="M1430" s="15" t="s">
        <v>4700</v>
      </c>
      <c r="N1430">
        <v>1</v>
      </c>
      <c r="O1430">
        <v>1</v>
      </c>
      <c r="P1430" s="21">
        <f>DATEVALUE(N1430&amp;"-"&amp;M1430&amp;"-"&amp;L1430)</f>
        <v>24047</v>
      </c>
      <c r="Q1430" s="22">
        <v>11945.13</v>
      </c>
      <c r="R1430" s="23" t="s">
        <v>4698</v>
      </c>
      <c r="S1430" s="23" t="s">
        <v>4697</v>
      </c>
      <c r="T1430" s="23" t="s">
        <v>4704</v>
      </c>
      <c r="U1430" s="23">
        <f>DATEDIF(P1430, DATE(2023, 6, 8), "Y")</f>
        <v>57</v>
      </c>
      <c r="V1430">
        <f>SUM(C1430:K1430)</f>
        <v>41.39</v>
      </c>
    </row>
    <row r="1431" spans="1:22" ht="15.75">
      <c r="A1431" s="28" t="s">
        <v>2860</v>
      </c>
      <c r="B1431" s="28" t="s">
        <v>2861</v>
      </c>
      <c r="C1431" s="23">
        <v>17.3</v>
      </c>
      <c r="D1431" s="23">
        <v>9.2799999999999994</v>
      </c>
      <c r="E1431" s="23" t="s">
        <v>4682</v>
      </c>
      <c r="F1431" s="23" t="s">
        <v>4682</v>
      </c>
      <c r="G1431" s="23" t="s">
        <v>4682</v>
      </c>
      <c r="H1431" s="23">
        <v>0</v>
      </c>
      <c r="I1431" s="23" t="s">
        <v>4682</v>
      </c>
      <c r="J1431" s="23" t="s">
        <v>4731</v>
      </c>
      <c r="K1431" s="23" t="s">
        <v>4735</v>
      </c>
      <c r="L1431">
        <v>1964</v>
      </c>
      <c r="M1431" s="15" t="s">
        <v>4703</v>
      </c>
      <c r="N1431">
        <v>29</v>
      </c>
      <c r="O1431">
        <v>1</v>
      </c>
      <c r="P1431" s="21">
        <f>DATEVALUE(N1431&amp;"-"&amp;M1431&amp;"-"&amp;L1431)</f>
        <v>23649</v>
      </c>
      <c r="Q1431" s="22">
        <v>11946.63</v>
      </c>
      <c r="R1431" s="23" t="s">
        <v>4698</v>
      </c>
      <c r="S1431" s="23" t="s">
        <v>4697</v>
      </c>
      <c r="T1431" s="23" t="s">
        <v>4699</v>
      </c>
      <c r="U1431" s="23">
        <f>DATEDIF(P1431, DATE(2023, 6, 8), "Y")</f>
        <v>58</v>
      </c>
      <c r="V1431">
        <f>SUM(C1431:K1431)</f>
        <v>26.58</v>
      </c>
    </row>
    <row r="1432" spans="1:22" ht="15.75">
      <c r="A1432" s="28" t="s">
        <v>2862</v>
      </c>
      <c r="B1432" s="28" t="s">
        <v>2863</v>
      </c>
      <c r="C1432" s="23">
        <v>35.020000000000003</v>
      </c>
      <c r="D1432" s="23">
        <v>4.78</v>
      </c>
      <c r="E1432" s="23" t="s">
        <v>4682</v>
      </c>
      <c r="F1432" s="23" t="s">
        <v>4682</v>
      </c>
      <c r="G1432" s="23" t="s">
        <v>4684</v>
      </c>
      <c r="H1432" s="23">
        <v>1</v>
      </c>
      <c r="I1432" s="23" t="s">
        <v>4682</v>
      </c>
      <c r="J1432" s="23" t="s">
        <v>4729</v>
      </c>
      <c r="K1432" s="23" t="s">
        <v>4737</v>
      </c>
      <c r="L1432">
        <v>1967</v>
      </c>
      <c r="M1432" s="15" t="s">
        <v>4705</v>
      </c>
      <c r="N1432">
        <v>22</v>
      </c>
      <c r="O1432">
        <v>3</v>
      </c>
      <c r="P1432" s="21">
        <f>DATEVALUE(N1432&amp;"-"&amp;M1432&amp;"-"&amp;L1432)</f>
        <v>24828</v>
      </c>
      <c r="Q1432" s="22">
        <v>11987.17</v>
      </c>
      <c r="R1432" s="23" t="s">
        <v>4698</v>
      </c>
      <c r="S1432" s="23" t="s">
        <v>4698</v>
      </c>
      <c r="T1432" s="23" t="s">
        <v>4699</v>
      </c>
      <c r="U1432" s="23">
        <f>DATEDIF(P1432, DATE(2023, 6, 8), "Y")</f>
        <v>55</v>
      </c>
      <c r="V1432">
        <f>SUM(C1432:K1432)</f>
        <v>40.800000000000004</v>
      </c>
    </row>
    <row r="1433" spans="1:22" ht="15.75">
      <c r="A1433" s="28" t="s">
        <v>2864</v>
      </c>
      <c r="B1433" s="28" t="s">
        <v>2865</v>
      </c>
      <c r="C1433" s="23">
        <v>37.1</v>
      </c>
      <c r="D1433" s="23">
        <v>8.8699999999999992</v>
      </c>
      <c r="E1433" s="23" t="s">
        <v>4683</v>
      </c>
      <c r="F1433" s="23" t="s">
        <v>4682</v>
      </c>
      <c r="G1433" s="23" t="s">
        <v>4682</v>
      </c>
      <c r="H1433" s="23">
        <v>0</v>
      </c>
      <c r="I1433" s="23" t="s">
        <v>4682</v>
      </c>
      <c r="J1433" s="23" t="s">
        <v>4729</v>
      </c>
      <c r="K1433" s="23" t="s">
        <v>4735</v>
      </c>
      <c r="L1433">
        <v>1983</v>
      </c>
      <c r="M1433" s="15" t="s">
        <v>4696</v>
      </c>
      <c r="N1433">
        <v>4</v>
      </c>
      <c r="O1433">
        <v>3</v>
      </c>
      <c r="P1433" s="21">
        <f>DATEVALUE(N1433&amp;"-"&amp;M1433&amp;"-"&amp;L1433)</f>
        <v>30501</v>
      </c>
      <c r="Q1433" s="22">
        <v>11987.68</v>
      </c>
      <c r="R1433" s="23" t="s">
        <v>4698</v>
      </c>
      <c r="S1433" s="23" t="s">
        <v>4697</v>
      </c>
      <c r="T1433" s="23" t="s">
        <v>4720</v>
      </c>
      <c r="U1433" s="23">
        <f>DATEDIF(P1433, DATE(2023, 6, 8), "Y")</f>
        <v>39</v>
      </c>
      <c r="V1433">
        <f>SUM(C1433:K1433)</f>
        <v>45.97</v>
      </c>
    </row>
    <row r="1434" spans="1:22" ht="15.75">
      <c r="A1434" s="28" t="s">
        <v>2866</v>
      </c>
      <c r="B1434" s="28" t="s">
        <v>2867</v>
      </c>
      <c r="C1434" s="23">
        <v>16.79</v>
      </c>
      <c r="D1434" s="23">
        <v>11.4</v>
      </c>
      <c r="E1434" s="23" t="s">
        <v>4682</v>
      </c>
      <c r="F1434" s="23" t="s">
        <v>4682</v>
      </c>
      <c r="G1434" s="23" t="s">
        <v>4682</v>
      </c>
      <c r="H1434" s="23">
        <v>0</v>
      </c>
      <c r="I1434" s="23" t="s">
        <v>4682</v>
      </c>
      <c r="J1434" s="23" t="s">
        <v>4731</v>
      </c>
      <c r="K1434" s="23" t="s">
        <v>4735</v>
      </c>
      <c r="L1434">
        <v>1993</v>
      </c>
      <c r="M1434" s="15" t="s">
        <v>4705</v>
      </c>
      <c r="N1434">
        <v>12</v>
      </c>
      <c r="O1434">
        <v>0</v>
      </c>
      <c r="P1434" s="21">
        <f>DATEVALUE(N1434&amp;"-"&amp;M1434&amp;"-"&amp;L1434)</f>
        <v>34315</v>
      </c>
      <c r="Q1434" s="22">
        <v>11994.89</v>
      </c>
      <c r="R1434" s="23" t="s">
        <v>4698</v>
      </c>
      <c r="S1434" s="23" t="s">
        <v>4697</v>
      </c>
      <c r="T1434" s="23" t="s">
        <v>4704</v>
      </c>
      <c r="U1434" s="23">
        <f>DATEDIF(P1434, DATE(2023, 6, 8), "Y")</f>
        <v>29</v>
      </c>
      <c r="V1434">
        <f>SUM(C1434:K1434)</f>
        <v>28.189999999999998</v>
      </c>
    </row>
    <row r="1435" spans="1:22" ht="15.75">
      <c r="A1435" s="28" t="s">
        <v>2868</v>
      </c>
      <c r="B1435" s="28" t="s">
        <v>2869</v>
      </c>
      <c r="C1435" s="23">
        <v>31.635000000000002</v>
      </c>
      <c r="D1435" s="23">
        <v>9.1300000000000008</v>
      </c>
      <c r="E1435" s="23" t="s">
        <v>4683</v>
      </c>
      <c r="F1435" s="23" t="s">
        <v>4682</v>
      </c>
      <c r="G1435" s="23" t="s">
        <v>4682</v>
      </c>
      <c r="H1435" s="23">
        <v>0</v>
      </c>
      <c r="I1435" s="23" t="s">
        <v>4682</v>
      </c>
      <c r="J1435" s="23" t="s">
        <v>4729</v>
      </c>
      <c r="K1435" s="23" t="s">
        <v>4735</v>
      </c>
      <c r="L1435">
        <v>1982</v>
      </c>
      <c r="M1435" s="15" t="s">
        <v>4707</v>
      </c>
      <c r="N1435">
        <v>17</v>
      </c>
      <c r="O1435">
        <v>3</v>
      </c>
      <c r="P1435" s="21">
        <f>DATEVALUE(N1435&amp;"-"&amp;M1435&amp;"-"&amp;L1435)</f>
        <v>30241</v>
      </c>
      <c r="Q1435" s="22">
        <v>12001.29</v>
      </c>
      <c r="R1435" s="23" t="s">
        <v>4698</v>
      </c>
      <c r="S1435" s="23" t="s">
        <v>4698</v>
      </c>
      <c r="T1435" s="23" t="s">
        <v>4717</v>
      </c>
      <c r="U1435" s="23">
        <f>DATEDIF(P1435, DATE(2023, 6, 8), "Y")</f>
        <v>40</v>
      </c>
      <c r="V1435">
        <f>SUM(C1435:K1435)</f>
        <v>40.765000000000001</v>
      </c>
    </row>
    <row r="1436" spans="1:22" ht="15.75">
      <c r="A1436" s="28" t="s">
        <v>2870</v>
      </c>
      <c r="B1436" s="28" t="s">
        <v>2871</v>
      </c>
      <c r="C1436" s="23">
        <v>24.19</v>
      </c>
      <c r="D1436" s="23">
        <v>6.22</v>
      </c>
      <c r="E1436" s="23" t="s">
        <v>4683</v>
      </c>
      <c r="F1436" s="23" t="s">
        <v>4682</v>
      </c>
      <c r="G1436" s="23" t="s">
        <v>4684</v>
      </c>
      <c r="H1436" s="23">
        <v>1</v>
      </c>
      <c r="I1436" s="23" t="s">
        <v>4682</v>
      </c>
      <c r="J1436" s="23" t="s">
        <v>4728</v>
      </c>
      <c r="K1436" s="23" t="s">
        <v>4736</v>
      </c>
      <c r="L1436">
        <v>1965</v>
      </c>
      <c r="M1436" s="15" t="s">
        <v>4702</v>
      </c>
      <c r="N1436">
        <v>9</v>
      </c>
      <c r="O1436">
        <v>0</v>
      </c>
      <c r="P1436" s="21">
        <f>DATEVALUE(N1436&amp;"-"&amp;M1436&amp;"-"&amp;L1436)</f>
        <v>23902</v>
      </c>
      <c r="Q1436" s="22">
        <v>12029.29</v>
      </c>
      <c r="R1436" s="23" t="s">
        <v>4698</v>
      </c>
      <c r="S1436" s="23" t="s">
        <v>4697</v>
      </c>
      <c r="T1436" s="23" t="s">
        <v>4714</v>
      </c>
      <c r="U1436" s="23">
        <f>DATEDIF(P1436, DATE(2023, 6, 8), "Y")</f>
        <v>57</v>
      </c>
      <c r="V1436">
        <f>SUM(C1436:K1436)</f>
        <v>31.41</v>
      </c>
    </row>
    <row r="1437" spans="1:22" ht="15.75">
      <c r="A1437" s="28" t="s">
        <v>2872</v>
      </c>
      <c r="B1437" s="28" t="s">
        <v>2873</v>
      </c>
      <c r="C1437" s="23">
        <v>35.29</v>
      </c>
      <c r="D1437" s="23">
        <v>5.9</v>
      </c>
      <c r="E1437" s="23" t="s">
        <v>4682</v>
      </c>
      <c r="F1437" s="23" t="s">
        <v>4682</v>
      </c>
      <c r="G1437" s="23" t="s">
        <v>4684</v>
      </c>
      <c r="H1437" s="23">
        <v>1</v>
      </c>
      <c r="I1437" s="23" t="s">
        <v>4682</v>
      </c>
      <c r="J1437" s="23" t="s">
        <v>4729</v>
      </c>
      <c r="K1437" s="23" t="s">
        <v>4736</v>
      </c>
      <c r="L1437">
        <v>1965</v>
      </c>
      <c r="M1437" s="15" t="s">
        <v>4707</v>
      </c>
      <c r="N1437">
        <v>29</v>
      </c>
      <c r="O1437">
        <v>1</v>
      </c>
      <c r="P1437" s="21">
        <f>DATEVALUE(N1437&amp;"-"&amp;M1437&amp;"-"&amp;L1437)</f>
        <v>24044</v>
      </c>
      <c r="Q1437" s="22">
        <v>12032.33</v>
      </c>
      <c r="R1437" s="23" t="s">
        <v>4698</v>
      </c>
      <c r="S1437" s="23" t="s">
        <v>4701</v>
      </c>
      <c r="T1437" s="23" t="s">
        <v>4708</v>
      </c>
      <c r="U1437" s="23">
        <f>DATEDIF(P1437, DATE(2023, 6, 8), "Y")</f>
        <v>57</v>
      </c>
      <c r="V1437">
        <f>SUM(C1437:K1437)</f>
        <v>42.19</v>
      </c>
    </row>
    <row r="1438" spans="1:22" ht="15.75">
      <c r="A1438" s="28" t="s">
        <v>2874</v>
      </c>
      <c r="B1438" s="28" t="s">
        <v>2875</v>
      </c>
      <c r="C1438" s="23">
        <v>35.299999999999997</v>
      </c>
      <c r="D1438" s="23">
        <v>4.45</v>
      </c>
      <c r="E1438" s="23" t="s">
        <v>4682</v>
      </c>
      <c r="F1438" s="23" t="s">
        <v>4682</v>
      </c>
      <c r="G1438" s="23" t="s">
        <v>4682</v>
      </c>
      <c r="H1438" s="23">
        <v>0</v>
      </c>
      <c r="I1438" s="23" t="s">
        <v>4682</v>
      </c>
      <c r="J1438" s="23" t="s">
        <v>4729</v>
      </c>
      <c r="K1438" s="23" t="s">
        <v>4737</v>
      </c>
      <c r="L1438">
        <v>1979</v>
      </c>
      <c r="M1438" s="15" t="s">
        <v>4707</v>
      </c>
      <c r="N1438">
        <v>16</v>
      </c>
      <c r="O1438">
        <v>2</v>
      </c>
      <c r="P1438" s="21">
        <f>DATEVALUE(N1438&amp;"-"&amp;M1438&amp;"-"&amp;L1438)</f>
        <v>29144</v>
      </c>
      <c r="Q1438" s="22">
        <v>12035.18</v>
      </c>
      <c r="R1438" s="23" t="s">
        <v>4698</v>
      </c>
      <c r="S1438" s="23" t="s">
        <v>4698</v>
      </c>
      <c r="T1438" s="23" t="s">
        <v>4717</v>
      </c>
      <c r="U1438" s="23">
        <f>DATEDIF(P1438, DATE(2023, 6, 8), "Y")</f>
        <v>43</v>
      </c>
      <c r="V1438">
        <f>SUM(C1438:K1438)</f>
        <v>39.75</v>
      </c>
    </row>
    <row r="1439" spans="1:22" ht="15.75">
      <c r="A1439" s="28" t="s">
        <v>2876</v>
      </c>
      <c r="B1439" s="28" t="s">
        <v>2877</v>
      </c>
      <c r="C1439" s="23">
        <v>35.64</v>
      </c>
      <c r="D1439" s="23">
        <v>6.17</v>
      </c>
      <c r="E1439" s="23" t="s">
        <v>4682</v>
      </c>
      <c r="F1439" s="23" t="s">
        <v>4682</v>
      </c>
      <c r="G1439" s="23" t="s">
        <v>4684</v>
      </c>
      <c r="H1439" s="23">
        <v>1</v>
      </c>
      <c r="I1439" s="23" t="s">
        <v>4682</v>
      </c>
      <c r="J1439" s="23" t="s">
        <v>4729</v>
      </c>
      <c r="K1439" s="23" t="s">
        <v>4736</v>
      </c>
      <c r="L1439">
        <v>1966</v>
      </c>
      <c r="M1439" s="15" t="s">
        <v>4700</v>
      </c>
      <c r="N1439">
        <v>24</v>
      </c>
      <c r="O1439">
        <v>1</v>
      </c>
      <c r="P1439" s="21">
        <f>DATEVALUE(N1439&amp;"-"&amp;M1439&amp;"-"&amp;L1439)</f>
        <v>24435</v>
      </c>
      <c r="Q1439" s="22">
        <v>12044.34</v>
      </c>
      <c r="R1439" s="23" t="s">
        <v>4698</v>
      </c>
      <c r="S1439" s="23" t="s">
        <v>4701</v>
      </c>
      <c r="T1439" s="23" t="s">
        <v>4704</v>
      </c>
      <c r="U1439" s="23">
        <f>DATEDIF(P1439, DATE(2023, 6, 8), "Y")</f>
        <v>56</v>
      </c>
      <c r="V1439">
        <f>SUM(C1439:K1439)</f>
        <v>42.81</v>
      </c>
    </row>
    <row r="1440" spans="1:22" ht="15.75">
      <c r="A1440" s="28" t="s">
        <v>2878</v>
      </c>
      <c r="B1440" s="28" t="s">
        <v>2879</v>
      </c>
      <c r="C1440" s="23">
        <v>33.1</v>
      </c>
      <c r="D1440" s="23">
        <v>4.93</v>
      </c>
      <c r="E1440" s="23" t="s">
        <v>4682</v>
      </c>
      <c r="F1440" s="23" t="s">
        <v>4682</v>
      </c>
      <c r="G1440" s="23" t="s">
        <v>4682</v>
      </c>
      <c r="H1440" s="23">
        <v>0</v>
      </c>
      <c r="I1440" s="23" t="s">
        <v>4682</v>
      </c>
      <c r="J1440" s="23" t="s">
        <v>4729</v>
      </c>
      <c r="K1440" s="23" t="s">
        <v>4737</v>
      </c>
      <c r="L1440">
        <v>1986</v>
      </c>
      <c r="M1440" s="15" t="s">
        <v>4703</v>
      </c>
      <c r="N1440">
        <v>7</v>
      </c>
      <c r="O1440">
        <v>3</v>
      </c>
      <c r="P1440" s="21">
        <f>DATEVALUE(N1440&amp;"-"&amp;M1440&amp;"-"&amp;L1440)</f>
        <v>31662</v>
      </c>
      <c r="Q1440" s="22">
        <v>12048.13</v>
      </c>
      <c r="R1440" s="23" t="s">
        <v>4698</v>
      </c>
      <c r="S1440" s="23" t="s">
        <v>4697</v>
      </c>
      <c r="T1440" s="23" t="s">
        <v>4720</v>
      </c>
      <c r="U1440" s="23">
        <f>DATEDIF(P1440, DATE(2023, 6, 8), "Y")</f>
        <v>36</v>
      </c>
      <c r="V1440">
        <f>SUM(C1440:K1440)</f>
        <v>38.03</v>
      </c>
    </row>
    <row r="1441" spans="1:22" ht="15.75">
      <c r="A1441" s="28" t="s">
        <v>2880</v>
      </c>
      <c r="B1441" s="28" t="s">
        <v>2881</v>
      </c>
      <c r="C1441" s="23">
        <v>26.41</v>
      </c>
      <c r="D1441" s="23">
        <v>7.32</v>
      </c>
      <c r="E1441" s="23" t="s">
        <v>4683</v>
      </c>
      <c r="F1441" s="23" t="s">
        <v>4682</v>
      </c>
      <c r="G1441" s="23" t="s">
        <v>4682</v>
      </c>
      <c r="H1441" s="23">
        <v>1</v>
      </c>
      <c r="I1441" s="23" t="s">
        <v>4682</v>
      </c>
      <c r="J1441" s="23" t="s">
        <v>4730</v>
      </c>
      <c r="K1441" s="23" t="s">
        <v>4735</v>
      </c>
      <c r="L1441">
        <v>1984</v>
      </c>
      <c r="M1441" s="15" t="s">
        <v>4703</v>
      </c>
      <c r="N1441">
        <v>2</v>
      </c>
      <c r="O1441">
        <v>3</v>
      </c>
      <c r="P1441" s="21">
        <f>DATEVALUE(N1441&amp;"-"&amp;M1441&amp;"-"&amp;L1441)</f>
        <v>30927</v>
      </c>
      <c r="Q1441" s="22">
        <v>12091.34</v>
      </c>
      <c r="R1441" s="23" t="s">
        <v>4698</v>
      </c>
      <c r="S1441" s="23" t="s">
        <v>4697</v>
      </c>
      <c r="T1441" s="23" t="s">
        <v>4721</v>
      </c>
      <c r="U1441" s="23">
        <f>DATEDIF(P1441, DATE(2023, 6, 8), "Y")</f>
        <v>38</v>
      </c>
      <c r="V1441">
        <f>SUM(C1441:K1441)</f>
        <v>34.730000000000004</v>
      </c>
    </row>
    <row r="1442" spans="1:22" ht="15.75">
      <c r="A1442" s="28" t="s">
        <v>2882</v>
      </c>
      <c r="B1442" s="28" t="s">
        <v>2883</v>
      </c>
      <c r="C1442" s="23">
        <v>29.9</v>
      </c>
      <c r="D1442" s="23">
        <v>5.27</v>
      </c>
      <c r="E1442" s="23" t="s">
        <v>4682</v>
      </c>
      <c r="F1442" s="23" t="s">
        <v>4682</v>
      </c>
      <c r="G1442" s="23" t="s">
        <v>4684</v>
      </c>
      <c r="H1442" s="23">
        <v>1</v>
      </c>
      <c r="I1442" s="23" t="s">
        <v>4682</v>
      </c>
      <c r="J1442" s="23" t="s">
        <v>4730</v>
      </c>
      <c r="K1442" s="23" t="s">
        <v>4737</v>
      </c>
      <c r="L1442">
        <v>1968</v>
      </c>
      <c r="M1442" s="15" t="s">
        <v>4702</v>
      </c>
      <c r="N1442">
        <v>21</v>
      </c>
      <c r="O1442">
        <v>3</v>
      </c>
      <c r="P1442" s="21">
        <f>DATEVALUE(N1442&amp;"-"&amp;M1442&amp;"-"&amp;L1442)</f>
        <v>25010</v>
      </c>
      <c r="Q1442" s="22">
        <v>12094.48</v>
      </c>
      <c r="R1442" s="23" t="s">
        <v>4698</v>
      </c>
      <c r="S1442" s="23" t="s">
        <v>4698</v>
      </c>
      <c r="T1442" s="23" t="s">
        <v>4708</v>
      </c>
      <c r="U1442" s="23">
        <f>DATEDIF(P1442, DATE(2023, 6, 8), "Y")</f>
        <v>54</v>
      </c>
      <c r="V1442">
        <f>SUM(C1442:K1442)</f>
        <v>36.17</v>
      </c>
    </row>
    <row r="1443" spans="1:22" ht="15.75">
      <c r="A1443" s="28" t="s">
        <v>2884</v>
      </c>
      <c r="B1443" s="28" t="s">
        <v>2885</v>
      </c>
      <c r="C1443" s="23">
        <v>25.24</v>
      </c>
      <c r="D1443" s="23">
        <v>5.82</v>
      </c>
      <c r="E1443" s="23" t="s">
        <v>4682</v>
      </c>
      <c r="F1443" s="23" t="s">
        <v>4682</v>
      </c>
      <c r="G1443" s="23" t="s">
        <v>4682</v>
      </c>
      <c r="H1443" s="23">
        <v>1</v>
      </c>
      <c r="I1443" s="23" t="s">
        <v>4682</v>
      </c>
      <c r="J1443" s="23" t="s">
        <v>4730</v>
      </c>
      <c r="K1443" s="23" t="s">
        <v>4736</v>
      </c>
      <c r="L1443">
        <v>1968</v>
      </c>
      <c r="M1443" s="15" t="s">
        <v>4705</v>
      </c>
      <c r="N1443">
        <v>9</v>
      </c>
      <c r="O1443">
        <v>2</v>
      </c>
      <c r="P1443" s="21">
        <f>DATEVALUE(N1443&amp;"-"&amp;M1443&amp;"-"&amp;L1443)</f>
        <v>25181</v>
      </c>
      <c r="Q1443" s="22">
        <v>12096.65</v>
      </c>
      <c r="R1443" s="23" t="s">
        <v>4698</v>
      </c>
      <c r="S1443" s="23" t="s">
        <v>4701</v>
      </c>
      <c r="T1443" s="23" t="s">
        <v>4714</v>
      </c>
      <c r="U1443" s="23">
        <f>DATEDIF(P1443, DATE(2023, 6, 8), "Y")</f>
        <v>54</v>
      </c>
      <c r="V1443">
        <f>SUM(C1443:K1443)</f>
        <v>32.06</v>
      </c>
    </row>
    <row r="1444" spans="1:22" ht="15.75">
      <c r="A1444" s="28" t="s">
        <v>2886</v>
      </c>
      <c r="B1444" s="28" t="s">
        <v>2887</v>
      </c>
      <c r="C1444" s="23">
        <v>25.08</v>
      </c>
      <c r="D1444" s="23">
        <v>5.8</v>
      </c>
      <c r="E1444" s="23" t="s">
        <v>4682</v>
      </c>
      <c r="F1444" s="23" t="s">
        <v>4682</v>
      </c>
      <c r="G1444" s="23" t="s">
        <v>4684</v>
      </c>
      <c r="H1444" s="23">
        <v>1</v>
      </c>
      <c r="I1444" s="23" t="s">
        <v>4682</v>
      </c>
      <c r="J1444" s="23" t="s">
        <v>4730</v>
      </c>
      <c r="K1444" s="23" t="s">
        <v>4736</v>
      </c>
      <c r="L1444">
        <v>1968</v>
      </c>
      <c r="M1444" s="15" t="s">
        <v>4707</v>
      </c>
      <c r="N1444">
        <v>25</v>
      </c>
      <c r="O1444">
        <v>3</v>
      </c>
      <c r="P1444" s="21">
        <f>DATEVALUE(N1444&amp;"-"&amp;M1444&amp;"-"&amp;L1444)</f>
        <v>25136</v>
      </c>
      <c r="Q1444" s="22">
        <v>12105.32</v>
      </c>
      <c r="R1444" s="23" t="s">
        <v>4698</v>
      </c>
      <c r="S1444" s="23" t="s">
        <v>4698</v>
      </c>
      <c r="T1444" s="23" t="s">
        <v>4708</v>
      </c>
      <c r="U1444" s="23">
        <f>DATEDIF(P1444, DATE(2023, 6, 8), "Y")</f>
        <v>54</v>
      </c>
      <c r="V1444">
        <f>SUM(C1444:K1444)</f>
        <v>31.88</v>
      </c>
    </row>
    <row r="1445" spans="1:22" ht="15.75">
      <c r="A1445" s="28" t="s">
        <v>2888</v>
      </c>
      <c r="B1445" s="28" t="s">
        <v>2889</v>
      </c>
      <c r="C1445" s="23">
        <v>29.164999999999999</v>
      </c>
      <c r="D1445" s="23">
        <v>4.87</v>
      </c>
      <c r="E1445" s="23" t="s">
        <v>4682</v>
      </c>
      <c r="F1445" s="23" t="s">
        <v>4683</v>
      </c>
      <c r="G1445" s="23" t="s">
        <v>4682</v>
      </c>
      <c r="H1445" s="23">
        <v>1</v>
      </c>
      <c r="I1445" s="23" t="s">
        <v>4682</v>
      </c>
      <c r="J1445" s="23" t="s">
        <v>4730</v>
      </c>
      <c r="K1445" s="23" t="s">
        <v>4737</v>
      </c>
      <c r="L1445">
        <v>1963</v>
      </c>
      <c r="M1445" s="15" t="s">
        <v>4696</v>
      </c>
      <c r="N1445">
        <v>20</v>
      </c>
      <c r="O1445">
        <v>0</v>
      </c>
      <c r="P1445" s="21">
        <f>DATEVALUE(N1445&amp;"-"&amp;M1445&amp;"-"&amp;L1445)</f>
        <v>23212</v>
      </c>
      <c r="Q1445" s="22">
        <v>12124.99</v>
      </c>
      <c r="R1445" s="23" t="s">
        <v>4698</v>
      </c>
      <c r="S1445" s="23" t="s">
        <v>4701</v>
      </c>
      <c r="T1445" s="23" t="s">
        <v>4704</v>
      </c>
      <c r="U1445" s="23">
        <f>DATEDIF(P1445, DATE(2023, 6, 8), "Y")</f>
        <v>59</v>
      </c>
      <c r="V1445">
        <f>SUM(C1445:K1445)</f>
        <v>35.034999999999997</v>
      </c>
    </row>
    <row r="1446" spans="1:22" ht="15.75">
      <c r="A1446" s="28" t="s">
        <v>2890</v>
      </c>
      <c r="B1446" s="28" t="s">
        <v>2891</v>
      </c>
      <c r="C1446" s="23">
        <v>15.05</v>
      </c>
      <c r="D1446" s="23">
        <v>8.1199999999999992</v>
      </c>
      <c r="E1446" s="23" t="s">
        <v>4682</v>
      </c>
      <c r="F1446" s="23" t="s">
        <v>4682</v>
      </c>
      <c r="G1446" s="23" t="s">
        <v>4682</v>
      </c>
      <c r="H1446" s="23">
        <v>0</v>
      </c>
      <c r="I1446" s="23" t="s">
        <v>4682</v>
      </c>
      <c r="J1446" s="23" t="s">
        <v>4731</v>
      </c>
      <c r="K1446" s="23" t="s">
        <v>4735</v>
      </c>
      <c r="L1446">
        <v>1963</v>
      </c>
      <c r="M1446" s="15" t="s">
        <v>4702</v>
      </c>
      <c r="N1446">
        <v>4</v>
      </c>
      <c r="O1446">
        <v>0</v>
      </c>
      <c r="P1446" s="21">
        <f>DATEVALUE(N1446&amp;"-"&amp;M1446&amp;"-"&amp;L1446)</f>
        <v>23166</v>
      </c>
      <c r="Q1446" s="22">
        <v>12129.61</v>
      </c>
      <c r="R1446" s="23" t="s">
        <v>4698</v>
      </c>
      <c r="S1446" s="23" t="s">
        <v>4701</v>
      </c>
      <c r="T1446" s="23" t="s">
        <v>4704</v>
      </c>
      <c r="U1446" s="23">
        <f>DATEDIF(P1446, DATE(2023, 6, 8), "Y")</f>
        <v>60</v>
      </c>
      <c r="V1446">
        <f>SUM(C1446:K1446)</f>
        <v>23.17</v>
      </c>
    </row>
    <row r="1447" spans="1:22" ht="15.75">
      <c r="A1447" s="28" t="s">
        <v>2892</v>
      </c>
      <c r="B1447" s="28" t="s">
        <v>2893</v>
      </c>
      <c r="C1447" s="23">
        <v>19.95</v>
      </c>
      <c r="D1447" s="23">
        <v>4.3600000000000003</v>
      </c>
      <c r="E1447" s="23" t="s">
        <v>4682</v>
      </c>
      <c r="F1447" s="23" t="s">
        <v>4682</v>
      </c>
      <c r="G1447" s="23" t="s">
        <v>4682</v>
      </c>
      <c r="H1447" s="23">
        <v>2</v>
      </c>
      <c r="I1447" s="23" t="s">
        <v>4682</v>
      </c>
      <c r="J1447" s="23" t="s">
        <v>4728</v>
      </c>
      <c r="K1447" s="23" t="s">
        <v>4737</v>
      </c>
      <c r="L1447">
        <v>1991</v>
      </c>
      <c r="M1447" s="15" t="s">
        <v>4700</v>
      </c>
      <c r="N1447">
        <v>6</v>
      </c>
      <c r="O1447">
        <v>3</v>
      </c>
      <c r="P1447" s="21">
        <f>DATEVALUE(N1447&amp;"-"&amp;M1447&amp;"-"&amp;L1447)</f>
        <v>33548</v>
      </c>
      <c r="Q1447" s="22">
        <v>12130.8</v>
      </c>
      <c r="R1447" s="23" t="s">
        <v>4698</v>
      </c>
      <c r="S1447" s="23" t="s">
        <v>4698</v>
      </c>
      <c r="T1447" s="23" t="s">
        <v>4720</v>
      </c>
      <c r="U1447" s="23">
        <f>DATEDIF(P1447, DATE(2023, 6, 8), "Y")</f>
        <v>31</v>
      </c>
      <c r="V1447">
        <f>SUM(C1447:K1447)</f>
        <v>26.31</v>
      </c>
    </row>
    <row r="1448" spans="1:22" ht="15.75">
      <c r="A1448" s="28" t="s">
        <v>2894</v>
      </c>
      <c r="B1448" s="28" t="s">
        <v>2895</v>
      </c>
      <c r="C1448" s="23">
        <v>16.66</v>
      </c>
      <c r="D1448" s="23">
        <v>9.16</v>
      </c>
      <c r="E1448" s="23" t="s">
        <v>4682</v>
      </c>
      <c r="F1448" s="23" t="s">
        <v>4682</v>
      </c>
      <c r="G1448" s="23" t="s">
        <v>4682</v>
      </c>
      <c r="H1448" s="23">
        <v>0</v>
      </c>
      <c r="I1448" s="23" t="s">
        <v>4682</v>
      </c>
      <c r="J1448" s="23" t="s">
        <v>4731</v>
      </c>
      <c r="K1448" s="23" t="s">
        <v>4735</v>
      </c>
      <c r="L1448">
        <v>1974</v>
      </c>
      <c r="M1448" s="15" t="s">
        <v>4703</v>
      </c>
      <c r="N1448">
        <v>16</v>
      </c>
      <c r="O1448">
        <v>0</v>
      </c>
      <c r="P1448" s="21">
        <f>DATEVALUE(N1448&amp;"-"&amp;M1448&amp;"-"&amp;L1448)</f>
        <v>27288</v>
      </c>
      <c r="Q1448" s="22">
        <v>12137.6</v>
      </c>
      <c r="R1448" s="23" t="s">
        <v>4698</v>
      </c>
      <c r="S1448" s="23" t="s">
        <v>4698</v>
      </c>
      <c r="T1448" s="23" t="s">
        <v>4704</v>
      </c>
      <c r="U1448" s="23">
        <f>DATEDIF(P1448, DATE(2023, 6, 8), "Y")</f>
        <v>48</v>
      </c>
      <c r="V1448">
        <f>SUM(C1448:K1448)</f>
        <v>25.82</v>
      </c>
    </row>
    <row r="1449" spans="1:22" ht="15.75">
      <c r="A1449" s="28" t="s">
        <v>2896</v>
      </c>
      <c r="B1449" s="28" t="s">
        <v>2897</v>
      </c>
      <c r="C1449" s="23">
        <v>16.62</v>
      </c>
      <c r="D1449" s="23">
        <v>9.14</v>
      </c>
      <c r="E1449" s="23" t="s">
        <v>4682</v>
      </c>
      <c r="F1449" s="23" t="s">
        <v>4682</v>
      </c>
      <c r="G1449" s="23" t="s">
        <v>4682</v>
      </c>
      <c r="H1449" s="23">
        <v>0</v>
      </c>
      <c r="I1449" s="23" t="s">
        <v>4682</v>
      </c>
      <c r="J1449" s="23" t="s">
        <v>4731</v>
      </c>
      <c r="K1449" s="23" t="s">
        <v>4735</v>
      </c>
      <c r="L1449">
        <v>1962</v>
      </c>
      <c r="M1449" s="15" t="s">
        <v>4700</v>
      </c>
      <c r="N1449">
        <v>4</v>
      </c>
      <c r="O1449">
        <v>0</v>
      </c>
      <c r="P1449" s="21">
        <f>DATEVALUE(N1449&amp;"-"&amp;M1449&amp;"-"&amp;L1449)</f>
        <v>22954</v>
      </c>
      <c r="Q1449" s="22">
        <v>12142.58</v>
      </c>
      <c r="R1449" s="23" t="s">
        <v>4698</v>
      </c>
      <c r="S1449" s="23" t="s">
        <v>4697</v>
      </c>
      <c r="T1449" s="23" t="s">
        <v>4699</v>
      </c>
      <c r="U1449" s="23">
        <f>DATEDIF(P1449, DATE(2023, 6, 8), "Y")</f>
        <v>60</v>
      </c>
      <c r="V1449">
        <f>SUM(C1449:K1449)</f>
        <v>25.76</v>
      </c>
    </row>
    <row r="1450" spans="1:22" ht="15.75">
      <c r="A1450" s="28" t="s">
        <v>2898</v>
      </c>
      <c r="B1450" s="28" t="s">
        <v>2899</v>
      </c>
      <c r="C1450" s="23">
        <v>15.36</v>
      </c>
      <c r="D1450" s="23">
        <v>5.49</v>
      </c>
      <c r="E1450" s="23" t="s">
        <v>4683</v>
      </c>
      <c r="F1450" s="23" t="s">
        <v>4682</v>
      </c>
      <c r="G1450" s="23" t="s">
        <v>4682</v>
      </c>
      <c r="H1450" s="23">
        <v>2</v>
      </c>
      <c r="I1450" s="23" t="s">
        <v>4682</v>
      </c>
      <c r="J1450" s="23" t="s">
        <v>4731</v>
      </c>
      <c r="K1450" s="23" t="s">
        <v>4737</v>
      </c>
      <c r="L1450">
        <v>1962</v>
      </c>
      <c r="M1450" s="15" t="s">
        <v>4703</v>
      </c>
      <c r="N1450">
        <v>15</v>
      </c>
      <c r="O1450">
        <v>0</v>
      </c>
      <c r="P1450" s="21">
        <f>DATEVALUE(N1450&amp;"-"&amp;M1450&amp;"-"&amp;L1450)</f>
        <v>22904</v>
      </c>
      <c r="Q1450" s="22">
        <v>12146.97</v>
      </c>
      <c r="R1450" s="23" t="s">
        <v>4698</v>
      </c>
      <c r="S1450" s="23" t="s">
        <v>4698</v>
      </c>
      <c r="T1450" s="23" t="s">
        <v>4708</v>
      </c>
      <c r="U1450" s="23">
        <f>DATEDIF(P1450, DATE(2023, 6, 8), "Y")</f>
        <v>60</v>
      </c>
      <c r="V1450">
        <f>SUM(C1450:K1450)</f>
        <v>22.85</v>
      </c>
    </row>
    <row r="1451" spans="1:22" ht="15.75">
      <c r="A1451" s="28" t="s">
        <v>2900</v>
      </c>
      <c r="B1451" s="28" t="s">
        <v>2901</v>
      </c>
      <c r="C1451" s="23">
        <v>27.74</v>
      </c>
      <c r="D1451" s="23">
        <v>5.96</v>
      </c>
      <c r="E1451" s="23" t="s">
        <v>4683</v>
      </c>
      <c r="F1451" s="23" t="s">
        <v>4682</v>
      </c>
      <c r="G1451" s="23" t="s">
        <v>4682</v>
      </c>
      <c r="H1451" s="23">
        <v>0</v>
      </c>
      <c r="I1451" s="23" t="s">
        <v>4682</v>
      </c>
      <c r="J1451" s="23" t="s">
        <v>4730</v>
      </c>
      <c r="K1451" s="23" t="s">
        <v>4736</v>
      </c>
      <c r="L1451">
        <v>1987</v>
      </c>
      <c r="M1451" s="15" t="s">
        <v>4707</v>
      </c>
      <c r="N1451">
        <v>5</v>
      </c>
      <c r="O1451">
        <v>3</v>
      </c>
      <c r="P1451" s="21">
        <f>DATEVALUE(N1451&amp;"-"&amp;M1451&amp;"-"&amp;L1451)</f>
        <v>32055</v>
      </c>
      <c r="Q1451" s="22">
        <v>12148.2</v>
      </c>
      <c r="R1451" s="23" t="s">
        <v>4698</v>
      </c>
      <c r="S1451" s="23" t="s">
        <v>4698</v>
      </c>
      <c r="T1451" s="23" t="s">
        <v>4704</v>
      </c>
      <c r="U1451" s="23">
        <f>DATEDIF(P1451, DATE(2023, 6, 8), "Y")</f>
        <v>35</v>
      </c>
      <c r="V1451">
        <f>SUM(C1451:K1451)</f>
        <v>33.699999999999996</v>
      </c>
    </row>
    <row r="1452" spans="1:22" ht="15.75">
      <c r="A1452" s="28" t="s">
        <v>2902</v>
      </c>
      <c r="B1452" s="28" t="s">
        <v>2903</v>
      </c>
      <c r="C1452" s="23">
        <v>22.44</v>
      </c>
      <c r="D1452" s="23">
        <v>4.62</v>
      </c>
      <c r="E1452" s="23" t="s">
        <v>4683</v>
      </c>
      <c r="F1452" s="23" t="s">
        <v>4682</v>
      </c>
      <c r="G1452" s="23" t="s">
        <v>4682</v>
      </c>
      <c r="H1452" s="23">
        <v>0</v>
      </c>
      <c r="I1452" s="23" t="s">
        <v>4682</v>
      </c>
      <c r="J1452" s="23" t="s">
        <v>4728</v>
      </c>
      <c r="K1452" s="23" t="s">
        <v>4737</v>
      </c>
      <c r="L1452">
        <v>1991</v>
      </c>
      <c r="M1452" s="15" t="s">
        <v>4706</v>
      </c>
      <c r="N1452">
        <v>29</v>
      </c>
      <c r="O1452">
        <v>3</v>
      </c>
      <c r="P1452" s="21">
        <f>DATEVALUE(N1452&amp;"-"&amp;M1452&amp;"-"&amp;L1452)</f>
        <v>33479</v>
      </c>
      <c r="Q1452" s="22">
        <v>12198.64</v>
      </c>
      <c r="R1452" s="23" t="s">
        <v>4698</v>
      </c>
      <c r="S1452" s="23" t="s">
        <v>4698</v>
      </c>
      <c r="T1452" s="23" t="s">
        <v>4720</v>
      </c>
      <c r="U1452" s="23">
        <f>DATEDIF(P1452, DATE(2023, 6, 8), "Y")</f>
        <v>31</v>
      </c>
      <c r="V1452">
        <f>SUM(C1452:K1452)</f>
        <v>27.060000000000002</v>
      </c>
    </row>
    <row r="1453" spans="1:22" ht="15.75">
      <c r="A1453" s="28" t="s">
        <v>2904</v>
      </c>
      <c r="B1453" s="28" t="s">
        <v>2905</v>
      </c>
      <c r="C1453" s="23">
        <v>37.049999999999997</v>
      </c>
      <c r="D1453" s="23">
        <v>9.9600000000000009</v>
      </c>
      <c r="E1453" s="23" t="s">
        <v>4683</v>
      </c>
      <c r="F1453" s="23" t="s">
        <v>4682</v>
      </c>
      <c r="G1453" s="23" t="s">
        <v>4682</v>
      </c>
      <c r="H1453" s="23">
        <v>0</v>
      </c>
      <c r="I1453" s="23" t="s">
        <v>4682</v>
      </c>
      <c r="J1453" s="23" t="s">
        <v>4729</v>
      </c>
      <c r="K1453" s="23" t="s">
        <v>4735</v>
      </c>
      <c r="L1453">
        <v>1977</v>
      </c>
      <c r="M1453" s="15" t="s">
        <v>4706</v>
      </c>
      <c r="N1453">
        <v>14</v>
      </c>
      <c r="O1453">
        <v>2</v>
      </c>
      <c r="P1453" s="21">
        <f>DATEVALUE(N1453&amp;"-"&amp;M1453&amp;"-"&amp;L1453)</f>
        <v>28351</v>
      </c>
      <c r="Q1453" s="22">
        <v>12218.7</v>
      </c>
      <c r="R1453" s="23" t="s">
        <v>4698</v>
      </c>
      <c r="S1453" s="23" t="s">
        <v>4701</v>
      </c>
      <c r="T1453" s="23" t="s">
        <v>4704</v>
      </c>
      <c r="U1453" s="23">
        <f>DATEDIF(P1453, DATE(2023, 6, 8), "Y")</f>
        <v>45</v>
      </c>
      <c r="V1453">
        <f>SUM(C1453:K1453)</f>
        <v>47.01</v>
      </c>
    </row>
    <row r="1454" spans="1:22" ht="15.75">
      <c r="A1454" s="28" t="s">
        <v>2906</v>
      </c>
      <c r="B1454" s="28" t="s">
        <v>2907</v>
      </c>
      <c r="C1454" s="23">
        <v>22.95</v>
      </c>
      <c r="D1454" s="23">
        <v>10.53</v>
      </c>
      <c r="E1454" s="23" t="s">
        <v>4682</v>
      </c>
      <c r="F1454" s="23" t="s">
        <v>4682</v>
      </c>
      <c r="G1454" s="23" t="s">
        <v>4682</v>
      </c>
      <c r="H1454" s="23">
        <v>2</v>
      </c>
      <c r="I1454" s="23" t="s">
        <v>4682</v>
      </c>
      <c r="J1454" s="23" t="s">
        <v>4728</v>
      </c>
      <c r="K1454" s="23" t="s">
        <v>4735</v>
      </c>
      <c r="L1454">
        <v>1964</v>
      </c>
      <c r="M1454" s="15" t="s">
        <v>4696</v>
      </c>
      <c r="N1454">
        <v>20</v>
      </c>
      <c r="O1454">
        <v>0</v>
      </c>
      <c r="P1454" s="21">
        <f>DATEVALUE(N1454&amp;"-"&amp;M1454&amp;"-"&amp;L1454)</f>
        <v>23578</v>
      </c>
      <c r="Q1454" s="22">
        <v>12222.9</v>
      </c>
      <c r="R1454" s="23" t="s">
        <v>4698</v>
      </c>
      <c r="S1454" s="23" t="s">
        <v>4697</v>
      </c>
      <c r="T1454" s="23" t="s">
        <v>4704</v>
      </c>
      <c r="U1454" s="23">
        <f>DATEDIF(P1454, DATE(2023, 6, 8), "Y")</f>
        <v>58</v>
      </c>
      <c r="V1454">
        <f>SUM(C1454:K1454)</f>
        <v>35.479999999999997</v>
      </c>
    </row>
    <row r="1455" spans="1:22" ht="15.75">
      <c r="A1455" s="28" t="s">
        <v>2908</v>
      </c>
      <c r="B1455" s="28" t="s">
        <v>2909</v>
      </c>
      <c r="C1455" s="23">
        <v>34.200000000000003</v>
      </c>
      <c r="D1455" s="23">
        <v>6.69</v>
      </c>
      <c r="E1455" s="23" t="s">
        <v>4683</v>
      </c>
      <c r="F1455" s="23" t="s">
        <v>4682</v>
      </c>
      <c r="G1455" s="23" t="s">
        <v>4682</v>
      </c>
      <c r="H1455" s="23">
        <v>0</v>
      </c>
      <c r="I1455" s="23" t="s">
        <v>4682</v>
      </c>
      <c r="J1455" s="23" t="s">
        <v>4729</v>
      </c>
      <c r="K1455" s="23" t="s">
        <v>4735</v>
      </c>
      <c r="L1455">
        <v>1964</v>
      </c>
      <c r="M1455" s="15" t="s">
        <v>4696</v>
      </c>
      <c r="N1455">
        <v>2</v>
      </c>
      <c r="O1455">
        <v>0</v>
      </c>
      <c r="P1455" s="21">
        <f>DATEVALUE(N1455&amp;"-"&amp;M1455&amp;"-"&amp;L1455)</f>
        <v>23560</v>
      </c>
      <c r="Q1455" s="22">
        <v>12224.35</v>
      </c>
      <c r="R1455" s="23" t="s">
        <v>4698</v>
      </c>
      <c r="S1455" s="23" t="s">
        <v>4701</v>
      </c>
      <c r="T1455" s="23" t="s">
        <v>4704</v>
      </c>
      <c r="U1455" s="23">
        <f>DATEDIF(P1455, DATE(2023, 6, 8), "Y")</f>
        <v>58</v>
      </c>
      <c r="V1455">
        <f>SUM(C1455:K1455)</f>
        <v>40.89</v>
      </c>
    </row>
    <row r="1456" spans="1:22" ht="15.75">
      <c r="A1456" s="28" t="s">
        <v>2910</v>
      </c>
      <c r="B1456" s="28" t="s">
        <v>2911</v>
      </c>
      <c r="C1456" s="23">
        <v>30.59</v>
      </c>
      <c r="D1456" s="23">
        <v>9.5500000000000007</v>
      </c>
      <c r="E1456" s="23" t="s">
        <v>4683</v>
      </c>
      <c r="F1456" s="23" t="s">
        <v>4682</v>
      </c>
      <c r="G1456" s="23" t="s">
        <v>4682</v>
      </c>
      <c r="H1456" s="23">
        <v>0</v>
      </c>
      <c r="I1456" s="23" t="s">
        <v>4682</v>
      </c>
      <c r="J1456" s="23" t="s">
        <v>4729</v>
      </c>
      <c r="K1456" s="23" t="s">
        <v>4735</v>
      </c>
      <c r="L1456">
        <v>1964</v>
      </c>
      <c r="M1456" s="15" t="s">
        <v>4702</v>
      </c>
      <c r="N1456">
        <v>24</v>
      </c>
      <c r="O1456">
        <v>0</v>
      </c>
      <c r="P1456" s="21">
        <f>DATEVALUE(N1456&amp;"-"&amp;M1456&amp;"-"&amp;L1456)</f>
        <v>23552</v>
      </c>
      <c r="Q1456" s="22">
        <v>12231.61</v>
      </c>
      <c r="R1456" s="23" t="s">
        <v>4698</v>
      </c>
      <c r="S1456" s="23" t="s">
        <v>4698</v>
      </c>
      <c r="T1456" s="23" t="s">
        <v>4704</v>
      </c>
      <c r="U1456" s="23">
        <f>DATEDIF(P1456, DATE(2023, 6, 8), "Y")</f>
        <v>58</v>
      </c>
      <c r="V1456">
        <f>SUM(C1456:K1456)</f>
        <v>40.14</v>
      </c>
    </row>
    <row r="1457" spans="1:22" ht="15.75">
      <c r="A1457" s="28" t="s">
        <v>2912</v>
      </c>
      <c r="B1457" s="28" t="s">
        <v>2913</v>
      </c>
      <c r="C1457" s="23">
        <v>25.51</v>
      </c>
      <c r="D1457" s="23">
        <v>6.05</v>
      </c>
      <c r="E1457" s="23" t="s">
        <v>4682</v>
      </c>
      <c r="F1457" s="23" t="s">
        <v>4682</v>
      </c>
      <c r="G1457" s="23" t="s">
        <v>4682</v>
      </c>
      <c r="H1457" s="23">
        <v>0</v>
      </c>
      <c r="I1457" s="23" t="s">
        <v>4682</v>
      </c>
      <c r="J1457" s="23" t="s">
        <v>4730</v>
      </c>
      <c r="K1457" s="23" t="s">
        <v>4736</v>
      </c>
      <c r="L1457">
        <v>1963</v>
      </c>
      <c r="M1457" s="15" t="s">
        <v>4696</v>
      </c>
      <c r="N1457">
        <v>19</v>
      </c>
      <c r="O1457">
        <v>0</v>
      </c>
      <c r="P1457" s="21">
        <f>DATEVALUE(N1457&amp;"-"&amp;M1457&amp;"-"&amp;L1457)</f>
        <v>23211</v>
      </c>
      <c r="Q1457" s="22">
        <v>12233.83</v>
      </c>
      <c r="R1457" s="23" t="s">
        <v>4698</v>
      </c>
      <c r="S1457" s="23" t="s">
        <v>4701</v>
      </c>
      <c r="T1457" s="23" t="s">
        <v>4708</v>
      </c>
      <c r="U1457" s="23">
        <f>DATEDIF(P1457, DATE(2023, 6, 8), "Y")</f>
        <v>59</v>
      </c>
      <c r="V1457">
        <f>SUM(C1457:K1457)</f>
        <v>31.560000000000002</v>
      </c>
    </row>
    <row r="1458" spans="1:22" ht="15.75">
      <c r="A1458" s="28" t="s">
        <v>2914</v>
      </c>
      <c r="B1458" s="28" t="s">
        <v>2915</v>
      </c>
      <c r="C1458" s="23">
        <v>29.04</v>
      </c>
      <c r="D1458" s="23">
        <v>10.56</v>
      </c>
      <c r="E1458" s="23" t="s">
        <v>4683</v>
      </c>
      <c r="F1458" s="23" t="s">
        <v>4682</v>
      </c>
      <c r="G1458" s="23" t="s">
        <v>4682</v>
      </c>
      <c r="H1458" s="23">
        <v>1</v>
      </c>
      <c r="I1458" s="23" t="s">
        <v>4682</v>
      </c>
      <c r="J1458" s="23" t="s">
        <v>4730</v>
      </c>
      <c r="K1458" s="23" t="s">
        <v>4735</v>
      </c>
      <c r="L1458">
        <v>1964</v>
      </c>
      <c r="M1458" s="15" t="s">
        <v>4707</v>
      </c>
      <c r="N1458">
        <v>15</v>
      </c>
      <c r="O1458">
        <v>0</v>
      </c>
      <c r="P1458" s="21">
        <f>DATEVALUE(N1458&amp;"-"&amp;M1458&amp;"-"&amp;L1458)</f>
        <v>23665</v>
      </c>
      <c r="Q1458" s="22">
        <v>12235.84</v>
      </c>
      <c r="R1458" s="23" t="s">
        <v>4698</v>
      </c>
      <c r="S1458" s="23" t="s">
        <v>4698</v>
      </c>
      <c r="T1458" s="23" t="s">
        <v>4704</v>
      </c>
      <c r="U1458" s="23">
        <f>DATEDIF(P1458, DATE(2023, 6, 8), "Y")</f>
        <v>58</v>
      </c>
      <c r="V1458">
        <f>SUM(C1458:K1458)</f>
        <v>40.6</v>
      </c>
    </row>
    <row r="1459" spans="1:22" ht="15.75">
      <c r="A1459" s="28" t="s">
        <v>2916</v>
      </c>
      <c r="B1459" s="28" t="s">
        <v>2917</v>
      </c>
      <c r="C1459" s="23">
        <v>22.135000000000002</v>
      </c>
      <c r="D1459" s="23">
        <v>10.81</v>
      </c>
      <c r="E1459" s="23" t="s">
        <v>4683</v>
      </c>
      <c r="F1459" s="23" t="s">
        <v>4682</v>
      </c>
      <c r="G1459" s="23" t="s">
        <v>4682</v>
      </c>
      <c r="H1459" s="23">
        <v>1</v>
      </c>
      <c r="I1459" s="23" t="s">
        <v>4682</v>
      </c>
      <c r="J1459" s="23" t="s">
        <v>4728</v>
      </c>
      <c r="K1459" s="23" t="s">
        <v>4735</v>
      </c>
      <c r="L1459">
        <v>1966</v>
      </c>
      <c r="M1459" s="15" t="s">
        <v>4696</v>
      </c>
      <c r="N1459">
        <v>29</v>
      </c>
      <c r="O1459">
        <v>0</v>
      </c>
      <c r="P1459" s="21">
        <f>DATEVALUE(N1459&amp;"-"&amp;M1459&amp;"-"&amp;L1459)</f>
        <v>24317</v>
      </c>
      <c r="Q1459" s="22">
        <v>12237.73</v>
      </c>
      <c r="R1459" s="23" t="s">
        <v>4698</v>
      </c>
      <c r="S1459" s="23" t="s">
        <v>4698</v>
      </c>
      <c r="T1459" s="23" t="s">
        <v>4704</v>
      </c>
      <c r="U1459" s="23">
        <f>DATEDIF(P1459, DATE(2023, 6, 8), "Y")</f>
        <v>56</v>
      </c>
      <c r="V1459">
        <f>SUM(C1459:K1459)</f>
        <v>33.945</v>
      </c>
    </row>
    <row r="1460" spans="1:22" ht="15.75">
      <c r="A1460" s="28" t="s">
        <v>2918</v>
      </c>
      <c r="B1460" s="28" t="s">
        <v>2919</v>
      </c>
      <c r="C1460" s="23">
        <v>21.375</v>
      </c>
      <c r="D1460" s="23">
        <v>4.32</v>
      </c>
      <c r="E1460" s="23" t="s">
        <v>4682</v>
      </c>
      <c r="F1460" s="23" t="s">
        <v>4682</v>
      </c>
      <c r="G1460" s="23" t="s">
        <v>4682</v>
      </c>
      <c r="H1460" s="23">
        <v>0</v>
      </c>
      <c r="I1460" s="23" t="s">
        <v>4682</v>
      </c>
      <c r="J1460" s="23" t="s">
        <v>4728</v>
      </c>
      <c r="K1460" s="23" t="s">
        <v>4737</v>
      </c>
      <c r="L1460">
        <v>1963</v>
      </c>
      <c r="M1460" s="15" t="s">
        <v>4696</v>
      </c>
      <c r="N1460">
        <v>17</v>
      </c>
      <c r="O1460">
        <v>0</v>
      </c>
      <c r="P1460" s="21">
        <f>DATEVALUE(N1460&amp;"-"&amp;M1460&amp;"-"&amp;L1460)</f>
        <v>23209</v>
      </c>
      <c r="Q1460" s="22">
        <v>12244.53</v>
      </c>
      <c r="R1460" s="23" t="s">
        <v>4698</v>
      </c>
      <c r="S1460" s="23" t="s">
        <v>4701</v>
      </c>
      <c r="T1460" s="23" t="s">
        <v>4699</v>
      </c>
      <c r="U1460" s="23">
        <f>DATEDIF(P1460, DATE(2023, 6, 8), "Y")</f>
        <v>59</v>
      </c>
      <c r="V1460">
        <f>SUM(C1460:K1460)</f>
        <v>25.695</v>
      </c>
    </row>
    <row r="1461" spans="1:22" ht="15.75">
      <c r="A1461" s="28" t="s">
        <v>2920</v>
      </c>
      <c r="B1461" s="28" t="s">
        <v>2921</v>
      </c>
      <c r="C1461" s="23">
        <v>29.19</v>
      </c>
      <c r="D1461" s="23">
        <v>4.37</v>
      </c>
      <c r="E1461" s="23" t="s">
        <v>4682</v>
      </c>
      <c r="F1461" s="23" t="s">
        <v>4682</v>
      </c>
      <c r="G1461" s="23" t="s">
        <v>4682</v>
      </c>
      <c r="H1461" s="23">
        <v>0</v>
      </c>
      <c r="I1461" s="23" t="s">
        <v>4682</v>
      </c>
      <c r="J1461" s="23" t="s">
        <v>4730</v>
      </c>
      <c r="K1461" s="23" t="s">
        <v>4737</v>
      </c>
      <c r="L1461">
        <v>1974</v>
      </c>
      <c r="M1461" s="15" t="s">
        <v>4702</v>
      </c>
      <c r="N1461">
        <v>23</v>
      </c>
      <c r="O1461">
        <v>0</v>
      </c>
      <c r="P1461" s="21">
        <f>DATEVALUE(N1461&amp;"-"&amp;M1461&amp;"-"&amp;L1461)</f>
        <v>27203</v>
      </c>
      <c r="Q1461" s="22">
        <v>12245.17</v>
      </c>
      <c r="R1461" s="23" t="s">
        <v>4698</v>
      </c>
      <c r="S1461" s="23" t="s">
        <v>4701</v>
      </c>
      <c r="T1461" s="23" t="s">
        <v>4704</v>
      </c>
      <c r="U1461" s="23">
        <f>DATEDIF(P1461, DATE(2023, 6, 8), "Y")</f>
        <v>48</v>
      </c>
      <c r="V1461">
        <f>SUM(C1461:K1461)</f>
        <v>33.56</v>
      </c>
    </row>
    <row r="1462" spans="1:22" ht="15.75">
      <c r="A1462" s="28" t="s">
        <v>2922</v>
      </c>
      <c r="B1462" s="28" t="s">
        <v>2923</v>
      </c>
      <c r="C1462" s="23">
        <v>31.92</v>
      </c>
      <c r="D1462" s="23">
        <v>4.8099999999999996</v>
      </c>
      <c r="E1462" s="23" t="s">
        <v>4683</v>
      </c>
      <c r="F1462" s="23" t="s">
        <v>4682</v>
      </c>
      <c r="G1462" s="23" t="s">
        <v>4684</v>
      </c>
      <c r="H1462" s="23">
        <v>1</v>
      </c>
      <c r="I1462" s="23" t="s">
        <v>4682</v>
      </c>
      <c r="J1462" s="23" t="s">
        <v>4729</v>
      </c>
      <c r="K1462" s="23" t="s">
        <v>4737</v>
      </c>
      <c r="L1462">
        <v>1989</v>
      </c>
      <c r="M1462" s="15" t="s">
        <v>4700</v>
      </c>
      <c r="N1462">
        <v>23</v>
      </c>
      <c r="O1462">
        <v>3</v>
      </c>
      <c r="P1462" s="21">
        <f>DATEVALUE(N1462&amp;"-"&amp;M1462&amp;"-"&amp;L1462)</f>
        <v>32835</v>
      </c>
      <c r="Q1462" s="22">
        <v>12254.44</v>
      </c>
      <c r="R1462" s="23" t="s">
        <v>4698</v>
      </c>
      <c r="S1462" s="23" t="s">
        <v>4698</v>
      </c>
      <c r="T1462" s="23" t="s">
        <v>4720</v>
      </c>
      <c r="U1462" s="23">
        <f>DATEDIF(P1462, DATE(2023, 6, 8), "Y")</f>
        <v>33</v>
      </c>
      <c r="V1462">
        <f>SUM(C1462:K1462)</f>
        <v>37.730000000000004</v>
      </c>
    </row>
    <row r="1463" spans="1:22" ht="15.75">
      <c r="A1463" s="28" t="s">
        <v>2924</v>
      </c>
      <c r="B1463" s="28" t="s">
        <v>2925</v>
      </c>
      <c r="C1463" s="23">
        <v>26.315000000000001</v>
      </c>
      <c r="D1463" s="23">
        <v>4.5599999999999996</v>
      </c>
      <c r="E1463" s="23" t="s">
        <v>4683</v>
      </c>
      <c r="F1463" s="23" t="s">
        <v>4682</v>
      </c>
      <c r="G1463" s="23" t="s">
        <v>4684</v>
      </c>
      <c r="H1463" s="23">
        <v>1</v>
      </c>
      <c r="I1463" s="23" t="s">
        <v>4682</v>
      </c>
      <c r="J1463" s="23" t="s">
        <v>4730</v>
      </c>
      <c r="K1463" s="23" t="s">
        <v>4737</v>
      </c>
      <c r="L1463">
        <v>1986</v>
      </c>
      <c r="M1463" s="15" t="s">
        <v>4706</v>
      </c>
      <c r="N1463">
        <v>13</v>
      </c>
      <c r="O1463">
        <v>3</v>
      </c>
      <c r="P1463" s="21">
        <f>DATEVALUE(N1463&amp;"-"&amp;M1463&amp;"-"&amp;L1463)</f>
        <v>31637</v>
      </c>
      <c r="Q1463" s="22">
        <v>12255.04</v>
      </c>
      <c r="R1463" s="23" t="s">
        <v>4698</v>
      </c>
      <c r="S1463" s="23" t="s">
        <v>4697</v>
      </c>
      <c r="T1463" s="23" t="s">
        <v>4720</v>
      </c>
      <c r="U1463" s="23">
        <f>DATEDIF(P1463, DATE(2023, 6, 8), "Y")</f>
        <v>36</v>
      </c>
      <c r="V1463">
        <f>SUM(C1463:K1463)</f>
        <v>31.875</v>
      </c>
    </row>
    <row r="1464" spans="1:22" ht="15.75">
      <c r="A1464" s="28" t="s">
        <v>2926</v>
      </c>
      <c r="B1464" s="28" t="s">
        <v>2927</v>
      </c>
      <c r="C1464" s="23">
        <v>35.299999999999997</v>
      </c>
      <c r="D1464" s="23">
        <v>4.3899999999999997</v>
      </c>
      <c r="E1464" s="23" t="s">
        <v>4682</v>
      </c>
      <c r="F1464" s="23" t="s">
        <v>4682</v>
      </c>
      <c r="G1464" s="23" t="s">
        <v>4682</v>
      </c>
      <c r="H1464" s="23">
        <v>0</v>
      </c>
      <c r="I1464" s="23" t="s">
        <v>4682</v>
      </c>
      <c r="J1464" s="23" t="s">
        <v>4729</v>
      </c>
      <c r="K1464" s="23" t="s">
        <v>4737</v>
      </c>
      <c r="L1464">
        <v>1966</v>
      </c>
      <c r="M1464" s="15" t="s">
        <v>4705</v>
      </c>
      <c r="N1464">
        <v>6</v>
      </c>
      <c r="O1464">
        <v>2</v>
      </c>
      <c r="P1464" s="21">
        <f>DATEVALUE(N1464&amp;"-"&amp;M1464&amp;"-"&amp;L1464)</f>
        <v>24447</v>
      </c>
      <c r="Q1464" s="22">
        <v>12265.51</v>
      </c>
      <c r="R1464" s="23" t="s">
        <v>4698</v>
      </c>
      <c r="S1464" s="23" t="s">
        <v>4698</v>
      </c>
      <c r="T1464" s="23" t="s">
        <v>4699</v>
      </c>
      <c r="U1464" s="23">
        <f>DATEDIF(P1464, DATE(2023, 6, 8), "Y")</f>
        <v>56</v>
      </c>
      <c r="V1464">
        <f>SUM(C1464:K1464)</f>
        <v>39.69</v>
      </c>
    </row>
    <row r="1465" spans="1:22" ht="15.75">
      <c r="A1465" s="28" t="s">
        <v>2928</v>
      </c>
      <c r="B1465" s="28" t="s">
        <v>2929</v>
      </c>
      <c r="C1465" s="23">
        <v>18.91</v>
      </c>
      <c r="D1465" s="23">
        <v>11.44</v>
      </c>
      <c r="E1465" s="23" t="s">
        <v>4682</v>
      </c>
      <c r="F1465" s="23" t="s">
        <v>4682</v>
      </c>
      <c r="G1465" s="23" t="s">
        <v>4682</v>
      </c>
      <c r="H1465" s="23">
        <v>0</v>
      </c>
      <c r="I1465" s="23" t="s">
        <v>4682</v>
      </c>
      <c r="J1465" s="23" t="s">
        <v>4728</v>
      </c>
      <c r="K1465" s="23" t="s">
        <v>4735</v>
      </c>
      <c r="L1465">
        <v>1967</v>
      </c>
      <c r="M1465" s="15" t="s">
        <v>4705</v>
      </c>
      <c r="N1465">
        <v>30</v>
      </c>
      <c r="O1465">
        <v>2</v>
      </c>
      <c r="P1465" s="21">
        <f>DATEVALUE(N1465&amp;"-"&amp;M1465&amp;"-"&amp;L1465)</f>
        <v>24836</v>
      </c>
      <c r="Q1465" s="22">
        <v>12268.63</v>
      </c>
      <c r="R1465" s="23" t="s">
        <v>4698</v>
      </c>
      <c r="S1465" s="23" t="s">
        <v>4701</v>
      </c>
      <c r="T1465" s="23" t="s">
        <v>4704</v>
      </c>
      <c r="U1465" s="23">
        <f>DATEDIF(P1465, DATE(2023, 6, 8), "Y")</f>
        <v>55</v>
      </c>
      <c r="V1465">
        <f>SUM(C1465:K1465)</f>
        <v>30.35</v>
      </c>
    </row>
    <row r="1466" spans="1:22" ht="15.75">
      <c r="A1466" s="28" t="s">
        <v>2930</v>
      </c>
      <c r="B1466" s="28" t="s">
        <v>2931</v>
      </c>
      <c r="C1466" s="23">
        <v>22.41</v>
      </c>
      <c r="D1466" s="23">
        <v>11.37</v>
      </c>
      <c r="E1466" s="23" t="s">
        <v>4683</v>
      </c>
      <c r="F1466" s="23" t="s">
        <v>4682</v>
      </c>
      <c r="G1466" s="23" t="s">
        <v>4682</v>
      </c>
      <c r="H1466" s="23">
        <v>1</v>
      </c>
      <c r="I1466" s="23" t="s">
        <v>4682</v>
      </c>
      <c r="J1466" s="23" t="s">
        <v>4728</v>
      </c>
      <c r="K1466" s="23" t="s">
        <v>4735</v>
      </c>
      <c r="L1466">
        <v>1967</v>
      </c>
      <c r="M1466" s="15" t="s">
        <v>4706</v>
      </c>
      <c r="N1466">
        <v>28</v>
      </c>
      <c r="O1466">
        <v>2</v>
      </c>
      <c r="P1466" s="21">
        <f>DATEVALUE(N1466&amp;"-"&amp;M1466&amp;"-"&amp;L1466)</f>
        <v>24712</v>
      </c>
      <c r="Q1466" s="22">
        <v>12269.69</v>
      </c>
      <c r="R1466" s="23" t="s">
        <v>4698</v>
      </c>
      <c r="S1466" s="23" t="s">
        <v>4697</v>
      </c>
      <c r="T1466" s="23" t="s">
        <v>4704</v>
      </c>
      <c r="U1466" s="23">
        <f>DATEDIF(P1466, DATE(2023, 6, 8), "Y")</f>
        <v>55</v>
      </c>
      <c r="V1466">
        <f>SUM(C1466:K1466)</f>
        <v>34.78</v>
      </c>
    </row>
    <row r="1467" spans="1:22" ht="15.75">
      <c r="A1467" s="28" t="s">
        <v>2932</v>
      </c>
      <c r="B1467" s="28" t="s">
        <v>2933</v>
      </c>
      <c r="C1467" s="23">
        <v>22.704999999999998</v>
      </c>
      <c r="D1467" s="23">
        <v>6.14</v>
      </c>
      <c r="E1467" s="23" t="s">
        <v>4682</v>
      </c>
      <c r="F1467" s="23" t="s">
        <v>4682</v>
      </c>
      <c r="G1467" s="23" t="s">
        <v>4682</v>
      </c>
      <c r="H1467" s="23">
        <v>0</v>
      </c>
      <c r="I1467" s="23" t="s">
        <v>4682</v>
      </c>
      <c r="J1467" s="23" t="s">
        <v>4728</v>
      </c>
      <c r="K1467" s="23" t="s">
        <v>4736</v>
      </c>
      <c r="L1467">
        <v>1966</v>
      </c>
      <c r="M1467" s="15" t="s">
        <v>4700</v>
      </c>
      <c r="N1467">
        <v>16</v>
      </c>
      <c r="O1467">
        <v>0</v>
      </c>
      <c r="P1467" s="21">
        <f>DATEVALUE(N1467&amp;"-"&amp;M1467&amp;"-"&amp;L1467)</f>
        <v>24427</v>
      </c>
      <c r="Q1467" s="22">
        <v>12282.03</v>
      </c>
      <c r="R1467" s="23" t="s">
        <v>4698</v>
      </c>
      <c r="S1467" s="23" t="s">
        <v>4701</v>
      </c>
      <c r="T1467" s="23" t="s">
        <v>4713</v>
      </c>
      <c r="U1467" s="23">
        <f>DATEDIF(P1467, DATE(2023, 6, 8), "Y")</f>
        <v>56</v>
      </c>
      <c r="V1467">
        <f>SUM(C1467:K1467)</f>
        <v>28.844999999999999</v>
      </c>
    </row>
    <row r="1468" spans="1:22" ht="15.75">
      <c r="A1468" s="28" t="s">
        <v>2934</v>
      </c>
      <c r="B1468" s="28" t="s">
        <v>2935</v>
      </c>
      <c r="C1468" s="23">
        <v>37.18</v>
      </c>
      <c r="D1468" s="23">
        <v>4.8899999999999997</v>
      </c>
      <c r="E1468" s="23" t="s">
        <v>4682</v>
      </c>
      <c r="F1468" s="23" t="s">
        <v>4682</v>
      </c>
      <c r="G1468" s="23" t="s">
        <v>4682</v>
      </c>
      <c r="H1468" s="23">
        <v>0</v>
      </c>
      <c r="I1468" s="23" t="s">
        <v>4682</v>
      </c>
      <c r="J1468" s="23" t="s">
        <v>4729</v>
      </c>
      <c r="K1468" s="23" t="s">
        <v>4737</v>
      </c>
      <c r="L1468">
        <v>1990</v>
      </c>
      <c r="M1468" s="15" t="s">
        <v>4707</v>
      </c>
      <c r="N1468">
        <v>29</v>
      </c>
      <c r="O1468">
        <v>3</v>
      </c>
      <c r="P1468" s="21">
        <f>DATEVALUE(N1468&amp;"-"&amp;M1468&amp;"-"&amp;L1468)</f>
        <v>33175</v>
      </c>
      <c r="Q1468" s="22">
        <v>12282.38</v>
      </c>
      <c r="R1468" s="23" t="s">
        <v>4698</v>
      </c>
      <c r="S1468" s="23" t="s">
        <v>4701</v>
      </c>
      <c r="T1468" s="23" t="s">
        <v>4708</v>
      </c>
      <c r="U1468" s="23">
        <f>DATEDIF(P1468, DATE(2023, 6, 8), "Y")</f>
        <v>32</v>
      </c>
      <c r="V1468">
        <f>SUM(C1468:K1468)</f>
        <v>42.07</v>
      </c>
    </row>
    <row r="1469" spans="1:22" ht="15.75">
      <c r="A1469" s="28" t="s">
        <v>2936</v>
      </c>
      <c r="B1469" s="28" t="s">
        <v>2937</v>
      </c>
      <c r="C1469" s="23">
        <v>35.97</v>
      </c>
      <c r="D1469" s="23">
        <v>4.5999999999999996</v>
      </c>
      <c r="E1469" s="23" t="s">
        <v>4682</v>
      </c>
      <c r="F1469" s="23" t="s">
        <v>4682</v>
      </c>
      <c r="G1469" s="23" t="s">
        <v>4682</v>
      </c>
      <c r="H1469" s="23">
        <v>0</v>
      </c>
      <c r="I1469" s="23" t="s">
        <v>4682</v>
      </c>
      <c r="J1469" s="23" t="s">
        <v>4729</v>
      </c>
      <c r="K1469" s="23" t="s">
        <v>4737</v>
      </c>
      <c r="L1469">
        <v>1963</v>
      </c>
      <c r="M1469" s="15" t="s">
        <v>4707</v>
      </c>
      <c r="N1469">
        <v>28</v>
      </c>
      <c r="O1469">
        <v>0</v>
      </c>
      <c r="P1469" s="21">
        <f>DATEVALUE(N1469&amp;"-"&amp;M1469&amp;"-"&amp;L1469)</f>
        <v>23312</v>
      </c>
      <c r="Q1469" s="22">
        <v>12299.59</v>
      </c>
      <c r="R1469" s="23" t="s">
        <v>4698</v>
      </c>
      <c r="S1469" s="23" t="s">
        <v>4701</v>
      </c>
      <c r="T1469" s="23" t="s">
        <v>4713</v>
      </c>
      <c r="U1469" s="23">
        <f>DATEDIF(P1469, DATE(2023, 6, 8), "Y")</f>
        <v>59</v>
      </c>
      <c r="V1469">
        <f>SUM(C1469:K1469)</f>
        <v>40.57</v>
      </c>
    </row>
    <row r="1470" spans="1:22" ht="15.75">
      <c r="A1470" s="28" t="s">
        <v>2938</v>
      </c>
      <c r="B1470" s="28" t="s">
        <v>2939</v>
      </c>
      <c r="C1470" s="23">
        <v>35.799999999999997</v>
      </c>
      <c r="D1470" s="23">
        <v>4.42</v>
      </c>
      <c r="E1470" s="23" t="s">
        <v>4682</v>
      </c>
      <c r="F1470" s="23" t="s">
        <v>4682</v>
      </c>
      <c r="G1470" s="23" t="s">
        <v>4682</v>
      </c>
      <c r="H1470" s="23">
        <v>0</v>
      </c>
      <c r="I1470" s="23" t="s">
        <v>4682</v>
      </c>
      <c r="J1470" s="23" t="s">
        <v>4729</v>
      </c>
      <c r="K1470" s="23" t="s">
        <v>4737</v>
      </c>
      <c r="L1470">
        <v>1963</v>
      </c>
      <c r="M1470" s="15" t="s">
        <v>4706</v>
      </c>
      <c r="N1470">
        <v>29</v>
      </c>
      <c r="O1470">
        <v>0</v>
      </c>
      <c r="P1470" s="21">
        <f>DATEVALUE(N1470&amp;"-"&amp;M1470&amp;"-"&amp;L1470)</f>
        <v>23252</v>
      </c>
      <c r="Q1470" s="22">
        <v>12323.94</v>
      </c>
      <c r="R1470" s="23" t="s">
        <v>4698</v>
      </c>
      <c r="S1470" s="23" t="s">
        <v>4698</v>
      </c>
      <c r="T1470" s="23" t="s">
        <v>4718</v>
      </c>
      <c r="U1470" s="23">
        <f>DATEDIF(P1470, DATE(2023, 6, 8), "Y")</f>
        <v>59</v>
      </c>
      <c r="V1470">
        <f>SUM(C1470:K1470)</f>
        <v>40.22</v>
      </c>
    </row>
    <row r="1471" spans="1:22" ht="15.75">
      <c r="A1471" s="28" t="s">
        <v>2940</v>
      </c>
      <c r="B1471" s="28" t="s">
        <v>2941</v>
      </c>
      <c r="C1471" s="23">
        <v>28.31</v>
      </c>
      <c r="D1471" s="23">
        <v>7.48</v>
      </c>
      <c r="E1471" s="23" t="s">
        <v>4683</v>
      </c>
      <c r="F1471" s="23" t="s">
        <v>4682</v>
      </c>
      <c r="G1471" s="23" t="s">
        <v>4682</v>
      </c>
      <c r="H1471" s="23">
        <v>0</v>
      </c>
      <c r="I1471" s="23" t="s">
        <v>4682</v>
      </c>
      <c r="J1471" s="23" t="s">
        <v>4730</v>
      </c>
      <c r="K1471" s="23" t="s">
        <v>4735</v>
      </c>
      <c r="L1471">
        <v>1963</v>
      </c>
      <c r="M1471" s="15" t="s">
        <v>4706</v>
      </c>
      <c r="N1471">
        <v>2</v>
      </c>
      <c r="O1471">
        <v>1</v>
      </c>
      <c r="P1471" s="21">
        <f>DATEVALUE(N1471&amp;"-"&amp;M1471&amp;"-"&amp;L1471)</f>
        <v>23225</v>
      </c>
      <c r="Q1471" s="22">
        <v>12333.83</v>
      </c>
      <c r="R1471" s="23" t="s">
        <v>4698</v>
      </c>
      <c r="S1471" s="23" t="s">
        <v>4697</v>
      </c>
      <c r="T1471" s="23" t="s">
        <v>4708</v>
      </c>
      <c r="U1471" s="23">
        <f>DATEDIF(P1471, DATE(2023, 6, 8), "Y")</f>
        <v>59</v>
      </c>
      <c r="V1471">
        <f>SUM(C1471:K1471)</f>
        <v>35.79</v>
      </c>
    </row>
    <row r="1472" spans="1:22" ht="15.75">
      <c r="A1472" s="28" t="s">
        <v>2942</v>
      </c>
      <c r="B1472" s="28" t="s">
        <v>2943</v>
      </c>
      <c r="C1472" s="23">
        <v>38.06</v>
      </c>
      <c r="D1472" s="23">
        <v>10.74</v>
      </c>
      <c r="E1472" s="23" t="s">
        <v>4682</v>
      </c>
      <c r="F1472" s="23" t="s">
        <v>4682</v>
      </c>
      <c r="G1472" s="23" t="s">
        <v>4682</v>
      </c>
      <c r="H1472" s="23">
        <v>0</v>
      </c>
      <c r="I1472" s="23" t="s">
        <v>4682</v>
      </c>
      <c r="J1472" s="23" t="s">
        <v>4729</v>
      </c>
      <c r="K1472" s="23" t="s">
        <v>4735</v>
      </c>
      <c r="L1472">
        <v>1963</v>
      </c>
      <c r="M1472" s="15" t="s">
        <v>4703</v>
      </c>
      <c r="N1472">
        <v>22</v>
      </c>
      <c r="O1472">
        <v>1</v>
      </c>
      <c r="P1472" s="21">
        <f>DATEVALUE(N1472&amp;"-"&amp;M1472&amp;"-"&amp;L1472)</f>
        <v>23276</v>
      </c>
      <c r="Q1472" s="22">
        <v>12347.17</v>
      </c>
      <c r="R1472" s="23" t="s">
        <v>4698</v>
      </c>
      <c r="S1472" s="23" t="s">
        <v>4698</v>
      </c>
      <c r="T1472" s="23" t="s">
        <v>4708</v>
      </c>
      <c r="U1472" s="23">
        <f>DATEDIF(P1472, DATE(2023, 6, 8), "Y")</f>
        <v>59</v>
      </c>
      <c r="V1472">
        <f>SUM(C1472:K1472)</f>
        <v>48.800000000000004</v>
      </c>
    </row>
    <row r="1473" spans="1:22" ht="15.75">
      <c r="A1473" s="28" t="s">
        <v>2944</v>
      </c>
      <c r="B1473" s="28" t="s">
        <v>2945</v>
      </c>
      <c r="C1473" s="23">
        <v>28</v>
      </c>
      <c r="D1473" s="23">
        <v>5.19</v>
      </c>
      <c r="E1473" s="23" t="s">
        <v>4682</v>
      </c>
      <c r="F1473" s="23" t="s">
        <v>4682</v>
      </c>
      <c r="G1473" s="23" t="s">
        <v>4682</v>
      </c>
      <c r="H1473" s="23">
        <v>1</v>
      </c>
      <c r="I1473" s="23" t="s">
        <v>4682</v>
      </c>
      <c r="J1473" s="23" t="s">
        <v>4730</v>
      </c>
      <c r="K1473" s="23" t="s">
        <v>4737</v>
      </c>
      <c r="L1473">
        <v>1966</v>
      </c>
      <c r="M1473" s="15" t="s">
        <v>4705</v>
      </c>
      <c r="N1473">
        <v>29</v>
      </c>
      <c r="O1473">
        <v>3</v>
      </c>
      <c r="P1473" s="21">
        <f>DATEVALUE(N1473&amp;"-"&amp;M1473&amp;"-"&amp;L1473)</f>
        <v>24470</v>
      </c>
      <c r="Q1473" s="22">
        <v>12363.55</v>
      </c>
      <c r="R1473" s="23" t="s">
        <v>4698</v>
      </c>
      <c r="S1473" s="23" t="s">
        <v>4698</v>
      </c>
      <c r="T1473" s="23" t="s">
        <v>4708</v>
      </c>
      <c r="U1473" s="23">
        <f>DATEDIF(P1473, DATE(2023, 6, 8), "Y")</f>
        <v>56</v>
      </c>
      <c r="V1473">
        <f>SUM(C1473:K1473)</f>
        <v>34.19</v>
      </c>
    </row>
    <row r="1474" spans="1:22" ht="15.75">
      <c r="A1474" s="28" t="s">
        <v>2946</v>
      </c>
      <c r="B1474" s="28" t="s">
        <v>2947</v>
      </c>
      <c r="C1474" s="23">
        <v>34.32</v>
      </c>
      <c r="D1474" s="23">
        <v>9.17</v>
      </c>
      <c r="E1474" s="23" t="s">
        <v>4682</v>
      </c>
      <c r="F1474" s="23" t="s">
        <v>4682</v>
      </c>
      <c r="G1474" s="23" t="s">
        <v>4682</v>
      </c>
      <c r="H1474" s="23">
        <v>0</v>
      </c>
      <c r="I1474" s="23" t="s">
        <v>4682</v>
      </c>
      <c r="J1474" s="23" t="s">
        <v>4729</v>
      </c>
      <c r="K1474" s="23" t="s">
        <v>4735</v>
      </c>
      <c r="L1474">
        <v>1962</v>
      </c>
      <c r="M1474" s="15" t="s">
        <v>4703</v>
      </c>
      <c r="N1474">
        <v>26</v>
      </c>
      <c r="O1474">
        <v>0</v>
      </c>
      <c r="P1474" s="21">
        <f>DATEVALUE(N1474&amp;"-"&amp;M1474&amp;"-"&amp;L1474)</f>
        <v>22915</v>
      </c>
      <c r="Q1474" s="22">
        <v>12369.89</v>
      </c>
      <c r="R1474" s="23" t="s">
        <v>4698</v>
      </c>
      <c r="S1474" s="23" t="s">
        <v>4697</v>
      </c>
      <c r="T1474" s="23" t="s">
        <v>4714</v>
      </c>
      <c r="U1474" s="23">
        <f>DATEDIF(P1474, DATE(2023, 6, 8), "Y")</f>
        <v>60</v>
      </c>
      <c r="V1474">
        <f>SUM(C1474:K1474)</f>
        <v>43.49</v>
      </c>
    </row>
    <row r="1475" spans="1:22" ht="15.75">
      <c r="A1475" s="28" t="s">
        <v>2948</v>
      </c>
      <c r="B1475" s="28" t="s">
        <v>2949</v>
      </c>
      <c r="C1475" s="23">
        <v>22.3</v>
      </c>
      <c r="D1475" s="23">
        <v>4.95</v>
      </c>
      <c r="E1475" s="23" t="s">
        <v>4683</v>
      </c>
      <c r="F1475" s="23" t="s">
        <v>4682</v>
      </c>
      <c r="G1475" s="23" t="s">
        <v>4682</v>
      </c>
      <c r="H1475" s="23">
        <v>0</v>
      </c>
      <c r="I1475" s="23" t="s">
        <v>4682</v>
      </c>
      <c r="J1475" s="23" t="s">
        <v>4728</v>
      </c>
      <c r="K1475" s="23" t="s">
        <v>4737</v>
      </c>
      <c r="L1475">
        <v>1989</v>
      </c>
      <c r="M1475" s="15" t="s">
        <v>4705</v>
      </c>
      <c r="N1475">
        <v>29</v>
      </c>
      <c r="O1475">
        <v>0</v>
      </c>
      <c r="P1475" s="21">
        <f>DATEVALUE(N1475&amp;"-"&amp;M1475&amp;"-"&amp;L1475)</f>
        <v>32871</v>
      </c>
      <c r="Q1475" s="22">
        <v>12404.88</v>
      </c>
      <c r="R1475" s="23" t="s">
        <v>4698</v>
      </c>
      <c r="S1475" s="23" t="s">
        <v>4698</v>
      </c>
      <c r="T1475" s="23" t="s">
        <v>4711</v>
      </c>
      <c r="U1475" s="23">
        <f>DATEDIF(P1475, DATE(2023, 6, 8), "Y")</f>
        <v>33</v>
      </c>
      <c r="V1475">
        <f>SUM(C1475:K1475)</f>
        <v>27.25</v>
      </c>
    </row>
    <row r="1476" spans="1:22" ht="15.75">
      <c r="A1476" s="28" t="s">
        <v>2950</v>
      </c>
      <c r="B1476" s="28" t="s">
        <v>2951</v>
      </c>
      <c r="C1476" s="23">
        <v>27.835000000000001</v>
      </c>
      <c r="D1476" s="23">
        <v>6.03</v>
      </c>
      <c r="E1476" s="23" t="s">
        <v>4682</v>
      </c>
      <c r="F1476" s="23" t="s">
        <v>4682</v>
      </c>
      <c r="G1476" s="23" t="s">
        <v>4682</v>
      </c>
      <c r="H1476" s="23">
        <v>1</v>
      </c>
      <c r="I1476" s="23" t="s">
        <v>4682</v>
      </c>
      <c r="J1476" s="23" t="s">
        <v>4730</v>
      </c>
      <c r="K1476" s="23" t="s">
        <v>4736</v>
      </c>
      <c r="L1476">
        <v>1972</v>
      </c>
      <c r="M1476" s="15" t="s">
        <v>4706</v>
      </c>
      <c r="N1476">
        <v>21</v>
      </c>
      <c r="O1476">
        <v>0</v>
      </c>
      <c r="P1476" s="21">
        <f>DATEVALUE(N1476&amp;"-"&amp;M1476&amp;"-"&amp;L1476)</f>
        <v>26532</v>
      </c>
      <c r="Q1476" s="22">
        <v>12407.3</v>
      </c>
      <c r="R1476" s="23" t="s">
        <v>4698</v>
      </c>
      <c r="S1476" s="23" t="s">
        <v>4697</v>
      </c>
      <c r="T1476" s="23" t="s">
        <v>4717</v>
      </c>
      <c r="U1476" s="23">
        <f>DATEDIF(P1476, DATE(2023, 6, 8), "Y")</f>
        <v>50</v>
      </c>
      <c r="V1476">
        <f>SUM(C1476:K1476)</f>
        <v>34.865000000000002</v>
      </c>
    </row>
    <row r="1477" spans="1:22" ht="15.75">
      <c r="A1477" s="28" t="s">
        <v>2952</v>
      </c>
      <c r="B1477" s="28" t="s">
        <v>2953</v>
      </c>
      <c r="C1477" s="23">
        <v>39.229999999999997</v>
      </c>
      <c r="D1477" s="23">
        <v>5.36</v>
      </c>
      <c r="E1477" s="23" t="s">
        <v>4682</v>
      </c>
      <c r="F1477" s="23" t="s">
        <v>4682</v>
      </c>
      <c r="G1477" s="23" t="s">
        <v>4682</v>
      </c>
      <c r="H1477" s="23">
        <v>0</v>
      </c>
      <c r="I1477" s="23" t="s">
        <v>4682</v>
      </c>
      <c r="J1477" s="23" t="s">
        <v>4729</v>
      </c>
      <c r="K1477" s="23" t="s">
        <v>4737</v>
      </c>
      <c r="L1477">
        <v>1979</v>
      </c>
      <c r="M1477" s="15" t="s">
        <v>4696</v>
      </c>
      <c r="N1477">
        <v>14</v>
      </c>
      <c r="O1477">
        <v>2</v>
      </c>
      <c r="P1477" s="21">
        <f>DATEVALUE(N1477&amp;"-"&amp;M1477&amp;"-"&amp;L1477)</f>
        <v>29050</v>
      </c>
      <c r="Q1477" s="22">
        <v>12408.29</v>
      </c>
      <c r="R1477" s="23" t="s">
        <v>4698</v>
      </c>
      <c r="S1477" s="23" t="s">
        <v>4701</v>
      </c>
      <c r="T1477" s="23" t="s">
        <v>4721</v>
      </c>
      <c r="U1477" s="23">
        <f>DATEDIF(P1477, DATE(2023, 6, 8), "Y")</f>
        <v>43</v>
      </c>
      <c r="V1477">
        <f>SUM(C1477:K1477)</f>
        <v>44.589999999999996</v>
      </c>
    </row>
    <row r="1478" spans="1:22" ht="15.75">
      <c r="A1478" s="28" t="s">
        <v>2954</v>
      </c>
      <c r="B1478" s="28" t="s">
        <v>2955</v>
      </c>
      <c r="C1478" s="23">
        <v>19.95</v>
      </c>
      <c r="D1478" s="23">
        <v>6.11</v>
      </c>
      <c r="E1478" s="23" t="s">
        <v>4682</v>
      </c>
      <c r="F1478" s="23" t="s">
        <v>4682</v>
      </c>
      <c r="G1478" s="23" t="s">
        <v>4682</v>
      </c>
      <c r="H1478" s="23">
        <v>1</v>
      </c>
      <c r="I1478" s="23" t="s">
        <v>4682</v>
      </c>
      <c r="J1478" s="23" t="s">
        <v>4728</v>
      </c>
      <c r="K1478" s="23" t="s">
        <v>4736</v>
      </c>
      <c r="L1478">
        <v>1964</v>
      </c>
      <c r="M1478" s="15" t="s">
        <v>4706</v>
      </c>
      <c r="N1478">
        <v>4</v>
      </c>
      <c r="O1478">
        <v>0</v>
      </c>
      <c r="P1478" s="21">
        <f>DATEVALUE(N1478&amp;"-"&amp;M1478&amp;"-"&amp;L1478)</f>
        <v>23593</v>
      </c>
      <c r="Q1478" s="22">
        <v>12430.95</v>
      </c>
      <c r="R1478" s="23" t="s">
        <v>4698</v>
      </c>
      <c r="S1478" s="23" t="s">
        <v>4698</v>
      </c>
      <c r="T1478" s="23" t="s">
        <v>4714</v>
      </c>
      <c r="U1478" s="23">
        <f>DATEDIF(P1478, DATE(2023, 6, 8), "Y")</f>
        <v>58</v>
      </c>
      <c r="V1478">
        <f>SUM(C1478:K1478)</f>
        <v>27.06</v>
      </c>
    </row>
    <row r="1479" spans="1:22" ht="15.75">
      <c r="A1479" s="28" t="s">
        <v>2956</v>
      </c>
      <c r="B1479" s="28" t="s">
        <v>2957</v>
      </c>
      <c r="C1479" s="23">
        <v>34.64</v>
      </c>
      <c r="D1479" s="23">
        <v>4.88</v>
      </c>
      <c r="E1479" s="23" t="s">
        <v>4682</v>
      </c>
      <c r="F1479" s="23" t="s">
        <v>4682</v>
      </c>
      <c r="G1479" s="23" t="s">
        <v>4684</v>
      </c>
      <c r="H1479" s="23">
        <v>1</v>
      </c>
      <c r="I1479" s="23" t="s">
        <v>4682</v>
      </c>
      <c r="J1479" s="23" t="s">
        <v>4729</v>
      </c>
      <c r="K1479" s="23" t="s">
        <v>4737</v>
      </c>
      <c r="L1479">
        <v>1995</v>
      </c>
      <c r="M1479" s="15" t="s">
        <v>4706</v>
      </c>
      <c r="N1479">
        <v>9</v>
      </c>
      <c r="O1479">
        <v>0</v>
      </c>
      <c r="P1479" s="21">
        <f>DATEVALUE(N1479&amp;"-"&amp;M1479&amp;"-"&amp;L1479)</f>
        <v>34920</v>
      </c>
      <c r="Q1479" s="22">
        <v>12452.25</v>
      </c>
      <c r="R1479" s="23" t="s">
        <v>4698</v>
      </c>
      <c r="S1479" s="23" t="s">
        <v>4698</v>
      </c>
      <c r="T1479" s="23" t="s">
        <v>4704</v>
      </c>
      <c r="U1479" s="23">
        <f>DATEDIF(P1479, DATE(2023, 6, 8), "Y")</f>
        <v>27</v>
      </c>
      <c r="V1479">
        <f>SUM(C1479:K1479)</f>
        <v>40.520000000000003</v>
      </c>
    </row>
    <row r="1480" spans="1:22" ht="15.75">
      <c r="A1480" s="28" t="s">
        <v>2958</v>
      </c>
      <c r="B1480" s="28" t="s">
        <v>2959</v>
      </c>
      <c r="C1480" s="23">
        <v>18.75</v>
      </c>
      <c r="D1480" s="23">
        <v>6.72</v>
      </c>
      <c r="E1480" s="23" t="s">
        <v>4682</v>
      </c>
      <c r="F1480" s="23" t="s">
        <v>4682</v>
      </c>
      <c r="G1480" s="23" t="s">
        <v>4682</v>
      </c>
      <c r="H1480" s="23">
        <v>0</v>
      </c>
      <c r="I1480" s="23" t="s">
        <v>4682</v>
      </c>
      <c r="J1480" s="23" t="s">
        <v>4728</v>
      </c>
      <c r="K1480" s="23" t="s">
        <v>4735</v>
      </c>
      <c r="L1480">
        <v>1968</v>
      </c>
      <c r="M1480" s="15" t="s">
        <v>4700</v>
      </c>
      <c r="N1480">
        <v>26</v>
      </c>
      <c r="O1480">
        <v>3</v>
      </c>
      <c r="P1480" s="21">
        <f>DATEVALUE(N1480&amp;"-"&amp;M1480&amp;"-"&amp;L1480)</f>
        <v>25168</v>
      </c>
      <c r="Q1480" s="22">
        <v>12475.35</v>
      </c>
      <c r="R1480" s="23" t="s">
        <v>4698</v>
      </c>
      <c r="S1480" s="23" t="s">
        <v>4701</v>
      </c>
      <c r="T1480" s="23" t="s">
        <v>4704</v>
      </c>
      <c r="U1480" s="23">
        <f>DATEDIF(P1480, DATE(2023, 6, 8), "Y")</f>
        <v>54</v>
      </c>
      <c r="V1480">
        <f>SUM(C1480:K1480)</f>
        <v>25.47</v>
      </c>
    </row>
    <row r="1481" spans="1:22" ht="15.75">
      <c r="A1481" s="28" t="s">
        <v>2960</v>
      </c>
      <c r="B1481" s="28" t="s">
        <v>2961</v>
      </c>
      <c r="C1481" s="23">
        <v>26.48</v>
      </c>
      <c r="D1481" s="23">
        <v>4.2</v>
      </c>
      <c r="E1481" s="23" t="s">
        <v>4682</v>
      </c>
      <c r="F1481" s="23" t="s">
        <v>4682</v>
      </c>
      <c r="G1481" s="23" t="s">
        <v>4682</v>
      </c>
      <c r="H1481" s="23">
        <v>1</v>
      </c>
      <c r="I1481" s="23" t="s">
        <v>4682</v>
      </c>
      <c r="J1481" s="23" t="s">
        <v>4730</v>
      </c>
      <c r="K1481" s="23" t="s">
        <v>4737</v>
      </c>
      <c r="L1481">
        <v>1968</v>
      </c>
      <c r="M1481" s="15" t="s">
        <v>4700</v>
      </c>
      <c r="N1481">
        <v>12</v>
      </c>
      <c r="O1481">
        <v>3</v>
      </c>
      <c r="P1481" s="21">
        <f>DATEVALUE(N1481&amp;"-"&amp;M1481&amp;"-"&amp;L1481)</f>
        <v>25154</v>
      </c>
      <c r="Q1481" s="22">
        <v>12479.71</v>
      </c>
      <c r="R1481" s="23" t="s">
        <v>4698</v>
      </c>
      <c r="S1481" s="23" t="s">
        <v>4698</v>
      </c>
      <c r="T1481" s="23" t="s">
        <v>4704</v>
      </c>
      <c r="U1481" s="23">
        <f>DATEDIF(P1481, DATE(2023, 6, 8), "Y")</f>
        <v>54</v>
      </c>
      <c r="V1481">
        <f>SUM(C1481:K1481)</f>
        <v>31.68</v>
      </c>
    </row>
    <row r="1482" spans="1:22" ht="15.75">
      <c r="A1482" s="28" t="s">
        <v>2962</v>
      </c>
      <c r="B1482" s="28" t="s">
        <v>2963</v>
      </c>
      <c r="C1482" s="23">
        <v>34.83</v>
      </c>
      <c r="D1482" s="23">
        <v>5.79</v>
      </c>
      <c r="E1482" s="23" t="s">
        <v>4682</v>
      </c>
      <c r="F1482" s="23" t="s">
        <v>4682</v>
      </c>
      <c r="G1482" s="23" t="s">
        <v>4682</v>
      </c>
      <c r="H1482" s="23">
        <v>1</v>
      </c>
      <c r="I1482" s="23" t="s">
        <v>4682</v>
      </c>
      <c r="J1482" s="23" t="s">
        <v>4729</v>
      </c>
      <c r="K1482" s="23" t="s">
        <v>4736</v>
      </c>
      <c r="L1482">
        <v>1967</v>
      </c>
      <c r="M1482" s="15" t="s">
        <v>4703</v>
      </c>
      <c r="N1482">
        <v>1</v>
      </c>
      <c r="O1482">
        <v>3</v>
      </c>
      <c r="P1482" s="21">
        <f>DATEVALUE(N1482&amp;"-"&amp;M1482&amp;"-"&amp;L1482)</f>
        <v>24716</v>
      </c>
      <c r="Q1482" s="22">
        <v>12485.8</v>
      </c>
      <c r="R1482" s="23" t="s">
        <v>4698</v>
      </c>
      <c r="S1482" s="23" t="s">
        <v>4698</v>
      </c>
      <c r="T1482" s="23" t="s">
        <v>4699</v>
      </c>
      <c r="U1482" s="23">
        <f>DATEDIF(P1482, DATE(2023, 6, 8), "Y")</f>
        <v>55</v>
      </c>
      <c r="V1482">
        <f>SUM(C1482:K1482)</f>
        <v>41.62</v>
      </c>
    </row>
    <row r="1483" spans="1:22" ht="15.75">
      <c r="A1483" s="28" t="s">
        <v>2964</v>
      </c>
      <c r="B1483" s="28" t="s">
        <v>2965</v>
      </c>
      <c r="C1483" s="23">
        <v>25.46</v>
      </c>
      <c r="D1483" s="23">
        <v>4.29</v>
      </c>
      <c r="E1483" s="23" t="s">
        <v>4682</v>
      </c>
      <c r="F1483" s="23" t="s">
        <v>4682</v>
      </c>
      <c r="G1483" s="23" t="s">
        <v>4682</v>
      </c>
      <c r="H1483" s="23">
        <v>0</v>
      </c>
      <c r="I1483" s="23" t="s">
        <v>4682</v>
      </c>
      <c r="J1483" s="23" t="s">
        <v>4730</v>
      </c>
      <c r="K1483" s="23" t="s">
        <v>4737</v>
      </c>
      <c r="L1483">
        <v>1968</v>
      </c>
      <c r="M1483" s="15" t="s">
        <v>4705</v>
      </c>
      <c r="N1483">
        <v>3</v>
      </c>
      <c r="O1483">
        <v>3</v>
      </c>
      <c r="P1483" s="21">
        <f>DATEVALUE(N1483&amp;"-"&amp;M1483&amp;"-"&amp;L1483)</f>
        <v>25175</v>
      </c>
      <c r="Q1483" s="22">
        <v>12495.29</v>
      </c>
      <c r="R1483" s="23" t="s">
        <v>4698</v>
      </c>
      <c r="S1483" s="23" t="s">
        <v>4698</v>
      </c>
      <c r="T1483" s="23" t="s">
        <v>4704</v>
      </c>
      <c r="U1483" s="23">
        <f>DATEDIF(P1483, DATE(2023, 6, 8), "Y")</f>
        <v>54</v>
      </c>
      <c r="V1483">
        <f>SUM(C1483:K1483)</f>
        <v>29.75</v>
      </c>
    </row>
    <row r="1484" spans="1:22" ht="15.75">
      <c r="A1484" s="28" t="s">
        <v>2966</v>
      </c>
      <c r="B1484" s="28" t="s">
        <v>2967</v>
      </c>
      <c r="C1484" s="23">
        <v>23.31</v>
      </c>
      <c r="D1484" s="23">
        <v>8.27</v>
      </c>
      <c r="E1484" s="23" t="s">
        <v>4682</v>
      </c>
      <c r="F1484" s="23" t="s">
        <v>4682</v>
      </c>
      <c r="G1484" s="23" t="s">
        <v>4682</v>
      </c>
      <c r="H1484" s="23">
        <v>0</v>
      </c>
      <c r="I1484" s="23" t="s">
        <v>4682</v>
      </c>
      <c r="J1484" s="23" t="s">
        <v>4728</v>
      </c>
      <c r="K1484" s="23" t="s">
        <v>4735</v>
      </c>
      <c r="L1484">
        <v>1966</v>
      </c>
      <c r="M1484" s="15" t="s">
        <v>4696</v>
      </c>
      <c r="N1484">
        <v>12</v>
      </c>
      <c r="O1484">
        <v>0</v>
      </c>
      <c r="P1484" s="21">
        <f>DATEVALUE(N1484&amp;"-"&amp;M1484&amp;"-"&amp;L1484)</f>
        <v>24300</v>
      </c>
      <c r="Q1484" s="22">
        <v>12499.88</v>
      </c>
      <c r="R1484" s="23" t="s">
        <v>4698</v>
      </c>
      <c r="S1484" s="23" t="s">
        <v>4697</v>
      </c>
      <c r="T1484" s="23" t="s">
        <v>4704</v>
      </c>
      <c r="U1484" s="23">
        <f>DATEDIF(P1484, DATE(2023, 6, 8), "Y")</f>
        <v>56</v>
      </c>
      <c r="V1484">
        <f>SUM(C1484:K1484)</f>
        <v>31.58</v>
      </c>
    </row>
    <row r="1485" spans="1:22" ht="15.75">
      <c r="A1485" s="28" t="s">
        <v>2968</v>
      </c>
      <c r="B1485" s="28" t="s">
        <v>2969</v>
      </c>
      <c r="C1485" s="23">
        <v>29</v>
      </c>
      <c r="D1485" s="23">
        <v>4.5599999999999996</v>
      </c>
      <c r="E1485" s="23" t="s">
        <v>4682</v>
      </c>
      <c r="F1485" s="23" t="s">
        <v>4682</v>
      </c>
      <c r="G1485" s="23" t="s">
        <v>4682</v>
      </c>
      <c r="H1485" s="23">
        <v>0</v>
      </c>
      <c r="I1485" s="23" t="s">
        <v>4682</v>
      </c>
      <c r="J1485" s="23" t="s">
        <v>4730</v>
      </c>
      <c r="K1485" s="23" t="s">
        <v>4737</v>
      </c>
      <c r="L1485">
        <v>1962</v>
      </c>
      <c r="M1485" s="15" t="s">
        <v>4707</v>
      </c>
      <c r="N1485">
        <v>16</v>
      </c>
      <c r="O1485">
        <v>0</v>
      </c>
      <c r="P1485" s="21">
        <f>DATEVALUE(N1485&amp;"-"&amp;M1485&amp;"-"&amp;L1485)</f>
        <v>22935</v>
      </c>
      <c r="Q1485" s="22">
        <v>12523.6</v>
      </c>
      <c r="R1485" s="23" t="s">
        <v>4698</v>
      </c>
      <c r="S1485" s="23" t="s">
        <v>4698</v>
      </c>
      <c r="T1485" s="23" t="s">
        <v>4704</v>
      </c>
      <c r="U1485" s="23">
        <f>DATEDIF(P1485, DATE(2023, 6, 8), "Y")</f>
        <v>60</v>
      </c>
      <c r="V1485">
        <f>SUM(C1485:K1485)</f>
        <v>33.56</v>
      </c>
    </row>
    <row r="1486" spans="1:22" ht="15.75">
      <c r="A1486" s="28" t="s">
        <v>2970</v>
      </c>
      <c r="B1486" s="28" t="s">
        <v>2971</v>
      </c>
      <c r="C1486" s="23">
        <v>32.869999999999997</v>
      </c>
      <c r="D1486" s="23">
        <v>5.33</v>
      </c>
      <c r="E1486" s="23" t="s">
        <v>4682</v>
      </c>
      <c r="F1486" s="23" t="s">
        <v>4682</v>
      </c>
      <c r="G1486" s="23" t="s">
        <v>4682</v>
      </c>
      <c r="H1486" s="23">
        <v>0</v>
      </c>
      <c r="I1486" s="23" t="s">
        <v>4682</v>
      </c>
      <c r="J1486" s="23" t="s">
        <v>4729</v>
      </c>
      <c r="K1486" s="23" t="s">
        <v>4737</v>
      </c>
      <c r="L1486">
        <v>1961</v>
      </c>
      <c r="M1486" s="15" t="s">
        <v>4700</v>
      </c>
      <c r="N1486">
        <v>28</v>
      </c>
      <c r="O1486">
        <v>0</v>
      </c>
      <c r="P1486" s="21">
        <f>DATEVALUE(N1486&amp;"-"&amp;M1486&amp;"-"&amp;L1486)</f>
        <v>22613</v>
      </c>
      <c r="Q1486" s="22">
        <v>12557.61</v>
      </c>
      <c r="R1486" s="23" t="s">
        <v>4698</v>
      </c>
      <c r="S1486" s="23" t="s">
        <v>4698</v>
      </c>
      <c r="T1486" s="23" t="s">
        <v>4699</v>
      </c>
      <c r="U1486" s="23">
        <f>DATEDIF(P1486, DATE(2023, 6, 8), "Y")</f>
        <v>61</v>
      </c>
      <c r="V1486">
        <f>SUM(C1486:K1486)</f>
        <v>38.199999999999996</v>
      </c>
    </row>
    <row r="1487" spans="1:22" ht="15.75">
      <c r="A1487" s="28" t="s">
        <v>2972</v>
      </c>
      <c r="B1487" s="28" t="s">
        <v>2973</v>
      </c>
      <c r="C1487" s="23">
        <v>26.18</v>
      </c>
      <c r="D1487" s="23">
        <v>5.63</v>
      </c>
      <c r="E1487" s="23" t="s">
        <v>4682</v>
      </c>
      <c r="F1487" s="23" t="s">
        <v>4682</v>
      </c>
      <c r="G1487" s="23" t="s">
        <v>4682</v>
      </c>
      <c r="H1487" s="23">
        <v>0</v>
      </c>
      <c r="I1487" s="23" t="s">
        <v>4682</v>
      </c>
      <c r="J1487" s="23" t="s">
        <v>4730</v>
      </c>
      <c r="K1487" s="23" t="s">
        <v>4737</v>
      </c>
      <c r="L1487">
        <v>1961</v>
      </c>
      <c r="M1487" s="15" t="s">
        <v>4700</v>
      </c>
      <c r="N1487">
        <v>28</v>
      </c>
      <c r="O1487">
        <v>0</v>
      </c>
      <c r="P1487" s="21">
        <f>DATEVALUE(N1487&amp;"-"&amp;M1487&amp;"-"&amp;L1487)</f>
        <v>22613</v>
      </c>
      <c r="Q1487" s="22">
        <v>12574.05</v>
      </c>
      <c r="R1487" s="23" t="s">
        <v>4698</v>
      </c>
      <c r="S1487" s="23" t="s">
        <v>4701</v>
      </c>
      <c r="T1487" s="23" t="s">
        <v>4708</v>
      </c>
      <c r="U1487" s="23">
        <f>DATEDIF(P1487, DATE(2023, 6, 8), "Y")</f>
        <v>61</v>
      </c>
      <c r="V1487">
        <f>SUM(C1487:K1487)</f>
        <v>31.81</v>
      </c>
    </row>
    <row r="1488" spans="1:22" ht="15.75">
      <c r="A1488" s="28" t="s">
        <v>2974</v>
      </c>
      <c r="B1488" s="28" t="s">
        <v>2975</v>
      </c>
      <c r="C1488" s="23">
        <v>25.3</v>
      </c>
      <c r="D1488" s="23">
        <v>5.12</v>
      </c>
      <c r="E1488" s="23" t="s">
        <v>4682</v>
      </c>
      <c r="F1488" s="23" t="s">
        <v>4682</v>
      </c>
      <c r="G1488" s="23" t="s">
        <v>4682</v>
      </c>
      <c r="H1488" s="23">
        <v>0</v>
      </c>
      <c r="I1488" s="23" t="s">
        <v>4682</v>
      </c>
      <c r="J1488" s="23" t="s">
        <v>4730</v>
      </c>
      <c r="K1488" s="23" t="s">
        <v>4737</v>
      </c>
      <c r="L1488">
        <v>1969</v>
      </c>
      <c r="M1488" s="15" t="s">
        <v>4700</v>
      </c>
      <c r="N1488">
        <v>26</v>
      </c>
      <c r="O1488">
        <v>0</v>
      </c>
      <c r="P1488" s="21">
        <f>DATEVALUE(N1488&amp;"-"&amp;M1488&amp;"-"&amp;L1488)</f>
        <v>25533</v>
      </c>
      <c r="Q1488" s="22">
        <v>12579.92</v>
      </c>
      <c r="R1488" s="23" t="s">
        <v>4698</v>
      </c>
      <c r="S1488" s="23" t="s">
        <v>4701</v>
      </c>
      <c r="T1488" s="23" t="s">
        <v>4713</v>
      </c>
      <c r="U1488" s="23">
        <f>DATEDIF(P1488, DATE(2023, 6, 8), "Y")</f>
        <v>53</v>
      </c>
      <c r="V1488">
        <f>SUM(C1488:K1488)</f>
        <v>30.42</v>
      </c>
    </row>
    <row r="1489" spans="1:22" ht="15.75">
      <c r="A1489" s="28" t="s">
        <v>2976</v>
      </c>
      <c r="B1489" s="28" t="s">
        <v>2977</v>
      </c>
      <c r="C1489" s="23">
        <v>36.94</v>
      </c>
      <c r="D1489" s="23">
        <v>5.15</v>
      </c>
      <c r="E1489" s="23" t="s">
        <v>4683</v>
      </c>
      <c r="F1489" s="23" t="s">
        <v>4682</v>
      </c>
      <c r="G1489" s="23" t="s">
        <v>4682</v>
      </c>
      <c r="H1489" s="23">
        <v>1</v>
      </c>
      <c r="I1489" s="23" t="s">
        <v>4682</v>
      </c>
      <c r="J1489" s="23" t="s">
        <v>4729</v>
      </c>
      <c r="K1489" s="23" t="s">
        <v>4737</v>
      </c>
      <c r="L1489">
        <v>1970</v>
      </c>
      <c r="M1489" s="15" t="s">
        <v>4702</v>
      </c>
      <c r="N1489">
        <v>18</v>
      </c>
      <c r="O1489">
        <v>5</v>
      </c>
      <c r="P1489" s="21">
        <f>DATEVALUE(N1489&amp;"-"&amp;M1489&amp;"-"&amp;L1489)</f>
        <v>25737</v>
      </c>
      <c r="Q1489" s="22">
        <v>12592.53</v>
      </c>
      <c r="R1489" s="23" t="s">
        <v>4698</v>
      </c>
      <c r="S1489" s="23" t="s">
        <v>4697</v>
      </c>
      <c r="T1489" s="23" t="s">
        <v>4699</v>
      </c>
      <c r="U1489" s="23">
        <f>DATEDIF(P1489, DATE(2023, 6, 8), "Y")</f>
        <v>52</v>
      </c>
      <c r="V1489">
        <f>SUM(C1489:K1489)</f>
        <v>43.089999999999996</v>
      </c>
    </row>
    <row r="1490" spans="1:22" ht="15.75">
      <c r="A1490" s="28" t="s">
        <v>2978</v>
      </c>
      <c r="B1490" s="28" t="s">
        <v>2979</v>
      </c>
      <c r="C1490" s="23">
        <v>22.86</v>
      </c>
      <c r="D1490" s="23">
        <v>7.5</v>
      </c>
      <c r="E1490" s="23" t="s">
        <v>4682</v>
      </c>
      <c r="F1490" s="23" t="s">
        <v>4682</v>
      </c>
      <c r="G1490" s="23" t="s">
        <v>4682</v>
      </c>
      <c r="H1490" s="23">
        <v>0</v>
      </c>
      <c r="I1490" s="23" t="s">
        <v>4682</v>
      </c>
      <c r="J1490" s="23" t="s">
        <v>4728</v>
      </c>
      <c r="K1490" s="23" t="s">
        <v>4735</v>
      </c>
      <c r="L1490">
        <v>1988</v>
      </c>
      <c r="M1490" s="15" t="s">
        <v>4706</v>
      </c>
      <c r="N1490">
        <v>11</v>
      </c>
      <c r="O1490">
        <v>3</v>
      </c>
      <c r="P1490" s="21">
        <f>DATEVALUE(N1490&amp;"-"&amp;M1490&amp;"-"&amp;L1490)</f>
        <v>32366</v>
      </c>
      <c r="Q1490" s="22">
        <v>12600.46</v>
      </c>
      <c r="R1490" s="23" t="s">
        <v>4698</v>
      </c>
      <c r="S1490" s="23" t="s">
        <v>4701</v>
      </c>
      <c r="T1490" s="23" t="s">
        <v>4715</v>
      </c>
      <c r="U1490" s="23">
        <f>DATEDIF(P1490, DATE(2023, 6, 8), "Y")</f>
        <v>34</v>
      </c>
      <c r="V1490">
        <f>SUM(C1490:K1490)</f>
        <v>30.36</v>
      </c>
    </row>
    <row r="1491" spans="1:22" ht="15.75">
      <c r="A1491" s="28" t="s">
        <v>2980</v>
      </c>
      <c r="B1491" s="28" t="s">
        <v>2981</v>
      </c>
      <c r="C1491" s="23">
        <v>18.760000000000002</v>
      </c>
      <c r="D1491" s="23">
        <v>4.88</v>
      </c>
      <c r="E1491" s="23" t="s">
        <v>4683</v>
      </c>
      <c r="F1491" s="23" t="s">
        <v>4682</v>
      </c>
      <c r="G1491" s="23" t="s">
        <v>4684</v>
      </c>
      <c r="H1491" s="23">
        <v>1</v>
      </c>
      <c r="I1491" s="23" t="s">
        <v>4682</v>
      </c>
      <c r="J1491" s="23" t="s">
        <v>4728</v>
      </c>
      <c r="K1491" s="23" t="s">
        <v>4737</v>
      </c>
      <c r="L1491">
        <v>1998</v>
      </c>
      <c r="M1491" s="15" t="s">
        <v>4700</v>
      </c>
      <c r="N1491">
        <v>18</v>
      </c>
      <c r="O1491">
        <v>1</v>
      </c>
      <c r="P1491" s="21">
        <f>DATEVALUE(N1491&amp;"-"&amp;M1491&amp;"-"&amp;L1491)</f>
        <v>36117</v>
      </c>
      <c r="Q1491" s="22">
        <v>12609.89</v>
      </c>
      <c r="R1491" s="23" t="s">
        <v>4698</v>
      </c>
      <c r="S1491" s="23" t="s">
        <v>4698</v>
      </c>
      <c r="T1491" s="23" t="s">
        <v>4704</v>
      </c>
      <c r="U1491" s="23">
        <f>DATEDIF(P1491, DATE(2023, 6, 8), "Y")</f>
        <v>24</v>
      </c>
      <c r="V1491">
        <f>SUM(C1491:K1491)</f>
        <v>24.64</v>
      </c>
    </row>
    <row r="1492" spans="1:22" ht="15.75">
      <c r="A1492" s="28" t="s">
        <v>2982</v>
      </c>
      <c r="B1492" s="28" t="s">
        <v>2983</v>
      </c>
      <c r="C1492" s="23">
        <v>24.36</v>
      </c>
      <c r="D1492" s="23">
        <v>5.57</v>
      </c>
      <c r="E1492" s="23" t="s">
        <v>4682</v>
      </c>
      <c r="F1492" s="23" t="s">
        <v>4682</v>
      </c>
      <c r="G1492" s="23" t="s">
        <v>4682</v>
      </c>
      <c r="H1492" s="23">
        <v>0</v>
      </c>
      <c r="I1492" s="23" t="s">
        <v>4682</v>
      </c>
      <c r="J1492" s="23" t="s">
        <v>4728</v>
      </c>
      <c r="K1492" s="23" t="s">
        <v>4737</v>
      </c>
      <c r="L1492">
        <v>1963</v>
      </c>
      <c r="M1492" s="15" t="s">
        <v>4706</v>
      </c>
      <c r="N1492">
        <v>19</v>
      </c>
      <c r="O1492">
        <v>0</v>
      </c>
      <c r="P1492" s="21">
        <f>DATEVALUE(N1492&amp;"-"&amp;M1492&amp;"-"&amp;L1492)</f>
        <v>23242</v>
      </c>
      <c r="Q1492" s="22">
        <v>12622.18</v>
      </c>
      <c r="R1492" s="23" t="s">
        <v>4698</v>
      </c>
      <c r="S1492" s="23" t="s">
        <v>4701</v>
      </c>
      <c r="T1492" s="23" t="s">
        <v>4704</v>
      </c>
      <c r="U1492" s="23">
        <f>DATEDIF(P1492, DATE(2023, 6, 8), "Y")</f>
        <v>59</v>
      </c>
      <c r="V1492">
        <f>SUM(C1492:K1492)</f>
        <v>29.93</v>
      </c>
    </row>
    <row r="1493" spans="1:22" ht="15.75">
      <c r="A1493" s="28" t="s">
        <v>2984</v>
      </c>
      <c r="B1493" s="28" t="s">
        <v>2985</v>
      </c>
      <c r="C1493" s="23">
        <v>32.299999999999997</v>
      </c>
      <c r="D1493" s="23">
        <v>5.31</v>
      </c>
      <c r="E1493" s="23" t="s">
        <v>4682</v>
      </c>
      <c r="F1493" s="23" t="s">
        <v>4682</v>
      </c>
      <c r="G1493" s="23" t="s">
        <v>4682</v>
      </c>
      <c r="H1493" s="23">
        <v>0</v>
      </c>
      <c r="I1493" s="23" t="s">
        <v>4682</v>
      </c>
      <c r="J1493" s="23" t="s">
        <v>4729</v>
      </c>
      <c r="K1493" s="23" t="s">
        <v>4737</v>
      </c>
      <c r="L1493">
        <v>1970</v>
      </c>
      <c r="M1493" s="15" t="s">
        <v>4705</v>
      </c>
      <c r="N1493">
        <v>28</v>
      </c>
      <c r="O1493">
        <v>0</v>
      </c>
      <c r="P1493" s="21">
        <f>DATEVALUE(N1493&amp;"-"&amp;M1493&amp;"-"&amp;L1493)</f>
        <v>25930</v>
      </c>
      <c r="Q1493" s="22">
        <v>12624.74</v>
      </c>
      <c r="R1493" s="23" t="s">
        <v>4698</v>
      </c>
      <c r="S1493" s="23" t="s">
        <v>4701</v>
      </c>
      <c r="T1493" s="23" t="s">
        <v>4704</v>
      </c>
      <c r="U1493" s="23">
        <f>DATEDIF(P1493, DATE(2023, 6, 8), "Y")</f>
        <v>52</v>
      </c>
      <c r="V1493">
        <f>SUM(C1493:K1493)</f>
        <v>37.61</v>
      </c>
    </row>
    <row r="1494" spans="1:22" ht="15.75">
      <c r="A1494" s="28" t="s">
        <v>2986</v>
      </c>
      <c r="B1494" s="28" t="s">
        <v>2987</v>
      </c>
      <c r="C1494" s="23">
        <v>22.704999999999998</v>
      </c>
      <c r="D1494" s="23">
        <v>4.57</v>
      </c>
      <c r="E1494" s="23" t="s">
        <v>4683</v>
      </c>
      <c r="F1494" s="23" t="s">
        <v>4682</v>
      </c>
      <c r="G1494" s="23" t="s">
        <v>4682</v>
      </c>
      <c r="H1494" s="23">
        <v>0</v>
      </c>
      <c r="I1494" s="23" t="s">
        <v>4682</v>
      </c>
      <c r="J1494" s="23" t="s">
        <v>4728</v>
      </c>
      <c r="K1494" s="23" t="s">
        <v>4737</v>
      </c>
      <c r="L1494">
        <v>1965</v>
      </c>
      <c r="M1494" s="15" t="s">
        <v>4707</v>
      </c>
      <c r="N1494">
        <v>4</v>
      </c>
      <c r="O1494">
        <v>2</v>
      </c>
      <c r="P1494" s="21">
        <f>DATEVALUE(N1494&amp;"-"&amp;M1494&amp;"-"&amp;L1494)</f>
        <v>24019</v>
      </c>
      <c r="Q1494" s="22">
        <v>12629.17</v>
      </c>
      <c r="R1494" s="23" t="s">
        <v>4698</v>
      </c>
      <c r="S1494" s="23" t="s">
        <v>4701</v>
      </c>
      <c r="T1494" s="23" t="s">
        <v>4699</v>
      </c>
      <c r="U1494" s="23">
        <f>DATEDIF(P1494, DATE(2023, 6, 8), "Y")</f>
        <v>57</v>
      </c>
      <c r="V1494">
        <f>SUM(C1494:K1494)</f>
        <v>27.274999999999999</v>
      </c>
    </row>
    <row r="1495" spans="1:22" ht="15.75">
      <c r="A1495" s="28" t="s">
        <v>2988</v>
      </c>
      <c r="B1495" s="28" t="s">
        <v>2989</v>
      </c>
      <c r="C1495" s="23">
        <v>21.79</v>
      </c>
      <c r="D1495" s="23">
        <v>8.6999999999999993</v>
      </c>
      <c r="E1495" s="23" t="s">
        <v>4683</v>
      </c>
      <c r="F1495" s="23" t="s">
        <v>4682</v>
      </c>
      <c r="G1495" s="23" t="s">
        <v>4682</v>
      </c>
      <c r="H1495" s="23">
        <v>1</v>
      </c>
      <c r="I1495" s="23" t="s">
        <v>4682</v>
      </c>
      <c r="J1495" s="23" t="s">
        <v>4728</v>
      </c>
      <c r="K1495" s="23" t="s">
        <v>4735</v>
      </c>
      <c r="L1495">
        <v>1962</v>
      </c>
      <c r="M1495" s="15" t="s">
        <v>4700</v>
      </c>
      <c r="N1495">
        <v>22</v>
      </c>
      <c r="O1495">
        <v>0</v>
      </c>
      <c r="P1495" s="21">
        <f>DATEVALUE(N1495&amp;"-"&amp;M1495&amp;"-"&amp;L1495)</f>
        <v>22972</v>
      </c>
      <c r="Q1495" s="22">
        <v>12629.9</v>
      </c>
      <c r="R1495" s="23" t="s">
        <v>4698</v>
      </c>
      <c r="S1495" s="23" t="s">
        <v>4698</v>
      </c>
      <c r="T1495" s="23" t="s">
        <v>4699</v>
      </c>
      <c r="U1495" s="23">
        <f>DATEDIF(P1495, DATE(2023, 6, 8), "Y")</f>
        <v>60</v>
      </c>
      <c r="V1495">
        <f>SUM(C1495:K1495)</f>
        <v>31.49</v>
      </c>
    </row>
    <row r="1496" spans="1:22" ht="15.75">
      <c r="A1496" s="28" t="s">
        <v>2990</v>
      </c>
      <c r="B1496" s="28" t="s">
        <v>2991</v>
      </c>
      <c r="C1496" s="23">
        <v>24.52</v>
      </c>
      <c r="D1496" s="23">
        <v>4.76</v>
      </c>
      <c r="E1496" s="23" t="s">
        <v>4682</v>
      </c>
      <c r="F1496" s="23" t="s">
        <v>4682</v>
      </c>
      <c r="G1496" s="23" t="s">
        <v>4682</v>
      </c>
      <c r="H1496" s="23">
        <v>0</v>
      </c>
      <c r="I1496" s="23" t="s">
        <v>4682</v>
      </c>
      <c r="J1496" s="23" t="s">
        <v>4728</v>
      </c>
      <c r="K1496" s="23" t="s">
        <v>4737</v>
      </c>
      <c r="L1496">
        <v>1962</v>
      </c>
      <c r="M1496" s="15" t="s">
        <v>4696</v>
      </c>
      <c r="N1496">
        <v>22</v>
      </c>
      <c r="O1496">
        <v>0</v>
      </c>
      <c r="P1496" s="21">
        <f>DATEVALUE(N1496&amp;"-"&amp;M1496&amp;"-"&amp;L1496)</f>
        <v>22849</v>
      </c>
      <c r="Q1496" s="22">
        <v>12638.2</v>
      </c>
      <c r="R1496" s="23" t="s">
        <v>4698</v>
      </c>
      <c r="S1496" s="23" t="s">
        <v>4701</v>
      </c>
      <c r="T1496" s="23" t="s">
        <v>4708</v>
      </c>
      <c r="U1496" s="23">
        <f>DATEDIF(P1496, DATE(2023, 6, 8), "Y")</f>
        <v>60</v>
      </c>
      <c r="V1496">
        <f>SUM(C1496:K1496)</f>
        <v>29.28</v>
      </c>
    </row>
    <row r="1497" spans="1:22" ht="15.75">
      <c r="A1497" s="28" t="s">
        <v>2992</v>
      </c>
      <c r="B1497" s="28" t="s">
        <v>2993</v>
      </c>
      <c r="C1497" s="23">
        <v>39.520000000000003</v>
      </c>
      <c r="D1497" s="23">
        <v>11.81</v>
      </c>
      <c r="E1497" s="23" t="s">
        <v>4682</v>
      </c>
      <c r="F1497" s="23" t="s">
        <v>4682</v>
      </c>
      <c r="G1497" s="23" t="s">
        <v>4682</v>
      </c>
      <c r="H1497" s="23">
        <v>0</v>
      </c>
      <c r="I1497" s="23" t="s">
        <v>4682</v>
      </c>
      <c r="J1497" s="23" t="s">
        <v>4729</v>
      </c>
      <c r="K1497" s="23" t="s">
        <v>4735</v>
      </c>
      <c r="L1497">
        <v>1972</v>
      </c>
      <c r="M1497" s="15" t="s">
        <v>4703</v>
      </c>
      <c r="N1497">
        <v>5</v>
      </c>
      <c r="O1497">
        <v>0</v>
      </c>
      <c r="P1497" s="21">
        <f>DATEVALUE(N1497&amp;"-"&amp;M1497&amp;"-"&amp;L1497)</f>
        <v>26547</v>
      </c>
      <c r="Q1497" s="22">
        <v>12640.24</v>
      </c>
      <c r="R1497" s="23" t="s">
        <v>4698</v>
      </c>
      <c r="S1497" s="23" t="s">
        <v>4701</v>
      </c>
      <c r="T1497" s="23" t="s">
        <v>4708</v>
      </c>
      <c r="U1497" s="23">
        <f>DATEDIF(P1497, DATE(2023, 6, 8), "Y")</f>
        <v>50</v>
      </c>
      <c r="V1497">
        <f>SUM(C1497:K1497)</f>
        <v>51.330000000000005</v>
      </c>
    </row>
    <row r="1498" spans="1:22" ht="15.75">
      <c r="A1498" s="28" t="s">
        <v>2994</v>
      </c>
      <c r="B1498" s="28" t="s">
        <v>2995</v>
      </c>
      <c r="C1498" s="23">
        <v>24.49</v>
      </c>
      <c r="D1498" s="23">
        <v>4.67</v>
      </c>
      <c r="E1498" s="23" t="s">
        <v>4682</v>
      </c>
      <c r="F1498" s="23" t="s">
        <v>4682</v>
      </c>
      <c r="G1498" s="23" t="s">
        <v>4682</v>
      </c>
      <c r="H1498" s="23">
        <v>0</v>
      </c>
      <c r="I1498" s="23" t="s">
        <v>4682</v>
      </c>
      <c r="J1498" s="23" t="s">
        <v>4728</v>
      </c>
      <c r="K1498" s="23" t="s">
        <v>4737</v>
      </c>
      <c r="L1498">
        <v>1966</v>
      </c>
      <c r="M1498" s="15" t="s">
        <v>4705</v>
      </c>
      <c r="N1498">
        <v>17</v>
      </c>
      <c r="O1498">
        <v>2</v>
      </c>
      <c r="P1498" s="21">
        <f>DATEVALUE(N1498&amp;"-"&amp;M1498&amp;"-"&amp;L1498)</f>
        <v>24458</v>
      </c>
      <c r="Q1498" s="22">
        <v>12643.38</v>
      </c>
      <c r="R1498" s="23" t="s">
        <v>4698</v>
      </c>
      <c r="S1498" s="23" t="s">
        <v>4701</v>
      </c>
      <c r="T1498" s="23" t="s">
        <v>4704</v>
      </c>
      <c r="U1498" s="23">
        <f>DATEDIF(P1498, DATE(2023, 6, 8), "Y")</f>
        <v>56</v>
      </c>
      <c r="V1498">
        <f>SUM(C1498:K1498)</f>
        <v>29.159999999999997</v>
      </c>
    </row>
    <row r="1499" spans="1:22" ht="15.75">
      <c r="A1499" s="28" t="s">
        <v>2996</v>
      </c>
      <c r="B1499" s="28" t="s">
        <v>2997</v>
      </c>
      <c r="C1499" s="23">
        <v>26.315000000000001</v>
      </c>
      <c r="D1499" s="23">
        <v>6.02</v>
      </c>
      <c r="E1499" s="23" t="s">
        <v>4682</v>
      </c>
      <c r="F1499" s="23" t="s">
        <v>4682</v>
      </c>
      <c r="G1499" s="23" t="s">
        <v>4682</v>
      </c>
      <c r="H1499" s="23">
        <v>0</v>
      </c>
      <c r="I1499" s="23" t="s">
        <v>4682</v>
      </c>
      <c r="J1499" s="23" t="s">
        <v>4730</v>
      </c>
      <c r="K1499" s="23" t="s">
        <v>4736</v>
      </c>
      <c r="L1499">
        <v>1962</v>
      </c>
      <c r="M1499" s="15" t="s">
        <v>4696</v>
      </c>
      <c r="N1499">
        <v>11</v>
      </c>
      <c r="O1499">
        <v>0</v>
      </c>
      <c r="P1499" s="21">
        <f>DATEVALUE(N1499&amp;"-"&amp;M1499&amp;"-"&amp;L1499)</f>
        <v>22838</v>
      </c>
      <c r="Q1499" s="22">
        <v>12644.59</v>
      </c>
      <c r="R1499" s="23" t="s">
        <v>4698</v>
      </c>
      <c r="S1499" s="23" t="s">
        <v>4697</v>
      </c>
      <c r="T1499" s="23" t="s">
        <v>4708</v>
      </c>
      <c r="U1499" s="23">
        <f>DATEDIF(P1499, DATE(2023, 6, 8), "Y")</f>
        <v>60</v>
      </c>
      <c r="V1499">
        <f>SUM(C1499:K1499)</f>
        <v>32.335000000000001</v>
      </c>
    </row>
    <row r="1500" spans="1:22" ht="15.75">
      <c r="A1500" s="28" t="s">
        <v>2998</v>
      </c>
      <c r="B1500" s="28" t="s">
        <v>2999</v>
      </c>
      <c r="C1500" s="23">
        <v>22.58</v>
      </c>
      <c r="D1500" s="23">
        <v>7.46</v>
      </c>
      <c r="E1500" s="23" t="s">
        <v>4682</v>
      </c>
      <c r="F1500" s="23" t="s">
        <v>4682</v>
      </c>
      <c r="G1500" s="23" t="s">
        <v>4682</v>
      </c>
      <c r="H1500" s="23">
        <v>0</v>
      </c>
      <c r="I1500" s="23" t="s">
        <v>4682</v>
      </c>
      <c r="J1500" s="23" t="s">
        <v>4728</v>
      </c>
      <c r="K1500" s="23" t="s">
        <v>4735</v>
      </c>
      <c r="L1500">
        <v>1965</v>
      </c>
      <c r="M1500" s="15" t="s">
        <v>4703</v>
      </c>
      <c r="N1500">
        <v>14</v>
      </c>
      <c r="O1500">
        <v>2</v>
      </c>
      <c r="P1500" s="21">
        <f>DATEVALUE(N1500&amp;"-"&amp;M1500&amp;"-"&amp;L1500)</f>
        <v>23999</v>
      </c>
      <c r="Q1500" s="22">
        <v>12646.21</v>
      </c>
      <c r="R1500" s="23" t="s">
        <v>4698</v>
      </c>
      <c r="S1500" s="23" t="s">
        <v>4697</v>
      </c>
      <c r="T1500" s="23" t="s">
        <v>4708</v>
      </c>
      <c r="U1500" s="23">
        <f>DATEDIF(P1500, DATE(2023, 6, 8), "Y")</f>
        <v>57</v>
      </c>
      <c r="V1500">
        <f>SUM(C1500:K1500)</f>
        <v>30.04</v>
      </c>
    </row>
    <row r="1501" spans="1:22" ht="15.75">
      <c r="A1501" s="28" t="s">
        <v>3000</v>
      </c>
      <c r="B1501" s="28" t="s">
        <v>3001</v>
      </c>
      <c r="C1501" s="23">
        <v>19.475000000000001</v>
      </c>
      <c r="D1501" s="23">
        <v>4.74</v>
      </c>
      <c r="E1501" s="23" t="s">
        <v>4682</v>
      </c>
      <c r="F1501" s="23" t="s">
        <v>4682</v>
      </c>
      <c r="G1501" s="23" t="s">
        <v>4682</v>
      </c>
      <c r="H1501" s="23">
        <v>1</v>
      </c>
      <c r="I1501" s="23" t="s">
        <v>4682</v>
      </c>
      <c r="J1501" s="23" t="s">
        <v>4728</v>
      </c>
      <c r="K1501" s="23" t="s">
        <v>4737</v>
      </c>
      <c r="L1501">
        <v>1962</v>
      </c>
      <c r="M1501" s="15" t="s">
        <v>4706</v>
      </c>
      <c r="N1501">
        <v>27</v>
      </c>
      <c r="O1501">
        <v>0</v>
      </c>
      <c r="P1501" s="21">
        <f>DATEVALUE(N1501&amp;"-"&amp;M1501&amp;"-"&amp;L1501)</f>
        <v>22885</v>
      </c>
      <c r="Q1501" s="22">
        <v>12648.7</v>
      </c>
      <c r="R1501" s="23" t="s">
        <v>4698</v>
      </c>
      <c r="S1501" s="23" t="s">
        <v>4697</v>
      </c>
      <c r="T1501" s="23" t="s">
        <v>4699</v>
      </c>
      <c r="U1501" s="23">
        <f>DATEDIF(P1501, DATE(2023, 6, 8), "Y")</f>
        <v>60</v>
      </c>
      <c r="V1501">
        <f>SUM(C1501:K1501)</f>
        <v>25.215000000000003</v>
      </c>
    </row>
    <row r="1502" spans="1:22" ht="15.75">
      <c r="A1502" s="28" t="s">
        <v>3002</v>
      </c>
      <c r="B1502" s="28" t="s">
        <v>3003</v>
      </c>
      <c r="C1502" s="23">
        <v>26.33</v>
      </c>
      <c r="D1502" s="23">
        <v>4.79</v>
      </c>
      <c r="E1502" s="23" t="s">
        <v>4682</v>
      </c>
      <c r="F1502" s="23" t="s">
        <v>4682</v>
      </c>
      <c r="G1502" s="23" t="s">
        <v>4682</v>
      </c>
      <c r="H1502" s="23">
        <v>0</v>
      </c>
      <c r="I1502" s="23" t="s">
        <v>4682</v>
      </c>
      <c r="J1502" s="23" t="s">
        <v>4730</v>
      </c>
      <c r="K1502" s="23" t="s">
        <v>4737</v>
      </c>
      <c r="L1502">
        <v>1974</v>
      </c>
      <c r="M1502" s="15" t="s">
        <v>4703</v>
      </c>
      <c r="N1502">
        <v>24</v>
      </c>
      <c r="O1502">
        <v>0</v>
      </c>
      <c r="P1502" s="21">
        <f>DATEVALUE(N1502&amp;"-"&amp;M1502&amp;"-"&amp;L1502)</f>
        <v>27296</v>
      </c>
      <c r="Q1502" s="22">
        <v>12697.48</v>
      </c>
      <c r="R1502" s="23" t="s">
        <v>4698</v>
      </c>
      <c r="S1502" s="23" t="s">
        <v>4698</v>
      </c>
      <c r="T1502" s="23" t="s">
        <v>4717</v>
      </c>
      <c r="U1502" s="23">
        <f>DATEDIF(P1502, DATE(2023, 6, 8), "Y")</f>
        <v>48</v>
      </c>
      <c r="V1502">
        <f>SUM(C1502:K1502)</f>
        <v>31.119999999999997</v>
      </c>
    </row>
    <row r="1503" spans="1:22" ht="15.75">
      <c r="A1503" s="28" t="s">
        <v>3004</v>
      </c>
      <c r="B1503" s="28" t="s">
        <v>3005</v>
      </c>
      <c r="C1503" s="23">
        <v>17.29</v>
      </c>
      <c r="D1503" s="23">
        <v>5.35</v>
      </c>
      <c r="E1503" s="23" t="s">
        <v>4683</v>
      </c>
      <c r="F1503" s="23" t="s">
        <v>4682</v>
      </c>
      <c r="G1503" s="23" t="s">
        <v>4682</v>
      </c>
      <c r="H1503" s="23">
        <v>0</v>
      </c>
      <c r="I1503" s="23" t="s">
        <v>4682</v>
      </c>
      <c r="J1503" s="23" t="s">
        <v>4731</v>
      </c>
      <c r="K1503" s="23" t="s">
        <v>4737</v>
      </c>
      <c r="L1503">
        <v>1992</v>
      </c>
      <c r="M1503" s="15" t="s">
        <v>4696</v>
      </c>
      <c r="N1503">
        <v>7</v>
      </c>
      <c r="O1503">
        <v>0</v>
      </c>
      <c r="P1503" s="21">
        <f>DATEVALUE(N1503&amp;"-"&amp;M1503&amp;"-"&amp;L1503)</f>
        <v>33792</v>
      </c>
      <c r="Q1503" s="22">
        <v>12699.56</v>
      </c>
      <c r="R1503" s="23" t="s">
        <v>4698</v>
      </c>
      <c r="S1503" s="23" t="s">
        <v>4697</v>
      </c>
      <c r="T1503" s="23" t="s">
        <v>4708</v>
      </c>
      <c r="U1503" s="23">
        <f>DATEDIF(P1503, DATE(2023, 6, 8), "Y")</f>
        <v>30</v>
      </c>
      <c r="V1503">
        <f>SUM(C1503:K1503)</f>
        <v>22.64</v>
      </c>
    </row>
    <row r="1504" spans="1:22" ht="15.75">
      <c r="A1504" s="28" t="s">
        <v>3006</v>
      </c>
      <c r="B1504" s="28" t="s">
        <v>3007</v>
      </c>
      <c r="C1504" s="23">
        <v>42.88</v>
      </c>
      <c r="D1504" s="23">
        <v>4.87</v>
      </c>
      <c r="E1504" s="23" t="s">
        <v>4682</v>
      </c>
      <c r="F1504" s="23" t="s">
        <v>4683</v>
      </c>
      <c r="G1504" s="23" t="s">
        <v>4682</v>
      </c>
      <c r="H1504" s="23">
        <v>1</v>
      </c>
      <c r="I1504" s="23" t="s">
        <v>4682</v>
      </c>
      <c r="J1504" s="23" t="s">
        <v>4729</v>
      </c>
      <c r="K1504" s="23" t="s">
        <v>4737</v>
      </c>
      <c r="L1504">
        <v>1964</v>
      </c>
      <c r="M1504" s="15" t="s">
        <v>4700</v>
      </c>
      <c r="N1504">
        <v>28</v>
      </c>
      <c r="O1504">
        <v>0</v>
      </c>
      <c r="P1504" s="21">
        <f>DATEVALUE(N1504&amp;"-"&amp;M1504&amp;"-"&amp;L1504)</f>
        <v>23709</v>
      </c>
      <c r="Q1504" s="22">
        <v>12700.63</v>
      </c>
      <c r="R1504" s="23" t="s">
        <v>4698</v>
      </c>
      <c r="S1504" s="23" t="s">
        <v>4698</v>
      </c>
      <c r="T1504" s="23" t="s">
        <v>4708</v>
      </c>
      <c r="U1504" s="23">
        <f>DATEDIF(P1504, DATE(2023, 6, 8), "Y")</f>
        <v>58</v>
      </c>
      <c r="V1504">
        <f>SUM(C1504:K1504)</f>
        <v>48.75</v>
      </c>
    </row>
    <row r="1505" spans="1:22" ht="15.75">
      <c r="A1505" s="28" t="s">
        <v>3008</v>
      </c>
      <c r="B1505" s="28" t="s">
        <v>3009</v>
      </c>
      <c r="C1505" s="23">
        <v>32.200000000000003</v>
      </c>
      <c r="D1505" s="23">
        <v>10.09</v>
      </c>
      <c r="E1505" s="23" t="s">
        <v>4683</v>
      </c>
      <c r="F1505" s="23" t="s">
        <v>4682</v>
      </c>
      <c r="G1505" s="23" t="s">
        <v>4682</v>
      </c>
      <c r="H1505" s="23">
        <v>0</v>
      </c>
      <c r="I1505" s="23" t="s">
        <v>4682</v>
      </c>
      <c r="J1505" s="23" t="s">
        <v>4729</v>
      </c>
      <c r="K1505" s="23" t="s">
        <v>4735</v>
      </c>
      <c r="L1505">
        <v>1970</v>
      </c>
      <c r="M1505" s="15" t="s">
        <v>4696</v>
      </c>
      <c r="N1505">
        <v>8</v>
      </c>
      <c r="O1505">
        <v>0</v>
      </c>
      <c r="P1505" s="21">
        <f>DATEVALUE(N1505&amp;"-"&amp;M1505&amp;"-"&amp;L1505)</f>
        <v>25757</v>
      </c>
      <c r="Q1505" s="22">
        <v>12713</v>
      </c>
      <c r="R1505" s="23" t="s">
        <v>4698</v>
      </c>
      <c r="S1505" s="23" t="s">
        <v>4701</v>
      </c>
      <c r="T1505" s="23" t="s">
        <v>4708</v>
      </c>
      <c r="U1505" s="23">
        <f>DATEDIF(P1505, DATE(2023, 6, 8), "Y")</f>
        <v>52</v>
      </c>
      <c r="V1505">
        <f>SUM(C1505:K1505)</f>
        <v>42.290000000000006</v>
      </c>
    </row>
    <row r="1506" spans="1:22" ht="15.75">
      <c r="A1506" s="28" t="s">
        <v>3010</v>
      </c>
      <c r="B1506" s="28" t="s">
        <v>3011</v>
      </c>
      <c r="C1506" s="23">
        <v>18.75</v>
      </c>
      <c r="D1506" s="23">
        <v>5.47</v>
      </c>
      <c r="E1506" s="23" t="s">
        <v>4683</v>
      </c>
      <c r="F1506" s="23" t="s">
        <v>4682</v>
      </c>
      <c r="G1506" s="23" t="s">
        <v>4684</v>
      </c>
      <c r="H1506" s="23">
        <v>1</v>
      </c>
      <c r="I1506" s="23" t="s">
        <v>4682</v>
      </c>
      <c r="J1506" s="23" t="s">
        <v>4728</v>
      </c>
      <c r="K1506" s="23" t="s">
        <v>4737</v>
      </c>
      <c r="L1506">
        <v>1988</v>
      </c>
      <c r="M1506" s="15" t="s">
        <v>4696</v>
      </c>
      <c r="N1506">
        <v>17</v>
      </c>
      <c r="O1506">
        <v>3</v>
      </c>
      <c r="P1506" s="21">
        <f>DATEVALUE(N1506&amp;"-"&amp;M1506&amp;"-"&amp;L1506)</f>
        <v>32341</v>
      </c>
      <c r="Q1506" s="22">
        <v>12718.21</v>
      </c>
      <c r="R1506" s="23" t="s">
        <v>4698</v>
      </c>
      <c r="S1506" s="23" t="s">
        <v>4701</v>
      </c>
      <c r="T1506" s="23" t="s">
        <v>4720</v>
      </c>
      <c r="U1506" s="23">
        <f>DATEDIF(P1506, DATE(2023, 6, 8), "Y")</f>
        <v>34</v>
      </c>
      <c r="V1506">
        <f>SUM(C1506:K1506)</f>
        <v>25.22</v>
      </c>
    </row>
    <row r="1507" spans="1:22" ht="15.75">
      <c r="A1507" s="28" t="s">
        <v>3012</v>
      </c>
      <c r="B1507" s="28" t="s">
        <v>3013</v>
      </c>
      <c r="C1507" s="23">
        <v>22.36</v>
      </c>
      <c r="D1507" s="23">
        <v>8.6</v>
      </c>
      <c r="E1507" s="23" t="s">
        <v>4682</v>
      </c>
      <c r="F1507" s="23" t="s">
        <v>4682</v>
      </c>
      <c r="G1507" s="23" t="s">
        <v>4682</v>
      </c>
      <c r="H1507" s="23">
        <v>0</v>
      </c>
      <c r="I1507" s="23" t="s">
        <v>4682</v>
      </c>
      <c r="J1507" s="23" t="s">
        <v>4728</v>
      </c>
      <c r="K1507" s="23" t="s">
        <v>4735</v>
      </c>
      <c r="L1507">
        <v>1962</v>
      </c>
      <c r="M1507" s="15" t="s">
        <v>4703</v>
      </c>
      <c r="N1507">
        <v>2</v>
      </c>
      <c r="O1507">
        <v>0</v>
      </c>
      <c r="P1507" s="21">
        <f>DATEVALUE(N1507&amp;"-"&amp;M1507&amp;"-"&amp;L1507)</f>
        <v>22891</v>
      </c>
      <c r="Q1507" s="22">
        <v>12731</v>
      </c>
      <c r="R1507" s="23" t="s">
        <v>4698</v>
      </c>
      <c r="S1507" s="23" t="s">
        <v>4698</v>
      </c>
      <c r="T1507" s="23" t="s">
        <v>4711</v>
      </c>
      <c r="U1507" s="23">
        <f>DATEDIF(P1507, DATE(2023, 6, 8), "Y")</f>
        <v>60</v>
      </c>
      <c r="V1507">
        <f>SUM(C1507:K1507)</f>
        <v>30.96</v>
      </c>
    </row>
    <row r="1508" spans="1:22" ht="15.75">
      <c r="A1508" s="28" t="s">
        <v>3014</v>
      </c>
      <c r="B1508" s="28" t="s">
        <v>3015</v>
      </c>
      <c r="C1508" s="23">
        <v>23.94</v>
      </c>
      <c r="D1508" s="23">
        <v>10.74</v>
      </c>
      <c r="E1508" s="23" t="s">
        <v>4683</v>
      </c>
      <c r="F1508" s="23" t="s">
        <v>4682</v>
      </c>
      <c r="G1508" s="23" t="s">
        <v>4682</v>
      </c>
      <c r="H1508" s="23">
        <v>0</v>
      </c>
      <c r="I1508" s="23" t="s">
        <v>4682</v>
      </c>
      <c r="J1508" s="23" t="s">
        <v>4728</v>
      </c>
      <c r="K1508" s="23" t="s">
        <v>4735</v>
      </c>
      <c r="L1508">
        <v>1962</v>
      </c>
      <c r="M1508" s="15" t="s">
        <v>4707</v>
      </c>
      <c r="N1508">
        <v>1</v>
      </c>
      <c r="O1508">
        <v>0</v>
      </c>
      <c r="P1508" s="21">
        <f>DATEVALUE(N1508&amp;"-"&amp;M1508&amp;"-"&amp;L1508)</f>
        <v>22920</v>
      </c>
      <c r="Q1508" s="22">
        <v>12741.17</v>
      </c>
      <c r="R1508" s="23" t="s">
        <v>4698</v>
      </c>
      <c r="S1508" s="23" t="s">
        <v>4701</v>
      </c>
      <c r="T1508" s="23" t="s">
        <v>4718</v>
      </c>
      <c r="U1508" s="23">
        <f>DATEDIF(P1508, DATE(2023, 6, 8), "Y")</f>
        <v>60</v>
      </c>
      <c r="V1508">
        <f>SUM(C1508:K1508)</f>
        <v>34.68</v>
      </c>
    </row>
    <row r="1509" spans="1:22" ht="15.75">
      <c r="A1509" s="28" t="s">
        <v>3016</v>
      </c>
      <c r="B1509" s="28" t="s">
        <v>3017</v>
      </c>
      <c r="C1509" s="23">
        <v>30.1</v>
      </c>
      <c r="D1509" s="23">
        <v>4.3899999999999997</v>
      </c>
      <c r="E1509" s="23" t="s">
        <v>4682</v>
      </c>
      <c r="F1509" s="23" t="s">
        <v>4682</v>
      </c>
      <c r="G1509" s="23" t="s">
        <v>4684</v>
      </c>
      <c r="H1509" s="23">
        <v>1</v>
      </c>
      <c r="I1509" s="23" t="s">
        <v>4682</v>
      </c>
      <c r="J1509" s="23" t="s">
        <v>4729</v>
      </c>
      <c r="K1509" s="23" t="s">
        <v>4737</v>
      </c>
      <c r="L1509">
        <v>1975</v>
      </c>
      <c r="M1509" s="15" t="s">
        <v>4703</v>
      </c>
      <c r="N1509">
        <v>25</v>
      </c>
      <c r="O1509">
        <v>1</v>
      </c>
      <c r="P1509" s="21">
        <f>DATEVALUE(N1509&amp;"-"&amp;M1509&amp;"-"&amp;L1509)</f>
        <v>27662</v>
      </c>
      <c r="Q1509" s="22">
        <v>12770.27</v>
      </c>
      <c r="R1509" s="23" t="s">
        <v>4698</v>
      </c>
      <c r="S1509" s="23" t="s">
        <v>4698</v>
      </c>
      <c r="T1509" s="23" t="s">
        <v>4717</v>
      </c>
      <c r="U1509" s="23">
        <f>DATEDIF(P1509, DATE(2023, 6, 8), "Y")</f>
        <v>47</v>
      </c>
      <c r="V1509">
        <f>SUM(C1509:K1509)</f>
        <v>35.49</v>
      </c>
    </row>
    <row r="1510" spans="1:22" ht="15.75">
      <c r="A1510" s="28" t="s">
        <v>3018</v>
      </c>
      <c r="B1510" s="28" t="s">
        <v>3019</v>
      </c>
      <c r="C1510" s="23">
        <v>21.93</v>
      </c>
      <c r="D1510" s="23">
        <v>6.3</v>
      </c>
      <c r="E1510" s="23" t="s">
        <v>4682</v>
      </c>
      <c r="F1510" s="23" t="s">
        <v>4682</v>
      </c>
      <c r="G1510" s="23" t="s">
        <v>4682</v>
      </c>
      <c r="H1510" s="23">
        <v>0</v>
      </c>
      <c r="I1510" s="23" t="s">
        <v>4682</v>
      </c>
      <c r="J1510" s="23" t="s">
        <v>4728</v>
      </c>
      <c r="K1510" s="23" t="s">
        <v>4736</v>
      </c>
      <c r="L1510">
        <v>1972</v>
      </c>
      <c r="M1510" s="15" t="s">
        <v>4707</v>
      </c>
      <c r="N1510">
        <v>7</v>
      </c>
      <c r="O1510">
        <v>0</v>
      </c>
      <c r="P1510" s="21">
        <f>DATEVALUE(N1510&amp;"-"&amp;M1510&amp;"-"&amp;L1510)</f>
        <v>26579</v>
      </c>
      <c r="Q1510" s="22">
        <v>12776.05</v>
      </c>
      <c r="R1510" s="23" t="s">
        <v>4698</v>
      </c>
      <c r="S1510" s="23" t="s">
        <v>4698</v>
      </c>
      <c r="T1510" s="23" t="s">
        <v>4720</v>
      </c>
      <c r="U1510" s="23">
        <f>DATEDIF(P1510, DATE(2023, 6, 8), "Y")</f>
        <v>50</v>
      </c>
      <c r="V1510">
        <f>SUM(C1510:K1510)</f>
        <v>28.23</v>
      </c>
    </row>
    <row r="1511" spans="1:22" ht="15.75">
      <c r="A1511" s="28" t="s">
        <v>3020</v>
      </c>
      <c r="B1511" s="28" t="s">
        <v>3021</v>
      </c>
      <c r="C1511" s="23">
        <v>39.75</v>
      </c>
      <c r="D1511" s="23">
        <v>5.41</v>
      </c>
      <c r="E1511" s="23" t="s">
        <v>4682</v>
      </c>
      <c r="F1511" s="23" t="s">
        <v>4683</v>
      </c>
      <c r="G1511" s="23" t="s">
        <v>4682</v>
      </c>
      <c r="H1511" s="23">
        <v>1</v>
      </c>
      <c r="I1511" s="23" t="s">
        <v>4682</v>
      </c>
      <c r="J1511" s="23" t="s">
        <v>4729</v>
      </c>
      <c r="K1511" s="23" t="s">
        <v>4737</v>
      </c>
      <c r="L1511">
        <v>1963</v>
      </c>
      <c r="M1511" s="15" t="s">
        <v>4705</v>
      </c>
      <c r="N1511">
        <v>5</v>
      </c>
      <c r="O1511">
        <v>0</v>
      </c>
      <c r="P1511" s="21">
        <f>DATEVALUE(N1511&amp;"-"&amp;M1511&amp;"-"&amp;L1511)</f>
        <v>23350</v>
      </c>
      <c r="Q1511" s="22">
        <v>12788.03</v>
      </c>
      <c r="R1511" s="23" t="s">
        <v>4698</v>
      </c>
      <c r="S1511" s="23" t="s">
        <v>4698</v>
      </c>
      <c r="T1511" s="23" t="s">
        <v>4713</v>
      </c>
      <c r="U1511" s="23">
        <f>DATEDIF(P1511, DATE(2023, 6, 8), "Y")</f>
        <v>59</v>
      </c>
      <c r="V1511">
        <f>SUM(C1511:K1511)</f>
        <v>46.16</v>
      </c>
    </row>
    <row r="1512" spans="1:22" ht="15.75">
      <c r="A1512" s="28" t="s">
        <v>3022</v>
      </c>
      <c r="B1512" s="28" t="s">
        <v>3023</v>
      </c>
      <c r="C1512" s="23">
        <v>26.03</v>
      </c>
      <c r="D1512" s="23">
        <v>4.47</v>
      </c>
      <c r="E1512" s="23" t="s">
        <v>4682</v>
      </c>
      <c r="F1512" s="23" t="s">
        <v>4682</v>
      </c>
      <c r="G1512" s="23" t="s">
        <v>4684</v>
      </c>
      <c r="H1512" s="23">
        <v>1</v>
      </c>
      <c r="I1512" s="23" t="s">
        <v>4682</v>
      </c>
      <c r="J1512" s="23" t="s">
        <v>4730</v>
      </c>
      <c r="K1512" s="23" t="s">
        <v>4737</v>
      </c>
      <c r="L1512">
        <v>1983</v>
      </c>
      <c r="M1512" s="15" t="s">
        <v>4707</v>
      </c>
      <c r="N1512">
        <v>29</v>
      </c>
      <c r="O1512">
        <v>3</v>
      </c>
      <c r="P1512" s="21">
        <f>DATEVALUE(N1512&amp;"-"&amp;M1512&amp;"-"&amp;L1512)</f>
        <v>30618</v>
      </c>
      <c r="Q1512" s="22">
        <v>12788.18</v>
      </c>
      <c r="R1512" s="23" t="s">
        <v>4698</v>
      </c>
      <c r="S1512" s="23" t="s">
        <v>4701</v>
      </c>
      <c r="T1512" s="23" t="s">
        <v>4720</v>
      </c>
      <c r="U1512" s="23">
        <f>DATEDIF(P1512, DATE(2023, 6, 8), "Y")</f>
        <v>39</v>
      </c>
      <c r="V1512">
        <f>SUM(C1512:K1512)</f>
        <v>31.5</v>
      </c>
    </row>
    <row r="1513" spans="1:22" ht="15.75">
      <c r="A1513" s="28" t="s">
        <v>3024</v>
      </c>
      <c r="B1513" s="28" t="s">
        <v>3025</v>
      </c>
      <c r="C1513" s="23">
        <v>34.51</v>
      </c>
      <c r="D1513" s="23">
        <v>6.26</v>
      </c>
      <c r="E1513" s="23" t="s">
        <v>4682</v>
      </c>
      <c r="F1513" s="23" t="s">
        <v>4682</v>
      </c>
      <c r="G1513" s="23" t="s">
        <v>4682</v>
      </c>
      <c r="H1513" s="23">
        <v>0</v>
      </c>
      <c r="I1513" s="23" t="s">
        <v>4682</v>
      </c>
      <c r="J1513" s="23" t="s">
        <v>4729</v>
      </c>
      <c r="K1513" s="23" t="s">
        <v>4736</v>
      </c>
      <c r="L1513">
        <v>1978</v>
      </c>
      <c r="M1513" s="15" t="s">
        <v>4696</v>
      </c>
      <c r="N1513">
        <v>24</v>
      </c>
      <c r="O1513">
        <v>0</v>
      </c>
      <c r="P1513" s="21">
        <f>DATEVALUE(N1513&amp;"-"&amp;M1513&amp;"-"&amp;L1513)</f>
        <v>28695</v>
      </c>
      <c r="Q1513" s="22">
        <v>12797.21</v>
      </c>
      <c r="R1513" s="23" t="s">
        <v>4698</v>
      </c>
      <c r="S1513" s="23" t="s">
        <v>4701</v>
      </c>
      <c r="T1513" s="23" t="s">
        <v>4714</v>
      </c>
      <c r="U1513" s="23">
        <f>DATEDIF(P1513, DATE(2023, 6, 8), "Y")</f>
        <v>44</v>
      </c>
      <c r="V1513">
        <f>SUM(C1513:K1513)</f>
        <v>40.769999999999996</v>
      </c>
    </row>
    <row r="1514" spans="1:22" ht="15.75">
      <c r="A1514" s="28" t="s">
        <v>3026</v>
      </c>
      <c r="B1514" s="28" t="s">
        <v>3027</v>
      </c>
      <c r="C1514" s="23">
        <v>19.32</v>
      </c>
      <c r="D1514" s="23">
        <v>11.58</v>
      </c>
      <c r="E1514" s="23" t="s">
        <v>4683</v>
      </c>
      <c r="F1514" s="23" t="s">
        <v>4682</v>
      </c>
      <c r="G1514" s="23" t="s">
        <v>4682</v>
      </c>
      <c r="H1514" s="23">
        <v>1</v>
      </c>
      <c r="I1514" s="23" t="s">
        <v>4682</v>
      </c>
      <c r="J1514" s="23" t="s">
        <v>4728</v>
      </c>
      <c r="K1514" s="23" t="s">
        <v>4735</v>
      </c>
      <c r="L1514">
        <v>1963</v>
      </c>
      <c r="M1514" s="15" t="s">
        <v>4696</v>
      </c>
      <c r="N1514">
        <v>20</v>
      </c>
      <c r="O1514">
        <v>0</v>
      </c>
      <c r="P1514" s="21">
        <f>DATEVALUE(N1514&amp;"-"&amp;M1514&amp;"-"&amp;L1514)</f>
        <v>23212</v>
      </c>
      <c r="Q1514" s="22">
        <v>12815.44</v>
      </c>
      <c r="R1514" s="23" t="s">
        <v>4698</v>
      </c>
      <c r="S1514" s="23" t="s">
        <v>4698</v>
      </c>
      <c r="T1514" s="23" t="s">
        <v>4714</v>
      </c>
      <c r="U1514" s="23">
        <f>DATEDIF(P1514, DATE(2023, 6, 8), "Y")</f>
        <v>59</v>
      </c>
      <c r="V1514">
        <f>SUM(C1514:K1514)</f>
        <v>31.9</v>
      </c>
    </row>
    <row r="1515" spans="1:22" ht="15.75">
      <c r="A1515" s="28" t="s">
        <v>3028</v>
      </c>
      <c r="B1515" s="28" t="s">
        <v>3029</v>
      </c>
      <c r="C1515" s="23">
        <v>28.5</v>
      </c>
      <c r="D1515" s="23">
        <v>4.3600000000000003</v>
      </c>
      <c r="E1515" s="23" t="s">
        <v>4682</v>
      </c>
      <c r="F1515" s="23" t="s">
        <v>4682</v>
      </c>
      <c r="G1515" s="23" t="s">
        <v>4682</v>
      </c>
      <c r="H1515" s="23">
        <v>0</v>
      </c>
      <c r="I1515" s="23" t="s">
        <v>4682</v>
      </c>
      <c r="J1515" s="23" t="s">
        <v>4730</v>
      </c>
      <c r="K1515" s="23" t="s">
        <v>4737</v>
      </c>
      <c r="L1515">
        <v>1967</v>
      </c>
      <c r="M1515" s="15" t="s">
        <v>4703</v>
      </c>
      <c r="N1515">
        <v>25</v>
      </c>
      <c r="O1515">
        <v>0</v>
      </c>
      <c r="P1515" s="21">
        <f>DATEVALUE(N1515&amp;"-"&amp;M1515&amp;"-"&amp;L1515)</f>
        <v>24740</v>
      </c>
      <c r="Q1515" s="22">
        <v>12823.25</v>
      </c>
      <c r="R1515" s="23" t="s">
        <v>4698</v>
      </c>
      <c r="S1515" s="23" t="s">
        <v>4698</v>
      </c>
      <c r="T1515" s="23" t="s">
        <v>4717</v>
      </c>
      <c r="U1515" s="23">
        <f>DATEDIF(P1515, DATE(2023, 6, 8), "Y")</f>
        <v>55</v>
      </c>
      <c r="V1515">
        <f>SUM(C1515:K1515)</f>
        <v>32.86</v>
      </c>
    </row>
    <row r="1516" spans="1:22" ht="15.75">
      <c r="A1516" s="28" t="s">
        <v>3030</v>
      </c>
      <c r="B1516" s="28" t="s">
        <v>3031</v>
      </c>
      <c r="C1516" s="23">
        <v>30.875</v>
      </c>
      <c r="D1516" s="23">
        <v>4.1399999999999997</v>
      </c>
      <c r="E1516" s="23" t="s">
        <v>4683</v>
      </c>
      <c r="F1516" s="23" t="s">
        <v>4682</v>
      </c>
      <c r="G1516" s="23" t="s">
        <v>4682</v>
      </c>
      <c r="H1516" s="23">
        <v>0</v>
      </c>
      <c r="I1516" s="23" t="s">
        <v>4682</v>
      </c>
      <c r="J1516" s="23" t="s">
        <v>4729</v>
      </c>
      <c r="K1516" s="23" t="s">
        <v>4737</v>
      </c>
      <c r="L1516">
        <v>2004</v>
      </c>
      <c r="M1516" s="15" t="s">
        <v>4700</v>
      </c>
      <c r="N1516">
        <v>9</v>
      </c>
      <c r="O1516">
        <v>2</v>
      </c>
      <c r="P1516" s="21">
        <f>DATEVALUE(N1516&amp;"-"&amp;M1516&amp;"-"&amp;L1516)</f>
        <v>38300</v>
      </c>
      <c r="Q1516" s="22">
        <v>12829.46</v>
      </c>
      <c r="R1516" s="23" t="s">
        <v>4698</v>
      </c>
      <c r="S1516" s="23" t="s">
        <v>4698</v>
      </c>
      <c r="T1516" s="23" t="s">
        <v>4711</v>
      </c>
      <c r="U1516" s="23">
        <f>DATEDIF(P1516, DATE(2023, 6, 8), "Y")</f>
        <v>18</v>
      </c>
      <c r="V1516">
        <f>SUM(C1516:K1516)</f>
        <v>35.015000000000001</v>
      </c>
    </row>
    <row r="1517" spans="1:22" ht="15.75">
      <c r="A1517" s="28" t="s">
        <v>3032</v>
      </c>
      <c r="B1517" s="28" t="s">
        <v>3033</v>
      </c>
      <c r="C1517" s="23">
        <v>24.02</v>
      </c>
      <c r="D1517" s="23">
        <v>4.38</v>
      </c>
      <c r="E1517" s="23" t="s">
        <v>4682</v>
      </c>
      <c r="F1517" s="23" t="s">
        <v>4682</v>
      </c>
      <c r="G1517" s="23" t="s">
        <v>4682</v>
      </c>
      <c r="H1517" s="23">
        <v>0</v>
      </c>
      <c r="I1517" s="23" t="s">
        <v>4682</v>
      </c>
      <c r="J1517" s="23" t="s">
        <v>4728</v>
      </c>
      <c r="K1517" s="23" t="s">
        <v>4737</v>
      </c>
      <c r="L1517">
        <v>1993</v>
      </c>
      <c r="M1517" s="15" t="s">
        <v>4703</v>
      </c>
      <c r="N1517">
        <v>27</v>
      </c>
      <c r="O1517">
        <v>0</v>
      </c>
      <c r="P1517" s="21">
        <f>DATEVALUE(N1517&amp;"-"&amp;M1517&amp;"-"&amp;L1517)</f>
        <v>34239</v>
      </c>
      <c r="Q1517" s="22">
        <v>12847.24</v>
      </c>
      <c r="R1517" s="23" t="s">
        <v>4698</v>
      </c>
      <c r="S1517" s="23" t="s">
        <v>4697</v>
      </c>
      <c r="T1517" s="23" t="s">
        <v>4704</v>
      </c>
      <c r="U1517" s="23">
        <f>DATEDIF(P1517, DATE(2023, 6, 8), "Y")</f>
        <v>29</v>
      </c>
      <c r="V1517">
        <f>SUM(C1517:K1517)</f>
        <v>28.4</v>
      </c>
    </row>
    <row r="1518" spans="1:22" ht="15.75">
      <c r="A1518" s="28" t="s">
        <v>3034</v>
      </c>
      <c r="B1518" s="28" t="s">
        <v>3035</v>
      </c>
      <c r="C1518" s="23">
        <v>36.08</v>
      </c>
      <c r="D1518" s="23">
        <v>11.61</v>
      </c>
      <c r="E1518" s="23" t="s">
        <v>4683</v>
      </c>
      <c r="F1518" s="23" t="s">
        <v>4682</v>
      </c>
      <c r="G1518" s="23" t="s">
        <v>4682</v>
      </c>
      <c r="H1518" s="23">
        <v>0</v>
      </c>
      <c r="I1518" s="23" t="s">
        <v>4682</v>
      </c>
      <c r="J1518" s="23" t="s">
        <v>4729</v>
      </c>
      <c r="K1518" s="23" t="s">
        <v>4735</v>
      </c>
      <c r="L1518">
        <v>1973</v>
      </c>
      <c r="M1518" s="15" t="s">
        <v>4703</v>
      </c>
      <c r="N1518">
        <v>22</v>
      </c>
      <c r="O1518">
        <v>0</v>
      </c>
      <c r="P1518" s="21">
        <f>DATEVALUE(N1518&amp;"-"&amp;M1518&amp;"-"&amp;L1518)</f>
        <v>26929</v>
      </c>
      <c r="Q1518" s="22">
        <v>12852.37</v>
      </c>
      <c r="R1518" s="23" t="s">
        <v>4698</v>
      </c>
      <c r="S1518" s="23" t="s">
        <v>4701</v>
      </c>
      <c r="T1518" s="23" t="s">
        <v>4704</v>
      </c>
      <c r="U1518" s="23">
        <f>DATEDIF(P1518, DATE(2023, 6, 8), "Y")</f>
        <v>49</v>
      </c>
      <c r="V1518">
        <f>SUM(C1518:K1518)</f>
        <v>47.69</v>
      </c>
    </row>
    <row r="1519" spans="1:22" ht="15.75">
      <c r="A1519" s="28" t="s">
        <v>3036</v>
      </c>
      <c r="B1519" s="28" t="s">
        <v>3037</v>
      </c>
      <c r="C1519" s="23">
        <v>32.200000000000003</v>
      </c>
      <c r="D1519" s="23">
        <v>10.59</v>
      </c>
      <c r="E1519" s="23" t="s">
        <v>4683</v>
      </c>
      <c r="F1519" s="23" t="s">
        <v>4682</v>
      </c>
      <c r="G1519" s="23" t="s">
        <v>4682</v>
      </c>
      <c r="H1519" s="23">
        <v>0</v>
      </c>
      <c r="I1519" s="23" t="s">
        <v>4682</v>
      </c>
      <c r="J1519" s="23" t="s">
        <v>4729</v>
      </c>
      <c r="K1519" s="23" t="s">
        <v>4735</v>
      </c>
      <c r="L1519">
        <v>1963</v>
      </c>
      <c r="M1519" s="15" t="s">
        <v>4703</v>
      </c>
      <c r="N1519">
        <v>27</v>
      </c>
      <c r="O1519">
        <v>0</v>
      </c>
      <c r="P1519" s="21">
        <f>DATEVALUE(N1519&amp;"-"&amp;M1519&amp;"-"&amp;L1519)</f>
        <v>23281</v>
      </c>
      <c r="Q1519" s="22">
        <v>12856.84</v>
      </c>
      <c r="R1519" s="23" t="s">
        <v>4698</v>
      </c>
      <c r="S1519" s="23" t="s">
        <v>4698</v>
      </c>
      <c r="T1519" s="23" t="s">
        <v>4717</v>
      </c>
      <c r="U1519" s="23">
        <f>DATEDIF(P1519, DATE(2023, 6, 8), "Y")</f>
        <v>59</v>
      </c>
      <c r="V1519">
        <f>SUM(C1519:K1519)</f>
        <v>42.790000000000006</v>
      </c>
    </row>
    <row r="1520" spans="1:22" ht="15.75">
      <c r="A1520" s="28" t="s">
        <v>3038</v>
      </c>
      <c r="B1520" s="28" t="s">
        <v>3039</v>
      </c>
      <c r="C1520" s="23">
        <v>28.05</v>
      </c>
      <c r="D1520" s="23">
        <v>11.85</v>
      </c>
      <c r="E1520" s="23" t="s">
        <v>4683</v>
      </c>
      <c r="F1520" s="23" t="s">
        <v>4682</v>
      </c>
      <c r="G1520" s="23" t="s">
        <v>4682</v>
      </c>
      <c r="H1520" s="23">
        <v>0</v>
      </c>
      <c r="I1520" s="23" t="s">
        <v>4682</v>
      </c>
      <c r="J1520" s="23" t="s">
        <v>4730</v>
      </c>
      <c r="K1520" s="23" t="s">
        <v>4735</v>
      </c>
      <c r="L1520">
        <v>1984</v>
      </c>
      <c r="M1520" s="15" t="s">
        <v>4706</v>
      </c>
      <c r="N1520">
        <v>6</v>
      </c>
      <c r="O1520">
        <v>3</v>
      </c>
      <c r="P1520" s="21">
        <f>DATEVALUE(N1520&amp;"-"&amp;M1520&amp;"-"&amp;L1520)</f>
        <v>30900</v>
      </c>
      <c r="Q1520" s="22">
        <v>12870.31</v>
      </c>
      <c r="R1520" s="23" t="s">
        <v>4698</v>
      </c>
      <c r="S1520" s="23" t="s">
        <v>4698</v>
      </c>
      <c r="T1520" s="23" t="s">
        <v>4704</v>
      </c>
      <c r="U1520" s="23">
        <f>DATEDIF(P1520, DATE(2023, 6, 8), "Y")</f>
        <v>38</v>
      </c>
      <c r="V1520">
        <f>SUM(C1520:K1520)</f>
        <v>39.9</v>
      </c>
    </row>
    <row r="1521" spans="1:22" ht="15.75">
      <c r="A1521" s="28" t="s">
        <v>3040</v>
      </c>
      <c r="B1521" s="28" t="s">
        <v>3041</v>
      </c>
      <c r="C1521" s="23">
        <v>19</v>
      </c>
      <c r="D1521" s="23">
        <v>5.46</v>
      </c>
      <c r="E1521" s="23" t="s">
        <v>4683</v>
      </c>
      <c r="F1521" s="23" t="s">
        <v>4682</v>
      </c>
      <c r="G1521" s="23" t="s">
        <v>4682</v>
      </c>
      <c r="H1521" s="23">
        <v>1</v>
      </c>
      <c r="I1521" s="23" t="s">
        <v>4682</v>
      </c>
      <c r="J1521" s="23" t="s">
        <v>4728</v>
      </c>
      <c r="K1521" s="23" t="s">
        <v>4737</v>
      </c>
      <c r="L1521">
        <v>2004</v>
      </c>
      <c r="M1521" s="15" t="s">
        <v>4696</v>
      </c>
      <c r="N1521">
        <v>9</v>
      </c>
      <c r="O1521">
        <v>0</v>
      </c>
      <c r="P1521" s="21">
        <f>DATEVALUE(N1521&amp;"-"&amp;M1521&amp;"-"&amp;L1521)</f>
        <v>38177</v>
      </c>
      <c r="Q1521" s="22">
        <v>12890.06</v>
      </c>
      <c r="R1521" s="23" t="s">
        <v>4698</v>
      </c>
      <c r="S1521" s="23" t="s">
        <v>4701</v>
      </c>
      <c r="T1521" s="23" t="s">
        <v>4710</v>
      </c>
      <c r="U1521" s="23">
        <f>DATEDIF(P1521, DATE(2023, 6, 8), "Y")</f>
        <v>18</v>
      </c>
      <c r="V1521">
        <f>SUM(C1521:K1521)</f>
        <v>25.46</v>
      </c>
    </row>
    <row r="1522" spans="1:22" ht="15.75">
      <c r="A1522" s="28" t="s">
        <v>3042</v>
      </c>
      <c r="B1522" s="28" t="s">
        <v>3043</v>
      </c>
      <c r="C1522" s="23">
        <v>16.13</v>
      </c>
      <c r="D1522" s="23">
        <v>4.54</v>
      </c>
      <c r="E1522" s="23" t="s">
        <v>4683</v>
      </c>
      <c r="F1522" s="23" t="s">
        <v>4682</v>
      </c>
      <c r="G1522" s="23" t="s">
        <v>4682</v>
      </c>
      <c r="H1522" s="23">
        <v>2</v>
      </c>
      <c r="I1522" s="23" t="s">
        <v>4682</v>
      </c>
      <c r="J1522" s="23" t="s">
        <v>4731</v>
      </c>
      <c r="K1522" s="23" t="s">
        <v>4737</v>
      </c>
      <c r="L1522">
        <v>1963</v>
      </c>
      <c r="M1522" s="15" t="s">
        <v>4706</v>
      </c>
      <c r="N1522">
        <v>16</v>
      </c>
      <c r="O1522">
        <v>1</v>
      </c>
      <c r="P1522" s="21">
        <f>DATEVALUE(N1522&amp;"-"&amp;M1522&amp;"-"&amp;L1522)</f>
        <v>23239</v>
      </c>
      <c r="Q1522" s="22">
        <v>12913.99</v>
      </c>
      <c r="R1522" s="23" t="s">
        <v>4698</v>
      </c>
      <c r="S1522" s="23" t="s">
        <v>4697</v>
      </c>
      <c r="T1522" s="23" t="s">
        <v>4711</v>
      </c>
      <c r="U1522" s="23">
        <f>DATEDIF(P1522, DATE(2023, 6, 8), "Y")</f>
        <v>59</v>
      </c>
      <c r="V1522">
        <f>SUM(C1522:K1522)</f>
        <v>22.669999999999998</v>
      </c>
    </row>
    <row r="1523" spans="1:22" ht="15.75">
      <c r="A1523" s="28" t="s">
        <v>3044</v>
      </c>
      <c r="B1523" s="28" t="s">
        <v>3045</v>
      </c>
      <c r="C1523" s="23">
        <v>18.77</v>
      </c>
      <c r="D1523" s="23">
        <v>11.98</v>
      </c>
      <c r="E1523" s="23" t="s">
        <v>4683</v>
      </c>
      <c r="F1523" s="23" t="s">
        <v>4682</v>
      </c>
      <c r="G1523" s="23" t="s">
        <v>4682</v>
      </c>
      <c r="H1523" s="23">
        <v>2</v>
      </c>
      <c r="I1523" s="23" t="s">
        <v>4682</v>
      </c>
      <c r="J1523" s="23" t="s">
        <v>4728</v>
      </c>
      <c r="K1523" s="23" t="s">
        <v>4735</v>
      </c>
      <c r="L1523">
        <v>1963</v>
      </c>
      <c r="M1523" s="15" t="s">
        <v>4703</v>
      </c>
      <c r="N1523">
        <v>1</v>
      </c>
      <c r="O1523">
        <v>2</v>
      </c>
      <c r="P1523" s="21">
        <f>DATEVALUE(N1523&amp;"-"&amp;M1523&amp;"-"&amp;L1523)</f>
        <v>23255</v>
      </c>
      <c r="Q1523" s="22">
        <v>12925.89</v>
      </c>
      <c r="R1523" s="23" t="s">
        <v>4698</v>
      </c>
      <c r="S1523" s="23" t="s">
        <v>4697</v>
      </c>
      <c r="T1523" s="23" t="s">
        <v>4699</v>
      </c>
      <c r="U1523" s="23">
        <f>DATEDIF(P1523, DATE(2023, 6, 8), "Y")</f>
        <v>59</v>
      </c>
      <c r="V1523">
        <f>SUM(C1523:K1523)</f>
        <v>32.75</v>
      </c>
    </row>
    <row r="1524" spans="1:22" ht="15.75">
      <c r="A1524" s="28" t="s">
        <v>3046</v>
      </c>
      <c r="B1524" s="28" t="s">
        <v>3047</v>
      </c>
      <c r="C1524" s="23">
        <v>28.88</v>
      </c>
      <c r="D1524" s="23">
        <v>6.59</v>
      </c>
      <c r="E1524" s="23" t="s">
        <v>4683</v>
      </c>
      <c r="F1524" s="23" t="s">
        <v>4682</v>
      </c>
      <c r="G1524" s="23" t="s">
        <v>4682</v>
      </c>
      <c r="H1524" s="23">
        <v>1</v>
      </c>
      <c r="I1524" s="23" t="s">
        <v>4682</v>
      </c>
      <c r="J1524" s="23" t="s">
        <v>4730</v>
      </c>
      <c r="K1524" s="23" t="s">
        <v>4735</v>
      </c>
      <c r="L1524">
        <v>1963</v>
      </c>
      <c r="M1524" s="15" t="s">
        <v>4706</v>
      </c>
      <c r="N1524">
        <v>14</v>
      </c>
      <c r="O1524">
        <v>2</v>
      </c>
      <c r="P1524" s="21">
        <f>DATEVALUE(N1524&amp;"-"&amp;M1524&amp;"-"&amp;L1524)</f>
        <v>23237</v>
      </c>
      <c r="Q1524" s="22">
        <v>12928.79</v>
      </c>
      <c r="R1524" s="23" t="s">
        <v>4698</v>
      </c>
      <c r="S1524" s="23" t="s">
        <v>4697</v>
      </c>
      <c r="T1524" s="23" t="s">
        <v>4699</v>
      </c>
      <c r="U1524" s="23">
        <f>DATEDIF(P1524, DATE(2023, 6, 8), "Y")</f>
        <v>59</v>
      </c>
      <c r="V1524">
        <f>SUM(C1524:K1524)</f>
        <v>36.47</v>
      </c>
    </row>
    <row r="1525" spans="1:22" ht="15.75">
      <c r="A1525" s="28" t="s">
        <v>3048</v>
      </c>
      <c r="B1525" s="28" t="s">
        <v>3049</v>
      </c>
      <c r="C1525" s="23">
        <v>27.55</v>
      </c>
      <c r="D1525" s="23">
        <v>10.83</v>
      </c>
      <c r="E1525" s="23" t="s">
        <v>4683</v>
      </c>
      <c r="F1525" s="23" t="s">
        <v>4682</v>
      </c>
      <c r="G1525" s="23" t="s">
        <v>4682</v>
      </c>
      <c r="H1525" s="23">
        <v>1</v>
      </c>
      <c r="I1525" s="23" t="s">
        <v>4682</v>
      </c>
      <c r="J1525" s="23" t="s">
        <v>4730</v>
      </c>
      <c r="K1525" s="23" t="s">
        <v>4735</v>
      </c>
      <c r="L1525">
        <v>1966</v>
      </c>
      <c r="M1525" s="15" t="s">
        <v>4705</v>
      </c>
      <c r="N1525">
        <v>22</v>
      </c>
      <c r="O1525">
        <v>4</v>
      </c>
      <c r="P1525" s="21">
        <f>DATEVALUE(N1525&amp;"-"&amp;M1525&amp;"-"&amp;L1525)</f>
        <v>24463</v>
      </c>
      <c r="Q1525" s="22">
        <v>12949.16</v>
      </c>
      <c r="R1525" s="23" t="s">
        <v>4698</v>
      </c>
      <c r="S1525" s="23" t="s">
        <v>4698</v>
      </c>
      <c r="T1525" s="23" t="s">
        <v>4699</v>
      </c>
      <c r="U1525" s="23">
        <f>DATEDIF(P1525, DATE(2023, 6, 8), "Y")</f>
        <v>56</v>
      </c>
      <c r="V1525">
        <f>SUM(C1525:K1525)</f>
        <v>39.380000000000003</v>
      </c>
    </row>
    <row r="1526" spans="1:22" ht="15.75">
      <c r="A1526" s="28" t="s">
        <v>3050</v>
      </c>
      <c r="B1526" s="28" t="s">
        <v>3051</v>
      </c>
      <c r="C1526" s="23">
        <v>15.6</v>
      </c>
      <c r="D1526" s="23">
        <v>8.6</v>
      </c>
      <c r="E1526" s="23" t="s">
        <v>4682</v>
      </c>
      <c r="F1526" s="23" t="s">
        <v>4682</v>
      </c>
      <c r="G1526" s="23" t="s">
        <v>4682</v>
      </c>
      <c r="H1526" s="23">
        <v>0</v>
      </c>
      <c r="I1526" s="23" t="s">
        <v>4682</v>
      </c>
      <c r="J1526" s="23" t="s">
        <v>4731</v>
      </c>
      <c r="K1526" s="23" t="s">
        <v>4735</v>
      </c>
      <c r="L1526">
        <v>1961</v>
      </c>
      <c r="M1526" s="15" t="s">
        <v>4706</v>
      </c>
      <c r="N1526">
        <v>20</v>
      </c>
      <c r="O1526">
        <v>0</v>
      </c>
      <c r="P1526" s="21">
        <f>DATEVALUE(N1526&amp;"-"&amp;M1526&amp;"-"&amp;L1526)</f>
        <v>22513</v>
      </c>
      <c r="Q1526" s="22">
        <v>12950.07</v>
      </c>
      <c r="R1526" s="23" t="s">
        <v>4698</v>
      </c>
      <c r="S1526" s="23" t="s">
        <v>4701</v>
      </c>
      <c r="T1526" s="23" t="s">
        <v>4704</v>
      </c>
      <c r="U1526" s="23">
        <f>DATEDIF(P1526, DATE(2023, 6, 8), "Y")</f>
        <v>61</v>
      </c>
      <c r="V1526">
        <f>SUM(C1526:K1526)</f>
        <v>24.2</v>
      </c>
    </row>
    <row r="1527" spans="1:22" ht="15.75">
      <c r="A1527" s="28" t="s">
        <v>3052</v>
      </c>
      <c r="B1527" s="28" t="s">
        <v>3053</v>
      </c>
      <c r="C1527" s="23">
        <v>21.99</v>
      </c>
      <c r="D1527" s="23">
        <v>11.17</v>
      </c>
      <c r="E1527" s="23" t="s">
        <v>4682</v>
      </c>
      <c r="F1527" s="23" t="s">
        <v>4682</v>
      </c>
      <c r="G1527" s="23" t="s">
        <v>4682</v>
      </c>
      <c r="H1527" s="23">
        <v>0</v>
      </c>
      <c r="I1527" s="23" t="s">
        <v>4682</v>
      </c>
      <c r="J1527" s="23" t="s">
        <v>4728</v>
      </c>
      <c r="K1527" s="23" t="s">
        <v>4735</v>
      </c>
      <c r="L1527">
        <v>1960</v>
      </c>
      <c r="M1527" s="15" t="s">
        <v>4700</v>
      </c>
      <c r="N1527">
        <v>4</v>
      </c>
      <c r="O1527">
        <v>0</v>
      </c>
      <c r="P1527" s="21">
        <f>DATEVALUE(N1527&amp;"-"&amp;M1527&amp;"-"&amp;L1527)</f>
        <v>22224</v>
      </c>
      <c r="Q1527" s="22">
        <v>12957.12</v>
      </c>
      <c r="R1527" s="23" t="s">
        <v>4698</v>
      </c>
      <c r="S1527" s="23" t="s">
        <v>4701</v>
      </c>
      <c r="T1527" s="23" t="s">
        <v>4708</v>
      </c>
      <c r="U1527" s="23">
        <f>DATEDIF(P1527, DATE(2023, 6, 8), "Y")</f>
        <v>62</v>
      </c>
      <c r="V1527">
        <f>SUM(C1527:K1527)</f>
        <v>33.159999999999997</v>
      </c>
    </row>
    <row r="1528" spans="1:22" ht="15.75">
      <c r="A1528" s="28" t="s">
        <v>3054</v>
      </c>
      <c r="B1528" s="28" t="s">
        <v>3055</v>
      </c>
      <c r="C1528" s="23">
        <v>34.85</v>
      </c>
      <c r="D1528" s="23">
        <v>5.75</v>
      </c>
      <c r="E1528" s="23" t="s">
        <v>4682</v>
      </c>
      <c r="F1528" s="23" t="s">
        <v>4682</v>
      </c>
      <c r="G1528" s="23" t="s">
        <v>4682</v>
      </c>
      <c r="H1528" s="23">
        <v>0</v>
      </c>
      <c r="I1528" s="23" t="s">
        <v>4682</v>
      </c>
      <c r="J1528" s="23" t="s">
        <v>4729</v>
      </c>
      <c r="K1528" s="23" t="s">
        <v>4736</v>
      </c>
      <c r="L1528">
        <v>1960</v>
      </c>
      <c r="M1528" s="15" t="s">
        <v>4702</v>
      </c>
      <c r="N1528">
        <v>22</v>
      </c>
      <c r="O1528">
        <v>0</v>
      </c>
      <c r="P1528" s="21">
        <f>DATEVALUE(N1528&amp;"-"&amp;M1528&amp;"-"&amp;L1528)</f>
        <v>22089</v>
      </c>
      <c r="Q1528" s="22">
        <v>12979.36</v>
      </c>
      <c r="R1528" s="23" t="s">
        <v>4698</v>
      </c>
      <c r="S1528" s="23" t="s">
        <v>4701</v>
      </c>
      <c r="T1528" s="23" t="s">
        <v>4708</v>
      </c>
      <c r="U1528" s="23">
        <f>DATEDIF(P1528, DATE(2023, 6, 8), "Y")</f>
        <v>62</v>
      </c>
      <c r="V1528">
        <f>SUM(C1528:K1528)</f>
        <v>40.6</v>
      </c>
    </row>
    <row r="1529" spans="1:22" ht="15.75">
      <c r="A1529" s="28" t="s">
        <v>3056</v>
      </c>
      <c r="B1529" s="28" t="s">
        <v>3057</v>
      </c>
      <c r="C1529" s="23">
        <v>24.51</v>
      </c>
      <c r="D1529" s="23">
        <v>4.83</v>
      </c>
      <c r="E1529" s="23" t="s">
        <v>4683</v>
      </c>
      <c r="F1529" s="23" t="s">
        <v>4682</v>
      </c>
      <c r="G1529" s="23" t="s">
        <v>4684</v>
      </c>
      <c r="H1529" s="23">
        <v>1</v>
      </c>
      <c r="I1529" s="23" t="s">
        <v>4682</v>
      </c>
      <c r="J1529" s="23" t="s">
        <v>4728</v>
      </c>
      <c r="K1529" s="23" t="s">
        <v>4737</v>
      </c>
      <c r="L1529">
        <v>1960</v>
      </c>
      <c r="M1529" s="15" t="s">
        <v>4703</v>
      </c>
      <c r="N1529">
        <v>23</v>
      </c>
      <c r="O1529">
        <v>0</v>
      </c>
      <c r="P1529" s="21">
        <f>DATEVALUE(N1529&amp;"-"&amp;M1529&amp;"-"&amp;L1529)</f>
        <v>22182</v>
      </c>
      <c r="Q1529" s="22">
        <v>12981.35</v>
      </c>
      <c r="R1529" s="23" t="s">
        <v>4698</v>
      </c>
      <c r="S1529" s="23" t="s">
        <v>4698</v>
      </c>
      <c r="T1529" s="23" t="s">
        <v>4699</v>
      </c>
      <c r="U1529" s="23">
        <f>DATEDIF(P1529, DATE(2023, 6, 8), "Y")</f>
        <v>62</v>
      </c>
      <c r="V1529">
        <f>SUM(C1529:K1529)</f>
        <v>30.340000000000003</v>
      </c>
    </row>
    <row r="1530" spans="1:22" ht="15.75">
      <c r="A1530" s="28" t="s">
        <v>3058</v>
      </c>
      <c r="B1530" s="28" t="s">
        <v>3059</v>
      </c>
      <c r="C1530" s="23">
        <v>19.399999999999999</v>
      </c>
      <c r="D1530" s="23">
        <v>11.93</v>
      </c>
      <c r="E1530" s="23" t="s">
        <v>4682</v>
      </c>
      <c r="F1530" s="23" t="s">
        <v>4682</v>
      </c>
      <c r="G1530" s="23" t="s">
        <v>4682</v>
      </c>
      <c r="H1530" s="23">
        <v>0</v>
      </c>
      <c r="I1530" s="23" t="s">
        <v>4682</v>
      </c>
      <c r="J1530" s="23" t="s">
        <v>4728</v>
      </c>
      <c r="K1530" s="23" t="s">
        <v>4735</v>
      </c>
      <c r="L1530">
        <v>1960</v>
      </c>
      <c r="M1530" s="15" t="s">
        <v>4700</v>
      </c>
      <c r="N1530">
        <v>28</v>
      </c>
      <c r="O1530">
        <v>0</v>
      </c>
      <c r="P1530" s="21">
        <f>DATEVALUE(N1530&amp;"-"&amp;M1530&amp;"-"&amp;L1530)</f>
        <v>22248</v>
      </c>
      <c r="Q1530" s="22">
        <v>12982.87</v>
      </c>
      <c r="R1530" s="23" t="s">
        <v>4698</v>
      </c>
      <c r="S1530" s="23" t="s">
        <v>4701</v>
      </c>
      <c r="T1530" s="23" t="s">
        <v>4699</v>
      </c>
      <c r="U1530" s="23">
        <f>DATEDIF(P1530, DATE(2023, 6, 8), "Y")</f>
        <v>62</v>
      </c>
      <c r="V1530">
        <f>SUM(C1530:K1530)</f>
        <v>31.33</v>
      </c>
    </row>
    <row r="1531" spans="1:22" ht="15.75">
      <c r="A1531" s="28" t="s">
        <v>3060</v>
      </c>
      <c r="B1531" s="28" t="s">
        <v>3061</v>
      </c>
      <c r="C1531" s="23">
        <v>15.1</v>
      </c>
      <c r="D1531" s="23">
        <v>8.41</v>
      </c>
      <c r="E1531" s="23" t="s">
        <v>4682</v>
      </c>
      <c r="F1531" s="23" t="s">
        <v>4682</v>
      </c>
      <c r="G1531" s="23" t="s">
        <v>4682</v>
      </c>
      <c r="H1531" s="23">
        <v>0</v>
      </c>
      <c r="I1531" s="23" t="s">
        <v>4682</v>
      </c>
      <c r="J1531" s="23" t="s">
        <v>4731</v>
      </c>
      <c r="K1531" s="23" t="s">
        <v>4735</v>
      </c>
      <c r="L1531">
        <v>1979</v>
      </c>
      <c r="M1531" s="15" t="s">
        <v>4700</v>
      </c>
      <c r="N1531">
        <v>27</v>
      </c>
      <c r="O1531">
        <v>2</v>
      </c>
      <c r="P1531" s="21">
        <f>DATEVALUE(N1531&amp;"-"&amp;M1531&amp;"-"&amp;L1531)</f>
        <v>29186</v>
      </c>
      <c r="Q1531" s="22">
        <v>12994.12</v>
      </c>
      <c r="R1531" s="23" t="s">
        <v>4698</v>
      </c>
      <c r="S1531" s="23" t="s">
        <v>4697</v>
      </c>
      <c r="T1531" s="23" t="s">
        <v>4720</v>
      </c>
      <c r="U1531" s="23">
        <f>DATEDIF(P1531, DATE(2023, 6, 8), "Y")</f>
        <v>43</v>
      </c>
      <c r="V1531">
        <f>SUM(C1531:K1531)</f>
        <v>23.509999999999998</v>
      </c>
    </row>
    <row r="1532" spans="1:22" ht="15.75">
      <c r="A1532" s="28" t="s">
        <v>3062</v>
      </c>
      <c r="B1532" s="28" t="s">
        <v>3063</v>
      </c>
      <c r="C1532" s="23">
        <v>23.37</v>
      </c>
      <c r="D1532" s="23">
        <v>5.59</v>
      </c>
      <c r="E1532" s="23" t="s">
        <v>4683</v>
      </c>
      <c r="F1532" s="23" t="s">
        <v>4682</v>
      </c>
      <c r="G1532" s="23" t="s">
        <v>4682</v>
      </c>
      <c r="H1532" s="23">
        <v>0</v>
      </c>
      <c r="I1532" s="23" t="s">
        <v>4682</v>
      </c>
      <c r="J1532" s="23" t="s">
        <v>4728</v>
      </c>
      <c r="K1532" s="23" t="s">
        <v>4737</v>
      </c>
      <c r="L1532">
        <v>1981</v>
      </c>
      <c r="M1532" s="15" t="s">
        <v>4707</v>
      </c>
      <c r="N1532">
        <v>30</v>
      </c>
      <c r="O1532">
        <v>1</v>
      </c>
      <c r="P1532" s="21">
        <f>DATEVALUE(N1532&amp;"-"&amp;M1532&amp;"-"&amp;L1532)</f>
        <v>29889</v>
      </c>
      <c r="Q1532" s="22">
        <v>13002.91</v>
      </c>
      <c r="R1532" s="23" t="s">
        <v>4698</v>
      </c>
      <c r="S1532" s="23" t="s">
        <v>4701</v>
      </c>
      <c r="T1532" s="23" t="s">
        <v>4704</v>
      </c>
      <c r="U1532" s="23">
        <f>DATEDIF(P1532, DATE(2023, 6, 8), "Y")</f>
        <v>41</v>
      </c>
      <c r="V1532">
        <f>SUM(C1532:K1532)</f>
        <v>28.96</v>
      </c>
    </row>
    <row r="1533" spans="1:22" ht="15.75">
      <c r="A1533" s="28" t="s">
        <v>3064</v>
      </c>
      <c r="B1533" s="28" t="s">
        <v>3065</v>
      </c>
      <c r="C1533" s="23">
        <v>42.4</v>
      </c>
      <c r="D1533" s="23">
        <v>4.0599999999999996</v>
      </c>
      <c r="E1533" s="23" t="s">
        <v>4682</v>
      </c>
      <c r="F1533" s="23" t="s">
        <v>4682</v>
      </c>
      <c r="G1533" s="23" t="s">
        <v>4682</v>
      </c>
      <c r="H1533" s="23">
        <v>0</v>
      </c>
      <c r="I1533" s="23" t="s">
        <v>4682</v>
      </c>
      <c r="J1533" s="23" t="s">
        <v>4729</v>
      </c>
      <c r="K1533" s="23" t="s">
        <v>4737</v>
      </c>
      <c r="L1533">
        <v>1962</v>
      </c>
      <c r="M1533" s="15" t="s">
        <v>4702</v>
      </c>
      <c r="N1533">
        <v>24</v>
      </c>
      <c r="O1533">
        <v>0</v>
      </c>
      <c r="P1533" s="21">
        <f>DATEVALUE(N1533&amp;"-"&amp;M1533&amp;"-"&amp;L1533)</f>
        <v>22821</v>
      </c>
      <c r="Q1533" s="22">
        <v>13004.95</v>
      </c>
      <c r="R1533" s="23" t="s">
        <v>4698</v>
      </c>
      <c r="S1533" s="23" t="s">
        <v>4701</v>
      </c>
      <c r="T1533" s="23" t="s">
        <v>4704</v>
      </c>
      <c r="U1533" s="23">
        <f>DATEDIF(P1533, DATE(2023, 6, 8), "Y")</f>
        <v>60</v>
      </c>
      <c r="V1533">
        <f>SUM(C1533:K1533)</f>
        <v>46.46</v>
      </c>
    </row>
    <row r="1534" spans="1:22" ht="15.75">
      <c r="A1534" s="28" t="s">
        <v>3066</v>
      </c>
      <c r="B1534" s="28" t="s">
        <v>3067</v>
      </c>
      <c r="C1534" s="23">
        <v>28.405000000000001</v>
      </c>
      <c r="D1534" s="23">
        <v>7.02</v>
      </c>
      <c r="E1534" s="23" t="s">
        <v>4683</v>
      </c>
      <c r="F1534" s="23" t="s">
        <v>4682</v>
      </c>
      <c r="G1534" s="23" t="s">
        <v>4682</v>
      </c>
      <c r="H1534" s="23">
        <v>0</v>
      </c>
      <c r="I1534" s="23" t="s">
        <v>4682</v>
      </c>
      <c r="J1534" s="23" t="s">
        <v>4730</v>
      </c>
      <c r="K1534" s="23" t="s">
        <v>4735</v>
      </c>
      <c r="L1534">
        <v>1969</v>
      </c>
      <c r="M1534" s="15" t="s">
        <v>4705</v>
      </c>
      <c r="N1534">
        <v>13</v>
      </c>
      <c r="O1534">
        <v>0</v>
      </c>
      <c r="P1534" s="21">
        <f>DATEVALUE(N1534&amp;"-"&amp;M1534&amp;"-"&amp;L1534)</f>
        <v>25550</v>
      </c>
      <c r="Q1534" s="22">
        <v>13008.07</v>
      </c>
      <c r="R1534" s="23" t="s">
        <v>4698</v>
      </c>
      <c r="S1534" s="23" t="s">
        <v>4698</v>
      </c>
      <c r="T1534" s="23" t="s">
        <v>4704</v>
      </c>
      <c r="U1534" s="23">
        <f>DATEDIF(P1534, DATE(2023, 6, 8), "Y")</f>
        <v>53</v>
      </c>
      <c r="V1534">
        <f>SUM(C1534:K1534)</f>
        <v>35.424999999999997</v>
      </c>
    </row>
    <row r="1535" spans="1:22" ht="15.75">
      <c r="A1535" s="28" t="s">
        <v>3068</v>
      </c>
      <c r="B1535" s="28" t="s">
        <v>3069</v>
      </c>
      <c r="C1535" s="23">
        <v>23.4</v>
      </c>
      <c r="D1535" s="23">
        <v>4.47</v>
      </c>
      <c r="E1535" s="23" t="s">
        <v>4682</v>
      </c>
      <c r="F1535" s="23" t="s">
        <v>4682</v>
      </c>
      <c r="G1535" s="23" t="s">
        <v>4682</v>
      </c>
      <c r="H1535" s="23">
        <v>0</v>
      </c>
      <c r="I1535" s="23" t="s">
        <v>4682</v>
      </c>
      <c r="J1535" s="23" t="s">
        <v>4728</v>
      </c>
      <c r="K1535" s="23" t="s">
        <v>4737</v>
      </c>
      <c r="L1535">
        <v>1972</v>
      </c>
      <c r="M1535" s="15" t="s">
        <v>4703</v>
      </c>
      <c r="N1535">
        <v>27</v>
      </c>
      <c r="O1535">
        <v>0</v>
      </c>
      <c r="P1535" s="21">
        <f>DATEVALUE(N1535&amp;"-"&amp;M1535&amp;"-"&amp;L1535)</f>
        <v>26569</v>
      </c>
      <c r="Q1535" s="22">
        <v>13010.86</v>
      </c>
      <c r="R1535" s="23" t="s">
        <v>4698</v>
      </c>
      <c r="S1535" s="23" t="s">
        <v>4697</v>
      </c>
      <c r="T1535" s="23" t="s">
        <v>4704</v>
      </c>
      <c r="U1535" s="23">
        <f>DATEDIF(P1535, DATE(2023, 6, 8), "Y")</f>
        <v>50</v>
      </c>
      <c r="V1535">
        <f>SUM(C1535:K1535)</f>
        <v>27.869999999999997</v>
      </c>
    </row>
    <row r="1536" spans="1:22" ht="15.75">
      <c r="A1536" s="28" t="s">
        <v>3070</v>
      </c>
      <c r="B1536" s="28" t="s">
        <v>3071</v>
      </c>
      <c r="C1536" s="23">
        <v>33.44</v>
      </c>
      <c r="D1536" s="23">
        <v>4.54</v>
      </c>
      <c r="E1536" s="23" t="s">
        <v>4682</v>
      </c>
      <c r="F1536" s="23" t="s">
        <v>4682</v>
      </c>
      <c r="G1536" s="23" t="s">
        <v>4682</v>
      </c>
      <c r="H1536" s="23">
        <v>0</v>
      </c>
      <c r="I1536" s="23" t="s">
        <v>4682</v>
      </c>
      <c r="J1536" s="23" t="s">
        <v>4729</v>
      </c>
      <c r="K1536" s="23" t="s">
        <v>4737</v>
      </c>
      <c r="L1536">
        <v>1962</v>
      </c>
      <c r="M1536" s="15" t="s">
        <v>4696</v>
      </c>
      <c r="N1536">
        <v>20</v>
      </c>
      <c r="O1536">
        <v>0</v>
      </c>
      <c r="P1536" s="21">
        <f>DATEVALUE(N1536&amp;"-"&amp;M1536&amp;"-"&amp;L1536)</f>
        <v>22847</v>
      </c>
      <c r="Q1536" s="22">
        <v>13012.21</v>
      </c>
      <c r="R1536" s="23" t="s">
        <v>4698</v>
      </c>
      <c r="S1536" s="23" t="s">
        <v>4701</v>
      </c>
      <c r="T1536" s="23" t="s">
        <v>4704</v>
      </c>
      <c r="U1536" s="23">
        <f>DATEDIF(P1536, DATE(2023, 6, 8), "Y")</f>
        <v>60</v>
      </c>
      <c r="V1536">
        <f>SUM(C1536:K1536)</f>
        <v>37.979999999999997</v>
      </c>
    </row>
    <row r="1537" spans="1:22" ht="15.75">
      <c r="A1537" s="28" t="s">
        <v>3072</v>
      </c>
      <c r="B1537" s="28" t="s">
        <v>3073</v>
      </c>
      <c r="C1537" s="23">
        <v>21.12</v>
      </c>
      <c r="D1537" s="23">
        <v>4.99</v>
      </c>
      <c r="E1537" s="23" t="s">
        <v>4682</v>
      </c>
      <c r="F1537" s="23" t="s">
        <v>4682</v>
      </c>
      <c r="G1537" s="23" t="s">
        <v>4682</v>
      </c>
      <c r="H1537" s="23">
        <v>1</v>
      </c>
      <c r="I1537" s="23" t="s">
        <v>4682</v>
      </c>
      <c r="J1537" s="23" t="s">
        <v>4728</v>
      </c>
      <c r="K1537" s="23" t="s">
        <v>4737</v>
      </c>
      <c r="L1537">
        <v>1964</v>
      </c>
      <c r="M1537" s="15" t="s">
        <v>4703</v>
      </c>
      <c r="N1537">
        <v>23</v>
      </c>
      <c r="O1537">
        <v>1</v>
      </c>
      <c r="P1537" s="21">
        <f>DATEVALUE(N1537&amp;"-"&amp;M1537&amp;"-"&amp;L1537)</f>
        <v>23643</v>
      </c>
      <c r="Q1537" s="22">
        <v>13019.16</v>
      </c>
      <c r="R1537" s="23" t="s">
        <v>4698</v>
      </c>
      <c r="S1537" s="23" t="s">
        <v>4701</v>
      </c>
      <c r="T1537" s="23" t="s">
        <v>4714</v>
      </c>
      <c r="U1537" s="23">
        <f>DATEDIF(P1537, DATE(2023, 6, 8), "Y")</f>
        <v>58</v>
      </c>
      <c r="V1537">
        <f>SUM(C1537:K1537)</f>
        <v>27.11</v>
      </c>
    </row>
    <row r="1538" spans="1:22" ht="15.75">
      <c r="A1538" s="28" t="s">
        <v>3074</v>
      </c>
      <c r="B1538" s="28" t="s">
        <v>3075</v>
      </c>
      <c r="C1538" s="23">
        <v>18.48</v>
      </c>
      <c r="D1538" s="23">
        <v>10.84</v>
      </c>
      <c r="E1538" s="23" t="s">
        <v>4683</v>
      </c>
      <c r="F1538" s="23" t="s">
        <v>4682</v>
      </c>
      <c r="G1538" s="23" t="s">
        <v>4682</v>
      </c>
      <c r="H1538" s="23">
        <v>2</v>
      </c>
      <c r="I1538" s="23" t="s">
        <v>4682</v>
      </c>
      <c r="J1538" s="23" t="s">
        <v>4731</v>
      </c>
      <c r="K1538" s="23" t="s">
        <v>4735</v>
      </c>
      <c r="L1538">
        <v>1965</v>
      </c>
      <c r="M1538" s="15" t="s">
        <v>4700</v>
      </c>
      <c r="N1538">
        <v>4</v>
      </c>
      <c r="O1538">
        <v>0</v>
      </c>
      <c r="P1538" s="21">
        <f>DATEVALUE(N1538&amp;"-"&amp;M1538&amp;"-"&amp;L1538)</f>
        <v>24050</v>
      </c>
      <c r="Q1538" s="22">
        <v>13023.93</v>
      </c>
      <c r="R1538" s="23" t="s">
        <v>4698</v>
      </c>
      <c r="S1538" s="23" t="s">
        <v>4697</v>
      </c>
      <c r="T1538" s="23" t="s">
        <v>4713</v>
      </c>
      <c r="U1538" s="23">
        <f>DATEDIF(P1538, DATE(2023, 6, 8), "Y")</f>
        <v>57</v>
      </c>
      <c r="V1538">
        <f>SUM(C1538:K1538)</f>
        <v>31.32</v>
      </c>
    </row>
    <row r="1539" spans="1:22" ht="15.75">
      <c r="A1539" s="28" t="s">
        <v>3076</v>
      </c>
      <c r="B1539" s="28" t="s">
        <v>3077</v>
      </c>
      <c r="C1539" s="23">
        <v>16.815000000000001</v>
      </c>
      <c r="D1539" s="23">
        <v>5.63</v>
      </c>
      <c r="E1539" s="23" t="s">
        <v>4682</v>
      </c>
      <c r="F1539" s="23" t="s">
        <v>4682</v>
      </c>
      <c r="G1539" s="23" t="s">
        <v>4682</v>
      </c>
      <c r="H1539" s="23">
        <v>1</v>
      </c>
      <c r="I1539" s="23" t="s">
        <v>4682</v>
      </c>
      <c r="J1539" s="23" t="s">
        <v>4731</v>
      </c>
      <c r="K1539" s="23" t="s">
        <v>4737</v>
      </c>
      <c r="L1539">
        <v>1961</v>
      </c>
      <c r="M1539" s="15" t="s">
        <v>4700</v>
      </c>
      <c r="N1539">
        <v>9</v>
      </c>
      <c r="O1539">
        <v>0</v>
      </c>
      <c r="P1539" s="21">
        <f>DATEVALUE(N1539&amp;"-"&amp;M1539&amp;"-"&amp;L1539)</f>
        <v>22594</v>
      </c>
      <c r="Q1539" s="22">
        <v>13041.92</v>
      </c>
      <c r="R1539" s="23" t="s">
        <v>4698</v>
      </c>
      <c r="S1539" s="23" t="s">
        <v>4701</v>
      </c>
      <c r="T1539" s="23" t="s">
        <v>4708</v>
      </c>
      <c r="U1539" s="23">
        <f>DATEDIF(P1539, DATE(2023, 6, 8), "Y")</f>
        <v>61</v>
      </c>
      <c r="V1539">
        <f>SUM(C1539:K1539)</f>
        <v>23.445</v>
      </c>
    </row>
    <row r="1540" spans="1:22" ht="15.75">
      <c r="A1540" s="28" t="s">
        <v>3078</v>
      </c>
      <c r="B1540" s="28" t="s">
        <v>3079</v>
      </c>
      <c r="C1540" s="23">
        <v>26.72</v>
      </c>
      <c r="D1540" s="23">
        <v>4.1399999999999997</v>
      </c>
      <c r="E1540" s="23" t="s">
        <v>4682</v>
      </c>
      <c r="F1540" s="23" t="s">
        <v>4682</v>
      </c>
      <c r="G1540" s="23" t="s">
        <v>4682</v>
      </c>
      <c r="H1540" s="23">
        <v>0</v>
      </c>
      <c r="I1540" s="23" t="s">
        <v>4682</v>
      </c>
      <c r="J1540" s="23" t="s">
        <v>4730</v>
      </c>
      <c r="K1540" s="23" t="s">
        <v>4737</v>
      </c>
      <c r="L1540">
        <v>1969</v>
      </c>
      <c r="M1540" s="15" t="s">
        <v>4703</v>
      </c>
      <c r="N1540">
        <v>23</v>
      </c>
      <c r="O1540">
        <v>0</v>
      </c>
      <c r="P1540" s="21">
        <f>DATEVALUE(N1540&amp;"-"&amp;M1540&amp;"-"&amp;L1540)</f>
        <v>25469</v>
      </c>
      <c r="Q1540" s="22">
        <v>13044.41</v>
      </c>
      <c r="R1540" s="23" t="s">
        <v>4698</v>
      </c>
      <c r="S1540" s="23" t="s">
        <v>4701</v>
      </c>
      <c r="T1540" s="23" t="s">
        <v>4704</v>
      </c>
      <c r="U1540" s="23">
        <f>DATEDIF(P1540, DATE(2023, 6, 8), "Y")</f>
        <v>53</v>
      </c>
      <c r="V1540">
        <f>SUM(C1540:K1540)</f>
        <v>30.86</v>
      </c>
    </row>
    <row r="1541" spans="1:22" ht="15.75">
      <c r="A1541" s="28" t="s">
        <v>3080</v>
      </c>
      <c r="B1541" s="28" t="s">
        <v>3081</v>
      </c>
      <c r="C1541" s="23">
        <v>41.42</v>
      </c>
      <c r="D1541" s="23">
        <v>5.17</v>
      </c>
      <c r="E1541" s="23" t="s">
        <v>4682</v>
      </c>
      <c r="F1541" s="23" t="s">
        <v>4682</v>
      </c>
      <c r="G1541" s="23" t="s">
        <v>4684</v>
      </c>
      <c r="H1541" s="23">
        <v>1</v>
      </c>
      <c r="I1541" s="23" t="s">
        <v>4682</v>
      </c>
      <c r="J1541" s="23" t="s">
        <v>4729</v>
      </c>
      <c r="K1541" s="23" t="s">
        <v>4737</v>
      </c>
      <c r="L1541">
        <v>1967</v>
      </c>
      <c r="M1541" s="15" t="s">
        <v>4706</v>
      </c>
      <c r="N1541">
        <v>6</v>
      </c>
      <c r="O1541">
        <v>3</v>
      </c>
      <c r="P1541" s="21">
        <f>DATEVALUE(N1541&amp;"-"&amp;M1541&amp;"-"&amp;L1541)</f>
        <v>24690</v>
      </c>
      <c r="Q1541" s="22">
        <v>13047.33</v>
      </c>
      <c r="R1541" s="23" t="s">
        <v>4698</v>
      </c>
      <c r="S1541" s="23" t="s">
        <v>4698</v>
      </c>
      <c r="T1541" s="23" t="s">
        <v>4714</v>
      </c>
      <c r="U1541" s="23">
        <f>DATEDIF(P1541, DATE(2023, 6, 8), "Y")</f>
        <v>55</v>
      </c>
      <c r="V1541">
        <f>SUM(C1541:K1541)</f>
        <v>47.59</v>
      </c>
    </row>
    <row r="1542" spans="1:22" ht="15.75">
      <c r="A1542" s="28" t="s">
        <v>3082</v>
      </c>
      <c r="B1542" s="28" t="s">
        <v>3083</v>
      </c>
      <c r="C1542" s="23">
        <v>20.69</v>
      </c>
      <c r="D1542" s="23">
        <v>6.93</v>
      </c>
      <c r="E1542" s="23" t="s">
        <v>4682</v>
      </c>
      <c r="F1542" s="23" t="s">
        <v>4682</v>
      </c>
      <c r="G1542" s="23" t="s">
        <v>4682</v>
      </c>
      <c r="H1542" s="23">
        <v>2</v>
      </c>
      <c r="I1542" s="23" t="s">
        <v>4682</v>
      </c>
      <c r="J1542" s="23" t="s">
        <v>4728</v>
      </c>
      <c r="K1542" s="23" t="s">
        <v>4735</v>
      </c>
      <c r="L1542">
        <v>1985</v>
      </c>
      <c r="M1542" s="15" t="s">
        <v>4707</v>
      </c>
      <c r="N1542">
        <v>26</v>
      </c>
      <c r="O1542">
        <v>3</v>
      </c>
      <c r="P1542" s="21">
        <f>DATEVALUE(N1542&amp;"-"&amp;M1542&amp;"-"&amp;L1542)</f>
        <v>31346</v>
      </c>
      <c r="Q1542" s="22">
        <v>13051.22</v>
      </c>
      <c r="R1542" s="23" t="s">
        <v>4698</v>
      </c>
      <c r="S1542" s="23" t="s">
        <v>4701</v>
      </c>
      <c r="T1542" s="23" t="s">
        <v>4720</v>
      </c>
      <c r="U1542" s="23">
        <f>DATEDIF(P1542, DATE(2023, 6, 8), "Y")</f>
        <v>37</v>
      </c>
      <c r="V1542">
        <f>SUM(C1542:K1542)</f>
        <v>29.62</v>
      </c>
    </row>
    <row r="1543" spans="1:22" ht="15.75">
      <c r="A1543" s="28" t="s">
        <v>3084</v>
      </c>
      <c r="B1543" s="28" t="s">
        <v>3085</v>
      </c>
      <c r="C1543" s="23">
        <v>41.23</v>
      </c>
      <c r="D1543" s="23">
        <v>4.24</v>
      </c>
      <c r="E1543" s="23" t="s">
        <v>4682</v>
      </c>
      <c r="F1543" s="23" t="s">
        <v>4682</v>
      </c>
      <c r="G1543" s="23" t="s">
        <v>4682</v>
      </c>
      <c r="H1543" s="23">
        <v>0</v>
      </c>
      <c r="I1543" s="23" t="s">
        <v>4682</v>
      </c>
      <c r="J1543" s="23" t="s">
        <v>4729</v>
      </c>
      <c r="K1543" s="23" t="s">
        <v>4737</v>
      </c>
      <c r="L1543">
        <v>1961</v>
      </c>
      <c r="M1543" s="15" t="s">
        <v>4700</v>
      </c>
      <c r="N1543">
        <v>6</v>
      </c>
      <c r="O1543">
        <v>0</v>
      </c>
      <c r="P1543" s="21">
        <f>DATEVALUE(N1543&amp;"-"&amp;M1543&amp;"-"&amp;L1543)</f>
        <v>22591</v>
      </c>
      <c r="Q1543" s="22">
        <v>13063.88</v>
      </c>
      <c r="R1543" s="23" t="s">
        <v>4698</v>
      </c>
      <c r="S1543" s="23" t="s">
        <v>4697</v>
      </c>
      <c r="T1543" s="23" t="s">
        <v>4708</v>
      </c>
      <c r="U1543" s="23">
        <f>DATEDIF(P1543, DATE(2023, 6, 8), "Y")</f>
        <v>61</v>
      </c>
      <c r="V1543">
        <f>SUM(C1543:K1543)</f>
        <v>45.47</v>
      </c>
    </row>
    <row r="1544" spans="1:22" ht="15.75">
      <c r="A1544" s="28" t="s">
        <v>3086</v>
      </c>
      <c r="B1544" s="28" t="s">
        <v>3087</v>
      </c>
      <c r="C1544" s="23">
        <v>29.9</v>
      </c>
      <c r="D1544" s="23">
        <v>5.91</v>
      </c>
      <c r="E1544" s="23" t="s">
        <v>4682</v>
      </c>
      <c r="F1544" s="23" t="s">
        <v>4682</v>
      </c>
      <c r="G1544" s="23" t="s">
        <v>4682</v>
      </c>
      <c r="H1544" s="23">
        <v>0</v>
      </c>
      <c r="I1544" s="23" t="s">
        <v>4682</v>
      </c>
      <c r="J1544" s="23" t="s">
        <v>4730</v>
      </c>
      <c r="K1544" s="23" t="s">
        <v>4736</v>
      </c>
      <c r="L1544">
        <v>1978</v>
      </c>
      <c r="M1544" s="15" t="s">
        <v>4696</v>
      </c>
      <c r="N1544">
        <v>17</v>
      </c>
      <c r="O1544">
        <v>2</v>
      </c>
      <c r="P1544" s="21">
        <f>DATEVALUE(N1544&amp;"-"&amp;M1544&amp;"-"&amp;L1544)</f>
        <v>28688</v>
      </c>
      <c r="Q1544" s="22">
        <v>13101.74</v>
      </c>
      <c r="R1544" s="23" t="s">
        <v>4698</v>
      </c>
      <c r="S1544" s="23" t="s">
        <v>4697</v>
      </c>
      <c r="T1544" s="23" t="s">
        <v>4720</v>
      </c>
      <c r="U1544" s="23">
        <f>DATEDIF(P1544, DATE(2023, 6, 8), "Y")</f>
        <v>44</v>
      </c>
      <c r="V1544">
        <f>SUM(C1544:K1544)</f>
        <v>35.81</v>
      </c>
    </row>
    <row r="1545" spans="1:22" ht="15.75">
      <c r="A1545" s="28" t="s">
        <v>3088</v>
      </c>
      <c r="B1545" s="28" t="s">
        <v>3089</v>
      </c>
      <c r="C1545" s="23">
        <v>34.104999999999997</v>
      </c>
      <c r="D1545" s="23">
        <v>5.93</v>
      </c>
      <c r="E1545" s="23" t="s">
        <v>4682</v>
      </c>
      <c r="F1545" s="23" t="s">
        <v>4682</v>
      </c>
      <c r="G1545" s="23" t="s">
        <v>4682</v>
      </c>
      <c r="H1545" s="23">
        <v>0</v>
      </c>
      <c r="I1545" s="23" t="s">
        <v>4682</v>
      </c>
      <c r="J1545" s="23" t="s">
        <v>4729</v>
      </c>
      <c r="K1545" s="23" t="s">
        <v>4736</v>
      </c>
      <c r="L1545">
        <v>1971</v>
      </c>
      <c r="M1545" s="15" t="s">
        <v>4707</v>
      </c>
      <c r="N1545">
        <v>30</v>
      </c>
      <c r="O1545">
        <v>0</v>
      </c>
      <c r="P1545" s="21">
        <f>DATEVALUE(N1545&amp;"-"&amp;M1545&amp;"-"&amp;L1545)</f>
        <v>26236</v>
      </c>
      <c r="Q1545" s="22">
        <v>13110.79</v>
      </c>
      <c r="R1545" s="23" t="s">
        <v>4698</v>
      </c>
      <c r="S1545" s="23" t="s">
        <v>4697</v>
      </c>
      <c r="T1545" s="23" t="s">
        <v>4708</v>
      </c>
      <c r="U1545" s="23">
        <f>DATEDIF(P1545, DATE(2023, 6, 8), "Y")</f>
        <v>51</v>
      </c>
      <c r="V1545">
        <f>SUM(C1545:K1545)</f>
        <v>40.034999999999997</v>
      </c>
    </row>
    <row r="1546" spans="1:22" ht="15.75">
      <c r="A1546" s="28" t="s">
        <v>3090</v>
      </c>
      <c r="B1546" s="28" t="s">
        <v>3091</v>
      </c>
      <c r="C1546" s="23">
        <v>24.97</v>
      </c>
      <c r="D1546" s="23">
        <v>5.66</v>
      </c>
      <c r="E1546" s="23" t="s">
        <v>4682</v>
      </c>
      <c r="F1546" s="23" t="s">
        <v>4682</v>
      </c>
      <c r="G1546" s="23" t="s">
        <v>4682</v>
      </c>
      <c r="H1546" s="23">
        <v>0</v>
      </c>
      <c r="I1546" s="23" t="s">
        <v>4682</v>
      </c>
      <c r="J1546" s="23" t="s">
        <v>4730</v>
      </c>
      <c r="K1546" s="23" t="s">
        <v>4737</v>
      </c>
      <c r="L1546">
        <v>1962</v>
      </c>
      <c r="M1546" s="15" t="s">
        <v>4706</v>
      </c>
      <c r="N1546">
        <v>2</v>
      </c>
      <c r="O1546">
        <v>1</v>
      </c>
      <c r="P1546" s="21">
        <f>DATEVALUE(N1546&amp;"-"&amp;M1546&amp;"-"&amp;L1546)</f>
        <v>22860</v>
      </c>
      <c r="Q1546" s="22">
        <v>13112.6</v>
      </c>
      <c r="R1546" s="23" t="s">
        <v>4698</v>
      </c>
      <c r="S1546" s="23" t="s">
        <v>4698</v>
      </c>
      <c r="T1546" s="23" t="s">
        <v>4704</v>
      </c>
      <c r="U1546" s="23">
        <f>DATEDIF(P1546, DATE(2023, 6, 8), "Y")</f>
        <v>60</v>
      </c>
      <c r="V1546">
        <f>SUM(C1546:K1546)</f>
        <v>30.63</v>
      </c>
    </row>
    <row r="1547" spans="1:22" ht="15.75">
      <c r="A1547" s="28" t="s">
        <v>3092</v>
      </c>
      <c r="B1547" s="28" t="s">
        <v>3093</v>
      </c>
      <c r="C1547" s="23">
        <v>34.799999999999997</v>
      </c>
      <c r="D1547" s="23">
        <v>4.1900000000000004</v>
      </c>
      <c r="E1547" s="23" t="s">
        <v>4682</v>
      </c>
      <c r="F1547" s="23" t="s">
        <v>4682</v>
      </c>
      <c r="G1547" s="23" t="s">
        <v>4682</v>
      </c>
      <c r="H1547" s="23">
        <v>1</v>
      </c>
      <c r="I1547" s="23" t="s">
        <v>4682</v>
      </c>
      <c r="J1547" s="23" t="s">
        <v>4729</v>
      </c>
      <c r="K1547" s="23" t="s">
        <v>4737</v>
      </c>
      <c r="L1547">
        <v>1992</v>
      </c>
      <c r="M1547" s="15" t="s">
        <v>4706</v>
      </c>
      <c r="N1547">
        <v>12</v>
      </c>
      <c r="O1547">
        <v>0</v>
      </c>
      <c r="P1547" s="21">
        <f>DATEVALUE(N1547&amp;"-"&amp;M1547&amp;"-"&amp;L1547)</f>
        <v>33828</v>
      </c>
      <c r="Q1547" s="22">
        <v>13113.51</v>
      </c>
      <c r="R1547" s="23" t="s">
        <v>4698</v>
      </c>
      <c r="S1547" s="23" t="s">
        <v>4697</v>
      </c>
      <c r="T1547" s="23" t="s">
        <v>4720</v>
      </c>
      <c r="U1547" s="23">
        <f>DATEDIF(P1547, DATE(2023, 6, 8), "Y")</f>
        <v>30</v>
      </c>
      <c r="V1547">
        <f>SUM(C1547:K1547)</f>
        <v>39.989999999999995</v>
      </c>
    </row>
    <row r="1548" spans="1:22" ht="15.75">
      <c r="A1548" s="28" t="s">
        <v>3094</v>
      </c>
      <c r="B1548" s="28" t="s">
        <v>3095</v>
      </c>
      <c r="C1548" s="23">
        <v>32.965000000000003</v>
      </c>
      <c r="D1548" s="23">
        <v>9.2100000000000009</v>
      </c>
      <c r="E1548" s="23" t="s">
        <v>4683</v>
      </c>
      <c r="F1548" s="23" t="s">
        <v>4682</v>
      </c>
      <c r="G1548" s="23" t="s">
        <v>4682</v>
      </c>
      <c r="H1548" s="23">
        <v>0</v>
      </c>
      <c r="I1548" s="23" t="s">
        <v>4682</v>
      </c>
      <c r="J1548" s="23" t="s">
        <v>4729</v>
      </c>
      <c r="K1548" s="23" t="s">
        <v>4735</v>
      </c>
      <c r="L1548">
        <v>1963</v>
      </c>
      <c r="M1548" s="15" t="s">
        <v>4703</v>
      </c>
      <c r="N1548">
        <v>14</v>
      </c>
      <c r="O1548">
        <v>0</v>
      </c>
      <c r="P1548" s="21">
        <f>DATEVALUE(N1548&amp;"-"&amp;M1548&amp;"-"&amp;L1548)</f>
        <v>23268</v>
      </c>
      <c r="Q1548" s="22">
        <v>13116.84</v>
      </c>
      <c r="R1548" s="23" t="s">
        <v>4698</v>
      </c>
      <c r="S1548" s="23" t="s">
        <v>4701</v>
      </c>
      <c r="T1548" s="23" t="s">
        <v>4704</v>
      </c>
      <c r="U1548" s="23">
        <f>DATEDIF(P1548, DATE(2023, 6, 8), "Y")</f>
        <v>59</v>
      </c>
      <c r="V1548">
        <f>SUM(C1548:K1548)</f>
        <v>42.175000000000004</v>
      </c>
    </row>
    <row r="1549" spans="1:22" ht="15.75">
      <c r="A1549" s="28" t="s">
        <v>3096</v>
      </c>
      <c r="B1549" s="28" t="s">
        <v>3097</v>
      </c>
      <c r="C1549" s="23">
        <v>27.265000000000001</v>
      </c>
      <c r="D1549" s="23">
        <v>5.51</v>
      </c>
      <c r="E1549" s="23" t="s">
        <v>4682</v>
      </c>
      <c r="F1549" s="23" t="s">
        <v>4682</v>
      </c>
      <c r="G1549" s="23" t="s">
        <v>4682</v>
      </c>
      <c r="H1549" s="23">
        <v>1</v>
      </c>
      <c r="I1549" s="23" t="s">
        <v>4682</v>
      </c>
      <c r="J1549" s="23" t="s">
        <v>4730</v>
      </c>
      <c r="K1549" s="23" t="s">
        <v>4737</v>
      </c>
      <c r="L1549">
        <v>1999</v>
      </c>
      <c r="M1549" s="15" t="s">
        <v>4706</v>
      </c>
      <c r="N1549">
        <v>16</v>
      </c>
      <c r="O1549">
        <v>0</v>
      </c>
      <c r="P1549" s="21">
        <f>DATEVALUE(N1549&amp;"-"&amp;M1549&amp;"-"&amp;L1549)</f>
        <v>36388</v>
      </c>
      <c r="Q1549" s="22">
        <v>13126.68</v>
      </c>
      <c r="R1549" s="23" t="s">
        <v>4698</v>
      </c>
      <c r="S1549" s="23" t="s">
        <v>4698</v>
      </c>
      <c r="T1549" s="23" t="s">
        <v>4708</v>
      </c>
      <c r="U1549" s="23">
        <f>DATEDIF(P1549, DATE(2023, 6, 8), "Y")</f>
        <v>23</v>
      </c>
      <c r="V1549">
        <f>SUM(C1549:K1549)</f>
        <v>33.774999999999999</v>
      </c>
    </row>
    <row r="1550" spans="1:22" ht="15.75">
      <c r="A1550" s="28" t="s">
        <v>3098</v>
      </c>
      <c r="B1550" s="28" t="s">
        <v>3099</v>
      </c>
      <c r="C1550" s="23">
        <v>17.059999999999999</v>
      </c>
      <c r="D1550" s="23">
        <v>8.5</v>
      </c>
      <c r="E1550" s="23" t="s">
        <v>4682</v>
      </c>
      <c r="F1550" s="23" t="s">
        <v>4682</v>
      </c>
      <c r="G1550" s="23" t="s">
        <v>4682</v>
      </c>
      <c r="H1550" s="23">
        <v>0</v>
      </c>
      <c r="I1550" s="23" t="s">
        <v>4682</v>
      </c>
      <c r="J1550" s="23" t="s">
        <v>4731</v>
      </c>
      <c r="K1550" s="23" t="s">
        <v>4735</v>
      </c>
      <c r="L1550">
        <v>1961</v>
      </c>
      <c r="M1550" s="15" t="s">
        <v>4703</v>
      </c>
      <c r="N1550">
        <v>7</v>
      </c>
      <c r="O1550">
        <v>0</v>
      </c>
      <c r="P1550" s="21">
        <f>DATEVALUE(N1550&amp;"-"&amp;M1550&amp;"-"&amp;L1550)</f>
        <v>22531</v>
      </c>
      <c r="Q1550" s="22">
        <v>13129.6</v>
      </c>
      <c r="R1550" s="23" t="s">
        <v>4698</v>
      </c>
      <c r="S1550" s="23" t="s">
        <v>4697</v>
      </c>
      <c r="T1550" s="23" t="s">
        <v>4718</v>
      </c>
      <c r="U1550" s="23">
        <f>DATEDIF(P1550, DATE(2023, 6, 8), "Y")</f>
        <v>61</v>
      </c>
      <c r="V1550">
        <f>SUM(C1550:K1550)</f>
        <v>25.56</v>
      </c>
    </row>
    <row r="1551" spans="1:22" ht="15.75">
      <c r="A1551" s="28" t="s">
        <v>3100</v>
      </c>
      <c r="B1551" s="28" t="s">
        <v>3101</v>
      </c>
      <c r="C1551" s="23">
        <v>36.29</v>
      </c>
      <c r="D1551" s="23">
        <v>6.23</v>
      </c>
      <c r="E1551" s="23" t="s">
        <v>4682</v>
      </c>
      <c r="F1551" s="23" t="s">
        <v>4682</v>
      </c>
      <c r="G1551" s="23" t="s">
        <v>4682</v>
      </c>
      <c r="H1551" s="23">
        <v>0</v>
      </c>
      <c r="I1551" s="23" t="s">
        <v>4682</v>
      </c>
      <c r="J1551" s="23" t="s">
        <v>4729</v>
      </c>
      <c r="K1551" s="23" t="s">
        <v>4736</v>
      </c>
      <c r="L1551">
        <v>1961</v>
      </c>
      <c r="M1551" s="15" t="s">
        <v>4705</v>
      </c>
      <c r="N1551">
        <v>6</v>
      </c>
      <c r="O1551">
        <v>0</v>
      </c>
      <c r="P1551" s="21">
        <f>DATEVALUE(N1551&amp;"-"&amp;M1551&amp;"-"&amp;L1551)</f>
        <v>22621</v>
      </c>
      <c r="Q1551" s="22">
        <v>13143.34</v>
      </c>
      <c r="R1551" s="23" t="s">
        <v>4698</v>
      </c>
      <c r="S1551" s="23" t="s">
        <v>4697</v>
      </c>
      <c r="T1551" s="23" t="s">
        <v>4719</v>
      </c>
      <c r="U1551" s="23">
        <f>DATEDIF(P1551, DATE(2023, 6, 8), "Y")</f>
        <v>61</v>
      </c>
      <c r="V1551">
        <f>SUM(C1551:K1551)</f>
        <v>42.519999999999996</v>
      </c>
    </row>
    <row r="1552" spans="1:22" ht="15.75">
      <c r="A1552" s="28" t="s">
        <v>3102</v>
      </c>
      <c r="B1552" s="28" t="s">
        <v>3103</v>
      </c>
      <c r="C1552" s="23">
        <v>28.594999999999999</v>
      </c>
      <c r="D1552" s="23">
        <v>8.5299999999999994</v>
      </c>
      <c r="E1552" s="23" t="s">
        <v>4683</v>
      </c>
      <c r="F1552" s="23" t="s">
        <v>4682</v>
      </c>
      <c r="G1552" s="23" t="s">
        <v>4682</v>
      </c>
      <c r="H1552" s="23">
        <v>1</v>
      </c>
      <c r="I1552" s="23" t="s">
        <v>4682</v>
      </c>
      <c r="J1552" s="23" t="s">
        <v>4730</v>
      </c>
      <c r="K1552" s="23" t="s">
        <v>4735</v>
      </c>
      <c r="L1552">
        <v>1961</v>
      </c>
      <c r="M1552" s="15" t="s">
        <v>4705</v>
      </c>
      <c r="N1552">
        <v>6</v>
      </c>
      <c r="O1552">
        <v>0</v>
      </c>
      <c r="P1552" s="21">
        <f>DATEVALUE(N1552&amp;"-"&amp;M1552&amp;"-"&amp;L1552)</f>
        <v>22621</v>
      </c>
      <c r="Q1552" s="22">
        <v>13143.86</v>
      </c>
      <c r="R1552" s="23" t="s">
        <v>4698</v>
      </c>
      <c r="S1552" s="23" t="s">
        <v>4697</v>
      </c>
      <c r="T1552" s="23" t="s">
        <v>4711</v>
      </c>
      <c r="U1552" s="23">
        <f>DATEDIF(P1552, DATE(2023, 6, 8), "Y")</f>
        <v>61</v>
      </c>
      <c r="V1552">
        <f>SUM(C1552:K1552)</f>
        <v>38.125</v>
      </c>
    </row>
    <row r="1553" spans="1:22" ht="15.75">
      <c r="A1553" s="28" t="s">
        <v>3104</v>
      </c>
      <c r="B1553" s="28" t="s">
        <v>3105</v>
      </c>
      <c r="C1553" s="23">
        <v>17.8</v>
      </c>
      <c r="D1553" s="23">
        <v>5.75</v>
      </c>
      <c r="E1553" s="23" t="s">
        <v>4683</v>
      </c>
      <c r="F1553" s="23" t="s">
        <v>4682</v>
      </c>
      <c r="G1553" s="23" t="s">
        <v>4684</v>
      </c>
      <c r="H1553" s="23">
        <v>1</v>
      </c>
      <c r="I1553" s="23" t="s">
        <v>4682</v>
      </c>
      <c r="J1553" s="23" t="s">
        <v>4731</v>
      </c>
      <c r="K1553" s="23" t="s">
        <v>4736</v>
      </c>
      <c r="L1553">
        <v>1962</v>
      </c>
      <c r="M1553" s="15" t="s">
        <v>4706</v>
      </c>
      <c r="N1553">
        <v>5</v>
      </c>
      <c r="O1553">
        <v>0</v>
      </c>
      <c r="P1553" s="21">
        <f>DATEVALUE(N1553&amp;"-"&amp;M1553&amp;"-"&amp;L1553)</f>
        <v>22863</v>
      </c>
      <c r="Q1553" s="22">
        <v>13204.29</v>
      </c>
      <c r="R1553" s="23" t="s">
        <v>4698</v>
      </c>
      <c r="S1553" s="23" t="s">
        <v>4701</v>
      </c>
      <c r="T1553" s="23" t="s">
        <v>4714</v>
      </c>
      <c r="U1553" s="23">
        <f>DATEDIF(P1553, DATE(2023, 6, 8), "Y")</f>
        <v>60</v>
      </c>
      <c r="V1553">
        <f>SUM(C1553:K1553)</f>
        <v>24.55</v>
      </c>
    </row>
    <row r="1554" spans="1:22" ht="15.75">
      <c r="A1554" s="28" t="s">
        <v>3106</v>
      </c>
      <c r="B1554" s="28" t="s">
        <v>3107</v>
      </c>
      <c r="C1554" s="23">
        <v>21.4</v>
      </c>
      <c r="D1554" s="23">
        <v>5.6</v>
      </c>
      <c r="E1554" s="23" t="s">
        <v>4682</v>
      </c>
      <c r="F1554" s="23" t="s">
        <v>4682</v>
      </c>
      <c r="G1554" s="23" t="s">
        <v>4682</v>
      </c>
      <c r="H1554" s="23">
        <v>0</v>
      </c>
      <c r="I1554" s="23" t="s">
        <v>4682</v>
      </c>
      <c r="J1554" s="23" t="s">
        <v>4728</v>
      </c>
      <c r="K1554" s="23" t="s">
        <v>4737</v>
      </c>
      <c r="L1554">
        <v>1982</v>
      </c>
      <c r="M1554" s="15" t="s">
        <v>4707</v>
      </c>
      <c r="N1554">
        <v>15</v>
      </c>
      <c r="O1554">
        <v>3</v>
      </c>
      <c r="P1554" s="21">
        <f>DATEVALUE(N1554&amp;"-"&amp;M1554&amp;"-"&amp;L1554)</f>
        <v>30239</v>
      </c>
      <c r="Q1554" s="22">
        <v>13214.43</v>
      </c>
      <c r="R1554" s="23" t="s">
        <v>4698</v>
      </c>
      <c r="S1554" s="23" t="s">
        <v>4697</v>
      </c>
      <c r="T1554" s="23" t="s">
        <v>4704</v>
      </c>
      <c r="U1554" s="23">
        <f>DATEDIF(P1554, DATE(2023, 6, 8), "Y")</f>
        <v>40</v>
      </c>
      <c r="V1554">
        <f>SUM(C1554:K1554)</f>
        <v>27</v>
      </c>
    </row>
    <row r="1555" spans="1:22" ht="15.75">
      <c r="A1555" s="28" t="s">
        <v>3108</v>
      </c>
      <c r="B1555" s="28" t="s">
        <v>3109</v>
      </c>
      <c r="C1555" s="23">
        <v>23.01</v>
      </c>
      <c r="D1555" s="23">
        <v>4.68</v>
      </c>
      <c r="E1555" s="23" t="s">
        <v>4682</v>
      </c>
      <c r="F1555" s="23" t="s">
        <v>4682</v>
      </c>
      <c r="G1555" s="23" t="s">
        <v>4682</v>
      </c>
      <c r="H1555" s="23">
        <v>0</v>
      </c>
      <c r="I1555" s="23" t="s">
        <v>4682</v>
      </c>
      <c r="J1555" s="23" t="s">
        <v>4728</v>
      </c>
      <c r="K1555" s="23" t="s">
        <v>4737</v>
      </c>
      <c r="L1555">
        <v>1962</v>
      </c>
      <c r="M1555" s="15" t="s">
        <v>4705</v>
      </c>
      <c r="N1555">
        <v>7</v>
      </c>
      <c r="O1555">
        <v>0</v>
      </c>
      <c r="P1555" s="21">
        <f>DATEVALUE(N1555&amp;"-"&amp;M1555&amp;"-"&amp;L1555)</f>
        <v>22987</v>
      </c>
      <c r="Q1555" s="22">
        <v>13217.09</v>
      </c>
      <c r="R1555" s="23" t="s">
        <v>4698</v>
      </c>
      <c r="S1555" s="23" t="s">
        <v>4701</v>
      </c>
      <c r="T1555" s="23" t="s">
        <v>4714</v>
      </c>
      <c r="U1555" s="23">
        <f>DATEDIF(P1555, DATE(2023, 6, 8), "Y")</f>
        <v>60</v>
      </c>
      <c r="V1555">
        <f>SUM(C1555:K1555)</f>
        <v>27.69</v>
      </c>
    </row>
    <row r="1556" spans="1:22" ht="15.75">
      <c r="A1556" s="28" t="s">
        <v>3110</v>
      </c>
      <c r="B1556" s="28" t="s">
        <v>3111</v>
      </c>
      <c r="C1556" s="23">
        <v>19.86</v>
      </c>
      <c r="D1556" s="23">
        <v>5.62</v>
      </c>
      <c r="E1556" s="23" t="s">
        <v>4683</v>
      </c>
      <c r="F1556" s="23" t="s">
        <v>4682</v>
      </c>
      <c r="G1556" s="23" t="s">
        <v>4682</v>
      </c>
      <c r="H1556" s="23">
        <v>0</v>
      </c>
      <c r="I1556" s="23" t="s">
        <v>4682</v>
      </c>
      <c r="J1556" s="23" t="s">
        <v>4728</v>
      </c>
      <c r="K1556" s="23" t="s">
        <v>4737</v>
      </c>
      <c r="L1556">
        <v>1965</v>
      </c>
      <c r="M1556" s="15" t="s">
        <v>4700</v>
      </c>
      <c r="N1556">
        <v>13</v>
      </c>
      <c r="O1556">
        <v>2</v>
      </c>
      <c r="P1556" s="21">
        <f>DATEVALUE(N1556&amp;"-"&amp;M1556&amp;"-"&amp;L1556)</f>
        <v>24059</v>
      </c>
      <c r="Q1556" s="22">
        <v>13224.06</v>
      </c>
      <c r="R1556" s="23" t="s">
        <v>4698</v>
      </c>
      <c r="S1556" s="23" t="s">
        <v>4698</v>
      </c>
      <c r="T1556" s="23" t="s">
        <v>4714</v>
      </c>
      <c r="U1556" s="23">
        <f>DATEDIF(P1556, DATE(2023, 6, 8), "Y")</f>
        <v>57</v>
      </c>
      <c r="V1556">
        <f>SUM(C1556:K1556)</f>
        <v>25.48</v>
      </c>
    </row>
    <row r="1557" spans="1:22" ht="15.75">
      <c r="A1557" s="28" t="s">
        <v>3112</v>
      </c>
      <c r="B1557" s="28" t="s">
        <v>3113</v>
      </c>
      <c r="C1557" s="23">
        <v>33.58</v>
      </c>
      <c r="D1557" s="23">
        <v>5.08</v>
      </c>
      <c r="E1557" s="23" t="s">
        <v>4682</v>
      </c>
      <c r="F1557" s="23" t="s">
        <v>4682</v>
      </c>
      <c r="G1557" s="23" t="s">
        <v>4682</v>
      </c>
      <c r="H1557" s="23">
        <v>0</v>
      </c>
      <c r="I1557" s="23" t="s">
        <v>4682</v>
      </c>
      <c r="J1557" s="23" t="s">
        <v>4729</v>
      </c>
      <c r="K1557" s="23" t="s">
        <v>4737</v>
      </c>
      <c r="L1557">
        <v>1962</v>
      </c>
      <c r="M1557" s="15" t="s">
        <v>4700</v>
      </c>
      <c r="N1557">
        <v>24</v>
      </c>
      <c r="O1557">
        <v>1</v>
      </c>
      <c r="P1557" s="21">
        <f>DATEVALUE(N1557&amp;"-"&amp;M1557&amp;"-"&amp;L1557)</f>
        <v>22974</v>
      </c>
      <c r="Q1557" s="22">
        <v>13224.69</v>
      </c>
      <c r="R1557" s="23" t="s">
        <v>4698</v>
      </c>
      <c r="S1557" s="23" t="s">
        <v>4697</v>
      </c>
      <c r="T1557" s="23" t="s">
        <v>4708</v>
      </c>
      <c r="U1557" s="23">
        <f>DATEDIF(P1557, DATE(2023, 6, 8), "Y")</f>
        <v>60</v>
      </c>
      <c r="V1557">
        <f>SUM(C1557:K1557)</f>
        <v>38.659999999999997</v>
      </c>
    </row>
    <row r="1558" spans="1:22" ht="15.75">
      <c r="A1558" s="28" t="s">
        <v>3114</v>
      </c>
      <c r="B1558" s="28" t="s">
        <v>3115</v>
      </c>
      <c r="C1558" s="23">
        <v>29.81</v>
      </c>
      <c r="D1558" s="23">
        <v>5.28</v>
      </c>
      <c r="E1558" s="23" t="s">
        <v>4682</v>
      </c>
      <c r="F1558" s="23" t="s">
        <v>4682</v>
      </c>
      <c r="G1558" s="23" t="s">
        <v>4682</v>
      </c>
      <c r="H1558" s="23">
        <v>0</v>
      </c>
      <c r="I1558" s="23" t="s">
        <v>4682</v>
      </c>
      <c r="J1558" s="23" t="s">
        <v>4730</v>
      </c>
      <c r="K1558" s="23" t="s">
        <v>4737</v>
      </c>
      <c r="L1558">
        <v>1962</v>
      </c>
      <c r="M1558" s="15" t="s">
        <v>4707</v>
      </c>
      <c r="N1558">
        <v>11</v>
      </c>
      <c r="O1558">
        <v>0</v>
      </c>
      <c r="P1558" s="21">
        <f>DATEVALUE(N1558&amp;"-"&amp;M1558&amp;"-"&amp;L1558)</f>
        <v>22930</v>
      </c>
      <c r="Q1558" s="22">
        <v>13228.85</v>
      </c>
      <c r="R1558" s="23" t="s">
        <v>4698</v>
      </c>
      <c r="S1558" s="23" t="s">
        <v>4698</v>
      </c>
      <c r="T1558" s="23" t="s">
        <v>4715</v>
      </c>
      <c r="U1558" s="23">
        <f>DATEDIF(P1558, DATE(2023, 6, 8), "Y")</f>
        <v>60</v>
      </c>
      <c r="V1558">
        <f>SUM(C1558:K1558)</f>
        <v>35.089999999999996</v>
      </c>
    </row>
    <row r="1559" spans="1:22" ht="15.75">
      <c r="A1559" s="28" t="s">
        <v>3116</v>
      </c>
      <c r="B1559" s="28" t="s">
        <v>3117</v>
      </c>
      <c r="C1559" s="23">
        <v>27.4</v>
      </c>
      <c r="D1559" s="23">
        <v>4.6100000000000003</v>
      </c>
      <c r="E1559" s="23" t="s">
        <v>4682</v>
      </c>
      <c r="F1559" s="23" t="s">
        <v>4682</v>
      </c>
      <c r="G1559" s="23" t="s">
        <v>4682</v>
      </c>
      <c r="H1559" s="23">
        <v>0</v>
      </c>
      <c r="I1559" s="23" t="s">
        <v>4682</v>
      </c>
      <c r="J1559" s="23" t="s">
        <v>4730</v>
      </c>
      <c r="K1559" s="23" t="s">
        <v>4737</v>
      </c>
      <c r="L1559">
        <v>1994</v>
      </c>
      <c r="M1559" s="15" t="s">
        <v>4696</v>
      </c>
      <c r="N1559">
        <v>1</v>
      </c>
      <c r="O1559">
        <v>0</v>
      </c>
      <c r="P1559" s="21">
        <f>DATEVALUE(N1559&amp;"-"&amp;M1559&amp;"-"&amp;L1559)</f>
        <v>34516</v>
      </c>
      <c r="Q1559" s="22">
        <v>13292.52</v>
      </c>
      <c r="R1559" s="23" t="s">
        <v>4698</v>
      </c>
      <c r="S1559" s="23" t="s">
        <v>4698</v>
      </c>
      <c r="T1559" s="23" t="s">
        <v>4704</v>
      </c>
      <c r="U1559" s="23">
        <f>DATEDIF(P1559, DATE(2023, 6, 8), "Y")</f>
        <v>28</v>
      </c>
      <c r="V1559">
        <f>SUM(C1559:K1559)</f>
        <v>32.01</v>
      </c>
    </row>
    <row r="1560" spans="1:22" ht="15.75">
      <c r="A1560" s="28" t="s">
        <v>3118</v>
      </c>
      <c r="B1560" s="28" t="s">
        <v>3119</v>
      </c>
      <c r="C1560" s="23">
        <v>17.98</v>
      </c>
      <c r="D1560" s="23">
        <v>6.57</v>
      </c>
      <c r="E1560" s="23" t="s">
        <v>4683</v>
      </c>
      <c r="F1560" s="23" t="s">
        <v>4682</v>
      </c>
      <c r="G1560" s="23" t="s">
        <v>4682</v>
      </c>
      <c r="H1560" s="23">
        <v>2</v>
      </c>
      <c r="I1560" s="23" t="s">
        <v>4682</v>
      </c>
      <c r="J1560" s="23" t="s">
        <v>4731</v>
      </c>
      <c r="K1560" s="23" t="s">
        <v>4735</v>
      </c>
      <c r="L1560">
        <v>1976</v>
      </c>
      <c r="M1560" s="15" t="s">
        <v>4706</v>
      </c>
      <c r="N1560">
        <v>23</v>
      </c>
      <c r="O1560">
        <v>2</v>
      </c>
      <c r="P1560" s="21">
        <f>DATEVALUE(N1560&amp;"-"&amp;M1560&amp;"-"&amp;L1560)</f>
        <v>27995</v>
      </c>
      <c r="Q1560" s="22">
        <v>13333.71</v>
      </c>
      <c r="R1560" s="23" t="s">
        <v>4698</v>
      </c>
      <c r="S1560" s="23" t="s">
        <v>4697</v>
      </c>
      <c r="T1560" s="23" t="s">
        <v>4704</v>
      </c>
      <c r="U1560" s="23">
        <f>DATEDIF(P1560, DATE(2023, 6, 8), "Y")</f>
        <v>46</v>
      </c>
      <c r="V1560">
        <f>SUM(C1560:K1560)</f>
        <v>26.55</v>
      </c>
    </row>
    <row r="1561" spans="1:22" ht="15.75">
      <c r="A1561" s="28" t="s">
        <v>3120</v>
      </c>
      <c r="B1561" s="28" t="s">
        <v>3121</v>
      </c>
      <c r="C1561" s="23">
        <v>37.9</v>
      </c>
      <c r="D1561" s="23">
        <v>5.83</v>
      </c>
      <c r="E1561" s="23" t="s">
        <v>4682</v>
      </c>
      <c r="F1561" s="23" t="s">
        <v>4682</v>
      </c>
      <c r="G1561" s="23" t="s">
        <v>4682</v>
      </c>
      <c r="H1561" s="23">
        <v>0</v>
      </c>
      <c r="I1561" s="23" t="s">
        <v>4682</v>
      </c>
      <c r="J1561" s="23" t="s">
        <v>4729</v>
      </c>
      <c r="K1561" s="23" t="s">
        <v>4736</v>
      </c>
      <c r="L1561">
        <v>1960</v>
      </c>
      <c r="M1561" s="15" t="s">
        <v>4700</v>
      </c>
      <c r="N1561">
        <v>11</v>
      </c>
      <c r="O1561">
        <v>0</v>
      </c>
      <c r="P1561" s="21">
        <f>DATEVALUE(N1561&amp;"-"&amp;M1561&amp;"-"&amp;L1561)</f>
        <v>22231</v>
      </c>
      <c r="Q1561" s="22">
        <v>13352.1</v>
      </c>
      <c r="R1561" s="23" t="s">
        <v>4698</v>
      </c>
      <c r="S1561" s="23" t="s">
        <v>4701</v>
      </c>
      <c r="T1561" s="23" t="s">
        <v>4704</v>
      </c>
      <c r="U1561" s="23">
        <f>DATEDIF(P1561, DATE(2023, 6, 8), "Y")</f>
        <v>62</v>
      </c>
      <c r="V1561">
        <f>SUM(C1561:K1561)</f>
        <v>43.73</v>
      </c>
    </row>
    <row r="1562" spans="1:22" ht="15.75">
      <c r="A1562" s="28" t="s">
        <v>3122</v>
      </c>
      <c r="B1562" s="28" t="s">
        <v>3123</v>
      </c>
      <c r="C1562" s="23">
        <v>25.27</v>
      </c>
      <c r="D1562" s="23">
        <v>6.98</v>
      </c>
      <c r="E1562" s="23" t="s">
        <v>4683</v>
      </c>
      <c r="F1562" s="23" t="s">
        <v>4682</v>
      </c>
      <c r="G1562" s="23" t="s">
        <v>4682</v>
      </c>
      <c r="H1562" s="23">
        <v>0</v>
      </c>
      <c r="I1562" s="23" t="s">
        <v>4682</v>
      </c>
      <c r="J1562" s="23" t="s">
        <v>4730</v>
      </c>
      <c r="K1562" s="23" t="s">
        <v>4735</v>
      </c>
      <c r="L1562">
        <v>1990</v>
      </c>
      <c r="M1562" s="15" t="s">
        <v>4707</v>
      </c>
      <c r="N1562">
        <v>2</v>
      </c>
      <c r="O1562">
        <v>3</v>
      </c>
      <c r="P1562" s="21">
        <f>DATEVALUE(N1562&amp;"-"&amp;M1562&amp;"-"&amp;L1562)</f>
        <v>33148</v>
      </c>
      <c r="Q1562" s="22">
        <v>13360.94</v>
      </c>
      <c r="R1562" s="23" t="s">
        <v>4698</v>
      </c>
      <c r="S1562" s="23" t="s">
        <v>4701</v>
      </c>
      <c r="T1562" s="23" t="s">
        <v>4704</v>
      </c>
      <c r="U1562" s="23">
        <f>DATEDIF(P1562, DATE(2023, 6, 8), "Y")</f>
        <v>32</v>
      </c>
      <c r="V1562">
        <f>SUM(C1562:K1562)</f>
        <v>32.25</v>
      </c>
    </row>
    <row r="1563" spans="1:22" ht="15.75">
      <c r="A1563" s="28" t="s">
        <v>3124</v>
      </c>
      <c r="B1563" s="28" t="s">
        <v>3125</v>
      </c>
      <c r="C1563" s="23">
        <v>29.26</v>
      </c>
      <c r="D1563" s="23">
        <v>4.03</v>
      </c>
      <c r="E1563" s="23" t="s">
        <v>4682</v>
      </c>
      <c r="F1563" s="23" t="s">
        <v>4682</v>
      </c>
      <c r="G1563" s="23" t="s">
        <v>4682</v>
      </c>
      <c r="H1563" s="23">
        <v>1</v>
      </c>
      <c r="I1563" s="23" t="s">
        <v>4682</v>
      </c>
      <c r="J1563" s="23" t="s">
        <v>4730</v>
      </c>
      <c r="K1563" s="23" t="s">
        <v>4737</v>
      </c>
      <c r="L1563">
        <v>1964</v>
      </c>
      <c r="M1563" s="15" t="s">
        <v>4703</v>
      </c>
      <c r="N1563">
        <v>24</v>
      </c>
      <c r="O1563">
        <v>0</v>
      </c>
      <c r="P1563" s="21">
        <f>DATEVALUE(N1563&amp;"-"&amp;M1563&amp;"-"&amp;L1563)</f>
        <v>23644</v>
      </c>
      <c r="Q1563" s="22">
        <v>13375.76</v>
      </c>
      <c r="R1563" s="23" t="s">
        <v>4698</v>
      </c>
      <c r="S1563" s="23" t="s">
        <v>4697</v>
      </c>
      <c r="T1563" s="23" t="s">
        <v>4713</v>
      </c>
      <c r="U1563" s="23">
        <f>DATEDIF(P1563, DATE(2023, 6, 8), "Y")</f>
        <v>58</v>
      </c>
      <c r="V1563">
        <f>SUM(C1563:K1563)</f>
        <v>34.29</v>
      </c>
    </row>
    <row r="1564" spans="1:22" ht="15.75">
      <c r="A1564" s="28" t="s">
        <v>3126</v>
      </c>
      <c r="B1564" s="28" t="s">
        <v>3127</v>
      </c>
      <c r="C1564" s="23">
        <v>27.835000000000001</v>
      </c>
      <c r="D1564" s="23">
        <v>4.5599999999999996</v>
      </c>
      <c r="E1564" s="23" t="s">
        <v>4682</v>
      </c>
      <c r="F1564" s="23" t="s">
        <v>4682</v>
      </c>
      <c r="G1564" s="23" t="s">
        <v>4682</v>
      </c>
      <c r="H1564" s="23">
        <v>1</v>
      </c>
      <c r="I1564" s="23" t="s">
        <v>4682</v>
      </c>
      <c r="J1564" s="23" t="s">
        <v>4730</v>
      </c>
      <c r="K1564" s="23" t="s">
        <v>4737</v>
      </c>
      <c r="L1564">
        <v>1979</v>
      </c>
      <c r="M1564" s="15" t="s">
        <v>4703</v>
      </c>
      <c r="N1564">
        <v>30</v>
      </c>
      <c r="O1564">
        <v>2</v>
      </c>
      <c r="P1564" s="21">
        <f>DATEVALUE(N1564&amp;"-"&amp;M1564&amp;"-"&amp;L1564)</f>
        <v>29128</v>
      </c>
      <c r="Q1564" s="22">
        <v>13377.41</v>
      </c>
      <c r="R1564" s="23" t="s">
        <v>4698</v>
      </c>
      <c r="S1564" s="23" t="s">
        <v>4698</v>
      </c>
      <c r="T1564" s="23" t="s">
        <v>4720</v>
      </c>
      <c r="U1564" s="23">
        <f>DATEDIF(P1564, DATE(2023, 6, 8), "Y")</f>
        <v>43</v>
      </c>
      <c r="V1564">
        <f>SUM(C1564:K1564)</f>
        <v>33.395000000000003</v>
      </c>
    </row>
    <row r="1565" spans="1:22" ht="15.75">
      <c r="A1565" s="28" t="s">
        <v>3128</v>
      </c>
      <c r="B1565" s="28" t="s">
        <v>3129</v>
      </c>
      <c r="C1565" s="23">
        <v>46.53</v>
      </c>
      <c r="D1565" s="23">
        <v>5.38</v>
      </c>
      <c r="E1565" s="23" t="s">
        <v>4683</v>
      </c>
      <c r="F1565" s="23" t="s">
        <v>4682</v>
      </c>
      <c r="G1565" s="23" t="s">
        <v>4682</v>
      </c>
      <c r="H1565" s="23">
        <v>0</v>
      </c>
      <c r="I1565" s="23" t="s">
        <v>4682</v>
      </c>
      <c r="J1565" s="23" t="s">
        <v>4729</v>
      </c>
      <c r="K1565" s="23" t="s">
        <v>4737</v>
      </c>
      <c r="L1565">
        <v>1984</v>
      </c>
      <c r="M1565" s="15" t="s">
        <v>4702</v>
      </c>
      <c r="N1565">
        <v>6</v>
      </c>
      <c r="O1565">
        <v>3</v>
      </c>
      <c r="P1565" s="21">
        <f>DATEVALUE(N1565&amp;"-"&amp;M1565&amp;"-"&amp;L1565)</f>
        <v>30839</v>
      </c>
      <c r="Q1565" s="22">
        <v>13383.67</v>
      </c>
      <c r="R1565" s="23" t="s">
        <v>4698</v>
      </c>
      <c r="S1565" s="23" t="s">
        <v>4697</v>
      </c>
      <c r="T1565" s="23" t="s">
        <v>4715</v>
      </c>
      <c r="U1565" s="23">
        <f>DATEDIF(P1565, DATE(2023, 6, 8), "Y")</f>
        <v>39</v>
      </c>
      <c r="V1565">
        <f>SUM(C1565:K1565)</f>
        <v>51.910000000000004</v>
      </c>
    </row>
    <row r="1566" spans="1:22" ht="15.75">
      <c r="A1566" s="28" t="s">
        <v>3130</v>
      </c>
      <c r="B1566" s="28" t="s">
        <v>3131</v>
      </c>
      <c r="C1566" s="23">
        <v>20.58</v>
      </c>
      <c r="D1566" s="23">
        <v>11.04</v>
      </c>
      <c r="E1566" s="23" t="s">
        <v>4683</v>
      </c>
      <c r="F1566" s="23" t="s">
        <v>4682</v>
      </c>
      <c r="G1566" s="23" t="s">
        <v>4682</v>
      </c>
      <c r="H1566" s="23">
        <v>1</v>
      </c>
      <c r="I1566" s="23" t="s">
        <v>4682</v>
      </c>
      <c r="J1566" s="23" t="s">
        <v>4728</v>
      </c>
      <c r="K1566" s="23" t="s">
        <v>4735</v>
      </c>
      <c r="L1566">
        <v>1959</v>
      </c>
      <c r="M1566" s="15" t="s">
        <v>4705</v>
      </c>
      <c r="N1566">
        <v>9</v>
      </c>
      <c r="O1566">
        <v>0</v>
      </c>
      <c r="P1566" s="21">
        <f>DATEVALUE(N1566&amp;"-"&amp;M1566&amp;"-"&amp;L1566)</f>
        <v>21893</v>
      </c>
      <c r="Q1566" s="22">
        <v>13390.56</v>
      </c>
      <c r="R1566" s="23" t="s">
        <v>4698</v>
      </c>
      <c r="S1566" s="23" t="s">
        <v>4698</v>
      </c>
      <c r="T1566" s="23" t="s">
        <v>4708</v>
      </c>
      <c r="U1566" s="23">
        <f>DATEDIF(P1566, DATE(2023, 6, 8), "Y")</f>
        <v>63</v>
      </c>
      <c r="V1566">
        <f>SUM(C1566:K1566)</f>
        <v>32.619999999999997</v>
      </c>
    </row>
    <row r="1567" spans="1:22" ht="15.75">
      <c r="A1567" s="28" t="s">
        <v>3132</v>
      </c>
      <c r="B1567" s="28" t="s">
        <v>3133</v>
      </c>
      <c r="C1567" s="23">
        <v>19.53</v>
      </c>
      <c r="D1567" s="23">
        <v>6.09</v>
      </c>
      <c r="E1567" s="23" t="s">
        <v>4683</v>
      </c>
      <c r="F1567" s="23" t="s">
        <v>4682</v>
      </c>
      <c r="G1567" s="23" t="s">
        <v>4682</v>
      </c>
      <c r="H1567" s="23">
        <v>0</v>
      </c>
      <c r="I1567" s="23" t="s">
        <v>4682</v>
      </c>
      <c r="J1567" s="23" t="s">
        <v>4728</v>
      </c>
      <c r="K1567" s="23" t="s">
        <v>4736</v>
      </c>
      <c r="L1567">
        <v>1959</v>
      </c>
      <c r="M1567" s="15" t="s">
        <v>4700</v>
      </c>
      <c r="N1567">
        <v>25</v>
      </c>
      <c r="O1567">
        <v>0</v>
      </c>
      <c r="P1567" s="21">
        <f>DATEVALUE(N1567&amp;"-"&amp;M1567&amp;"-"&amp;L1567)</f>
        <v>21879</v>
      </c>
      <c r="Q1567" s="22">
        <v>13393.76</v>
      </c>
      <c r="R1567" s="23" t="s">
        <v>4698</v>
      </c>
      <c r="S1567" s="23" t="s">
        <v>4701</v>
      </c>
      <c r="T1567" s="23" t="s">
        <v>4708</v>
      </c>
      <c r="U1567" s="23">
        <f>DATEDIF(P1567, DATE(2023, 6, 8), "Y")</f>
        <v>63</v>
      </c>
      <c r="V1567">
        <f>SUM(C1567:K1567)</f>
        <v>25.62</v>
      </c>
    </row>
    <row r="1568" spans="1:22" ht="15.75">
      <c r="A1568" s="28" t="s">
        <v>3134</v>
      </c>
      <c r="B1568" s="28" t="s">
        <v>3135</v>
      </c>
      <c r="C1568" s="23">
        <v>27.7</v>
      </c>
      <c r="D1568" s="23">
        <v>4.71</v>
      </c>
      <c r="E1568" s="23" t="s">
        <v>4682</v>
      </c>
      <c r="F1568" s="23" t="s">
        <v>4682</v>
      </c>
      <c r="G1568" s="23" t="s">
        <v>4682</v>
      </c>
      <c r="H1568" s="23">
        <v>1</v>
      </c>
      <c r="I1568" s="23" t="s">
        <v>4682</v>
      </c>
      <c r="J1568" s="23" t="s">
        <v>4730</v>
      </c>
      <c r="K1568" s="23" t="s">
        <v>4737</v>
      </c>
      <c r="L1568">
        <v>1959</v>
      </c>
      <c r="M1568" s="15" t="s">
        <v>4705</v>
      </c>
      <c r="N1568">
        <v>20</v>
      </c>
      <c r="O1568">
        <v>0</v>
      </c>
      <c r="P1568" s="21">
        <f>DATEVALUE(N1568&amp;"-"&amp;M1568&amp;"-"&amp;L1568)</f>
        <v>21904</v>
      </c>
      <c r="Q1568" s="22">
        <v>13405.39</v>
      </c>
      <c r="R1568" s="23" t="s">
        <v>4698</v>
      </c>
      <c r="S1568" s="23" t="s">
        <v>4698</v>
      </c>
      <c r="T1568" s="23" t="s">
        <v>4699</v>
      </c>
      <c r="U1568" s="23">
        <f>DATEDIF(P1568, DATE(2023, 6, 8), "Y")</f>
        <v>63</v>
      </c>
      <c r="V1568">
        <f>SUM(C1568:K1568)</f>
        <v>33.409999999999997</v>
      </c>
    </row>
    <row r="1569" spans="1:22" ht="15.75">
      <c r="A1569" s="28" t="s">
        <v>3136</v>
      </c>
      <c r="B1569" s="28" t="s">
        <v>3137</v>
      </c>
      <c r="C1569" s="23">
        <v>18.920000000000002</v>
      </c>
      <c r="D1569" s="23">
        <v>8.18</v>
      </c>
      <c r="E1569" s="23" t="s">
        <v>4682</v>
      </c>
      <c r="F1569" s="23" t="s">
        <v>4682</v>
      </c>
      <c r="G1569" s="23" t="s">
        <v>4682</v>
      </c>
      <c r="H1569" s="23">
        <v>0</v>
      </c>
      <c r="I1569" s="23" t="s">
        <v>4682</v>
      </c>
      <c r="J1569" s="23" t="s">
        <v>4728</v>
      </c>
      <c r="K1569" s="23" t="s">
        <v>4735</v>
      </c>
      <c r="L1569">
        <v>1992</v>
      </c>
      <c r="M1569" s="15" t="s">
        <v>4705</v>
      </c>
      <c r="N1569">
        <v>19</v>
      </c>
      <c r="O1569">
        <v>0</v>
      </c>
      <c r="P1569" s="21">
        <f>DATEVALUE(N1569&amp;"-"&amp;M1569&amp;"-"&amp;L1569)</f>
        <v>33957</v>
      </c>
      <c r="Q1569" s="22">
        <v>13412.97</v>
      </c>
      <c r="R1569" s="23" t="s">
        <v>4698</v>
      </c>
      <c r="S1569" s="23" t="s">
        <v>4698</v>
      </c>
      <c r="T1569" s="23" t="s">
        <v>4715</v>
      </c>
      <c r="U1569" s="23">
        <f>DATEDIF(P1569, DATE(2023, 6, 8), "Y")</f>
        <v>30</v>
      </c>
      <c r="V1569">
        <f>SUM(C1569:K1569)</f>
        <v>27.1</v>
      </c>
    </row>
    <row r="1570" spans="1:22" ht="15.75">
      <c r="A1570" s="28" t="s">
        <v>3138</v>
      </c>
      <c r="B1570" s="28" t="s">
        <v>3139</v>
      </c>
      <c r="C1570" s="23">
        <v>17.760000000000002</v>
      </c>
      <c r="D1570" s="23">
        <v>11.18</v>
      </c>
      <c r="E1570" s="23" t="s">
        <v>4683</v>
      </c>
      <c r="F1570" s="23" t="s">
        <v>4682</v>
      </c>
      <c r="G1570" s="23" t="s">
        <v>4682</v>
      </c>
      <c r="H1570" s="23">
        <v>2</v>
      </c>
      <c r="I1570" s="23" t="s">
        <v>4682</v>
      </c>
      <c r="J1570" s="23" t="s">
        <v>4731</v>
      </c>
      <c r="K1570" s="23" t="s">
        <v>4735</v>
      </c>
      <c r="L1570">
        <v>1961</v>
      </c>
      <c r="M1570" s="15" t="s">
        <v>4696</v>
      </c>
      <c r="N1570">
        <v>22</v>
      </c>
      <c r="O1570">
        <v>0</v>
      </c>
      <c r="P1570" s="21">
        <f>DATEVALUE(N1570&amp;"-"&amp;M1570&amp;"-"&amp;L1570)</f>
        <v>22484</v>
      </c>
      <c r="Q1570" s="22">
        <v>13415.04</v>
      </c>
      <c r="R1570" s="23" t="s">
        <v>4698</v>
      </c>
      <c r="S1570" s="23" t="s">
        <v>4697</v>
      </c>
      <c r="T1570" s="23" t="s">
        <v>4704</v>
      </c>
      <c r="U1570" s="23">
        <f>DATEDIF(P1570, DATE(2023, 6, 8), "Y")</f>
        <v>61</v>
      </c>
      <c r="V1570">
        <f>SUM(C1570:K1570)</f>
        <v>30.94</v>
      </c>
    </row>
    <row r="1571" spans="1:22" ht="15.75">
      <c r="A1571" s="28" t="s">
        <v>3140</v>
      </c>
      <c r="B1571" s="28" t="s">
        <v>3141</v>
      </c>
      <c r="C1571" s="23">
        <v>29.83</v>
      </c>
      <c r="D1571" s="23">
        <v>5.03</v>
      </c>
      <c r="E1571" s="23" t="s">
        <v>4683</v>
      </c>
      <c r="F1571" s="23" t="s">
        <v>4682</v>
      </c>
      <c r="G1571" s="23" t="s">
        <v>4682</v>
      </c>
      <c r="H1571" s="23">
        <v>0</v>
      </c>
      <c r="I1571" s="23" t="s">
        <v>4682</v>
      </c>
      <c r="J1571" s="23" t="s">
        <v>4730</v>
      </c>
      <c r="K1571" s="23" t="s">
        <v>4737</v>
      </c>
      <c r="L1571">
        <v>1994</v>
      </c>
      <c r="M1571" s="15" t="s">
        <v>4702</v>
      </c>
      <c r="N1571">
        <v>17</v>
      </c>
      <c r="O1571">
        <v>0</v>
      </c>
      <c r="P1571" s="21">
        <f>DATEVALUE(N1571&amp;"-"&amp;M1571&amp;"-"&amp;L1571)</f>
        <v>34502</v>
      </c>
      <c r="Q1571" s="22">
        <v>13417.05</v>
      </c>
      <c r="R1571" s="23" t="s">
        <v>4698</v>
      </c>
      <c r="S1571" s="23" t="s">
        <v>4698</v>
      </c>
      <c r="T1571" s="23" t="s">
        <v>4704</v>
      </c>
      <c r="U1571" s="23">
        <f>DATEDIF(P1571, DATE(2023, 6, 8), "Y")</f>
        <v>28</v>
      </c>
      <c r="V1571">
        <f>SUM(C1571:K1571)</f>
        <v>34.86</v>
      </c>
    </row>
    <row r="1572" spans="1:22" ht="15.75">
      <c r="A1572" s="28" t="s">
        <v>3142</v>
      </c>
      <c r="B1572" s="28" t="s">
        <v>3143</v>
      </c>
      <c r="C1572" s="23">
        <v>23.465</v>
      </c>
      <c r="D1572" s="23">
        <v>5.56</v>
      </c>
      <c r="E1572" s="23" t="s">
        <v>4682</v>
      </c>
      <c r="F1572" s="23" t="s">
        <v>4682</v>
      </c>
      <c r="G1572" s="23" t="s">
        <v>4682</v>
      </c>
      <c r="H1572" s="23">
        <v>1</v>
      </c>
      <c r="I1572" s="23" t="s">
        <v>4682</v>
      </c>
      <c r="J1572" s="23" t="s">
        <v>4728</v>
      </c>
      <c r="K1572" s="23" t="s">
        <v>4737</v>
      </c>
      <c r="L1572">
        <v>1961</v>
      </c>
      <c r="M1572" s="15" t="s">
        <v>4700</v>
      </c>
      <c r="N1572">
        <v>3</v>
      </c>
      <c r="O1572">
        <v>0</v>
      </c>
      <c r="P1572" s="21">
        <f>DATEVALUE(N1572&amp;"-"&amp;M1572&amp;"-"&amp;L1572)</f>
        <v>22588</v>
      </c>
      <c r="Q1572" s="22">
        <v>13429.04</v>
      </c>
      <c r="R1572" s="23" t="s">
        <v>4698</v>
      </c>
      <c r="S1572" s="23" t="s">
        <v>4698</v>
      </c>
      <c r="T1572" s="23" t="s">
        <v>4704</v>
      </c>
      <c r="U1572" s="23">
        <f>DATEDIF(P1572, DATE(2023, 6, 8), "Y")</f>
        <v>61</v>
      </c>
      <c r="V1572">
        <f>SUM(C1572:K1572)</f>
        <v>30.024999999999999</v>
      </c>
    </row>
    <row r="1573" spans="1:22" ht="15.75">
      <c r="A1573" s="28" t="s">
        <v>3144</v>
      </c>
      <c r="B1573" s="28" t="s">
        <v>3145</v>
      </c>
      <c r="C1573" s="23">
        <v>29.355</v>
      </c>
      <c r="D1573" s="23">
        <v>4.33</v>
      </c>
      <c r="E1573" s="23" t="s">
        <v>4682</v>
      </c>
      <c r="F1573" s="23" t="s">
        <v>4682</v>
      </c>
      <c r="G1573" s="23" t="s">
        <v>4682</v>
      </c>
      <c r="H1573" s="23">
        <v>0</v>
      </c>
      <c r="I1573" s="23" t="s">
        <v>4682</v>
      </c>
      <c r="J1573" s="23" t="s">
        <v>4730</v>
      </c>
      <c r="K1573" s="23" t="s">
        <v>4737</v>
      </c>
      <c r="L1573">
        <v>1966</v>
      </c>
      <c r="M1573" s="15" t="s">
        <v>4700</v>
      </c>
      <c r="N1573">
        <v>14</v>
      </c>
      <c r="O1573">
        <v>3</v>
      </c>
      <c r="P1573" s="21">
        <f>DATEVALUE(N1573&amp;"-"&amp;M1573&amp;"-"&amp;L1573)</f>
        <v>24425</v>
      </c>
      <c r="Q1573" s="22">
        <v>13430.27</v>
      </c>
      <c r="R1573" s="23" t="s">
        <v>4698</v>
      </c>
      <c r="S1573" s="23" t="s">
        <v>4698</v>
      </c>
      <c r="T1573" s="23" t="s">
        <v>4714</v>
      </c>
      <c r="U1573" s="23">
        <f>DATEDIF(P1573, DATE(2023, 6, 8), "Y")</f>
        <v>56</v>
      </c>
      <c r="V1573">
        <f>SUM(C1573:K1573)</f>
        <v>33.685000000000002</v>
      </c>
    </row>
    <row r="1574" spans="1:22" ht="15.75">
      <c r="A1574" s="28" t="s">
        <v>3146</v>
      </c>
      <c r="B1574" s="28" t="s">
        <v>3147</v>
      </c>
      <c r="C1574" s="23">
        <v>35.49</v>
      </c>
      <c r="D1574" s="23">
        <v>5.21</v>
      </c>
      <c r="E1574" s="23" t="s">
        <v>4683</v>
      </c>
      <c r="F1574" s="23" t="s">
        <v>4682</v>
      </c>
      <c r="G1574" s="23" t="s">
        <v>4684</v>
      </c>
      <c r="H1574" s="23">
        <v>1</v>
      </c>
      <c r="I1574" s="23" t="s">
        <v>4682</v>
      </c>
      <c r="J1574" s="23" t="s">
        <v>4729</v>
      </c>
      <c r="K1574" s="23" t="s">
        <v>4737</v>
      </c>
      <c r="L1574">
        <v>1975</v>
      </c>
      <c r="M1574" s="15" t="s">
        <v>4702</v>
      </c>
      <c r="N1574">
        <v>29</v>
      </c>
      <c r="O1574">
        <v>1</v>
      </c>
      <c r="P1574" s="21">
        <f>DATEVALUE(N1574&amp;"-"&amp;M1574&amp;"-"&amp;L1574)</f>
        <v>27574</v>
      </c>
      <c r="Q1574" s="22">
        <v>13440.7</v>
      </c>
      <c r="R1574" s="23" t="s">
        <v>4698</v>
      </c>
      <c r="S1574" s="23" t="s">
        <v>4697</v>
      </c>
      <c r="T1574" s="23" t="s">
        <v>4704</v>
      </c>
      <c r="U1574" s="23">
        <f>DATEDIF(P1574, DATE(2023, 6, 8), "Y")</f>
        <v>47</v>
      </c>
      <c r="V1574">
        <f>SUM(C1574:K1574)</f>
        <v>41.7</v>
      </c>
    </row>
    <row r="1575" spans="1:22" ht="15.75">
      <c r="A1575" s="28" t="s">
        <v>3148</v>
      </c>
      <c r="B1575" s="28" t="s">
        <v>3149</v>
      </c>
      <c r="C1575" s="23">
        <v>26.315000000000001</v>
      </c>
      <c r="D1575" s="23">
        <v>5.89</v>
      </c>
      <c r="E1575" s="23" t="s">
        <v>4682</v>
      </c>
      <c r="F1575" s="23" t="s">
        <v>4682</v>
      </c>
      <c r="G1575" s="23" t="s">
        <v>4682</v>
      </c>
      <c r="H1575" s="23">
        <v>0</v>
      </c>
      <c r="I1575" s="23" t="s">
        <v>4682</v>
      </c>
      <c r="J1575" s="23" t="s">
        <v>4730</v>
      </c>
      <c r="K1575" s="23" t="s">
        <v>4736</v>
      </c>
      <c r="L1575">
        <v>1960</v>
      </c>
      <c r="M1575" s="15" t="s">
        <v>4706</v>
      </c>
      <c r="N1575">
        <v>13</v>
      </c>
      <c r="O1575">
        <v>0</v>
      </c>
      <c r="P1575" s="21">
        <f>DATEVALUE(N1575&amp;"-"&amp;M1575&amp;"-"&amp;L1575)</f>
        <v>22141</v>
      </c>
      <c r="Q1575" s="22">
        <v>13451.12</v>
      </c>
      <c r="R1575" s="23" t="s">
        <v>4698</v>
      </c>
      <c r="S1575" s="23" t="s">
        <v>4701</v>
      </c>
      <c r="T1575" s="23" t="s">
        <v>4708</v>
      </c>
      <c r="U1575" s="23">
        <f>DATEDIF(P1575, DATE(2023, 6, 8), "Y")</f>
        <v>62</v>
      </c>
      <c r="V1575">
        <f>SUM(C1575:K1575)</f>
        <v>32.204999999999998</v>
      </c>
    </row>
    <row r="1576" spans="1:22" ht="15.75">
      <c r="A1576" s="28" t="s">
        <v>3150</v>
      </c>
      <c r="B1576" s="28" t="s">
        <v>3151</v>
      </c>
      <c r="C1576" s="23">
        <v>19.79</v>
      </c>
      <c r="D1576" s="23">
        <v>4.8099999999999996</v>
      </c>
      <c r="E1576" s="23" t="s">
        <v>4683</v>
      </c>
      <c r="F1576" s="23" t="s">
        <v>4682</v>
      </c>
      <c r="G1576" s="23" t="s">
        <v>4682</v>
      </c>
      <c r="H1576" s="23">
        <v>0</v>
      </c>
      <c r="I1576" s="23" t="s">
        <v>4682</v>
      </c>
      <c r="J1576" s="23" t="s">
        <v>4728</v>
      </c>
      <c r="K1576" s="23" t="s">
        <v>4737</v>
      </c>
      <c r="L1576">
        <v>1960</v>
      </c>
      <c r="M1576" s="15" t="s">
        <v>4696</v>
      </c>
      <c r="N1576">
        <v>11</v>
      </c>
      <c r="O1576">
        <v>0</v>
      </c>
      <c r="P1576" s="21">
        <f>DATEVALUE(N1576&amp;"-"&amp;M1576&amp;"-"&amp;L1576)</f>
        <v>22108</v>
      </c>
      <c r="Q1576" s="22">
        <v>13457.96</v>
      </c>
      <c r="R1576" s="23" t="s">
        <v>4698</v>
      </c>
      <c r="S1576" s="23" t="s">
        <v>4701</v>
      </c>
      <c r="T1576" s="23" t="s">
        <v>4699</v>
      </c>
      <c r="U1576" s="23">
        <f>DATEDIF(P1576, DATE(2023, 6, 8), "Y")</f>
        <v>62</v>
      </c>
      <c r="V1576">
        <f>SUM(C1576:K1576)</f>
        <v>24.599999999999998</v>
      </c>
    </row>
    <row r="1577" spans="1:22" ht="15.75">
      <c r="A1577" s="28" t="s">
        <v>3152</v>
      </c>
      <c r="B1577" s="28" t="s">
        <v>3153</v>
      </c>
      <c r="C1577" s="23">
        <v>40.564999999999998</v>
      </c>
      <c r="D1577" s="23">
        <v>5.66</v>
      </c>
      <c r="E1577" s="23" t="s">
        <v>4682</v>
      </c>
      <c r="F1577" s="23" t="s">
        <v>4682</v>
      </c>
      <c r="G1577" s="23" t="s">
        <v>4682</v>
      </c>
      <c r="H1577" s="23">
        <v>1</v>
      </c>
      <c r="I1577" s="23" t="s">
        <v>4682</v>
      </c>
      <c r="J1577" s="23" t="s">
        <v>4729</v>
      </c>
      <c r="K1577" s="23" t="s">
        <v>4737</v>
      </c>
      <c r="L1577">
        <v>1960</v>
      </c>
      <c r="M1577" s="15" t="s">
        <v>4705</v>
      </c>
      <c r="N1577">
        <v>16</v>
      </c>
      <c r="O1577">
        <v>0</v>
      </c>
      <c r="P1577" s="21">
        <f>DATEVALUE(N1577&amp;"-"&amp;M1577&amp;"-"&amp;L1577)</f>
        <v>22266</v>
      </c>
      <c r="Q1577" s="22">
        <v>13462.52</v>
      </c>
      <c r="R1577" s="23" t="s">
        <v>4698</v>
      </c>
      <c r="S1577" s="23" t="s">
        <v>4697</v>
      </c>
      <c r="T1577" s="23" t="s">
        <v>4708</v>
      </c>
      <c r="U1577" s="23">
        <f>DATEDIF(P1577, DATE(2023, 6, 8), "Y")</f>
        <v>62</v>
      </c>
      <c r="V1577">
        <f>SUM(C1577:K1577)</f>
        <v>47.224999999999994</v>
      </c>
    </row>
    <row r="1578" spans="1:22" ht="15.75">
      <c r="A1578" s="28" t="s">
        <v>3154</v>
      </c>
      <c r="B1578" s="28" t="s">
        <v>3155</v>
      </c>
      <c r="C1578" s="23">
        <v>18.03</v>
      </c>
      <c r="D1578" s="23">
        <v>10.66</v>
      </c>
      <c r="E1578" s="23" t="s">
        <v>4683</v>
      </c>
      <c r="F1578" s="23" t="s">
        <v>4682</v>
      </c>
      <c r="G1578" s="23" t="s">
        <v>4682</v>
      </c>
      <c r="H1578" s="23">
        <v>2</v>
      </c>
      <c r="I1578" s="23" t="s">
        <v>4682</v>
      </c>
      <c r="J1578" s="23" t="s">
        <v>4731</v>
      </c>
      <c r="K1578" s="23" t="s">
        <v>4735</v>
      </c>
      <c r="L1578">
        <v>1985</v>
      </c>
      <c r="M1578" s="15" t="s">
        <v>4706</v>
      </c>
      <c r="N1578">
        <v>19</v>
      </c>
      <c r="O1578">
        <v>3</v>
      </c>
      <c r="P1578" s="21">
        <f>DATEVALUE(N1578&amp;"-"&amp;M1578&amp;"-"&amp;L1578)</f>
        <v>31278</v>
      </c>
      <c r="Q1578" s="22">
        <v>13465.8</v>
      </c>
      <c r="R1578" s="23" t="s">
        <v>4698</v>
      </c>
      <c r="S1578" s="23" t="s">
        <v>4701</v>
      </c>
      <c r="T1578" s="23" t="s">
        <v>4704</v>
      </c>
      <c r="U1578" s="23">
        <f>DATEDIF(P1578, DATE(2023, 6, 8), "Y")</f>
        <v>37</v>
      </c>
      <c r="V1578">
        <f>SUM(C1578:K1578)</f>
        <v>30.69</v>
      </c>
    </row>
    <row r="1579" spans="1:22" ht="15.75">
      <c r="A1579" s="28" t="s">
        <v>3156</v>
      </c>
      <c r="B1579" s="28" t="s">
        <v>3157</v>
      </c>
      <c r="C1579" s="23">
        <v>34.65</v>
      </c>
      <c r="D1579" s="23">
        <v>5.98</v>
      </c>
      <c r="E1579" s="23" t="s">
        <v>4683</v>
      </c>
      <c r="F1579" s="23" t="s">
        <v>4682</v>
      </c>
      <c r="G1579" s="23" t="s">
        <v>4682</v>
      </c>
      <c r="H1579" s="23">
        <v>0</v>
      </c>
      <c r="I1579" s="23" t="s">
        <v>4682</v>
      </c>
      <c r="J1579" s="23" t="s">
        <v>4729</v>
      </c>
      <c r="K1579" s="23" t="s">
        <v>4736</v>
      </c>
      <c r="L1579">
        <v>1960</v>
      </c>
      <c r="M1579" s="15" t="s">
        <v>4696</v>
      </c>
      <c r="N1579">
        <v>28</v>
      </c>
      <c r="O1579">
        <v>0</v>
      </c>
      <c r="P1579" s="21">
        <f>DATEVALUE(N1579&amp;"-"&amp;M1579&amp;"-"&amp;L1579)</f>
        <v>22125</v>
      </c>
      <c r="Q1579" s="22">
        <v>13470.8</v>
      </c>
      <c r="R1579" s="23" t="s">
        <v>4698</v>
      </c>
      <c r="S1579" s="23" t="s">
        <v>4697</v>
      </c>
      <c r="T1579" s="23" t="s">
        <v>4699</v>
      </c>
      <c r="U1579" s="23">
        <f>DATEDIF(P1579, DATE(2023, 6, 8), "Y")</f>
        <v>62</v>
      </c>
      <c r="V1579">
        <f>SUM(C1579:K1579)</f>
        <v>40.629999999999995</v>
      </c>
    </row>
    <row r="1580" spans="1:22" ht="15.75">
      <c r="A1580" s="28" t="s">
        <v>3158</v>
      </c>
      <c r="B1580" s="28" t="s">
        <v>3159</v>
      </c>
      <c r="C1580" s="23">
        <v>42.94</v>
      </c>
      <c r="D1580" s="23">
        <v>4.34</v>
      </c>
      <c r="E1580" s="23" t="s">
        <v>4682</v>
      </c>
      <c r="F1580" s="23" t="s">
        <v>4682</v>
      </c>
      <c r="G1580" s="23" t="s">
        <v>4682</v>
      </c>
      <c r="H1580" s="23">
        <v>0</v>
      </c>
      <c r="I1580" s="23" t="s">
        <v>4682</v>
      </c>
      <c r="J1580" s="23" t="s">
        <v>4729</v>
      </c>
      <c r="K1580" s="23" t="s">
        <v>4737</v>
      </c>
      <c r="L1580">
        <v>1960</v>
      </c>
      <c r="M1580" s="15" t="s">
        <v>4696</v>
      </c>
      <c r="N1580">
        <v>24</v>
      </c>
      <c r="O1580">
        <v>0</v>
      </c>
      <c r="P1580" s="21">
        <f>DATEVALUE(N1580&amp;"-"&amp;M1580&amp;"-"&amp;L1580)</f>
        <v>22121</v>
      </c>
      <c r="Q1580" s="22">
        <v>13470.86</v>
      </c>
      <c r="R1580" s="23" t="s">
        <v>4698</v>
      </c>
      <c r="S1580" s="23" t="s">
        <v>4698</v>
      </c>
      <c r="T1580" s="23" t="s">
        <v>4708</v>
      </c>
      <c r="U1580" s="23">
        <f>DATEDIF(P1580, DATE(2023, 6, 8), "Y")</f>
        <v>62</v>
      </c>
      <c r="V1580">
        <f>SUM(C1580:K1580)</f>
        <v>47.28</v>
      </c>
    </row>
    <row r="1581" spans="1:22" ht="15.75">
      <c r="A1581" s="28" t="s">
        <v>3160</v>
      </c>
      <c r="B1581" s="28" t="s">
        <v>3161</v>
      </c>
      <c r="C1581" s="23">
        <v>31.254999999999999</v>
      </c>
      <c r="D1581" s="23">
        <v>5.17</v>
      </c>
      <c r="E1581" s="23" t="s">
        <v>4682</v>
      </c>
      <c r="F1581" s="23" t="s">
        <v>4682</v>
      </c>
      <c r="G1581" s="23" t="s">
        <v>4682</v>
      </c>
      <c r="H1581" s="23">
        <v>0</v>
      </c>
      <c r="I1581" s="23" t="s">
        <v>4682</v>
      </c>
      <c r="J1581" s="23" t="s">
        <v>4729</v>
      </c>
      <c r="K1581" s="23" t="s">
        <v>4737</v>
      </c>
      <c r="L1581">
        <v>1975</v>
      </c>
      <c r="M1581" s="15" t="s">
        <v>4706</v>
      </c>
      <c r="N1581">
        <v>7</v>
      </c>
      <c r="O1581">
        <v>1</v>
      </c>
      <c r="P1581" s="21">
        <f>DATEVALUE(N1581&amp;"-"&amp;M1581&amp;"-"&amp;L1581)</f>
        <v>27613</v>
      </c>
      <c r="Q1581" s="22">
        <v>13472.19</v>
      </c>
      <c r="R1581" s="23" t="s">
        <v>4698</v>
      </c>
      <c r="S1581" s="23" t="s">
        <v>4697</v>
      </c>
      <c r="T1581" s="23" t="s">
        <v>4704</v>
      </c>
      <c r="U1581" s="23">
        <f>DATEDIF(P1581, DATE(2023, 6, 8), "Y")</f>
        <v>47</v>
      </c>
      <c r="V1581">
        <f>SUM(C1581:K1581)</f>
        <v>36.424999999999997</v>
      </c>
    </row>
    <row r="1582" spans="1:22" ht="15.75">
      <c r="A1582" s="28" t="s">
        <v>3162</v>
      </c>
      <c r="B1582" s="28" t="s">
        <v>3163</v>
      </c>
      <c r="C1582" s="23">
        <v>45.43</v>
      </c>
      <c r="D1582" s="23">
        <v>4.2300000000000004</v>
      </c>
      <c r="E1582" s="23" t="s">
        <v>4683</v>
      </c>
      <c r="F1582" s="23" t="s">
        <v>4682</v>
      </c>
      <c r="G1582" s="23" t="s">
        <v>4684</v>
      </c>
      <c r="H1582" s="23">
        <v>1</v>
      </c>
      <c r="I1582" s="23" t="s">
        <v>4682</v>
      </c>
      <c r="J1582" s="23" t="s">
        <v>4729</v>
      </c>
      <c r="K1582" s="23" t="s">
        <v>4737</v>
      </c>
      <c r="L1582">
        <v>1990</v>
      </c>
      <c r="M1582" s="15" t="s">
        <v>4706</v>
      </c>
      <c r="N1582">
        <v>30</v>
      </c>
      <c r="O1582">
        <v>3</v>
      </c>
      <c r="P1582" s="21">
        <f>DATEVALUE(N1582&amp;"-"&amp;M1582&amp;"-"&amp;L1582)</f>
        <v>33115</v>
      </c>
      <c r="Q1582" s="22">
        <v>13480.83</v>
      </c>
      <c r="R1582" s="23" t="s">
        <v>4698</v>
      </c>
      <c r="S1582" s="23" t="s">
        <v>4697</v>
      </c>
      <c r="T1582" s="23" t="s">
        <v>4715</v>
      </c>
      <c r="U1582" s="23">
        <f>DATEDIF(P1582, DATE(2023, 6, 8), "Y")</f>
        <v>32</v>
      </c>
      <c r="V1582">
        <f>SUM(C1582:K1582)</f>
        <v>50.66</v>
      </c>
    </row>
    <row r="1583" spans="1:22" ht="15.75">
      <c r="A1583" s="28" t="s">
        <v>3164</v>
      </c>
      <c r="B1583" s="28" t="s">
        <v>3165</v>
      </c>
      <c r="C1583" s="23">
        <v>32.340000000000003</v>
      </c>
      <c r="D1583" s="23">
        <v>4.88</v>
      </c>
      <c r="E1583" s="23" t="s">
        <v>4683</v>
      </c>
      <c r="F1583" s="23" t="s">
        <v>4682</v>
      </c>
      <c r="G1583" s="23" t="s">
        <v>4684</v>
      </c>
      <c r="H1583" s="23">
        <v>1</v>
      </c>
      <c r="I1583" s="23" t="s">
        <v>4682</v>
      </c>
      <c r="J1583" s="23" t="s">
        <v>4729</v>
      </c>
      <c r="K1583" s="23" t="s">
        <v>4737</v>
      </c>
      <c r="L1583">
        <v>1963</v>
      </c>
      <c r="M1583" s="15" t="s">
        <v>4707</v>
      </c>
      <c r="N1583">
        <v>14</v>
      </c>
      <c r="O1583">
        <v>0</v>
      </c>
      <c r="P1583" s="21">
        <f>DATEVALUE(N1583&amp;"-"&amp;M1583&amp;"-"&amp;L1583)</f>
        <v>23298</v>
      </c>
      <c r="Q1583" s="22">
        <v>13511.28</v>
      </c>
      <c r="R1583" s="23" t="s">
        <v>4698</v>
      </c>
      <c r="S1583" s="23" t="s">
        <v>4701</v>
      </c>
      <c r="T1583" s="23" t="s">
        <v>4704</v>
      </c>
      <c r="U1583" s="23">
        <f>DATEDIF(P1583, DATE(2023, 6, 8), "Y")</f>
        <v>59</v>
      </c>
      <c r="V1583">
        <f>SUM(C1583:K1583)</f>
        <v>38.220000000000006</v>
      </c>
    </row>
    <row r="1584" spans="1:22" ht="15.75">
      <c r="A1584" s="28" t="s">
        <v>3166</v>
      </c>
      <c r="B1584" s="28" t="s">
        <v>3167</v>
      </c>
      <c r="C1584" s="23">
        <v>25.46</v>
      </c>
      <c r="D1584" s="23">
        <v>9.7100000000000009</v>
      </c>
      <c r="E1584" s="23" t="s">
        <v>4683</v>
      </c>
      <c r="F1584" s="23" t="s">
        <v>4682</v>
      </c>
      <c r="G1584" s="23" t="s">
        <v>4682</v>
      </c>
      <c r="H1584" s="23">
        <v>1</v>
      </c>
      <c r="I1584" s="23" t="s">
        <v>4682</v>
      </c>
      <c r="J1584" s="23" t="s">
        <v>4730</v>
      </c>
      <c r="K1584" s="23" t="s">
        <v>4735</v>
      </c>
      <c r="L1584">
        <v>1960</v>
      </c>
      <c r="M1584" s="15" t="s">
        <v>4696</v>
      </c>
      <c r="N1584">
        <v>11</v>
      </c>
      <c r="O1584">
        <v>0</v>
      </c>
      <c r="P1584" s="21">
        <f>DATEVALUE(N1584&amp;"-"&amp;M1584&amp;"-"&amp;L1584)</f>
        <v>22108</v>
      </c>
      <c r="Q1584" s="22">
        <v>13555</v>
      </c>
      <c r="R1584" s="23" t="s">
        <v>4698</v>
      </c>
      <c r="S1584" s="23" t="s">
        <v>4698</v>
      </c>
      <c r="T1584" s="23" t="s">
        <v>4718</v>
      </c>
      <c r="U1584" s="23">
        <f>DATEDIF(P1584, DATE(2023, 6, 8), "Y")</f>
        <v>62</v>
      </c>
      <c r="V1584">
        <f>SUM(C1584:K1584)</f>
        <v>36.17</v>
      </c>
    </row>
    <row r="1585" spans="1:22" ht="15.75">
      <c r="A1585" s="28" t="s">
        <v>3168</v>
      </c>
      <c r="B1585" s="28" t="s">
        <v>3169</v>
      </c>
      <c r="C1585" s="23">
        <v>37.145000000000003</v>
      </c>
      <c r="D1585" s="23">
        <v>5.32</v>
      </c>
      <c r="E1585" s="23" t="s">
        <v>4682</v>
      </c>
      <c r="F1585" s="23" t="s">
        <v>4682</v>
      </c>
      <c r="G1585" s="23" t="s">
        <v>4682</v>
      </c>
      <c r="H1585" s="23">
        <v>0</v>
      </c>
      <c r="I1585" s="23" t="s">
        <v>4682</v>
      </c>
      <c r="J1585" s="23" t="s">
        <v>4729</v>
      </c>
      <c r="K1585" s="23" t="s">
        <v>4737</v>
      </c>
      <c r="L1585">
        <v>1968</v>
      </c>
      <c r="M1585" s="15" t="s">
        <v>4696</v>
      </c>
      <c r="N1585">
        <v>15</v>
      </c>
      <c r="O1585">
        <v>0</v>
      </c>
      <c r="P1585" s="21">
        <f>DATEVALUE(N1585&amp;"-"&amp;M1585&amp;"-"&amp;L1585)</f>
        <v>25034</v>
      </c>
      <c r="Q1585" s="22">
        <v>13566.04</v>
      </c>
      <c r="R1585" s="23" t="s">
        <v>4698</v>
      </c>
      <c r="S1585" s="23" t="s">
        <v>4698</v>
      </c>
      <c r="T1585" s="23" t="s">
        <v>4720</v>
      </c>
      <c r="U1585" s="23">
        <f>DATEDIF(P1585, DATE(2023, 6, 8), "Y")</f>
        <v>54</v>
      </c>
      <c r="V1585">
        <f>SUM(C1585:K1585)</f>
        <v>42.465000000000003</v>
      </c>
    </row>
    <row r="1586" spans="1:22" ht="15.75">
      <c r="A1586" s="28" t="s">
        <v>3170</v>
      </c>
      <c r="B1586" s="28" t="s">
        <v>3171</v>
      </c>
      <c r="C1586" s="23">
        <v>30.8</v>
      </c>
      <c r="D1586" s="23">
        <v>5.83</v>
      </c>
      <c r="E1586" s="23" t="s">
        <v>4683</v>
      </c>
      <c r="F1586" s="23" t="s">
        <v>4682</v>
      </c>
      <c r="G1586" s="23" t="s">
        <v>4682</v>
      </c>
      <c r="H1586" s="23">
        <v>0</v>
      </c>
      <c r="I1586" s="23" t="s">
        <v>4682</v>
      </c>
      <c r="J1586" s="23" t="s">
        <v>4729</v>
      </c>
      <c r="K1586" s="23" t="s">
        <v>4736</v>
      </c>
      <c r="L1586">
        <v>1992</v>
      </c>
      <c r="M1586" s="15" t="s">
        <v>4706</v>
      </c>
      <c r="N1586">
        <v>14</v>
      </c>
      <c r="O1586">
        <v>0</v>
      </c>
      <c r="P1586" s="21">
        <f>DATEVALUE(N1586&amp;"-"&amp;M1586&amp;"-"&amp;L1586)</f>
        <v>33830</v>
      </c>
      <c r="Q1586" s="22">
        <v>13588.17</v>
      </c>
      <c r="R1586" s="23" t="s">
        <v>4698</v>
      </c>
      <c r="S1586" s="23" t="s">
        <v>4701</v>
      </c>
      <c r="T1586" s="23" t="s">
        <v>4704</v>
      </c>
      <c r="U1586" s="23">
        <f>DATEDIF(P1586, DATE(2023, 6, 8), "Y")</f>
        <v>30</v>
      </c>
      <c r="V1586">
        <f>SUM(C1586:K1586)</f>
        <v>36.630000000000003</v>
      </c>
    </row>
    <row r="1587" spans="1:22" ht="15.75">
      <c r="A1587" s="28" t="s">
        <v>3172</v>
      </c>
      <c r="B1587" s="28" t="s">
        <v>3173</v>
      </c>
      <c r="C1587" s="23">
        <v>29.5</v>
      </c>
      <c r="D1587" s="23">
        <v>5.54</v>
      </c>
      <c r="E1587" s="23" t="s">
        <v>4683</v>
      </c>
      <c r="F1587" s="23" t="s">
        <v>4682</v>
      </c>
      <c r="G1587" s="23" t="s">
        <v>4682</v>
      </c>
      <c r="H1587" s="23">
        <v>0</v>
      </c>
      <c r="I1587" s="23" t="s">
        <v>4682</v>
      </c>
      <c r="J1587" s="23" t="s">
        <v>4730</v>
      </c>
      <c r="K1587" s="23" t="s">
        <v>4737</v>
      </c>
      <c r="L1587">
        <v>1964</v>
      </c>
      <c r="M1587" s="15" t="s">
        <v>4703</v>
      </c>
      <c r="N1587">
        <v>10</v>
      </c>
      <c r="O1587">
        <v>2</v>
      </c>
      <c r="P1587" s="21">
        <f>DATEVALUE(N1587&amp;"-"&amp;M1587&amp;"-"&amp;L1587)</f>
        <v>23630</v>
      </c>
      <c r="Q1587" s="22">
        <v>13607.37</v>
      </c>
      <c r="R1587" s="23" t="s">
        <v>4698</v>
      </c>
      <c r="S1587" s="23" t="s">
        <v>4701</v>
      </c>
      <c r="T1587" s="23" t="s">
        <v>4714</v>
      </c>
      <c r="U1587" s="23">
        <f>DATEDIF(P1587, DATE(2023, 6, 8), "Y")</f>
        <v>58</v>
      </c>
      <c r="V1587">
        <f>SUM(C1587:K1587)</f>
        <v>35.04</v>
      </c>
    </row>
    <row r="1588" spans="1:22" ht="15.75">
      <c r="A1588" s="28" t="s">
        <v>3174</v>
      </c>
      <c r="B1588" s="28" t="s">
        <v>3175</v>
      </c>
      <c r="C1588" s="23">
        <v>43.39</v>
      </c>
      <c r="D1588" s="23">
        <v>5.85</v>
      </c>
      <c r="E1588" s="23" t="s">
        <v>4682</v>
      </c>
      <c r="F1588" s="23" t="s">
        <v>4683</v>
      </c>
      <c r="G1588" s="23" t="s">
        <v>4682</v>
      </c>
      <c r="H1588" s="23">
        <v>1</v>
      </c>
      <c r="I1588" s="23" t="s">
        <v>4682</v>
      </c>
      <c r="J1588" s="23" t="s">
        <v>4729</v>
      </c>
      <c r="K1588" s="23" t="s">
        <v>4736</v>
      </c>
      <c r="L1588">
        <v>1961</v>
      </c>
      <c r="M1588" s="15" t="s">
        <v>4700</v>
      </c>
      <c r="N1588">
        <v>18</v>
      </c>
      <c r="O1588">
        <v>0</v>
      </c>
      <c r="P1588" s="21">
        <f>DATEVALUE(N1588&amp;"-"&amp;M1588&amp;"-"&amp;L1588)</f>
        <v>22603</v>
      </c>
      <c r="Q1588" s="22">
        <v>13616.36</v>
      </c>
      <c r="R1588" s="23" t="s">
        <v>4698</v>
      </c>
      <c r="S1588" s="23" t="s">
        <v>4698</v>
      </c>
      <c r="T1588" s="23" t="s">
        <v>4714</v>
      </c>
      <c r="U1588" s="23">
        <f>DATEDIF(P1588, DATE(2023, 6, 8), "Y")</f>
        <v>61</v>
      </c>
      <c r="V1588">
        <f>SUM(C1588:K1588)</f>
        <v>50.24</v>
      </c>
    </row>
    <row r="1589" spans="1:22" ht="15.75">
      <c r="A1589" s="28" t="s">
        <v>3176</v>
      </c>
      <c r="B1589" s="28" t="s">
        <v>3177</v>
      </c>
      <c r="C1589" s="23">
        <v>15.08</v>
      </c>
      <c r="D1589" s="23">
        <v>4.8499999999999996</v>
      </c>
      <c r="E1589" s="23" t="s">
        <v>4683</v>
      </c>
      <c r="F1589" s="23" t="s">
        <v>4682</v>
      </c>
      <c r="G1589" s="23" t="s">
        <v>4684</v>
      </c>
      <c r="H1589" s="23">
        <v>1</v>
      </c>
      <c r="I1589" s="23" t="s">
        <v>4682</v>
      </c>
      <c r="J1589" s="23" t="s">
        <v>4731</v>
      </c>
      <c r="K1589" s="23" t="s">
        <v>4737</v>
      </c>
      <c r="L1589">
        <v>1969</v>
      </c>
      <c r="M1589" s="15" t="s">
        <v>4696</v>
      </c>
      <c r="N1589">
        <v>26</v>
      </c>
      <c r="O1589">
        <v>0</v>
      </c>
      <c r="P1589" s="21">
        <f>DATEVALUE(N1589&amp;"-"&amp;M1589&amp;"-"&amp;L1589)</f>
        <v>25410</v>
      </c>
      <c r="Q1589" s="22">
        <v>13622.01</v>
      </c>
      <c r="R1589" s="23" t="s">
        <v>4698</v>
      </c>
      <c r="S1589" s="23" t="s">
        <v>4698</v>
      </c>
      <c r="T1589" s="23" t="s">
        <v>4704</v>
      </c>
      <c r="U1589" s="23">
        <f>DATEDIF(P1589, DATE(2023, 6, 8), "Y")</f>
        <v>53</v>
      </c>
      <c r="V1589">
        <f>SUM(C1589:K1589)</f>
        <v>20.93</v>
      </c>
    </row>
    <row r="1590" spans="1:22" ht="15.75">
      <c r="A1590" s="28" t="s">
        <v>3178</v>
      </c>
      <c r="B1590" s="28" t="s">
        <v>3179</v>
      </c>
      <c r="C1590" s="23">
        <v>20.48</v>
      </c>
      <c r="D1590" s="23">
        <v>11.09</v>
      </c>
      <c r="E1590" s="23" t="s">
        <v>4682</v>
      </c>
      <c r="F1590" s="23" t="s">
        <v>4682</v>
      </c>
      <c r="G1590" s="23" t="s">
        <v>4682</v>
      </c>
      <c r="H1590" s="23">
        <v>0</v>
      </c>
      <c r="I1590" s="23" t="s">
        <v>4682</v>
      </c>
      <c r="J1590" s="23" t="s">
        <v>4728</v>
      </c>
      <c r="K1590" s="23" t="s">
        <v>4735</v>
      </c>
      <c r="L1590">
        <v>1961</v>
      </c>
      <c r="M1590" s="15" t="s">
        <v>4705</v>
      </c>
      <c r="N1590">
        <v>24</v>
      </c>
      <c r="O1590">
        <v>0</v>
      </c>
      <c r="P1590" s="21">
        <f>DATEVALUE(N1590&amp;"-"&amp;M1590&amp;"-"&amp;L1590)</f>
        <v>22639</v>
      </c>
      <c r="Q1590" s="22">
        <v>13635.64</v>
      </c>
      <c r="R1590" s="23" t="s">
        <v>4698</v>
      </c>
      <c r="S1590" s="23" t="s">
        <v>4698</v>
      </c>
      <c r="T1590" s="23" t="s">
        <v>4714</v>
      </c>
      <c r="U1590" s="23">
        <f>DATEDIF(P1590, DATE(2023, 6, 8), "Y")</f>
        <v>61</v>
      </c>
      <c r="V1590">
        <f>SUM(C1590:K1590)</f>
        <v>31.57</v>
      </c>
    </row>
    <row r="1591" spans="1:22" ht="15.75">
      <c r="A1591" s="28" t="s">
        <v>3180</v>
      </c>
      <c r="B1591" s="28" t="s">
        <v>3181</v>
      </c>
      <c r="C1591" s="23">
        <v>34.450000000000003</v>
      </c>
      <c r="D1591" s="23">
        <v>5.58</v>
      </c>
      <c r="E1591" s="23" t="s">
        <v>4683</v>
      </c>
      <c r="F1591" s="23" t="s">
        <v>4682</v>
      </c>
      <c r="G1591" s="23" t="s">
        <v>4682</v>
      </c>
      <c r="H1591" s="23">
        <v>0</v>
      </c>
      <c r="I1591" s="23" t="s">
        <v>4682</v>
      </c>
      <c r="J1591" s="23" t="s">
        <v>4729</v>
      </c>
      <c r="K1591" s="23" t="s">
        <v>4737</v>
      </c>
      <c r="L1591">
        <v>1984</v>
      </c>
      <c r="M1591" s="15" t="s">
        <v>4696</v>
      </c>
      <c r="N1591">
        <v>20</v>
      </c>
      <c r="O1591">
        <v>3</v>
      </c>
      <c r="P1591" s="21">
        <f>DATEVALUE(N1591&amp;"-"&amp;M1591&amp;"-"&amp;L1591)</f>
        <v>30883</v>
      </c>
      <c r="Q1591" s="22">
        <v>13638.06</v>
      </c>
      <c r="R1591" s="23" t="s">
        <v>4698</v>
      </c>
      <c r="S1591" s="23" t="s">
        <v>4698</v>
      </c>
      <c r="T1591" s="23" t="s">
        <v>4715</v>
      </c>
      <c r="U1591" s="23">
        <f>DATEDIF(P1591, DATE(2023, 6, 8), "Y")</f>
        <v>38</v>
      </c>
      <c r="V1591">
        <f>SUM(C1591:K1591)</f>
        <v>40.03</v>
      </c>
    </row>
    <row r="1592" spans="1:22" ht="15.75">
      <c r="A1592" s="28" t="s">
        <v>3182</v>
      </c>
      <c r="B1592" s="28" t="s">
        <v>3183</v>
      </c>
      <c r="C1592" s="23">
        <v>34.21</v>
      </c>
      <c r="D1592" s="23">
        <v>9.7200000000000006</v>
      </c>
      <c r="E1592" s="23" t="s">
        <v>4683</v>
      </c>
      <c r="F1592" s="23" t="s">
        <v>4682</v>
      </c>
      <c r="G1592" s="23" t="s">
        <v>4682</v>
      </c>
      <c r="H1592" s="23">
        <v>0</v>
      </c>
      <c r="I1592" s="23" t="s">
        <v>4682</v>
      </c>
      <c r="J1592" s="23" t="s">
        <v>4729</v>
      </c>
      <c r="K1592" s="23" t="s">
        <v>4735</v>
      </c>
      <c r="L1592">
        <v>1963</v>
      </c>
      <c r="M1592" s="15" t="s">
        <v>4706</v>
      </c>
      <c r="N1592">
        <v>4</v>
      </c>
      <c r="O1592">
        <v>0</v>
      </c>
      <c r="P1592" s="21">
        <f>DATEVALUE(N1592&amp;"-"&amp;M1592&amp;"-"&amp;L1592)</f>
        <v>23227</v>
      </c>
      <c r="Q1592" s="22">
        <v>13677.68</v>
      </c>
      <c r="R1592" s="23" t="s">
        <v>4698</v>
      </c>
      <c r="S1592" s="23" t="s">
        <v>4697</v>
      </c>
      <c r="T1592" s="23" t="s">
        <v>4717</v>
      </c>
      <c r="U1592" s="23">
        <f>DATEDIF(P1592, DATE(2023, 6, 8), "Y")</f>
        <v>59</v>
      </c>
      <c r="V1592">
        <f>SUM(C1592:K1592)</f>
        <v>43.93</v>
      </c>
    </row>
    <row r="1593" spans="1:22" ht="15.75">
      <c r="A1593" s="28" t="s">
        <v>3184</v>
      </c>
      <c r="B1593" s="28" t="s">
        <v>3185</v>
      </c>
      <c r="C1593" s="23">
        <v>28.8</v>
      </c>
      <c r="D1593" s="23">
        <v>11.41</v>
      </c>
      <c r="E1593" s="23" t="s">
        <v>4683</v>
      </c>
      <c r="F1593" s="23" t="s">
        <v>4682</v>
      </c>
      <c r="G1593" s="23" t="s">
        <v>4682</v>
      </c>
      <c r="H1593" s="23">
        <v>0</v>
      </c>
      <c r="I1593" s="23" t="s">
        <v>4682</v>
      </c>
      <c r="J1593" s="23" t="s">
        <v>4730</v>
      </c>
      <c r="K1593" s="23" t="s">
        <v>4735</v>
      </c>
      <c r="L1593">
        <v>1985</v>
      </c>
      <c r="M1593" s="15" t="s">
        <v>4703</v>
      </c>
      <c r="N1593">
        <v>14</v>
      </c>
      <c r="O1593">
        <v>3</v>
      </c>
      <c r="P1593" s="21">
        <f>DATEVALUE(N1593&amp;"-"&amp;M1593&amp;"-"&amp;L1593)</f>
        <v>31304</v>
      </c>
      <c r="Q1593" s="22">
        <v>13685.51</v>
      </c>
      <c r="R1593" s="23" t="s">
        <v>4698</v>
      </c>
      <c r="S1593" s="23" t="s">
        <v>4701</v>
      </c>
      <c r="T1593" s="23" t="s">
        <v>4720</v>
      </c>
      <c r="U1593" s="23">
        <f>DATEDIF(P1593, DATE(2023, 6, 8), "Y")</f>
        <v>37</v>
      </c>
      <c r="V1593">
        <f>SUM(C1593:K1593)</f>
        <v>40.21</v>
      </c>
    </row>
    <row r="1594" spans="1:22" ht="15.75">
      <c r="A1594" s="28" t="s">
        <v>3186</v>
      </c>
      <c r="B1594" s="28" t="s">
        <v>3187</v>
      </c>
      <c r="C1594" s="23">
        <v>31.74</v>
      </c>
      <c r="D1594" s="23">
        <v>4.46</v>
      </c>
      <c r="E1594" s="23" t="s">
        <v>4682</v>
      </c>
      <c r="F1594" s="23" t="s">
        <v>4682</v>
      </c>
      <c r="G1594" s="23" t="s">
        <v>4684</v>
      </c>
      <c r="H1594" s="23">
        <v>1</v>
      </c>
      <c r="I1594" s="23" t="s">
        <v>4682</v>
      </c>
      <c r="J1594" s="23" t="s">
        <v>4729</v>
      </c>
      <c r="K1594" s="23" t="s">
        <v>4737</v>
      </c>
      <c r="L1594">
        <v>1986</v>
      </c>
      <c r="M1594" s="15" t="s">
        <v>4700</v>
      </c>
      <c r="N1594">
        <v>24</v>
      </c>
      <c r="O1594">
        <v>3</v>
      </c>
      <c r="P1594" s="21">
        <f>DATEVALUE(N1594&amp;"-"&amp;M1594&amp;"-"&amp;L1594)</f>
        <v>31740</v>
      </c>
      <c r="Q1594" s="22">
        <v>13714.55</v>
      </c>
      <c r="R1594" s="23" t="s">
        <v>4698</v>
      </c>
      <c r="S1594" s="23" t="s">
        <v>4697</v>
      </c>
      <c r="T1594" s="23" t="s">
        <v>4715</v>
      </c>
      <c r="U1594" s="23">
        <f>DATEDIF(P1594, DATE(2023, 6, 8), "Y")</f>
        <v>36</v>
      </c>
      <c r="V1594">
        <f>SUM(C1594:K1594)</f>
        <v>37.199999999999996</v>
      </c>
    </row>
    <row r="1595" spans="1:22" ht="15.75">
      <c r="A1595" s="28" t="s">
        <v>3188</v>
      </c>
      <c r="B1595" s="28" t="s">
        <v>3189</v>
      </c>
      <c r="C1595" s="23">
        <v>21.78</v>
      </c>
      <c r="D1595" s="23">
        <v>9.31</v>
      </c>
      <c r="E1595" s="23" t="s">
        <v>4683</v>
      </c>
      <c r="F1595" s="23" t="s">
        <v>4682</v>
      </c>
      <c r="G1595" s="23" t="s">
        <v>4682</v>
      </c>
      <c r="H1595" s="23">
        <v>0</v>
      </c>
      <c r="I1595" s="23" t="s">
        <v>4682</v>
      </c>
      <c r="J1595" s="23" t="s">
        <v>4728</v>
      </c>
      <c r="K1595" s="23" t="s">
        <v>4735</v>
      </c>
      <c r="L1595">
        <v>1981</v>
      </c>
      <c r="M1595" s="15" t="s">
        <v>4706</v>
      </c>
      <c r="N1595">
        <v>2</v>
      </c>
      <c r="O1595">
        <v>1</v>
      </c>
      <c r="P1595" s="21">
        <f>DATEVALUE(N1595&amp;"-"&amp;M1595&amp;"-"&amp;L1595)</f>
        <v>29800</v>
      </c>
      <c r="Q1595" s="22">
        <v>13725.47</v>
      </c>
      <c r="R1595" s="23" t="s">
        <v>4698</v>
      </c>
      <c r="S1595" s="23" t="s">
        <v>4697</v>
      </c>
      <c r="T1595" s="23" t="s">
        <v>4714</v>
      </c>
      <c r="U1595" s="23">
        <f>DATEDIF(P1595, DATE(2023, 6, 8), "Y")</f>
        <v>41</v>
      </c>
      <c r="V1595">
        <f>SUM(C1595:K1595)</f>
        <v>31.090000000000003</v>
      </c>
    </row>
    <row r="1596" spans="1:22" ht="15.75">
      <c r="A1596" s="28" t="s">
        <v>3190</v>
      </c>
      <c r="B1596" s="28" t="s">
        <v>3191</v>
      </c>
      <c r="C1596" s="23">
        <v>23.75</v>
      </c>
      <c r="D1596" s="23">
        <v>5.03</v>
      </c>
      <c r="E1596" s="23" t="s">
        <v>4682</v>
      </c>
      <c r="F1596" s="23" t="s">
        <v>4682</v>
      </c>
      <c r="G1596" s="23" t="s">
        <v>4682</v>
      </c>
      <c r="H1596" s="23">
        <v>1</v>
      </c>
      <c r="I1596" s="23" t="s">
        <v>4682</v>
      </c>
      <c r="J1596" s="23" t="s">
        <v>4728</v>
      </c>
      <c r="K1596" s="23" t="s">
        <v>4737</v>
      </c>
      <c r="L1596">
        <v>1985</v>
      </c>
      <c r="M1596" s="15" t="s">
        <v>4706</v>
      </c>
      <c r="N1596">
        <v>29</v>
      </c>
      <c r="O1596">
        <v>3</v>
      </c>
      <c r="P1596" s="21">
        <f>DATEVALUE(N1596&amp;"-"&amp;M1596&amp;"-"&amp;L1596)</f>
        <v>31288</v>
      </c>
      <c r="Q1596" s="22">
        <v>13726.21</v>
      </c>
      <c r="R1596" s="23" t="s">
        <v>4698</v>
      </c>
      <c r="S1596" s="23" t="s">
        <v>4698</v>
      </c>
      <c r="T1596" s="23" t="s">
        <v>4720</v>
      </c>
      <c r="U1596" s="23">
        <f>DATEDIF(P1596, DATE(2023, 6, 8), "Y")</f>
        <v>37</v>
      </c>
      <c r="V1596">
        <f>SUM(C1596:K1596)</f>
        <v>29.78</v>
      </c>
    </row>
    <row r="1597" spans="1:22" ht="15.75">
      <c r="A1597" s="28" t="s">
        <v>3192</v>
      </c>
      <c r="B1597" s="28" t="s">
        <v>3193</v>
      </c>
      <c r="C1597" s="23">
        <v>33.21</v>
      </c>
      <c r="D1597" s="23">
        <v>5.07</v>
      </c>
      <c r="E1597" s="23" t="s">
        <v>4683</v>
      </c>
      <c r="F1597" s="23" t="s">
        <v>4682</v>
      </c>
      <c r="G1597" s="23" t="s">
        <v>4682</v>
      </c>
      <c r="H1597" s="23">
        <v>1</v>
      </c>
      <c r="I1597" s="23" t="s">
        <v>4682</v>
      </c>
      <c r="J1597" s="23" t="s">
        <v>4729</v>
      </c>
      <c r="K1597" s="23" t="s">
        <v>4737</v>
      </c>
      <c r="L1597">
        <v>1969</v>
      </c>
      <c r="M1597" s="15" t="s">
        <v>4707</v>
      </c>
      <c r="N1597">
        <v>23</v>
      </c>
      <c r="O1597">
        <v>0</v>
      </c>
      <c r="P1597" s="21">
        <f>DATEVALUE(N1597&amp;"-"&amp;M1597&amp;"-"&amp;L1597)</f>
        <v>25499</v>
      </c>
      <c r="Q1597" s="22">
        <v>13746.74</v>
      </c>
      <c r="R1597" s="23" t="s">
        <v>4698</v>
      </c>
      <c r="S1597" s="23" t="s">
        <v>4697</v>
      </c>
      <c r="T1597" s="23" t="s">
        <v>4720</v>
      </c>
      <c r="U1597" s="23">
        <f>DATEDIF(P1597, DATE(2023, 6, 8), "Y")</f>
        <v>53</v>
      </c>
      <c r="V1597">
        <f>SUM(C1597:K1597)</f>
        <v>39.28</v>
      </c>
    </row>
    <row r="1598" spans="1:22" ht="15.75">
      <c r="A1598" s="28" t="s">
        <v>3194</v>
      </c>
      <c r="B1598" s="28" t="s">
        <v>3195</v>
      </c>
      <c r="C1598" s="23">
        <v>17.7</v>
      </c>
      <c r="D1598" s="23">
        <v>10.42</v>
      </c>
      <c r="E1598" s="23" t="s">
        <v>4683</v>
      </c>
      <c r="F1598" s="23" t="s">
        <v>4682</v>
      </c>
      <c r="G1598" s="23" t="s">
        <v>4682</v>
      </c>
      <c r="H1598" s="23">
        <v>2</v>
      </c>
      <c r="I1598" s="23" t="s">
        <v>4682</v>
      </c>
      <c r="J1598" s="23" t="s">
        <v>4731</v>
      </c>
      <c r="K1598" s="23" t="s">
        <v>4735</v>
      </c>
      <c r="L1598">
        <v>2004</v>
      </c>
      <c r="M1598" s="15" t="s">
        <v>4696</v>
      </c>
      <c r="N1598">
        <v>16</v>
      </c>
      <c r="O1598">
        <v>0</v>
      </c>
      <c r="P1598" s="21">
        <f>DATEVALUE(N1598&amp;"-"&amp;M1598&amp;"-"&amp;L1598)</f>
        <v>38184</v>
      </c>
      <c r="Q1598" s="22">
        <v>13747.87</v>
      </c>
      <c r="R1598" s="23" t="s">
        <v>4698</v>
      </c>
      <c r="S1598" s="23" t="s">
        <v>4697</v>
      </c>
      <c r="T1598" s="23" t="s">
        <v>4712</v>
      </c>
      <c r="U1598" s="23">
        <f>DATEDIF(P1598, DATE(2023, 6, 8), "Y")</f>
        <v>18</v>
      </c>
      <c r="V1598">
        <f>SUM(C1598:K1598)</f>
        <v>30.119999999999997</v>
      </c>
    </row>
    <row r="1599" spans="1:22" ht="15.75">
      <c r="A1599" s="28" t="s">
        <v>3196</v>
      </c>
      <c r="B1599" s="28" t="s">
        <v>3197</v>
      </c>
      <c r="C1599" s="23">
        <v>17.2</v>
      </c>
      <c r="D1599" s="23">
        <v>6.45</v>
      </c>
      <c r="E1599" s="23" t="s">
        <v>4682</v>
      </c>
      <c r="F1599" s="23" t="s">
        <v>4682</v>
      </c>
      <c r="G1599" s="23" t="s">
        <v>4682</v>
      </c>
      <c r="H1599" s="23">
        <v>2</v>
      </c>
      <c r="I1599" s="23" t="s">
        <v>4682</v>
      </c>
      <c r="J1599" s="23" t="s">
        <v>4731</v>
      </c>
      <c r="K1599" s="23" t="s">
        <v>4735</v>
      </c>
      <c r="L1599">
        <v>1959</v>
      </c>
      <c r="M1599" s="15" t="s">
        <v>4706</v>
      </c>
      <c r="N1599">
        <v>6</v>
      </c>
      <c r="O1599">
        <v>0</v>
      </c>
      <c r="P1599" s="21">
        <f>DATEVALUE(N1599&amp;"-"&amp;M1599&amp;"-"&amp;L1599)</f>
        <v>21768</v>
      </c>
      <c r="Q1599" s="22">
        <v>13770.1</v>
      </c>
      <c r="R1599" s="23" t="s">
        <v>4698</v>
      </c>
      <c r="S1599" s="23" t="s">
        <v>4701</v>
      </c>
      <c r="T1599" s="23" t="s">
        <v>4704</v>
      </c>
      <c r="U1599" s="23">
        <f>DATEDIF(P1599, DATE(2023, 6, 8), "Y")</f>
        <v>63</v>
      </c>
      <c r="V1599">
        <f>SUM(C1599:K1599)</f>
        <v>25.65</v>
      </c>
    </row>
    <row r="1600" spans="1:22" ht="15.75">
      <c r="A1600" s="28" t="s">
        <v>3198</v>
      </c>
      <c r="B1600" s="28" t="s">
        <v>3199</v>
      </c>
      <c r="C1600" s="23">
        <v>19.21</v>
      </c>
      <c r="D1600" s="23">
        <v>5.52</v>
      </c>
      <c r="E1600" s="23" t="s">
        <v>4682</v>
      </c>
      <c r="F1600" s="23" t="s">
        <v>4682</v>
      </c>
      <c r="G1600" s="23" t="s">
        <v>4682</v>
      </c>
      <c r="H1600" s="23">
        <v>2</v>
      </c>
      <c r="I1600" s="23" t="s">
        <v>4682</v>
      </c>
      <c r="J1600" s="23" t="s">
        <v>4728</v>
      </c>
      <c r="K1600" s="23" t="s">
        <v>4737</v>
      </c>
      <c r="L1600">
        <v>1966</v>
      </c>
      <c r="M1600" s="15" t="s">
        <v>4700</v>
      </c>
      <c r="N1600">
        <v>10</v>
      </c>
      <c r="O1600">
        <v>0</v>
      </c>
      <c r="P1600" s="21">
        <f>DATEVALUE(N1600&amp;"-"&amp;M1600&amp;"-"&amp;L1600)</f>
        <v>24421</v>
      </c>
      <c r="Q1600" s="22">
        <v>13801.61</v>
      </c>
      <c r="R1600" s="23" t="s">
        <v>4698</v>
      </c>
      <c r="S1600" s="23" t="s">
        <v>4698</v>
      </c>
      <c r="T1600" s="23" t="s">
        <v>4720</v>
      </c>
      <c r="U1600" s="23">
        <f>DATEDIF(P1600, DATE(2023, 6, 8), "Y")</f>
        <v>56</v>
      </c>
      <c r="V1600">
        <f>SUM(C1600:K1600)</f>
        <v>26.73</v>
      </c>
    </row>
    <row r="1601" spans="1:22" ht="15.75">
      <c r="A1601" s="28" t="s">
        <v>3200</v>
      </c>
      <c r="B1601" s="28" t="s">
        <v>3201</v>
      </c>
      <c r="C1601" s="23">
        <v>23.2</v>
      </c>
      <c r="D1601" s="23">
        <v>4.41</v>
      </c>
      <c r="E1601" s="23" t="s">
        <v>4682</v>
      </c>
      <c r="F1601" s="23" t="s">
        <v>4682</v>
      </c>
      <c r="G1601" s="23" t="s">
        <v>4684</v>
      </c>
      <c r="H1601" s="23">
        <v>1</v>
      </c>
      <c r="I1601" s="23" t="s">
        <v>4682</v>
      </c>
      <c r="J1601" s="23" t="s">
        <v>4728</v>
      </c>
      <c r="K1601" s="23" t="s">
        <v>4737</v>
      </c>
      <c r="L1601">
        <v>1986</v>
      </c>
      <c r="M1601" s="15" t="s">
        <v>4705</v>
      </c>
      <c r="N1601">
        <v>8</v>
      </c>
      <c r="O1601">
        <v>3</v>
      </c>
      <c r="P1601" s="21">
        <f>DATEVALUE(N1601&amp;"-"&amp;M1601&amp;"-"&amp;L1601)</f>
        <v>31754</v>
      </c>
      <c r="Q1601" s="22">
        <v>13819.49</v>
      </c>
      <c r="R1601" s="23" t="s">
        <v>4698</v>
      </c>
      <c r="S1601" s="23" t="s">
        <v>4697</v>
      </c>
      <c r="T1601" s="23" t="s">
        <v>4704</v>
      </c>
      <c r="U1601" s="23">
        <f>DATEDIF(P1601, DATE(2023, 6, 8), "Y")</f>
        <v>36</v>
      </c>
      <c r="V1601">
        <f>SUM(C1601:K1601)</f>
        <v>28.61</v>
      </c>
    </row>
    <row r="1602" spans="1:22" ht="15.75">
      <c r="A1602" s="28" t="s">
        <v>3202</v>
      </c>
      <c r="B1602" s="28" t="s">
        <v>3203</v>
      </c>
      <c r="C1602" s="23">
        <v>32.5</v>
      </c>
      <c r="D1602" s="23">
        <v>4.6900000000000004</v>
      </c>
      <c r="E1602" s="23" t="s">
        <v>4683</v>
      </c>
      <c r="F1602" s="23" t="s">
        <v>4682</v>
      </c>
      <c r="G1602" s="23" t="s">
        <v>4684</v>
      </c>
      <c r="H1602" s="23">
        <v>1</v>
      </c>
      <c r="I1602" s="23" t="s">
        <v>4682</v>
      </c>
      <c r="J1602" s="23" t="s">
        <v>4729</v>
      </c>
      <c r="K1602" s="23" t="s">
        <v>4737</v>
      </c>
      <c r="L1602">
        <v>1958</v>
      </c>
      <c r="M1602" s="15" t="s">
        <v>4700</v>
      </c>
      <c r="N1602">
        <v>25</v>
      </c>
      <c r="O1602">
        <v>0</v>
      </c>
      <c r="P1602" s="21">
        <f>DATEVALUE(N1602&amp;"-"&amp;M1602&amp;"-"&amp;L1602)</f>
        <v>21514</v>
      </c>
      <c r="Q1602" s="22">
        <v>13822.8</v>
      </c>
      <c r="R1602" s="23" t="s">
        <v>4698</v>
      </c>
      <c r="S1602" s="23" t="s">
        <v>4698</v>
      </c>
      <c r="T1602" s="23" t="s">
        <v>4708</v>
      </c>
      <c r="U1602" s="23">
        <f>DATEDIF(P1602, DATE(2023, 6, 8), "Y")</f>
        <v>64</v>
      </c>
      <c r="V1602">
        <f>SUM(C1602:K1602)</f>
        <v>38.19</v>
      </c>
    </row>
    <row r="1603" spans="1:22" ht="15.75">
      <c r="A1603" s="28" t="s">
        <v>3204</v>
      </c>
      <c r="B1603" s="28" t="s">
        <v>3205</v>
      </c>
      <c r="C1603" s="23">
        <v>20.9</v>
      </c>
      <c r="D1603" s="23">
        <v>6.94</v>
      </c>
      <c r="E1603" s="23" t="s">
        <v>4682</v>
      </c>
      <c r="F1603" s="23" t="s">
        <v>4682</v>
      </c>
      <c r="G1603" s="23" t="s">
        <v>4682</v>
      </c>
      <c r="H1603" s="23">
        <v>0</v>
      </c>
      <c r="I1603" s="23" t="s">
        <v>4682</v>
      </c>
      <c r="J1603" s="23" t="s">
        <v>4728</v>
      </c>
      <c r="K1603" s="23" t="s">
        <v>4735</v>
      </c>
      <c r="L1603">
        <v>1958</v>
      </c>
      <c r="M1603" s="15" t="s">
        <v>4705</v>
      </c>
      <c r="N1603">
        <v>10</v>
      </c>
      <c r="O1603">
        <v>0</v>
      </c>
      <c r="P1603" s="21">
        <f>DATEVALUE(N1603&amp;"-"&amp;M1603&amp;"-"&amp;L1603)</f>
        <v>21529</v>
      </c>
      <c r="Q1603" s="22">
        <v>13831.12</v>
      </c>
      <c r="R1603" s="23" t="s">
        <v>4698</v>
      </c>
      <c r="S1603" s="23" t="s">
        <v>4701</v>
      </c>
      <c r="T1603" s="23" t="s">
        <v>4699</v>
      </c>
      <c r="U1603" s="23">
        <f>DATEDIF(P1603, DATE(2023, 6, 8), "Y")</f>
        <v>64</v>
      </c>
      <c r="V1603">
        <f>SUM(C1603:K1603)</f>
        <v>27.84</v>
      </c>
    </row>
    <row r="1604" spans="1:22" ht="15.75">
      <c r="A1604" s="28" t="s">
        <v>3206</v>
      </c>
      <c r="B1604" s="28" t="s">
        <v>3207</v>
      </c>
      <c r="C1604" s="23">
        <v>19.11</v>
      </c>
      <c r="D1604" s="23">
        <v>4.3499999999999996</v>
      </c>
      <c r="E1604" s="23" t="s">
        <v>4682</v>
      </c>
      <c r="F1604" s="23" t="s">
        <v>4682</v>
      </c>
      <c r="G1604" s="23" t="s">
        <v>4682</v>
      </c>
      <c r="H1604" s="23">
        <v>2</v>
      </c>
      <c r="I1604" s="23" t="s">
        <v>4682</v>
      </c>
      <c r="J1604" s="23" t="s">
        <v>4728</v>
      </c>
      <c r="K1604" s="23" t="s">
        <v>4737</v>
      </c>
      <c r="L1604">
        <v>2003</v>
      </c>
      <c r="M1604" s="15" t="s">
        <v>4702</v>
      </c>
      <c r="N1604">
        <v>7</v>
      </c>
      <c r="O1604">
        <v>0</v>
      </c>
      <c r="P1604" s="21">
        <f>DATEVALUE(N1604&amp;"-"&amp;M1604&amp;"-"&amp;L1604)</f>
        <v>37779</v>
      </c>
      <c r="Q1604" s="22">
        <v>13844.51</v>
      </c>
      <c r="R1604" s="23" t="s">
        <v>4697</v>
      </c>
      <c r="S1604" s="23" t="s">
        <v>4701</v>
      </c>
      <c r="T1604" s="23" t="s">
        <v>4708</v>
      </c>
      <c r="U1604" s="23">
        <f>DATEDIF(P1604, DATE(2023, 6, 8), "Y")</f>
        <v>20</v>
      </c>
      <c r="V1604">
        <f>SUM(C1604:K1604)</f>
        <v>25.46</v>
      </c>
    </row>
    <row r="1605" spans="1:22" ht="15.75">
      <c r="A1605" s="28" t="s">
        <v>3208</v>
      </c>
      <c r="B1605" s="28" t="s">
        <v>3209</v>
      </c>
      <c r="C1605" s="23">
        <v>31.17</v>
      </c>
      <c r="D1605" s="23">
        <v>5.28</v>
      </c>
      <c r="E1605" s="23" t="s">
        <v>4682</v>
      </c>
      <c r="F1605" s="23" t="s">
        <v>4682</v>
      </c>
      <c r="G1605" s="23" t="s">
        <v>4682</v>
      </c>
      <c r="H1605" s="23">
        <v>1</v>
      </c>
      <c r="I1605" s="23" t="s">
        <v>4682</v>
      </c>
      <c r="J1605" s="23" t="s">
        <v>4729</v>
      </c>
      <c r="K1605" s="23" t="s">
        <v>4737</v>
      </c>
      <c r="L1605">
        <v>1960</v>
      </c>
      <c r="M1605" s="15" t="s">
        <v>4696</v>
      </c>
      <c r="N1605">
        <v>21</v>
      </c>
      <c r="O1605">
        <v>0</v>
      </c>
      <c r="P1605" s="21">
        <f>DATEVALUE(N1605&amp;"-"&amp;M1605&amp;"-"&amp;L1605)</f>
        <v>22118</v>
      </c>
      <c r="Q1605" s="22">
        <v>13844.8</v>
      </c>
      <c r="R1605" s="23" t="s">
        <v>4697</v>
      </c>
      <c r="S1605" s="23" t="s">
        <v>4697</v>
      </c>
      <c r="T1605" s="23" t="s">
        <v>4704</v>
      </c>
      <c r="U1605" s="23">
        <f>DATEDIF(P1605, DATE(2023, 6, 8), "Y")</f>
        <v>62</v>
      </c>
      <c r="V1605">
        <f>SUM(C1605:K1605)</f>
        <v>37.450000000000003</v>
      </c>
    </row>
    <row r="1606" spans="1:22" ht="15.75">
      <c r="A1606" s="28" t="s">
        <v>3210</v>
      </c>
      <c r="B1606" s="28" t="s">
        <v>3211</v>
      </c>
      <c r="C1606" s="23">
        <v>36.08</v>
      </c>
      <c r="D1606" s="23">
        <v>4.29</v>
      </c>
      <c r="E1606" s="23" t="s">
        <v>4682</v>
      </c>
      <c r="F1606" s="23" t="s">
        <v>4682</v>
      </c>
      <c r="G1606" s="23" t="s">
        <v>4682</v>
      </c>
      <c r="H1606" s="23">
        <v>0</v>
      </c>
      <c r="I1606" s="23" t="s">
        <v>4682</v>
      </c>
      <c r="J1606" s="23" t="s">
        <v>4729</v>
      </c>
      <c r="K1606" s="23" t="s">
        <v>4737</v>
      </c>
      <c r="L1606">
        <v>1978</v>
      </c>
      <c r="M1606" s="15" t="s">
        <v>4705</v>
      </c>
      <c r="N1606">
        <v>19</v>
      </c>
      <c r="O1606">
        <v>2</v>
      </c>
      <c r="P1606" s="21">
        <f>DATEVALUE(N1606&amp;"-"&amp;M1606&amp;"-"&amp;L1606)</f>
        <v>28843</v>
      </c>
      <c r="Q1606" s="22">
        <v>13874.89</v>
      </c>
      <c r="R1606" s="23" t="s">
        <v>4697</v>
      </c>
      <c r="S1606" s="23" t="s">
        <v>4701</v>
      </c>
      <c r="T1606" s="23" t="s">
        <v>4704</v>
      </c>
      <c r="U1606" s="23">
        <f>DATEDIF(P1606, DATE(2023, 6, 8), "Y")</f>
        <v>44</v>
      </c>
      <c r="V1606">
        <f>SUM(C1606:K1606)</f>
        <v>40.369999999999997</v>
      </c>
    </row>
    <row r="1607" spans="1:22" ht="15.75">
      <c r="A1607" s="28" t="s">
        <v>3212</v>
      </c>
      <c r="B1607" s="28" t="s">
        <v>3213</v>
      </c>
      <c r="C1607" s="23">
        <v>28.024999999999999</v>
      </c>
      <c r="D1607" s="23">
        <v>5.69</v>
      </c>
      <c r="E1607" s="23" t="s">
        <v>4683</v>
      </c>
      <c r="F1607" s="23" t="s">
        <v>4682</v>
      </c>
      <c r="G1607" s="23" t="s">
        <v>4682</v>
      </c>
      <c r="H1607" s="23">
        <v>0</v>
      </c>
      <c r="I1607" s="23" t="s">
        <v>4682</v>
      </c>
      <c r="J1607" s="23" t="s">
        <v>4730</v>
      </c>
      <c r="K1607" s="23" t="s">
        <v>4737</v>
      </c>
      <c r="L1607">
        <v>1959</v>
      </c>
      <c r="M1607" s="15" t="s">
        <v>4707</v>
      </c>
      <c r="N1607">
        <v>5</v>
      </c>
      <c r="O1607">
        <v>0</v>
      </c>
      <c r="P1607" s="21">
        <f>DATEVALUE(N1607&amp;"-"&amp;M1607&amp;"-"&amp;L1607)</f>
        <v>21828</v>
      </c>
      <c r="Q1607" s="22">
        <v>13880.95</v>
      </c>
      <c r="R1607" s="23" t="s">
        <v>4697</v>
      </c>
      <c r="S1607" s="23" t="s">
        <v>4697</v>
      </c>
      <c r="T1607" s="23" t="s">
        <v>4708</v>
      </c>
      <c r="U1607" s="23">
        <f>DATEDIF(P1607, DATE(2023, 6, 8), "Y")</f>
        <v>63</v>
      </c>
      <c r="V1607">
        <f>SUM(C1607:K1607)</f>
        <v>33.714999999999996</v>
      </c>
    </row>
    <row r="1608" spans="1:22" ht="15.75">
      <c r="A1608" s="28" t="s">
        <v>3214</v>
      </c>
      <c r="B1608" s="28" t="s">
        <v>3215</v>
      </c>
      <c r="C1608" s="23">
        <v>24.32</v>
      </c>
      <c r="D1608" s="23">
        <v>5.56</v>
      </c>
      <c r="E1608" s="23" t="s">
        <v>4683</v>
      </c>
      <c r="F1608" s="23" t="s">
        <v>4682</v>
      </c>
      <c r="G1608" s="23" t="s">
        <v>4682</v>
      </c>
      <c r="H1608" s="23">
        <v>0</v>
      </c>
      <c r="I1608" s="23" t="s">
        <v>4682</v>
      </c>
      <c r="J1608" s="23" t="s">
        <v>4728</v>
      </c>
      <c r="K1608" s="23" t="s">
        <v>4737</v>
      </c>
      <c r="L1608">
        <v>1985</v>
      </c>
      <c r="M1608" s="15" t="s">
        <v>4703</v>
      </c>
      <c r="N1608">
        <v>25</v>
      </c>
      <c r="O1608">
        <v>3</v>
      </c>
      <c r="P1608" s="21">
        <f>DATEVALUE(N1608&amp;"-"&amp;M1608&amp;"-"&amp;L1608)</f>
        <v>31315</v>
      </c>
      <c r="Q1608" s="22">
        <v>13886.4</v>
      </c>
      <c r="R1608" s="23" t="s">
        <v>4697</v>
      </c>
      <c r="S1608" s="23" t="s">
        <v>4697</v>
      </c>
      <c r="T1608" s="23" t="s">
        <v>4704</v>
      </c>
      <c r="U1608" s="23">
        <f>DATEDIF(P1608, DATE(2023, 6, 8), "Y")</f>
        <v>37</v>
      </c>
      <c r="V1608">
        <f>SUM(C1608:K1608)</f>
        <v>29.88</v>
      </c>
    </row>
    <row r="1609" spans="1:22" ht="15.75">
      <c r="A1609" s="28" t="s">
        <v>3216</v>
      </c>
      <c r="B1609" s="28" t="s">
        <v>3217</v>
      </c>
      <c r="C1609" s="23">
        <v>38</v>
      </c>
      <c r="D1609" s="23">
        <v>5.41</v>
      </c>
      <c r="E1609" s="23" t="s">
        <v>4683</v>
      </c>
      <c r="F1609" s="23" t="s">
        <v>4682</v>
      </c>
      <c r="G1609" s="23" t="s">
        <v>4682</v>
      </c>
      <c r="H1609" s="23">
        <v>1</v>
      </c>
      <c r="I1609" s="23" t="s">
        <v>4682</v>
      </c>
      <c r="J1609" s="23" t="s">
        <v>4729</v>
      </c>
      <c r="K1609" s="23" t="s">
        <v>4737</v>
      </c>
      <c r="L1609">
        <v>1959</v>
      </c>
      <c r="M1609" s="15" t="s">
        <v>4705</v>
      </c>
      <c r="N1609">
        <v>29</v>
      </c>
      <c r="O1609">
        <v>0</v>
      </c>
      <c r="P1609" s="21">
        <f>DATEVALUE(N1609&amp;"-"&amp;M1609&amp;"-"&amp;L1609)</f>
        <v>21913</v>
      </c>
      <c r="Q1609" s="22">
        <v>13887.2</v>
      </c>
      <c r="R1609" s="23" t="s">
        <v>4697</v>
      </c>
      <c r="S1609" s="23" t="s">
        <v>4698</v>
      </c>
      <c r="T1609" s="23" t="s">
        <v>4699</v>
      </c>
      <c r="U1609" s="23">
        <f>DATEDIF(P1609, DATE(2023, 6, 8), "Y")</f>
        <v>63</v>
      </c>
      <c r="V1609">
        <f>SUM(C1609:K1609)</f>
        <v>44.41</v>
      </c>
    </row>
    <row r="1610" spans="1:22" ht="15.75">
      <c r="A1610" s="28" t="s">
        <v>3218</v>
      </c>
      <c r="B1610" s="28" t="s">
        <v>3219</v>
      </c>
      <c r="C1610" s="23">
        <v>31.6</v>
      </c>
      <c r="D1610" s="23">
        <v>10.85</v>
      </c>
      <c r="E1610" s="23" t="s">
        <v>4683</v>
      </c>
      <c r="F1610" s="23" t="s">
        <v>4682</v>
      </c>
      <c r="G1610" s="23" t="s">
        <v>4682</v>
      </c>
      <c r="H1610" s="23">
        <v>0</v>
      </c>
      <c r="I1610" s="23" t="s">
        <v>4682</v>
      </c>
      <c r="J1610" s="23" t="s">
        <v>4729</v>
      </c>
      <c r="K1610" s="23" t="s">
        <v>4735</v>
      </c>
      <c r="L1610">
        <v>1959</v>
      </c>
      <c r="M1610" s="15" t="s">
        <v>4696</v>
      </c>
      <c r="N1610">
        <v>7</v>
      </c>
      <c r="O1610">
        <v>0</v>
      </c>
      <c r="P1610" s="21">
        <f>DATEVALUE(N1610&amp;"-"&amp;M1610&amp;"-"&amp;L1610)</f>
        <v>21738</v>
      </c>
      <c r="Q1610" s="22">
        <v>13887.97</v>
      </c>
      <c r="R1610" s="23" t="s">
        <v>4697</v>
      </c>
      <c r="S1610" s="23" t="s">
        <v>4697</v>
      </c>
      <c r="T1610" s="23" t="s">
        <v>4699</v>
      </c>
      <c r="U1610" s="23">
        <f>DATEDIF(P1610, DATE(2023, 6, 8), "Y")</f>
        <v>63</v>
      </c>
      <c r="V1610">
        <f>SUM(C1610:K1610)</f>
        <v>42.45</v>
      </c>
    </row>
    <row r="1611" spans="1:22" ht="15.75">
      <c r="A1611" s="28" t="s">
        <v>3220</v>
      </c>
      <c r="B1611" s="28" t="s">
        <v>3221</v>
      </c>
      <c r="C1611" s="23">
        <v>31.02</v>
      </c>
      <c r="D1611" s="23">
        <v>11.63</v>
      </c>
      <c r="E1611" s="23" t="s">
        <v>4683</v>
      </c>
      <c r="F1611" s="23" t="s">
        <v>4682</v>
      </c>
      <c r="G1611" s="23" t="s">
        <v>4682</v>
      </c>
      <c r="H1611" s="23">
        <v>0</v>
      </c>
      <c r="I1611" s="23" t="s">
        <v>4682</v>
      </c>
      <c r="J1611" s="23" t="s">
        <v>4729</v>
      </c>
      <c r="K1611" s="23" t="s">
        <v>4735</v>
      </c>
      <c r="L1611">
        <v>1962</v>
      </c>
      <c r="M1611" s="15" t="s">
        <v>4696</v>
      </c>
      <c r="N1611">
        <v>27</v>
      </c>
      <c r="O1611">
        <v>3</v>
      </c>
      <c r="P1611" s="21">
        <f>DATEVALUE(N1611&amp;"-"&amp;M1611&amp;"-"&amp;L1611)</f>
        <v>22854</v>
      </c>
      <c r="Q1611" s="22">
        <v>13919.82</v>
      </c>
      <c r="R1611" s="23" t="s">
        <v>4697</v>
      </c>
      <c r="S1611" s="23" t="s">
        <v>4697</v>
      </c>
      <c r="T1611" s="23" t="s">
        <v>4699</v>
      </c>
      <c r="U1611" s="23">
        <f>DATEDIF(P1611, DATE(2023, 6, 8), "Y")</f>
        <v>60</v>
      </c>
      <c r="V1611">
        <f>SUM(C1611:K1611)</f>
        <v>42.65</v>
      </c>
    </row>
    <row r="1612" spans="1:22" ht="15.75">
      <c r="A1612" s="28" t="s">
        <v>3222</v>
      </c>
      <c r="B1612" s="28" t="s">
        <v>3223</v>
      </c>
      <c r="C1612" s="23">
        <v>29.26</v>
      </c>
      <c r="D1612" s="23">
        <v>5.68</v>
      </c>
      <c r="E1612" s="23" t="s">
        <v>4683</v>
      </c>
      <c r="F1612" s="23" t="s">
        <v>4682</v>
      </c>
      <c r="G1612" s="23" t="s">
        <v>4682</v>
      </c>
      <c r="H1612" s="23">
        <v>1</v>
      </c>
      <c r="I1612" s="23" t="s">
        <v>4682</v>
      </c>
      <c r="J1612" s="23" t="s">
        <v>4730</v>
      </c>
      <c r="K1612" s="23" t="s">
        <v>4737</v>
      </c>
      <c r="L1612">
        <v>1960</v>
      </c>
      <c r="M1612" s="15" t="s">
        <v>4702</v>
      </c>
      <c r="N1612">
        <v>18</v>
      </c>
      <c r="O1612">
        <v>1</v>
      </c>
      <c r="P1612" s="21">
        <f>DATEVALUE(N1612&amp;"-"&amp;M1612&amp;"-"&amp;L1612)</f>
        <v>22085</v>
      </c>
      <c r="Q1612" s="22">
        <v>13937.67</v>
      </c>
      <c r="R1612" s="23" t="s">
        <v>4697</v>
      </c>
      <c r="S1612" s="23" t="s">
        <v>4701</v>
      </c>
      <c r="T1612" s="23" t="s">
        <v>4704</v>
      </c>
      <c r="U1612" s="23">
        <f>DATEDIF(P1612, DATE(2023, 6, 8), "Y")</f>
        <v>62</v>
      </c>
      <c r="V1612">
        <f>SUM(C1612:K1612)</f>
        <v>35.94</v>
      </c>
    </row>
    <row r="1613" spans="1:22" ht="15.75">
      <c r="A1613" s="28" t="s">
        <v>3224</v>
      </c>
      <c r="B1613" s="28" t="s">
        <v>3225</v>
      </c>
      <c r="C1613" s="23">
        <v>15.09</v>
      </c>
      <c r="D1613" s="23">
        <v>7.59</v>
      </c>
      <c r="E1613" s="23" t="s">
        <v>4683</v>
      </c>
      <c r="F1613" s="23" t="s">
        <v>4682</v>
      </c>
      <c r="G1613" s="23" t="s">
        <v>4682</v>
      </c>
      <c r="H1613" s="23">
        <v>2</v>
      </c>
      <c r="I1613" s="23" t="s">
        <v>4682</v>
      </c>
      <c r="J1613" s="23" t="s">
        <v>4731</v>
      </c>
      <c r="K1613" s="23" t="s">
        <v>4735</v>
      </c>
      <c r="L1613">
        <v>1959</v>
      </c>
      <c r="M1613" s="15" t="s">
        <v>4706</v>
      </c>
      <c r="N1613">
        <v>29</v>
      </c>
      <c r="O1613">
        <v>0</v>
      </c>
      <c r="P1613" s="21">
        <f>DATEVALUE(N1613&amp;"-"&amp;M1613&amp;"-"&amp;L1613)</f>
        <v>21791</v>
      </c>
      <c r="Q1613" s="22">
        <v>13974.46</v>
      </c>
      <c r="R1613" s="23" t="s">
        <v>4697</v>
      </c>
      <c r="S1613" s="23" t="s">
        <v>4697</v>
      </c>
      <c r="T1613" s="23" t="s">
        <v>4710</v>
      </c>
      <c r="U1613" s="23">
        <f>DATEDIF(P1613, DATE(2023, 6, 8), "Y")</f>
        <v>63</v>
      </c>
      <c r="V1613">
        <f>SUM(C1613:K1613)</f>
        <v>24.68</v>
      </c>
    </row>
    <row r="1614" spans="1:22" ht="15.75">
      <c r="A1614" s="28" t="s">
        <v>3226</v>
      </c>
      <c r="B1614" s="28" t="s">
        <v>3227</v>
      </c>
      <c r="C1614" s="23">
        <v>22.63</v>
      </c>
      <c r="D1614" s="23">
        <v>5.09</v>
      </c>
      <c r="E1614" s="23" t="s">
        <v>4683</v>
      </c>
      <c r="F1614" s="23" t="s">
        <v>4682</v>
      </c>
      <c r="G1614" s="23" t="s">
        <v>4682</v>
      </c>
      <c r="H1614" s="23">
        <v>0</v>
      </c>
      <c r="I1614" s="23" t="s">
        <v>4682</v>
      </c>
      <c r="J1614" s="23" t="s">
        <v>4728</v>
      </c>
      <c r="K1614" s="23" t="s">
        <v>4737</v>
      </c>
      <c r="L1614">
        <v>1990</v>
      </c>
      <c r="M1614" s="15" t="s">
        <v>4696</v>
      </c>
      <c r="N1614">
        <v>13</v>
      </c>
      <c r="O1614">
        <v>3</v>
      </c>
      <c r="P1614" s="21">
        <f>DATEVALUE(N1614&amp;"-"&amp;M1614&amp;"-"&amp;L1614)</f>
        <v>33067</v>
      </c>
      <c r="Q1614" s="22">
        <v>13979.45</v>
      </c>
      <c r="R1614" s="23" t="s">
        <v>4697</v>
      </c>
      <c r="S1614" s="23" t="s">
        <v>4701</v>
      </c>
      <c r="T1614" s="23" t="s">
        <v>4715</v>
      </c>
      <c r="U1614" s="23">
        <f>DATEDIF(P1614, DATE(2023, 6, 8), "Y")</f>
        <v>32</v>
      </c>
      <c r="V1614">
        <f>SUM(C1614:K1614)</f>
        <v>27.72</v>
      </c>
    </row>
    <row r="1615" spans="1:22" ht="15.75">
      <c r="A1615" s="28" t="s">
        <v>3228</v>
      </c>
      <c r="B1615" s="28" t="s">
        <v>3229</v>
      </c>
      <c r="C1615" s="23">
        <v>23.46</v>
      </c>
      <c r="D1615" s="23">
        <v>4.21</v>
      </c>
      <c r="E1615" s="23" t="s">
        <v>4682</v>
      </c>
      <c r="F1615" s="23" t="s">
        <v>4682</v>
      </c>
      <c r="G1615" s="23" t="s">
        <v>4682</v>
      </c>
      <c r="H1615" s="23">
        <v>1</v>
      </c>
      <c r="I1615" s="23" t="s">
        <v>4682</v>
      </c>
      <c r="J1615" s="23" t="s">
        <v>4728</v>
      </c>
      <c r="K1615" s="23" t="s">
        <v>4737</v>
      </c>
      <c r="L1615">
        <v>1959</v>
      </c>
      <c r="M1615" s="15" t="s">
        <v>4703</v>
      </c>
      <c r="N1615">
        <v>6</v>
      </c>
      <c r="O1615">
        <v>0</v>
      </c>
      <c r="P1615" s="21">
        <f>DATEVALUE(N1615&amp;"-"&amp;M1615&amp;"-"&amp;L1615)</f>
        <v>21799</v>
      </c>
      <c r="Q1615" s="22">
        <v>13981.85</v>
      </c>
      <c r="R1615" s="23" t="s">
        <v>4697</v>
      </c>
      <c r="S1615" s="23" t="s">
        <v>4701</v>
      </c>
      <c r="T1615" s="23" t="s">
        <v>4711</v>
      </c>
      <c r="U1615" s="23">
        <f>DATEDIF(P1615, DATE(2023, 6, 8), "Y")</f>
        <v>63</v>
      </c>
      <c r="V1615">
        <f>SUM(C1615:K1615)</f>
        <v>28.67</v>
      </c>
    </row>
    <row r="1616" spans="1:22" ht="15.75">
      <c r="A1616" s="28" t="s">
        <v>3230</v>
      </c>
      <c r="B1616" s="28" t="s">
        <v>3231</v>
      </c>
      <c r="C1616" s="23">
        <v>22.56</v>
      </c>
      <c r="D1616" s="23">
        <v>4.34</v>
      </c>
      <c r="E1616" s="23" t="s">
        <v>4683</v>
      </c>
      <c r="F1616" s="23" t="s">
        <v>4682</v>
      </c>
      <c r="G1616" s="23" t="s">
        <v>4682</v>
      </c>
      <c r="H1616" s="23">
        <v>0</v>
      </c>
      <c r="I1616" s="23" t="s">
        <v>4682</v>
      </c>
      <c r="J1616" s="23" t="s">
        <v>4728</v>
      </c>
      <c r="K1616" s="23" t="s">
        <v>4737</v>
      </c>
      <c r="L1616">
        <v>1963</v>
      </c>
      <c r="M1616" s="15" t="s">
        <v>4705</v>
      </c>
      <c r="N1616">
        <v>23</v>
      </c>
      <c r="O1616">
        <v>3</v>
      </c>
      <c r="P1616" s="21">
        <f>DATEVALUE(N1616&amp;"-"&amp;M1616&amp;"-"&amp;L1616)</f>
        <v>23368</v>
      </c>
      <c r="Q1616" s="22">
        <v>14001.13</v>
      </c>
      <c r="R1616" s="23" t="s">
        <v>4697</v>
      </c>
      <c r="S1616" s="23" t="s">
        <v>4701</v>
      </c>
      <c r="T1616" s="23" t="s">
        <v>4699</v>
      </c>
      <c r="U1616" s="23">
        <f>DATEDIF(P1616, DATE(2023, 6, 8), "Y")</f>
        <v>59</v>
      </c>
      <c r="V1616">
        <f>SUM(C1616:K1616)</f>
        <v>26.9</v>
      </c>
    </row>
    <row r="1617" spans="1:22" ht="15.75">
      <c r="A1617" s="28" t="s">
        <v>3232</v>
      </c>
      <c r="B1617" s="28" t="s">
        <v>3233</v>
      </c>
      <c r="C1617" s="23">
        <v>19.28</v>
      </c>
      <c r="D1617" s="23">
        <v>11.85</v>
      </c>
      <c r="E1617" s="23" t="s">
        <v>4682</v>
      </c>
      <c r="F1617" s="23" t="s">
        <v>4682</v>
      </c>
      <c r="G1617" s="23" t="s">
        <v>4682</v>
      </c>
      <c r="H1617" s="23">
        <v>2</v>
      </c>
      <c r="I1617" s="23" t="s">
        <v>4682</v>
      </c>
      <c r="J1617" s="23" t="s">
        <v>4728</v>
      </c>
      <c r="K1617" s="23" t="s">
        <v>4735</v>
      </c>
      <c r="L1617">
        <v>1963</v>
      </c>
      <c r="M1617" s="15" t="s">
        <v>4696</v>
      </c>
      <c r="N1617">
        <v>6</v>
      </c>
      <c r="O1617">
        <v>3</v>
      </c>
      <c r="P1617" s="21">
        <f>DATEVALUE(N1617&amp;"-"&amp;M1617&amp;"-"&amp;L1617)</f>
        <v>23198</v>
      </c>
      <c r="Q1617" s="22">
        <v>14001.29</v>
      </c>
      <c r="R1617" s="23" t="s">
        <v>4697</v>
      </c>
      <c r="S1617" s="23" t="s">
        <v>4697</v>
      </c>
      <c r="T1617" s="23" t="s">
        <v>4699</v>
      </c>
      <c r="U1617" s="23">
        <f>DATEDIF(P1617, DATE(2023, 6, 8), "Y")</f>
        <v>59</v>
      </c>
      <c r="V1617">
        <f>SUM(C1617:K1617)</f>
        <v>33.130000000000003</v>
      </c>
    </row>
    <row r="1618" spans="1:22" ht="15.75">
      <c r="A1618" s="28" t="s">
        <v>3234</v>
      </c>
      <c r="B1618" s="28" t="s">
        <v>3235</v>
      </c>
      <c r="C1618" s="23">
        <v>15.37</v>
      </c>
      <c r="D1618" s="23">
        <v>9.61</v>
      </c>
      <c r="E1618" s="23" t="s">
        <v>4683</v>
      </c>
      <c r="F1618" s="23" t="s">
        <v>4682</v>
      </c>
      <c r="G1618" s="23" t="s">
        <v>4682</v>
      </c>
      <c r="H1618" s="23">
        <v>2</v>
      </c>
      <c r="I1618" s="23" t="s">
        <v>4682</v>
      </c>
      <c r="J1618" s="23" t="s">
        <v>4731</v>
      </c>
      <c r="K1618" s="23" t="s">
        <v>4735</v>
      </c>
      <c r="L1618">
        <v>1963</v>
      </c>
      <c r="M1618" s="15" t="s">
        <v>4696</v>
      </c>
      <c r="N1618">
        <v>8</v>
      </c>
      <c r="O1618">
        <v>3</v>
      </c>
      <c r="P1618" s="21">
        <f>DATEVALUE(N1618&amp;"-"&amp;M1618&amp;"-"&amp;L1618)</f>
        <v>23200</v>
      </c>
      <c r="Q1618" s="22">
        <v>14007.22</v>
      </c>
      <c r="R1618" s="23" t="s">
        <v>4697</v>
      </c>
      <c r="S1618" s="23" t="s">
        <v>4698</v>
      </c>
      <c r="T1618" s="23" t="s">
        <v>4708</v>
      </c>
      <c r="U1618" s="23">
        <f>DATEDIF(P1618, DATE(2023, 6, 8), "Y")</f>
        <v>59</v>
      </c>
      <c r="V1618">
        <f>SUM(C1618:K1618)</f>
        <v>26.979999999999997</v>
      </c>
    </row>
    <row r="1619" spans="1:22" ht="15.75">
      <c r="A1619" s="28" t="s">
        <v>3236</v>
      </c>
      <c r="B1619" s="28" t="s">
        <v>3237</v>
      </c>
      <c r="C1619" s="23">
        <v>18.71</v>
      </c>
      <c r="D1619" s="23">
        <v>5.29</v>
      </c>
      <c r="E1619" s="23" t="s">
        <v>4683</v>
      </c>
      <c r="F1619" s="23" t="s">
        <v>4682</v>
      </c>
      <c r="G1619" s="23" t="s">
        <v>4682</v>
      </c>
      <c r="H1619" s="23">
        <v>0</v>
      </c>
      <c r="I1619" s="23" t="s">
        <v>4682</v>
      </c>
      <c r="J1619" s="23" t="s">
        <v>4728</v>
      </c>
      <c r="K1619" s="23" t="s">
        <v>4737</v>
      </c>
      <c r="L1619">
        <v>1960</v>
      </c>
      <c r="M1619" s="15" t="s">
        <v>4700</v>
      </c>
      <c r="N1619">
        <v>8</v>
      </c>
      <c r="O1619">
        <v>0</v>
      </c>
      <c r="P1619" s="21">
        <f>DATEVALUE(N1619&amp;"-"&amp;M1619&amp;"-"&amp;L1619)</f>
        <v>22228</v>
      </c>
      <c r="Q1619" s="22">
        <v>14043.48</v>
      </c>
      <c r="R1619" s="23" t="s">
        <v>4697</v>
      </c>
      <c r="S1619" s="23" t="s">
        <v>4698</v>
      </c>
      <c r="T1619" s="23" t="s">
        <v>4714</v>
      </c>
      <c r="U1619" s="23">
        <f>DATEDIF(P1619, DATE(2023, 6, 8), "Y")</f>
        <v>62</v>
      </c>
      <c r="V1619">
        <f>SUM(C1619:K1619)</f>
        <v>24</v>
      </c>
    </row>
    <row r="1620" spans="1:22" ht="15.75">
      <c r="A1620" s="28" t="s">
        <v>3238</v>
      </c>
      <c r="B1620" s="28" t="s">
        <v>3239</v>
      </c>
      <c r="C1620" s="23">
        <v>20.61</v>
      </c>
      <c r="D1620" s="23">
        <v>6.89</v>
      </c>
      <c r="E1620" s="23" t="s">
        <v>4682</v>
      </c>
      <c r="F1620" s="23" t="s">
        <v>4682</v>
      </c>
      <c r="G1620" s="23" t="s">
        <v>4682</v>
      </c>
      <c r="H1620" s="23">
        <v>0</v>
      </c>
      <c r="I1620" s="23" t="s">
        <v>4682</v>
      </c>
      <c r="J1620" s="23" t="s">
        <v>4728</v>
      </c>
      <c r="K1620" s="23" t="s">
        <v>4735</v>
      </c>
      <c r="L1620">
        <v>1991</v>
      </c>
      <c r="M1620" s="15" t="s">
        <v>4703</v>
      </c>
      <c r="N1620">
        <v>12</v>
      </c>
      <c r="O1620">
        <v>3</v>
      </c>
      <c r="P1620" s="21">
        <f>DATEVALUE(N1620&amp;"-"&amp;M1620&amp;"-"&amp;L1620)</f>
        <v>33493</v>
      </c>
      <c r="Q1620" s="22">
        <v>14081.93</v>
      </c>
      <c r="R1620" s="23" t="s">
        <v>4697</v>
      </c>
      <c r="S1620" s="23" t="s">
        <v>4698</v>
      </c>
      <c r="T1620" s="23" t="s">
        <v>4704</v>
      </c>
      <c r="U1620" s="23">
        <f>DATEDIF(P1620, DATE(2023, 6, 8), "Y")</f>
        <v>31</v>
      </c>
      <c r="V1620">
        <f>SUM(C1620:K1620)</f>
        <v>27.5</v>
      </c>
    </row>
    <row r="1621" spans="1:22" ht="15.75">
      <c r="A1621" s="28" t="s">
        <v>3240</v>
      </c>
      <c r="B1621" s="28" t="s">
        <v>3241</v>
      </c>
      <c r="C1621" s="23">
        <v>15.99</v>
      </c>
      <c r="D1621" s="23">
        <v>4.57</v>
      </c>
      <c r="E1621" s="23" t="s">
        <v>4683</v>
      </c>
      <c r="F1621" s="23" t="s">
        <v>4682</v>
      </c>
      <c r="G1621" s="23" t="s">
        <v>4684</v>
      </c>
      <c r="H1621" s="23">
        <v>1</v>
      </c>
      <c r="I1621" s="23" t="s">
        <v>4682</v>
      </c>
      <c r="J1621" s="23" t="s">
        <v>4731</v>
      </c>
      <c r="K1621" s="23" t="s">
        <v>4737</v>
      </c>
      <c r="L1621">
        <v>1976</v>
      </c>
      <c r="M1621" s="15" t="s">
        <v>4703</v>
      </c>
      <c r="N1621">
        <v>26</v>
      </c>
      <c r="O1621">
        <v>2</v>
      </c>
      <c r="P1621" s="21">
        <f>DATEVALUE(N1621&amp;"-"&amp;M1621&amp;"-"&amp;L1621)</f>
        <v>28029</v>
      </c>
      <c r="Q1621" s="22">
        <v>14098.07</v>
      </c>
      <c r="R1621" s="23" t="s">
        <v>4697</v>
      </c>
      <c r="S1621" s="23" t="s">
        <v>4698</v>
      </c>
      <c r="T1621" s="23" t="s">
        <v>4715</v>
      </c>
      <c r="U1621" s="23">
        <f>DATEDIF(P1621, DATE(2023, 6, 8), "Y")</f>
        <v>46</v>
      </c>
      <c r="V1621">
        <f>SUM(C1621:K1621)</f>
        <v>21.560000000000002</v>
      </c>
    </row>
    <row r="1622" spans="1:22" ht="15.75">
      <c r="A1622" s="28" t="s">
        <v>3242</v>
      </c>
      <c r="B1622" s="28" t="s">
        <v>3243</v>
      </c>
      <c r="C1622" s="23">
        <v>33.155000000000001</v>
      </c>
      <c r="D1622" s="23">
        <v>4.32</v>
      </c>
      <c r="E1622" s="23" t="s">
        <v>4682</v>
      </c>
      <c r="F1622" s="23" t="s">
        <v>4682</v>
      </c>
      <c r="G1622" s="23" t="s">
        <v>4682</v>
      </c>
      <c r="H1622" s="23">
        <v>0</v>
      </c>
      <c r="I1622" s="23" t="s">
        <v>4682</v>
      </c>
      <c r="J1622" s="23" t="s">
        <v>4729</v>
      </c>
      <c r="K1622" s="23" t="s">
        <v>4737</v>
      </c>
      <c r="L1622">
        <v>1961</v>
      </c>
      <c r="M1622" s="15" t="s">
        <v>4702</v>
      </c>
      <c r="N1622">
        <v>14</v>
      </c>
      <c r="O1622">
        <v>2</v>
      </c>
      <c r="P1622" s="21">
        <f>DATEVALUE(N1622&amp;"-"&amp;M1622&amp;"-"&amp;L1622)</f>
        <v>22446</v>
      </c>
      <c r="Q1622" s="22">
        <v>14119.62</v>
      </c>
      <c r="R1622" s="23" t="s">
        <v>4697</v>
      </c>
      <c r="S1622" s="23" t="s">
        <v>4701</v>
      </c>
      <c r="T1622" s="23" t="s">
        <v>4704</v>
      </c>
      <c r="U1622" s="23">
        <f>DATEDIF(P1622, DATE(2023, 6, 8), "Y")</f>
        <v>61</v>
      </c>
      <c r="V1622">
        <f>SUM(C1622:K1622)</f>
        <v>37.475000000000001</v>
      </c>
    </row>
    <row r="1623" spans="1:22" ht="15.75">
      <c r="A1623" s="28" t="s">
        <v>3244</v>
      </c>
      <c r="B1623" s="28" t="s">
        <v>3245</v>
      </c>
      <c r="C1623" s="23">
        <v>26.22</v>
      </c>
      <c r="D1623" s="23">
        <v>5.57</v>
      </c>
      <c r="E1623" s="23" t="s">
        <v>4683</v>
      </c>
      <c r="F1623" s="23" t="s">
        <v>4682</v>
      </c>
      <c r="G1623" s="23" t="s">
        <v>4684</v>
      </c>
      <c r="H1623" s="23">
        <v>1</v>
      </c>
      <c r="I1623" s="23" t="s">
        <v>4682</v>
      </c>
      <c r="J1623" s="23" t="s">
        <v>4730</v>
      </c>
      <c r="K1623" s="23" t="s">
        <v>4737</v>
      </c>
      <c r="L1623">
        <v>2004</v>
      </c>
      <c r="M1623" s="15" t="s">
        <v>4696</v>
      </c>
      <c r="N1623">
        <v>6</v>
      </c>
      <c r="O1623">
        <v>0</v>
      </c>
      <c r="P1623" s="21">
        <f>DATEVALUE(N1623&amp;"-"&amp;M1623&amp;"-"&amp;L1623)</f>
        <v>38174</v>
      </c>
      <c r="Q1623" s="22">
        <v>14133.04</v>
      </c>
      <c r="R1623" s="23" t="s">
        <v>4697</v>
      </c>
      <c r="S1623" s="23" t="s">
        <v>4698</v>
      </c>
      <c r="T1623" s="23" t="s">
        <v>4699</v>
      </c>
      <c r="U1623" s="23">
        <f>DATEDIF(P1623, DATE(2023, 6, 8), "Y")</f>
        <v>18</v>
      </c>
      <c r="V1623">
        <f>SUM(C1623:K1623)</f>
        <v>32.79</v>
      </c>
    </row>
    <row r="1624" spans="1:22" ht="15.75">
      <c r="A1624" s="28" t="s">
        <v>3246</v>
      </c>
      <c r="B1624" s="28" t="s">
        <v>3247</v>
      </c>
      <c r="C1624" s="23">
        <v>21.85</v>
      </c>
      <c r="D1624" s="23">
        <v>5.26</v>
      </c>
      <c r="E1624" s="23" t="s">
        <v>4683</v>
      </c>
      <c r="F1624" s="23" t="s">
        <v>4682</v>
      </c>
      <c r="G1624" s="23" t="s">
        <v>4684</v>
      </c>
      <c r="H1624" s="23">
        <v>1</v>
      </c>
      <c r="I1624" s="23" t="s">
        <v>4682</v>
      </c>
      <c r="J1624" s="23" t="s">
        <v>4728</v>
      </c>
      <c r="K1624" s="23" t="s">
        <v>4737</v>
      </c>
      <c r="L1624">
        <v>1984</v>
      </c>
      <c r="M1624" s="15" t="s">
        <v>4696</v>
      </c>
      <c r="N1624">
        <v>7</v>
      </c>
      <c r="O1624">
        <v>3</v>
      </c>
      <c r="P1624" s="21">
        <f>DATEVALUE(N1624&amp;"-"&amp;M1624&amp;"-"&amp;L1624)</f>
        <v>30870</v>
      </c>
      <c r="Q1624" s="22">
        <v>14152.46</v>
      </c>
      <c r="R1624" s="23" t="s">
        <v>4697</v>
      </c>
      <c r="S1624" s="23" t="s">
        <v>4701</v>
      </c>
      <c r="T1624" s="23" t="s">
        <v>4704</v>
      </c>
      <c r="U1624" s="23">
        <f>DATEDIF(P1624, DATE(2023, 6, 8), "Y")</f>
        <v>38</v>
      </c>
      <c r="V1624">
        <f>SUM(C1624:K1624)</f>
        <v>28.11</v>
      </c>
    </row>
    <row r="1625" spans="1:22" ht="15.75">
      <c r="A1625" s="28" t="s">
        <v>3248</v>
      </c>
      <c r="B1625" s="28" t="s">
        <v>3249</v>
      </c>
      <c r="C1625" s="23">
        <v>30.495000000000001</v>
      </c>
      <c r="D1625" s="23">
        <v>6.25</v>
      </c>
      <c r="E1625" s="23" t="s">
        <v>4682</v>
      </c>
      <c r="F1625" s="23" t="s">
        <v>4682</v>
      </c>
      <c r="G1625" s="23" t="s">
        <v>4682</v>
      </c>
      <c r="H1625" s="23">
        <v>0</v>
      </c>
      <c r="I1625" s="23" t="s">
        <v>4682</v>
      </c>
      <c r="J1625" s="23" t="s">
        <v>4729</v>
      </c>
      <c r="K1625" s="23" t="s">
        <v>4736</v>
      </c>
      <c r="L1625">
        <v>1968</v>
      </c>
      <c r="M1625" s="15" t="s">
        <v>4705</v>
      </c>
      <c r="N1625">
        <v>25</v>
      </c>
      <c r="O1625">
        <v>0</v>
      </c>
      <c r="P1625" s="21">
        <f>DATEVALUE(N1625&amp;"-"&amp;M1625&amp;"-"&amp;L1625)</f>
        <v>25197</v>
      </c>
      <c r="Q1625" s="22">
        <v>14193.55</v>
      </c>
      <c r="R1625" s="23" t="s">
        <v>4697</v>
      </c>
      <c r="S1625" s="23" t="s">
        <v>4701</v>
      </c>
      <c r="T1625" s="23" t="s">
        <v>4720</v>
      </c>
      <c r="U1625" s="23">
        <f>DATEDIF(P1625, DATE(2023, 6, 8), "Y")</f>
        <v>54</v>
      </c>
      <c r="V1625">
        <f>SUM(C1625:K1625)</f>
        <v>36.745000000000005</v>
      </c>
    </row>
    <row r="1626" spans="1:22" ht="15.75">
      <c r="A1626" s="28" t="s">
        <v>3250</v>
      </c>
      <c r="B1626" s="28" t="s">
        <v>3251</v>
      </c>
      <c r="C1626" s="23">
        <v>34.104999999999997</v>
      </c>
      <c r="D1626" s="23">
        <v>5.67</v>
      </c>
      <c r="E1626" s="23" t="s">
        <v>4683</v>
      </c>
      <c r="F1626" s="23" t="s">
        <v>4682</v>
      </c>
      <c r="G1626" s="23" t="s">
        <v>4682</v>
      </c>
      <c r="H1626" s="23">
        <v>0</v>
      </c>
      <c r="I1626" s="23" t="s">
        <v>4682</v>
      </c>
      <c r="J1626" s="23" t="s">
        <v>4729</v>
      </c>
      <c r="K1626" s="23" t="s">
        <v>4737</v>
      </c>
      <c r="L1626">
        <v>1983</v>
      </c>
      <c r="M1626" s="15" t="s">
        <v>4700</v>
      </c>
      <c r="N1626">
        <v>17</v>
      </c>
      <c r="O1626">
        <v>3</v>
      </c>
      <c r="P1626" s="21">
        <f>DATEVALUE(N1626&amp;"-"&amp;M1626&amp;"-"&amp;L1626)</f>
        <v>30637</v>
      </c>
      <c r="Q1626" s="22">
        <v>14209.4</v>
      </c>
      <c r="R1626" s="23" t="s">
        <v>4697</v>
      </c>
      <c r="S1626" s="23" t="s">
        <v>4701</v>
      </c>
      <c r="T1626" s="23" t="s">
        <v>4720</v>
      </c>
      <c r="U1626" s="23">
        <f>DATEDIF(P1626, DATE(2023, 6, 8), "Y")</f>
        <v>39</v>
      </c>
      <c r="V1626">
        <f>SUM(C1626:K1626)</f>
        <v>39.774999999999999</v>
      </c>
    </row>
    <row r="1627" spans="1:22" ht="15.75">
      <c r="A1627" s="28" t="s">
        <v>3252</v>
      </c>
      <c r="B1627" s="28" t="s">
        <v>3253</v>
      </c>
      <c r="C1627" s="23">
        <v>32.770000000000003</v>
      </c>
      <c r="D1627" s="23">
        <v>4.42</v>
      </c>
      <c r="E1627" s="23" t="s">
        <v>4683</v>
      </c>
      <c r="F1627" s="23" t="s">
        <v>4682</v>
      </c>
      <c r="G1627" s="23" t="s">
        <v>4682</v>
      </c>
      <c r="H1627" s="23">
        <v>1</v>
      </c>
      <c r="I1627" s="23" t="s">
        <v>4682</v>
      </c>
      <c r="J1627" s="23" t="s">
        <v>4729</v>
      </c>
      <c r="K1627" s="23" t="s">
        <v>4737</v>
      </c>
      <c r="L1627">
        <v>1958</v>
      </c>
      <c r="M1627" s="15" t="s">
        <v>4703</v>
      </c>
      <c r="N1627">
        <v>21</v>
      </c>
      <c r="O1627">
        <v>0</v>
      </c>
      <c r="P1627" s="21">
        <f>DATEVALUE(N1627&amp;"-"&amp;M1627&amp;"-"&amp;L1627)</f>
        <v>21449</v>
      </c>
      <c r="Q1627" s="22">
        <v>14210.54</v>
      </c>
      <c r="R1627" s="23" t="s">
        <v>4697</v>
      </c>
      <c r="S1627" s="23" t="s">
        <v>4697</v>
      </c>
      <c r="T1627" s="23" t="s">
        <v>4704</v>
      </c>
      <c r="U1627" s="23">
        <f>DATEDIF(P1627, DATE(2023, 6, 8), "Y")</f>
        <v>64</v>
      </c>
      <c r="V1627">
        <f>SUM(C1627:K1627)</f>
        <v>38.190000000000005</v>
      </c>
    </row>
    <row r="1628" spans="1:22" ht="15.75">
      <c r="A1628" s="28" t="s">
        <v>3254</v>
      </c>
      <c r="B1628" s="28" t="s">
        <v>3255</v>
      </c>
      <c r="C1628" s="23">
        <v>16.850000000000001</v>
      </c>
      <c r="D1628" s="23">
        <v>11.75</v>
      </c>
      <c r="E1628" s="23" t="s">
        <v>4683</v>
      </c>
      <c r="F1628" s="23" t="s">
        <v>4682</v>
      </c>
      <c r="G1628" s="23" t="s">
        <v>4682</v>
      </c>
      <c r="H1628" s="23">
        <v>2</v>
      </c>
      <c r="I1628" s="23" t="s">
        <v>4682</v>
      </c>
      <c r="J1628" s="23" t="s">
        <v>4731</v>
      </c>
      <c r="K1628" s="23" t="s">
        <v>4735</v>
      </c>
      <c r="L1628">
        <v>1961</v>
      </c>
      <c r="M1628" s="15" t="s">
        <v>4703</v>
      </c>
      <c r="N1628">
        <v>25</v>
      </c>
      <c r="O1628">
        <v>2</v>
      </c>
      <c r="P1628" s="21">
        <f>DATEVALUE(N1628&amp;"-"&amp;M1628&amp;"-"&amp;L1628)</f>
        <v>22549</v>
      </c>
      <c r="Q1628" s="22">
        <v>14235.07</v>
      </c>
      <c r="R1628" s="23" t="s">
        <v>4697</v>
      </c>
      <c r="S1628" s="23" t="s">
        <v>4701</v>
      </c>
      <c r="T1628" s="23" t="s">
        <v>4708</v>
      </c>
      <c r="U1628" s="23">
        <f>DATEDIF(P1628, DATE(2023, 6, 8), "Y")</f>
        <v>61</v>
      </c>
      <c r="V1628">
        <f>SUM(C1628:K1628)</f>
        <v>30.6</v>
      </c>
    </row>
    <row r="1629" spans="1:22" ht="15.75">
      <c r="A1629" s="28" t="s">
        <v>3256</v>
      </c>
      <c r="B1629" s="28" t="s">
        <v>3257</v>
      </c>
      <c r="C1629" s="23">
        <v>34.700000000000003</v>
      </c>
      <c r="D1629" s="23">
        <v>6.06</v>
      </c>
      <c r="E1629" s="23" t="s">
        <v>4682</v>
      </c>
      <c r="F1629" s="23" t="s">
        <v>4682</v>
      </c>
      <c r="G1629" s="23" t="s">
        <v>4682</v>
      </c>
      <c r="H1629" s="23">
        <v>1</v>
      </c>
      <c r="I1629" s="23" t="s">
        <v>4682</v>
      </c>
      <c r="J1629" s="23" t="s">
        <v>4729</v>
      </c>
      <c r="K1629" s="23" t="s">
        <v>4736</v>
      </c>
      <c r="L1629">
        <v>1959</v>
      </c>
      <c r="M1629" s="15" t="s">
        <v>4707</v>
      </c>
      <c r="N1629">
        <v>10</v>
      </c>
      <c r="O1629">
        <v>0</v>
      </c>
      <c r="P1629" s="21">
        <f>DATEVALUE(N1629&amp;"-"&amp;M1629&amp;"-"&amp;L1629)</f>
        <v>21833</v>
      </c>
      <c r="Q1629" s="22">
        <v>14254.61</v>
      </c>
      <c r="R1629" s="23" t="s">
        <v>4697</v>
      </c>
      <c r="S1629" s="23" t="s">
        <v>4701</v>
      </c>
      <c r="T1629" s="23" t="s">
        <v>4704</v>
      </c>
      <c r="U1629" s="23">
        <f>DATEDIF(P1629, DATE(2023, 6, 8), "Y")</f>
        <v>63</v>
      </c>
      <c r="V1629">
        <f>SUM(C1629:K1629)</f>
        <v>41.760000000000005</v>
      </c>
    </row>
    <row r="1630" spans="1:22" ht="15.75">
      <c r="A1630" s="28" t="s">
        <v>3258</v>
      </c>
      <c r="B1630" s="28" t="s">
        <v>3259</v>
      </c>
      <c r="C1630" s="23">
        <v>37.049999999999997</v>
      </c>
      <c r="D1630" s="23">
        <v>5.48</v>
      </c>
      <c r="E1630" s="23" t="s">
        <v>4682</v>
      </c>
      <c r="F1630" s="23" t="s">
        <v>4682</v>
      </c>
      <c r="G1630" s="23" t="s">
        <v>4682</v>
      </c>
      <c r="H1630" s="23">
        <v>1</v>
      </c>
      <c r="I1630" s="23" t="s">
        <v>4682</v>
      </c>
      <c r="J1630" s="23" t="s">
        <v>4729</v>
      </c>
      <c r="K1630" s="23" t="s">
        <v>4737</v>
      </c>
      <c r="L1630">
        <v>1959</v>
      </c>
      <c r="M1630" s="15" t="s">
        <v>4700</v>
      </c>
      <c r="N1630">
        <v>8</v>
      </c>
      <c r="O1630">
        <v>0</v>
      </c>
      <c r="P1630" s="21">
        <f>DATEVALUE(N1630&amp;"-"&amp;M1630&amp;"-"&amp;L1630)</f>
        <v>21862</v>
      </c>
      <c r="Q1630" s="22">
        <v>14256.19</v>
      </c>
      <c r="R1630" s="23" t="s">
        <v>4697</v>
      </c>
      <c r="S1630" s="23" t="s">
        <v>4698</v>
      </c>
      <c r="T1630" s="23" t="s">
        <v>4704</v>
      </c>
      <c r="U1630" s="23">
        <f>DATEDIF(P1630, DATE(2023, 6, 8), "Y")</f>
        <v>63</v>
      </c>
      <c r="V1630">
        <f>SUM(C1630:K1630)</f>
        <v>43.53</v>
      </c>
    </row>
    <row r="1631" spans="1:22" ht="15.75">
      <c r="A1631" s="28" t="s">
        <v>3260</v>
      </c>
      <c r="B1631" s="28" t="s">
        <v>3261</v>
      </c>
      <c r="C1631" s="23">
        <v>18.78</v>
      </c>
      <c r="D1631" s="23">
        <v>4.45</v>
      </c>
      <c r="E1631" s="23" t="s">
        <v>4682</v>
      </c>
      <c r="F1631" s="23" t="s">
        <v>4682</v>
      </c>
      <c r="G1631" s="23" t="s">
        <v>4684</v>
      </c>
      <c r="H1631" s="23">
        <v>1</v>
      </c>
      <c r="I1631" s="23" t="s">
        <v>4682</v>
      </c>
      <c r="J1631" s="23" t="s">
        <v>4728</v>
      </c>
      <c r="K1631" s="23" t="s">
        <v>4737</v>
      </c>
      <c r="L1631">
        <v>1974</v>
      </c>
      <c r="M1631" s="15" t="s">
        <v>4705</v>
      </c>
      <c r="N1631">
        <v>26</v>
      </c>
      <c r="O1631">
        <v>0</v>
      </c>
      <c r="P1631" s="21">
        <f>DATEVALUE(N1631&amp;"-"&amp;M1631&amp;"-"&amp;L1631)</f>
        <v>27389</v>
      </c>
      <c r="Q1631" s="22">
        <v>14256.79</v>
      </c>
      <c r="R1631" s="23" t="s">
        <v>4697</v>
      </c>
      <c r="S1631" s="23" t="s">
        <v>4697</v>
      </c>
      <c r="T1631" s="23" t="s">
        <v>4720</v>
      </c>
      <c r="U1631" s="23">
        <f>DATEDIF(P1631, DATE(2023, 6, 8), "Y")</f>
        <v>48</v>
      </c>
      <c r="V1631">
        <f>SUM(C1631:K1631)</f>
        <v>24.23</v>
      </c>
    </row>
    <row r="1632" spans="1:22" ht="15.75">
      <c r="A1632" s="28" t="s">
        <v>3262</v>
      </c>
      <c r="B1632" s="28" t="s">
        <v>3263</v>
      </c>
      <c r="C1632" s="23">
        <v>28.024999999999999</v>
      </c>
      <c r="D1632" s="23">
        <v>5</v>
      </c>
      <c r="E1632" s="23" t="s">
        <v>4682</v>
      </c>
      <c r="F1632" s="23" t="s">
        <v>4682</v>
      </c>
      <c r="G1632" s="23" t="s">
        <v>4682</v>
      </c>
      <c r="H1632" s="23">
        <v>1</v>
      </c>
      <c r="I1632" s="23" t="s">
        <v>4682</v>
      </c>
      <c r="J1632" s="23" t="s">
        <v>4730</v>
      </c>
      <c r="K1632" s="23" t="s">
        <v>4737</v>
      </c>
      <c r="L1632">
        <v>1972</v>
      </c>
      <c r="M1632" s="15" t="s">
        <v>4696</v>
      </c>
      <c r="N1632">
        <v>13</v>
      </c>
      <c r="O1632">
        <v>0</v>
      </c>
      <c r="P1632" s="21">
        <f>DATEVALUE(N1632&amp;"-"&amp;M1632&amp;"-"&amp;L1632)</f>
        <v>26493</v>
      </c>
      <c r="Q1632" s="22">
        <v>14258.33</v>
      </c>
      <c r="R1632" s="23" t="s">
        <v>4697</v>
      </c>
      <c r="S1632" s="23" t="s">
        <v>4697</v>
      </c>
      <c r="T1632" s="23" t="s">
        <v>4720</v>
      </c>
      <c r="U1632" s="23">
        <f>DATEDIF(P1632, DATE(2023, 6, 8), "Y")</f>
        <v>50</v>
      </c>
      <c r="V1632">
        <f>SUM(C1632:K1632)</f>
        <v>34.024999999999999</v>
      </c>
    </row>
    <row r="1633" spans="1:22" ht="15.75">
      <c r="A1633" s="28" t="s">
        <v>3264</v>
      </c>
      <c r="B1633" s="28" t="s">
        <v>3265</v>
      </c>
      <c r="C1633" s="23">
        <v>35.090000000000003</v>
      </c>
      <c r="D1633" s="23">
        <v>5.84</v>
      </c>
      <c r="E1633" s="23" t="s">
        <v>4682</v>
      </c>
      <c r="F1633" s="23" t="s">
        <v>4682</v>
      </c>
      <c r="G1633" s="23" t="s">
        <v>4682</v>
      </c>
      <c r="H1633" s="23">
        <v>0</v>
      </c>
      <c r="I1633" s="23" t="s">
        <v>4682</v>
      </c>
      <c r="J1633" s="23" t="s">
        <v>4729</v>
      </c>
      <c r="K1633" s="23" t="s">
        <v>4736</v>
      </c>
      <c r="L1633">
        <v>2004</v>
      </c>
      <c r="M1633" s="15" t="s">
        <v>4703</v>
      </c>
      <c r="N1633">
        <v>6</v>
      </c>
      <c r="O1633">
        <v>0</v>
      </c>
      <c r="P1633" s="21">
        <f>DATEVALUE(N1633&amp;"-"&amp;M1633&amp;"-"&amp;L1633)</f>
        <v>38236</v>
      </c>
      <c r="Q1633" s="22">
        <v>14283.46</v>
      </c>
      <c r="R1633" s="23" t="s">
        <v>4697</v>
      </c>
      <c r="S1633" s="23" t="s">
        <v>4697</v>
      </c>
      <c r="T1633" s="23" t="s">
        <v>4714</v>
      </c>
      <c r="U1633" s="23">
        <f>DATEDIF(P1633, DATE(2023, 6, 8), "Y")</f>
        <v>18</v>
      </c>
      <c r="V1633">
        <f>SUM(C1633:K1633)</f>
        <v>40.930000000000007</v>
      </c>
    </row>
    <row r="1634" spans="1:22" ht="15.75">
      <c r="A1634" s="28" t="s">
        <v>3266</v>
      </c>
      <c r="B1634" s="28" t="s">
        <v>3267</v>
      </c>
      <c r="C1634" s="23">
        <v>34.42</v>
      </c>
      <c r="D1634" s="23">
        <v>5.21</v>
      </c>
      <c r="E1634" s="23" t="s">
        <v>4683</v>
      </c>
      <c r="F1634" s="23" t="s">
        <v>4682</v>
      </c>
      <c r="G1634" s="23" t="s">
        <v>4682</v>
      </c>
      <c r="H1634" s="23">
        <v>0</v>
      </c>
      <c r="I1634" s="23" t="s">
        <v>4682</v>
      </c>
      <c r="J1634" s="23" t="s">
        <v>4729</v>
      </c>
      <c r="K1634" s="23" t="s">
        <v>4737</v>
      </c>
      <c r="L1634">
        <v>1968</v>
      </c>
      <c r="M1634" s="15" t="s">
        <v>4705</v>
      </c>
      <c r="N1634">
        <v>15</v>
      </c>
      <c r="O1634">
        <v>0</v>
      </c>
      <c r="P1634" s="21">
        <f>DATEVALUE(N1634&amp;"-"&amp;M1634&amp;"-"&amp;L1634)</f>
        <v>25187</v>
      </c>
      <c r="Q1634" s="22">
        <v>14285.9</v>
      </c>
      <c r="R1634" s="23" t="s">
        <v>4697</v>
      </c>
      <c r="S1634" s="23" t="s">
        <v>4698</v>
      </c>
      <c r="T1634" s="23" t="s">
        <v>4704</v>
      </c>
      <c r="U1634" s="23">
        <f>DATEDIF(P1634, DATE(2023, 6, 8), "Y")</f>
        <v>54</v>
      </c>
      <c r="V1634">
        <f>SUM(C1634:K1634)</f>
        <v>39.630000000000003</v>
      </c>
    </row>
    <row r="1635" spans="1:22" ht="15.75">
      <c r="A1635" s="28" t="s">
        <v>3268</v>
      </c>
      <c r="B1635" s="28" t="s">
        <v>3269</v>
      </c>
      <c r="C1635" s="23">
        <v>29.4</v>
      </c>
      <c r="D1635" s="23">
        <v>4.26</v>
      </c>
      <c r="E1635" s="23" t="s">
        <v>4682</v>
      </c>
      <c r="F1635" s="23" t="s">
        <v>4682</v>
      </c>
      <c r="G1635" s="23" t="s">
        <v>4682</v>
      </c>
      <c r="H1635" s="23">
        <v>0</v>
      </c>
      <c r="I1635" s="23" t="s">
        <v>4682</v>
      </c>
      <c r="J1635" s="23" t="s">
        <v>4730</v>
      </c>
      <c r="K1635" s="23" t="s">
        <v>4737</v>
      </c>
      <c r="L1635">
        <v>1958</v>
      </c>
      <c r="M1635" s="15" t="s">
        <v>4707</v>
      </c>
      <c r="N1635">
        <v>15</v>
      </c>
      <c r="O1635">
        <v>0</v>
      </c>
      <c r="P1635" s="21">
        <f>DATEVALUE(N1635&amp;"-"&amp;M1635&amp;"-"&amp;L1635)</f>
        <v>21473</v>
      </c>
      <c r="Q1635" s="22">
        <v>14313.85</v>
      </c>
      <c r="R1635" s="23" t="s">
        <v>4697</v>
      </c>
      <c r="S1635" s="23" t="s">
        <v>4698</v>
      </c>
      <c r="T1635" s="23" t="s">
        <v>4699</v>
      </c>
      <c r="U1635" s="23">
        <f>DATEDIF(P1635, DATE(2023, 6, 8), "Y")</f>
        <v>64</v>
      </c>
      <c r="V1635">
        <f>SUM(C1635:K1635)</f>
        <v>33.659999999999997</v>
      </c>
    </row>
    <row r="1636" spans="1:22" ht="15.75">
      <c r="A1636" s="28" t="s">
        <v>3270</v>
      </c>
      <c r="B1636" s="28" t="s">
        <v>3271</v>
      </c>
      <c r="C1636" s="23">
        <v>21.31</v>
      </c>
      <c r="D1636" s="23">
        <v>4.17</v>
      </c>
      <c r="E1636" s="23" t="s">
        <v>4682</v>
      </c>
      <c r="F1636" s="23" t="s">
        <v>4682</v>
      </c>
      <c r="G1636" s="23" t="s">
        <v>4682</v>
      </c>
      <c r="H1636" s="23">
        <v>0</v>
      </c>
      <c r="I1636" s="23" t="s">
        <v>4682</v>
      </c>
      <c r="J1636" s="23" t="s">
        <v>4728</v>
      </c>
      <c r="K1636" s="23" t="s">
        <v>4737</v>
      </c>
      <c r="L1636">
        <v>1958</v>
      </c>
      <c r="M1636" s="15" t="s">
        <v>4696</v>
      </c>
      <c r="N1636">
        <v>10</v>
      </c>
      <c r="O1636">
        <v>0</v>
      </c>
      <c r="P1636" s="21">
        <f>DATEVALUE(N1636&amp;"-"&amp;M1636&amp;"-"&amp;L1636)</f>
        <v>21376</v>
      </c>
      <c r="Q1636" s="22">
        <v>14319.03</v>
      </c>
      <c r="R1636" s="23" t="s">
        <v>4697</v>
      </c>
      <c r="S1636" s="23" t="s">
        <v>4697</v>
      </c>
      <c r="T1636" s="23" t="s">
        <v>4708</v>
      </c>
      <c r="U1636" s="23">
        <f>DATEDIF(P1636, DATE(2023, 6, 8), "Y")</f>
        <v>64</v>
      </c>
      <c r="V1636">
        <f>SUM(C1636:K1636)</f>
        <v>25.479999999999997</v>
      </c>
    </row>
    <row r="1637" spans="1:22" ht="15.75">
      <c r="A1637" s="28" t="s">
        <v>3272</v>
      </c>
      <c r="B1637" s="28" t="s">
        <v>3273</v>
      </c>
      <c r="C1637" s="23">
        <v>19.559999999999999</v>
      </c>
      <c r="D1637" s="23">
        <v>11.96</v>
      </c>
      <c r="E1637" s="23" t="s">
        <v>4682</v>
      </c>
      <c r="F1637" s="23" t="s">
        <v>4682</v>
      </c>
      <c r="G1637" s="23" t="s">
        <v>4682</v>
      </c>
      <c r="H1637" s="23">
        <v>0</v>
      </c>
      <c r="I1637" s="23" t="s">
        <v>4682</v>
      </c>
      <c r="J1637" s="23" t="s">
        <v>4728</v>
      </c>
      <c r="K1637" s="23" t="s">
        <v>4735</v>
      </c>
      <c r="L1637">
        <v>1969</v>
      </c>
      <c r="M1637" s="15" t="s">
        <v>4703</v>
      </c>
      <c r="N1637">
        <v>26</v>
      </c>
      <c r="O1637">
        <v>0</v>
      </c>
      <c r="P1637" s="21">
        <f>DATEVALUE(N1637&amp;"-"&amp;M1637&amp;"-"&amp;L1637)</f>
        <v>25472</v>
      </c>
      <c r="Q1637" s="22">
        <v>14337.91</v>
      </c>
      <c r="R1637" s="23" t="s">
        <v>4697</v>
      </c>
      <c r="S1637" s="23" t="s">
        <v>4698</v>
      </c>
      <c r="T1637" s="23" t="s">
        <v>4721</v>
      </c>
      <c r="U1637" s="23">
        <f>DATEDIF(P1637, DATE(2023, 6, 8), "Y")</f>
        <v>53</v>
      </c>
      <c r="V1637">
        <f>SUM(C1637:K1637)</f>
        <v>31.52</v>
      </c>
    </row>
    <row r="1638" spans="1:22" ht="15.75">
      <c r="A1638" s="28" t="s">
        <v>3274</v>
      </c>
      <c r="B1638" s="28" t="s">
        <v>3275</v>
      </c>
      <c r="C1638" s="23">
        <v>37.335000000000001</v>
      </c>
      <c r="D1638" s="23">
        <v>6.26</v>
      </c>
      <c r="E1638" s="23" t="s">
        <v>4683</v>
      </c>
      <c r="F1638" s="23" t="s">
        <v>4682</v>
      </c>
      <c r="G1638" s="23" t="s">
        <v>4682</v>
      </c>
      <c r="H1638" s="23">
        <v>1</v>
      </c>
      <c r="I1638" s="23" t="s">
        <v>4682</v>
      </c>
      <c r="J1638" s="23" t="s">
        <v>4729</v>
      </c>
      <c r="K1638" s="23" t="s">
        <v>4736</v>
      </c>
      <c r="L1638">
        <v>1959</v>
      </c>
      <c r="M1638" s="15" t="s">
        <v>4705</v>
      </c>
      <c r="N1638">
        <v>24</v>
      </c>
      <c r="O1638">
        <v>1</v>
      </c>
      <c r="P1638" s="21">
        <f>DATEVALUE(N1638&amp;"-"&amp;M1638&amp;"-"&amp;L1638)</f>
        <v>21908</v>
      </c>
      <c r="Q1638" s="22">
        <v>14349.85</v>
      </c>
      <c r="R1638" s="23" t="s">
        <v>4697</v>
      </c>
      <c r="S1638" s="23" t="s">
        <v>4697</v>
      </c>
      <c r="T1638" s="23" t="s">
        <v>4704</v>
      </c>
      <c r="U1638" s="23">
        <f>DATEDIF(P1638, DATE(2023, 6, 8), "Y")</f>
        <v>63</v>
      </c>
      <c r="V1638">
        <f>SUM(C1638:K1638)</f>
        <v>44.594999999999999</v>
      </c>
    </row>
    <row r="1639" spans="1:22" ht="15.75">
      <c r="A1639" s="28" t="s">
        <v>3276</v>
      </c>
      <c r="B1639" s="28" t="s">
        <v>3277</v>
      </c>
      <c r="C1639" s="23">
        <v>19.53</v>
      </c>
      <c r="D1639" s="23">
        <v>11.68</v>
      </c>
      <c r="E1639" s="23" t="s">
        <v>4682</v>
      </c>
      <c r="F1639" s="23" t="s">
        <v>4682</v>
      </c>
      <c r="G1639" s="23" t="s">
        <v>4682</v>
      </c>
      <c r="H1639" s="23">
        <v>0</v>
      </c>
      <c r="I1639" s="23" t="s">
        <v>4682</v>
      </c>
      <c r="J1639" s="23" t="s">
        <v>4728</v>
      </c>
      <c r="K1639" s="23" t="s">
        <v>4735</v>
      </c>
      <c r="L1639">
        <v>1967</v>
      </c>
      <c r="M1639" s="15" t="s">
        <v>4707</v>
      </c>
      <c r="N1639">
        <v>10</v>
      </c>
      <c r="O1639">
        <v>0</v>
      </c>
      <c r="P1639" s="21">
        <f>DATEVALUE(N1639&amp;"-"&amp;M1639&amp;"-"&amp;L1639)</f>
        <v>24755</v>
      </c>
      <c r="Q1639" s="22">
        <v>14355.43</v>
      </c>
      <c r="R1639" s="23" t="s">
        <v>4697</v>
      </c>
      <c r="S1639" s="23" t="s">
        <v>4701</v>
      </c>
      <c r="T1639" s="23" t="s">
        <v>4720</v>
      </c>
      <c r="U1639" s="23">
        <f>DATEDIF(P1639, DATE(2023, 6, 8), "Y")</f>
        <v>55</v>
      </c>
      <c r="V1639">
        <f>SUM(C1639:K1639)</f>
        <v>31.21</v>
      </c>
    </row>
    <row r="1640" spans="1:22" ht="15.75">
      <c r="A1640" s="28" t="s">
        <v>3278</v>
      </c>
      <c r="B1640" s="28" t="s">
        <v>3279</v>
      </c>
      <c r="C1640" s="23">
        <v>34.1</v>
      </c>
      <c r="D1640" s="23">
        <v>5.16</v>
      </c>
      <c r="E1640" s="23" t="s">
        <v>4682</v>
      </c>
      <c r="F1640" s="23" t="s">
        <v>4682</v>
      </c>
      <c r="G1640" s="23" t="s">
        <v>4682</v>
      </c>
      <c r="H1640" s="23">
        <v>0</v>
      </c>
      <c r="I1640" s="23" t="s">
        <v>4682</v>
      </c>
      <c r="J1640" s="23" t="s">
        <v>4729</v>
      </c>
      <c r="K1640" s="23" t="s">
        <v>4737</v>
      </c>
      <c r="L1640">
        <v>1988</v>
      </c>
      <c r="M1640" s="15" t="s">
        <v>4700</v>
      </c>
      <c r="N1640">
        <v>16</v>
      </c>
      <c r="O1640">
        <v>1</v>
      </c>
      <c r="P1640" s="21">
        <f>DATEVALUE(N1640&amp;"-"&amp;M1640&amp;"-"&amp;L1640)</f>
        <v>32463</v>
      </c>
      <c r="Q1640" s="22">
        <v>14358.36</v>
      </c>
      <c r="R1640" s="23" t="s">
        <v>4697</v>
      </c>
      <c r="S1640" s="23" t="s">
        <v>4697</v>
      </c>
      <c r="T1640" s="23" t="s">
        <v>4708</v>
      </c>
      <c r="U1640" s="23">
        <f>DATEDIF(P1640, DATE(2023, 6, 8), "Y")</f>
        <v>34</v>
      </c>
      <c r="V1640">
        <f>SUM(C1640:K1640)</f>
        <v>39.260000000000005</v>
      </c>
    </row>
    <row r="1641" spans="1:22" ht="15.75">
      <c r="A1641" s="28" t="s">
        <v>3280</v>
      </c>
      <c r="B1641" s="28" t="s">
        <v>3281</v>
      </c>
      <c r="C1641" s="23">
        <v>16.5</v>
      </c>
      <c r="D1641" s="23">
        <v>6.9</v>
      </c>
      <c r="E1641" s="23" t="s">
        <v>4683</v>
      </c>
      <c r="F1641" s="23" t="s">
        <v>4682</v>
      </c>
      <c r="G1641" s="23" t="s">
        <v>4682</v>
      </c>
      <c r="H1641" s="23">
        <v>2</v>
      </c>
      <c r="I1641" s="23" t="s">
        <v>4682</v>
      </c>
      <c r="J1641" s="23" t="s">
        <v>4731</v>
      </c>
      <c r="K1641" s="23" t="s">
        <v>4735</v>
      </c>
      <c r="L1641">
        <v>1963</v>
      </c>
      <c r="M1641" s="15" t="s">
        <v>4696</v>
      </c>
      <c r="N1641">
        <v>16</v>
      </c>
      <c r="O1641">
        <v>3</v>
      </c>
      <c r="P1641" s="21">
        <f>DATEVALUE(N1641&amp;"-"&amp;M1641&amp;"-"&amp;L1641)</f>
        <v>23208</v>
      </c>
      <c r="Q1641" s="22">
        <v>14382.71</v>
      </c>
      <c r="R1641" s="23" t="s">
        <v>4697</v>
      </c>
      <c r="S1641" s="23" t="s">
        <v>4697</v>
      </c>
      <c r="T1641" s="23" t="s">
        <v>4704</v>
      </c>
      <c r="U1641" s="23">
        <f>DATEDIF(P1641, DATE(2023, 6, 8), "Y")</f>
        <v>59</v>
      </c>
      <c r="V1641">
        <f>SUM(C1641:K1641)</f>
        <v>25.4</v>
      </c>
    </row>
    <row r="1642" spans="1:22" ht="15.75">
      <c r="A1642" s="28" t="s">
        <v>3282</v>
      </c>
      <c r="B1642" s="28" t="s">
        <v>3283</v>
      </c>
      <c r="C1642" s="23">
        <v>30.69</v>
      </c>
      <c r="D1642" s="23">
        <v>4.83</v>
      </c>
      <c r="E1642" s="23" t="s">
        <v>4682</v>
      </c>
      <c r="F1642" s="23" t="s">
        <v>4682</v>
      </c>
      <c r="G1642" s="23" t="s">
        <v>4682</v>
      </c>
      <c r="H1642" s="23">
        <v>1</v>
      </c>
      <c r="I1642" s="23" t="s">
        <v>4682</v>
      </c>
      <c r="J1642" s="23" t="s">
        <v>4729</v>
      </c>
      <c r="K1642" s="23" t="s">
        <v>4737</v>
      </c>
      <c r="L1642">
        <v>1965</v>
      </c>
      <c r="M1642" s="15" t="s">
        <v>4702</v>
      </c>
      <c r="N1642">
        <v>22</v>
      </c>
      <c r="O1642">
        <v>4</v>
      </c>
      <c r="P1642" s="21">
        <f>DATEVALUE(N1642&amp;"-"&amp;M1642&amp;"-"&amp;L1642)</f>
        <v>23915</v>
      </c>
      <c r="Q1642" s="22">
        <v>14394.4</v>
      </c>
      <c r="R1642" s="23" t="s">
        <v>4697</v>
      </c>
      <c r="S1642" s="23" t="s">
        <v>4698</v>
      </c>
      <c r="T1642" s="23" t="s">
        <v>4714</v>
      </c>
      <c r="U1642" s="23">
        <f>DATEDIF(P1642, DATE(2023, 6, 8), "Y")</f>
        <v>57</v>
      </c>
      <c r="V1642">
        <f>SUM(C1642:K1642)</f>
        <v>36.520000000000003</v>
      </c>
    </row>
    <row r="1643" spans="1:22" ht="15.75">
      <c r="A1643" s="28" t="s">
        <v>3284</v>
      </c>
      <c r="B1643" s="28" t="s">
        <v>3285</v>
      </c>
      <c r="C1643" s="23">
        <v>28.93</v>
      </c>
      <c r="D1643" s="23">
        <v>4.87</v>
      </c>
      <c r="E1643" s="23" t="s">
        <v>4682</v>
      </c>
      <c r="F1643" s="23" t="s">
        <v>4682</v>
      </c>
      <c r="G1643" s="23" t="s">
        <v>4682</v>
      </c>
      <c r="H1643" s="23">
        <v>1</v>
      </c>
      <c r="I1643" s="23" t="s">
        <v>4682</v>
      </c>
      <c r="J1643" s="23" t="s">
        <v>4730</v>
      </c>
      <c r="K1643" s="23" t="s">
        <v>4737</v>
      </c>
      <c r="L1643">
        <v>1958</v>
      </c>
      <c r="M1643" s="15" t="s">
        <v>4703</v>
      </c>
      <c r="N1643">
        <v>14</v>
      </c>
      <c r="O1643">
        <v>0</v>
      </c>
      <c r="P1643" s="21">
        <f>DATEVALUE(N1643&amp;"-"&amp;M1643&amp;"-"&amp;L1643)</f>
        <v>21442</v>
      </c>
      <c r="Q1643" s="22">
        <v>14394.56</v>
      </c>
      <c r="R1643" s="23" t="s">
        <v>4697</v>
      </c>
      <c r="S1643" s="23" t="s">
        <v>4701</v>
      </c>
      <c r="T1643" s="23" t="s">
        <v>4712</v>
      </c>
      <c r="U1643" s="23">
        <f>DATEDIF(P1643, DATE(2023, 6, 8), "Y")</f>
        <v>64</v>
      </c>
      <c r="V1643">
        <f>SUM(C1643:K1643)</f>
        <v>34.799999999999997</v>
      </c>
    </row>
    <row r="1644" spans="1:22" ht="15.75">
      <c r="A1644" s="28" t="s">
        <v>3286</v>
      </c>
      <c r="B1644" s="28" t="s">
        <v>3287</v>
      </c>
      <c r="C1644" s="23">
        <v>38.9</v>
      </c>
      <c r="D1644" s="23">
        <v>4.28</v>
      </c>
      <c r="E1644" s="23" t="s">
        <v>4682</v>
      </c>
      <c r="F1644" s="23" t="s">
        <v>4682</v>
      </c>
      <c r="G1644" s="23" t="s">
        <v>4682</v>
      </c>
      <c r="H1644" s="23">
        <v>0</v>
      </c>
      <c r="I1644" s="23" t="s">
        <v>4682</v>
      </c>
      <c r="J1644" s="23" t="s">
        <v>4729</v>
      </c>
      <c r="K1644" s="23" t="s">
        <v>4737</v>
      </c>
      <c r="L1644">
        <v>1958</v>
      </c>
      <c r="M1644" s="15" t="s">
        <v>4696</v>
      </c>
      <c r="N1644">
        <v>29</v>
      </c>
      <c r="O1644">
        <v>0</v>
      </c>
      <c r="P1644" s="21">
        <f>DATEVALUE(N1644&amp;"-"&amp;M1644&amp;"-"&amp;L1644)</f>
        <v>21395</v>
      </c>
      <c r="Q1644" s="22">
        <v>14410.93</v>
      </c>
      <c r="R1644" s="23" t="s">
        <v>4697</v>
      </c>
      <c r="S1644" s="23" t="s">
        <v>4697</v>
      </c>
      <c r="T1644" s="23" t="s">
        <v>4711</v>
      </c>
      <c r="U1644" s="23">
        <f>DATEDIF(P1644, DATE(2023, 6, 8), "Y")</f>
        <v>64</v>
      </c>
      <c r="V1644">
        <f>SUM(C1644:K1644)</f>
        <v>43.18</v>
      </c>
    </row>
    <row r="1645" spans="1:22" ht="15.75">
      <c r="A1645" s="28" t="s">
        <v>3288</v>
      </c>
      <c r="B1645" s="28" t="s">
        <v>3289</v>
      </c>
      <c r="C1645" s="23">
        <v>26.9</v>
      </c>
      <c r="D1645" s="23">
        <v>4.07</v>
      </c>
      <c r="E1645" s="23" t="s">
        <v>4682</v>
      </c>
      <c r="F1645" s="23" t="s">
        <v>4682</v>
      </c>
      <c r="G1645" s="23" t="s">
        <v>4682</v>
      </c>
      <c r="H1645" s="23">
        <v>0</v>
      </c>
      <c r="I1645" s="23" t="s">
        <v>4682</v>
      </c>
      <c r="J1645" s="23" t="s">
        <v>4730</v>
      </c>
      <c r="K1645" s="23" t="s">
        <v>4737</v>
      </c>
      <c r="L1645">
        <v>1958</v>
      </c>
      <c r="M1645" s="15" t="s">
        <v>4703</v>
      </c>
      <c r="N1645">
        <v>20</v>
      </c>
      <c r="O1645">
        <v>1</v>
      </c>
      <c r="P1645" s="21">
        <f>DATEVALUE(N1645&amp;"-"&amp;M1645&amp;"-"&amp;L1645)</f>
        <v>21448</v>
      </c>
      <c r="Q1645" s="22">
        <v>14418.28</v>
      </c>
      <c r="R1645" s="23" t="s">
        <v>4697</v>
      </c>
      <c r="S1645" s="23" t="s">
        <v>4698</v>
      </c>
      <c r="T1645" s="23" t="s">
        <v>4699</v>
      </c>
      <c r="U1645" s="23">
        <f>DATEDIF(P1645, DATE(2023, 6, 8), "Y")</f>
        <v>64</v>
      </c>
      <c r="V1645">
        <f>SUM(C1645:K1645)</f>
        <v>30.97</v>
      </c>
    </row>
    <row r="1646" spans="1:22" ht="15.75">
      <c r="A1646" s="28" t="s">
        <v>3290</v>
      </c>
      <c r="B1646" s="28" t="s">
        <v>3291</v>
      </c>
      <c r="C1646" s="23">
        <v>24.86</v>
      </c>
      <c r="D1646" s="23">
        <v>6.23</v>
      </c>
      <c r="E1646" s="23" t="s">
        <v>4682</v>
      </c>
      <c r="F1646" s="23" t="s">
        <v>4682</v>
      </c>
      <c r="G1646" s="23" t="s">
        <v>4682</v>
      </c>
      <c r="H1646" s="23">
        <v>0</v>
      </c>
      <c r="I1646" s="23" t="s">
        <v>4682</v>
      </c>
      <c r="J1646" s="23" t="s">
        <v>4728</v>
      </c>
      <c r="K1646" s="23" t="s">
        <v>4736</v>
      </c>
      <c r="L1646">
        <v>1999</v>
      </c>
      <c r="M1646" s="15" t="s">
        <v>4706</v>
      </c>
      <c r="N1646">
        <v>10</v>
      </c>
      <c r="O1646">
        <v>2</v>
      </c>
      <c r="P1646" s="21">
        <f>DATEVALUE(N1646&amp;"-"&amp;M1646&amp;"-"&amp;L1646)</f>
        <v>36382</v>
      </c>
      <c r="Q1646" s="22">
        <v>14426.07</v>
      </c>
      <c r="R1646" s="23" t="s">
        <v>4697</v>
      </c>
      <c r="S1646" s="23" t="s">
        <v>4701</v>
      </c>
      <c r="T1646" s="23" t="s">
        <v>4704</v>
      </c>
      <c r="U1646" s="23">
        <f>DATEDIF(P1646, DATE(2023, 6, 8), "Y")</f>
        <v>23</v>
      </c>
      <c r="V1646">
        <f>SUM(C1646:K1646)</f>
        <v>31.09</v>
      </c>
    </row>
    <row r="1647" spans="1:22" ht="15.75">
      <c r="A1647" s="28" t="s">
        <v>3292</v>
      </c>
      <c r="B1647" s="28" t="s">
        <v>3293</v>
      </c>
      <c r="C1647" s="23">
        <v>39.14</v>
      </c>
      <c r="D1647" s="23">
        <v>6.24</v>
      </c>
      <c r="E1647" s="23" t="s">
        <v>4682</v>
      </c>
      <c r="F1647" s="23" t="s">
        <v>4683</v>
      </c>
      <c r="G1647" s="23" t="s">
        <v>4682</v>
      </c>
      <c r="H1647" s="23">
        <v>1</v>
      </c>
      <c r="I1647" s="23" t="s">
        <v>4682</v>
      </c>
      <c r="J1647" s="23" t="s">
        <v>4729</v>
      </c>
      <c r="K1647" s="23" t="s">
        <v>4736</v>
      </c>
      <c r="L1647">
        <v>1967</v>
      </c>
      <c r="M1647" s="15" t="s">
        <v>4706</v>
      </c>
      <c r="N1647">
        <v>15</v>
      </c>
      <c r="O1647">
        <v>0</v>
      </c>
      <c r="P1647" s="21">
        <f>DATEVALUE(N1647&amp;"-"&amp;M1647&amp;"-"&amp;L1647)</f>
        <v>24699</v>
      </c>
      <c r="Q1647" s="22">
        <v>14426.66</v>
      </c>
      <c r="R1647" s="23" t="s">
        <v>4697</v>
      </c>
      <c r="S1647" s="23" t="s">
        <v>4697</v>
      </c>
      <c r="T1647" s="23" t="s">
        <v>4720</v>
      </c>
      <c r="U1647" s="23">
        <f>DATEDIF(P1647, DATE(2023, 6, 8), "Y")</f>
        <v>55</v>
      </c>
      <c r="V1647">
        <f>SUM(C1647:K1647)</f>
        <v>46.38</v>
      </c>
    </row>
    <row r="1648" spans="1:22" ht="15.75">
      <c r="A1648" s="28" t="s">
        <v>3294</v>
      </c>
      <c r="B1648" s="28" t="s">
        <v>3295</v>
      </c>
      <c r="C1648" s="23">
        <v>39.799999999999997</v>
      </c>
      <c r="D1648" s="23">
        <v>6.17</v>
      </c>
      <c r="E1648" s="23" t="s">
        <v>4682</v>
      </c>
      <c r="F1648" s="23" t="s">
        <v>4682</v>
      </c>
      <c r="G1648" s="23" t="s">
        <v>4684</v>
      </c>
      <c r="H1648" s="23">
        <v>1</v>
      </c>
      <c r="I1648" s="23" t="s">
        <v>4682</v>
      </c>
      <c r="J1648" s="23" t="s">
        <v>4729</v>
      </c>
      <c r="K1648" s="23" t="s">
        <v>4736</v>
      </c>
      <c r="L1648">
        <v>1967</v>
      </c>
      <c r="M1648" s="15" t="s">
        <v>4700</v>
      </c>
      <c r="N1648">
        <v>4</v>
      </c>
      <c r="O1648">
        <v>0</v>
      </c>
      <c r="P1648" s="21">
        <f>DATEVALUE(N1648&amp;"-"&amp;M1648&amp;"-"&amp;L1648)</f>
        <v>24780</v>
      </c>
      <c r="Q1648" s="22">
        <v>14427.63</v>
      </c>
      <c r="R1648" s="23" t="s">
        <v>4697</v>
      </c>
      <c r="S1648" s="23" t="s">
        <v>4697</v>
      </c>
      <c r="T1648" s="23" t="s">
        <v>4717</v>
      </c>
      <c r="U1648" s="23">
        <f>DATEDIF(P1648, DATE(2023, 6, 8), "Y")</f>
        <v>55</v>
      </c>
      <c r="V1648">
        <f>SUM(C1648:K1648)</f>
        <v>46.97</v>
      </c>
    </row>
    <row r="1649" spans="1:22" ht="15.75">
      <c r="A1649" s="28" t="s">
        <v>3296</v>
      </c>
      <c r="B1649" s="28" t="s">
        <v>3297</v>
      </c>
      <c r="C1649" s="23">
        <v>34.32</v>
      </c>
      <c r="D1649" s="23">
        <v>5.16</v>
      </c>
      <c r="E1649" s="23" t="s">
        <v>4682</v>
      </c>
      <c r="F1649" s="23" t="s">
        <v>4682</v>
      </c>
      <c r="G1649" s="23" t="s">
        <v>4682</v>
      </c>
      <c r="H1649" s="23">
        <v>1</v>
      </c>
      <c r="I1649" s="23" t="s">
        <v>4682</v>
      </c>
      <c r="J1649" s="23" t="s">
        <v>4729</v>
      </c>
      <c r="K1649" s="23" t="s">
        <v>4737</v>
      </c>
      <c r="L1649">
        <v>1959</v>
      </c>
      <c r="M1649" s="15" t="s">
        <v>4702</v>
      </c>
      <c r="N1649">
        <v>29</v>
      </c>
      <c r="O1649">
        <v>0</v>
      </c>
      <c r="P1649" s="21">
        <f>DATEVALUE(N1649&amp;"-"&amp;M1649&amp;"-"&amp;L1649)</f>
        <v>21730</v>
      </c>
      <c r="Q1649" s="22">
        <v>14449.85</v>
      </c>
      <c r="R1649" s="23" t="s">
        <v>4697</v>
      </c>
      <c r="S1649" s="23" t="s">
        <v>4701</v>
      </c>
      <c r="T1649" s="23" t="s">
        <v>4714</v>
      </c>
      <c r="U1649" s="23">
        <f>DATEDIF(P1649, DATE(2023, 6, 8), "Y")</f>
        <v>63</v>
      </c>
      <c r="V1649">
        <f>SUM(C1649:K1649)</f>
        <v>40.480000000000004</v>
      </c>
    </row>
    <row r="1650" spans="1:22" ht="15.75">
      <c r="A1650" s="28" t="s">
        <v>3298</v>
      </c>
      <c r="B1650" s="28" t="s">
        <v>3299</v>
      </c>
      <c r="C1650" s="23">
        <v>32.51</v>
      </c>
      <c r="D1650" s="23">
        <v>4.3</v>
      </c>
      <c r="E1650" s="23" t="s">
        <v>4682</v>
      </c>
      <c r="F1650" s="23" t="s">
        <v>4682</v>
      </c>
      <c r="G1650" s="23" t="s">
        <v>4682</v>
      </c>
      <c r="H1650" s="23">
        <v>0</v>
      </c>
      <c r="I1650" s="23" t="s">
        <v>4682</v>
      </c>
      <c r="J1650" s="23" t="s">
        <v>4729</v>
      </c>
      <c r="K1650" s="23" t="s">
        <v>4737</v>
      </c>
      <c r="L1650">
        <v>1959</v>
      </c>
      <c r="M1650" s="15" t="s">
        <v>4706</v>
      </c>
      <c r="N1650">
        <v>3</v>
      </c>
      <c r="O1650">
        <v>0</v>
      </c>
      <c r="P1650" s="21">
        <f>DATEVALUE(N1650&amp;"-"&amp;M1650&amp;"-"&amp;L1650)</f>
        <v>21765</v>
      </c>
      <c r="Q1650" s="22">
        <v>14451.84</v>
      </c>
      <c r="R1650" s="23" t="s">
        <v>4697</v>
      </c>
      <c r="S1650" s="23" t="s">
        <v>4698</v>
      </c>
      <c r="T1650" s="23" t="s">
        <v>4715</v>
      </c>
      <c r="U1650" s="23">
        <f>DATEDIF(P1650, DATE(2023, 6, 8), "Y")</f>
        <v>63</v>
      </c>
      <c r="V1650">
        <f>SUM(C1650:K1650)</f>
        <v>36.809999999999995</v>
      </c>
    </row>
    <row r="1651" spans="1:22" ht="15.75">
      <c r="A1651" s="28" t="s">
        <v>3300</v>
      </c>
      <c r="B1651" s="28" t="s">
        <v>3301</v>
      </c>
      <c r="C1651" s="23">
        <v>30.71</v>
      </c>
      <c r="D1651" s="23">
        <v>6.14</v>
      </c>
      <c r="E1651" s="23" t="s">
        <v>4682</v>
      </c>
      <c r="F1651" s="23" t="s">
        <v>4682</v>
      </c>
      <c r="G1651" s="23" t="s">
        <v>4684</v>
      </c>
      <c r="H1651" s="23">
        <v>1</v>
      </c>
      <c r="I1651" s="23" t="s">
        <v>4682</v>
      </c>
      <c r="J1651" s="23" t="s">
        <v>4729</v>
      </c>
      <c r="K1651" s="23" t="s">
        <v>4736</v>
      </c>
      <c r="L1651">
        <v>1996</v>
      </c>
      <c r="M1651" s="15" t="s">
        <v>4700</v>
      </c>
      <c r="N1651">
        <v>10</v>
      </c>
      <c r="O1651">
        <v>2</v>
      </c>
      <c r="P1651" s="21">
        <f>DATEVALUE(N1651&amp;"-"&amp;M1651&amp;"-"&amp;L1651)</f>
        <v>35379</v>
      </c>
      <c r="Q1651" s="22">
        <v>14455.64</v>
      </c>
      <c r="R1651" s="23" t="s">
        <v>4697</v>
      </c>
      <c r="S1651" s="23" t="s">
        <v>4698</v>
      </c>
      <c r="T1651" s="23" t="s">
        <v>4714</v>
      </c>
      <c r="U1651" s="23">
        <f>DATEDIF(P1651, DATE(2023, 6, 8), "Y")</f>
        <v>26</v>
      </c>
      <c r="V1651">
        <f>SUM(C1651:K1651)</f>
        <v>37.85</v>
      </c>
    </row>
    <row r="1652" spans="1:22" ht="15.75">
      <c r="A1652" s="28" t="s">
        <v>3302</v>
      </c>
      <c r="B1652" s="28" t="s">
        <v>3303</v>
      </c>
      <c r="C1652" s="23">
        <v>28.9</v>
      </c>
      <c r="D1652" s="23">
        <v>5.36</v>
      </c>
      <c r="E1652" s="23" t="s">
        <v>4682</v>
      </c>
      <c r="F1652" s="23" t="s">
        <v>4682</v>
      </c>
      <c r="G1652" s="23" t="s">
        <v>4682</v>
      </c>
      <c r="H1652" s="23">
        <v>1</v>
      </c>
      <c r="I1652" s="23" t="s">
        <v>4682</v>
      </c>
      <c r="J1652" s="23" t="s">
        <v>4730</v>
      </c>
      <c r="K1652" s="23" t="s">
        <v>4737</v>
      </c>
      <c r="L1652">
        <v>1976</v>
      </c>
      <c r="M1652" s="15" t="s">
        <v>4700</v>
      </c>
      <c r="N1652">
        <v>27</v>
      </c>
      <c r="O1652">
        <v>2</v>
      </c>
      <c r="P1652" s="21">
        <f>DATEVALUE(N1652&amp;"-"&amp;M1652&amp;"-"&amp;L1652)</f>
        <v>28091</v>
      </c>
      <c r="Q1652" s="22">
        <v>14470.01</v>
      </c>
      <c r="R1652" s="23" t="s">
        <v>4697</v>
      </c>
      <c r="S1652" s="23" t="s">
        <v>4698</v>
      </c>
      <c r="T1652" s="23" t="s">
        <v>4704</v>
      </c>
      <c r="U1652" s="23">
        <f>DATEDIF(P1652, DATE(2023, 6, 8), "Y")</f>
        <v>46</v>
      </c>
      <c r="V1652">
        <f>SUM(C1652:K1652)</f>
        <v>35.26</v>
      </c>
    </row>
    <row r="1653" spans="1:22" ht="15.75">
      <c r="A1653" s="28" t="s">
        <v>3304</v>
      </c>
      <c r="B1653" s="28" t="s">
        <v>3305</v>
      </c>
      <c r="C1653" s="23">
        <v>36.19</v>
      </c>
      <c r="D1653" s="23">
        <v>4.3</v>
      </c>
      <c r="E1653" s="23" t="s">
        <v>4682</v>
      </c>
      <c r="F1653" s="23" t="s">
        <v>4682</v>
      </c>
      <c r="G1653" s="23" t="s">
        <v>4682</v>
      </c>
      <c r="H1653" s="23">
        <v>0</v>
      </c>
      <c r="I1653" s="23" t="s">
        <v>4682</v>
      </c>
      <c r="J1653" s="23" t="s">
        <v>4729</v>
      </c>
      <c r="K1653" s="23" t="s">
        <v>4737</v>
      </c>
      <c r="L1653">
        <v>1959</v>
      </c>
      <c r="M1653" s="15" t="s">
        <v>4700</v>
      </c>
      <c r="N1653">
        <v>20</v>
      </c>
      <c r="O1653">
        <v>1</v>
      </c>
      <c r="P1653" s="21">
        <f>DATEVALUE(N1653&amp;"-"&amp;M1653&amp;"-"&amp;L1653)</f>
        <v>21874</v>
      </c>
      <c r="Q1653" s="22">
        <v>14474.68</v>
      </c>
      <c r="R1653" s="23" t="s">
        <v>4697</v>
      </c>
      <c r="S1653" s="23" t="s">
        <v>4697</v>
      </c>
      <c r="T1653" s="23" t="s">
        <v>4699</v>
      </c>
      <c r="U1653" s="23">
        <f>DATEDIF(P1653, DATE(2023, 6, 8), "Y")</f>
        <v>63</v>
      </c>
      <c r="V1653">
        <f>SUM(C1653:K1653)</f>
        <v>40.489999999999995</v>
      </c>
    </row>
    <row r="1654" spans="1:22" ht="15.75">
      <c r="A1654" s="28" t="s">
        <v>3306</v>
      </c>
      <c r="B1654" s="28" t="s">
        <v>3307</v>
      </c>
      <c r="C1654" s="23">
        <v>29.6</v>
      </c>
      <c r="D1654" s="23">
        <v>4.09</v>
      </c>
      <c r="E1654" s="23" t="s">
        <v>4682</v>
      </c>
      <c r="F1654" s="23" t="s">
        <v>4682</v>
      </c>
      <c r="G1654" s="23" t="s">
        <v>4682</v>
      </c>
      <c r="H1654" s="23">
        <v>0</v>
      </c>
      <c r="I1654" s="23" t="s">
        <v>4682</v>
      </c>
      <c r="J1654" s="23" t="s">
        <v>4730</v>
      </c>
      <c r="K1654" s="23" t="s">
        <v>4737</v>
      </c>
      <c r="L1654">
        <v>1979</v>
      </c>
      <c r="M1654" s="15" t="s">
        <v>4707</v>
      </c>
      <c r="N1654">
        <v>20</v>
      </c>
      <c r="O1654">
        <v>5</v>
      </c>
      <c r="P1654" s="21">
        <f>DATEVALUE(N1654&amp;"-"&amp;M1654&amp;"-"&amp;L1654)</f>
        <v>29148</v>
      </c>
      <c r="Q1654" s="22">
        <v>14478.33</v>
      </c>
      <c r="R1654" s="23" t="s">
        <v>4697</v>
      </c>
      <c r="S1654" s="23" t="s">
        <v>4697</v>
      </c>
      <c r="T1654" s="23" t="s">
        <v>4699</v>
      </c>
      <c r="U1654" s="23">
        <f>DATEDIF(P1654, DATE(2023, 6, 8), "Y")</f>
        <v>43</v>
      </c>
      <c r="V1654">
        <f>SUM(C1654:K1654)</f>
        <v>33.69</v>
      </c>
    </row>
    <row r="1655" spans="1:22" ht="15.75">
      <c r="A1655" s="28" t="s">
        <v>3308</v>
      </c>
      <c r="B1655" s="28" t="s">
        <v>3309</v>
      </c>
      <c r="C1655" s="23">
        <v>30.95</v>
      </c>
      <c r="D1655" s="23">
        <v>6.27</v>
      </c>
      <c r="E1655" s="23" t="s">
        <v>4682</v>
      </c>
      <c r="F1655" s="23" t="s">
        <v>4682</v>
      </c>
      <c r="G1655" s="23" t="s">
        <v>4684</v>
      </c>
      <c r="H1655" s="23">
        <v>1</v>
      </c>
      <c r="I1655" s="23" t="s">
        <v>4682</v>
      </c>
      <c r="J1655" s="23" t="s">
        <v>4729</v>
      </c>
      <c r="K1655" s="23" t="s">
        <v>4736</v>
      </c>
      <c r="L1655">
        <v>1989</v>
      </c>
      <c r="M1655" s="15" t="s">
        <v>4696</v>
      </c>
      <c r="N1655">
        <v>22</v>
      </c>
      <c r="O1655">
        <v>3</v>
      </c>
      <c r="P1655" s="21">
        <f>DATEVALUE(N1655&amp;"-"&amp;M1655&amp;"-"&amp;L1655)</f>
        <v>32711</v>
      </c>
      <c r="Q1655" s="22">
        <v>14507.46</v>
      </c>
      <c r="R1655" s="23" t="s">
        <v>4697</v>
      </c>
      <c r="S1655" s="23" t="s">
        <v>4698</v>
      </c>
      <c r="T1655" s="23" t="s">
        <v>4704</v>
      </c>
      <c r="U1655" s="23">
        <f>DATEDIF(P1655, DATE(2023, 6, 8), "Y")</f>
        <v>33</v>
      </c>
      <c r="V1655">
        <f>SUM(C1655:K1655)</f>
        <v>38.22</v>
      </c>
    </row>
    <row r="1656" spans="1:22" ht="15.75">
      <c r="A1656" s="28" t="s">
        <v>3310</v>
      </c>
      <c r="B1656" s="28" t="s">
        <v>3311</v>
      </c>
      <c r="C1656" s="23">
        <v>19.95</v>
      </c>
      <c r="D1656" s="23">
        <v>5.39</v>
      </c>
      <c r="E1656" s="23" t="s">
        <v>4682</v>
      </c>
      <c r="F1656" s="23" t="s">
        <v>4682</v>
      </c>
      <c r="G1656" s="23" t="s">
        <v>4682</v>
      </c>
      <c r="H1656" s="23">
        <v>1</v>
      </c>
      <c r="I1656" s="23" t="s">
        <v>4682</v>
      </c>
      <c r="J1656" s="23" t="s">
        <v>4728</v>
      </c>
      <c r="K1656" s="23" t="s">
        <v>4737</v>
      </c>
      <c r="L1656">
        <v>1989</v>
      </c>
      <c r="M1656" s="15" t="s">
        <v>4696</v>
      </c>
      <c r="N1656">
        <v>14</v>
      </c>
      <c r="O1656">
        <v>3</v>
      </c>
      <c r="P1656" s="21">
        <f>DATEVALUE(N1656&amp;"-"&amp;M1656&amp;"-"&amp;L1656)</f>
        <v>32703</v>
      </c>
      <c r="Q1656" s="22">
        <v>14547.26</v>
      </c>
      <c r="R1656" s="23" t="s">
        <v>4697</v>
      </c>
      <c r="S1656" s="23" t="s">
        <v>4698</v>
      </c>
      <c r="T1656" s="23" t="s">
        <v>4708</v>
      </c>
      <c r="U1656" s="23">
        <f>DATEDIF(P1656, DATE(2023, 6, 8), "Y")</f>
        <v>33</v>
      </c>
      <c r="V1656">
        <f>SUM(C1656:K1656)</f>
        <v>26.34</v>
      </c>
    </row>
    <row r="1657" spans="1:22" ht="15.75">
      <c r="A1657" s="28" t="s">
        <v>3312</v>
      </c>
      <c r="B1657" s="28" t="s">
        <v>3313</v>
      </c>
      <c r="C1657" s="23">
        <v>23.65</v>
      </c>
      <c r="D1657" s="23">
        <v>5.75</v>
      </c>
      <c r="E1657" s="23" t="s">
        <v>4683</v>
      </c>
      <c r="F1657" s="23" t="s">
        <v>4682</v>
      </c>
      <c r="G1657" s="23" t="s">
        <v>4682</v>
      </c>
      <c r="H1657" s="23">
        <v>0</v>
      </c>
      <c r="I1657" s="23" t="s">
        <v>4682</v>
      </c>
      <c r="J1657" s="23" t="s">
        <v>4728</v>
      </c>
      <c r="K1657" s="23" t="s">
        <v>4736</v>
      </c>
      <c r="L1657">
        <v>1998</v>
      </c>
      <c r="M1657" s="15" t="s">
        <v>4703</v>
      </c>
      <c r="N1657">
        <v>12</v>
      </c>
      <c r="O1657">
        <v>0</v>
      </c>
      <c r="P1657" s="21">
        <f>DATEVALUE(N1657&amp;"-"&amp;M1657&amp;"-"&amp;L1657)</f>
        <v>36050</v>
      </c>
      <c r="Q1657" s="22">
        <v>14571.89</v>
      </c>
      <c r="R1657" s="23" t="s">
        <v>4697</v>
      </c>
      <c r="S1657" s="23" t="s">
        <v>4701</v>
      </c>
      <c r="T1657" s="23" t="s">
        <v>4714</v>
      </c>
      <c r="U1657" s="23">
        <f>DATEDIF(P1657, DATE(2023, 6, 8), "Y")</f>
        <v>24</v>
      </c>
      <c r="V1657">
        <f>SUM(C1657:K1657)</f>
        <v>29.4</v>
      </c>
    </row>
    <row r="1658" spans="1:22" ht="15.75">
      <c r="A1658" s="28" t="s">
        <v>3314</v>
      </c>
      <c r="B1658" s="28" t="s">
        <v>3315</v>
      </c>
      <c r="C1658" s="23">
        <v>43.34</v>
      </c>
      <c r="D1658" s="23">
        <v>4.91</v>
      </c>
      <c r="E1658" s="23" t="s">
        <v>4682</v>
      </c>
      <c r="F1658" s="23" t="s">
        <v>4682</v>
      </c>
      <c r="G1658" s="23" t="s">
        <v>4682</v>
      </c>
      <c r="H1658" s="23">
        <v>1</v>
      </c>
      <c r="I1658" s="23" t="s">
        <v>4682</v>
      </c>
      <c r="J1658" s="23" t="s">
        <v>4729</v>
      </c>
      <c r="K1658" s="23" t="s">
        <v>4737</v>
      </c>
      <c r="L1658">
        <v>1962</v>
      </c>
      <c r="M1658" s="15" t="s">
        <v>4705</v>
      </c>
      <c r="N1658">
        <v>3</v>
      </c>
      <c r="O1658">
        <v>0</v>
      </c>
      <c r="P1658" s="21">
        <f>DATEVALUE(N1658&amp;"-"&amp;M1658&amp;"-"&amp;L1658)</f>
        <v>22983</v>
      </c>
      <c r="Q1658" s="22">
        <v>14574.64</v>
      </c>
      <c r="R1658" s="23" t="s">
        <v>4697</v>
      </c>
      <c r="S1658" s="23" t="s">
        <v>4701</v>
      </c>
      <c r="T1658" s="23" t="s">
        <v>4713</v>
      </c>
      <c r="U1658" s="23">
        <f>DATEDIF(P1658, DATE(2023, 6, 8), "Y")</f>
        <v>60</v>
      </c>
      <c r="V1658">
        <f>SUM(C1658:K1658)</f>
        <v>49.25</v>
      </c>
    </row>
    <row r="1659" spans="1:22" ht="15.75">
      <c r="A1659" s="28" t="s">
        <v>3316</v>
      </c>
      <c r="B1659" s="28" t="s">
        <v>3317</v>
      </c>
      <c r="C1659" s="23">
        <v>31.98</v>
      </c>
      <c r="D1659" s="23">
        <v>4.46</v>
      </c>
      <c r="E1659" s="23" t="s">
        <v>4683</v>
      </c>
      <c r="F1659" s="23" t="s">
        <v>4682</v>
      </c>
      <c r="G1659" s="23" t="s">
        <v>4682</v>
      </c>
      <c r="H1659" s="23">
        <v>1</v>
      </c>
      <c r="I1659" s="23" t="s">
        <v>4682</v>
      </c>
      <c r="J1659" s="23" t="s">
        <v>4729</v>
      </c>
      <c r="K1659" s="23" t="s">
        <v>4737</v>
      </c>
      <c r="L1659">
        <v>1963</v>
      </c>
      <c r="M1659" s="15" t="s">
        <v>4707</v>
      </c>
      <c r="N1659">
        <v>14</v>
      </c>
      <c r="O1659">
        <v>3</v>
      </c>
      <c r="P1659" s="21">
        <f>DATEVALUE(N1659&amp;"-"&amp;M1659&amp;"-"&amp;L1659)</f>
        <v>23298</v>
      </c>
      <c r="Q1659" s="22">
        <v>14590.63</v>
      </c>
      <c r="R1659" s="23" t="s">
        <v>4697</v>
      </c>
      <c r="S1659" s="23" t="s">
        <v>4701</v>
      </c>
      <c r="T1659" s="23" t="s">
        <v>4714</v>
      </c>
      <c r="U1659" s="23">
        <f>DATEDIF(P1659, DATE(2023, 6, 8), "Y")</f>
        <v>59</v>
      </c>
      <c r="V1659">
        <f>SUM(C1659:K1659)</f>
        <v>37.44</v>
      </c>
    </row>
    <row r="1660" spans="1:22" ht="15.75">
      <c r="A1660" s="28" t="s">
        <v>3318</v>
      </c>
      <c r="B1660" s="28" t="s">
        <v>3319</v>
      </c>
      <c r="C1660" s="23">
        <v>35.86</v>
      </c>
      <c r="D1660" s="23">
        <v>6.22</v>
      </c>
      <c r="E1660" s="23" t="s">
        <v>4682</v>
      </c>
      <c r="F1660" s="23" t="s">
        <v>4682</v>
      </c>
      <c r="G1660" s="23" t="s">
        <v>4682</v>
      </c>
      <c r="H1660" s="23">
        <v>1</v>
      </c>
      <c r="I1660" s="23" t="s">
        <v>4682</v>
      </c>
      <c r="J1660" s="23" t="s">
        <v>4729</v>
      </c>
      <c r="K1660" s="23" t="s">
        <v>4736</v>
      </c>
      <c r="L1660">
        <v>1967</v>
      </c>
      <c r="M1660" s="15" t="s">
        <v>4696</v>
      </c>
      <c r="N1660">
        <v>18</v>
      </c>
      <c r="O1660">
        <v>0</v>
      </c>
      <c r="P1660" s="21">
        <f>DATEVALUE(N1660&amp;"-"&amp;M1660&amp;"-"&amp;L1660)</f>
        <v>24671</v>
      </c>
      <c r="Q1660" s="22">
        <v>14600.62</v>
      </c>
      <c r="R1660" s="23" t="s">
        <v>4697</v>
      </c>
      <c r="S1660" s="23" t="s">
        <v>4698</v>
      </c>
      <c r="T1660" s="23" t="s">
        <v>4721</v>
      </c>
      <c r="U1660" s="23">
        <f>DATEDIF(P1660, DATE(2023, 6, 8), "Y")</f>
        <v>55</v>
      </c>
      <c r="V1660">
        <f>SUM(C1660:K1660)</f>
        <v>43.08</v>
      </c>
    </row>
    <row r="1661" spans="1:22" ht="15.75">
      <c r="A1661" s="28" t="s">
        <v>3320</v>
      </c>
      <c r="B1661" s="28" t="s">
        <v>3321</v>
      </c>
      <c r="C1661" s="23">
        <v>15.2</v>
      </c>
      <c r="D1661" s="23">
        <v>8.82</v>
      </c>
      <c r="E1661" s="23" t="s">
        <v>4682</v>
      </c>
      <c r="F1661" s="23" t="s">
        <v>4682</v>
      </c>
      <c r="G1661" s="23" t="s">
        <v>4682</v>
      </c>
      <c r="H1661" s="23">
        <v>0</v>
      </c>
      <c r="I1661" s="23" t="s">
        <v>4682</v>
      </c>
      <c r="J1661" s="23" t="s">
        <v>4731</v>
      </c>
      <c r="K1661" s="23" t="s">
        <v>4735</v>
      </c>
      <c r="L1661">
        <v>1965</v>
      </c>
      <c r="M1661" s="15" t="s">
        <v>4700</v>
      </c>
      <c r="N1661">
        <v>8</v>
      </c>
      <c r="O1661">
        <v>0</v>
      </c>
      <c r="P1661" s="21">
        <f>DATEVALUE(N1661&amp;"-"&amp;M1661&amp;"-"&amp;L1661)</f>
        <v>24054</v>
      </c>
      <c r="Q1661" s="22">
        <v>14612.33</v>
      </c>
      <c r="R1661" s="23" t="s">
        <v>4697</v>
      </c>
      <c r="S1661" s="23" t="s">
        <v>4698</v>
      </c>
      <c r="T1661" s="23" t="s">
        <v>4717</v>
      </c>
      <c r="U1661" s="23">
        <f>DATEDIF(P1661, DATE(2023, 6, 8), "Y")</f>
        <v>57</v>
      </c>
      <c r="V1661">
        <f>SUM(C1661:K1661)</f>
        <v>24.02</v>
      </c>
    </row>
    <row r="1662" spans="1:22" ht="15.75">
      <c r="A1662" s="28" t="s">
        <v>3322</v>
      </c>
      <c r="B1662" s="28" t="s">
        <v>3323</v>
      </c>
      <c r="C1662" s="23">
        <v>37.200000000000003</v>
      </c>
      <c r="D1662" s="23">
        <v>10.14</v>
      </c>
      <c r="E1662" s="23" t="s">
        <v>4682</v>
      </c>
      <c r="F1662" s="23" t="s">
        <v>4682</v>
      </c>
      <c r="G1662" s="23" t="s">
        <v>4682</v>
      </c>
      <c r="H1662" s="23">
        <v>0</v>
      </c>
      <c r="I1662" s="23" t="s">
        <v>4682</v>
      </c>
      <c r="J1662" s="23" t="s">
        <v>4729</v>
      </c>
      <c r="K1662" s="23" t="s">
        <v>4735</v>
      </c>
      <c r="L1662">
        <v>1991</v>
      </c>
      <c r="M1662" s="15" t="s">
        <v>4706</v>
      </c>
      <c r="N1662">
        <v>21</v>
      </c>
      <c r="O1662">
        <v>3</v>
      </c>
      <c r="P1662" s="21">
        <f>DATEVALUE(N1662&amp;"-"&amp;M1662&amp;"-"&amp;L1662)</f>
        <v>33471</v>
      </c>
      <c r="Q1662" s="22">
        <v>14630.52</v>
      </c>
      <c r="R1662" s="23" t="s">
        <v>4697</v>
      </c>
      <c r="S1662" s="23" t="s">
        <v>4698</v>
      </c>
      <c r="T1662" s="23" t="s">
        <v>4708</v>
      </c>
      <c r="U1662" s="23">
        <f>DATEDIF(P1662, DATE(2023, 6, 8), "Y")</f>
        <v>31</v>
      </c>
      <c r="V1662">
        <f>SUM(C1662:K1662)</f>
        <v>47.34</v>
      </c>
    </row>
    <row r="1663" spans="1:22" ht="15.75">
      <c r="A1663" s="28" t="s">
        <v>3324</v>
      </c>
      <c r="B1663" s="28" t="s">
        <v>3325</v>
      </c>
      <c r="C1663" s="23">
        <v>17.91</v>
      </c>
      <c r="D1663" s="23">
        <v>4.66</v>
      </c>
      <c r="E1663" s="23" t="s">
        <v>4682</v>
      </c>
      <c r="F1663" s="23" t="s">
        <v>4682</v>
      </c>
      <c r="G1663" s="23" t="s">
        <v>4682</v>
      </c>
      <c r="H1663" s="23">
        <v>2</v>
      </c>
      <c r="I1663" s="23" t="s">
        <v>4682</v>
      </c>
      <c r="J1663" s="23" t="s">
        <v>4731</v>
      </c>
      <c r="K1663" s="23" t="s">
        <v>4737</v>
      </c>
      <c r="L1663">
        <v>1967</v>
      </c>
      <c r="M1663" s="15" t="s">
        <v>4703</v>
      </c>
      <c r="N1663">
        <v>1</v>
      </c>
      <c r="O1663">
        <v>0</v>
      </c>
      <c r="P1663" s="21">
        <f>DATEVALUE(N1663&amp;"-"&amp;M1663&amp;"-"&amp;L1663)</f>
        <v>24716</v>
      </c>
      <c r="Q1663" s="22">
        <v>14640.35</v>
      </c>
      <c r="R1663" s="23" t="s">
        <v>4697</v>
      </c>
      <c r="S1663" s="23" t="s">
        <v>4698</v>
      </c>
      <c r="T1663" s="23" t="s">
        <v>4720</v>
      </c>
      <c r="U1663" s="23">
        <f>DATEDIF(P1663, DATE(2023, 6, 8), "Y")</f>
        <v>55</v>
      </c>
      <c r="V1663">
        <f>SUM(C1663:K1663)</f>
        <v>24.57</v>
      </c>
    </row>
    <row r="1664" spans="1:22" ht="15.75">
      <c r="A1664" s="28" t="s">
        <v>3326</v>
      </c>
      <c r="B1664" s="28" t="s">
        <v>3327</v>
      </c>
      <c r="C1664" s="23">
        <v>20.76</v>
      </c>
      <c r="D1664" s="23">
        <v>6.26</v>
      </c>
      <c r="E1664" s="23" t="s">
        <v>4682</v>
      </c>
      <c r="F1664" s="23" t="s">
        <v>4682</v>
      </c>
      <c r="G1664" s="23" t="s">
        <v>4682</v>
      </c>
      <c r="H1664" s="23">
        <v>0</v>
      </c>
      <c r="I1664" s="23" t="s">
        <v>4682</v>
      </c>
      <c r="J1664" s="23" t="s">
        <v>4728</v>
      </c>
      <c r="K1664" s="23" t="s">
        <v>4736</v>
      </c>
      <c r="L1664">
        <v>1981</v>
      </c>
      <c r="M1664" s="15" t="s">
        <v>4700</v>
      </c>
      <c r="N1664">
        <v>13</v>
      </c>
      <c r="O1664">
        <v>1</v>
      </c>
      <c r="P1664" s="21">
        <f>DATEVALUE(N1664&amp;"-"&amp;M1664&amp;"-"&amp;L1664)</f>
        <v>29903</v>
      </c>
      <c r="Q1664" s="22">
        <v>14657.2</v>
      </c>
      <c r="R1664" s="23" t="s">
        <v>4697</v>
      </c>
      <c r="S1664" s="23" t="s">
        <v>4701</v>
      </c>
      <c r="T1664" s="23" t="s">
        <v>4704</v>
      </c>
      <c r="U1664" s="23">
        <f>DATEDIF(P1664, DATE(2023, 6, 8), "Y")</f>
        <v>41</v>
      </c>
      <c r="V1664">
        <f>SUM(C1664:K1664)</f>
        <v>27.020000000000003</v>
      </c>
    </row>
    <row r="1665" spans="1:22" ht="15.75">
      <c r="A1665" s="28" t="s">
        <v>3328</v>
      </c>
      <c r="B1665" s="28" t="s">
        <v>3329</v>
      </c>
      <c r="C1665" s="23">
        <v>38.99</v>
      </c>
      <c r="D1665" s="23">
        <v>5.21</v>
      </c>
      <c r="E1665" s="23" t="s">
        <v>4682</v>
      </c>
      <c r="F1665" s="23" t="s">
        <v>4683</v>
      </c>
      <c r="G1665" s="23" t="s">
        <v>4682</v>
      </c>
      <c r="H1665" s="23">
        <v>1</v>
      </c>
      <c r="I1665" s="23" t="s">
        <v>4682</v>
      </c>
      <c r="J1665" s="23" t="s">
        <v>4729</v>
      </c>
      <c r="K1665" s="23" t="s">
        <v>4737</v>
      </c>
      <c r="L1665">
        <v>1969</v>
      </c>
      <c r="M1665" s="15" t="s">
        <v>4707</v>
      </c>
      <c r="N1665">
        <v>20</v>
      </c>
      <c r="O1665">
        <v>0</v>
      </c>
      <c r="P1665" s="21">
        <f>DATEVALUE(N1665&amp;"-"&amp;M1665&amp;"-"&amp;L1665)</f>
        <v>25496</v>
      </c>
      <c r="Q1665" s="22">
        <v>14665.75</v>
      </c>
      <c r="R1665" s="23" t="s">
        <v>4697</v>
      </c>
      <c r="S1665" s="23" t="s">
        <v>4701</v>
      </c>
      <c r="T1665" s="23" t="s">
        <v>4704</v>
      </c>
      <c r="U1665" s="23">
        <f>DATEDIF(P1665, DATE(2023, 6, 8), "Y")</f>
        <v>53</v>
      </c>
      <c r="V1665">
        <f>SUM(C1665:K1665)</f>
        <v>45.2</v>
      </c>
    </row>
    <row r="1666" spans="1:22" ht="15.75">
      <c r="A1666" s="28" t="s">
        <v>3330</v>
      </c>
      <c r="B1666" s="28" t="s">
        <v>3331</v>
      </c>
      <c r="C1666" s="23">
        <v>42.655000000000001</v>
      </c>
      <c r="D1666" s="23">
        <v>5.94</v>
      </c>
      <c r="E1666" s="23" t="s">
        <v>4683</v>
      </c>
      <c r="F1666" s="23" t="s">
        <v>4682</v>
      </c>
      <c r="G1666" s="23" t="s">
        <v>4684</v>
      </c>
      <c r="H1666" s="23">
        <v>1</v>
      </c>
      <c r="I1666" s="23" t="s">
        <v>4682</v>
      </c>
      <c r="J1666" s="23" t="s">
        <v>4729</v>
      </c>
      <c r="K1666" s="23" t="s">
        <v>4736</v>
      </c>
      <c r="L1666">
        <v>1958</v>
      </c>
      <c r="M1666" s="15" t="s">
        <v>4696</v>
      </c>
      <c r="N1666">
        <v>23</v>
      </c>
      <c r="O1666">
        <v>0</v>
      </c>
      <c r="P1666" s="21">
        <f>DATEVALUE(N1666&amp;"-"&amp;M1666&amp;"-"&amp;L1666)</f>
        <v>21389</v>
      </c>
      <c r="Q1666" s="22">
        <v>14692.67</v>
      </c>
      <c r="R1666" s="23" t="s">
        <v>4697</v>
      </c>
      <c r="S1666" s="23" t="s">
        <v>4701</v>
      </c>
      <c r="T1666" s="23" t="s">
        <v>4704</v>
      </c>
      <c r="U1666" s="23">
        <f>DATEDIF(P1666, DATE(2023, 6, 8), "Y")</f>
        <v>64</v>
      </c>
      <c r="V1666">
        <f>SUM(C1666:K1666)</f>
        <v>49.594999999999999</v>
      </c>
    </row>
    <row r="1667" spans="1:22" ht="15.75">
      <c r="A1667" s="28" t="s">
        <v>3332</v>
      </c>
      <c r="B1667" s="28" t="s">
        <v>3333</v>
      </c>
      <c r="C1667" s="23">
        <v>30.57</v>
      </c>
      <c r="D1667" s="23">
        <v>5.34</v>
      </c>
      <c r="E1667" s="23" t="s">
        <v>4682</v>
      </c>
      <c r="F1667" s="23" t="s">
        <v>4682</v>
      </c>
      <c r="G1667" s="23" t="s">
        <v>4684</v>
      </c>
      <c r="H1667" s="23">
        <v>1</v>
      </c>
      <c r="I1667" s="23" t="s">
        <v>4682</v>
      </c>
      <c r="J1667" s="23" t="s">
        <v>4729</v>
      </c>
      <c r="K1667" s="23" t="s">
        <v>4737</v>
      </c>
      <c r="L1667">
        <v>1982</v>
      </c>
      <c r="M1667" s="15" t="s">
        <v>4703</v>
      </c>
      <c r="N1667">
        <v>4</v>
      </c>
      <c r="O1667">
        <v>3</v>
      </c>
      <c r="P1667" s="21">
        <f>DATEVALUE(N1667&amp;"-"&amp;M1667&amp;"-"&amp;L1667)</f>
        <v>30198</v>
      </c>
      <c r="Q1667" s="22">
        <v>14696.77</v>
      </c>
      <c r="R1667" s="23" t="s">
        <v>4697</v>
      </c>
      <c r="S1667" s="23" t="s">
        <v>4697</v>
      </c>
      <c r="T1667" s="23" t="s">
        <v>4708</v>
      </c>
      <c r="U1667" s="23">
        <f>DATEDIF(P1667, DATE(2023, 6, 8), "Y")</f>
        <v>40</v>
      </c>
      <c r="V1667">
        <f>SUM(C1667:K1667)</f>
        <v>36.909999999999997</v>
      </c>
    </row>
    <row r="1668" spans="1:22" ht="15.75">
      <c r="A1668" s="28" t="s">
        <v>3334</v>
      </c>
      <c r="B1668" s="28" t="s">
        <v>3335</v>
      </c>
      <c r="C1668" s="23">
        <v>17.7</v>
      </c>
      <c r="D1668" s="23">
        <v>6.38</v>
      </c>
      <c r="E1668" s="23" t="s">
        <v>4682</v>
      </c>
      <c r="F1668" s="23" t="s">
        <v>4682</v>
      </c>
      <c r="G1668" s="23" t="s">
        <v>4682</v>
      </c>
      <c r="H1668" s="23">
        <v>2</v>
      </c>
      <c r="I1668" s="23" t="s">
        <v>4682</v>
      </c>
      <c r="J1668" s="23" t="s">
        <v>4731</v>
      </c>
      <c r="K1668" s="23" t="s">
        <v>4736</v>
      </c>
      <c r="L1668">
        <v>2002</v>
      </c>
      <c r="M1668" s="15" t="s">
        <v>4703</v>
      </c>
      <c r="N1668">
        <v>24</v>
      </c>
      <c r="O1668">
        <v>0</v>
      </c>
      <c r="P1668" s="21">
        <f>DATEVALUE(N1668&amp;"-"&amp;M1668&amp;"-"&amp;L1668)</f>
        <v>37523</v>
      </c>
      <c r="Q1668" s="22">
        <v>14711.74</v>
      </c>
      <c r="R1668" s="23" t="s">
        <v>4697</v>
      </c>
      <c r="S1668" s="23" t="s">
        <v>4697</v>
      </c>
      <c r="T1668" s="23" t="s">
        <v>4704</v>
      </c>
      <c r="U1668" s="23">
        <f>DATEDIF(P1668, DATE(2023, 6, 8), "Y")</f>
        <v>20</v>
      </c>
      <c r="V1668">
        <f>SUM(C1668:K1668)</f>
        <v>26.08</v>
      </c>
    </row>
    <row r="1669" spans="1:22" ht="15.75">
      <c r="A1669" s="28" t="s">
        <v>3336</v>
      </c>
      <c r="B1669" s="28" t="s">
        <v>3337</v>
      </c>
      <c r="C1669" s="23">
        <v>34.770000000000003</v>
      </c>
      <c r="D1669" s="23">
        <v>4.47</v>
      </c>
      <c r="E1669" s="23" t="s">
        <v>4682</v>
      </c>
      <c r="F1669" s="23" t="s">
        <v>4682</v>
      </c>
      <c r="G1669" s="23" t="s">
        <v>4682</v>
      </c>
      <c r="H1669" s="23">
        <v>1</v>
      </c>
      <c r="I1669" s="23" t="s">
        <v>4682</v>
      </c>
      <c r="J1669" s="23" t="s">
        <v>4729</v>
      </c>
      <c r="K1669" s="23" t="s">
        <v>4737</v>
      </c>
      <c r="L1669">
        <v>1962</v>
      </c>
      <c r="M1669" s="15" t="s">
        <v>4696</v>
      </c>
      <c r="N1669">
        <v>29</v>
      </c>
      <c r="O1669">
        <v>0</v>
      </c>
      <c r="P1669" s="21">
        <f>DATEVALUE(N1669&amp;"-"&amp;M1669&amp;"-"&amp;L1669)</f>
        <v>22856</v>
      </c>
      <c r="Q1669" s="22">
        <v>14738.43</v>
      </c>
      <c r="R1669" s="23" t="s">
        <v>4697</v>
      </c>
      <c r="S1669" s="23" t="s">
        <v>4698</v>
      </c>
      <c r="T1669" s="23" t="s">
        <v>4717</v>
      </c>
      <c r="U1669" s="23">
        <f>DATEDIF(P1669, DATE(2023, 6, 8), "Y")</f>
        <v>60</v>
      </c>
      <c r="V1669">
        <f>SUM(C1669:K1669)</f>
        <v>40.24</v>
      </c>
    </row>
    <row r="1670" spans="1:22" ht="15.75">
      <c r="A1670" s="28" t="s">
        <v>3338</v>
      </c>
      <c r="B1670" s="28" t="s">
        <v>3339</v>
      </c>
      <c r="C1670" s="23">
        <v>16.88</v>
      </c>
      <c r="D1670" s="23">
        <v>9.9600000000000009</v>
      </c>
      <c r="E1670" s="23" t="s">
        <v>4682</v>
      </c>
      <c r="F1670" s="23" t="s">
        <v>4682</v>
      </c>
      <c r="G1670" s="23" t="s">
        <v>4682</v>
      </c>
      <c r="H1670" s="23">
        <v>0</v>
      </c>
      <c r="I1670" s="23" t="s">
        <v>4682</v>
      </c>
      <c r="J1670" s="23" t="s">
        <v>4731</v>
      </c>
      <c r="K1670" s="23" t="s">
        <v>4735</v>
      </c>
      <c r="L1670">
        <v>1965</v>
      </c>
      <c r="M1670" s="15" t="s">
        <v>4696</v>
      </c>
      <c r="N1670">
        <v>27</v>
      </c>
      <c r="O1670">
        <v>0</v>
      </c>
      <c r="P1670" s="21">
        <f>DATEVALUE(N1670&amp;"-"&amp;M1670&amp;"-"&amp;L1670)</f>
        <v>23950</v>
      </c>
      <c r="Q1670" s="22">
        <v>14750.42</v>
      </c>
      <c r="R1670" s="23" t="s">
        <v>4697</v>
      </c>
      <c r="S1670" s="23" t="s">
        <v>4697</v>
      </c>
      <c r="T1670" s="23" t="s">
        <v>4720</v>
      </c>
      <c r="U1670" s="23">
        <f>DATEDIF(P1670, DATE(2023, 6, 8), "Y")</f>
        <v>57</v>
      </c>
      <c r="V1670">
        <f>SUM(C1670:K1670)</f>
        <v>26.84</v>
      </c>
    </row>
    <row r="1671" spans="1:22" ht="15.75">
      <c r="A1671" s="28" t="s">
        <v>3340</v>
      </c>
      <c r="B1671" s="28" t="s">
        <v>3341</v>
      </c>
      <c r="C1671" s="23">
        <v>40.26</v>
      </c>
      <c r="D1671" s="23">
        <v>9.92</v>
      </c>
      <c r="E1671" s="23" t="s">
        <v>4683</v>
      </c>
      <c r="F1671" s="23" t="s">
        <v>4682</v>
      </c>
      <c r="G1671" s="23" t="s">
        <v>4682</v>
      </c>
      <c r="H1671" s="23">
        <v>0</v>
      </c>
      <c r="I1671" s="23" t="s">
        <v>4682</v>
      </c>
      <c r="J1671" s="23" t="s">
        <v>4729</v>
      </c>
      <c r="K1671" s="23" t="s">
        <v>4735</v>
      </c>
      <c r="L1671">
        <v>1975</v>
      </c>
      <c r="M1671" s="15" t="s">
        <v>4705</v>
      </c>
      <c r="N1671">
        <v>10</v>
      </c>
      <c r="O1671">
        <v>1</v>
      </c>
      <c r="P1671" s="21">
        <f>DATEVALUE(N1671&amp;"-"&amp;M1671&amp;"-"&amp;L1671)</f>
        <v>27738</v>
      </c>
      <c r="Q1671" s="22">
        <v>14819</v>
      </c>
      <c r="R1671" s="23" t="s">
        <v>4697</v>
      </c>
      <c r="S1671" s="23" t="s">
        <v>4698</v>
      </c>
      <c r="T1671" s="23" t="s">
        <v>4715</v>
      </c>
      <c r="U1671" s="23">
        <f>DATEDIF(P1671, DATE(2023, 6, 8), "Y")</f>
        <v>47</v>
      </c>
      <c r="V1671">
        <f>SUM(C1671:K1671)</f>
        <v>50.18</v>
      </c>
    </row>
    <row r="1672" spans="1:22" ht="15.75">
      <c r="A1672" s="28" t="s">
        <v>3342</v>
      </c>
      <c r="B1672" s="28" t="s">
        <v>3343</v>
      </c>
      <c r="C1672" s="23">
        <v>25.6</v>
      </c>
      <c r="D1672" s="23">
        <v>6.03</v>
      </c>
      <c r="E1672" s="23" t="s">
        <v>4682</v>
      </c>
      <c r="F1672" s="23" t="s">
        <v>4682</v>
      </c>
      <c r="G1672" s="23" t="s">
        <v>4684</v>
      </c>
      <c r="H1672" s="23">
        <v>1</v>
      </c>
      <c r="I1672" s="23" t="s">
        <v>4682</v>
      </c>
      <c r="J1672" s="23" t="s">
        <v>4730</v>
      </c>
      <c r="K1672" s="23" t="s">
        <v>4736</v>
      </c>
      <c r="L1672">
        <v>1979</v>
      </c>
      <c r="M1672" s="15" t="s">
        <v>4707</v>
      </c>
      <c r="N1672">
        <v>18</v>
      </c>
      <c r="O1672">
        <v>2</v>
      </c>
      <c r="P1672" s="21">
        <f>DATEVALUE(N1672&amp;"-"&amp;M1672&amp;"-"&amp;L1672)</f>
        <v>29146</v>
      </c>
      <c r="Q1672" s="22">
        <v>14839.34</v>
      </c>
      <c r="R1672" s="23" t="s">
        <v>4697</v>
      </c>
      <c r="S1672" s="23" t="s">
        <v>4698</v>
      </c>
      <c r="T1672" s="23" t="s">
        <v>4720</v>
      </c>
      <c r="U1672" s="23">
        <f>DATEDIF(P1672, DATE(2023, 6, 8), "Y")</f>
        <v>43</v>
      </c>
      <c r="V1672">
        <f>SUM(C1672:K1672)</f>
        <v>32.630000000000003</v>
      </c>
    </row>
    <row r="1673" spans="1:22" ht="15.75">
      <c r="A1673" s="28" t="s">
        <v>3344</v>
      </c>
      <c r="B1673" s="28" t="s">
        <v>3345</v>
      </c>
      <c r="C1673" s="23">
        <v>33.549999999999997</v>
      </c>
      <c r="D1673" s="23">
        <v>10.9</v>
      </c>
      <c r="E1673" s="23" t="s">
        <v>4683</v>
      </c>
      <c r="F1673" s="23" t="s">
        <v>4682</v>
      </c>
      <c r="G1673" s="23" t="s">
        <v>4682</v>
      </c>
      <c r="H1673" s="23">
        <v>0</v>
      </c>
      <c r="I1673" s="23" t="s">
        <v>4682</v>
      </c>
      <c r="J1673" s="23" t="s">
        <v>4729</v>
      </c>
      <c r="K1673" s="23" t="s">
        <v>4735</v>
      </c>
      <c r="L1673">
        <v>1981</v>
      </c>
      <c r="M1673" s="15" t="s">
        <v>4702</v>
      </c>
      <c r="N1673">
        <v>5</v>
      </c>
      <c r="O1673">
        <v>1</v>
      </c>
      <c r="P1673" s="21">
        <f>DATEVALUE(N1673&amp;"-"&amp;M1673&amp;"-"&amp;L1673)</f>
        <v>29742</v>
      </c>
      <c r="Q1673" s="22">
        <v>14843.96</v>
      </c>
      <c r="R1673" s="23" t="s">
        <v>4697</v>
      </c>
      <c r="S1673" s="23" t="s">
        <v>4698</v>
      </c>
      <c r="T1673" s="23" t="s">
        <v>4720</v>
      </c>
      <c r="U1673" s="23">
        <f>DATEDIF(P1673, DATE(2023, 6, 8), "Y")</f>
        <v>42</v>
      </c>
      <c r="V1673">
        <f>SUM(C1673:K1673)</f>
        <v>44.449999999999996</v>
      </c>
    </row>
    <row r="1674" spans="1:22" ht="15.75">
      <c r="A1674" s="28" t="s">
        <v>3346</v>
      </c>
      <c r="B1674" s="28" t="s">
        <v>3347</v>
      </c>
      <c r="C1674" s="23">
        <v>16.690000000000001</v>
      </c>
      <c r="D1674" s="23">
        <v>10.66</v>
      </c>
      <c r="E1674" s="23" t="s">
        <v>4682</v>
      </c>
      <c r="F1674" s="23" t="s">
        <v>4682</v>
      </c>
      <c r="G1674" s="23" t="s">
        <v>4682</v>
      </c>
      <c r="H1674" s="23">
        <v>0</v>
      </c>
      <c r="I1674" s="23" t="s">
        <v>4682</v>
      </c>
      <c r="J1674" s="23" t="s">
        <v>4731</v>
      </c>
      <c r="K1674" s="23" t="s">
        <v>4735</v>
      </c>
      <c r="L1674">
        <v>1970</v>
      </c>
      <c r="M1674" s="15" t="s">
        <v>4700</v>
      </c>
      <c r="N1674">
        <v>11</v>
      </c>
      <c r="O1674">
        <v>0</v>
      </c>
      <c r="P1674" s="21">
        <f>DATEVALUE(N1674&amp;"-"&amp;M1674&amp;"-"&amp;L1674)</f>
        <v>25883</v>
      </c>
      <c r="Q1674" s="22">
        <v>14847.63</v>
      </c>
      <c r="R1674" s="23" t="s">
        <v>4697</v>
      </c>
      <c r="S1674" s="23" t="s">
        <v>4697</v>
      </c>
      <c r="T1674" s="23" t="s">
        <v>4715</v>
      </c>
      <c r="U1674" s="23">
        <f>DATEDIF(P1674, DATE(2023, 6, 8), "Y")</f>
        <v>52</v>
      </c>
      <c r="V1674">
        <f>SUM(C1674:K1674)</f>
        <v>27.35</v>
      </c>
    </row>
    <row r="1675" spans="1:22" ht="15.75">
      <c r="A1675" s="28" t="s">
        <v>3348</v>
      </c>
      <c r="B1675" s="28" t="s">
        <v>3349</v>
      </c>
      <c r="C1675" s="23">
        <v>19.95</v>
      </c>
      <c r="D1675" s="23">
        <v>4.05</v>
      </c>
      <c r="E1675" s="23" t="s">
        <v>4682</v>
      </c>
      <c r="F1675" s="23" t="s">
        <v>4682</v>
      </c>
      <c r="G1675" s="23" t="s">
        <v>4682</v>
      </c>
      <c r="H1675" s="23">
        <v>1</v>
      </c>
      <c r="I1675" s="23" t="s">
        <v>4682</v>
      </c>
      <c r="J1675" s="23" t="s">
        <v>4728</v>
      </c>
      <c r="K1675" s="23" t="s">
        <v>4737</v>
      </c>
      <c r="L1675">
        <v>1958</v>
      </c>
      <c r="M1675" s="15" t="s">
        <v>4707</v>
      </c>
      <c r="N1675">
        <v>17</v>
      </c>
      <c r="O1675">
        <v>0</v>
      </c>
      <c r="P1675" s="21">
        <f>DATEVALUE(N1675&amp;"-"&amp;M1675&amp;"-"&amp;L1675)</f>
        <v>21475</v>
      </c>
      <c r="Q1675" s="22">
        <v>14901.52</v>
      </c>
      <c r="R1675" s="23" t="s">
        <v>4697</v>
      </c>
      <c r="S1675" s="23" t="s">
        <v>4697</v>
      </c>
      <c r="T1675" s="23" t="s">
        <v>4714</v>
      </c>
      <c r="U1675" s="23">
        <f>DATEDIF(P1675, DATE(2023, 6, 8), "Y")</f>
        <v>64</v>
      </c>
      <c r="V1675">
        <f>SUM(C1675:K1675)</f>
        <v>25</v>
      </c>
    </row>
    <row r="1676" spans="1:22" ht="15.75">
      <c r="A1676" s="28" t="s">
        <v>3350</v>
      </c>
      <c r="B1676" s="28" t="s">
        <v>3351</v>
      </c>
      <c r="C1676" s="23">
        <v>17.55</v>
      </c>
      <c r="D1676" s="23">
        <v>4.2300000000000004</v>
      </c>
      <c r="E1676" s="23" t="s">
        <v>4682</v>
      </c>
      <c r="F1676" s="23" t="s">
        <v>4682</v>
      </c>
      <c r="G1676" s="23" t="s">
        <v>4682</v>
      </c>
      <c r="H1676" s="23">
        <v>2</v>
      </c>
      <c r="I1676" s="23" t="s">
        <v>4682</v>
      </c>
      <c r="J1676" s="23" t="s">
        <v>4731</v>
      </c>
      <c r="K1676" s="23" t="s">
        <v>4737</v>
      </c>
      <c r="L1676">
        <v>1981</v>
      </c>
      <c r="M1676" s="15" t="s">
        <v>4696</v>
      </c>
      <c r="N1676">
        <v>4</v>
      </c>
      <c r="O1676">
        <v>1</v>
      </c>
      <c r="P1676" s="21">
        <f>DATEVALUE(N1676&amp;"-"&amp;M1676&amp;"-"&amp;L1676)</f>
        <v>29771</v>
      </c>
      <c r="Q1676" s="22">
        <v>14908.27</v>
      </c>
      <c r="R1676" s="23" t="s">
        <v>4697</v>
      </c>
      <c r="S1676" s="23" t="s">
        <v>4701</v>
      </c>
      <c r="T1676" s="23" t="s">
        <v>4708</v>
      </c>
      <c r="U1676" s="23">
        <f>DATEDIF(P1676, DATE(2023, 6, 8), "Y")</f>
        <v>41</v>
      </c>
      <c r="V1676">
        <f>SUM(C1676:K1676)</f>
        <v>23.78</v>
      </c>
    </row>
    <row r="1677" spans="1:22" ht="15.75">
      <c r="A1677" s="28" t="s">
        <v>3352</v>
      </c>
      <c r="B1677" s="28" t="s">
        <v>3353</v>
      </c>
      <c r="C1677" s="23">
        <v>22.01</v>
      </c>
      <c r="D1677" s="23">
        <v>5.01</v>
      </c>
      <c r="E1677" s="23" t="s">
        <v>4682</v>
      </c>
      <c r="F1677" s="23" t="s">
        <v>4682</v>
      </c>
      <c r="G1677" s="23" t="s">
        <v>4682</v>
      </c>
      <c r="H1677" s="23">
        <v>1</v>
      </c>
      <c r="I1677" s="23" t="s">
        <v>4682</v>
      </c>
      <c r="J1677" s="23" t="s">
        <v>4728</v>
      </c>
      <c r="K1677" s="23" t="s">
        <v>4737</v>
      </c>
      <c r="L1677">
        <v>1968</v>
      </c>
      <c r="M1677" s="15" t="s">
        <v>4700</v>
      </c>
      <c r="N1677">
        <v>8</v>
      </c>
      <c r="O1677">
        <v>0</v>
      </c>
      <c r="P1677" s="21">
        <f>DATEVALUE(N1677&amp;"-"&amp;M1677&amp;"-"&amp;L1677)</f>
        <v>25150</v>
      </c>
      <c r="Q1677" s="22">
        <v>14926.97</v>
      </c>
      <c r="R1677" s="23" t="s">
        <v>4697</v>
      </c>
      <c r="S1677" s="23" t="s">
        <v>4697</v>
      </c>
      <c r="T1677" s="23" t="s">
        <v>4704</v>
      </c>
      <c r="U1677" s="23">
        <f>DATEDIF(P1677, DATE(2023, 6, 8), "Y")</f>
        <v>54</v>
      </c>
      <c r="V1677">
        <f>SUM(C1677:K1677)</f>
        <v>28.020000000000003</v>
      </c>
    </row>
    <row r="1678" spans="1:22" ht="15.75">
      <c r="A1678" s="28" t="s">
        <v>3354</v>
      </c>
      <c r="B1678" s="28" t="s">
        <v>3355</v>
      </c>
      <c r="C1678" s="23">
        <v>41.8</v>
      </c>
      <c r="D1678" s="23">
        <v>5.82</v>
      </c>
      <c r="E1678" s="23" t="s">
        <v>4683</v>
      </c>
      <c r="F1678" s="23" t="s">
        <v>4682</v>
      </c>
      <c r="G1678" s="23" t="s">
        <v>4684</v>
      </c>
      <c r="H1678" s="23">
        <v>1</v>
      </c>
      <c r="I1678" s="23" t="s">
        <v>4682</v>
      </c>
      <c r="J1678" s="23" t="s">
        <v>4729</v>
      </c>
      <c r="K1678" s="23" t="s">
        <v>4736</v>
      </c>
      <c r="L1678">
        <v>1962</v>
      </c>
      <c r="M1678" s="15" t="s">
        <v>4700</v>
      </c>
      <c r="N1678">
        <v>29</v>
      </c>
      <c r="O1678">
        <v>0</v>
      </c>
      <c r="P1678" s="21">
        <f>DATEVALUE(N1678&amp;"-"&amp;M1678&amp;"-"&amp;L1678)</f>
        <v>22979</v>
      </c>
      <c r="Q1678" s="22">
        <v>14945.34</v>
      </c>
      <c r="R1678" s="23" t="s">
        <v>4697</v>
      </c>
      <c r="S1678" s="23" t="s">
        <v>4701</v>
      </c>
      <c r="T1678" s="23" t="s">
        <v>4717</v>
      </c>
      <c r="U1678" s="23">
        <f>DATEDIF(P1678, DATE(2023, 6, 8), "Y")</f>
        <v>60</v>
      </c>
      <c r="V1678">
        <f>SUM(C1678:K1678)</f>
        <v>48.62</v>
      </c>
    </row>
    <row r="1679" spans="1:22" ht="15.75">
      <c r="A1679" s="28" t="s">
        <v>3356</v>
      </c>
      <c r="B1679" s="28" t="s">
        <v>3357</v>
      </c>
      <c r="C1679" s="23">
        <v>19.170000000000002</v>
      </c>
      <c r="D1679" s="23">
        <v>7.94</v>
      </c>
      <c r="E1679" s="23" t="s">
        <v>4682</v>
      </c>
      <c r="F1679" s="23" t="s">
        <v>4682</v>
      </c>
      <c r="G1679" s="23" t="s">
        <v>4682</v>
      </c>
      <c r="H1679" s="23">
        <v>0</v>
      </c>
      <c r="I1679" s="23" t="s">
        <v>4682</v>
      </c>
      <c r="J1679" s="23" t="s">
        <v>4728</v>
      </c>
      <c r="K1679" s="23" t="s">
        <v>4735</v>
      </c>
      <c r="L1679">
        <v>1958</v>
      </c>
      <c r="M1679" s="15" t="s">
        <v>4696</v>
      </c>
      <c r="N1679">
        <v>29</v>
      </c>
      <c r="O1679">
        <v>2</v>
      </c>
      <c r="P1679" s="21">
        <f>DATEVALUE(N1679&amp;"-"&amp;M1679&amp;"-"&amp;L1679)</f>
        <v>21395</v>
      </c>
      <c r="Q1679" s="22">
        <v>14988.43</v>
      </c>
      <c r="R1679" s="23" t="s">
        <v>4697</v>
      </c>
      <c r="S1679" s="23" t="s">
        <v>4698</v>
      </c>
      <c r="T1679" s="23" t="s">
        <v>4708</v>
      </c>
      <c r="U1679" s="23">
        <f>DATEDIF(P1679, DATE(2023, 6, 8), "Y")</f>
        <v>64</v>
      </c>
      <c r="V1679">
        <f>SUM(C1679:K1679)</f>
        <v>27.110000000000003</v>
      </c>
    </row>
    <row r="1680" spans="1:22" ht="15.75">
      <c r="A1680" s="28" t="s">
        <v>3358</v>
      </c>
      <c r="B1680" s="28" t="s">
        <v>3359</v>
      </c>
      <c r="C1680" s="23">
        <v>32.799999999999997</v>
      </c>
      <c r="D1680" s="23">
        <v>6.16</v>
      </c>
      <c r="E1680" s="23" t="s">
        <v>4683</v>
      </c>
      <c r="F1680" s="23" t="s">
        <v>4682</v>
      </c>
      <c r="G1680" s="23" t="s">
        <v>4684</v>
      </c>
      <c r="H1680" s="23">
        <v>1</v>
      </c>
      <c r="I1680" s="23" t="s">
        <v>4682</v>
      </c>
      <c r="J1680" s="23" t="s">
        <v>4729</v>
      </c>
      <c r="K1680" s="23" t="s">
        <v>4736</v>
      </c>
      <c r="L1680">
        <v>1995</v>
      </c>
      <c r="M1680" s="15" t="s">
        <v>4706</v>
      </c>
      <c r="N1680">
        <v>2</v>
      </c>
      <c r="O1680">
        <v>2</v>
      </c>
      <c r="P1680" s="21">
        <f>DATEVALUE(N1680&amp;"-"&amp;M1680&amp;"-"&amp;L1680)</f>
        <v>34913</v>
      </c>
      <c r="Q1680" s="22">
        <v>15006.58</v>
      </c>
      <c r="R1680" s="23" t="s">
        <v>4697</v>
      </c>
      <c r="S1680" s="23" t="s">
        <v>4697</v>
      </c>
      <c r="T1680" s="23" t="s">
        <v>4714</v>
      </c>
      <c r="U1680" s="23">
        <f>DATEDIF(P1680, DATE(2023, 6, 8), "Y")</f>
        <v>27</v>
      </c>
      <c r="V1680">
        <f>SUM(C1680:K1680)</f>
        <v>39.959999999999994</v>
      </c>
    </row>
    <row r="1681" spans="1:22" ht="15.75">
      <c r="A1681" s="28" t="s">
        <v>3360</v>
      </c>
      <c r="B1681" s="28" t="s">
        <v>3361</v>
      </c>
      <c r="C1681" s="23">
        <v>35.814999999999998</v>
      </c>
      <c r="D1681" s="23">
        <v>4.1500000000000004</v>
      </c>
      <c r="E1681" s="23" t="s">
        <v>4682</v>
      </c>
      <c r="F1681" s="23" t="s">
        <v>4682</v>
      </c>
      <c r="G1681" s="23" t="s">
        <v>4682</v>
      </c>
      <c r="H1681" s="23">
        <v>1</v>
      </c>
      <c r="I1681" s="23" t="s">
        <v>4682</v>
      </c>
      <c r="J1681" s="23" t="s">
        <v>4729</v>
      </c>
      <c r="K1681" s="23" t="s">
        <v>4737</v>
      </c>
      <c r="L1681">
        <v>1960</v>
      </c>
      <c r="M1681" s="15" t="s">
        <v>4706</v>
      </c>
      <c r="N1681">
        <v>8</v>
      </c>
      <c r="O1681">
        <v>2</v>
      </c>
      <c r="P1681" s="21">
        <f>DATEVALUE(N1681&amp;"-"&amp;M1681&amp;"-"&amp;L1681)</f>
        <v>22136</v>
      </c>
      <c r="Q1681" s="22">
        <v>15019.76</v>
      </c>
      <c r="R1681" s="23" t="s">
        <v>4697</v>
      </c>
      <c r="S1681" s="23" t="s">
        <v>4697</v>
      </c>
      <c r="T1681" s="23" t="s">
        <v>4704</v>
      </c>
      <c r="U1681" s="23">
        <f>DATEDIF(P1681, DATE(2023, 6, 8), "Y")</f>
        <v>62</v>
      </c>
      <c r="V1681">
        <f>SUM(C1681:K1681)</f>
        <v>40.964999999999996</v>
      </c>
    </row>
    <row r="1682" spans="1:22" ht="15.75">
      <c r="A1682" s="28" t="s">
        <v>3362</v>
      </c>
      <c r="B1682" s="28" t="s">
        <v>3363</v>
      </c>
      <c r="C1682" s="23">
        <v>24.3</v>
      </c>
      <c r="D1682" s="23">
        <v>6.23</v>
      </c>
      <c r="E1682" s="23" t="s">
        <v>4682</v>
      </c>
      <c r="F1682" s="23" t="s">
        <v>4682</v>
      </c>
      <c r="G1682" s="23" t="s">
        <v>4682</v>
      </c>
      <c r="H1682" s="23">
        <v>0</v>
      </c>
      <c r="I1682" s="23" t="s">
        <v>4682</v>
      </c>
      <c r="J1682" s="23" t="s">
        <v>4728</v>
      </c>
      <c r="K1682" s="23" t="s">
        <v>4736</v>
      </c>
      <c r="L1682">
        <v>1979</v>
      </c>
      <c r="M1682" s="15" t="s">
        <v>4700</v>
      </c>
      <c r="N1682">
        <v>25</v>
      </c>
      <c r="O1682">
        <v>2</v>
      </c>
      <c r="P1682" s="21">
        <f>DATEVALUE(N1682&amp;"-"&amp;M1682&amp;"-"&amp;L1682)</f>
        <v>29184</v>
      </c>
      <c r="Q1682" s="22">
        <v>15025.76</v>
      </c>
      <c r="R1682" s="23" t="s">
        <v>4697</v>
      </c>
      <c r="S1682" s="23" t="s">
        <v>4701</v>
      </c>
      <c r="T1682" s="23" t="s">
        <v>4708</v>
      </c>
      <c r="U1682" s="23">
        <f>DATEDIF(P1682, DATE(2023, 6, 8), "Y")</f>
        <v>43</v>
      </c>
      <c r="V1682">
        <f>SUM(C1682:K1682)</f>
        <v>30.53</v>
      </c>
    </row>
    <row r="1683" spans="1:22" ht="15.75">
      <c r="A1683" s="28" t="s">
        <v>3364</v>
      </c>
      <c r="B1683" s="28" t="s">
        <v>3365</v>
      </c>
      <c r="C1683" s="23">
        <v>19.059999999999999</v>
      </c>
      <c r="D1683" s="23">
        <v>7.41</v>
      </c>
      <c r="E1683" s="23" t="s">
        <v>4682</v>
      </c>
      <c r="F1683" s="23" t="s">
        <v>4682</v>
      </c>
      <c r="G1683" s="23" t="s">
        <v>4682</v>
      </c>
      <c r="H1683" s="23">
        <v>0</v>
      </c>
      <c r="I1683" s="23" t="s">
        <v>4682</v>
      </c>
      <c r="J1683" s="23" t="s">
        <v>4728</v>
      </c>
      <c r="K1683" s="23" t="s">
        <v>4735</v>
      </c>
      <c r="L1683">
        <v>1970</v>
      </c>
      <c r="M1683" s="15" t="s">
        <v>4703</v>
      </c>
      <c r="N1683">
        <v>11</v>
      </c>
      <c r="O1683">
        <v>0</v>
      </c>
      <c r="P1683" s="21">
        <f>DATEVALUE(N1683&amp;"-"&amp;M1683&amp;"-"&amp;L1683)</f>
        <v>25822</v>
      </c>
      <c r="Q1683" s="22">
        <v>15026.3</v>
      </c>
      <c r="R1683" s="23" t="s">
        <v>4697</v>
      </c>
      <c r="S1683" s="23" t="s">
        <v>4698</v>
      </c>
      <c r="T1683" s="23" t="s">
        <v>4708</v>
      </c>
      <c r="U1683" s="23">
        <f>DATEDIF(P1683, DATE(2023, 6, 8), "Y")</f>
        <v>52</v>
      </c>
      <c r="V1683">
        <f>SUM(C1683:K1683)</f>
        <v>26.47</v>
      </c>
    </row>
    <row r="1684" spans="1:22" ht="15.75">
      <c r="A1684" s="28" t="s">
        <v>3366</v>
      </c>
      <c r="B1684" s="28" t="s">
        <v>3367</v>
      </c>
      <c r="C1684" s="23">
        <v>33.25</v>
      </c>
      <c r="D1684" s="23">
        <v>5.62</v>
      </c>
      <c r="E1684" s="23" t="s">
        <v>4683</v>
      </c>
      <c r="F1684" s="23" t="s">
        <v>4682</v>
      </c>
      <c r="G1684" s="23" t="s">
        <v>4682</v>
      </c>
      <c r="H1684" s="23">
        <v>1</v>
      </c>
      <c r="I1684" s="23" t="s">
        <v>4682</v>
      </c>
      <c r="J1684" s="23" t="s">
        <v>4729</v>
      </c>
      <c r="K1684" s="23" t="s">
        <v>4737</v>
      </c>
      <c r="L1684">
        <v>1971</v>
      </c>
      <c r="M1684" s="15" t="s">
        <v>4706</v>
      </c>
      <c r="N1684">
        <v>15</v>
      </c>
      <c r="O1684">
        <v>0</v>
      </c>
      <c r="P1684" s="21">
        <f>DATEVALUE(N1684&amp;"-"&amp;M1684&amp;"-"&amp;L1684)</f>
        <v>26160</v>
      </c>
      <c r="Q1684" s="22">
        <v>15038.51</v>
      </c>
      <c r="R1684" s="23" t="s">
        <v>4697</v>
      </c>
      <c r="S1684" s="23" t="s">
        <v>4698</v>
      </c>
      <c r="T1684" s="23" t="s">
        <v>4715</v>
      </c>
      <c r="U1684" s="23">
        <f>DATEDIF(P1684, DATE(2023, 6, 8), "Y")</f>
        <v>51</v>
      </c>
      <c r="V1684">
        <f>SUM(C1684:K1684)</f>
        <v>39.869999999999997</v>
      </c>
    </row>
    <row r="1685" spans="1:22" ht="15.75">
      <c r="A1685" s="28" t="s">
        <v>3368</v>
      </c>
      <c r="B1685" s="28" t="s">
        <v>3369</v>
      </c>
      <c r="C1685" s="23">
        <v>21.37</v>
      </c>
      <c r="D1685" s="23">
        <v>4.54</v>
      </c>
      <c r="E1685" s="23" t="s">
        <v>4683</v>
      </c>
      <c r="F1685" s="23" t="s">
        <v>4682</v>
      </c>
      <c r="G1685" s="23" t="s">
        <v>4684</v>
      </c>
      <c r="H1685" s="23">
        <v>1</v>
      </c>
      <c r="I1685" s="23" t="s">
        <v>4682</v>
      </c>
      <c r="J1685" s="23" t="s">
        <v>4728</v>
      </c>
      <c r="K1685" s="23" t="s">
        <v>4737</v>
      </c>
      <c r="L1685">
        <v>1968</v>
      </c>
      <c r="M1685" s="15" t="s">
        <v>4702</v>
      </c>
      <c r="N1685">
        <v>12</v>
      </c>
      <c r="O1685">
        <v>0</v>
      </c>
      <c r="P1685" s="21">
        <f>DATEVALUE(N1685&amp;"-"&amp;M1685&amp;"-"&amp;L1685)</f>
        <v>25001</v>
      </c>
      <c r="Q1685" s="22">
        <v>15052.68</v>
      </c>
      <c r="R1685" s="23" t="s">
        <v>4697</v>
      </c>
      <c r="S1685" s="23" t="s">
        <v>4697</v>
      </c>
      <c r="T1685" s="23" t="s">
        <v>4721</v>
      </c>
      <c r="U1685" s="23">
        <f>DATEDIF(P1685, DATE(2023, 6, 8), "Y")</f>
        <v>54</v>
      </c>
      <c r="V1685">
        <f>SUM(C1685:K1685)</f>
        <v>26.91</v>
      </c>
    </row>
    <row r="1686" spans="1:22" ht="15.75">
      <c r="A1686" s="28" t="s">
        <v>3370</v>
      </c>
      <c r="B1686" s="28" t="s">
        <v>3371</v>
      </c>
      <c r="C1686" s="23">
        <v>34.43</v>
      </c>
      <c r="D1686" s="23">
        <v>8.6199999999999992</v>
      </c>
      <c r="E1686" s="23" t="s">
        <v>4683</v>
      </c>
      <c r="F1686" s="23" t="s">
        <v>4682</v>
      </c>
      <c r="G1686" s="23" t="s">
        <v>4682</v>
      </c>
      <c r="H1686" s="23">
        <v>1</v>
      </c>
      <c r="I1686" s="23" t="s">
        <v>4682</v>
      </c>
      <c r="J1686" s="23" t="s">
        <v>4729</v>
      </c>
      <c r="K1686" s="23" t="s">
        <v>4735</v>
      </c>
      <c r="L1686">
        <v>1975</v>
      </c>
      <c r="M1686" s="15" t="s">
        <v>4707</v>
      </c>
      <c r="N1686">
        <v>26</v>
      </c>
      <c r="O1686">
        <v>1</v>
      </c>
      <c r="P1686" s="21">
        <f>DATEVALUE(N1686&amp;"-"&amp;M1686&amp;"-"&amp;L1686)</f>
        <v>27693</v>
      </c>
      <c r="Q1686" s="22">
        <v>15090.35</v>
      </c>
      <c r="R1686" s="23" t="s">
        <v>4697</v>
      </c>
      <c r="S1686" s="23" t="s">
        <v>4701</v>
      </c>
      <c r="T1686" s="23" t="s">
        <v>4715</v>
      </c>
      <c r="U1686" s="23">
        <f>DATEDIF(P1686, DATE(2023, 6, 8), "Y")</f>
        <v>47</v>
      </c>
      <c r="V1686">
        <f>SUM(C1686:K1686)</f>
        <v>44.05</v>
      </c>
    </row>
    <row r="1687" spans="1:22" ht="15.75">
      <c r="A1687" s="28" t="s">
        <v>3372</v>
      </c>
      <c r="B1687" s="28" t="s">
        <v>3373</v>
      </c>
      <c r="C1687" s="23">
        <v>20.86</v>
      </c>
      <c r="D1687" s="23">
        <v>4.3600000000000003</v>
      </c>
      <c r="E1687" s="23" t="s">
        <v>4683</v>
      </c>
      <c r="F1687" s="23" t="s">
        <v>4682</v>
      </c>
      <c r="G1687" s="23" t="s">
        <v>4682</v>
      </c>
      <c r="H1687" s="23">
        <v>0</v>
      </c>
      <c r="I1687" s="23" t="s">
        <v>4682</v>
      </c>
      <c r="J1687" s="23" t="s">
        <v>4728</v>
      </c>
      <c r="K1687" s="23" t="s">
        <v>4737</v>
      </c>
      <c r="L1687">
        <v>1972</v>
      </c>
      <c r="M1687" s="15" t="s">
        <v>4700</v>
      </c>
      <c r="N1687">
        <v>7</v>
      </c>
      <c r="O1687">
        <v>0</v>
      </c>
      <c r="P1687" s="21">
        <f>DATEVALUE(N1687&amp;"-"&amp;M1687&amp;"-"&amp;L1687)</f>
        <v>26610</v>
      </c>
      <c r="Q1687" s="22">
        <v>15103.69</v>
      </c>
      <c r="R1687" s="23" t="s">
        <v>4697</v>
      </c>
      <c r="S1687" s="23" t="s">
        <v>4701</v>
      </c>
      <c r="T1687" s="23" t="s">
        <v>4704</v>
      </c>
      <c r="U1687" s="23">
        <f>DATEDIF(P1687, DATE(2023, 6, 8), "Y")</f>
        <v>50</v>
      </c>
      <c r="V1687">
        <f>SUM(C1687:K1687)</f>
        <v>25.22</v>
      </c>
    </row>
    <row r="1688" spans="1:22" ht="15.75">
      <c r="A1688" s="28" t="s">
        <v>3374</v>
      </c>
      <c r="B1688" s="28" t="s">
        <v>3375</v>
      </c>
      <c r="C1688" s="23">
        <v>18.34</v>
      </c>
      <c r="D1688" s="23">
        <v>10.01</v>
      </c>
      <c r="E1688" s="23" t="s">
        <v>4682</v>
      </c>
      <c r="F1688" s="23" t="s">
        <v>4682</v>
      </c>
      <c r="G1688" s="23" t="s">
        <v>4682</v>
      </c>
      <c r="H1688" s="23">
        <v>0</v>
      </c>
      <c r="I1688" s="23" t="s">
        <v>4682</v>
      </c>
      <c r="J1688" s="23" t="s">
        <v>4731</v>
      </c>
      <c r="K1688" s="23" t="s">
        <v>4735</v>
      </c>
      <c r="L1688">
        <v>1978</v>
      </c>
      <c r="M1688" s="15" t="s">
        <v>4703</v>
      </c>
      <c r="N1688">
        <v>5</v>
      </c>
      <c r="O1688">
        <v>2</v>
      </c>
      <c r="P1688" s="21">
        <f>DATEVALUE(N1688&amp;"-"&amp;M1688&amp;"-"&amp;L1688)</f>
        <v>28738</v>
      </c>
      <c r="Q1688" s="22">
        <v>15123.19</v>
      </c>
      <c r="R1688" s="23" t="s">
        <v>4697</v>
      </c>
      <c r="S1688" s="23" t="s">
        <v>4701</v>
      </c>
      <c r="T1688" s="23" t="s">
        <v>4708</v>
      </c>
      <c r="U1688" s="23">
        <f>DATEDIF(P1688, DATE(2023, 6, 8), "Y")</f>
        <v>44</v>
      </c>
      <c r="V1688">
        <f>SUM(C1688:K1688)</f>
        <v>28.35</v>
      </c>
    </row>
    <row r="1689" spans="1:22" ht="15.75">
      <c r="A1689" s="28" t="s">
        <v>3376</v>
      </c>
      <c r="B1689" s="28" t="s">
        <v>3377</v>
      </c>
      <c r="C1689" s="23">
        <v>34.15</v>
      </c>
      <c r="D1689" s="23">
        <v>5.42</v>
      </c>
      <c r="E1689" s="23" t="s">
        <v>4682</v>
      </c>
      <c r="F1689" s="23" t="s">
        <v>4682</v>
      </c>
      <c r="G1689" s="23" t="s">
        <v>4682</v>
      </c>
      <c r="H1689" s="23">
        <v>0</v>
      </c>
      <c r="I1689" s="23" t="s">
        <v>4682</v>
      </c>
      <c r="J1689" s="23" t="s">
        <v>4729</v>
      </c>
      <c r="K1689" s="23" t="s">
        <v>4737</v>
      </c>
      <c r="L1689">
        <v>1971</v>
      </c>
      <c r="M1689" s="15" t="s">
        <v>4700</v>
      </c>
      <c r="N1689">
        <v>25</v>
      </c>
      <c r="O1689">
        <v>0</v>
      </c>
      <c r="P1689" s="21">
        <f>DATEVALUE(N1689&amp;"-"&amp;M1689&amp;"-"&amp;L1689)</f>
        <v>26262</v>
      </c>
      <c r="Q1689" s="22">
        <v>15150.44</v>
      </c>
      <c r="R1689" s="23" t="s">
        <v>4697</v>
      </c>
      <c r="S1689" s="23" t="s">
        <v>4701</v>
      </c>
      <c r="T1689" s="23" t="s">
        <v>4715</v>
      </c>
      <c r="U1689" s="23">
        <f>DATEDIF(P1689, DATE(2023, 6, 8), "Y")</f>
        <v>51</v>
      </c>
      <c r="V1689">
        <f>SUM(C1689:K1689)</f>
        <v>39.57</v>
      </c>
    </row>
    <row r="1690" spans="1:22" ht="15.75">
      <c r="A1690" s="28" t="s">
        <v>3378</v>
      </c>
      <c r="B1690" s="28" t="s">
        <v>3379</v>
      </c>
      <c r="C1690" s="23">
        <v>18.350000000000001</v>
      </c>
      <c r="D1690" s="23">
        <v>5.12</v>
      </c>
      <c r="E1690" s="23" t="s">
        <v>4682</v>
      </c>
      <c r="F1690" s="23" t="s">
        <v>4682</v>
      </c>
      <c r="G1690" s="23" t="s">
        <v>4682</v>
      </c>
      <c r="H1690" s="23">
        <v>0</v>
      </c>
      <c r="I1690" s="23" t="s">
        <v>4682</v>
      </c>
      <c r="J1690" s="23" t="s">
        <v>4731</v>
      </c>
      <c r="K1690" s="23" t="s">
        <v>4737</v>
      </c>
      <c r="L1690">
        <v>1962</v>
      </c>
      <c r="M1690" s="15" t="s">
        <v>4707</v>
      </c>
      <c r="N1690">
        <v>25</v>
      </c>
      <c r="O1690">
        <v>0</v>
      </c>
      <c r="P1690" s="21">
        <f>DATEVALUE(N1690&amp;"-"&amp;M1690&amp;"-"&amp;L1690)</f>
        <v>22944</v>
      </c>
      <c r="Q1690" s="22">
        <v>15161.25</v>
      </c>
      <c r="R1690" s="23" t="s">
        <v>4697</v>
      </c>
      <c r="S1690" s="23" t="s">
        <v>4697</v>
      </c>
      <c r="T1690" s="23" t="s">
        <v>4704</v>
      </c>
      <c r="U1690" s="23">
        <f>DATEDIF(P1690, DATE(2023, 6, 8), "Y")</f>
        <v>60</v>
      </c>
      <c r="V1690">
        <f>SUM(C1690:K1690)</f>
        <v>23.470000000000002</v>
      </c>
    </row>
    <row r="1691" spans="1:22" ht="15.75">
      <c r="A1691" s="28" t="s">
        <v>3380</v>
      </c>
      <c r="B1691" s="28" t="s">
        <v>3381</v>
      </c>
      <c r="C1691" s="23">
        <v>22.13</v>
      </c>
      <c r="D1691" s="23">
        <v>9.1999999999999993</v>
      </c>
      <c r="E1691" s="23" t="s">
        <v>4683</v>
      </c>
      <c r="F1691" s="23" t="s">
        <v>4682</v>
      </c>
      <c r="G1691" s="23" t="s">
        <v>4682</v>
      </c>
      <c r="H1691" s="23">
        <v>0</v>
      </c>
      <c r="I1691" s="23" t="s">
        <v>4682</v>
      </c>
      <c r="J1691" s="23" t="s">
        <v>4728</v>
      </c>
      <c r="K1691" s="23" t="s">
        <v>4735</v>
      </c>
      <c r="L1691">
        <v>1959</v>
      </c>
      <c r="M1691" s="15" t="s">
        <v>4702</v>
      </c>
      <c r="N1691">
        <v>4</v>
      </c>
      <c r="O1691">
        <v>3</v>
      </c>
      <c r="P1691" s="21">
        <f>DATEVALUE(N1691&amp;"-"&amp;M1691&amp;"-"&amp;L1691)</f>
        <v>21705</v>
      </c>
      <c r="Q1691" s="22">
        <v>15161.53</v>
      </c>
      <c r="R1691" s="23" t="s">
        <v>4697</v>
      </c>
      <c r="S1691" s="23" t="s">
        <v>4701</v>
      </c>
      <c r="T1691" s="23" t="s">
        <v>4699</v>
      </c>
      <c r="U1691" s="23">
        <f>DATEDIF(P1691, DATE(2023, 6, 8), "Y")</f>
        <v>64</v>
      </c>
      <c r="V1691">
        <f>SUM(C1691:K1691)</f>
        <v>31.33</v>
      </c>
    </row>
    <row r="1692" spans="1:22" ht="15.75">
      <c r="A1692" s="28" t="s">
        <v>3382</v>
      </c>
      <c r="B1692" s="28" t="s">
        <v>3383</v>
      </c>
      <c r="C1692" s="23">
        <v>22.51</v>
      </c>
      <c r="D1692" s="23">
        <v>6.08</v>
      </c>
      <c r="E1692" s="23" t="s">
        <v>4683</v>
      </c>
      <c r="F1692" s="23" t="s">
        <v>4682</v>
      </c>
      <c r="G1692" s="23" t="s">
        <v>4682</v>
      </c>
      <c r="H1692" s="23">
        <v>1</v>
      </c>
      <c r="I1692" s="23" t="s">
        <v>4682</v>
      </c>
      <c r="J1692" s="23" t="s">
        <v>4728</v>
      </c>
      <c r="K1692" s="23" t="s">
        <v>4736</v>
      </c>
      <c r="L1692">
        <v>1959</v>
      </c>
      <c r="M1692" s="15" t="s">
        <v>4705</v>
      </c>
      <c r="N1692">
        <v>3</v>
      </c>
      <c r="O1692">
        <v>3</v>
      </c>
      <c r="P1692" s="21">
        <f>DATEVALUE(N1692&amp;"-"&amp;M1692&amp;"-"&amp;L1692)</f>
        <v>21887</v>
      </c>
      <c r="Q1692" s="22">
        <v>15170.07</v>
      </c>
      <c r="R1692" s="23" t="s">
        <v>4697</v>
      </c>
      <c r="S1692" s="23" t="s">
        <v>4698</v>
      </c>
      <c r="T1692" s="23" t="s">
        <v>4708</v>
      </c>
      <c r="U1692" s="23">
        <f>DATEDIF(P1692, DATE(2023, 6, 8), "Y")</f>
        <v>63</v>
      </c>
      <c r="V1692">
        <f>SUM(C1692:K1692)</f>
        <v>29.590000000000003</v>
      </c>
    </row>
    <row r="1693" spans="1:22" ht="15.75">
      <c r="A1693" s="28" t="s">
        <v>3384</v>
      </c>
      <c r="B1693" s="28" t="s">
        <v>3385</v>
      </c>
      <c r="C1693" s="23">
        <v>31</v>
      </c>
      <c r="D1693" s="23">
        <v>4.7699999999999996</v>
      </c>
      <c r="E1693" s="23" t="s">
        <v>4682</v>
      </c>
      <c r="F1693" s="23" t="s">
        <v>4682</v>
      </c>
      <c r="G1693" s="23" t="s">
        <v>4682</v>
      </c>
      <c r="H1693" s="23">
        <v>1</v>
      </c>
      <c r="I1693" s="23" t="s">
        <v>4682</v>
      </c>
      <c r="J1693" s="23" t="s">
        <v>4729</v>
      </c>
      <c r="K1693" s="23" t="s">
        <v>4737</v>
      </c>
      <c r="L1693">
        <v>1962</v>
      </c>
      <c r="M1693" s="15" t="s">
        <v>4702</v>
      </c>
      <c r="N1693">
        <v>17</v>
      </c>
      <c r="O1693">
        <v>0</v>
      </c>
      <c r="P1693" s="21">
        <f>DATEVALUE(N1693&amp;"-"&amp;M1693&amp;"-"&amp;L1693)</f>
        <v>22814</v>
      </c>
      <c r="Q1693" s="22">
        <v>15174.81</v>
      </c>
      <c r="R1693" s="23" t="s">
        <v>4697</v>
      </c>
      <c r="S1693" s="23" t="s">
        <v>4701</v>
      </c>
      <c r="T1693" s="23" t="s">
        <v>4704</v>
      </c>
      <c r="U1693" s="23">
        <f>DATEDIF(P1693, DATE(2023, 6, 8), "Y")</f>
        <v>60</v>
      </c>
      <c r="V1693">
        <f>SUM(C1693:K1693)</f>
        <v>36.769999999999996</v>
      </c>
    </row>
    <row r="1694" spans="1:22" ht="15.75">
      <c r="A1694" s="28" t="s">
        <v>3386</v>
      </c>
      <c r="B1694" s="28" t="s">
        <v>3387</v>
      </c>
      <c r="C1694" s="23">
        <v>28.27</v>
      </c>
      <c r="D1694" s="23">
        <v>4.62</v>
      </c>
      <c r="E1694" s="23" t="s">
        <v>4682</v>
      </c>
      <c r="F1694" s="23" t="s">
        <v>4682</v>
      </c>
      <c r="G1694" s="23" t="s">
        <v>4682</v>
      </c>
      <c r="H1694" s="23">
        <v>1</v>
      </c>
      <c r="I1694" s="23" t="s">
        <v>4682</v>
      </c>
      <c r="J1694" s="23" t="s">
        <v>4730</v>
      </c>
      <c r="K1694" s="23" t="s">
        <v>4737</v>
      </c>
      <c r="L1694">
        <v>1978</v>
      </c>
      <c r="M1694" s="15" t="s">
        <v>4700</v>
      </c>
      <c r="N1694">
        <v>23</v>
      </c>
      <c r="O1694">
        <v>2</v>
      </c>
      <c r="P1694" s="21">
        <f>DATEVALUE(N1694&amp;"-"&amp;M1694&amp;"-"&amp;L1694)</f>
        <v>28817</v>
      </c>
      <c r="Q1694" s="22">
        <v>15207.92</v>
      </c>
      <c r="R1694" s="23" t="s">
        <v>4697</v>
      </c>
      <c r="S1694" s="23" t="s">
        <v>4701</v>
      </c>
      <c r="T1694" s="23" t="s">
        <v>4704</v>
      </c>
      <c r="U1694" s="23">
        <f>DATEDIF(P1694, DATE(2023, 6, 8), "Y")</f>
        <v>44</v>
      </c>
      <c r="V1694">
        <f>SUM(C1694:K1694)</f>
        <v>33.89</v>
      </c>
    </row>
    <row r="1695" spans="1:22" ht="15.75">
      <c r="A1695" s="28" t="s">
        <v>3388</v>
      </c>
      <c r="B1695" s="28" t="s">
        <v>3389</v>
      </c>
      <c r="C1695" s="23">
        <v>29.92</v>
      </c>
      <c r="D1695" s="23">
        <v>9.07</v>
      </c>
      <c r="E1695" s="23" t="s">
        <v>4683</v>
      </c>
      <c r="F1695" s="23" t="s">
        <v>4682</v>
      </c>
      <c r="G1695" s="23" t="s">
        <v>4682</v>
      </c>
      <c r="H1695" s="23">
        <v>1</v>
      </c>
      <c r="I1695" s="23" t="s">
        <v>4682</v>
      </c>
      <c r="J1695" s="23" t="s">
        <v>4729</v>
      </c>
      <c r="K1695" s="23" t="s">
        <v>4735</v>
      </c>
      <c r="L1695">
        <v>1960</v>
      </c>
      <c r="M1695" s="15" t="s">
        <v>4696</v>
      </c>
      <c r="N1695">
        <v>25</v>
      </c>
      <c r="O1695">
        <v>2</v>
      </c>
      <c r="P1695" s="21">
        <f>DATEVALUE(N1695&amp;"-"&amp;M1695&amp;"-"&amp;L1695)</f>
        <v>22122</v>
      </c>
      <c r="Q1695" s="22">
        <v>15230.32</v>
      </c>
      <c r="R1695" s="23" t="s">
        <v>4697</v>
      </c>
      <c r="S1695" s="23" t="s">
        <v>4697</v>
      </c>
      <c r="T1695" s="23" t="s">
        <v>4714</v>
      </c>
      <c r="U1695" s="23">
        <f>DATEDIF(P1695, DATE(2023, 6, 8), "Y")</f>
        <v>62</v>
      </c>
      <c r="V1695">
        <f>SUM(C1695:K1695)</f>
        <v>39.99</v>
      </c>
    </row>
    <row r="1696" spans="1:22" ht="15.75">
      <c r="A1696" s="28" t="s">
        <v>3390</v>
      </c>
      <c r="B1696" s="28" t="s">
        <v>3391</v>
      </c>
      <c r="C1696" s="23">
        <v>25.9</v>
      </c>
      <c r="D1696" s="23">
        <v>9.1199999999999992</v>
      </c>
      <c r="E1696" s="23" t="s">
        <v>4683</v>
      </c>
      <c r="F1696" s="23" t="s">
        <v>4682</v>
      </c>
      <c r="G1696" s="23" t="s">
        <v>4682</v>
      </c>
      <c r="H1696" s="23">
        <v>1</v>
      </c>
      <c r="I1696" s="23" t="s">
        <v>4682</v>
      </c>
      <c r="J1696" s="23" t="s">
        <v>4730</v>
      </c>
      <c r="K1696" s="23" t="s">
        <v>4735</v>
      </c>
      <c r="L1696">
        <v>1969</v>
      </c>
      <c r="M1696" s="15" t="s">
        <v>4703</v>
      </c>
      <c r="N1696">
        <v>16</v>
      </c>
      <c r="O1696">
        <v>0</v>
      </c>
      <c r="P1696" s="21">
        <f>DATEVALUE(N1696&amp;"-"&amp;M1696&amp;"-"&amp;L1696)</f>
        <v>25462</v>
      </c>
      <c r="Q1696" s="22">
        <v>15260.52</v>
      </c>
      <c r="R1696" s="23" t="s">
        <v>4697</v>
      </c>
      <c r="S1696" s="23" t="s">
        <v>4697</v>
      </c>
      <c r="T1696" s="23" t="s">
        <v>4715</v>
      </c>
      <c r="U1696" s="23">
        <f>DATEDIF(P1696, DATE(2023, 6, 8), "Y")</f>
        <v>53</v>
      </c>
      <c r="V1696">
        <f>SUM(C1696:K1696)</f>
        <v>36.019999999999996</v>
      </c>
    </row>
    <row r="1697" spans="1:22" ht="15.75">
      <c r="A1697" s="28" t="s">
        <v>3392</v>
      </c>
      <c r="B1697" s="28" t="s">
        <v>3393</v>
      </c>
      <c r="C1697" s="23">
        <v>27.74</v>
      </c>
      <c r="D1697" s="23">
        <v>7.32</v>
      </c>
      <c r="E1697" s="23" t="s">
        <v>4683</v>
      </c>
      <c r="F1697" s="23" t="s">
        <v>4682</v>
      </c>
      <c r="G1697" s="23" t="s">
        <v>4682</v>
      </c>
      <c r="H1697" s="23">
        <v>1</v>
      </c>
      <c r="I1697" s="23" t="s">
        <v>4682</v>
      </c>
      <c r="J1697" s="23" t="s">
        <v>4730</v>
      </c>
      <c r="K1697" s="23" t="s">
        <v>4735</v>
      </c>
      <c r="L1697">
        <v>1963</v>
      </c>
      <c r="M1697" s="15" t="s">
        <v>4705</v>
      </c>
      <c r="N1697">
        <v>13</v>
      </c>
      <c r="O1697">
        <v>0</v>
      </c>
      <c r="P1697" s="21">
        <f>DATEVALUE(N1697&amp;"-"&amp;M1697&amp;"-"&amp;L1697)</f>
        <v>23358</v>
      </c>
      <c r="Q1697" s="22">
        <v>15322.77</v>
      </c>
      <c r="R1697" s="23" t="s">
        <v>4697</v>
      </c>
      <c r="S1697" s="23" t="s">
        <v>4698</v>
      </c>
      <c r="T1697" s="23" t="s">
        <v>4717</v>
      </c>
      <c r="U1697" s="23">
        <f>DATEDIF(P1697, DATE(2023, 6, 8), "Y")</f>
        <v>59</v>
      </c>
      <c r="V1697">
        <f>SUM(C1697:K1697)</f>
        <v>36.06</v>
      </c>
    </row>
    <row r="1698" spans="1:22" ht="15.75">
      <c r="A1698" s="28" t="s">
        <v>3394</v>
      </c>
      <c r="B1698" s="28" t="s">
        <v>3395</v>
      </c>
      <c r="C1698" s="23">
        <v>17.260000000000002</v>
      </c>
      <c r="D1698" s="23">
        <v>11.73</v>
      </c>
      <c r="E1698" s="23" t="s">
        <v>4682</v>
      </c>
      <c r="F1698" s="23" t="s">
        <v>4682</v>
      </c>
      <c r="G1698" s="23" t="s">
        <v>4682</v>
      </c>
      <c r="H1698" s="23">
        <v>2</v>
      </c>
      <c r="I1698" s="23" t="s">
        <v>4682</v>
      </c>
      <c r="J1698" s="23" t="s">
        <v>4731</v>
      </c>
      <c r="K1698" s="23" t="s">
        <v>4735</v>
      </c>
      <c r="L1698">
        <v>2001</v>
      </c>
      <c r="M1698" s="15" t="s">
        <v>4696</v>
      </c>
      <c r="N1698">
        <v>14</v>
      </c>
      <c r="O1698">
        <v>1</v>
      </c>
      <c r="P1698" s="21">
        <f>DATEVALUE(N1698&amp;"-"&amp;M1698&amp;"-"&amp;L1698)</f>
        <v>37086</v>
      </c>
      <c r="Q1698" s="22">
        <v>15359.1</v>
      </c>
      <c r="R1698" s="23" t="s">
        <v>4697</v>
      </c>
      <c r="S1698" s="23" t="s">
        <v>4698</v>
      </c>
      <c r="T1698" s="23" t="s">
        <v>4714</v>
      </c>
      <c r="U1698" s="23">
        <f>DATEDIF(P1698, DATE(2023, 6, 8), "Y")</f>
        <v>21</v>
      </c>
      <c r="V1698">
        <f>SUM(C1698:K1698)</f>
        <v>30.990000000000002</v>
      </c>
    </row>
    <row r="1699" spans="1:22" ht="15.75">
      <c r="A1699" s="28" t="s">
        <v>3396</v>
      </c>
      <c r="B1699" s="28" t="s">
        <v>3397</v>
      </c>
      <c r="C1699" s="23">
        <v>19.855</v>
      </c>
      <c r="D1699" s="23">
        <v>6.64</v>
      </c>
      <c r="E1699" s="23" t="s">
        <v>4683</v>
      </c>
      <c r="F1699" s="23" t="s">
        <v>4682</v>
      </c>
      <c r="G1699" s="23" t="s">
        <v>4682</v>
      </c>
      <c r="H1699" s="23">
        <v>1</v>
      </c>
      <c r="I1699" s="23" t="s">
        <v>4682</v>
      </c>
      <c r="J1699" s="23" t="s">
        <v>4728</v>
      </c>
      <c r="K1699" s="23" t="s">
        <v>4735</v>
      </c>
      <c r="L1699">
        <v>1988</v>
      </c>
      <c r="M1699" s="15" t="s">
        <v>4705</v>
      </c>
      <c r="N1699">
        <v>17</v>
      </c>
      <c r="O1699">
        <v>3</v>
      </c>
      <c r="P1699" s="21">
        <f>DATEVALUE(N1699&amp;"-"&amp;M1699&amp;"-"&amp;L1699)</f>
        <v>32494</v>
      </c>
      <c r="Q1699" s="22">
        <v>15361.5</v>
      </c>
      <c r="R1699" s="23" t="s">
        <v>4697</v>
      </c>
      <c r="S1699" s="23" t="s">
        <v>4698</v>
      </c>
      <c r="T1699" s="23" t="s">
        <v>4715</v>
      </c>
      <c r="U1699" s="23">
        <f>DATEDIF(P1699, DATE(2023, 6, 8), "Y")</f>
        <v>34</v>
      </c>
      <c r="V1699">
        <f>SUM(C1699:K1699)</f>
        <v>27.495000000000001</v>
      </c>
    </row>
    <row r="1700" spans="1:22" ht="15.75">
      <c r="A1700" s="28" t="s">
        <v>3398</v>
      </c>
      <c r="B1700" s="28" t="s">
        <v>3399</v>
      </c>
      <c r="C1700" s="23">
        <v>41.69</v>
      </c>
      <c r="D1700" s="23">
        <v>5.78</v>
      </c>
      <c r="E1700" s="23" t="s">
        <v>4682</v>
      </c>
      <c r="F1700" s="23" t="s">
        <v>4682</v>
      </c>
      <c r="G1700" s="23" t="s">
        <v>4682</v>
      </c>
      <c r="H1700" s="23">
        <v>0</v>
      </c>
      <c r="I1700" s="23" t="s">
        <v>4682</v>
      </c>
      <c r="J1700" s="23" t="s">
        <v>4729</v>
      </c>
      <c r="K1700" s="23" t="s">
        <v>4736</v>
      </c>
      <c r="L1700">
        <v>1968</v>
      </c>
      <c r="M1700" s="15" t="s">
        <v>4696</v>
      </c>
      <c r="N1700">
        <v>18</v>
      </c>
      <c r="O1700">
        <v>0</v>
      </c>
      <c r="P1700" s="21">
        <f>DATEVALUE(N1700&amp;"-"&amp;M1700&amp;"-"&amp;L1700)</f>
        <v>25037</v>
      </c>
      <c r="Q1700" s="22">
        <v>15363.77</v>
      </c>
      <c r="R1700" s="23" t="s">
        <v>4697</v>
      </c>
      <c r="S1700" s="23" t="s">
        <v>4701</v>
      </c>
      <c r="T1700" s="23" t="s">
        <v>4720</v>
      </c>
      <c r="U1700" s="23">
        <f>DATEDIF(P1700, DATE(2023, 6, 8), "Y")</f>
        <v>54</v>
      </c>
      <c r="V1700">
        <f>SUM(C1700:K1700)</f>
        <v>47.47</v>
      </c>
    </row>
    <row r="1701" spans="1:22" ht="15.75">
      <c r="A1701" s="28" t="s">
        <v>3400</v>
      </c>
      <c r="B1701" s="28" t="s">
        <v>3401</v>
      </c>
      <c r="C1701" s="23">
        <v>16.12</v>
      </c>
      <c r="D1701" s="23">
        <v>10.45</v>
      </c>
      <c r="E1701" s="23" t="s">
        <v>4682</v>
      </c>
      <c r="F1701" s="23" t="s">
        <v>4682</v>
      </c>
      <c r="G1701" s="23" t="s">
        <v>4682</v>
      </c>
      <c r="H1701" s="23">
        <v>0</v>
      </c>
      <c r="I1701" s="23" t="s">
        <v>4682</v>
      </c>
      <c r="J1701" s="23" t="s">
        <v>4731</v>
      </c>
      <c r="K1701" s="23" t="s">
        <v>4735</v>
      </c>
      <c r="L1701">
        <v>1962</v>
      </c>
      <c r="M1701" s="15" t="s">
        <v>4703</v>
      </c>
      <c r="N1701">
        <v>6</v>
      </c>
      <c r="O1701">
        <v>0</v>
      </c>
      <c r="P1701" s="21">
        <f>DATEVALUE(N1701&amp;"-"&amp;M1701&amp;"-"&amp;L1701)</f>
        <v>22895</v>
      </c>
      <c r="Q1701" s="22">
        <v>15368.22</v>
      </c>
      <c r="R1701" s="23" t="s">
        <v>4697</v>
      </c>
      <c r="S1701" s="23" t="s">
        <v>4697</v>
      </c>
      <c r="T1701" s="23" t="s">
        <v>4708</v>
      </c>
      <c r="U1701" s="23">
        <f>DATEDIF(P1701, DATE(2023, 6, 8), "Y")</f>
        <v>60</v>
      </c>
      <c r="V1701">
        <f>SUM(C1701:K1701)</f>
        <v>26.57</v>
      </c>
    </row>
    <row r="1702" spans="1:22" ht="15.75">
      <c r="A1702" s="28" t="s">
        <v>3402</v>
      </c>
      <c r="B1702" s="28" t="s">
        <v>3403</v>
      </c>
      <c r="C1702" s="23">
        <v>37.43</v>
      </c>
      <c r="D1702" s="23">
        <v>4.5199999999999996</v>
      </c>
      <c r="E1702" s="23" t="s">
        <v>4682</v>
      </c>
      <c r="F1702" s="23" t="s">
        <v>4682</v>
      </c>
      <c r="G1702" s="23" t="s">
        <v>4682</v>
      </c>
      <c r="H1702" s="23">
        <v>1</v>
      </c>
      <c r="I1702" s="23" t="s">
        <v>4682</v>
      </c>
      <c r="J1702" s="23" t="s">
        <v>4729</v>
      </c>
      <c r="K1702" s="23" t="s">
        <v>4737</v>
      </c>
      <c r="L1702">
        <v>1964</v>
      </c>
      <c r="M1702" s="15" t="s">
        <v>4703</v>
      </c>
      <c r="N1702">
        <v>4</v>
      </c>
      <c r="O1702">
        <v>0</v>
      </c>
      <c r="P1702" s="21">
        <f>DATEVALUE(N1702&amp;"-"&amp;M1702&amp;"-"&amp;L1702)</f>
        <v>23624</v>
      </c>
      <c r="Q1702" s="22">
        <v>15377.77</v>
      </c>
      <c r="R1702" s="23" t="s">
        <v>4697</v>
      </c>
      <c r="S1702" s="23" t="s">
        <v>4697</v>
      </c>
      <c r="T1702" s="23" t="s">
        <v>4704</v>
      </c>
      <c r="U1702" s="23">
        <f>DATEDIF(P1702, DATE(2023, 6, 8), "Y")</f>
        <v>58</v>
      </c>
      <c r="V1702">
        <f>SUM(C1702:K1702)</f>
        <v>42.95</v>
      </c>
    </row>
    <row r="1703" spans="1:22" ht="15.75">
      <c r="A1703" s="28" t="s">
        <v>3404</v>
      </c>
      <c r="B1703" s="28" t="s">
        <v>3405</v>
      </c>
      <c r="C1703" s="23">
        <v>31.065000000000001</v>
      </c>
      <c r="D1703" s="23">
        <v>5.71</v>
      </c>
      <c r="E1703" s="23" t="s">
        <v>4682</v>
      </c>
      <c r="F1703" s="23" t="s">
        <v>4682</v>
      </c>
      <c r="G1703" s="23" t="s">
        <v>4682</v>
      </c>
      <c r="H1703" s="23">
        <v>0</v>
      </c>
      <c r="I1703" s="23" t="s">
        <v>4682</v>
      </c>
      <c r="J1703" s="23" t="s">
        <v>4729</v>
      </c>
      <c r="K1703" s="23" t="s">
        <v>4736</v>
      </c>
      <c r="L1703">
        <v>1990</v>
      </c>
      <c r="M1703" s="15" t="s">
        <v>4707</v>
      </c>
      <c r="N1703">
        <v>25</v>
      </c>
      <c r="O1703">
        <v>3</v>
      </c>
      <c r="P1703" s="21">
        <f>DATEVALUE(N1703&amp;"-"&amp;M1703&amp;"-"&amp;L1703)</f>
        <v>33171</v>
      </c>
      <c r="Q1703" s="22">
        <v>15440.2</v>
      </c>
      <c r="R1703" s="23" t="s">
        <v>4697</v>
      </c>
      <c r="S1703" s="23" t="s">
        <v>4701</v>
      </c>
      <c r="T1703" s="23" t="s">
        <v>4704</v>
      </c>
      <c r="U1703" s="23">
        <f>DATEDIF(P1703, DATE(2023, 6, 8), "Y")</f>
        <v>32</v>
      </c>
      <c r="V1703">
        <f>SUM(C1703:K1703)</f>
        <v>36.774999999999999</v>
      </c>
    </row>
    <row r="1704" spans="1:22" ht="15.75">
      <c r="A1704" s="28" t="s">
        <v>3406</v>
      </c>
      <c r="B1704" s="28" t="s">
        <v>3407</v>
      </c>
      <c r="C1704" s="23">
        <v>25.08</v>
      </c>
      <c r="D1704" s="23">
        <v>4.7699999999999996</v>
      </c>
      <c r="E1704" s="23" t="s">
        <v>4682</v>
      </c>
      <c r="F1704" s="23" t="s">
        <v>4682</v>
      </c>
      <c r="G1704" s="23" t="s">
        <v>4682</v>
      </c>
      <c r="H1704" s="23">
        <v>0</v>
      </c>
      <c r="I1704" s="23" t="s">
        <v>4682</v>
      </c>
      <c r="J1704" s="23" t="s">
        <v>4730</v>
      </c>
      <c r="K1704" s="23" t="s">
        <v>4737</v>
      </c>
      <c r="L1704">
        <v>1976</v>
      </c>
      <c r="M1704" s="15" t="s">
        <v>4696</v>
      </c>
      <c r="N1704">
        <v>20</v>
      </c>
      <c r="O1704">
        <v>2</v>
      </c>
      <c r="P1704" s="21">
        <f>DATEVALUE(N1704&amp;"-"&amp;M1704&amp;"-"&amp;L1704)</f>
        <v>27961</v>
      </c>
      <c r="Q1704" s="22">
        <v>15450.48</v>
      </c>
      <c r="R1704" s="23" t="s">
        <v>4697</v>
      </c>
      <c r="S1704" s="23" t="s">
        <v>4701</v>
      </c>
      <c r="T1704" s="23" t="s">
        <v>4720</v>
      </c>
      <c r="U1704" s="23">
        <f>DATEDIF(P1704, DATE(2023, 6, 8), "Y")</f>
        <v>46</v>
      </c>
      <c r="V1704">
        <f>SUM(C1704:K1704)</f>
        <v>29.849999999999998</v>
      </c>
    </row>
    <row r="1705" spans="1:22" ht="15.75">
      <c r="A1705" s="28" t="s">
        <v>3408</v>
      </c>
      <c r="B1705" s="28" t="s">
        <v>3409</v>
      </c>
      <c r="C1705" s="23">
        <v>15.2</v>
      </c>
      <c r="D1705" s="23">
        <v>7.81</v>
      </c>
      <c r="E1705" s="23" t="s">
        <v>4683</v>
      </c>
      <c r="F1705" s="23" t="s">
        <v>4682</v>
      </c>
      <c r="G1705" s="23" t="s">
        <v>4682</v>
      </c>
      <c r="H1705" s="23">
        <v>1</v>
      </c>
      <c r="I1705" s="23" t="s">
        <v>4682</v>
      </c>
      <c r="J1705" s="23" t="s">
        <v>4731</v>
      </c>
      <c r="K1705" s="23" t="s">
        <v>4735</v>
      </c>
      <c r="L1705">
        <v>2004</v>
      </c>
      <c r="M1705" s="15" t="s">
        <v>4696</v>
      </c>
      <c r="N1705">
        <v>17</v>
      </c>
      <c r="O1705">
        <v>0</v>
      </c>
      <c r="P1705" s="21">
        <f>DATEVALUE(N1705&amp;"-"&amp;M1705&amp;"-"&amp;L1705)</f>
        <v>38185</v>
      </c>
      <c r="Q1705" s="22">
        <v>15518.18</v>
      </c>
      <c r="R1705" s="23" t="s">
        <v>4697</v>
      </c>
      <c r="S1705" s="23" t="s">
        <v>4698</v>
      </c>
      <c r="T1705" s="23" t="s">
        <v>4709</v>
      </c>
      <c r="U1705" s="23">
        <f>DATEDIF(P1705, DATE(2023, 6, 8), "Y")</f>
        <v>18</v>
      </c>
      <c r="V1705">
        <f>SUM(C1705:K1705)</f>
        <v>24.009999999999998</v>
      </c>
    </row>
    <row r="1706" spans="1:22" ht="15.75">
      <c r="A1706" s="28" t="s">
        <v>3410</v>
      </c>
      <c r="B1706" s="28" t="s">
        <v>3411</v>
      </c>
      <c r="C1706" s="23">
        <v>22.34</v>
      </c>
      <c r="D1706" s="23">
        <v>5.19</v>
      </c>
      <c r="E1706" s="23" t="s">
        <v>4683</v>
      </c>
      <c r="F1706" s="23" t="s">
        <v>4682</v>
      </c>
      <c r="G1706" s="23" t="s">
        <v>4682</v>
      </c>
      <c r="H1706" s="23">
        <v>0</v>
      </c>
      <c r="I1706" s="23" t="s">
        <v>4682</v>
      </c>
      <c r="J1706" s="23" t="s">
        <v>4728</v>
      </c>
      <c r="K1706" s="23" t="s">
        <v>4737</v>
      </c>
      <c r="L1706">
        <v>1974</v>
      </c>
      <c r="M1706" s="15" t="s">
        <v>4702</v>
      </c>
      <c r="N1706">
        <v>28</v>
      </c>
      <c r="O1706">
        <v>0</v>
      </c>
      <c r="P1706" s="21">
        <f>DATEVALUE(N1706&amp;"-"&amp;M1706&amp;"-"&amp;L1706)</f>
        <v>27208</v>
      </c>
      <c r="Q1706" s="22">
        <v>15532.16</v>
      </c>
      <c r="R1706" s="23" t="s">
        <v>4697</v>
      </c>
      <c r="S1706" s="23" t="s">
        <v>4697</v>
      </c>
      <c r="T1706" s="23" t="s">
        <v>4720</v>
      </c>
      <c r="U1706" s="23">
        <f>DATEDIF(P1706, DATE(2023, 6, 8), "Y")</f>
        <v>48</v>
      </c>
      <c r="V1706">
        <f>SUM(C1706:K1706)</f>
        <v>27.53</v>
      </c>
    </row>
    <row r="1707" spans="1:22" ht="15.75">
      <c r="A1707" s="28" t="s">
        <v>3412</v>
      </c>
      <c r="B1707" s="28" t="s">
        <v>3413</v>
      </c>
      <c r="C1707" s="23">
        <v>40.15</v>
      </c>
      <c r="D1707" s="23">
        <v>5.93</v>
      </c>
      <c r="E1707" s="23" t="s">
        <v>4682</v>
      </c>
      <c r="F1707" s="23" t="s">
        <v>4682</v>
      </c>
      <c r="G1707" s="23" t="s">
        <v>4682</v>
      </c>
      <c r="H1707" s="23">
        <v>1</v>
      </c>
      <c r="I1707" s="23" t="s">
        <v>4682</v>
      </c>
      <c r="J1707" s="23" t="s">
        <v>4729</v>
      </c>
      <c r="K1707" s="23" t="s">
        <v>4736</v>
      </c>
      <c r="L1707">
        <v>1959</v>
      </c>
      <c r="M1707" s="15" t="s">
        <v>4707</v>
      </c>
      <c r="N1707">
        <v>2</v>
      </c>
      <c r="O1707">
        <v>3</v>
      </c>
      <c r="P1707" s="21">
        <f>DATEVALUE(N1707&amp;"-"&amp;M1707&amp;"-"&amp;L1707)</f>
        <v>21825</v>
      </c>
      <c r="Q1707" s="22">
        <v>15555.19</v>
      </c>
      <c r="R1707" s="23" t="s">
        <v>4697</v>
      </c>
      <c r="S1707" s="23" t="s">
        <v>4698</v>
      </c>
      <c r="T1707" s="23" t="s">
        <v>4704</v>
      </c>
      <c r="U1707" s="23">
        <f>DATEDIF(P1707, DATE(2023, 6, 8), "Y")</f>
        <v>63</v>
      </c>
      <c r="V1707">
        <f>SUM(C1707:K1707)</f>
        <v>47.08</v>
      </c>
    </row>
    <row r="1708" spans="1:22" ht="15.75">
      <c r="A1708" s="28" t="s">
        <v>3414</v>
      </c>
      <c r="B1708" s="28" t="s">
        <v>3415</v>
      </c>
      <c r="C1708" s="23">
        <v>37.729999999999997</v>
      </c>
      <c r="D1708" s="23">
        <v>6.29</v>
      </c>
      <c r="E1708" s="23" t="s">
        <v>4682</v>
      </c>
      <c r="F1708" s="23" t="s">
        <v>4682</v>
      </c>
      <c r="G1708" s="23" t="s">
        <v>4682</v>
      </c>
      <c r="H1708" s="23">
        <v>1</v>
      </c>
      <c r="I1708" s="23" t="s">
        <v>4682</v>
      </c>
      <c r="J1708" s="23" t="s">
        <v>4729</v>
      </c>
      <c r="K1708" s="23" t="s">
        <v>4736</v>
      </c>
      <c r="L1708">
        <v>1974</v>
      </c>
      <c r="M1708" s="15" t="s">
        <v>4696</v>
      </c>
      <c r="N1708">
        <v>30</v>
      </c>
      <c r="O1708">
        <v>0</v>
      </c>
      <c r="P1708" s="21">
        <f>DATEVALUE(N1708&amp;"-"&amp;M1708&amp;"-"&amp;L1708)</f>
        <v>27240</v>
      </c>
      <c r="Q1708" s="22">
        <v>15556.67</v>
      </c>
      <c r="R1708" s="23" t="s">
        <v>4697</v>
      </c>
      <c r="S1708" s="23" t="s">
        <v>4697</v>
      </c>
      <c r="T1708" s="23" t="s">
        <v>4704</v>
      </c>
      <c r="U1708" s="23">
        <f>DATEDIF(P1708, DATE(2023, 6, 8), "Y")</f>
        <v>48</v>
      </c>
      <c r="V1708">
        <f>SUM(C1708:K1708)</f>
        <v>45.019999999999996</v>
      </c>
    </row>
    <row r="1709" spans="1:22" ht="15.75">
      <c r="A1709" s="28" t="s">
        <v>3416</v>
      </c>
      <c r="B1709" s="28" t="s">
        <v>3417</v>
      </c>
      <c r="C1709" s="23">
        <v>25.35</v>
      </c>
      <c r="D1709" s="23">
        <v>4.9000000000000004</v>
      </c>
      <c r="E1709" s="23" t="s">
        <v>4682</v>
      </c>
      <c r="F1709" s="23" t="s">
        <v>4682</v>
      </c>
      <c r="G1709" s="23" t="s">
        <v>4682</v>
      </c>
      <c r="H1709" s="23">
        <v>0</v>
      </c>
      <c r="I1709" s="23" t="s">
        <v>4682</v>
      </c>
      <c r="J1709" s="23" t="s">
        <v>4730</v>
      </c>
      <c r="K1709" s="23" t="s">
        <v>4737</v>
      </c>
      <c r="L1709">
        <v>1965</v>
      </c>
      <c r="M1709" s="15" t="s">
        <v>4707</v>
      </c>
      <c r="N1709">
        <v>28</v>
      </c>
      <c r="O1709">
        <v>0</v>
      </c>
      <c r="P1709" s="21">
        <f>DATEVALUE(N1709&amp;"-"&amp;M1709&amp;"-"&amp;L1709)</f>
        <v>24043</v>
      </c>
      <c r="Q1709" s="22">
        <v>15608.58</v>
      </c>
      <c r="R1709" s="23" t="s">
        <v>4697</v>
      </c>
      <c r="S1709" s="23" t="s">
        <v>4697</v>
      </c>
      <c r="T1709" s="23" t="s">
        <v>4720</v>
      </c>
      <c r="U1709" s="23">
        <f>DATEDIF(P1709, DATE(2023, 6, 8), "Y")</f>
        <v>57</v>
      </c>
      <c r="V1709">
        <f>SUM(C1709:K1709)</f>
        <v>30.25</v>
      </c>
    </row>
    <row r="1710" spans="1:22" ht="15.75">
      <c r="A1710" s="28" t="s">
        <v>3418</v>
      </c>
      <c r="B1710" s="28" t="s">
        <v>3419</v>
      </c>
      <c r="C1710" s="23">
        <v>26.41</v>
      </c>
      <c r="D1710" s="23">
        <v>5.07</v>
      </c>
      <c r="E1710" s="23" t="s">
        <v>4683</v>
      </c>
      <c r="F1710" s="23" t="s">
        <v>4682</v>
      </c>
      <c r="G1710" s="23" t="s">
        <v>4682</v>
      </c>
      <c r="H1710" s="23">
        <v>1</v>
      </c>
      <c r="I1710" s="23" t="s">
        <v>4682</v>
      </c>
      <c r="J1710" s="23" t="s">
        <v>4730</v>
      </c>
      <c r="K1710" s="23" t="s">
        <v>4737</v>
      </c>
      <c r="L1710">
        <v>1960</v>
      </c>
      <c r="M1710" s="15" t="s">
        <v>4702</v>
      </c>
      <c r="N1710">
        <v>6</v>
      </c>
      <c r="O1710">
        <v>3</v>
      </c>
      <c r="P1710" s="21">
        <f>DATEVALUE(N1710&amp;"-"&amp;M1710&amp;"-"&amp;L1710)</f>
        <v>22073</v>
      </c>
      <c r="Q1710" s="22">
        <v>15612.19</v>
      </c>
      <c r="R1710" s="23" t="s">
        <v>4697</v>
      </c>
      <c r="S1710" s="23" t="s">
        <v>4697</v>
      </c>
      <c r="T1710" s="23" t="s">
        <v>4704</v>
      </c>
      <c r="U1710" s="23">
        <f>DATEDIF(P1710, DATE(2023, 6, 8), "Y")</f>
        <v>63</v>
      </c>
      <c r="V1710">
        <f>SUM(C1710:K1710)</f>
        <v>32.480000000000004</v>
      </c>
    </row>
    <row r="1711" spans="1:22" ht="15.75">
      <c r="A1711" s="28" t="s">
        <v>3420</v>
      </c>
      <c r="B1711" s="28" t="s">
        <v>3421</v>
      </c>
      <c r="C1711" s="23">
        <v>27.6</v>
      </c>
      <c r="D1711" s="23">
        <v>5.33</v>
      </c>
      <c r="E1711" s="23" t="s">
        <v>4682</v>
      </c>
      <c r="F1711" s="23" t="s">
        <v>4682</v>
      </c>
      <c r="G1711" s="23" t="s">
        <v>4682</v>
      </c>
      <c r="H1711" s="23">
        <v>1</v>
      </c>
      <c r="I1711" s="23" t="s">
        <v>4682</v>
      </c>
      <c r="J1711" s="23" t="s">
        <v>4730</v>
      </c>
      <c r="K1711" s="23" t="s">
        <v>4737</v>
      </c>
      <c r="L1711">
        <v>1988</v>
      </c>
      <c r="M1711" s="15" t="s">
        <v>4705</v>
      </c>
      <c r="N1711">
        <v>22</v>
      </c>
      <c r="O1711">
        <v>3</v>
      </c>
      <c r="P1711" s="21">
        <f>DATEVALUE(N1711&amp;"-"&amp;M1711&amp;"-"&amp;L1711)</f>
        <v>32499</v>
      </c>
      <c r="Q1711" s="22">
        <v>15646.28</v>
      </c>
      <c r="R1711" s="23" t="s">
        <v>4697</v>
      </c>
      <c r="S1711" s="23" t="s">
        <v>4697</v>
      </c>
      <c r="T1711" s="23" t="s">
        <v>4708</v>
      </c>
      <c r="U1711" s="23">
        <f>DATEDIF(P1711, DATE(2023, 6, 8), "Y")</f>
        <v>34</v>
      </c>
      <c r="V1711">
        <f>SUM(C1711:K1711)</f>
        <v>33.93</v>
      </c>
    </row>
    <row r="1712" spans="1:22" ht="15.75">
      <c r="A1712" s="28" t="s">
        <v>3422</v>
      </c>
      <c r="B1712" s="28" t="s">
        <v>3423</v>
      </c>
      <c r="C1712" s="23">
        <v>33.82</v>
      </c>
      <c r="D1712" s="23">
        <v>8.93</v>
      </c>
      <c r="E1712" s="23" t="s">
        <v>4683</v>
      </c>
      <c r="F1712" s="23" t="s">
        <v>4682</v>
      </c>
      <c r="G1712" s="23" t="s">
        <v>4682</v>
      </c>
      <c r="H1712" s="23">
        <v>1</v>
      </c>
      <c r="I1712" s="23" t="s">
        <v>4682</v>
      </c>
      <c r="J1712" s="23" t="s">
        <v>4729</v>
      </c>
      <c r="K1712" s="23" t="s">
        <v>4735</v>
      </c>
      <c r="L1712">
        <v>1973</v>
      </c>
      <c r="M1712" s="15" t="s">
        <v>4702</v>
      </c>
      <c r="N1712">
        <v>26</v>
      </c>
      <c r="O1712">
        <v>0</v>
      </c>
      <c r="P1712" s="21">
        <f>DATEVALUE(N1712&amp;"-"&amp;M1712&amp;"-"&amp;L1712)</f>
        <v>26841</v>
      </c>
      <c r="Q1712" s="22">
        <v>15670.3</v>
      </c>
      <c r="R1712" s="23" t="s">
        <v>4697</v>
      </c>
      <c r="S1712" s="23" t="s">
        <v>4697</v>
      </c>
      <c r="T1712" s="23" t="s">
        <v>4720</v>
      </c>
      <c r="U1712" s="23">
        <f>DATEDIF(P1712, DATE(2023, 6, 8), "Y")</f>
        <v>49</v>
      </c>
      <c r="V1712">
        <f>SUM(C1712:K1712)</f>
        <v>43.75</v>
      </c>
    </row>
    <row r="1713" spans="1:22" ht="15.75">
      <c r="A1713" s="28" t="s">
        <v>3424</v>
      </c>
      <c r="B1713" s="28" t="s">
        <v>3425</v>
      </c>
      <c r="C1713" s="23">
        <v>32.9</v>
      </c>
      <c r="D1713" s="23">
        <v>4.3499999999999996</v>
      </c>
      <c r="E1713" s="23" t="s">
        <v>4682</v>
      </c>
      <c r="F1713" s="23" t="s">
        <v>4682</v>
      </c>
      <c r="G1713" s="23" t="s">
        <v>4682</v>
      </c>
      <c r="H1713" s="23">
        <v>0</v>
      </c>
      <c r="I1713" s="23" t="s">
        <v>4682</v>
      </c>
      <c r="J1713" s="23" t="s">
        <v>4729</v>
      </c>
      <c r="K1713" s="23" t="s">
        <v>4737</v>
      </c>
      <c r="L1713">
        <v>1976</v>
      </c>
      <c r="M1713" s="15" t="s">
        <v>4703</v>
      </c>
      <c r="N1713">
        <v>20</v>
      </c>
      <c r="O1713">
        <v>2</v>
      </c>
      <c r="P1713" s="21">
        <f>DATEVALUE(N1713&amp;"-"&amp;M1713&amp;"-"&amp;L1713)</f>
        <v>28023</v>
      </c>
      <c r="Q1713" s="22">
        <v>15698.86</v>
      </c>
      <c r="R1713" s="23" t="s">
        <v>4697</v>
      </c>
      <c r="S1713" s="23" t="s">
        <v>4697</v>
      </c>
      <c r="T1713" s="23" t="s">
        <v>4704</v>
      </c>
      <c r="U1713" s="23">
        <f>DATEDIF(P1713, DATE(2023, 6, 8), "Y")</f>
        <v>46</v>
      </c>
      <c r="V1713">
        <f>SUM(C1713:K1713)</f>
        <v>37.25</v>
      </c>
    </row>
    <row r="1714" spans="1:22" ht="15.75">
      <c r="A1714" s="28" t="s">
        <v>3426</v>
      </c>
      <c r="B1714" s="28" t="s">
        <v>3427</v>
      </c>
      <c r="C1714" s="23">
        <v>30.875</v>
      </c>
      <c r="D1714" s="23">
        <v>9.5399999999999991</v>
      </c>
      <c r="E1714" s="23" t="s">
        <v>4683</v>
      </c>
      <c r="F1714" s="23" t="s">
        <v>4682</v>
      </c>
      <c r="G1714" s="23" t="s">
        <v>4682</v>
      </c>
      <c r="H1714" s="23">
        <v>1</v>
      </c>
      <c r="I1714" s="23" t="s">
        <v>4682</v>
      </c>
      <c r="J1714" s="23" t="s">
        <v>4729</v>
      </c>
      <c r="K1714" s="23" t="s">
        <v>4735</v>
      </c>
      <c r="L1714">
        <v>1974</v>
      </c>
      <c r="M1714" s="15" t="s">
        <v>4706</v>
      </c>
      <c r="N1714">
        <v>29</v>
      </c>
      <c r="O1714">
        <v>0</v>
      </c>
      <c r="P1714" s="21">
        <f>DATEVALUE(N1714&amp;"-"&amp;M1714&amp;"-"&amp;L1714)</f>
        <v>27270</v>
      </c>
      <c r="Q1714" s="22">
        <v>15746.62</v>
      </c>
      <c r="R1714" s="23" t="s">
        <v>4697</v>
      </c>
      <c r="S1714" s="23" t="s">
        <v>4701</v>
      </c>
      <c r="T1714" s="23" t="s">
        <v>4704</v>
      </c>
      <c r="U1714" s="23">
        <f>DATEDIF(P1714, DATE(2023, 6, 8), "Y")</f>
        <v>48</v>
      </c>
      <c r="V1714">
        <f>SUM(C1714:K1714)</f>
        <v>41.414999999999999</v>
      </c>
    </row>
    <row r="1715" spans="1:22" ht="15.75">
      <c r="A1715" s="28" t="s">
        <v>3428</v>
      </c>
      <c r="B1715" s="28" t="s">
        <v>3429</v>
      </c>
      <c r="C1715" s="23">
        <v>32.64</v>
      </c>
      <c r="D1715" s="23">
        <v>5.91</v>
      </c>
      <c r="E1715" s="23" t="s">
        <v>4682</v>
      </c>
      <c r="F1715" s="23" t="s">
        <v>4682</v>
      </c>
      <c r="G1715" s="23" t="s">
        <v>4682</v>
      </c>
      <c r="H1715" s="23">
        <v>0</v>
      </c>
      <c r="I1715" s="23" t="s">
        <v>4682</v>
      </c>
      <c r="J1715" s="23" t="s">
        <v>4729</v>
      </c>
      <c r="K1715" s="23" t="s">
        <v>4736</v>
      </c>
      <c r="L1715">
        <v>1997</v>
      </c>
      <c r="M1715" s="15" t="s">
        <v>4707</v>
      </c>
      <c r="N1715">
        <v>9</v>
      </c>
      <c r="O1715">
        <v>0</v>
      </c>
      <c r="P1715" s="21">
        <f>DATEVALUE(N1715&amp;"-"&amp;M1715&amp;"-"&amp;L1715)</f>
        <v>35712</v>
      </c>
      <c r="Q1715" s="22">
        <v>15817.99</v>
      </c>
      <c r="R1715" s="23" t="s">
        <v>4697</v>
      </c>
      <c r="S1715" s="23" t="s">
        <v>4697</v>
      </c>
      <c r="T1715" s="23" t="s">
        <v>4704</v>
      </c>
      <c r="U1715" s="23">
        <f>DATEDIF(P1715, DATE(2023, 6, 8), "Y")</f>
        <v>25</v>
      </c>
      <c r="V1715">
        <f>SUM(C1715:K1715)</f>
        <v>38.549999999999997</v>
      </c>
    </row>
    <row r="1716" spans="1:22" ht="15.75">
      <c r="A1716" s="28" t="s">
        <v>3430</v>
      </c>
      <c r="B1716" s="28" t="s">
        <v>3431</v>
      </c>
      <c r="C1716" s="23">
        <v>22.135000000000002</v>
      </c>
      <c r="D1716" s="23">
        <v>5.0999999999999996</v>
      </c>
      <c r="E1716" s="23" t="s">
        <v>4682</v>
      </c>
      <c r="F1716" s="23" t="s">
        <v>4682</v>
      </c>
      <c r="G1716" s="23" t="s">
        <v>4682</v>
      </c>
      <c r="H1716" s="23">
        <v>0</v>
      </c>
      <c r="I1716" s="23" t="s">
        <v>4682</v>
      </c>
      <c r="J1716" s="23" t="s">
        <v>4728</v>
      </c>
      <c r="K1716" s="23" t="s">
        <v>4737</v>
      </c>
      <c r="L1716">
        <v>1984</v>
      </c>
      <c r="M1716" s="15" t="s">
        <v>4702</v>
      </c>
      <c r="N1716">
        <v>26</v>
      </c>
      <c r="O1716">
        <v>0</v>
      </c>
      <c r="P1716" s="21">
        <f>DATEVALUE(N1716&amp;"-"&amp;M1716&amp;"-"&amp;L1716)</f>
        <v>30859</v>
      </c>
      <c r="Q1716" s="22">
        <v>15820.7</v>
      </c>
      <c r="R1716" s="23" t="s">
        <v>4697</v>
      </c>
      <c r="S1716" s="23" t="s">
        <v>4698</v>
      </c>
      <c r="T1716" s="23" t="s">
        <v>4708</v>
      </c>
      <c r="U1716" s="23">
        <f>DATEDIF(P1716, DATE(2023, 6, 8), "Y")</f>
        <v>38</v>
      </c>
      <c r="V1716">
        <f>SUM(C1716:K1716)</f>
        <v>27.234999999999999</v>
      </c>
    </row>
    <row r="1717" spans="1:22" ht="15.75">
      <c r="A1717" s="28" t="s">
        <v>3432</v>
      </c>
      <c r="B1717" s="28" t="s">
        <v>3433</v>
      </c>
      <c r="C1717" s="23">
        <v>16.53</v>
      </c>
      <c r="D1717" s="23">
        <v>5.08</v>
      </c>
      <c r="E1717" s="23" t="s">
        <v>4682</v>
      </c>
      <c r="F1717" s="23" t="s">
        <v>4682</v>
      </c>
      <c r="G1717" s="23" t="s">
        <v>4682</v>
      </c>
      <c r="H1717" s="23">
        <v>2</v>
      </c>
      <c r="I1717" s="23" t="s">
        <v>4682</v>
      </c>
      <c r="J1717" s="23" t="s">
        <v>4731</v>
      </c>
      <c r="K1717" s="23" t="s">
        <v>4737</v>
      </c>
      <c r="L1717">
        <v>1982</v>
      </c>
      <c r="M1717" s="15" t="s">
        <v>4700</v>
      </c>
      <c r="N1717">
        <v>11</v>
      </c>
      <c r="O1717">
        <v>4</v>
      </c>
      <c r="P1717" s="21">
        <f>DATEVALUE(N1717&amp;"-"&amp;M1717&amp;"-"&amp;L1717)</f>
        <v>30266</v>
      </c>
      <c r="Q1717" s="22">
        <v>15828.82</v>
      </c>
      <c r="R1717" s="23" t="s">
        <v>4697</v>
      </c>
      <c r="S1717" s="23" t="s">
        <v>4698</v>
      </c>
      <c r="T1717" s="23" t="s">
        <v>4708</v>
      </c>
      <c r="U1717" s="23">
        <f>DATEDIF(P1717, DATE(2023, 6, 8), "Y")</f>
        <v>40</v>
      </c>
      <c r="V1717">
        <f>SUM(C1717:K1717)</f>
        <v>23.61</v>
      </c>
    </row>
    <row r="1718" spans="1:22" ht="15.75">
      <c r="A1718" s="28" t="s">
        <v>3434</v>
      </c>
      <c r="B1718" s="28" t="s">
        <v>3435</v>
      </c>
      <c r="C1718" s="23">
        <v>32.774999999999999</v>
      </c>
      <c r="D1718" s="23">
        <v>4.75</v>
      </c>
      <c r="E1718" s="23" t="s">
        <v>4682</v>
      </c>
      <c r="F1718" s="23" t="s">
        <v>4682</v>
      </c>
      <c r="G1718" s="23" t="s">
        <v>4682</v>
      </c>
      <c r="H1718" s="23">
        <v>0</v>
      </c>
      <c r="I1718" s="23" t="s">
        <v>4682</v>
      </c>
      <c r="J1718" s="23" t="s">
        <v>4729</v>
      </c>
      <c r="K1718" s="23" t="s">
        <v>4737</v>
      </c>
      <c r="L1718">
        <v>1962</v>
      </c>
      <c r="M1718" s="15" t="s">
        <v>4705</v>
      </c>
      <c r="N1718">
        <v>25</v>
      </c>
      <c r="O1718">
        <v>0</v>
      </c>
      <c r="P1718" s="21">
        <f>DATEVALUE(N1718&amp;"-"&amp;M1718&amp;"-"&amp;L1718)</f>
        <v>23005</v>
      </c>
      <c r="Q1718" s="22">
        <v>15840.81</v>
      </c>
      <c r="R1718" s="23" t="s">
        <v>4697</v>
      </c>
      <c r="S1718" s="23" t="s">
        <v>4701</v>
      </c>
      <c r="T1718" s="23" t="s">
        <v>4721</v>
      </c>
      <c r="U1718" s="23">
        <f>DATEDIF(P1718, DATE(2023, 6, 8), "Y")</f>
        <v>60</v>
      </c>
      <c r="V1718">
        <f>SUM(C1718:K1718)</f>
        <v>37.524999999999999</v>
      </c>
    </row>
    <row r="1719" spans="1:22" ht="15.75">
      <c r="A1719" s="28" t="s">
        <v>3436</v>
      </c>
      <c r="B1719" s="28" t="s">
        <v>3437</v>
      </c>
      <c r="C1719" s="23">
        <v>30.9</v>
      </c>
      <c r="D1719" s="23">
        <v>6.05</v>
      </c>
      <c r="E1719" s="23" t="s">
        <v>4682</v>
      </c>
      <c r="F1719" s="23" t="s">
        <v>4682</v>
      </c>
      <c r="G1719" s="23" t="s">
        <v>4682</v>
      </c>
      <c r="H1719" s="23">
        <v>1</v>
      </c>
      <c r="I1719" s="23" t="s">
        <v>4682</v>
      </c>
      <c r="J1719" s="23" t="s">
        <v>4729</v>
      </c>
      <c r="K1719" s="23" t="s">
        <v>4736</v>
      </c>
      <c r="L1719">
        <v>1980</v>
      </c>
      <c r="M1719" s="15" t="s">
        <v>4707</v>
      </c>
      <c r="N1719">
        <v>12</v>
      </c>
      <c r="O1719">
        <v>2</v>
      </c>
      <c r="P1719" s="21">
        <f>DATEVALUE(N1719&amp;"-"&amp;M1719&amp;"-"&amp;L1719)</f>
        <v>29506</v>
      </c>
      <c r="Q1719" s="22">
        <v>15922.29</v>
      </c>
      <c r="R1719" s="23" t="s">
        <v>4697</v>
      </c>
      <c r="S1719" s="23" t="s">
        <v>4698</v>
      </c>
      <c r="T1719" s="23" t="s">
        <v>4720</v>
      </c>
      <c r="U1719" s="23">
        <f>DATEDIF(P1719, DATE(2023, 6, 8), "Y")</f>
        <v>42</v>
      </c>
      <c r="V1719">
        <f>SUM(C1719:K1719)</f>
        <v>37.949999999999996</v>
      </c>
    </row>
    <row r="1720" spans="1:22" ht="15.75">
      <c r="A1720" s="28" t="s">
        <v>3438</v>
      </c>
      <c r="B1720" s="28" t="s">
        <v>3439</v>
      </c>
      <c r="C1720" s="23">
        <v>15.58</v>
      </c>
      <c r="D1720" s="23">
        <v>11.56</v>
      </c>
      <c r="E1720" s="23" t="s">
        <v>4682</v>
      </c>
      <c r="F1720" s="23" t="s">
        <v>4682</v>
      </c>
      <c r="G1720" s="23" t="s">
        <v>4682</v>
      </c>
      <c r="H1720" s="23">
        <v>0</v>
      </c>
      <c r="I1720" s="23" t="s">
        <v>4682</v>
      </c>
      <c r="J1720" s="23" t="s">
        <v>4731</v>
      </c>
      <c r="K1720" s="23" t="s">
        <v>4735</v>
      </c>
      <c r="L1720">
        <v>1982</v>
      </c>
      <c r="M1720" s="15" t="s">
        <v>4696</v>
      </c>
      <c r="N1720">
        <v>24</v>
      </c>
      <c r="O1720">
        <v>3</v>
      </c>
      <c r="P1720" s="21">
        <f>DATEVALUE(N1720&amp;"-"&amp;M1720&amp;"-"&amp;L1720)</f>
        <v>30156</v>
      </c>
      <c r="Q1720" s="22">
        <v>15965.29</v>
      </c>
      <c r="R1720" s="23" t="s">
        <v>4697</v>
      </c>
      <c r="S1720" s="23" t="s">
        <v>4701</v>
      </c>
      <c r="T1720" s="23" t="s">
        <v>4704</v>
      </c>
      <c r="U1720" s="23">
        <f>DATEDIF(P1720, DATE(2023, 6, 8), "Y")</f>
        <v>40</v>
      </c>
      <c r="V1720">
        <f>SUM(C1720:K1720)</f>
        <v>27.14</v>
      </c>
    </row>
    <row r="1721" spans="1:22" ht="15.75">
      <c r="A1721" s="28" t="s">
        <v>3440</v>
      </c>
      <c r="B1721" s="28" t="s">
        <v>3441</v>
      </c>
      <c r="C1721" s="23">
        <v>26.315000000000001</v>
      </c>
      <c r="D1721" s="23">
        <v>5.76</v>
      </c>
      <c r="E1721" s="23" t="s">
        <v>4682</v>
      </c>
      <c r="F1721" s="23" t="s">
        <v>4682</v>
      </c>
      <c r="G1721" s="23" t="s">
        <v>4682</v>
      </c>
      <c r="H1721" s="23">
        <v>0</v>
      </c>
      <c r="I1721" s="23" t="s">
        <v>4682</v>
      </c>
      <c r="J1721" s="23" t="s">
        <v>4730</v>
      </c>
      <c r="K1721" s="23" t="s">
        <v>4736</v>
      </c>
      <c r="L1721">
        <v>1980</v>
      </c>
      <c r="M1721" s="15" t="s">
        <v>4703</v>
      </c>
      <c r="N1721">
        <v>19</v>
      </c>
      <c r="O1721">
        <v>2</v>
      </c>
      <c r="P1721" s="21">
        <f>DATEVALUE(N1721&amp;"-"&amp;M1721&amp;"-"&amp;L1721)</f>
        <v>29483</v>
      </c>
      <c r="Q1721" s="22">
        <v>15966.19</v>
      </c>
      <c r="R1721" s="23" t="s">
        <v>4697</v>
      </c>
      <c r="S1721" s="23" t="s">
        <v>4697</v>
      </c>
      <c r="T1721" s="23" t="s">
        <v>4704</v>
      </c>
      <c r="U1721" s="23">
        <f>DATEDIF(P1721, DATE(2023, 6, 8), "Y")</f>
        <v>42</v>
      </c>
      <c r="V1721">
        <f>SUM(C1721:K1721)</f>
        <v>32.075000000000003</v>
      </c>
    </row>
    <row r="1722" spans="1:22" ht="15.75">
      <c r="A1722" s="28" t="s">
        <v>3442</v>
      </c>
      <c r="B1722" s="28" t="s">
        <v>3443</v>
      </c>
      <c r="C1722" s="23">
        <v>35.61</v>
      </c>
      <c r="D1722" s="23">
        <v>5.65</v>
      </c>
      <c r="E1722" s="23" t="s">
        <v>4682</v>
      </c>
      <c r="F1722" s="23" t="s">
        <v>4683</v>
      </c>
      <c r="G1722" s="23" t="s">
        <v>4682</v>
      </c>
      <c r="H1722" s="23">
        <v>1</v>
      </c>
      <c r="I1722" s="23" t="s">
        <v>4682</v>
      </c>
      <c r="J1722" s="23" t="s">
        <v>4729</v>
      </c>
      <c r="K1722" s="23" t="s">
        <v>4737</v>
      </c>
      <c r="L1722">
        <v>1988</v>
      </c>
      <c r="M1722" s="15" t="s">
        <v>4705</v>
      </c>
      <c r="N1722">
        <v>5</v>
      </c>
      <c r="O1722">
        <v>3</v>
      </c>
      <c r="P1722" s="21">
        <f>DATEVALUE(N1722&amp;"-"&amp;M1722&amp;"-"&amp;L1722)</f>
        <v>32482</v>
      </c>
      <c r="Q1722" s="22">
        <v>16059.06</v>
      </c>
      <c r="R1722" s="23" t="s">
        <v>4697</v>
      </c>
      <c r="S1722" s="23" t="s">
        <v>4698</v>
      </c>
      <c r="T1722" s="23" t="s">
        <v>4704</v>
      </c>
      <c r="U1722" s="23">
        <f>DATEDIF(P1722, DATE(2023, 6, 8), "Y")</f>
        <v>34</v>
      </c>
      <c r="V1722">
        <f>SUM(C1722:K1722)</f>
        <v>42.26</v>
      </c>
    </row>
    <row r="1723" spans="1:22" ht="15.75">
      <c r="A1723" s="28" t="s">
        <v>3444</v>
      </c>
      <c r="B1723" s="28" t="s">
        <v>3445</v>
      </c>
      <c r="C1723" s="23">
        <v>37.56</v>
      </c>
      <c r="D1723" s="23">
        <v>5.88</v>
      </c>
      <c r="E1723" s="23" t="s">
        <v>4682</v>
      </c>
      <c r="F1723" s="23" t="s">
        <v>4683</v>
      </c>
      <c r="G1723" s="23" t="s">
        <v>4682</v>
      </c>
      <c r="H1723" s="23">
        <v>1</v>
      </c>
      <c r="I1723" s="23" t="s">
        <v>4682</v>
      </c>
      <c r="J1723" s="23" t="s">
        <v>4729</v>
      </c>
      <c r="K1723" s="23" t="s">
        <v>4736</v>
      </c>
      <c r="L1723">
        <v>1978</v>
      </c>
      <c r="M1723" s="15" t="s">
        <v>4703</v>
      </c>
      <c r="N1723">
        <v>16</v>
      </c>
      <c r="O1723">
        <v>2</v>
      </c>
      <c r="P1723" s="21">
        <f>DATEVALUE(N1723&amp;"-"&amp;M1723&amp;"-"&amp;L1723)</f>
        <v>28749</v>
      </c>
      <c r="Q1723" s="22">
        <v>16062.89</v>
      </c>
      <c r="R1723" s="23" t="s">
        <v>4697</v>
      </c>
      <c r="S1723" s="23" t="s">
        <v>4697</v>
      </c>
      <c r="T1723" s="23" t="s">
        <v>4720</v>
      </c>
      <c r="U1723" s="23">
        <f>DATEDIF(P1723, DATE(2023, 6, 8), "Y")</f>
        <v>44</v>
      </c>
      <c r="V1723">
        <f>SUM(C1723:K1723)</f>
        <v>44.440000000000005</v>
      </c>
    </row>
    <row r="1724" spans="1:22" ht="15.75">
      <c r="A1724" s="28" t="s">
        <v>3446</v>
      </c>
      <c r="B1724" s="28" t="s">
        <v>3447</v>
      </c>
      <c r="C1724" s="23">
        <v>15.49</v>
      </c>
      <c r="D1724" s="23">
        <v>9.6</v>
      </c>
      <c r="E1724" s="23" t="s">
        <v>4682</v>
      </c>
      <c r="F1724" s="23" t="s">
        <v>4682</v>
      </c>
      <c r="G1724" s="23" t="s">
        <v>4682</v>
      </c>
      <c r="H1724" s="23">
        <v>0</v>
      </c>
      <c r="I1724" s="23" t="s">
        <v>4682</v>
      </c>
      <c r="J1724" s="23" t="s">
        <v>4731</v>
      </c>
      <c r="K1724" s="23" t="s">
        <v>4735</v>
      </c>
      <c r="L1724">
        <v>1958</v>
      </c>
      <c r="M1724" s="15" t="s">
        <v>4707</v>
      </c>
      <c r="N1724">
        <v>22</v>
      </c>
      <c r="O1724">
        <v>2</v>
      </c>
      <c r="P1724" s="21">
        <f>DATEVALUE(N1724&amp;"-"&amp;M1724&amp;"-"&amp;L1724)</f>
        <v>21480</v>
      </c>
      <c r="Q1724" s="22">
        <v>16069.08</v>
      </c>
      <c r="R1724" s="23" t="s">
        <v>4697</v>
      </c>
      <c r="S1724" s="23" t="s">
        <v>4697</v>
      </c>
      <c r="T1724" s="23" t="s">
        <v>4714</v>
      </c>
      <c r="U1724" s="23">
        <f>DATEDIF(P1724, DATE(2023, 6, 8), "Y")</f>
        <v>64</v>
      </c>
      <c r="V1724">
        <f>SUM(C1724:K1724)</f>
        <v>25.09</v>
      </c>
    </row>
    <row r="1725" spans="1:22" ht="15.75">
      <c r="A1725" s="28" t="s">
        <v>3448</v>
      </c>
      <c r="B1725" s="28" t="s">
        <v>3449</v>
      </c>
      <c r="C1725" s="23">
        <v>23.48</v>
      </c>
      <c r="D1725" s="23">
        <v>6.24</v>
      </c>
      <c r="E1725" s="23" t="s">
        <v>4682</v>
      </c>
      <c r="F1725" s="23" t="s">
        <v>4682</v>
      </c>
      <c r="G1725" s="23" t="s">
        <v>4682</v>
      </c>
      <c r="H1725" s="23">
        <v>1</v>
      </c>
      <c r="I1725" s="23" t="s">
        <v>4682</v>
      </c>
      <c r="J1725" s="23" t="s">
        <v>4728</v>
      </c>
      <c r="K1725" s="23" t="s">
        <v>4736</v>
      </c>
      <c r="L1725">
        <v>1958</v>
      </c>
      <c r="M1725" s="15" t="s">
        <v>4702</v>
      </c>
      <c r="N1725">
        <v>21</v>
      </c>
      <c r="O1725">
        <v>3</v>
      </c>
      <c r="P1725" s="21">
        <f>DATEVALUE(N1725&amp;"-"&amp;M1725&amp;"-"&amp;L1725)</f>
        <v>21357</v>
      </c>
      <c r="Q1725" s="22">
        <v>16085.13</v>
      </c>
      <c r="R1725" s="23" t="s">
        <v>4697</v>
      </c>
      <c r="S1725" s="23" t="s">
        <v>4697</v>
      </c>
      <c r="T1725" s="23" t="s">
        <v>4699</v>
      </c>
      <c r="U1725" s="23">
        <f>DATEDIF(P1725, DATE(2023, 6, 8), "Y")</f>
        <v>64</v>
      </c>
      <c r="V1725">
        <f>SUM(C1725:K1725)</f>
        <v>30.72</v>
      </c>
    </row>
    <row r="1726" spans="1:22" ht="15.75">
      <c r="A1726" s="28" t="s">
        <v>3450</v>
      </c>
      <c r="B1726" s="28" t="s">
        <v>3451</v>
      </c>
      <c r="C1726" s="23">
        <v>30.02</v>
      </c>
      <c r="D1726" s="23">
        <v>7.63</v>
      </c>
      <c r="E1726" s="23" t="s">
        <v>4683</v>
      </c>
      <c r="F1726" s="23" t="s">
        <v>4682</v>
      </c>
      <c r="G1726" s="23" t="s">
        <v>4682</v>
      </c>
      <c r="H1726" s="23">
        <v>1</v>
      </c>
      <c r="I1726" s="23" t="s">
        <v>4682</v>
      </c>
      <c r="J1726" s="23" t="s">
        <v>4729</v>
      </c>
      <c r="K1726" s="23" t="s">
        <v>4735</v>
      </c>
      <c r="L1726">
        <v>1985</v>
      </c>
      <c r="M1726" s="15" t="s">
        <v>4706</v>
      </c>
      <c r="N1726">
        <v>27</v>
      </c>
      <c r="O1726">
        <v>3</v>
      </c>
      <c r="P1726" s="21">
        <f>DATEVALUE(N1726&amp;"-"&amp;M1726&amp;"-"&amp;L1726)</f>
        <v>31286</v>
      </c>
      <c r="Q1726" s="22">
        <v>16097.94</v>
      </c>
      <c r="R1726" s="23" t="s">
        <v>4697</v>
      </c>
      <c r="S1726" s="23" t="s">
        <v>4698</v>
      </c>
      <c r="T1726" s="23" t="s">
        <v>4704</v>
      </c>
      <c r="U1726" s="23">
        <f>DATEDIF(P1726, DATE(2023, 6, 8), "Y")</f>
        <v>37</v>
      </c>
      <c r="V1726">
        <f>SUM(C1726:K1726)</f>
        <v>38.65</v>
      </c>
    </row>
    <row r="1727" spans="1:22" ht="15.75">
      <c r="A1727" s="28" t="s">
        <v>3452</v>
      </c>
      <c r="B1727" s="28" t="s">
        <v>3453</v>
      </c>
      <c r="C1727" s="23">
        <v>26.885000000000002</v>
      </c>
      <c r="D1727" s="23">
        <v>8.66</v>
      </c>
      <c r="E1727" s="23" t="s">
        <v>4683</v>
      </c>
      <c r="F1727" s="23" t="s">
        <v>4682</v>
      </c>
      <c r="G1727" s="23" t="s">
        <v>4682</v>
      </c>
      <c r="H1727" s="23">
        <v>1</v>
      </c>
      <c r="I1727" s="23" t="s">
        <v>4682</v>
      </c>
      <c r="J1727" s="23" t="s">
        <v>4730</v>
      </c>
      <c r="K1727" s="23" t="s">
        <v>4735</v>
      </c>
      <c r="L1727">
        <v>1993</v>
      </c>
      <c r="M1727" s="15" t="s">
        <v>4706</v>
      </c>
      <c r="N1727">
        <v>8</v>
      </c>
      <c r="O1727">
        <v>0</v>
      </c>
      <c r="P1727" s="21">
        <f>DATEVALUE(N1727&amp;"-"&amp;M1727&amp;"-"&amp;L1727)</f>
        <v>34189</v>
      </c>
      <c r="Q1727" s="22">
        <v>16115.3</v>
      </c>
      <c r="R1727" s="23" t="s">
        <v>4697</v>
      </c>
      <c r="S1727" s="23" t="s">
        <v>4701</v>
      </c>
      <c r="T1727" s="23" t="s">
        <v>4714</v>
      </c>
      <c r="U1727" s="23">
        <f>DATEDIF(P1727, DATE(2023, 6, 8), "Y")</f>
        <v>29</v>
      </c>
      <c r="V1727">
        <f>SUM(C1727:K1727)</f>
        <v>36.545000000000002</v>
      </c>
    </row>
    <row r="1728" spans="1:22" ht="15.75">
      <c r="A1728" s="28" t="s">
        <v>3454</v>
      </c>
      <c r="B1728" s="28" t="s">
        <v>3455</v>
      </c>
      <c r="C1728" s="23">
        <v>25.84</v>
      </c>
      <c r="D1728" s="23">
        <v>8.5500000000000007</v>
      </c>
      <c r="E1728" s="23" t="s">
        <v>4683</v>
      </c>
      <c r="F1728" s="23" t="s">
        <v>4682</v>
      </c>
      <c r="G1728" s="23" t="s">
        <v>4682</v>
      </c>
      <c r="H1728" s="23">
        <v>1</v>
      </c>
      <c r="I1728" s="23" t="s">
        <v>4682</v>
      </c>
      <c r="J1728" s="23" t="s">
        <v>4730</v>
      </c>
      <c r="K1728" s="23" t="s">
        <v>4735</v>
      </c>
      <c r="L1728">
        <v>1987</v>
      </c>
      <c r="M1728" s="15" t="s">
        <v>4707</v>
      </c>
      <c r="N1728">
        <v>6</v>
      </c>
      <c r="O1728">
        <v>3</v>
      </c>
      <c r="P1728" s="21">
        <f>DATEVALUE(N1728&amp;"-"&amp;M1728&amp;"-"&amp;L1728)</f>
        <v>32056</v>
      </c>
      <c r="Q1728" s="22">
        <v>16122.65</v>
      </c>
      <c r="R1728" s="23" t="s">
        <v>4697</v>
      </c>
      <c r="S1728" s="23" t="s">
        <v>4701</v>
      </c>
      <c r="T1728" s="23" t="s">
        <v>4708</v>
      </c>
      <c r="U1728" s="23">
        <f>DATEDIF(P1728, DATE(2023, 6, 8), "Y")</f>
        <v>35</v>
      </c>
      <c r="V1728">
        <f>SUM(C1728:K1728)</f>
        <v>35.39</v>
      </c>
    </row>
    <row r="1729" spans="1:22" ht="15.75">
      <c r="A1729" s="28" t="s">
        <v>3456</v>
      </c>
      <c r="B1729" s="28" t="s">
        <v>3457</v>
      </c>
      <c r="C1729" s="23">
        <v>27.454999999999998</v>
      </c>
      <c r="D1729" s="23">
        <v>4.54</v>
      </c>
      <c r="E1729" s="23" t="s">
        <v>4682</v>
      </c>
      <c r="F1729" s="23" t="s">
        <v>4682</v>
      </c>
      <c r="G1729" s="23" t="s">
        <v>4682</v>
      </c>
      <c r="H1729" s="23">
        <v>0</v>
      </c>
      <c r="I1729" s="23" t="s">
        <v>4682</v>
      </c>
      <c r="J1729" s="23" t="s">
        <v>4730</v>
      </c>
      <c r="K1729" s="23" t="s">
        <v>4737</v>
      </c>
      <c r="L1729">
        <v>1993</v>
      </c>
      <c r="M1729" s="15" t="s">
        <v>4705</v>
      </c>
      <c r="N1729">
        <v>12</v>
      </c>
      <c r="O1729">
        <v>0</v>
      </c>
      <c r="P1729" s="21">
        <f>DATEVALUE(N1729&amp;"-"&amp;M1729&amp;"-"&amp;L1729)</f>
        <v>34315</v>
      </c>
      <c r="Q1729" s="22">
        <v>16138.76</v>
      </c>
      <c r="R1729" s="23" t="s">
        <v>4697</v>
      </c>
      <c r="S1729" s="23" t="s">
        <v>4698</v>
      </c>
      <c r="T1729" s="23" t="s">
        <v>4718</v>
      </c>
      <c r="U1729" s="23">
        <f>DATEDIF(P1729, DATE(2023, 6, 8), "Y")</f>
        <v>29</v>
      </c>
      <c r="V1729">
        <f>SUM(C1729:K1729)</f>
        <v>31.994999999999997</v>
      </c>
    </row>
    <row r="1730" spans="1:22" ht="15.75">
      <c r="A1730" s="28" t="s">
        <v>3458</v>
      </c>
      <c r="B1730" s="28" t="s">
        <v>3459</v>
      </c>
      <c r="C1730" s="23">
        <v>24.605</v>
      </c>
      <c r="D1730" s="23">
        <v>5.7</v>
      </c>
      <c r="E1730" s="23" t="s">
        <v>4682</v>
      </c>
      <c r="F1730" s="23" t="s">
        <v>4682</v>
      </c>
      <c r="G1730" s="23" t="s">
        <v>4682</v>
      </c>
      <c r="H1730" s="23">
        <v>0</v>
      </c>
      <c r="I1730" s="23" t="s">
        <v>4682</v>
      </c>
      <c r="J1730" s="23" t="s">
        <v>4728</v>
      </c>
      <c r="K1730" s="23" t="s">
        <v>4736</v>
      </c>
      <c r="L1730">
        <v>1982</v>
      </c>
      <c r="M1730" s="15" t="s">
        <v>4696</v>
      </c>
      <c r="N1730">
        <v>6</v>
      </c>
      <c r="O1730">
        <v>3</v>
      </c>
      <c r="P1730" s="21">
        <f>DATEVALUE(N1730&amp;"-"&amp;M1730&amp;"-"&amp;L1730)</f>
        <v>30138</v>
      </c>
      <c r="Q1730" s="22">
        <v>16152.04</v>
      </c>
      <c r="R1730" s="23" t="s">
        <v>4697</v>
      </c>
      <c r="S1730" s="23" t="s">
        <v>4701</v>
      </c>
      <c r="T1730" s="23" t="s">
        <v>4720</v>
      </c>
      <c r="U1730" s="23">
        <f>DATEDIF(P1730, DATE(2023, 6, 8), "Y")</f>
        <v>40</v>
      </c>
      <c r="V1730">
        <f>SUM(C1730:K1730)</f>
        <v>30.305</v>
      </c>
    </row>
    <row r="1731" spans="1:22" ht="15.75">
      <c r="A1731" s="28" t="s">
        <v>3460</v>
      </c>
      <c r="B1731" s="28" t="s">
        <v>3461</v>
      </c>
      <c r="C1731" s="23">
        <v>30.8</v>
      </c>
      <c r="D1731" s="23">
        <v>5.07</v>
      </c>
      <c r="E1731" s="23" t="s">
        <v>4682</v>
      </c>
      <c r="F1731" s="23" t="s">
        <v>4682</v>
      </c>
      <c r="G1731" s="23" t="s">
        <v>4682</v>
      </c>
      <c r="H1731" s="23">
        <v>0</v>
      </c>
      <c r="I1731" s="23" t="s">
        <v>4682</v>
      </c>
      <c r="J1731" s="23" t="s">
        <v>4729</v>
      </c>
      <c r="K1731" s="23" t="s">
        <v>4737</v>
      </c>
      <c r="L1731">
        <v>1974</v>
      </c>
      <c r="M1731" s="15" t="s">
        <v>4703</v>
      </c>
      <c r="N1731">
        <v>11</v>
      </c>
      <c r="O1731">
        <v>0</v>
      </c>
      <c r="P1731" s="21">
        <f>DATEVALUE(N1731&amp;"-"&amp;M1731&amp;"-"&amp;L1731)</f>
        <v>27283</v>
      </c>
      <c r="Q1731" s="22">
        <v>16190.97</v>
      </c>
      <c r="R1731" s="23" t="s">
        <v>4697</v>
      </c>
      <c r="S1731" s="23" t="s">
        <v>4698</v>
      </c>
      <c r="T1731" s="23" t="s">
        <v>4704</v>
      </c>
      <c r="U1731" s="23">
        <f>DATEDIF(P1731, DATE(2023, 6, 8), "Y")</f>
        <v>48</v>
      </c>
      <c r="V1731">
        <f>SUM(C1731:K1731)</f>
        <v>35.870000000000005</v>
      </c>
    </row>
    <row r="1732" spans="1:22" ht="15.75">
      <c r="A1732" s="28" t="s">
        <v>3462</v>
      </c>
      <c r="B1732" s="28" t="s">
        <v>3463</v>
      </c>
      <c r="C1732" s="23">
        <v>34.799999999999997</v>
      </c>
      <c r="D1732" s="23">
        <v>4.38</v>
      </c>
      <c r="E1732" s="23" t="s">
        <v>4682</v>
      </c>
      <c r="F1732" s="23" t="s">
        <v>4682</v>
      </c>
      <c r="G1732" s="23" t="s">
        <v>4682</v>
      </c>
      <c r="H1732" s="23">
        <v>1</v>
      </c>
      <c r="I1732" s="23" t="s">
        <v>4682</v>
      </c>
      <c r="J1732" s="23" t="s">
        <v>4729</v>
      </c>
      <c r="K1732" s="23" t="s">
        <v>4737</v>
      </c>
      <c r="L1732">
        <v>1988</v>
      </c>
      <c r="M1732" s="15" t="s">
        <v>4706</v>
      </c>
      <c r="N1732">
        <v>6</v>
      </c>
      <c r="O1732">
        <v>3</v>
      </c>
      <c r="P1732" s="21">
        <f>DATEVALUE(N1732&amp;"-"&amp;M1732&amp;"-"&amp;L1732)</f>
        <v>32361</v>
      </c>
      <c r="Q1732" s="22">
        <v>16199.1</v>
      </c>
      <c r="R1732" s="23" t="s">
        <v>4697</v>
      </c>
      <c r="S1732" s="23" t="s">
        <v>4697</v>
      </c>
      <c r="T1732" s="23" t="s">
        <v>4704</v>
      </c>
      <c r="U1732" s="23">
        <f>DATEDIF(P1732, DATE(2023, 6, 8), "Y")</f>
        <v>34</v>
      </c>
      <c r="V1732">
        <f>SUM(C1732:K1732)</f>
        <v>40.18</v>
      </c>
    </row>
    <row r="1733" spans="1:22" ht="15.75">
      <c r="A1733" s="28" t="s">
        <v>3464</v>
      </c>
      <c r="B1733" s="28" t="s">
        <v>3465</v>
      </c>
      <c r="C1733" s="23">
        <v>34.21</v>
      </c>
      <c r="D1733" s="23">
        <v>4.54</v>
      </c>
      <c r="E1733" s="23" t="s">
        <v>4682</v>
      </c>
      <c r="F1733" s="23" t="s">
        <v>4682</v>
      </c>
      <c r="G1733" s="23" t="s">
        <v>4682</v>
      </c>
      <c r="H1733" s="23">
        <v>1</v>
      </c>
      <c r="I1733" s="23" t="s">
        <v>4682</v>
      </c>
      <c r="J1733" s="23" t="s">
        <v>4729</v>
      </c>
      <c r="K1733" s="23" t="s">
        <v>4737</v>
      </c>
      <c r="L1733">
        <v>1988</v>
      </c>
      <c r="M1733" s="15" t="s">
        <v>4706</v>
      </c>
      <c r="N1733">
        <v>21</v>
      </c>
      <c r="O1733">
        <v>3</v>
      </c>
      <c r="P1733" s="21">
        <f>DATEVALUE(N1733&amp;"-"&amp;M1733&amp;"-"&amp;L1733)</f>
        <v>32376</v>
      </c>
      <c r="Q1733" s="22">
        <v>16205.88</v>
      </c>
      <c r="R1733" s="23" t="s">
        <v>4697</v>
      </c>
      <c r="S1733" s="23" t="s">
        <v>4701</v>
      </c>
      <c r="T1733" s="23" t="s">
        <v>4704</v>
      </c>
      <c r="U1733" s="23">
        <f>DATEDIF(P1733, DATE(2023, 6, 8), "Y")</f>
        <v>34</v>
      </c>
      <c r="V1733">
        <f>SUM(C1733:K1733)</f>
        <v>39.75</v>
      </c>
    </row>
    <row r="1734" spans="1:22" ht="15.75">
      <c r="A1734" s="28" t="s">
        <v>3466</v>
      </c>
      <c r="B1734" s="28" t="s">
        <v>3467</v>
      </c>
      <c r="C1734" s="23">
        <v>31</v>
      </c>
      <c r="D1734" s="23">
        <v>5.38</v>
      </c>
      <c r="E1734" s="23" t="s">
        <v>4682</v>
      </c>
      <c r="F1734" s="23" t="s">
        <v>4682</v>
      </c>
      <c r="G1734" s="23" t="s">
        <v>4682</v>
      </c>
      <c r="H1734" s="23">
        <v>1</v>
      </c>
      <c r="I1734" s="23" t="s">
        <v>4682</v>
      </c>
      <c r="J1734" s="23" t="s">
        <v>4729</v>
      </c>
      <c r="K1734" s="23" t="s">
        <v>4737</v>
      </c>
      <c r="L1734">
        <v>2002</v>
      </c>
      <c r="M1734" s="15" t="s">
        <v>4703</v>
      </c>
      <c r="N1734">
        <v>8</v>
      </c>
      <c r="O1734">
        <v>0</v>
      </c>
      <c r="P1734" s="21">
        <f>DATEVALUE(N1734&amp;"-"&amp;M1734&amp;"-"&amp;L1734)</f>
        <v>37507</v>
      </c>
      <c r="Q1734" s="22">
        <v>16232.85</v>
      </c>
      <c r="R1734" s="23" t="s">
        <v>4697</v>
      </c>
      <c r="S1734" s="23" t="s">
        <v>4701</v>
      </c>
      <c r="T1734" s="23" t="s">
        <v>4708</v>
      </c>
      <c r="U1734" s="23">
        <f>DATEDIF(P1734, DATE(2023, 6, 8), "Y")</f>
        <v>20</v>
      </c>
      <c r="V1734">
        <f>SUM(C1734:K1734)</f>
        <v>37.380000000000003</v>
      </c>
    </row>
    <row r="1735" spans="1:22" ht="15.75">
      <c r="A1735" s="28" t="s">
        <v>3468</v>
      </c>
      <c r="B1735" s="28" t="s">
        <v>3469</v>
      </c>
      <c r="C1735" s="23">
        <v>26.125</v>
      </c>
      <c r="D1735" s="23">
        <v>5.55</v>
      </c>
      <c r="E1735" s="23" t="s">
        <v>4682</v>
      </c>
      <c r="F1735" s="23" t="s">
        <v>4682</v>
      </c>
      <c r="G1735" s="23" t="s">
        <v>4682</v>
      </c>
      <c r="H1735" s="23">
        <v>1</v>
      </c>
      <c r="I1735" s="23" t="s">
        <v>4682</v>
      </c>
      <c r="J1735" s="23" t="s">
        <v>4730</v>
      </c>
      <c r="K1735" s="23" t="s">
        <v>4737</v>
      </c>
      <c r="L1735">
        <v>1972</v>
      </c>
      <c r="M1735" s="15" t="s">
        <v>4696</v>
      </c>
      <c r="N1735">
        <v>30</v>
      </c>
      <c r="O1735">
        <v>0</v>
      </c>
      <c r="P1735" s="21">
        <f>DATEVALUE(N1735&amp;"-"&amp;M1735&amp;"-"&amp;L1735)</f>
        <v>26510</v>
      </c>
      <c r="Q1735" s="22">
        <v>16267.32</v>
      </c>
      <c r="R1735" s="23" t="s">
        <v>4697</v>
      </c>
      <c r="S1735" s="23" t="s">
        <v>4697</v>
      </c>
      <c r="T1735" s="23" t="s">
        <v>4715</v>
      </c>
      <c r="U1735" s="23">
        <f>DATEDIF(P1735, DATE(2023, 6, 8), "Y")</f>
        <v>50</v>
      </c>
      <c r="V1735">
        <f>SUM(C1735:K1735)</f>
        <v>32.674999999999997</v>
      </c>
    </row>
    <row r="1736" spans="1:22" ht="15.75">
      <c r="A1736" s="28" t="s">
        <v>3470</v>
      </c>
      <c r="B1736" s="28" t="s">
        <v>3471</v>
      </c>
      <c r="C1736" s="23">
        <v>30.13</v>
      </c>
      <c r="D1736" s="23">
        <v>4.03</v>
      </c>
      <c r="E1736" s="23" t="s">
        <v>4683</v>
      </c>
      <c r="F1736" s="23" t="s">
        <v>4682</v>
      </c>
      <c r="G1736" s="23" t="s">
        <v>4682</v>
      </c>
      <c r="H1736" s="23">
        <v>1</v>
      </c>
      <c r="I1736" s="23" t="s">
        <v>4682</v>
      </c>
      <c r="J1736" s="23" t="s">
        <v>4729</v>
      </c>
      <c r="K1736" s="23" t="s">
        <v>4737</v>
      </c>
      <c r="L1736">
        <v>2003</v>
      </c>
      <c r="M1736" s="15" t="s">
        <v>4706</v>
      </c>
      <c r="N1736">
        <v>24</v>
      </c>
      <c r="O1736">
        <v>0</v>
      </c>
      <c r="P1736" s="21">
        <f>DATEVALUE(N1736&amp;"-"&amp;M1736&amp;"-"&amp;L1736)</f>
        <v>37857</v>
      </c>
      <c r="Q1736" s="22">
        <v>16297.85</v>
      </c>
      <c r="R1736" s="23" t="s">
        <v>4697</v>
      </c>
      <c r="S1736" s="23" t="s">
        <v>4698</v>
      </c>
      <c r="T1736" s="23" t="s">
        <v>4708</v>
      </c>
      <c r="U1736" s="23">
        <f>DATEDIF(P1736, DATE(2023, 6, 8), "Y")</f>
        <v>19</v>
      </c>
      <c r="V1736">
        <f>SUM(C1736:K1736)</f>
        <v>35.159999999999997</v>
      </c>
    </row>
    <row r="1737" spans="1:22" ht="15.75">
      <c r="A1737" s="28" t="s">
        <v>3472</v>
      </c>
      <c r="B1737" s="28" t="s">
        <v>3473</v>
      </c>
      <c r="C1737" s="23">
        <v>34.19</v>
      </c>
      <c r="D1737" s="23">
        <v>4.1900000000000004</v>
      </c>
      <c r="E1737" s="23" t="s">
        <v>4682</v>
      </c>
      <c r="F1737" s="23" t="s">
        <v>4682</v>
      </c>
      <c r="G1737" s="23" t="s">
        <v>4682</v>
      </c>
      <c r="H1737" s="23">
        <v>0</v>
      </c>
      <c r="I1737" s="23" t="s">
        <v>4682</v>
      </c>
      <c r="J1737" s="23" t="s">
        <v>4729</v>
      </c>
      <c r="K1737" s="23" t="s">
        <v>4737</v>
      </c>
      <c r="L1737">
        <v>1969</v>
      </c>
      <c r="M1737" s="15" t="s">
        <v>4706</v>
      </c>
      <c r="N1737">
        <v>8</v>
      </c>
      <c r="O1737">
        <v>0</v>
      </c>
      <c r="P1737" s="21">
        <f>DATEVALUE(N1737&amp;"-"&amp;M1737&amp;"-"&amp;L1737)</f>
        <v>25423</v>
      </c>
      <c r="Q1737" s="22">
        <v>16311.05</v>
      </c>
      <c r="R1737" s="23" t="s">
        <v>4697</v>
      </c>
      <c r="S1737" s="23" t="s">
        <v>4698</v>
      </c>
      <c r="T1737" s="23" t="s">
        <v>4720</v>
      </c>
      <c r="U1737" s="23">
        <f>DATEDIF(P1737, DATE(2023, 6, 8), "Y")</f>
        <v>53</v>
      </c>
      <c r="V1737">
        <f>SUM(C1737:K1737)</f>
        <v>38.379999999999995</v>
      </c>
    </row>
    <row r="1738" spans="1:22" ht="15.75">
      <c r="A1738" s="28" t="s">
        <v>3474</v>
      </c>
      <c r="B1738" s="28" t="s">
        <v>3475</v>
      </c>
      <c r="C1738" s="23">
        <v>22.515000000000001</v>
      </c>
      <c r="D1738" s="23">
        <v>4.37</v>
      </c>
      <c r="E1738" s="23" t="s">
        <v>4682</v>
      </c>
      <c r="F1738" s="23" t="s">
        <v>4682</v>
      </c>
      <c r="G1738" s="23" t="s">
        <v>4684</v>
      </c>
      <c r="H1738" s="23">
        <v>1</v>
      </c>
      <c r="I1738" s="23" t="s">
        <v>4682</v>
      </c>
      <c r="J1738" s="23" t="s">
        <v>4728</v>
      </c>
      <c r="K1738" s="23" t="s">
        <v>4737</v>
      </c>
      <c r="L1738">
        <v>1965</v>
      </c>
      <c r="M1738" s="15" t="s">
        <v>4705</v>
      </c>
      <c r="N1738">
        <v>5</v>
      </c>
      <c r="O1738">
        <v>0</v>
      </c>
      <c r="P1738" s="21">
        <f>DATEVALUE(N1738&amp;"-"&amp;M1738&amp;"-"&amp;L1738)</f>
        <v>24081</v>
      </c>
      <c r="Q1738" s="22">
        <v>16351.42</v>
      </c>
      <c r="R1738" s="23" t="s">
        <v>4697</v>
      </c>
      <c r="S1738" s="23" t="s">
        <v>4698</v>
      </c>
      <c r="T1738" s="23" t="s">
        <v>4720</v>
      </c>
      <c r="U1738" s="23">
        <f>DATEDIF(P1738, DATE(2023, 6, 8), "Y")</f>
        <v>57</v>
      </c>
      <c r="V1738">
        <f>SUM(C1738:K1738)</f>
        <v>27.885000000000002</v>
      </c>
    </row>
    <row r="1739" spans="1:22" ht="15.75">
      <c r="A1739" s="28" t="s">
        <v>3476</v>
      </c>
      <c r="B1739" s="28" t="s">
        <v>3477</v>
      </c>
      <c r="C1739" s="23">
        <v>18.239999999999998</v>
      </c>
      <c r="D1739" s="23">
        <v>5.31</v>
      </c>
      <c r="E1739" s="23" t="s">
        <v>4683</v>
      </c>
      <c r="F1739" s="23" t="s">
        <v>4682</v>
      </c>
      <c r="G1739" s="23" t="s">
        <v>4684</v>
      </c>
      <c r="H1739" s="23">
        <v>1</v>
      </c>
      <c r="I1739" s="23" t="s">
        <v>4682</v>
      </c>
      <c r="J1739" s="23" t="s">
        <v>4731</v>
      </c>
      <c r="K1739" s="23" t="s">
        <v>4737</v>
      </c>
      <c r="L1739">
        <v>1995</v>
      </c>
      <c r="M1739" s="15" t="s">
        <v>4703</v>
      </c>
      <c r="N1739">
        <v>28</v>
      </c>
      <c r="O1739">
        <v>3</v>
      </c>
      <c r="P1739" s="21">
        <f>DATEVALUE(N1739&amp;"-"&amp;M1739&amp;"-"&amp;L1739)</f>
        <v>34970</v>
      </c>
      <c r="Q1739" s="22">
        <v>16420.490000000002</v>
      </c>
      <c r="R1739" s="23" t="s">
        <v>4697</v>
      </c>
      <c r="S1739" s="23" t="s">
        <v>4698</v>
      </c>
      <c r="T1739" s="23" t="s">
        <v>4704</v>
      </c>
      <c r="U1739" s="23">
        <f>DATEDIF(P1739, DATE(2023, 6, 8), "Y")</f>
        <v>27</v>
      </c>
      <c r="V1739">
        <f>SUM(C1739:K1739)</f>
        <v>24.549999999999997</v>
      </c>
    </row>
    <row r="1740" spans="1:22" ht="15.75">
      <c r="A1740" s="28" t="s">
        <v>3478</v>
      </c>
      <c r="B1740" s="28" t="s">
        <v>3479</v>
      </c>
      <c r="C1740" s="23">
        <v>37.28</v>
      </c>
      <c r="D1740" s="23">
        <v>4.66</v>
      </c>
      <c r="E1740" s="23" t="s">
        <v>4682</v>
      </c>
      <c r="F1740" s="23" t="s">
        <v>4683</v>
      </c>
      <c r="G1740" s="23" t="s">
        <v>4682</v>
      </c>
      <c r="H1740" s="23">
        <v>1</v>
      </c>
      <c r="I1740" s="23" t="s">
        <v>4682</v>
      </c>
      <c r="J1740" s="23" t="s">
        <v>4729</v>
      </c>
      <c r="K1740" s="23" t="s">
        <v>4737</v>
      </c>
      <c r="L1740">
        <v>2003</v>
      </c>
      <c r="M1740" s="15" t="s">
        <v>4705</v>
      </c>
      <c r="N1740">
        <v>20</v>
      </c>
      <c r="O1740">
        <v>1</v>
      </c>
      <c r="P1740" s="21">
        <f>DATEVALUE(N1740&amp;"-"&amp;M1740&amp;"-"&amp;L1740)</f>
        <v>37975</v>
      </c>
      <c r="Q1740" s="22">
        <v>16450.89</v>
      </c>
      <c r="R1740" s="23" t="s">
        <v>4697</v>
      </c>
      <c r="S1740" s="23" t="s">
        <v>4701</v>
      </c>
      <c r="T1740" s="23" t="s">
        <v>4704</v>
      </c>
      <c r="U1740" s="23">
        <f>DATEDIF(P1740, DATE(2023, 6, 8), "Y")</f>
        <v>19</v>
      </c>
      <c r="V1740">
        <f>SUM(C1740:K1740)</f>
        <v>42.94</v>
      </c>
    </row>
    <row r="1741" spans="1:22" ht="15.75">
      <c r="A1741" s="28" t="s">
        <v>3480</v>
      </c>
      <c r="B1741" s="28" t="s">
        <v>3481</v>
      </c>
      <c r="C1741" s="23">
        <v>18.2</v>
      </c>
      <c r="D1741" s="23">
        <v>6.19</v>
      </c>
      <c r="E1741" s="23" t="s">
        <v>4682</v>
      </c>
      <c r="F1741" s="23" t="s">
        <v>4682</v>
      </c>
      <c r="G1741" s="23" t="s">
        <v>4684</v>
      </c>
      <c r="H1741" s="23">
        <v>1</v>
      </c>
      <c r="I1741" s="23" t="s">
        <v>4682</v>
      </c>
      <c r="J1741" s="23" t="s">
        <v>4731</v>
      </c>
      <c r="K1741" s="23" t="s">
        <v>4736</v>
      </c>
      <c r="L1741">
        <v>1958</v>
      </c>
      <c r="M1741" s="15" t="s">
        <v>4707</v>
      </c>
      <c r="N1741">
        <v>10</v>
      </c>
      <c r="O1741">
        <v>3</v>
      </c>
      <c r="P1741" s="21">
        <f>DATEVALUE(N1741&amp;"-"&amp;M1741&amp;"-"&amp;L1741)</f>
        <v>21468</v>
      </c>
      <c r="Q1741" s="22">
        <v>16455.71</v>
      </c>
      <c r="R1741" s="23" t="s">
        <v>4697</v>
      </c>
      <c r="S1741" s="23" t="s">
        <v>4697</v>
      </c>
      <c r="T1741" s="23" t="s">
        <v>4704</v>
      </c>
      <c r="U1741" s="23">
        <f>DATEDIF(P1741, DATE(2023, 6, 8), "Y")</f>
        <v>64</v>
      </c>
      <c r="V1741">
        <f>SUM(C1741:K1741)</f>
        <v>25.39</v>
      </c>
    </row>
    <row r="1742" spans="1:22" ht="15.75">
      <c r="A1742" s="28" t="s">
        <v>3482</v>
      </c>
      <c r="B1742" s="28" t="s">
        <v>3483</v>
      </c>
      <c r="C1742" s="23">
        <v>20.53</v>
      </c>
      <c r="D1742" s="23">
        <v>4.8600000000000003</v>
      </c>
      <c r="E1742" s="23" t="s">
        <v>4682</v>
      </c>
      <c r="F1742" s="23" t="s">
        <v>4682</v>
      </c>
      <c r="G1742" s="23" t="s">
        <v>4682</v>
      </c>
      <c r="H1742" s="23">
        <v>1</v>
      </c>
      <c r="I1742" s="23" t="s">
        <v>4682</v>
      </c>
      <c r="J1742" s="23" t="s">
        <v>4728</v>
      </c>
      <c r="K1742" s="23" t="s">
        <v>4737</v>
      </c>
      <c r="L1742">
        <v>1995</v>
      </c>
      <c r="M1742" s="15" t="s">
        <v>4705</v>
      </c>
      <c r="N1742">
        <v>23</v>
      </c>
      <c r="O1742">
        <v>0</v>
      </c>
      <c r="P1742" s="21">
        <f>DATEVALUE(N1742&amp;"-"&amp;M1742&amp;"-"&amp;L1742)</f>
        <v>35056</v>
      </c>
      <c r="Q1742" s="22">
        <v>16577.78</v>
      </c>
      <c r="R1742" s="23" t="s">
        <v>4697</v>
      </c>
      <c r="S1742" s="23" t="s">
        <v>4701</v>
      </c>
      <c r="T1742" s="23" t="s">
        <v>4699</v>
      </c>
      <c r="U1742" s="23">
        <f>DATEDIF(P1742, DATE(2023, 6, 8), "Y")</f>
        <v>27</v>
      </c>
      <c r="V1742">
        <f>SUM(C1742:K1742)</f>
        <v>26.39</v>
      </c>
    </row>
    <row r="1743" spans="1:22" ht="15.75">
      <c r="A1743" s="28" t="s">
        <v>3484</v>
      </c>
      <c r="B1743" s="28" t="s">
        <v>3485</v>
      </c>
      <c r="C1743" s="23">
        <v>23.79</v>
      </c>
      <c r="D1743" s="23">
        <v>4.74</v>
      </c>
      <c r="E1743" s="23" t="s">
        <v>4682</v>
      </c>
      <c r="F1743" s="23" t="s">
        <v>4682</v>
      </c>
      <c r="G1743" s="23" t="s">
        <v>4682</v>
      </c>
      <c r="H1743" s="23">
        <v>0</v>
      </c>
      <c r="I1743" s="23" t="s">
        <v>4682</v>
      </c>
      <c r="J1743" s="23" t="s">
        <v>4728</v>
      </c>
      <c r="K1743" s="23" t="s">
        <v>4737</v>
      </c>
      <c r="L1743">
        <v>2001</v>
      </c>
      <c r="M1743" s="15" t="s">
        <v>4702</v>
      </c>
      <c r="N1743">
        <v>25</v>
      </c>
      <c r="O1743">
        <v>0</v>
      </c>
      <c r="P1743" s="21">
        <f>DATEVALUE(N1743&amp;"-"&amp;M1743&amp;"-"&amp;L1743)</f>
        <v>37067</v>
      </c>
      <c r="Q1743" s="22">
        <v>16586.5</v>
      </c>
      <c r="R1743" s="23" t="s">
        <v>4697</v>
      </c>
      <c r="S1743" s="23" t="s">
        <v>4701</v>
      </c>
      <c r="T1743" s="23" t="s">
        <v>4699</v>
      </c>
      <c r="U1743" s="23">
        <f>DATEDIF(P1743, DATE(2023, 6, 8), "Y")</f>
        <v>21</v>
      </c>
      <c r="V1743">
        <f>SUM(C1743:K1743)</f>
        <v>28.53</v>
      </c>
    </row>
    <row r="1744" spans="1:22" ht="15.75">
      <c r="A1744" s="28" t="s">
        <v>3486</v>
      </c>
      <c r="B1744" s="28" t="s">
        <v>3487</v>
      </c>
      <c r="C1744" s="23">
        <v>29.8</v>
      </c>
      <c r="D1744" s="23">
        <v>6.03</v>
      </c>
      <c r="E1744" s="23" t="s">
        <v>4682</v>
      </c>
      <c r="F1744" s="23" t="s">
        <v>4682</v>
      </c>
      <c r="G1744" s="23" t="s">
        <v>4682</v>
      </c>
      <c r="H1744" s="23">
        <v>0</v>
      </c>
      <c r="I1744" s="23" t="s">
        <v>4682</v>
      </c>
      <c r="J1744" s="23" t="s">
        <v>4730</v>
      </c>
      <c r="K1744" s="23" t="s">
        <v>4736</v>
      </c>
      <c r="L1744">
        <v>1963</v>
      </c>
      <c r="M1744" s="15" t="s">
        <v>4702</v>
      </c>
      <c r="N1744">
        <v>25</v>
      </c>
      <c r="O1744">
        <v>0</v>
      </c>
      <c r="P1744" s="21">
        <f>DATEVALUE(N1744&amp;"-"&amp;M1744&amp;"-"&amp;L1744)</f>
        <v>23187</v>
      </c>
      <c r="Q1744" s="22">
        <v>16587.96</v>
      </c>
      <c r="R1744" s="23" t="s">
        <v>4697</v>
      </c>
      <c r="S1744" s="23" t="s">
        <v>4697</v>
      </c>
      <c r="T1744" s="23" t="s">
        <v>4715</v>
      </c>
      <c r="U1744" s="23">
        <f>DATEDIF(P1744, DATE(2023, 6, 8), "Y")</f>
        <v>59</v>
      </c>
      <c r="V1744">
        <f>SUM(C1744:K1744)</f>
        <v>35.83</v>
      </c>
    </row>
    <row r="1745" spans="1:22" ht="15.75">
      <c r="A1745" s="28" t="s">
        <v>3488</v>
      </c>
      <c r="B1745" s="28" t="s">
        <v>3489</v>
      </c>
      <c r="C1745" s="23">
        <v>31.54</v>
      </c>
      <c r="D1745" s="23">
        <v>4.71</v>
      </c>
      <c r="E1745" s="23" t="s">
        <v>4682</v>
      </c>
      <c r="F1745" s="23" t="s">
        <v>4682</v>
      </c>
      <c r="G1745" s="23" t="s">
        <v>4682</v>
      </c>
      <c r="H1745" s="23">
        <v>0</v>
      </c>
      <c r="I1745" s="23" t="s">
        <v>4682</v>
      </c>
      <c r="J1745" s="23" t="s">
        <v>4729</v>
      </c>
      <c r="K1745" s="23" t="s">
        <v>4737</v>
      </c>
      <c r="L1745">
        <v>1970</v>
      </c>
      <c r="M1745" s="15" t="s">
        <v>4696</v>
      </c>
      <c r="N1745">
        <v>10</v>
      </c>
      <c r="O1745">
        <v>0</v>
      </c>
      <c r="P1745" s="21">
        <f>DATEVALUE(N1745&amp;"-"&amp;M1745&amp;"-"&amp;L1745)</f>
        <v>25759</v>
      </c>
      <c r="Q1745" s="22">
        <v>16600.16</v>
      </c>
      <c r="R1745" s="23" t="s">
        <v>4697</v>
      </c>
      <c r="S1745" s="23" t="s">
        <v>4697</v>
      </c>
      <c r="T1745" s="23" t="s">
        <v>4708</v>
      </c>
      <c r="U1745" s="23">
        <f>DATEDIF(P1745, DATE(2023, 6, 8), "Y")</f>
        <v>52</v>
      </c>
      <c r="V1745">
        <f>SUM(C1745:K1745)</f>
        <v>36.25</v>
      </c>
    </row>
    <row r="1746" spans="1:22" ht="15.75">
      <c r="A1746" s="28" t="s">
        <v>3490</v>
      </c>
      <c r="B1746" s="28" t="s">
        <v>3491</v>
      </c>
      <c r="C1746" s="23">
        <v>20.82</v>
      </c>
      <c r="D1746" s="23">
        <v>5.55</v>
      </c>
      <c r="E1746" s="23" t="s">
        <v>4682</v>
      </c>
      <c r="F1746" s="23" t="s">
        <v>4682</v>
      </c>
      <c r="G1746" s="23" t="s">
        <v>4682</v>
      </c>
      <c r="H1746" s="23">
        <v>1</v>
      </c>
      <c r="I1746" s="23" t="s">
        <v>4682</v>
      </c>
      <c r="J1746" s="23" t="s">
        <v>4728</v>
      </c>
      <c r="K1746" s="23" t="s">
        <v>4737</v>
      </c>
      <c r="L1746">
        <v>1975</v>
      </c>
      <c r="M1746" s="15" t="s">
        <v>4696</v>
      </c>
      <c r="N1746">
        <v>24</v>
      </c>
      <c r="O1746">
        <v>1</v>
      </c>
      <c r="P1746" s="21">
        <f>DATEVALUE(N1746&amp;"-"&amp;M1746&amp;"-"&amp;L1746)</f>
        <v>27599</v>
      </c>
      <c r="Q1746" s="22">
        <v>16602.18</v>
      </c>
      <c r="R1746" s="23" t="s">
        <v>4697</v>
      </c>
      <c r="S1746" s="23" t="s">
        <v>4701</v>
      </c>
      <c r="T1746" s="23" t="s">
        <v>4720</v>
      </c>
      <c r="U1746" s="23">
        <f>DATEDIF(P1746, DATE(2023, 6, 8), "Y")</f>
        <v>47</v>
      </c>
      <c r="V1746">
        <f>SUM(C1746:K1746)</f>
        <v>27.37</v>
      </c>
    </row>
    <row r="1747" spans="1:22" ht="15.75">
      <c r="A1747" s="28" t="s">
        <v>3492</v>
      </c>
      <c r="B1747" s="28" t="s">
        <v>3493</v>
      </c>
      <c r="C1747" s="23">
        <v>38.83</v>
      </c>
      <c r="D1747" s="23">
        <v>4.78</v>
      </c>
      <c r="E1747" s="23" t="s">
        <v>4682</v>
      </c>
      <c r="F1747" s="23" t="s">
        <v>4682</v>
      </c>
      <c r="G1747" s="23" t="s">
        <v>4684</v>
      </c>
      <c r="H1747" s="23">
        <v>1</v>
      </c>
      <c r="I1747" s="23" t="s">
        <v>4682</v>
      </c>
      <c r="J1747" s="23" t="s">
        <v>4729</v>
      </c>
      <c r="K1747" s="23" t="s">
        <v>4737</v>
      </c>
      <c r="L1747">
        <v>1977</v>
      </c>
      <c r="M1747" s="15" t="s">
        <v>4703</v>
      </c>
      <c r="N1747">
        <v>25</v>
      </c>
      <c r="O1747">
        <v>2</v>
      </c>
      <c r="P1747" s="21">
        <f>DATEVALUE(N1747&amp;"-"&amp;M1747&amp;"-"&amp;L1747)</f>
        <v>28393</v>
      </c>
      <c r="Q1747" s="22">
        <v>16631.61</v>
      </c>
      <c r="R1747" s="23" t="s">
        <v>4697</v>
      </c>
      <c r="S1747" s="23" t="s">
        <v>4701</v>
      </c>
      <c r="T1747" s="23" t="s">
        <v>4704</v>
      </c>
      <c r="U1747" s="23">
        <f>DATEDIF(P1747, DATE(2023, 6, 8), "Y")</f>
        <v>45</v>
      </c>
      <c r="V1747">
        <f>SUM(C1747:K1747)</f>
        <v>44.61</v>
      </c>
    </row>
    <row r="1748" spans="1:22" ht="15.75">
      <c r="A1748" s="28" t="s">
        <v>3494</v>
      </c>
      <c r="B1748" s="28" t="s">
        <v>3495</v>
      </c>
      <c r="C1748" s="23">
        <v>23.44</v>
      </c>
      <c r="D1748" s="23">
        <v>4.6500000000000004</v>
      </c>
      <c r="E1748" s="23" t="s">
        <v>4683</v>
      </c>
      <c r="F1748" s="23" t="s">
        <v>4682</v>
      </c>
      <c r="G1748" s="23" t="s">
        <v>4682</v>
      </c>
      <c r="H1748" s="23">
        <v>1</v>
      </c>
      <c r="I1748" s="23" t="s">
        <v>4682</v>
      </c>
      <c r="J1748" s="23" t="s">
        <v>4728</v>
      </c>
      <c r="K1748" s="23" t="s">
        <v>4737</v>
      </c>
      <c r="L1748">
        <v>1993</v>
      </c>
      <c r="M1748" s="15" t="s">
        <v>4700</v>
      </c>
      <c r="N1748">
        <v>5</v>
      </c>
      <c r="O1748">
        <v>1</v>
      </c>
      <c r="P1748" s="21">
        <f>DATEVALUE(N1748&amp;"-"&amp;M1748&amp;"-"&amp;L1748)</f>
        <v>34278</v>
      </c>
      <c r="Q1748" s="22">
        <v>16657.72</v>
      </c>
      <c r="R1748" s="23" t="s">
        <v>4697</v>
      </c>
      <c r="S1748" s="23" t="s">
        <v>4701</v>
      </c>
      <c r="T1748" s="23" t="s">
        <v>4714</v>
      </c>
      <c r="U1748" s="23">
        <f>DATEDIF(P1748, DATE(2023, 6, 8), "Y")</f>
        <v>29</v>
      </c>
      <c r="V1748">
        <f>SUM(C1748:K1748)</f>
        <v>29.090000000000003</v>
      </c>
    </row>
    <row r="1749" spans="1:22" ht="15.75">
      <c r="A1749" s="28" t="s">
        <v>3496</v>
      </c>
      <c r="B1749" s="28" t="s">
        <v>3497</v>
      </c>
      <c r="C1749" s="23">
        <v>24.13</v>
      </c>
      <c r="D1749" s="23">
        <v>5.2</v>
      </c>
      <c r="E1749" s="23" t="s">
        <v>4682</v>
      </c>
      <c r="F1749" s="23" t="s">
        <v>4682</v>
      </c>
      <c r="G1749" s="23" t="s">
        <v>4682</v>
      </c>
      <c r="H1749" s="23">
        <v>1</v>
      </c>
      <c r="I1749" s="23" t="s">
        <v>4682</v>
      </c>
      <c r="J1749" s="23" t="s">
        <v>4728</v>
      </c>
      <c r="K1749" s="23" t="s">
        <v>4737</v>
      </c>
      <c r="L1749">
        <v>1974</v>
      </c>
      <c r="M1749" s="15" t="s">
        <v>4706</v>
      </c>
      <c r="N1749">
        <v>28</v>
      </c>
      <c r="O1749">
        <v>0</v>
      </c>
      <c r="P1749" s="21">
        <f>DATEVALUE(N1749&amp;"-"&amp;M1749&amp;"-"&amp;L1749)</f>
        <v>27269</v>
      </c>
      <c r="Q1749" s="22">
        <v>16770.990000000002</v>
      </c>
      <c r="R1749" s="23" t="s">
        <v>4697</v>
      </c>
      <c r="S1749" s="23" t="s">
        <v>4701</v>
      </c>
      <c r="T1749" s="23" t="s">
        <v>4704</v>
      </c>
      <c r="U1749" s="23">
        <f>DATEDIF(P1749, DATE(2023, 6, 8), "Y")</f>
        <v>48</v>
      </c>
      <c r="V1749">
        <f>SUM(C1749:K1749)</f>
        <v>30.33</v>
      </c>
    </row>
    <row r="1750" spans="1:22" ht="15.75">
      <c r="A1750" s="28" t="s">
        <v>3498</v>
      </c>
      <c r="B1750" s="28" t="s">
        <v>3499</v>
      </c>
      <c r="C1750" s="23">
        <v>42.13</v>
      </c>
      <c r="D1750" s="23">
        <v>4.54</v>
      </c>
      <c r="E1750" s="23" t="s">
        <v>4683</v>
      </c>
      <c r="F1750" s="23" t="s">
        <v>4682</v>
      </c>
      <c r="G1750" s="23" t="s">
        <v>4682</v>
      </c>
      <c r="H1750" s="23">
        <v>1</v>
      </c>
      <c r="I1750" s="23" t="s">
        <v>4682</v>
      </c>
      <c r="J1750" s="23" t="s">
        <v>4729</v>
      </c>
      <c r="K1750" s="23" t="s">
        <v>4737</v>
      </c>
      <c r="L1750">
        <v>1989</v>
      </c>
      <c r="M1750" s="15" t="s">
        <v>4703</v>
      </c>
      <c r="N1750">
        <v>23</v>
      </c>
      <c r="O1750">
        <v>2</v>
      </c>
      <c r="P1750" s="21">
        <f>DATEVALUE(N1750&amp;"-"&amp;M1750&amp;"-"&amp;L1750)</f>
        <v>32774</v>
      </c>
      <c r="Q1750" s="22">
        <v>16776.3</v>
      </c>
      <c r="R1750" s="23" t="s">
        <v>4697</v>
      </c>
      <c r="S1750" s="23" t="s">
        <v>4697</v>
      </c>
      <c r="T1750" s="23" t="s">
        <v>4714</v>
      </c>
      <c r="U1750" s="23">
        <f>DATEDIF(P1750, DATE(2023, 6, 8), "Y")</f>
        <v>33</v>
      </c>
      <c r="V1750">
        <f>SUM(C1750:K1750)</f>
        <v>47.67</v>
      </c>
    </row>
    <row r="1751" spans="1:22" ht="15.75">
      <c r="A1751" s="28" t="s">
        <v>3500</v>
      </c>
      <c r="B1751" s="28" t="s">
        <v>3501</v>
      </c>
      <c r="C1751" s="23">
        <v>17.86</v>
      </c>
      <c r="D1751" s="23">
        <v>4.1100000000000003</v>
      </c>
      <c r="E1751" s="23" t="s">
        <v>4682</v>
      </c>
      <c r="F1751" s="23" t="s">
        <v>4682</v>
      </c>
      <c r="G1751" s="23" t="s">
        <v>4682</v>
      </c>
      <c r="H1751" s="23">
        <v>1</v>
      </c>
      <c r="I1751" s="23" t="s">
        <v>4682</v>
      </c>
      <c r="J1751" s="23" t="s">
        <v>4731</v>
      </c>
      <c r="K1751" s="23" t="s">
        <v>4737</v>
      </c>
      <c r="L1751">
        <v>1962</v>
      </c>
      <c r="M1751" s="15" t="s">
        <v>4696</v>
      </c>
      <c r="N1751">
        <v>29</v>
      </c>
      <c r="O1751">
        <v>0</v>
      </c>
      <c r="P1751" s="21">
        <f>DATEVALUE(N1751&amp;"-"&amp;M1751&amp;"-"&amp;L1751)</f>
        <v>22856</v>
      </c>
      <c r="Q1751" s="22">
        <v>16779.400000000001</v>
      </c>
      <c r="R1751" s="23" t="s">
        <v>4697</v>
      </c>
      <c r="S1751" s="23" t="s">
        <v>4697</v>
      </c>
      <c r="T1751" s="23" t="s">
        <v>4720</v>
      </c>
      <c r="U1751" s="23">
        <f>DATEDIF(P1751, DATE(2023, 6, 8), "Y")</f>
        <v>60</v>
      </c>
      <c r="V1751">
        <f>SUM(C1751:K1751)</f>
        <v>22.97</v>
      </c>
    </row>
    <row r="1752" spans="1:22" ht="15.75">
      <c r="A1752" s="28" t="s">
        <v>3502</v>
      </c>
      <c r="B1752" s="28" t="s">
        <v>3503</v>
      </c>
      <c r="C1752" s="23">
        <v>32.78</v>
      </c>
      <c r="D1752" s="23">
        <v>4.63</v>
      </c>
      <c r="E1752" s="23" t="s">
        <v>4682</v>
      </c>
      <c r="F1752" s="23" t="s">
        <v>4682</v>
      </c>
      <c r="G1752" s="23" t="s">
        <v>4682</v>
      </c>
      <c r="H1752" s="23">
        <v>0</v>
      </c>
      <c r="I1752" s="23" t="s">
        <v>4682</v>
      </c>
      <c r="J1752" s="23" t="s">
        <v>4729</v>
      </c>
      <c r="K1752" s="23" t="s">
        <v>4737</v>
      </c>
      <c r="L1752">
        <v>1995</v>
      </c>
      <c r="M1752" s="15" t="s">
        <v>4707</v>
      </c>
      <c r="N1752">
        <v>19</v>
      </c>
      <c r="O1752">
        <v>1</v>
      </c>
      <c r="P1752" s="21">
        <f>DATEVALUE(N1752&amp;"-"&amp;M1752&amp;"-"&amp;L1752)</f>
        <v>34991</v>
      </c>
      <c r="Q1752" s="22">
        <v>16796.41</v>
      </c>
      <c r="R1752" s="23" t="s">
        <v>4697</v>
      </c>
      <c r="S1752" s="23" t="s">
        <v>4698</v>
      </c>
      <c r="T1752" s="23" t="s">
        <v>4714</v>
      </c>
      <c r="U1752" s="23">
        <f>DATEDIF(P1752, DATE(2023, 6, 8), "Y")</f>
        <v>27</v>
      </c>
      <c r="V1752">
        <f>SUM(C1752:K1752)</f>
        <v>37.410000000000004</v>
      </c>
    </row>
    <row r="1753" spans="1:22" ht="15.75">
      <c r="A1753" s="28" t="s">
        <v>3504</v>
      </c>
      <c r="B1753" s="28" t="s">
        <v>3505</v>
      </c>
      <c r="C1753" s="23">
        <v>23.9</v>
      </c>
      <c r="D1753" s="23">
        <v>6.06</v>
      </c>
      <c r="E1753" s="23" t="s">
        <v>4683</v>
      </c>
      <c r="F1753" s="23" t="s">
        <v>4682</v>
      </c>
      <c r="G1753" s="23" t="s">
        <v>4684</v>
      </c>
      <c r="H1753" s="23">
        <v>1</v>
      </c>
      <c r="I1753" s="23" t="s">
        <v>4682</v>
      </c>
      <c r="J1753" s="23" t="s">
        <v>4728</v>
      </c>
      <c r="K1753" s="23" t="s">
        <v>4736</v>
      </c>
      <c r="L1753">
        <v>1974</v>
      </c>
      <c r="M1753" s="15" t="s">
        <v>4706</v>
      </c>
      <c r="N1753">
        <v>8</v>
      </c>
      <c r="O1753">
        <v>0</v>
      </c>
      <c r="P1753" s="21">
        <f>DATEVALUE(N1753&amp;"-"&amp;M1753&amp;"-"&amp;L1753)</f>
        <v>27249</v>
      </c>
      <c r="Q1753" s="22">
        <v>16841.32</v>
      </c>
      <c r="R1753" s="23" t="s">
        <v>4697</v>
      </c>
      <c r="S1753" s="23" t="s">
        <v>4698</v>
      </c>
      <c r="T1753" s="23" t="s">
        <v>4708</v>
      </c>
      <c r="U1753" s="23">
        <f>DATEDIF(P1753, DATE(2023, 6, 8), "Y")</f>
        <v>48</v>
      </c>
      <c r="V1753">
        <f>SUM(C1753:K1753)</f>
        <v>30.959999999999997</v>
      </c>
    </row>
    <row r="1754" spans="1:22" ht="15.75">
      <c r="A1754" s="28" t="s">
        <v>3506</v>
      </c>
      <c r="B1754" s="28" t="s">
        <v>3507</v>
      </c>
      <c r="C1754" s="23">
        <v>15.47</v>
      </c>
      <c r="D1754" s="23">
        <v>8.43</v>
      </c>
      <c r="E1754" s="23" t="s">
        <v>4682</v>
      </c>
      <c r="F1754" s="23" t="s">
        <v>4682</v>
      </c>
      <c r="G1754" s="23" t="s">
        <v>4682</v>
      </c>
      <c r="H1754" s="23">
        <v>0</v>
      </c>
      <c r="I1754" s="23" t="s">
        <v>4682</v>
      </c>
      <c r="J1754" s="23" t="s">
        <v>4731</v>
      </c>
      <c r="K1754" s="23" t="s">
        <v>4735</v>
      </c>
      <c r="L1754">
        <v>2003</v>
      </c>
      <c r="M1754" s="15" t="s">
        <v>4703</v>
      </c>
      <c r="N1754">
        <v>10</v>
      </c>
      <c r="O1754">
        <v>0</v>
      </c>
      <c r="P1754" s="21">
        <f>DATEVALUE(N1754&amp;"-"&amp;M1754&amp;"-"&amp;L1754)</f>
        <v>37874</v>
      </c>
      <c r="Q1754" s="22">
        <v>16884.919999999998</v>
      </c>
      <c r="R1754" s="23" t="s">
        <v>4697</v>
      </c>
      <c r="S1754" s="23" t="s">
        <v>4697</v>
      </c>
      <c r="T1754" s="23" t="s">
        <v>4708</v>
      </c>
      <c r="U1754" s="23">
        <f>DATEDIF(P1754, DATE(2023, 6, 8), "Y")</f>
        <v>19</v>
      </c>
      <c r="V1754">
        <f>SUM(C1754:K1754)</f>
        <v>23.9</v>
      </c>
    </row>
    <row r="1755" spans="1:22" ht="15.75">
      <c r="A1755" s="28" t="s">
        <v>3508</v>
      </c>
      <c r="B1755" s="28" t="s">
        <v>3509</v>
      </c>
      <c r="C1755" s="23">
        <v>28.54</v>
      </c>
      <c r="D1755" s="23">
        <v>5.51</v>
      </c>
      <c r="E1755" s="23" t="s">
        <v>4682</v>
      </c>
      <c r="F1755" s="23" t="s">
        <v>4682</v>
      </c>
      <c r="G1755" s="23" t="s">
        <v>4684</v>
      </c>
      <c r="H1755" s="23">
        <v>1</v>
      </c>
      <c r="I1755" s="23" t="s">
        <v>4682</v>
      </c>
      <c r="J1755" s="23" t="s">
        <v>4730</v>
      </c>
      <c r="K1755" s="23" t="s">
        <v>4737</v>
      </c>
      <c r="L1755">
        <v>1968</v>
      </c>
      <c r="M1755" s="15" t="s">
        <v>4707</v>
      </c>
      <c r="N1755">
        <v>21</v>
      </c>
      <c r="O1755">
        <v>0</v>
      </c>
      <c r="P1755" s="21">
        <f>DATEVALUE(N1755&amp;"-"&amp;M1755&amp;"-"&amp;L1755)</f>
        <v>25132</v>
      </c>
      <c r="Q1755" s="22">
        <v>16903.5</v>
      </c>
      <c r="R1755" s="23" t="s">
        <v>4697</v>
      </c>
      <c r="S1755" s="23" t="s">
        <v>4698</v>
      </c>
      <c r="T1755" s="23" t="s">
        <v>4704</v>
      </c>
      <c r="U1755" s="23">
        <f>DATEDIF(P1755, DATE(2023, 6, 8), "Y")</f>
        <v>54</v>
      </c>
      <c r="V1755">
        <f>SUM(C1755:K1755)</f>
        <v>35.049999999999997</v>
      </c>
    </row>
    <row r="1756" spans="1:22" ht="15.75">
      <c r="A1756" s="28" t="s">
        <v>3510</v>
      </c>
      <c r="B1756" s="28" t="s">
        <v>3511</v>
      </c>
      <c r="C1756" s="23">
        <v>18.54</v>
      </c>
      <c r="D1756" s="23">
        <v>4.95</v>
      </c>
      <c r="E1756" s="23" t="s">
        <v>4682</v>
      </c>
      <c r="F1756" s="23" t="s">
        <v>4682</v>
      </c>
      <c r="G1756" s="23" t="s">
        <v>4682</v>
      </c>
      <c r="H1756" s="23">
        <v>0</v>
      </c>
      <c r="I1756" s="23" t="s">
        <v>4682</v>
      </c>
      <c r="J1756" s="23" t="s">
        <v>4728</v>
      </c>
      <c r="K1756" s="23" t="s">
        <v>4737</v>
      </c>
      <c r="L1756">
        <v>1977</v>
      </c>
      <c r="M1756" s="15" t="s">
        <v>4706</v>
      </c>
      <c r="N1756">
        <v>25</v>
      </c>
      <c r="O1756">
        <v>2</v>
      </c>
      <c r="P1756" s="21">
        <f>DATEVALUE(N1756&amp;"-"&amp;M1756&amp;"-"&amp;L1756)</f>
        <v>28362</v>
      </c>
      <c r="Q1756" s="22">
        <v>16921.09</v>
      </c>
      <c r="R1756" s="23" t="s">
        <v>4697</v>
      </c>
      <c r="S1756" s="23" t="s">
        <v>4698</v>
      </c>
      <c r="T1756" s="23" t="s">
        <v>4715</v>
      </c>
      <c r="U1756" s="23">
        <f>DATEDIF(P1756, DATE(2023, 6, 8), "Y")</f>
        <v>45</v>
      </c>
      <c r="V1756">
        <f>SUM(C1756:K1756)</f>
        <v>23.49</v>
      </c>
    </row>
    <row r="1757" spans="1:22" ht="15.75">
      <c r="A1757" s="28" t="s">
        <v>3512</v>
      </c>
      <c r="B1757" s="28" t="s">
        <v>3513</v>
      </c>
      <c r="C1757" s="23">
        <v>32.18</v>
      </c>
      <c r="D1757" s="23">
        <v>6.44</v>
      </c>
      <c r="E1757" s="23" t="s">
        <v>4683</v>
      </c>
      <c r="F1757" s="23" t="s">
        <v>4682</v>
      </c>
      <c r="G1757" s="23" t="s">
        <v>4684</v>
      </c>
      <c r="H1757" s="23">
        <v>1</v>
      </c>
      <c r="I1757" s="23" t="s">
        <v>4682</v>
      </c>
      <c r="J1757" s="23" t="s">
        <v>4729</v>
      </c>
      <c r="K1757" s="23" t="s">
        <v>4735</v>
      </c>
      <c r="L1757">
        <v>1980</v>
      </c>
      <c r="M1757" s="15" t="s">
        <v>4696</v>
      </c>
      <c r="N1757">
        <v>16</v>
      </c>
      <c r="O1757">
        <v>2</v>
      </c>
      <c r="P1757" s="21">
        <f>DATEVALUE(N1757&amp;"-"&amp;M1757&amp;"-"&amp;L1757)</f>
        <v>29418</v>
      </c>
      <c r="Q1757" s="22">
        <v>16990.55</v>
      </c>
      <c r="R1757" s="23" t="s">
        <v>4697</v>
      </c>
      <c r="S1757" s="23" t="s">
        <v>4698</v>
      </c>
      <c r="T1757" s="23" t="s">
        <v>4704</v>
      </c>
      <c r="U1757" s="23">
        <f>DATEDIF(P1757, DATE(2023, 6, 8), "Y")</f>
        <v>42</v>
      </c>
      <c r="V1757">
        <f>SUM(C1757:K1757)</f>
        <v>39.619999999999997</v>
      </c>
    </row>
    <row r="1758" spans="1:22" ht="15.75">
      <c r="A1758" s="28" t="s">
        <v>3514</v>
      </c>
      <c r="B1758" s="28" t="s">
        <v>3515</v>
      </c>
      <c r="C1758" s="23">
        <v>37.380000000000003</v>
      </c>
      <c r="D1758" s="23">
        <v>6.05</v>
      </c>
      <c r="E1758" s="23" t="s">
        <v>4683</v>
      </c>
      <c r="F1758" s="23" t="s">
        <v>4682</v>
      </c>
      <c r="G1758" s="23" t="s">
        <v>4682</v>
      </c>
      <c r="H1758" s="23">
        <v>0</v>
      </c>
      <c r="I1758" s="23" t="s">
        <v>4682</v>
      </c>
      <c r="J1758" s="23" t="s">
        <v>4729</v>
      </c>
      <c r="K1758" s="23" t="s">
        <v>4736</v>
      </c>
      <c r="L1758">
        <v>1971</v>
      </c>
      <c r="M1758" s="15" t="s">
        <v>4706</v>
      </c>
      <c r="N1758">
        <v>22</v>
      </c>
      <c r="O1758">
        <v>0</v>
      </c>
      <c r="P1758" s="21">
        <f>DATEVALUE(N1758&amp;"-"&amp;M1758&amp;"-"&amp;L1758)</f>
        <v>26167</v>
      </c>
      <c r="Q1758" s="22">
        <v>17016.009999999998</v>
      </c>
      <c r="R1758" s="23" t="s">
        <v>4697</v>
      </c>
      <c r="S1758" s="23" t="s">
        <v>4697</v>
      </c>
      <c r="T1758" s="23" t="s">
        <v>4715</v>
      </c>
      <c r="U1758" s="23">
        <f>DATEDIF(P1758, DATE(2023, 6, 8), "Y")</f>
        <v>51</v>
      </c>
      <c r="V1758">
        <f>SUM(C1758:K1758)</f>
        <v>43.43</v>
      </c>
    </row>
    <row r="1759" spans="1:22" ht="15.75">
      <c r="A1759" s="28" t="s">
        <v>3516</v>
      </c>
      <c r="B1759" s="28" t="s">
        <v>3517</v>
      </c>
      <c r="C1759" s="23">
        <v>31.12</v>
      </c>
      <c r="D1759" s="23">
        <v>4.76</v>
      </c>
      <c r="E1759" s="23" t="s">
        <v>4683</v>
      </c>
      <c r="F1759" s="23" t="s">
        <v>4682</v>
      </c>
      <c r="G1759" s="23" t="s">
        <v>4684</v>
      </c>
      <c r="H1759" s="23">
        <v>1</v>
      </c>
      <c r="I1759" s="23" t="s">
        <v>4682</v>
      </c>
      <c r="J1759" s="23" t="s">
        <v>4729</v>
      </c>
      <c r="K1759" s="23" t="s">
        <v>4737</v>
      </c>
      <c r="L1759">
        <v>1996</v>
      </c>
      <c r="M1759" s="15" t="s">
        <v>4702</v>
      </c>
      <c r="N1759">
        <v>10</v>
      </c>
      <c r="O1759">
        <v>0</v>
      </c>
      <c r="P1759" s="21">
        <f>DATEVALUE(N1759&amp;"-"&amp;M1759&amp;"-"&amp;L1759)</f>
        <v>35226</v>
      </c>
      <c r="Q1759" s="22">
        <v>17043.34</v>
      </c>
      <c r="R1759" s="23" t="s">
        <v>4697</v>
      </c>
      <c r="S1759" s="23" t="s">
        <v>4698</v>
      </c>
      <c r="T1759" s="23" t="s">
        <v>4699</v>
      </c>
      <c r="U1759" s="23">
        <f>DATEDIF(P1759, DATE(2023, 6, 8), "Y")</f>
        <v>26</v>
      </c>
      <c r="V1759">
        <f>SUM(C1759:K1759)</f>
        <v>36.880000000000003</v>
      </c>
    </row>
    <row r="1760" spans="1:22" ht="15.75">
      <c r="A1760" s="28" t="s">
        <v>3518</v>
      </c>
      <c r="B1760" s="28" t="s">
        <v>3519</v>
      </c>
      <c r="C1760" s="23">
        <v>22.01</v>
      </c>
      <c r="D1760" s="23">
        <v>6.72</v>
      </c>
      <c r="E1760" s="23" t="s">
        <v>4683</v>
      </c>
      <c r="F1760" s="23" t="s">
        <v>4682</v>
      </c>
      <c r="G1760" s="23" t="s">
        <v>4682</v>
      </c>
      <c r="H1760" s="23">
        <v>1</v>
      </c>
      <c r="I1760" s="23" t="s">
        <v>4682</v>
      </c>
      <c r="J1760" s="23" t="s">
        <v>4728</v>
      </c>
      <c r="K1760" s="23" t="s">
        <v>4735</v>
      </c>
      <c r="L1760">
        <v>2003</v>
      </c>
      <c r="M1760" s="15" t="s">
        <v>4705</v>
      </c>
      <c r="N1760">
        <v>26</v>
      </c>
      <c r="O1760">
        <v>0</v>
      </c>
      <c r="P1760" s="21">
        <f>DATEVALUE(N1760&amp;"-"&amp;M1760&amp;"-"&amp;L1760)</f>
        <v>37981</v>
      </c>
      <c r="Q1760" s="22">
        <v>17081.080000000002</v>
      </c>
      <c r="R1760" s="23" t="s">
        <v>4697</v>
      </c>
      <c r="S1760" s="23" t="s">
        <v>4697</v>
      </c>
      <c r="T1760" s="23" t="s">
        <v>4708</v>
      </c>
      <c r="U1760" s="23">
        <f>DATEDIF(P1760, DATE(2023, 6, 8), "Y")</f>
        <v>19</v>
      </c>
      <c r="V1760">
        <f>SUM(C1760:K1760)</f>
        <v>29.73</v>
      </c>
    </row>
    <row r="1761" spans="1:22" ht="15.75">
      <c r="A1761" s="28" t="s">
        <v>3520</v>
      </c>
      <c r="B1761" s="28" t="s">
        <v>3521</v>
      </c>
      <c r="C1761" s="23">
        <v>27.645</v>
      </c>
      <c r="D1761" s="23">
        <v>5.7</v>
      </c>
      <c r="E1761" s="23" t="s">
        <v>4682</v>
      </c>
      <c r="F1761" s="23" t="s">
        <v>4682</v>
      </c>
      <c r="G1761" s="23" t="s">
        <v>4682</v>
      </c>
      <c r="H1761" s="23">
        <v>0</v>
      </c>
      <c r="I1761" s="23" t="s">
        <v>4682</v>
      </c>
      <c r="J1761" s="23" t="s">
        <v>4730</v>
      </c>
      <c r="K1761" s="23" t="s">
        <v>4736</v>
      </c>
      <c r="L1761">
        <v>2002</v>
      </c>
      <c r="M1761" s="15" t="s">
        <v>4702</v>
      </c>
      <c r="N1761">
        <v>28</v>
      </c>
      <c r="O1761">
        <v>1</v>
      </c>
      <c r="P1761" s="21">
        <f>DATEVALUE(N1761&amp;"-"&amp;M1761&amp;"-"&amp;L1761)</f>
        <v>37435</v>
      </c>
      <c r="Q1761" s="22">
        <v>17085.27</v>
      </c>
      <c r="R1761" s="23" t="s">
        <v>4697</v>
      </c>
      <c r="S1761" s="23" t="s">
        <v>4698</v>
      </c>
      <c r="T1761" s="23" t="s">
        <v>4699</v>
      </c>
      <c r="U1761" s="23">
        <f>DATEDIF(P1761, DATE(2023, 6, 8), "Y")</f>
        <v>20</v>
      </c>
      <c r="V1761">
        <f>SUM(C1761:K1761)</f>
        <v>33.344999999999999</v>
      </c>
    </row>
    <row r="1762" spans="1:22" ht="15.75">
      <c r="A1762" s="28" t="s">
        <v>3522</v>
      </c>
      <c r="B1762" s="28" t="s">
        <v>3523</v>
      </c>
      <c r="C1762" s="23">
        <v>29.64</v>
      </c>
      <c r="D1762" s="23">
        <v>5.31</v>
      </c>
      <c r="E1762" s="23" t="s">
        <v>4683</v>
      </c>
      <c r="F1762" s="23" t="s">
        <v>4682</v>
      </c>
      <c r="G1762" s="23" t="s">
        <v>4682</v>
      </c>
      <c r="H1762" s="23">
        <v>0</v>
      </c>
      <c r="I1762" s="23" t="s">
        <v>4682</v>
      </c>
      <c r="J1762" s="23" t="s">
        <v>4730</v>
      </c>
      <c r="K1762" s="23" t="s">
        <v>4737</v>
      </c>
      <c r="L1762">
        <v>1998</v>
      </c>
      <c r="M1762" s="15" t="s">
        <v>4702</v>
      </c>
      <c r="N1762">
        <v>3</v>
      </c>
      <c r="O1762">
        <v>4</v>
      </c>
      <c r="P1762" s="21">
        <f>DATEVALUE(N1762&amp;"-"&amp;M1762&amp;"-"&amp;L1762)</f>
        <v>35949</v>
      </c>
      <c r="Q1762" s="22">
        <v>17128.43</v>
      </c>
      <c r="R1762" s="23" t="s">
        <v>4697</v>
      </c>
      <c r="S1762" s="23" t="s">
        <v>4698</v>
      </c>
      <c r="T1762" s="23" t="s">
        <v>4711</v>
      </c>
      <c r="U1762" s="23">
        <f>DATEDIF(P1762, DATE(2023, 6, 8), "Y")</f>
        <v>25</v>
      </c>
      <c r="V1762">
        <f>SUM(C1762:K1762)</f>
        <v>34.950000000000003</v>
      </c>
    </row>
    <row r="1763" spans="1:22" ht="15.75">
      <c r="A1763" s="28" t="s">
        <v>3524</v>
      </c>
      <c r="B1763" s="28" t="s">
        <v>3525</v>
      </c>
      <c r="C1763" s="23">
        <v>33.700000000000003</v>
      </c>
      <c r="D1763" s="23">
        <v>4.32</v>
      </c>
      <c r="E1763" s="23" t="s">
        <v>4683</v>
      </c>
      <c r="F1763" s="23" t="s">
        <v>4682</v>
      </c>
      <c r="G1763" s="23" t="s">
        <v>4682</v>
      </c>
      <c r="H1763" s="23">
        <v>1</v>
      </c>
      <c r="I1763" s="23" t="s">
        <v>4682</v>
      </c>
      <c r="J1763" s="23" t="s">
        <v>4729</v>
      </c>
      <c r="K1763" s="23" t="s">
        <v>4737</v>
      </c>
      <c r="L1763">
        <v>1965</v>
      </c>
      <c r="M1763" s="15" t="s">
        <v>4703</v>
      </c>
      <c r="N1763">
        <v>16</v>
      </c>
      <c r="O1763">
        <v>0</v>
      </c>
      <c r="P1763" s="21">
        <f>DATEVALUE(N1763&amp;"-"&amp;M1763&amp;"-"&amp;L1763)</f>
        <v>24001</v>
      </c>
      <c r="Q1763" s="22">
        <v>17172.27</v>
      </c>
      <c r="R1763" s="23" t="s">
        <v>4697</v>
      </c>
      <c r="S1763" s="23" t="s">
        <v>4697</v>
      </c>
      <c r="T1763" s="23" t="s">
        <v>4720</v>
      </c>
      <c r="U1763" s="23">
        <f>DATEDIF(P1763, DATE(2023, 6, 8), "Y")</f>
        <v>57</v>
      </c>
      <c r="V1763">
        <f>SUM(C1763:K1763)</f>
        <v>39.020000000000003</v>
      </c>
    </row>
    <row r="1764" spans="1:22" ht="15.75">
      <c r="A1764" s="28" t="s">
        <v>3526</v>
      </c>
      <c r="B1764" s="28" t="s">
        <v>3527</v>
      </c>
      <c r="C1764" s="23">
        <v>27.5</v>
      </c>
      <c r="D1764" s="23">
        <v>4.2300000000000004</v>
      </c>
      <c r="E1764" s="23" t="s">
        <v>4683</v>
      </c>
      <c r="F1764" s="23" t="s">
        <v>4682</v>
      </c>
      <c r="G1764" s="23" t="s">
        <v>4682</v>
      </c>
      <c r="H1764" s="23">
        <v>1</v>
      </c>
      <c r="I1764" s="23" t="s">
        <v>4682</v>
      </c>
      <c r="J1764" s="23" t="s">
        <v>4730</v>
      </c>
      <c r="K1764" s="23" t="s">
        <v>4737</v>
      </c>
      <c r="L1764">
        <v>1964</v>
      </c>
      <c r="M1764" s="15" t="s">
        <v>4702</v>
      </c>
      <c r="N1764">
        <v>7</v>
      </c>
      <c r="O1764">
        <v>0</v>
      </c>
      <c r="P1764" s="21">
        <f>DATEVALUE(N1764&amp;"-"&amp;M1764&amp;"-"&amp;L1764)</f>
        <v>23535</v>
      </c>
      <c r="Q1764" s="22">
        <v>17174.52</v>
      </c>
      <c r="R1764" s="23" t="s">
        <v>4697</v>
      </c>
      <c r="S1764" s="23" t="s">
        <v>4697</v>
      </c>
      <c r="T1764" s="23" t="s">
        <v>4704</v>
      </c>
      <c r="U1764" s="23">
        <f>DATEDIF(P1764, DATE(2023, 6, 8), "Y")</f>
        <v>59</v>
      </c>
      <c r="V1764">
        <f>SUM(C1764:K1764)</f>
        <v>32.730000000000004</v>
      </c>
    </row>
    <row r="1765" spans="1:22" ht="15.75">
      <c r="A1765" s="28" t="s">
        <v>3528</v>
      </c>
      <c r="B1765" s="28" t="s">
        <v>3529</v>
      </c>
      <c r="C1765" s="23">
        <v>16.12</v>
      </c>
      <c r="D1765" s="23">
        <v>6.09</v>
      </c>
      <c r="E1765" s="23" t="s">
        <v>4682</v>
      </c>
      <c r="F1765" s="23" t="s">
        <v>4682</v>
      </c>
      <c r="G1765" s="23" t="s">
        <v>4682</v>
      </c>
      <c r="H1765" s="23">
        <v>0</v>
      </c>
      <c r="I1765" s="23" t="s">
        <v>4682</v>
      </c>
      <c r="J1765" s="23" t="s">
        <v>4731</v>
      </c>
      <c r="K1765" s="23" t="s">
        <v>4736</v>
      </c>
      <c r="L1765">
        <v>2004</v>
      </c>
      <c r="M1765" s="15" t="s">
        <v>4706</v>
      </c>
      <c r="N1765">
        <v>18</v>
      </c>
      <c r="O1765">
        <v>1</v>
      </c>
      <c r="P1765" s="21">
        <f>DATEVALUE(N1765&amp;"-"&amp;M1765&amp;"-"&amp;L1765)</f>
        <v>38217</v>
      </c>
      <c r="Q1765" s="22">
        <v>17178.68</v>
      </c>
      <c r="R1765" s="23" t="s">
        <v>4697</v>
      </c>
      <c r="S1765" s="23" t="s">
        <v>4697</v>
      </c>
      <c r="T1765" s="23" t="s">
        <v>4710</v>
      </c>
      <c r="U1765" s="23">
        <f>DATEDIF(P1765, DATE(2023, 6, 8), "Y")</f>
        <v>18</v>
      </c>
      <c r="V1765">
        <f>SUM(C1765:K1765)</f>
        <v>22.21</v>
      </c>
    </row>
    <row r="1766" spans="1:22" ht="15.75">
      <c r="A1766" s="28" t="s">
        <v>3530</v>
      </c>
      <c r="B1766" s="28" t="s">
        <v>3531</v>
      </c>
      <c r="C1766" s="23">
        <v>26.73</v>
      </c>
      <c r="D1766" s="23">
        <v>4.74</v>
      </c>
      <c r="E1766" s="23" t="s">
        <v>4683</v>
      </c>
      <c r="F1766" s="23" t="s">
        <v>4682</v>
      </c>
      <c r="G1766" s="23" t="s">
        <v>4682</v>
      </c>
      <c r="H1766" s="23">
        <v>1</v>
      </c>
      <c r="I1766" s="23" t="s">
        <v>4682</v>
      </c>
      <c r="J1766" s="23" t="s">
        <v>4730</v>
      </c>
      <c r="K1766" s="23" t="s">
        <v>4737</v>
      </c>
      <c r="L1766">
        <v>1982</v>
      </c>
      <c r="M1766" s="15" t="s">
        <v>4707</v>
      </c>
      <c r="N1766">
        <v>22</v>
      </c>
      <c r="O1766">
        <v>1</v>
      </c>
      <c r="P1766" s="21">
        <f>DATEVALUE(N1766&amp;"-"&amp;M1766&amp;"-"&amp;L1766)</f>
        <v>30246</v>
      </c>
      <c r="Q1766" s="22">
        <v>17179.52</v>
      </c>
      <c r="R1766" s="23" t="s">
        <v>4697</v>
      </c>
      <c r="S1766" s="23" t="s">
        <v>4701</v>
      </c>
      <c r="T1766" s="23" t="s">
        <v>4699</v>
      </c>
      <c r="U1766" s="23">
        <f>DATEDIF(P1766, DATE(2023, 6, 8), "Y")</f>
        <v>40</v>
      </c>
      <c r="V1766">
        <f>SUM(C1766:K1766)</f>
        <v>32.47</v>
      </c>
    </row>
    <row r="1767" spans="1:22" ht="15.75">
      <c r="A1767" s="28" t="s">
        <v>3532</v>
      </c>
      <c r="B1767" s="28" t="s">
        <v>3533</v>
      </c>
      <c r="C1767" s="23">
        <v>37.25</v>
      </c>
      <c r="D1767" s="23">
        <v>6.23</v>
      </c>
      <c r="E1767" s="23" t="s">
        <v>4683</v>
      </c>
      <c r="F1767" s="23" t="s">
        <v>4682</v>
      </c>
      <c r="G1767" s="23" t="s">
        <v>4682</v>
      </c>
      <c r="H1767" s="23">
        <v>0</v>
      </c>
      <c r="I1767" s="23" t="s">
        <v>4682</v>
      </c>
      <c r="J1767" s="23" t="s">
        <v>4729</v>
      </c>
      <c r="K1767" s="23" t="s">
        <v>4736</v>
      </c>
      <c r="L1767">
        <v>1975</v>
      </c>
      <c r="M1767" s="15" t="s">
        <v>4706</v>
      </c>
      <c r="N1767">
        <v>25</v>
      </c>
      <c r="O1767">
        <v>1</v>
      </c>
      <c r="P1767" s="21">
        <f>DATEVALUE(N1767&amp;"-"&amp;M1767&amp;"-"&amp;L1767)</f>
        <v>27631</v>
      </c>
      <c r="Q1767" s="22">
        <v>17253.43</v>
      </c>
      <c r="R1767" s="23" t="s">
        <v>4697</v>
      </c>
      <c r="S1767" s="23" t="s">
        <v>4698</v>
      </c>
      <c r="T1767" s="23" t="s">
        <v>4720</v>
      </c>
      <c r="U1767" s="23">
        <f>DATEDIF(P1767, DATE(2023, 6, 8), "Y")</f>
        <v>47</v>
      </c>
      <c r="V1767">
        <f>SUM(C1767:K1767)</f>
        <v>43.480000000000004</v>
      </c>
    </row>
    <row r="1768" spans="1:22" ht="15.75">
      <c r="A1768" s="28" t="s">
        <v>3534</v>
      </c>
      <c r="B1768" s="28" t="s">
        <v>3535</v>
      </c>
      <c r="C1768" s="23">
        <v>23.56</v>
      </c>
      <c r="D1768" s="23">
        <v>5.45</v>
      </c>
      <c r="E1768" s="23" t="s">
        <v>4683</v>
      </c>
      <c r="F1768" s="23" t="s">
        <v>4682</v>
      </c>
      <c r="G1768" s="23" t="s">
        <v>4682</v>
      </c>
      <c r="H1768" s="23">
        <v>1</v>
      </c>
      <c r="I1768" s="23" t="s">
        <v>4682</v>
      </c>
      <c r="J1768" s="23" t="s">
        <v>4728</v>
      </c>
      <c r="K1768" s="23" t="s">
        <v>4737</v>
      </c>
      <c r="L1768">
        <v>1963</v>
      </c>
      <c r="M1768" s="15" t="s">
        <v>4696</v>
      </c>
      <c r="N1768">
        <v>12</v>
      </c>
      <c r="O1768">
        <v>0</v>
      </c>
      <c r="P1768" s="21">
        <f>DATEVALUE(N1768&amp;"-"&amp;M1768&amp;"-"&amp;L1768)</f>
        <v>23204</v>
      </c>
      <c r="Q1768" s="22">
        <v>17337.580000000002</v>
      </c>
      <c r="R1768" s="23" t="s">
        <v>4697</v>
      </c>
      <c r="S1768" s="23" t="s">
        <v>4698</v>
      </c>
      <c r="T1768" s="23" t="s">
        <v>4715</v>
      </c>
      <c r="U1768" s="23">
        <f>DATEDIF(P1768, DATE(2023, 6, 8), "Y")</f>
        <v>59</v>
      </c>
      <c r="V1768">
        <f>SUM(C1768:K1768)</f>
        <v>30.009999999999998</v>
      </c>
    </row>
    <row r="1769" spans="1:22" ht="15.75">
      <c r="A1769" s="28" t="s">
        <v>3536</v>
      </c>
      <c r="B1769" s="28" t="s">
        <v>3537</v>
      </c>
      <c r="C1769" s="23">
        <v>15.84</v>
      </c>
      <c r="D1769" s="23">
        <v>10.34</v>
      </c>
      <c r="E1769" s="23" t="s">
        <v>4682</v>
      </c>
      <c r="F1769" s="23" t="s">
        <v>4682</v>
      </c>
      <c r="G1769" s="23" t="s">
        <v>4682</v>
      </c>
      <c r="H1769" s="23">
        <v>2</v>
      </c>
      <c r="I1769" s="23" t="s">
        <v>4682</v>
      </c>
      <c r="J1769" s="23" t="s">
        <v>4731</v>
      </c>
      <c r="K1769" s="23" t="s">
        <v>4735</v>
      </c>
      <c r="L1769">
        <v>2003</v>
      </c>
      <c r="M1769" s="15" t="s">
        <v>4700</v>
      </c>
      <c r="N1769">
        <v>1</v>
      </c>
      <c r="O1769">
        <v>0</v>
      </c>
      <c r="P1769" s="21">
        <f>DATEVALUE(N1769&amp;"-"&amp;M1769&amp;"-"&amp;L1769)</f>
        <v>37926</v>
      </c>
      <c r="Q1769" s="22">
        <v>17352.68</v>
      </c>
      <c r="R1769" s="23" t="s">
        <v>4697</v>
      </c>
      <c r="S1769" s="23" t="s">
        <v>4698</v>
      </c>
      <c r="T1769" s="23" t="s">
        <v>4704</v>
      </c>
      <c r="U1769" s="23">
        <f>DATEDIF(P1769, DATE(2023, 6, 8), "Y")</f>
        <v>19</v>
      </c>
      <c r="V1769">
        <f>SUM(C1769:K1769)</f>
        <v>28.18</v>
      </c>
    </row>
    <row r="1770" spans="1:22" ht="15.75">
      <c r="A1770" s="28" t="s">
        <v>3538</v>
      </c>
      <c r="B1770" s="28" t="s">
        <v>3539</v>
      </c>
      <c r="C1770" s="23">
        <v>36.630000000000003</v>
      </c>
      <c r="D1770" s="23">
        <v>5.15</v>
      </c>
      <c r="E1770" s="23" t="s">
        <v>4682</v>
      </c>
      <c r="F1770" s="23" t="s">
        <v>4682</v>
      </c>
      <c r="G1770" s="23" t="s">
        <v>4682</v>
      </c>
      <c r="H1770" s="23">
        <v>0</v>
      </c>
      <c r="I1770" s="23" t="s">
        <v>4682</v>
      </c>
      <c r="J1770" s="23" t="s">
        <v>4729</v>
      </c>
      <c r="K1770" s="23" t="s">
        <v>4737</v>
      </c>
      <c r="L1770">
        <v>1992</v>
      </c>
      <c r="M1770" s="15" t="s">
        <v>4707</v>
      </c>
      <c r="N1770">
        <v>18</v>
      </c>
      <c r="O1770">
        <v>2</v>
      </c>
      <c r="P1770" s="21">
        <f>DATEVALUE(N1770&amp;"-"&amp;M1770&amp;"-"&amp;L1770)</f>
        <v>33895</v>
      </c>
      <c r="Q1770" s="22">
        <v>17361.77</v>
      </c>
      <c r="R1770" s="23" t="s">
        <v>4697</v>
      </c>
      <c r="S1770" s="23" t="s">
        <v>4701</v>
      </c>
      <c r="T1770" s="23" t="s">
        <v>4704</v>
      </c>
      <c r="U1770" s="23">
        <f>DATEDIF(P1770, DATE(2023, 6, 8), "Y")</f>
        <v>30</v>
      </c>
      <c r="V1770">
        <f>SUM(C1770:K1770)</f>
        <v>41.78</v>
      </c>
    </row>
    <row r="1771" spans="1:22" ht="15.75">
      <c r="A1771" s="28" t="s">
        <v>3540</v>
      </c>
      <c r="B1771" s="28" t="s">
        <v>3541</v>
      </c>
      <c r="C1771" s="23">
        <v>16.47</v>
      </c>
      <c r="D1771" s="23">
        <v>11.72</v>
      </c>
      <c r="E1771" s="23" t="s">
        <v>4682</v>
      </c>
      <c r="F1771" s="23" t="s">
        <v>4682</v>
      </c>
      <c r="G1771" s="23" t="s">
        <v>4682</v>
      </c>
      <c r="H1771" s="23">
        <v>0</v>
      </c>
      <c r="I1771" s="23" t="s">
        <v>4682</v>
      </c>
      <c r="J1771" s="23" t="s">
        <v>4731</v>
      </c>
      <c r="K1771" s="23" t="s">
        <v>4735</v>
      </c>
      <c r="L1771">
        <v>2003</v>
      </c>
      <c r="M1771" s="15" t="s">
        <v>4700</v>
      </c>
      <c r="N1771">
        <v>2</v>
      </c>
      <c r="O1771">
        <v>0</v>
      </c>
      <c r="P1771" s="21">
        <f>DATEVALUE(N1771&amp;"-"&amp;M1771&amp;"-"&amp;L1771)</f>
        <v>37927</v>
      </c>
      <c r="Q1771" s="22">
        <v>17468.98</v>
      </c>
      <c r="R1771" s="23" t="s">
        <v>4697</v>
      </c>
      <c r="S1771" s="23" t="s">
        <v>4701</v>
      </c>
      <c r="T1771" s="23" t="s">
        <v>4704</v>
      </c>
      <c r="U1771" s="23">
        <f>DATEDIF(P1771, DATE(2023, 6, 8), "Y")</f>
        <v>19</v>
      </c>
      <c r="V1771">
        <f>SUM(C1771:K1771)</f>
        <v>28.189999999999998</v>
      </c>
    </row>
    <row r="1772" spans="1:22" ht="15.75">
      <c r="A1772" s="28" t="s">
        <v>3542</v>
      </c>
      <c r="B1772" s="28" t="s">
        <v>3543</v>
      </c>
      <c r="C1772" s="23">
        <v>25.8</v>
      </c>
      <c r="D1772" s="23">
        <v>5.29</v>
      </c>
      <c r="E1772" s="23" t="s">
        <v>4682</v>
      </c>
      <c r="F1772" s="23" t="s">
        <v>4682</v>
      </c>
      <c r="G1772" s="23" t="s">
        <v>4682</v>
      </c>
      <c r="H1772" s="23">
        <v>0</v>
      </c>
      <c r="I1772" s="23" t="s">
        <v>4682</v>
      </c>
      <c r="J1772" s="23" t="s">
        <v>4730</v>
      </c>
      <c r="K1772" s="23" t="s">
        <v>4737</v>
      </c>
      <c r="L1772">
        <v>1971</v>
      </c>
      <c r="M1772" s="15" t="s">
        <v>4702</v>
      </c>
      <c r="N1772">
        <v>8</v>
      </c>
      <c r="O1772">
        <v>0</v>
      </c>
      <c r="P1772" s="21">
        <f>DATEVALUE(N1772&amp;"-"&amp;M1772&amp;"-"&amp;L1772)</f>
        <v>26092</v>
      </c>
      <c r="Q1772" s="22">
        <v>17479.53</v>
      </c>
      <c r="R1772" s="23" t="s">
        <v>4701</v>
      </c>
      <c r="S1772" s="23" t="s">
        <v>4701</v>
      </c>
      <c r="T1772" s="23" t="s">
        <v>4704</v>
      </c>
      <c r="U1772" s="23">
        <f>DATEDIF(P1772, DATE(2023, 6, 8), "Y")</f>
        <v>52</v>
      </c>
      <c r="V1772">
        <f>SUM(C1772:K1772)</f>
        <v>31.09</v>
      </c>
    </row>
    <row r="1773" spans="1:22" ht="15.75">
      <c r="A1773" s="28" t="s">
        <v>3544</v>
      </c>
      <c r="B1773" s="28" t="s">
        <v>3545</v>
      </c>
      <c r="C1773" s="23">
        <v>23.6</v>
      </c>
      <c r="D1773" s="23">
        <v>4.33</v>
      </c>
      <c r="E1773" s="23" t="s">
        <v>4682</v>
      </c>
      <c r="F1773" s="23" t="s">
        <v>4682</v>
      </c>
      <c r="G1773" s="23" t="s">
        <v>4682</v>
      </c>
      <c r="H1773" s="23">
        <v>0</v>
      </c>
      <c r="I1773" s="23" t="s">
        <v>4682</v>
      </c>
      <c r="J1773" s="23" t="s">
        <v>4728</v>
      </c>
      <c r="K1773" s="23" t="s">
        <v>4737</v>
      </c>
      <c r="L1773">
        <v>1990</v>
      </c>
      <c r="M1773" s="15" t="s">
        <v>4705</v>
      </c>
      <c r="N1773">
        <v>29</v>
      </c>
      <c r="O1773">
        <v>0</v>
      </c>
      <c r="P1773" s="21">
        <f>DATEVALUE(N1773&amp;"-"&amp;M1773&amp;"-"&amp;L1773)</f>
        <v>33236</v>
      </c>
      <c r="Q1773" s="22">
        <v>17496.310000000001</v>
      </c>
      <c r="R1773" s="23" t="s">
        <v>4701</v>
      </c>
      <c r="S1773" s="23" t="s">
        <v>4697</v>
      </c>
      <c r="T1773" s="23" t="s">
        <v>4708</v>
      </c>
      <c r="U1773" s="23">
        <f>DATEDIF(P1773, DATE(2023, 6, 8), "Y")</f>
        <v>32</v>
      </c>
      <c r="V1773">
        <f>SUM(C1773:K1773)</f>
        <v>27.93</v>
      </c>
    </row>
    <row r="1774" spans="1:22" ht="15.75">
      <c r="A1774" s="28" t="s">
        <v>3546</v>
      </c>
      <c r="B1774" s="28" t="s">
        <v>3547</v>
      </c>
      <c r="C1774" s="23">
        <v>32.11</v>
      </c>
      <c r="D1774" s="23">
        <v>6.24</v>
      </c>
      <c r="E1774" s="23" t="s">
        <v>4682</v>
      </c>
      <c r="F1774" s="23" t="s">
        <v>4682</v>
      </c>
      <c r="G1774" s="23" t="s">
        <v>4684</v>
      </c>
      <c r="H1774" s="23">
        <v>1</v>
      </c>
      <c r="I1774" s="23" t="s">
        <v>4682</v>
      </c>
      <c r="J1774" s="23" t="s">
        <v>4729</v>
      </c>
      <c r="K1774" s="23" t="s">
        <v>4736</v>
      </c>
      <c r="L1774">
        <v>1965</v>
      </c>
      <c r="M1774" s="15" t="s">
        <v>4702</v>
      </c>
      <c r="N1774">
        <v>16</v>
      </c>
      <c r="O1774">
        <v>0</v>
      </c>
      <c r="P1774" s="21">
        <f>DATEVALUE(N1774&amp;"-"&amp;M1774&amp;"-"&amp;L1774)</f>
        <v>23909</v>
      </c>
      <c r="Q1774" s="22">
        <v>17505.650000000001</v>
      </c>
      <c r="R1774" s="23" t="s">
        <v>4701</v>
      </c>
      <c r="S1774" s="23" t="s">
        <v>4697</v>
      </c>
      <c r="T1774" s="23" t="s">
        <v>4715</v>
      </c>
      <c r="U1774" s="23">
        <f>DATEDIF(P1774, DATE(2023, 6, 8), "Y")</f>
        <v>57</v>
      </c>
      <c r="V1774">
        <f>SUM(C1774:K1774)</f>
        <v>39.35</v>
      </c>
    </row>
    <row r="1775" spans="1:22" ht="15.75">
      <c r="A1775" s="28" t="s">
        <v>3548</v>
      </c>
      <c r="B1775" s="28" t="s">
        <v>3549</v>
      </c>
      <c r="C1775" s="23">
        <v>30.114999999999998</v>
      </c>
      <c r="D1775" s="23">
        <v>11.61</v>
      </c>
      <c r="E1775" s="23" t="s">
        <v>4682</v>
      </c>
      <c r="F1775" s="23" t="s">
        <v>4682</v>
      </c>
      <c r="G1775" s="23" t="s">
        <v>4682</v>
      </c>
      <c r="H1775" s="23">
        <v>0</v>
      </c>
      <c r="I1775" s="23" t="s">
        <v>4682</v>
      </c>
      <c r="J1775" s="23" t="s">
        <v>4729</v>
      </c>
      <c r="K1775" s="23" t="s">
        <v>4735</v>
      </c>
      <c r="L1775">
        <v>1968</v>
      </c>
      <c r="M1775" s="15" t="s">
        <v>4696</v>
      </c>
      <c r="N1775">
        <v>12</v>
      </c>
      <c r="O1775">
        <v>0</v>
      </c>
      <c r="P1775" s="21">
        <f>DATEVALUE(N1775&amp;"-"&amp;M1775&amp;"-"&amp;L1775)</f>
        <v>25031</v>
      </c>
      <c r="Q1775" s="22">
        <v>17507.47</v>
      </c>
      <c r="R1775" s="23" t="s">
        <v>4701</v>
      </c>
      <c r="S1775" s="23" t="s">
        <v>4701</v>
      </c>
      <c r="T1775" s="23" t="s">
        <v>4720</v>
      </c>
      <c r="U1775" s="23">
        <f>DATEDIF(P1775, DATE(2023, 6, 8), "Y")</f>
        <v>54</v>
      </c>
      <c r="V1775">
        <f>SUM(C1775:K1775)</f>
        <v>41.724999999999994</v>
      </c>
    </row>
    <row r="1776" spans="1:22" ht="15.75">
      <c r="A1776" s="28" t="s">
        <v>3550</v>
      </c>
      <c r="B1776" s="28" t="s">
        <v>3551</v>
      </c>
      <c r="C1776" s="23">
        <v>20.28</v>
      </c>
      <c r="D1776" s="23">
        <v>11.07</v>
      </c>
      <c r="E1776" s="23" t="s">
        <v>4683</v>
      </c>
      <c r="F1776" s="23" t="s">
        <v>4682</v>
      </c>
      <c r="G1776" s="23" t="s">
        <v>4682</v>
      </c>
      <c r="H1776" s="23">
        <v>0</v>
      </c>
      <c r="I1776" s="23" t="s">
        <v>4682</v>
      </c>
      <c r="J1776" s="23" t="s">
        <v>4728</v>
      </c>
      <c r="K1776" s="23" t="s">
        <v>4735</v>
      </c>
      <c r="L1776">
        <v>1963</v>
      </c>
      <c r="M1776" s="15" t="s">
        <v>4700</v>
      </c>
      <c r="N1776">
        <v>16</v>
      </c>
      <c r="O1776">
        <v>0</v>
      </c>
      <c r="P1776" s="21">
        <f>DATEVALUE(N1776&amp;"-"&amp;M1776&amp;"-"&amp;L1776)</f>
        <v>23331</v>
      </c>
      <c r="Q1776" s="22">
        <v>17556.88</v>
      </c>
      <c r="R1776" s="23" t="s">
        <v>4701</v>
      </c>
      <c r="S1776" s="23" t="s">
        <v>4697</v>
      </c>
      <c r="T1776" s="23" t="s">
        <v>4704</v>
      </c>
      <c r="U1776" s="23">
        <f>DATEDIF(P1776, DATE(2023, 6, 8), "Y")</f>
        <v>59</v>
      </c>
      <c r="V1776">
        <f>SUM(C1776:K1776)</f>
        <v>31.35</v>
      </c>
    </row>
    <row r="1777" spans="1:22" ht="15.75">
      <c r="A1777" s="28" t="s">
        <v>3552</v>
      </c>
      <c r="B1777" s="28" t="s">
        <v>3553</v>
      </c>
      <c r="C1777" s="23">
        <v>20.234999999999999</v>
      </c>
      <c r="D1777" s="23">
        <v>5.19</v>
      </c>
      <c r="E1777" s="23" t="s">
        <v>4682</v>
      </c>
      <c r="F1777" s="23" t="s">
        <v>4682</v>
      </c>
      <c r="G1777" s="23" t="s">
        <v>4684</v>
      </c>
      <c r="H1777" s="23">
        <v>1</v>
      </c>
      <c r="I1777" s="23" t="s">
        <v>4682</v>
      </c>
      <c r="J1777" s="23" t="s">
        <v>4728</v>
      </c>
      <c r="K1777" s="23" t="s">
        <v>4737</v>
      </c>
      <c r="L1777">
        <v>2002</v>
      </c>
      <c r="M1777" s="15" t="s">
        <v>4706</v>
      </c>
      <c r="N1777">
        <v>25</v>
      </c>
      <c r="O1777">
        <v>1</v>
      </c>
      <c r="P1777" s="21">
        <f>DATEVALUE(N1777&amp;"-"&amp;M1777&amp;"-"&amp;L1777)</f>
        <v>37493</v>
      </c>
      <c r="Q1777" s="22">
        <v>17560.38</v>
      </c>
      <c r="R1777" s="23" t="s">
        <v>4701</v>
      </c>
      <c r="S1777" s="23" t="s">
        <v>4701</v>
      </c>
      <c r="T1777" s="23" t="s">
        <v>4704</v>
      </c>
      <c r="U1777" s="23">
        <f>DATEDIF(P1777, DATE(2023, 6, 8), "Y")</f>
        <v>20</v>
      </c>
      <c r="V1777">
        <f>SUM(C1777:K1777)</f>
        <v>26.425000000000001</v>
      </c>
    </row>
    <row r="1778" spans="1:22" ht="15.75">
      <c r="A1778" s="28" t="s">
        <v>3554</v>
      </c>
      <c r="B1778" s="28" t="s">
        <v>3555</v>
      </c>
      <c r="C1778" s="23">
        <v>25.27</v>
      </c>
      <c r="D1778" s="23">
        <v>5.7</v>
      </c>
      <c r="E1778" s="23" t="s">
        <v>4683</v>
      </c>
      <c r="F1778" s="23" t="s">
        <v>4682</v>
      </c>
      <c r="G1778" s="23" t="s">
        <v>4682</v>
      </c>
      <c r="H1778" s="23">
        <v>1</v>
      </c>
      <c r="I1778" s="23" t="s">
        <v>4682</v>
      </c>
      <c r="J1778" s="23" t="s">
        <v>4730</v>
      </c>
      <c r="K1778" s="23" t="s">
        <v>4736</v>
      </c>
      <c r="L1778">
        <v>1970</v>
      </c>
      <c r="M1778" s="15" t="s">
        <v>4696</v>
      </c>
      <c r="N1778">
        <v>26</v>
      </c>
      <c r="O1778">
        <v>0</v>
      </c>
      <c r="P1778" s="21">
        <f>DATEVALUE(N1778&amp;"-"&amp;M1778&amp;"-"&amp;L1778)</f>
        <v>25775</v>
      </c>
      <c r="Q1778" s="22">
        <v>17584.72</v>
      </c>
      <c r="R1778" s="23" t="s">
        <v>4701</v>
      </c>
      <c r="S1778" s="23" t="s">
        <v>4698</v>
      </c>
      <c r="T1778" s="23" t="s">
        <v>4704</v>
      </c>
      <c r="U1778" s="23">
        <f>DATEDIF(P1778, DATE(2023, 6, 8), "Y")</f>
        <v>52</v>
      </c>
      <c r="V1778">
        <f>SUM(C1778:K1778)</f>
        <v>31.97</v>
      </c>
    </row>
    <row r="1779" spans="1:22" ht="15.75">
      <c r="A1779" s="28" t="s">
        <v>3556</v>
      </c>
      <c r="B1779" s="28" t="s">
        <v>3557</v>
      </c>
      <c r="C1779" s="23">
        <v>24.24</v>
      </c>
      <c r="D1779" s="23">
        <v>6.15</v>
      </c>
      <c r="E1779" s="23" t="s">
        <v>4682</v>
      </c>
      <c r="F1779" s="23" t="s">
        <v>4682</v>
      </c>
      <c r="G1779" s="23" t="s">
        <v>4682</v>
      </c>
      <c r="H1779" s="23">
        <v>0</v>
      </c>
      <c r="I1779" s="23" t="s">
        <v>4682</v>
      </c>
      <c r="J1779" s="23" t="s">
        <v>4728</v>
      </c>
      <c r="K1779" s="23" t="s">
        <v>4736</v>
      </c>
      <c r="L1779">
        <v>1990</v>
      </c>
      <c r="M1779" s="15" t="s">
        <v>4707</v>
      </c>
      <c r="N1779">
        <v>25</v>
      </c>
      <c r="O1779">
        <v>1</v>
      </c>
      <c r="P1779" s="21">
        <f>DATEVALUE(N1779&amp;"-"&amp;M1779&amp;"-"&amp;L1779)</f>
        <v>33171</v>
      </c>
      <c r="Q1779" s="22">
        <v>17626.240000000002</v>
      </c>
      <c r="R1779" s="23" t="s">
        <v>4701</v>
      </c>
      <c r="S1779" s="23" t="s">
        <v>4698</v>
      </c>
      <c r="T1779" s="23" t="s">
        <v>4699</v>
      </c>
      <c r="U1779" s="23">
        <f>DATEDIF(P1779, DATE(2023, 6, 8), "Y")</f>
        <v>32</v>
      </c>
      <c r="V1779">
        <f>SUM(C1779:K1779)</f>
        <v>30.39</v>
      </c>
    </row>
    <row r="1780" spans="1:22" ht="15.75">
      <c r="A1780" s="28" t="s">
        <v>3558</v>
      </c>
      <c r="B1780" s="28" t="s">
        <v>3559</v>
      </c>
      <c r="C1780" s="23">
        <v>35.75</v>
      </c>
      <c r="D1780" s="23">
        <v>5.07</v>
      </c>
      <c r="E1780" s="23" t="s">
        <v>4682</v>
      </c>
      <c r="F1780" s="23" t="s">
        <v>4682</v>
      </c>
      <c r="G1780" s="23" t="s">
        <v>4682</v>
      </c>
      <c r="H1780" s="23">
        <v>0</v>
      </c>
      <c r="I1780" s="23" t="s">
        <v>4682</v>
      </c>
      <c r="J1780" s="23" t="s">
        <v>4729</v>
      </c>
      <c r="K1780" s="23" t="s">
        <v>4737</v>
      </c>
      <c r="L1780">
        <v>1994</v>
      </c>
      <c r="M1780" s="15" t="s">
        <v>4696</v>
      </c>
      <c r="N1780">
        <v>1</v>
      </c>
      <c r="O1780">
        <v>3</v>
      </c>
      <c r="P1780" s="21">
        <f>DATEVALUE(N1780&amp;"-"&amp;M1780&amp;"-"&amp;L1780)</f>
        <v>34516</v>
      </c>
      <c r="Q1780" s="22">
        <v>17663.14</v>
      </c>
      <c r="R1780" s="23" t="s">
        <v>4701</v>
      </c>
      <c r="S1780" s="23" t="s">
        <v>4698</v>
      </c>
      <c r="T1780" s="23" t="s">
        <v>4699</v>
      </c>
      <c r="U1780" s="23">
        <f>DATEDIF(P1780, DATE(2023, 6, 8), "Y")</f>
        <v>28</v>
      </c>
      <c r="V1780">
        <f>SUM(C1780:K1780)</f>
        <v>40.82</v>
      </c>
    </row>
    <row r="1781" spans="1:22" ht="15.75">
      <c r="A1781" s="28" t="s">
        <v>3560</v>
      </c>
      <c r="B1781" s="28" t="s">
        <v>3561</v>
      </c>
      <c r="C1781" s="23">
        <v>29.92</v>
      </c>
      <c r="D1781" s="23">
        <v>10.97</v>
      </c>
      <c r="E1781" s="23" t="s">
        <v>4683</v>
      </c>
      <c r="F1781" s="23" t="s">
        <v>4682</v>
      </c>
      <c r="G1781" s="23" t="s">
        <v>4682</v>
      </c>
      <c r="H1781" s="23">
        <v>1</v>
      </c>
      <c r="I1781" s="23" t="s">
        <v>4682</v>
      </c>
      <c r="J1781" s="23" t="s">
        <v>4729</v>
      </c>
      <c r="K1781" s="23" t="s">
        <v>4735</v>
      </c>
      <c r="L1781">
        <v>2003</v>
      </c>
      <c r="M1781" s="15" t="s">
        <v>4696</v>
      </c>
      <c r="N1781">
        <v>14</v>
      </c>
      <c r="O1781">
        <v>0</v>
      </c>
      <c r="P1781" s="21">
        <f>DATEVALUE(N1781&amp;"-"&amp;M1781&amp;"-"&amp;L1781)</f>
        <v>37816</v>
      </c>
      <c r="Q1781" s="22">
        <v>17748.509999999998</v>
      </c>
      <c r="R1781" s="23" t="s">
        <v>4701</v>
      </c>
      <c r="S1781" s="23" t="s">
        <v>4701</v>
      </c>
      <c r="T1781" s="23" t="s">
        <v>4704</v>
      </c>
      <c r="U1781" s="23">
        <f>DATEDIF(P1781, DATE(2023, 6, 8), "Y")</f>
        <v>19</v>
      </c>
      <c r="V1781">
        <f>SUM(C1781:K1781)</f>
        <v>41.89</v>
      </c>
    </row>
    <row r="1782" spans="1:22" ht="15.75">
      <c r="A1782" s="28" t="s">
        <v>3562</v>
      </c>
      <c r="B1782" s="28" t="s">
        <v>3563</v>
      </c>
      <c r="C1782" s="23">
        <v>26.2</v>
      </c>
      <c r="D1782" s="23">
        <v>10.93</v>
      </c>
      <c r="E1782" s="23" t="s">
        <v>4683</v>
      </c>
      <c r="F1782" s="23" t="s">
        <v>4682</v>
      </c>
      <c r="G1782" s="23" t="s">
        <v>4682</v>
      </c>
      <c r="H1782" s="23">
        <v>1</v>
      </c>
      <c r="I1782" s="23" t="s">
        <v>4682</v>
      </c>
      <c r="J1782" s="23" t="s">
        <v>4730</v>
      </c>
      <c r="K1782" s="23" t="s">
        <v>4735</v>
      </c>
      <c r="L1782">
        <v>1966</v>
      </c>
      <c r="M1782" s="15" t="s">
        <v>4702</v>
      </c>
      <c r="N1782">
        <v>21</v>
      </c>
      <c r="O1782">
        <v>0</v>
      </c>
      <c r="P1782" s="21">
        <f>DATEVALUE(N1782&amp;"-"&amp;M1782&amp;"-"&amp;L1782)</f>
        <v>24279</v>
      </c>
      <c r="Q1782" s="22">
        <v>17777.73</v>
      </c>
      <c r="R1782" s="23" t="s">
        <v>4701</v>
      </c>
      <c r="S1782" s="23" t="s">
        <v>4698</v>
      </c>
      <c r="T1782" s="23" t="s">
        <v>4704</v>
      </c>
      <c r="U1782" s="23">
        <f>DATEDIF(P1782, DATE(2023, 6, 8), "Y")</f>
        <v>56</v>
      </c>
      <c r="V1782">
        <f>SUM(C1782:K1782)</f>
        <v>38.129999999999995</v>
      </c>
    </row>
    <row r="1783" spans="1:22" ht="15.75">
      <c r="A1783" s="28" t="s">
        <v>3564</v>
      </c>
      <c r="B1783" s="28" t="s">
        <v>3565</v>
      </c>
      <c r="C1783" s="23">
        <v>26.695</v>
      </c>
      <c r="D1783" s="23">
        <v>4.21</v>
      </c>
      <c r="E1783" s="23" t="s">
        <v>4683</v>
      </c>
      <c r="F1783" s="23" t="s">
        <v>4682</v>
      </c>
      <c r="G1783" s="23" t="s">
        <v>4684</v>
      </c>
      <c r="H1783" s="23">
        <v>1</v>
      </c>
      <c r="I1783" s="23" t="s">
        <v>4682</v>
      </c>
      <c r="J1783" s="23" t="s">
        <v>4730</v>
      </c>
      <c r="K1783" s="23" t="s">
        <v>4737</v>
      </c>
      <c r="L1783">
        <v>1979</v>
      </c>
      <c r="M1783" s="15" t="s">
        <v>4707</v>
      </c>
      <c r="N1783">
        <v>10</v>
      </c>
      <c r="O1783">
        <v>2</v>
      </c>
      <c r="P1783" s="21">
        <f>DATEVALUE(N1783&amp;"-"&amp;M1783&amp;"-"&amp;L1783)</f>
        <v>29138</v>
      </c>
      <c r="Q1783" s="22">
        <v>17779.939999999999</v>
      </c>
      <c r="R1783" s="23" t="s">
        <v>4701</v>
      </c>
      <c r="S1783" s="23" t="s">
        <v>4697</v>
      </c>
      <c r="T1783" s="23" t="s">
        <v>4704</v>
      </c>
      <c r="U1783" s="23">
        <f>DATEDIF(P1783, DATE(2023, 6, 8), "Y")</f>
        <v>43</v>
      </c>
      <c r="V1783">
        <f>SUM(C1783:K1783)</f>
        <v>31.905000000000001</v>
      </c>
    </row>
    <row r="1784" spans="1:22" ht="15.75">
      <c r="A1784" s="28" t="s">
        <v>3566</v>
      </c>
      <c r="B1784" s="28" t="s">
        <v>3567</v>
      </c>
      <c r="C1784" s="23">
        <v>23.16</v>
      </c>
      <c r="D1784" s="23">
        <v>5.5</v>
      </c>
      <c r="E1784" s="23" t="s">
        <v>4682</v>
      </c>
      <c r="F1784" s="23" t="s">
        <v>4682</v>
      </c>
      <c r="G1784" s="23" t="s">
        <v>4682</v>
      </c>
      <c r="H1784" s="23">
        <v>0</v>
      </c>
      <c r="I1784" s="23" t="s">
        <v>4682</v>
      </c>
      <c r="J1784" s="23" t="s">
        <v>4728</v>
      </c>
      <c r="K1784" s="23" t="s">
        <v>4737</v>
      </c>
      <c r="L1784">
        <v>1963</v>
      </c>
      <c r="M1784" s="15" t="s">
        <v>4705</v>
      </c>
      <c r="N1784">
        <v>8</v>
      </c>
      <c r="O1784">
        <v>0</v>
      </c>
      <c r="P1784" s="21">
        <f>DATEVALUE(N1784&amp;"-"&amp;M1784&amp;"-"&amp;L1784)</f>
        <v>23353</v>
      </c>
      <c r="Q1784" s="22">
        <v>17832.599999999999</v>
      </c>
      <c r="R1784" s="23" t="s">
        <v>4701</v>
      </c>
      <c r="S1784" s="23" t="s">
        <v>4697</v>
      </c>
      <c r="T1784" s="23" t="s">
        <v>4704</v>
      </c>
      <c r="U1784" s="23">
        <f>DATEDIF(P1784, DATE(2023, 6, 8), "Y")</f>
        <v>59</v>
      </c>
      <c r="V1784">
        <f>SUM(C1784:K1784)</f>
        <v>28.66</v>
      </c>
    </row>
    <row r="1785" spans="1:22" ht="15.75">
      <c r="A1785" s="28" t="s">
        <v>3568</v>
      </c>
      <c r="B1785" s="28" t="s">
        <v>3569</v>
      </c>
      <c r="C1785" s="23">
        <v>32.585000000000001</v>
      </c>
      <c r="D1785" s="23">
        <v>4.93</v>
      </c>
      <c r="E1785" s="23" t="s">
        <v>4683</v>
      </c>
      <c r="F1785" s="23" t="s">
        <v>4682</v>
      </c>
      <c r="G1785" s="23" t="s">
        <v>4682</v>
      </c>
      <c r="H1785" s="23">
        <v>1</v>
      </c>
      <c r="I1785" s="23" t="s">
        <v>4682</v>
      </c>
      <c r="J1785" s="23" t="s">
        <v>4729</v>
      </c>
      <c r="K1785" s="23" t="s">
        <v>4737</v>
      </c>
      <c r="L1785">
        <v>1976</v>
      </c>
      <c r="M1785" s="15" t="s">
        <v>4705</v>
      </c>
      <c r="N1785">
        <v>12</v>
      </c>
      <c r="O1785">
        <v>2</v>
      </c>
      <c r="P1785" s="21">
        <f>DATEVALUE(N1785&amp;"-"&amp;M1785&amp;"-"&amp;L1785)</f>
        <v>28106</v>
      </c>
      <c r="Q1785" s="22">
        <v>17862.919999999998</v>
      </c>
      <c r="R1785" s="23" t="s">
        <v>4701</v>
      </c>
      <c r="S1785" s="23" t="s">
        <v>4697</v>
      </c>
      <c r="T1785" s="23" t="s">
        <v>4704</v>
      </c>
      <c r="U1785" s="23">
        <f>DATEDIF(P1785, DATE(2023, 6, 8), "Y")</f>
        <v>46</v>
      </c>
      <c r="V1785">
        <f>SUM(C1785:K1785)</f>
        <v>38.515000000000001</v>
      </c>
    </row>
    <row r="1786" spans="1:22" ht="15.75">
      <c r="A1786" s="28" t="s">
        <v>3570</v>
      </c>
      <c r="B1786" s="28" t="s">
        <v>3571</v>
      </c>
      <c r="C1786" s="23">
        <v>33.97</v>
      </c>
      <c r="D1786" s="23">
        <v>5.6</v>
      </c>
      <c r="E1786" s="23" t="s">
        <v>4683</v>
      </c>
      <c r="F1786" s="23" t="s">
        <v>4682</v>
      </c>
      <c r="G1786" s="23" t="s">
        <v>4682</v>
      </c>
      <c r="H1786" s="23">
        <v>0</v>
      </c>
      <c r="I1786" s="23" t="s">
        <v>4682</v>
      </c>
      <c r="J1786" s="23" t="s">
        <v>4729</v>
      </c>
      <c r="K1786" s="23" t="s">
        <v>4737</v>
      </c>
      <c r="L1786">
        <v>1997</v>
      </c>
      <c r="M1786" s="15" t="s">
        <v>4706</v>
      </c>
      <c r="N1786">
        <v>26</v>
      </c>
      <c r="O1786">
        <v>0</v>
      </c>
      <c r="P1786" s="21">
        <f>DATEVALUE(N1786&amp;"-"&amp;M1786&amp;"-"&amp;L1786)</f>
        <v>35668</v>
      </c>
      <c r="Q1786" s="22">
        <v>17878.900000000001</v>
      </c>
      <c r="R1786" s="23" t="s">
        <v>4701</v>
      </c>
      <c r="S1786" s="23" t="s">
        <v>4697</v>
      </c>
      <c r="T1786" s="23" t="s">
        <v>4714</v>
      </c>
      <c r="U1786" s="23">
        <f>DATEDIF(P1786, DATE(2023, 6, 8), "Y")</f>
        <v>25</v>
      </c>
      <c r="V1786">
        <f>SUM(C1786:K1786)</f>
        <v>39.57</v>
      </c>
    </row>
    <row r="1787" spans="1:22" ht="15.75">
      <c r="A1787" s="28" t="s">
        <v>3572</v>
      </c>
      <c r="B1787" s="28" t="s">
        <v>3573</v>
      </c>
      <c r="C1787" s="23">
        <v>16.57</v>
      </c>
      <c r="D1787" s="23">
        <v>9.99</v>
      </c>
      <c r="E1787" s="23" t="s">
        <v>4682</v>
      </c>
      <c r="F1787" s="23" t="s">
        <v>4682</v>
      </c>
      <c r="G1787" s="23" t="s">
        <v>4682</v>
      </c>
      <c r="H1787" s="23">
        <v>0</v>
      </c>
      <c r="I1787" s="23" t="s">
        <v>4682</v>
      </c>
      <c r="J1787" s="23" t="s">
        <v>4731</v>
      </c>
      <c r="K1787" s="23" t="s">
        <v>4735</v>
      </c>
      <c r="L1787">
        <v>1979</v>
      </c>
      <c r="M1787" s="15" t="s">
        <v>4700</v>
      </c>
      <c r="N1787">
        <v>12</v>
      </c>
      <c r="O1787">
        <v>2</v>
      </c>
      <c r="P1787" s="21">
        <f>DATEVALUE(N1787&amp;"-"&amp;M1787&amp;"-"&amp;L1787)</f>
        <v>29171</v>
      </c>
      <c r="Q1787" s="22">
        <v>17882.669999999998</v>
      </c>
      <c r="R1787" s="23" t="s">
        <v>4701</v>
      </c>
      <c r="S1787" s="23" t="s">
        <v>4698</v>
      </c>
      <c r="T1787" s="23" t="s">
        <v>4704</v>
      </c>
      <c r="U1787" s="23">
        <f>DATEDIF(P1787, DATE(2023, 6, 8), "Y")</f>
        <v>43</v>
      </c>
      <c r="V1787">
        <f>SUM(C1787:K1787)</f>
        <v>26.560000000000002</v>
      </c>
    </row>
    <row r="1788" spans="1:22" ht="15.75">
      <c r="A1788" s="28" t="s">
        <v>3574</v>
      </c>
      <c r="B1788" s="28" t="s">
        <v>3575</v>
      </c>
      <c r="C1788" s="23">
        <v>17.55</v>
      </c>
      <c r="D1788" s="23">
        <v>5.93</v>
      </c>
      <c r="E1788" s="23" t="s">
        <v>4682</v>
      </c>
      <c r="F1788" s="23" t="s">
        <v>4682</v>
      </c>
      <c r="G1788" s="23" t="s">
        <v>4684</v>
      </c>
      <c r="H1788" s="23">
        <v>1</v>
      </c>
      <c r="I1788" s="23" t="s">
        <v>4682</v>
      </c>
      <c r="J1788" s="23" t="s">
        <v>4731</v>
      </c>
      <c r="K1788" s="23" t="s">
        <v>4736</v>
      </c>
      <c r="L1788">
        <v>1989</v>
      </c>
      <c r="M1788" s="15" t="s">
        <v>4705</v>
      </c>
      <c r="N1788">
        <v>4</v>
      </c>
      <c r="O1788">
        <v>0</v>
      </c>
      <c r="P1788" s="21">
        <f>DATEVALUE(N1788&amp;"-"&amp;M1788&amp;"-"&amp;L1788)</f>
        <v>32846</v>
      </c>
      <c r="Q1788" s="22">
        <v>17904.53</v>
      </c>
      <c r="R1788" s="23" t="s">
        <v>4701</v>
      </c>
      <c r="S1788" s="23" t="s">
        <v>4697</v>
      </c>
      <c r="T1788" s="23" t="s">
        <v>4718</v>
      </c>
      <c r="U1788" s="23">
        <f>DATEDIF(P1788, DATE(2023, 6, 8), "Y")</f>
        <v>33</v>
      </c>
      <c r="V1788">
        <f>SUM(C1788:K1788)</f>
        <v>24.48</v>
      </c>
    </row>
    <row r="1789" spans="1:22" ht="15.75">
      <c r="A1789" s="28" t="s">
        <v>3576</v>
      </c>
      <c r="B1789" s="28" t="s">
        <v>3577</v>
      </c>
      <c r="C1789" s="23">
        <v>29.41</v>
      </c>
      <c r="D1789" s="23">
        <v>6.29</v>
      </c>
      <c r="E1789" s="23" t="s">
        <v>4683</v>
      </c>
      <c r="F1789" s="23" t="s">
        <v>4682</v>
      </c>
      <c r="G1789" s="23" t="s">
        <v>4682</v>
      </c>
      <c r="H1789" s="23">
        <v>1</v>
      </c>
      <c r="I1789" s="23" t="s">
        <v>4682</v>
      </c>
      <c r="J1789" s="23" t="s">
        <v>4730</v>
      </c>
      <c r="K1789" s="23" t="s">
        <v>4736</v>
      </c>
      <c r="L1789">
        <v>1977</v>
      </c>
      <c r="M1789" s="15" t="s">
        <v>4707</v>
      </c>
      <c r="N1789">
        <v>17</v>
      </c>
      <c r="O1789">
        <v>0</v>
      </c>
      <c r="P1789" s="21">
        <f>DATEVALUE(N1789&amp;"-"&amp;M1789&amp;"-"&amp;L1789)</f>
        <v>28415</v>
      </c>
      <c r="Q1789" s="22">
        <v>17929.3</v>
      </c>
      <c r="R1789" s="23" t="s">
        <v>4701</v>
      </c>
      <c r="S1789" s="23" t="s">
        <v>4697</v>
      </c>
      <c r="T1789" s="23" t="s">
        <v>4699</v>
      </c>
      <c r="U1789" s="23">
        <f>DATEDIF(P1789, DATE(2023, 6, 8), "Y")</f>
        <v>45</v>
      </c>
      <c r="V1789">
        <f>SUM(C1789:K1789)</f>
        <v>36.700000000000003</v>
      </c>
    </row>
    <row r="1790" spans="1:22" ht="15.75">
      <c r="A1790" s="28" t="s">
        <v>3578</v>
      </c>
      <c r="B1790" s="28" t="s">
        <v>3579</v>
      </c>
      <c r="C1790" s="23">
        <v>17.91</v>
      </c>
      <c r="D1790" s="23">
        <v>5.65</v>
      </c>
      <c r="E1790" s="23" t="s">
        <v>4682</v>
      </c>
      <c r="F1790" s="23" t="s">
        <v>4682</v>
      </c>
      <c r="G1790" s="23" t="s">
        <v>4682</v>
      </c>
      <c r="H1790" s="23">
        <v>1</v>
      </c>
      <c r="I1790" s="23" t="s">
        <v>4682</v>
      </c>
      <c r="J1790" s="23" t="s">
        <v>4731</v>
      </c>
      <c r="K1790" s="23" t="s">
        <v>4737</v>
      </c>
      <c r="L1790">
        <v>2001</v>
      </c>
      <c r="M1790" s="15" t="s">
        <v>4703</v>
      </c>
      <c r="N1790">
        <v>28</v>
      </c>
      <c r="O1790">
        <v>4</v>
      </c>
      <c r="P1790" s="21">
        <f>DATEVALUE(N1790&amp;"-"&amp;M1790&amp;"-"&amp;L1790)</f>
        <v>37162</v>
      </c>
      <c r="Q1790" s="22">
        <v>17942.11</v>
      </c>
      <c r="R1790" s="23" t="s">
        <v>4701</v>
      </c>
      <c r="S1790" s="23" t="s">
        <v>4697</v>
      </c>
      <c r="T1790" s="23" t="s">
        <v>4708</v>
      </c>
      <c r="U1790" s="23">
        <f>DATEDIF(P1790, DATE(2023, 6, 8), "Y")</f>
        <v>21</v>
      </c>
      <c r="V1790">
        <f>SUM(C1790:K1790)</f>
        <v>24.560000000000002</v>
      </c>
    </row>
    <row r="1791" spans="1:22" ht="15.75">
      <c r="A1791" s="28" t="s">
        <v>3580</v>
      </c>
      <c r="B1791" s="28" t="s">
        <v>3581</v>
      </c>
      <c r="C1791" s="23">
        <v>31.57</v>
      </c>
      <c r="D1791" s="23">
        <v>6.15</v>
      </c>
      <c r="E1791" s="23" t="s">
        <v>4682</v>
      </c>
      <c r="F1791" s="23" t="s">
        <v>4682</v>
      </c>
      <c r="G1791" s="23" t="s">
        <v>4682</v>
      </c>
      <c r="H1791" s="23">
        <v>1</v>
      </c>
      <c r="I1791" s="23" t="s">
        <v>4682</v>
      </c>
      <c r="J1791" s="23" t="s">
        <v>4729</v>
      </c>
      <c r="K1791" s="23" t="s">
        <v>4736</v>
      </c>
      <c r="L1791">
        <v>1975</v>
      </c>
      <c r="M1791" s="15" t="s">
        <v>4702</v>
      </c>
      <c r="N1791">
        <v>27</v>
      </c>
      <c r="O1791">
        <v>1</v>
      </c>
      <c r="P1791" s="21">
        <f>DATEVALUE(N1791&amp;"-"&amp;M1791&amp;"-"&amp;L1791)</f>
        <v>27572</v>
      </c>
      <c r="Q1791" s="22">
        <v>18031.16</v>
      </c>
      <c r="R1791" s="23" t="s">
        <v>4701</v>
      </c>
      <c r="S1791" s="23" t="s">
        <v>4698</v>
      </c>
      <c r="T1791" s="23" t="s">
        <v>4715</v>
      </c>
      <c r="U1791" s="23">
        <f>DATEDIF(P1791, DATE(2023, 6, 8), "Y")</f>
        <v>47</v>
      </c>
      <c r="V1791">
        <f>SUM(C1791:K1791)</f>
        <v>38.72</v>
      </c>
    </row>
    <row r="1792" spans="1:22" ht="15.75">
      <c r="A1792" s="28" t="s">
        <v>3582</v>
      </c>
      <c r="B1792" s="28" t="s">
        <v>3583</v>
      </c>
      <c r="C1792" s="23">
        <v>33.18</v>
      </c>
      <c r="D1792" s="23">
        <v>5.22</v>
      </c>
      <c r="E1792" s="23" t="s">
        <v>4682</v>
      </c>
      <c r="F1792" s="23" t="s">
        <v>4683</v>
      </c>
      <c r="G1792" s="23" t="s">
        <v>4682</v>
      </c>
      <c r="H1792" s="23">
        <v>1</v>
      </c>
      <c r="I1792" s="23" t="s">
        <v>4682</v>
      </c>
      <c r="J1792" s="23" t="s">
        <v>4729</v>
      </c>
      <c r="K1792" s="23" t="s">
        <v>4737</v>
      </c>
      <c r="L1792">
        <v>1965</v>
      </c>
      <c r="M1792" s="15" t="s">
        <v>4707</v>
      </c>
      <c r="N1792">
        <v>17</v>
      </c>
      <c r="O1792">
        <v>0</v>
      </c>
      <c r="P1792" s="21">
        <f>DATEVALUE(N1792&amp;"-"&amp;M1792&amp;"-"&amp;L1792)</f>
        <v>24032</v>
      </c>
      <c r="Q1792" s="22">
        <v>18031.189999999999</v>
      </c>
      <c r="R1792" s="23" t="s">
        <v>4701</v>
      </c>
      <c r="S1792" s="23" t="s">
        <v>4697</v>
      </c>
      <c r="T1792" s="23" t="s">
        <v>4704</v>
      </c>
      <c r="U1792" s="23">
        <f>DATEDIF(P1792, DATE(2023, 6, 8), "Y")</f>
        <v>57</v>
      </c>
      <c r="V1792">
        <f>SUM(C1792:K1792)</f>
        <v>39.4</v>
      </c>
    </row>
    <row r="1793" spans="1:22" ht="15.75">
      <c r="A1793" s="28" t="s">
        <v>3584</v>
      </c>
      <c r="B1793" s="28" t="s">
        <v>3585</v>
      </c>
      <c r="C1793" s="23">
        <v>37</v>
      </c>
      <c r="D1793" s="23">
        <v>11.66</v>
      </c>
      <c r="E1793" s="23" t="s">
        <v>4682</v>
      </c>
      <c r="F1793" s="23" t="s">
        <v>4682</v>
      </c>
      <c r="G1793" s="23" t="s">
        <v>4682</v>
      </c>
      <c r="H1793" s="23">
        <v>0</v>
      </c>
      <c r="I1793" s="23" t="s">
        <v>4682</v>
      </c>
      <c r="J1793" s="23" t="s">
        <v>4729</v>
      </c>
      <c r="K1793" s="23" t="s">
        <v>4735</v>
      </c>
      <c r="L1793">
        <v>1999</v>
      </c>
      <c r="M1793" s="15" t="s">
        <v>4707</v>
      </c>
      <c r="N1793">
        <v>24</v>
      </c>
      <c r="O1793">
        <v>0</v>
      </c>
      <c r="P1793" s="21">
        <f>DATEVALUE(N1793&amp;"-"&amp;M1793&amp;"-"&amp;L1793)</f>
        <v>36457</v>
      </c>
      <c r="Q1793" s="22">
        <v>18033.97</v>
      </c>
      <c r="R1793" s="23" t="s">
        <v>4701</v>
      </c>
      <c r="S1793" s="23" t="s">
        <v>4701</v>
      </c>
      <c r="T1793" s="23" t="s">
        <v>4704</v>
      </c>
      <c r="U1793" s="23">
        <f>DATEDIF(P1793, DATE(2023, 6, 8), "Y")</f>
        <v>23</v>
      </c>
      <c r="V1793">
        <f>SUM(C1793:K1793)</f>
        <v>48.66</v>
      </c>
    </row>
    <row r="1794" spans="1:22" ht="15.75">
      <c r="A1794" s="28" t="s">
        <v>3586</v>
      </c>
      <c r="B1794" s="28" t="s">
        <v>3587</v>
      </c>
      <c r="C1794" s="23">
        <v>18.905000000000001</v>
      </c>
      <c r="D1794" s="23">
        <v>4.91</v>
      </c>
      <c r="E1794" s="23" t="s">
        <v>4683</v>
      </c>
      <c r="F1794" s="23" t="s">
        <v>4682</v>
      </c>
      <c r="G1794" s="23" t="s">
        <v>4682</v>
      </c>
      <c r="H1794" s="23">
        <v>1</v>
      </c>
      <c r="I1794" s="23" t="s">
        <v>4682</v>
      </c>
      <c r="J1794" s="23" t="s">
        <v>4728</v>
      </c>
      <c r="K1794" s="23" t="s">
        <v>4737</v>
      </c>
      <c r="L1794">
        <v>1993</v>
      </c>
      <c r="M1794" s="15" t="s">
        <v>4696</v>
      </c>
      <c r="N1794">
        <v>12</v>
      </c>
      <c r="O1794">
        <v>2</v>
      </c>
      <c r="P1794" s="21">
        <f>DATEVALUE(N1794&amp;"-"&amp;M1794&amp;"-"&amp;L1794)</f>
        <v>34162</v>
      </c>
      <c r="Q1794" s="22">
        <v>18157.88</v>
      </c>
      <c r="R1794" s="23" t="s">
        <v>4701</v>
      </c>
      <c r="S1794" s="23" t="s">
        <v>4701</v>
      </c>
      <c r="T1794" s="23" t="s">
        <v>4704</v>
      </c>
      <c r="U1794" s="23">
        <f>DATEDIF(P1794, DATE(2023, 6, 8), "Y")</f>
        <v>29</v>
      </c>
      <c r="V1794">
        <f>SUM(C1794:K1794)</f>
        <v>24.815000000000001</v>
      </c>
    </row>
    <row r="1795" spans="1:22" ht="15.75">
      <c r="A1795" s="28" t="s">
        <v>3588</v>
      </c>
      <c r="B1795" s="28" t="s">
        <v>3589</v>
      </c>
      <c r="C1795" s="23">
        <v>20.03</v>
      </c>
      <c r="D1795" s="23">
        <v>9.25</v>
      </c>
      <c r="E1795" s="23" t="s">
        <v>4683</v>
      </c>
      <c r="F1795" s="23" t="s">
        <v>4682</v>
      </c>
      <c r="G1795" s="23" t="s">
        <v>4682</v>
      </c>
      <c r="H1795" s="23">
        <v>0</v>
      </c>
      <c r="I1795" s="23" t="s">
        <v>4682</v>
      </c>
      <c r="J1795" s="23" t="s">
        <v>4728</v>
      </c>
      <c r="K1795" s="23" t="s">
        <v>4735</v>
      </c>
      <c r="L1795">
        <v>1963</v>
      </c>
      <c r="M1795" s="15" t="s">
        <v>4696</v>
      </c>
      <c r="N1795">
        <v>4</v>
      </c>
      <c r="O1795">
        <v>0</v>
      </c>
      <c r="P1795" s="21">
        <f>DATEVALUE(N1795&amp;"-"&amp;M1795&amp;"-"&amp;L1795)</f>
        <v>23196</v>
      </c>
      <c r="Q1795" s="22">
        <v>18208.34</v>
      </c>
      <c r="R1795" s="23" t="s">
        <v>4701</v>
      </c>
      <c r="S1795" s="23" t="s">
        <v>4697</v>
      </c>
      <c r="T1795" s="23" t="s">
        <v>4720</v>
      </c>
      <c r="U1795" s="23">
        <f>DATEDIF(P1795, DATE(2023, 6, 8), "Y")</f>
        <v>59</v>
      </c>
      <c r="V1795">
        <f>SUM(C1795:K1795)</f>
        <v>29.28</v>
      </c>
    </row>
    <row r="1796" spans="1:22" ht="15.75">
      <c r="A1796" s="28" t="s">
        <v>3590</v>
      </c>
      <c r="B1796" s="28" t="s">
        <v>3591</v>
      </c>
      <c r="C1796" s="23">
        <v>16.7</v>
      </c>
      <c r="D1796" s="23">
        <v>11.48</v>
      </c>
      <c r="E1796" s="23" t="s">
        <v>4682</v>
      </c>
      <c r="F1796" s="23" t="s">
        <v>4682</v>
      </c>
      <c r="G1796" s="23" t="s">
        <v>4682</v>
      </c>
      <c r="H1796" s="23">
        <v>0</v>
      </c>
      <c r="I1796" s="23" t="s">
        <v>4682</v>
      </c>
      <c r="J1796" s="23" t="s">
        <v>4731</v>
      </c>
      <c r="K1796" s="23" t="s">
        <v>4735</v>
      </c>
      <c r="L1796">
        <v>1997</v>
      </c>
      <c r="M1796" s="15" t="s">
        <v>4702</v>
      </c>
      <c r="N1796">
        <v>15</v>
      </c>
      <c r="O1796">
        <v>1</v>
      </c>
      <c r="P1796" s="21">
        <f>DATEVALUE(N1796&amp;"-"&amp;M1796&amp;"-"&amp;L1796)</f>
        <v>35596</v>
      </c>
      <c r="Q1796" s="22">
        <v>18218.16</v>
      </c>
      <c r="R1796" s="23" t="s">
        <v>4701</v>
      </c>
      <c r="S1796" s="23" t="s">
        <v>4701</v>
      </c>
      <c r="T1796" s="23" t="s">
        <v>4699</v>
      </c>
      <c r="U1796" s="23">
        <f>DATEDIF(P1796, DATE(2023, 6, 8), "Y")</f>
        <v>25</v>
      </c>
      <c r="V1796">
        <f>SUM(C1796:K1796)</f>
        <v>28.18</v>
      </c>
    </row>
    <row r="1797" spans="1:22" ht="15.75">
      <c r="A1797" s="28" t="s">
        <v>3592</v>
      </c>
      <c r="B1797" s="28" t="s">
        <v>3593</v>
      </c>
      <c r="C1797" s="23">
        <v>39.82</v>
      </c>
      <c r="D1797" s="23">
        <v>6.06</v>
      </c>
      <c r="E1797" s="23" t="s">
        <v>4682</v>
      </c>
      <c r="F1797" s="23" t="s">
        <v>4682</v>
      </c>
      <c r="G1797" s="23" t="s">
        <v>4682</v>
      </c>
      <c r="H1797" s="23">
        <v>0</v>
      </c>
      <c r="I1797" s="23" t="s">
        <v>4682</v>
      </c>
      <c r="J1797" s="23" t="s">
        <v>4729</v>
      </c>
      <c r="K1797" s="23" t="s">
        <v>4736</v>
      </c>
      <c r="L1797">
        <v>2004</v>
      </c>
      <c r="M1797" s="15" t="s">
        <v>4703</v>
      </c>
      <c r="N1797">
        <v>10</v>
      </c>
      <c r="O1797">
        <v>3</v>
      </c>
      <c r="P1797" s="21">
        <f>DATEVALUE(N1797&amp;"-"&amp;M1797&amp;"-"&amp;L1797)</f>
        <v>38240</v>
      </c>
      <c r="Q1797" s="22">
        <v>18223.45</v>
      </c>
      <c r="R1797" s="23" t="s">
        <v>4701</v>
      </c>
      <c r="S1797" s="23" t="s">
        <v>4698</v>
      </c>
      <c r="T1797" s="23" t="s">
        <v>4699</v>
      </c>
      <c r="U1797" s="23">
        <f>DATEDIF(P1797, DATE(2023, 6, 8), "Y")</f>
        <v>18</v>
      </c>
      <c r="V1797">
        <f>SUM(C1797:K1797)</f>
        <v>45.88</v>
      </c>
    </row>
    <row r="1798" spans="1:22" ht="15.75">
      <c r="A1798" s="28" t="s">
        <v>3594</v>
      </c>
      <c r="B1798" s="28" t="s">
        <v>3595</v>
      </c>
      <c r="C1798" s="23">
        <v>22.04</v>
      </c>
      <c r="D1798" s="23">
        <v>5.86</v>
      </c>
      <c r="E1798" s="23" t="s">
        <v>4682</v>
      </c>
      <c r="F1798" s="23" t="s">
        <v>4682</v>
      </c>
      <c r="G1798" s="23" t="s">
        <v>4682</v>
      </c>
      <c r="H1798" s="23">
        <v>1</v>
      </c>
      <c r="I1798" s="23" t="s">
        <v>4682</v>
      </c>
      <c r="J1798" s="23" t="s">
        <v>4728</v>
      </c>
      <c r="K1798" s="23" t="s">
        <v>4736</v>
      </c>
      <c r="L1798">
        <v>1995</v>
      </c>
      <c r="M1798" s="15" t="s">
        <v>4706</v>
      </c>
      <c r="N1798">
        <v>3</v>
      </c>
      <c r="O1798">
        <v>0</v>
      </c>
      <c r="P1798" s="21">
        <f>DATEVALUE(N1798&amp;"-"&amp;M1798&amp;"-"&amp;L1798)</f>
        <v>34914</v>
      </c>
      <c r="Q1798" s="22">
        <v>18246.5</v>
      </c>
      <c r="R1798" s="23" t="s">
        <v>4701</v>
      </c>
      <c r="S1798" s="23" t="s">
        <v>4701</v>
      </c>
      <c r="T1798" s="23" t="s">
        <v>4699</v>
      </c>
      <c r="U1798" s="23">
        <f>DATEDIF(P1798, DATE(2023, 6, 8), "Y")</f>
        <v>27</v>
      </c>
      <c r="V1798">
        <f>SUM(C1798:K1798)</f>
        <v>28.9</v>
      </c>
    </row>
    <row r="1799" spans="1:22" ht="15.75">
      <c r="A1799" s="28" t="s">
        <v>3596</v>
      </c>
      <c r="B1799" s="28" t="s">
        <v>3597</v>
      </c>
      <c r="C1799" s="23">
        <v>28.27</v>
      </c>
      <c r="D1799" s="23">
        <v>5.33</v>
      </c>
      <c r="E1799" s="23" t="s">
        <v>4682</v>
      </c>
      <c r="F1799" s="23" t="s">
        <v>4682</v>
      </c>
      <c r="G1799" s="23" t="s">
        <v>4682</v>
      </c>
      <c r="H1799" s="23">
        <v>0</v>
      </c>
      <c r="I1799" s="23" t="s">
        <v>4682</v>
      </c>
      <c r="J1799" s="23" t="s">
        <v>4730</v>
      </c>
      <c r="K1799" s="23" t="s">
        <v>4737</v>
      </c>
      <c r="L1799">
        <v>1992</v>
      </c>
      <c r="M1799" s="15" t="s">
        <v>4705</v>
      </c>
      <c r="N1799">
        <v>25</v>
      </c>
      <c r="O1799">
        <v>3</v>
      </c>
      <c r="P1799" s="21">
        <f>DATEVALUE(N1799&amp;"-"&amp;M1799&amp;"-"&amp;L1799)</f>
        <v>33963</v>
      </c>
      <c r="Q1799" s="22">
        <v>18259.22</v>
      </c>
      <c r="R1799" s="23" t="s">
        <v>4701</v>
      </c>
      <c r="S1799" s="23" t="s">
        <v>4698</v>
      </c>
      <c r="T1799" s="23" t="s">
        <v>4708</v>
      </c>
      <c r="U1799" s="23">
        <f>DATEDIF(P1799, DATE(2023, 6, 8), "Y")</f>
        <v>30</v>
      </c>
      <c r="V1799">
        <f>SUM(C1799:K1799)</f>
        <v>33.6</v>
      </c>
    </row>
    <row r="1800" spans="1:22" ht="15.75">
      <c r="A1800" s="28" t="s">
        <v>3598</v>
      </c>
      <c r="B1800" s="28" t="s">
        <v>3599</v>
      </c>
      <c r="C1800" s="23">
        <v>18.5</v>
      </c>
      <c r="D1800" s="23">
        <v>5.33</v>
      </c>
      <c r="E1800" s="23" t="s">
        <v>4682</v>
      </c>
      <c r="F1800" s="23" t="s">
        <v>4682</v>
      </c>
      <c r="G1800" s="23" t="s">
        <v>4682</v>
      </c>
      <c r="H1800" s="23">
        <v>0</v>
      </c>
      <c r="I1800" s="23" t="s">
        <v>4682</v>
      </c>
      <c r="J1800" s="23" t="s">
        <v>4728</v>
      </c>
      <c r="K1800" s="23" t="s">
        <v>4737</v>
      </c>
      <c r="L1800">
        <v>1995</v>
      </c>
      <c r="M1800" s="15" t="s">
        <v>4696</v>
      </c>
      <c r="N1800">
        <v>4</v>
      </c>
      <c r="O1800">
        <v>0</v>
      </c>
      <c r="P1800" s="21">
        <f>DATEVALUE(N1800&amp;"-"&amp;M1800&amp;"-"&amp;L1800)</f>
        <v>34884</v>
      </c>
      <c r="Q1800" s="22">
        <v>18310.740000000002</v>
      </c>
      <c r="R1800" s="23" t="s">
        <v>4701</v>
      </c>
      <c r="S1800" s="23" t="s">
        <v>4698</v>
      </c>
      <c r="T1800" s="23" t="s">
        <v>4704</v>
      </c>
      <c r="U1800" s="23">
        <f>DATEDIF(P1800, DATE(2023, 6, 8), "Y")</f>
        <v>27</v>
      </c>
      <c r="V1800">
        <f>SUM(C1800:K1800)</f>
        <v>23.83</v>
      </c>
    </row>
    <row r="1801" spans="1:22" ht="15.75">
      <c r="A1801" s="28" t="s">
        <v>3600</v>
      </c>
      <c r="B1801" s="28" t="s">
        <v>3601</v>
      </c>
      <c r="C1801" s="23">
        <v>38.6</v>
      </c>
      <c r="D1801" s="23">
        <v>6.02</v>
      </c>
      <c r="E1801" s="23" t="s">
        <v>4682</v>
      </c>
      <c r="F1801" s="23" t="s">
        <v>4682</v>
      </c>
      <c r="G1801" s="23" t="s">
        <v>4682</v>
      </c>
      <c r="H1801" s="23">
        <v>1</v>
      </c>
      <c r="I1801" s="23" t="s">
        <v>4682</v>
      </c>
      <c r="J1801" s="23" t="s">
        <v>4729</v>
      </c>
      <c r="K1801" s="23" t="s">
        <v>4736</v>
      </c>
      <c r="L1801">
        <v>1999</v>
      </c>
      <c r="M1801" s="15" t="s">
        <v>4705</v>
      </c>
      <c r="N1801">
        <v>15</v>
      </c>
      <c r="O1801">
        <v>1</v>
      </c>
      <c r="P1801" s="21">
        <f>DATEVALUE(N1801&amp;"-"&amp;M1801&amp;"-"&amp;L1801)</f>
        <v>36509</v>
      </c>
      <c r="Q1801" s="22">
        <v>18328.240000000002</v>
      </c>
      <c r="R1801" s="23" t="s">
        <v>4701</v>
      </c>
      <c r="S1801" s="23" t="s">
        <v>4697</v>
      </c>
      <c r="T1801" s="23" t="s">
        <v>4699</v>
      </c>
      <c r="U1801" s="23">
        <f>DATEDIF(P1801, DATE(2023, 6, 8), "Y")</f>
        <v>23</v>
      </c>
      <c r="V1801">
        <f>SUM(C1801:K1801)</f>
        <v>45.620000000000005</v>
      </c>
    </row>
    <row r="1802" spans="1:22" ht="15.75">
      <c r="A1802" s="28" t="s">
        <v>3602</v>
      </c>
      <c r="B1802" s="28" t="s">
        <v>3603</v>
      </c>
      <c r="C1802" s="23">
        <v>43.12</v>
      </c>
      <c r="D1802" s="23">
        <v>6.25</v>
      </c>
      <c r="E1802" s="23" t="s">
        <v>4682</v>
      </c>
      <c r="F1802" s="23" t="s">
        <v>4682</v>
      </c>
      <c r="G1802" s="23" t="s">
        <v>4682</v>
      </c>
      <c r="H1802" s="23">
        <v>1</v>
      </c>
      <c r="I1802" s="23" t="s">
        <v>4682</v>
      </c>
      <c r="J1802" s="23" t="s">
        <v>4729</v>
      </c>
      <c r="K1802" s="23" t="s">
        <v>4736</v>
      </c>
      <c r="L1802">
        <v>1964</v>
      </c>
      <c r="M1802" s="15" t="s">
        <v>4703</v>
      </c>
      <c r="N1802">
        <v>26</v>
      </c>
      <c r="O1802">
        <v>0</v>
      </c>
      <c r="P1802" s="21">
        <f>DATEVALUE(N1802&amp;"-"&amp;M1802&amp;"-"&amp;L1802)</f>
        <v>23646</v>
      </c>
      <c r="Q1802" s="22">
        <v>18443.11</v>
      </c>
      <c r="R1802" s="23" t="s">
        <v>4701</v>
      </c>
      <c r="S1802" s="23" t="s">
        <v>4697</v>
      </c>
      <c r="T1802" s="23" t="s">
        <v>4704</v>
      </c>
      <c r="U1802" s="23">
        <f>DATEDIF(P1802, DATE(2023, 6, 8), "Y")</f>
        <v>58</v>
      </c>
      <c r="V1802">
        <f>SUM(C1802:K1802)</f>
        <v>50.37</v>
      </c>
    </row>
    <row r="1803" spans="1:22" ht="15.75">
      <c r="A1803" s="28" t="s">
        <v>3604</v>
      </c>
      <c r="B1803" s="28" t="s">
        <v>3605</v>
      </c>
      <c r="C1803" s="23">
        <v>30.5</v>
      </c>
      <c r="D1803" s="23">
        <v>4.8099999999999996</v>
      </c>
      <c r="E1803" s="23" t="s">
        <v>4682</v>
      </c>
      <c r="F1803" s="23" t="s">
        <v>4682</v>
      </c>
      <c r="G1803" s="23" t="s">
        <v>4682</v>
      </c>
      <c r="H1803" s="23">
        <v>1</v>
      </c>
      <c r="I1803" s="23" t="s">
        <v>4682</v>
      </c>
      <c r="J1803" s="23" t="s">
        <v>4729</v>
      </c>
      <c r="K1803" s="23" t="s">
        <v>4737</v>
      </c>
      <c r="L1803">
        <v>1986</v>
      </c>
      <c r="M1803" s="15" t="s">
        <v>4706</v>
      </c>
      <c r="N1803">
        <v>12</v>
      </c>
      <c r="O1803">
        <v>2</v>
      </c>
      <c r="P1803" s="21">
        <f>DATEVALUE(N1803&amp;"-"&amp;M1803&amp;"-"&amp;L1803)</f>
        <v>31636</v>
      </c>
      <c r="Q1803" s="22">
        <v>18608.259999999998</v>
      </c>
      <c r="R1803" s="23" t="s">
        <v>4701</v>
      </c>
      <c r="S1803" s="23" t="s">
        <v>4698</v>
      </c>
      <c r="T1803" s="23" t="s">
        <v>4708</v>
      </c>
      <c r="U1803" s="23">
        <f>DATEDIF(P1803, DATE(2023, 6, 8), "Y")</f>
        <v>36</v>
      </c>
      <c r="V1803">
        <f>SUM(C1803:K1803)</f>
        <v>36.31</v>
      </c>
    </row>
    <row r="1804" spans="1:22" ht="15.75">
      <c r="A1804" s="28" t="s">
        <v>3606</v>
      </c>
      <c r="B1804" s="28" t="s">
        <v>3607</v>
      </c>
      <c r="C1804" s="23">
        <v>27.61</v>
      </c>
      <c r="D1804" s="23">
        <v>4.5999999999999996</v>
      </c>
      <c r="E1804" s="23" t="s">
        <v>4682</v>
      </c>
      <c r="F1804" s="23" t="s">
        <v>4682</v>
      </c>
      <c r="G1804" s="23" t="s">
        <v>4682</v>
      </c>
      <c r="H1804" s="23">
        <v>1</v>
      </c>
      <c r="I1804" s="23" t="s">
        <v>4682</v>
      </c>
      <c r="J1804" s="23" t="s">
        <v>4730</v>
      </c>
      <c r="K1804" s="23" t="s">
        <v>4737</v>
      </c>
      <c r="L1804">
        <v>1998</v>
      </c>
      <c r="M1804" s="15" t="s">
        <v>4703</v>
      </c>
      <c r="N1804">
        <v>23</v>
      </c>
      <c r="O1804">
        <v>0</v>
      </c>
      <c r="P1804" s="21">
        <f>DATEVALUE(N1804&amp;"-"&amp;M1804&amp;"-"&amp;L1804)</f>
        <v>36061</v>
      </c>
      <c r="Q1804" s="22">
        <v>18648.419999999998</v>
      </c>
      <c r="R1804" s="23" t="s">
        <v>4701</v>
      </c>
      <c r="S1804" s="23" t="s">
        <v>4701</v>
      </c>
      <c r="T1804" s="23" t="s">
        <v>4710</v>
      </c>
      <c r="U1804" s="23">
        <f>DATEDIF(P1804, DATE(2023, 6, 8), "Y")</f>
        <v>24</v>
      </c>
      <c r="V1804">
        <f>SUM(C1804:K1804)</f>
        <v>33.21</v>
      </c>
    </row>
    <row r="1805" spans="1:22" ht="15.75">
      <c r="A1805" s="28" t="s">
        <v>3608</v>
      </c>
      <c r="B1805" s="28" t="s">
        <v>3609</v>
      </c>
      <c r="C1805" s="23">
        <v>27.1</v>
      </c>
      <c r="D1805" s="23">
        <v>5.08</v>
      </c>
      <c r="E1805" s="23" t="s">
        <v>4682</v>
      </c>
      <c r="F1805" s="23" t="s">
        <v>4682</v>
      </c>
      <c r="G1805" s="23" t="s">
        <v>4682</v>
      </c>
      <c r="H1805" s="23">
        <v>1</v>
      </c>
      <c r="I1805" s="23" t="s">
        <v>4682</v>
      </c>
      <c r="J1805" s="23" t="s">
        <v>4730</v>
      </c>
      <c r="K1805" s="23" t="s">
        <v>4737</v>
      </c>
      <c r="L1805">
        <v>1970</v>
      </c>
      <c r="M1805" s="15" t="s">
        <v>4707</v>
      </c>
      <c r="N1805">
        <v>17</v>
      </c>
      <c r="O1805">
        <v>0</v>
      </c>
      <c r="P1805" s="21">
        <f>DATEVALUE(N1805&amp;"-"&amp;M1805&amp;"-"&amp;L1805)</f>
        <v>25858</v>
      </c>
      <c r="Q1805" s="22">
        <v>18682.740000000002</v>
      </c>
      <c r="R1805" s="23" t="s">
        <v>4701</v>
      </c>
      <c r="S1805" s="23" t="s">
        <v>4698</v>
      </c>
      <c r="T1805" s="23" t="s">
        <v>4704</v>
      </c>
      <c r="U1805" s="23">
        <f>DATEDIF(P1805, DATE(2023, 6, 8), "Y")</f>
        <v>52</v>
      </c>
      <c r="V1805">
        <f>SUM(C1805:K1805)</f>
        <v>33.18</v>
      </c>
    </row>
    <row r="1806" spans="1:22" ht="15.75">
      <c r="A1806" s="28" t="s">
        <v>3610</v>
      </c>
      <c r="B1806" s="28" t="s">
        <v>3611</v>
      </c>
      <c r="C1806" s="23">
        <v>35.93</v>
      </c>
      <c r="D1806" s="23">
        <v>5.43</v>
      </c>
      <c r="E1806" s="23" t="s">
        <v>4682</v>
      </c>
      <c r="F1806" s="23" t="s">
        <v>4683</v>
      </c>
      <c r="G1806" s="23" t="s">
        <v>4682</v>
      </c>
      <c r="H1806" s="23">
        <v>1</v>
      </c>
      <c r="I1806" s="23" t="s">
        <v>4682</v>
      </c>
      <c r="J1806" s="23" t="s">
        <v>4729</v>
      </c>
      <c r="K1806" s="23" t="s">
        <v>4737</v>
      </c>
      <c r="L1806">
        <v>1967</v>
      </c>
      <c r="M1806" s="15" t="s">
        <v>4706</v>
      </c>
      <c r="N1806">
        <v>30</v>
      </c>
      <c r="O1806">
        <v>0</v>
      </c>
      <c r="P1806" s="21">
        <f>DATEVALUE(N1806&amp;"-"&amp;M1806&amp;"-"&amp;L1806)</f>
        <v>24714</v>
      </c>
      <c r="Q1806" s="22">
        <v>18694.689999999999</v>
      </c>
      <c r="R1806" s="23" t="s">
        <v>4701</v>
      </c>
      <c r="S1806" s="23" t="s">
        <v>4701</v>
      </c>
      <c r="T1806" s="23" t="s">
        <v>4715</v>
      </c>
      <c r="U1806" s="23">
        <f>DATEDIF(P1806, DATE(2023, 6, 8), "Y")</f>
        <v>55</v>
      </c>
      <c r="V1806">
        <f>SUM(C1806:K1806)</f>
        <v>42.36</v>
      </c>
    </row>
    <row r="1807" spans="1:22" ht="15.75">
      <c r="A1807" s="28" t="s">
        <v>3612</v>
      </c>
      <c r="B1807" s="28" t="s">
        <v>3613</v>
      </c>
      <c r="C1807" s="23">
        <v>32.68</v>
      </c>
      <c r="D1807" s="23">
        <v>5.44</v>
      </c>
      <c r="E1807" s="23" t="s">
        <v>4682</v>
      </c>
      <c r="F1807" s="23" t="s">
        <v>4682</v>
      </c>
      <c r="G1807" s="23" t="s">
        <v>4682</v>
      </c>
      <c r="H1807" s="23">
        <v>0</v>
      </c>
      <c r="I1807" s="23" t="s">
        <v>4682</v>
      </c>
      <c r="J1807" s="23" t="s">
        <v>4729</v>
      </c>
      <c r="K1807" s="23" t="s">
        <v>4737</v>
      </c>
      <c r="L1807">
        <v>1992</v>
      </c>
      <c r="M1807" s="15" t="s">
        <v>4705</v>
      </c>
      <c r="N1807">
        <v>27</v>
      </c>
      <c r="O1807">
        <v>3</v>
      </c>
      <c r="P1807" s="21">
        <f>DATEVALUE(N1807&amp;"-"&amp;M1807&amp;"-"&amp;L1807)</f>
        <v>33965</v>
      </c>
      <c r="Q1807" s="22">
        <v>18765.88</v>
      </c>
      <c r="R1807" s="23" t="s">
        <v>4701</v>
      </c>
      <c r="S1807" s="23" t="s">
        <v>4697</v>
      </c>
      <c r="T1807" s="23" t="s">
        <v>4704</v>
      </c>
      <c r="U1807" s="23">
        <f>DATEDIF(P1807, DATE(2023, 6, 8), "Y")</f>
        <v>30</v>
      </c>
      <c r="V1807">
        <f>SUM(C1807:K1807)</f>
        <v>38.119999999999997</v>
      </c>
    </row>
    <row r="1808" spans="1:22" ht="15.75">
      <c r="A1808" s="28" t="s">
        <v>3614</v>
      </c>
      <c r="B1808" s="28" t="s">
        <v>3615</v>
      </c>
      <c r="C1808" s="23">
        <v>20.74</v>
      </c>
      <c r="D1808" s="23">
        <v>11.69</v>
      </c>
      <c r="E1808" s="23" t="s">
        <v>4683</v>
      </c>
      <c r="F1808" s="23" t="s">
        <v>4682</v>
      </c>
      <c r="G1808" s="23" t="s">
        <v>4682</v>
      </c>
      <c r="H1808" s="23">
        <v>1</v>
      </c>
      <c r="I1808" s="23" t="s">
        <v>4682</v>
      </c>
      <c r="J1808" s="23" t="s">
        <v>4728</v>
      </c>
      <c r="K1808" s="23" t="s">
        <v>4735</v>
      </c>
      <c r="L1808">
        <v>1979</v>
      </c>
      <c r="M1808" s="15" t="s">
        <v>4700</v>
      </c>
      <c r="N1808">
        <v>19</v>
      </c>
      <c r="O1808">
        <v>2</v>
      </c>
      <c r="P1808" s="21">
        <f>DATEVALUE(N1808&amp;"-"&amp;M1808&amp;"-"&amp;L1808)</f>
        <v>29178</v>
      </c>
      <c r="Q1808" s="22">
        <v>18767.740000000002</v>
      </c>
      <c r="R1808" s="23" t="s">
        <v>4701</v>
      </c>
      <c r="S1808" s="23" t="s">
        <v>4701</v>
      </c>
      <c r="T1808" s="23" t="s">
        <v>4699</v>
      </c>
      <c r="U1808" s="23">
        <f>DATEDIF(P1808, DATE(2023, 6, 8), "Y")</f>
        <v>43</v>
      </c>
      <c r="V1808">
        <f>SUM(C1808:K1808)</f>
        <v>33.43</v>
      </c>
    </row>
    <row r="1809" spans="1:22" ht="15.75">
      <c r="A1809" s="28" t="s">
        <v>3616</v>
      </c>
      <c r="B1809" s="28" t="s">
        <v>3617</v>
      </c>
      <c r="C1809" s="23">
        <v>15.57</v>
      </c>
      <c r="D1809" s="23">
        <v>6.07</v>
      </c>
      <c r="E1809" s="23" t="s">
        <v>4682</v>
      </c>
      <c r="F1809" s="23" t="s">
        <v>4682</v>
      </c>
      <c r="G1809" s="23" t="s">
        <v>4682</v>
      </c>
      <c r="H1809" s="23">
        <v>0</v>
      </c>
      <c r="I1809" s="23" t="s">
        <v>4682</v>
      </c>
      <c r="J1809" s="23" t="s">
        <v>4731</v>
      </c>
      <c r="K1809" s="23" t="s">
        <v>4736</v>
      </c>
      <c r="L1809">
        <v>1995</v>
      </c>
      <c r="M1809" s="15" t="s">
        <v>4700</v>
      </c>
      <c r="N1809">
        <v>28</v>
      </c>
      <c r="O1809">
        <v>3</v>
      </c>
      <c r="P1809" s="21">
        <f>DATEVALUE(N1809&amp;"-"&amp;M1809&amp;"-"&amp;L1809)</f>
        <v>35031</v>
      </c>
      <c r="Q1809" s="22">
        <v>18804.75</v>
      </c>
      <c r="R1809" s="23" t="s">
        <v>4701</v>
      </c>
      <c r="S1809" s="23" t="s">
        <v>4701</v>
      </c>
      <c r="T1809" s="23" t="s">
        <v>4704</v>
      </c>
      <c r="U1809" s="23">
        <f>DATEDIF(P1809, DATE(2023, 6, 8), "Y")</f>
        <v>27</v>
      </c>
      <c r="V1809">
        <f>SUM(C1809:K1809)</f>
        <v>21.64</v>
      </c>
    </row>
    <row r="1810" spans="1:22" ht="15.75">
      <c r="A1810" s="28" t="s">
        <v>3618</v>
      </c>
      <c r="B1810" s="28" t="s">
        <v>3619</v>
      </c>
      <c r="C1810" s="23">
        <v>23.844999999999999</v>
      </c>
      <c r="D1810" s="23">
        <v>4.3600000000000003</v>
      </c>
      <c r="E1810" s="23" t="s">
        <v>4682</v>
      </c>
      <c r="F1810" s="23" t="s">
        <v>4682</v>
      </c>
      <c r="G1810" s="23" t="s">
        <v>4682</v>
      </c>
      <c r="H1810" s="23">
        <v>0</v>
      </c>
      <c r="I1810" s="23" t="s">
        <v>4682</v>
      </c>
      <c r="J1810" s="23" t="s">
        <v>4728</v>
      </c>
      <c r="K1810" s="23" t="s">
        <v>4737</v>
      </c>
      <c r="L1810">
        <v>1979</v>
      </c>
      <c r="M1810" s="15" t="s">
        <v>4707</v>
      </c>
      <c r="N1810">
        <v>15</v>
      </c>
      <c r="O1810">
        <v>2</v>
      </c>
      <c r="P1810" s="21">
        <f>DATEVALUE(N1810&amp;"-"&amp;M1810&amp;"-"&amp;L1810)</f>
        <v>29143</v>
      </c>
      <c r="Q1810" s="22">
        <v>18806.150000000001</v>
      </c>
      <c r="R1810" s="23" t="s">
        <v>4701</v>
      </c>
      <c r="S1810" s="23" t="s">
        <v>4697</v>
      </c>
      <c r="T1810" s="23" t="s">
        <v>4699</v>
      </c>
      <c r="U1810" s="23">
        <f>DATEDIF(P1810, DATE(2023, 6, 8), "Y")</f>
        <v>43</v>
      </c>
      <c r="V1810">
        <f>SUM(C1810:K1810)</f>
        <v>28.204999999999998</v>
      </c>
    </row>
    <row r="1811" spans="1:22" ht="15.75">
      <c r="A1811" s="28" t="s">
        <v>3620</v>
      </c>
      <c r="B1811" s="28" t="s">
        <v>3621</v>
      </c>
      <c r="C1811" s="23">
        <v>22.895</v>
      </c>
      <c r="D1811" s="23">
        <v>5.24</v>
      </c>
      <c r="E1811" s="23" t="s">
        <v>4682</v>
      </c>
      <c r="F1811" s="23" t="s">
        <v>4682</v>
      </c>
      <c r="G1811" s="23" t="s">
        <v>4682</v>
      </c>
      <c r="H1811" s="23">
        <v>1</v>
      </c>
      <c r="I1811" s="23" t="s">
        <v>4682</v>
      </c>
      <c r="J1811" s="23" t="s">
        <v>4728</v>
      </c>
      <c r="K1811" s="23" t="s">
        <v>4737</v>
      </c>
      <c r="L1811">
        <v>1962</v>
      </c>
      <c r="M1811" s="15" t="s">
        <v>4705</v>
      </c>
      <c r="N1811">
        <v>18</v>
      </c>
      <c r="O1811">
        <v>0</v>
      </c>
      <c r="P1811" s="21">
        <f>DATEVALUE(N1811&amp;"-"&amp;M1811&amp;"-"&amp;L1811)</f>
        <v>22998</v>
      </c>
      <c r="Q1811" s="22">
        <v>18815.53</v>
      </c>
      <c r="R1811" s="23" t="s">
        <v>4701</v>
      </c>
      <c r="S1811" s="23" t="s">
        <v>4701</v>
      </c>
      <c r="T1811" s="23" t="s">
        <v>4715</v>
      </c>
      <c r="U1811" s="23">
        <f>DATEDIF(P1811, DATE(2023, 6, 8), "Y")</f>
        <v>60</v>
      </c>
      <c r="V1811">
        <f>SUM(C1811:K1811)</f>
        <v>29.134999999999998</v>
      </c>
    </row>
    <row r="1812" spans="1:22" ht="15.75">
      <c r="A1812" s="28" t="s">
        <v>3622</v>
      </c>
      <c r="B1812" s="28" t="s">
        <v>3623</v>
      </c>
      <c r="C1812" s="23">
        <v>21.945</v>
      </c>
      <c r="D1812" s="23">
        <v>5.37</v>
      </c>
      <c r="E1812" s="23" t="s">
        <v>4682</v>
      </c>
      <c r="F1812" s="23" t="s">
        <v>4682</v>
      </c>
      <c r="G1812" s="23" t="s">
        <v>4682</v>
      </c>
      <c r="H1812" s="23">
        <v>1</v>
      </c>
      <c r="I1812" s="23" t="s">
        <v>4682</v>
      </c>
      <c r="J1812" s="23" t="s">
        <v>4728</v>
      </c>
      <c r="K1812" s="23" t="s">
        <v>4737</v>
      </c>
      <c r="L1812">
        <v>2003</v>
      </c>
      <c r="M1812" s="15" t="s">
        <v>4696</v>
      </c>
      <c r="N1812">
        <v>24</v>
      </c>
      <c r="O1812">
        <v>3</v>
      </c>
      <c r="P1812" s="21">
        <f>DATEVALUE(N1812&amp;"-"&amp;M1812&amp;"-"&amp;L1812)</f>
        <v>37826</v>
      </c>
      <c r="Q1812" s="22">
        <v>18838.7</v>
      </c>
      <c r="R1812" s="23" t="s">
        <v>4701</v>
      </c>
      <c r="S1812" s="23" t="s">
        <v>4698</v>
      </c>
      <c r="T1812" s="23" t="s">
        <v>4704</v>
      </c>
      <c r="U1812" s="23">
        <f>DATEDIF(P1812, DATE(2023, 6, 8), "Y")</f>
        <v>19</v>
      </c>
      <c r="V1812">
        <f>SUM(C1812:K1812)</f>
        <v>28.315000000000001</v>
      </c>
    </row>
    <row r="1813" spans="1:22" ht="15.75">
      <c r="A1813" s="28" t="s">
        <v>3624</v>
      </c>
      <c r="B1813" s="28" t="s">
        <v>3625</v>
      </c>
      <c r="C1813" s="23">
        <v>19.47</v>
      </c>
      <c r="D1813" s="23">
        <v>6.6</v>
      </c>
      <c r="E1813" s="23" t="s">
        <v>4683</v>
      </c>
      <c r="F1813" s="23" t="s">
        <v>4682</v>
      </c>
      <c r="G1813" s="23" t="s">
        <v>4682</v>
      </c>
      <c r="H1813" s="23">
        <v>0</v>
      </c>
      <c r="I1813" s="23" t="s">
        <v>4682</v>
      </c>
      <c r="J1813" s="23" t="s">
        <v>4728</v>
      </c>
      <c r="K1813" s="23" t="s">
        <v>4735</v>
      </c>
      <c r="L1813">
        <v>1963</v>
      </c>
      <c r="M1813" s="15" t="s">
        <v>4705</v>
      </c>
      <c r="N1813">
        <v>6</v>
      </c>
      <c r="O1813">
        <v>0</v>
      </c>
      <c r="P1813" s="21">
        <f>DATEVALUE(N1813&amp;"-"&amp;M1813&amp;"-"&amp;L1813)</f>
        <v>23351</v>
      </c>
      <c r="Q1813" s="22">
        <v>18883.330000000002</v>
      </c>
      <c r="R1813" s="23" t="s">
        <v>4701</v>
      </c>
      <c r="S1813" s="23" t="s">
        <v>4701</v>
      </c>
      <c r="T1813" s="23" t="s">
        <v>4720</v>
      </c>
      <c r="U1813" s="23">
        <f>DATEDIF(P1813, DATE(2023, 6, 8), "Y")</f>
        <v>59</v>
      </c>
      <c r="V1813">
        <f>SUM(C1813:K1813)</f>
        <v>26.07</v>
      </c>
    </row>
    <row r="1814" spans="1:22" ht="15.75">
      <c r="A1814" s="28" t="s">
        <v>3626</v>
      </c>
      <c r="B1814" s="28" t="s">
        <v>3627</v>
      </c>
      <c r="C1814" s="23">
        <v>15.61</v>
      </c>
      <c r="D1814" s="23">
        <v>5.77</v>
      </c>
      <c r="E1814" s="23" t="s">
        <v>4682</v>
      </c>
      <c r="F1814" s="23" t="s">
        <v>4682</v>
      </c>
      <c r="G1814" s="23" t="s">
        <v>4682</v>
      </c>
      <c r="H1814" s="23">
        <v>0</v>
      </c>
      <c r="I1814" s="23" t="s">
        <v>4682</v>
      </c>
      <c r="J1814" s="23" t="s">
        <v>4731</v>
      </c>
      <c r="K1814" s="23" t="s">
        <v>4736</v>
      </c>
      <c r="L1814">
        <v>1995</v>
      </c>
      <c r="M1814" s="15" t="s">
        <v>4703</v>
      </c>
      <c r="N1814">
        <v>27</v>
      </c>
      <c r="O1814">
        <v>1</v>
      </c>
      <c r="P1814" s="21">
        <f>DATEVALUE(N1814&amp;"-"&amp;M1814&amp;"-"&amp;L1814)</f>
        <v>34969</v>
      </c>
      <c r="Q1814" s="22">
        <v>18903.490000000002</v>
      </c>
      <c r="R1814" s="23" t="s">
        <v>4701</v>
      </c>
      <c r="S1814" s="23" t="s">
        <v>4697</v>
      </c>
      <c r="T1814" s="23" t="s">
        <v>4714</v>
      </c>
      <c r="U1814" s="23">
        <f>DATEDIF(P1814, DATE(2023, 6, 8), "Y")</f>
        <v>27</v>
      </c>
      <c r="V1814">
        <f>SUM(C1814:K1814)</f>
        <v>21.38</v>
      </c>
    </row>
    <row r="1815" spans="1:22" ht="15.75">
      <c r="A1815" s="28" t="s">
        <v>3628</v>
      </c>
      <c r="B1815" s="28" t="s">
        <v>3629</v>
      </c>
      <c r="C1815" s="23">
        <v>28.6</v>
      </c>
      <c r="D1815" s="23">
        <v>6.08</v>
      </c>
      <c r="E1815" s="23" t="s">
        <v>4682</v>
      </c>
      <c r="F1815" s="23" t="s">
        <v>4682</v>
      </c>
      <c r="G1815" s="23" t="s">
        <v>4684</v>
      </c>
      <c r="H1815" s="23">
        <v>1</v>
      </c>
      <c r="I1815" s="23" t="s">
        <v>4682</v>
      </c>
      <c r="J1815" s="23" t="s">
        <v>4730</v>
      </c>
      <c r="K1815" s="23" t="s">
        <v>4736</v>
      </c>
      <c r="L1815">
        <v>1969</v>
      </c>
      <c r="M1815" s="15" t="s">
        <v>4706</v>
      </c>
      <c r="N1815">
        <v>3</v>
      </c>
      <c r="O1815">
        <v>0</v>
      </c>
      <c r="P1815" s="21">
        <f>DATEVALUE(N1815&amp;"-"&amp;M1815&amp;"-"&amp;L1815)</f>
        <v>25418</v>
      </c>
      <c r="Q1815" s="22">
        <v>18932.810000000001</v>
      </c>
      <c r="R1815" s="23" t="s">
        <v>4701</v>
      </c>
      <c r="S1815" s="23" t="s">
        <v>4698</v>
      </c>
      <c r="T1815" s="23" t="s">
        <v>4704</v>
      </c>
      <c r="U1815" s="23">
        <f>DATEDIF(P1815, DATE(2023, 6, 8), "Y")</f>
        <v>53</v>
      </c>
      <c r="V1815">
        <f>SUM(C1815:K1815)</f>
        <v>35.68</v>
      </c>
    </row>
    <row r="1816" spans="1:22" ht="15.75">
      <c r="A1816" s="28" t="s">
        <v>3630</v>
      </c>
      <c r="B1816" s="28" t="s">
        <v>3631</v>
      </c>
      <c r="C1816" s="23">
        <v>46.53</v>
      </c>
      <c r="D1816" s="23">
        <v>4.16</v>
      </c>
      <c r="E1816" s="23" t="s">
        <v>4682</v>
      </c>
      <c r="F1816" s="23" t="s">
        <v>4682</v>
      </c>
      <c r="G1816" s="23" t="s">
        <v>4682</v>
      </c>
      <c r="H1816" s="23">
        <v>0</v>
      </c>
      <c r="I1816" s="23" t="s">
        <v>4682</v>
      </c>
      <c r="J1816" s="23" t="s">
        <v>4729</v>
      </c>
      <c r="K1816" s="23" t="s">
        <v>4737</v>
      </c>
      <c r="L1816">
        <v>1963</v>
      </c>
      <c r="M1816" s="15" t="s">
        <v>4707</v>
      </c>
      <c r="N1816">
        <v>20</v>
      </c>
      <c r="O1816">
        <v>0</v>
      </c>
      <c r="P1816" s="21">
        <f>DATEVALUE(N1816&amp;"-"&amp;M1816&amp;"-"&amp;L1816)</f>
        <v>23304</v>
      </c>
      <c r="Q1816" s="22">
        <v>18954.560000000001</v>
      </c>
      <c r="R1816" s="23" t="s">
        <v>4701</v>
      </c>
      <c r="S1816" s="23" t="s">
        <v>4701</v>
      </c>
      <c r="T1816" s="23" t="s">
        <v>4720</v>
      </c>
      <c r="U1816" s="23">
        <f>DATEDIF(P1816, DATE(2023, 6, 8), "Y")</f>
        <v>59</v>
      </c>
      <c r="V1816">
        <f>SUM(C1816:K1816)</f>
        <v>50.69</v>
      </c>
    </row>
    <row r="1817" spans="1:22" ht="15.75">
      <c r="A1817" s="28" t="s">
        <v>3632</v>
      </c>
      <c r="B1817" s="28" t="s">
        <v>3633</v>
      </c>
      <c r="C1817" s="23">
        <v>34.99</v>
      </c>
      <c r="D1817" s="23">
        <v>5.0999999999999996</v>
      </c>
      <c r="E1817" s="23" t="s">
        <v>4682</v>
      </c>
      <c r="F1817" s="23" t="s">
        <v>4682</v>
      </c>
      <c r="G1817" s="23" t="s">
        <v>4684</v>
      </c>
      <c r="H1817" s="23">
        <v>1</v>
      </c>
      <c r="I1817" s="23" t="s">
        <v>4682</v>
      </c>
      <c r="J1817" s="23" t="s">
        <v>4729</v>
      </c>
      <c r="K1817" s="23" t="s">
        <v>4737</v>
      </c>
      <c r="L1817">
        <v>1998</v>
      </c>
      <c r="M1817" s="15" t="s">
        <v>4706</v>
      </c>
      <c r="N1817">
        <v>6</v>
      </c>
      <c r="O1817">
        <v>0</v>
      </c>
      <c r="P1817" s="21">
        <f>DATEVALUE(N1817&amp;"-"&amp;M1817&amp;"-"&amp;L1817)</f>
        <v>36013</v>
      </c>
      <c r="Q1817" s="22">
        <v>18955.22</v>
      </c>
      <c r="R1817" s="23" t="s">
        <v>4701</v>
      </c>
      <c r="S1817" s="23" t="s">
        <v>4698</v>
      </c>
      <c r="T1817" s="23" t="s">
        <v>4708</v>
      </c>
      <c r="U1817" s="23">
        <f>DATEDIF(P1817, DATE(2023, 6, 8), "Y")</f>
        <v>24</v>
      </c>
      <c r="V1817">
        <f>SUM(C1817:K1817)</f>
        <v>41.09</v>
      </c>
    </row>
    <row r="1818" spans="1:22" ht="15.75">
      <c r="A1818" s="28" t="s">
        <v>3634</v>
      </c>
      <c r="B1818" s="28" t="s">
        <v>3635</v>
      </c>
      <c r="C1818" s="23">
        <v>17.05</v>
      </c>
      <c r="D1818" s="23">
        <v>5.3</v>
      </c>
      <c r="E1818" s="23" t="s">
        <v>4682</v>
      </c>
      <c r="F1818" s="23" t="s">
        <v>4682</v>
      </c>
      <c r="G1818" s="23" t="s">
        <v>4684</v>
      </c>
      <c r="H1818" s="23">
        <v>1</v>
      </c>
      <c r="I1818" s="23" t="s">
        <v>4682</v>
      </c>
      <c r="J1818" s="23" t="s">
        <v>4731</v>
      </c>
      <c r="K1818" s="23" t="s">
        <v>4737</v>
      </c>
      <c r="L1818">
        <v>1992</v>
      </c>
      <c r="M1818" s="15" t="s">
        <v>4700</v>
      </c>
      <c r="N1818">
        <v>30</v>
      </c>
      <c r="O1818">
        <v>1</v>
      </c>
      <c r="P1818" s="21">
        <f>DATEVALUE(N1818&amp;"-"&amp;M1818&amp;"-"&amp;L1818)</f>
        <v>33938</v>
      </c>
      <c r="Q1818" s="22">
        <v>18963.169999999998</v>
      </c>
      <c r="R1818" s="23" t="s">
        <v>4701</v>
      </c>
      <c r="S1818" s="23" t="s">
        <v>4701</v>
      </c>
      <c r="T1818" s="23" t="s">
        <v>4699</v>
      </c>
      <c r="U1818" s="23">
        <f>DATEDIF(P1818, DATE(2023, 6, 8), "Y")</f>
        <v>30</v>
      </c>
      <c r="V1818">
        <f>SUM(C1818:K1818)</f>
        <v>23.35</v>
      </c>
    </row>
    <row r="1819" spans="1:22" ht="15.75">
      <c r="A1819" s="28" t="s">
        <v>3636</v>
      </c>
      <c r="B1819" s="28" t="s">
        <v>3637</v>
      </c>
      <c r="C1819" s="23">
        <v>37.18</v>
      </c>
      <c r="D1819" s="23">
        <v>4.9000000000000004</v>
      </c>
      <c r="E1819" s="23" t="s">
        <v>4682</v>
      </c>
      <c r="F1819" s="23" t="s">
        <v>4682</v>
      </c>
      <c r="G1819" s="23" t="s">
        <v>4682</v>
      </c>
      <c r="H1819" s="23">
        <v>0</v>
      </c>
      <c r="I1819" s="23" t="s">
        <v>4682</v>
      </c>
      <c r="J1819" s="23" t="s">
        <v>4729</v>
      </c>
      <c r="K1819" s="23" t="s">
        <v>4737</v>
      </c>
      <c r="L1819">
        <v>1988</v>
      </c>
      <c r="M1819" s="15" t="s">
        <v>4707</v>
      </c>
      <c r="N1819">
        <v>24</v>
      </c>
      <c r="O1819">
        <v>2</v>
      </c>
      <c r="P1819" s="21">
        <f>DATEVALUE(N1819&amp;"-"&amp;M1819&amp;"-"&amp;L1819)</f>
        <v>32440</v>
      </c>
      <c r="Q1819" s="22">
        <v>18972.5</v>
      </c>
      <c r="R1819" s="23" t="s">
        <v>4701</v>
      </c>
      <c r="S1819" s="23" t="s">
        <v>4698</v>
      </c>
      <c r="T1819" s="23" t="s">
        <v>4699</v>
      </c>
      <c r="U1819" s="23">
        <f>DATEDIF(P1819, DATE(2023, 6, 8), "Y")</f>
        <v>34</v>
      </c>
      <c r="V1819">
        <f>SUM(C1819:K1819)</f>
        <v>42.08</v>
      </c>
    </row>
    <row r="1820" spans="1:22" ht="15.75">
      <c r="A1820" s="28" t="s">
        <v>3638</v>
      </c>
      <c r="B1820" s="28" t="s">
        <v>3639</v>
      </c>
      <c r="C1820" s="23">
        <v>35.200000000000003</v>
      </c>
      <c r="D1820" s="23">
        <v>5.55</v>
      </c>
      <c r="E1820" s="23" t="s">
        <v>4682</v>
      </c>
      <c r="F1820" s="23" t="s">
        <v>4682</v>
      </c>
      <c r="G1820" s="23" t="s">
        <v>4682</v>
      </c>
      <c r="H1820" s="23">
        <v>0</v>
      </c>
      <c r="I1820" s="23" t="s">
        <v>4682</v>
      </c>
      <c r="J1820" s="23" t="s">
        <v>4729</v>
      </c>
      <c r="K1820" s="23" t="s">
        <v>4737</v>
      </c>
      <c r="L1820">
        <v>1983</v>
      </c>
      <c r="M1820" s="15" t="s">
        <v>4705</v>
      </c>
      <c r="N1820">
        <v>19</v>
      </c>
      <c r="O1820">
        <v>5</v>
      </c>
      <c r="P1820" s="21">
        <f>DATEVALUE(N1820&amp;"-"&amp;M1820&amp;"-"&amp;L1820)</f>
        <v>30669</v>
      </c>
      <c r="Q1820" s="22">
        <v>19023.259999999998</v>
      </c>
      <c r="R1820" s="23" t="s">
        <v>4701</v>
      </c>
      <c r="S1820" s="23" t="s">
        <v>4698</v>
      </c>
      <c r="T1820" s="23" t="s">
        <v>4708</v>
      </c>
      <c r="U1820" s="23">
        <f>DATEDIF(P1820, DATE(2023, 6, 8), "Y")</f>
        <v>39</v>
      </c>
      <c r="V1820">
        <f>SUM(C1820:K1820)</f>
        <v>40.75</v>
      </c>
    </row>
    <row r="1821" spans="1:22" ht="15.75">
      <c r="A1821" s="28" t="s">
        <v>3640</v>
      </c>
      <c r="B1821" s="28" t="s">
        <v>3641</v>
      </c>
      <c r="C1821" s="23">
        <v>37.335000000000001</v>
      </c>
      <c r="D1821" s="23">
        <v>4.95</v>
      </c>
      <c r="E1821" s="23" t="s">
        <v>4682</v>
      </c>
      <c r="F1821" s="23" t="s">
        <v>4682</v>
      </c>
      <c r="G1821" s="23" t="s">
        <v>4682</v>
      </c>
      <c r="H1821" s="23">
        <v>0</v>
      </c>
      <c r="I1821" s="23" t="s">
        <v>4682</v>
      </c>
      <c r="J1821" s="23" t="s">
        <v>4729</v>
      </c>
      <c r="K1821" s="23" t="s">
        <v>4737</v>
      </c>
      <c r="L1821">
        <v>1989</v>
      </c>
      <c r="M1821" s="15" t="s">
        <v>4702</v>
      </c>
      <c r="N1821">
        <v>5</v>
      </c>
      <c r="O1821">
        <v>1</v>
      </c>
      <c r="P1821" s="21">
        <f>DATEVALUE(N1821&amp;"-"&amp;M1821&amp;"-"&amp;L1821)</f>
        <v>32664</v>
      </c>
      <c r="Q1821" s="22">
        <v>19040.88</v>
      </c>
      <c r="R1821" s="23" t="s">
        <v>4701</v>
      </c>
      <c r="S1821" s="23" t="s">
        <v>4698</v>
      </c>
      <c r="T1821" s="23" t="s">
        <v>4708</v>
      </c>
      <c r="U1821" s="23">
        <f>DATEDIF(P1821, DATE(2023, 6, 8), "Y")</f>
        <v>34</v>
      </c>
      <c r="V1821">
        <f>SUM(C1821:K1821)</f>
        <v>42.285000000000004</v>
      </c>
    </row>
    <row r="1822" spans="1:22" ht="15.75">
      <c r="A1822" s="28" t="s">
        <v>3642</v>
      </c>
      <c r="B1822" s="28" t="s">
        <v>3643</v>
      </c>
      <c r="C1822" s="23">
        <v>27.265000000000001</v>
      </c>
      <c r="D1822" s="23">
        <v>6.46</v>
      </c>
      <c r="E1822" s="23" t="s">
        <v>4683</v>
      </c>
      <c r="F1822" s="23" t="s">
        <v>4682</v>
      </c>
      <c r="G1822" s="23" t="s">
        <v>4682</v>
      </c>
      <c r="H1822" s="23">
        <v>0</v>
      </c>
      <c r="I1822" s="23" t="s">
        <v>4682</v>
      </c>
      <c r="J1822" s="23" t="s">
        <v>4730</v>
      </c>
      <c r="K1822" s="23" t="s">
        <v>4735</v>
      </c>
      <c r="L1822">
        <v>1993</v>
      </c>
      <c r="M1822" s="15" t="s">
        <v>4703</v>
      </c>
      <c r="N1822">
        <v>28</v>
      </c>
      <c r="O1822">
        <v>1</v>
      </c>
      <c r="P1822" s="21">
        <f>DATEVALUE(N1822&amp;"-"&amp;M1822&amp;"-"&amp;L1822)</f>
        <v>34240</v>
      </c>
      <c r="Q1822" s="22">
        <v>19107.78</v>
      </c>
      <c r="R1822" s="23" t="s">
        <v>4701</v>
      </c>
      <c r="S1822" s="23" t="s">
        <v>4697</v>
      </c>
      <c r="T1822" s="23" t="s">
        <v>4699</v>
      </c>
      <c r="U1822" s="23">
        <f>DATEDIF(P1822, DATE(2023, 6, 8), "Y")</f>
        <v>29</v>
      </c>
      <c r="V1822">
        <f>SUM(C1822:K1822)</f>
        <v>33.725000000000001</v>
      </c>
    </row>
    <row r="1823" spans="1:22" ht="15.75">
      <c r="A1823" s="28" t="s">
        <v>3644</v>
      </c>
      <c r="B1823" s="28" t="s">
        <v>3645</v>
      </c>
      <c r="C1823" s="23">
        <v>30.8</v>
      </c>
      <c r="D1823" s="23">
        <v>4.9000000000000004</v>
      </c>
      <c r="E1823" s="23" t="s">
        <v>4683</v>
      </c>
      <c r="F1823" s="23" t="s">
        <v>4682</v>
      </c>
      <c r="G1823" s="23" t="s">
        <v>4682</v>
      </c>
      <c r="H1823" s="23">
        <v>0</v>
      </c>
      <c r="I1823" s="23" t="s">
        <v>4682</v>
      </c>
      <c r="J1823" s="23" t="s">
        <v>4729</v>
      </c>
      <c r="K1823" s="23" t="s">
        <v>4737</v>
      </c>
      <c r="L1823">
        <v>1979</v>
      </c>
      <c r="M1823" s="15" t="s">
        <v>4696</v>
      </c>
      <c r="N1823">
        <v>2</v>
      </c>
      <c r="O1823">
        <v>2</v>
      </c>
      <c r="P1823" s="21">
        <f>DATEVALUE(N1823&amp;"-"&amp;M1823&amp;"-"&amp;L1823)</f>
        <v>29038</v>
      </c>
      <c r="Q1823" s="22">
        <v>19144.580000000002</v>
      </c>
      <c r="R1823" s="23" t="s">
        <v>4701</v>
      </c>
      <c r="S1823" s="23" t="s">
        <v>4701</v>
      </c>
      <c r="T1823" s="23" t="s">
        <v>4714</v>
      </c>
      <c r="U1823" s="23">
        <f>DATEDIF(P1823, DATE(2023, 6, 8), "Y")</f>
        <v>43</v>
      </c>
      <c r="V1823">
        <f>SUM(C1823:K1823)</f>
        <v>35.700000000000003</v>
      </c>
    </row>
    <row r="1824" spans="1:22" ht="15.75">
      <c r="A1824" s="28" t="s">
        <v>3646</v>
      </c>
      <c r="B1824" s="28" t="s">
        <v>3647</v>
      </c>
      <c r="C1824" s="23">
        <v>30.21</v>
      </c>
      <c r="D1824" s="23">
        <v>5.21</v>
      </c>
      <c r="E1824" s="23" t="s">
        <v>4682</v>
      </c>
      <c r="F1824" s="23" t="s">
        <v>4682</v>
      </c>
      <c r="G1824" s="23" t="s">
        <v>4682</v>
      </c>
      <c r="H1824" s="23">
        <v>1</v>
      </c>
      <c r="I1824" s="23" t="s">
        <v>4682</v>
      </c>
      <c r="J1824" s="23" t="s">
        <v>4729</v>
      </c>
      <c r="K1824" s="23" t="s">
        <v>4737</v>
      </c>
      <c r="L1824">
        <v>1991</v>
      </c>
      <c r="M1824" s="15" t="s">
        <v>4703</v>
      </c>
      <c r="N1824">
        <v>16</v>
      </c>
      <c r="O1824">
        <v>3</v>
      </c>
      <c r="P1824" s="21">
        <f>DATEVALUE(N1824&amp;"-"&amp;M1824&amp;"-"&amp;L1824)</f>
        <v>33497</v>
      </c>
      <c r="Q1824" s="22">
        <v>19199.939999999999</v>
      </c>
      <c r="R1824" s="23" t="s">
        <v>4701</v>
      </c>
      <c r="S1824" s="23" t="s">
        <v>4698</v>
      </c>
      <c r="T1824" s="23" t="s">
        <v>4708</v>
      </c>
      <c r="U1824" s="23">
        <f>DATEDIF(P1824, DATE(2023, 6, 8), "Y")</f>
        <v>31</v>
      </c>
      <c r="V1824">
        <f>SUM(C1824:K1824)</f>
        <v>36.42</v>
      </c>
    </row>
    <row r="1825" spans="1:22" ht="15.75">
      <c r="A1825" s="28" t="s">
        <v>3648</v>
      </c>
      <c r="B1825" s="28" t="s">
        <v>3649</v>
      </c>
      <c r="C1825" s="23">
        <v>35.340000000000003</v>
      </c>
      <c r="D1825" s="23">
        <v>4.13</v>
      </c>
      <c r="E1825" s="23" t="s">
        <v>4682</v>
      </c>
      <c r="F1825" s="23" t="s">
        <v>4683</v>
      </c>
      <c r="G1825" s="23" t="s">
        <v>4682</v>
      </c>
      <c r="H1825" s="23">
        <v>1</v>
      </c>
      <c r="I1825" s="23" t="s">
        <v>4682</v>
      </c>
      <c r="J1825" s="23" t="s">
        <v>4729</v>
      </c>
      <c r="K1825" s="23" t="s">
        <v>4737</v>
      </c>
      <c r="L1825">
        <v>1985</v>
      </c>
      <c r="M1825" s="15" t="s">
        <v>4705</v>
      </c>
      <c r="N1825">
        <v>28</v>
      </c>
      <c r="O1825">
        <v>0</v>
      </c>
      <c r="P1825" s="21">
        <f>DATEVALUE(N1825&amp;"-"&amp;M1825&amp;"-"&amp;L1825)</f>
        <v>31409</v>
      </c>
      <c r="Q1825" s="22">
        <v>19214.71</v>
      </c>
      <c r="R1825" s="23" t="s">
        <v>4701</v>
      </c>
      <c r="S1825" s="23" t="s">
        <v>4698</v>
      </c>
      <c r="T1825" s="23" t="s">
        <v>4699</v>
      </c>
      <c r="U1825" s="23">
        <f>DATEDIF(P1825, DATE(2023, 6, 8), "Y")</f>
        <v>37</v>
      </c>
      <c r="V1825">
        <f>SUM(C1825:K1825)</f>
        <v>40.470000000000006</v>
      </c>
    </row>
    <row r="1826" spans="1:22" ht="15.75">
      <c r="A1826" s="28" t="s">
        <v>3650</v>
      </c>
      <c r="B1826" s="28" t="s">
        <v>3651</v>
      </c>
      <c r="C1826" s="23">
        <v>26.695</v>
      </c>
      <c r="D1826" s="23">
        <v>5.28</v>
      </c>
      <c r="E1826" s="23" t="s">
        <v>4682</v>
      </c>
      <c r="F1826" s="23" t="s">
        <v>4682</v>
      </c>
      <c r="G1826" s="23" t="s">
        <v>4682</v>
      </c>
      <c r="H1826" s="23">
        <v>0</v>
      </c>
      <c r="I1826" s="23" t="s">
        <v>4682</v>
      </c>
      <c r="J1826" s="23" t="s">
        <v>4730</v>
      </c>
      <c r="K1826" s="23" t="s">
        <v>4737</v>
      </c>
      <c r="L1826">
        <v>1967</v>
      </c>
      <c r="M1826" s="15" t="s">
        <v>4696</v>
      </c>
      <c r="N1826">
        <v>29</v>
      </c>
      <c r="O1826">
        <v>0</v>
      </c>
      <c r="P1826" s="21">
        <f>DATEVALUE(N1826&amp;"-"&amp;M1826&amp;"-"&amp;L1826)</f>
        <v>24682</v>
      </c>
      <c r="Q1826" s="22">
        <v>19259.96</v>
      </c>
      <c r="R1826" s="23" t="s">
        <v>4701</v>
      </c>
      <c r="S1826" s="23" t="s">
        <v>4701</v>
      </c>
      <c r="T1826" s="23" t="s">
        <v>4704</v>
      </c>
      <c r="U1826" s="23">
        <f>DATEDIF(P1826, DATE(2023, 6, 8), "Y")</f>
        <v>55</v>
      </c>
      <c r="V1826">
        <f>SUM(C1826:K1826)</f>
        <v>31.975000000000001</v>
      </c>
    </row>
    <row r="1827" spans="1:22" ht="15.75">
      <c r="A1827" s="28" t="s">
        <v>3652</v>
      </c>
      <c r="B1827" s="28" t="s">
        <v>3653</v>
      </c>
      <c r="C1827" s="23">
        <v>29.355</v>
      </c>
      <c r="D1827" s="23">
        <v>4.68</v>
      </c>
      <c r="E1827" s="23" t="s">
        <v>4683</v>
      </c>
      <c r="F1827" s="23" t="s">
        <v>4682</v>
      </c>
      <c r="G1827" s="23" t="s">
        <v>4682</v>
      </c>
      <c r="H1827" s="23">
        <v>0</v>
      </c>
      <c r="I1827" s="23" t="s">
        <v>4682</v>
      </c>
      <c r="J1827" s="23" t="s">
        <v>4730</v>
      </c>
      <c r="K1827" s="23" t="s">
        <v>4737</v>
      </c>
      <c r="L1827">
        <v>1966</v>
      </c>
      <c r="M1827" s="15" t="s">
        <v>4700</v>
      </c>
      <c r="N1827">
        <v>15</v>
      </c>
      <c r="O1827">
        <v>0</v>
      </c>
      <c r="P1827" s="21">
        <f>DATEVALUE(N1827&amp;"-"&amp;M1827&amp;"-"&amp;L1827)</f>
        <v>24426</v>
      </c>
      <c r="Q1827" s="22">
        <v>19321.060000000001</v>
      </c>
      <c r="R1827" s="23" t="s">
        <v>4701</v>
      </c>
      <c r="S1827" s="23" t="s">
        <v>4701</v>
      </c>
      <c r="T1827" s="23" t="s">
        <v>4704</v>
      </c>
      <c r="U1827" s="23">
        <f>DATEDIF(P1827, DATE(2023, 6, 8), "Y")</f>
        <v>56</v>
      </c>
      <c r="V1827">
        <f>SUM(C1827:K1827)</f>
        <v>34.034999999999997</v>
      </c>
    </row>
    <row r="1828" spans="1:22" ht="15.75">
      <c r="A1828" s="28" t="s">
        <v>3654</v>
      </c>
      <c r="B1828" s="28" t="s">
        <v>3655</v>
      </c>
      <c r="C1828" s="23">
        <v>29.59</v>
      </c>
      <c r="D1828" s="23">
        <v>4.0599999999999996</v>
      </c>
      <c r="E1828" s="23" t="s">
        <v>4682</v>
      </c>
      <c r="F1828" s="23" t="s">
        <v>4682</v>
      </c>
      <c r="G1828" s="23" t="s">
        <v>4682</v>
      </c>
      <c r="H1828" s="23">
        <v>0</v>
      </c>
      <c r="I1828" s="23" t="s">
        <v>4682</v>
      </c>
      <c r="J1828" s="23" t="s">
        <v>4730</v>
      </c>
      <c r="K1828" s="23" t="s">
        <v>4737</v>
      </c>
      <c r="L1828">
        <v>1991</v>
      </c>
      <c r="M1828" s="15" t="s">
        <v>4706</v>
      </c>
      <c r="N1828">
        <v>24</v>
      </c>
      <c r="O1828">
        <v>0</v>
      </c>
      <c r="P1828" s="21">
        <f>DATEVALUE(N1828&amp;"-"&amp;M1828&amp;"-"&amp;L1828)</f>
        <v>33474</v>
      </c>
      <c r="Q1828" s="22">
        <v>19350.37</v>
      </c>
      <c r="R1828" s="23" t="s">
        <v>4701</v>
      </c>
      <c r="S1828" s="23" t="s">
        <v>4698</v>
      </c>
      <c r="T1828" s="23" t="s">
        <v>4699</v>
      </c>
      <c r="U1828" s="23">
        <f>DATEDIF(P1828, DATE(2023, 6, 8), "Y")</f>
        <v>31</v>
      </c>
      <c r="V1828">
        <f>SUM(C1828:K1828)</f>
        <v>33.65</v>
      </c>
    </row>
    <row r="1829" spans="1:22" ht="15.75">
      <c r="A1829" s="28" t="s">
        <v>3656</v>
      </c>
      <c r="B1829" s="28" t="s">
        <v>3657</v>
      </c>
      <c r="C1829" s="23">
        <v>31.35</v>
      </c>
      <c r="D1829" s="23">
        <v>4.2</v>
      </c>
      <c r="E1829" s="23" t="s">
        <v>4682</v>
      </c>
      <c r="F1829" s="23" t="s">
        <v>4683</v>
      </c>
      <c r="G1829" s="23" t="s">
        <v>4682</v>
      </c>
      <c r="H1829" s="23">
        <v>1</v>
      </c>
      <c r="I1829" s="23" t="s">
        <v>4682</v>
      </c>
      <c r="J1829" s="23" t="s">
        <v>4729</v>
      </c>
      <c r="K1829" s="23" t="s">
        <v>4737</v>
      </c>
      <c r="L1829">
        <v>1987</v>
      </c>
      <c r="M1829" s="15" t="s">
        <v>4702</v>
      </c>
      <c r="N1829">
        <v>30</v>
      </c>
      <c r="O1829">
        <v>3</v>
      </c>
      <c r="P1829" s="21">
        <f>DATEVALUE(N1829&amp;"-"&amp;M1829&amp;"-"&amp;L1829)</f>
        <v>31958</v>
      </c>
      <c r="Q1829" s="22">
        <v>19362</v>
      </c>
      <c r="R1829" s="23" t="s">
        <v>4701</v>
      </c>
      <c r="S1829" s="23" t="s">
        <v>4698</v>
      </c>
      <c r="T1829" s="23" t="s">
        <v>4699</v>
      </c>
      <c r="U1829" s="23">
        <f>DATEDIF(P1829, DATE(2023, 6, 8), "Y")</f>
        <v>35</v>
      </c>
      <c r="V1829">
        <f>SUM(C1829:K1829)</f>
        <v>36.550000000000004</v>
      </c>
    </row>
    <row r="1830" spans="1:22" ht="15.75">
      <c r="A1830" s="28" t="s">
        <v>3658</v>
      </c>
      <c r="B1830" s="28" t="s">
        <v>3659</v>
      </c>
      <c r="C1830" s="23">
        <v>20.52</v>
      </c>
      <c r="D1830" s="23">
        <v>4.83</v>
      </c>
      <c r="E1830" s="23" t="s">
        <v>4682</v>
      </c>
      <c r="F1830" s="23" t="s">
        <v>4682</v>
      </c>
      <c r="G1830" s="23" t="s">
        <v>4682</v>
      </c>
      <c r="H1830" s="23">
        <v>0</v>
      </c>
      <c r="I1830" s="23" t="s">
        <v>4682</v>
      </c>
      <c r="J1830" s="23" t="s">
        <v>4728</v>
      </c>
      <c r="K1830" s="23" t="s">
        <v>4737</v>
      </c>
      <c r="L1830">
        <v>1993</v>
      </c>
      <c r="M1830" s="15" t="s">
        <v>4703</v>
      </c>
      <c r="N1830">
        <v>6</v>
      </c>
      <c r="O1830">
        <v>2</v>
      </c>
      <c r="P1830" s="21">
        <f>DATEVALUE(N1830&amp;"-"&amp;M1830&amp;"-"&amp;L1830)</f>
        <v>34218</v>
      </c>
      <c r="Q1830" s="22">
        <v>19442.349999999999</v>
      </c>
      <c r="R1830" s="23" t="s">
        <v>4701</v>
      </c>
      <c r="S1830" s="23" t="s">
        <v>4698</v>
      </c>
      <c r="T1830" s="23" t="s">
        <v>4704</v>
      </c>
      <c r="U1830" s="23">
        <f>DATEDIF(P1830, DATE(2023, 6, 8), "Y")</f>
        <v>29</v>
      </c>
      <c r="V1830">
        <f>SUM(C1830:K1830)</f>
        <v>25.35</v>
      </c>
    </row>
    <row r="1831" spans="1:22" ht="15.75">
      <c r="A1831" s="28" t="s">
        <v>3660</v>
      </c>
      <c r="B1831" s="28" t="s">
        <v>3661</v>
      </c>
      <c r="C1831" s="23">
        <v>42.9</v>
      </c>
      <c r="D1831" s="23">
        <v>4.87</v>
      </c>
      <c r="E1831" s="23" t="s">
        <v>4683</v>
      </c>
      <c r="F1831" s="23" t="s">
        <v>4682</v>
      </c>
      <c r="G1831" s="23" t="s">
        <v>4682</v>
      </c>
      <c r="H1831" s="23">
        <v>1</v>
      </c>
      <c r="I1831" s="23" t="s">
        <v>4682</v>
      </c>
      <c r="J1831" s="23" t="s">
        <v>4729</v>
      </c>
      <c r="K1831" s="23" t="s">
        <v>4737</v>
      </c>
      <c r="L1831">
        <v>1982</v>
      </c>
      <c r="M1831" s="15" t="s">
        <v>4705</v>
      </c>
      <c r="N1831">
        <v>15</v>
      </c>
      <c r="O1831">
        <v>2</v>
      </c>
      <c r="P1831" s="21">
        <f>DATEVALUE(N1831&amp;"-"&amp;M1831&amp;"-"&amp;L1831)</f>
        <v>30300</v>
      </c>
      <c r="Q1831" s="22">
        <v>19444.27</v>
      </c>
      <c r="R1831" s="23" t="s">
        <v>4701</v>
      </c>
      <c r="S1831" s="23" t="s">
        <v>4701</v>
      </c>
      <c r="T1831" s="23" t="s">
        <v>4699</v>
      </c>
      <c r="U1831" s="23">
        <f>DATEDIF(P1831, DATE(2023, 6, 8), "Y")</f>
        <v>40</v>
      </c>
      <c r="V1831">
        <f>SUM(C1831:K1831)</f>
        <v>48.769999999999996</v>
      </c>
    </row>
    <row r="1832" spans="1:22" ht="15.75">
      <c r="A1832" s="28" t="s">
        <v>3662</v>
      </c>
      <c r="B1832" s="28" t="s">
        <v>3663</v>
      </c>
      <c r="C1832" s="23">
        <v>24.6</v>
      </c>
      <c r="D1832" s="23">
        <v>5.86</v>
      </c>
      <c r="E1832" s="23" t="s">
        <v>4682</v>
      </c>
      <c r="F1832" s="23" t="s">
        <v>4682</v>
      </c>
      <c r="G1832" s="23" t="s">
        <v>4684</v>
      </c>
      <c r="H1832" s="23">
        <v>1</v>
      </c>
      <c r="I1832" s="23" t="s">
        <v>4682</v>
      </c>
      <c r="J1832" s="23" t="s">
        <v>4728</v>
      </c>
      <c r="K1832" s="23" t="s">
        <v>4736</v>
      </c>
      <c r="L1832">
        <v>1987</v>
      </c>
      <c r="M1832" s="15" t="s">
        <v>4700</v>
      </c>
      <c r="N1832">
        <v>30</v>
      </c>
      <c r="O1832">
        <v>4</v>
      </c>
      <c r="P1832" s="21">
        <f>DATEVALUE(N1832&amp;"-"&amp;M1832&amp;"-"&amp;L1832)</f>
        <v>32111</v>
      </c>
      <c r="Q1832" s="22">
        <v>19496.72</v>
      </c>
      <c r="R1832" s="23" t="s">
        <v>4701</v>
      </c>
      <c r="S1832" s="23" t="s">
        <v>4698</v>
      </c>
      <c r="T1832" s="23" t="s">
        <v>4710</v>
      </c>
      <c r="U1832" s="23">
        <f>DATEDIF(P1832, DATE(2023, 6, 8), "Y")</f>
        <v>35</v>
      </c>
      <c r="V1832">
        <f>SUM(C1832:K1832)</f>
        <v>31.46</v>
      </c>
    </row>
    <row r="1833" spans="1:22" ht="15.75">
      <c r="A1833" s="28" t="s">
        <v>3664</v>
      </c>
      <c r="B1833" s="28" t="s">
        <v>3665</v>
      </c>
      <c r="C1833" s="23">
        <v>28.405000000000001</v>
      </c>
      <c r="D1833" s="23">
        <v>4.12</v>
      </c>
      <c r="E1833" s="23" t="s">
        <v>4682</v>
      </c>
      <c r="F1833" s="23" t="s">
        <v>4682</v>
      </c>
      <c r="G1833" s="23" t="s">
        <v>4682</v>
      </c>
      <c r="H1833" s="23">
        <v>1</v>
      </c>
      <c r="I1833" s="23" t="s">
        <v>4682</v>
      </c>
      <c r="J1833" s="23" t="s">
        <v>4730</v>
      </c>
      <c r="K1833" s="23" t="s">
        <v>4737</v>
      </c>
      <c r="L1833">
        <v>1980</v>
      </c>
      <c r="M1833" s="15" t="s">
        <v>4700</v>
      </c>
      <c r="N1833">
        <v>8</v>
      </c>
      <c r="O1833">
        <v>0</v>
      </c>
      <c r="P1833" s="21">
        <f>DATEVALUE(N1833&amp;"-"&amp;M1833&amp;"-"&amp;L1833)</f>
        <v>29533</v>
      </c>
      <c r="Q1833" s="22">
        <v>19515.54</v>
      </c>
      <c r="R1833" s="23" t="s">
        <v>4701</v>
      </c>
      <c r="S1833" s="23" t="s">
        <v>4701</v>
      </c>
      <c r="T1833" s="23" t="s">
        <v>4699</v>
      </c>
      <c r="U1833" s="23">
        <f>DATEDIF(P1833, DATE(2023, 6, 8), "Y")</f>
        <v>42</v>
      </c>
      <c r="V1833">
        <f>SUM(C1833:K1833)</f>
        <v>33.524999999999999</v>
      </c>
    </row>
    <row r="1834" spans="1:22" ht="15.75">
      <c r="A1834" s="28" t="s">
        <v>3666</v>
      </c>
      <c r="B1834" s="28" t="s">
        <v>3667</v>
      </c>
      <c r="C1834" s="23">
        <v>34.674999999999997</v>
      </c>
      <c r="D1834" s="23">
        <v>5.71</v>
      </c>
      <c r="E1834" s="23" t="s">
        <v>4683</v>
      </c>
      <c r="F1834" s="23" t="s">
        <v>4682</v>
      </c>
      <c r="G1834" s="23" t="s">
        <v>4682</v>
      </c>
      <c r="H1834" s="23">
        <v>1</v>
      </c>
      <c r="I1834" s="23" t="s">
        <v>4682</v>
      </c>
      <c r="J1834" s="23" t="s">
        <v>4729</v>
      </c>
      <c r="K1834" s="23" t="s">
        <v>4736</v>
      </c>
      <c r="L1834">
        <v>1992</v>
      </c>
      <c r="M1834" s="15" t="s">
        <v>4706</v>
      </c>
      <c r="N1834">
        <v>19</v>
      </c>
      <c r="O1834">
        <v>1</v>
      </c>
      <c r="P1834" s="21">
        <f>DATEVALUE(N1834&amp;"-"&amp;M1834&amp;"-"&amp;L1834)</f>
        <v>33835</v>
      </c>
      <c r="Q1834" s="22">
        <v>19521.97</v>
      </c>
      <c r="R1834" s="23" t="s">
        <v>4701</v>
      </c>
      <c r="S1834" s="23" t="s">
        <v>4697</v>
      </c>
      <c r="T1834" s="23" t="s">
        <v>4699</v>
      </c>
      <c r="U1834" s="23">
        <f>DATEDIF(P1834, DATE(2023, 6, 8), "Y")</f>
        <v>30</v>
      </c>
      <c r="V1834">
        <f>SUM(C1834:K1834)</f>
        <v>41.384999999999998</v>
      </c>
    </row>
    <row r="1835" spans="1:22" ht="15.75">
      <c r="A1835" s="28" t="s">
        <v>3668</v>
      </c>
      <c r="B1835" s="28" t="s">
        <v>3669</v>
      </c>
      <c r="C1835" s="23">
        <v>18.850000000000001</v>
      </c>
      <c r="D1835" s="23">
        <v>6.03</v>
      </c>
      <c r="E1835" s="23" t="s">
        <v>4682</v>
      </c>
      <c r="F1835" s="23" t="s">
        <v>4682</v>
      </c>
      <c r="G1835" s="23" t="s">
        <v>4682</v>
      </c>
      <c r="H1835" s="23">
        <v>1</v>
      </c>
      <c r="I1835" s="23" t="s">
        <v>4682</v>
      </c>
      <c r="J1835" s="23" t="s">
        <v>4728</v>
      </c>
      <c r="K1835" s="23" t="s">
        <v>4736</v>
      </c>
      <c r="L1835">
        <v>1985</v>
      </c>
      <c r="M1835" s="15" t="s">
        <v>4703</v>
      </c>
      <c r="N1835">
        <v>17</v>
      </c>
      <c r="O1835">
        <v>0</v>
      </c>
      <c r="P1835" s="21">
        <f>DATEVALUE(N1835&amp;"-"&amp;M1835&amp;"-"&amp;L1835)</f>
        <v>31307</v>
      </c>
      <c r="Q1835" s="22">
        <v>19539.240000000002</v>
      </c>
      <c r="R1835" s="23" t="s">
        <v>4701</v>
      </c>
      <c r="S1835" s="23" t="s">
        <v>4701</v>
      </c>
      <c r="T1835" s="23" t="s">
        <v>4699</v>
      </c>
      <c r="U1835" s="23">
        <f>DATEDIF(P1835, DATE(2023, 6, 8), "Y")</f>
        <v>37</v>
      </c>
      <c r="V1835">
        <f>SUM(C1835:K1835)</f>
        <v>25.880000000000003</v>
      </c>
    </row>
    <row r="1836" spans="1:22" ht="15.75">
      <c r="A1836" s="28" t="s">
        <v>3670</v>
      </c>
      <c r="B1836" s="28" t="s">
        <v>3671</v>
      </c>
      <c r="C1836" s="23">
        <v>34.130000000000003</v>
      </c>
      <c r="D1836" s="23">
        <v>5.65</v>
      </c>
      <c r="E1836" s="23" t="s">
        <v>4682</v>
      </c>
      <c r="F1836" s="23" t="s">
        <v>4682</v>
      </c>
      <c r="G1836" s="23" t="s">
        <v>4684</v>
      </c>
      <c r="H1836" s="23">
        <v>1</v>
      </c>
      <c r="I1836" s="23" t="s">
        <v>4682</v>
      </c>
      <c r="J1836" s="23" t="s">
        <v>4729</v>
      </c>
      <c r="K1836" s="23" t="s">
        <v>4737</v>
      </c>
      <c r="L1836">
        <v>1963</v>
      </c>
      <c r="M1836" s="15" t="s">
        <v>4696</v>
      </c>
      <c r="N1836">
        <v>14</v>
      </c>
      <c r="O1836">
        <v>0</v>
      </c>
      <c r="P1836" s="21">
        <f>DATEVALUE(N1836&amp;"-"&amp;M1836&amp;"-"&amp;L1836)</f>
        <v>23206</v>
      </c>
      <c r="Q1836" s="22">
        <v>19551.34</v>
      </c>
      <c r="R1836" s="23" t="s">
        <v>4701</v>
      </c>
      <c r="S1836" s="23" t="s">
        <v>4698</v>
      </c>
      <c r="T1836" s="23" t="s">
        <v>4704</v>
      </c>
      <c r="U1836" s="23">
        <f>DATEDIF(P1836, DATE(2023, 6, 8), "Y")</f>
        <v>59</v>
      </c>
      <c r="V1836">
        <f>SUM(C1836:K1836)</f>
        <v>40.78</v>
      </c>
    </row>
    <row r="1837" spans="1:22" ht="15.75">
      <c r="A1837" s="28" t="s">
        <v>3672</v>
      </c>
      <c r="B1837" s="28" t="s">
        <v>3673</v>
      </c>
      <c r="C1837" s="23">
        <v>17.34</v>
      </c>
      <c r="D1837" s="23">
        <v>5.05</v>
      </c>
      <c r="E1837" s="23" t="s">
        <v>4682</v>
      </c>
      <c r="F1837" s="23" t="s">
        <v>4682</v>
      </c>
      <c r="G1837" s="23" t="s">
        <v>4682</v>
      </c>
      <c r="H1837" s="23">
        <v>0</v>
      </c>
      <c r="I1837" s="23" t="s">
        <v>4682</v>
      </c>
      <c r="J1837" s="23" t="s">
        <v>4731</v>
      </c>
      <c r="K1837" s="23" t="s">
        <v>4737</v>
      </c>
      <c r="L1837">
        <v>1978</v>
      </c>
      <c r="M1837" s="15" t="s">
        <v>4703</v>
      </c>
      <c r="N1837">
        <v>24</v>
      </c>
      <c r="O1837">
        <v>1</v>
      </c>
      <c r="P1837" s="21">
        <f>DATEVALUE(N1837&amp;"-"&amp;M1837&amp;"-"&amp;L1837)</f>
        <v>28757</v>
      </c>
      <c r="Q1837" s="22">
        <v>19594.810000000001</v>
      </c>
      <c r="R1837" s="23" t="s">
        <v>4701</v>
      </c>
      <c r="S1837" s="23" t="s">
        <v>4701</v>
      </c>
      <c r="T1837" s="23" t="s">
        <v>4714</v>
      </c>
      <c r="U1837" s="23">
        <f>DATEDIF(P1837, DATE(2023, 6, 8), "Y")</f>
        <v>44</v>
      </c>
      <c r="V1837">
        <f>SUM(C1837:K1837)</f>
        <v>22.39</v>
      </c>
    </row>
    <row r="1838" spans="1:22" ht="15.75">
      <c r="A1838" s="28" t="s">
        <v>3674</v>
      </c>
      <c r="B1838" s="28" t="s">
        <v>3675</v>
      </c>
      <c r="C1838" s="23">
        <v>17.440000000000001</v>
      </c>
      <c r="D1838" s="23">
        <v>6.26</v>
      </c>
      <c r="E1838" s="23" t="s">
        <v>4682</v>
      </c>
      <c r="F1838" s="23" t="s">
        <v>4682</v>
      </c>
      <c r="G1838" s="23" t="s">
        <v>4682</v>
      </c>
      <c r="H1838" s="23">
        <v>0</v>
      </c>
      <c r="I1838" s="23" t="s">
        <v>4682</v>
      </c>
      <c r="J1838" s="23" t="s">
        <v>4731</v>
      </c>
      <c r="K1838" s="23" t="s">
        <v>4736</v>
      </c>
      <c r="L1838">
        <v>1994</v>
      </c>
      <c r="M1838" s="15" t="s">
        <v>4706</v>
      </c>
      <c r="N1838">
        <v>27</v>
      </c>
      <c r="O1838">
        <v>0</v>
      </c>
      <c r="P1838" s="21">
        <f>DATEVALUE(N1838&amp;"-"&amp;M1838&amp;"-"&amp;L1838)</f>
        <v>34573</v>
      </c>
      <c r="Q1838" s="22">
        <v>19673.34</v>
      </c>
      <c r="R1838" s="23" t="s">
        <v>4701</v>
      </c>
      <c r="S1838" s="23" t="s">
        <v>4697</v>
      </c>
      <c r="T1838" s="23" t="s">
        <v>4704</v>
      </c>
      <c r="U1838" s="23">
        <f>DATEDIF(P1838, DATE(2023, 6, 8), "Y")</f>
        <v>28</v>
      </c>
      <c r="V1838">
        <f>SUM(C1838:K1838)</f>
        <v>23.700000000000003</v>
      </c>
    </row>
    <row r="1839" spans="1:22" ht="15.75">
      <c r="A1839" s="28" t="s">
        <v>3676</v>
      </c>
      <c r="B1839" s="28" t="s">
        <v>3677</v>
      </c>
      <c r="C1839" s="23">
        <v>33.659999999999997</v>
      </c>
      <c r="D1839" s="23">
        <v>4.08</v>
      </c>
      <c r="E1839" s="23" t="s">
        <v>4683</v>
      </c>
      <c r="F1839" s="23" t="s">
        <v>4682</v>
      </c>
      <c r="G1839" s="23" t="s">
        <v>4684</v>
      </c>
      <c r="H1839" s="23">
        <v>1</v>
      </c>
      <c r="I1839" s="23" t="s">
        <v>4682</v>
      </c>
      <c r="J1839" s="23" t="s">
        <v>4729</v>
      </c>
      <c r="K1839" s="23" t="s">
        <v>4737</v>
      </c>
      <c r="L1839">
        <v>1990</v>
      </c>
      <c r="M1839" s="15" t="s">
        <v>4706</v>
      </c>
      <c r="N1839">
        <v>8</v>
      </c>
      <c r="O1839">
        <v>1</v>
      </c>
      <c r="P1839" s="21">
        <f>DATEVALUE(N1839&amp;"-"&amp;M1839&amp;"-"&amp;L1839)</f>
        <v>33093</v>
      </c>
      <c r="Q1839" s="22">
        <v>19719.689999999999</v>
      </c>
      <c r="R1839" s="23" t="s">
        <v>4701</v>
      </c>
      <c r="S1839" s="23" t="s">
        <v>4697</v>
      </c>
      <c r="T1839" s="23" t="s">
        <v>4699</v>
      </c>
      <c r="U1839" s="23">
        <f>DATEDIF(P1839, DATE(2023, 6, 8), "Y")</f>
        <v>32</v>
      </c>
      <c r="V1839">
        <f>SUM(C1839:K1839)</f>
        <v>38.739999999999995</v>
      </c>
    </row>
    <row r="1840" spans="1:22" ht="15.75">
      <c r="A1840" s="28" t="s">
        <v>3678</v>
      </c>
      <c r="B1840" s="28" t="s">
        <v>3679</v>
      </c>
      <c r="C1840" s="23">
        <v>21.375</v>
      </c>
      <c r="D1840" s="23">
        <v>6.19</v>
      </c>
      <c r="E1840" s="23" t="s">
        <v>4683</v>
      </c>
      <c r="F1840" s="23" t="s">
        <v>4682</v>
      </c>
      <c r="G1840" s="23" t="s">
        <v>4682</v>
      </c>
      <c r="H1840" s="23">
        <v>1</v>
      </c>
      <c r="I1840" s="23" t="s">
        <v>4682</v>
      </c>
      <c r="J1840" s="23" t="s">
        <v>4728</v>
      </c>
      <c r="K1840" s="23" t="s">
        <v>4736</v>
      </c>
      <c r="L1840">
        <v>1972</v>
      </c>
      <c r="M1840" s="15" t="s">
        <v>4702</v>
      </c>
      <c r="N1840">
        <v>14</v>
      </c>
      <c r="O1840">
        <v>3</v>
      </c>
      <c r="P1840" s="21">
        <f>DATEVALUE(N1840&amp;"-"&amp;M1840&amp;"-"&amp;L1840)</f>
        <v>26464</v>
      </c>
      <c r="Q1840" s="22">
        <v>19749.38</v>
      </c>
      <c r="R1840" s="23" t="s">
        <v>4701</v>
      </c>
      <c r="S1840" s="23" t="s">
        <v>4698</v>
      </c>
      <c r="T1840" s="23" t="s">
        <v>4699</v>
      </c>
      <c r="U1840" s="23">
        <f>DATEDIF(P1840, DATE(2023, 6, 8), "Y")</f>
        <v>50</v>
      </c>
      <c r="V1840">
        <f>SUM(C1840:K1840)</f>
        <v>28.565000000000001</v>
      </c>
    </row>
    <row r="1841" spans="1:22" ht="15.75">
      <c r="A1841" s="28" t="s">
        <v>3680</v>
      </c>
      <c r="B1841" s="28" t="s">
        <v>3681</v>
      </c>
      <c r="C1841" s="23">
        <v>27.14</v>
      </c>
      <c r="D1841" s="23">
        <v>6.01</v>
      </c>
      <c r="E1841" s="23" t="s">
        <v>4682</v>
      </c>
      <c r="F1841" s="23" t="s">
        <v>4682</v>
      </c>
      <c r="G1841" s="23" t="s">
        <v>4682</v>
      </c>
      <c r="H1841" s="23">
        <v>1</v>
      </c>
      <c r="I1841" s="23" t="s">
        <v>4682</v>
      </c>
      <c r="J1841" s="23" t="s">
        <v>4730</v>
      </c>
      <c r="K1841" s="23" t="s">
        <v>4736</v>
      </c>
      <c r="L1841">
        <v>1979</v>
      </c>
      <c r="M1841" s="15" t="s">
        <v>4707</v>
      </c>
      <c r="N1841">
        <v>30</v>
      </c>
      <c r="O1841">
        <v>2</v>
      </c>
      <c r="P1841" s="21">
        <f>DATEVALUE(N1841&amp;"-"&amp;M1841&amp;"-"&amp;L1841)</f>
        <v>29158</v>
      </c>
      <c r="Q1841" s="22">
        <v>19798.05</v>
      </c>
      <c r="R1841" s="23" t="s">
        <v>4701</v>
      </c>
      <c r="S1841" s="23" t="s">
        <v>4701</v>
      </c>
      <c r="T1841" s="23" t="s">
        <v>4714</v>
      </c>
      <c r="U1841" s="23">
        <f>DATEDIF(P1841, DATE(2023, 6, 8), "Y")</f>
        <v>43</v>
      </c>
      <c r="V1841">
        <f>SUM(C1841:K1841)</f>
        <v>34.15</v>
      </c>
    </row>
    <row r="1842" spans="1:22" ht="15.75">
      <c r="A1842" s="28" t="s">
        <v>3682</v>
      </c>
      <c r="B1842" s="28" t="s">
        <v>3683</v>
      </c>
      <c r="C1842" s="23">
        <v>35.78</v>
      </c>
      <c r="D1842" s="23">
        <v>6.07</v>
      </c>
      <c r="E1842" s="23" t="s">
        <v>4682</v>
      </c>
      <c r="F1842" s="23" t="s">
        <v>4683</v>
      </c>
      <c r="G1842" s="23" t="s">
        <v>4682</v>
      </c>
      <c r="H1842" s="23">
        <v>1</v>
      </c>
      <c r="I1842" s="23" t="s">
        <v>4682</v>
      </c>
      <c r="J1842" s="23" t="s">
        <v>4729</v>
      </c>
      <c r="K1842" s="23" t="s">
        <v>4736</v>
      </c>
      <c r="L1842">
        <v>1997</v>
      </c>
      <c r="M1842" s="15" t="s">
        <v>4707</v>
      </c>
      <c r="N1842">
        <v>18</v>
      </c>
      <c r="O1842">
        <v>3</v>
      </c>
      <c r="P1842" s="21">
        <f>DATEVALUE(N1842&amp;"-"&amp;M1842&amp;"-"&amp;L1842)</f>
        <v>35721</v>
      </c>
      <c r="Q1842" s="22">
        <v>19933.46</v>
      </c>
      <c r="R1842" s="23" t="s">
        <v>4701</v>
      </c>
      <c r="S1842" s="23" t="s">
        <v>4698</v>
      </c>
      <c r="T1842" s="23" t="s">
        <v>4708</v>
      </c>
      <c r="U1842" s="23">
        <f>DATEDIF(P1842, DATE(2023, 6, 8), "Y")</f>
        <v>25</v>
      </c>
      <c r="V1842">
        <f>SUM(C1842:K1842)</f>
        <v>42.85</v>
      </c>
    </row>
    <row r="1843" spans="1:22" ht="15.75">
      <c r="A1843" s="28" t="s">
        <v>3684</v>
      </c>
      <c r="B1843" s="28" t="s">
        <v>3685</v>
      </c>
      <c r="C1843" s="23">
        <v>34.96</v>
      </c>
      <c r="D1843" s="23">
        <v>5.63</v>
      </c>
      <c r="E1843" s="23" t="s">
        <v>4682</v>
      </c>
      <c r="F1843" s="23" t="s">
        <v>4682</v>
      </c>
      <c r="G1843" s="23" t="s">
        <v>4682</v>
      </c>
      <c r="H1843" s="23">
        <v>0</v>
      </c>
      <c r="I1843" s="23" t="s">
        <v>4682</v>
      </c>
      <c r="J1843" s="23" t="s">
        <v>4729</v>
      </c>
      <c r="K1843" s="23" t="s">
        <v>4737</v>
      </c>
      <c r="L1843">
        <v>1980</v>
      </c>
      <c r="M1843" s="15" t="s">
        <v>4707</v>
      </c>
      <c r="N1843">
        <v>9</v>
      </c>
      <c r="O1843">
        <v>0</v>
      </c>
      <c r="P1843" s="21">
        <f>DATEVALUE(N1843&amp;"-"&amp;M1843&amp;"-"&amp;L1843)</f>
        <v>29503</v>
      </c>
      <c r="Q1843" s="22">
        <v>19964.75</v>
      </c>
      <c r="R1843" s="23" t="s">
        <v>4701</v>
      </c>
      <c r="S1843" s="23" t="s">
        <v>4697</v>
      </c>
      <c r="T1843" s="23" t="s">
        <v>4714</v>
      </c>
      <c r="U1843" s="23">
        <f>DATEDIF(P1843, DATE(2023, 6, 8), "Y")</f>
        <v>42</v>
      </c>
      <c r="V1843">
        <f>SUM(C1843:K1843)</f>
        <v>40.590000000000003</v>
      </c>
    </row>
    <row r="1844" spans="1:22" ht="15.75">
      <c r="A1844" s="28" t="s">
        <v>3686</v>
      </c>
      <c r="B1844" s="28" t="s">
        <v>3687</v>
      </c>
      <c r="C1844" s="23">
        <v>38.39</v>
      </c>
      <c r="D1844" s="23">
        <v>6.05</v>
      </c>
      <c r="E1844" s="23" t="s">
        <v>4682</v>
      </c>
      <c r="F1844" s="23" t="s">
        <v>4682</v>
      </c>
      <c r="G1844" s="23" t="s">
        <v>4682</v>
      </c>
      <c r="H1844" s="23">
        <v>0</v>
      </c>
      <c r="I1844" s="23" t="s">
        <v>4682</v>
      </c>
      <c r="J1844" s="23" t="s">
        <v>4729</v>
      </c>
      <c r="K1844" s="23" t="s">
        <v>4736</v>
      </c>
      <c r="L1844">
        <v>1966</v>
      </c>
      <c r="M1844" s="15" t="s">
        <v>4706</v>
      </c>
      <c r="N1844">
        <v>10</v>
      </c>
      <c r="O1844">
        <v>0</v>
      </c>
      <c r="P1844" s="21">
        <f>DATEVALUE(N1844&amp;"-"&amp;M1844&amp;"-"&amp;L1844)</f>
        <v>24329</v>
      </c>
      <c r="Q1844" s="22">
        <v>19995.29</v>
      </c>
      <c r="R1844" s="23" t="s">
        <v>4701</v>
      </c>
      <c r="S1844" s="23" t="s">
        <v>4698</v>
      </c>
      <c r="T1844" s="23" t="s">
        <v>4720</v>
      </c>
      <c r="U1844" s="23">
        <f>DATEDIF(P1844, DATE(2023, 6, 8), "Y")</f>
        <v>56</v>
      </c>
      <c r="V1844">
        <f>SUM(C1844:K1844)</f>
        <v>44.44</v>
      </c>
    </row>
    <row r="1845" spans="1:22" ht="15.75">
      <c r="A1845" s="28" t="s">
        <v>3688</v>
      </c>
      <c r="B1845" s="28" t="s">
        <v>3689</v>
      </c>
      <c r="C1845" s="23">
        <v>33.82</v>
      </c>
      <c r="D1845" s="23">
        <v>4.6500000000000004</v>
      </c>
      <c r="E1845" s="23" t="s">
        <v>4682</v>
      </c>
      <c r="F1845" s="23" t="s">
        <v>4682</v>
      </c>
      <c r="G1845" s="23" t="s">
        <v>4682</v>
      </c>
      <c r="H1845" s="23">
        <v>0</v>
      </c>
      <c r="I1845" s="23" t="s">
        <v>4682</v>
      </c>
      <c r="J1845" s="23" t="s">
        <v>4729</v>
      </c>
      <c r="K1845" s="23" t="s">
        <v>4737</v>
      </c>
      <c r="L1845">
        <v>1988</v>
      </c>
      <c r="M1845" s="15" t="s">
        <v>4696</v>
      </c>
      <c r="N1845">
        <v>25</v>
      </c>
      <c r="O1845">
        <v>1</v>
      </c>
      <c r="P1845" s="21">
        <f>DATEVALUE(N1845&amp;"-"&amp;M1845&amp;"-"&amp;L1845)</f>
        <v>32349</v>
      </c>
      <c r="Q1845" s="22">
        <v>20009.63</v>
      </c>
      <c r="R1845" s="23" t="s">
        <v>4697</v>
      </c>
      <c r="S1845" s="23" t="s">
        <v>4701</v>
      </c>
      <c r="T1845" s="23" t="s">
        <v>4704</v>
      </c>
      <c r="U1845" s="23">
        <f>DATEDIF(P1845, DATE(2023, 6, 8), "Y")</f>
        <v>34</v>
      </c>
      <c r="V1845">
        <f>SUM(C1845:K1845)</f>
        <v>38.47</v>
      </c>
    </row>
    <row r="1846" spans="1:22" ht="15.75">
      <c r="A1846" s="28" t="s">
        <v>3690</v>
      </c>
      <c r="B1846" s="28" t="s">
        <v>3691</v>
      </c>
      <c r="C1846" s="23">
        <v>27.835000000000001</v>
      </c>
      <c r="D1846" s="23">
        <v>5.37</v>
      </c>
      <c r="E1846" s="23" t="s">
        <v>4682</v>
      </c>
      <c r="F1846" s="23" t="s">
        <v>4682</v>
      </c>
      <c r="G1846" s="23" t="s">
        <v>4682</v>
      </c>
      <c r="H1846" s="23">
        <v>0</v>
      </c>
      <c r="I1846" s="23" t="s">
        <v>4682</v>
      </c>
      <c r="J1846" s="23" t="s">
        <v>4730</v>
      </c>
      <c r="K1846" s="23" t="s">
        <v>4737</v>
      </c>
      <c r="L1846">
        <v>1983</v>
      </c>
      <c r="M1846" s="15" t="s">
        <v>4707</v>
      </c>
      <c r="N1846">
        <v>6</v>
      </c>
      <c r="O1846">
        <v>0</v>
      </c>
      <c r="P1846" s="21">
        <f>DATEVALUE(N1846&amp;"-"&amp;M1846&amp;"-"&amp;L1846)</f>
        <v>30595</v>
      </c>
      <c r="Q1846" s="22">
        <v>20149.32</v>
      </c>
      <c r="R1846" s="23" t="s">
        <v>4697</v>
      </c>
      <c r="S1846" s="23" t="s">
        <v>4701</v>
      </c>
      <c r="T1846" s="23" t="s">
        <v>4711</v>
      </c>
      <c r="U1846" s="23">
        <f>DATEDIF(P1846, DATE(2023, 6, 8), "Y")</f>
        <v>39</v>
      </c>
      <c r="V1846">
        <f>SUM(C1846:K1846)</f>
        <v>33.204999999999998</v>
      </c>
    </row>
    <row r="1847" spans="1:22" ht="15.75">
      <c r="A1847" s="28" t="s">
        <v>3692</v>
      </c>
      <c r="B1847" s="28" t="s">
        <v>3693</v>
      </c>
      <c r="C1847" s="23">
        <v>33</v>
      </c>
      <c r="D1847" s="23">
        <v>5.39</v>
      </c>
      <c r="E1847" s="23" t="s">
        <v>4682</v>
      </c>
      <c r="F1847" s="23" t="s">
        <v>4682</v>
      </c>
      <c r="G1847" s="23" t="s">
        <v>4682</v>
      </c>
      <c r="H1847" s="23">
        <v>0</v>
      </c>
      <c r="I1847" s="23" t="s">
        <v>4682</v>
      </c>
      <c r="J1847" s="23" t="s">
        <v>4729</v>
      </c>
      <c r="K1847" s="23" t="s">
        <v>4737</v>
      </c>
      <c r="L1847">
        <v>2002</v>
      </c>
      <c r="M1847" s="15" t="s">
        <v>4696</v>
      </c>
      <c r="N1847">
        <v>9</v>
      </c>
      <c r="O1847">
        <v>0</v>
      </c>
      <c r="P1847" s="21">
        <f>DATEVALUE(N1847&amp;"-"&amp;M1847&amp;"-"&amp;L1847)</f>
        <v>37446</v>
      </c>
      <c r="Q1847" s="22">
        <v>20167.34</v>
      </c>
      <c r="R1847" s="23" t="s">
        <v>4698</v>
      </c>
      <c r="S1847" s="23" t="s">
        <v>4698</v>
      </c>
      <c r="T1847" s="23" t="s">
        <v>4708</v>
      </c>
      <c r="U1847" s="23">
        <f>DATEDIF(P1847, DATE(2023, 6, 8), "Y")</f>
        <v>20</v>
      </c>
      <c r="V1847">
        <f>SUM(C1847:K1847)</f>
        <v>38.39</v>
      </c>
    </row>
    <row r="1848" spans="1:22" ht="15.75">
      <c r="A1848" s="28" t="s">
        <v>3694</v>
      </c>
      <c r="B1848" s="28" t="s">
        <v>3695</v>
      </c>
      <c r="C1848" s="23">
        <v>26.885000000000002</v>
      </c>
      <c r="D1848" s="23">
        <v>5.86</v>
      </c>
      <c r="E1848" s="23" t="s">
        <v>4682</v>
      </c>
      <c r="F1848" s="23" t="s">
        <v>4682</v>
      </c>
      <c r="G1848" s="23" t="s">
        <v>4682</v>
      </c>
      <c r="H1848" s="23">
        <v>0</v>
      </c>
      <c r="I1848" s="23" t="s">
        <v>4682</v>
      </c>
      <c r="J1848" s="23" t="s">
        <v>4730</v>
      </c>
      <c r="K1848" s="23" t="s">
        <v>4736</v>
      </c>
      <c r="L1848">
        <v>1994</v>
      </c>
      <c r="M1848" s="15" t="s">
        <v>4702</v>
      </c>
      <c r="N1848">
        <v>8</v>
      </c>
      <c r="O1848">
        <v>2</v>
      </c>
      <c r="P1848" s="21">
        <f>DATEVALUE(N1848&amp;"-"&amp;M1848&amp;"-"&amp;L1848)</f>
        <v>34493</v>
      </c>
      <c r="Q1848" s="22">
        <v>20177.669999999998</v>
      </c>
      <c r="R1848" s="23" t="s">
        <v>4697</v>
      </c>
      <c r="S1848" s="23" t="s">
        <v>4701</v>
      </c>
      <c r="T1848" s="23" t="s">
        <v>4708</v>
      </c>
      <c r="U1848" s="23">
        <f>DATEDIF(P1848, DATE(2023, 6, 8), "Y")</f>
        <v>29</v>
      </c>
      <c r="V1848">
        <f>SUM(C1848:K1848)</f>
        <v>32.745000000000005</v>
      </c>
    </row>
    <row r="1849" spans="1:22" ht="15.75">
      <c r="A1849" s="28" t="s">
        <v>3696</v>
      </c>
      <c r="B1849" s="28" t="s">
        <v>3697</v>
      </c>
      <c r="C1849" s="23">
        <v>29.26</v>
      </c>
      <c r="D1849" s="23">
        <v>4.4400000000000004</v>
      </c>
      <c r="E1849" s="23" t="s">
        <v>4682</v>
      </c>
      <c r="F1849" s="23" t="s">
        <v>4682</v>
      </c>
      <c r="G1849" s="23" t="s">
        <v>4682</v>
      </c>
      <c r="H1849" s="23">
        <v>0</v>
      </c>
      <c r="I1849" s="23" t="s">
        <v>4682</v>
      </c>
      <c r="J1849" s="23" t="s">
        <v>4730</v>
      </c>
      <c r="K1849" s="23" t="s">
        <v>4737</v>
      </c>
      <c r="L1849">
        <v>1987</v>
      </c>
      <c r="M1849" s="15" t="s">
        <v>4707</v>
      </c>
      <c r="N1849">
        <v>17</v>
      </c>
      <c r="O1849">
        <v>0</v>
      </c>
      <c r="P1849" s="21">
        <f>DATEVALUE(N1849&amp;"-"&amp;M1849&amp;"-"&amp;L1849)</f>
        <v>32067</v>
      </c>
      <c r="Q1849" s="22">
        <v>20234.849999999999</v>
      </c>
      <c r="R1849" s="23" t="s">
        <v>4697</v>
      </c>
      <c r="S1849" s="23" t="s">
        <v>4698</v>
      </c>
      <c r="T1849" s="23" t="s">
        <v>4704</v>
      </c>
      <c r="U1849" s="23">
        <f>DATEDIF(P1849, DATE(2023, 6, 8), "Y")</f>
        <v>35</v>
      </c>
      <c r="V1849">
        <f>SUM(C1849:K1849)</f>
        <v>33.700000000000003</v>
      </c>
    </row>
    <row r="1850" spans="1:22" ht="15.75">
      <c r="A1850" s="28" t="s">
        <v>3698</v>
      </c>
      <c r="B1850" s="28" t="s">
        <v>3699</v>
      </c>
      <c r="C1850" s="23">
        <v>26.98</v>
      </c>
      <c r="D1850" s="23">
        <v>4.41</v>
      </c>
      <c r="E1850" s="23" t="s">
        <v>4682</v>
      </c>
      <c r="F1850" s="23" t="s">
        <v>4682</v>
      </c>
      <c r="G1850" s="23" t="s">
        <v>4682</v>
      </c>
      <c r="H1850" s="23">
        <v>0</v>
      </c>
      <c r="I1850" s="23" t="s">
        <v>4682</v>
      </c>
      <c r="J1850" s="23" t="s">
        <v>4730</v>
      </c>
      <c r="K1850" s="23" t="s">
        <v>4737</v>
      </c>
      <c r="L1850">
        <v>1966</v>
      </c>
      <c r="M1850" s="15" t="s">
        <v>4706</v>
      </c>
      <c r="N1850">
        <v>22</v>
      </c>
      <c r="O1850">
        <v>0</v>
      </c>
      <c r="P1850" s="21">
        <f>DATEVALUE(N1850&amp;"-"&amp;M1850&amp;"-"&amp;L1850)</f>
        <v>24341</v>
      </c>
      <c r="Q1850" s="22">
        <v>20253.84</v>
      </c>
      <c r="R1850" s="23" t="s">
        <v>4697</v>
      </c>
      <c r="S1850" s="23" t="s">
        <v>4698</v>
      </c>
      <c r="T1850" s="23" t="s">
        <v>4704</v>
      </c>
      <c r="U1850" s="23">
        <f>DATEDIF(P1850, DATE(2023, 6, 8), "Y")</f>
        <v>56</v>
      </c>
      <c r="V1850">
        <f>SUM(C1850:K1850)</f>
        <v>31.39</v>
      </c>
    </row>
    <row r="1851" spans="1:22" ht="15.75">
      <c r="A1851" s="28" t="s">
        <v>3700</v>
      </c>
      <c r="B1851" s="28" t="s">
        <v>3701</v>
      </c>
      <c r="C1851" s="23">
        <v>32.11</v>
      </c>
      <c r="D1851" s="23">
        <v>5.19</v>
      </c>
      <c r="E1851" s="23" t="s">
        <v>4682</v>
      </c>
      <c r="F1851" s="23" t="s">
        <v>4682</v>
      </c>
      <c r="G1851" s="23" t="s">
        <v>4684</v>
      </c>
      <c r="H1851" s="23">
        <v>1</v>
      </c>
      <c r="I1851" s="23" t="s">
        <v>4682</v>
      </c>
      <c r="J1851" s="23" t="s">
        <v>4729</v>
      </c>
      <c r="K1851" s="23" t="s">
        <v>4737</v>
      </c>
      <c r="L1851">
        <v>1993</v>
      </c>
      <c r="M1851" s="15" t="s">
        <v>4703</v>
      </c>
      <c r="N1851">
        <v>7</v>
      </c>
      <c r="O1851">
        <v>1</v>
      </c>
      <c r="P1851" s="21">
        <f>DATEVALUE(N1851&amp;"-"&amp;M1851&amp;"-"&amp;L1851)</f>
        <v>34219</v>
      </c>
      <c r="Q1851" s="22">
        <v>20277.810000000001</v>
      </c>
      <c r="R1851" s="23" t="s">
        <v>4698</v>
      </c>
      <c r="S1851" s="23" t="s">
        <v>4698</v>
      </c>
      <c r="T1851" s="23" t="s">
        <v>4711</v>
      </c>
      <c r="U1851" s="23">
        <f>DATEDIF(P1851, DATE(2023, 6, 8), "Y")</f>
        <v>29</v>
      </c>
      <c r="V1851">
        <f>SUM(C1851:K1851)</f>
        <v>38.299999999999997</v>
      </c>
    </row>
    <row r="1852" spans="1:22" ht="15.75">
      <c r="A1852" s="28" t="s">
        <v>3702</v>
      </c>
      <c r="B1852" s="28" t="s">
        <v>3703</v>
      </c>
      <c r="C1852" s="23">
        <v>31.73</v>
      </c>
      <c r="D1852" s="23">
        <v>5.16</v>
      </c>
      <c r="E1852" s="23" t="s">
        <v>4682</v>
      </c>
      <c r="F1852" s="23" t="s">
        <v>4682</v>
      </c>
      <c r="G1852" s="23" t="s">
        <v>4684</v>
      </c>
      <c r="H1852" s="23">
        <v>1</v>
      </c>
      <c r="I1852" s="23" t="s">
        <v>4682</v>
      </c>
      <c r="J1852" s="23" t="s">
        <v>4729</v>
      </c>
      <c r="K1852" s="23" t="s">
        <v>4737</v>
      </c>
      <c r="L1852">
        <v>1985</v>
      </c>
      <c r="M1852" s="15" t="s">
        <v>4703</v>
      </c>
      <c r="N1852">
        <v>17</v>
      </c>
      <c r="O1852">
        <v>1</v>
      </c>
      <c r="P1852" s="21">
        <f>DATEVALUE(N1852&amp;"-"&amp;M1852&amp;"-"&amp;L1852)</f>
        <v>31307</v>
      </c>
      <c r="Q1852" s="22">
        <v>20296.86</v>
      </c>
      <c r="R1852" s="23" t="s">
        <v>4698</v>
      </c>
      <c r="S1852" s="23" t="s">
        <v>4701</v>
      </c>
      <c r="T1852" s="23" t="s">
        <v>4714</v>
      </c>
      <c r="U1852" s="23">
        <f>DATEDIF(P1852, DATE(2023, 6, 8), "Y")</f>
        <v>37</v>
      </c>
      <c r="V1852">
        <f>SUM(C1852:K1852)</f>
        <v>37.89</v>
      </c>
    </row>
    <row r="1853" spans="1:22" ht="15.75">
      <c r="A1853" s="28" t="s">
        <v>3704</v>
      </c>
      <c r="B1853" s="28" t="s">
        <v>3705</v>
      </c>
      <c r="C1853" s="23">
        <v>22.515000000000001</v>
      </c>
      <c r="D1853" s="23">
        <v>4.24</v>
      </c>
      <c r="E1853" s="23" t="s">
        <v>4682</v>
      </c>
      <c r="F1853" s="23" t="s">
        <v>4682</v>
      </c>
      <c r="G1853" s="23" t="s">
        <v>4682</v>
      </c>
      <c r="H1853" s="23">
        <v>0</v>
      </c>
      <c r="I1853" s="23" t="s">
        <v>4682</v>
      </c>
      <c r="J1853" s="23" t="s">
        <v>4728</v>
      </c>
      <c r="K1853" s="23" t="s">
        <v>4737</v>
      </c>
      <c r="L1853">
        <v>1962</v>
      </c>
      <c r="M1853" s="15" t="s">
        <v>4696</v>
      </c>
      <c r="N1853">
        <v>2</v>
      </c>
      <c r="O1853">
        <v>0</v>
      </c>
      <c r="P1853" s="21">
        <f>DATEVALUE(N1853&amp;"-"&amp;M1853&amp;"-"&amp;L1853)</f>
        <v>22829</v>
      </c>
      <c r="Q1853" s="22">
        <v>20354.5</v>
      </c>
      <c r="R1853" s="23" t="s">
        <v>4698</v>
      </c>
      <c r="S1853" s="23" t="s">
        <v>4697</v>
      </c>
      <c r="T1853" s="23" t="s">
        <v>4720</v>
      </c>
      <c r="U1853" s="23">
        <f>DATEDIF(P1853, DATE(2023, 6, 8), "Y")</f>
        <v>60</v>
      </c>
      <c r="V1853">
        <f>SUM(C1853:K1853)</f>
        <v>26.755000000000003</v>
      </c>
    </row>
    <row r="1854" spans="1:22" ht="15.75">
      <c r="A1854" s="28" t="s">
        <v>3706</v>
      </c>
      <c r="B1854" s="28" t="s">
        <v>3707</v>
      </c>
      <c r="C1854" s="23">
        <v>25.9</v>
      </c>
      <c r="D1854" s="23">
        <v>5.45</v>
      </c>
      <c r="E1854" s="23" t="s">
        <v>4682</v>
      </c>
      <c r="F1854" s="23" t="s">
        <v>4682</v>
      </c>
      <c r="G1854" s="23" t="s">
        <v>4682</v>
      </c>
      <c r="H1854" s="23">
        <v>1</v>
      </c>
      <c r="I1854" s="23" t="s">
        <v>4682</v>
      </c>
      <c r="J1854" s="23" t="s">
        <v>4730</v>
      </c>
      <c r="K1854" s="23" t="s">
        <v>4737</v>
      </c>
      <c r="L1854">
        <v>1985</v>
      </c>
      <c r="M1854" s="15" t="s">
        <v>4696</v>
      </c>
      <c r="N1854">
        <v>12</v>
      </c>
      <c r="O1854">
        <v>0</v>
      </c>
      <c r="P1854" s="21">
        <f>DATEVALUE(N1854&amp;"-"&amp;M1854&amp;"-"&amp;L1854)</f>
        <v>31240</v>
      </c>
      <c r="Q1854" s="22">
        <v>20420.599999999999</v>
      </c>
      <c r="R1854" s="23" t="s">
        <v>4698</v>
      </c>
      <c r="S1854" s="23" t="s">
        <v>4697</v>
      </c>
      <c r="T1854" s="23" t="s">
        <v>4708</v>
      </c>
      <c r="U1854" s="23">
        <f>DATEDIF(P1854, DATE(2023, 6, 8), "Y")</f>
        <v>37</v>
      </c>
      <c r="V1854">
        <f>SUM(C1854:K1854)</f>
        <v>32.349999999999994</v>
      </c>
    </row>
    <row r="1855" spans="1:22" ht="15.75">
      <c r="A1855" s="28" t="s">
        <v>3708</v>
      </c>
      <c r="B1855" s="28" t="s">
        <v>3709</v>
      </c>
      <c r="C1855" s="23">
        <v>27.72</v>
      </c>
      <c r="D1855" s="23">
        <v>5.03</v>
      </c>
      <c r="E1855" s="23" t="s">
        <v>4683</v>
      </c>
      <c r="F1855" s="23" t="s">
        <v>4682</v>
      </c>
      <c r="G1855" s="23" t="s">
        <v>4682</v>
      </c>
      <c r="H1855" s="23">
        <v>1</v>
      </c>
      <c r="I1855" s="23" t="s">
        <v>4682</v>
      </c>
      <c r="J1855" s="23" t="s">
        <v>4730</v>
      </c>
      <c r="K1855" s="23" t="s">
        <v>4737</v>
      </c>
      <c r="L1855">
        <v>1962</v>
      </c>
      <c r="M1855" s="15" t="s">
        <v>4707</v>
      </c>
      <c r="N1855">
        <v>18</v>
      </c>
      <c r="O1855">
        <v>0</v>
      </c>
      <c r="P1855" s="21">
        <f>DATEVALUE(N1855&amp;"-"&amp;M1855&amp;"-"&amp;L1855)</f>
        <v>22937</v>
      </c>
      <c r="Q1855" s="22">
        <v>20446.849999999999</v>
      </c>
      <c r="R1855" s="23" t="s">
        <v>4697</v>
      </c>
      <c r="S1855" s="23" t="s">
        <v>4701</v>
      </c>
      <c r="T1855" s="23" t="s">
        <v>4704</v>
      </c>
      <c r="U1855" s="23">
        <f>DATEDIF(P1855, DATE(2023, 6, 8), "Y")</f>
        <v>60</v>
      </c>
      <c r="V1855">
        <f>SUM(C1855:K1855)</f>
        <v>33.75</v>
      </c>
    </row>
    <row r="1856" spans="1:22" ht="15.75">
      <c r="A1856" s="28" t="s">
        <v>3710</v>
      </c>
      <c r="B1856" s="28" t="s">
        <v>3711</v>
      </c>
      <c r="C1856" s="23">
        <v>31.5</v>
      </c>
      <c r="D1856" s="23">
        <v>9.6199999999999992</v>
      </c>
      <c r="E1856" s="23" t="s">
        <v>4683</v>
      </c>
      <c r="F1856" s="23" t="s">
        <v>4682</v>
      </c>
      <c r="G1856" s="23" t="s">
        <v>4682</v>
      </c>
      <c r="H1856" s="23">
        <v>1</v>
      </c>
      <c r="I1856" s="23" t="s">
        <v>4682</v>
      </c>
      <c r="J1856" s="23" t="s">
        <v>4729</v>
      </c>
      <c r="K1856" s="23" t="s">
        <v>4735</v>
      </c>
      <c r="L1856">
        <v>1969</v>
      </c>
      <c r="M1856" s="15" t="s">
        <v>4707</v>
      </c>
      <c r="N1856">
        <v>13</v>
      </c>
      <c r="O1856">
        <v>3</v>
      </c>
      <c r="P1856" s="21">
        <f>DATEVALUE(N1856&amp;"-"&amp;M1856&amp;"-"&amp;L1856)</f>
        <v>25489</v>
      </c>
      <c r="Q1856" s="22">
        <v>20463</v>
      </c>
      <c r="R1856" s="23" t="s">
        <v>4697</v>
      </c>
      <c r="S1856" s="23" t="s">
        <v>4697</v>
      </c>
      <c r="T1856" s="23" t="s">
        <v>4699</v>
      </c>
      <c r="U1856" s="23">
        <f>DATEDIF(P1856, DATE(2023, 6, 8), "Y")</f>
        <v>53</v>
      </c>
      <c r="V1856">
        <f>SUM(C1856:K1856)</f>
        <v>42.12</v>
      </c>
    </row>
    <row r="1857" spans="1:22" ht="15.75">
      <c r="A1857" s="28" t="s">
        <v>3712</v>
      </c>
      <c r="B1857" s="28" t="s">
        <v>3713</v>
      </c>
      <c r="C1857" s="23">
        <v>29.7</v>
      </c>
      <c r="D1857" s="23">
        <v>6.77</v>
      </c>
      <c r="E1857" s="23" t="s">
        <v>4683</v>
      </c>
      <c r="F1857" s="23" t="s">
        <v>4682</v>
      </c>
      <c r="G1857" s="23" t="s">
        <v>4682</v>
      </c>
      <c r="H1857" s="23">
        <v>1</v>
      </c>
      <c r="I1857" s="23" t="s">
        <v>4682</v>
      </c>
      <c r="J1857" s="23" t="s">
        <v>4730</v>
      </c>
      <c r="K1857" s="23" t="s">
        <v>4735</v>
      </c>
      <c r="L1857">
        <v>1966</v>
      </c>
      <c r="M1857" s="15" t="s">
        <v>4696</v>
      </c>
      <c r="N1857">
        <v>9</v>
      </c>
      <c r="O1857">
        <v>0</v>
      </c>
      <c r="P1857" s="21">
        <f>DATEVALUE(N1857&amp;"-"&amp;M1857&amp;"-"&amp;L1857)</f>
        <v>24297</v>
      </c>
      <c r="Q1857" s="22">
        <v>20568.32</v>
      </c>
      <c r="R1857" s="23" t="s">
        <v>4698</v>
      </c>
      <c r="S1857" s="23" t="s">
        <v>4697</v>
      </c>
      <c r="T1857" s="23" t="s">
        <v>4704</v>
      </c>
      <c r="U1857" s="23">
        <f>DATEDIF(P1857, DATE(2023, 6, 8), "Y")</f>
        <v>56</v>
      </c>
      <c r="V1857">
        <f>SUM(C1857:K1857)</f>
        <v>37.47</v>
      </c>
    </row>
    <row r="1858" spans="1:22" ht="15.75">
      <c r="A1858" s="28" t="s">
        <v>3714</v>
      </c>
      <c r="B1858" s="28" t="s">
        <v>3715</v>
      </c>
      <c r="C1858" s="23">
        <v>21.26</v>
      </c>
      <c r="D1858" s="23">
        <v>5.36</v>
      </c>
      <c r="E1858" s="23" t="s">
        <v>4683</v>
      </c>
      <c r="F1858" s="23" t="s">
        <v>4682</v>
      </c>
      <c r="G1858" s="23" t="s">
        <v>4682</v>
      </c>
      <c r="H1858" s="23">
        <v>1</v>
      </c>
      <c r="I1858" s="23" t="s">
        <v>4682</v>
      </c>
      <c r="J1858" s="23" t="s">
        <v>4728</v>
      </c>
      <c r="K1858" s="23" t="s">
        <v>4737</v>
      </c>
      <c r="L1858">
        <v>1967</v>
      </c>
      <c r="M1858" s="15" t="s">
        <v>4705</v>
      </c>
      <c r="N1858">
        <v>17</v>
      </c>
      <c r="O1858">
        <v>0</v>
      </c>
      <c r="P1858" s="21">
        <f>DATEVALUE(N1858&amp;"-"&amp;M1858&amp;"-"&amp;L1858)</f>
        <v>24823</v>
      </c>
      <c r="Q1858" s="22">
        <v>20630.28</v>
      </c>
      <c r="R1858" s="23" t="s">
        <v>4697</v>
      </c>
      <c r="S1858" s="23" t="s">
        <v>4698</v>
      </c>
      <c r="T1858" s="23" t="s">
        <v>4708</v>
      </c>
      <c r="U1858" s="23">
        <f>DATEDIF(P1858, DATE(2023, 6, 8), "Y")</f>
        <v>55</v>
      </c>
      <c r="V1858">
        <f>SUM(C1858:K1858)</f>
        <v>27.62</v>
      </c>
    </row>
    <row r="1859" spans="1:22" ht="15.75">
      <c r="A1859" s="28" t="s">
        <v>3716</v>
      </c>
      <c r="B1859" s="28" t="s">
        <v>3717</v>
      </c>
      <c r="C1859" s="23">
        <v>17.09</v>
      </c>
      <c r="D1859" s="23">
        <v>5.69</v>
      </c>
      <c r="E1859" s="23" t="s">
        <v>4682</v>
      </c>
      <c r="F1859" s="23" t="s">
        <v>4682</v>
      </c>
      <c r="G1859" s="23" t="s">
        <v>4682</v>
      </c>
      <c r="H1859" s="23">
        <v>0</v>
      </c>
      <c r="I1859" s="23" t="s">
        <v>4682</v>
      </c>
      <c r="J1859" s="23" t="s">
        <v>4731</v>
      </c>
      <c r="K1859" s="23" t="s">
        <v>4737</v>
      </c>
      <c r="L1859">
        <v>1965</v>
      </c>
      <c r="M1859" s="15" t="s">
        <v>4706</v>
      </c>
      <c r="N1859">
        <v>1</v>
      </c>
      <c r="O1859">
        <v>0</v>
      </c>
      <c r="P1859" s="21">
        <f>DATEVALUE(N1859&amp;"-"&amp;M1859&amp;"-"&amp;L1859)</f>
        <v>23955</v>
      </c>
      <c r="Q1859" s="22">
        <v>20709.02</v>
      </c>
      <c r="R1859" s="23" t="s">
        <v>4698</v>
      </c>
      <c r="S1859" s="23" t="s">
        <v>4697</v>
      </c>
      <c r="T1859" s="23" t="s">
        <v>4710</v>
      </c>
      <c r="U1859" s="23">
        <f>DATEDIF(P1859, DATE(2023, 6, 8), "Y")</f>
        <v>57</v>
      </c>
      <c r="V1859">
        <f>SUM(C1859:K1859)</f>
        <v>22.78</v>
      </c>
    </row>
    <row r="1860" spans="1:22" ht="15.75">
      <c r="A1860" s="28" t="s">
        <v>3718</v>
      </c>
      <c r="B1860" s="28" t="s">
        <v>3719</v>
      </c>
      <c r="C1860" s="23">
        <v>24.3</v>
      </c>
      <c r="D1860" s="23">
        <v>4.9000000000000004</v>
      </c>
      <c r="E1860" s="23" t="s">
        <v>4683</v>
      </c>
      <c r="F1860" s="23" t="s">
        <v>4682</v>
      </c>
      <c r="G1860" s="23" t="s">
        <v>4684</v>
      </c>
      <c r="H1860" s="23">
        <v>1</v>
      </c>
      <c r="I1860" s="23" t="s">
        <v>4682</v>
      </c>
      <c r="J1860" s="23" t="s">
        <v>4728</v>
      </c>
      <c r="K1860" s="23" t="s">
        <v>4737</v>
      </c>
      <c r="L1860">
        <v>1992</v>
      </c>
      <c r="M1860" s="15" t="s">
        <v>4703</v>
      </c>
      <c r="N1860">
        <v>14</v>
      </c>
      <c r="O1860">
        <v>3</v>
      </c>
      <c r="P1860" s="21">
        <f>DATEVALUE(N1860&amp;"-"&amp;M1860&amp;"-"&amp;L1860)</f>
        <v>33861</v>
      </c>
      <c r="Q1860" s="22">
        <v>20745.990000000002</v>
      </c>
      <c r="R1860" s="23" t="s">
        <v>4698</v>
      </c>
      <c r="S1860" s="23" t="s">
        <v>4701</v>
      </c>
      <c r="T1860" s="23" t="s">
        <v>4704</v>
      </c>
      <c r="U1860" s="23">
        <f>DATEDIF(P1860, DATE(2023, 6, 8), "Y")</f>
        <v>30</v>
      </c>
      <c r="V1860">
        <f>SUM(C1860:K1860)</f>
        <v>30.200000000000003</v>
      </c>
    </row>
    <row r="1861" spans="1:22" ht="15.75">
      <c r="A1861" s="28" t="s">
        <v>3720</v>
      </c>
      <c r="B1861" s="28" t="s">
        <v>3721</v>
      </c>
      <c r="C1861" s="23">
        <v>29.734999999999999</v>
      </c>
      <c r="D1861" s="23">
        <v>5.78</v>
      </c>
      <c r="E1861" s="23" t="s">
        <v>4682</v>
      </c>
      <c r="F1861" s="23" t="s">
        <v>4682</v>
      </c>
      <c r="G1861" s="23" t="s">
        <v>4682</v>
      </c>
      <c r="H1861" s="23">
        <v>0</v>
      </c>
      <c r="I1861" s="23" t="s">
        <v>4682</v>
      </c>
      <c r="J1861" s="23" t="s">
        <v>4730</v>
      </c>
      <c r="K1861" s="23" t="s">
        <v>4736</v>
      </c>
      <c r="L1861">
        <v>1986</v>
      </c>
      <c r="M1861" s="15" t="s">
        <v>4706</v>
      </c>
      <c r="N1861">
        <v>4</v>
      </c>
      <c r="O1861">
        <v>1</v>
      </c>
      <c r="P1861" s="21">
        <f>DATEVALUE(N1861&amp;"-"&amp;M1861&amp;"-"&amp;L1861)</f>
        <v>31628</v>
      </c>
      <c r="Q1861" s="22">
        <v>20773.63</v>
      </c>
      <c r="R1861" s="23" t="s">
        <v>4697</v>
      </c>
      <c r="S1861" s="23" t="s">
        <v>4698</v>
      </c>
      <c r="T1861" s="23" t="s">
        <v>4718</v>
      </c>
      <c r="U1861" s="23">
        <f>DATEDIF(P1861, DATE(2023, 6, 8), "Y")</f>
        <v>36</v>
      </c>
      <c r="V1861">
        <f>SUM(C1861:K1861)</f>
        <v>35.515000000000001</v>
      </c>
    </row>
    <row r="1862" spans="1:22" ht="15.75">
      <c r="A1862" s="28" t="s">
        <v>3722</v>
      </c>
      <c r="B1862" s="28" t="s">
        <v>3723</v>
      </c>
      <c r="C1862" s="23">
        <v>29.26</v>
      </c>
      <c r="D1862" s="23">
        <v>4.7</v>
      </c>
      <c r="E1862" s="23" t="s">
        <v>4682</v>
      </c>
      <c r="F1862" s="23" t="s">
        <v>4682</v>
      </c>
      <c r="G1862" s="23" t="s">
        <v>4682</v>
      </c>
      <c r="H1862" s="23">
        <v>0</v>
      </c>
      <c r="I1862" s="23" t="s">
        <v>4682</v>
      </c>
      <c r="J1862" s="23" t="s">
        <v>4730</v>
      </c>
      <c r="K1862" s="23" t="s">
        <v>4737</v>
      </c>
      <c r="L1862">
        <v>1967</v>
      </c>
      <c r="M1862" s="15" t="s">
        <v>4703</v>
      </c>
      <c r="N1862">
        <v>8</v>
      </c>
      <c r="O1862">
        <v>0</v>
      </c>
      <c r="P1862" s="21">
        <f>DATEVALUE(N1862&amp;"-"&amp;M1862&amp;"-"&amp;L1862)</f>
        <v>24723</v>
      </c>
      <c r="Q1862" s="22">
        <v>20781.490000000002</v>
      </c>
      <c r="R1862" s="23" t="s">
        <v>4697</v>
      </c>
      <c r="S1862" s="23" t="s">
        <v>4698</v>
      </c>
      <c r="T1862" s="23" t="s">
        <v>4699</v>
      </c>
      <c r="U1862" s="23">
        <f>DATEDIF(P1862, DATE(2023, 6, 8), "Y")</f>
        <v>55</v>
      </c>
      <c r="V1862">
        <f>SUM(C1862:K1862)</f>
        <v>33.96</v>
      </c>
    </row>
    <row r="1863" spans="1:22" ht="15.75">
      <c r="A1863" s="28" t="s">
        <v>3724</v>
      </c>
      <c r="B1863" s="28" t="s">
        <v>3725</v>
      </c>
      <c r="C1863" s="23">
        <v>33</v>
      </c>
      <c r="D1863" s="23">
        <v>6.28</v>
      </c>
      <c r="E1863" s="23" t="s">
        <v>4682</v>
      </c>
      <c r="F1863" s="23" t="s">
        <v>4682</v>
      </c>
      <c r="G1863" s="23" t="s">
        <v>4682</v>
      </c>
      <c r="H1863" s="23">
        <v>0</v>
      </c>
      <c r="I1863" s="23" t="s">
        <v>4682</v>
      </c>
      <c r="J1863" s="23" t="s">
        <v>4729</v>
      </c>
      <c r="K1863" s="23" t="s">
        <v>4736</v>
      </c>
      <c r="L1863">
        <v>1975</v>
      </c>
      <c r="M1863" s="15" t="s">
        <v>4705</v>
      </c>
      <c r="N1863">
        <v>8</v>
      </c>
      <c r="O1863">
        <v>0</v>
      </c>
      <c r="P1863" s="21">
        <f>DATEVALUE(N1863&amp;"-"&amp;M1863&amp;"-"&amp;L1863)</f>
        <v>27736</v>
      </c>
      <c r="Q1863" s="22">
        <v>20878.78</v>
      </c>
      <c r="R1863" s="23" t="s">
        <v>4697</v>
      </c>
      <c r="S1863" s="23" t="s">
        <v>4701</v>
      </c>
      <c r="T1863" s="23" t="s">
        <v>4714</v>
      </c>
      <c r="U1863" s="23">
        <f>DATEDIF(P1863, DATE(2023, 6, 8), "Y")</f>
        <v>47</v>
      </c>
      <c r="V1863">
        <f>SUM(C1863:K1863)</f>
        <v>39.28</v>
      </c>
    </row>
    <row r="1864" spans="1:22" ht="15.75">
      <c r="A1864" s="28" t="s">
        <v>3726</v>
      </c>
      <c r="B1864" s="28" t="s">
        <v>3727</v>
      </c>
      <c r="C1864" s="23">
        <v>31.065000000000001</v>
      </c>
      <c r="D1864" s="23">
        <v>4.2300000000000004</v>
      </c>
      <c r="E1864" s="23" t="s">
        <v>4682</v>
      </c>
      <c r="F1864" s="23" t="s">
        <v>4682</v>
      </c>
      <c r="G1864" s="23" t="s">
        <v>4682</v>
      </c>
      <c r="H1864" s="23">
        <v>0</v>
      </c>
      <c r="I1864" s="23" t="s">
        <v>4682</v>
      </c>
      <c r="J1864" s="23" t="s">
        <v>4729</v>
      </c>
      <c r="K1864" s="23" t="s">
        <v>4737</v>
      </c>
      <c r="L1864">
        <v>1964</v>
      </c>
      <c r="M1864" s="15" t="s">
        <v>4700</v>
      </c>
      <c r="N1864">
        <v>19</v>
      </c>
      <c r="O1864">
        <v>0</v>
      </c>
      <c r="P1864" s="21">
        <f>DATEVALUE(N1864&amp;"-"&amp;M1864&amp;"-"&amp;L1864)</f>
        <v>23700</v>
      </c>
      <c r="Q1864" s="22">
        <v>20893.060000000001</v>
      </c>
      <c r="R1864" s="23" t="s">
        <v>4697</v>
      </c>
      <c r="S1864" s="23" t="s">
        <v>4698</v>
      </c>
      <c r="T1864" s="23" t="s">
        <v>4704</v>
      </c>
      <c r="U1864" s="23">
        <f>DATEDIF(P1864, DATE(2023, 6, 8), "Y")</f>
        <v>58</v>
      </c>
      <c r="V1864">
        <f>SUM(C1864:K1864)</f>
        <v>35.295000000000002</v>
      </c>
    </row>
    <row r="1865" spans="1:22" ht="15.75">
      <c r="A1865" s="28" t="s">
        <v>3728</v>
      </c>
      <c r="B1865" s="28" t="s">
        <v>3729</v>
      </c>
      <c r="C1865" s="23">
        <v>26.51</v>
      </c>
      <c r="D1865" s="23">
        <v>6.17</v>
      </c>
      <c r="E1865" s="23" t="s">
        <v>4682</v>
      </c>
      <c r="F1865" s="23" t="s">
        <v>4682</v>
      </c>
      <c r="G1865" s="23" t="s">
        <v>4682</v>
      </c>
      <c r="H1865" s="23">
        <v>0</v>
      </c>
      <c r="I1865" s="23" t="s">
        <v>4682</v>
      </c>
      <c r="J1865" s="23" t="s">
        <v>4730</v>
      </c>
      <c r="K1865" s="23" t="s">
        <v>4736</v>
      </c>
      <c r="L1865">
        <v>1987</v>
      </c>
      <c r="M1865" s="15" t="s">
        <v>4700</v>
      </c>
      <c r="N1865">
        <v>27</v>
      </c>
      <c r="O1865">
        <v>2</v>
      </c>
      <c r="P1865" s="21">
        <f>DATEVALUE(N1865&amp;"-"&amp;M1865&amp;"-"&amp;L1865)</f>
        <v>32108</v>
      </c>
      <c r="Q1865" s="22">
        <v>20984.09</v>
      </c>
      <c r="R1865" s="23" t="s">
        <v>4697</v>
      </c>
      <c r="S1865" s="23" t="s">
        <v>4697</v>
      </c>
      <c r="T1865" s="23" t="s">
        <v>4709</v>
      </c>
      <c r="U1865" s="23">
        <f>DATEDIF(P1865, DATE(2023, 6, 8), "Y")</f>
        <v>35</v>
      </c>
      <c r="V1865">
        <f>SUM(C1865:K1865)</f>
        <v>32.68</v>
      </c>
    </row>
    <row r="1866" spans="1:22" ht="15.75">
      <c r="A1866" s="28" t="s">
        <v>3730</v>
      </c>
      <c r="B1866" s="28" t="s">
        <v>3731</v>
      </c>
      <c r="C1866" s="23">
        <v>28.88</v>
      </c>
      <c r="D1866" s="23">
        <v>4.96</v>
      </c>
      <c r="E1866" s="23" t="s">
        <v>4682</v>
      </c>
      <c r="F1866" s="23" t="s">
        <v>4682</v>
      </c>
      <c r="G1866" s="23" t="s">
        <v>4682</v>
      </c>
      <c r="H1866" s="23">
        <v>0</v>
      </c>
      <c r="I1866" s="23" t="s">
        <v>4682</v>
      </c>
      <c r="J1866" s="23" t="s">
        <v>4730</v>
      </c>
      <c r="K1866" s="23" t="s">
        <v>4737</v>
      </c>
      <c r="L1866">
        <v>1983</v>
      </c>
      <c r="M1866" s="15" t="s">
        <v>4696</v>
      </c>
      <c r="N1866">
        <v>2</v>
      </c>
      <c r="O1866">
        <v>1</v>
      </c>
      <c r="P1866" s="21">
        <f>DATEVALUE(N1866&amp;"-"&amp;M1866&amp;"-"&amp;L1866)</f>
        <v>30499</v>
      </c>
      <c r="Q1866" s="22">
        <v>21082.16</v>
      </c>
      <c r="R1866" s="23" t="s">
        <v>4698</v>
      </c>
      <c r="S1866" s="23" t="s">
        <v>4697</v>
      </c>
      <c r="T1866" s="23" t="s">
        <v>4708</v>
      </c>
      <c r="U1866" s="23">
        <f>DATEDIF(P1866, DATE(2023, 6, 8), "Y")</f>
        <v>39</v>
      </c>
      <c r="V1866">
        <f>SUM(C1866:K1866)</f>
        <v>33.839999999999996</v>
      </c>
    </row>
    <row r="1867" spans="1:22" ht="15.75">
      <c r="A1867" s="28" t="s">
        <v>3732</v>
      </c>
      <c r="B1867" s="28" t="s">
        <v>3733</v>
      </c>
      <c r="C1867" s="23">
        <v>35.814999999999998</v>
      </c>
      <c r="D1867" s="23">
        <v>5.1100000000000003</v>
      </c>
      <c r="E1867" s="23" t="s">
        <v>4683</v>
      </c>
      <c r="F1867" s="23" t="s">
        <v>4682</v>
      </c>
      <c r="G1867" s="23" t="s">
        <v>4682</v>
      </c>
      <c r="H1867" s="23">
        <v>1</v>
      </c>
      <c r="I1867" s="23" t="s">
        <v>4682</v>
      </c>
      <c r="J1867" s="23" t="s">
        <v>4729</v>
      </c>
      <c r="K1867" s="23" t="s">
        <v>4737</v>
      </c>
      <c r="L1867">
        <v>1977</v>
      </c>
      <c r="M1867" s="15" t="s">
        <v>4700</v>
      </c>
      <c r="N1867">
        <v>23</v>
      </c>
      <c r="O1867">
        <v>2</v>
      </c>
      <c r="P1867" s="21">
        <f>DATEVALUE(N1867&amp;"-"&amp;M1867&amp;"-"&amp;L1867)</f>
        <v>28452</v>
      </c>
      <c r="Q1867" s="22">
        <v>21098.55</v>
      </c>
      <c r="R1867" s="23" t="s">
        <v>4698</v>
      </c>
      <c r="S1867" s="23" t="s">
        <v>4698</v>
      </c>
      <c r="T1867" s="23" t="s">
        <v>4704</v>
      </c>
      <c r="U1867" s="23">
        <f>DATEDIF(P1867, DATE(2023, 6, 8), "Y")</f>
        <v>45</v>
      </c>
      <c r="V1867">
        <f>SUM(C1867:K1867)</f>
        <v>41.924999999999997</v>
      </c>
    </row>
    <row r="1868" spans="1:22" ht="15.75">
      <c r="A1868" s="28" t="s">
        <v>3734</v>
      </c>
      <c r="B1868" s="28" t="s">
        <v>3735</v>
      </c>
      <c r="C1868" s="23">
        <v>21.28</v>
      </c>
      <c r="D1868" s="23">
        <v>4.05</v>
      </c>
      <c r="E1868" s="23" t="s">
        <v>4682</v>
      </c>
      <c r="F1868" s="23" t="s">
        <v>4683</v>
      </c>
      <c r="G1868" s="23" t="s">
        <v>4682</v>
      </c>
      <c r="H1868" s="23">
        <v>1</v>
      </c>
      <c r="I1868" s="23" t="s">
        <v>4682</v>
      </c>
      <c r="J1868" s="23" t="s">
        <v>4728</v>
      </c>
      <c r="K1868" s="23" t="s">
        <v>4737</v>
      </c>
      <c r="L1868">
        <v>1969</v>
      </c>
      <c r="M1868" s="15" t="s">
        <v>4706</v>
      </c>
      <c r="N1868">
        <v>26</v>
      </c>
      <c r="O1868">
        <v>0</v>
      </c>
      <c r="P1868" s="21">
        <f>DATEVALUE(N1868&amp;"-"&amp;M1868&amp;"-"&amp;L1868)</f>
        <v>25441</v>
      </c>
      <c r="Q1868" s="22">
        <v>21195.82</v>
      </c>
      <c r="R1868" s="23" t="s">
        <v>4698</v>
      </c>
      <c r="S1868" s="23" t="s">
        <v>4701</v>
      </c>
      <c r="T1868" s="23" t="s">
        <v>4699</v>
      </c>
      <c r="U1868" s="23">
        <f>DATEDIF(P1868, DATE(2023, 6, 8), "Y")</f>
        <v>53</v>
      </c>
      <c r="V1868">
        <f>SUM(C1868:K1868)</f>
        <v>26.330000000000002</v>
      </c>
    </row>
    <row r="1869" spans="1:22" ht="15.75">
      <c r="A1869" s="28" t="s">
        <v>3736</v>
      </c>
      <c r="B1869" s="28" t="s">
        <v>3737</v>
      </c>
      <c r="C1869" s="23">
        <v>33.81</v>
      </c>
      <c r="D1869" s="23">
        <v>6.49</v>
      </c>
      <c r="E1869" s="23" t="s">
        <v>4682</v>
      </c>
      <c r="F1869" s="23" t="s">
        <v>4682</v>
      </c>
      <c r="G1869" s="23" t="s">
        <v>4684</v>
      </c>
      <c r="H1869" s="23">
        <v>1</v>
      </c>
      <c r="I1869" s="23" t="s">
        <v>4682</v>
      </c>
      <c r="J1869" s="23" t="s">
        <v>4729</v>
      </c>
      <c r="K1869" s="23" t="s">
        <v>4735</v>
      </c>
      <c r="L1869">
        <v>1974</v>
      </c>
      <c r="M1869" s="15" t="s">
        <v>4707</v>
      </c>
      <c r="N1869">
        <v>14</v>
      </c>
      <c r="O1869">
        <v>0</v>
      </c>
      <c r="P1869" s="21">
        <f>DATEVALUE(N1869&amp;"-"&amp;M1869&amp;"-"&amp;L1869)</f>
        <v>27316</v>
      </c>
      <c r="Q1869" s="22">
        <v>21223.68</v>
      </c>
      <c r="R1869" s="23" t="s">
        <v>4698</v>
      </c>
      <c r="S1869" s="23" t="s">
        <v>4697</v>
      </c>
      <c r="T1869" s="23" t="s">
        <v>4699</v>
      </c>
      <c r="U1869" s="23">
        <f>DATEDIF(P1869, DATE(2023, 6, 8), "Y")</f>
        <v>48</v>
      </c>
      <c r="V1869">
        <f>SUM(C1869:K1869)</f>
        <v>41.300000000000004</v>
      </c>
    </row>
    <row r="1870" spans="1:22" ht="15.75">
      <c r="A1870" s="28" t="s">
        <v>3738</v>
      </c>
      <c r="B1870" s="28" t="s">
        <v>3739</v>
      </c>
      <c r="C1870" s="23">
        <v>44.22</v>
      </c>
      <c r="D1870" s="23">
        <v>4.1900000000000004</v>
      </c>
      <c r="E1870" s="23" t="s">
        <v>4682</v>
      </c>
      <c r="F1870" s="23" t="s">
        <v>4682</v>
      </c>
      <c r="G1870" s="23" t="s">
        <v>4682</v>
      </c>
      <c r="H1870" s="23">
        <v>1</v>
      </c>
      <c r="I1870" s="23" t="s">
        <v>4682</v>
      </c>
      <c r="J1870" s="23" t="s">
        <v>4729</v>
      </c>
      <c r="K1870" s="23" t="s">
        <v>4737</v>
      </c>
      <c r="L1870">
        <v>1974</v>
      </c>
      <c r="M1870" s="15" t="s">
        <v>4703</v>
      </c>
      <c r="N1870">
        <v>3</v>
      </c>
      <c r="O1870">
        <v>0</v>
      </c>
      <c r="P1870" s="21">
        <f>DATEVALUE(N1870&amp;"-"&amp;M1870&amp;"-"&amp;L1870)</f>
        <v>27275</v>
      </c>
      <c r="Q1870" s="22">
        <v>21232.18</v>
      </c>
      <c r="R1870" s="23" t="s">
        <v>4698</v>
      </c>
      <c r="S1870" s="23" t="s">
        <v>4697</v>
      </c>
      <c r="T1870" s="23" t="s">
        <v>4708</v>
      </c>
      <c r="U1870" s="23">
        <f>DATEDIF(P1870, DATE(2023, 6, 8), "Y")</f>
        <v>48</v>
      </c>
      <c r="V1870">
        <f>SUM(C1870:K1870)</f>
        <v>49.41</v>
      </c>
    </row>
    <row r="1871" spans="1:22" ht="15.75">
      <c r="A1871" s="28" t="s">
        <v>3740</v>
      </c>
      <c r="B1871" s="28" t="s">
        <v>3741</v>
      </c>
      <c r="C1871" s="23">
        <v>15.46</v>
      </c>
      <c r="D1871" s="23">
        <v>4.99</v>
      </c>
      <c r="E1871" s="23" t="s">
        <v>4683</v>
      </c>
      <c r="F1871" s="23" t="s">
        <v>4682</v>
      </c>
      <c r="G1871" s="23" t="s">
        <v>4684</v>
      </c>
      <c r="H1871" s="23">
        <v>1</v>
      </c>
      <c r="I1871" s="23" t="s">
        <v>4682</v>
      </c>
      <c r="J1871" s="23" t="s">
        <v>4731</v>
      </c>
      <c r="K1871" s="23" t="s">
        <v>4737</v>
      </c>
      <c r="L1871">
        <v>1980</v>
      </c>
      <c r="M1871" s="15" t="s">
        <v>4705</v>
      </c>
      <c r="N1871">
        <v>10</v>
      </c>
      <c r="O1871">
        <v>2</v>
      </c>
      <c r="P1871" s="21">
        <f>DATEVALUE(N1871&amp;"-"&amp;M1871&amp;"-"&amp;L1871)</f>
        <v>29565</v>
      </c>
      <c r="Q1871" s="22">
        <v>21259.38</v>
      </c>
      <c r="R1871" s="23" t="s">
        <v>4698</v>
      </c>
      <c r="S1871" s="23" t="s">
        <v>4698</v>
      </c>
      <c r="T1871" s="23" t="s">
        <v>4710</v>
      </c>
      <c r="U1871" s="23">
        <f>DATEDIF(P1871, DATE(2023, 6, 8), "Y")</f>
        <v>42</v>
      </c>
      <c r="V1871">
        <f>SUM(C1871:K1871)</f>
        <v>21.450000000000003</v>
      </c>
    </row>
    <row r="1872" spans="1:22" ht="15.75">
      <c r="A1872" s="28" t="s">
        <v>3742</v>
      </c>
      <c r="B1872" s="28" t="s">
        <v>3743</v>
      </c>
      <c r="C1872" s="23">
        <v>30.3</v>
      </c>
      <c r="D1872" s="23">
        <v>4.7699999999999996</v>
      </c>
      <c r="E1872" s="23" t="s">
        <v>4683</v>
      </c>
      <c r="F1872" s="23" t="s">
        <v>4682</v>
      </c>
      <c r="G1872" s="23" t="s">
        <v>4682</v>
      </c>
      <c r="H1872" s="23">
        <v>1</v>
      </c>
      <c r="I1872" s="23" t="s">
        <v>4682</v>
      </c>
      <c r="J1872" s="23" t="s">
        <v>4729</v>
      </c>
      <c r="K1872" s="23" t="s">
        <v>4737</v>
      </c>
      <c r="L1872">
        <v>2004</v>
      </c>
      <c r="M1872" s="15" t="s">
        <v>4706</v>
      </c>
      <c r="N1872">
        <v>4</v>
      </c>
      <c r="O1872">
        <v>0</v>
      </c>
      <c r="P1872" s="21">
        <f>DATEVALUE(N1872&amp;"-"&amp;M1872&amp;"-"&amp;L1872)</f>
        <v>38203</v>
      </c>
      <c r="Q1872" s="22">
        <v>21344.85</v>
      </c>
      <c r="R1872" s="23" t="s">
        <v>4698</v>
      </c>
      <c r="S1872" s="23" t="s">
        <v>4701</v>
      </c>
      <c r="T1872" s="23" t="s">
        <v>4714</v>
      </c>
      <c r="U1872" s="23">
        <f>DATEDIF(P1872, DATE(2023, 6, 8), "Y")</f>
        <v>18</v>
      </c>
      <c r="V1872">
        <f>SUM(C1872:K1872)</f>
        <v>36.07</v>
      </c>
    </row>
    <row r="1873" spans="1:22" ht="15.75">
      <c r="A1873" s="28" t="s">
        <v>3744</v>
      </c>
      <c r="B1873" s="28" t="s">
        <v>3745</v>
      </c>
      <c r="C1873" s="23">
        <v>16.670000000000002</v>
      </c>
      <c r="D1873" s="23">
        <v>5.46</v>
      </c>
      <c r="E1873" s="23" t="s">
        <v>4682</v>
      </c>
      <c r="F1873" s="23" t="s">
        <v>4682</v>
      </c>
      <c r="G1873" s="23" t="s">
        <v>4682</v>
      </c>
      <c r="H1873" s="23">
        <v>0</v>
      </c>
      <c r="I1873" s="23" t="s">
        <v>4682</v>
      </c>
      <c r="J1873" s="23" t="s">
        <v>4731</v>
      </c>
      <c r="K1873" s="23" t="s">
        <v>4737</v>
      </c>
      <c r="L1873">
        <v>1980</v>
      </c>
      <c r="M1873" s="15" t="s">
        <v>4703</v>
      </c>
      <c r="N1873">
        <v>4</v>
      </c>
      <c r="O1873">
        <v>0</v>
      </c>
      <c r="P1873" s="21">
        <f>DATEVALUE(N1873&amp;"-"&amp;M1873&amp;"-"&amp;L1873)</f>
        <v>29468</v>
      </c>
      <c r="Q1873" s="22">
        <v>21348.71</v>
      </c>
      <c r="R1873" s="23" t="s">
        <v>4697</v>
      </c>
      <c r="S1873" s="23" t="s">
        <v>4701</v>
      </c>
      <c r="T1873" s="23" t="s">
        <v>4704</v>
      </c>
      <c r="U1873" s="23">
        <f>DATEDIF(P1873, DATE(2023, 6, 8), "Y")</f>
        <v>42</v>
      </c>
      <c r="V1873">
        <f>SUM(C1873:K1873)</f>
        <v>22.130000000000003</v>
      </c>
    </row>
    <row r="1874" spans="1:22" ht="15.75">
      <c r="A1874" s="28" t="s">
        <v>3746</v>
      </c>
      <c r="B1874" s="28" t="s">
        <v>3747</v>
      </c>
      <c r="C1874" s="23">
        <v>28.594999999999999</v>
      </c>
      <c r="D1874" s="23">
        <v>5.43</v>
      </c>
      <c r="E1874" s="23" t="s">
        <v>4682</v>
      </c>
      <c r="F1874" s="23" t="s">
        <v>4682</v>
      </c>
      <c r="G1874" s="23" t="s">
        <v>4682</v>
      </c>
      <c r="H1874" s="23">
        <v>0</v>
      </c>
      <c r="I1874" s="23" t="s">
        <v>4682</v>
      </c>
      <c r="J1874" s="23" t="s">
        <v>4730</v>
      </c>
      <c r="K1874" s="23" t="s">
        <v>4737</v>
      </c>
      <c r="L1874">
        <v>1990</v>
      </c>
      <c r="M1874" s="15" t="s">
        <v>4700</v>
      </c>
      <c r="N1874">
        <v>21</v>
      </c>
      <c r="O1874">
        <v>4</v>
      </c>
      <c r="P1874" s="21">
        <f>DATEVALUE(N1874&amp;"-"&amp;M1874&amp;"-"&amp;L1874)</f>
        <v>33198</v>
      </c>
      <c r="Q1874" s="22">
        <v>21472.48</v>
      </c>
      <c r="R1874" s="23" t="s">
        <v>4697</v>
      </c>
      <c r="S1874" s="23" t="s">
        <v>4697</v>
      </c>
      <c r="T1874" s="23" t="s">
        <v>4704</v>
      </c>
      <c r="U1874" s="23">
        <f>DATEDIF(P1874, DATE(2023, 6, 8), "Y")</f>
        <v>32</v>
      </c>
      <c r="V1874">
        <f>SUM(C1874:K1874)</f>
        <v>34.024999999999999</v>
      </c>
    </row>
    <row r="1875" spans="1:22" ht="15.75">
      <c r="A1875" s="28" t="s">
        <v>3748</v>
      </c>
      <c r="B1875" s="28" t="s">
        <v>3749</v>
      </c>
      <c r="C1875" s="23">
        <v>25.934999999999999</v>
      </c>
      <c r="D1875" s="23">
        <v>4.29</v>
      </c>
      <c r="E1875" s="23" t="s">
        <v>4682</v>
      </c>
      <c r="F1875" s="23" t="s">
        <v>4682</v>
      </c>
      <c r="G1875" s="23" t="s">
        <v>4682</v>
      </c>
      <c r="H1875" s="23">
        <v>0</v>
      </c>
      <c r="I1875" s="23" t="s">
        <v>4682</v>
      </c>
      <c r="J1875" s="23" t="s">
        <v>4730</v>
      </c>
      <c r="K1875" s="23" t="s">
        <v>4737</v>
      </c>
      <c r="L1875">
        <v>1999</v>
      </c>
      <c r="M1875" s="15" t="s">
        <v>4702</v>
      </c>
      <c r="N1875">
        <v>12</v>
      </c>
      <c r="O1875">
        <v>0</v>
      </c>
      <c r="P1875" s="21">
        <f>DATEVALUE(N1875&amp;"-"&amp;M1875&amp;"-"&amp;L1875)</f>
        <v>36323</v>
      </c>
      <c r="Q1875" s="22">
        <v>21595.38</v>
      </c>
      <c r="R1875" s="23" t="s">
        <v>4697</v>
      </c>
      <c r="S1875" s="23" t="s">
        <v>4698</v>
      </c>
      <c r="T1875" s="23" t="s">
        <v>4704</v>
      </c>
      <c r="U1875" s="23">
        <f>DATEDIF(P1875, DATE(2023, 6, 8), "Y")</f>
        <v>23</v>
      </c>
      <c r="V1875">
        <f>SUM(C1875:K1875)</f>
        <v>30.224999999999998</v>
      </c>
    </row>
    <row r="1876" spans="1:22" ht="15.75">
      <c r="A1876" s="28" t="s">
        <v>3750</v>
      </c>
      <c r="B1876" s="28" t="s">
        <v>3751</v>
      </c>
      <c r="C1876" s="23">
        <v>27.645</v>
      </c>
      <c r="D1876" s="23">
        <v>5.25</v>
      </c>
      <c r="E1876" s="23" t="s">
        <v>4682</v>
      </c>
      <c r="F1876" s="23" t="s">
        <v>4682</v>
      </c>
      <c r="G1876" s="23" t="s">
        <v>4682</v>
      </c>
      <c r="H1876" s="23">
        <v>1</v>
      </c>
      <c r="I1876" s="23" t="s">
        <v>4682</v>
      </c>
      <c r="J1876" s="23" t="s">
        <v>4730</v>
      </c>
      <c r="K1876" s="23" t="s">
        <v>4737</v>
      </c>
      <c r="L1876">
        <v>1983</v>
      </c>
      <c r="M1876" s="15" t="s">
        <v>4705</v>
      </c>
      <c r="N1876">
        <v>25</v>
      </c>
      <c r="O1876">
        <v>3</v>
      </c>
      <c r="P1876" s="21">
        <f>DATEVALUE(N1876&amp;"-"&amp;M1876&amp;"-"&amp;L1876)</f>
        <v>30675</v>
      </c>
      <c r="Q1876" s="22">
        <v>21659.93</v>
      </c>
      <c r="R1876" s="23" t="s">
        <v>4698</v>
      </c>
      <c r="S1876" s="23" t="s">
        <v>4698</v>
      </c>
      <c r="T1876" s="23" t="s">
        <v>4714</v>
      </c>
      <c r="U1876" s="23">
        <f>DATEDIF(P1876, DATE(2023, 6, 8), "Y")</f>
        <v>39</v>
      </c>
      <c r="V1876">
        <f>SUM(C1876:K1876)</f>
        <v>33.894999999999996</v>
      </c>
    </row>
    <row r="1877" spans="1:22" ht="15.75">
      <c r="A1877" s="28" t="s">
        <v>3752</v>
      </c>
      <c r="B1877" s="28" t="s">
        <v>3753</v>
      </c>
      <c r="C1877" s="23">
        <v>30.1</v>
      </c>
      <c r="D1877" s="23">
        <v>4.04</v>
      </c>
      <c r="E1877" s="23" t="s">
        <v>4682</v>
      </c>
      <c r="F1877" s="23" t="s">
        <v>4682</v>
      </c>
      <c r="G1877" s="23" t="s">
        <v>4682</v>
      </c>
      <c r="H1877" s="23">
        <v>1</v>
      </c>
      <c r="I1877" s="23" t="s">
        <v>4682</v>
      </c>
      <c r="J1877" s="23" t="s">
        <v>4729</v>
      </c>
      <c r="K1877" s="23" t="s">
        <v>4737</v>
      </c>
      <c r="L1877">
        <v>1962</v>
      </c>
      <c r="M1877" s="15" t="s">
        <v>4700</v>
      </c>
      <c r="N1877">
        <v>16</v>
      </c>
      <c r="O1877">
        <v>0</v>
      </c>
      <c r="P1877" s="21">
        <f>DATEVALUE(N1877&amp;"-"&amp;M1877&amp;"-"&amp;L1877)</f>
        <v>22966</v>
      </c>
      <c r="Q1877" s="22">
        <v>21661.16</v>
      </c>
      <c r="R1877" s="23" t="s">
        <v>4697</v>
      </c>
      <c r="S1877" s="23" t="s">
        <v>4697</v>
      </c>
      <c r="T1877" s="23" t="s">
        <v>4704</v>
      </c>
      <c r="U1877" s="23">
        <f>DATEDIF(P1877, DATE(2023, 6, 8), "Y")</f>
        <v>60</v>
      </c>
      <c r="V1877">
        <f>SUM(C1877:K1877)</f>
        <v>35.14</v>
      </c>
    </row>
    <row r="1878" spans="1:22" ht="15.75">
      <c r="A1878" s="28" t="s">
        <v>3754</v>
      </c>
      <c r="B1878" s="28" t="s">
        <v>3755</v>
      </c>
      <c r="C1878" s="23">
        <v>26.79</v>
      </c>
      <c r="D1878" s="23">
        <v>5</v>
      </c>
      <c r="E1878" s="23" t="s">
        <v>4683</v>
      </c>
      <c r="F1878" s="23" t="s">
        <v>4682</v>
      </c>
      <c r="G1878" s="23" t="s">
        <v>4684</v>
      </c>
      <c r="H1878" s="23">
        <v>1</v>
      </c>
      <c r="I1878" s="23" t="s">
        <v>4682</v>
      </c>
      <c r="J1878" s="23" t="s">
        <v>4730</v>
      </c>
      <c r="K1878" s="23" t="s">
        <v>4737</v>
      </c>
      <c r="L1878">
        <v>1976</v>
      </c>
      <c r="M1878" s="15" t="s">
        <v>4696</v>
      </c>
      <c r="N1878">
        <v>18</v>
      </c>
      <c r="O1878">
        <v>1</v>
      </c>
      <c r="P1878" s="21">
        <f>DATEVALUE(N1878&amp;"-"&amp;M1878&amp;"-"&amp;L1878)</f>
        <v>27959</v>
      </c>
      <c r="Q1878" s="22">
        <v>21677.279999999999</v>
      </c>
      <c r="R1878" s="23" t="s">
        <v>4698</v>
      </c>
      <c r="S1878" s="23" t="s">
        <v>4701</v>
      </c>
      <c r="T1878" s="23" t="s">
        <v>4704</v>
      </c>
      <c r="U1878" s="23">
        <f>DATEDIF(P1878, DATE(2023, 6, 8), "Y")</f>
        <v>46</v>
      </c>
      <c r="V1878">
        <f>SUM(C1878:K1878)</f>
        <v>32.79</v>
      </c>
    </row>
    <row r="1879" spans="1:22" ht="15.75">
      <c r="A1879" s="28" t="s">
        <v>3756</v>
      </c>
      <c r="B1879" s="28" t="s">
        <v>3757</v>
      </c>
      <c r="C1879" s="23">
        <v>27.1</v>
      </c>
      <c r="D1879" s="23">
        <v>4.01</v>
      </c>
      <c r="E1879" s="23" t="s">
        <v>4683</v>
      </c>
      <c r="F1879" s="23" t="s">
        <v>4682</v>
      </c>
      <c r="G1879" s="23" t="s">
        <v>4682</v>
      </c>
      <c r="H1879" s="23">
        <v>1</v>
      </c>
      <c r="I1879" s="23" t="s">
        <v>4682</v>
      </c>
      <c r="J1879" s="23" t="s">
        <v>4730</v>
      </c>
      <c r="K1879" s="23" t="s">
        <v>4737</v>
      </c>
      <c r="L1879">
        <v>1979</v>
      </c>
      <c r="M1879" s="15" t="s">
        <v>4703</v>
      </c>
      <c r="N1879">
        <v>20</v>
      </c>
      <c r="O1879">
        <v>1</v>
      </c>
      <c r="P1879" s="21">
        <f>DATEVALUE(N1879&amp;"-"&amp;M1879&amp;"-"&amp;L1879)</f>
        <v>29118</v>
      </c>
      <c r="Q1879" s="22">
        <v>21771.34</v>
      </c>
      <c r="R1879" s="23" t="s">
        <v>4698</v>
      </c>
      <c r="S1879" s="23" t="s">
        <v>4701</v>
      </c>
      <c r="T1879" s="23" t="s">
        <v>4714</v>
      </c>
      <c r="U1879" s="23">
        <f>DATEDIF(P1879, DATE(2023, 6, 8), "Y")</f>
        <v>43</v>
      </c>
      <c r="V1879">
        <f>SUM(C1879:K1879)</f>
        <v>32.11</v>
      </c>
    </row>
    <row r="1880" spans="1:22" ht="15.75">
      <c r="A1880" s="28" t="s">
        <v>3758</v>
      </c>
      <c r="B1880" s="28" t="s">
        <v>3759</v>
      </c>
      <c r="C1880" s="23">
        <v>24.31</v>
      </c>
      <c r="D1880" s="23">
        <v>5.4</v>
      </c>
      <c r="E1880" s="23" t="s">
        <v>4682</v>
      </c>
      <c r="F1880" s="23" t="s">
        <v>4682</v>
      </c>
      <c r="G1880" s="23" t="s">
        <v>4682</v>
      </c>
      <c r="H1880" s="23">
        <v>0</v>
      </c>
      <c r="I1880" s="23" t="s">
        <v>4682</v>
      </c>
      <c r="J1880" s="23" t="s">
        <v>4728</v>
      </c>
      <c r="K1880" s="23" t="s">
        <v>4737</v>
      </c>
      <c r="L1880">
        <v>1979</v>
      </c>
      <c r="M1880" s="15" t="s">
        <v>4703</v>
      </c>
      <c r="N1880">
        <v>28</v>
      </c>
      <c r="O1880">
        <v>0</v>
      </c>
      <c r="P1880" s="21">
        <f>DATEVALUE(N1880&amp;"-"&amp;M1880&amp;"-"&amp;L1880)</f>
        <v>29126</v>
      </c>
      <c r="Q1880" s="22">
        <v>21774.32</v>
      </c>
      <c r="R1880" s="23" t="s">
        <v>4698</v>
      </c>
      <c r="S1880" s="23" t="s">
        <v>4697</v>
      </c>
      <c r="T1880" s="23" t="s">
        <v>4704</v>
      </c>
      <c r="U1880" s="23">
        <f>DATEDIF(P1880, DATE(2023, 6, 8), "Y")</f>
        <v>43</v>
      </c>
      <c r="V1880">
        <f>SUM(C1880:K1880)</f>
        <v>29.71</v>
      </c>
    </row>
    <row r="1881" spans="1:22" ht="15.75">
      <c r="A1881" s="28" t="s">
        <v>3760</v>
      </c>
      <c r="B1881" s="28" t="s">
        <v>3761</v>
      </c>
      <c r="C1881" s="23">
        <v>15.53</v>
      </c>
      <c r="D1881" s="23">
        <v>5.81</v>
      </c>
      <c r="E1881" s="23" t="s">
        <v>4682</v>
      </c>
      <c r="F1881" s="23" t="s">
        <v>4682</v>
      </c>
      <c r="G1881" s="23" t="s">
        <v>4682</v>
      </c>
      <c r="H1881" s="23">
        <v>1</v>
      </c>
      <c r="I1881" s="23" t="s">
        <v>4682</v>
      </c>
      <c r="J1881" s="23" t="s">
        <v>4731</v>
      </c>
      <c r="K1881" s="23" t="s">
        <v>4736</v>
      </c>
      <c r="L1881">
        <v>1963</v>
      </c>
      <c r="M1881" s="15" t="s">
        <v>4706</v>
      </c>
      <c r="N1881">
        <v>27</v>
      </c>
      <c r="O1881">
        <v>0</v>
      </c>
      <c r="P1881" s="21">
        <f>DATEVALUE(N1881&amp;"-"&amp;M1881&amp;"-"&amp;L1881)</f>
        <v>23250</v>
      </c>
      <c r="Q1881" s="22">
        <v>21797</v>
      </c>
      <c r="R1881" s="23" t="s">
        <v>4698</v>
      </c>
      <c r="S1881" s="23" t="s">
        <v>4701</v>
      </c>
      <c r="T1881" s="23" t="s">
        <v>4708</v>
      </c>
      <c r="U1881" s="23">
        <f>DATEDIF(P1881, DATE(2023, 6, 8), "Y")</f>
        <v>59</v>
      </c>
      <c r="V1881">
        <f>SUM(C1881:K1881)</f>
        <v>22.34</v>
      </c>
    </row>
    <row r="1882" spans="1:22" ht="15.75">
      <c r="A1882" s="28" t="s">
        <v>3762</v>
      </c>
      <c r="B1882" s="28" t="s">
        <v>3763</v>
      </c>
      <c r="C1882" s="23">
        <v>30.7</v>
      </c>
      <c r="D1882" s="23">
        <v>5.82</v>
      </c>
      <c r="E1882" s="23" t="s">
        <v>4682</v>
      </c>
      <c r="F1882" s="23" t="s">
        <v>4682</v>
      </c>
      <c r="G1882" s="23" t="s">
        <v>4682</v>
      </c>
      <c r="H1882" s="23">
        <v>1</v>
      </c>
      <c r="I1882" s="23" t="s">
        <v>4682</v>
      </c>
      <c r="J1882" s="23" t="s">
        <v>4729</v>
      </c>
      <c r="K1882" s="23" t="s">
        <v>4736</v>
      </c>
      <c r="L1882">
        <v>1979</v>
      </c>
      <c r="M1882" s="15" t="s">
        <v>4706</v>
      </c>
      <c r="N1882">
        <v>17</v>
      </c>
      <c r="O1882">
        <v>2</v>
      </c>
      <c r="P1882" s="21">
        <f>DATEVALUE(N1882&amp;"-"&amp;M1882&amp;"-"&amp;L1882)</f>
        <v>29084</v>
      </c>
      <c r="Q1882" s="22">
        <v>21880.82</v>
      </c>
      <c r="R1882" s="23" t="s">
        <v>4698</v>
      </c>
      <c r="S1882" s="23" t="s">
        <v>4701</v>
      </c>
      <c r="T1882" s="23" t="s">
        <v>4704</v>
      </c>
      <c r="U1882" s="23">
        <f>DATEDIF(P1882, DATE(2023, 6, 8), "Y")</f>
        <v>43</v>
      </c>
      <c r="V1882">
        <f>SUM(C1882:K1882)</f>
        <v>37.519999999999996</v>
      </c>
    </row>
    <row r="1883" spans="1:22" ht="15.75">
      <c r="A1883" s="28" t="s">
        <v>3764</v>
      </c>
      <c r="B1883" s="28" t="s">
        <v>3765</v>
      </c>
      <c r="C1883" s="23">
        <v>33.33</v>
      </c>
      <c r="D1883" s="23">
        <v>4.82</v>
      </c>
      <c r="E1883" s="23" t="s">
        <v>4682</v>
      </c>
      <c r="F1883" s="23" t="s">
        <v>4682</v>
      </c>
      <c r="G1883" s="23" t="s">
        <v>4682</v>
      </c>
      <c r="H1883" s="23">
        <v>1</v>
      </c>
      <c r="I1883" s="23" t="s">
        <v>4682</v>
      </c>
      <c r="J1883" s="23" t="s">
        <v>4729</v>
      </c>
      <c r="K1883" s="23" t="s">
        <v>4737</v>
      </c>
      <c r="L1883">
        <v>2003</v>
      </c>
      <c r="M1883" s="15" t="s">
        <v>4703</v>
      </c>
      <c r="N1883">
        <v>28</v>
      </c>
      <c r="O1883">
        <v>0</v>
      </c>
      <c r="P1883" s="21">
        <f>DATEVALUE(N1883&amp;"-"&amp;M1883&amp;"-"&amp;L1883)</f>
        <v>37892</v>
      </c>
      <c r="Q1883" s="22">
        <v>21882.400000000001</v>
      </c>
      <c r="R1883" s="23" t="s">
        <v>4697</v>
      </c>
      <c r="S1883" s="23" t="s">
        <v>4701</v>
      </c>
      <c r="T1883" s="23" t="s">
        <v>4708</v>
      </c>
      <c r="U1883" s="23">
        <f>DATEDIF(P1883, DATE(2023, 6, 8), "Y")</f>
        <v>19</v>
      </c>
      <c r="V1883">
        <f>SUM(C1883:K1883)</f>
        <v>39.15</v>
      </c>
    </row>
    <row r="1884" spans="1:22" ht="15.75">
      <c r="A1884" s="28" t="s">
        <v>3766</v>
      </c>
      <c r="B1884" s="28" t="s">
        <v>3767</v>
      </c>
      <c r="C1884" s="23">
        <v>32.4</v>
      </c>
      <c r="D1884" s="23">
        <v>5.08</v>
      </c>
      <c r="E1884" s="23" t="s">
        <v>4682</v>
      </c>
      <c r="F1884" s="23" t="s">
        <v>4682</v>
      </c>
      <c r="G1884" s="23" t="s">
        <v>4682</v>
      </c>
      <c r="H1884" s="23">
        <v>1</v>
      </c>
      <c r="I1884" s="23" t="s">
        <v>4682</v>
      </c>
      <c r="J1884" s="23" t="s">
        <v>4729</v>
      </c>
      <c r="K1884" s="23" t="s">
        <v>4737</v>
      </c>
      <c r="L1884">
        <v>1975</v>
      </c>
      <c r="M1884" s="15" t="s">
        <v>4705</v>
      </c>
      <c r="N1884">
        <v>19</v>
      </c>
      <c r="O1884">
        <v>1</v>
      </c>
      <c r="P1884" s="21">
        <f>DATEVALUE(N1884&amp;"-"&amp;M1884&amp;"-"&amp;L1884)</f>
        <v>27747</v>
      </c>
      <c r="Q1884" s="22">
        <v>21978.68</v>
      </c>
      <c r="R1884" s="23" t="s">
        <v>4698</v>
      </c>
      <c r="S1884" s="23" t="s">
        <v>4698</v>
      </c>
      <c r="T1884" s="23" t="s">
        <v>4699</v>
      </c>
      <c r="U1884" s="23">
        <f>DATEDIF(P1884, DATE(2023, 6, 8), "Y")</f>
        <v>47</v>
      </c>
      <c r="V1884">
        <f>SUM(C1884:K1884)</f>
        <v>38.479999999999997</v>
      </c>
    </row>
    <row r="1885" spans="1:22" ht="15.75">
      <c r="A1885" s="28" t="s">
        <v>3768</v>
      </c>
      <c r="B1885" s="28" t="s">
        <v>3769</v>
      </c>
      <c r="C1885" s="23">
        <v>27.93</v>
      </c>
      <c r="D1885" s="23">
        <v>5.59</v>
      </c>
      <c r="E1885" s="23" t="s">
        <v>4682</v>
      </c>
      <c r="F1885" s="23" t="s">
        <v>4682</v>
      </c>
      <c r="G1885" s="23" t="s">
        <v>4682</v>
      </c>
      <c r="H1885" s="23">
        <v>1</v>
      </c>
      <c r="I1885" s="23" t="s">
        <v>4682</v>
      </c>
      <c r="J1885" s="23" t="s">
        <v>4730</v>
      </c>
      <c r="K1885" s="23" t="s">
        <v>4737</v>
      </c>
      <c r="L1885">
        <v>1989</v>
      </c>
      <c r="M1885" s="15" t="s">
        <v>4707</v>
      </c>
      <c r="N1885">
        <v>14</v>
      </c>
      <c r="O1885">
        <v>0</v>
      </c>
      <c r="P1885" s="21">
        <f>DATEVALUE(N1885&amp;"-"&amp;M1885&amp;"-"&amp;L1885)</f>
        <v>32795</v>
      </c>
      <c r="Q1885" s="22">
        <v>21984.47</v>
      </c>
      <c r="R1885" s="23" t="s">
        <v>4698</v>
      </c>
      <c r="S1885" s="23" t="s">
        <v>4701</v>
      </c>
      <c r="T1885" s="23" t="s">
        <v>4704</v>
      </c>
      <c r="U1885" s="23">
        <f>DATEDIF(P1885, DATE(2023, 6, 8), "Y")</f>
        <v>33</v>
      </c>
      <c r="V1885">
        <f>SUM(C1885:K1885)</f>
        <v>34.519999999999996</v>
      </c>
    </row>
    <row r="1886" spans="1:22" ht="15.75">
      <c r="A1886" s="28" t="s">
        <v>3770</v>
      </c>
      <c r="B1886" s="28" t="s">
        <v>3771</v>
      </c>
      <c r="C1886" s="23">
        <v>21.754999999999999</v>
      </c>
      <c r="D1886" s="23">
        <v>5.12</v>
      </c>
      <c r="E1886" s="23" t="s">
        <v>4682</v>
      </c>
      <c r="F1886" s="23" t="s">
        <v>4682</v>
      </c>
      <c r="G1886" s="23" t="s">
        <v>4682</v>
      </c>
      <c r="H1886" s="23">
        <v>0</v>
      </c>
      <c r="I1886" s="23" t="s">
        <v>4682</v>
      </c>
      <c r="J1886" s="23" t="s">
        <v>4728</v>
      </c>
      <c r="K1886" s="23" t="s">
        <v>4737</v>
      </c>
      <c r="L1886">
        <v>2001</v>
      </c>
      <c r="M1886" s="15" t="s">
        <v>4706</v>
      </c>
      <c r="N1886">
        <v>28</v>
      </c>
      <c r="O1886">
        <v>0</v>
      </c>
      <c r="P1886" s="21">
        <f>DATEVALUE(N1886&amp;"-"&amp;M1886&amp;"-"&amp;L1886)</f>
        <v>37131</v>
      </c>
      <c r="Q1886" s="22">
        <v>22097.62</v>
      </c>
      <c r="R1886" s="23" t="s">
        <v>4698</v>
      </c>
      <c r="S1886" s="23" t="s">
        <v>4701</v>
      </c>
      <c r="T1886" s="23" t="s">
        <v>4708</v>
      </c>
      <c r="U1886" s="23">
        <f>DATEDIF(P1886, DATE(2023, 6, 8), "Y")</f>
        <v>21</v>
      </c>
      <c r="V1886">
        <f>SUM(C1886:K1886)</f>
        <v>26.875</v>
      </c>
    </row>
    <row r="1887" spans="1:22" ht="15.75">
      <c r="A1887" s="28" t="s">
        <v>3772</v>
      </c>
      <c r="B1887" s="28" t="s">
        <v>3773</v>
      </c>
      <c r="C1887" s="23">
        <v>25.934999999999999</v>
      </c>
      <c r="D1887" s="23">
        <v>4.95</v>
      </c>
      <c r="E1887" s="23" t="s">
        <v>4682</v>
      </c>
      <c r="F1887" s="23" t="s">
        <v>4682</v>
      </c>
      <c r="G1887" s="23" t="s">
        <v>4682</v>
      </c>
      <c r="H1887" s="23">
        <v>0</v>
      </c>
      <c r="I1887" s="23" t="s">
        <v>4682</v>
      </c>
      <c r="J1887" s="23" t="s">
        <v>4730</v>
      </c>
      <c r="K1887" s="23" t="s">
        <v>4737</v>
      </c>
      <c r="L1887">
        <v>1980</v>
      </c>
      <c r="M1887" s="15" t="s">
        <v>4703</v>
      </c>
      <c r="N1887">
        <v>12</v>
      </c>
      <c r="O1887">
        <v>0</v>
      </c>
      <c r="P1887" s="21">
        <f>DATEVALUE(N1887&amp;"-"&amp;M1887&amp;"-"&amp;L1887)</f>
        <v>29476</v>
      </c>
      <c r="Q1887" s="22">
        <v>22144.03</v>
      </c>
      <c r="R1887" s="23" t="s">
        <v>4697</v>
      </c>
      <c r="S1887" s="23" t="s">
        <v>4697</v>
      </c>
      <c r="T1887" s="23" t="s">
        <v>4708</v>
      </c>
      <c r="U1887" s="23">
        <f>DATEDIF(P1887, DATE(2023, 6, 8), "Y")</f>
        <v>42</v>
      </c>
      <c r="V1887">
        <f>SUM(C1887:K1887)</f>
        <v>30.884999999999998</v>
      </c>
    </row>
    <row r="1888" spans="1:22" ht="15.75">
      <c r="A1888" s="28" t="s">
        <v>3774</v>
      </c>
      <c r="B1888" s="28" t="s">
        <v>3775</v>
      </c>
      <c r="C1888" s="23">
        <v>31.5</v>
      </c>
      <c r="D1888" s="23">
        <v>6.16</v>
      </c>
      <c r="E1888" s="23" t="s">
        <v>4682</v>
      </c>
      <c r="F1888" s="23" t="s">
        <v>4682</v>
      </c>
      <c r="G1888" s="23" t="s">
        <v>4682</v>
      </c>
      <c r="H1888" s="23">
        <v>0</v>
      </c>
      <c r="I1888" s="23" t="s">
        <v>4682</v>
      </c>
      <c r="J1888" s="23" t="s">
        <v>4729</v>
      </c>
      <c r="K1888" s="23" t="s">
        <v>4736</v>
      </c>
      <c r="L1888">
        <v>1965</v>
      </c>
      <c r="M1888" s="15" t="s">
        <v>4706</v>
      </c>
      <c r="N1888">
        <v>24</v>
      </c>
      <c r="O1888">
        <v>1</v>
      </c>
      <c r="P1888" s="21">
        <f>DATEVALUE(N1888&amp;"-"&amp;M1888&amp;"-"&amp;L1888)</f>
        <v>23978</v>
      </c>
      <c r="Q1888" s="22">
        <v>22192.44</v>
      </c>
      <c r="R1888" s="23" t="s">
        <v>4698</v>
      </c>
      <c r="S1888" s="23" t="s">
        <v>4701</v>
      </c>
      <c r="T1888" s="23" t="s">
        <v>4699</v>
      </c>
      <c r="U1888" s="23">
        <f>DATEDIF(P1888, DATE(2023, 6, 8), "Y")</f>
        <v>57</v>
      </c>
      <c r="V1888">
        <f>SUM(C1888:K1888)</f>
        <v>37.659999999999997</v>
      </c>
    </row>
    <row r="1889" spans="1:22" ht="15.75">
      <c r="A1889" s="28" t="s">
        <v>3776</v>
      </c>
      <c r="B1889" s="28" t="s">
        <v>3777</v>
      </c>
      <c r="C1889" s="23">
        <v>30.03</v>
      </c>
      <c r="D1889" s="23">
        <v>6.41</v>
      </c>
      <c r="E1889" s="23" t="s">
        <v>4682</v>
      </c>
      <c r="F1889" s="23" t="s">
        <v>4682</v>
      </c>
      <c r="G1889" s="23" t="s">
        <v>4682</v>
      </c>
      <c r="H1889" s="23">
        <v>0</v>
      </c>
      <c r="I1889" s="23" t="s">
        <v>4682</v>
      </c>
      <c r="J1889" s="23" t="s">
        <v>4729</v>
      </c>
      <c r="K1889" s="23" t="s">
        <v>4735</v>
      </c>
      <c r="L1889">
        <v>1971</v>
      </c>
      <c r="M1889" s="15" t="s">
        <v>4702</v>
      </c>
      <c r="N1889">
        <v>16</v>
      </c>
      <c r="O1889">
        <v>1</v>
      </c>
      <c r="P1889" s="21">
        <f>DATEVALUE(N1889&amp;"-"&amp;M1889&amp;"-"&amp;L1889)</f>
        <v>26100</v>
      </c>
      <c r="Q1889" s="22">
        <v>22218.11</v>
      </c>
      <c r="R1889" s="23" t="s">
        <v>4697</v>
      </c>
      <c r="S1889" s="23" t="s">
        <v>4698</v>
      </c>
      <c r="T1889" s="23" t="s">
        <v>4699</v>
      </c>
      <c r="U1889" s="23">
        <f>DATEDIF(P1889, DATE(2023, 6, 8), "Y")</f>
        <v>51</v>
      </c>
      <c r="V1889">
        <f>SUM(C1889:K1889)</f>
        <v>36.44</v>
      </c>
    </row>
    <row r="1890" spans="1:22" ht="15.75">
      <c r="A1890" s="28" t="s">
        <v>3778</v>
      </c>
      <c r="B1890" s="28" t="s">
        <v>3779</v>
      </c>
      <c r="C1890" s="23">
        <v>33.479999999999997</v>
      </c>
      <c r="D1890" s="23">
        <v>8.94</v>
      </c>
      <c r="E1890" s="23" t="s">
        <v>4682</v>
      </c>
      <c r="F1890" s="23" t="s">
        <v>4682</v>
      </c>
      <c r="G1890" s="23" t="s">
        <v>4682</v>
      </c>
      <c r="H1890" s="23">
        <v>0</v>
      </c>
      <c r="I1890" s="23" t="s">
        <v>4682</v>
      </c>
      <c r="J1890" s="23" t="s">
        <v>4729</v>
      </c>
      <c r="K1890" s="23" t="s">
        <v>4735</v>
      </c>
      <c r="L1890">
        <v>1982</v>
      </c>
      <c r="M1890" s="15" t="s">
        <v>4705</v>
      </c>
      <c r="N1890">
        <v>27</v>
      </c>
      <c r="O1890">
        <v>1</v>
      </c>
      <c r="P1890" s="21">
        <f>DATEVALUE(N1890&amp;"-"&amp;M1890&amp;"-"&amp;L1890)</f>
        <v>30312</v>
      </c>
      <c r="Q1890" s="22">
        <v>22331.57</v>
      </c>
      <c r="R1890" s="23" t="s">
        <v>4697</v>
      </c>
      <c r="S1890" s="23" t="s">
        <v>4698</v>
      </c>
      <c r="T1890" s="23" t="s">
        <v>4714</v>
      </c>
      <c r="U1890" s="23">
        <f>DATEDIF(P1890, DATE(2023, 6, 8), "Y")</f>
        <v>40</v>
      </c>
      <c r="V1890">
        <f>SUM(C1890:K1890)</f>
        <v>42.419999999999995</v>
      </c>
    </row>
    <row r="1891" spans="1:22" ht="15.75">
      <c r="A1891" s="28" t="s">
        <v>3780</v>
      </c>
      <c r="B1891" s="28" t="s">
        <v>3781</v>
      </c>
      <c r="C1891" s="23">
        <v>16.510000000000002</v>
      </c>
      <c r="D1891" s="23">
        <v>4.42</v>
      </c>
      <c r="E1891" s="23" t="s">
        <v>4683</v>
      </c>
      <c r="F1891" s="23" t="s">
        <v>4682</v>
      </c>
      <c r="G1891" s="23" t="s">
        <v>4684</v>
      </c>
      <c r="H1891" s="23">
        <v>1</v>
      </c>
      <c r="I1891" s="23" t="s">
        <v>4682</v>
      </c>
      <c r="J1891" s="23" t="s">
        <v>4731</v>
      </c>
      <c r="K1891" s="23" t="s">
        <v>4737</v>
      </c>
      <c r="L1891">
        <v>1999</v>
      </c>
      <c r="M1891" s="15" t="s">
        <v>4706</v>
      </c>
      <c r="N1891">
        <v>26</v>
      </c>
      <c r="O1891">
        <v>2</v>
      </c>
      <c r="P1891" s="21">
        <f>DATEVALUE(N1891&amp;"-"&amp;M1891&amp;"-"&amp;L1891)</f>
        <v>36398</v>
      </c>
      <c r="Q1891" s="22">
        <v>22395.74</v>
      </c>
      <c r="R1891" s="23" t="s">
        <v>4698</v>
      </c>
      <c r="S1891" s="23" t="s">
        <v>4697</v>
      </c>
      <c r="T1891" s="23" t="s">
        <v>4714</v>
      </c>
      <c r="U1891" s="23">
        <f>DATEDIF(P1891, DATE(2023, 6, 8), "Y")</f>
        <v>23</v>
      </c>
      <c r="V1891">
        <f>SUM(C1891:K1891)</f>
        <v>21.93</v>
      </c>
    </row>
    <row r="1892" spans="1:22" ht="15.75">
      <c r="A1892" s="28" t="s">
        <v>3782</v>
      </c>
      <c r="B1892" s="28" t="s">
        <v>3783</v>
      </c>
      <c r="C1892" s="23">
        <v>33.155000000000001</v>
      </c>
      <c r="D1892" s="23">
        <v>5.3</v>
      </c>
      <c r="E1892" s="23" t="s">
        <v>4683</v>
      </c>
      <c r="F1892" s="23" t="s">
        <v>4682</v>
      </c>
      <c r="G1892" s="23" t="s">
        <v>4682</v>
      </c>
      <c r="H1892" s="23">
        <v>1</v>
      </c>
      <c r="I1892" s="23" t="s">
        <v>4682</v>
      </c>
      <c r="J1892" s="23" t="s">
        <v>4729</v>
      </c>
      <c r="K1892" s="23" t="s">
        <v>4737</v>
      </c>
      <c r="L1892">
        <v>1966</v>
      </c>
      <c r="M1892" s="15" t="s">
        <v>4706</v>
      </c>
      <c r="N1892">
        <v>18</v>
      </c>
      <c r="O1892">
        <v>0</v>
      </c>
      <c r="P1892" s="21">
        <f>DATEVALUE(N1892&amp;"-"&amp;M1892&amp;"-"&amp;L1892)</f>
        <v>24337</v>
      </c>
      <c r="Q1892" s="22">
        <v>22412.65</v>
      </c>
      <c r="R1892" s="23" t="s">
        <v>4698</v>
      </c>
      <c r="S1892" s="23" t="s">
        <v>4698</v>
      </c>
      <c r="T1892" s="23" t="s">
        <v>4716</v>
      </c>
      <c r="U1892" s="23">
        <f>DATEDIF(P1892, DATE(2023, 6, 8), "Y")</f>
        <v>56</v>
      </c>
      <c r="V1892">
        <f>SUM(C1892:K1892)</f>
        <v>39.454999999999998</v>
      </c>
    </row>
    <row r="1893" spans="1:22" ht="15.75">
      <c r="A1893" s="28" t="s">
        <v>3784</v>
      </c>
      <c r="B1893" s="28" t="s">
        <v>3785</v>
      </c>
      <c r="C1893" s="23">
        <v>37.29</v>
      </c>
      <c r="D1893" s="23">
        <v>4.6399999999999997</v>
      </c>
      <c r="E1893" s="23" t="s">
        <v>4682</v>
      </c>
      <c r="F1893" s="23" t="s">
        <v>4682</v>
      </c>
      <c r="G1893" s="23" t="s">
        <v>4684</v>
      </c>
      <c r="H1893" s="23">
        <v>1</v>
      </c>
      <c r="I1893" s="23" t="s">
        <v>4682</v>
      </c>
      <c r="J1893" s="23" t="s">
        <v>4729</v>
      </c>
      <c r="K1893" s="23" t="s">
        <v>4737</v>
      </c>
      <c r="L1893">
        <v>1983</v>
      </c>
      <c r="M1893" s="15" t="s">
        <v>4705</v>
      </c>
      <c r="N1893">
        <v>21</v>
      </c>
      <c r="O1893">
        <v>1</v>
      </c>
      <c r="P1893" s="21">
        <f>DATEVALUE(N1893&amp;"-"&amp;M1893&amp;"-"&amp;L1893)</f>
        <v>30671</v>
      </c>
      <c r="Q1893" s="22">
        <v>22462.04</v>
      </c>
      <c r="R1893" s="23" t="s">
        <v>4698</v>
      </c>
      <c r="S1893" s="23" t="s">
        <v>4701</v>
      </c>
      <c r="T1893" s="23" t="s">
        <v>4710</v>
      </c>
      <c r="U1893" s="23">
        <f>DATEDIF(P1893, DATE(2023, 6, 8), "Y")</f>
        <v>39</v>
      </c>
      <c r="V1893">
        <f>SUM(C1893:K1893)</f>
        <v>42.93</v>
      </c>
    </row>
    <row r="1894" spans="1:22" ht="15.75">
      <c r="A1894" s="28" t="s">
        <v>3786</v>
      </c>
      <c r="B1894" s="28" t="s">
        <v>3787</v>
      </c>
      <c r="C1894" s="23">
        <v>20.23</v>
      </c>
      <c r="D1894" s="23">
        <v>6.16</v>
      </c>
      <c r="E1894" s="23" t="s">
        <v>4683</v>
      </c>
      <c r="F1894" s="23" t="s">
        <v>4682</v>
      </c>
      <c r="G1894" s="23" t="s">
        <v>4682</v>
      </c>
      <c r="H1894" s="23">
        <v>1</v>
      </c>
      <c r="I1894" s="23" t="s">
        <v>4682</v>
      </c>
      <c r="J1894" s="23" t="s">
        <v>4728</v>
      </c>
      <c r="K1894" s="23" t="s">
        <v>4736</v>
      </c>
      <c r="L1894">
        <v>1979</v>
      </c>
      <c r="M1894" s="15" t="s">
        <v>4700</v>
      </c>
      <c r="N1894">
        <v>14</v>
      </c>
      <c r="O1894">
        <v>2</v>
      </c>
      <c r="P1894" s="21">
        <f>DATEVALUE(N1894&amp;"-"&amp;M1894&amp;"-"&amp;L1894)</f>
        <v>29173</v>
      </c>
      <c r="Q1894" s="22">
        <v>22478.6</v>
      </c>
      <c r="R1894" s="23" t="s">
        <v>4698</v>
      </c>
      <c r="S1894" s="23" t="s">
        <v>4697</v>
      </c>
      <c r="T1894" s="23" t="s">
        <v>4708</v>
      </c>
      <c r="U1894" s="23">
        <f>DATEDIF(P1894, DATE(2023, 6, 8), "Y")</f>
        <v>43</v>
      </c>
      <c r="V1894">
        <f>SUM(C1894:K1894)</f>
        <v>27.39</v>
      </c>
    </row>
    <row r="1895" spans="1:22" ht="15.75">
      <c r="A1895" s="28" t="s">
        <v>3788</v>
      </c>
      <c r="B1895" s="28" t="s">
        <v>3789</v>
      </c>
      <c r="C1895" s="23">
        <v>28.975000000000001</v>
      </c>
      <c r="D1895" s="23">
        <v>4.12</v>
      </c>
      <c r="E1895" s="23" t="s">
        <v>4682</v>
      </c>
      <c r="F1895" s="23" t="s">
        <v>4682</v>
      </c>
      <c r="G1895" s="23" t="s">
        <v>4684</v>
      </c>
      <c r="H1895" s="23">
        <v>1</v>
      </c>
      <c r="I1895" s="23" t="s">
        <v>4682</v>
      </c>
      <c r="J1895" s="23" t="s">
        <v>4730</v>
      </c>
      <c r="K1895" s="23" t="s">
        <v>4737</v>
      </c>
      <c r="L1895">
        <v>2003</v>
      </c>
      <c r="M1895" s="15" t="s">
        <v>4696</v>
      </c>
      <c r="N1895">
        <v>25</v>
      </c>
      <c r="O1895">
        <v>2</v>
      </c>
      <c r="P1895" s="21">
        <f>DATEVALUE(N1895&amp;"-"&amp;M1895&amp;"-"&amp;L1895)</f>
        <v>37827</v>
      </c>
      <c r="Q1895" s="22">
        <v>22493.66</v>
      </c>
      <c r="R1895" s="23" t="s">
        <v>4697</v>
      </c>
      <c r="S1895" s="23" t="s">
        <v>4701</v>
      </c>
      <c r="T1895" s="23" t="s">
        <v>4704</v>
      </c>
      <c r="U1895" s="23">
        <f>DATEDIF(P1895, DATE(2023, 6, 8), "Y")</f>
        <v>19</v>
      </c>
      <c r="V1895">
        <f>SUM(C1895:K1895)</f>
        <v>34.094999999999999</v>
      </c>
    </row>
    <row r="1896" spans="1:22" ht="15.75">
      <c r="A1896" s="28" t="s">
        <v>3790</v>
      </c>
      <c r="B1896" s="28" t="s">
        <v>3791</v>
      </c>
      <c r="C1896" s="23">
        <v>16.420000000000002</v>
      </c>
      <c r="D1896" s="23">
        <v>5.77</v>
      </c>
      <c r="E1896" s="23" t="s">
        <v>4683</v>
      </c>
      <c r="F1896" s="23" t="s">
        <v>4682</v>
      </c>
      <c r="G1896" s="23" t="s">
        <v>4684</v>
      </c>
      <c r="H1896" s="23">
        <v>1</v>
      </c>
      <c r="I1896" s="23" t="s">
        <v>4682</v>
      </c>
      <c r="J1896" s="23" t="s">
        <v>4731</v>
      </c>
      <c r="K1896" s="23" t="s">
        <v>4736</v>
      </c>
      <c r="L1896">
        <v>1970</v>
      </c>
      <c r="M1896" s="15" t="s">
        <v>4700</v>
      </c>
      <c r="N1896">
        <v>9</v>
      </c>
      <c r="O1896">
        <v>0</v>
      </c>
      <c r="P1896" s="21">
        <f>DATEVALUE(N1896&amp;"-"&amp;M1896&amp;"-"&amp;L1896)</f>
        <v>25881</v>
      </c>
      <c r="Q1896" s="22">
        <v>23045.57</v>
      </c>
      <c r="R1896" s="23" t="s">
        <v>4697</v>
      </c>
      <c r="S1896" s="23" t="s">
        <v>4697</v>
      </c>
      <c r="T1896" s="23" t="s">
        <v>4714</v>
      </c>
      <c r="U1896" s="23">
        <f>DATEDIF(P1896, DATE(2023, 6, 8), "Y")</f>
        <v>52</v>
      </c>
      <c r="V1896">
        <f>SUM(C1896:K1896)</f>
        <v>23.19</v>
      </c>
    </row>
    <row r="1897" spans="1:22" ht="15.75">
      <c r="A1897" s="28" t="s">
        <v>3792</v>
      </c>
      <c r="B1897" s="28" t="s">
        <v>3793</v>
      </c>
      <c r="C1897" s="23">
        <v>17.559999999999999</v>
      </c>
      <c r="D1897" s="23">
        <v>6.2</v>
      </c>
      <c r="E1897" s="23" t="s">
        <v>4682</v>
      </c>
      <c r="F1897" s="23" t="s">
        <v>4682</v>
      </c>
      <c r="G1897" s="23" t="s">
        <v>4682</v>
      </c>
      <c r="H1897" s="23">
        <v>1</v>
      </c>
      <c r="I1897" s="23" t="s">
        <v>4682</v>
      </c>
      <c r="J1897" s="23" t="s">
        <v>4731</v>
      </c>
      <c r="K1897" s="23" t="s">
        <v>4736</v>
      </c>
      <c r="L1897">
        <v>1975</v>
      </c>
      <c r="M1897" s="15" t="s">
        <v>4703</v>
      </c>
      <c r="N1897">
        <v>9</v>
      </c>
      <c r="O1897">
        <v>0</v>
      </c>
      <c r="P1897" s="21">
        <f>DATEVALUE(N1897&amp;"-"&amp;M1897&amp;"-"&amp;L1897)</f>
        <v>27646</v>
      </c>
      <c r="Q1897" s="22">
        <v>23065.42</v>
      </c>
      <c r="R1897" s="23" t="s">
        <v>4697</v>
      </c>
      <c r="S1897" s="23" t="s">
        <v>4697</v>
      </c>
      <c r="T1897" s="23" t="s">
        <v>4699</v>
      </c>
      <c r="U1897" s="23">
        <f>DATEDIF(P1897, DATE(2023, 6, 8), "Y")</f>
        <v>47</v>
      </c>
      <c r="V1897">
        <f>SUM(C1897:K1897)</f>
        <v>24.759999999999998</v>
      </c>
    </row>
    <row r="1898" spans="1:22" ht="15.75">
      <c r="A1898" s="28" t="s">
        <v>3794</v>
      </c>
      <c r="B1898" s="28" t="s">
        <v>3795</v>
      </c>
      <c r="C1898" s="23">
        <v>24.13</v>
      </c>
      <c r="D1898" s="23">
        <v>4.3899999999999997</v>
      </c>
      <c r="E1898" s="23" t="s">
        <v>4682</v>
      </c>
      <c r="F1898" s="23" t="s">
        <v>4682</v>
      </c>
      <c r="G1898" s="23" t="s">
        <v>4682</v>
      </c>
      <c r="H1898" s="23">
        <v>1</v>
      </c>
      <c r="I1898" s="23" t="s">
        <v>4682</v>
      </c>
      <c r="J1898" s="23" t="s">
        <v>4728</v>
      </c>
      <c r="K1898" s="23" t="s">
        <v>4737</v>
      </c>
      <c r="L1898">
        <v>2003</v>
      </c>
      <c r="M1898" s="15" t="s">
        <v>4705</v>
      </c>
      <c r="N1898">
        <v>14</v>
      </c>
      <c r="O1898">
        <v>0</v>
      </c>
      <c r="P1898" s="21">
        <f>DATEVALUE(N1898&amp;"-"&amp;M1898&amp;"-"&amp;L1898)</f>
        <v>37969</v>
      </c>
      <c r="Q1898" s="22">
        <v>23082.959999999999</v>
      </c>
      <c r="R1898" s="23" t="s">
        <v>4697</v>
      </c>
      <c r="S1898" s="23" t="s">
        <v>4697</v>
      </c>
      <c r="T1898" s="23" t="s">
        <v>4708</v>
      </c>
      <c r="U1898" s="23">
        <f>DATEDIF(P1898, DATE(2023, 6, 8), "Y")</f>
        <v>19</v>
      </c>
      <c r="V1898">
        <f>SUM(C1898:K1898)</f>
        <v>29.52</v>
      </c>
    </row>
    <row r="1899" spans="1:22" ht="15.75">
      <c r="A1899" s="28" t="s">
        <v>3796</v>
      </c>
      <c r="B1899" s="28" t="s">
        <v>3797</v>
      </c>
      <c r="C1899" s="23">
        <v>19.95</v>
      </c>
      <c r="D1899" s="23">
        <v>5.13</v>
      </c>
      <c r="E1899" s="23" t="s">
        <v>4682</v>
      </c>
      <c r="F1899" s="23" t="s">
        <v>4683</v>
      </c>
      <c r="G1899" s="23" t="s">
        <v>4682</v>
      </c>
      <c r="H1899" s="23">
        <v>2</v>
      </c>
      <c r="I1899" s="23" t="s">
        <v>4682</v>
      </c>
      <c r="J1899" s="23" t="s">
        <v>4728</v>
      </c>
      <c r="K1899" s="23" t="s">
        <v>4737</v>
      </c>
      <c r="L1899">
        <v>1997</v>
      </c>
      <c r="M1899" s="15" t="s">
        <v>4706</v>
      </c>
      <c r="N1899">
        <v>7</v>
      </c>
      <c r="O1899">
        <v>2</v>
      </c>
      <c r="P1899" s="21">
        <f>DATEVALUE(N1899&amp;"-"&amp;M1899&amp;"-"&amp;L1899)</f>
        <v>35649</v>
      </c>
      <c r="Q1899" s="22">
        <v>23241.47</v>
      </c>
      <c r="R1899" s="23" t="s">
        <v>4697</v>
      </c>
      <c r="S1899" s="23" t="s">
        <v>4698</v>
      </c>
      <c r="T1899" s="23" t="s">
        <v>4712</v>
      </c>
      <c r="U1899" s="23">
        <f>DATEDIF(P1899, DATE(2023, 6, 8), "Y")</f>
        <v>25</v>
      </c>
      <c r="V1899">
        <f>SUM(C1899:K1899)</f>
        <v>27.08</v>
      </c>
    </row>
    <row r="1900" spans="1:22" ht="15.75">
      <c r="A1900" s="28" t="s">
        <v>3798</v>
      </c>
      <c r="B1900" s="28" t="s">
        <v>3799</v>
      </c>
      <c r="C1900" s="23">
        <v>21.24</v>
      </c>
      <c r="D1900" s="23">
        <v>4.49</v>
      </c>
      <c r="E1900" s="23" t="s">
        <v>4682</v>
      </c>
      <c r="F1900" s="23" t="s">
        <v>4682</v>
      </c>
      <c r="G1900" s="23" t="s">
        <v>4682</v>
      </c>
      <c r="H1900" s="23">
        <v>0</v>
      </c>
      <c r="I1900" s="23" t="s">
        <v>4682</v>
      </c>
      <c r="J1900" s="23" t="s">
        <v>4728</v>
      </c>
      <c r="K1900" s="23" t="s">
        <v>4737</v>
      </c>
      <c r="L1900">
        <v>1969</v>
      </c>
      <c r="M1900" s="15" t="s">
        <v>4700</v>
      </c>
      <c r="N1900">
        <v>14</v>
      </c>
      <c r="O1900">
        <v>1</v>
      </c>
      <c r="P1900" s="21">
        <f>DATEVALUE(N1900&amp;"-"&amp;M1900&amp;"-"&amp;L1900)</f>
        <v>25521</v>
      </c>
      <c r="Q1900" s="22">
        <v>23244.79</v>
      </c>
      <c r="R1900" s="23" t="s">
        <v>4697</v>
      </c>
      <c r="S1900" s="23" t="s">
        <v>4698</v>
      </c>
      <c r="T1900" s="23" t="s">
        <v>4699</v>
      </c>
      <c r="U1900" s="23">
        <f>DATEDIF(P1900, DATE(2023, 6, 8), "Y")</f>
        <v>53</v>
      </c>
      <c r="V1900">
        <f>SUM(C1900:K1900)</f>
        <v>25.729999999999997</v>
      </c>
    </row>
    <row r="1901" spans="1:22" ht="15.75">
      <c r="A1901" s="28" t="s">
        <v>3800</v>
      </c>
      <c r="B1901" s="28" t="s">
        <v>3801</v>
      </c>
      <c r="C1901" s="23">
        <v>44.22</v>
      </c>
      <c r="D1901" s="23">
        <v>6.35</v>
      </c>
      <c r="E1901" s="23" t="s">
        <v>4682</v>
      </c>
      <c r="F1901" s="23" t="s">
        <v>4682</v>
      </c>
      <c r="G1901" s="23" t="s">
        <v>4682</v>
      </c>
      <c r="H1901" s="23">
        <v>0</v>
      </c>
      <c r="I1901" s="23" t="s">
        <v>4682</v>
      </c>
      <c r="J1901" s="23" t="s">
        <v>4729</v>
      </c>
      <c r="K1901" s="23" t="s">
        <v>4736</v>
      </c>
      <c r="L1901">
        <v>1994</v>
      </c>
      <c r="M1901" s="15" t="s">
        <v>4707</v>
      </c>
      <c r="N1901">
        <v>3</v>
      </c>
      <c r="O1901">
        <v>1</v>
      </c>
      <c r="P1901" s="21">
        <f>DATEVALUE(N1901&amp;"-"&amp;M1901&amp;"-"&amp;L1901)</f>
        <v>34610</v>
      </c>
      <c r="Q1901" s="22">
        <v>23288.93</v>
      </c>
      <c r="R1901" s="23" t="s">
        <v>4697</v>
      </c>
      <c r="S1901" s="23" t="s">
        <v>4698</v>
      </c>
      <c r="T1901" s="23" t="s">
        <v>4714</v>
      </c>
      <c r="U1901" s="23">
        <f>DATEDIF(P1901, DATE(2023, 6, 8), "Y")</f>
        <v>28</v>
      </c>
      <c r="V1901">
        <f>SUM(C1901:K1901)</f>
        <v>50.57</v>
      </c>
    </row>
    <row r="1902" spans="1:22" ht="15.75">
      <c r="A1902" s="28" t="s">
        <v>3802</v>
      </c>
      <c r="B1902" s="28" t="s">
        <v>3803</v>
      </c>
      <c r="C1902" s="23">
        <v>41.1</v>
      </c>
      <c r="D1902" s="23">
        <v>5.79</v>
      </c>
      <c r="E1902" s="23" t="s">
        <v>4682</v>
      </c>
      <c r="F1902" s="23" t="s">
        <v>4682</v>
      </c>
      <c r="G1902" s="23" t="s">
        <v>4682</v>
      </c>
      <c r="H1902" s="23">
        <v>0</v>
      </c>
      <c r="I1902" s="23" t="s">
        <v>4682</v>
      </c>
      <c r="J1902" s="23" t="s">
        <v>4729</v>
      </c>
      <c r="K1902" s="23" t="s">
        <v>4736</v>
      </c>
      <c r="L1902">
        <v>1973</v>
      </c>
      <c r="M1902" s="15" t="s">
        <v>4707</v>
      </c>
      <c r="N1902">
        <v>22</v>
      </c>
      <c r="O1902">
        <v>2</v>
      </c>
      <c r="P1902" s="21">
        <f>DATEVALUE(N1902&amp;"-"&amp;M1902&amp;"-"&amp;L1902)</f>
        <v>26959</v>
      </c>
      <c r="Q1902" s="22">
        <v>23306.55</v>
      </c>
      <c r="R1902" s="23" t="s">
        <v>4697</v>
      </c>
      <c r="S1902" s="23" t="s">
        <v>4697</v>
      </c>
      <c r="T1902" s="23" t="s">
        <v>4708</v>
      </c>
      <c r="U1902" s="23">
        <f>DATEDIF(P1902, DATE(2023, 6, 8), "Y")</f>
        <v>49</v>
      </c>
      <c r="V1902">
        <f>SUM(C1902:K1902)</f>
        <v>46.89</v>
      </c>
    </row>
    <row r="1903" spans="1:22" ht="15.75">
      <c r="A1903" s="28" t="s">
        <v>3804</v>
      </c>
      <c r="B1903" s="28" t="s">
        <v>3805</v>
      </c>
      <c r="C1903" s="23">
        <v>34.200000000000003</v>
      </c>
      <c r="D1903" s="23">
        <v>4.78</v>
      </c>
      <c r="E1903" s="23" t="s">
        <v>4683</v>
      </c>
      <c r="F1903" s="23" t="s">
        <v>4682</v>
      </c>
      <c r="G1903" s="23" t="s">
        <v>4682</v>
      </c>
      <c r="H1903" s="23">
        <v>0</v>
      </c>
      <c r="I1903" s="23" t="s">
        <v>4682</v>
      </c>
      <c r="J1903" s="23" t="s">
        <v>4729</v>
      </c>
      <c r="K1903" s="23" t="s">
        <v>4737</v>
      </c>
      <c r="L1903">
        <v>1975</v>
      </c>
      <c r="M1903" s="15" t="s">
        <v>4700</v>
      </c>
      <c r="N1903">
        <v>13</v>
      </c>
      <c r="O1903">
        <v>1</v>
      </c>
      <c r="P1903" s="21">
        <f>DATEVALUE(N1903&amp;"-"&amp;M1903&amp;"-"&amp;L1903)</f>
        <v>27711</v>
      </c>
      <c r="Q1903" s="22">
        <v>23401.31</v>
      </c>
      <c r="R1903" s="23" t="s">
        <v>4697</v>
      </c>
      <c r="S1903" s="23" t="s">
        <v>4698</v>
      </c>
      <c r="T1903" s="23" t="s">
        <v>4714</v>
      </c>
      <c r="U1903" s="23">
        <f>DATEDIF(P1903, DATE(2023, 6, 8), "Y")</f>
        <v>47</v>
      </c>
      <c r="V1903">
        <f>SUM(C1903:K1903)</f>
        <v>38.980000000000004</v>
      </c>
    </row>
    <row r="1904" spans="1:22" ht="15.75">
      <c r="A1904" s="28" t="s">
        <v>3806</v>
      </c>
      <c r="B1904" s="28" t="s">
        <v>3807</v>
      </c>
      <c r="C1904" s="23">
        <v>29.92</v>
      </c>
      <c r="D1904" s="23">
        <v>6.02</v>
      </c>
      <c r="E1904" s="23" t="s">
        <v>4683</v>
      </c>
      <c r="F1904" s="23" t="s">
        <v>4682</v>
      </c>
      <c r="G1904" s="23" t="s">
        <v>4682</v>
      </c>
      <c r="H1904" s="23">
        <v>0</v>
      </c>
      <c r="I1904" s="23" t="s">
        <v>4682</v>
      </c>
      <c r="J1904" s="23" t="s">
        <v>4729</v>
      </c>
      <c r="K1904" s="23" t="s">
        <v>4736</v>
      </c>
      <c r="L1904">
        <v>1983</v>
      </c>
      <c r="M1904" s="15" t="s">
        <v>4706</v>
      </c>
      <c r="N1904">
        <v>26</v>
      </c>
      <c r="O1904">
        <v>2</v>
      </c>
      <c r="P1904" s="21">
        <f>DATEVALUE(N1904&amp;"-"&amp;M1904&amp;"-"&amp;L1904)</f>
        <v>30554</v>
      </c>
      <c r="Q1904" s="22">
        <v>23563.02</v>
      </c>
      <c r="R1904" s="23" t="s">
        <v>4697</v>
      </c>
      <c r="S1904" s="23" t="s">
        <v>4697</v>
      </c>
      <c r="T1904" s="23" t="s">
        <v>4699</v>
      </c>
      <c r="U1904" s="23">
        <f>DATEDIF(P1904, DATE(2023, 6, 8), "Y")</f>
        <v>39</v>
      </c>
      <c r="V1904">
        <f>SUM(C1904:K1904)</f>
        <v>35.94</v>
      </c>
    </row>
    <row r="1905" spans="1:22" ht="15.75">
      <c r="A1905" s="28" t="s">
        <v>3808</v>
      </c>
      <c r="B1905" s="28" t="s">
        <v>3809</v>
      </c>
      <c r="C1905" s="23">
        <v>28.93</v>
      </c>
      <c r="D1905" s="23">
        <v>4.4400000000000004</v>
      </c>
      <c r="E1905" s="23" t="s">
        <v>4682</v>
      </c>
      <c r="F1905" s="23" t="s">
        <v>4682</v>
      </c>
      <c r="G1905" s="23" t="s">
        <v>4682</v>
      </c>
      <c r="H1905" s="23">
        <v>0</v>
      </c>
      <c r="I1905" s="23" t="s">
        <v>4682</v>
      </c>
      <c r="J1905" s="23" t="s">
        <v>4730</v>
      </c>
      <c r="K1905" s="23" t="s">
        <v>4737</v>
      </c>
      <c r="L1905">
        <v>1974</v>
      </c>
      <c r="M1905" s="15" t="s">
        <v>4702</v>
      </c>
      <c r="N1905">
        <v>2</v>
      </c>
      <c r="O1905">
        <v>1</v>
      </c>
      <c r="P1905" s="21">
        <f>DATEVALUE(N1905&amp;"-"&amp;M1905&amp;"-"&amp;L1905)</f>
        <v>27182</v>
      </c>
      <c r="Q1905" s="22">
        <v>23568.27</v>
      </c>
      <c r="R1905" s="23" t="s">
        <v>4697</v>
      </c>
      <c r="S1905" s="23" t="s">
        <v>4697</v>
      </c>
      <c r="T1905" s="23" t="s">
        <v>4708</v>
      </c>
      <c r="U1905" s="23">
        <f>DATEDIF(P1905, DATE(2023, 6, 8), "Y")</f>
        <v>49</v>
      </c>
      <c r="V1905">
        <f>SUM(C1905:K1905)</f>
        <v>33.369999999999997</v>
      </c>
    </row>
    <row r="1906" spans="1:22" ht="15.75">
      <c r="A1906" s="28" t="s">
        <v>3810</v>
      </c>
      <c r="B1906" s="28" t="s">
        <v>3811</v>
      </c>
      <c r="C1906" s="23">
        <v>31.254999999999999</v>
      </c>
      <c r="D1906" s="23">
        <v>5.84</v>
      </c>
      <c r="E1906" s="23" t="s">
        <v>4683</v>
      </c>
      <c r="F1906" s="23" t="s">
        <v>4682</v>
      </c>
      <c r="G1906" s="23" t="s">
        <v>4682</v>
      </c>
      <c r="H1906" s="23">
        <v>1</v>
      </c>
      <c r="I1906" s="23" t="s">
        <v>4682</v>
      </c>
      <c r="J1906" s="23" t="s">
        <v>4729</v>
      </c>
      <c r="K1906" s="23" t="s">
        <v>4736</v>
      </c>
      <c r="L1906">
        <v>1973</v>
      </c>
      <c r="M1906" s="15" t="s">
        <v>4702</v>
      </c>
      <c r="N1906">
        <v>27</v>
      </c>
      <c r="O1906">
        <v>2</v>
      </c>
      <c r="P1906" s="21">
        <f>DATEVALUE(N1906&amp;"-"&amp;M1906&amp;"-"&amp;L1906)</f>
        <v>26842</v>
      </c>
      <c r="Q1906" s="22">
        <v>23807.24</v>
      </c>
      <c r="R1906" s="23" t="s">
        <v>4697</v>
      </c>
      <c r="S1906" s="23" t="s">
        <v>4698</v>
      </c>
      <c r="T1906" s="23" t="s">
        <v>4704</v>
      </c>
      <c r="U1906" s="23">
        <f>DATEDIF(P1906, DATE(2023, 6, 8), "Y")</f>
        <v>49</v>
      </c>
      <c r="V1906">
        <f>SUM(C1906:K1906)</f>
        <v>38.094999999999999</v>
      </c>
    </row>
    <row r="1907" spans="1:22" ht="15.75">
      <c r="A1907" s="28" t="s">
        <v>3812</v>
      </c>
      <c r="B1907" s="28" t="s">
        <v>3813</v>
      </c>
      <c r="C1907" s="23">
        <v>29.83</v>
      </c>
      <c r="D1907" s="23">
        <v>5.39</v>
      </c>
      <c r="E1907" s="23" t="s">
        <v>4682</v>
      </c>
      <c r="F1907" s="23" t="s">
        <v>4682</v>
      </c>
      <c r="G1907" s="23" t="s">
        <v>4682</v>
      </c>
      <c r="H1907" s="23">
        <v>0</v>
      </c>
      <c r="I1907" s="23" t="s">
        <v>4682</v>
      </c>
      <c r="J1907" s="23" t="s">
        <v>4730</v>
      </c>
      <c r="K1907" s="23" t="s">
        <v>4737</v>
      </c>
      <c r="L1907">
        <v>1970</v>
      </c>
      <c r="M1907" s="15" t="s">
        <v>4706</v>
      </c>
      <c r="N1907">
        <v>8</v>
      </c>
      <c r="O1907">
        <v>1</v>
      </c>
      <c r="P1907" s="21">
        <f>DATEVALUE(N1907&amp;"-"&amp;M1907&amp;"-"&amp;L1907)</f>
        <v>25788</v>
      </c>
      <c r="Q1907" s="22">
        <v>23887.66</v>
      </c>
      <c r="R1907" s="23" t="s">
        <v>4697</v>
      </c>
      <c r="S1907" s="23" t="s">
        <v>4698</v>
      </c>
      <c r="T1907" s="23" t="s">
        <v>4704</v>
      </c>
      <c r="U1907" s="23">
        <f>DATEDIF(P1907, DATE(2023, 6, 8), "Y")</f>
        <v>52</v>
      </c>
      <c r="V1907">
        <f>SUM(C1907:K1907)</f>
        <v>35.22</v>
      </c>
    </row>
    <row r="1908" spans="1:22" ht="15.75">
      <c r="A1908" s="28" t="s">
        <v>3814</v>
      </c>
      <c r="B1908" s="28" t="s">
        <v>3815</v>
      </c>
      <c r="C1908" s="23">
        <v>29.59</v>
      </c>
      <c r="D1908" s="23">
        <v>6.16</v>
      </c>
      <c r="E1908" s="23" t="s">
        <v>4682</v>
      </c>
      <c r="F1908" s="23" t="s">
        <v>4682</v>
      </c>
      <c r="G1908" s="23" t="s">
        <v>4684</v>
      </c>
      <c r="H1908" s="23">
        <v>1</v>
      </c>
      <c r="I1908" s="23" t="s">
        <v>4682</v>
      </c>
      <c r="J1908" s="23" t="s">
        <v>4730</v>
      </c>
      <c r="K1908" s="23" t="s">
        <v>4736</v>
      </c>
      <c r="L1908">
        <v>1971</v>
      </c>
      <c r="M1908" s="15" t="s">
        <v>4696</v>
      </c>
      <c r="N1908">
        <v>10</v>
      </c>
      <c r="O1908">
        <v>2</v>
      </c>
      <c r="P1908" s="21">
        <f>DATEVALUE(N1908&amp;"-"&amp;M1908&amp;"-"&amp;L1908)</f>
        <v>26124</v>
      </c>
      <c r="Q1908" s="22">
        <v>23967.38</v>
      </c>
      <c r="R1908" s="23" t="s">
        <v>4697</v>
      </c>
      <c r="S1908" s="23" t="s">
        <v>4697</v>
      </c>
      <c r="T1908" s="23" t="s">
        <v>4704</v>
      </c>
      <c r="U1908" s="23">
        <f>DATEDIF(P1908, DATE(2023, 6, 8), "Y")</f>
        <v>51</v>
      </c>
      <c r="V1908">
        <f>SUM(C1908:K1908)</f>
        <v>36.75</v>
      </c>
    </row>
    <row r="1909" spans="1:22" ht="15.75">
      <c r="A1909" s="28" t="s">
        <v>3816</v>
      </c>
      <c r="B1909" s="28" t="s">
        <v>3817</v>
      </c>
      <c r="C1909" s="23">
        <v>31.16</v>
      </c>
      <c r="D1909" s="23">
        <v>4.49</v>
      </c>
      <c r="E1909" s="23" t="s">
        <v>4682</v>
      </c>
      <c r="F1909" s="23" t="s">
        <v>4682</v>
      </c>
      <c r="G1909" s="23" t="s">
        <v>4684</v>
      </c>
      <c r="H1909" s="23">
        <v>1</v>
      </c>
      <c r="I1909" s="23" t="s">
        <v>4682</v>
      </c>
      <c r="J1909" s="23" t="s">
        <v>4729</v>
      </c>
      <c r="K1909" s="23" t="s">
        <v>4737</v>
      </c>
      <c r="L1909">
        <v>2003</v>
      </c>
      <c r="M1909" s="15" t="s">
        <v>4705</v>
      </c>
      <c r="N1909">
        <v>30</v>
      </c>
      <c r="O1909">
        <v>2</v>
      </c>
      <c r="P1909" s="21">
        <f>DATEVALUE(N1909&amp;"-"&amp;M1909&amp;"-"&amp;L1909)</f>
        <v>37985</v>
      </c>
      <c r="Q1909" s="22">
        <v>24059.68</v>
      </c>
      <c r="R1909" s="23" t="s">
        <v>4697</v>
      </c>
      <c r="S1909" s="23" t="s">
        <v>4697</v>
      </c>
      <c r="T1909" s="23" t="s">
        <v>4704</v>
      </c>
      <c r="U1909" s="23">
        <f>DATEDIF(P1909, DATE(2023, 6, 8), "Y")</f>
        <v>19</v>
      </c>
      <c r="V1909">
        <f>SUM(C1909:K1909)</f>
        <v>36.65</v>
      </c>
    </row>
    <row r="1910" spans="1:22" ht="15.75">
      <c r="A1910" s="28" t="s">
        <v>3818</v>
      </c>
      <c r="B1910" s="28" t="s">
        <v>3819</v>
      </c>
      <c r="C1910" s="23">
        <v>34.21</v>
      </c>
      <c r="D1910" s="23">
        <v>4.4800000000000004</v>
      </c>
      <c r="E1910" s="23" t="s">
        <v>4683</v>
      </c>
      <c r="F1910" s="23" t="s">
        <v>4682</v>
      </c>
      <c r="G1910" s="23" t="s">
        <v>4682</v>
      </c>
      <c r="H1910" s="23">
        <v>1</v>
      </c>
      <c r="I1910" s="23" t="s">
        <v>4682</v>
      </c>
      <c r="J1910" s="23" t="s">
        <v>4729</v>
      </c>
      <c r="K1910" s="23" t="s">
        <v>4737</v>
      </c>
      <c r="L1910">
        <v>1973</v>
      </c>
      <c r="M1910" s="15" t="s">
        <v>4702</v>
      </c>
      <c r="N1910">
        <v>13</v>
      </c>
      <c r="O1910">
        <v>3</v>
      </c>
      <c r="P1910" s="21">
        <f>DATEVALUE(N1910&amp;"-"&amp;M1910&amp;"-"&amp;L1910)</f>
        <v>26828</v>
      </c>
      <c r="Q1910" s="22">
        <v>24106.91</v>
      </c>
      <c r="R1910" s="23" t="s">
        <v>4697</v>
      </c>
      <c r="S1910" s="23" t="s">
        <v>4697</v>
      </c>
      <c r="T1910" s="23" t="s">
        <v>4714</v>
      </c>
      <c r="U1910" s="23">
        <f>DATEDIF(P1910, DATE(2023, 6, 8), "Y")</f>
        <v>49</v>
      </c>
      <c r="V1910">
        <f>SUM(C1910:K1910)</f>
        <v>39.69</v>
      </c>
    </row>
    <row r="1911" spans="1:22" ht="15.75">
      <c r="A1911" s="28" t="s">
        <v>3820</v>
      </c>
      <c r="B1911" s="28" t="s">
        <v>3821</v>
      </c>
      <c r="C1911" s="23">
        <v>34.86</v>
      </c>
      <c r="D1911" s="23">
        <v>10.97</v>
      </c>
      <c r="E1911" s="23" t="s">
        <v>4682</v>
      </c>
      <c r="F1911" s="23" t="s">
        <v>4682</v>
      </c>
      <c r="G1911" s="23" t="s">
        <v>4682</v>
      </c>
      <c r="H1911" s="23">
        <v>0</v>
      </c>
      <c r="I1911" s="23" t="s">
        <v>4682</v>
      </c>
      <c r="J1911" s="23" t="s">
        <v>4729</v>
      </c>
      <c r="K1911" s="23" t="s">
        <v>4735</v>
      </c>
      <c r="L1911">
        <v>1974</v>
      </c>
      <c r="M1911" s="15" t="s">
        <v>4703</v>
      </c>
      <c r="N1911">
        <v>10</v>
      </c>
      <c r="O1911">
        <v>3</v>
      </c>
      <c r="P1911" s="21">
        <f>DATEVALUE(N1911&amp;"-"&amp;M1911&amp;"-"&amp;L1911)</f>
        <v>27282</v>
      </c>
      <c r="Q1911" s="22">
        <v>24180.93</v>
      </c>
      <c r="R1911" s="23" t="s">
        <v>4697</v>
      </c>
      <c r="S1911" s="23" t="s">
        <v>4701</v>
      </c>
      <c r="T1911" s="23" t="s">
        <v>4699</v>
      </c>
      <c r="U1911" s="23">
        <f>DATEDIF(P1911, DATE(2023, 6, 8), "Y")</f>
        <v>48</v>
      </c>
      <c r="V1911">
        <f>SUM(C1911:K1911)</f>
        <v>45.83</v>
      </c>
    </row>
    <row r="1912" spans="1:22" ht="15.75">
      <c r="A1912" s="28" t="s">
        <v>3822</v>
      </c>
      <c r="B1912" s="28" t="s">
        <v>3823</v>
      </c>
      <c r="C1912" s="23">
        <v>34.58</v>
      </c>
      <c r="D1912" s="23">
        <v>5.14</v>
      </c>
      <c r="E1912" s="23" t="s">
        <v>4682</v>
      </c>
      <c r="F1912" s="23" t="s">
        <v>4683</v>
      </c>
      <c r="G1912" s="23" t="s">
        <v>4682</v>
      </c>
      <c r="H1912" s="23">
        <v>2</v>
      </c>
      <c r="I1912" s="23" t="s">
        <v>4682</v>
      </c>
      <c r="J1912" s="23" t="s">
        <v>4729</v>
      </c>
      <c r="K1912" s="23" t="s">
        <v>4737</v>
      </c>
      <c r="L1912">
        <v>1964</v>
      </c>
      <c r="M1912" s="15" t="s">
        <v>4705</v>
      </c>
      <c r="N1912">
        <v>16</v>
      </c>
      <c r="O1912">
        <v>0</v>
      </c>
      <c r="P1912" s="21">
        <f>DATEVALUE(N1912&amp;"-"&amp;M1912&amp;"-"&amp;L1912)</f>
        <v>23727</v>
      </c>
      <c r="Q1912" s="22">
        <v>24227.34</v>
      </c>
      <c r="R1912" s="23" t="s">
        <v>4697</v>
      </c>
      <c r="S1912" s="23" t="s">
        <v>4701</v>
      </c>
      <c r="T1912" s="23" t="s">
        <v>4699</v>
      </c>
      <c r="U1912" s="23">
        <f>DATEDIF(P1912, DATE(2023, 6, 8), "Y")</f>
        <v>58</v>
      </c>
      <c r="V1912">
        <f>SUM(C1912:K1912)</f>
        <v>41.72</v>
      </c>
    </row>
    <row r="1913" spans="1:22" ht="15.75">
      <c r="A1913" s="28" t="s">
        <v>3824</v>
      </c>
      <c r="B1913" s="28" t="s">
        <v>3825</v>
      </c>
      <c r="C1913" s="23">
        <v>17.940000000000001</v>
      </c>
      <c r="D1913" s="23">
        <v>5.17</v>
      </c>
      <c r="E1913" s="23" t="s">
        <v>4683</v>
      </c>
      <c r="F1913" s="23" t="s">
        <v>4682</v>
      </c>
      <c r="G1913" s="23" t="s">
        <v>4682</v>
      </c>
      <c r="H1913" s="23">
        <v>0</v>
      </c>
      <c r="I1913" s="23" t="s">
        <v>4682</v>
      </c>
      <c r="J1913" s="23" t="s">
        <v>4731</v>
      </c>
      <c r="K1913" s="23" t="s">
        <v>4737</v>
      </c>
      <c r="L1913">
        <v>2004</v>
      </c>
      <c r="M1913" s="15" t="s">
        <v>4706</v>
      </c>
      <c r="N1913">
        <v>3</v>
      </c>
      <c r="O1913">
        <v>0</v>
      </c>
      <c r="P1913" s="21">
        <f>DATEVALUE(N1913&amp;"-"&amp;M1913&amp;"-"&amp;L1913)</f>
        <v>38202</v>
      </c>
      <c r="Q1913" s="22">
        <v>24294.02</v>
      </c>
      <c r="R1913" s="23" t="s">
        <v>4697</v>
      </c>
      <c r="S1913" s="23" t="s">
        <v>4701</v>
      </c>
      <c r="T1913" s="23" t="s">
        <v>4708</v>
      </c>
      <c r="U1913" s="23">
        <f>DATEDIF(P1913, DATE(2023, 6, 8), "Y")</f>
        <v>18</v>
      </c>
      <c r="V1913">
        <f>SUM(C1913:K1913)</f>
        <v>23.11</v>
      </c>
    </row>
    <row r="1914" spans="1:22" ht="15.75">
      <c r="A1914" s="28" t="s">
        <v>3826</v>
      </c>
      <c r="B1914" s="28" t="s">
        <v>3827</v>
      </c>
      <c r="C1914" s="23">
        <v>26.8</v>
      </c>
      <c r="D1914" s="23">
        <v>6.18</v>
      </c>
      <c r="E1914" s="23" t="s">
        <v>4683</v>
      </c>
      <c r="F1914" s="23" t="s">
        <v>4682</v>
      </c>
      <c r="G1914" s="23" t="s">
        <v>4684</v>
      </c>
      <c r="H1914" s="23">
        <v>1</v>
      </c>
      <c r="I1914" s="23" t="s">
        <v>4682</v>
      </c>
      <c r="J1914" s="23" t="s">
        <v>4730</v>
      </c>
      <c r="K1914" s="23" t="s">
        <v>4736</v>
      </c>
      <c r="L1914">
        <v>1999</v>
      </c>
      <c r="M1914" s="15" t="s">
        <v>4707</v>
      </c>
      <c r="N1914">
        <v>7</v>
      </c>
      <c r="O1914">
        <v>0</v>
      </c>
      <c r="P1914" s="21">
        <f>DATEVALUE(N1914&amp;"-"&amp;M1914&amp;"-"&amp;L1914)</f>
        <v>36440</v>
      </c>
      <c r="Q1914" s="22">
        <v>24387.74</v>
      </c>
      <c r="R1914" s="23" t="s">
        <v>4697</v>
      </c>
      <c r="S1914" s="23" t="s">
        <v>4701</v>
      </c>
      <c r="T1914" s="23" t="s">
        <v>4708</v>
      </c>
      <c r="U1914" s="23">
        <f>DATEDIF(P1914, DATE(2023, 6, 8), "Y")</f>
        <v>23</v>
      </c>
      <c r="V1914">
        <f>SUM(C1914:K1914)</f>
        <v>33.980000000000004</v>
      </c>
    </row>
    <row r="1915" spans="1:22" ht="15.75">
      <c r="A1915" s="28" t="s">
        <v>3828</v>
      </c>
      <c r="B1915" s="28" t="s">
        <v>3829</v>
      </c>
      <c r="C1915" s="23">
        <v>17.690000000000001</v>
      </c>
      <c r="D1915" s="23">
        <v>9.07</v>
      </c>
      <c r="E1915" s="23" t="s">
        <v>4683</v>
      </c>
      <c r="F1915" s="23" t="s">
        <v>4682</v>
      </c>
      <c r="G1915" s="23" t="s">
        <v>4682</v>
      </c>
      <c r="H1915" s="23">
        <v>0</v>
      </c>
      <c r="I1915" s="23" t="s">
        <v>4682</v>
      </c>
      <c r="J1915" s="23" t="s">
        <v>4731</v>
      </c>
      <c r="K1915" s="23" t="s">
        <v>4735</v>
      </c>
      <c r="L1915">
        <v>1970</v>
      </c>
      <c r="M1915" s="15" t="s">
        <v>4700</v>
      </c>
      <c r="N1915">
        <v>30</v>
      </c>
      <c r="O1915">
        <v>0</v>
      </c>
      <c r="P1915" s="21">
        <f>DATEVALUE(N1915&amp;"-"&amp;M1915&amp;"-"&amp;L1915)</f>
        <v>25902</v>
      </c>
      <c r="Q1915" s="22">
        <v>24393.62</v>
      </c>
      <c r="R1915" s="23" t="s">
        <v>4697</v>
      </c>
      <c r="S1915" s="23" t="s">
        <v>4698</v>
      </c>
      <c r="T1915" s="23" t="s">
        <v>4704</v>
      </c>
      <c r="U1915" s="23">
        <f>DATEDIF(P1915, DATE(2023, 6, 8), "Y")</f>
        <v>52</v>
      </c>
      <c r="V1915">
        <f>SUM(C1915:K1915)</f>
        <v>26.76</v>
      </c>
    </row>
    <row r="1916" spans="1:22" ht="15.75">
      <c r="A1916" s="28" t="s">
        <v>3830</v>
      </c>
      <c r="B1916" s="28" t="s">
        <v>3831</v>
      </c>
      <c r="C1916" s="23">
        <v>25.77</v>
      </c>
      <c r="D1916" s="23">
        <v>4.43</v>
      </c>
      <c r="E1916" s="23" t="s">
        <v>4682</v>
      </c>
      <c r="F1916" s="23" t="s">
        <v>4682</v>
      </c>
      <c r="G1916" s="23" t="s">
        <v>4684</v>
      </c>
      <c r="H1916" s="23">
        <v>1</v>
      </c>
      <c r="I1916" s="23" t="s">
        <v>4682</v>
      </c>
      <c r="J1916" s="23" t="s">
        <v>4730</v>
      </c>
      <c r="K1916" s="23" t="s">
        <v>4737</v>
      </c>
      <c r="L1916">
        <v>1968</v>
      </c>
      <c r="M1916" s="15" t="s">
        <v>4696</v>
      </c>
      <c r="N1916">
        <v>6</v>
      </c>
      <c r="O1916">
        <v>0</v>
      </c>
      <c r="P1916" s="21">
        <f>DATEVALUE(N1916&amp;"-"&amp;M1916&amp;"-"&amp;L1916)</f>
        <v>25025</v>
      </c>
      <c r="Q1916" s="22">
        <v>24476.48</v>
      </c>
      <c r="R1916" s="23" t="s">
        <v>4697</v>
      </c>
      <c r="S1916" s="23" t="s">
        <v>4697</v>
      </c>
      <c r="T1916" s="23" t="s">
        <v>4704</v>
      </c>
      <c r="U1916" s="23">
        <f>DATEDIF(P1916, DATE(2023, 6, 8), "Y")</f>
        <v>54</v>
      </c>
      <c r="V1916">
        <f>SUM(C1916:K1916)</f>
        <v>31.2</v>
      </c>
    </row>
    <row r="1917" spans="1:22" ht="15.75">
      <c r="A1917" s="28" t="s">
        <v>3832</v>
      </c>
      <c r="B1917" s="28" t="s">
        <v>3833</v>
      </c>
      <c r="C1917" s="23">
        <v>34.46</v>
      </c>
      <c r="D1917" s="23">
        <v>4.17</v>
      </c>
      <c r="E1917" s="23" t="s">
        <v>4682</v>
      </c>
      <c r="F1917" s="23" t="s">
        <v>4683</v>
      </c>
      <c r="G1917" s="23" t="s">
        <v>4682</v>
      </c>
      <c r="H1917" s="23">
        <v>1</v>
      </c>
      <c r="I1917" s="23" t="s">
        <v>4682</v>
      </c>
      <c r="J1917" s="23" t="s">
        <v>4729</v>
      </c>
      <c r="K1917" s="23" t="s">
        <v>4737</v>
      </c>
      <c r="L1917">
        <v>1961</v>
      </c>
      <c r="M1917" s="15" t="s">
        <v>4707</v>
      </c>
      <c r="N1917">
        <v>21</v>
      </c>
      <c r="O1917">
        <v>0</v>
      </c>
      <c r="P1917" s="21">
        <f>DATEVALUE(N1917&amp;"-"&amp;M1917&amp;"-"&amp;L1917)</f>
        <v>22575</v>
      </c>
      <c r="Q1917" s="22">
        <v>24513.09</v>
      </c>
      <c r="R1917" s="23" t="s">
        <v>4697</v>
      </c>
      <c r="S1917" s="23" t="s">
        <v>4697</v>
      </c>
      <c r="T1917" s="23" t="s">
        <v>4699</v>
      </c>
      <c r="U1917" s="23">
        <f>DATEDIF(P1917, DATE(2023, 6, 8), "Y")</f>
        <v>61</v>
      </c>
      <c r="V1917">
        <f>SUM(C1917:K1917)</f>
        <v>39.630000000000003</v>
      </c>
    </row>
    <row r="1918" spans="1:22" ht="15.75">
      <c r="A1918" s="28" t="s">
        <v>3834</v>
      </c>
      <c r="B1918" s="28" t="s">
        <v>3835</v>
      </c>
      <c r="C1918" s="23">
        <v>30.875</v>
      </c>
      <c r="D1918" s="23">
        <v>4.95</v>
      </c>
      <c r="E1918" s="23" t="s">
        <v>4683</v>
      </c>
      <c r="F1918" s="23" t="s">
        <v>4682</v>
      </c>
      <c r="G1918" s="23" t="s">
        <v>4682</v>
      </c>
      <c r="H1918" s="23">
        <v>0</v>
      </c>
      <c r="I1918" s="23" t="s">
        <v>4682</v>
      </c>
      <c r="J1918" s="23" t="s">
        <v>4729</v>
      </c>
      <c r="K1918" s="23" t="s">
        <v>4737</v>
      </c>
      <c r="L1918">
        <v>1972</v>
      </c>
      <c r="M1918" s="15" t="s">
        <v>4703</v>
      </c>
      <c r="N1918">
        <v>14</v>
      </c>
      <c r="O1918">
        <v>1</v>
      </c>
      <c r="P1918" s="21">
        <f>DATEVALUE(N1918&amp;"-"&amp;M1918&amp;"-"&amp;L1918)</f>
        <v>26556</v>
      </c>
      <c r="Q1918" s="22">
        <v>24520.26</v>
      </c>
      <c r="R1918" s="23" t="s">
        <v>4697</v>
      </c>
      <c r="S1918" s="23" t="s">
        <v>4698</v>
      </c>
      <c r="T1918" s="23" t="s">
        <v>4708</v>
      </c>
      <c r="U1918" s="23">
        <f>DATEDIF(P1918, DATE(2023, 6, 8), "Y")</f>
        <v>50</v>
      </c>
      <c r="V1918">
        <f>SUM(C1918:K1918)</f>
        <v>35.825000000000003</v>
      </c>
    </row>
    <row r="1919" spans="1:22" ht="15.75">
      <c r="A1919" s="28" t="s">
        <v>3836</v>
      </c>
      <c r="B1919" s="28" t="s">
        <v>3837</v>
      </c>
      <c r="C1919" s="23">
        <v>39.49</v>
      </c>
      <c r="D1919" s="23">
        <v>5.13</v>
      </c>
      <c r="E1919" s="23" t="s">
        <v>4682</v>
      </c>
      <c r="F1919" s="23" t="s">
        <v>4682</v>
      </c>
      <c r="G1919" s="23" t="s">
        <v>4682</v>
      </c>
      <c r="H1919" s="23">
        <v>0</v>
      </c>
      <c r="I1919" s="23" t="s">
        <v>4682</v>
      </c>
      <c r="J1919" s="23" t="s">
        <v>4729</v>
      </c>
      <c r="K1919" s="23" t="s">
        <v>4737</v>
      </c>
      <c r="L1919">
        <v>1975</v>
      </c>
      <c r="M1919" s="15" t="s">
        <v>4702</v>
      </c>
      <c r="N1919">
        <v>13</v>
      </c>
      <c r="O1919">
        <v>2</v>
      </c>
      <c r="P1919" s="21">
        <f>DATEVALUE(N1919&amp;"-"&amp;M1919&amp;"-"&amp;L1919)</f>
        <v>27558</v>
      </c>
      <c r="Q1919" s="22">
        <v>24535.7</v>
      </c>
      <c r="R1919" s="23" t="s">
        <v>4697</v>
      </c>
      <c r="S1919" s="23" t="s">
        <v>4697</v>
      </c>
      <c r="T1919" s="23" t="s">
        <v>4704</v>
      </c>
      <c r="U1919" s="23">
        <f>DATEDIF(P1919, DATE(2023, 6, 8), "Y")</f>
        <v>47</v>
      </c>
      <c r="V1919">
        <f>SUM(C1919:K1919)</f>
        <v>44.620000000000005</v>
      </c>
    </row>
    <row r="1920" spans="1:22" ht="15.75">
      <c r="A1920" s="28" t="s">
        <v>3838</v>
      </c>
      <c r="B1920" s="28" t="s">
        <v>3839</v>
      </c>
      <c r="C1920" s="23">
        <v>28.88</v>
      </c>
      <c r="D1920" s="23">
        <v>4.0999999999999996</v>
      </c>
      <c r="E1920" s="23" t="s">
        <v>4682</v>
      </c>
      <c r="F1920" s="23" t="s">
        <v>4682</v>
      </c>
      <c r="G1920" s="23" t="s">
        <v>4682</v>
      </c>
      <c r="H1920" s="23">
        <v>0</v>
      </c>
      <c r="I1920" s="23" t="s">
        <v>4682</v>
      </c>
      <c r="J1920" s="23" t="s">
        <v>4730</v>
      </c>
      <c r="K1920" s="23" t="s">
        <v>4737</v>
      </c>
      <c r="L1920">
        <v>1976</v>
      </c>
      <c r="M1920" s="15" t="s">
        <v>4707</v>
      </c>
      <c r="N1920">
        <v>12</v>
      </c>
      <c r="O1920">
        <v>0</v>
      </c>
      <c r="P1920" s="21">
        <f>DATEVALUE(N1920&amp;"-"&amp;M1920&amp;"-"&amp;L1920)</f>
        <v>28045</v>
      </c>
      <c r="Q1920" s="22">
        <v>24603.05</v>
      </c>
      <c r="R1920" s="23" t="s">
        <v>4697</v>
      </c>
      <c r="S1920" s="23" t="s">
        <v>4697</v>
      </c>
      <c r="T1920" s="23" t="s">
        <v>4708</v>
      </c>
      <c r="U1920" s="23">
        <f>DATEDIF(P1920, DATE(2023, 6, 8), "Y")</f>
        <v>46</v>
      </c>
      <c r="V1920">
        <f>SUM(C1920:K1920)</f>
        <v>32.979999999999997</v>
      </c>
    </row>
    <row r="1921" spans="1:22" ht="15.75">
      <c r="A1921" s="28" t="s">
        <v>3840</v>
      </c>
      <c r="B1921" s="28" t="s">
        <v>3841</v>
      </c>
      <c r="C1921" s="23">
        <v>20.234999999999999</v>
      </c>
      <c r="D1921" s="23">
        <v>5.01</v>
      </c>
      <c r="E1921" s="23" t="s">
        <v>4683</v>
      </c>
      <c r="F1921" s="23" t="s">
        <v>4682</v>
      </c>
      <c r="G1921" s="23" t="s">
        <v>4682</v>
      </c>
      <c r="H1921" s="23">
        <v>0</v>
      </c>
      <c r="I1921" s="23" t="s">
        <v>4682</v>
      </c>
      <c r="J1921" s="23" t="s">
        <v>4728</v>
      </c>
      <c r="K1921" s="23" t="s">
        <v>4737</v>
      </c>
      <c r="L1921">
        <v>1970</v>
      </c>
      <c r="M1921" s="15" t="s">
        <v>4702</v>
      </c>
      <c r="N1921">
        <v>12</v>
      </c>
      <c r="O1921">
        <v>2</v>
      </c>
      <c r="P1921" s="21">
        <f>DATEVALUE(N1921&amp;"-"&amp;M1921&amp;"-"&amp;L1921)</f>
        <v>25731</v>
      </c>
      <c r="Q1921" s="22">
        <v>24667.42</v>
      </c>
      <c r="R1921" s="23" t="s">
        <v>4697</v>
      </c>
      <c r="S1921" s="23" t="s">
        <v>4698</v>
      </c>
      <c r="T1921" s="23" t="s">
        <v>4699</v>
      </c>
      <c r="U1921" s="23">
        <f>DATEDIF(P1921, DATE(2023, 6, 8), "Y")</f>
        <v>52</v>
      </c>
      <c r="V1921">
        <f>SUM(C1921:K1921)</f>
        <v>25.244999999999997</v>
      </c>
    </row>
    <row r="1922" spans="1:22" ht="15.75">
      <c r="A1922" s="28" t="s">
        <v>3842</v>
      </c>
      <c r="B1922" s="28" t="s">
        <v>3843</v>
      </c>
      <c r="C1922" s="23">
        <v>30.67</v>
      </c>
      <c r="D1922" s="23">
        <v>5.09</v>
      </c>
      <c r="E1922" s="23" t="s">
        <v>4683</v>
      </c>
      <c r="F1922" s="23" t="s">
        <v>4682</v>
      </c>
      <c r="G1922" s="23" t="s">
        <v>4682</v>
      </c>
      <c r="H1922" s="23">
        <v>0</v>
      </c>
      <c r="I1922" s="23" t="s">
        <v>4682</v>
      </c>
      <c r="J1922" s="23" t="s">
        <v>4729</v>
      </c>
      <c r="K1922" s="23" t="s">
        <v>4737</v>
      </c>
      <c r="L1922">
        <v>1996</v>
      </c>
      <c r="M1922" s="15" t="s">
        <v>4706</v>
      </c>
      <c r="N1922">
        <v>28</v>
      </c>
      <c r="O1922">
        <v>4</v>
      </c>
      <c r="P1922" s="21">
        <f>DATEVALUE(N1922&amp;"-"&amp;M1922&amp;"-"&amp;L1922)</f>
        <v>35305</v>
      </c>
      <c r="Q1922" s="22">
        <v>24671.66</v>
      </c>
      <c r="R1922" s="23" t="s">
        <v>4697</v>
      </c>
      <c r="S1922" s="23" t="s">
        <v>4701</v>
      </c>
      <c r="T1922" s="23" t="s">
        <v>4714</v>
      </c>
      <c r="U1922" s="23">
        <f>DATEDIF(P1922, DATE(2023, 6, 8), "Y")</f>
        <v>26</v>
      </c>
      <c r="V1922">
        <f>SUM(C1922:K1922)</f>
        <v>35.760000000000005</v>
      </c>
    </row>
    <row r="1923" spans="1:22" ht="15.75">
      <c r="A1923" s="28" t="s">
        <v>3844</v>
      </c>
      <c r="B1923" s="28" t="s">
        <v>3845</v>
      </c>
      <c r="C1923" s="23">
        <v>30.875</v>
      </c>
      <c r="D1923" s="23">
        <v>6.49</v>
      </c>
      <c r="E1923" s="23" t="s">
        <v>4682</v>
      </c>
      <c r="F1923" s="23" t="s">
        <v>4682</v>
      </c>
      <c r="G1923" s="23" t="s">
        <v>4682</v>
      </c>
      <c r="H1923" s="23">
        <v>0</v>
      </c>
      <c r="I1923" s="23" t="s">
        <v>4682</v>
      </c>
      <c r="J1923" s="23" t="s">
        <v>4729</v>
      </c>
      <c r="K1923" s="23" t="s">
        <v>4735</v>
      </c>
      <c r="L1923">
        <v>1992</v>
      </c>
      <c r="M1923" s="15" t="s">
        <v>4707</v>
      </c>
      <c r="N1923">
        <v>11</v>
      </c>
      <c r="O1923">
        <v>0</v>
      </c>
      <c r="P1923" s="21">
        <f>DATEVALUE(N1923&amp;"-"&amp;M1923&amp;"-"&amp;L1923)</f>
        <v>33888</v>
      </c>
      <c r="Q1923" s="22">
        <v>24795.040000000001</v>
      </c>
      <c r="R1923" s="23" t="s">
        <v>4697</v>
      </c>
      <c r="S1923" s="23" t="s">
        <v>4698</v>
      </c>
      <c r="T1923" s="23" t="s">
        <v>4708</v>
      </c>
      <c r="U1923" s="23">
        <f>DATEDIF(P1923, DATE(2023, 6, 8), "Y")</f>
        <v>30</v>
      </c>
      <c r="V1923">
        <f>SUM(C1923:K1923)</f>
        <v>37.365000000000002</v>
      </c>
    </row>
    <row r="1924" spans="1:22" ht="15.75">
      <c r="A1924" s="28" t="s">
        <v>3846</v>
      </c>
      <c r="B1924" s="28" t="s">
        <v>3847</v>
      </c>
      <c r="C1924" s="23">
        <v>23.8</v>
      </c>
      <c r="D1924" s="23">
        <v>4.08</v>
      </c>
      <c r="E1924" s="23" t="s">
        <v>4682</v>
      </c>
      <c r="F1924" s="23" t="s">
        <v>4682</v>
      </c>
      <c r="G1924" s="23" t="s">
        <v>4682</v>
      </c>
      <c r="H1924" s="23">
        <v>0</v>
      </c>
      <c r="I1924" s="23" t="s">
        <v>4682</v>
      </c>
      <c r="J1924" s="23" t="s">
        <v>4728</v>
      </c>
      <c r="K1924" s="23" t="s">
        <v>4737</v>
      </c>
      <c r="L1924">
        <v>1994</v>
      </c>
      <c r="M1924" s="15" t="s">
        <v>4703</v>
      </c>
      <c r="N1924">
        <v>9</v>
      </c>
      <c r="O1924">
        <v>0</v>
      </c>
      <c r="P1924" s="21">
        <f>DATEVALUE(N1924&amp;"-"&amp;M1924&amp;"-"&amp;L1924)</f>
        <v>34586</v>
      </c>
      <c r="Q1924" s="22">
        <v>24817.25</v>
      </c>
      <c r="R1924" s="23" t="s">
        <v>4697</v>
      </c>
      <c r="S1924" s="23" t="s">
        <v>4697</v>
      </c>
      <c r="T1924" s="23" t="s">
        <v>4708</v>
      </c>
      <c r="U1924" s="23">
        <f>DATEDIF(P1924, DATE(2023, 6, 8), "Y")</f>
        <v>28</v>
      </c>
      <c r="V1924">
        <f>SUM(C1924:K1924)</f>
        <v>27.880000000000003</v>
      </c>
    </row>
    <row r="1925" spans="1:22" ht="15.75">
      <c r="A1925" s="28" t="s">
        <v>3848</v>
      </c>
      <c r="B1925" s="28" t="s">
        <v>3849</v>
      </c>
      <c r="C1925" s="23">
        <v>15.37</v>
      </c>
      <c r="D1925" s="23">
        <v>8.6300000000000008</v>
      </c>
      <c r="E1925" s="23" t="s">
        <v>4683</v>
      </c>
      <c r="F1925" s="23" t="s">
        <v>4682</v>
      </c>
      <c r="G1925" s="23" t="s">
        <v>4682</v>
      </c>
      <c r="H1925" s="23">
        <v>0</v>
      </c>
      <c r="I1925" s="23" t="s">
        <v>4682</v>
      </c>
      <c r="J1925" s="23" t="s">
        <v>4731</v>
      </c>
      <c r="K1925" s="23" t="s">
        <v>4735</v>
      </c>
      <c r="L1925">
        <v>1995</v>
      </c>
      <c r="M1925" s="15" t="s">
        <v>4702</v>
      </c>
      <c r="N1925">
        <v>10</v>
      </c>
      <c r="O1925">
        <v>0</v>
      </c>
      <c r="P1925" s="21">
        <f>DATEVALUE(N1925&amp;"-"&amp;M1925&amp;"-"&amp;L1925)</f>
        <v>34860</v>
      </c>
      <c r="Q1925" s="22">
        <v>24863.25</v>
      </c>
      <c r="R1925" s="23" t="s">
        <v>4697</v>
      </c>
      <c r="S1925" s="23" t="s">
        <v>4698</v>
      </c>
      <c r="T1925" s="23" t="s">
        <v>4708</v>
      </c>
      <c r="U1925" s="23">
        <f>DATEDIF(P1925, DATE(2023, 6, 8), "Y")</f>
        <v>27</v>
      </c>
      <c r="V1925">
        <f>SUM(C1925:K1925)</f>
        <v>24</v>
      </c>
    </row>
    <row r="1926" spans="1:22" ht="15.75">
      <c r="A1926" s="28" t="s">
        <v>3850</v>
      </c>
      <c r="B1926" s="28" t="s">
        <v>3851</v>
      </c>
      <c r="C1926" s="23">
        <v>30.4</v>
      </c>
      <c r="D1926" s="23">
        <v>5.28</v>
      </c>
      <c r="E1926" s="23" t="s">
        <v>4682</v>
      </c>
      <c r="F1926" s="23" t="s">
        <v>4682</v>
      </c>
      <c r="G1926" s="23" t="s">
        <v>4682</v>
      </c>
      <c r="H1926" s="23">
        <v>0</v>
      </c>
      <c r="I1926" s="23" t="s">
        <v>4682</v>
      </c>
      <c r="J1926" s="23" t="s">
        <v>4729</v>
      </c>
      <c r="K1926" s="23" t="s">
        <v>4737</v>
      </c>
      <c r="L1926">
        <v>1970</v>
      </c>
      <c r="M1926" s="15" t="s">
        <v>4700</v>
      </c>
      <c r="N1926">
        <v>26</v>
      </c>
      <c r="O1926">
        <v>3</v>
      </c>
      <c r="P1926" s="21">
        <f>DATEVALUE(N1926&amp;"-"&amp;M1926&amp;"-"&amp;L1926)</f>
        <v>25898</v>
      </c>
      <c r="Q1926" s="22">
        <v>24869.84</v>
      </c>
      <c r="R1926" s="23" t="s">
        <v>4697</v>
      </c>
      <c r="S1926" s="23" t="s">
        <v>4697</v>
      </c>
      <c r="T1926" s="23" t="s">
        <v>4711</v>
      </c>
      <c r="U1926" s="23">
        <f>DATEDIF(P1926, DATE(2023, 6, 8), "Y")</f>
        <v>52</v>
      </c>
      <c r="V1926">
        <f>SUM(C1926:K1926)</f>
        <v>35.68</v>
      </c>
    </row>
    <row r="1927" spans="1:22" ht="15.75">
      <c r="A1927" s="28" t="s">
        <v>3852</v>
      </c>
      <c r="B1927" s="28" t="s">
        <v>3853</v>
      </c>
      <c r="C1927" s="23">
        <v>19.48</v>
      </c>
      <c r="D1927" s="23">
        <v>5.63</v>
      </c>
      <c r="E1927" s="23" t="s">
        <v>4683</v>
      </c>
      <c r="F1927" s="23" t="s">
        <v>4682</v>
      </c>
      <c r="G1927" s="23" t="s">
        <v>4682</v>
      </c>
      <c r="H1927" s="23">
        <v>1</v>
      </c>
      <c r="I1927" s="23" t="s">
        <v>4682</v>
      </c>
      <c r="J1927" s="23" t="s">
        <v>4728</v>
      </c>
      <c r="K1927" s="23" t="s">
        <v>4737</v>
      </c>
      <c r="L1927">
        <v>1969</v>
      </c>
      <c r="M1927" s="15" t="s">
        <v>4696</v>
      </c>
      <c r="N1927">
        <v>23</v>
      </c>
      <c r="O1927">
        <v>3</v>
      </c>
      <c r="P1927" s="21">
        <f>DATEVALUE(N1927&amp;"-"&amp;M1927&amp;"-"&amp;L1927)</f>
        <v>25407</v>
      </c>
      <c r="Q1927" s="22">
        <v>24873.38</v>
      </c>
      <c r="R1927" s="23" t="s">
        <v>4697</v>
      </c>
      <c r="S1927" s="23" t="s">
        <v>4701</v>
      </c>
      <c r="T1927" s="23" t="s">
        <v>4714</v>
      </c>
      <c r="U1927" s="23">
        <f>DATEDIF(P1927, DATE(2023, 6, 8), "Y")</f>
        <v>53</v>
      </c>
      <c r="V1927">
        <f>SUM(C1927:K1927)</f>
        <v>26.11</v>
      </c>
    </row>
    <row r="1928" spans="1:22" ht="15.75">
      <c r="A1928" s="28" t="s">
        <v>3854</v>
      </c>
      <c r="B1928" s="28" t="s">
        <v>3855</v>
      </c>
      <c r="C1928" s="23">
        <v>16.96</v>
      </c>
      <c r="D1928" s="23">
        <v>11.47</v>
      </c>
      <c r="E1928" s="23" t="s">
        <v>4683</v>
      </c>
      <c r="F1928" s="23" t="s">
        <v>4682</v>
      </c>
      <c r="G1928" s="23" t="s">
        <v>4682</v>
      </c>
      <c r="H1928" s="23">
        <v>0</v>
      </c>
      <c r="I1928" s="23" t="s">
        <v>4682</v>
      </c>
      <c r="J1928" s="23" t="s">
        <v>4731</v>
      </c>
      <c r="K1928" s="23" t="s">
        <v>4735</v>
      </c>
      <c r="L1928">
        <v>1987</v>
      </c>
      <c r="M1928" s="15" t="s">
        <v>4702</v>
      </c>
      <c r="N1928">
        <v>14</v>
      </c>
      <c r="O1928">
        <v>2</v>
      </c>
      <c r="P1928" s="21">
        <f>DATEVALUE(N1928&amp;"-"&amp;M1928&amp;"-"&amp;L1928)</f>
        <v>31942</v>
      </c>
      <c r="Q1928" s="22">
        <v>24915.05</v>
      </c>
      <c r="R1928" s="23" t="s">
        <v>4697</v>
      </c>
      <c r="S1928" s="23" t="s">
        <v>4701</v>
      </c>
      <c r="T1928" s="23" t="s">
        <v>4714</v>
      </c>
      <c r="U1928" s="23">
        <f>DATEDIF(P1928, DATE(2023, 6, 8), "Y")</f>
        <v>35</v>
      </c>
      <c r="V1928">
        <f>SUM(C1928:K1928)</f>
        <v>28.43</v>
      </c>
    </row>
    <row r="1929" spans="1:22" ht="15.75">
      <c r="A1929" s="28" t="s">
        <v>3856</v>
      </c>
      <c r="B1929" s="28" t="s">
        <v>3857</v>
      </c>
      <c r="C1929" s="23">
        <v>19.05</v>
      </c>
      <c r="D1929" s="23">
        <v>4.92</v>
      </c>
      <c r="E1929" s="23" t="s">
        <v>4682</v>
      </c>
      <c r="F1929" s="23" t="s">
        <v>4682</v>
      </c>
      <c r="G1929" s="23" t="s">
        <v>4682</v>
      </c>
      <c r="H1929" s="23">
        <v>1</v>
      </c>
      <c r="I1929" s="23" t="s">
        <v>4682</v>
      </c>
      <c r="J1929" s="23" t="s">
        <v>4728</v>
      </c>
      <c r="K1929" s="23" t="s">
        <v>4737</v>
      </c>
      <c r="L1929">
        <v>1975</v>
      </c>
      <c r="M1929" s="15" t="s">
        <v>4700</v>
      </c>
      <c r="N1929">
        <v>14</v>
      </c>
      <c r="O1929">
        <v>3</v>
      </c>
      <c r="P1929" s="21">
        <f>DATEVALUE(N1929&amp;"-"&amp;M1929&amp;"-"&amp;L1929)</f>
        <v>27712</v>
      </c>
      <c r="Q1929" s="22">
        <v>24915.22</v>
      </c>
      <c r="R1929" s="23" t="s">
        <v>4697</v>
      </c>
      <c r="S1929" s="23" t="s">
        <v>4698</v>
      </c>
      <c r="T1929" s="23" t="s">
        <v>4704</v>
      </c>
      <c r="U1929" s="23">
        <f>DATEDIF(P1929, DATE(2023, 6, 8), "Y")</f>
        <v>47</v>
      </c>
      <c r="V1929">
        <f>SUM(C1929:K1929)</f>
        <v>24.97</v>
      </c>
    </row>
    <row r="1930" spans="1:22" ht="15.75">
      <c r="A1930" s="28" t="s">
        <v>3858</v>
      </c>
      <c r="B1930" s="28" t="s">
        <v>3859</v>
      </c>
      <c r="C1930" s="23">
        <v>37.619999999999997</v>
      </c>
      <c r="D1930" s="23">
        <v>4.18</v>
      </c>
      <c r="E1930" s="23" t="s">
        <v>4682</v>
      </c>
      <c r="F1930" s="23" t="s">
        <v>4682</v>
      </c>
      <c r="G1930" s="23" t="s">
        <v>4682</v>
      </c>
      <c r="H1930" s="23">
        <v>0</v>
      </c>
      <c r="I1930" s="23" t="s">
        <v>4682</v>
      </c>
      <c r="J1930" s="23" t="s">
        <v>4729</v>
      </c>
      <c r="K1930" s="23" t="s">
        <v>4737</v>
      </c>
      <c r="L1930">
        <v>1995</v>
      </c>
      <c r="M1930" s="15" t="s">
        <v>4705</v>
      </c>
      <c r="N1930">
        <v>4</v>
      </c>
      <c r="O1930">
        <v>0</v>
      </c>
      <c r="P1930" s="21">
        <f>DATEVALUE(N1930&amp;"-"&amp;M1930&amp;"-"&amp;L1930)</f>
        <v>35037</v>
      </c>
      <c r="Q1930" s="22">
        <v>25075.97</v>
      </c>
      <c r="R1930" s="23" t="s">
        <v>4697</v>
      </c>
      <c r="S1930" s="23" t="s">
        <v>4697</v>
      </c>
      <c r="T1930" s="23" t="s">
        <v>4708</v>
      </c>
      <c r="U1930" s="23">
        <f>DATEDIF(P1930, DATE(2023, 6, 8), "Y")</f>
        <v>27</v>
      </c>
      <c r="V1930">
        <f>SUM(C1930:K1930)</f>
        <v>41.8</v>
      </c>
    </row>
    <row r="1931" spans="1:22" ht="15.75">
      <c r="A1931" s="28" t="s">
        <v>3860</v>
      </c>
      <c r="B1931" s="28" t="s">
        <v>3861</v>
      </c>
      <c r="C1931" s="23">
        <v>29.1</v>
      </c>
      <c r="D1931" s="23">
        <v>4.67</v>
      </c>
      <c r="E1931" s="23" t="s">
        <v>4682</v>
      </c>
      <c r="F1931" s="23" t="s">
        <v>4682</v>
      </c>
      <c r="G1931" s="23" t="s">
        <v>4682</v>
      </c>
      <c r="H1931" s="23">
        <v>0</v>
      </c>
      <c r="I1931" s="23" t="s">
        <v>4682</v>
      </c>
      <c r="J1931" s="23" t="s">
        <v>4730</v>
      </c>
      <c r="K1931" s="23" t="s">
        <v>4737</v>
      </c>
      <c r="L1931">
        <v>1998</v>
      </c>
      <c r="M1931" s="15" t="s">
        <v>4702</v>
      </c>
      <c r="N1931">
        <v>14</v>
      </c>
      <c r="O1931">
        <v>0</v>
      </c>
      <c r="P1931" s="21">
        <f>DATEVALUE(N1931&amp;"-"&amp;M1931&amp;"-"&amp;L1931)</f>
        <v>35960</v>
      </c>
      <c r="Q1931" s="22">
        <v>25081.77</v>
      </c>
      <c r="R1931" s="23" t="s">
        <v>4697</v>
      </c>
      <c r="S1931" s="23" t="s">
        <v>4697</v>
      </c>
      <c r="T1931" s="23" t="s">
        <v>4699</v>
      </c>
      <c r="U1931" s="23">
        <f>DATEDIF(P1931, DATE(2023, 6, 8), "Y")</f>
        <v>24</v>
      </c>
      <c r="V1931">
        <f>SUM(C1931:K1931)</f>
        <v>33.770000000000003</v>
      </c>
    </row>
    <row r="1932" spans="1:22" ht="15.75">
      <c r="A1932" s="28" t="s">
        <v>3862</v>
      </c>
      <c r="B1932" s="28" t="s">
        <v>3863</v>
      </c>
      <c r="C1932" s="23">
        <v>26.62</v>
      </c>
      <c r="D1932" s="23">
        <v>6.24</v>
      </c>
      <c r="E1932" s="23" t="s">
        <v>4682</v>
      </c>
      <c r="F1932" s="23" t="s">
        <v>4682</v>
      </c>
      <c r="G1932" s="23" t="s">
        <v>4682</v>
      </c>
      <c r="H1932" s="23">
        <v>0</v>
      </c>
      <c r="I1932" s="23" t="s">
        <v>4682</v>
      </c>
      <c r="J1932" s="23" t="s">
        <v>4730</v>
      </c>
      <c r="K1932" s="23" t="s">
        <v>4736</v>
      </c>
      <c r="L1932">
        <v>1998</v>
      </c>
      <c r="M1932" s="15" t="s">
        <v>4700</v>
      </c>
      <c r="N1932">
        <v>24</v>
      </c>
      <c r="O1932">
        <v>0</v>
      </c>
      <c r="P1932" s="21">
        <f>DATEVALUE(N1932&amp;"-"&amp;M1932&amp;"-"&amp;L1932)</f>
        <v>36123</v>
      </c>
      <c r="Q1932" s="22">
        <v>25127.22</v>
      </c>
      <c r="R1932" s="23" t="s">
        <v>4697</v>
      </c>
      <c r="S1932" s="23" t="s">
        <v>4698</v>
      </c>
      <c r="T1932" s="23" t="s">
        <v>4708</v>
      </c>
      <c r="U1932" s="23">
        <f>DATEDIF(P1932, DATE(2023, 6, 8), "Y")</f>
        <v>24</v>
      </c>
      <c r="V1932">
        <f>SUM(C1932:K1932)</f>
        <v>32.86</v>
      </c>
    </row>
    <row r="1933" spans="1:22" ht="15.75">
      <c r="A1933" s="28" t="s">
        <v>3864</v>
      </c>
      <c r="B1933" s="28" t="s">
        <v>3865</v>
      </c>
      <c r="C1933" s="23">
        <v>25.74</v>
      </c>
      <c r="D1933" s="23">
        <v>5.99</v>
      </c>
      <c r="E1933" s="23" t="s">
        <v>4682</v>
      </c>
      <c r="F1933" s="23" t="s">
        <v>4682</v>
      </c>
      <c r="G1933" s="23" t="s">
        <v>4682</v>
      </c>
      <c r="H1933" s="23">
        <v>0</v>
      </c>
      <c r="I1933" s="23" t="s">
        <v>4682</v>
      </c>
      <c r="J1933" s="23" t="s">
        <v>4730</v>
      </c>
      <c r="K1933" s="23" t="s">
        <v>4736</v>
      </c>
      <c r="L1933">
        <v>1975</v>
      </c>
      <c r="M1933" s="15" t="s">
        <v>4705</v>
      </c>
      <c r="N1933">
        <v>14</v>
      </c>
      <c r="O1933">
        <v>3</v>
      </c>
      <c r="P1933" s="21">
        <f>DATEVALUE(N1933&amp;"-"&amp;M1933&amp;"-"&amp;L1933)</f>
        <v>27742</v>
      </c>
      <c r="Q1933" s="22">
        <v>25309.49</v>
      </c>
      <c r="R1933" s="23" t="s">
        <v>4697</v>
      </c>
      <c r="S1933" s="23" t="s">
        <v>4701</v>
      </c>
      <c r="T1933" s="23" t="s">
        <v>4708</v>
      </c>
      <c r="U1933" s="23">
        <f>DATEDIF(P1933, DATE(2023, 6, 8), "Y")</f>
        <v>47</v>
      </c>
      <c r="V1933">
        <f>SUM(C1933:K1933)</f>
        <v>31.729999999999997</v>
      </c>
    </row>
    <row r="1934" spans="1:22" ht="15.75">
      <c r="A1934" s="28" t="s">
        <v>3866</v>
      </c>
      <c r="B1934" s="28" t="s">
        <v>3867</v>
      </c>
      <c r="C1934" s="23">
        <v>18.22</v>
      </c>
      <c r="D1934" s="23">
        <v>10.27</v>
      </c>
      <c r="E1934" s="23" t="s">
        <v>4683</v>
      </c>
      <c r="F1934" s="23" t="s">
        <v>4682</v>
      </c>
      <c r="G1934" s="23" t="s">
        <v>4682</v>
      </c>
      <c r="H1934" s="23">
        <v>1</v>
      </c>
      <c r="I1934" s="23" t="s">
        <v>4682</v>
      </c>
      <c r="J1934" s="23" t="s">
        <v>4731</v>
      </c>
      <c r="K1934" s="23" t="s">
        <v>4735</v>
      </c>
      <c r="L1934">
        <v>1972</v>
      </c>
      <c r="M1934" s="15" t="s">
        <v>4703</v>
      </c>
      <c r="N1934">
        <v>26</v>
      </c>
      <c r="O1934">
        <v>2</v>
      </c>
      <c r="P1934" s="21">
        <f>DATEVALUE(N1934&amp;"-"&amp;M1934&amp;"-"&amp;L1934)</f>
        <v>26568</v>
      </c>
      <c r="Q1934" s="22">
        <v>25333.33</v>
      </c>
      <c r="R1934" s="23" t="s">
        <v>4697</v>
      </c>
      <c r="S1934" s="23" t="s">
        <v>4697</v>
      </c>
      <c r="T1934" s="23" t="s">
        <v>4718</v>
      </c>
      <c r="U1934" s="23">
        <f>DATEDIF(P1934, DATE(2023, 6, 8), "Y")</f>
        <v>50</v>
      </c>
      <c r="V1934">
        <f>SUM(C1934:K1934)</f>
        <v>29.49</v>
      </c>
    </row>
    <row r="1935" spans="1:22" ht="15.75">
      <c r="A1935" s="28" t="s">
        <v>3868</v>
      </c>
      <c r="B1935" s="28" t="s">
        <v>3869</v>
      </c>
      <c r="C1935" s="23">
        <v>26.03</v>
      </c>
      <c r="D1935" s="23">
        <v>5.97</v>
      </c>
      <c r="E1935" s="23" t="s">
        <v>4682</v>
      </c>
      <c r="F1935" s="23" t="s">
        <v>4682</v>
      </c>
      <c r="G1935" s="23" t="s">
        <v>4684</v>
      </c>
      <c r="H1935" s="23">
        <v>1</v>
      </c>
      <c r="I1935" s="23" t="s">
        <v>4682</v>
      </c>
      <c r="J1935" s="23" t="s">
        <v>4730</v>
      </c>
      <c r="K1935" s="23" t="s">
        <v>4736</v>
      </c>
      <c r="L1935">
        <v>1968</v>
      </c>
      <c r="M1935" s="15" t="s">
        <v>4706</v>
      </c>
      <c r="N1935">
        <v>22</v>
      </c>
      <c r="O1935">
        <v>3</v>
      </c>
      <c r="P1935" s="21">
        <f>DATEVALUE(N1935&amp;"-"&amp;M1935&amp;"-"&amp;L1935)</f>
        <v>25072</v>
      </c>
      <c r="Q1935" s="22">
        <v>25382.3</v>
      </c>
      <c r="R1935" s="23" t="s">
        <v>4697</v>
      </c>
      <c r="S1935" s="23" t="s">
        <v>4697</v>
      </c>
      <c r="T1935" s="23" t="s">
        <v>4708</v>
      </c>
      <c r="U1935" s="23">
        <f>DATEDIF(P1935, DATE(2023, 6, 8), "Y")</f>
        <v>54</v>
      </c>
      <c r="V1935">
        <f>SUM(C1935:K1935)</f>
        <v>33</v>
      </c>
    </row>
    <row r="1936" spans="1:22" ht="15.75">
      <c r="A1936" s="28" t="s">
        <v>3870</v>
      </c>
      <c r="B1936" s="28" t="s">
        <v>3871</v>
      </c>
      <c r="C1936" s="23">
        <v>17.29</v>
      </c>
      <c r="D1936" s="23">
        <v>4.9800000000000004</v>
      </c>
      <c r="E1936" s="23" t="s">
        <v>4682</v>
      </c>
      <c r="F1936" s="23" t="s">
        <v>4682</v>
      </c>
      <c r="G1936" s="23" t="s">
        <v>4682</v>
      </c>
      <c r="H1936" s="23">
        <v>0</v>
      </c>
      <c r="I1936" s="23" t="s">
        <v>4682</v>
      </c>
      <c r="J1936" s="23" t="s">
        <v>4731</v>
      </c>
      <c r="K1936" s="23" t="s">
        <v>4737</v>
      </c>
      <c r="L1936">
        <v>1968</v>
      </c>
      <c r="M1936" s="15" t="s">
        <v>4705</v>
      </c>
      <c r="N1936">
        <v>11</v>
      </c>
      <c r="O1936">
        <v>1</v>
      </c>
      <c r="P1936" s="21">
        <f>DATEVALUE(N1936&amp;"-"&amp;M1936&amp;"-"&amp;L1936)</f>
        <v>25183</v>
      </c>
      <c r="Q1936" s="22">
        <v>25517.11</v>
      </c>
      <c r="R1936" s="23" t="s">
        <v>4697</v>
      </c>
      <c r="S1936" s="23" t="s">
        <v>4698</v>
      </c>
      <c r="T1936" s="23" t="s">
        <v>4718</v>
      </c>
      <c r="U1936" s="23">
        <f>DATEDIF(P1936, DATE(2023, 6, 8), "Y")</f>
        <v>54</v>
      </c>
      <c r="V1936">
        <f>SUM(C1936:K1936)</f>
        <v>22.27</v>
      </c>
    </row>
    <row r="1937" spans="1:22" ht="15.75">
      <c r="A1937" s="28" t="s">
        <v>3872</v>
      </c>
      <c r="B1937" s="28" t="s">
        <v>3873</v>
      </c>
      <c r="C1937" s="23">
        <v>18.170000000000002</v>
      </c>
      <c r="D1937" s="23">
        <v>6.91</v>
      </c>
      <c r="E1937" s="23" t="s">
        <v>4683</v>
      </c>
      <c r="F1937" s="23" t="s">
        <v>4682</v>
      </c>
      <c r="G1937" s="23" t="s">
        <v>4682</v>
      </c>
      <c r="H1937" s="23">
        <v>1</v>
      </c>
      <c r="I1937" s="23" t="s">
        <v>4682</v>
      </c>
      <c r="J1937" s="23" t="s">
        <v>4731</v>
      </c>
      <c r="K1937" s="23" t="s">
        <v>4735</v>
      </c>
      <c r="L1937">
        <v>2001</v>
      </c>
      <c r="M1937" s="15" t="s">
        <v>4706</v>
      </c>
      <c r="N1937">
        <v>2</v>
      </c>
      <c r="O1937">
        <v>0</v>
      </c>
      <c r="P1937" s="21">
        <f>DATEVALUE(N1937&amp;"-"&amp;M1937&amp;"-"&amp;L1937)</f>
        <v>37105</v>
      </c>
      <c r="Q1937" s="22">
        <v>25648.98</v>
      </c>
      <c r="R1937" s="23" t="s">
        <v>4697</v>
      </c>
      <c r="S1937" s="23" t="s">
        <v>4701</v>
      </c>
      <c r="T1937" s="23" t="s">
        <v>4708</v>
      </c>
      <c r="U1937" s="23">
        <f>DATEDIF(P1937, DATE(2023, 6, 8), "Y")</f>
        <v>21</v>
      </c>
      <c r="V1937">
        <f>SUM(C1937:K1937)</f>
        <v>26.080000000000002</v>
      </c>
    </row>
    <row r="1938" spans="1:22" ht="15.75">
      <c r="A1938" s="28" t="s">
        <v>3874</v>
      </c>
      <c r="B1938" s="28" t="s">
        <v>3875</v>
      </c>
      <c r="C1938" s="23">
        <v>32.54</v>
      </c>
      <c r="D1938" s="23">
        <v>6.38</v>
      </c>
      <c r="E1938" s="23" t="s">
        <v>4682</v>
      </c>
      <c r="F1938" s="23" t="s">
        <v>4683</v>
      </c>
      <c r="G1938" s="23" t="s">
        <v>4682</v>
      </c>
      <c r="H1938" s="23">
        <v>1</v>
      </c>
      <c r="I1938" s="23" t="s">
        <v>4682</v>
      </c>
      <c r="J1938" s="23" t="s">
        <v>4729</v>
      </c>
      <c r="K1938" s="23" t="s">
        <v>4736</v>
      </c>
      <c r="L1938">
        <v>1972</v>
      </c>
      <c r="M1938" s="15" t="s">
        <v>4696</v>
      </c>
      <c r="N1938">
        <v>17</v>
      </c>
      <c r="O1938">
        <v>0</v>
      </c>
      <c r="P1938" s="21">
        <f>DATEVALUE(N1938&amp;"-"&amp;M1938&amp;"-"&amp;L1938)</f>
        <v>26497</v>
      </c>
      <c r="Q1938" s="22">
        <v>25656.58</v>
      </c>
      <c r="R1938" s="23" t="s">
        <v>4697</v>
      </c>
      <c r="S1938" s="23" t="s">
        <v>4698</v>
      </c>
      <c r="T1938" s="23" t="s">
        <v>4714</v>
      </c>
      <c r="U1938" s="23">
        <f>DATEDIF(P1938, DATE(2023, 6, 8), "Y")</f>
        <v>50</v>
      </c>
      <c r="V1938">
        <f>SUM(C1938:K1938)</f>
        <v>39.92</v>
      </c>
    </row>
    <row r="1939" spans="1:22" ht="15.75">
      <c r="A1939" s="28" t="s">
        <v>3876</v>
      </c>
      <c r="B1939" s="28" t="s">
        <v>3877</v>
      </c>
      <c r="C1939" s="23">
        <v>30.25</v>
      </c>
      <c r="D1939" s="23">
        <v>4.7699999999999996</v>
      </c>
      <c r="E1939" s="23" t="s">
        <v>4682</v>
      </c>
      <c r="F1939" s="23" t="s">
        <v>4682</v>
      </c>
      <c r="G1939" s="23" t="s">
        <v>4682</v>
      </c>
      <c r="H1939" s="23">
        <v>0</v>
      </c>
      <c r="I1939" s="23" t="s">
        <v>4682</v>
      </c>
      <c r="J1939" s="23" t="s">
        <v>4729</v>
      </c>
      <c r="K1939" s="23" t="s">
        <v>4737</v>
      </c>
      <c r="L1939">
        <v>1963</v>
      </c>
      <c r="M1939" s="15" t="s">
        <v>4706</v>
      </c>
      <c r="N1939">
        <v>21</v>
      </c>
      <c r="O1939">
        <v>0</v>
      </c>
      <c r="P1939" s="21">
        <f>DATEVALUE(N1939&amp;"-"&amp;M1939&amp;"-"&amp;L1939)</f>
        <v>23244</v>
      </c>
      <c r="Q1939" s="22">
        <v>25678.78</v>
      </c>
      <c r="R1939" s="23" t="s">
        <v>4697</v>
      </c>
      <c r="S1939" s="23" t="s">
        <v>4698</v>
      </c>
      <c r="T1939" s="23" t="s">
        <v>4704</v>
      </c>
      <c r="U1939" s="23">
        <f>DATEDIF(P1939, DATE(2023, 6, 8), "Y")</f>
        <v>59</v>
      </c>
      <c r="V1939">
        <f>SUM(C1939:K1939)</f>
        <v>35.019999999999996</v>
      </c>
    </row>
    <row r="1940" spans="1:22" ht="15.75">
      <c r="A1940" s="28" t="s">
        <v>3878</v>
      </c>
      <c r="B1940" s="28" t="s">
        <v>3879</v>
      </c>
      <c r="C1940" s="23">
        <v>19.59</v>
      </c>
      <c r="D1940" s="23">
        <v>6.04</v>
      </c>
      <c r="E1940" s="23" t="s">
        <v>4683</v>
      </c>
      <c r="F1940" s="23" t="s">
        <v>4682</v>
      </c>
      <c r="G1940" s="23" t="s">
        <v>4682</v>
      </c>
      <c r="H1940" s="23">
        <v>1</v>
      </c>
      <c r="I1940" s="23" t="s">
        <v>4682</v>
      </c>
      <c r="J1940" s="23" t="s">
        <v>4728</v>
      </c>
      <c r="K1940" s="23" t="s">
        <v>4736</v>
      </c>
      <c r="L1940">
        <v>1970</v>
      </c>
      <c r="M1940" s="15" t="s">
        <v>4705</v>
      </c>
      <c r="N1940">
        <v>3</v>
      </c>
      <c r="O1940">
        <v>3</v>
      </c>
      <c r="P1940" s="21">
        <f>DATEVALUE(N1940&amp;"-"&amp;M1940&amp;"-"&amp;L1940)</f>
        <v>25905</v>
      </c>
      <c r="Q1940" s="22">
        <v>25992.82</v>
      </c>
      <c r="R1940" s="23" t="s">
        <v>4697</v>
      </c>
      <c r="S1940" s="23" t="s">
        <v>4697</v>
      </c>
      <c r="T1940" s="23" t="s">
        <v>4699</v>
      </c>
      <c r="U1940" s="23">
        <f>DATEDIF(P1940, DATE(2023, 6, 8), "Y")</f>
        <v>52</v>
      </c>
      <c r="V1940">
        <f>SUM(C1940:K1940)</f>
        <v>26.63</v>
      </c>
    </row>
    <row r="1941" spans="1:22" ht="15.75">
      <c r="A1941" s="28" t="s">
        <v>3880</v>
      </c>
      <c r="B1941" s="28" t="s">
        <v>3881</v>
      </c>
      <c r="C1941" s="23">
        <v>45.9</v>
      </c>
      <c r="D1941" s="23">
        <v>4.3</v>
      </c>
      <c r="E1941" s="23" t="s">
        <v>4683</v>
      </c>
      <c r="F1941" s="23" t="s">
        <v>4682</v>
      </c>
      <c r="G1941" s="23" t="s">
        <v>4682</v>
      </c>
      <c r="H1941" s="23">
        <v>1</v>
      </c>
      <c r="I1941" s="23" t="s">
        <v>4682</v>
      </c>
      <c r="J1941" s="23" t="s">
        <v>4729</v>
      </c>
      <c r="K1941" s="23" t="s">
        <v>4737</v>
      </c>
      <c r="L1941">
        <v>2001</v>
      </c>
      <c r="M1941" s="15" t="s">
        <v>4702</v>
      </c>
      <c r="N1941">
        <v>5</v>
      </c>
      <c r="O1941">
        <v>2</v>
      </c>
      <c r="P1941" s="21">
        <f>DATEVALUE(N1941&amp;"-"&amp;M1941&amp;"-"&amp;L1941)</f>
        <v>37047</v>
      </c>
      <c r="Q1941" s="22">
        <v>26018.95</v>
      </c>
      <c r="R1941" s="23" t="s">
        <v>4697</v>
      </c>
      <c r="S1941" s="23" t="s">
        <v>4697</v>
      </c>
      <c r="T1941" s="23" t="s">
        <v>4704</v>
      </c>
      <c r="U1941" s="23">
        <f>DATEDIF(P1941, DATE(2023, 6, 8), "Y")</f>
        <v>22</v>
      </c>
      <c r="V1941">
        <f>SUM(C1941:K1941)</f>
        <v>51.199999999999996</v>
      </c>
    </row>
    <row r="1942" spans="1:22" ht="15.75">
      <c r="A1942" s="28" t="s">
        <v>3882</v>
      </c>
      <c r="B1942" s="28" t="s">
        <v>3883</v>
      </c>
      <c r="C1942" s="23">
        <v>17.059999999999999</v>
      </c>
      <c r="D1942" s="23">
        <v>8.75</v>
      </c>
      <c r="E1942" s="23" t="s">
        <v>4683</v>
      </c>
      <c r="F1942" s="23" t="s">
        <v>4682</v>
      </c>
      <c r="G1942" s="23" t="s">
        <v>4682</v>
      </c>
      <c r="H1942" s="23">
        <v>0</v>
      </c>
      <c r="I1942" s="23" t="s">
        <v>4682</v>
      </c>
      <c r="J1942" s="23" t="s">
        <v>4731</v>
      </c>
      <c r="K1942" s="23" t="s">
        <v>4735</v>
      </c>
      <c r="L1942">
        <v>2000</v>
      </c>
      <c r="M1942" s="15" t="s">
        <v>4705</v>
      </c>
      <c r="N1942">
        <v>26</v>
      </c>
      <c r="O1942">
        <v>0</v>
      </c>
      <c r="P1942" s="21">
        <f>DATEVALUE(N1942&amp;"-"&amp;M1942&amp;"-"&amp;L1942)</f>
        <v>36886</v>
      </c>
      <c r="Q1942" s="22">
        <v>26026.97</v>
      </c>
      <c r="R1942" s="23" t="s">
        <v>4697</v>
      </c>
      <c r="S1942" s="23" t="s">
        <v>4698</v>
      </c>
      <c r="T1942" s="23" t="s">
        <v>4708</v>
      </c>
      <c r="U1942" s="23">
        <f>DATEDIF(P1942, DATE(2023, 6, 8), "Y")</f>
        <v>22</v>
      </c>
      <c r="V1942">
        <f>SUM(C1942:K1942)</f>
        <v>25.81</v>
      </c>
    </row>
    <row r="1943" spans="1:22" ht="15.75">
      <c r="A1943" s="28" t="s">
        <v>3884</v>
      </c>
      <c r="B1943" s="28" t="s">
        <v>3885</v>
      </c>
      <c r="C1943" s="23">
        <v>32.07</v>
      </c>
      <c r="D1943" s="23">
        <v>5.25</v>
      </c>
      <c r="E1943" s="23" t="s">
        <v>4682</v>
      </c>
      <c r="F1943" s="23" t="s">
        <v>4682</v>
      </c>
      <c r="G1943" s="23" t="s">
        <v>4684</v>
      </c>
      <c r="H1943" s="23">
        <v>1</v>
      </c>
      <c r="I1943" s="23" t="s">
        <v>4682</v>
      </c>
      <c r="J1943" s="23" t="s">
        <v>4729</v>
      </c>
      <c r="K1943" s="23" t="s">
        <v>4737</v>
      </c>
      <c r="L1943">
        <v>1966</v>
      </c>
      <c r="M1943" s="15" t="s">
        <v>4696</v>
      </c>
      <c r="N1943">
        <v>9</v>
      </c>
      <c r="O1943">
        <v>1</v>
      </c>
      <c r="P1943" s="21">
        <f>DATEVALUE(N1943&amp;"-"&amp;M1943&amp;"-"&amp;L1943)</f>
        <v>24297</v>
      </c>
      <c r="Q1943" s="22">
        <v>26109.33</v>
      </c>
      <c r="R1943" s="23" t="s">
        <v>4697</v>
      </c>
      <c r="S1943" s="23" t="s">
        <v>4698</v>
      </c>
      <c r="T1943" s="23" t="s">
        <v>4704</v>
      </c>
      <c r="U1943" s="23">
        <f>DATEDIF(P1943, DATE(2023, 6, 8), "Y")</f>
        <v>56</v>
      </c>
      <c r="V1943">
        <f>SUM(C1943:K1943)</f>
        <v>38.32</v>
      </c>
    </row>
    <row r="1944" spans="1:22" ht="15.75">
      <c r="A1944" s="28" t="s">
        <v>3886</v>
      </c>
      <c r="B1944" s="28" t="s">
        <v>3887</v>
      </c>
      <c r="C1944" s="23">
        <v>16.5</v>
      </c>
      <c r="D1944" s="23">
        <v>5.03</v>
      </c>
      <c r="E1944" s="23" t="s">
        <v>4682</v>
      </c>
      <c r="F1944" s="23" t="s">
        <v>4682</v>
      </c>
      <c r="G1944" s="23" t="s">
        <v>4682</v>
      </c>
      <c r="H1944" s="23">
        <v>1</v>
      </c>
      <c r="I1944" s="23" t="s">
        <v>4682</v>
      </c>
      <c r="J1944" s="23" t="s">
        <v>4731</v>
      </c>
      <c r="K1944" s="23" t="s">
        <v>4737</v>
      </c>
      <c r="L1944">
        <v>2002</v>
      </c>
      <c r="M1944" s="15" t="s">
        <v>4707</v>
      </c>
      <c r="N1944">
        <v>11</v>
      </c>
      <c r="O1944">
        <v>0</v>
      </c>
      <c r="P1944" s="21">
        <f>DATEVALUE(N1944&amp;"-"&amp;M1944&amp;"-"&amp;L1944)</f>
        <v>37540</v>
      </c>
      <c r="Q1944" s="22">
        <v>26125.67</v>
      </c>
      <c r="R1944" s="23" t="s">
        <v>4697</v>
      </c>
      <c r="S1944" s="23" t="s">
        <v>4701</v>
      </c>
      <c r="T1944" s="23" t="s">
        <v>4699</v>
      </c>
      <c r="U1944" s="23">
        <f>DATEDIF(P1944, DATE(2023, 6, 8), "Y")</f>
        <v>20</v>
      </c>
      <c r="V1944">
        <f>SUM(C1944:K1944)</f>
        <v>22.53</v>
      </c>
    </row>
    <row r="1945" spans="1:22" ht="15.75">
      <c r="A1945" s="28" t="s">
        <v>3888</v>
      </c>
      <c r="B1945" s="28" t="s">
        <v>3889</v>
      </c>
      <c r="C1945" s="23">
        <v>31.4</v>
      </c>
      <c r="D1945" s="23">
        <v>5.88</v>
      </c>
      <c r="E1945" s="23" t="s">
        <v>4682</v>
      </c>
      <c r="F1945" s="23" t="s">
        <v>4682</v>
      </c>
      <c r="G1945" s="23" t="s">
        <v>4682</v>
      </c>
      <c r="H1945" s="23">
        <v>1</v>
      </c>
      <c r="I1945" s="23" t="s">
        <v>4682</v>
      </c>
      <c r="J1945" s="23" t="s">
        <v>4729</v>
      </c>
      <c r="K1945" s="23" t="s">
        <v>4736</v>
      </c>
      <c r="L1945">
        <v>1973</v>
      </c>
      <c r="M1945" s="15" t="s">
        <v>4696</v>
      </c>
      <c r="N1945">
        <v>7</v>
      </c>
      <c r="O1945">
        <v>1</v>
      </c>
      <c r="P1945" s="21">
        <f>DATEVALUE(N1945&amp;"-"&amp;M1945&amp;"-"&amp;L1945)</f>
        <v>26852</v>
      </c>
      <c r="Q1945" s="22">
        <v>26140.36</v>
      </c>
      <c r="R1945" s="23" t="s">
        <v>4697</v>
      </c>
      <c r="S1945" s="23" t="s">
        <v>4698</v>
      </c>
      <c r="T1945" s="23" t="s">
        <v>4708</v>
      </c>
      <c r="U1945" s="23">
        <f>DATEDIF(P1945, DATE(2023, 6, 8), "Y")</f>
        <v>49</v>
      </c>
      <c r="V1945">
        <f>SUM(C1945:K1945)</f>
        <v>38.28</v>
      </c>
    </row>
    <row r="1946" spans="1:22" ht="15.75">
      <c r="A1946" s="28" t="s">
        <v>3890</v>
      </c>
      <c r="B1946" s="28" t="s">
        <v>3891</v>
      </c>
      <c r="C1946" s="23">
        <v>20.36</v>
      </c>
      <c r="D1946" s="23">
        <v>4.49</v>
      </c>
      <c r="E1946" s="23" t="s">
        <v>4682</v>
      </c>
      <c r="F1946" s="23" t="s">
        <v>4682</v>
      </c>
      <c r="G1946" s="23" t="s">
        <v>4682</v>
      </c>
      <c r="H1946" s="23">
        <v>0</v>
      </c>
      <c r="I1946" s="23" t="s">
        <v>4682</v>
      </c>
      <c r="J1946" s="23" t="s">
        <v>4728</v>
      </c>
      <c r="K1946" s="23" t="s">
        <v>4737</v>
      </c>
      <c r="L1946">
        <v>1975</v>
      </c>
      <c r="M1946" s="15" t="s">
        <v>4702</v>
      </c>
      <c r="N1946">
        <v>4</v>
      </c>
      <c r="O1946">
        <v>1</v>
      </c>
      <c r="P1946" s="21">
        <f>DATEVALUE(N1946&amp;"-"&amp;M1946&amp;"-"&amp;L1946)</f>
        <v>27549</v>
      </c>
      <c r="Q1946" s="22">
        <v>26236.58</v>
      </c>
      <c r="R1946" s="23" t="s">
        <v>4697</v>
      </c>
      <c r="S1946" s="23" t="s">
        <v>4701</v>
      </c>
      <c r="T1946" s="23" t="s">
        <v>4708</v>
      </c>
      <c r="U1946" s="23">
        <f>DATEDIF(P1946, DATE(2023, 6, 8), "Y")</f>
        <v>48</v>
      </c>
      <c r="V1946">
        <f>SUM(C1946:K1946)</f>
        <v>24.85</v>
      </c>
    </row>
    <row r="1947" spans="1:22" ht="15.75">
      <c r="A1947" s="28" t="s">
        <v>3892</v>
      </c>
      <c r="B1947" s="28" t="s">
        <v>3893</v>
      </c>
      <c r="C1947" s="23">
        <v>25.46</v>
      </c>
      <c r="D1947" s="23">
        <v>4.1399999999999997</v>
      </c>
      <c r="E1947" s="23" t="s">
        <v>4682</v>
      </c>
      <c r="F1947" s="23" t="s">
        <v>4682</v>
      </c>
      <c r="G1947" s="23" t="s">
        <v>4682</v>
      </c>
      <c r="H1947" s="23">
        <v>1</v>
      </c>
      <c r="I1947" s="23" t="s">
        <v>4682</v>
      </c>
      <c r="J1947" s="23" t="s">
        <v>4730</v>
      </c>
      <c r="K1947" s="23" t="s">
        <v>4737</v>
      </c>
      <c r="L1947">
        <v>2004</v>
      </c>
      <c r="M1947" s="15" t="s">
        <v>4705</v>
      </c>
      <c r="N1947">
        <v>5</v>
      </c>
      <c r="O1947">
        <v>0</v>
      </c>
      <c r="P1947" s="21">
        <f>DATEVALUE(N1947&amp;"-"&amp;M1947&amp;"-"&amp;L1947)</f>
        <v>38326</v>
      </c>
      <c r="Q1947" s="22">
        <v>26316.59</v>
      </c>
      <c r="R1947" s="23" t="s">
        <v>4697</v>
      </c>
      <c r="S1947" s="23" t="s">
        <v>4698</v>
      </c>
      <c r="T1947" s="23" t="s">
        <v>4708</v>
      </c>
      <c r="U1947" s="23">
        <f>DATEDIF(P1947, DATE(2023, 6, 8), "Y")</f>
        <v>18</v>
      </c>
      <c r="V1947">
        <f>SUM(C1947:K1947)</f>
        <v>30.6</v>
      </c>
    </row>
    <row r="1948" spans="1:22" ht="15.75">
      <c r="A1948" s="28" t="s">
        <v>3894</v>
      </c>
      <c r="B1948" s="28" t="s">
        <v>3895</v>
      </c>
      <c r="C1948" s="23">
        <v>17.09</v>
      </c>
      <c r="D1948" s="23">
        <v>5.8</v>
      </c>
      <c r="E1948" s="23" t="s">
        <v>4683</v>
      </c>
      <c r="F1948" s="23" t="s">
        <v>4682</v>
      </c>
      <c r="G1948" s="23" t="s">
        <v>4682</v>
      </c>
      <c r="H1948" s="23">
        <v>0</v>
      </c>
      <c r="I1948" s="23" t="s">
        <v>4682</v>
      </c>
      <c r="J1948" s="23" t="s">
        <v>4731</v>
      </c>
      <c r="K1948" s="23" t="s">
        <v>4736</v>
      </c>
      <c r="L1948">
        <v>1974</v>
      </c>
      <c r="M1948" s="15" t="s">
        <v>4703</v>
      </c>
      <c r="N1948">
        <v>21</v>
      </c>
      <c r="O1948">
        <v>1</v>
      </c>
      <c r="P1948" s="21">
        <f>DATEVALUE(N1948&amp;"-"&amp;M1948&amp;"-"&amp;L1948)</f>
        <v>27293</v>
      </c>
      <c r="Q1948" s="22">
        <v>26392.26</v>
      </c>
      <c r="R1948" s="23" t="s">
        <v>4697</v>
      </c>
      <c r="S1948" s="23" t="s">
        <v>4697</v>
      </c>
      <c r="T1948" s="23" t="s">
        <v>4714</v>
      </c>
      <c r="U1948" s="23">
        <f>DATEDIF(P1948, DATE(2023, 6, 8), "Y")</f>
        <v>48</v>
      </c>
      <c r="V1948">
        <f>SUM(C1948:K1948)</f>
        <v>22.89</v>
      </c>
    </row>
    <row r="1949" spans="1:22" ht="15.75">
      <c r="A1949" s="28" t="s">
        <v>3896</v>
      </c>
      <c r="B1949" s="28" t="s">
        <v>3897</v>
      </c>
      <c r="C1949" s="23">
        <v>20.83</v>
      </c>
      <c r="D1949" s="23">
        <v>5.12</v>
      </c>
      <c r="E1949" s="23" t="s">
        <v>4682</v>
      </c>
      <c r="F1949" s="23" t="s">
        <v>4682</v>
      </c>
      <c r="G1949" s="23" t="s">
        <v>4682</v>
      </c>
      <c r="H1949" s="23">
        <v>0</v>
      </c>
      <c r="I1949" s="23" t="s">
        <v>4682</v>
      </c>
      <c r="J1949" s="23" t="s">
        <v>4728</v>
      </c>
      <c r="K1949" s="23" t="s">
        <v>4737</v>
      </c>
      <c r="L1949">
        <v>1970</v>
      </c>
      <c r="M1949" s="15" t="s">
        <v>4706</v>
      </c>
      <c r="N1949">
        <v>27</v>
      </c>
      <c r="O1949">
        <v>2</v>
      </c>
      <c r="P1949" s="21">
        <f>DATEVALUE(N1949&amp;"-"&amp;M1949&amp;"-"&amp;L1949)</f>
        <v>25807</v>
      </c>
      <c r="Q1949" s="22">
        <v>26467.1</v>
      </c>
      <c r="R1949" s="23" t="s">
        <v>4697</v>
      </c>
      <c r="S1949" s="23" t="s">
        <v>4698</v>
      </c>
      <c r="T1949" s="23" t="s">
        <v>4704</v>
      </c>
      <c r="U1949" s="23">
        <f>DATEDIF(P1949, DATE(2023, 6, 8), "Y")</f>
        <v>52</v>
      </c>
      <c r="V1949">
        <f>SUM(C1949:K1949)</f>
        <v>25.95</v>
      </c>
    </row>
    <row r="1950" spans="1:22" ht="15.75">
      <c r="A1950" s="28" t="s">
        <v>3898</v>
      </c>
      <c r="B1950" s="28" t="s">
        <v>3899</v>
      </c>
      <c r="C1950" s="23">
        <v>18.920000000000002</v>
      </c>
      <c r="D1950" s="23">
        <v>5.98</v>
      </c>
      <c r="E1950" s="23" t="s">
        <v>4683</v>
      </c>
      <c r="F1950" s="23" t="s">
        <v>4682</v>
      </c>
      <c r="G1950" s="23" t="s">
        <v>4682</v>
      </c>
      <c r="H1950" s="23">
        <v>1</v>
      </c>
      <c r="I1950" s="23" t="s">
        <v>4682</v>
      </c>
      <c r="J1950" s="23" t="s">
        <v>4728</v>
      </c>
      <c r="K1950" s="23" t="s">
        <v>4736</v>
      </c>
      <c r="L1950">
        <v>2004</v>
      </c>
      <c r="M1950" s="15" t="s">
        <v>4703</v>
      </c>
      <c r="N1950">
        <v>5</v>
      </c>
      <c r="O1950">
        <v>0</v>
      </c>
      <c r="P1950" s="21">
        <f>DATEVALUE(N1950&amp;"-"&amp;M1950&amp;"-"&amp;L1950)</f>
        <v>38235</v>
      </c>
      <c r="Q1950" s="22">
        <v>26479.4</v>
      </c>
      <c r="R1950" s="23" t="s">
        <v>4697</v>
      </c>
      <c r="S1950" s="23" t="s">
        <v>4697</v>
      </c>
      <c r="T1950" s="23" t="s">
        <v>4708</v>
      </c>
      <c r="U1950" s="23">
        <f>DATEDIF(P1950, DATE(2023, 6, 8), "Y")</f>
        <v>18</v>
      </c>
      <c r="V1950">
        <f>SUM(C1950:K1950)</f>
        <v>25.900000000000002</v>
      </c>
    </row>
    <row r="1951" spans="1:22" ht="15.75">
      <c r="A1951" s="28" t="s">
        <v>3900</v>
      </c>
      <c r="B1951" s="28" t="s">
        <v>3901</v>
      </c>
      <c r="C1951" s="23">
        <v>37.1</v>
      </c>
      <c r="D1951" s="23">
        <v>5.46</v>
      </c>
      <c r="E1951" s="23" t="s">
        <v>4682</v>
      </c>
      <c r="F1951" s="23" t="s">
        <v>4682</v>
      </c>
      <c r="G1951" s="23" t="s">
        <v>4682</v>
      </c>
      <c r="H1951" s="23">
        <v>0</v>
      </c>
      <c r="I1951" s="23" t="s">
        <v>4682</v>
      </c>
      <c r="J1951" s="23" t="s">
        <v>4729</v>
      </c>
      <c r="K1951" s="23" t="s">
        <v>4737</v>
      </c>
      <c r="L1951">
        <v>1988</v>
      </c>
      <c r="M1951" s="15" t="s">
        <v>4696</v>
      </c>
      <c r="N1951">
        <v>22</v>
      </c>
      <c r="O1951">
        <v>3</v>
      </c>
      <c r="P1951" s="21">
        <f>DATEVALUE(N1951&amp;"-"&amp;M1951&amp;"-"&amp;L1951)</f>
        <v>32346</v>
      </c>
      <c r="Q1951" s="22">
        <v>26607.89</v>
      </c>
      <c r="R1951" s="23" t="s">
        <v>4697</v>
      </c>
      <c r="S1951" s="23" t="s">
        <v>4701</v>
      </c>
      <c r="T1951" s="23" t="s">
        <v>4708</v>
      </c>
      <c r="U1951" s="23">
        <f>DATEDIF(P1951, DATE(2023, 6, 8), "Y")</f>
        <v>34</v>
      </c>
      <c r="V1951">
        <f>SUM(C1951:K1951)</f>
        <v>42.56</v>
      </c>
    </row>
    <row r="1952" spans="1:22" ht="15.75">
      <c r="A1952" s="28" t="s">
        <v>3902</v>
      </c>
      <c r="B1952" s="28" t="s">
        <v>3903</v>
      </c>
      <c r="C1952" s="23">
        <v>22.515000000000001</v>
      </c>
      <c r="D1952" s="23">
        <v>4.91</v>
      </c>
      <c r="E1952" s="23" t="s">
        <v>4683</v>
      </c>
      <c r="F1952" s="23" t="s">
        <v>4682</v>
      </c>
      <c r="G1952" s="23" t="s">
        <v>4684</v>
      </c>
      <c r="H1952" s="23">
        <v>1</v>
      </c>
      <c r="I1952" s="23" t="s">
        <v>4682</v>
      </c>
      <c r="J1952" s="23" t="s">
        <v>4728</v>
      </c>
      <c r="K1952" s="23" t="s">
        <v>4737</v>
      </c>
      <c r="L1952">
        <v>1991</v>
      </c>
      <c r="M1952" s="15" t="s">
        <v>4706</v>
      </c>
      <c r="N1952">
        <v>22</v>
      </c>
      <c r="O1952">
        <v>3</v>
      </c>
      <c r="P1952" s="21">
        <f>DATEVALUE(N1952&amp;"-"&amp;M1952&amp;"-"&amp;L1952)</f>
        <v>33472</v>
      </c>
      <c r="Q1952" s="22">
        <v>26912.560000000001</v>
      </c>
      <c r="R1952" s="23" t="s">
        <v>4697</v>
      </c>
      <c r="S1952" s="23" t="s">
        <v>4697</v>
      </c>
      <c r="T1952" s="23" t="s">
        <v>4708</v>
      </c>
      <c r="U1952" s="23">
        <f>DATEDIF(P1952, DATE(2023, 6, 8), "Y")</f>
        <v>31</v>
      </c>
      <c r="V1952">
        <f>SUM(C1952:K1952)</f>
        <v>28.425000000000001</v>
      </c>
    </row>
    <row r="1953" spans="1:22" ht="15.75">
      <c r="A1953" s="28" t="s">
        <v>3904</v>
      </c>
      <c r="B1953" s="28" t="s">
        <v>3905</v>
      </c>
      <c r="C1953" s="23">
        <v>32.700000000000003</v>
      </c>
      <c r="D1953" s="23">
        <v>4.66</v>
      </c>
      <c r="E1953" s="23" t="s">
        <v>4682</v>
      </c>
      <c r="F1953" s="23" t="s">
        <v>4682</v>
      </c>
      <c r="G1953" s="23" t="s">
        <v>4682</v>
      </c>
      <c r="H1953" s="23">
        <v>0</v>
      </c>
      <c r="I1953" s="23" t="s">
        <v>4682</v>
      </c>
      <c r="J1953" s="23" t="s">
        <v>4729</v>
      </c>
      <c r="K1953" s="23" t="s">
        <v>4737</v>
      </c>
      <c r="L1953">
        <v>1958</v>
      </c>
      <c r="M1953" s="15" t="s">
        <v>4705</v>
      </c>
      <c r="N1953">
        <v>25</v>
      </c>
      <c r="O1953">
        <v>0</v>
      </c>
      <c r="P1953" s="21">
        <f>DATEVALUE(N1953&amp;"-"&amp;M1953&amp;"-"&amp;L1953)</f>
        <v>21544</v>
      </c>
      <c r="Q1953" s="22">
        <v>26926.51</v>
      </c>
      <c r="R1953" s="23" t="s">
        <v>4697</v>
      </c>
      <c r="S1953" s="23" t="s">
        <v>4701</v>
      </c>
      <c r="T1953" s="23" t="s">
        <v>4699</v>
      </c>
      <c r="U1953" s="23">
        <f>DATEDIF(P1953, DATE(2023, 6, 8), "Y")</f>
        <v>64</v>
      </c>
      <c r="V1953">
        <f>SUM(C1953:K1953)</f>
        <v>37.36</v>
      </c>
    </row>
    <row r="1954" spans="1:22" ht="15.75">
      <c r="A1954" s="28" t="s">
        <v>3906</v>
      </c>
      <c r="B1954" s="28" t="s">
        <v>3907</v>
      </c>
      <c r="C1954" s="23">
        <v>17.75</v>
      </c>
      <c r="D1954" s="23">
        <v>6.8</v>
      </c>
      <c r="E1954" s="23" t="s">
        <v>4683</v>
      </c>
      <c r="F1954" s="23" t="s">
        <v>4682</v>
      </c>
      <c r="G1954" s="23" t="s">
        <v>4682</v>
      </c>
      <c r="H1954" s="23">
        <v>1</v>
      </c>
      <c r="I1954" s="23" t="s">
        <v>4682</v>
      </c>
      <c r="J1954" s="23" t="s">
        <v>4731</v>
      </c>
      <c r="K1954" s="23" t="s">
        <v>4735</v>
      </c>
      <c r="L1954">
        <v>2002</v>
      </c>
      <c r="M1954" s="15" t="s">
        <v>4702</v>
      </c>
      <c r="N1954">
        <v>17</v>
      </c>
      <c r="O1954">
        <v>0</v>
      </c>
      <c r="P1954" s="21">
        <f>DATEVALUE(N1954&amp;"-"&amp;M1954&amp;"-"&amp;L1954)</f>
        <v>37424</v>
      </c>
      <c r="Q1954" s="22">
        <v>26927.69</v>
      </c>
      <c r="R1954" s="23" t="s">
        <v>4697</v>
      </c>
      <c r="S1954" s="23" t="s">
        <v>4697</v>
      </c>
      <c r="T1954" s="23" t="s">
        <v>4708</v>
      </c>
      <c r="U1954" s="23">
        <f>DATEDIF(P1954, DATE(2023, 6, 8), "Y")</f>
        <v>20</v>
      </c>
      <c r="V1954">
        <f>SUM(C1954:K1954)</f>
        <v>25.55</v>
      </c>
    </row>
    <row r="1955" spans="1:22" ht="15.75">
      <c r="A1955" s="28" t="s">
        <v>3908</v>
      </c>
      <c r="B1955" s="28" t="s">
        <v>3909</v>
      </c>
      <c r="C1955" s="23">
        <v>33.630000000000003</v>
      </c>
      <c r="D1955" s="23">
        <v>4.47</v>
      </c>
      <c r="E1955" s="23" t="s">
        <v>4683</v>
      </c>
      <c r="F1955" s="23" t="s">
        <v>4682</v>
      </c>
      <c r="G1955" s="23" t="s">
        <v>4682</v>
      </c>
      <c r="H1955" s="23">
        <v>0</v>
      </c>
      <c r="I1955" s="23" t="s">
        <v>4682</v>
      </c>
      <c r="J1955" s="23" t="s">
        <v>4729</v>
      </c>
      <c r="K1955" s="23" t="s">
        <v>4737</v>
      </c>
      <c r="L1955">
        <v>2000</v>
      </c>
      <c r="M1955" s="15" t="s">
        <v>4700</v>
      </c>
      <c r="N1955">
        <v>9</v>
      </c>
      <c r="O1955">
        <v>0</v>
      </c>
      <c r="P1955" s="21">
        <f>DATEVALUE(N1955&amp;"-"&amp;M1955&amp;"-"&amp;L1955)</f>
        <v>36839</v>
      </c>
      <c r="Q1955" s="22">
        <v>26936.98</v>
      </c>
      <c r="R1955" s="23" t="s">
        <v>4697</v>
      </c>
      <c r="S1955" s="23" t="s">
        <v>4698</v>
      </c>
      <c r="T1955" s="23" t="s">
        <v>4708</v>
      </c>
      <c r="U1955" s="23">
        <f>DATEDIF(P1955, DATE(2023, 6, 8), "Y")</f>
        <v>22</v>
      </c>
      <c r="V1955">
        <f>SUM(C1955:K1955)</f>
        <v>38.1</v>
      </c>
    </row>
    <row r="1956" spans="1:22" ht="15.75">
      <c r="A1956" s="28" t="s">
        <v>3910</v>
      </c>
      <c r="B1956" s="28" t="s">
        <v>3911</v>
      </c>
      <c r="C1956" s="23">
        <v>34.799999999999997</v>
      </c>
      <c r="D1956" s="23">
        <v>4.08</v>
      </c>
      <c r="E1956" s="23" t="s">
        <v>4683</v>
      </c>
      <c r="F1956" s="23" t="s">
        <v>4682</v>
      </c>
      <c r="G1956" s="23" t="s">
        <v>4682</v>
      </c>
      <c r="H1956" s="23">
        <v>1</v>
      </c>
      <c r="I1956" s="23" t="s">
        <v>4682</v>
      </c>
      <c r="J1956" s="23" t="s">
        <v>4729</v>
      </c>
      <c r="K1956" s="23" t="s">
        <v>4737</v>
      </c>
      <c r="L1956">
        <v>1960</v>
      </c>
      <c r="M1956" s="15" t="s">
        <v>4696</v>
      </c>
      <c r="N1956">
        <v>9</v>
      </c>
      <c r="O1956">
        <v>1</v>
      </c>
      <c r="P1956" s="21">
        <f>DATEVALUE(N1956&amp;"-"&amp;M1956&amp;"-"&amp;L1956)</f>
        <v>22106</v>
      </c>
      <c r="Q1956" s="22">
        <v>27000.98</v>
      </c>
      <c r="R1956" s="23" t="s">
        <v>4697</v>
      </c>
      <c r="S1956" s="23" t="s">
        <v>4697</v>
      </c>
      <c r="T1956" s="23" t="s">
        <v>4699</v>
      </c>
      <c r="U1956" s="23">
        <f>DATEDIF(P1956, DATE(2023, 6, 8), "Y")</f>
        <v>62</v>
      </c>
      <c r="V1956">
        <f>SUM(C1956:K1956)</f>
        <v>39.879999999999995</v>
      </c>
    </row>
    <row r="1957" spans="1:22" ht="15.75">
      <c r="A1957" s="28" t="s">
        <v>3912</v>
      </c>
      <c r="B1957" s="28" t="s">
        <v>3913</v>
      </c>
      <c r="C1957" s="23">
        <v>16.809999999999999</v>
      </c>
      <c r="D1957" s="23">
        <v>5.51</v>
      </c>
      <c r="E1957" s="23" t="s">
        <v>4683</v>
      </c>
      <c r="F1957" s="23" t="s">
        <v>4682</v>
      </c>
      <c r="G1957" s="23" t="s">
        <v>4682</v>
      </c>
      <c r="H1957" s="23">
        <v>1</v>
      </c>
      <c r="I1957" s="23" t="s">
        <v>4682</v>
      </c>
      <c r="J1957" s="23" t="s">
        <v>4731</v>
      </c>
      <c r="K1957" s="23" t="s">
        <v>4737</v>
      </c>
      <c r="L1957">
        <v>1958</v>
      </c>
      <c r="M1957" s="15" t="s">
        <v>4702</v>
      </c>
      <c r="N1957">
        <v>30</v>
      </c>
      <c r="O1957">
        <v>0</v>
      </c>
      <c r="P1957" s="21">
        <f>DATEVALUE(N1957&amp;"-"&amp;M1957&amp;"-"&amp;L1957)</f>
        <v>21366</v>
      </c>
      <c r="Q1957" s="22">
        <v>27037.91</v>
      </c>
      <c r="R1957" s="23" t="s">
        <v>4697</v>
      </c>
      <c r="S1957" s="23" t="s">
        <v>4697</v>
      </c>
      <c r="T1957" s="23" t="s">
        <v>4699</v>
      </c>
      <c r="U1957" s="23">
        <f>DATEDIF(P1957, DATE(2023, 6, 8), "Y")</f>
        <v>64</v>
      </c>
      <c r="V1957">
        <f>SUM(C1957:K1957)</f>
        <v>23.32</v>
      </c>
    </row>
    <row r="1958" spans="1:22" ht="15.75">
      <c r="A1958" s="28" t="s">
        <v>3914</v>
      </c>
      <c r="B1958" s="28" t="s">
        <v>3915</v>
      </c>
      <c r="C1958" s="23">
        <v>16.690000000000001</v>
      </c>
      <c r="D1958" s="23">
        <v>8.4</v>
      </c>
      <c r="E1958" s="23" t="s">
        <v>4683</v>
      </c>
      <c r="F1958" s="23" t="s">
        <v>4682</v>
      </c>
      <c r="G1958" s="23" t="s">
        <v>4682</v>
      </c>
      <c r="H1958" s="23">
        <v>0</v>
      </c>
      <c r="I1958" s="23" t="s">
        <v>4682</v>
      </c>
      <c r="J1958" s="23" t="s">
        <v>4731</v>
      </c>
      <c r="K1958" s="23" t="s">
        <v>4735</v>
      </c>
      <c r="L1958">
        <v>1994</v>
      </c>
      <c r="M1958" s="15" t="s">
        <v>4696</v>
      </c>
      <c r="N1958">
        <v>2</v>
      </c>
      <c r="O1958">
        <v>0</v>
      </c>
      <c r="P1958" s="21">
        <f>DATEVALUE(N1958&amp;"-"&amp;M1958&amp;"-"&amp;L1958)</f>
        <v>34517</v>
      </c>
      <c r="Q1958" s="22">
        <v>27080.639999999999</v>
      </c>
      <c r="R1958" s="23" t="s">
        <v>4697</v>
      </c>
      <c r="S1958" s="23" t="s">
        <v>4697</v>
      </c>
      <c r="T1958" s="23" t="s">
        <v>4708</v>
      </c>
      <c r="U1958" s="23">
        <f>DATEDIF(P1958, DATE(2023, 6, 8), "Y")</f>
        <v>28</v>
      </c>
      <c r="V1958">
        <f>SUM(C1958:K1958)</f>
        <v>25.090000000000003</v>
      </c>
    </row>
    <row r="1959" spans="1:22" ht="15.75">
      <c r="A1959" s="28" t="s">
        <v>3916</v>
      </c>
      <c r="B1959" s="28" t="s">
        <v>3917</v>
      </c>
      <c r="C1959" s="23">
        <v>23.21</v>
      </c>
      <c r="D1959" s="23">
        <v>5.14</v>
      </c>
      <c r="E1959" s="23" t="s">
        <v>4683</v>
      </c>
      <c r="F1959" s="23" t="s">
        <v>4682</v>
      </c>
      <c r="G1959" s="23" t="s">
        <v>4682</v>
      </c>
      <c r="H1959" s="23">
        <v>1</v>
      </c>
      <c r="I1959" s="23" t="s">
        <v>4682</v>
      </c>
      <c r="J1959" s="23" t="s">
        <v>4728</v>
      </c>
      <c r="K1959" s="23" t="s">
        <v>4737</v>
      </c>
      <c r="L1959">
        <v>1990</v>
      </c>
      <c r="M1959" s="15" t="s">
        <v>4705</v>
      </c>
      <c r="N1959">
        <v>13</v>
      </c>
      <c r="O1959">
        <v>3</v>
      </c>
      <c r="P1959" s="21">
        <f>DATEVALUE(N1959&amp;"-"&amp;M1959&amp;"-"&amp;L1959)</f>
        <v>33220</v>
      </c>
      <c r="Q1959" s="22">
        <v>27092.38</v>
      </c>
      <c r="R1959" s="23" t="s">
        <v>4697</v>
      </c>
      <c r="S1959" s="23" t="s">
        <v>4698</v>
      </c>
      <c r="T1959" s="23" t="s">
        <v>4708</v>
      </c>
      <c r="U1959" s="23">
        <f>DATEDIF(P1959, DATE(2023, 6, 8), "Y")</f>
        <v>32</v>
      </c>
      <c r="V1959">
        <f>SUM(C1959:K1959)</f>
        <v>29.35</v>
      </c>
    </row>
    <row r="1960" spans="1:22" ht="15.75">
      <c r="A1960" s="28" t="s">
        <v>3918</v>
      </c>
      <c r="B1960" s="28" t="s">
        <v>3919</v>
      </c>
      <c r="C1960" s="23">
        <v>25.175000000000001</v>
      </c>
      <c r="D1960" s="23">
        <v>5.21</v>
      </c>
      <c r="E1960" s="23" t="s">
        <v>4683</v>
      </c>
      <c r="F1960" s="23" t="s">
        <v>4682</v>
      </c>
      <c r="G1960" s="23" t="s">
        <v>4682</v>
      </c>
      <c r="H1960" s="23">
        <v>1</v>
      </c>
      <c r="I1960" s="23" t="s">
        <v>4682</v>
      </c>
      <c r="J1960" s="23" t="s">
        <v>4730</v>
      </c>
      <c r="K1960" s="23" t="s">
        <v>4737</v>
      </c>
      <c r="L1960">
        <v>1970</v>
      </c>
      <c r="M1960" s="15" t="s">
        <v>4707</v>
      </c>
      <c r="N1960">
        <v>2</v>
      </c>
      <c r="O1960">
        <v>0</v>
      </c>
      <c r="P1960" s="21">
        <f>DATEVALUE(N1960&amp;"-"&amp;M1960&amp;"-"&amp;L1960)</f>
        <v>25843</v>
      </c>
      <c r="Q1960" s="22">
        <v>27117.99</v>
      </c>
      <c r="R1960" s="23" t="s">
        <v>4697</v>
      </c>
      <c r="S1960" s="23" t="s">
        <v>4697</v>
      </c>
      <c r="T1960" s="23" t="s">
        <v>4699</v>
      </c>
      <c r="U1960" s="23">
        <f>DATEDIF(P1960, DATE(2023, 6, 8), "Y")</f>
        <v>52</v>
      </c>
      <c r="V1960">
        <f>SUM(C1960:K1960)</f>
        <v>31.385000000000002</v>
      </c>
    </row>
    <row r="1961" spans="1:22" ht="15.75">
      <c r="A1961" s="28" t="s">
        <v>3920</v>
      </c>
      <c r="B1961" s="28" t="s">
        <v>3921</v>
      </c>
      <c r="C1961" s="23">
        <v>34.770000000000003</v>
      </c>
      <c r="D1961" s="23">
        <v>6.23</v>
      </c>
      <c r="E1961" s="23" t="s">
        <v>4682</v>
      </c>
      <c r="F1961" s="23" t="s">
        <v>4682</v>
      </c>
      <c r="G1961" s="23" t="s">
        <v>4682</v>
      </c>
      <c r="H1961" s="23">
        <v>0</v>
      </c>
      <c r="I1961" s="23" t="s">
        <v>4682</v>
      </c>
      <c r="J1961" s="23" t="s">
        <v>4729</v>
      </c>
      <c r="K1961" s="23" t="s">
        <v>4736</v>
      </c>
      <c r="L1961">
        <v>1965</v>
      </c>
      <c r="M1961" s="15" t="s">
        <v>4705</v>
      </c>
      <c r="N1961">
        <v>21</v>
      </c>
      <c r="O1961">
        <v>0</v>
      </c>
      <c r="P1961" s="21">
        <f>DATEVALUE(N1961&amp;"-"&amp;M1961&amp;"-"&amp;L1961)</f>
        <v>24097</v>
      </c>
      <c r="Q1961" s="22">
        <v>27218.44</v>
      </c>
      <c r="R1961" s="23" t="s">
        <v>4697</v>
      </c>
      <c r="S1961" s="23" t="s">
        <v>4701</v>
      </c>
      <c r="T1961" s="23" t="s">
        <v>4718</v>
      </c>
      <c r="U1961" s="23">
        <f>DATEDIF(P1961, DATE(2023, 6, 8), "Y")</f>
        <v>57</v>
      </c>
      <c r="V1961">
        <f>SUM(C1961:K1961)</f>
        <v>41</v>
      </c>
    </row>
    <row r="1962" spans="1:22" ht="15.75">
      <c r="A1962" s="28" t="s">
        <v>3922</v>
      </c>
      <c r="B1962" s="28" t="s">
        <v>3923</v>
      </c>
      <c r="C1962" s="23">
        <v>27.7</v>
      </c>
      <c r="D1962" s="23">
        <v>5.6</v>
      </c>
      <c r="E1962" s="23" t="s">
        <v>4682</v>
      </c>
      <c r="F1962" s="23" t="s">
        <v>4682</v>
      </c>
      <c r="G1962" s="23" t="s">
        <v>4682</v>
      </c>
      <c r="H1962" s="23">
        <v>1</v>
      </c>
      <c r="I1962" s="23" t="s">
        <v>4682</v>
      </c>
      <c r="J1962" s="23" t="s">
        <v>4730</v>
      </c>
      <c r="K1962" s="23" t="s">
        <v>4737</v>
      </c>
      <c r="L1962">
        <v>1999</v>
      </c>
      <c r="M1962" s="15" t="s">
        <v>4705</v>
      </c>
      <c r="N1962">
        <v>2</v>
      </c>
      <c r="O1962">
        <v>0</v>
      </c>
      <c r="P1962" s="21">
        <f>DATEVALUE(N1962&amp;"-"&amp;M1962&amp;"-"&amp;L1962)</f>
        <v>36496</v>
      </c>
      <c r="Q1962" s="22">
        <v>27236.959999999999</v>
      </c>
      <c r="R1962" s="23" t="s">
        <v>4697</v>
      </c>
      <c r="S1962" s="23" t="s">
        <v>4701</v>
      </c>
      <c r="T1962" s="23" t="s">
        <v>4708</v>
      </c>
      <c r="U1962" s="23">
        <f>DATEDIF(P1962, DATE(2023, 6, 8), "Y")</f>
        <v>23</v>
      </c>
      <c r="V1962">
        <f>SUM(C1962:K1962)</f>
        <v>34.299999999999997</v>
      </c>
    </row>
    <row r="1963" spans="1:22" ht="15.75">
      <c r="A1963" s="28" t="s">
        <v>3924</v>
      </c>
      <c r="B1963" s="28" t="s">
        <v>3925</v>
      </c>
      <c r="C1963" s="23">
        <v>19.12</v>
      </c>
      <c r="D1963" s="23">
        <v>4.72</v>
      </c>
      <c r="E1963" s="23" t="s">
        <v>4683</v>
      </c>
      <c r="F1963" s="23" t="s">
        <v>4682</v>
      </c>
      <c r="G1963" s="23" t="s">
        <v>4682</v>
      </c>
      <c r="H1963" s="23">
        <v>1</v>
      </c>
      <c r="I1963" s="23" t="s">
        <v>4682</v>
      </c>
      <c r="J1963" s="23" t="s">
        <v>4728</v>
      </c>
      <c r="K1963" s="23" t="s">
        <v>4737</v>
      </c>
      <c r="L1963">
        <v>1968</v>
      </c>
      <c r="M1963" s="15" t="s">
        <v>4702</v>
      </c>
      <c r="N1963">
        <v>6</v>
      </c>
      <c r="O1963">
        <v>3</v>
      </c>
      <c r="P1963" s="21">
        <f>DATEVALUE(N1963&amp;"-"&amp;M1963&amp;"-"&amp;L1963)</f>
        <v>24995</v>
      </c>
      <c r="Q1963" s="22">
        <v>27322.73</v>
      </c>
      <c r="R1963" s="23" t="s">
        <v>4697</v>
      </c>
      <c r="S1963" s="23" t="s">
        <v>4697</v>
      </c>
      <c r="T1963" s="23" t="s">
        <v>4699</v>
      </c>
      <c r="U1963" s="23">
        <f>DATEDIF(P1963, DATE(2023, 6, 8), "Y")</f>
        <v>55</v>
      </c>
      <c r="V1963">
        <f>SUM(C1963:K1963)</f>
        <v>24.84</v>
      </c>
    </row>
    <row r="1964" spans="1:22" ht="15.75">
      <c r="A1964" s="28" t="s">
        <v>3926</v>
      </c>
      <c r="B1964" s="28" t="s">
        <v>3927</v>
      </c>
      <c r="C1964" s="23">
        <v>32.67</v>
      </c>
      <c r="D1964" s="23">
        <v>4.67</v>
      </c>
      <c r="E1964" s="23" t="s">
        <v>4682</v>
      </c>
      <c r="F1964" s="23" t="s">
        <v>4682</v>
      </c>
      <c r="G1964" s="23" t="s">
        <v>4684</v>
      </c>
      <c r="H1964" s="23">
        <v>1</v>
      </c>
      <c r="I1964" s="23" t="s">
        <v>4682</v>
      </c>
      <c r="J1964" s="23" t="s">
        <v>4729</v>
      </c>
      <c r="K1964" s="23" t="s">
        <v>4737</v>
      </c>
      <c r="L1964">
        <v>1969</v>
      </c>
      <c r="M1964" s="15" t="s">
        <v>4707</v>
      </c>
      <c r="N1964">
        <v>16</v>
      </c>
      <c r="O1964">
        <v>0</v>
      </c>
      <c r="P1964" s="21">
        <f>DATEVALUE(N1964&amp;"-"&amp;M1964&amp;"-"&amp;L1964)</f>
        <v>25492</v>
      </c>
      <c r="Q1964" s="22">
        <v>27346.04</v>
      </c>
      <c r="R1964" s="23" t="s">
        <v>4697</v>
      </c>
      <c r="S1964" s="23" t="s">
        <v>4697</v>
      </c>
      <c r="T1964" s="23" t="s">
        <v>4699</v>
      </c>
      <c r="U1964" s="23">
        <f>DATEDIF(P1964, DATE(2023, 6, 8), "Y")</f>
        <v>53</v>
      </c>
      <c r="V1964">
        <f>SUM(C1964:K1964)</f>
        <v>38.340000000000003</v>
      </c>
    </row>
    <row r="1965" spans="1:22" ht="15.75">
      <c r="A1965" s="28" t="s">
        <v>3928</v>
      </c>
      <c r="B1965" s="28" t="s">
        <v>3929</v>
      </c>
      <c r="C1965" s="23">
        <v>28.5</v>
      </c>
      <c r="D1965" s="23">
        <v>6.11</v>
      </c>
      <c r="E1965" s="23" t="s">
        <v>4682</v>
      </c>
      <c r="F1965" s="23" t="s">
        <v>4682</v>
      </c>
      <c r="G1965" s="23" t="s">
        <v>4682</v>
      </c>
      <c r="H1965" s="23">
        <v>1</v>
      </c>
      <c r="I1965" s="23" t="s">
        <v>4682</v>
      </c>
      <c r="J1965" s="23" t="s">
        <v>4730</v>
      </c>
      <c r="K1965" s="23" t="s">
        <v>4736</v>
      </c>
      <c r="L1965">
        <v>1988</v>
      </c>
      <c r="M1965" s="15" t="s">
        <v>4703</v>
      </c>
      <c r="N1965">
        <v>15</v>
      </c>
      <c r="O1965">
        <v>2</v>
      </c>
      <c r="P1965" s="21">
        <f>DATEVALUE(N1965&amp;"-"&amp;M1965&amp;"-"&amp;L1965)</f>
        <v>32401</v>
      </c>
      <c r="Q1965" s="22">
        <v>27375.9</v>
      </c>
      <c r="R1965" s="23" t="s">
        <v>4697</v>
      </c>
      <c r="S1965" s="23" t="s">
        <v>4698</v>
      </c>
      <c r="T1965" s="23" t="s">
        <v>4709</v>
      </c>
      <c r="U1965" s="23">
        <f>DATEDIF(P1965, DATE(2023, 6, 8), "Y")</f>
        <v>34</v>
      </c>
      <c r="V1965">
        <f>SUM(C1965:K1965)</f>
        <v>35.61</v>
      </c>
    </row>
    <row r="1966" spans="1:22" ht="15.75">
      <c r="A1966" s="28" t="s">
        <v>3930</v>
      </c>
      <c r="B1966" s="28" t="s">
        <v>3931</v>
      </c>
      <c r="C1966" s="23">
        <v>39.270000000000003</v>
      </c>
      <c r="D1966" s="23">
        <v>6.25</v>
      </c>
      <c r="E1966" s="23" t="s">
        <v>4682</v>
      </c>
      <c r="F1966" s="23" t="s">
        <v>4682</v>
      </c>
      <c r="G1966" s="23" t="s">
        <v>4682</v>
      </c>
      <c r="H1966" s="23">
        <v>0</v>
      </c>
      <c r="I1966" s="23" t="s">
        <v>4682</v>
      </c>
      <c r="J1966" s="23" t="s">
        <v>4729</v>
      </c>
      <c r="K1966" s="23" t="s">
        <v>4736</v>
      </c>
      <c r="L1966">
        <v>1985</v>
      </c>
      <c r="M1966" s="15" t="s">
        <v>4705</v>
      </c>
      <c r="N1966">
        <v>5</v>
      </c>
      <c r="O1966">
        <v>3</v>
      </c>
      <c r="P1966" s="21">
        <f>DATEVALUE(N1966&amp;"-"&amp;M1966&amp;"-"&amp;L1966)</f>
        <v>31386</v>
      </c>
      <c r="Q1966" s="22">
        <v>27432.73</v>
      </c>
      <c r="R1966" s="23" t="s">
        <v>4697</v>
      </c>
      <c r="S1966" s="23" t="s">
        <v>4701</v>
      </c>
      <c r="T1966" s="23" t="s">
        <v>4708</v>
      </c>
      <c r="U1966" s="23">
        <f>DATEDIF(P1966, DATE(2023, 6, 8), "Y")</f>
        <v>37</v>
      </c>
      <c r="V1966">
        <f>SUM(C1966:K1966)</f>
        <v>45.52</v>
      </c>
    </row>
    <row r="1967" spans="1:22" ht="15.75">
      <c r="A1967" s="28" t="s">
        <v>3932</v>
      </c>
      <c r="B1967" s="28" t="s">
        <v>3933</v>
      </c>
      <c r="C1967" s="23">
        <v>32.49</v>
      </c>
      <c r="D1967" s="23">
        <v>4</v>
      </c>
      <c r="E1967" s="23" t="s">
        <v>4683</v>
      </c>
      <c r="F1967" s="23" t="s">
        <v>4682</v>
      </c>
      <c r="G1967" s="23" t="s">
        <v>4682</v>
      </c>
      <c r="H1967" s="23">
        <v>0</v>
      </c>
      <c r="I1967" s="23" t="s">
        <v>4682</v>
      </c>
      <c r="J1967" s="23" t="s">
        <v>4729</v>
      </c>
      <c r="K1967" s="23" t="s">
        <v>4737</v>
      </c>
      <c r="L1967">
        <v>1981</v>
      </c>
      <c r="M1967" s="15" t="s">
        <v>4707</v>
      </c>
      <c r="N1967">
        <v>3</v>
      </c>
      <c r="O1967">
        <v>1</v>
      </c>
      <c r="P1967" s="21">
        <f>DATEVALUE(N1967&amp;"-"&amp;M1967&amp;"-"&amp;L1967)</f>
        <v>29862</v>
      </c>
      <c r="Q1967" s="22">
        <v>27495.59</v>
      </c>
      <c r="R1967" s="23" t="s">
        <v>4697</v>
      </c>
      <c r="S1967" s="23" t="s">
        <v>4701</v>
      </c>
      <c r="T1967" s="23" t="s">
        <v>4708</v>
      </c>
      <c r="U1967" s="23">
        <f>DATEDIF(P1967, DATE(2023, 6, 8), "Y")</f>
        <v>41</v>
      </c>
      <c r="V1967">
        <f>SUM(C1967:K1967)</f>
        <v>36.49</v>
      </c>
    </row>
    <row r="1968" spans="1:22" ht="15.75">
      <c r="A1968" s="28" t="s">
        <v>3934</v>
      </c>
      <c r="B1968" s="28" t="s">
        <v>3935</v>
      </c>
      <c r="C1968" s="23">
        <v>23.7</v>
      </c>
      <c r="D1968" s="23">
        <v>5.55</v>
      </c>
      <c r="E1968" s="23" t="s">
        <v>4683</v>
      </c>
      <c r="F1968" s="23" t="s">
        <v>4682</v>
      </c>
      <c r="G1968" s="23" t="s">
        <v>4682</v>
      </c>
      <c r="H1968" s="23">
        <v>0</v>
      </c>
      <c r="I1968" s="23" t="s">
        <v>4682</v>
      </c>
      <c r="J1968" s="23" t="s">
        <v>4728</v>
      </c>
      <c r="K1968" s="23" t="s">
        <v>4737</v>
      </c>
      <c r="L1968">
        <v>1965</v>
      </c>
      <c r="M1968" s="15" t="s">
        <v>4707</v>
      </c>
      <c r="N1968">
        <v>19</v>
      </c>
      <c r="O1968">
        <v>0</v>
      </c>
      <c r="P1968" s="21">
        <f>DATEVALUE(N1968&amp;"-"&amp;M1968&amp;"-"&amp;L1968)</f>
        <v>24034</v>
      </c>
      <c r="Q1968" s="22">
        <v>27533.91</v>
      </c>
      <c r="R1968" s="23" t="s">
        <v>4697</v>
      </c>
      <c r="S1968" s="23" t="s">
        <v>4698</v>
      </c>
      <c r="T1968" s="23" t="s">
        <v>4699</v>
      </c>
      <c r="U1968" s="23">
        <f>DATEDIF(P1968, DATE(2023, 6, 8), "Y")</f>
        <v>57</v>
      </c>
      <c r="V1968">
        <f>SUM(C1968:K1968)</f>
        <v>29.25</v>
      </c>
    </row>
    <row r="1969" spans="1:22" ht="15.75">
      <c r="A1969" s="28" t="s">
        <v>3936</v>
      </c>
      <c r="B1969" s="28" t="s">
        <v>3937</v>
      </c>
      <c r="C1969" s="23">
        <v>30.4</v>
      </c>
      <c r="D1969" s="23">
        <v>5.95</v>
      </c>
      <c r="E1969" s="23" t="s">
        <v>4682</v>
      </c>
      <c r="F1969" s="23" t="s">
        <v>4683</v>
      </c>
      <c r="G1969" s="23" t="s">
        <v>4682</v>
      </c>
      <c r="H1969" s="23">
        <v>1</v>
      </c>
      <c r="I1969" s="23" t="s">
        <v>4682</v>
      </c>
      <c r="J1969" s="23" t="s">
        <v>4729</v>
      </c>
      <c r="K1969" s="23" t="s">
        <v>4736</v>
      </c>
      <c r="L1969">
        <v>1984</v>
      </c>
      <c r="M1969" s="15" t="s">
        <v>4696</v>
      </c>
      <c r="N1969">
        <v>22</v>
      </c>
      <c r="O1969">
        <v>3</v>
      </c>
      <c r="P1969" s="21">
        <f>DATEVALUE(N1969&amp;"-"&amp;M1969&amp;"-"&amp;L1969)</f>
        <v>30885</v>
      </c>
      <c r="Q1969" s="22">
        <v>27534.53</v>
      </c>
      <c r="R1969" s="23" t="s">
        <v>4697</v>
      </c>
      <c r="S1969" s="23" t="s">
        <v>4697</v>
      </c>
      <c r="T1969" s="23" t="s">
        <v>4708</v>
      </c>
      <c r="U1969" s="23">
        <f>DATEDIF(P1969, DATE(2023, 6, 8), "Y")</f>
        <v>38</v>
      </c>
      <c r="V1969">
        <f>SUM(C1969:K1969)</f>
        <v>37.35</v>
      </c>
    </row>
    <row r="1970" spans="1:22" ht="15.75">
      <c r="A1970" s="28" t="s">
        <v>3938</v>
      </c>
      <c r="B1970" s="28" t="s">
        <v>3939</v>
      </c>
      <c r="C1970" s="23">
        <v>38.94</v>
      </c>
      <c r="D1970" s="23">
        <v>4.3600000000000003</v>
      </c>
      <c r="E1970" s="23" t="s">
        <v>4682</v>
      </c>
      <c r="F1970" s="23" t="s">
        <v>4682</v>
      </c>
      <c r="G1970" s="23" t="s">
        <v>4684</v>
      </c>
      <c r="H1970" s="23">
        <v>1</v>
      </c>
      <c r="I1970" s="23" t="s">
        <v>4682</v>
      </c>
      <c r="J1970" s="23" t="s">
        <v>4729</v>
      </c>
      <c r="K1970" s="23" t="s">
        <v>4737</v>
      </c>
      <c r="L1970">
        <v>1985</v>
      </c>
      <c r="M1970" s="15" t="s">
        <v>4700</v>
      </c>
      <c r="N1970">
        <v>6</v>
      </c>
      <c r="O1970">
        <v>3</v>
      </c>
      <c r="P1970" s="21">
        <f>DATEVALUE(N1970&amp;"-"&amp;M1970&amp;"-"&amp;L1970)</f>
        <v>31357</v>
      </c>
      <c r="Q1970" s="22">
        <v>27598.93</v>
      </c>
      <c r="R1970" s="23" t="s">
        <v>4697</v>
      </c>
      <c r="S1970" s="23" t="s">
        <v>4701</v>
      </c>
      <c r="T1970" s="23" t="s">
        <v>4708</v>
      </c>
      <c r="U1970" s="23">
        <f>DATEDIF(P1970, DATE(2023, 6, 8), "Y")</f>
        <v>37</v>
      </c>
      <c r="V1970">
        <f>SUM(C1970:K1970)</f>
        <v>44.3</v>
      </c>
    </row>
    <row r="1971" spans="1:22" ht="15.75">
      <c r="A1971" s="28" t="s">
        <v>3940</v>
      </c>
      <c r="B1971" s="28" t="s">
        <v>3941</v>
      </c>
      <c r="C1971" s="23">
        <v>31.02</v>
      </c>
      <c r="D1971" s="23">
        <v>4.84</v>
      </c>
      <c r="E1971" s="23" t="s">
        <v>4682</v>
      </c>
      <c r="F1971" s="23" t="s">
        <v>4682</v>
      </c>
      <c r="G1971" s="23" t="s">
        <v>4684</v>
      </c>
      <c r="H1971" s="23">
        <v>1</v>
      </c>
      <c r="I1971" s="23" t="s">
        <v>4682</v>
      </c>
      <c r="J1971" s="23" t="s">
        <v>4729</v>
      </c>
      <c r="K1971" s="23" t="s">
        <v>4737</v>
      </c>
      <c r="L1971">
        <v>1992</v>
      </c>
      <c r="M1971" s="15" t="s">
        <v>4702</v>
      </c>
      <c r="N1971">
        <v>11</v>
      </c>
      <c r="O1971">
        <v>0</v>
      </c>
      <c r="P1971" s="21">
        <f>DATEVALUE(N1971&amp;"-"&amp;M1971&amp;"-"&amp;L1971)</f>
        <v>33766</v>
      </c>
      <c r="Q1971" s="22">
        <v>27614.71</v>
      </c>
      <c r="R1971" s="23" t="s">
        <v>4697</v>
      </c>
      <c r="S1971" s="23" t="s">
        <v>4698</v>
      </c>
      <c r="T1971" s="23" t="s">
        <v>4708</v>
      </c>
      <c r="U1971" s="23">
        <f>DATEDIF(P1971, DATE(2023, 6, 8), "Y")</f>
        <v>30</v>
      </c>
      <c r="V1971">
        <f>SUM(C1971:K1971)</f>
        <v>36.86</v>
      </c>
    </row>
    <row r="1972" spans="1:22" ht="15.75">
      <c r="A1972" s="28" t="s">
        <v>3942</v>
      </c>
      <c r="B1972" s="28" t="s">
        <v>3943</v>
      </c>
      <c r="C1972" s="23">
        <v>17.5</v>
      </c>
      <c r="D1972" s="23">
        <v>4.5599999999999996</v>
      </c>
      <c r="E1972" s="23" t="s">
        <v>4682</v>
      </c>
      <c r="F1972" s="23" t="s">
        <v>4682</v>
      </c>
      <c r="G1972" s="23" t="s">
        <v>4682</v>
      </c>
      <c r="H1972" s="23">
        <v>1</v>
      </c>
      <c r="I1972" s="23" t="s">
        <v>4682</v>
      </c>
      <c r="J1972" s="23" t="s">
        <v>4731</v>
      </c>
      <c r="K1972" s="23" t="s">
        <v>4737</v>
      </c>
      <c r="L1972">
        <v>1997</v>
      </c>
      <c r="M1972" s="15" t="s">
        <v>4703</v>
      </c>
      <c r="N1972">
        <v>9</v>
      </c>
      <c r="O1972">
        <v>0</v>
      </c>
      <c r="P1972" s="21">
        <f>DATEVALUE(N1972&amp;"-"&amp;M1972&amp;"-"&amp;L1972)</f>
        <v>35682</v>
      </c>
      <c r="Q1972" s="22">
        <v>27619.360000000001</v>
      </c>
      <c r="R1972" s="23" t="s">
        <v>4697</v>
      </c>
      <c r="S1972" s="23" t="s">
        <v>4698</v>
      </c>
      <c r="T1972" s="23" t="s">
        <v>4708</v>
      </c>
      <c r="U1972" s="23">
        <f>DATEDIF(P1972, DATE(2023, 6, 8), "Y")</f>
        <v>25</v>
      </c>
      <c r="V1972">
        <f>SUM(C1972:K1972)</f>
        <v>23.06</v>
      </c>
    </row>
    <row r="1973" spans="1:22" ht="15.75">
      <c r="A1973" s="28" t="s">
        <v>3944</v>
      </c>
      <c r="B1973" s="28" t="s">
        <v>3945</v>
      </c>
      <c r="C1973" s="23">
        <v>34.799999999999997</v>
      </c>
      <c r="D1973" s="23">
        <v>4.42</v>
      </c>
      <c r="E1973" s="23" t="s">
        <v>4683</v>
      </c>
      <c r="F1973" s="23" t="s">
        <v>4683</v>
      </c>
      <c r="G1973" s="23" t="s">
        <v>4682</v>
      </c>
      <c r="H1973" s="23">
        <v>2</v>
      </c>
      <c r="I1973" s="23" t="s">
        <v>4682</v>
      </c>
      <c r="J1973" s="23" t="s">
        <v>4729</v>
      </c>
      <c r="K1973" s="23" t="s">
        <v>4737</v>
      </c>
      <c r="L1973">
        <v>1997</v>
      </c>
      <c r="M1973" s="15" t="s">
        <v>4707</v>
      </c>
      <c r="N1973">
        <v>7</v>
      </c>
      <c r="O1973">
        <v>0</v>
      </c>
      <c r="P1973" s="21">
        <f>DATEVALUE(N1973&amp;"-"&amp;M1973&amp;"-"&amp;L1973)</f>
        <v>35710</v>
      </c>
      <c r="Q1973" s="22">
        <v>27625.17</v>
      </c>
      <c r="R1973" s="23" t="s">
        <v>4701</v>
      </c>
      <c r="S1973" s="23" t="s">
        <v>4701</v>
      </c>
      <c r="T1973" s="23" t="s">
        <v>4708</v>
      </c>
      <c r="U1973" s="23">
        <f>DATEDIF(P1973, DATE(2023, 6, 8), "Y")</f>
        <v>25</v>
      </c>
      <c r="V1973">
        <f>SUM(C1973:K1973)</f>
        <v>41.22</v>
      </c>
    </row>
    <row r="1974" spans="1:22" ht="15.75">
      <c r="A1974" s="28" t="s">
        <v>3946</v>
      </c>
      <c r="B1974" s="28" t="s">
        <v>3947</v>
      </c>
      <c r="C1974" s="23">
        <v>17.3</v>
      </c>
      <c r="D1974" s="23">
        <v>7.66</v>
      </c>
      <c r="E1974" s="23" t="s">
        <v>4683</v>
      </c>
      <c r="F1974" s="23" t="s">
        <v>4682</v>
      </c>
      <c r="G1974" s="23" t="s">
        <v>4682</v>
      </c>
      <c r="H1974" s="23">
        <v>1</v>
      </c>
      <c r="I1974" s="23" t="s">
        <v>4682</v>
      </c>
      <c r="J1974" s="23" t="s">
        <v>4731</v>
      </c>
      <c r="K1974" s="23" t="s">
        <v>4735</v>
      </c>
      <c r="L1974">
        <v>1992</v>
      </c>
      <c r="M1974" s="15" t="s">
        <v>4696</v>
      </c>
      <c r="N1974">
        <v>3</v>
      </c>
      <c r="O1974">
        <v>0</v>
      </c>
      <c r="P1974" s="21">
        <f>DATEVALUE(N1974&amp;"-"&amp;M1974&amp;"-"&amp;L1974)</f>
        <v>33788</v>
      </c>
      <c r="Q1974" s="22">
        <v>27696.11</v>
      </c>
      <c r="R1974" s="23" t="s">
        <v>4701</v>
      </c>
      <c r="S1974" s="23" t="s">
        <v>4697</v>
      </c>
      <c r="T1974" s="23" t="s">
        <v>4708</v>
      </c>
      <c r="U1974" s="23">
        <f>DATEDIF(P1974, DATE(2023, 6, 8), "Y")</f>
        <v>30</v>
      </c>
      <c r="V1974">
        <f>SUM(C1974:K1974)</f>
        <v>25.96</v>
      </c>
    </row>
    <row r="1975" spans="1:22" ht="15.75">
      <c r="A1975" s="28" t="s">
        <v>3948</v>
      </c>
      <c r="B1975" s="28" t="s">
        <v>3949</v>
      </c>
      <c r="C1975" s="23">
        <v>32.25</v>
      </c>
      <c r="D1975" s="23">
        <v>5.2</v>
      </c>
      <c r="E1975" s="23" t="s">
        <v>4683</v>
      </c>
      <c r="F1975" s="23" t="s">
        <v>4682</v>
      </c>
      <c r="G1975" s="23" t="s">
        <v>4682</v>
      </c>
      <c r="H1975" s="23">
        <v>0</v>
      </c>
      <c r="I1975" s="23" t="s">
        <v>4682</v>
      </c>
      <c r="J1975" s="23" t="s">
        <v>4729</v>
      </c>
      <c r="K1975" s="23" t="s">
        <v>4737</v>
      </c>
      <c r="L1975">
        <v>2002</v>
      </c>
      <c r="M1975" s="15" t="s">
        <v>4705</v>
      </c>
      <c r="N1975">
        <v>6</v>
      </c>
      <c r="O1975">
        <v>1</v>
      </c>
      <c r="P1975" s="21">
        <f>DATEVALUE(N1975&amp;"-"&amp;M1975&amp;"-"&amp;L1975)</f>
        <v>37596</v>
      </c>
      <c r="Q1975" s="22">
        <v>27724.29</v>
      </c>
      <c r="R1975" s="23" t="s">
        <v>4701</v>
      </c>
      <c r="S1975" s="23" t="s">
        <v>4698</v>
      </c>
      <c r="T1975" s="23" t="s">
        <v>4699</v>
      </c>
      <c r="U1975" s="23">
        <f>DATEDIF(P1975, DATE(2023, 6, 8), "Y")</f>
        <v>20</v>
      </c>
      <c r="V1975">
        <f>SUM(C1975:K1975)</f>
        <v>37.450000000000003</v>
      </c>
    </row>
    <row r="1976" spans="1:22" ht="15.75">
      <c r="A1976" s="28" t="s">
        <v>3950</v>
      </c>
      <c r="B1976" s="28" t="s">
        <v>3951</v>
      </c>
      <c r="C1976" s="23">
        <v>42.4</v>
      </c>
      <c r="D1976" s="23">
        <v>5.53</v>
      </c>
      <c r="E1976" s="23" t="s">
        <v>4683</v>
      </c>
      <c r="F1976" s="23" t="s">
        <v>4682</v>
      </c>
      <c r="G1976" s="23" t="s">
        <v>4682</v>
      </c>
      <c r="H1976" s="23">
        <v>0</v>
      </c>
      <c r="I1976" s="23" t="s">
        <v>4682</v>
      </c>
      <c r="J1976" s="23" t="s">
        <v>4729</v>
      </c>
      <c r="K1976" s="23" t="s">
        <v>4737</v>
      </c>
      <c r="L1976">
        <v>1960</v>
      </c>
      <c r="M1976" s="15" t="s">
        <v>4696</v>
      </c>
      <c r="N1976">
        <v>6</v>
      </c>
      <c r="O1976">
        <v>0</v>
      </c>
      <c r="P1976" s="21">
        <f>DATEVALUE(N1976&amp;"-"&amp;M1976&amp;"-"&amp;L1976)</f>
        <v>22103</v>
      </c>
      <c r="Q1976" s="22">
        <v>27808.73</v>
      </c>
      <c r="R1976" s="23" t="s">
        <v>4701</v>
      </c>
      <c r="S1976" s="23" t="s">
        <v>4701</v>
      </c>
      <c r="T1976" s="23" t="s">
        <v>4699</v>
      </c>
      <c r="U1976" s="23">
        <f>DATEDIF(P1976, DATE(2023, 6, 8), "Y")</f>
        <v>62</v>
      </c>
      <c r="V1976">
        <f>SUM(C1976:K1976)</f>
        <v>47.93</v>
      </c>
    </row>
    <row r="1977" spans="1:22" ht="15.75">
      <c r="A1977" s="28" t="s">
        <v>3952</v>
      </c>
      <c r="B1977" s="28" t="s">
        <v>3953</v>
      </c>
      <c r="C1977" s="23">
        <v>38.664999999999999</v>
      </c>
      <c r="D1977" s="23">
        <v>4.8600000000000003</v>
      </c>
      <c r="E1977" s="23" t="s">
        <v>4682</v>
      </c>
      <c r="F1977" s="23" t="s">
        <v>4683</v>
      </c>
      <c r="G1977" s="23" t="s">
        <v>4682</v>
      </c>
      <c r="H1977" s="23">
        <v>1</v>
      </c>
      <c r="I1977" s="23" t="s">
        <v>4682</v>
      </c>
      <c r="J1977" s="23" t="s">
        <v>4729</v>
      </c>
      <c r="K1977" s="23" t="s">
        <v>4737</v>
      </c>
      <c r="L1977">
        <v>1985</v>
      </c>
      <c r="M1977" s="15" t="s">
        <v>4705</v>
      </c>
      <c r="N1977">
        <v>4</v>
      </c>
      <c r="O1977">
        <v>3</v>
      </c>
      <c r="P1977" s="21">
        <f>DATEVALUE(N1977&amp;"-"&amp;M1977&amp;"-"&amp;L1977)</f>
        <v>31385</v>
      </c>
      <c r="Q1977" s="22">
        <v>27849.94</v>
      </c>
      <c r="R1977" s="23" t="s">
        <v>4701</v>
      </c>
      <c r="S1977" s="23" t="s">
        <v>4701</v>
      </c>
      <c r="T1977" s="23" t="s">
        <v>4708</v>
      </c>
      <c r="U1977" s="23">
        <f>DATEDIF(P1977, DATE(2023, 6, 8), "Y")</f>
        <v>37</v>
      </c>
      <c r="V1977">
        <f>SUM(C1977:K1977)</f>
        <v>44.524999999999999</v>
      </c>
    </row>
    <row r="1978" spans="1:22" ht="15.75">
      <c r="A1978" s="28" t="s">
        <v>3954</v>
      </c>
      <c r="B1978" s="28" t="s">
        <v>3955</v>
      </c>
      <c r="C1978" s="23">
        <v>29.92</v>
      </c>
      <c r="D1978" s="23">
        <v>5.49</v>
      </c>
      <c r="E1978" s="23" t="s">
        <v>4683</v>
      </c>
      <c r="F1978" s="23" t="s">
        <v>4682</v>
      </c>
      <c r="G1978" s="23" t="s">
        <v>4682</v>
      </c>
      <c r="H1978" s="23">
        <v>0</v>
      </c>
      <c r="I1978" s="23" t="s">
        <v>4682</v>
      </c>
      <c r="J1978" s="23" t="s">
        <v>4729</v>
      </c>
      <c r="K1978" s="23" t="s">
        <v>4737</v>
      </c>
      <c r="L1978">
        <v>1989</v>
      </c>
      <c r="M1978" s="15" t="s">
        <v>4700</v>
      </c>
      <c r="N1978">
        <v>21</v>
      </c>
      <c r="O1978">
        <v>3</v>
      </c>
      <c r="P1978" s="21">
        <f>DATEVALUE(N1978&amp;"-"&amp;M1978&amp;"-"&amp;L1978)</f>
        <v>32833</v>
      </c>
      <c r="Q1978" s="22">
        <v>27925.86</v>
      </c>
      <c r="R1978" s="23" t="s">
        <v>4701</v>
      </c>
      <c r="S1978" s="23" t="s">
        <v>4697</v>
      </c>
      <c r="T1978" s="23" t="s">
        <v>4708</v>
      </c>
      <c r="U1978" s="23">
        <f>DATEDIF(P1978, DATE(2023, 6, 8), "Y")</f>
        <v>33</v>
      </c>
      <c r="V1978">
        <f>SUM(C1978:K1978)</f>
        <v>35.410000000000004</v>
      </c>
    </row>
    <row r="1979" spans="1:22" ht="15.75">
      <c r="A1979" s="28" t="s">
        <v>3956</v>
      </c>
      <c r="B1979" s="28" t="s">
        <v>3957</v>
      </c>
      <c r="C1979" s="23">
        <v>29.48</v>
      </c>
      <c r="D1979" s="23">
        <v>4.09</v>
      </c>
      <c r="E1979" s="23" t="s">
        <v>4683</v>
      </c>
      <c r="F1979" s="23" t="s">
        <v>4682</v>
      </c>
      <c r="G1979" s="23" t="s">
        <v>4682</v>
      </c>
      <c r="H1979" s="23">
        <v>0</v>
      </c>
      <c r="I1979" s="23" t="s">
        <v>4682</v>
      </c>
      <c r="J1979" s="23" t="s">
        <v>4730</v>
      </c>
      <c r="K1979" s="23" t="s">
        <v>4737</v>
      </c>
      <c r="L1979">
        <v>1991</v>
      </c>
      <c r="M1979" s="15" t="s">
        <v>4702</v>
      </c>
      <c r="N1979">
        <v>4</v>
      </c>
      <c r="O1979">
        <v>3</v>
      </c>
      <c r="P1979" s="21">
        <f>DATEVALUE(N1979&amp;"-"&amp;M1979&amp;"-"&amp;L1979)</f>
        <v>33393</v>
      </c>
      <c r="Q1979" s="22">
        <v>27931.11</v>
      </c>
      <c r="R1979" s="23" t="s">
        <v>4701</v>
      </c>
      <c r="S1979" s="23" t="s">
        <v>4698</v>
      </c>
      <c r="T1979" s="23" t="s">
        <v>4708</v>
      </c>
      <c r="U1979" s="23">
        <f>DATEDIF(P1979, DATE(2023, 6, 8), "Y")</f>
        <v>32</v>
      </c>
      <c r="V1979">
        <f>SUM(C1979:K1979)</f>
        <v>33.57</v>
      </c>
    </row>
    <row r="1980" spans="1:22" ht="15.75">
      <c r="A1980" s="28" t="s">
        <v>3958</v>
      </c>
      <c r="B1980" s="28" t="s">
        <v>3959</v>
      </c>
      <c r="C1980" s="23">
        <v>28.785</v>
      </c>
      <c r="D1980" s="23">
        <v>4.3099999999999996</v>
      </c>
      <c r="E1980" s="23" t="s">
        <v>4683</v>
      </c>
      <c r="F1980" s="23" t="s">
        <v>4682</v>
      </c>
      <c r="G1980" s="23" t="s">
        <v>4682</v>
      </c>
      <c r="H1980" s="23">
        <v>0</v>
      </c>
      <c r="I1980" s="23" t="s">
        <v>4682</v>
      </c>
      <c r="J1980" s="23" t="s">
        <v>4730</v>
      </c>
      <c r="K1980" s="23" t="s">
        <v>4737</v>
      </c>
      <c r="L1980">
        <v>1961</v>
      </c>
      <c r="M1980" s="15" t="s">
        <v>4696</v>
      </c>
      <c r="N1980">
        <v>28</v>
      </c>
      <c r="O1980">
        <v>3</v>
      </c>
      <c r="P1980" s="21">
        <f>DATEVALUE(N1980&amp;"-"&amp;M1980&amp;"-"&amp;L1980)</f>
        <v>22490</v>
      </c>
      <c r="Q1980" s="22">
        <v>27941.29</v>
      </c>
      <c r="R1980" s="23" t="s">
        <v>4701</v>
      </c>
      <c r="S1980" s="23" t="s">
        <v>4698</v>
      </c>
      <c r="T1980" s="23" t="s">
        <v>4708</v>
      </c>
      <c r="U1980" s="23">
        <f>DATEDIF(P1980, DATE(2023, 6, 8), "Y")</f>
        <v>61</v>
      </c>
      <c r="V1980">
        <f>SUM(C1980:K1980)</f>
        <v>33.094999999999999</v>
      </c>
    </row>
    <row r="1981" spans="1:22" ht="15.75">
      <c r="A1981" s="28" t="s">
        <v>3960</v>
      </c>
      <c r="B1981" s="28" t="s">
        <v>3961</v>
      </c>
      <c r="C1981" s="23">
        <v>19.8</v>
      </c>
      <c r="D1981" s="23">
        <v>4</v>
      </c>
      <c r="E1981" s="23" t="s">
        <v>4683</v>
      </c>
      <c r="F1981" s="23" t="s">
        <v>4682</v>
      </c>
      <c r="G1981" s="23" t="s">
        <v>4682</v>
      </c>
      <c r="H1981" s="23">
        <v>0</v>
      </c>
      <c r="I1981" s="23" t="s">
        <v>4682</v>
      </c>
      <c r="J1981" s="23" t="s">
        <v>4728</v>
      </c>
      <c r="K1981" s="23" t="s">
        <v>4737</v>
      </c>
      <c r="L1981">
        <v>1999</v>
      </c>
      <c r="M1981" s="15" t="s">
        <v>4705</v>
      </c>
      <c r="N1981">
        <v>21</v>
      </c>
      <c r="O1981">
        <v>0</v>
      </c>
      <c r="P1981" s="21">
        <f>DATEVALUE(N1981&amp;"-"&amp;M1981&amp;"-"&amp;L1981)</f>
        <v>36515</v>
      </c>
      <c r="Q1981" s="22">
        <v>27980.77</v>
      </c>
      <c r="R1981" s="23" t="s">
        <v>4701</v>
      </c>
      <c r="S1981" s="23" t="s">
        <v>4701</v>
      </c>
      <c r="T1981" s="23" t="s">
        <v>4708</v>
      </c>
      <c r="U1981" s="23">
        <f>DATEDIF(P1981, DATE(2023, 6, 8), "Y")</f>
        <v>23</v>
      </c>
      <c r="V1981">
        <f>SUM(C1981:K1981)</f>
        <v>23.8</v>
      </c>
    </row>
    <row r="1982" spans="1:22" ht="15.75">
      <c r="A1982" s="28" t="s">
        <v>3962</v>
      </c>
      <c r="B1982" s="28" t="s">
        <v>3963</v>
      </c>
      <c r="C1982" s="23">
        <v>35.53</v>
      </c>
      <c r="D1982" s="23">
        <v>4.68</v>
      </c>
      <c r="E1982" s="23" t="s">
        <v>4682</v>
      </c>
      <c r="F1982" s="23" t="s">
        <v>4682</v>
      </c>
      <c r="G1982" s="23" t="s">
        <v>4684</v>
      </c>
      <c r="H1982" s="23">
        <v>1</v>
      </c>
      <c r="I1982" s="23" t="s">
        <v>4682</v>
      </c>
      <c r="J1982" s="23" t="s">
        <v>4729</v>
      </c>
      <c r="K1982" s="23" t="s">
        <v>4737</v>
      </c>
      <c r="L1982">
        <v>1985</v>
      </c>
      <c r="M1982" s="15" t="s">
        <v>4700</v>
      </c>
      <c r="N1982">
        <v>29</v>
      </c>
      <c r="O1982">
        <v>3</v>
      </c>
      <c r="P1982" s="21">
        <f>DATEVALUE(N1982&amp;"-"&amp;M1982&amp;"-"&amp;L1982)</f>
        <v>31380</v>
      </c>
      <c r="Q1982" s="22">
        <v>28006.94</v>
      </c>
      <c r="R1982" s="23" t="s">
        <v>4701</v>
      </c>
      <c r="S1982" s="23" t="s">
        <v>4697</v>
      </c>
      <c r="T1982" s="23" t="s">
        <v>4708</v>
      </c>
      <c r="U1982" s="23">
        <f>DATEDIF(P1982, DATE(2023, 6, 8), "Y")</f>
        <v>37</v>
      </c>
      <c r="V1982">
        <f>SUM(C1982:K1982)</f>
        <v>41.21</v>
      </c>
    </row>
    <row r="1983" spans="1:22" ht="15.75">
      <c r="A1983" s="28" t="s">
        <v>3964</v>
      </c>
      <c r="B1983" s="28" t="s">
        <v>3965</v>
      </c>
      <c r="C1983" s="23">
        <v>21.47</v>
      </c>
      <c r="D1983" s="23">
        <v>4.0199999999999996</v>
      </c>
      <c r="E1983" s="23" t="s">
        <v>4683</v>
      </c>
      <c r="F1983" s="23" t="s">
        <v>4682</v>
      </c>
      <c r="G1983" s="23" t="s">
        <v>4682</v>
      </c>
      <c r="H1983" s="23">
        <v>1</v>
      </c>
      <c r="I1983" s="23" t="s">
        <v>4682</v>
      </c>
      <c r="J1983" s="23" t="s">
        <v>4728</v>
      </c>
      <c r="K1983" s="23" t="s">
        <v>4737</v>
      </c>
      <c r="L1983">
        <v>1960</v>
      </c>
      <c r="M1983" s="15" t="s">
        <v>4700</v>
      </c>
      <c r="N1983">
        <v>22</v>
      </c>
      <c r="O1983">
        <v>0</v>
      </c>
      <c r="P1983" s="21">
        <f>DATEVALUE(N1983&amp;"-"&amp;M1983&amp;"-"&amp;L1983)</f>
        <v>22242</v>
      </c>
      <c r="Q1983" s="22">
        <v>28101.33</v>
      </c>
      <c r="R1983" s="23" t="s">
        <v>4701</v>
      </c>
      <c r="S1983" s="23" t="s">
        <v>4697</v>
      </c>
      <c r="T1983" s="23" t="s">
        <v>4710</v>
      </c>
      <c r="U1983" s="23">
        <f>DATEDIF(P1983, DATE(2023, 6, 8), "Y")</f>
        <v>62</v>
      </c>
      <c r="V1983">
        <f>SUM(C1983:K1983)</f>
        <v>26.49</v>
      </c>
    </row>
    <row r="1984" spans="1:22" ht="15.75">
      <c r="A1984" s="28" t="s">
        <v>3966</v>
      </c>
      <c r="B1984" s="28" t="s">
        <v>3967</v>
      </c>
      <c r="C1984" s="23">
        <v>25.9</v>
      </c>
      <c r="D1984" s="23">
        <v>5.12</v>
      </c>
      <c r="E1984" s="23" t="s">
        <v>4682</v>
      </c>
      <c r="F1984" s="23" t="s">
        <v>4682</v>
      </c>
      <c r="G1984" s="23" t="s">
        <v>4684</v>
      </c>
      <c r="H1984" s="23">
        <v>1</v>
      </c>
      <c r="I1984" s="23" t="s">
        <v>4682</v>
      </c>
      <c r="J1984" s="23" t="s">
        <v>4730</v>
      </c>
      <c r="K1984" s="23" t="s">
        <v>4737</v>
      </c>
      <c r="L1984">
        <v>1999</v>
      </c>
      <c r="M1984" s="15" t="s">
        <v>4703</v>
      </c>
      <c r="N1984">
        <v>6</v>
      </c>
      <c r="O1984">
        <v>0</v>
      </c>
      <c r="P1984" s="21">
        <f>DATEVALUE(N1984&amp;"-"&amp;M1984&amp;"-"&amp;L1984)</f>
        <v>36409</v>
      </c>
      <c r="Q1984" s="22">
        <v>28245.34</v>
      </c>
      <c r="R1984" s="23" t="s">
        <v>4701</v>
      </c>
      <c r="S1984" s="23" t="s">
        <v>4698</v>
      </c>
      <c r="T1984" s="23" t="s">
        <v>4708</v>
      </c>
      <c r="U1984" s="23">
        <f>DATEDIF(P1984, DATE(2023, 6, 8), "Y")</f>
        <v>23</v>
      </c>
      <c r="V1984">
        <f>SUM(C1984:K1984)</f>
        <v>32.019999999999996</v>
      </c>
    </row>
    <row r="1985" spans="1:22" ht="15.75">
      <c r="A1985" s="28" t="s">
        <v>3968</v>
      </c>
      <c r="B1985" s="28" t="s">
        <v>3969</v>
      </c>
      <c r="C1985" s="23">
        <v>20.81</v>
      </c>
      <c r="D1985" s="23">
        <v>5.52</v>
      </c>
      <c r="E1985" s="23" t="s">
        <v>4682</v>
      </c>
      <c r="F1985" s="23" t="s">
        <v>4682</v>
      </c>
      <c r="G1985" s="23" t="s">
        <v>4682</v>
      </c>
      <c r="H1985" s="23">
        <v>0</v>
      </c>
      <c r="I1985" s="23" t="s">
        <v>4682</v>
      </c>
      <c r="J1985" s="23" t="s">
        <v>4728</v>
      </c>
      <c r="K1985" s="23" t="s">
        <v>4737</v>
      </c>
      <c r="L1985">
        <v>1963</v>
      </c>
      <c r="M1985" s="15" t="s">
        <v>4700</v>
      </c>
      <c r="N1985">
        <v>25</v>
      </c>
      <c r="O1985">
        <v>1</v>
      </c>
      <c r="P1985" s="21">
        <f>DATEVALUE(N1985&amp;"-"&amp;M1985&amp;"-"&amp;L1985)</f>
        <v>23340</v>
      </c>
      <c r="Q1985" s="22">
        <v>28287.9</v>
      </c>
      <c r="R1985" s="23" t="s">
        <v>4701</v>
      </c>
      <c r="S1985" s="23" t="s">
        <v>4701</v>
      </c>
      <c r="T1985" s="23" t="s">
        <v>4699</v>
      </c>
      <c r="U1985" s="23">
        <f>DATEDIF(P1985, DATE(2023, 6, 8), "Y")</f>
        <v>59</v>
      </c>
      <c r="V1985">
        <f>SUM(C1985:K1985)</f>
        <v>26.33</v>
      </c>
    </row>
    <row r="1986" spans="1:22" ht="15.75">
      <c r="A1986" s="28" t="s">
        <v>3970</v>
      </c>
      <c r="B1986" s="28" t="s">
        <v>3971</v>
      </c>
      <c r="C1986" s="23">
        <v>25.84</v>
      </c>
      <c r="D1986" s="23">
        <v>5.81</v>
      </c>
      <c r="E1986" s="23" t="s">
        <v>4683</v>
      </c>
      <c r="F1986" s="23" t="s">
        <v>4682</v>
      </c>
      <c r="G1986" s="23" t="s">
        <v>4684</v>
      </c>
      <c r="H1986" s="23">
        <v>1</v>
      </c>
      <c r="I1986" s="23" t="s">
        <v>4682</v>
      </c>
      <c r="J1986" s="23" t="s">
        <v>4730</v>
      </c>
      <c r="K1986" s="23" t="s">
        <v>4736</v>
      </c>
      <c r="L1986">
        <v>1990</v>
      </c>
      <c r="M1986" s="15" t="s">
        <v>4705</v>
      </c>
      <c r="N1986">
        <v>24</v>
      </c>
      <c r="O1986">
        <v>3</v>
      </c>
      <c r="P1986" s="21">
        <f>DATEVALUE(N1986&amp;"-"&amp;M1986&amp;"-"&amp;L1986)</f>
        <v>33231</v>
      </c>
      <c r="Q1986" s="22">
        <v>28302.33</v>
      </c>
      <c r="R1986" s="23" t="s">
        <v>4701</v>
      </c>
      <c r="S1986" s="23" t="s">
        <v>4697</v>
      </c>
      <c r="T1986" s="23" t="s">
        <v>4708</v>
      </c>
      <c r="U1986" s="23">
        <f>DATEDIF(P1986, DATE(2023, 6, 8), "Y")</f>
        <v>32</v>
      </c>
      <c r="V1986">
        <f>SUM(C1986:K1986)</f>
        <v>32.65</v>
      </c>
    </row>
    <row r="1987" spans="1:22" ht="15.75">
      <c r="A1987" s="28" t="s">
        <v>3972</v>
      </c>
      <c r="B1987" s="28" t="s">
        <v>3973</v>
      </c>
      <c r="C1987" s="23">
        <v>30.95</v>
      </c>
      <c r="D1987" s="23">
        <v>5.16</v>
      </c>
      <c r="E1987" s="23" t="s">
        <v>4682</v>
      </c>
      <c r="F1987" s="23" t="s">
        <v>4682</v>
      </c>
      <c r="G1987" s="23" t="s">
        <v>4684</v>
      </c>
      <c r="H1987" s="23">
        <v>1</v>
      </c>
      <c r="I1987" s="23" t="s">
        <v>4682</v>
      </c>
      <c r="J1987" s="23" t="s">
        <v>4729</v>
      </c>
      <c r="K1987" s="23" t="s">
        <v>4737</v>
      </c>
      <c r="L1987">
        <v>1977</v>
      </c>
      <c r="M1987" s="15" t="s">
        <v>4705</v>
      </c>
      <c r="N1987">
        <v>2</v>
      </c>
      <c r="O1987">
        <v>1</v>
      </c>
      <c r="P1987" s="21">
        <f>DATEVALUE(N1987&amp;"-"&amp;M1987&amp;"-"&amp;L1987)</f>
        <v>28461</v>
      </c>
      <c r="Q1987" s="22">
        <v>28340.19</v>
      </c>
      <c r="R1987" s="23" t="s">
        <v>4701</v>
      </c>
      <c r="S1987" s="23" t="s">
        <v>4697</v>
      </c>
      <c r="T1987" s="23" t="s">
        <v>4704</v>
      </c>
      <c r="U1987" s="23">
        <f>DATEDIF(P1987, DATE(2023, 6, 8), "Y")</f>
        <v>45</v>
      </c>
      <c r="V1987">
        <f>SUM(C1987:K1987)</f>
        <v>37.11</v>
      </c>
    </row>
    <row r="1988" spans="1:22" ht="15.75">
      <c r="A1988" s="28" t="s">
        <v>3974</v>
      </c>
      <c r="B1988" s="28" t="s">
        <v>3975</v>
      </c>
      <c r="C1988" s="23">
        <v>30.54</v>
      </c>
      <c r="D1988" s="23">
        <v>5</v>
      </c>
      <c r="E1988" s="23" t="s">
        <v>4682</v>
      </c>
      <c r="F1988" s="23" t="s">
        <v>4682</v>
      </c>
      <c r="G1988" s="23" t="s">
        <v>4684</v>
      </c>
      <c r="H1988" s="23">
        <v>1</v>
      </c>
      <c r="I1988" s="23" t="s">
        <v>4682</v>
      </c>
      <c r="J1988" s="23" t="s">
        <v>4729</v>
      </c>
      <c r="K1988" s="23" t="s">
        <v>4737</v>
      </c>
      <c r="L1988">
        <v>1974</v>
      </c>
      <c r="M1988" s="15" t="s">
        <v>4703</v>
      </c>
      <c r="N1988">
        <v>16</v>
      </c>
      <c r="O1988">
        <v>1</v>
      </c>
      <c r="P1988" s="21">
        <f>DATEVALUE(N1988&amp;"-"&amp;M1988&amp;"-"&amp;L1988)</f>
        <v>27288</v>
      </c>
      <c r="Q1988" s="22">
        <v>28468.92</v>
      </c>
      <c r="R1988" s="23" t="s">
        <v>4701</v>
      </c>
      <c r="S1988" s="23" t="s">
        <v>4701</v>
      </c>
      <c r="T1988" s="23" t="s">
        <v>4704</v>
      </c>
      <c r="U1988" s="23">
        <f>DATEDIF(P1988, DATE(2023, 6, 8), "Y")</f>
        <v>48</v>
      </c>
      <c r="V1988">
        <f>SUM(C1988:K1988)</f>
        <v>36.54</v>
      </c>
    </row>
    <row r="1989" spans="1:22" ht="15.75">
      <c r="A1989" s="28" t="s">
        <v>3976</v>
      </c>
      <c r="B1989" s="28" t="s">
        <v>3977</v>
      </c>
      <c r="C1989" s="23">
        <v>33.914999999999999</v>
      </c>
      <c r="D1989" s="23">
        <v>5.84</v>
      </c>
      <c r="E1989" s="23" t="s">
        <v>4683</v>
      </c>
      <c r="F1989" s="23" t="s">
        <v>4682</v>
      </c>
      <c r="G1989" s="23" t="s">
        <v>4682</v>
      </c>
      <c r="H1989" s="23">
        <v>0</v>
      </c>
      <c r="I1989" s="23" t="s">
        <v>4682</v>
      </c>
      <c r="J1989" s="23" t="s">
        <v>4729</v>
      </c>
      <c r="K1989" s="23" t="s">
        <v>4736</v>
      </c>
      <c r="L1989">
        <v>1982</v>
      </c>
      <c r="M1989" s="15" t="s">
        <v>4705</v>
      </c>
      <c r="N1989">
        <v>11</v>
      </c>
      <c r="O1989">
        <v>1</v>
      </c>
      <c r="P1989" s="21">
        <f>DATEVALUE(N1989&amp;"-"&amp;M1989&amp;"-"&amp;L1989)</f>
        <v>30296</v>
      </c>
      <c r="Q1989" s="22">
        <v>28476.73</v>
      </c>
      <c r="R1989" s="23" t="s">
        <v>4701</v>
      </c>
      <c r="S1989" s="23" t="s">
        <v>4697</v>
      </c>
      <c r="T1989" s="23" t="s">
        <v>4704</v>
      </c>
      <c r="U1989" s="23">
        <f>DATEDIF(P1989, DATE(2023, 6, 8), "Y")</f>
        <v>40</v>
      </c>
      <c r="V1989">
        <f>SUM(C1989:K1989)</f>
        <v>39.754999999999995</v>
      </c>
    </row>
    <row r="1990" spans="1:22" ht="15.75">
      <c r="A1990" s="28" t="s">
        <v>3978</v>
      </c>
      <c r="B1990" s="28" t="s">
        <v>3979</v>
      </c>
      <c r="C1990" s="23">
        <v>33.31</v>
      </c>
      <c r="D1990" s="23">
        <v>4.1900000000000004</v>
      </c>
      <c r="E1990" s="23" t="s">
        <v>4682</v>
      </c>
      <c r="F1990" s="23" t="s">
        <v>4682</v>
      </c>
      <c r="G1990" s="23" t="s">
        <v>4684</v>
      </c>
      <c r="H1990" s="23">
        <v>1</v>
      </c>
      <c r="I1990" s="23" t="s">
        <v>4682</v>
      </c>
      <c r="J1990" s="23" t="s">
        <v>4729</v>
      </c>
      <c r="K1990" s="23" t="s">
        <v>4737</v>
      </c>
      <c r="L1990">
        <v>1985</v>
      </c>
      <c r="M1990" s="15" t="s">
        <v>4703</v>
      </c>
      <c r="N1990">
        <v>27</v>
      </c>
      <c r="O1990">
        <v>3</v>
      </c>
      <c r="P1990" s="21">
        <f>DATEVALUE(N1990&amp;"-"&amp;M1990&amp;"-"&amp;L1990)</f>
        <v>31317</v>
      </c>
      <c r="Q1990" s="22">
        <v>28542.86</v>
      </c>
      <c r="R1990" s="23" t="s">
        <v>4701</v>
      </c>
      <c r="S1990" s="23" t="s">
        <v>4698</v>
      </c>
      <c r="T1990" s="23" t="s">
        <v>4708</v>
      </c>
      <c r="U1990" s="23">
        <f>DATEDIF(P1990, DATE(2023, 6, 8), "Y")</f>
        <v>37</v>
      </c>
      <c r="V1990">
        <f>SUM(C1990:K1990)</f>
        <v>38.5</v>
      </c>
    </row>
    <row r="1991" spans="1:22" ht="15.75">
      <c r="A1991" s="28" t="s">
        <v>3980</v>
      </c>
      <c r="B1991" s="28" t="s">
        <v>3981</v>
      </c>
      <c r="C1991" s="23">
        <v>25.745000000000001</v>
      </c>
      <c r="D1991" s="23">
        <v>4.62</v>
      </c>
      <c r="E1991" s="23" t="s">
        <v>4683</v>
      </c>
      <c r="F1991" s="23" t="s">
        <v>4682</v>
      </c>
      <c r="G1991" s="23" t="s">
        <v>4682</v>
      </c>
      <c r="H1991" s="23">
        <v>0</v>
      </c>
      <c r="I1991" s="23" t="s">
        <v>4682</v>
      </c>
      <c r="J1991" s="23" t="s">
        <v>4730</v>
      </c>
      <c r="K1991" s="23" t="s">
        <v>4737</v>
      </c>
      <c r="L1991">
        <v>1990</v>
      </c>
      <c r="M1991" s="15" t="s">
        <v>4705</v>
      </c>
      <c r="N1991">
        <v>5</v>
      </c>
      <c r="O1991">
        <v>3</v>
      </c>
      <c r="P1991" s="21">
        <f>DATEVALUE(N1991&amp;"-"&amp;M1991&amp;"-"&amp;L1991)</f>
        <v>33212</v>
      </c>
      <c r="Q1991" s="22">
        <v>28716.14</v>
      </c>
      <c r="R1991" s="23" t="s">
        <v>4701</v>
      </c>
      <c r="S1991" s="23" t="s">
        <v>4698</v>
      </c>
      <c r="T1991" s="23" t="s">
        <v>4708</v>
      </c>
      <c r="U1991" s="23">
        <f>DATEDIF(P1991, DATE(2023, 6, 8), "Y")</f>
        <v>32</v>
      </c>
      <c r="V1991">
        <f>SUM(C1991:K1991)</f>
        <v>30.365000000000002</v>
      </c>
    </row>
    <row r="1992" spans="1:22" ht="15.75">
      <c r="A1992" s="28" t="s">
        <v>3982</v>
      </c>
      <c r="B1992" s="28" t="s">
        <v>3983</v>
      </c>
      <c r="C1992" s="23">
        <v>37.1</v>
      </c>
      <c r="D1992" s="23">
        <v>6.24</v>
      </c>
      <c r="E1992" s="23" t="s">
        <v>4682</v>
      </c>
      <c r="F1992" s="23" t="s">
        <v>4682</v>
      </c>
      <c r="G1992" s="23" t="s">
        <v>4682</v>
      </c>
      <c r="H1992" s="23">
        <v>0</v>
      </c>
      <c r="I1992" s="23" t="s">
        <v>4682</v>
      </c>
      <c r="J1992" s="23" t="s">
        <v>4729</v>
      </c>
      <c r="K1992" s="23" t="s">
        <v>4736</v>
      </c>
      <c r="L1992">
        <v>1961</v>
      </c>
      <c r="M1992" s="15" t="s">
        <v>4706</v>
      </c>
      <c r="N1992">
        <v>3</v>
      </c>
      <c r="O1992">
        <v>1</v>
      </c>
      <c r="P1992" s="21">
        <f>DATEVALUE(N1992&amp;"-"&amp;M1992&amp;"-"&amp;L1992)</f>
        <v>22496</v>
      </c>
      <c r="Q1992" s="22">
        <v>28868.66</v>
      </c>
      <c r="R1992" s="23" t="s">
        <v>4701</v>
      </c>
      <c r="S1992" s="23" t="s">
        <v>4697</v>
      </c>
      <c r="T1992" s="23" t="s">
        <v>4704</v>
      </c>
      <c r="U1992" s="23">
        <f>DATEDIF(P1992, DATE(2023, 6, 8), "Y")</f>
        <v>61</v>
      </c>
      <c r="V1992">
        <f>SUM(C1992:K1992)</f>
        <v>43.34</v>
      </c>
    </row>
    <row r="1993" spans="1:22" ht="15.75">
      <c r="A1993" s="28" t="s">
        <v>3984</v>
      </c>
      <c r="B1993" s="28" t="s">
        <v>3985</v>
      </c>
      <c r="C1993" s="23">
        <v>35.435000000000002</v>
      </c>
      <c r="D1993" s="23">
        <v>5.81</v>
      </c>
      <c r="E1993" s="23" t="s">
        <v>4682</v>
      </c>
      <c r="F1993" s="23" t="s">
        <v>4682</v>
      </c>
      <c r="G1993" s="23" t="s">
        <v>4682</v>
      </c>
      <c r="H1993" s="23">
        <v>0</v>
      </c>
      <c r="I1993" s="23" t="s">
        <v>4682</v>
      </c>
      <c r="J1993" s="23" t="s">
        <v>4729</v>
      </c>
      <c r="K1993" s="23" t="s">
        <v>4736</v>
      </c>
      <c r="L1993">
        <v>1962</v>
      </c>
      <c r="M1993" s="15" t="s">
        <v>4696</v>
      </c>
      <c r="N1993">
        <v>25</v>
      </c>
      <c r="O1993">
        <v>0</v>
      </c>
      <c r="P1993" s="21">
        <f>DATEVALUE(N1993&amp;"-"&amp;M1993&amp;"-"&amp;L1993)</f>
        <v>22852</v>
      </c>
      <c r="Q1993" s="22">
        <v>28923.14</v>
      </c>
      <c r="R1993" s="23" t="s">
        <v>4701</v>
      </c>
      <c r="S1993" s="23" t="s">
        <v>4701</v>
      </c>
      <c r="T1993" s="23" t="s">
        <v>4704</v>
      </c>
      <c r="U1993" s="23">
        <f>DATEDIF(P1993, DATE(2023, 6, 8), "Y")</f>
        <v>60</v>
      </c>
      <c r="V1993">
        <f>SUM(C1993:K1993)</f>
        <v>41.245000000000005</v>
      </c>
    </row>
    <row r="1994" spans="1:22" ht="15.75">
      <c r="A1994" s="28" t="s">
        <v>3986</v>
      </c>
      <c r="B1994" s="28" t="s">
        <v>3987</v>
      </c>
      <c r="C1994" s="23">
        <v>20.399999999999999</v>
      </c>
      <c r="D1994" s="23">
        <v>4.83</v>
      </c>
      <c r="E1994" s="23" t="s">
        <v>4682</v>
      </c>
      <c r="F1994" s="23" t="s">
        <v>4682</v>
      </c>
      <c r="G1994" s="23" t="s">
        <v>4682</v>
      </c>
      <c r="H1994" s="23">
        <v>0</v>
      </c>
      <c r="I1994" s="23" t="s">
        <v>4682</v>
      </c>
      <c r="J1994" s="23" t="s">
        <v>4728</v>
      </c>
      <c r="K1994" s="23" t="s">
        <v>4737</v>
      </c>
      <c r="L1994">
        <v>1959</v>
      </c>
      <c r="M1994" s="15" t="s">
        <v>4705</v>
      </c>
      <c r="N1994">
        <v>5</v>
      </c>
      <c r="O1994">
        <v>0</v>
      </c>
      <c r="P1994" s="21">
        <f>DATEVALUE(N1994&amp;"-"&amp;M1994&amp;"-"&amp;L1994)</f>
        <v>21889</v>
      </c>
      <c r="Q1994" s="22">
        <v>28950.47</v>
      </c>
      <c r="R1994" s="23" t="s">
        <v>4701</v>
      </c>
      <c r="S1994" s="23" t="s">
        <v>4701</v>
      </c>
      <c r="T1994" s="23" t="s">
        <v>4704</v>
      </c>
      <c r="U1994" s="23">
        <f>DATEDIF(P1994, DATE(2023, 6, 8), "Y")</f>
        <v>63</v>
      </c>
      <c r="V1994">
        <f>SUM(C1994:K1994)</f>
        <v>25.229999999999997</v>
      </c>
    </row>
    <row r="1995" spans="1:22" ht="15.75">
      <c r="A1995" s="28" t="s">
        <v>3988</v>
      </c>
      <c r="B1995" s="28" t="s">
        <v>3989</v>
      </c>
      <c r="C1995" s="23">
        <v>42.13</v>
      </c>
      <c r="D1995" s="23">
        <v>5.72</v>
      </c>
      <c r="E1995" s="23" t="s">
        <v>4683</v>
      </c>
      <c r="F1995" s="23" t="s">
        <v>4682</v>
      </c>
      <c r="G1995" s="23" t="s">
        <v>4684</v>
      </c>
      <c r="H1995" s="23">
        <v>1</v>
      </c>
      <c r="I1995" s="23" t="s">
        <v>4682</v>
      </c>
      <c r="J1995" s="23" t="s">
        <v>4729</v>
      </c>
      <c r="K1995" s="23" t="s">
        <v>4736</v>
      </c>
      <c r="L1995">
        <v>2003</v>
      </c>
      <c r="M1995" s="15" t="s">
        <v>4703</v>
      </c>
      <c r="N1995">
        <v>1</v>
      </c>
      <c r="O1995">
        <v>0</v>
      </c>
      <c r="P1995" s="21">
        <f>DATEVALUE(N1995&amp;"-"&amp;M1995&amp;"-"&amp;L1995)</f>
        <v>37865</v>
      </c>
      <c r="Q1995" s="22">
        <v>28998.68</v>
      </c>
      <c r="R1995" s="23" t="s">
        <v>4701</v>
      </c>
      <c r="S1995" s="23" t="s">
        <v>4698</v>
      </c>
      <c r="T1995" s="23" t="s">
        <v>4708</v>
      </c>
      <c r="U1995" s="23">
        <f>DATEDIF(P1995, DATE(2023, 6, 8), "Y")</f>
        <v>19</v>
      </c>
      <c r="V1995">
        <f>SUM(C1995:K1995)</f>
        <v>48.85</v>
      </c>
    </row>
    <row r="1996" spans="1:22" ht="15.75">
      <c r="A1996" s="28" t="s">
        <v>3990</v>
      </c>
      <c r="B1996" s="28" t="s">
        <v>3991</v>
      </c>
      <c r="C1996" s="23">
        <v>33.99</v>
      </c>
      <c r="D1996" s="23">
        <v>4.83</v>
      </c>
      <c r="E1996" s="23" t="s">
        <v>4683</v>
      </c>
      <c r="F1996" s="23" t="s">
        <v>4682</v>
      </c>
      <c r="G1996" s="23" t="s">
        <v>4684</v>
      </c>
      <c r="H1996" s="23">
        <v>1</v>
      </c>
      <c r="I1996" s="23" t="s">
        <v>4682</v>
      </c>
      <c r="J1996" s="23" t="s">
        <v>4729</v>
      </c>
      <c r="K1996" s="23" t="s">
        <v>4737</v>
      </c>
      <c r="L1996">
        <v>1992</v>
      </c>
      <c r="M1996" s="15" t="s">
        <v>4696</v>
      </c>
      <c r="N1996">
        <v>7</v>
      </c>
      <c r="O1996">
        <v>0</v>
      </c>
      <c r="P1996" s="21">
        <f>DATEVALUE(N1996&amp;"-"&amp;M1996&amp;"-"&amp;L1996)</f>
        <v>33792</v>
      </c>
      <c r="Q1996" s="22">
        <v>29007.82</v>
      </c>
      <c r="R1996" s="23" t="s">
        <v>4701</v>
      </c>
      <c r="S1996" s="23" t="s">
        <v>4698</v>
      </c>
      <c r="T1996" s="23" t="s">
        <v>4708</v>
      </c>
      <c r="U1996" s="23">
        <f>DATEDIF(P1996, DATE(2023, 6, 8), "Y")</f>
        <v>30</v>
      </c>
      <c r="V1996">
        <f>SUM(C1996:K1996)</f>
        <v>39.82</v>
      </c>
    </row>
    <row r="1997" spans="1:22" ht="15.75">
      <c r="A1997" s="28" t="s">
        <v>3992</v>
      </c>
      <c r="B1997" s="28" t="s">
        <v>3993</v>
      </c>
      <c r="C1997" s="23">
        <v>28.594999999999999</v>
      </c>
      <c r="D1997" s="23">
        <v>4.1399999999999997</v>
      </c>
      <c r="E1997" s="23" t="s">
        <v>4683</v>
      </c>
      <c r="F1997" s="23" t="s">
        <v>4682</v>
      </c>
      <c r="G1997" s="23" t="s">
        <v>4684</v>
      </c>
      <c r="H1997" s="23">
        <v>1</v>
      </c>
      <c r="I1997" s="23" t="s">
        <v>4682</v>
      </c>
      <c r="J1997" s="23" t="s">
        <v>4730</v>
      </c>
      <c r="K1997" s="23" t="s">
        <v>4737</v>
      </c>
      <c r="L1997">
        <v>1980</v>
      </c>
      <c r="M1997" s="15" t="s">
        <v>4696</v>
      </c>
      <c r="N1997">
        <v>14</v>
      </c>
      <c r="O1997">
        <v>2</v>
      </c>
      <c r="P1997" s="21">
        <f>DATEVALUE(N1997&amp;"-"&amp;M1997&amp;"-"&amp;L1997)</f>
        <v>29416</v>
      </c>
      <c r="Q1997" s="22">
        <v>29114.21</v>
      </c>
      <c r="R1997" s="23" t="s">
        <v>4701</v>
      </c>
      <c r="S1997" s="23" t="s">
        <v>4698</v>
      </c>
      <c r="T1997" s="23" t="s">
        <v>4708</v>
      </c>
      <c r="U1997" s="23">
        <f>DATEDIF(P1997, DATE(2023, 6, 8), "Y")</f>
        <v>42</v>
      </c>
      <c r="V1997">
        <f>SUM(C1997:K1997)</f>
        <v>33.734999999999999</v>
      </c>
    </row>
    <row r="1998" spans="1:22" ht="15.75">
      <c r="A1998" s="28" t="s">
        <v>3994</v>
      </c>
      <c r="B1998" s="28" t="s">
        <v>3995</v>
      </c>
      <c r="C1998" s="23">
        <v>20.8</v>
      </c>
      <c r="D1998" s="23">
        <v>4.07</v>
      </c>
      <c r="E1998" s="23" t="s">
        <v>4683</v>
      </c>
      <c r="F1998" s="23" t="s">
        <v>4682</v>
      </c>
      <c r="G1998" s="23" t="s">
        <v>4684</v>
      </c>
      <c r="H1998" s="23">
        <v>1</v>
      </c>
      <c r="I1998" s="23" t="s">
        <v>4682</v>
      </c>
      <c r="J1998" s="23" t="s">
        <v>4728</v>
      </c>
      <c r="K1998" s="23" t="s">
        <v>4737</v>
      </c>
      <c r="L1998">
        <v>1978</v>
      </c>
      <c r="M1998" s="15" t="s">
        <v>4700</v>
      </c>
      <c r="N1998">
        <v>29</v>
      </c>
      <c r="O1998">
        <v>2</v>
      </c>
      <c r="P1998" s="21">
        <f>DATEVALUE(N1998&amp;"-"&amp;M1998&amp;"-"&amp;L1998)</f>
        <v>28823</v>
      </c>
      <c r="Q1998" s="22">
        <v>29114.77</v>
      </c>
      <c r="R1998" s="23" t="s">
        <v>4701</v>
      </c>
      <c r="S1998" s="23" t="s">
        <v>4701</v>
      </c>
      <c r="T1998" s="23" t="s">
        <v>4708</v>
      </c>
      <c r="U1998" s="23">
        <f>DATEDIF(P1998, DATE(2023, 6, 8), "Y")</f>
        <v>44</v>
      </c>
      <c r="V1998">
        <f>SUM(C1998:K1998)</f>
        <v>25.87</v>
      </c>
    </row>
    <row r="1999" spans="1:22" ht="15.75">
      <c r="A1999" s="28" t="s">
        <v>3996</v>
      </c>
      <c r="B1999" s="28" t="s">
        <v>3997</v>
      </c>
      <c r="C1999" s="23">
        <v>23.465</v>
      </c>
      <c r="D1999" s="23">
        <v>6.26</v>
      </c>
      <c r="E1999" s="23" t="s">
        <v>4683</v>
      </c>
      <c r="F1999" s="23" t="s">
        <v>4682</v>
      </c>
      <c r="G1999" s="23" t="s">
        <v>4684</v>
      </c>
      <c r="H1999" s="23">
        <v>1</v>
      </c>
      <c r="I1999" s="23" t="s">
        <v>4682</v>
      </c>
      <c r="J1999" s="23" t="s">
        <v>4728</v>
      </c>
      <c r="K1999" s="23" t="s">
        <v>4736</v>
      </c>
      <c r="L1999">
        <v>1961</v>
      </c>
      <c r="M1999" s="15" t="s">
        <v>4705</v>
      </c>
      <c r="N1999">
        <v>24</v>
      </c>
      <c r="O1999">
        <v>0</v>
      </c>
      <c r="P1999" s="21">
        <f>DATEVALUE(N1999&amp;"-"&amp;M1999&amp;"-"&amp;L1999)</f>
        <v>22639</v>
      </c>
      <c r="Q1999" s="22">
        <v>29141.360000000001</v>
      </c>
      <c r="R1999" s="23" t="s">
        <v>4701</v>
      </c>
      <c r="S1999" s="23" t="s">
        <v>4698</v>
      </c>
      <c r="T1999" s="23" t="s">
        <v>4704</v>
      </c>
      <c r="U1999" s="23">
        <f>DATEDIF(P1999, DATE(2023, 6, 8), "Y")</f>
        <v>61</v>
      </c>
      <c r="V1999">
        <f>SUM(C1999:K1999)</f>
        <v>30.725000000000001</v>
      </c>
    </row>
    <row r="2000" spans="1:22" ht="15.75">
      <c r="A2000" s="28" t="s">
        <v>3998</v>
      </c>
      <c r="B2000" s="28" t="s">
        <v>3999</v>
      </c>
      <c r="C2000" s="23">
        <v>40.185000000000002</v>
      </c>
      <c r="D2000" s="23">
        <v>5.88</v>
      </c>
      <c r="E2000" s="23" t="s">
        <v>4683</v>
      </c>
      <c r="F2000" s="23" t="s">
        <v>4682</v>
      </c>
      <c r="G2000" s="23" t="s">
        <v>4682</v>
      </c>
      <c r="H2000" s="23">
        <v>0</v>
      </c>
      <c r="I2000" s="23" t="s">
        <v>4682</v>
      </c>
      <c r="J2000" s="23" t="s">
        <v>4729</v>
      </c>
      <c r="K2000" s="23" t="s">
        <v>4736</v>
      </c>
      <c r="L2000">
        <v>1976</v>
      </c>
      <c r="M2000" s="15" t="s">
        <v>4700</v>
      </c>
      <c r="N2000">
        <v>8</v>
      </c>
      <c r="O2000">
        <v>2</v>
      </c>
      <c r="P2000" s="21">
        <f>DATEVALUE(N2000&amp;"-"&amp;M2000&amp;"-"&amp;L2000)</f>
        <v>28072</v>
      </c>
      <c r="Q2000" s="22">
        <v>29160.39</v>
      </c>
      <c r="R2000" s="23" t="s">
        <v>4701</v>
      </c>
      <c r="S2000" s="23" t="s">
        <v>4697</v>
      </c>
      <c r="T2000" s="23" t="s">
        <v>4708</v>
      </c>
      <c r="U2000" s="23">
        <f>DATEDIF(P2000, DATE(2023, 6, 8), "Y")</f>
        <v>46</v>
      </c>
      <c r="V2000">
        <f>SUM(C2000:K2000)</f>
        <v>46.065000000000005</v>
      </c>
    </row>
    <row r="2001" spans="1:22" ht="15.75">
      <c r="A2001" s="28" t="s">
        <v>4000</v>
      </c>
      <c r="B2001" s="28" t="s">
        <v>4001</v>
      </c>
      <c r="C2001" s="23">
        <v>21.89</v>
      </c>
      <c r="D2001" s="23">
        <v>5.72</v>
      </c>
      <c r="E2001" s="23" t="s">
        <v>4683</v>
      </c>
      <c r="F2001" s="23" t="s">
        <v>4682</v>
      </c>
      <c r="G2001" s="23" t="s">
        <v>4682</v>
      </c>
      <c r="H2001" s="23">
        <v>0</v>
      </c>
      <c r="I2001" s="23" t="s">
        <v>4682</v>
      </c>
      <c r="J2001" s="23" t="s">
        <v>4728</v>
      </c>
      <c r="K2001" s="23" t="s">
        <v>4736</v>
      </c>
      <c r="L2001">
        <v>1969</v>
      </c>
      <c r="M2001" s="15" t="s">
        <v>4696</v>
      </c>
      <c r="N2001">
        <v>9</v>
      </c>
      <c r="O2001">
        <v>2</v>
      </c>
      <c r="P2001" s="21">
        <f>DATEVALUE(N2001&amp;"-"&amp;M2001&amp;"-"&amp;L2001)</f>
        <v>25393</v>
      </c>
      <c r="Q2001" s="22">
        <v>29186.48</v>
      </c>
      <c r="R2001" s="23" t="s">
        <v>4701</v>
      </c>
      <c r="S2001" s="23" t="s">
        <v>4698</v>
      </c>
      <c r="T2001" s="23" t="s">
        <v>4714</v>
      </c>
      <c r="U2001" s="23">
        <f>DATEDIF(P2001, DATE(2023, 6, 8), "Y")</f>
        <v>53</v>
      </c>
      <c r="V2001">
        <f>SUM(C2001:K2001)</f>
        <v>27.61</v>
      </c>
    </row>
    <row r="2002" spans="1:22" ht="15.75">
      <c r="A2002" s="28" t="s">
        <v>4002</v>
      </c>
      <c r="B2002" s="28" t="s">
        <v>4003</v>
      </c>
      <c r="C2002" s="23">
        <v>29.34</v>
      </c>
      <c r="D2002" s="23">
        <v>6.09</v>
      </c>
      <c r="E2002" s="23" t="s">
        <v>4683</v>
      </c>
      <c r="F2002" s="23" t="s">
        <v>4683</v>
      </c>
      <c r="G2002" s="23" t="s">
        <v>4682</v>
      </c>
      <c r="H2002" s="23">
        <v>2</v>
      </c>
      <c r="I2002" s="23" t="s">
        <v>4682</v>
      </c>
      <c r="J2002" s="23" t="s">
        <v>4730</v>
      </c>
      <c r="K2002" s="23" t="s">
        <v>4736</v>
      </c>
      <c r="L2002">
        <v>1978</v>
      </c>
      <c r="M2002" s="15" t="s">
        <v>4696</v>
      </c>
      <c r="N2002">
        <v>21</v>
      </c>
      <c r="O2002">
        <v>2</v>
      </c>
      <c r="P2002" s="21">
        <f>DATEVALUE(N2002&amp;"-"&amp;M2002&amp;"-"&amp;L2002)</f>
        <v>28692</v>
      </c>
      <c r="Q2002" s="22">
        <v>29227.599999999999</v>
      </c>
      <c r="R2002" s="23" t="s">
        <v>4701</v>
      </c>
      <c r="S2002" s="23" t="s">
        <v>4698</v>
      </c>
      <c r="T2002" s="23" t="s">
        <v>4704</v>
      </c>
      <c r="U2002" s="23">
        <f>DATEDIF(P2002, DATE(2023, 6, 8), "Y")</f>
        <v>44</v>
      </c>
      <c r="V2002">
        <f>SUM(C2002:K2002)</f>
        <v>37.43</v>
      </c>
    </row>
    <row r="2003" spans="1:22" ht="15.75">
      <c r="A2003" s="28" t="s">
        <v>4004</v>
      </c>
      <c r="B2003" s="28" t="s">
        <v>4005</v>
      </c>
      <c r="C2003" s="23">
        <v>22.61</v>
      </c>
      <c r="D2003" s="23">
        <v>4.25</v>
      </c>
      <c r="E2003" s="23" t="s">
        <v>4683</v>
      </c>
      <c r="F2003" s="23" t="s">
        <v>4682</v>
      </c>
      <c r="G2003" s="23" t="s">
        <v>4682</v>
      </c>
      <c r="H2003" s="23">
        <v>0</v>
      </c>
      <c r="I2003" s="23" t="s">
        <v>4682</v>
      </c>
      <c r="J2003" s="23" t="s">
        <v>4728</v>
      </c>
      <c r="K2003" s="23" t="s">
        <v>4737</v>
      </c>
      <c r="L2003">
        <v>1958</v>
      </c>
      <c r="M2003" s="15" t="s">
        <v>4702</v>
      </c>
      <c r="N2003">
        <v>5</v>
      </c>
      <c r="O2003">
        <v>0</v>
      </c>
      <c r="P2003" s="21">
        <f>DATEVALUE(N2003&amp;"-"&amp;M2003&amp;"-"&amp;L2003)</f>
        <v>21341</v>
      </c>
      <c r="Q2003" s="22">
        <v>29330.98</v>
      </c>
      <c r="R2003" s="23" t="s">
        <v>4701</v>
      </c>
      <c r="S2003" s="23" t="s">
        <v>4697</v>
      </c>
      <c r="T2003" s="23" t="s">
        <v>4704</v>
      </c>
      <c r="U2003" s="23">
        <f>DATEDIF(P2003, DATE(2023, 6, 8), "Y")</f>
        <v>65</v>
      </c>
      <c r="V2003">
        <f>SUM(C2003:K2003)</f>
        <v>26.86</v>
      </c>
    </row>
    <row r="2004" spans="1:22" ht="15.75">
      <c r="A2004" s="28" t="s">
        <v>4006</v>
      </c>
      <c r="B2004" s="28" t="s">
        <v>4007</v>
      </c>
      <c r="C2004" s="23">
        <v>22.23</v>
      </c>
      <c r="D2004" s="23">
        <v>6.09</v>
      </c>
      <c r="E2004" s="23" t="s">
        <v>4683</v>
      </c>
      <c r="F2004" s="23" t="s">
        <v>4682</v>
      </c>
      <c r="G2004" s="23" t="s">
        <v>4682</v>
      </c>
      <c r="H2004" s="23">
        <v>0</v>
      </c>
      <c r="I2004" s="23" t="s">
        <v>4682</v>
      </c>
      <c r="J2004" s="23" t="s">
        <v>4728</v>
      </c>
      <c r="K2004" s="23" t="s">
        <v>4736</v>
      </c>
      <c r="L2004">
        <v>1985</v>
      </c>
      <c r="M2004" s="15" t="s">
        <v>4700</v>
      </c>
      <c r="N2004">
        <v>7</v>
      </c>
      <c r="O2004">
        <v>3</v>
      </c>
      <c r="P2004" s="21">
        <f>DATEVALUE(N2004&amp;"-"&amp;M2004&amp;"-"&amp;L2004)</f>
        <v>31358</v>
      </c>
      <c r="Q2004" s="22">
        <v>29352.560000000001</v>
      </c>
      <c r="R2004" s="23" t="s">
        <v>4701</v>
      </c>
      <c r="S2004" s="23" t="s">
        <v>4701</v>
      </c>
      <c r="T2004" s="23" t="s">
        <v>4708</v>
      </c>
      <c r="U2004" s="23">
        <f>DATEDIF(P2004, DATE(2023, 6, 8), "Y")</f>
        <v>37</v>
      </c>
      <c r="V2004">
        <f>SUM(C2004:K2004)</f>
        <v>28.32</v>
      </c>
    </row>
    <row r="2005" spans="1:22" ht="15.75">
      <c r="A2005" s="28" t="s">
        <v>4008</v>
      </c>
      <c r="B2005" s="28" t="s">
        <v>4009</v>
      </c>
      <c r="C2005" s="23">
        <v>33.4</v>
      </c>
      <c r="D2005" s="23">
        <v>5.51</v>
      </c>
      <c r="E2005" s="23" t="s">
        <v>4682</v>
      </c>
      <c r="F2005" s="23" t="s">
        <v>4682</v>
      </c>
      <c r="G2005" s="23" t="s">
        <v>4682</v>
      </c>
      <c r="H2005" s="23">
        <v>0</v>
      </c>
      <c r="I2005" s="23" t="s">
        <v>4682</v>
      </c>
      <c r="J2005" s="23" t="s">
        <v>4729</v>
      </c>
      <c r="K2005" s="23" t="s">
        <v>4737</v>
      </c>
      <c r="L2005">
        <v>1987</v>
      </c>
      <c r="M2005" s="15" t="s">
        <v>4696</v>
      </c>
      <c r="N2005">
        <v>16</v>
      </c>
      <c r="O2005">
        <v>3</v>
      </c>
      <c r="P2005" s="21">
        <f>DATEVALUE(N2005&amp;"-"&amp;M2005&amp;"-"&amp;L2005)</f>
        <v>31974</v>
      </c>
      <c r="Q2005" s="22">
        <v>29443.59</v>
      </c>
      <c r="R2005" s="23" t="s">
        <v>4701</v>
      </c>
      <c r="S2005" s="23" t="s">
        <v>4701</v>
      </c>
      <c r="T2005" s="23" t="s">
        <v>4708</v>
      </c>
      <c r="U2005" s="23">
        <f>DATEDIF(P2005, DATE(2023, 6, 8), "Y")</f>
        <v>35</v>
      </c>
      <c r="V2005">
        <f>SUM(C2005:K2005)</f>
        <v>38.909999999999997</v>
      </c>
    </row>
    <row r="2006" spans="1:22" ht="15.75">
      <c r="A2006" s="28" t="s">
        <v>4010</v>
      </c>
      <c r="B2006" s="28" t="s">
        <v>4011</v>
      </c>
      <c r="C2006" s="23">
        <v>33.11</v>
      </c>
      <c r="D2006" s="23">
        <v>5.63</v>
      </c>
      <c r="E2006" s="23" t="s">
        <v>4682</v>
      </c>
      <c r="F2006" s="23" t="s">
        <v>4682</v>
      </c>
      <c r="G2006" s="23" t="s">
        <v>4682</v>
      </c>
      <c r="H2006" s="23">
        <v>0</v>
      </c>
      <c r="I2006" s="23" t="s">
        <v>4682</v>
      </c>
      <c r="J2006" s="23" t="s">
        <v>4729</v>
      </c>
      <c r="K2006" s="23" t="s">
        <v>4737</v>
      </c>
      <c r="L2006">
        <v>1959</v>
      </c>
      <c r="M2006" s="15" t="s">
        <v>4707</v>
      </c>
      <c r="N2006">
        <v>20</v>
      </c>
      <c r="O2006">
        <v>0</v>
      </c>
      <c r="P2006" s="21">
        <f>DATEVALUE(N2006&amp;"-"&amp;M2006&amp;"-"&amp;L2006)</f>
        <v>21843</v>
      </c>
      <c r="Q2006" s="22">
        <v>29523.17</v>
      </c>
      <c r="R2006" s="23" t="s">
        <v>4701</v>
      </c>
      <c r="S2006" s="23" t="s">
        <v>4697</v>
      </c>
      <c r="T2006" s="23" t="s">
        <v>4714</v>
      </c>
      <c r="U2006" s="23">
        <f>DATEDIF(P2006, DATE(2023, 6, 8), "Y")</f>
        <v>63</v>
      </c>
      <c r="V2006">
        <f>SUM(C2006:K2006)</f>
        <v>38.74</v>
      </c>
    </row>
    <row r="2007" spans="1:22" ht="15.75">
      <c r="A2007" s="28" t="s">
        <v>4012</v>
      </c>
      <c r="B2007" s="28" t="s">
        <v>4013</v>
      </c>
      <c r="C2007" s="23">
        <v>16.815000000000001</v>
      </c>
      <c r="D2007" s="23">
        <v>5.29</v>
      </c>
      <c r="E2007" s="23" t="s">
        <v>4683</v>
      </c>
      <c r="F2007" s="23" t="s">
        <v>4682</v>
      </c>
      <c r="G2007" s="23" t="s">
        <v>4682</v>
      </c>
      <c r="H2007" s="23">
        <v>0</v>
      </c>
      <c r="I2007" s="23" t="s">
        <v>4682</v>
      </c>
      <c r="J2007" s="23" t="s">
        <v>4731</v>
      </c>
      <c r="K2007" s="23" t="s">
        <v>4737</v>
      </c>
      <c r="L2007">
        <v>1975</v>
      </c>
      <c r="M2007" s="15" t="s">
        <v>4700</v>
      </c>
      <c r="N2007">
        <v>3</v>
      </c>
      <c r="O2007">
        <v>1</v>
      </c>
      <c r="P2007" s="21">
        <f>DATEVALUE(N2007&amp;"-"&amp;M2007&amp;"-"&amp;L2007)</f>
        <v>27701</v>
      </c>
      <c r="Q2007" s="22">
        <v>29583.8</v>
      </c>
      <c r="R2007" s="23" t="s">
        <v>4701</v>
      </c>
      <c r="S2007" s="23" t="s">
        <v>4701</v>
      </c>
      <c r="T2007" s="23" t="s">
        <v>4708</v>
      </c>
      <c r="U2007" s="23">
        <f>DATEDIF(P2007, DATE(2023, 6, 8), "Y")</f>
        <v>47</v>
      </c>
      <c r="V2007">
        <f>SUM(C2007:K2007)</f>
        <v>22.105</v>
      </c>
    </row>
    <row r="2008" spans="1:22" ht="15.75">
      <c r="A2008" s="28" t="s">
        <v>4014</v>
      </c>
      <c r="B2008" s="28" t="s">
        <v>4015</v>
      </c>
      <c r="C2008" s="23">
        <v>25.61</v>
      </c>
      <c r="D2008" s="23">
        <v>4</v>
      </c>
      <c r="E2008" s="23" t="s">
        <v>4682</v>
      </c>
      <c r="F2008" s="23" t="s">
        <v>4682</v>
      </c>
      <c r="G2008" s="23" t="s">
        <v>4684</v>
      </c>
      <c r="H2008" s="23">
        <v>1</v>
      </c>
      <c r="I2008" s="23" t="s">
        <v>4682</v>
      </c>
      <c r="J2008" s="23" t="s">
        <v>4730</v>
      </c>
      <c r="K2008" s="23" t="s">
        <v>4737</v>
      </c>
      <c r="L2008">
        <v>1993</v>
      </c>
      <c r="M2008" s="15" t="s">
        <v>4696</v>
      </c>
      <c r="N2008">
        <v>27</v>
      </c>
      <c r="O2008">
        <v>0</v>
      </c>
      <c r="P2008" s="21">
        <f>DATEVALUE(N2008&amp;"-"&amp;M2008&amp;"-"&amp;L2008)</f>
        <v>34177</v>
      </c>
      <c r="Q2008" s="22">
        <v>29622.69</v>
      </c>
      <c r="R2008" s="23" t="s">
        <v>4701</v>
      </c>
      <c r="S2008" s="23" t="s">
        <v>4701</v>
      </c>
      <c r="T2008" s="23" t="s">
        <v>4708</v>
      </c>
      <c r="U2008" s="23">
        <f>DATEDIF(P2008, DATE(2023, 6, 8), "Y")</f>
        <v>29</v>
      </c>
      <c r="V2008">
        <f>SUM(C2008:K2008)</f>
        <v>30.61</v>
      </c>
    </row>
    <row r="2009" spans="1:22" ht="15.75">
      <c r="A2009" s="28" t="s">
        <v>4016</v>
      </c>
      <c r="B2009" s="28" t="s">
        <v>4017</v>
      </c>
      <c r="C2009" s="23">
        <v>25.8</v>
      </c>
      <c r="D2009" s="23">
        <v>5.49</v>
      </c>
      <c r="E2009" s="23" t="s">
        <v>4682</v>
      </c>
      <c r="F2009" s="23" t="s">
        <v>4682</v>
      </c>
      <c r="G2009" s="23" t="s">
        <v>4682</v>
      </c>
      <c r="H2009" s="23">
        <v>0</v>
      </c>
      <c r="I2009" s="23" t="s">
        <v>4682</v>
      </c>
      <c r="J2009" s="23" t="s">
        <v>4730</v>
      </c>
      <c r="K2009" s="23" t="s">
        <v>4737</v>
      </c>
      <c r="L2009">
        <v>1973</v>
      </c>
      <c r="M2009" s="15" t="s">
        <v>4706</v>
      </c>
      <c r="N2009">
        <v>23</v>
      </c>
      <c r="O2009">
        <v>0</v>
      </c>
      <c r="P2009" s="21">
        <f>DATEVALUE(N2009&amp;"-"&amp;M2009&amp;"-"&amp;L2009)</f>
        <v>26899</v>
      </c>
      <c r="Q2009" s="22">
        <v>29757.69</v>
      </c>
      <c r="R2009" s="23" t="s">
        <v>4701</v>
      </c>
      <c r="S2009" s="23" t="s">
        <v>4698</v>
      </c>
      <c r="T2009" s="23" t="s">
        <v>4708</v>
      </c>
      <c r="U2009" s="23">
        <f>DATEDIF(P2009, DATE(2023, 6, 8), "Y")</f>
        <v>49</v>
      </c>
      <c r="V2009">
        <f>SUM(C2009:K2009)</f>
        <v>31.29</v>
      </c>
    </row>
    <row r="2010" spans="1:22" ht="15.75">
      <c r="A2010" s="28" t="s">
        <v>4018</v>
      </c>
      <c r="B2010" s="28" t="s">
        <v>4019</v>
      </c>
      <c r="C2010" s="23">
        <v>27.39</v>
      </c>
      <c r="D2010" s="23">
        <v>5.34</v>
      </c>
      <c r="E2010" s="23" t="s">
        <v>4682</v>
      </c>
      <c r="F2010" s="23" t="s">
        <v>4682</v>
      </c>
      <c r="G2010" s="23" t="s">
        <v>4682</v>
      </c>
      <c r="H2010" s="23">
        <v>0</v>
      </c>
      <c r="I2010" s="23" t="s">
        <v>4682</v>
      </c>
      <c r="J2010" s="23" t="s">
        <v>4730</v>
      </c>
      <c r="K2010" s="23" t="s">
        <v>4737</v>
      </c>
      <c r="L2010">
        <v>1998</v>
      </c>
      <c r="M2010" s="15" t="s">
        <v>4702</v>
      </c>
      <c r="N2010">
        <v>20</v>
      </c>
      <c r="O2010">
        <v>0</v>
      </c>
      <c r="P2010" s="21">
        <f>DATEVALUE(N2010&amp;"-"&amp;M2010&amp;"-"&amp;L2010)</f>
        <v>35966</v>
      </c>
      <c r="Q2010" s="22">
        <v>29760.6</v>
      </c>
      <c r="R2010" s="23" t="s">
        <v>4701</v>
      </c>
      <c r="S2010" s="23" t="s">
        <v>4697</v>
      </c>
      <c r="T2010" s="23" t="s">
        <v>4708</v>
      </c>
      <c r="U2010" s="23">
        <f>DATEDIF(P2010, DATE(2023, 6, 8), "Y")</f>
        <v>24</v>
      </c>
      <c r="V2010">
        <f>SUM(C2010:K2010)</f>
        <v>32.730000000000004</v>
      </c>
    </row>
    <row r="2011" spans="1:22" ht="15.75">
      <c r="A2011" s="28" t="s">
        <v>4020</v>
      </c>
      <c r="B2011" s="28" t="s">
        <v>4021</v>
      </c>
      <c r="C2011" s="23">
        <v>17.03</v>
      </c>
      <c r="D2011" s="23">
        <v>4.12</v>
      </c>
      <c r="E2011" s="23" t="s">
        <v>4682</v>
      </c>
      <c r="F2011" s="23" t="s">
        <v>4682</v>
      </c>
      <c r="G2011" s="23" t="s">
        <v>4682</v>
      </c>
      <c r="H2011" s="23">
        <v>1</v>
      </c>
      <c r="I2011" s="23" t="s">
        <v>4682</v>
      </c>
      <c r="J2011" s="23" t="s">
        <v>4731</v>
      </c>
      <c r="K2011" s="23" t="s">
        <v>4737</v>
      </c>
      <c r="L2011">
        <v>1981</v>
      </c>
      <c r="M2011" s="15" t="s">
        <v>4706</v>
      </c>
      <c r="N2011">
        <v>13</v>
      </c>
      <c r="O2011">
        <v>1</v>
      </c>
      <c r="P2011" s="21">
        <f>DATEVALUE(N2011&amp;"-"&amp;M2011&amp;"-"&amp;L2011)</f>
        <v>29811</v>
      </c>
      <c r="Q2011" s="22">
        <v>29816.639999999999</v>
      </c>
      <c r="R2011" s="23" t="s">
        <v>4701</v>
      </c>
      <c r="S2011" s="23" t="s">
        <v>4697</v>
      </c>
      <c r="T2011" s="23" t="s">
        <v>4708</v>
      </c>
      <c r="U2011" s="23">
        <f>DATEDIF(P2011, DATE(2023, 6, 8), "Y")</f>
        <v>41</v>
      </c>
      <c r="V2011">
        <f>SUM(C2011:K2011)</f>
        <v>22.150000000000002</v>
      </c>
    </row>
    <row r="2012" spans="1:22" ht="15.75">
      <c r="A2012" s="28" t="s">
        <v>4022</v>
      </c>
      <c r="B2012" s="28" t="s">
        <v>4023</v>
      </c>
      <c r="C2012" s="23">
        <v>23.75</v>
      </c>
      <c r="D2012" s="23">
        <v>5.49</v>
      </c>
      <c r="E2012" s="23" t="s">
        <v>4683</v>
      </c>
      <c r="F2012" s="23" t="s">
        <v>4682</v>
      </c>
      <c r="G2012" s="23" t="s">
        <v>4682</v>
      </c>
      <c r="H2012" s="23">
        <v>0</v>
      </c>
      <c r="I2012" s="23" t="s">
        <v>4682</v>
      </c>
      <c r="J2012" s="23" t="s">
        <v>4728</v>
      </c>
      <c r="K2012" s="23" t="s">
        <v>4737</v>
      </c>
      <c r="L2012">
        <v>1982</v>
      </c>
      <c r="M2012" s="15" t="s">
        <v>4707</v>
      </c>
      <c r="N2012">
        <v>29</v>
      </c>
      <c r="O2012">
        <v>3</v>
      </c>
      <c r="P2012" s="21">
        <f>DATEVALUE(N2012&amp;"-"&amp;M2012&amp;"-"&amp;L2012)</f>
        <v>30253</v>
      </c>
      <c r="Q2012" s="22">
        <v>29818.76</v>
      </c>
      <c r="R2012" s="23" t="s">
        <v>4701</v>
      </c>
      <c r="S2012" s="23" t="s">
        <v>4701</v>
      </c>
      <c r="T2012" s="23" t="s">
        <v>4704</v>
      </c>
      <c r="U2012" s="23">
        <f>DATEDIF(P2012, DATE(2023, 6, 8), "Y")</f>
        <v>40</v>
      </c>
      <c r="V2012">
        <f>SUM(C2012:K2012)</f>
        <v>29.240000000000002</v>
      </c>
    </row>
    <row r="2013" spans="1:22" ht="15.75">
      <c r="A2013" s="28" t="s">
        <v>4024</v>
      </c>
      <c r="B2013" s="28" t="s">
        <v>4025</v>
      </c>
      <c r="C2013" s="23">
        <v>26.03</v>
      </c>
      <c r="D2013" s="23">
        <v>5.1100000000000003</v>
      </c>
      <c r="E2013" s="23" t="s">
        <v>4683</v>
      </c>
      <c r="F2013" s="23" t="s">
        <v>4682</v>
      </c>
      <c r="G2013" s="23" t="s">
        <v>4682</v>
      </c>
      <c r="H2013" s="23">
        <v>1</v>
      </c>
      <c r="I2013" s="23" t="s">
        <v>4682</v>
      </c>
      <c r="J2013" s="23" t="s">
        <v>4730</v>
      </c>
      <c r="K2013" s="23" t="s">
        <v>4737</v>
      </c>
      <c r="L2013">
        <v>1989</v>
      </c>
      <c r="M2013" s="15" t="s">
        <v>4705</v>
      </c>
      <c r="N2013">
        <v>30</v>
      </c>
      <c r="O2013">
        <v>3</v>
      </c>
      <c r="P2013" s="21">
        <f>DATEVALUE(N2013&amp;"-"&amp;M2013&amp;"-"&amp;L2013)</f>
        <v>32872</v>
      </c>
      <c r="Q2013" s="22">
        <v>29852.48</v>
      </c>
      <c r="R2013" s="23" t="s">
        <v>4701</v>
      </c>
      <c r="S2013" s="23" t="s">
        <v>4698</v>
      </c>
      <c r="T2013" s="23" t="s">
        <v>4708</v>
      </c>
      <c r="U2013" s="23">
        <f>DATEDIF(P2013, DATE(2023, 6, 8), "Y")</f>
        <v>33</v>
      </c>
      <c r="V2013">
        <f>SUM(C2013:K2013)</f>
        <v>32.14</v>
      </c>
    </row>
    <row r="2014" spans="1:22" ht="15.75">
      <c r="A2014" s="28" t="s">
        <v>4026</v>
      </c>
      <c r="B2014" s="28" t="s">
        <v>4027</v>
      </c>
      <c r="C2014" s="23">
        <v>16.079999999999998</v>
      </c>
      <c r="D2014" s="23">
        <v>5.94</v>
      </c>
      <c r="E2014" s="23" t="s">
        <v>4682</v>
      </c>
      <c r="F2014" s="23" t="s">
        <v>4682</v>
      </c>
      <c r="G2014" s="23" t="s">
        <v>4682</v>
      </c>
      <c r="H2014" s="23">
        <v>0</v>
      </c>
      <c r="I2014" s="23" t="s">
        <v>4682</v>
      </c>
      <c r="J2014" s="23" t="s">
        <v>4731</v>
      </c>
      <c r="K2014" s="23" t="s">
        <v>4736</v>
      </c>
      <c r="L2014">
        <v>1975</v>
      </c>
      <c r="M2014" s="15" t="s">
        <v>4706</v>
      </c>
      <c r="N2014">
        <v>19</v>
      </c>
      <c r="O2014">
        <v>1</v>
      </c>
      <c r="P2014" s="21">
        <f>DATEVALUE(N2014&amp;"-"&amp;M2014&amp;"-"&amp;L2014)</f>
        <v>27625</v>
      </c>
      <c r="Q2014" s="22">
        <v>29899.25</v>
      </c>
      <c r="R2014" s="23" t="s">
        <v>4701</v>
      </c>
      <c r="S2014" s="23" t="s">
        <v>4698</v>
      </c>
      <c r="T2014" s="23" t="s">
        <v>4708</v>
      </c>
      <c r="U2014" s="23">
        <f>DATEDIF(P2014, DATE(2023, 6, 8), "Y")</f>
        <v>47</v>
      </c>
      <c r="V2014">
        <f>SUM(C2014:K2014)</f>
        <v>22.02</v>
      </c>
    </row>
    <row r="2015" spans="1:22" ht="15.75">
      <c r="A2015" s="28" t="s">
        <v>4028</v>
      </c>
      <c r="B2015" s="28" t="s">
        <v>4029</v>
      </c>
      <c r="C2015" s="23">
        <v>30.875</v>
      </c>
      <c r="D2015" s="23">
        <v>5.54</v>
      </c>
      <c r="E2015" s="23" t="s">
        <v>4682</v>
      </c>
      <c r="F2015" s="23" t="s">
        <v>4682</v>
      </c>
      <c r="G2015" s="23" t="s">
        <v>4682</v>
      </c>
      <c r="H2015" s="23">
        <v>0</v>
      </c>
      <c r="I2015" s="23" t="s">
        <v>4682</v>
      </c>
      <c r="J2015" s="23" t="s">
        <v>4729</v>
      </c>
      <c r="K2015" s="23" t="s">
        <v>4737</v>
      </c>
      <c r="L2015">
        <v>1988</v>
      </c>
      <c r="M2015" s="15" t="s">
        <v>4705</v>
      </c>
      <c r="N2015">
        <v>30</v>
      </c>
      <c r="O2015">
        <v>3</v>
      </c>
      <c r="P2015" s="21">
        <f>DATEVALUE(N2015&amp;"-"&amp;M2015&amp;"-"&amp;L2015)</f>
        <v>32507</v>
      </c>
      <c r="Q2015" s="22">
        <v>29929.56</v>
      </c>
      <c r="R2015" s="23" t="s">
        <v>4701</v>
      </c>
      <c r="S2015" s="23" t="s">
        <v>4701</v>
      </c>
      <c r="T2015" s="23" t="s">
        <v>4708</v>
      </c>
      <c r="U2015" s="23">
        <f>DATEDIF(P2015, DATE(2023, 6, 8), "Y")</f>
        <v>34</v>
      </c>
      <c r="V2015">
        <f>SUM(C2015:K2015)</f>
        <v>36.414999999999999</v>
      </c>
    </row>
    <row r="2016" spans="1:22" ht="15.75">
      <c r="A2016" s="28" t="s">
        <v>4030</v>
      </c>
      <c r="B2016" s="28" t="s">
        <v>4031</v>
      </c>
      <c r="C2016" s="23">
        <v>31.79</v>
      </c>
      <c r="D2016" s="23">
        <v>7.09</v>
      </c>
      <c r="E2016" s="23" t="s">
        <v>4682</v>
      </c>
      <c r="F2016" s="23" t="s">
        <v>4682</v>
      </c>
      <c r="G2016" s="23" t="s">
        <v>4682</v>
      </c>
      <c r="H2016" s="23">
        <v>0</v>
      </c>
      <c r="I2016" s="23" t="s">
        <v>4682</v>
      </c>
      <c r="J2016" s="23" t="s">
        <v>4729</v>
      </c>
      <c r="K2016" s="23" t="s">
        <v>4735</v>
      </c>
      <c r="L2016">
        <v>1976</v>
      </c>
      <c r="M2016" s="15" t="s">
        <v>4702</v>
      </c>
      <c r="N2016">
        <v>12</v>
      </c>
      <c r="O2016">
        <v>2</v>
      </c>
      <c r="P2016" s="21">
        <f>DATEVALUE(N2016&amp;"-"&amp;M2016&amp;"-"&amp;L2016)</f>
        <v>27923</v>
      </c>
      <c r="Q2016" s="22">
        <v>29933.75</v>
      </c>
      <c r="R2016" s="23" t="s">
        <v>4701</v>
      </c>
      <c r="S2016" s="23" t="s">
        <v>4701</v>
      </c>
      <c r="T2016" s="23" t="s">
        <v>4708</v>
      </c>
      <c r="U2016" s="23">
        <f>DATEDIF(P2016, DATE(2023, 6, 8), "Y")</f>
        <v>46</v>
      </c>
      <c r="V2016">
        <f>SUM(C2016:K2016)</f>
        <v>38.879999999999995</v>
      </c>
    </row>
    <row r="2017" spans="1:22" ht="15.75">
      <c r="A2017" s="28" t="s">
        <v>4032</v>
      </c>
      <c r="B2017" s="28" t="s">
        <v>4033</v>
      </c>
      <c r="C2017" s="23">
        <v>28.48</v>
      </c>
      <c r="D2017" s="23">
        <v>6.22</v>
      </c>
      <c r="E2017" s="23" t="s">
        <v>4683</v>
      </c>
      <c r="F2017" s="23" t="s">
        <v>4682</v>
      </c>
      <c r="G2017" s="23" t="s">
        <v>4684</v>
      </c>
      <c r="H2017" s="23">
        <v>1</v>
      </c>
      <c r="I2017" s="23" t="s">
        <v>4682</v>
      </c>
      <c r="J2017" s="23" t="s">
        <v>4730</v>
      </c>
      <c r="K2017" s="23" t="s">
        <v>4736</v>
      </c>
      <c r="L2017">
        <v>1991</v>
      </c>
      <c r="M2017" s="15" t="s">
        <v>4707</v>
      </c>
      <c r="N2017">
        <v>5</v>
      </c>
      <c r="O2017">
        <v>3</v>
      </c>
      <c r="P2017" s="21">
        <f>DATEVALUE(N2017&amp;"-"&amp;M2017&amp;"-"&amp;L2017)</f>
        <v>33516</v>
      </c>
      <c r="Q2017" s="22">
        <v>29969.67</v>
      </c>
      <c r="R2017" s="23" t="s">
        <v>4701</v>
      </c>
      <c r="S2017" s="23" t="s">
        <v>4701</v>
      </c>
      <c r="T2017" s="23" t="s">
        <v>4708</v>
      </c>
      <c r="U2017" s="23">
        <f>DATEDIF(P2017, DATE(2023, 6, 8), "Y")</f>
        <v>31</v>
      </c>
      <c r="V2017">
        <f>SUM(C2017:K2017)</f>
        <v>35.700000000000003</v>
      </c>
    </row>
    <row r="2018" spans="1:22" ht="15.75">
      <c r="A2018" s="28" t="s">
        <v>4034</v>
      </c>
      <c r="B2018" s="28" t="s">
        <v>4035</v>
      </c>
      <c r="C2018" s="23">
        <v>26.6</v>
      </c>
      <c r="D2018" s="23">
        <v>4.33</v>
      </c>
      <c r="E2018" s="23" t="s">
        <v>4682</v>
      </c>
      <c r="F2018" s="23" t="s">
        <v>4682</v>
      </c>
      <c r="G2018" s="23" t="s">
        <v>4682</v>
      </c>
      <c r="H2018" s="23">
        <v>1</v>
      </c>
      <c r="I2018" s="23" t="s">
        <v>4682</v>
      </c>
      <c r="J2018" s="23" t="s">
        <v>4730</v>
      </c>
      <c r="K2018" s="23" t="s">
        <v>4737</v>
      </c>
      <c r="L2018">
        <v>1981</v>
      </c>
      <c r="M2018" s="15" t="s">
        <v>4706</v>
      </c>
      <c r="N2018">
        <v>4</v>
      </c>
      <c r="O2018">
        <v>1</v>
      </c>
      <c r="P2018" s="21">
        <f>DATEVALUE(N2018&amp;"-"&amp;M2018&amp;"-"&amp;L2018)</f>
        <v>29802</v>
      </c>
      <c r="Q2018" s="22">
        <v>30026.87</v>
      </c>
      <c r="R2018" s="23" t="s">
        <v>4697</v>
      </c>
      <c r="S2018" s="23" t="s">
        <v>4698</v>
      </c>
      <c r="T2018" s="23" t="s">
        <v>4704</v>
      </c>
      <c r="U2018" s="23">
        <f>DATEDIF(P2018, DATE(2023, 6, 8), "Y")</f>
        <v>41</v>
      </c>
      <c r="V2018">
        <f>SUM(C2018:K2018)</f>
        <v>31.93</v>
      </c>
    </row>
    <row r="2019" spans="1:22" ht="15.75">
      <c r="A2019" s="28" t="s">
        <v>4036</v>
      </c>
      <c r="B2019" s="28" t="s">
        <v>4037</v>
      </c>
      <c r="C2019" s="23">
        <v>25.27</v>
      </c>
      <c r="D2019" s="23">
        <v>5.83</v>
      </c>
      <c r="E2019" s="23" t="s">
        <v>4682</v>
      </c>
      <c r="F2019" s="23" t="s">
        <v>4682</v>
      </c>
      <c r="G2019" s="23" t="s">
        <v>4682</v>
      </c>
      <c r="H2019" s="23">
        <v>1</v>
      </c>
      <c r="I2019" s="23" t="s">
        <v>4682</v>
      </c>
      <c r="J2019" s="23" t="s">
        <v>4730</v>
      </c>
      <c r="K2019" s="23" t="s">
        <v>4736</v>
      </c>
      <c r="L2019">
        <v>1967</v>
      </c>
      <c r="M2019" s="15" t="s">
        <v>4702</v>
      </c>
      <c r="N2019">
        <v>16</v>
      </c>
      <c r="O2019">
        <v>3</v>
      </c>
      <c r="P2019" s="21">
        <f>DATEVALUE(N2019&amp;"-"&amp;M2019&amp;"-"&amp;L2019)</f>
        <v>24639</v>
      </c>
      <c r="Q2019" s="22">
        <v>30063.58</v>
      </c>
      <c r="R2019" s="23" t="s">
        <v>4701</v>
      </c>
      <c r="S2019" s="23" t="s">
        <v>4701</v>
      </c>
      <c r="T2019" s="23" t="s">
        <v>4704</v>
      </c>
      <c r="U2019" s="23">
        <f>DATEDIF(P2019, DATE(2023, 6, 8), "Y")</f>
        <v>55</v>
      </c>
      <c r="V2019">
        <f>SUM(C2019:K2019)</f>
        <v>32.1</v>
      </c>
    </row>
    <row r="2020" spans="1:22" ht="15.75">
      <c r="A2020" s="28" t="s">
        <v>4038</v>
      </c>
      <c r="B2020" s="28" t="s">
        <v>4039</v>
      </c>
      <c r="C2020" s="23">
        <v>34.484999999999999</v>
      </c>
      <c r="D2020" s="23">
        <v>4.7</v>
      </c>
      <c r="E2020" s="23" t="s">
        <v>4683</v>
      </c>
      <c r="F2020" s="23" t="s">
        <v>4682</v>
      </c>
      <c r="G2020" s="23" t="s">
        <v>4684</v>
      </c>
      <c r="H2020" s="23">
        <v>1</v>
      </c>
      <c r="I2020" s="23" t="s">
        <v>4682</v>
      </c>
      <c r="J2020" s="23" t="s">
        <v>4729</v>
      </c>
      <c r="K2020" s="23" t="s">
        <v>4737</v>
      </c>
      <c r="L2020">
        <v>1979</v>
      </c>
      <c r="M2020" s="15" t="s">
        <v>4703</v>
      </c>
      <c r="N2020">
        <v>2</v>
      </c>
      <c r="O2020">
        <v>2</v>
      </c>
      <c r="P2020" s="21">
        <f>DATEVALUE(N2020&amp;"-"&amp;M2020&amp;"-"&amp;L2020)</f>
        <v>29100</v>
      </c>
      <c r="Q2020" s="22">
        <v>30095.97</v>
      </c>
      <c r="R2020" s="23" t="s">
        <v>4697</v>
      </c>
      <c r="S2020" s="23" t="s">
        <v>4698</v>
      </c>
      <c r="T2020" s="23" t="s">
        <v>4708</v>
      </c>
      <c r="U2020" s="23">
        <f>DATEDIF(P2020, DATE(2023, 6, 8), "Y")</f>
        <v>43</v>
      </c>
      <c r="V2020">
        <f>SUM(C2020:K2020)</f>
        <v>40.185000000000002</v>
      </c>
    </row>
    <row r="2021" spans="1:22" ht="15.75">
      <c r="A2021" s="28" t="s">
        <v>4040</v>
      </c>
      <c r="B2021" s="28" t="s">
        <v>4041</v>
      </c>
      <c r="C2021" s="23">
        <v>15.57</v>
      </c>
      <c r="D2021" s="23">
        <v>4.07</v>
      </c>
      <c r="E2021" s="23" t="s">
        <v>4683</v>
      </c>
      <c r="F2021" s="23" t="s">
        <v>4682</v>
      </c>
      <c r="G2021" s="23" t="s">
        <v>4682</v>
      </c>
      <c r="H2021" s="23">
        <v>1</v>
      </c>
      <c r="I2021" s="23" t="s">
        <v>4682</v>
      </c>
      <c r="J2021" s="23" t="s">
        <v>4731</v>
      </c>
      <c r="K2021" s="23" t="s">
        <v>4737</v>
      </c>
      <c r="L2021">
        <v>1971</v>
      </c>
      <c r="M2021" s="15" t="s">
        <v>4705</v>
      </c>
      <c r="N2021">
        <v>25</v>
      </c>
      <c r="O2021">
        <v>0</v>
      </c>
      <c r="P2021" s="21">
        <f>DATEVALUE(N2021&amp;"-"&amp;M2021&amp;"-"&amp;L2021)</f>
        <v>26292</v>
      </c>
      <c r="Q2021" s="22">
        <v>30134.75</v>
      </c>
      <c r="R2021" s="23" t="s">
        <v>4697</v>
      </c>
      <c r="S2021" s="23" t="s">
        <v>4698</v>
      </c>
      <c r="T2021" s="23" t="s">
        <v>4708</v>
      </c>
      <c r="U2021" s="23">
        <f>DATEDIF(P2021, DATE(2023, 6, 8), "Y")</f>
        <v>51</v>
      </c>
      <c r="V2021">
        <f>SUM(C2021:K2021)</f>
        <v>20.64</v>
      </c>
    </row>
    <row r="2022" spans="1:22" ht="15.75">
      <c r="A2022" s="28" t="s">
        <v>4042</v>
      </c>
      <c r="B2022" s="28" t="s">
        <v>4043</v>
      </c>
      <c r="C2022" s="23">
        <v>30.36</v>
      </c>
      <c r="D2022" s="23">
        <v>9.39</v>
      </c>
      <c r="E2022" s="23" t="s">
        <v>4682</v>
      </c>
      <c r="F2022" s="23" t="s">
        <v>4682</v>
      </c>
      <c r="G2022" s="23" t="s">
        <v>4682</v>
      </c>
      <c r="H2022" s="23">
        <v>0</v>
      </c>
      <c r="I2022" s="23" t="s">
        <v>4682</v>
      </c>
      <c r="J2022" s="23" t="s">
        <v>4729</v>
      </c>
      <c r="K2022" s="23" t="s">
        <v>4735</v>
      </c>
      <c r="L2022">
        <v>1958</v>
      </c>
      <c r="M2022" s="15" t="s">
        <v>4706</v>
      </c>
      <c r="N2022">
        <v>11</v>
      </c>
      <c r="O2022">
        <v>1</v>
      </c>
      <c r="P2022" s="21">
        <f>DATEVALUE(N2022&amp;"-"&amp;M2022&amp;"-"&amp;L2022)</f>
        <v>21408</v>
      </c>
      <c r="Q2022" s="22">
        <v>30166.62</v>
      </c>
      <c r="R2022" s="23" t="s">
        <v>4701</v>
      </c>
      <c r="S2022" s="23" t="s">
        <v>4698</v>
      </c>
      <c r="T2022" s="23" t="s">
        <v>4704</v>
      </c>
      <c r="U2022" s="23">
        <f>DATEDIF(P2022, DATE(2023, 6, 8), "Y")</f>
        <v>64</v>
      </c>
      <c r="V2022">
        <f>SUM(C2022:K2022)</f>
        <v>39.75</v>
      </c>
    </row>
    <row r="2023" spans="1:22" ht="15.75">
      <c r="A2023" s="28" t="s">
        <v>4044</v>
      </c>
      <c r="B2023" s="28" t="s">
        <v>4045</v>
      </c>
      <c r="C2023" s="23">
        <v>19.37</v>
      </c>
      <c r="D2023" s="23">
        <v>4.18</v>
      </c>
      <c r="E2023" s="23" t="s">
        <v>4682</v>
      </c>
      <c r="F2023" s="23" t="s">
        <v>4682</v>
      </c>
      <c r="G2023" s="23" t="s">
        <v>4682</v>
      </c>
      <c r="H2023" s="23">
        <v>0</v>
      </c>
      <c r="I2023" s="23" t="s">
        <v>4682</v>
      </c>
      <c r="J2023" s="23" t="s">
        <v>4728</v>
      </c>
      <c r="K2023" s="23" t="s">
        <v>4737</v>
      </c>
      <c r="L2023">
        <v>1963</v>
      </c>
      <c r="M2023" s="15" t="s">
        <v>4703</v>
      </c>
      <c r="N2023">
        <v>13</v>
      </c>
      <c r="O2023">
        <v>3</v>
      </c>
      <c r="P2023" s="21">
        <f>DATEVALUE(N2023&amp;"-"&amp;M2023&amp;"-"&amp;L2023)</f>
        <v>23267</v>
      </c>
      <c r="Q2023" s="22">
        <v>30184.94</v>
      </c>
      <c r="R2023" s="23" t="s">
        <v>4701</v>
      </c>
      <c r="S2023" s="23" t="s">
        <v>4701</v>
      </c>
      <c r="T2023" s="23" t="s">
        <v>4716</v>
      </c>
      <c r="U2023" s="23">
        <f>DATEDIF(P2023, DATE(2023, 6, 8), "Y")</f>
        <v>59</v>
      </c>
      <c r="V2023">
        <f>SUM(C2023:K2023)</f>
        <v>23.55</v>
      </c>
    </row>
    <row r="2024" spans="1:22" ht="15.75">
      <c r="A2024" s="28" t="s">
        <v>4046</v>
      </c>
      <c r="B2024" s="28" t="s">
        <v>4047</v>
      </c>
      <c r="C2024" s="23">
        <v>16.71</v>
      </c>
      <c r="D2024" s="23">
        <v>4.18</v>
      </c>
      <c r="E2024" s="23" t="s">
        <v>4682</v>
      </c>
      <c r="F2024" s="23" t="s">
        <v>4682</v>
      </c>
      <c r="G2024" s="23" t="s">
        <v>4682</v>
      </c>
      <c r="H2024" s="23">
        <v>1</v>
      </c>
      <c r="I2024" s="23" t="s">
        <v>4682</v>
      </c>
      <c r="J2024" s="23" t="s">
        <v>4731</v>
      </c>
      <c r="K2024" s="23" t="s">
        <v>4737</v>
      </c>
      <c r="L2024">
        <v>1962</v>
      </c>
      <c r="M2024" s="15" t="s">
        <v>4703</v>
      </c>
      <c r="N2024">
        <v>15</v>
      </c>
      <c r="O2024">
        <v>0</v>
      </c>
      <c r="P2024" s="21">
        <f>DATEVALUE(N2024&amp;"-"&amp;M2024&amp;"-"&amp;L2024)</f>
        <v>22904</v>
      </c>
      <c r="Q2024" s="22">
        <v>30260</v>
      </c>
      <c r="R2024" s="23" t="s">
        <v>4701</v>
      </c>
      <c r="S2024" s="23" t="s">
        <v>4701</v>
      </c>
      <c r="T2024" s="23" t="s">
        <v>4716</v>
      </c>
      <c r="U2024" s="23">
        <f>DATEDIF(P2024, DATE(2023, 6, 8), "Y")</f>
        <v>60</v>
      </c>
      <c r="V2024">
        <f>SUM(C2024:K2024)</f>
        <v>21.89</v>
      </c>
    </row>
    <row r="2025" spans="1:22" ht="15.75">
      <c r="A2025" s="28" t="s">
        <v>4048</v>
      </c>
      <c r="B2025" s="28" t="s">
        <v>4049</v>
      </c>
      <c r="C2025" s="23">
        <v>24.1</v>
      </c>
      <c r="D2025" s="23">
        <v>4.4000000000000004</v>
      </c>
      <c r="E2025" s="23" t="s">
        <v>4683</v>
      </c>
      <c r="F2025" s="23" t="s">
        <v>4682</v>
      </c>
      <c r="G2025" s="23" t="s">
        <v>4682</v>
      </c>
      <c r="H2025" s="23">
        <v>1</v>
      </c>
      <c r="I2025" s="23" t="s">
        <v>4682</v>
      </c>
      <c r="J2025" s="23" t="s">
        <v>4728</v>
      </c>
      <c r="K2025" s="23" t="s">
        <v>4737</v>
      </c>
      <c r="L2025">
        <v>1972</v>
      </c>
      <c r="M2025" s="15" t="s">
        <v>4696</v>
      </c>
      <c r="N2025">
        <v>24</v>
      </c>
      <c r="O2025">
        <v>2</v>
      </c>
      <c r="P2025" s="21">
        <f>DATEVALUE(N2025&amp;"-"&amp;M2025&amp;"-"&amp;L2025)</f>
        <v>26504</v>
      </c>
      <c r="Q2025" s="22">
        <v>30284.639999999999</v>
      </c>
      <c r="R2025" s="23" t="s">
        <v>4701</v>
      </c>
      <c r="S2025" s="23" t="s">
        <v>4701</v>
      </c>
      <c r="T2025" s="23" t="s">
        <v>4704</v>
      </c>
      <c r="U2025" s="23">
        <f>DATEDIF(P2025, DATE(2023, 6, 8), "Y")</f>
        <v>50</v>
      </c>
      <c r="V2025">
        <f>SUM(C2025:K2025)</f>
        <v>29.5</v>
      </c>
    </row>
    <row r="2026" spans="1:22" ht="15.75">
      <c r="A2026" s="28" t="s">
        <v>4050</v>
      </c>
      <c r="B2026" s="28" t="s">
        <v>4051</v>
      </c>
      <c r="C2026" s="23">
        <v>29.77</v>
      </c>
      <c r="D2026" s="23">
        <v>9.9</v>
      </c>
      <c r="E2026" s="23" t="s">
        <v>4682</v>
      </c>
      <c r="F2026" s="23" t="s">
        <v>4682</v>
      </c>
      <c r="G2026" s="23" t="s">
        <v>4682</v>
      </c>
      <c r="H2026" s="23">
        <v>0</v>
      </c>
      <c r="I2026" s="23" t="s">
        <v>4682</v>
      </c>
      <c r="J2026" s="23" t="s">
        <v>4730</v>
      </c>
      <c r="K2026" s="23" t="s">
        <v>4735</v>
      </c>
      <c r="L2026">
        <v>2004</v>
      </c>
      <c r="M2026" s="15" t="s">
        <v>4702</v>
      </c>
      <c r="N2026">
        <v>1</v>
      </c>
      <c r="O2026">
        <v>0</v>
      </c>
      <c r="P2026" s="21">
        <f>DATEVALUE(N2026&amp;"-"&amp;M2026&amp;"-"&amp;L2026)</f>
        <v>38139</v>
      </c>
      <c r="Q2026" s="22">
        <v>30328.27</v>
      </c>
      <c r="R2026" s="23" t="s">
        <v>4697</v>
      </c>
      <c r="S2026" s="23" t="s">
        <v>4697</v>
      </c>
      <c r="T2026" s="23" t="s">
        <v>4708</v>
      </c>
      <c r="U2026" s="23">
        <f>DATEDIF(P2026, DATE(2023, 6, 8), "Y")</f>
        <v>19</v>
      </c>
      <c r="V2026">
        <f>SUM(C2026:K2026)</f>
        <v>39.67</v>
      </c>
    </row>
    <row r="2027" spans="1:22" ht="15.75">
      <c r="A2027" s="28" t="s">
        <v>4052</v>
      </c>
      <c r="B2027" s="28" t="s">
        <v>4053</v>
      </c>
      <c r="C2027" s="23">
        <v>46.53</v>
      </c>
      <c r="D2027" s="23">
        <v>4.84</v>
      </c>
      <c r="E2027" s="23" t="s">
        <v>4683</v>
      </c>
      <c r="F2027" s="23" t="s">
        <v>4682</v>
      </c>
      <c r="G2027" s="23" t="s">
        <v>4682</v>
      </c>
      <c r="H2027" s="23">
        <v>0</v>
      </c>
      <c r="I2027" s="23" t="s">
        <v>4682</v>
      </c>
      <c r="J2027" s="23" t="s">
        <v>4729</v>
      </c>
      <c r="K2027" s="23" t="s">
        <v>4737</v>
      </c>
      <c r="L2027">
        <v>1969</v>
      </c>
      <c r="M2027" s="15" t="s">
        <v>4696</v>
      </c>
      <c r="N2027">
        <v>30</v>
      </c>
      <c r="O2027">
        <v>0</v>
      </c>
      <c r="P2027" s="21">
        <f>DATEVALUE(N2027&amp;"-"&amp;M2027&amp;"-"&amp;L2027)</f>
        <v>25414</v>
      </c>
      <c r="Q2027" s="22">
        <v>30366.93</v>
      </c>
      <c r="R2027" s="23" t="s">
        <v>4697</v>
      </c>
      <c r="S2027" s="23" t="s">
        <v>4697</v>
      </c>
      <c r="T2027" s="23" t="s">
        <v>4708</v>
      </c>
      <c r="U2027" s="23">
        <f>DATEDIF(P2027, DATE(2023, 6, 8), "Y")</f>
        <v>53</v>
      </c>
      <c r="V2027">
        <f>SUM(C2027:K2027)</f>
        <v>51.370000000000005</v>
      </c>
    </row>
    <row r="2028" spans="1:22" ht="15.75">
      <c r="A2028" s="28" t="s">
        <v>4054</v>
      </c>
      <c r="B2028" s="28" t="s">
        <v>4055</v>
      </c>
      <c r="C2028" s="23">
        <v>23.4</v>
      </c>
      <c r="D2028" s="23">
        <v>5.53</v>
      </c>
      <c r="E2028" s="23" t="s">
        <v>4682</v>
      </c>
      <c r="F2028" s="23" t="s">
        <v>4682</v>
      </c>
      <c r="G2028" s="23" t="s">
        <v>4684</v>
      </c>
      <c r="H2028" s="23">
        <v>1</v>
      </c>
      <c r="I2028" s="23" t="s">
        <v>4682</v>
      </c>
      <c r="J2028" s="23" t="s">
        <v>4728</v>
      </c>
      <c r="K2028" s="23" t="s">
        <v>4737</v>
      </c>
      <c r="L2028">
        <v>1976</v>
      </c>
      <c r="M2028" s="15" t="s">
        <v>4703</v>
      </c>
      <c r="N2028">
        <v>3</v>
      </c>
      <c r="O2028">
        <v>2</v>
      </c>
      <c r="P2028" s="21">
        <f>DATEVALUE(N2028&amp;"-"&amp;M2028&amp;"-"&amp;L2028)</f>
        <v>28006</v>
      </c>
      <c r="Q2028" s="22">
        <v>30409.53</v>
      </c>
      <c r="R2028" s="23" t="s">
        <v>4697</v>
      </c>
      <c r="S2028" s="23" t="s">
        <v>4698</v>
      </c>
      <c r="T2028" s="23" t="s">
        <v>4704</v>
      </c>
      <c r="U2028" s="23">
        <f>DATEDIF(P2028, DATE(2023, 6, 8), "Y")</f>
        <v>46</v>
      </c>
      <c r="V2028">
        <f>SUM(C2028:K2028)</f>
        <v>29.93</v>
      </c>
    </row>
    <row r="2029" spans="1:22" ht="15.75">
      <c r="A2029" s="28" t="s">
        <v>4056</v>
      </c>
      <c r="B2029" s="28" t="s">
        <v>4057</v>
      </c>
      <c r="C2029" s="23">
        <v>30</v>
      </c>
      <c r="D2029" s="23">
        <v>4.33</v>
      </c>
      <c r="E2029" s="23" t="s">
        <v>4683</v>
      </c>
      <c r="F2029" s="23" t="s">
        <v>4682</v>
      </c>
      <c r="G2029" s="23" t="s">
        <v>4682</v>
      </c>
      <c r="H2029" s="23">
        <v>0</v>
      </c>
      <c r="I2029" s="23" t="s">
        <v>4682</v>
      </c>
      <c r="J2029" s="23" t="s">
        <v>4729</v>
      </c>
      <c r="K2029" s="23" t="s">
        <v>4737</v>
      </c>
      <c r="L2029">
        <v>1998</v>
      </c>
      <c r="M2029" s="15" t="s">
        <v>4707</v>
      </c>
      <c r="N2029">
        <v>28</v>
      </c>
      <c r="O2029">
        <v>0</v>
      </c>
      <c r="P2029" s="21">
        <f>DATEVALUE(N2029&amp;"-"&amp;M2029&amp;"-"&amp;L2029)</f>
        <v>36096</v>
      </c>
      <c r="Q2029" s="22">
        <v>30422.03</v>
      </c>
      <c r="R2029" s="23" t="s">
        <v>4697</v>
      </c>
      <c r="S2029" s="23" t="s">
        <v>4698</v>
      </c>
      <c r="T2029" s="23" t="s">
        <v>4708</v>
      </c>
      <c r="U2029" s="23">
        <f>DATEDIF(P2029, DATE(2023, 6, 8), "Y")</f>
        <v>24</v>
      </c>
      <c r="V2029">
        <f>SUM(C2029:K2029)</f>
        <v>34.33</v>
      </c>
    </row>
    <row r="2030" spans="1:22" ht="15.75">
      <c r="A2030" s="28" t="s">
        <v>4058</v>
      </c>
      <c r="B2030" s="28" t="s">
        <v>4059</v>
      </c>
      <c r="C2030" s="23">
        <v>29.15</v>
      </c>
      <c r="D2030" s="23">
        <v>4.91</v>
      </c>
      <c r="E2030" s="23" t="s">
        <v>4683</v>
      </c>
      <c r="F2030" s="23" t="s">
        <v>4682</v>
      </c>
      <c r="G2030" s="23" t="s">
        <v>4682</v>
      </c>
      <c r="H2030" s="23">
        <v>0</v>
      </c>
      <c r="I2030" s="23" t="s">
        <v>4682</v>
      </c>
      <c r="J2030" s="23" t="s">
        <v>4730</v>
      </c>
      <c r="K2030" s="23" t="s">
        <v>4737</v>
      </c>
      <c r="L2030">
        <v>1983</v>
      </c>
      <c r="M2030" s="15" t="s">
        <v>4703</v>
      </c>
      <c r="N2030">
        <v>3</v>
      </c>
      <c r="O2030">
        <v>3</v>
      </c>
      <c r="P2030" s="21">
        <f>DATEVALUE(N2030&amp;"-"&amp;M2030&amp;"-"&amp;L2030)</f>
        <v>30562</v>
      </c>
      <c r="Q2030" s="22">
        <v>30457.37</v>
      </c>
      <c r="R2030" s="23" t="s">
        <v>4697</v>
      </c>
      <c r="S2030" s="23" t="s">
        <v>4701</v>
      </c>
      <c r="T2030" s="23" t="s">
        <v>4704</v>
      </c>
      <c r="U2030" s="23">
        <f>DATEDIF(P2030, DATE(2023, 6, 8), "Y")</f>
        <v>39</v>
      </c>
      <c r="V2030">
        <f>SUM(C2030:K2030)</f>
        <v>34.06</v>
      </c>
    </row>
    <row r="2031" spans="1:22" ht="15.75">
      <c r="A2031" s="28" t="s">
        <v>4060</v>
      </c>
      <c r="B2031" s="28" t="s">
        <v>4061</v>
      </c>
      <c r="C2031" s="23">
        <v>34.865000000000002</v>
      </c>
      <c r="D2031" s="23">
        <v>4.8</v>
      </c>
      <c r="E2031" s="23" t="s">
        <v>4682</v>
      </c>
      <c r="F2031" s="23" t="s">
        <v>4682</v>
      </c>
      <c r="G2031" s="23" t="s">
        <v>4682</v>
      </c>
      <c r="H2031" s="23">
        <v>0</v>
      </c>
      <c r="I2031" s="23" t="s">
        <v>4682</v>
      </c>
      <c r="J2031" s="23" t="s">
        <v>4729</v>
      </c>
      <c r="K2031" s="23" t="s">
        <v>4737</v>
      </c>
      <c r="L2031">
        <v>1986</v>
      </c>
      <c r="M2031" s="15" t="s">
        <v>4706</v>
      </c>
      <c r="N2031">
        <v>10</v>
      </c>
      <c r="O2031">
        <v>3</v>
      </c>
      <c r="P2031" s="21">
        <f>DATEVALUE(N2031&amp;"-"&amp;M2031&amp;"-"&amp;L2031)</f>
        <v>31634</v>
      </c>
      <c r="Q2031" s="22">
        <v>30530.5</v>
      </c>
      <c r="R2031" s="23" t="s">
        <v>4697</v>
      </c>
      <c r="S2031" s="23" t="s">
        <v>4701</v>
      </c>
      <c r="T2031" s="23" t="s">
        <v>4708</v>
      </c>
      <c r="U2031" s="23">
        <f>DATEDIF(P2031, DATE(2023, 6, 8), "Y")</f>
        <v>36</v>
      </c>
      <c r="V2031">
        <f>SUM(C2031:K2031)</f>
        <v>39.664999999999999</v>
      </c>
    </row>
    <row r="2032" spans="1:22" ht="15.75">
      <c r="A2032" s="28" t="s">
        <v>4062</v>
      </c>
      <c r="B2032" s="28" t="s">
        <v>4063</v>
      </c>
      <c r="C2032" s="23">
        <v>28.12</v>
      </c>
      <c r="D2032" s="23">
        <v>5.55</v>
      </c>
      <c r="E2032" s="23" t="s">
        <v>4683</v>
      </c>
      <c r="F2032" s="23" t="s">
        <v>4683</v>
      </c>
      <c r="G2032" s="23" t="s">
        <v>4682</v>
      </c>
      <c r="H2032" s="23">
        <v>2</v>
      </c>
      <c r="I2032" s="23" t="s">
        <v>4682</v>
      </c>
      <c r="J2032" s="23" t="s">
        <v>4730</v>
      </c>
      <c r="K2032" s="23" t="s">
        <v>4737</v>
      </c>
      <c r="L2032">
        <v>1970</v>
      </c>
      <c r="M2032" s="15" t="s">
        <v>4700</v>
      </c>
      <c r="N2032">
        <v>11</v>
      </c>
      <c r="O2032">
        <v>0</v>
      </c>
      <c r="P2032" s="21">
        <f>DATEVALUE(N2032&amp;"-"&amp;M2032&amp;"-"&amp;L2032)</f>
        <v>25883</v>
      </c>
      <c r="Q2032" s="22">
        <v>30625.65</v>
      </c>
      <c r="R2032" s="23" t="s">
        <v>4697</v>
      </c>
      <c r="S2032" s="23" t="s">
        <v>4698</v>
      </c>
      <c r="T2032" s="23" t="s">
        <v>4708</v>
      </c>
      <c r="U2032" s="23">
        <f>DATEDIF(P2032, DATE(2023, 6, 8), "Y")</f>
        <v>52</v>
      </c>
      <c r="V2032">
        <f>SUM(C2032:K2032)</f>
        <v>35.67</v>
      </c>
    </row>
    <row r="2033" spans="1:22" ht="15.75">
      <c r="A2033" s="28" t="s">
        <v>4064</v>
      </c>
      <c r="B2033" s="28" t="s">
        <v>4065</v>
      </c>
      <c r="C2033" s="23">
        <v>29.45</v>
      </c>
      <c r="D2033" s="23">
        <v>5.24</v>
      </c>
      <c r="E2033" s="23" t="s">
        <v>4683</v>
      </c>
      <c r="F2033" s="23" t="s">
        <v>4682</v>
      </c>
      <c r="G2033" s="23" t="s">
        <v>4682</v>
      </c>
      <c r="H2033" s="23">
        <v>0</v>
      </c>
      <c r="I2033" s="23" t="s">
        <v>4682</v>
      </c>
      <c r="J2033" s="23" t="s">
        <v>4730</v>
      </c>
      <c r="K2033" s="23" t="s">
        <v>4737</v>
      </c>
      <c r="L2033">
        <v>1999</v>
      </c>
      <c r="M2033" s="15" t="s">
        <v>4703</v>
      </c>
      <c r="N2033">
        <v>21</v>
      </c>
      <c r="O2033">
        <v>0</v>
      </c>
      <c r="P2033" s="21">
        <f>DATEVALUE(N2033&amp;"-"&amp;M2033&amp;"-"&amp;L2033)</f>
        <v>36424</v>
      </c>
      <c r="Q2033" s="22">
        <v>30697.71</v>
      </c>
      <c r="R2033" s="23" t="s">
        <v>4701</v>
      </c>
      <c r="S2033" s="23" t="s">
        <v>4697</v>
      </c>
      <c r="T2033" s="23" t="s">
        <v>4708</v>
      </c>
      <c r="U2033" s="23">
        <f>DATEDIF(P2033, DATE(2023, 6, 8), "Y")</f>
        <v>23</v>
      </c>
      <c r="V2033">
        <f>SUM(C2033:K2033)</f>
        <v>34.69</v>
      </c>
    </row>
    <row r="2034" spans="1:22" ht="15.75">
      <c r="A2034" s="28" t="s">
        <v>4066</v>
      </c>
      <c r="B2034" s="28" t="s">
        <v>4067</v>
      </c>
      <c r="C2034" s="23">
        <v>27.94</v>
      </c>
      <c r="D2034" s="23">
        <v>6.08</v>
      </c>
      <c r="E2034" s="23" t="s">
        <v>4682</v>
      </c>
      <c r="F2034" s="23" t="s">
        <v>4682</v>
      </c>
      <c r="G2034" s="23" t="s">
        <v>4684</v>
      </c>
      <c r="H2034" s="23">
        <v>1</v>
      </c>
      <c r="I2034" s="23" t="s">
        <v>4682</v>
      </c>
      <c r="J2034" s="23" t="s">
        <v>4730</v>
      </c>
      <c r="K2034" s="23" t="s">
        <v>4736</v>
      </c>
      <c r="L2034">
        <v>1983</v>
      </c>
      <c r="M2034" s="15" t="s">
        <v>4705</v>
      </c>
      <c r="N2034">
        <v>21</v>
      </c>
      <c r="O2034">
        <v>3</v>
      </c>
      <c r="P2034" s="21">
        <f>DATEVALUE(N2034&amp;"-"&amp;M2034&amp;"-"&amp;L2034)</f>
        <v>30671</v>
      </c>
      <c r="Q2034" s="22">
        <v>30724.44</v>
      </c>
      <c r="R2034" s="23" t="s">
        <v>4697</v>
      </c>
      <c r="S2034" s="23" t="s">
        <v>4698</v>
      </c>
      <c r="T2034" s="23" t="s">
        <v>4708</v>
      </c>
      <c r="U2034" s="23">
        <f>DATEDIF(P2034, DATE(2023, 6, 8), "Y")</f>
        <v>39</v>
      </c>
      <c r="V2034">
        <f>SUM(C2034:K2034)</f>
        <v>35.020000000000003</v>
      </c>
    </row>
    <row r="2035" spans="1:22" ht="15.75">
      <c r="A2035" s="28" t="s">
        <v>4068</v>
      </c>
      <c r="B2035" s="28" t="s">
        <v>4069</v>
      </c>
      <c r="C2035" s="23">
        <v>27.2</v>
      </c>
      <c r="D2035" s="23">
        <v>5.83</v>
      </c>
      <c r="E2035" s="23" t="s">
        <v>4682</v>
      </c>
      <c r="F2035" s="23" t="s">
        <v>4682</v>
      </c>
      <c r="G2035" s="23" t="s">
        <v>4684</v>
      </c>
      <c r="H2035" s="23">
        <v>1</v>
      </c>
      <c r="I2035" s="23" t="s">
        <v>4682</v>
      </c>
      <c r="J2035" s="23" t="s">
        <v>4730</v>
      </c>
      <c r="K2035" s="23" t="s">
        <v>4736</v>
      </c>
      <c r="L2035">
        <v>1988</v>
      </c>
      <c r="M2035" s="15" t="s">
        <v>4703</v>
      </c>
      <c r="N2035">
        <v>5</v>
      </c>
      <c r="O2035">
        <v>3</v>
      </c>
      <c r="P2035" s="21">
        <f>DATEVALUE(N2035&amp;"-"&amp;M2035&amp;"-"&amp;L2035)</f>
        <v>32391</v>
      </c>
      <c r="Q2035" s="22">
        <v>30763.01</v>
      </c>
      <c r="R2035" s="23" t="s">
        <v>4697</v>
      </c>
      <c r="S2035" s="23" t="s">
        <v>4701</v>
      </c>
      <c r="T2035" s="23" t="s">
        <v>4708</v>
      </c>
      <c r="U2035" s="23">
        <f>DATEDIF(P2035, DATE(2023, 6, 8), "Y")</f>
        <v>34</v>
      </c>
      <c r="V2035">
        <f>SUM(C2035:K2035)</f>
        <v>34.03</v>
      </c>
    </row>
    <row r="2036" spans="1:22" ht="15.75">
      <c r="A2036" s="28" t="s">
        <v>4070</v>
      </c>
      <c r="B2036" s="28" t="s">
        <v>4071</v>
      </c>
      <c r="C2036" s="23">
        <v>33.344999999999999</v>
      </c>
      <c r="D2036" s="23">
        <v>4.29</v>
      </c>
      <c r="E2036" s="23" t="s">
        <v>4682</v>
      </c>
      <c r="F2036" s="23" t="s">
        <v>4682</v>
      </c>
      <c r="G2036" s="23" t="s">
        <v>4682</v>
      </c>
      <c r="H2036" s="23">
        <v>1</v>
      </c>
      <c r="I2036" s="23" t="s">
        <v>4682</v>
      </c>
      <c r="J2036" s="23" t="s">
        <v>4729</v>
      </c>
      <c r="K2036" s="23" t="s">
        <v>4737</v>
      </c>
      <c r="L2036">
        <v>1961</v>
      </c>
      <c r="M2036" s="15" t="s">
        <v>4703</v>
      </c>
      <c r="N2036">
        <v>9</v>
      </c>
      <c r="O2036">
        <v>3</v>
      </c>
      <c r="P2036" s="21">
        <f>DATEVALUE(N2036&amp;"-"&amp;M2036&amp;"-"&amp;L2036)</f>
        <v>22533</v>
      </c>
      <c r="Q2036" s="22">
        <v>30942.19</v>
      </c>
      <c r="R2036" s="23" t="s">
        <v>4697</v>
      </c>
      <c r="S2036" s="23" t="s">
        <v>4697</v>
      </c>
      <c r="T2036" s="23" t="s">
        <v>4699</v>
      </c>
      <c r="U2036" s="23">
        <f>DATEDIF(P2036, DATE(2023, 6, 8), "Y")</f>
        <v>61</v>
      </c>
      <c r="V2036">
        <f>SUM(C2036:K2036)</f>
        <v>38.634999999999998</v>
      </c>
    </row>
    <row r="2037" spans="1:22" ht="15.75">
      <c r="A2037" s="28" t="s">
        <v>4072</v>
      </c>
      <c r="B2037" s="28" t="s">
        <v>4073</v>
      </c>
      <c r="C2037" s="23">
        <v>29.925000000000001</v>
      </c>
      <c r="D2037" s="23">
        <v>5.3</v>
      </c>
      <c r="E2037" s="23" t="s">
        <v>4682</v>
      </c>
      <c r="F2037" s="23" t="s">
        <v>4682</v>
      </c>
      <c r="G2037" s="23" t="s">
        <v>4682</v>
      </c>
      <c r="H2037" s="23">
        <v>1</v>
      </c>
      <c r="I2037" s="23" t="s">
        <v>4682</v>
      </c>
      <c r="J2037" s="23" t="s">
        <v>4729</v>
      </c>
      <c r="K2037" s="23" t="s">
        <v>4737</v>
      </c>
      <c r="L2037">
        <v>2004</v>
      </c>
      <c r="M2037" s="15" t="s">
        <v>4700</v>
      </c>
      <c r="N2037">
        <v>9</v>
      </c>
      <c r="O2037">
        <v>0</v>
      </c>
      <c r="P2037" s="21">
        <f>DATEVALUE(N2037&amp;"-"&amp;M2037&amp;"-"&amp;L2037)</f>
        <v>38300</v>
      </c>
      <c r="Q2037" s="22">
        <v>31196.61</v>
      </c>
      <c r="R2037" s="23" t="s">
        <v>4697</v>
      </c>
      <c r="S2037" s="23" t="s">
        <v>4701</v>
      </c>
      <c r="T2037" s="23" t="s">
        <v>4708</v>
      </c>
      <c r="U2037" s="23">
        <f>DATEDIF(P2037, DATE(2023, 6, 8), "Y")</f>
        <v>18</v>
      </c>
      <c r="V2037">
        <f>SUM(C2037:K2037)</f>
        <v>36.225000000000001</v>
      </c>
    </row>
    <row r="2038" spans="1:22" ht="15.75">
      <c r="A2038" s="28" t="s">
        <v>4074</v>
      </c>
      <c r="B2038" s="28" t="s">
        <v>4075</v>
      </c>
      <c r="C2038" s="23">
        <v>24.225000000000001</v>
      </c>
      <c r="D2038" s="23">
        <v>4.42</v>
      </c>
      <c r="E2038" s="23" t="s">
        <v>4682</v>
      </c>
      <c r="F2038" s="23" t="s">
        <v>4682</v>
      </c>
      <c r="G2038" s="23" t="s">
        <v>4682</v>
      </c>
      <c r="H2038" s="23">
        <v>1</v>
      </c>
      <c r="I2038" s="23" t="s">
        <v>4682</v>
      </c>
      <c r="J2038" s="23" t="s">
        <v>4728</v>
      </c>
      <c r="K2038" s="23" t="s">
        <v>4737</v>
      </c>
      <c r="L2038">
        <v>2000</v>
      </c>
      <c r="M2038" s="15" t="s">
        <v>4696</v>
      </c>
      <c r="N2038">
        <v>22</v>
      </c>
      <c r="O2038">
        <v>0</v>
      </c>
      <c r="P2038" s="21">
        <f>DATEVALUE(N2038&amp;"-"&amp;M2038&amp;"-"&amp;L2038)</f>
        <v>36729</v>
      </c>
      <c r="Q2038" s="22">
        <v>31234.560000000001</v>
      </c>
      <c r="R2038" s="23" t="s">
        <v>4701</v>
      </c>
      <c r="S2038" s="23" t="s">
        <v>4701</v>
      </c>
      <c r="T2038" s="23" t="s">
        <v>4708</v>
      </c>
      <c r="U2038" s="23">
        <f>DATEDIF(P2038, DATE(2023, 6, 8), "Y")</f>
        <v>22</v>
      </c>
      <c r="V2038">
        <f>SUM(C2038:K2038)</f>
        <v>29.645000000000003</v>
      </c>
    </row>
    <row r="2039" spans="1:22" ht="15.75">
      <c r="A2039" s="28" t="s">
        <v>4076</v>
      </c>
      <c r="B2039" s="28" t="s">
        <v>4077</v>
      </c>
      <c r="C2039" s="23">
        <v>29.68</v>
      </c>
      <c r="D2039" s="23">
        <v>5.68</v>
      </c>
      <c r="E2039" s="23" t="s">
        <v>4682</v>
      </c>
      <c r="F2039" s="23" t="s">
        <v>4683</v>
      </c>
      <c r="G2039" s="23" t="s">
        <v>4682</v>
      </c>
      <c r="H2039" s="23">
        <v>1</v>
      </c>
      <c r="I2039" s="23" t="s">
        <v>4682</v>
      </c>
      <c r="J2039" s="23" t="s">
        <v>4730</v>
      </c>
      <c r="K2039" s="23" t="s">
        <v>4737</v>
      </c>
      <c r="L2039">
        <v>1968</v>
      </c>
      <c r="M2039" s="15" t="s">
        <v>4696</v>
      </c>
      <c r="N2039">
        <v>9</v>
      </c>
      <c r="O2039">
        <v>0</v>
      </c>
      <c r="P2039" s="21">
        <f>DATEVALUE(N2039&amp;"-"&amp;M2039&amp;"-"&amp;L2039)</f>
        <v>25028</v>
      </c>
      <c r="Q2039" s="22">
        <v>31322.53</v>
      </c>
      <c r="R2039" s="23" t="s">
        <v>4697</v>
      </c>
      <c r="S2039" s="23" t="s">
        <v>4701</v>
      </c>
      <c r="T2039" s="23" t="s">
        <v>4708</v>
      </c>
      <c r="U2039" s="23">
        <f>DATEDIF(P2039, DATE(2023, 6, 8), "Y")</f>
        <v>54</v>
      </c>
      <c r="V2039">
        <f>SUM(C2039:K2039)</f>
        <v>36.36</v>
      </c>
    </row>
    <row r="2040" spans="1:22" ht="15.75">
      <c r="A2040" s="28" t="s">
        <v>4078</v>
      </c>
      <c r="B2040" s="28" t="s">
        <v>4079</v>
      </c>
      <c r="C2040" s="23">
        <v>20.614999999999998</v>
      </c>
      <c r="D2040" s="23">
        <v>6.05</v>
      </c>
      <c r="E2040" s="23" t="s">
        <v>4682</v>
      </c>
      <c r="F2040" s="23" t="s">
        <v>4682</v>
      </c>
      <c r="G2040" s="23" t="s">
        <v>4684</v>
      </c>
      <c r="H2040" s="23">
        <v>1</v>
      </c>
      <c r="I2040" s="23" t="s">
        <v>4682</v>
      </c>
      <c r="J2040" s="23" t="s">
        <v>4728</v>
      </c>
      <c r="K2040" s="23" t="s">
        <v>4736</v>
      </c>
      <c r="L2040">
        <v>1995</v>
      </c>
      <c r="M2040" s="15" t="s">
        <v>4703</v>
      </c>
      <c r="N2040">
        <v>27</v>
      </c>
      <c r="O2040">
        <v>0</v>
      </c>
      <c r="P2040" s="21">
        <f>DATEVALUE(N2040&amp;"-"&amp;M2040&amp;"-"&amp;L2040)</f>
        <v>34969</v>
      </c>
      <c r="Q2040" s="22">
        <v>31328.27</v>
      </c>
      <c r="R2040" s="23" t="s">
        <v>4697</v>
      </c>
      <c r="S2040" s="23" t="s">
        <v>4697</v>
      </c>
      <c r="T2040" s="23" t="s">
        <v>4708</v>
      </c>
      <c r="U2040" s="23">
        <f>DATEDIF(P2040, DATE(2023, 6, 8), "Y")</f>
        <v>27</v>
      </c>
      <c r="V2040">
        <f>SUM(C2040:K2040)</f>
        <v>27.664999999999999</v>
      </c>
    </row>
    <row r="2041" spans="1:22" ht="15.75">
      <c r="A2041" s="28" t="s">
        <v>4080</v>
      </c>
      <c r="B2041" s="28" t="s">
        <v>4081</v>
      </c>
      <c r="C2041" s="23">
        <v>32.119999999999997</v>
      </c>
      <c r="D2041" s="23">
        <v>5.33</v>
      </c>
      <c r="E2041" s="23" t="s">
        <v>4682</v>
      </c>
      <c r="F2041" s="23" t="s">
        <v>4683</v>
      </c>
      <c r="G2041" s="23" t="s">
        <v>4682</v>
      </c>
      <c r="H2041" s="23">
        <v>1</v>
      </c>
      <c r="I2041" s="23" t="s">
        <v>4682</v>
      </c>
      <c r="J2041" s="23" t="s">
        <v>4729</v>
      </c>
      <c r="K2041" s="23" t="s">
        <v>4737</v>
      </c>
      <c r="L2041">
        <v>1974</v>
      </c>
      <c r="M2041" s="15" t="s">
        <v>4707</v>
      </c>
      <c r="N2041">
        <v>8</v>
      </c>
      <c r="O2041">
        <v>0</v>
      </c>
      <c r="P2041" s="21">
        <f>DATEVALUE(N2041&amp;"-"&amp;M2041&amp;"-"&amp;L2041)</f>
        <v>27310</v>
      </c>
      <c r="Q2041" s="22">
        <v>31368.81</v>
      </c>
      <c r="R2041" s="23" t="s">
        <v>4697</v>
      </c>
      <c r="S2041" s="23" t="s">
        <v>4698</v>
      </c>
      <c r="T2041" s="23" t="s">
        <v>4708</v>
      </c>
      <c r="U2041" s="23">
        <f>DATEDIF(P2041, DATE(2023, 6, 8), "Y")</f>
        <v>48</v>
      </c>
      <c r="V2041">
        <f>SUM(C2041:K2041)</f>
        <v>38.449999999999996</v>
      </c>
    </row>
    <row r="2042" spans="1:22" ht="15.75">
      <c r="A2042" s="28" t="s">
        <v>4082</v>
      </c>
      <c r="B2042" s="28" t="s">
        <v>4083</v>
      </c>
      <c r="C2042" s="23">
        <v>27.36</v>
      </c>
      <c r="D2042" s="23">
        <v>6.22</v>
      </c>
      <c r="E2042" s="23" t="s">
        <v>4682</v>
      </c>
      <c r="F2042" s="23" t="s">
        <v>4682</v>
      </c>
      <c r="G2042" s="23" t="s">
        <v>4682</v>
      </c>
      <c r="H2042" s="23">
        <v>0</v>
      </c>
      <c r="I2042" s="23" t="s">
        <v>4682</v>
      </c>
      <c r="J2042" s="23" t="s">
        <v>4730</v>
      </c>
      <c r="K2042" s="23" t="s">
        <v>4736</v>
      </c>
      <c r="L2042">
        <v>1975</v>
      </c>
      <c r="M2042" s="15" t="s">
        <v>4707</v>
      </c>
      <c r="N2042">
        <v>29</v>
      </c>
      <c r="O2042">
        <v>1</v>
      </c>
      <c r="P2042" s="21">
        <f>DATEVALUE(N2042&amp;"-"&amp;M2042&amp;"-"&amp;L2042)</f>
        <v>27696</v>
      </c>
      <c r="Q2042" s="22">
        <v>31591.82</v>
      </c>
      <c r="R2042" s="23" t="s">
        <v>4697</v>
      </c>
      <c r="S2042" s="23" t="s">
        <v>4701</v>
      </c>
      <c r="T2042" s="23" t="s">
        <v>4708</v>
      </c>
      <c r="U2042" s="23">
        <f>DATEDIF(P2042, DATE(2023, 6, 8), "Y")</f>
        <v>47</v>
      </c>
      <c r="V2042">
        <f>SUM(C2042:K2042)</f>
        <v>33.58</v>
      </c>
    </row>
    <row r="2043" spans="1:22" ht="15.75">
      <c r="A2043" s="28" t="s">
        <v>4084</v>
      </c>
      <c r="B2043" s="28" t="s">
        <v>4085</v>
      </c>
      <c r="C2043" s="23">
        <v>17.385000000000002</v>
      </c>
      <c r="D2043" s="23">
        <v>5.84</v>
      </c>
      <c r="E2043" s="23" t="s">
        <v>4682</v>
      </c>
      <c r="F2043" s="23" t="s">
        <v>4682</v>
      </c>
      <c r="G2043" s="23" t="s">
        <v>4682</v>
      </c>
      <c r="H2043" s="23">
        <v>0</v>
      </c>
      <c r="I2043" s="23" t="s">
        <v>4682</v>
      </c>
      <c r="J2043" s="23" t="s">
        <v>4731</v>
      </c>
      <c r="K2043" s="23" t="s">
        <v>4736</v>
      </c>
      <c r="L2043">
        <v>1960</v>
      </c>
      <c r="M2043" s="15" t="s">
        <v>4705</v>
      </c>
      <c r="N2043">
        <v>13</v>
      </c>
      <c r="O2043">
        <v>1</v>
      </c>
      <c r="P2043" s="21">
        <f>DATEVALUE(N2043&amp;"-"&amp;M2043&amp;"-"&amp;L2043)</f>
        <v>22263</v>
      </c>
      <c r="Q2043" s="22">
        <v>31620</v>
      </c>
      <c r="R2043" s="23" t="s">
        <v>4697</v>
      </c>
      <c r="S2043" s="23" t="s">
        <v>4701</v>
      </c>
      <c r="T2043" s="23" t="s">
        <v>4714</v>
      </c>
      <c r="U2043" s="23">
        <f>DATEDIF(P2043, DATE(2023, 6, 8), "Y")</f>
        <v>62</v>
      </c>
      <c r="V2043">
        <f>SUM(C2043:K2043)</f>
        <v>23.225000000000001</v>
      </c>
    </row>
    <row r="2044" spans="1:22" ht="15.75">
      <c r="A2044" s="28" t="s">
        <v>4086</v>
      </c>
      <c r="B2044" s="28" t="s">
        <v>4087</v>
      </c>
      <c r="C2044" s="23">
        <v>30.13</v>
      </c>
      <c r="D2044" s="23">
        <v>5.71</v>
      </c>
      <c r="E2044" s="23" t="s">
        <v>4682</v>
      </c>
      <c r="F2044" s="23" t="s">
        <v>4683</v>
      </c>
      <c r="G2044" s="23" t="s">
        <v>4682</v>
      </c>
      <c r="H2044" s="23">
        <v>1</v>
      </c>
      <c r="I2044" s="23" t="s">
        <v>4682</v>
      </c>
      <c r="J2044" s="23" t="s">
        <v>4729</v>
      </c>
      <c r="K2044" s="23" t="s">
        <v>4736</v>
      </c>
      <c r="L2044">
        <v>1977</v>
      </c>
      <c r="M2044" s="15" t="s">
        <v>4707</v>
      </c>
      <c r="N2044">
        <v>14</v>
      </c>
      <c r="O2044">
        <v>2</v>
      </c>
      <c r="P2044" s="21">
        <f>DATEVALUE(N2044&amp;"-"&amp;M2044&amp;"-"&amp;L2044)</f>
        <v>28412</v>
      </c>
      <c r="Q2044" s="22">
        <v>31736.7</v>
      </c>
      <c r="R2044" s="23" t="s">
        <v>4697</v>
      </c>
      <c r="S2044" s="23" t="s">
        <v>4697</v>
      </c>
      <c r="T2044" s="23" t="s">
        <v>4704</v>
      </c>
      <c r="U2044" s="23">
        <f>DATEDIF(P2044, DATE(2023, 6, 8), "Y")</f>
        <v>45</v>
      </c>
      <c r="V2044">
        <f>SUM(C2044:K2044)</f>
        <v>36.839999999999996</v>
      </c>
    </row>
    <row r="2045" spans="1:22" ht="15.75">
      <c r="A2045" s="28" t="s">
        <v>4088</v>
      </c>
      <c r="B2045" s="28" t="s">
        <v>4089</v>
      </c>
      <c r="C2045" s="23">
        <v>25.44</v>
      </c>
      <c r="D2045" s="23">
        <v>6.04</v>
      </c>
      <c r="E2045" s="23" t="s">
        <v>4683</v>
      </c>
      <c r="F2045" s="23" t="s">
        <v>4682</v>
      </c>
      <c r="G2045" s="23" t="s">
        <v>4684</v>
      </c>
      <c r="H2045" s="23">
        <v>1</v>
      </c>
      <c r="I2045" s="23" t="s">
        <v>4682</v>
      </c>
      <c r="J2045" s="23" t="s">
        <v>4730</v>
      </c>
      <c r="K2045" s="23" t="s">
        <v>4736</v>
      </c>
      <c r="L2045">
        <v>1984</v>
      </c>
      <c r="M2045" s="15" t="s">
        <v>4703</v>
      </c>
      <c r="N2045">
        <v>10</v>
      </c>
      <c r="O2045">
        <v>3</v>
      </c>
      <c r="P2045" s="21">
        <f>DATEVALUE(N2045&amp;"-"&amp;M2045&amp;"-"&amp;L2045)</f>
        <v>30935</v>
      </c>
      <c r="Q2045" s="22">
        <v>31743.919999999998</v>
      </c>
      <c r="R2045" s="23" t="s">
        <v>4697</v>
      </c>
      <c r="S2045" s="23" t="s">
        <v>4701</v>
      </c>
      <c r="T2045" s="23" t="s">
        <v>4708</v>
      </c>
      <c r="U2045" s="23">
        <f>DATEDIF(P2045, DATE(2023, 6, 8), "Y")</f>
        <v>38</v>
      </c>
      <c r="V2045">
        <f>SUM(C2045:K2045)</f>
        <v>32.480000000000004</v>
      </c>
    </row>
    <row r="2046" spans="1:22" ht="15.75">
      <c r="A2046" s="28" t="s">
        <v>4090</v>
      </c>
      <c r="B2046" s="28" t="s">
        <v>4091</v>
      </c>
      <c r="C2046" s="23">
        <v>39.805</v>
      </c>
      <c r="D2046" s="23">
        <v>4.38</v>
      </c>
      <c r="E2046" s="23" t="s">
        <v>4682</v>
      </c>
      <c r="F2046" s="23" t="s">
        <v>4683</v>
      </c>
      <c r="G2046" s="23" t="s">
        <v>4682</v>
      </c>
      <c r="H2046" s="23">
        <v>1</v>
      </c>
      <c r="I2046" s="23" t="s">
        <v>4682</v>
      </c>
      <c r="J2046" s="23" t="s">
        <v>4729</v>
      </c>
      <c r="K2046" s="23" t="s">
        <v>4737</v>
      </c>
      <c r="L2046">
        <v>1975</v>
      </c>
      <c r="M2046" s="15" t="s">
        <v>4703</v>
      </c>
      <c r="N2046">
        <v>25</v>
      </c>
      <c r="O2046">
        <v>1</v>
      </c>
      <c r="P2046" s="21">
        <f>DATEVALUE(N2046&amp;"-"&amp;M2046&amp;"-"&amp;L2046)</f>
        <v>27662</v>
      </c>
      <c r="Q2046" s="22">
        <v>31897.1</v>
      </c>
      <c r="R2046" s="23" t="s">
        <v>4697</v>
      </c>
      <c r="S2046" s="23" t="s">
        <v>4698</v>
      </c>
      <c r="T2046" s="23" t="s">
        <v>4708</v>
      </c>
      <c r="U2046" s="23">
        <f>DATEDIF(P2046, DATE(2023, 6, 8), "Y")</f>
        <v>47</v>
      </c>
      <c r="V2046">
        <f>SUM(C2046:K2046)</f>
        <v>45.185000000000002</v>
      </c>
    </row>
    <row r="2047" spans="1:22" ht="15.75">
      <c r="A2047" s="28" t="s">
        <v>4092</v>
      </c>
      <c r="B2047" s="28" t="s">
        <v>4093</v>
      </c>
      <c r="C2047" s="23">
        <v>30.4</v>
      </c>
      <c r="D2047" s="23">
        <v>5.56</v>
      </c>
      <c r="E2047" s="23" t="s">
        <v>4683</v>
      </c>
      <c r="F2047" s="23" t="s">
        <v>4683</v>
      </c>
      <c r="G2047" s="23" t="s">
        <v>4682</v>
      </c>
      <c r="H2047" s="23">
        <v>1</v>
      </c>
      <c r="I2047" s="23" t="s">
        <v>4682</v>
      </c>
      <c r="J2047" s="23" t="s">
        <v>4729</v>
      </c>
      <c r="K2047" s="23" t="s">
        <v>4737</v>
      </c>
      <c r="L2047">
        <v>1972</v>
      </c>
      <c r="M2047" s="15" t="s">
        <v>4703</v>
      </c>
      <c r="N2047">
        <v>21</v>
      </c>
      <c r="O2047">
        <v>0</v>
      </c>
      <c r="P2047" s="21">
        <f>DATEVALUE(N2047&amp;"-"&amp;M2047&amp;"-"&amp;L2047)</f>
        <v>26563</v>
      </c>
      <c r="Q2047" s="22">
        <v>31980.89</v>
      </c>
      <c r="R2047" s="23" t="s">
        <v>4697</v>
      </c>
      <c r="S2047" s="23" t="s">
        <v>4701</v>
      </c>
      <c r="T2047" s="23" t="s">
        <v>4708</v>
      </c>
      <c r="U2047" s="23">
        <f>DATEDIF(P2047, DATE(2023, 6, 8), "Y")</f>
        <v>50</v>
      </c>
      <c r="V2047">
        <f>SUM(C2047:K2047)</f>
        <v>36.96</v>
      </c>
    </row>
    <row r="2048" spans="1:22" ht="15.75">
      <c r="A2048" s="28" t="s">
        <v>4094</v>
      </c>
      <c r="B2048" s="28" t="s">
        <v>4095</v>
      </c>
      <c r="C2048" s="23">
        <v>23.18</v>
      </c>
      <c r="D2048" s="23">
        <v>4.24</v>
      </c>
      <c r="E2048" s="23" t="s">
        <v>4682</v>
      </c>
      <c r="F2048" s="23" t="s">
        <v>4683</v>
      </c>
      <c r="G2048" s="23" t="s">
        <v>4682</v>
      </c>
      <c r="H2048" s="23">
        <v>1</v>
      </c>
      <c r="I2048" s="23" t="s">
        <v>4682</v>
      </c>
      <c r="J2048" s="23" t="s">
        <v>4728</v>
      </c>
      <c r="K2048" s="23" t="s">
        <v>4737</v>
      </c>
      <c r="L2048">
        <v>1993</v>
      </c>
      <c r="M2048" s="15" t="s">
        <v>4703</v>
      </c>
      <c r="N2048">
        <v>13</v>
      </c>
      <c r="O2048">
        <v>0</v>
      </c>
      <c r="P2048" s="21">
        <f>DATEVALUE(N2048&amp;"-"&amp;M2048&amp;"-"&amp;L2048)</f>
        <v>34225</v>
      </c>
      <c r="Q2048" s="22">
        <v>32086.21</v>
      </c>
      <c r="R2048" s="23" t="s">
        <v>4701</v>
      </c>
      <c r="S2048" s="23" t="s">
        <v>4698</v>
      </c>
      <c r="T2048" s="23" t="s">
        <v>4708</v>
      </c>
      <c r="U2048" s="23">
        <f>DATEDIF(P2048, DATE(2023, 6, 8), "Y")</f>
        <v>29</v>
      </c>
      <c r="V2048">
        <f>SUM(C2048:K2048)</f>
        <v>28.42</v>
      </c>
    </row>
    <row r="2049" spans="1:22" ht="15.75">
      <c r="A2049" s="28" t="s">
        <v>4096</v>
      </c>
      <c r="B2049" s="28" t="s">
        <v>4097</v>
      </c>
      <c r="C2049" s="23">
        <v>39.615000000000002</v>
      </c>
      <c r="D2049" s="23">
        <v>6.32</v>
      </c>
      <c r="E2049" s="23" t="s">
        <v>4682</v>
      </c>
      <c r="F2049" s="23" t="s">
        <v>4682</v>
      </c>
      <c r="G2049" s="23" t="s">
        <v>4684</v>
      </c>
      <c r="H2049" s="23">
        <v>1</v>
      </c>
      <c r="I2049" s="23" t="s">
        <v>4682</v>
      </c>
      <c r="J2049" s="23" t="s">
        <v>4729</v>
      </c>
      <c r="K2049" s="23" t="s">
        <v>4736</v>
      </c>
      <c r="L2049">
        <v>1978</v>
      </c>
      <c r="M2049" s="15" t="s">
        <v>4700</v>
      </c>
      <c r="N2049">
        <v>10</v>
      </c>
      <c r="O2049">
        <v>2</v>
      </c>
      <c r="P2049" s="21">
        <f>DATEVALUE(N2049&amp;"-"&amp;M2049&amp;"-"&amp;L2049)</f>
        <v>28804</v>
      </c>
      <c r="Q2049" s="22">
        <v>32108.66</v>
      </c>
      <c r="R2049" s="23" t="s">
        <v>4701</v>
      </c>
      <c r="S2049" s="23" t="s">
        <v>4698</v>
      </c>
      <c r="T2049" s="23" t="s">
        <v>4718</v>
      </c>
      <c r="U2049" s="23">
        <f>DATEDIF(P2049, DATE(2023, 6, 8), "Y")</f>
        <v>44</v>
      </c>
      <c r="V2049">
        <f>SUM(C2049:K2049)</f>
        <v>46.935000000000002</v>
      </c>
    </row>
    <row r="2050" spans="1:22" ht="15.75">
      <c r="A2050" s="28" t="s">
        <v>4098</v>
      </c>
      <c r="B2050" s="28" t="s">
        <v>4099</v>
      </c>
      <c r="C2050" s="23">
        <v>30.59</v>
      </c>
      <c r="D2050" s="23">
        <v>6.3</v>
      </c>
      <c r="E2050" s="23" t="s">
        <v>4683</v>
      </c>
      <c r="F2050" s="23" t="s">
        <v>4682</v>
      </c>
      <c r="G2050" s="23" t="s">
        <v>4684</v>
      </c>
      <c r="H2050" s="23">
        <v>1</v>
      </c>
      <c r="I2050" s="23" t="s">
        <v>4682</v>
      </c>
      <c r="J2050" s="23" t="s">
        <v>4729</v>
      </c>
      <c r="K2050" s="23" t="s">
        <v>4736</v>
      </c>
      <c r="L2050">
        <v>1969</v>
      </c>
      <c r="M2050" s="15" t="s">
        <v>4703</v>
      </c>
      <c r="N2050">
        <v>11</v>
      </c>
      <c r="O2050">
        <v>0</v>
      </c>
      <c r="P2050" s="21">
        <f>DATEVALUE(N2050&amp;"-"&amp;M2050&amp;"-"&amp;L2050)</f>
        <v>25457</v>
      </c>
      <c r="Q2050" s="22">
        <v>32192.76</v>
      </c>
      <c r="R2050" s="23" t="s">
        <v>4701</v>
      </c>
      <c r="S2050" s="23" t="s">
        <v>4697</v>
      </c>
      <c r="T2050" s="23" t="s">
        <v>4708</v>
      </c>
      <c r="U2050" s="23">
        <f>DATEDIF(P2050, DATE(2023, 6, 8), "Y")</f>
        <v>53</v>
      </c>
      <c r="V2050">
        <f>SUM(C2050:K2050)</f>
        <v>37.89</v>
      </c>
    </row>
    <row r="2051" spans="1:22" ht="15.75">
      <c r="A2051" s="28" t="s">
        <v>4100</v>
      </c>
      <c r="B2051" s="28" t="s">
        <v>4101</v>
      </c>
      <c r="C2051" s="23">
        <v>16.72</v>
      </c>
      <c r="D2051" s="23">
        <v>4.38</v>
      </c>
      <c r="E2051" s="23" t="s">
        <v>4683</v>
      </c>
      <c r="F2051" s="23" t="s">
        <v>4682</v>
      </c>
      <c r="G2051" s="23" t="s">
        <v>4682</v>
      </c>
      <c r="H2051" s="23">
        <v>1</v>
      </c>
      <c r="I2051" s="23" t="s">
        <v>4682</v>
      </c>
      <c r="J2051" s="23" t="s">
        <v>4731</v>
      </c>
      <c r="K2051" s="23" t="s">
        <v>4737</v>
      </c>
      <c r="L2051">
        <v>1994</v>
      </c>
      <c r="M2051" s="15" t="s">
        <v>4703</v>
      </c>
      <c r="N2051">
        <v>8</v>
      </c>
      <c r="O2051">
        <v>0</v>
      </c>
      <c r="P2051" s="21">
        <f>DATEVALUE(N2051&amp;"-"&amp;M2051&amp;"-"&amp;L2051)</f>
        <v>34585</v>
      </c>
      <c r="Q2051" s="22">
        <v>32222.81</v>
      </c>
      <c r="R2051" s="23" t="s">
        <v>4697</v>
      </c>
      <c r="S2051" s="23" t="s">
        <v>4701</v>
      </c>
      <c r="T2051" s="23" t="s">
        <v>4708</v>
      </c>
      <c r="U2051" s="23">
        <f>DATEDIF(P2051, DATE(2023, 6, 8), "Y")</f>
        <v>28</v>
      </c>
      <c r="V2051">
        <f>SUM(C2051:K2051)</f>
        <v>22.099999999999998</v>
      </c>
    </row>
    <row r="2052" spans="1:22" ht="15.75">
      <c r="A2052" s="28" t="s">
        <v>4102</v>
      </c>
      <c r="B2052" s="28" t="s">
        <v>4103</v>
      </c>
      <c r="C2052" s="23">
        <v>26.22</v>
      </c>
      <c r="D2052" s="23">
        <v>4.6500000000000004</v>
      </c>
      <c r="E2052" s="23" t="s">
        <v>4683</v>
      </c>
      <c r="F2052" s="23" t="s">
        <v>4682</v>
      </c>
      <c r="G2052" s="23" t="s">
        <v>4684</v>
      </c>
      <c r="H2052" s="23">
        <v>1</v>
      </c>
      <c r="I2052" s="23" t="s">
        <v>4682</v>
      </c>
      <c r="J2052" s="23" t="s">
        <v>4730</v>
      </c>
      <c r="K2052" s="23" t="s">
        <v>4737</v>
      </c>
      <c r="L2052">
        <v>1975</v>
      </c>
      <c r="M2052" s="15" t="s">
        <v>4705</v>
      </c>
      <c r="N2052">
        <v>17</v>
      </c>
      <c r="O2052">
        <v>1</v>
      </c>
      <c r="P2052" s="21">
        <f>DATEVALUE(N2052&amp;"-"&amp;M2052&amp;"-"&amp;L2052)</f>
        <v>27745</v>
      </c>
      <c r="Q2052" s="22">
        <v>32259.96</v>
      </c>
      <c r="R2052" s="23" t="s">
        <v>4697</v>
      </c>
      <c r="S2052" s="23" t="s">
        <v>4698</v>
      </c>
      <c r="T2052" s="23" t="s">
        <v>4704</v>
      </c>
      <c r="U2052" s="23">
        <f>DATEDIF(P2052, DATE(2023, 6, 8), "Y")</f>
        <v>47</v>
      </c>
      <c r="V2052">
        <f>SUM(C2052:K2052)</f>
        <v>31.869999999999997</v>
      </c>
    </row>
    <row r="2053" spans="1:22" ht="15.75">
      <c r="A2053" s="28" t="s">
        <v>4104</v>
      </c>
      <c r="B2053" s="28" t="s">
        <v>4105</v>
      </c>
      <c r="C2053" s="23">
        <v>31.824999999999999</v>
      </c>
      <c r="D2053" s="23">
        <v>4.7</v>
      </c>
      <c r="E2053" s="23" t="s">
        <v>4682</v>
      </c>
      <c r="F2053" s="23" t="s">
        <v>4682</v>
      </c>
      <c r="G2053" s="23" t="s">
        <v>4684</v>
      </c>
      <c r="H2053" s="23">
        <v>1</v>
      </c>
      <c r="I2053" s="23" t="s">
        <v>4682</v>
      </c>
      <c r="J2053" s="23" t="s">
        <v>4729</v>
      </c>
      <c r="K2053" s="23" t="s">
        <v>4737</v>
      </c>
      <c r="L2053">
        <v>1986</v>
      </c>
      <c r="M2053" s="15" t="s">
        <v>4705</v>
      </c>
      <c r="N2053">
        <v>2</v>
      </c>
      <c r="O2053">
        <v>3</v>
      </c>
      <c r="P2053" s="21">
        <f>DATEVALUE(N2053&amp;"-"&amp;M2053&amp;"-"&amp;L2053)</f>
        <v>31748</v>
      </c>
      <c r="Q2053" s="22">
        <v>32288.49</v>
      </c>
      <c r="R2053" s="23" t="s">
        <v>4697</v>
      </c>
      <c r="S2053" s="23" t="s">
        <v>4697</v>
      </c>
      <c r="T2053" s="23" t="s">
        <v>4708</v>
      </c>
      <c r="U2053" s="23">
        <f>DATEDIF(P2053, DATE(2023, 6, 8), "Y")</f>
        <v>36</v>
      </c>
      <c r="V2053">
        <f>SUM(C2053:K2053)</f>
        <v>37.524999999999999</v>
      </c>
    </row>
    <row r="2054" spans="1:22" ht="15.75">
      <c r="A2054" s="28" t="s">
        <v>4106</v>
      </c>
      <c r="B2054" s="28" t="s">
        <v>4107</v>
      </c>
      <c r="C2054" s="23">
        <v>25.745000000000001</v>
      </c>
      <c r="D2054" s="23">
        <v>4.34</v>
      </c>
      <c r="E2054" s="23" t="s">
        <v>4682</v>
      </c>
      <c r="F2054" s="23" t="s">
        <v>4682</v>
      </c>
      <c r="G2054" s="23" t="s">
        <v>4684</v>
      </c>
      <c r="H2054" s="23">
        <v>1</v>
      </c>
      <c r="I2054" s="23" t="s">
        <v>4682</v>
      </c>
      <c r="J2054" s="23" t="s">
        <v>4730</v>
      </c>
      <c r="K2054" s="23" t="s">
        <v>4737</v>
      </c>
      <c r="L2054">
        <v>1972</v>
      </c>
      <c r="M2054" s="15" t="s">
        <v>4707</v>
      </c>
      <c r="N2054">
        <v>19</v>
      </c>
      <c r="O2054">
        <v>0</v>
      </c>
      <c r="P2054" s="21">
        <f>DATEVALUE(N2054&amp;"-"&amp;M2054&amp;"-"&amp;L2054)</f>
        <v>26591</v>
      </c>
      <c r="Q2054" s="22">
        <v>32428.63</v>
      </c>
      <c r="R2054" s="23" t="s">
        <v>4697</v>
      </c>
      <c r="S2054" s="23" t="s">
        <v>4697</v>
      </c>
      <c r="T2054" s="23" t="s">
        <v>4708</v>
      </c>
      <c r="U2054" s="23">
        <f>DATEDIF(P2054, DATE(2023, 6, 8), "Y")</f>
        <v>50</v>
      </c>
      <c r="V2054">
        <f>SUM(C2054:K2054)</f>
        <v>31.085000000000001</v>
      </c>
    </row>
    <row r="2055" spans="1:22" ht="15.75">
      <c r="A2055" s="28" t="s">
        <v>4108</v>
      </c>
      <c r="B2055" s="28" t="s">
        <v>4109</v>
      </c>
      <c r="C2055" s="23">
        <v>24.605</v>
      </c>
      <c r="D2055" s="23">
        <v>5.62</v>
      </c>
      <c r="E2055" s="23" t="s">
        <v>4682</v>
      </c>
      <c r="F2055" s="23" t="s">
        <v>4682</v>
      </c>
      <c r="G2055" s="23" t="s">
        <v>4684</v>
      </c>
      <c r="H2055" s="23">
        <v>1</v>
      </c>
      <c r="I2055" s="23" t="s">
        <v>4682</v>
      </c>
      <c r="J2055" s="23" t="s">
        <v>4728</v>
      </c>
      <c r="K2055" s="23" t="s">
        <v>4737</v>
      </c>
      <c r="L2055">
        <v>1976</v>
      </c>
      <c r="M2055" s="15" t="s">
        <v>4706</v>
      </c>
      <c r="N2055">
        <v>9</v>
      </c>
      <c r="O2055">
        <v>2</v>
      </c>
      <c r="P2055" s="21">
        <f>DATEVALUE(N2055&amp;"-"&amp;M2055&amp;"-"&amp;L2055)</f>
        <v>27981</v>
      </c>
      <c r="Q2055" s="22">
        <v>32430.22</v>
      </c>
      <c r="R2055" s="23" t="s">
        <v>4697</v>
      </c>
      <c r="S2055" s="23" t="s">
        <v>4698</v>
      </c>
      <c r="T2055" s="23" t="s">
        <v>4708</v>
      </c>
      <c r="U2055" s="23">
        <f>DATEDIF(P2055, DATE(2023, 6, 8), "Y")</f>
        <v>46</v>
      </c>
      <c r="V2055">
        <f>SUM(C2055:K2055)</f>
        <v>31.225000000000001</v>
      </c>
    </row>
    <row r="2056" spans="1:22" ht="15.75">
      <c r="A2056" s="28" t="s">
        <v>4110</v>
      </c>
      <c r="B2056" s="28" t="s">
        <v>4111</v>
      </c>
      <c r="C2056" s="23">
        <v>24.51</v>
      </c>
      <c r="D2056" s="23">
        <v>4.24</v>
      </c>
      <c r="E2056" s="23" t="s">
        <v>4682</v>
      </c>
      <c r="F2056" s="23" t="s">
        <v>4682</v>
      </c>
      <c r="G2056" s="23" t="s">
        <v>4684</v>
      </c>
      <c r="H2056" s="23">
        <v>1</v>
      </c>
      <c r="I2056" s="23" t="s">
        <v>4682</v>
      </c>
      <c r="J2056" s="23" t="s">
        <v>4728</v>
      </c>
      <c r="K2056" s="23" t="s">
        <v>4737</v>
      </c>
      <c r="L2056">
        <v>1981</v>
      </c>
      <c r="M2056" s="15" t="s">
        <v>4703</v>
      </c>
      <c r="N2056">
        <v>27</v>
      </c>
      <c r="O2056">
        <v>1</v>
      </c>
      <c r="P2056" s="21">
        <f>DATEVALUE(N2056&amp;"-"&amp;M2056&amp;"-"&amp;L2056)</f>
        <v>29856</v>
      </c>
      <c r="Q2056" s="22">
        <v>32462.35</v>
      </c>
      <c r="R2056" s="23" t="s">
        <v>4697</v>
      </c>
      <c r="S2056" s="23" t="s">
        <v>4697</v>
      </c>
      <c r="T2056" s="23" t="s">
        <v>4708</v>
      </c>
      <c r="U2056" s="23">
        <f>DATEDIF(P2056, DATE(2023, 6, 8), "Y")</f>
        <v>41</v>
      </c>
      <c r="V2056">
        <f>SUM(C2056:K2056)</f>
        <v>29.75</v>
      </c>
    </row>
    <row r="2057" spans="1:22" ht="15.75">
      <c r="A2057" s="28" t="s">
        <v>4112</v>
      </c>
      <c r="B2057" s="28" t="s">
        <v>4113</v>
      </c>
      <c r="C2057" s="23">
        <v>31.065000000000001</v>
      </c>
      <c r="D2057" s="23">
        <v>4.57</v>
      </c>
      <c r="E2057" s="23" t="s">
        <v>4683</v>
      </c>
      <c r="F2057" s="23" t="s">
        <v>4682</v>
      </c>
      <c r="G2057" s="23" t="s">
        <v>4682</v>
      </c>
      <c r="H2057" s="23">
        <v>0</v>
      </c>
      <c r="I2057" s="23" t="s">
        <v>4682</v>
      </c>
      <c r="J2057" s="23" t="s">
        <v>4729</v>
      </c>
      <c r="K2057" s="23" t="s">
        <v>4737</v>
      </c>
      <c r="L2057">
        <v>1976</v>
      </c>
      <c r="M2057" s="15" t="s">
        <v>4703</v>
      </c>
      <c r="N2057">
        <v>19</v>
      </c>
      <c r="O2057">
        <v>2</v>
      </c>
      <c r="P2057" s="21">
        <f>DATEVALUE(N2057&amp;"-"&amp;M2057&amp;"-"&amp;L2057)</f>
        <v>28022</v>
      </c>
      <c r="Q2057" s="22">
        <v>32485.46</v>
      </c>
      <c r="R2057" s="23" t="s">
        <v>4697</v>
      </c>
      <c r="S2057" s="23" t="s">
        <v>4701</v>
      </c>
      <c r="T2057" s="23" t="s">
        <v>4708</v>
      </c>
      <c r="U2057" s="23">
        <f>DATEDIF(P2057, DATE(2023, 6, 8), "Y")</f>
        <v>46</v>
      </c>
      <c r="V2057">
        <f>SUM(C2057:K2057)</f>
        <v>35.635000000000005</v>
      </c>
    </row>
    <row r="2058" spans="1:22" ht="15.75">
      <c r="A2058" s="28" t="s">
        <v>4114</v>
      </c>
      <c r="B2058" s="28" t="s">
        <v>4115</v>
      </c>
      <c r="C2058" s="23">
        <v>28.12</v>
      </c>
      <c r="D2058" s="23">
        <v>5.05</v>
      </c>
      <c r="E2058" s="23" t="s">
        <v>4682</v>
      </c>
      <c r="F2058" s="23" t="s">
        <v>4682</v>
      </c>
      <c r="G2058" s="23" t="s">
        <v>4682</v>
      </c>
      <c r="H2058" s="23">
        <v>0</v>
      </c>
      <c r="I2058" s="23" t="s">
        <v>4682</v>
      </c>
      <c r="J2058" s="23" t="s">
        <v>4730</v>
      </c>
      <c r="K2058" s="23" t="s">
        <v>4737</v>
      </c>
      <c r="L2058">
        <v>2003</v>
      </c>
      <c r="M2058" s="15" t="s">
        <v>4707</v>
      </c>
      <c r="N2058">
        <v>8</v>
      </c>
      <c r="O2058">
        <v>0</v>
      </c>
      <c r="P2058" s="21">
        <f>DATEVALUE(N2058&amp;"-"&amp;M2058&amp;"-"&amp;L2058)</f>
        <v>37902</v>
      </c>
      <c r="Q2058" s="22">
        <v>32548.34</v>
      </c>
      <c r="R2058" s="23" t="s">
        <v>4701</v>
      </c>
      <c r="S2058" s="23" t="s">
        <v>4697</v>
      </c>
      <c r="T2058" s="23" t="s">
        <v>4699</v>
      </c>
      <c r="U2058" s="23">
        <f>DATEDIF(P2058, DATE(2023, 6, 8), "Y")</f>
        <v>19</v>
      </c>
      <c r="V2058">
        <f>SUM(C2058:K2058)</f>
        <v>33.17</v>
      </c>
    </row>
    <row r="2059" spans="1:22" ht="15.75">
      <c r="A2059" s="28" t="s">
        <v>4116</v>
      </c>
      <c r="B2059" s="28" t="s">
        <v>4117</v>
      </c>
      <c r="C2059" s="23">
        <v>38.06</v>
      </c>
      <c r="D2059" s="23">
        <v>6.16</v>
      </c>
      <c r="E2059" s="23" t="s">
        <v>4682</v>
      </c>
      <c r="F2059" s="23" t="s">
        <v>4682</v>
      </c>
      <c r="G2059" s="23" t="s">
        <v>4682</v>
      </c>
      <c r="H2059" s="23">
        <v>0</v>
      </c>
      <c r="I2059" s="23" t="s">
        <v>4682</v>
      </c>
      <c r="J2059" s="23" t="s">
        <v>4729</v>
      </c>
      <c r="K2059" s="23" t="s">
        <v>4736</v>
      </c>
      <c r="L2059">
        <v>1990</v>
      </c>
      <c r="M2059" s="15" t="s">
        <v>4696</v>
      </c>
      <c r="N2059">
        <v>13</v>
      </c>
      <c r="O2059">
        <v>3</v>
      </c>
      <c r="P2059" s="21">
        <f>DATEVALUE(N2059&amp;"-"&amp;M2059&amp;"-"&amp;L2059)</f>
        <v>33067</v>
      </c>
      <c r="Q2059" s="22">
        <v>32672.11</v>
      </c>
      <c r="R2059" s="23" t="s">
        <v>4701</v>
      </c>
      <c r="S2059" s="23" t="s">
        <v>4701</v>
      </c>
      <c r="T2059" s="23" t="s">
        <v>4708</v>
      </c>
      <c r="U2059" s="23">
        <f>DATEDIF(P2059, DATE(2023, 6, 8), "Y")</f>
        <v>32</v>
      </c>
      <c r="V2059">
        <f>SUM(C2059:K2059)</f>
        <v>44.22</v>
      </c>
    </row>
    <row r="2060" spans="1:22" ht="15.75">
      <c r="A2060" s="28" t="s">
        <v>4118</v>
      </c>
      <c r="B2060" s="28" t="s">
        <v>4119</v>
      </c>
      <c r="C2060" s="23">
        <v>24.96</v>
      </c>
      <c r="D2060" s="23">
        <v>4.57</v>
      </c>
      <c r="E2060" s="23" t="s">
        <v>4682</v>
      </c>
      <c r="F2060" s="23" t="s">
        <v>4682</v>
      </c>
      <c r="G2060" s="23" t="s">
        <v>4682</v>
      </c>
      <c r="H2060" s="23">
        <v>0</v>
      </c>
      <c r="I2060" s="23" t="s">
        <v>4682</v>
      </c>
      <c r="J2060" s="23" t="s">
        <v>4730</v>
      </c>
      <c r="K2060" s="23" t="s">
        <v>4737</v>
      </c>
      <c r="L2060">
        <v>1968</v>
      </c>
      <c r="M2060" s="15" t="s">
        <v>4700</v>
      </c>
      <c r="N2060">
        <v>1</v>
      </c>
      <c r="O2060">
        <v>0</v>
      </c>
      <c r="P2060" s="21">
        <f>DATEVALUE(N2060&amp;"-"&amp;M2060&amp;"-"&amp;L2060)</f>
        <v>25143</v>
      </c>
      <c r="Q2060" s="22">
        <v>32686.080000000002</v>
      </c>
      <c r="R2060" s="23" t="s">
        <v>4697</v>
      </c>
      <c r="S2060" s="23" t="s">
        <v>4698</v>
      </c>
      <c r="T2060" s="23" t="s">
        <v>4708</v>
      </c>
      <c r="U2060" s="23">
        <f>DATEDIF(P2060, DATE(2023, 6, 8), "Y")</f>
        <v>54</v>
      </c>
      <c r="V2060">
        <f>SUM(C2060:K2060)</f>
        <v>29.53</v>
      </c>
    </row>
    <row r="2061" spans="1:22" ht="15.75">
      <c r="A2061" s="28" t="s">
        <v>4120</v>
      </c>
      <c r="B2061" s="28" t="s">
        <v>4121</v>
      </c>
      <c r="C2061" s="23">
        <v>17.670000000000002</v>
      </c>
      <c r="D2061" s="23">
        <v>5.53</v>
      </c>
      <c r="E2061" s="23" t="s">
        <v>4683</v>
      </c>
      <c r="F2061" s="23" t="s">
        <v>4682</v>
      </c>
      <c r="G2061" s="23" t="s">
        <v>4682</v>
      </c>
      <c r="H2061" s="23">
        <v>0</v>
      </c>
      <c r="I2061" s="23" t="s">
        <v>4682</v>
      </c>
      <c r="J2061" s="23" t="s">
        <v>4731</v>
      </c>
      <c r="K2061" s="23" t="s">
        <v>4737</v>
      </c>
      <c r="L2061">
        <v>1990</v>
      </c>
      <c r="M2061" s="15" t="s">
        <v>4703</v>
      </c>
      <c r="N2061">
        <v>30</v>
      </c>
      <c r="O2061">
        <v>3</v>
      </c>
      <c r="P2061" s="21">
        <f>DATEVALUE(N2061&amp;"-"&amp;M2061&amp;"-"&amp;L2061)</f>
        <v>33146</v>
      </c>
      <c r="Q2061" s="22">
        <v>32716.2</v>
      </c>
      <c r="R2061" s="23" t="s">
        <v>4701</v>
      </c>
      <c r="S2061" s="23" t="s">
        <v>4697</v>
      </c>
      <c r="T2061" s="23" t="s">
        <v>4708</v>
      </c>
      <c r="U2061" s="23">
        <f>DATEDIF(P2061, DATE(2023, 6, 8), "Y")</f>
        <v>32</v>
      </c>
      <c r="V2061">
        <f>SUM(C2061:K2061)</f>
        <v>23.200000000000003</v>
      </c>
    </row>
    <row r="2062" spans="1:22" ht="15.75">
      <c r="A2062" s="28" t="s">
        <v>4122</v>
      </c>
      <c r="B2062" s="28" t="s">
        <v>4123</v>
      </c>
      <c r="C2062" s="23">
        <v>31.35</v>
      </c>
      <c r="D2062" s="23">
        <v>5.84</v>
      </c>
      <c r="E2062" s="23" t="s">
        <v>4682</v>
      </c>
      <c r="F2062" s="23" t="s">
        <v>4683</v>
      </c>
      <c r="G2062" s="23" t="s">
        <v>4682</v>
      </c>
      <c r="H2062" s="23">
        <v>1</v>
      </c>
      <c r="I2062" s="23" t="s">
        <v>4682</v>
      </c>
      <c r="J2062" s="23" t="s">
        <v>4729</v>
      </c>
      <c r="K2062" s="23" t="s">
        <v>4736</v>
      </c>
      <c r="L2062">
        <v>1990</v>
      </c>
      <c r="M2062" s="15" t="s">
        <v>4696</v>
      </c>
      <c r="N2062">
        <v>9</v>
      </c>
      <c r="O2062">
        <v>2</v>
      </c>
      <c r="P2062" s="21">
        <f>DATEVALUE(N2062&amp;"-"&amp;M2062&amp;"-"&amp;L2062)</f>
        <v>33063</v>
      </c>
      <c r="Q2062" s="22">
        <v>32734.19</v>
      </c>
      <c r="R2062" s="23" t="s">
        <v>4697</v>
      </c>
      <c r="S2062" s="23" t="s">
        <v>4701</v>
      </c>
      <c r="T2062" s="23" t="s">
        <v>4704</v>
      </c>
      <c r="U2062" s="23">
        <f>DATEDIF(P2062, DATE(2023, 6, 8), "Y")</f>
        <v>32</v>
      </c>
      <c r="V2062">
        <f>SUM(C2062:K2062)</f>
        <v>38.19</v>
      </c>
    </row>
    <row r="2063" spans="1:22" ht="15.75">
      <c r="A2063" s="28" t="s">
        <v>4124</v>
      </c>
      <c r="B2063" s="28" t="s">
        <v>4125</v>
      </c>
      <c r="C2063" s="23">
        <v>28.31</v>
      </c>
      <c r="D2063" s="23">
        <v>6.41</v>
      </c>
      <c r="E2063" s="23" t="s">
        <v>4682</v>
      </c>
      <c r="F2063" s="23" t="s">
        <v>4683</v>
      </c>
      <c r="G2063" s="23" t="s">
        <v>4682</v>
      </c>
      <c r="H2063" s="23">
        <v>1</v>
      </c>
      <c r="I2063" s="23" t="s">
        <v>4682</v>
      </c>
      <c r="J2063" s="23" t="s">
        <v>4730</v>
      </c>
      <c r="K2063" s="23" t="s">
        <v>4735</v>
      </c>
      <c r="L2063">
        <v>1974</v>
      </c>
      <c r="M2063" s="15" t="s">
        <v>4705</v>
      </c>
      <c r="N2063">
        <v>6</v>
      </c>
      <c r="O2063">
        <v>0</v>
      </c>
      <c r="P2063" s="21">
        <f>DATEVALUE(N2063&amp;"-"&amp;M2063&amp;"-"&amp;L2063)</f>
        <v>27369</v>
      </c>
      <c r="Q2063" s="22">
        <v>32760.48</v>
      </c>
      <c r="R2063" s="23" t="s">
        <v>4701</v>
      </c>
      <c r="S2063" s="23" t="s">
        <v>4701</v>
      </c>
      <c r="T2063" s="23" t="s">
        <v>4708</v>
      </c>
      <c r="U2063" s="23">
        <f>DATEDIF(P2063, DATE(2023, 6, 8), "Y")</f>
        <v>48</v>
      </c>
      <c r="V2063">
        <f>SUM(C2063:K2063)</f>
        <v>35.72</v>
      </c>
    </row>
    <row r="2064" spans="1:22" ht="15.75">
      <c r="A2064" s="28" t="s">
        <v>4126</v>
      </c>
      <c r="B2064" s="28" t="s">
        <v>4127</v>
      </c>
      <c r="C2064" s="23">
        <v>30.3</v>
      </c>
      <c r="D2064" s="23">
        <v>4.7300000000000004</v>
      </c>
      <c r="E2064" s="23" t="s">
        <v>4683</v>
      </c>
      <c r="F2064" s="23" t="s">
        <v>4682</v>
      </c>
      <c r="G2064" s="23" t="s">
        <v>4684</v>
      </c>
      <c r="H2064" s="23">
        <v>1</v>
      </c>
      <c r="I2064" s="23" t="s">
        <v>4682</v>
      </c>
      <c r="J2064" s="23" t="s">
        <v>4729</v>
      </c>
      <c r="K2064" s="23" t="s">
        <v>4737</v>
      </c>
      <c r="L2064">
        <v>1972</v>
      </c>
      <c r="M2064" s="15" t="s">
        <v>4700</v>
      </c>
      <c r="N2064">
        <v>7</v>
      </c>
      <c r="O2064">
        <v>0</v>
      </c>
      <c r="P2064" s="21">
        <f>DATEVALUE(N2064&amp;"-"&amp;M2064&amp;"-"&amp;L2064)</f>
        <v>26610</v>
      </c>
      <c r="Q2064" s="22">
        <v>32765.33</v>
      </c>
      <c r="R2064" s="23" t="s">
        <v>4697</v>
      </c>
      <c r="S2064" s="23" t="s">
        <v>4697</v>
      </c>
      <c r="T2064" s="23" t="s">
        <v>4704</v>
      </c>
      <c r="U2064" s="23">
        <f>DATEDIF(P2064, DATE(2023, 6, 8), "Y")</f>
        <v>50</v>
      </c>
      <c r="V2064">
        <f>SUM(C2064:K2064)</f>
        <v>36.03</v>
      </c>
    </row>
    <row r="2065" spans="1:22" ht="15.75">
      <c r="A2065" s="28" t="s">
        <v>4128</v>
      </c>
      <c r="B2065" s="28" t="s">
        <v>4129</v>
      </c>
      <c r="C2065" s="23">
        <v>26.4</v>
      </c>
      <c r="D2065" s="23">
        <v>6.22</v>
      </c>
      <c r="E2065" s="23" t="s">
        <v>4683</v>
      </c>
      <c r="F2065" s="23" t="s">
        <v>4682</v>
      </c>
      <c r="G2065" s="23" t="s">
        <v>4682</v>
      </c>
      <c r="H2065" s="23">
        <v>0</v>
      </c>
      <c r="I2065" s="23" t="s">
        <v>4682</v>
      </c>
      <c r="J2065" s="23" t="s">
        <v>4730</v>
      </c>
      <c r="K2065" s="23" t="s">
        <v>4736</v>
      </c>
      <c r="L2065">
        <v>1980</v>
      </c>
      <c r="M2065" s="15" t="s">
        <v>4705</v>
      </c>
      <c r="N2065">
        <v>12</v>
      </c>
      <c r="O2065">
        <v>3</v>
      </c>
      <c r="P2065" s="21">
        <f>DATEVALUE(N2065&amp;"-"&amp;M2065&amp;"-"&amp;L2065)</f>
        <v>29567</v>
      </c>
      <c r="Q2065" s="22">
        <v>32787.46</v>
      </c>
      <c r="R2065" s="23" t="s">
        <v>4701</v>
      </c>
      <c r="S2065" s="23" t="s">
        <v>4698</v>
      </c>
      <c r="T2065" s="23" t="s">
        <v>4704</v>
      </c>
      <c r="U2065" s="23">
        <f>DATEDIF(P2065, DATE(2023, 6, 8), "Y")</f>
        <v>42</v>
      </c>
      <c r="V2065">
        <f>SUM(C2065:K2065)</f>
        <v>32.619999999999997</v>
      </c>
    </row>
    <row r="2066" spans="1:22" ht="15.75">
      <c r="A2066" s="28" t="s">
        <v>4130</v>
      </c>
      <c r="B2066" s="28" t="s">
        <v>4131</v>
      </c>
      <c r="C2066" s="23">
        <v>22.135000000000002</v>
      </c>
      <c r="D2066" s="23">
        <v>4.46</v>
      </c>
      <c r="E2066" s="23" t="s">
        <v>4683</v>
      </c>
      <c r="F2066" s="23" t="s">
        <v>4682</v>
      </c>
      <c r="G2066" s="23" t="s">
        <v>4682</v>
      </c>
      <c r="H2066" s="23">
        <v>0</v>
      </c>
      <c r="I2066" s="23" t="s">
        <v>4682</v>
      </c>
      <c r="J2066" s="23" t="s">
        <v>4728</v>
      </c>
      <c r="K2066" s="23" t="s">
        <v>4737</v>
      </c>
      <c r="L2066">
        <v>1995</v>
      </c>
      <c r="M2066" s="15" t="s">
        <v>4705</v>
      </c>
      <c r="N2066">
        <v>4</v>
      </c>
      <c r="O2066">
        <v>0</v>
      </c>
      <c r="P2066" s="21">
        <f>DATEVALUE(N2066&amp;"-"&amp;M2066&amp;"-"&amp;L2066)</f>
        <v>35037</v>
      </c>
      <c r="Q2066" s="22">
        <v>32827.51</v>
      </c>
      <c r="R2066" s="23" t="s">
        <v>4701</v>
      </c>
      <c r="S2066" s="23" t="s">
        <v>4697</v>
      </c>
      <c r="T2066" s="23" t="s">
        <v>4708</v>
      </c>
      <c r="U2066" s="23">
        <f>DATEDIF(P2066, DATE(2023, 6, 8), "Y")</f>
        <v>27</v>
      </c>
      <c r="V2066">
        <f>SUM(C2066:K2066)</f>
        <v>26.595000000000002</v>
      </c>
    </row>
    <row r="2067" spans="1:22" ht="15.75">
      <c r="A2067" s="28" t="s">
        <v>4132</v>
      </c>
      <c r="B2067" s="28" t="s">
        <v>4133</v>
      </c>
      <c r="C2067" s="23">
        <v>17.399999999999999</v>
      </c>
      <c r="D2067" s="23">
        <v>4.5</v>
      </c>
      <c r="E2067" s="23" t="s">
        <v>4683</v>
      </c>
      <c r="F2067" s="23" t="s">
        <v>4682</v>
      </c>
      <c r="G2067" s="23" t="s">
        <v>4682</v>
      </c>
      <c r="H2067" s="23">
        <v>0</v>
      </c>
      <c r="I2067" s="23" t="s">
        <v>4682</v>
      </c>
      <c r="J2067" s="23" t="s">
        <v>4731</v>
      </c>
      <c r="K2067" s="23" t="s">
        <v>4737</v>
      </c>
      <c r="L2067">
        <v>1981</v>
      </c>
      <c r="M2067" s="15" t="s">
        <v>4700</v>
      </c>
      <c r="N2067">
        <v>17</v>
      </c>
      <c r="O2067">
        <v>1</v>
      </c>
      <c r="P2067" s="21">
        <f>DATEVALUE(N2067&amp;"-"&amp;M2067&amp;"-"&amp;L2067)</f>
        <v>29907</v>
      </c>
      <c r="Q2067" s="22">
        <v>32906.69</v>
      </c>
      <c r="R2067" s="23" t="s">
        <v>4697</v>
      </c>
      <c r="S2067" s="23" t="s">
        <v>4698</v>
      </c>
      <c r="T2067" s="23" t="s">
        <v>4708</v>
      </c>
      <c r="U2067" s="23">
        <f>DATEDIF(P2067, DATE(2023, 6, 8), "Y")</f>
        <v>41</v>
      </c>
      <c r="V2067">
        <f>SUM(C2067:K2067)</f>
        <v>21.9</v>
      </c>
    </row>
    <row r="2068" spans="1:22" ht="15.75">
      <c r="A2068" s="28" t="s">
        <v>4134</v>
      </c>
      <c r="B2068" s="28" t="s">
        <v>4135</v>
      </c>
      <c r="C2068" s="23">
        <v>28.06</v>
      </c>
      <c r="D2068" s="23">
        <v>8.93</v>
      </c>
      <c r="E2068" s="23" t="s">
        <v>4682</v>
      </c>
      <c r="F2068" s="23" t="s">
        <v>4682</v>
      </c>
      <c r="G2068" s="23" t="s">
        <v>4682</v>
      </c>
      <c r="H2068" s="23">
        <v>0</v>
      </c>
      <c r="I2068" s="23" t="s">
        <v>4682</v>
      </c>
      <c r="J2068" s="23" t="s">
        <v>4730</v>
      </c>
      <c r="K2068" s="23" t="s">
        <v>4735</v>
      </c>
      <c r="L2068">
        <v>1971</v>
      </c>
      <c r="M2068" s="15" t="s">
        <v>4706</v>
      </c>
      <c r="N2068">
        <v>24</v>
      </c>
      <c r="O2068">
        <v>0</v>
      </c>
      <c r="P2068" s="21">
        <f>DATEVALUE(N2068&amp;"-"&amp;M2068&amp;"-"&amp;L2068)</f>
        <v>26169</v>
      </c>
      <c r="Q2068" s="22">
        <v>32947.629999999997</v>
      </c>
      <c r="R2068" s="23" t="s">
        <v>4697</v>
      </c>
      <c r="S2068" s="23" t="s">
        <v>4701</v>
      </c>
      <c r="T2068" s="23" t="s">
        <v>4708</v>
      </c>
      <c r="U2068" s="23">
        <f>DATEDIF(P2068, DATE(2023, 6, 8), "Y")</f>
        <v>51</v>
      </c>
      <c r="V2068">
        <f>SUM(C2068:K2068)</f>
        <v>36.989999999999995</v>
      </c>
    </row>
    <row r="2069" spans="1:22" ht="15.75">
      <c r="A2069" s="28" t="s">
        <v>4136</v>
      </c>
      <c r="B2069" s="28" t="s">
        <v>4137</v>
      </c>
      <c r="C2069" s="23">
        <v>31.13</v>
      </c>
      <c r="D2069" s="23">
        <v>11.02</v>
      </c>
      <c r="E2069" s="23" t="s">
        <v>4682</v>
      </c>
      <c r="F2069" s="23" t="s">
        <v>4682</v>
      </c>
      <c r="G2069" s="23" t="s">
        <v>4682</v>
      </c>
      <c r="H2069" s="23">
        <v>0</v>
      </c>
      <c r="I2069" s="23" t="s">
        <v>4682</v>
      </c>
      <c r="J2069" s="23" t="s">
        <v>4729</v>
      </c>
      <c r="K2069" s="23" t="s">
        <v>4735</v>
      </c>
      <c r="L2069">
        <v>1995</v>
      </c>
      <c r="M2069" s="15" t="s">
        <v>4696</v>
      </c>
      <c r="N2069">
        <v>8</v>
      </c>
      <c r="O2069">
        <v>0</v>
      </c>
      <c r="P2069" s="21">
        <f>DATEVALUE(N2069&amp;"-"&amp;M2069&amp;"-"&amp;L2069)</f>
        <v>34888</v>
      </c>
      <c r="Q2069" s="22">
        <v>33017.46</v>
      </c>
      <c r="R2069" s="23" t="s">
        <v>4701</v>
      </c>
      <c r="S2069" s="23" t="s">
        <v>4701</v>
      </c>
      <c r="T2069" s="23" t="s">
        <v>4708</v>
      </c>
      <c r="U2069" s="23">
        <f>DATEDIF(P2069, DATE(2023, 6, 8), "Y")</f>
        <v>27</v>
      </c>
      <c r="V2069">
        <f>SUM(C2069:K2069)</f>
        <v>42.15</v>
      </c>
    </row>
    <row r="2070" spans="1:22" ht="15.75">
      <c r="A2070" s="28" t="s">
        <v>4138</v>
      </c>
      <c r="B2070" s="28" t="s">
        <v>4139</v>
      </c>
      <c r="C2070" s="23">
        <v>18.46</v>
      </c>
      <c r="D2070" s="23">
        <v>5.25</v>
      </c>
      <c r="E2070" s="23" t="s">
        <v>4682</v>
      </c>
      <c r="F2070" s="23" t="s">
        <v>4682</v>
      </c>
      <c r="G2070" s="23" t="s">
        <v>4682</v>
      </c>
      <c r="H2070" s="23">
        <v>0</v>
      </c>
      <c r="I2070" s="23" t="s">
        <v>4682</v>
      </c>
      <c r="J2070" s="23" t="s">
        <v>4731</v>
      </c>
      <c r="K2070" s="23" t="s">
        <v>4737</v>
      </c>
      <c r="L2070">
        <v>1967</v>
      </c>
      <c r="M2070" s="15" t="s">
        <v>4696</v>
      </c>
      <c r="N2070">
        <v>10</v>
      </c>
      <c r="O2070">
        <v>0</v>
      </c>
      <c r="P2070" s="21">
        <f>DATEVALUE(N2070&amp;"-"&amp;M2070&amp;"-"&amp;L2070)</f>
        <v>24663</v>
      </c>
      <c r="Q2070" s="22">
        <v>33025.32</v>
      </c>
      <c r="R2070" s="23" t="s">
        <v>4697</v>
      </c>
      <c r="S2070" s="23" t="s">
        <v>4698</v>
      </c>
      <c r="T2070" s="23" t="s">
        <v>4708</v>
      </c>
      <c r="U2070" s="23">
        <f>DATEDIF(P2070, DATE(2023, 6, 8), "Y")</f>
        <v>55</v>
      </c>
      <c r="V2070">
        <f>SUM(C2070:K2070)</f>
        <v>23.71</v>
      </c>
    </row>
    <row r="2071" spans="1:22" ht="15.75">
      <c r="A2071" s="28" t="s">
        <v>4140</v>
      </c>
      <c r="B2071" s="28" t="s">
        <v>4141</v>
      </c>
      <c r="C2071" s="23">
        <v>17.3</v>
      </c>
      <c r="D2071" s="23">
        <v>4.75</v>
      </c>
      <c r="E2071" s="23" t="s">
        <v>4682</v>
      </c>
      <c r="F2071" s="23" t="s">
        <v>4682</v>
      </c>
      <c r="G2071" s="23" t="s">
        <v>4682</v>
      </c>
      <c r="H2071" s="23">
        <v>0</v>
      </c>
      <c r="I2071" s="23" t="s">
        <v>4682</v>
      </c>
      <c r="J2071" s="23" t="s">
        <v>4731</v>
      </c>
      <c r="K2071" s="23" t="s">
        <v>4737</v>
      </c>
      <c r="L2071">
        <v>1994</v>
      </c>
      <c r="M2071" s="15" t="s">
        <v>4696</v>
      </c>
      <c r="N2071">
        <v>28</v>
      </c>
      <c r="O2071">
        <v>0</v>
      </c>
      <c r="P2071" s="21">
        <f>DATEVALUE(N2071&amp;"-"&amp;M2071&amp;"-"&amp;L2071)</f>
        <v>34543</v>
      </c>
      <c r="Q2071" s="22">
        <v>33057.230000000003</v>
      </c>
      <c r="R2071" s="23" t="s">
        <v>4701</v>
      </c>
      <c r="S2071" s="23" t="s">
        <v>4697</v>
      </c>
      <c r="T2071" s="23" t="s">
        <v>4708</v>
      </c>
      <c r="U2071" s="23">
        <f>DATEDIF(P2071, DATE(2023, 6, 8), "Y")</f>
        <v>28</v>
      </c>
      <c r="V2071">
        <f>SUM(C2071:K2071)</f>
        <v>22.05</v>
      </c>
    </row>
    <row r="2072" spans="1:22" ht="15.75">
      <c r="A2072" s="28" t="s">
        <v>4142</v>
      </c>
      <c r="B2072" s="28" t="s">
        <v>4143</v>
      </c>
      <c r="C2072" s="23">
        <v>35.625</v>
      </c>
      <c r="D2072" s="23">
        <v>4.68</v>
      </c>
      <c r="E2072" s="23" t="s">
        <v>4683</v>
      </c>
      <c r="F2072" s="23" t="s">
        <v>4682</v>
      </c>
      <c r="G2072" s="23" t="s">
        <v>4684</v>
      </c>
      <c r="H2072" s="23">
        <v>1</v>
      </c>
      <c r="I2072" s="23" t="s">
        <v>4682</v>
      </c>
      <c r="J2072" s="23" t="s">
        <v>4729</v>
      </c>
      <c r="K2072" s="23" t="s">
        <v>4737</v>
      </c>
      <c r="L2072">
        <v>1962</v>
      </c>
      <c r="M2072" s="15" t="s">
        <v>4696</v>
      </c>
      <c r="N2072">
        <v>1</v>
      </c>
      <c r="O2072">
        <v>0</v>
      </c>
      <c r="P2072" s="21">
        <f>DATEVALUE(N2072&amp;"-"&amp;M2072&amp;"-"&amp;L2072)</f>
        <v>22828</v>
      </c>
      <c r="Q2072" s="22">
        <v>33074.94</v>
      </c>
      <c r="R2072" s="23" t="s">
        <v>4701</v>
      </c>
      <c r="S2072" s="23" t="s">
        <v>4697</v>
      </c>
      <c r="T2072" s="23" t="s">
        <v>4708</v>
      </c>
      <c r="U2072" s="23">
        <f>DATEDIF(P2072, DATE(2023, 6, 8), "Y")</f>
        <v>60</v>
      </c>
      <c r="V2072">
        <f>SUM(C2072:K2072)</f>
        <v>41.305</v>
      </c>
    </row>
    <row r="2073" spans="1:22" ht="15.75">
      <c r="A2073" s="28" t="s">
        <v>4144</v>
      </c>
      <c r="B2073" s="28" t="s">
        <v>4145</v>
      </c>
      <c r="C2073" s="23">
        <v>20.234999999999999</v>
      </c>
      <c r="D2073" s="23">
        <v>6.17</v>
      </c>
      <c r="E2073" s="23" t="s">
        <v>4683</v>
      </c>
      <c r="F2073" s="23" t="s">
        <v>4683</v>
      </c>
      <c r="G2073" s="23" t="s">
        <v>4682</v>
      </c>
      <c r="H2073" s="23">
        <v>2</v>
      </c>
      <c r="I2073" s="23" t="s">
        <v>4682</v>
      </c>
      <c r="J2073" s="23" t="s">
        <v>4728</v>
      </c>
      <c r="K2073" s="23" t="s">
        <v>4736</v>
      </c>
      <c r="L2073">
        <v>1969</v>
      </c>
      <c r="M2073" s="15" t="s">
        <v>4707</v>
      </c>
      <c r="N2073">
        <v>30</v>
      </c>
      <c r="O2073">
        <v>0</v>
      </c>
      <c r="P2073" s="21">
        <f>DATEVALUE(N2073&amp;"-"&amp;M2073&amp;"-"&amp;L2073)</f>
        <v>25506</v>
      </c>
      <c r="Q2073" s="22">
        <v>33090.660000000003</v>
      </c>
      <c r="R2073" s="23" t="s">
        <v>4697</v>
      </c>
      <c r="S2073" s="23" t="s">
        <v>4697</v>
      </c>
      <c r="T2073" s="23" t="s">
        <v>4708</v>
      </c>
      <c r="U2073" s="23">
        <f>DATEDIF(P2073, DATE(2023, 6, 8), "Y")</f>
        <v>53</v>
      </c>
      <c r="V2073">
        <f>SUM(C2073:K2073)</f>
        <v>28.405000000000001</v>
      </c>
    </row>
    <row r="2074" spans="1:22" ht="15.75">
      <c r="A2074" s="28" t="s">
        <v>4146</v>
      </c>
      <c r="B2074" s="28" t="s">
        <v>4147</v>
      </c>
      <c r="C2074" s="23">
        <v>27.55</v>
      </c>
      <c r="D2074" s="23">
        <v>4.5599999999999996</v>
      </c>
      <c r="E2074" s="23" t="s">
        <v>4683</v>
      </c>
      <c r="F2074" s="23" t="s">
        <v>4682</v>
      </c>
      <c r="G2074" s="23" t="s">
        <v>4684</v>
      </c>
      <c r="H2074" s="23">
        <v>1</v>
      </c>
      <c r="I2074" s="23" t="s">
        <v>4682</v>
      </c>
      <c r="J2074" s="23" t="s">
        <v>4730</v>
      </c>
      <c r="K2074" s="23" t="s">
        <v>4737</v>
      </c>
      <c r="L2074">
        <v>1985</v>
      </c>
      <c r="M2074" s="15" t="s">
        <v>4696</v>
      </c>
      <c r="N2074">
        <v>15</v>
      </c>
      <c r="O2074">
        <v>3</v>
      </c>
      <c r="P2074" s="21">
        <f>DATEVALUE(N2074&amp;"-"&amp;M2074&amp;"-"&amp;L2074)</f>
        <v>31243</v>
      </c>
      <c r="Q2074" s="22">
        <v>33121</v>
      </c>
      <c r="R2074" s="23" t="s">
        <v>4697</v>
      </c>
      <c r="S2074" s="23" t="s">
        <v>4701</v>
      </c>
      <c r="T2074" s="23" t="s">
        <v>4708</v>
      </c>
      <c r="U2074" s="23">
        <f>DATEDIF(P2074, DATE(2023, 6, 8), "Y")</f>
        <v>37</v>
      </c>
      <c r="V2074">
        <f>SUM(C2074:K2074)</f>
        <v>33.11</v>
      </c>
    </row>
    <row r="2075" spans="1:22" ht="15.75">
      <c r="A2075" s="28" t="s">
        <v>4148</v>
      </c>
      <c r="B2075" s="28" t="s">
        <v>4149</v>
      </c>
      <c r="C2075" s="23">
        <v>17.97</v>
      </c>
      <c r="D2075" s="23">
        <v>6.3</v>
      </c>
      <c r="E2075" s="23" t="s">
        <v>4682</v>
      </c>
      <c r="F2075" s="23" t="s">
        <v>4682</v>
      </c>
      <c r="G2075" s="23" t="s">
        <v>4682</v>
      </c>
      <c r="H2075" s="23">
        <v>0</v>
      </c>
      <c r="I2075" s="23" t="s">
        <v>4682</v>
      </c>
      <c r="J2075" s="23" t="s">
        <v>4731</v>
      </c>
      <c r="K2075" s="23" t="s">
        <v>4736</v>
      </c>
      <c r="L2075">
        <v>1990</v>
      </c>
      <c r="M2075" s="15" t="s">
        <v>4707</v>
      </c>
      <c r="N2075">
        <v>12</v>
      </c>
      <c r="O2075">
        <v>3</v>
      </c>
      <c r="P2075" s="21">
        <f>DATEVALUE(N2075&amp;"-"&amp;M2075&amp;"-"&amp;L2075)</f>
        <v>33158</v>
      </c>
      <c r="Q2075" s="22">
        <v>33292.83</v>
      </c>
      <c r="R2075" s="23" t="s">
        <v>4697</v>
      </c>
      <c r="S2075" s="23" t="s">
        <v>4701</v>
      </c>
      <c r="T2075" s="23" t="s">
        <v>4708</v>
      </c>
      <c r="U2075" s="23">
        <f>DATEDIF(P2075, DATE(2023, 6, 8), "Y")</f>
        <v>32</v>
      </c>
      <c r="V2075">
        <f>SUM(C2075:K2075)</f>
        <v>24.27</v>
      </c>
    </row>
    <row r="2076" spans="1:22" ht="15.75">
      <c r="A2076" s="28" t="s">
        <v>4150</v>
      </c>
      <c r="B2076" s="28" t="s">
        <v>4151</v>
      </c>
      <c r="C2076" s="23">
        <v>29.98</v>
      </c>
      <c r="D2076" s="23">
        <v>6.03</v>
      </c>
      <c r="E2076" s="23" t="s">
        <v>4682</v>
      </c>
      <c r="F2076" s="23" t="s">
        <v>4683</v>
      </c>
      <c r="G2076" s="23" t="s">
        <v>4682</v>
      </c>
      <c r="H2076" s="23">
        <v>1</v>
      </c>
      <c r="I2076" s="23" t="s">
        <v>4682</v>
      </c>
      <c r="J2076" s="23" t="s">
        <v>4729</v>
      </c>
      <c r="K2076" s="23" t="s">
        <v>4736</v>
      </c>
      <c r="L2076">
        <v>2003</v>
      </c>
      <c r="M2076" s="15" t="s">
        <v>4700</v>
      </c>
      <c r="N2076">
        <v>28</v>
      </c>
      <c r="O2076">
        <v>0</v>
      </c>
      <c r="P2076" s="21">
        <f>DATEVALUE(N2076&amp;"-"&amp;M2076&amp;"-"&amp;L2076)</f>
        <v>37953</v>
      </c>
      <c r="Q2076" s="22">
        <v>33307.550000000003</v>
      </c>
      <c r="R2076" s="23" t="s">
        <v>4697</v>
      </c>
      <c r="S2076" s="23" t="s">
        <v>4698</v>
      </c>
      <c r="T2076" s="23" t="s">
        <v>4704</v>
      </c>
      <c r="U2076" s="23">
        <f>DATEDIF(P2076, DATE(2023, 6, 8), "Y")</f>
        <v>19</v>
      </c>
      <c r="V2076">
        <f>SUM(C2076:K2076)</f>
        <v>37.01</v>
      </c>
    </row>
    <row r="2077" spans="1:22" ht="15.75">
      <c r="A2077" s="28" t="s">
        <v>4152</v>
      </c>
      <c r="B2077" s="28" t="s">
        <v>4153</v>
      </c>
      <c r="C2077" s="23">
        <v>33.659999999999997</v>
      </c>
      <c r="D2077" s="23">
        <v>4.2</v>
      </c>
      <c r="E2077" s="23" t="s">
        <v>4683</v>
      </c>
      <c r="F2077" s="23" t="s">
        <v>4682</v>
      </c>
      <c r="G2077" s="23" t="s">
        <v>4682</v>
      </c>
      <c r="H2077" s="23">
        <v>1</v>
      </c>
      <c r="I2077" s="23" t="s">
        <v>4682</v>
      </c>
      <c r="J2077" s="23" t="s">
        <v>4729</v>
      </c>
      <c r="K2077" s="23" t="s">
        <v>4737</v>
      </c>
      <c r="L2077">
        <v>1972</v>
      </c>
      <c r="M2077" s="15" t="s">
        <v>4703</v>
      </c>
      <c r="N2077">
        <v>5</v>
      </c>
      <c r="O2077">
        <v>0</v>
      </c>
      <c r="P2077" s="21">
        <f>DATEVALUE(N2077&amp;"-"&amp;M2077&amp;"-"&amp;L2077)</f>
        <v>26547</v>
      </c>
      <c r="Q2077" s="22">
        <v>33344.449999999997</v>
      </c>
      <c r="R2077" s="23" t="s">
        <v>4697</v>
      </c>
      <c r="S2077" s="23" t="s">
        <v>4698</v>
      </c>
      <c r="T2077" s="23" t="s">
        <v>4708</v>
      </c>
      <c r="U2077" s="23">
        <f>DATEDIF(P2077, DATE(2023, 6, 8), "Y")</f>
        <v>50</v>
      </c>
      <c r="V2077">
        <f>SUM(C2077:K2077)</f>
        <v>38.86</v>
      </c>
    </row>
    <row r="2078" spans="1:22" ht="15.75">
      <c r="A2078" s="28" t="s">
        <v>4154</v>
      </c>
      <c r="B2078" s="28" t="s">
        <v>4155</v>
      </c>
      <c r="C2078" s="23">
        <v>32.67</v>
      </c>
      <c r="D2078" s="23">
        <v>5.61</v>
      </c>
      <c r="E2078" s="23" t="s">
        <v>4683</v>
      </c>
      <c r="F2078" s="23" t="s">
        <v>4682</v>
      </c>
      <c r="G2078" s="23" t="s">
        <v>4682</v>
      </c>
      <c r="H2078" s="23">
        <v>1</v>
      </c>
      <c r="I2078" s="23" t="s">
        <v>4682</v>
      </c>
      <c r="J2078" s="23" t="s">
        <v>4729</v>
      </c>
      <c r="K2078" s="23" t="s">
        <v>4737</v>
      </c>
      <c r="L2078">
        <v>1985</v>
      </c>
      <c r="M2078" s="15" t="s">
        <v>4705</v>
      </c>
      <c r="N2078">
        <v>7</v>
      </c>
      <c r="O2078">
        <v>3</v>
      </c>
      <c r="P2078" s="21">
        <f>DATEVALUE(N2078&amp;"-"&amp;M2078&amp;"-"&amp;L2078)</f>
        <v>31388</v>
      </c>
      <c r="Q2078" s="22">
        <v>33450.99</v>
      </c>
      <c r="R2078" s="23" t="s">
        <v>4697</v>
      </c>
      <c r="S2078" s="23" t="s">
        <v>4697</v>
      </c>
      <c r="T2078" s="23" t="s">
        <v>4708</v>
      </c>
      <c r="U2078" s="23">
        <f>DATEDIF(P2078, DATE(2023, 6, 8), "Y")</f>
        <v>37</v>
      </c>
      <c r="V2078">
        <f>SUM(C2078:K2078)</f>
        <v>39.28</v>
      </c>
    </row>
    <row r="2079" spans="1:22" ht="15.75">
      <c r="A2079" s="28" t="s">
        <v>4156</v>
      </c>
      <c r="B2079" s="28" t="s">
        <v>4157</v>
      </c>
      <c r="C2079" s="23">
        <v>30.5</v>
      </c>
      <c r="D2079" s="23">
        <v>5.88</v>
      </c>
      <c r="E2079" s="23" t="s">
        <v>4683</v>
      </c>
      <c r="F2079" s="23" t="s">
        <v>4682</v>
      </c>
      <c r="G2079" s="23" t="s">
        <v>4682</v>
      </c>
      <c r="H2079" s="23">
        <v>1</v>
      </c>
      <c r="I2079" s="23" t="s">
        <v>4682</v>
      </c>
      <c r="J2079" s="23" t="s">
        <v>4729</v>
      </c>
      <c r="K2079" s="23" t="s">
        <v>4736</v>
      </c>
      <c r="L2079">
        <v>1970</v>
      </c>
      <c r="M2079" s="15" t="s">
        <v>4702</v>
      </c>
      <c r="N2079">
        <v>18</v>
      </c>
      <c r="O2079">
        <v>2</v>
      </c>
      <c r="P2079" s="21">
        <f>DATEVALUE(N2079&amp;"-"&amp;M2079&amp;"-"&amp;L2079)</f>
        <v>25737</v>
      </c>
      <c r="Q2079" s="22">
        <v>33471.97</v>
      </c>
      <c r="R2079" s="23" t="s">
        <v>4697</v>
      </c>
      <c r="S2079" s="23" t="s">
        <v>4697</v>
      </c>
      <c r="T2079" s="23" t="s">
        <v>4704</v>
      </c>
      <c r="U2079" s="23">
        <f>DATEDIF(P2079, DATE(2023, 6, 8), "Y")</f>
        <v>52</v>
      </c>
      <c r="V2079">
        <f>SUM(C2079:K2079)</f>
        <v>37.380000000000003</v>
      </c>
    </row>
    <row r="2080" spans="1:22" ht="15.75">
      <c r="A2080" s="28" t="s">
        <v>4158</v>
      </c>
      <c r="B2080" s="28" t="s">
        <v>4159</v>
      </c>
      <c r="C2080" s="23">
        <v>23.1</v>
      </c>
      <c r="D2080" s="23">
        <v>5.92</v>
      </c>
      <c r="E2080" s="23" t="s">
        <v>4683</v>
      </c>
      <c r="F2080" s="23" t="s">
        <v>4682</v>
      </c>
      <c r="G2080" s="23" t="s">
        <v>4682</v>
      </c>
      <c r="H2080" s="23">
        <v>1</v>
      </c>
      <c r="I2080" s="23" t="s">
        <v>4682</v>
      </c>
      <c r="J2080" s="23" t="s">
        <v>4728</v>
      </c>
      <c r="K2080" s="23" t="s">
        <v>4736</v>
      </c>
      <c r="L2080">
        <v>2002</v>
      </c>
      <c r="M2080" s="15" t="s">
        <v>4706</v>
      </c>
      <c r="N2080">
        <v>25</v>
      </c>
      <c r="O2080">
        <v>0</v>
      </c>
      <c r="P2080" s="21">
        <f>DATEVALUE(N2080&amp;"-"&amp;M2080&amp;"-"&amp;L2080)</f>
        <v>37493</v>
      </c>
      <c r="Q2080" s="22">
        <v>33475.82</v>
      </c>
      <c r="R2080" s="23" t="s">
        <v>4701</v>
      </c>
      <c r="S2080" s="23" t="s">
        <v>4701</v>
      </c>
      <c r="T2080" s="23" t="s">
        <v>4712</v>
      </c>
      <c r="U2080" s="23">
        <f>DATEDIF(P2080, DATE(2023, 6, 8), "Y")</f>
        <v>20</v>
      </c>
      <c r="V2080">
        <f>SUM(C2080:K2080)</f>
        <v>30.020000000000003</v>
      </c>
    </row>
    <row r="2081" spans="1:22" ht="15.75">
      <c r="A2081" s="28" t="s">
        <v>4160</v>
      </c>
      <c r="B2081" s="28" t="s">
        <v>4161</v>
      </c>
      <c r="C2081" s="23">
        <v>39.49</v>
      </c>
      <c r="D2081" s="23">
        <v>4.8099999999999996</v>
      </c>
      <c r="E2081" s="23" t="s">
        <v>4682</v>
      </c>
      <c r="F2081" s="23" t="s">
        <v>4682</v>
      </c>
      <c r="G2081" s="23" t="s">
        <v>4682</v>
      </c>
      <c r="H2081" s="23">
        <v>1</v>
      </c>
      <c r="I2081" s="23" t="s">
        <v>4682</v>
      </c>
      <c r="J2081" s="23" t="s">
        <v>4729</v>
      </c>
      <c r="K2081" s="23" t="s">
        <v>4737</v>
      </c>
      <c r="L2081">
        <v>1984</v>
      </c>
      <c r="M2081" s="15" t="s">
        <v>4696</v>
      </c>
      <c r="N2081">
        <v>22</v>
      </c>
      <c r="O2081">
        <v>3</v>
      </c>
      <c r="P2081" s="21">
        <f>DATEVALUE(N2081&amp;"-"&amp;M2081&amp;"-"&amp;L2081)</f>
        <v>30885</v>
      </c>
      <c r="Q2081" s="22">
        <v>33527.1</v>
      </c>
      <c r="R2081" s="23" t="s">
        <v>4697</v>
      </c>
      <c r="S2081" s="23" t="s">
        <v>4698</v>
      </c>
      <c r="T2081" s="23" t="s">
        <v>4708</v>
      </c>
      <c r="U2081" s="23">
        <f>DATEDIF(P2081, DATE(2023, 6, 8), "Y")</f>
        <v>38</v>
      </c>
      <c r="V2081">
        <f>SUM(C2081:K2081)</f>
        <v>45.300000000000004</v>
      </c>
    </row>
    <row r="2082" spans="1:22" ht="15.75">
      <c r="A2082" s="28" t="s">
        <v>4162</v>
      </c>
      <c r="B2082" s="28" t="s">
        <v>4163</v>
      </c>
      <c r="C2082" s="23">
        <v>33.99</v>
      </c>
      <c r="D2082" s="23">
        <v>4.55</v>
      </c>
      <c r="E2082" s="23" t="s">
        <v>4682</v>
      </c>
      <c r="F2082" s="23" t="s">
        <v>4682</v>
      </c>
      <c r="G2082" s="23" t="s">
        <v>4682</v>
      </c>
      <c r="H2082" s="23">
        <v>1</v>
      </c>
      <c r="I2082" s="23" t="s">
        <v>4682</v>
      </c>
      <c r="J2082" s="23" t="s">
        <v>4729</v>
      </c>
      <c r="K2082" s="23" t="s">
        <v>4737</v>
      </c>
      <c r="L2082">
        <v>2003</v>
      </c>
      <c r="M2082" s="15" t="s">
        <v>4703</v>
      </c>
      <c r="N2082">
        <v>9</v>
      </c>
      <c r="O2082">
        <v>0</v>
      </c>
      <c r="P2082" s="21">
        <f>DATEVALUE(N2082&amp;"-"&amp;M2082&amp;"-"&amp;L2082)</f>
        <v>37873</v>
      </c>
      <c r="Q2082" s="22">
        <v>33611.71</v>
      </c>
      <c r="R2082" s="23" t="s">
        <v>4701</v>
      </c>
      <c r="S2082" s="23" t="s">
        <v>4697</v>
      </c>
      <c r="T2082" s="23" t="s">
        <v>4708</v>
      </c>
      <c r="U2082" s="23">
        <f>DATEDIF(P2082, DATE(2023, 6, 8), "Y")</f>
        <v>19</v>
      </c>
      <c r="V2082">
        <f>SUM(C2082:K2082)</f>
        <v>39.54</v>
      </c>
    </row>
    <row r="2083" spans="1:22" ht="15.75">
      <c r="A2083" s="28" t="s">
        <v>4164</v>
      </c>
      <c r="B2083" s="28" t="s">
        <v>4165</v>
      </c>
      <c r="C2083" s="23">
        <v>27.72</v>
      </c>
      <c r="D2083" s="23">
        <v>6.43</v>
      </c>
      <c r="E2083" s="23" t="s">
        <v>4682</v>
      </c>
      <c r="F2083" s="23" t="s">
        <v>4682</v>
      </c>
      <c r="G2083" s="23" t="s">
        <v>4682</v>
      </c>
      <c r="H2083" s="23">
        <v>1</v>
      </c>
      <c r="I2083" s="23" t="s">
        <v>4682</v>
      </c>
      <c r="J2083" s="23" t="s">
        <v>4730</v>
      </c>
      <c r="K2083" s="23" t="s">
        <v>4735</v>
      </c>
      <c r="L2083">
        <v>1993</v>
      </c>
      <c r="M2083" s="15" t="s">
        <v>4700</v>
      </c>
      <c r="N2083">
        <v>28</v>
      </c>
      <c r="O2083">
        <v>0</v>
      </c>
      <c r="P2083" s="21">
        <f>DATEVALUE(N2083&amp;"-"&amp;M2083&amp;"-"&amp;L2083)</f>
        <v>34301</v>
      </c>
      <c r="Q2083" s="22">
        <v>33707.550000000003</v>
      </c>
      <c r="R2083" s="23" t="s">
        <v>4697</v>
      </c>
      <c r="S2083" s="23" t="s">
        <v>4697</v>
      </c>
      <c r="T2083" s="23" t="s">
        <v>4708</v>
      </c>
      <c r="U2083" s="23">
        <f>DATEDIF(P2083, DATE(2023, 6, 8), "Y")</f>
        <v>29</v>
      </c>
      <c r="V2083">
        <f>SUM(C2083:K2083)</f>
        <v>35.15</v>
      </c>
    </row>
    <row r="2084" spans="1:22" ht="15.75">
      <c r="A2084" s="28" t="s">
        <v>4166</v>
      </c>
      <c r="B2084" s="28" t="s">
        <v>4167</v>
      </c>
      <c r="C2084" s="23">
        <v>30.59</v>
      </c>
      <c r="D2084" s="23">
        <v>11.62</v>
      </c>
      <c r="E2084" s="23" t="s">
        <v>4682</v>
      </c>
      <c r="F2084" s="23" t="s">
        <v>4682</v>
      </c>
      <c r="G2084" s="23" t="s">
        <v>4682</v>
      </c>
      <c r="H2084" s="23">
        <v>0</v>
      </c>
      <c r="I2084" s="23" t="s">
        <v>4682</v>
      </c>
      <c r="J2084" s="23" t="s">
        <v>4729</v>
      </c>
      <c r="K2084" s="23" t="s">
        <v>4735</v>
      </c>
      <c r="L2084">
        <v>2004</v>
      </c>
      <c r="M2084" s="15" t="s">
        <v>4700</v>
      </c>
      <c r="N2084">
        <v>1</v>
      </c>
      <c r="O2084">
        <v>0</v>
      </c>
      <c r="P2084" s="21">
        <f>DATEVALUE(N2084&amp;"-"&amp;M2084&amp;"-"&amp;L2084)</f>
        <v>38292</v>
      </c>
      <c r="Q2084" s="22">
        <v>33732.69</v>
      </c>
      <c r="R2084" s="23" t="s">
        <v>4701</v>
      </c>
      <c r="S2084" s="23" t="s">
        <v>4701</v>
      </c>
      <c r="T2084" s="23" t="s">
        <v>4718</v>
      </c>
      <c r="U2084" s="23">
        <f>DATEDIF(P2084, DATE(2023, 6, 8), "Y")</f>
        <v>18</v>
      </c>
      <c r="V2084">
        <f>SUM(C2084:K2084)</f>
        <v>42.21</v>
      </c>
    </row>
    <row r="2085" spans="1:22" ht="15.75">
      <c r="A2085" s="28" t="s">
        <v>4168</v>
      </c>
      <c r="B2085" s="28" t="s">
        <v>4169</v>
      </c>
      <c r="C2085" s="23">
        <v>22.6</v>
      </c>
      <c r="D2085" s="23">
        <v>6.04</v>
      </c>
      <c r="E2085" s="23" t="s">
        <v>4682</v>
      </c>
      <c r="F2085" s="23" t="s">
        <v>4682</v>
      </c>
      <c r="G2085" s="23" t="s">
        <v>4682</v>
      </c>
      <c r="H2085" s="23">
        <v>1</v>
      </c>
      <c r="I2085" s="23" t="s">
        <v>4682</v>
      </c>
      <c r="J2085" s="23" t="s">
        <v>4728</v>
      </c>
      <c r="K2085" s="23" t="s">
        <v>4736</v>
      </c>
      <c r="L2085">
        <v>2003</v>
      </c>
      <c r="M2085" s="15" t="s">
        <v>4703</v>
      </c>
      <c r="N2085">
        <v>12</v>
      </c>
      <c r="O2085">
        <v>0</v>
      </c>
      <c r="P2085" s="21">
        <f>DATEVALUE(N2085&amp;"-"&amp;M2085&amp;"-"&amp;L2085)</f>
        <v>37876</v>
      </c>
      <c r="Q2085" s="22">
        <v>33750.29</v>
      </c>
      <c r="R2085" s="23" t="s">
        <v>4701</v>
      </c>
      <c r="S2085" s="23" t="s">
        <v>4698</v>
      </c>
      <c r="T2085" s="23" t="s">
        <v>4704</v>
      </c>
      <c r="U2085" s="23">
        <f>DATEDIF(P2085, DATE(2023, 6, 8), "Y")</f>
        <v>19</v>
      </c>
      <c r="V2085">
        <f>SUM(C2085:K2085)</f>
        <v>29.64</v>
      </c>
    </row>
    <row r="2086" spans="1:22" ht="15.75">
      <c r="A2086" s="28" t="s">
        <v>4170</v>
      </c>
      <c r="B2086" s="28" t="s">
        <v>4171</v>
      </c>
      <c r="C2086" s="23">
        <v>28.785</v>
      </c>
      <c r="D2086" s="23">
        <v>8.82</v>
      </c>
      <c r="E2086" s="23" t="s">
        <v>4682</v>
      </c>
      <c r="F2086" s="23" t="s">
        <v>4682</v>
      </c>
      <c r="G2086" s="23" t="s">
        <v>4682</v>
      </c>
      <c r="H2086" s="23">
        <v>0</v>
      </c>
      <c r="I2086" s="23" t="s">
        <v>4682</v>
      </c>
      <c r="J2086" s="23" t="s">
        <v>4730</v>
      </c>
      <c r="K2086" s="23" t="s">
        <v>4735</v>
      </c>
      <c r="L2086">
        <v>1962</v>
      </c>
      <c r="M2086" s="15" t="s">
        <v>4705</v>
      </c>
      <c r="N2086">
        <v>11</v>
      </c>
      <c r="O2086">
        <v>0</v>
      </c>
      <c r="P2086" s="21">
        <f>DATEVALUE(N2086&amp;"-"&amp;M2086&amp;"-"&amp;L2086)</f>
        <v>22991</v>
      </c>
      <c r="Q2086" s="22">
        <v>33753.32</v>
      </c>
      <c r="R2086" s="23" t="s">
        <v>4701</v>
      </c>
      <c r="S2086" s="23" t="s">
        <v>4698</v>
      </c>
      <c r="T2086" s="23" t="s">
        <v>4708</v>
      </c>
      <c r="U2086" s="23">
        <f>DATEDIF(P2086, DATE(2023, 6, 8), "Y")</f>
        <v>60</v>
      </c>
      <c r="V2086">
        <f>SUM(C2086:K2086)</f>
        <v>37.605000000000004</v>
      </c>
    </row>
    <row r="2087" spans="1:22" ht="15.75">
      <c r="A2087" s="28" t="s">
        <v>4172</v>
      </c>
      <c r="B2087" s="28" t="s">
        <v>4173</v>
      </c>
      <c r="C2087" s="23">
        <v>50.38</v>
      </c>
      <c r="D2087" s="23">
        <v>5.8</v>
      </c>
      <c r="E2087" s="23" t="s">
        <v>4682</v>
      </c>
      <c r="F2087" s="23" t="s">
        <v>4682</v>
      </c>
      <c r="G2087" s="23" t="s">
        <v>4682</v>
      </c>
      <c r="H2087" s="23">
        <v>0</v>
      </c>
      <c r="I2087" s="23" t="s">
        <v>4682</v>
      </c>
      <c r="J2087" s="23" t="s">
        <v>4729</v>
      </c>
      <c r="K2087" s="23" t="s">
        <v>4736</v>
      </c>
      <c r="L2087">
        <v>2000</v>
      </c>
      <c r="M2087" s="15" t="s">
        <v>4707</v>
      </c>
      <c r="N2087">
        <v>26</v>
      </c>
      <c r="O2087">
        <v>0</v>
      </c>
      <c r="P2087" s="21">
        <f>DATEVALUE(N2087&amp;"-"&amp;M2087&amp;"-"&amp;L2087)</f>
        <v>36825</v>
      </c>
      <c r="Q2087" s="22">
        <v>33829.39</v>
      </c>
      <c r="R2087" s="23" t="s">
        <v>4697</v>
      </c>
      <c r="S2087" s="23" t="s">
        <v>4698</v>
      </c>
      <c r="T2087" s="23" t="s">
        <v>4708</v>
      </c>
      <c r="U2087" s="23">
        <f>DATEDIF(P2087, DATE(2023, 6, 8), "Y")</f>
        <v>22</v>
      </c>
      <c r="V2087">
        <f>SUM(C2087:K2087)</f>
        <v>56.18</v>
      </c>
    </row>
    <row r="2088" spans="1:22" ht="15.75">
      <c r="A2088" s="28" t="s">
        <v>4174</v>
      </c>
      <c r="B2088" s="28" t="s">
        <v>4175</v>
      </c>
      <c r="C2088" s="23">
        <v>35.200000000000003</v>
      </c>
      <c r="D2088" s="23">
        <v>4.28</v>
      </c>
      <c r="E2088" s="23" t="s">
        <v>4682</v>
      </c>
      <c r="F2088" s="23" t="s">
        <v>4682</v>
      </c>
      <c r="G2088" s="23" t="s">
        <v>4682</v>
      </c>
      <c r="H2088" s="23">
        <v>0</v>
      </c>
      <c r="I2088" s="23" t="s">
        <v>4682</v>
      </c>
      <c r="J2088" s="23" t="s">
        <v>4729</v>
      </c>
      <c r="K2088" s="23" t="s">
        <v>4737</v>
      </c>
      <c r="L2088">
        <v>1997</v>
      </c>
      <c r="M2088" s="15" t="s">
        <v>4706</v>
      </c>
      <c r="N2088">
        <v>9</v>
      </c>
      <c r="O2088">
        <v>0</v>
      </c>
      <c r="P2088" s="21">
        <f>DATEVALUE(N2088&amp;"-"&amp;M2088&amp;"-"&amp;L2088)</f>
        <v>35651</v>
      </c>
      <c r="Q2088" s="22">
        <v>33900.65</v>
      </c>
      <c r="R2088" s="23" t="s">
        <v>4697</v>
      </c>
      <c r="S2088" s="23" t="s">
        <v>4698</v>
      </c>
      <c r="T2088" s="23" t="s">
        <v>4708</v>
      </c>
      <c r="U2088" s="23">
        <f>DATEDIF(P2088, DATE(2023, 6, 8), "Y")</f>
        <v>25</v>
      </c>
      <c r="V2088">
        <f>SUM(C2088:K2088)</f>
        <v>39.480000000000004</v>
      </c>
    </row>
    <row r="2089" spans="1:22" ht="15.75">
      <c r="A2089" s="28" t="s">
        <v>4176</v>
      </c>
      <c r="B2089" s="28" t="s">
        <v>4177</v>
      </c>
      <c r="C2089" s="23">
        <v>35.72</v>
      </c>
      <c r="D2089" s="23">
        <v>5.5</v>
      </c>
      <c r="E2089" s="23" t="s">
        <v>4683</v>
      </c>
      <c r="F2089" s="23" t="s">
        <v>4682</v>
      </c>
      <c r="G2089" s="23" t="s">
        <v>4682</v>
      </c>
      <c r="H2089" s="23">
        <v>0</v>
      </c>
      <c r="I2089" s="23" t="s">
        <v>4682</v>
      </c>
      <c r="J2089" s="23" t="s">
        <v>4729</v>
      </c>
      <c r="K2089" s="23" t="s">
        <v>4737</v>
      </c>
      <c r="L2089">
        <v>2000</v>
      </c>
      <c r="M2089" s="15" t="s">
        <v>4705</v>
      </c>
      <c r="N2089">
        <v>27</v>
      </c>
      <c r="O2089">
        <v>0</v>
      </c>
      <c r="P2089" s="21">
        <f>DATEVALUE(N2089&amp;"-"&amp;M2089&amp;"-"&amp;L2089)</f>
        <v>36887</v>
      </c>
      <c r="Q2089" s="22">
        <v>33907.550000000003</v>
      </c>
      <c r="R2089" s="23" t="s">
        <v>4697</v>
      </c>
      <c r="S2089" s="23" t="s">
        <v>4697</v>
      </c>
      <c r="T2089" s="23" t="s">
        <v>4704</v>
      </c>
      <c r="U2089" s="23">
        <f>DATEDIF(P2089, DATE(2023, 6, 8), "Y")</f>
        <v>22</v>
      </c>
      <c r="V2089">
        <f>SUM(C2089:K2089)</f>
        <v>41.22</v>
      </c>
    </row>
    <row r="2090" spans="1:22" ht="15.75">
      <c r="A2090" s="28" t="s">
        <v>4178</v>
      </c>
      <c r="B2090" s="28" t="s">
        <v>4179</v>
      </c>
      <c r="C2090" s="23">
        <v>24.51</v>
      </c>
      <c r="D2090" s="23">
        <v>4.6900000000000004</v>
      </c>
      <c r="E2090" s="23" t="s">
        <v>4682</v>
      </c>
      <c r="F2090" s="23" t="s">
        <v>4682</v>
      </c>
      <c r="G2090" s="23" t="s">
        <v>4682</v>
      </c>
      <c r="H2090" s="23">
        <v>0</v>
      </c>
      <c r="I2090" s="23" t="s">
        <v>4682</v>
      </c>
      <c r="J2090" s="23" t="s">
        <v>4728</v>
      </c>
      <c r="K2090" s="23" t="s">
        <v>4737</v>
      </c>
      <c r="L2090">
        <v>1994</v>
      </c>
      <c r="M2090" s="15" t="s">
        <v>4703</v>
      </c>
      <c r="N2090">
        <v>25</v>
      </c>
      <c r="O2090">
        <v>0</v>
      </c>
      <c r="P2090" s="21">
        <f>DATEVALUE(N2090&amp;"-"&amp;M2090&amp;"-"&amp;L2090)</f>
        <v>34602</v>
      </c>
      <c r="Q2090" s="22">
        <v>33975.47</v>
      </c>
      <c r="R2090" s="23" t="s">
        <v>4697</v>
      </c>
      <c r="S2090" s="23" t="s">
        <v>4697</v>
      </c>
      <c r="T2090" s="23" t="s">
        <v>4708</v>
      </c>
      <c r="U2090" s="23">
        <f>DATEDIF(P2090, DATE(2023, 6, 8), "Y")</f>
        <v>28</v>
      </c>
      <c r="V2090">
        <f>SUM(C2090:K2090)</f>
        <v>29.200000000000003</v>
      </c>
    </row>
    <row r="2091" spans="1:22" ht="15.75">
      <c r="A2091" s="28" t="s">
        <v>4180</v>
      </c>
      <c r="B2091" s="28" t="s">
        <v>4181</v>
      </c>
      <c r="C2091" s="23">
        <v>23.844999999999999</v>
      </c>
      <c r="D2091" s="23">
        <v>4.43</v>
      </c>
      <c r="E2091" s="23" t="s">
        <v>4682</v>
      </c>
      <c r="F2091" s="23" t="s">
        <v>4682</v>
      </c>
      <c r="G2091" s="23" t="s">
        <v>4682</v>
      </c>
      <c r="H2091" s="23">
        <v>0</v>
      </c>
      <c r="I2091" s="23" t="s">
        <v>4682</v>
      </c>
      <c r="J2091" s="23" t="s">
        <v>4728</v>
      </c>
      <c r="K2091" s="23" t="s">
        <v>4737</v>
      </c>
      <c r="L2091">
        <v>1972</v>
      </c>
      <c r="M2091" s="15" t="s">
        <v>4696</v>
      </c>
      <c r="N2091">
        <v>26</v>
      </c>
      <c r="O2091">
        <v>0</v>
      </c>
      <c r="P2091" s="21">
        <f>DATEVALUE(N2091&amp;"-"&amp;M2091&amp;"-"&amp;L2091)</f>
        <v>26506</v>
      </c>
      <c r="Q2091" s="22">
        <v>34053.360000000001</v>
      </c>
      <c r="R2091" s="23" t="s">
        <v>4697</v>
      </c>
      <c r="S2091" s="23" t="s">
        <v>4697</v>
      </c>
      <c r="T2091" s="23" t="s">
        <v>4708</v>
      </c>
      <c r="U2091" s="23">
        <f>DATEDIF(P2091, DATE(2023, 6, 8), "Y")</f>
        <v>50</v>
      </c>
      <c r="V2091">
        <f>SUM(C2091:K2091)</f>
        <v>28.274999999999999</v>
      </c>
    </row>
    <row r="2092" spans="1:22" ht="15.75">
      <c r="A2092" s="28" t="s">
        <v>4182</v>
      </c>
      <c r="B2092" s="28" t="s">
        <v>4183</v>
      </c>
      <c r="C2092" s="23">
        <v>15.68</v>
      </c>
      <c r="D2092" s="23">
        <v>6.16</v>
      </c>
      <c r="E2092" s="23" t="s">
        <v>4683</v>
      </c>
      <c r="F2092" s="23" t="s">
        <v>4682</v>
      </c>
      <c r="G2092" s="23" t="s">
        <v>4682</v>
      </c>
      <c r="H2092" s="23">
        <v>1</v>
      </c>
      <c r="I2092" s="23" t="s">
        <v>4682</v>
      </c>
      <c r="J2092" s="23" t="s">
        <v>4731</v>
      </c>
      <c r="K2092" s="23" t="s">
        <v>4736</v>
      </c>
      <c r="L2092">
        <v>2002</v>
      </c>
      <c r="M2092" s="15" t="s">
        <v>4705</v>
      </c>
      <c r="N2092">
        <v>26</v>
      </c>
      <c r="O2092">
        <v>0</v>
      </c>
      <c r="P2092" s="21">
        <f>DATEVALUE(N2092&amp;"-"&amp;M2092&amp;"-"&amp;L2092)</f>
        <v>37616</v>
      </c>
      <c r="Q2092" s="22">
        <v>34084.68</v>
      </c>
      <c r="R2092" s="23" t="s">
        <v>4697</v>
      </c>
      <c r="S2092" s="23" t="s">
        <v>4698</v>
      </c>
      <c r="T2092" s="23" t="s">
        <v>4708</v>
      </c>
      <c r="U2092" s="23">
        <f>DATEDIF(P2092, DATE(2023, 6, 8), "Y")</f>
        <v>20</v>
      </c>
      <c r="V2092">
        <f>SUM(C2092:K2092)</f>
        <v>22.84</v>
      </c>
    </row>
    <row r="2093" spans="1:22" ht="15.75">
      <c r="A2093" s="28" t="s">
        <v>4184</v>
      </c>
      <c r="B2093" s="28" t="s">
        <v>4185</v>
      </c>
      <c r="C2093" s="23">
        <v>32.395000000000003</v>
      </c>
      <c r="D2093" s="23">
        <v>6.66</v>
      </c>
      <c r="E2093" s="23" t="s">
        <v>4682</v>
      </c>
      <c r="F2093" s="23" t="s">
        <v>4682</v>
      </c>
      <c r="G2093" s="23" t="s">
        <v>4682</v>
      </c>
      <c r="H2093" s="23">
        <v>0</v>
      </c>
      <c r="I2093" s="23" t="s">
        <v>4682</v>
      </c>
      <c r="J2093" s="23" t="s">
        <v>4729</v>
      </c>
      <c r="K2093" s="23" t="s">
        <v>4735</v>
      </c>
      <c r="L2093">
        <v>1999</v>
      </c>
      <c r="M2093" s="15" t="s">
        <v>4700</v>
      </c>
      <c r="N2093">
        <v>6</v>
      </c>
      <c r="O2093">
        <v>0</v>
      </c>
      <c r="P2093" s="21">
        <f>DATEVALUE(N2093&amp;"-"&amp;M2093&amp;"-"&amp;L2093)</f>
        <v>36470</v>
      </c>
      <c r="Q2093" s="22">
        <v>34166.269999999997</v>
      </c>
      <c r="R2093" s="23" t="s">
        <v>4697</v>
      </c>
      <c r="S2093" s="23" t="s">
        <v>4698</v>
      </c>
      <c r="T2093" s="23" t="s">
        <v>4708</v>
      </c>
      <c r="U2093" s="23">
        <f>DATEDIF(P2093, DATE(2023, 6, 8), "Y")</f>
        <v>23</v>
      </c>
      <c r="V2093">
        <f>SUM(C2093:K2093)</f>
        <v>39.055000000000007</v>
      </c>
    </row>
    <row r="2094" spans="1:22" ht="15.75">
      <c r="A2094" s="28" t="s">
        <v>4186</v>
      </c>
      <c r="B2094" s="28" t="s">
        <v>4187</v>
      </c>
      <c r="C2094" s="23">
        <v>23.655000000000001</v>
      </c>
      <c r="D2094" s="23">
        <v>5.92</v>
      </c>
      <c r="E2094" s="23" t="s">
        <v>4682</v>
      </c>
      <c r="F2094" s="23" t="s">
        <v>4682</v>
      </c>
      <c r="G2094" s="23" t="s">
        <v>4682</v>
      </c>
      <c r="H2094" s="23">
        <v>1</v>
      </c>
      <c r="I2094" s="23" t="s">
        <v>4682</v>
      </c>
      <c r="J2094" s="23" t="s">
        <v>4728</v>
      </c>
      <c r="K2094" s="23" t="s">
        <v>4736</v>
      </c>
      <c r="L2094">
        <v>1971</v>
      </c>
      <c r="M2094" s="15" t="s">
        <v>4706</v>
      </c>
      <c r="N2094">
        <v>25</v>
      </c>
      <c r="O2094">
        <v>0</v>
      </c>
      <c r="P2094" s="21">
        <f>DATEVALUE(N2094&amp;"-"&amp;M2094&amp;"-"&amp;L2094)</f>
        <v>26170</v>
      </c>
      <c r="Q2094" s="22">
        <v>34205.07</v>
      </c>
      <c r="R2094" s="23" t="s">
        <v>4697</v>
      </c>
      <c r="S2094" s="23" t="s">
        <v>4697</v>
      </c>
      <c r="T2094" s="23" t="s">
        <v>4708</v>
      </c>
      <c r="U2094" s="23">
        <f>DATEDIF(P2094, DATE(2023, 6, 8), "Y")</f>
        <v>51</v>
      </c>
      <c r="V2094">
        <f>SUM(C2094:K2094)</f>
        <v>30.575000000000003</v>
      </c>
    </row>
    <row r="2095" spans="1:22" ht="15.75">
      <c r="A2095" s="28" t="s">
        <v>4188</v>
      </c>
      <c r="B2095" s="28" t="s">
        <v>4189</v>
      </c>
      <c r="C2095" s="23">
        <v>28.4</v>
      </c>
      <c r="D2095" s="23">
        <v>5.97</v>
      </c>
      <c r="E2095" s="23" t="s">
        <v>4682</v>
      </c>
      <c r="F2095" s="23" t="s">
        <v>4682</v>
      </c>
      <c r="G2095" s="23" t="s">
        <v>4684</v>
      </c>
      <c r="H2095" s="23">
        <v>1</v>
      </c>
      <c r="I2095" s="23" t="s">
        <v>4682</v>
      </c>
      <c r="J2095" s="23" t="s">
        <v>4730</v>
      </c>
      <c r="K2095" s="23" t="s">
        <v>4736</v>
      </c>
      <c r="L2095">
        <v>1975</v>
      </c>
      <c r="M2095" s="15" t="s">
        <v>4696</v>
      </c>
      <c r="N2095">
        <v>21</v>
      </c>
      <c r="O2095">
        <v>1</v>
      </c>
      <c r="P2095" s="21">
        <f>DATEVALUE(N2095&amp;"-"&amp;M2095&amp;"-"&amp;L2095)</f>
        <v>27596</v>
      </c>
      <c r="Q2095" s="22">
        <v>34210.33</v>
      </c>
      <c r="R2095" s="23" t="s">
        <v>4697</v>
      </c>
      <c r="S2095" s="23" t="s">
        <v>4701</v>
      </c>
      <c r="T2095" s="23" t="s">
        <v>4704</v>
      </c>
      <c r="U2095" s="23">
        <f>DATEDIF(P2095, DATE(2023, 6, 8), "Y")</f>
        <v>47</v>
      </c>
      <c r="V2095">
        <f>SUM(C2095:K2095)</f>
        <v>35.369999999999997</v>
      </c>
    </row>
    <row r="2096" spans="1:22" ht="15.75">
      <c r="A2096" s="28" t="s">
        <v>4190</v>
      </c>
      <c r="B2096" s="28" t="s">
        <v>4191</v>
      </c>
      <c r="C2096" s="23">
        <v>35.42</v>
      </c>
      <c r="D2096" s="23">
        <v>4.6399999999999997</v>
      </c>
      <c r="E2096" s="23" t="s">
        <v>4683</v>
      </c>
      <c r="F2096" s="23" t="s">
        <v>4682</v>
      </c>
      <c r="G2096" s="23" t="s">
        <v>4682</v>
      </c>
      <c r="H2096" s="23">
        <v>0</v>
      </c>
      <c r="I2096" s="23" t="s">
        <v>4682</v>
      </c>
      <c r="J2096" s="23" t="s">
        <v>4729</v>
      </c>
      <c r="K2096" s="23" t="s">
        <v>4737</v>
      </c>
      <c r="L2096">
        <v>1962</v>
      </c>
      <c r="M2096" s="15" t="s">
        <v>4696</v>
      </c>
      <c r="N2096">
        <v>5</v>
      </c>
      <c r="O2096">
        <v>0</v>
      </c>
      <c r="P2096" s="21">
        <f>DATEVALUE(N2096&amp;"-"&amp;M2096&amp;"-"&amp;L2096)</f>
        <v>22832</v>
      </c>
      <c r="Q2096" s="22">
        <v>34218.019999999997</v>
      </c>
      <c r="R2096" s="23" t="s">
        <v>4701</v>
      </c>
      <c r="S2096" s="23" t="s">
        <v>4701</v>
      </c>
      <c r="T2096" s="23" t="s">
        <v>4708</v>
      </c>
      <c r="U2096" s="23">
        <f>DATEDIF(P2096, DATE(2023, 6, 8), "Y")</f>
        <v>60</v>
      </c>
      <c r="V2096">
        <f>SUM(C2096:K2096)</f>
        <v>40.06</v>
      </c>
    </row>
    <row r="2097" spans="1:22" ht="15.75">
      <c r="A2097" s="28" t="s">
        <v>4192</v>
      </c>
      <c r="B2097" s="28" t="s">
        <v>4193</v>
      </c>
      <c r="C2097" s="23">
        <v>26.18</v>
      </c>
      <c r="D2097" s="23">
        <v>6.12</v>
      </c>
      <c r="E2097" s="23" t="s">
        <v>4682</v>
      </c>
      <c r="F2097" s="23" t="s">
        <v>4683</v>
      </c>
      <c r="G2097" s="23" t="s">
        <v>4682</v>
      </c>
      <c r="H2097" s="23">
        <v>1</v>
      </c>
      <c r="I2097" s="23" t="s">
        <v>4682</v>
      </c>
      <c r="J2097" s="23" t="s">
        <v>4730</v>
      </c>
      <c r="K2097" s="23" t="s">
        <v>4736</v>
      </c>
      <c r="L2097">
        <v>1998</v>
      </c>
      <c r="M2097" s="15" t="s">
        <v>4702</v>
      </c>
      <c r="N2097">
        <v>11</v>
      </c>
      <c r="O2097">
        <v>0</v>
      </c>
      <c r="P2097" s="21">
        <f>DATEVALUE(N2097&amp;"-"&amp;M2097&amp;"-"&amp;L2097)</f>
        <v>35957</v>
      </c>
      <c r="Q2097" s="22">
        <v>34254.050000000003</v>
      </c>
      <c r="R2097" s="23" t="s">
        <v>4701</v>
      </c>
      <c r="S2097" s="23" t="s">
        <v>4698</v>
      </c>
      <c r="T2097" s="23" t="s">
        <v>4710</v>
      </c>
      <c r="U2097" s="23">
        <f>DATEDIF(P2097, DATE(2023, 6, 8), "Y")</f>
        <v>24</v>
      </c>
      <c r="V2097">
        <f>SUM(C2097:K2097)</f>
        <v>33.299999999999997</v>
      </c>
    </row>
    <row r="2098" spans="1:22" ht="15.75">
      <c r="A2098" s="28" t="s">
        <v>4194</v>
      </c>
      <c r="B2098" s="28" t="s">
        <v>4195</v>
      </c>
      <c r="C2098" s="23">
        <v>20.8</v>
      </c>
      <c r="D2098" s="23">
        <v>4.87</v>
      </c>
      <c r="E2098" s="23" t="s">
        <v>4683</v>
      </c>
      <c r="F2098" s="23" t="s">
        <v>4682</v>
      </c>
      <c r="G2098" s="23" t="s">
        <v>4682</v>
      </c>
      <c r="H2098" s="23">
        <v>0</v>
      </c>
      <c r="I2098" s="23" t="s">
        <v>4682</v>
      </c>
      <c r="J2098" s="23" t="s">
        <v>4728</v>
      </c>
      <c r="K2098" s="23" t="s">
        <v>4737</v>
      </c>
      <c r="L2098">
        <v>1995</v>
      </c>
      <c r="M2098" s="15" t="s">
        <v>4707</v>
      </c>
      <c r="N2098">
        <v>30</v>
      </c>
      <c r="O2098">
        <v>0</v>
      </c>
      <c r="P2098" s="21">
        <f>DATEVALUE(N2098&amp;"-"&amp;M2098&amp;"-"&amp;L2098)</f>
        <v>35002</v>
      </c>
      <c r="Q2098" s="22">
        <v>34289.43</v>
      </c>
      <c r="R2098" s="23" t="s">
        <v>4701</v>
      </c>
      <c r="S2098" s="23" t="s">
        <v>4701</v>
      </c>
      <c r="T2098" s="23" t="s">
        <v>4708</v>
      </c>
      <c r="U2098" s="23">
        <f>DATEDIF(P2098, DATE(2023, 6, 8), "Y")</f>
        <v>27</v>
      </c>
      <c r="V2098">
        <f>SUM(C2098:K2098)</f>
        <v>25.67</v>
      </c>
    </row>
    <row r="2099" spans="1:22" ht="15.75">
      <c r="A2099" s="28" t="s">
        <v>4196</v>
      </c>
      <c r="B2099" s="28" t="s">
        <v>4197</v>
      </c>
      <c r="C2099" s="23">
        <v>15.82</v>
      </c>
      <c r="D2099" s="23">
        <v>4.5999999999999996</v>
      </c>
      <c r="E2099" s="23" t="s">
        <v>4682</v>
      </c>
      <c r="F2099" s="23" t="s">
        <v>4682</v>
      </c>
      <c r="G2099" s="23" t="s">
        <v>4682</v>
      </c>
      <c r="H2099" s="23">
        <v>0</v>
      </c>
      <c r="I2099" s="23" t="s">
        <v>4682</v>
      </c>
      <c r="J2099" s="23" t="s">
        <v>4731</v>
      </c>
      <c r="K2099" s="23" t="s">
        <v>4737</v>
      </c>
      <c r="L2099">
        <v>1986</v>
      </c>
      <c r="M2099" s="15" t="s">
        <v>4707</v>
      </c>
      <c r="N2099">
        <v>11</v>
      </c>
      <c r="O2099">
        <v>3</v>
      </c>
      <c r="P2099" s="21">
        <f>DATEVALUE(N2099&amp;"-"&amp;M2099&amp;"-"&amp;L2099)</f>
        <v>31696</v>
      </c>
      <c r="Q2099" s="22">
        <v>34293.120000000003</v>
      </c>
      <c r="R2099" s="23" t="s">
        <v>4701</v>
      </c>
      <c r="S2099" s="23" t="s">
        <v>4697</v>
      </c>
      <c r="T2099" s="23" t="s">
        <v>4708</v>
      </c>
      <c r="U2099" s="23">
        <f>DATEDIF(P2099, DATE(2023, 6, 8), "Y")</f>
        <v>36</v>
      </c>
      <c r="V2099">
        <f>SUM(C2099:K2099)</f>
        <v>20.420000000000002</v>
      </c>
    </row>
    <row r="2100" spans="1:22" ht="15.75">
      <c r="A2100" s="28" t="s">
        <v>4198</v>
      </c>
      <c r="B2100" s="28" t="s">
        <v>4199</v>
      </c>
      <c r="C2100" s="23">
        <v>17.670000000000002</v>
      </c>
      <c r="D2100" s="23">
        <v>4.78</v>
      </c>
      <c r="E2100" s="23" t="s">
        <v>4682</v>
      </c>
      <c r="F2100" s="23" t="s">
        <v>4682</v>
      </c>
      <c r="G2100" s="23" t="s">
        <v>4682</v>
      </c>
      <c r="H2100" s="23">
        <v>0</v>
      </c>
      <c r="I2100" s="23" t="s">
        <v>4682</v>
      </c>
      <c r="J2100" s="23" t="s">
        <v>4731</v>
      </c>
      <c r="K2100" s="23" t="s">
        <v>4737</v>
      </c>
      <c r="L2100">
        <v>2004</v>
      </c>
      <c r="M2100" s="15" t="s">
        <v>4700</v>
      </c>
      <c r="N2100">
        <v>1</v>
      </c>
      <c r="O2100">
        <v>2</v>
      </c>
      <c r="P2100" s="21">
        <f>DATEVALUE(N2100&amp;"-"&amp;M2100&amp;"-"&amp;L2100)</f>
        <v>38292</v>
      </c>
      <c r="Q2100" s="22">
        <v>34303.17</v>
      </c>
      <c r="R2100" s="23" t="s">
        <v>4701</v>
      </c>
      <c r="S2100" s="23" t="s">
        <v>4698</v>
      </c>
      <c r="T2100" s="23" t="s">
        <v>4699</v>
      </c>
      <c r="U2100" s="23">
        <f>DATEDIF(P2100, DATE(2023, 6, 8), "Y")</f>
        <v>18</v>
      </c>
      <c r="V2100">
        <f>SUM(C2100:K2100)</f>
        <v>22.450000000000003</v>
      </c>
    </row>
    <row r="2101" spans="1:22" ht="15.75">
      <c r="A2101" s="28" t="s">
        <v>4200</v>
      </c>
      <c r="B2101" s="28" t="s">
        <v>4201</v>
      </c>
      <c r="C2101" s="23">
        <v>31.92</v>
      </c>
      <c r="D2101" s="23">
        <v>11.05</v>
      </c>
      <c r="E2101" s="23" t="s">
        <v>4682</v>
      </c>
      <c r="F2101" s="23" t="s">
        <v>4682</v>
      </c>
      <c r="G2101" s="23" t="s">
        <v>4682</v>
      </c>
      <c r="H2101" s="23">
        <v>0</v>
      </c>
      <c r="I2101" s="23" t="s">
        <v>4682</v>
      </c>
      <c r="J2101" s="23" t="s">
        <v>4729</v>
      </c>
      <c r="K2101" s="23" t="s">
        <v>4735</v>
      </c>
      <c r="L2101">
        <v>1983</v>
      </c>
      <c r="M2101" s="15" t="s">
        <v>4707</v>
      </c>
      <c r="N2101">
        <v>2</v>
      </c>
      <c r="O2101">
        <v>3</v>
      </c>
      <c r="P2101" s="21">
        <f>DATEVALUE(N2101&amp;"-"&amp;M2101&amp;"-"&amp;L2101)</f>
        <v>30591</v>
      </c>
      <c r="Q2101" s="22">
        <v>34307.22</v>
      </c>
      <c r="R2101" s="23" t="s">
        <v>4697</v>
      </c>
      <c r="S2101" s="23" t="s">
        <v>4697</v>
      </c>
      <c r="T2101" s="23" t="s">
        <v>4704</v>
      </c>
      <c r="U2101" s="23">
        <f>DATEDIF(P2101, DATE(2023, 6, 8), "Y")</f>
        <v>39</v>
      </c>
      <c r="V2101">
        <f>SUM(C2101:K2101)</f>
        <v>42.97</v>
      </c>
    </row>
    <row r="2102" spans="1:22" ht="15.75">
      <c r="A2102" s="28" t="s">
        <v>4202</v>
      </c>
      <c r="B2102" s="28" t="s">
        <v>4203</v>
      </c>
      <c r="C2102" s="23">
        <v>28.975000000000001</v>
      </c>
      <c r="D2102" s="23">
        <v>7.62</v>
      </c>
      <c r="E2102" s="23" t="s">
        <v>4682</v>
      </c>
      <c r="F2102" s="23" t="s">
        <v>4682</v>
      </c>
      <c r="G2102" s="23" t="s">
        <v>4682</v>
      </c>
      <c r="H2102" s="23">
        <v>0</v>
      </c>
      <c r="I2102" s="23" t="s">
        <v>4682</v>
      </c>
      <c r="J2102" s="23" t="s">
        <v>4730</v>
      </c>
      <c r="K2102" s="23" t="s">
        <v>4735</v>
      </c>
      <c r="L2102">
        <v>1984</v>
      </c>
      <c r="M2102" s="15" t="s">
        <v>4707</v>
      </c>
      <c r="N2102">
        <v>1</v>
      </c>
      <c r="O2102">
        <v>3</v>
      </c>
      <c r="P2102" s="21">
        <f>DATEVALUE(N2102&amp;"-"&amp;M2102&amp;"-"&amp;L2102)</f>
        <v>30956</v>
      </c>
      <c r="Q2102" s="22">
        <v>34402.22</v>
      </c>
      <c r="R2102" s="23" t="s">
        <v>4697</v>
      </c>
      <c r="S2102" s="23" t="s">
        <v>4698</v>
      </c>
      <c r="T2102" s="23" t="s">
        <v>4708</v>
      </c>
      <c r="U2102" s="23">
        <f>DATEDIF(P2102, DATE(2023, 6, 8), "Y")</f>
        <v>38</v>
      </c>
      <c r="V2102">
        <f>SUM(C2102:K2102)</f>
        <v>36.594999999999999</v>
      </c>
    </row>
    <row r="2103" spans="1:22" ht="15.75">
      <c r="A2103" s="28" t="s">
        <v>4204</v>
      </c>
      <c r="B2103" s="28" t="s">
        <v>4205</v>
      </c>
      <c r="C2103" s="23">
        <v>31.73</v>
      </c>
      <c r="D2103" s="23">
        <v>4.78</v>
      </c>
      <c r="E2103" s="23" t="s">
        <v>4683</v>
      </c>
      <c r="F2103" s="23" t="s">
        <v>4683</v>
      </c>
      <c r="G2103" s="23" t="s">
        <v>4682</v>
      </c>
      <c r="H2103" s="23">
        <v>2</v>
      </c>
      <c r="I2103" s="23" t="s">
        <v>4682</v>
      </c>
      <c r="J2103" s="23" t="s">
        <v>4729</v>
      </c>
      <c r="K2103" s="23" t="s">
        <v>4737</v>
      </c>
      <c r="L2103">
        <v>2003</v>
      </c>
      <c r="M2103" s="15" t="s">
        <v>4707</v>
      </c>
      <c r="N2103">
        <v>5</v>
      </c>
      <c r="O2103">
        <v>0</v>
      </c>
      <c r="P2103" s="21">
        <f>DATEVALUE(N2103&amp;"-"&amp;M2103&amp;"-"&amp;L2103)</f>
        <v>37899</v>
      </c>
      <c r="Q2103" s="22">
        <v>34439.86</v>
      </c>
      <c r="R2103" s="23" t="s">
        <v>4697</v>
      </c>
      <c r="S2103" s="23" t="s">
        <v>4701</v>
      </c>
      <c r="T2103" s="23" t="s">
        <v>4699</v>
      </c>
      <c r="U2103" s="23">
        <f>DATEDIF(P2103, DATE(2023, 6, 8), "Y")</f>
        <v>19</v>
      </c>
      <c r="V2103">
        <f>SUM(C2103:K2103)</f>
        <v>38.51</v>
      </c>
    </row>
    <row r="2104" spans="1:22" ht="15.75">
      <c r="A2104" s="28" t="s">
        <v>4206</v>
      </c>
      <c r="B2104" s="28" t="s">
        <v>4207</v>
      </c>
      <c r="C2104" s="23">
        <v>28.88</v>
      </c>
      <c r="D2104" s="23">
        <v>6.09</v>
      </c>
      <c r="E2104" s="23" t="s">
        <v>4683</v>
      </c>
      <c r="F2104" s="23" t="s">
        <v>4683</v>
      </c>
      <c r="G2104" s="23" t="s">
        <v>4682</v>
      </c>
      <c r="H2104" s="23">
        <v>2</v>
      </c>
      <c r="I2104" s="23" t="s">
        <v>4682</v>
      </c>
      <c r="J2104" s="23" t="s">
        <v>4730</v>
      </c>
      <c r="K2104" s="23" t="s">
        <v>4736</v>
      </c>
      <c r="L2104">
        <v>1990</v>
      </c>
      <c r="M2104" s="15" t="s">
        <v>4703</v>
      </c>
      <c r="N2104">
        <v>24</v>
      </c>
      <c r="O2104">
        <v>3</v>
      </c>
      <c r="P2104" s="21">
        <f>DATEVALUE(N2104&amp;"-"&amp;M2104&amp;"-"&amp;L2104)</f>
        <v>33140</v>
      </c>
      <c r="Q2104" s="22">
        <v>34456.269999999997</v>
      </c>
      <c r="R2104" s="23" t="s">
        <v>4701</v>
      </c>
      <c r="S2104" s="23" t="s">
        <v>4697</v>
      </c>
      <c r="T2104" s="23" t="s">
        <v>4708</v>
      </c>
      <c r="U2104" s="23">
        <f>DATEDIF(P2104, DATE(2023, 6, 8), "Y")</f>
        <v>32</v>
      </c>
      <c r="V2104">
        <f>SUM(C2104:K2104)</f>
        <v>36.97</v>
      </c>
    </row>
    <row r="2105" spans="1:22" ht="15.75">
      <c r="A2105" s="28" t="s">
        <v>4208</v>
      </c>
      <c r="B2105" s="28" t="s">
        <v>4209</v>
      </c>
      <c r="C2105" s="23">
        <v>25.555</v>
      </c>
      <c r="D2105" s="23">
        <v>5.1100000000000003</v>
      </c>
      <c r="E2105" s="23" t="s">
        <v>4682</v>
      </c>
      <c r="F2105" s="23" t="s">
        <v>4682</v>
      </c>
      <c r="G2105" s="23" t="s">
        <v>4684</v>
      </c>
      <c r="H2105" s="23">
        <v>1</v>
      </c>
      <c r="I2105" s="23" t="s">
        <v>4682</v>
      </c>
      <c r="J2105" s="23" t="s">
        <v>4730</v>
      </c>
      <c r="K2105" s="23" t="s">
        <v>4737</v>
      </c>
      <c r="L2105">
        <v>1998</v>
      </c>
      <c r="M2105" s="15" t="s">
        <v>4702</v>
      </c>
      <c r="N2105">
        <v>24</v>
      </c>
      <c r="O2105">
        <v>0</v>
      </c>
      <c r="P2105" s="21">
        <f>DATEVALUE(N2105&amp;"-"&amp;M2105&amp;"-"&amp;L2105)</f>
        <v>35970</v>
      </c>
      <c r="Q2105" s="22">
        <v>34472.839999999997</v>
      </c>
      <c r="R2105" s="23" t="s">
        <v>4701</v>
      </c>
      <c r="S2105" s="23" t="s">
        <v>4698</v>
      </c>
      <c r="T2105" s="23" t="s">
        <v>4708</v>
      </c>
      <c r="U2105" s="23">
        <f>DATEDIF(P2105, DATE(2023, 6, 8), "Y")</f>
        <v>24</v>
      </c>
      <c r="V2105">
        <f>SUM(C2105:K2105)</f>
        <v>31.664999999999999</v>
      </c>
    </row>
    <row r="2106" spans="1:22" ht="15.75">
      <c r="A2106" s="28" t="s">
        <v>4210</v>
      </c>
      <c r="B2106" s="28" t="s">
        <v>4211</v>
      </c>
      <c r="C2106" s="23">
        <v>37.29</v>
      </c>
      <c r="D2106" s="23">
        <v>4.46</v>
      </c>
      <c r="E2106" s="23" t="s">
        <v>4682</v>
      </c>
      <c r="F2106" s="23" t="s">
        <v>4683</v>
      </c>
      <c r="G2106" s="23" t="s">
        <v>4682</v>
      </c>
      <c r="H2106" s="23">
        <v>1</v>
      </c>
      <c r="I2106" s="23" t="s">
        <v>4682</v>
      </c>
      <c r="J2106" s="23" t="s">
        <v>4729</v>
      </c>
      <c r="K2106" s="23" t="s">
        <v>4737</v>
      </c>
      <c r="L2106">
        <v>1976</v>
      </c>
      <c r="M2106" s="15" t="s">
        <v>4700</v>
      </c>
      <c r="N2106">
        <v>25</v>
      </c>
      <c r="O2106">
        <v>2</v>
      </c>
      <c r="P2106" s="21">
        <f>DATEVALUE(N2106&amp;"-"&amp;M2106&amp;"-"&amp;L2106)</f>
        <v>28089</v>
      </c>
      <c r="Q2106" s="22">
        <v>34543.39</v>
      </c>
      <c r="R2106" s="23" t="s">
        <v>4697</v>
      </c>
      <c r="S2106" s="23" t="s">
        <v>4698</v>
      </c>
      <c r="T2106" s="23" t="s">
        <v>4708</v>
      </c>
      <c r="U2106" s="23">
        <f>DATEDIF(P2106, DATE(2023, 6, 8), "Y")</f>
        <v>46</v>
      </c>
      <c r="V2106">
        <f>SUM(C2106:K2106)</f>
        <v>42.75</v>
      </c>
    </row>
    <row r="2107" spans="1:22" ht="15.75">
      <c r="A2107" s="28" t="s">
        <v>4212</v>
      </c>
      <c r="B2107" s="28" t="s">
        <v>4213</v>
      </c>
      <c r="C2107" s="23">
        <v>40.28</v>
      </c>
      <c r="D2107" s="23">
        <v>6.11</v>
      </c>
      <c r="E2107" s="23" t="s">
        <v>4682</v>
      </c>
      <c r="F2107" s="23" t="s">
        <v>4683</v>
      </c>
      <c r="G2107" s="23" t="s">
        <v>4682</v>
      </c>
      <c r="H2107" s="23">
        <v>1</v>
      </c>
      <c r="I2107" s="23" t="s">
        <v>4682</v>
      </c>
      <c r="J2107" s="23" t="s">
        <v>4729</v>
      </c>
      <c r="K2107" s="23" t="s">
        <v>4736</v>
      </c>
      <c r="L2107">
        <v>2004</v>
      </c>
      <c r="M2107" s="15" t="s">
        <v>4707</v>
      </c>
      <c r="N2107">
        <v>9</v>
      </c>
      <c r="O2107">
        <v>0</v>
      </c>
      <c r="P2107" s="21">
        <f>DATEVALUE(N2107&amp;"-"&amp;M2107&amp;"-"&amp;L2107)</f>
        <v>38269</v>
      </c>
      <c r="Q2107" s="22">
        <v>34617.839999999997</v>
      </c>
      <c r="R2107" s="23" t="s">
        <v>4701</v>
      </c>
      <c r="S2107" s="23" t="s">
        <v>4698</v>
      </c>
      <c r="T2107" s="23" t="s">
        <v>4711</v>
      </c>
      <c r="U2107" s="23">
        <f>DATEDIF(P2107, DATE(2023, 6, 8), "Y")</f>
        <v>18</v>
      </c>
      <c r="V2107">
        <f>SUM(C2107:K2107)</f>
        <v>47.39</v>
      </c>
    </row>
    <row r="2108" spans="1:22" ht="15.75">
      <c r="A2108" s="28" t="s">
        <v>4214</v>
      </c>
      <c r="B2108" s="28" t="s">
        <v>4215</v>
      </c>
      <c r="C2108" s="23">
        <v>40.185000000000002</v>
      </c>
      <c r="D2108" s="23">
        <v>4.66</v>
      </c>
      <c r="E2108" s="23" t="s">
        <v>4682</v>
      </c>
      <c r="F2108" s="23" t="s">
        <v>4683</v>
      </c>
      <c r="G2108" s="23" t="s">
        <v>4682</v>
      </c>
      <c r="H2108" s="23">
        <v>1</v>
      </c>
      <c r="I2108" s="23" t="s">
        <v>4682</v>
      </c>
      <c r="J2108" s="23" t="s">
        <v>4729</v>
      </c>
      <c r="K2108" s="23" t="s">
        <v>4737</v>
      </c>
      <c r="L2108">
        <v>1994</v>
      </c>
      <c r="M2108" s="15" t="s">
        <v>4696</v>
      </c>
      <c r="N2108">
        <v>7</v>
      </c>
      <c r="O2108">
        <v>0</v>
      </c>
      <c r="P2108" s="21">
        <f>DATEVALUE(N2108&amp;"-"&amp;M2108&amp;"-"&amp;L2108)</f>
        <v>34522</v>
      </c>
      <c r="Q2108" s="22">
        <v>34672.15</v>
      </c>
      <c r="R2108" s="23" t="s">
        <v>4701</v>
      </c>
      <c r="S2108" s="23" t="s">
        <v>4698</v>
      </c>
      <c r="T2108" s="23" t="s">
        <v>4699</v>
      </c>
      <c r="U2108" s="23">
        <f>DATEDIF(P2108, DATE(2023, 6, 8), "Y")</f>
        <v>28</v>
      </c>
      <c r="V2108">
        <f>SUM(C2108:K2108)</f>
        <v>45.844999999999999</v>
      </c>
    </row>
    <row r="2109" spans="1:22" ht="15.75">
      <c r="A2109" s="28" t="s">
        <v>4216</v>
      </c>
      <c r="B2109" s="28" t="s">
        <v>4217</v>
      </c>
      <c r="C2109" s="23">
        <v>23.57</v>
      </c>
      <c r="D2109" s="23">
        <v>6.14</v>
      </c>
      <c r="E2109" s="23" t="s">
        <v>4682</v>
      </c>
      <c r="F2109" s="23" t="s">
        <v>4682</v>
      </c>
      <c r="G2109" s="23" t="s">
        <v>4682</v>
      </c>
      <c r="H2109" s="23">
        <v>0</v>
      </c>
      <c r="I2109" s="23" t="s">
        <v>4682</v>
      </c>
      <c r="J2109" s="23" t="s">
        <v>4728</v>
      </c>
      <c r="K2109" s="23" t="s">
        <v>4736</v>
      </c>
      <c r="L2109">
        <v>2003</v>
      </c>
      <c r="M2109" s="15" t="s">
        <v>4696</v>
      </c>
      <c r="N2109">
        <v>3</v>
      </c>
      <c r="O2109">
        <v>0</v>
      </c>
      <c r="P2109" s="21">
        <f>DATEVALUE(N2109&amp;"-"&amp;M2109&amp;"-"&amp;L2109)</f>
        <v>37805</v>
      </c>
      <c r="Q2109" s="22">
        <v>34779.620000000003</v>
      </c>
      <c r="R2109" s="23" t="s">
        <v>4701</v>
      </c>
      <c r="S2109" s="23" t="s">
        <v>4697</v>
      </c>
      <c r="T2109" s="23" t="s">
        <v>4708</v>
      </c>
      <c r="U2109" s="23">
        <f>DATEDIF(P2109, DATE(2023, 6, 8), "Y")</f>
        <v>19</v>
      </c>
      <c r="V2109">
        <f>SUM(C2109:K2109)</f>
        <v>29.71</v>
      </c>
    </row>
    <row r="2110" spans="1:22" ht="15.75">
      <c r="A2110" s="28" t="s">
        <v>4218</v>
      </c>
      <c r="B2110" s="28" t="s">
        <v>4219</v>
      </c>
      <c r="C2110" s="23">
        <v>35.625</v>
      </c>
      <c r="D2110" s="23">
        <v>6.21</v>
      </c>
      <c r="E2110" s="23" t="s">
        <v>4682</v>
      </c>
      <c r="F2110" s="23" t="s">
        <v>4683</v>
      </c>
      <c r="G2110" s="23" t="s">
        <v>4682</v>
      </c>
      <c r="H2110" s="23">
        <v>1</v>
      </c>
      <c r="I2110" s="23" t="s">
        <v>4682</v>
      </c>
      <c r="J2110" s="23" t="s">
        <v>4729</v>
      </c>
      <c r="K2110" s="23" t="s">
        <v>4736</v>
      </c>
      <c r="L2110">
        <v>1995</v>
      </c>
      <c r="M2110" s="15" t="s">
        <v>4705</v>
      </c>
      <c r="N2110">
        <v>27</v>
      </c>
      <c r="O2110">
        <v>1</v>
      </c>
      <c r="P2110" s="21">
        <f>DATEVALUE(N2110&amp;"-"&amp;M2110&amp;"-"&amp;L2110)</f>
        <v>35060</v>
      </c>
      <c r="Q2110" s="22">
        <v>34806.47</v>
      </c>
      <c r="R2110" s="23" t="s">
        <v>4701</v>
      </c>
      <c r="S2110" s="23" t="s">
        <v>4697</v>
      </c>
      <c r="T2110" s="23" t="s">
        <v>4699</v>
      </c>
      <c r="U2110" s="23">
        <f>DATEDIF(P2110, DATE(2023, 6, 8), "Y")</f>
        <v>27</v>
      </c>
      <c r="V2110">
        <f>SUM(C2110:K2110)</f>
        <v>42.835000000000001</v>
      </c>
    </row>
    <row r="2111" spans="1:22" ht="15.75">
      <c r="A2111" s="28" t="s">
        <v>4220</v>
      </c>
      <c r="B2111" s="28" t="s">
        <v>4221</v>
      </c>
      <c r="C2111" s="23">
        <v>33.155000000000001</v>
      </c>
      <c r="D2111" s="23">
        <v>4.5999999999999996</v>
      </c>
      <c r="E2111" s="23" t="s">
        <v>4682</v>
      </c>
      <c r="F2111" s="23" t="s">
        <v>4683</v>
      </c>
      <c r="G2111" s="23" t="s">
        <v>4682</v>
      </c>
      <c r="H2111" s="23">
        <v>1</v>
      </c>
      <c r="I2111" s="23" t="s">
        <v>4682</v>
      </c>
      <c r="J2111" s="23" t="s">
        <v>4729</v>
      </c>
      <c r="K2111" s="23" t="s">
        <v>4737</v>
      </c>
      <c r="L2111">
        <v>2003</v>
      </c>
      <c r="M2111" s="15" t="s">
        <v>4703</v>
      </c>
      <c r="N2111">
        <v>17</v>
      </c>
      <c r="O2111">
        <v>0</v>
      </c>
      <c r="P2111" s="21">
        <f>DATEVALUE(N2111&amp;"-"&amp;M2111&amp;"-"&amp;L2111)</f>
        <v>37881</v>
      </c>
      <c r="Q2111" s="22">
        <v>34828.65</v>
      </c>
      <c r="R2111" s="23" t="s">
        <v>4701</v>
      </c>
      <c r="S2111" s="23" t="s">
        <v>4698</v>
      </c>
      <c r="T2111" s="23" t="s">
        <v>4708</v>
      </c>
      <c r="U2111" s="23">
        <f>DATEDIF(P2111, DATE(2023, 6, 8), "Y")</f>
        <v>19</v>
      </c>
      <c r="V2111">
        <f>SUM(C2111:K2111)</f>
        <v>38.755000000000003</v>
      </c>
    </row>
    <row r="2112" spans="1:22" ht="15.75">
      <c r="A2112" s="28" t="s">
        <v>4222</v>
      </c>
      <c r="B2112" s="28" t="s">
        <v>4223</v>
      </c>
      <c r="C2112" s="23">
        <v>31.92</v>
      </c>
      <c r="D2112" s="23">
        <v>5.04</v>
      </c>
      <c r="E2112" s="23" t="s">
        <v>4682</v>
      </c>
      <c r="F2112" s="23" t="s">
        <v>4683</v>
      </c>
      <c r="G2112" s="23" t="s">
        <v>4682</v>
      </c>
      <c r="H2112" s="23">
        <v>1</v>
      </c>
      <c r="I2112" s="23" t="s">
        <v>4682</v>
      </c>
      <c r="J2112" s="23" t="s">
        <v>4729</v>
      </c>
      <c r="K2112" s="23" t="s">
        <v>4737</v>
      </c>
      <c r="L2112">
        <v>1995</v>
      </c>
      <c r="M2112" s="15" t="s">
        <v>4707</v>
      </c>
      <c r="N2112">
        <v>17</v>
      </c>
      <c r="O2112">
        <v>0</v>
      </c>
      <c r="P2112" s="21">
        <f>DATEVALUE(N2112&amp;"-"&amp;M2112&amp;"-"&amp;L2112)</f>
        <v>34989</v>
      </c>
      <c r="Q2112" s="22">
        <v>34838.870000000003</v>
      </c>
      <c r="R2112" s="23" t="s">
        <v>4697</v>
      </c>
      <c r="S2112" s="23" t="s">
        <v>4698</v>
      </c>
      <c r="T2112" s="23" t="s">
        <v>4708</v>
      </c>
      <c r="U2112" s="23">
        <f>DATEDIF(P2112, DATE(2023, 6, 8), "Y")</f>
        <v>27</v>
      </c>
      <c r="V2112">
        <f>SUM(C2112:K2112)</f>
        <v>37.96</v>
      </c>
    </row>
    <row r="2113" spans="1:22" ht="15.75">
      <c r="A2113" s="28" t="s">
        <v>4224</v>
      </c>
      <c r="B2113" s="28" t="s">
        <v>4225</v>
      </c>
      <c r="C2113" s="23">
        <v>30.305</v>
      </c>
      <c r="D2113" s="23">
        <v>5.08</v>
      </c>
      <c r="E2113" s="23" t="s">
        <v>4682</v>
      </c>
      <c r="F2113" s="23" t="s">
        <v>4683</v>
      </c>
      <c r="G2113" s="23" t="s">
        <v>4682</v>
      </c>
      <c r="H2113" s="23">
        <v>1</v>
      </c>
      <c r="I2113" s="23" t="s">
        <v>4682</v>
      </c>
      <c r="J2113" s="23" t="s">
        <v>4729</v>
      </c>
      <c r="K2113" s="23" t="s">
        <v>4737</v>
      </c>
      <c r="L2113">
        <v>1983</v>
      </c>
      <c r="M2113" s="15" t="s">
        <v>4696</v>
      </c>
      <c r="N2113">
        <v>29</v>
      </c>
      <c r="O2113">
        <v>3</v>
      </c>
      <c r="P2113" s="21">
        <f>DATEVALUE(N2113&amp;"-"&amp;M2113&amp;"-"&amp;L2113)</f>
        <v>30526</v>
      </c>
      <c r="Q2113" s="22">
        <v>34940.61</v>
      </c>
      <c r="R2113" s="23" t="s">
        <v>4697</v>
      </c>
      <c r="S2113" s="23" t="s">
        <v>4698</v>
      </c>
      <c r="T2113" s="23" t="s">
        <v>4708</v>
      </c>
      <c r="U2113" s="23">
        <f>DATEDIF(P2113, DATE(2023, 6, 8), "Y")</f>
        <v>39</v>
      </c>
      <c r="V2113">
        <f>SUM(C2113:K2113)</f>
        <v>36.384999999999998</v>
      </c>
    </row>
    <row r="2114" spans="1:22" ht="15.75">
      <c r="A2114" s="28" t="s">
        <v>4226</v>
      </c>
      <c r="B2114" s="28" t="s">
        <v>4227</v>
      </c>
      <c r="C2114" s="23">
        <v>30.114999999999998</v>
      </c>
      <c r="D2114" s="23">
        <v>4.38</v>
      </c>
      <c r="E2114" s="23" t="s">
        <v>4682</v>
      </c>
      <c r="F2114" s="23" t="s">
        <v>4683</v>
      </c>
      <c r="G2114" s="23" t="s">
        <v>4682</v>
      </c>
      <c r="H2114" s="23">
        <v>1</v>
      </c>
      <c r="I2114" s="23" t="s">
        <v>4682</v>
      </c>
      <c r="J2114" s="23" t="s">
        <v>4729</v>
      </c>
      <c r="K2114" s="23" t="s">
        <v>4737</v>
      </c>
      <c r="L2114">
        <v>1967</v>
      </c>
      <c r="M2114" s="15" t="s">
        <v>4707</v>
      </c>
      <c r="N2114">
        <v>7</v>
      </c>
      <c r="O2114">
        <v>0</v>
      </c>
      <c r="P2114" s="21">
        <f>DATEVALUE(N2114&amp;"-"&amp;M2114&amp;"-"&amp;L2114)</f>
        <v>24752</v>
      </c>
      <c r="Q2114" s="22">
        <v>34975.68</v>
      </c>
      <c r="R2114" s="23" t="s">
        <v>4697</v>
      </c>
      <c r="S2114" s="23" t="s">
        <v>4697</v>
      </c>
      <c r="T2114" s="23" t="s">
        <v>4708</v>
      </c>
      <c r="U2114" s="23">
        <f>DATEDIF(P2114, DATE(2023, 6, 8), "Y")</f>
        <v>55</v>
      </c>
      <c r="V2114">
        <f>SUM(C2114:K2114)</f>
        <v>35.494999999999997</v>
      </c>
    </row>
    <row r="2115" spans="1:22" ht="15.75">
      <c r="A2115" s="28" t="s">
        <v>4228</v>
      </c>
      <c r="B2115" s="28" t="s">
        <v>4229</v>
      </c>
      <c r="C2115" s="23">
        <v>24.09</v>
      </c>
      <c r="D2115" s="23">
        <v>4.79</v>
      </c>
      <c r="E2115" s="23" t="s">
        <v>4682</v>
      </c>
      <c r="F2115" s="23" t="s">
        <v>4683</v>
      </c>
      <c r="G2115" s="23" t="s">
        <v>4682</v>
      </c>
      <c r="H2115" s="23">
        <v>1</v>
      </c>
      <c r="I2115" s="23" t="s">
        <v>4682</v>
      </c>
      <c r="J2115" s="23" t="s">
        <v>4728</v>
      </c>
      <c r="K2115" s="23" t="s">
        <v>4737</v>
      </c>
      <c r="L2115">
        <v>1998</v>
      </c>
      <c r="M2115" s="15" t="s">
        <v>4706</v>
      </c>
      <c r="N2115">
        <v>22</v>
      </c>
      <c r="O2115">
        <v>0</v>
      </c>
      <c r="P2115" s="21">
        <f>DATEVALUE(N2115&amp;"-"&amp;M2115&amp;"-"&amp;L2115)</f>
        <v>36029</v>
      </c>
      <c r="Q2115" s="22">
        <v>34976.42</v>
      </c>
      <c r="R2115" s="23" t="s">
        <v>4697</v>
      </c>
      <c r="S2115" s="23" t="s">
        <v>4701</v>
      </c>
      <c r="T2115" s="23" t="s">
        <v>4708</v>
      </c>
      <c r="U2115" s="23">
        <f>DATEDIF(P2115, DATE(2023, 6, 8), "Y")</f>
        <v>24</v>
      </c>
      <c r="V2115">
        <f>SUM(C2115:K2115)</f>
        <v>29.88</v>
      </c>
    </row>
    <row r="2116" spans="1:22" ht="15.75">
      <c r="A2116" s="28" t="s">
        <v>4230</v>
      </c>
      <c r="B2116" s="28" t="s">
        <v>4231</v>
      </c>
      <c r="C2116" s="23">
        <v>28.215</v>
      </c>
      <c r="D2116" s="23">
        <v>4.21</v>
      </c>
      <c r="E2116" s="23" t="s">
        <v>4682</v>
      </c>
      <c r="F2116" s="23" t="s">
        <v>4683</v>
      </c>
      <c r="G2116" s="23" t="s">
        <v>4682</v>
      </c>
      <c r="H2116" s="23">
        <v>1</v>
      </c>
      <c r="I2116" s="23" t="s">
        <v>4682</v>
      </c>
      <c r="J2116" s="23" t="s">
        <v>4730</v>
      </c>
      <c r="K2116" s="23" t="s">
        <v>4737</v>
      </c>
      <c r="L2116">
        <v>1997</v>
      </c>
      <c r="M2116" s="15" t="s">
        <v>4706</v>
      </c>
      <c r="N2116">
        <v>22</v>
      </c>
      <c r="O2116">
        <v>0</v>
      </c>
      <c r="P2116" s="21">
        <f>DATEVALUE(N2116&amp;"-"&amp;M2116&amp;"-"&amp;L2116)</f>
        <v>35664</v>
      </c>
      <c r="Q2116" s="22">
        <v>34979.86</v>
      </c>
      <c r="R2116" s="23" t="s">
        <v>4697</v>
      </c>
      <c r="S2116" s="23" t="s">
        <v>4697</v>
      </c>
      <c r="T2116" s="23" t="s">
        <v>4708</v>
      </c>
      <c r="U2116" s="23">
        <f>DATEDIF(P2116, DATE(2023, 6, 8), "Y")</f>
        <v>25</v>
      </c>
      <c r="V2116">
        <f>SUM(C2116:K2116)</f>
        <v>33.424999999999997</v>
      </c>
    </row>
    <row r="2117" spans="1:22" ht="15.75">
      <c r="A2117" s="28" t="s">
        <v>4232</v>
      </c>
      <c r="B2117" s="28" t="s">
        <v>4233</v>
      </c>
      <c r="C2117" s="23">
        <v>26.315000000000001</v>
      </c>
      <c r="D2117" s="23">
        <v>5.47</v>
      </c>
      <c r="E2117" s="23" t="s">
        <v>4682</v>
      </c>
      <c r="F2117" s="23" t="s">
        <v>4683</v>
      </c>
      <c r="G2117" s="23" t="s">
        <v>4682</v>
      </c>
      <c r="H2117" s="23">
        <v>1</v>
      </c>
      <c r="I2117" s="23" t="s">
        <v>4682</v>
      </c>
      <c r="J2117" s="23" t="s">
        <v>4730</v>
      </c>
      <c r="K2117" s="23" t="s">
        <v>4737</v>
      </c>
      <c r="L2117">
        <v>1982</v>
      </c>
      <c r="M2117" s="15" t="s">
        <v>4696</v>
      </c>
      <c r="N2117">
        <v>5</v>
      </c>
      <c r="O2117">
        <v>3</v>
      </c>
      <c r="P2117" s="21">
        <f>DATEVALUE(N2117&amp;"-"&amp;M2117&amp;"-"&amp;L2117)</f>
        <v>30137</v>
      </c>
      <c r="Q2117" s="22">
        <v>35000.730000000003</v>
      </c>
      <c r="R2117" s="23" t="s">
        <v>4697</v>
      </c>
      <c r="S2117" s="23" t="s">
        <v>4698</v>
      </c>
      <c r="T2117" s="23" t="s">
        <v>4708</v>
      </c>
      <c r="U2117" s="23">
        <f>DATEDIF(P2117, DATE(2023, 6, 8), "Y")</f>
        <v>40</v>
      </c>
      <c r="V2117">
        <f>SUM(C2117:K2117)</f>
        <v>32.784999999999997</v>
      </c>
    </row>
    <row r="2118" spans="1:22" ht="15.75">
      <c r="A2118" s="28" t="s">
        <v>4234</v>
      </c>
      <c r="B2118" s="28" t="s">
        <v>4235</v>
      </c>
      <c r="C2118" s="23">
        <v>25.08</v>
      </c>
      <c r="D2118" s="23">
        <v>5.09</v>
      </c>
      <c r="E2118" s="23" t="s">
        <v>4682</v>
      </c>
      <c r="F2118" s="23" t="s">
        <v>4683</v>
      </c>
      <c r="G2118" s="23" t="s">
        <v>4682</v>
      </c>
      <c r="H2118" s="23">
        <v>1</v>
      </c>
      <c r="I2118" s="23" t="s">
        <v>4682</v>
      </c>
      <c r="J2118" s="23" t="s">
        <v>4730</v>
      </c>
      <c r="K2118" s="23" t="s">
        <v>4737</v>
      </c>
      <c r="L2118">
        <v>1975</v>
      </c>
      <c r="M2118" s="15" t="s">
        <v>4706</v>
      </c>
      <c r="N2118">
        <v>29</v>
      </c>
      <c r="O2118">
        <v>1</v>
      </c>
      <c r="P2118" s="21">
        <f>DATEVALUE(N2118&amp;"-"&amp;M2118&amp;"-"&amp;L2118)</f>
        <v>27635</v>
      </c>
      <c r="Q2118" s="22">
        <v>35050.620000000003</v>
      </c>
      <c r="R2118" s="23" t="s">
        <v>4697</v>
      </c>
      <c r="S2118" s="23" t="s">
        <v>4701</v>
      </c>
      <c r="T2118" s="23" t="s">
        <v>4708</v>
      </c>
      <c r="U2118" s="23">
        <f>DATEDIF(P2118, DATE(2023, 6, 8), "Y")</f>
        <v>47</v>
      </c>
      <c r="V2118">
        <f>SUM(C2118:K2118)</f>
        <v>31.169999999999998</v>
      </c>
    </row>
    <row r="2119" spans="1:22" ht="15.75">
      <c r="A2119" s="28" t="s">
        <v>4236</v>
      </c>
      <c r="B2119" s="28" t="s">
        <v>4237</v>
      </c>
      <c r="C2119" s="23">
        <v>15.41</v>
      </c>
      <c r="D2119" s="23">
        <v>5.08</v>
      </c>
      <c r="E2119" s="23" t="s">
        <v>4682</v>
      </c>
      <c r="F2119" s="23" t="s">
        <v>4682</v>
      </c>
      <c r="G2119" s="23" t="s">
        <v>4682</v>
      </c>
      <c r="H2119" s="23">
        <v>0</v>
      </c>
      <c r="I2119" s="23" t="s">
        <v>4682</v>
      </c>
      <c r="J2119" s="23" t="s">
        <v>4731</v>
      </c>
      <c r="K2119" s="23" t="s">
        <v>4737</v>
      </c>
      <c r="L2119">
        <v>1977</v>
      </c>
      <c r="M2119" s="15" t="s">
        <v>4702</v>
      </c>
      <c r="N2119">
        <v>29</v>
      </c>
      <c r="O2119">
        <v>0</v>
      </c>
      <c r="P2119" s="21">
        <f>DATEVALUE(N2119&amp;"-"&amp;M2119&amp;"-"&amp;L2119)</f>
        <v>28305</v>
      </c>
      <c r="Q2119" s="22">
        <v>35069.370000000003</v>
      </c>
      <c r="R2119" s="23" t="s">
        <v>4701</v>
      </c>
      <c r="S2119" s="23" t="s">
        <v>4701</v>
      </c>
      <c r="T2119" s="23" t="s">
        <v>4718</v>
      </c>
      <c r="U2119" s="23">
        <f>DATEDIF(P2119, DATE(2023, 6, 8), "Y")</f>
        <v>45</v>
      </c>
      <c r="V2119">
        <f>SUM(C2119:K2119)</f>
        <v>20.490000000000002</v>
      </c>
    </row>
    <row r="2120" spans="1:22" ht="15.75">
      <c r="A2120" s="28" t="s">
        <v>4238</v>
      </c>
      <c r="B2120" s="28" t="s">
        <v>4239</v>
      </c>
      <c r="C2120" s="23">
        <v>23.83</v>
      </c>
      <c r="D2120" s="23">
        <v>5.68</v>
      </c>
      <c r="E2120" s="23" t="s">
        <v>4682</v>
      </c>
      <c r="F2120" s="23" t="s">
        <v>4682</v>
      </c>
      <c r="G2120" s="23" t="s">
        <v>4682</v>
      </c>
      <c r="H2120" s="23">
        <v>0</v>
      </c>
      <c r="I2120" s="23" t="s">
        <v>4682</v>
      </c>
      <c r="J2120" s="23" t="s">
        <v>4728</v>
      </c>
      <c r="K2120" s="23" t="s">
        <v>4737</v>
      </c>
      <c r="L2120">
        <v>1998</v>
      </c>
      <c r="M2120" s="15" t="s">
        <v>4705</v>
      </c>
      <c r="N2120">
        <v>22</v>
      </c>
      <c r="O2120">
        <v>0</v>
      </c>
      <c r="P2120" s="21">
        <f>DATEVALUE(N2120&amp;"-"&amp;M2120&amp;"-"&amp;L2120)</f>
        <v>36151</v>
      </c>
      <c r="Q2120" s="22">
        <v>35147.53</v>
      </c>
      <c r="R2120" s="23" t="s">
        <v>4701</v>
      </c>
      <c r="S2120" s="23" t="s">
        <v>4701</v>
      </c>
      <c r="T2120" s="23" t="s">
        <v>4711</v>
      </c>
      <c r="U2120" s="23">
        <f>DATEDIF(P2120, DATE(2023, 6, 8), "Y")</f>
        <v>24</v>
      </c>
      <c r="V2120">
        <f>SUM(C2120:K2120)</f>
        <v>29.509999999999998</v>
      </c>
    </row>
    <row r="2121" spans="1:22" ht="15.75">
      <c r="A2121" s="28" t="s">
        <v>4240</v>
      </c>
      <c r="B2121" s="28" t="s">
        <v>4241</v>
      </c>
      <c r="C2121" s="23">
        <v>36</v>
      </c>
      <c r="D2121" s="23">
        <v>4.66</v>
      </c>
      <c r="E2121" s="23" t="s">
        <v>4682</v>
      </c>
      <c r="F2121" s="23" t="s">
        <v>4683</v>
      </c>
      <c r="G2121" s="23" t="s">
        <v>4682</v>
      </c>
      <c r="H2121" s="23">
        <v>1</v>
      </c>
      <c r="I2121" s="23" t="s">
        <v>4682</v>
      </c>
      <c r="J2121" s="23" t="s">
        <v>4729</v>
      </c>
      <c r="K2121" s="23" t="s">
        <v>4737</v>
      </c>
      <c r="L2121">
        <v>1967</v>
      </c>
      <c r="M2121" s="15" t="s">
        <v>4705</v>
      </c>
      <c r="N2121">
        <v>30</v>
      </c>
      <c r="O2121">
        <v>1</v>
      </c>
      <c r="P2121" s="21">
        <f>DATEVALUE(N2121&amp;"-"&amp;M2121&amp;"-"&amp;L2121)</f>
        <v>24836</v>
      </c>
      <c r="Q2121" s="22">
        <v>35160.129999999997</v>
      </c>
      <c r="R2121" s="23" t="s">
        <v>4697</v>
      </c>
      <c r="S2121" s="23" t="s">
        <v>4697</v>
      </c>
      <c r="T2121" s="23" t="s">
        <v>4708</v>
      </c>
      <c r="U2121" s="23">
        <f>DATEDIF(P2121, DATE(2023, 6, 8), "Y")</f>
        <v>55</v>
      </c>
      <c r="V2121">
        <f>SUM(C2121:K2121)</f>
        <v>41.66</v>
      </c>
    </row>
    <row r="2122" spans="1:22" ht="15.75">
      <c r="A2122" s="28" t="s">
        <v>4242</v>
      </c>
      <c r="B2122" s="28" t="s">
        <v>4243</v>
      </c>
      <c r="C2122" s="23">
        <v>28.82</v>
      </c>
      <c r="D2122" s="23">
        <v>5.59</v>
      </c>
      <c r="E2122" s="23" t="s">
        <v>4682</v>
      </c>
      <c r="F2122" s="23" t="s">
        <v>4683</v>
      </c>
      <c r="G2122" s="23" t="s">
        <v>4682</v>
      </c>
      <c r="H2122" s="23">
        <v>1</v>
      </c>
      <c r="I2122" s="23" t="s">
        <v>4682</v>
      </c>
      <c r="J2122" s="23" t="s">
        <v>4730</v>
      </c>
      <c r="K2122" s="23" t="s">
        <v>4737</v>
      </c>
      <c r="L2122">
        <v>1997</v>
      </c>
      <c r="M2122" s="15" t="s">
        <v>4696</v>
      </c>
      <c r="N2122">
        <v>9</v>
      </c>
      <c r="O2122">
        <v>0</v>
      </c>
      <c r="P2122" s="21">
        <f>DATEVALUE(N2122&amp;"-"&amp;M2122&amp;"-"&amp;L2122)</f>
        <v>35620</v>
      </c>
      <c r="Q2122" s="22">
        <v>35302.089999999997</v>
      </c>
      <c r="R2122" s="23" t="s">
        <v>4701</v>
      </c>
      <c r="S2122" s="23" t="s">
        <v>4697</v>
      </c>
      <c r="T2122" s="23" t="s">
        <v>4708</v>
      </c>
      <c r="U2122" s="23">
        <f>DATEDIF(P2122, DATE(2023, 6, 8), "Y")</f>
        <v>25</v>
      </c>
      <c r="V2122">
        <f>SUM(C2122:K2122)</f>
        <v>35.409999999999997</v>
      </c>
    </row>
    <row r="2123" spans="1:22" ht="15.75">
      <c r="A2123" s="28" t="s">
        <v>4244</v>
      </c>
      <c r="B2123" s="28" t="s">
        <v>4245</v>
      </c>
      <c r="C2123" s="23">
        <v>28.05</v>
      </c>
      <c r="D2123" s="23">
        <v>6.2</v>
      </c>
      <c r="E2123" s="23" t="s">
        <v>4682</v>
      </c>
      <c r="F2123" s="23" t="s">
        <v>4683</v>
      </c>
      <c r="G2123" s="23" t="s">
        <v>4682</v>
      </c>
      <c r="H2123" s="23">
        <v>1</v>
      </c>
      <c r="I2123" s="23" t="s">
        <v>4682</v>
      </c>
      <c r="J2123" s="23" t="s">
        <v>4730</v>
      </c>
      <c r="K2123" s="23" t="s">
        <v>4736</v>
      </c>
      <c r="L2123">
        <v>1988</v>
      </c>
      <c r="M2123" s="15" t="s">
        <v>4703</v>
      </c>
      <c r="N2123">
        <v>19</v>
      </c>
      <c r="O2123">
        <v>3</v>
      </c>
      <c r="P2123" s="21">
        <f>DATEVALUE(N2123&amp;"-"&amp;M2123&amp;"-"&amp;L2123)</f>
        <v>32405</v>
      </c>
      <c r="Q2123" s="22">
        <v>35315.96</v>
      </c>
      <c r="R2123" s="23" t="s">
        <v>4697</v>
      </c>
      <c r="S2123" s="23" t="s">
        <v>4701</v>
      </c>
      <c r="T2123" s="23" t="s">
        <v>4708</v>
      </c>
      <c r="U2123" s="23">
        <f>DATEDIF(P2123, DATE(2023, 6, 8), "Y")</f>
        <v>34</v>
      </c>
      <c r="V2123">
        <f>SUM(C2123:K2123)</f>
        <v>35.25</v>
      </c>
    </row>
    <row r="2124" spans="1:22" ht="15.75">
      <c r="A2124" s="28" t="s">
        <v>4246</v>
      </c>
      <c r="B2124" s="28" t="s">
        <v>4247</v>
      </c>
      <c r="C2124" s="23">
        <v>27.1</v>
      </c>
      <c r="D2124" s="23">
        <v>4.45</v>
      </c>
      <c r="E2124" s="23" t="s">
        <v>4682</v>
      </c>
      <c r="F2124" s="23" t="s">
        <v>4683</v>
      </c>
      <c r="G2124" s="23" t="s">
        <v>4682</v>
      </c>
      <c r="H2124" s="23">
        <v>1</v>
      </c>
      <c r="I2124" s="23" t="s">
        <v>4682</v>
      </c>
      <c r="J2124" s="23" t="s">
        <v>4730</v>
      </c>
      <c r="K2124" s="23" t="s">
        <v>4737</v>
      </c>
      <c r="L2124">
        <v>1971</v>
      </c>
      <c r="M2124" s="15" t="s">
        <v>4703</v>
      </c>
      <c r="N2124">
        <v>22</v>
      </c>
      <c r="O2124">
        <v>0</v>
      </c>
      <c r="P2124" s="21">
        <f>DATEVALUE(N2124&amp;"-"&amp;M2124&amp;"-"&amp;L2124)</f>
        <v>26198</v>
      </c>
      <c r="Q2124" s="22">
        <v>35345.730000000003</v>
      </c>
      <c r="R2124" s="23" t="s">
        <v>4697</v>
      </c>
      <c r="S2124" s="23" t="s">
        <v>4698</v>
      </c>
      <c r="T2124" s="23" t="s">
        <v>4708</v>
      </c>
      <c r="U2124" s="23">
        <f>DATEDIF(P2124, DATE(2023, 6, 8), "Y")</f>
        <v>51</v>
      </c>
      <c r="V2124">
        <f>SUM(C2124:K2124)</f>
        <v>32.549999999999997</v>
      </c>
    </row>
    <row r="2125" spans="1:22" ht="15.75">
      <c r="A2125" s="28" t="s">
        <v>4248</v>
      </c>
      <c r="B2125" s="28" t="s">
        <v>4249</v>
      </c>
      <c r="C2125" s="23">
        <v>24.3</v>
      </c>
      <c r="D2125" s="23">
        <v>6.1</v>
      </c>
      <c r="E2125" s="23" t="s">
        <v>4683</v>
      </c>
      <c r="F2125" s="23" t="s">
        <v>4683</v>
      </c>
      <c r="G2125" s="23" t="s">
        <v>4682</v>
      </c>
      <c r="H2125" s="23">
        <v>1</v>
      </c>
      <c r="I2125" s="23" t="s">
        <v>4682</v>
      </c>
      <c r="J2125" s="23" t="s">
        <v>4728</v>
      </c>
      <c r="K2125" s="23" t="s">
        <v>4736</v>
      </c>
      <c r="L2125">
        <v>1988</v>
      </c>
      <c r="M2125" s="15" t="s">
        <v>4700</v>
      </c>
      <c r="N2125">
        <v>20</v>
      </c>
      <c r="O2125">
        <v>0</v>
      </c>
      <c r="P2125" s="21">
        <f>DATEVALUE(N2125&amp;"-"&amp;M2125&amp;"-"&amp;L2125)</f>
        <v>32467</v>
      </c>
      <c r="Q2125" s="22">
        <v>35491.64</v>
      </c>
      <c r="R2125" s="23" t="s">
        <v>4701</v>
      </c>
      <c r="S2125" s="23" t="s">
        <v>4697</v>
      </c>
      <c r="T2125" s="23" t="s">
        <v>4708</v>
      </c>
      <c r="U2125" s="23">
        <f>DATEDIF(P2125, DATE(2023, 6, 8), "Y")</f>
        <v>34</v>
      </c>
      <c r="V2125">
        <f>SUM(C2125:K2125)</f>
        <v>31.4</v>
      </c>
    </row>
    <row r="2126" spans="1:22" ht="15.75">
      <c r="A2126" s="28" t="s">
        <v>4250</v>
      </c>
      <c r="B2126" s="28" t="s">
        <v>4251</v>
      </c>
      <c r="C2126" s="23">
        <v>30.72</v>
      </c>
      <c r="D2126" s="23">
        <v>6.06</v>
      </c>
      <c r="E2126" s="23" t="s">
        <v>4682</v>
      </c>
      <c r="F2126" s="23" t="s">
        <v>4683</v>
      </c>
      <c r="G2126" s="23" t="s">
        <v>4682</v>
      </c>
      <c r="H2126" s="23">
        <v>1</v>
      </c>
      <c r="I2126" s="23" t="s">
        <v>4682</v>
      </c>
      <c r="J2126" s="23" t="s">
        <v>4729</v>
      </c>
      <c r="K2126" s="23" t="s">
        <v>4736</v>
      </c>
      <c r="L2126">
        <v>1973</v>
      </c>
      <c r="M2126" s="15" t="s">
        <v>4705</v>
      </c>
      <c r="N2126">
        <v>16</v>
      </c>
      <c r="O2126">
        <v>0</v>
      </c>
      <c r="P2126" s="21">
        <f>DATEVALUE(N2126&amp;"-"&amp;M2126&amp;"-"&amp;L2126)</f>
        <v>27014</v>
      </c>
      <c r="Q2126" s="22">
        <v>35517.19</v>
      </c>
      <c r="R2126" s="23" t="s">
        <v>4697</v>
      </c>
      <c r="S2126" s="23" t="s">
        <v>4697</v>
      </c>
      <c r="T2126" s="23" t="s">
        <v>4708</v>
      </c>
      <c r="U2126" s="23">
        <f>DATEDIF(P2126, DATE(2023, 6, 8), "Y")</f>
        <v>49</v>
      </c>
      <c r="V2126">
        <f>SUM(C2126:K2126)</f>
        <v>37.78</v>
      </c>
    </row>
    <row r="2127" spans="1:22" ht="15.75">
      <c r="A2127" s="28" t="s">
        <v>4252</v>
      </c>
      <c r="B2127" s="28" t="s">
        <v>4253</v>
      </c>
      <c r="C2127" s="23">
        <v>37.43</v>
      </c>
      <c r="D2127" s="23">
        <v>4.5599999999999996</v>
      </c>
      <c r="E2127" s="23" t="s">
        <v>4682</v>
      </c>
      <c r="F2127" s="23" t="s">
        <v>4682</v>
      </c>
      <c r="G2127" s="23" t="s">
        <v>4684</v>
      </c>
      <c r="H2127" s="23">
        <v>1</v>
      </c>
      <c r="I2127" s="23" t="s">
        <v>4682</v>
      </c>
      <c r="J2127" s="23" t="s">
        <v>4729</v>
      </c>
      <c r="K2127" s="23" t="s">
        <v>4737</v>
      </c>
      <c r="L2127">
        <v>1992</v>
      </c>
      <c r="M2127" s="15" t="s">
        <v>4703</v>
      </c>
      <c r="N2127">
        <v>13</v>
      </c>
      <c r="O2127">
        <v>0</v>
      </c>
      <c r="P2127" s="21">
        <f>DATEVALUE(N2127&amp;"-"&amp;M2127&amp;"-"&amp;L2127)</f>
        <v>33860</v>
      </c>
      <c r="Q2127" s="22">
        <v>35547.47</v>
      </c>
      <c r="R2127" s="23" t="s">
        <v>4697</v>
      </c>
      <c r="S2127" s="23" t="s">
        <v>4698</v>
      </c>
      <c r="T2127" s="23" t="s">
        <v>4708</v>
      </c>
      <c r="U2127" s="23">
        <f>DATEDIF(P2127, DATE(2023, 6, 8), "Y")</f>
        <v>30</v>
      </c>
      <c r="V2127">
        <f>SUM(C2127:K2127)</f>
        <v>42.99</v>
      </c>
    </row>
    <row r="2128" spans="1:22" ht="15.75">
      <c r="A2128" s="28" t="s">
        <v>4254</v>
      </c>
      <c r="B2128" s="28" t="s">
        <v>4255</v>
      </c>
      <c r="C2128" s="23">
        <v>25.74</v>
      </c>
      <c r="D2128" s="23">
        <v>6.41</v>
      </c>
      <c r="E2128" s="23" t="s">
        <v>4683</v>
      </c>
      <c r="F2128" s="23" t="s">
        <v>4682</v>
      </c>
      <c r="G2128" s="23" t="s">
        <v>4684</v>
      </c>
      <c r="H2128" s="23">
        <v>1</v>
      </c>
      <c r="I2128" s="23" t="s">
        <v>4682</v>
      </c>
      <c r="J2128" s="23" t="s">
        <v>4730</v>
      </c>
      <c r="K2128" s="23" t="s">
        <v>4735</v>
      </c>
      <c r="L2128">
        <v>1973</v>
      </c>
      <c r="M2128" s="15" t="s">
        <v>4707</v>
      </c>
      <c r="N2128">
        <v>27</v>
      </c>
      <c r="O2128">
        <v>0</v>
      </c>
      <c r="P2128" s="21">
        <f>DATEVALUE(N2128&amp;"-"&amp;M2128&amp;"-"&amp;L2128)</f>
        <v>26964</v>
      </c>
      <c r="Q2128" s="22">
        <v>35547.72</v>
      </c>
      <c r="R2128" s="23" t="s">
        <v>4701</v>
      </c>
      <c r="S2128" s="23" t="s">
        <v>4701</v>
      </c>
      <c r="T2128" s="23" t="s">
        <v>4708</v>
      </c>
      <c r="U2128" s="23">
        <f>DATEDIF(P2128, DATE(2023, 6, 8), "Y")</f>
        <v>49</v>
      </c>
      <c r="V2128">
        <f>SUM(C2128:K2128)</f>
        <v>33.15</v>
      </c>
    </row>
    <row r="2129" spans="1:22" ht="15.75">
      <c r="A2129" s="28" t="s">
        <v>4256</v>
      </c>
      <c r="B2129" s="28" t="s">
        <v>4257</v>
      </c>
      <c r="C2129" s="23">
        <v>36.575000000000003</v>
      </c>
      <c r="D2129" s="23">
        <v>5.57</v>
      </c>
      <c r="E2129" s="23" t="s">
        <v>4682</v>
      </c>
      <c r="F2129" s="23" t="s">
        <v>4682</v>
      </c>
      <c r="G2129" s="23" t="s">
        <v>4684</v>
      </c>
      <c r="H2129" s="23">
        <v>1</v>
      </c>
      <c r="I2129" s="23" t="s">
        <v>4682</v>
      </c>
      <c r="J2129" s="23" t="s">
        <v>4729</v>
      </c>
      <c r="K2129" s="23" t="s">
        <v>4737</v>
      </c>
      <c r="L2129">
        <v>1964</v>
      </c>
      <c r="M2129" s="15" t="s">
        <v>4706</v>
      </c>
      <c r="N2129">
        <v>29</v>
      </c>
      <c r="O2129">
        <v>0</v>
      </c>
      <c r="P2129" s="21">
        <f>DATEVALUE(N2129&amp;"-"&amp;M2129&amp;"-"&amp;L2129)</f>
        <v>23618</v>
      </c>
      <c r="Q2129" s="22">
        <v>35573.26</v>
      </c>
      <c r="R2129" s="23" t="s">
        <v>4697</v>
      </c>
      <c r="S2129" s="23" t="s">
        <v>4701</v>
      </c>
      <c r="T2129" s="23" t="s">
        <v>4708</v>
      </c>
      <c r="U2129" s="23">
        <f>DATEDIF(P2129, DATE(2023, 6, 8), "Y")</f>
        <v>58</v>
      </c>
      <c r="V2129">
        <f>SUM(C2129:K2129)</f>
        <v>43.145000000000003</v>
      </c>
    </row>
    <row r="2130" spans="1:22" ht="15.75">
      <c r="A2130" s="28" t="s">
        <v>4258</v>
      </c>
      <c r="B2130" s="28" t="s">
        <v>4259</v>
      </c>
      <c r="C2130" s="23">
        <v>35.15</v>
      </c>
      <c r="D2130" s="23">
        <v>5.47</v>
      </c>
      <c r="E2130" s="23" t="s">
        <v>4682</v>
      </c>
      <c r="F2130" s="23" t="s">
        <v>4682</v>
      </c>
      <c r="G2130" s="23" t="s">
        <v>4684</v>
      </c>
      <c r="H2130" s="23">
        <v>1</v>
      </c>
      <c r="I2130" s="23" t="s">
        <v>4682</v>
      </c>
      <c r="J2130" s="23" t="s">
        <v>4729</v>
      </c>
      <c r="K2130" s="23" t="s">
        <v>4737</v>
      </c>
      <c r="L2130">
        <v>1971</v>
      </c>
      <c r="M2130" s="15" t="s">
        <v>4706</v>
      </c>
      <c r="N2130">
        <v>10</v>
      </c>
      <c r="O2130">
        <v>0</v>
      </c>
      <c r="P2130" s="21">
        <f>DATEVALUE(N2130&amp;"-"&amp;M2130&amp;"-"&amp;L2130)</f>
        <v>26155</v>
      </c>
      <c r="Q2130" s="22">
        <v>35583.17</v>
      </c>
      <c r="R2130" s="23" t="s">
        <v>4701</v>
      </c>
      <c r="S2130" s="23" t="s">
        <v>4698</v>
      </c>
      <c r="T2130" s="23" t="s">
        <v>4708</v>
      </c>
      <c r="U2130" s="23">
        <f>DATEDIF(P2130, DATE(2023, 6, 8), "Y")</f>
        <v>51</v>
      </c>
      <c r="V2130">
        <f>SUM(C2130:K2130)</f>
        <v>41.62</v>
      </c>
    </row>
    <row r="2131" spans="1:22" ht="15.75">
      <c r="A2131" s="28" t="s">
        <v>4260</v>
      </c>
      <c r="B2131" s="28" t="s">
        <v>4261</v>
      </c>
      <c r="C2131" s="23">
        <v>32.11</v>
      </c>
      <c r="D2131" s="23">
        <v>4.43</v>
      </c>
      <c r="E2131" s="23" t="s">
        <v>4682</v>
      </c>
      <c r="F2131" s="23" t="s">
        <v>4682</v>
      </c>
      <c r="G2131" s="23" t="s">
        <v>4684</v>
      </c>
      <c r="H2131" s="23">
        <v>1</v>
      </c>
      <c r="I2131" s="23" t="s">
        <v>4682</v>
      </c>
      <c r="J2131" s="23" t="s">
        <v>4729</v>
      </c>
      <c r="K2131" s="23" t="s">
        <v>4737</v>
      </c>
      <c r="L2131">
        <v>2000</v>
      </c>
      <c r="M2131" s="15" t="s">
        <v>4707</v>
      </c>
      <c r="N2131">
        <v>13</v>
      </c>
      <c r="O2131">
        <v>0</v>
      </c>
      <c r="P2131" s="21">
        <f>DATEVALUE(N2131&amp;"-"&amp;M2131&amp;"-"&amp;L2131)</f>
        <v>36812</v>
      </c>
      <c r="Q2131" s="22">
        <v>35585.58</v>
      </c>
      <c r="R2131" s="23" t="s">
        <v>4701</v>
      </c>
      <c r="S2131" s="23" t="s">
        <v>4697</v>
      </c>
      <c r="T2131" s="23" t="s">
        <v>4708</v>
      </c>
      <c r="U2131" s="23">
        <f>DATEDIF(P2131, DATE(2023, 6, 8), "Y")</f>
        <v>22</v>
      </c>
      <c r="V2131">
        <f>SUM(C2131:K2131)</f>
        <v>37.54</v>
      </c>
    </row>
    <row r="2132" spans="1:22" ht="15.75">
      <c r="A2132" s="28" t="s">
        <v>4262</v>
      </c>
      <c r="B2132" s="28" t="s">
        <v>4263</v>
      </c>
      <c r="C2132" s="23">
        <v>30.495000000000001</v>
      </c>
      <c r="D2132" s="23">
        <v>4.95</v>
      </c>
      <c r="E2132" s="23" t="s">
        <v>4682</v>
      </c>
      <c r="F2132" s="23" t="s">
        <v>4682</v>
      </c>
      <c r="G2132" s="23" t="s">
        <v>4684</v>
      </c>
      <c r="H2132" s="23">
        <v>1</v>
      </c>
      <c r="I2132" s="23" t="s">
        <v>4682</v>
      </c>
      <c r="J2132" s="23" t="s">
        <v>4729</v>
      </c>
      <c r="K2132" s="23" t="s">
        <v>4737</v>
      </c>
      <c r="L2132">
        <v>2000</v>
      </c>
      <c r="M2132" s="15" t="s">
        <v>4700</v>
      </c>
      <c r="N2132">
        <v>19</v>
      </c>
      <c r="O2132">
        <v>0</v>
      </c>
      <c r="P2132" s="21">
        <f>DATEVALUE(N2132&amp;"-"&amp;M2132&amp;"-"&amp;L2132)</f>
        <v>36849</v>
      </c>
      <c r="Q2132" s="22">
        <v>35585.58</v>
      </c>
      <c r="R2132" s="23" t="s">
        <v>4697</v>
      </c>
      <c r="S2132" s="23" t="s">
        <v>4698</v>
      </c>
      <c r="T2132" s="23" t="s">
        <v>4708</v>
      </c>
      <c r="U2132" s="23">
        <f>DATEDIF(P2132, DATE(2023, 6, 8), "Y")</f>
        <v>22</v>
      </c>
      <c r="V2132">
        <f>SUM(C2132:K2132)</f>
        <v>36.445</v>
      </c>
    </row>
    <row r="2133" spans="1:22" ht="15.75">
      <c r="A2133" s="28" t="s">
        <v>4264</v>
      </c>
      <c r="B2133" s="28" t="s">
        <v>4265</v>
      </c>
      <c r="C2133" s="23">
        <v>29.24</v>
      </c>
      <c r="D2133" s="23">
        <v>4.04</v>
      </c>
      <c r="E2133" s="23" t="s">
        <v>4682</v>
      </c>
      <c r="F2133" s="23" t="s">
        <v>4683</v>
      </c>
      <c r="G2133" s="23" t="s">
        <v>4682</v>
      </c>
      <c r="H2133" s="23">
        <v>1</v>
      </c>
      <c r="I2133" s="23" t="s">
        <v>4682</v>
      </c>
      <c r="J2133" s="23" t="s">
        <v>4730</v>
      </c>
      <c r="K2133" s="23" t="s">
        <v>4737</v>
      </c>
      <c r="L2133">
        <v>2000</v>
      </c>
      <c r="M2133" s="15" t="s">
        <v>4705</v>
      </c>
      <c r="N2133">
        <v>17</v>
      </c>
      <c r="O2133">
        <v>3</v>
      </c>
      <c r="P2133" s="21">
        <f>DATEVALUE(N2133&amp;"-"&amp;M2133&amp;"-"&amp;L2133)</f>
        <v>36877</v>
      </c>
      <c r="Q2133" s="22">
        <v>35595.589999999997</v>
      </c>
      <c r="R2133" s="23" t="s">
        <v>4697</v>
      </c>
      <c r="S2133" s="23" t="s">
        <v>4698</v>
      </c>
      <c r="T2133" s="23" t="s">
        <v>4699</v>
      </c>
      <c r="U2133" s="23">
        <f>DATEDIF(P2133, DATE(2023, 6, 8), "Y")</f>
        <v>22</v>
      </c>
      <c r="V2133">
        <f>SUM(C2133:K2133)</f>
        <v>34.28</v>
      </c>
    </row>
    <row r="2134" spans="1:22" ht="15.75">
      <c r="A2134" s="28" t="s">
        <v>4266</v>
      </c>
      <c r="B2134" s="28" t="s">
        <v>4267</v>
      </c>
      <c r="C2134" s="23">
        <v>22.515000000000001</v>
      </c>
      <c r="D2134" s="23">
        <v>5.93</v>
      </c>
      <c r="E2134" s="23" t="s">
        <v>4682</v>
      </c>
      <c r="F2134" s="23" t="s">
        <v>4682</v>
      </c>
      <c r="G2134" s="23" t="s">
        <v>4684</v>
      </c>
      <c r="H2134" s="23">
        <v>1</v>
      </c>
      <c r="I2134" s="23" t="s">
        <v>4682</v>
      </c>
      <c r="J2134" s="23" t="s">
        <v>4728</v>
      </c>
      <c r="K2134" s="23" t="s">
        <v>4736</v>
      </c>
      <c r="L2134">
        <v>1978</v>
      </c>
      <c r="M2134" s="15" t="s">
        <v>4705</v>
      </c>
      <c r="N2134">
        <v>19</v>
      </c>
      <c r="O2134">
        <v>2</v>
      </c>
      <c r="P2134" s="21">
        <f>DATEVALUE(N2134&amp;"-"&amp;M2134&amp;"-"&amp;L2134)</f>
        <v>28843</v>
      </c>
      <c r="Q2134" s="22">
        <v>35701.9</v>
      </c>
      <c r="R2134" s="23" t="s">
        <v>4697</v>
      </c>
      <c r="S2134" s="23" t="s">
        <v>4701</v>
      </c>
      <c r="T2134" s="23" t="s">
        <v>4708</v>
      </c>
      <c r="U2134" s="23">
        <f>DATEDIF(P2134, DATE(2023, 6, 8), "Y")</f>
        <v>44</v>
      </c>
      <c r="V2134">
        <f>SUM(C2134:K2134)</f>
        <v>29.445</v>
      </c>
    </row>
    <row r="2135" spans="1:22" ht="15.75">
      <c r="A2135" s="28" t="s">
        <v>4268</v>
      </c>
      <c r="B2135" s="28" t="s">
        <v>4269</v>
      </c>
      <c r="C2135" s="23">
        <v>15.65</v>
      </c>
      <c r="D2135" s="23">
        <v>4.2300000000000004</v>
      </c>
      <c r="E2135" s="23" t="s">
        <v>4682</v>
      </c>
      <c r="F2135" s="23" t="s">
        <v>4682</v>
      </c>
      <c r="G2135" s="23" t="s">
        <v>4682</v>
      </c>
      <c r="H2135" s="23">
        <v>0</v>
      </c>
      <c r="I2135" s="23" t="s">
        <v>4682</v>
      </c>
      <c r="J2135" s="23" t="s">
        <v>4731</v>
      </c>
      <c r="K2135" s="23" t="s">
        <v>4737</v>
      </c>
      <c r="L2135">
        <v>1974</v>
      </c>
      <c r="M2135" s="15" t="s">
        <v>4696</v>
      </c>
      <c r="N2135">
        <v>15</v>
      </c>
      <c r="O2135">
        <v>0</v>
      </c>
      <c r="P2135" s="21">
        <f>DATEVALUE(N2135&amp;"-"&amp;M2135&amp;"-"&amp;L2135)</f>
        <v>27225</v>
      </c>
      <c r="Q2135" s="22">
        <v>35711.39</v>
      </c>
      <c r="R2135" s="23" t="s">
        <v>4697</v>
      </c>
      <c r="S2135" s="23" t="s">
        <v>4698</v>
      </c>
      <c r="T2135" s="23" t="s">
        <v>4704</v>
      </c>
      <c r="U2135" s="23">
        <f>DATEDIF(P2135, DATE(2023, 6, 8), "Y")</f>
        <v>48</v>
      </c>
      <c r="V2135">
        <f>SUM(C2135:K2135)</f>
        <v>19.880000000000003</v>
      </c>
    </row>
    <row r="2136" spans="1:22" ht="15.75">
      <c r="A2136" s="28" t="s">
        <v>4270</v>
      </c>
      <c r="B2136" s="28" t="s">
        <v>4271</v>
      </c>
      <c r="C2136" s="23">
        <v>27.36</v>
      </c>
      <c r="D2136" s="23">
        <v>5.59</v>
      </c>
      <c r="E2136" s="23" t="s">
        <v>4683</v>
      </c>
      <c r="F2136" s="23" t="s">
        <v>4682</v>
      </c>
      <c r="G2136" s="23" t="s">
        <v>4682</v>
      </c>
      <c r="H2136" s="23">
        <v>0</v>
      </c>
      <c r="I2136" s="23" t="s">
        <v>4682</v>
      </c>
      <c r="J2136" s="23" t="s">
        <v>4730</v>
      </c>
      <c r="K2136" s="23" t="s">
        <v>4737</v>
      </c>
      <c r="L2136">
        <v>1976</v>
      </c>
      <c r="M2136" s="15" t="s">
        <v>4707</v>
      </c>
      <c r="N2136">
        <v>4</v>
      </c>
      <c r="O2136">
        <v>2</v>
      </c>
      <c r="P2136" s="21">
        <f>DATEVALUE(N2136&amp;"-"&amp;M2136&amp;"-"&amp;L2136)</f>
        <v>28037</v>
      </c>
      <c r="Q2136" s="22">
        <v>35733.96</v>
      </c>
      <c r="R2136" s="23" t="s">
        <v>4697</v>
      </c>
      <c r="S2136" s="23" t="s">
        <v>4697</v>
      </c>
      <c r="T2136" s="23" t="s">
        <v>4708</v>
      </c>
      <c r="U2136" s="23">
        <f>DATEDIF(P2136, DATE(2023, 6, 8), "Y")</f>
        <v>46</v>
      </c>
      <c r="V2136">
        <f>SUM(C2136:K2136)</f>
        <v>32.950000000000003</v>
      </c>
    </row>
    <row r="2137" spans="1:22" ht="15.75">
      <c r="A2137" s="28" t="s">
        <v>4272</v>
      </c>
      <c r="B2137" s="28" t="s">
        <v>4273</v>
      </c>
      <c r="C2137" s="23">
        <v>22.3</v>
      </c>
      <c r="D2137" s="23">
        <v>4.8899999999999997</v>
      </c>
      <c r="E2137" s="23" t="s">
        <v>4683</v>
      </c>
      <c r="F2137" s="23" t="s">
        <v>4682</v>
      </c>
      <c r="G2137" s="23" t="s">
        <v>4682</v>
      </c>
      <c r="H2137" s="23">
        <v>0</v>
      </c>
      <c r="I2137" s="23" t="s">
        <v>4682</v>
      </c>
      <c r="J2137" s="23" t="s">
        <v>4728</v>
      </c>
      <c r="K2137" s="23" t="s">
        <v>4737</v>
      </c>
      <c r="L2137">
        <v>1992</v>
      </c>
      <c r="M2137" s="15" t="s">
        <v>4702</v>
      </c>
      <c r="N2137">
        <v>18</v>
      </c>
      <c r="O2137">
        <v>0</v>
      </c>
      <c r="P2137" s="21">
        <f>DATEVALUE(N2137&amp;"-"&amp;M2137&amp;"-"&amp;L2137)</f>
        <v>33773</v>
      </c>
      <c r="Q2137" s="22">
        <v>35883.269999999997</v>
      </c>
      <c r="R2137" s="23" t="s">
        <v>4697</v>
      </c>
      <c r="S2137" s="23" t="s">
        <v>4701</v>
      </c>
      <c r="T2137" s="23" t="s">
        <v>4708</v>
      </c>
      <c r="U2137" s="23">
        <f>DATEDIF(P2137, DATE(2023, 6, 8), "Y")</f>
        <v>30</v>
      </c>
      <c r="V2137">
        <f>SUM(C2137:K2137)</f>
        <v>27.19</v>
      </c>
    </row>
    <row r="2138" spans="1:22" ht="15.75">
      <c r="A2138" s="28" t="s">
        <v>4274</v>
      </c>
      <c r="B2138" s="28" t="s">
        <v>4275</v>
      </c>
      <c r="C2138" s="23">
        <v>26.03</v>
      </c>
      <c r="D2138" s="23">
        <v>5.81</v>
      </c>
      <c r="E2138" s="23" t="s">
        <v>4683</v>
      </c>
      <c r="F2138" s="23" t="s">
        <v>4682</v>
      </c>
      <c r="G2138" s="23" t="s">
        <v>4682</v>
      </c>
      <c r="H2138" s="23">
        <v>0</v>
      </c>
      <c r="I2138" s="23" t="s">
        <v>4682</v>
      </c>
      <c r="J2138" s="23" t="s">
        <v>4730</v>
      </c>
      <c r="K2138" s="23" t="s">
        <v>4736</v>
      </c>
      <c r="L2138">
        <v>1981</v>
      </c>
      <c r="M2138" s="15" t="s">
        <v>4700</v>
      </c>
      <c r="N2138">
        <v>22</v>
      </c>
      <c r="O2138">
        <v>1</v>
      </c>
      <c r="P2138" s="21">
        <f>DATEVALUE(N2138&amp;"-"&amp;M2138&amp;"-"&amp;L2138)</f>
        <v>29912</v>
      </c>
      <c r="Q2138" s="22">
        <v>35952.65</v>
      </c>
      <c r="R2138" s="23" t="s">
        <v>4701</v>
      </c>
      <c r="S2138" s="23" t="s">
        <v>4698</v>
      </c>
      <c r="T2138" s="23" t="s">
        <v>4708</v>
      </c>
      <c r="U2138" s="23">
        <f>DATEDIF(P2138, DATE(2023, 6, 8), "Y")</f>
        <v>41</v>
      </c>
      <c r="V2138">
        <f>SUM(C2138:K2138)</f>
        <v>31.84</v>
      </c>
    </row>
    <row r="2139" spans="1:22" ht="15.75">
      <c r="A2139" s="28" t="s">
        <v>4276</v>
      </c>
      <c r="B2139" s="28" t="s">
        <v>4277</v>
      </c>
      <c r="C2139" s="23">
        <v>27.74</v>
      </c>
      <c r="D2139" s="23">
        <v>4.29</v>
      </c>
      <c r="E2139" s="23" t="s">
        <v>4682</v>
      </c>
      <c r="F2139" s="23" t="s">
        <v>4683</v>
      </c>
      <c r="G2139" s="23" t="s">
        <v>4682</v>
      </c>
      <c r="H2139" s="23">
        <v>1</v>
      </c>
      <c r="I2139" s="23" t="s">
        <v>4682</v>
      </c>
      <c r="J2139" s="23" t="s">
        <v>4730</v>
      </c>
      <c r="K2139" s="23" t="s">
        <v>4737</v>
      </c>
      <c r="L2139">
        <v>1999</v>
      </c>
      <c r="M2139" s="15" t="s">
        <v>4703</v>
      </c>
      <c r="N2139">
        <v>4</v>
      </c>
      <c r="O2139">
        <v>2</v>
      </c>
      <c r="P2139" s="21">
        <f>DATEVALUE(N2139&amp;"-"&amp;M2139&amp;"-"&amp;L2139)</f>
        <v>36407</v>
      </c>
      <c r="Q2139" s="22">
        <v>36021.01</v>
      </c>
      <c r="R2139" s="23" t="s">
        <v>4697</v>
      </c>
      <c r="S2139" s="23" t="s">
        <v>4698</v>
      </c>
      <c r="T2139" s="23" t="s">
        <v>4699</v>
      </c>
      <c r="U2139" s="23">
        <f>DATEDIF(P2139, DATE(2023, 6, 8), "Y")</f>
        <v>23</v>
      </c>
      <c r="V2139">
        <f>SUM(C2139:K2139)</f>
        <v>33.03</v>
      </c>
    </row>
    <row r="2140" spans="1:22" ht="15.75">
      <c r="A2140" s="28" t="s">
        <v>4278</v>
      </c>
      <c r="B2140" s="28" t="s">
        <v>4279</v>
      </c>
      <c r="C2140" s="23">
        <v>32.11</v>
      </c>
      <c r="D2140" s="23">
        <v>4.03</v>
      </c>
      <c r="E2140" s="23" t="s">
        <v>4683</v>
      </c>
      <c r="F2140" s="23" t="s">
        <v>4683</v>
      </c>
      <c r="G2140" s="23" t="s">
        <v>4682</v>
      </c>
      <c r="H2140" s="23">
        <v>2</v>
      </c>
      <c r="I2140" s="23" t="s">
        <v>4682</v>
      </c>
      <c r="J2140" s="23" t="s">
        <v>4729</v>
      </c>
      <c r="K2140" s="23" t="s">
        <v>4737</v>
      </c>
      <c r="L2140">
        <v>1963</v>
      </c>
      <c r="M2140" s="15" t="s">
        <v>4696</v>
      </c>
      <c r="N2140">
        <v>22</v>
      </c>
      <c r="O2140">
        <v>0</v>
      </c>
      <c r="P2140" s="21">
        <f>DATEVALUE(N2140&amp;"-"&amp;M2140&amp;"-"&amp;L2140)</f>
        <v>23214</v>
      </c>
      <c r="Q2140" s="22">
        <v>36074.339999999997</v>
      </c>
      <c r="R2140" s="23" t="s">
        <v>4697</v>
      </c>
      <c r="S2140" s="23" t="s">
        <v>4701</v>
      </c>
      <c r="T2140" s="23" t="s">
        <v>4708</v>
      </c>
      <c r="U2140" s="23">
        <f>DATEDIF(P2140, DATE(2023, 6, 8), "Y")</f>
        <v>59</v>
      </c>
      <c r="V2140">
        <f>SUM(C2140:K2140)</f>
        <v>38.14</v>
      </c>
    </row>
    <row r="2141" spans="1:22" ht="15.75">
      <c r="A2141" s="28" t="s">
        <v>4280</v>
      </c>
      <c r="B2141" s="28" t="s">
        <v>4281</v>
      </c>
      <c r="C2141" s="23">
        <v>25.175000000000001</v>
      </c>
      <c r="D2141" s="23">
        <v>6.29</v>
      </c>
      <c r="E2141" s="23" t="s">
        <v>4683</v>
      </c>
      <c r="F2141" s="23" t="s">
        <v>4683</v>
      </c>
      <c r="G2141" s="23" t="s">
        <v>4682</v>
      </c>
      <c r="H2141" s="23">
        <v>2</v>
      </c>
      <c r="I2141" s="23" t="s">
        <v>4682</v>
      </c>
      <c r="J2141" s="23" t="s">
        <v>4730</v>
      </c>
      <c r="K2141" s="23" t="s">
        <v>4736</v>
      </c>
      <c r="L2141">
        <v>1996</v>
      </c>
      <c r="M2141" s="15" t="s">
        <v>4706</v>
      </c>
      <c r="N2141">
        <v>20</v>
      </c>
      <c r="O2141">
        <v>2</v>
      </c>
      <c r="P2141" s="21">
        <f>DATEVALUE(N2141&amp;"-"&amp;M2141&amp;"-"&amp;L2141)</f>
        <v>35297</v>
      </c>
      <c r="Q2141" s="22">
        <v>36085.22</v>
      </c>
      <c r="R2141" s="23" t="s">
        <v>4701</v>
      </c>
      <c r="S2141" s="23" t="s">
        <v>4701</v>
      </c>
      <c r="T2141" s="23" t="s">
        <v>4708</v>
      </c>
      <c r="U2141" s="23">
        <f>DATEDIF(P2141, DATE(2023, 6, 8), "Y")</f>
        <v>26</v>
      </c>
      <c r="V2141">
        <f>SUM(C2141:K2141)</f>
        <v>33.465000000000003</v>
      </c>
    </row>
    <row r="2142" spans="1:22" ht="15.75">
      <c r="A2142" s="28" t="s">
        <v>4282</v>
      </c>
      <c r="B2142" s="28" t="s">
        <v>4283</v>
      </c>
      <c r="C2142" s="23">
        <v>39.49</v>
      </c>
      <c r="D2142" s="23">
        <v>4.4800000000000004</v>
      </c>
      <c r="E2142" s="23" t="s">
        <v>4683</v>
      </c>
      <c r="F2142" s="23" t="s">
        <v>4682</v>
      </c>
      <c r="G2142" s="23" t="s">
        <v>4682</v>
      </c>
      <c r="H2142" s="23">
        <v>0</v>
      </c>
      <c r="I2142" s="23" t="s">
        <v>4682</v>
      </c>
      <c r="J2142" s="23" t="s">
        <v>4729</v>
      </c>
      <c r="K2142" s="23" t="s">
        <v>4737</v>
      </c>
      <c r="L2142">
        <v>1979</v>
      </c>
      <c r="M2142" s="15" t="s">
        <v>4700</v>
      </c>
      <c r="N2142">
        <v>4</v>
      </c>
      <c r="O2142">
        <v>2</v>
      </c>
      <c r="P2142" s="21">
        <f>DATEVALUE(N2142&amp;"-"&amp;M2142&amp;"-"&amp;L2142)</f>
        <v>29163</v>
      </c>
      <c r="Q2142" s="22">
        <v>36090.49</v>
      </c>
      <c r="R2142" s="23" t="s">
        <v>4697</v>
      </c>
      <c r="S2142" s="23" t="s">
        <v>4697</v>
      </c>
      <c r="T2142" s="23" t="s">
        <v>4708</v>
      </c>
      <c r="U2142" s="23">
        <f>DATEDIF(P2142, DATE(2023, 6, 8), "Y")</f>
        <v>43</v>
      </c>
      <c r="V2142">
        <f>SUM(C2142:K2142)</f>
        <v>43.97</v>
      </c>
    </row>
    <row r="2143" spans="1:22" ht="15.75">
      <c r="A2143" s="28" t="s">
        <v>4284</v>
      </c>
      <c r="B2143" s="28" t="s">
        <v>4285</v>
      </c>
      <c r="C2143" s="23">
        <v>34.869999999999997</v>
      </c>
      <c r="D2143" s="23">
        <v>5.51</v>
      </c>
      <c r="E2143" s="23" t="s">
        <v>4683</v>
      </c>
      <c r="F2143" s="23" t="s">
        <v>4682</v>
      </c>
      <c r="G2143" s="23" t="s">
        <v>4682</v>
      </c>
      <c r="H2143" s="23">
        <v>0</v>
      </c>
      <c r="I2143" s="23" t="s">
        <v>4682</v>
      </c>
      <c r="J2143" s="23" t="s">
        <v>4729</v>
      </c>
      <c r="K2143" s="23" t="s">
        <v>4737</v>
      </c>
      <c r="L2143">
        <v>1997</v>
      </c>
      <c r="M2143" s="15" t="s">
        <v>4702</v>
      </c>
      <c r="N2143">
        <v>12</v>
      </c>
      <c r="O2143">
        <v>2</v>
      </c>
      <c r="P2143" s="21">
        <f>DATEVALUE(N2143&amp;"-"&amp;M2143&amp;"-"&amp;L2143)</f>
        <v>35593</v>
      </c>
      <c r="Q2143" s="22">
        <v>36124.57</v>
      </c>
      <c r="R2143" s="23" t="s">
        <v>4701</v>
      </c>
      <c r="S2143" s="23" t="s">
        <v>4698</v>
      </c>
      <c r="T2143" s="23" t="s">
        <v>4699</v>
      </c>
      <c r="U2143" s="23">
        <f>DATEDIF(P2143, DATE(2023, 6, 8), "Y")</f>
        <v>25</v>
      </c>
      <c r="V2143">
        <f>SUM(C2143:K2143)</f>
        <v>40.379999999999995</v>
      </c>
    </row>
    <row r="2144" spans="1:22" ht="15.75">
      <c r="A2144" s="28" t="s">
        <v>4286</v>
      </c>
      <c r="B2144" s="28" t="s">
        <v>4287</v>
      </c>
      <c r="C2144" s="23">
        <v>34.6</v>
      </c>
      <c r="D2144" s="23">
        <v>4.5</v>
      </c>
      <c r="E2144" s="23" t="s">
        <v>4683</v>
      </c>
      <c r="F2144" s="23" t="s">
        <v>4682</v>
      </c>
      <c r="G2144" s="23" t="s">
        <v>4682</v>
      </c>
      <c r="H2144" s="23">
        <v>0</v>
      </c>
      <c r="I2144" s="23" t="s">
        <v>4682</v>
      </c>
      <c r="J2144" s="23" t="s">
        <v>4729</v>
      </c>
      <c r="K2144" s="23" t="s">
        <v>4737</v>
      </c>
      <c r="L2144">
        <v>2004</v>
      </c>
      <c r="M2144" s="15" t="s">
        <v>4706</v>
      </c>
      <c r="N2144">
        <v>30</v>
      </c>
      <c r="O2144">
        <v>0</v>
      </c>
      <c r="P2144" s="21">
        <f>DATEVALUE(N2144&amp;"-"&amp;M2144&amp;"-"&amp;L2144)</f>
        <v>38229</v>
      </c>
      <c r="Q2144" s="22">
        <v>36149.480000000003</v>
      </c>
      <c r="R2144" s="23" t="s">
        <v>4697</v>
      </c>
      <c r="S2144" s="23" t="s">
        <v>4697</v>
      </c>
      <c r="T2144" s="23" t="s">
        <v>4699</v>
      </c>
      <c r="U2144" s="23">
        <f>DATEDIF(P2144, DATE(2023, 6, 8), "Y")</f>
        <v>18</v>
      </c>
      <c r="V2144">
        <f>SUM(C2144:K2144)</f>
        <v>39.1</v>
      </c>
    </row>
    <row r="2145" spans="1:22" ht="15.75">
      <c r="A2145" s="28" t="s">
        <v>4288</v>
      </c>
      <c r="B2145" s="28" t="s">
        <v>4289</v>
      </c>
      <c r="C2145" s="23">
        <v>25.8</v>
      </c>
      <c r="D2145" s="23">
        <v>6.29</v>
      </c>
      <c r="E2145" s="23" t="s">
        <v>4683</v>
      </c>
      <c r="F2145" s="23" t="s">
        <v>4682</v>
      </c>
      <c r="G2145" s="23" t="s">
        <v>4682</v>
      </c>
      <c r="H2145" s="23">
        <v>0</v>
      </c>
      <c r="I2145" s="23" t="s">
        <v>4682</v>
      </c>
      <c r="J2145" s="23" t="s">
        <v>4730</v>
      </c>
      <c r="K2145" s="23" t="s">
        <v>4736</v>
      </c>
      <c r="L2145">
        <v>1974</v>
      </c>
      <c r="M2145" s="15" t="s">
        <v>4705</v>
      </c>
      <c r="N2145">
        <v>6</v>
      </c>
      <c r="O2145">
        <v>0</v>
      </c>
      <c r="P2145" s="21">
        <f>DATEVALUE(N2145&amp;"-"&amp;M2145&amp;"-"&amp;L2145)</f>
        <v>27369</v>
      </c>
      <c r="Q2145" s="22">
        <v>36182.870000000003</v>
      </c>
      <c r="R2145" s="23" t="s">
        <v>4697</v>
      </c>
      <c r="S2145" s="23" t="s">
        <v>4698</v>
      </c>
      <c r="T2145" s="23" t="s">
        <v>4704</v>
      </c>
      <c r="U2145" s="23">
        <f>DATEDIF(P2145, DATE(2023, 6, 8), "Y")</f>
        <v>48</v>
      </c>
      <c r="V2145">
        <f>SUM(C2145:K2145)</f>
        <v>32.090000000000003</v>
      </c>
    </row>
    <row r="2146" spans="1:22" ht="15.75">
      <c r="A2146" s="28" t="s">
        <v>4290</v>
      </c>
      <c r="B2146" s="28" t="s">
        <v>4291</v>
      </c>
      <c r="C2146" s="23">
        <v>35.86</v>
      </c>
      <c r="D2146" s="23">
        <v>4.33</v>
      </c>
      <c r="E2146" s="23" t="s">
        <v>4682</v>
      </c>
      <c r="F2146" s="23" t="s">
        <v>4682</v>
      </c>
      <c r="G2146" s="23" t="s">
        <v>4682</v>
      </c>
      <c r="H2146" s="23">
        <v>1</v>
      </c>
      <c r="I2146" s="23" t="s">
        <v>4682</v>
      </c>
      <c r="J2146" s="23" t="s">
        <v>4729</v>
      </c>
      <c r="K2146" s="23" t="s">
        <v>4737</v>
      </c>
      <c r="L2146">
        <v>1999</v>
      </c>
      <c r="M2146" s="15" t="s">
        <v>4707</v>
      </c>
      <c r="N2146">
        <v>1</v>
      </c>
      <c r="O2146">
        <v>3</v>
      </c>
      <c r="P2146" s="21">
        <f>DATEVALUE(N2146&amp;"-"&amp;M2146&amp;"-"&amp;L2146)</f>
        <v>36434</v>
      </c>
      <c r="Q2146" s="22">
        <v>36189.1</v>
      </c>
      <c r="R2146" s="23" t="s">
        <v>4701</v>
      </c>
      <c r="S2146" s="23" t="s">
        <v>4698</v>
      </c>
      <c r="T2146" s="23" t="s">
        <v>4711</v>
      </c>
      <c r="U2146" s="23">
        <f>DATEDIF(P2146, DATE(2023, 6, 8), "Y")</f>
        <v>23</v>
      </c>
      <c r="V2146">
        <f>SUM(C2146:K2146)</f>
        <v>41.19</v>
      </c>
    </row>
    <row r="2147" spans="1:22" ht="15.75">
      <c r="A2147" s="28" t="s">
        <v>4292</v>
      </c>
      <c r="B2147" s="28" t="s">
        <v>4293</v>
      </c>
      <c r="C2147" s="23">
        <v>40.47</v>
      </c>
      <c r="D2147" s="23">
        <v>11.15</v>
      </c>
      <c r="E2147" s="23" t="s">
        <v>4682</v>
      </c>
      <c r="F2147" s="23" t="s">
        <v>4682</v>
      </c>
      <c r="G2147" s="23" t="s">
        <v>4682</v>
      </c>
      <c r="H2147" s="23">
        <v>0</v>
      </c>
      <c r="I2147" s="23" t="s">
        <v>4682</v>
      </c>
      <c r="J2147" s="23" t="s">
        <v>4729</v>
      </c>
      <c r="K2147" s="23" t="s">
        <v>4735</v>
      </c>
      <c r="L2147">
        <v>1993</v>
      </c>
      <c r="M2147" s="15" t="s">
        <v>4705</v>
      </c>
      <c r="N2147">
        <v>28</v>
      </c>
      <c r="O2147">
        <v>0</v>
      </c>
      <c r="P2147" s="21">
        <f>DATEVALUE(N2147&amp;"-"&amp;M2147&amp;"-"&amp;L2147)</f>
        <v>34331</v>
      </c>
      <c r="Q2147" s="22">
        <v>36197.699999999997</v>
      </c>
      <c r="R2147" s="23" t="s">
        <v>4701</v>
      </c>
      <c r="S2147" s="23" t="s">
        <v>4698</v>
      </c>
      <c r="T2147" s="23" t="s">
        <v>4708</v>
      </c>
      <c r="U2147" s="23">
        <f>DATEDIF(P2147, DATE(2023, 6, 8), "Y")</f>
        <v>29</v>
      </c>
      <c r="V2147">
        <f>SUM(C2147:K2147)</f>
        <v>51.62</v>
      </c>
    </row>
    <row r="2148" spans="1:22" ht="15.75">
      <c r="A2148" s="28" t="s">
        <v>4294</v>
      </c>
      <c r="B2148" s="28" t="s">
        <v>4295</v>
      </c>
      <c r="C2148" s="23">
        <v>32.01</v>
      </c>
      <c r="D2148" s="23">
        <v>6.45</v>
      </c>
      <c r="E2148" s="23" t="s">
        <v>4682</v>
      </c>
      <c r="F2148" s="23" t="s">
        <v>4682</v>
      </c>
      <c r="G2148" s="23" t="s">
        <v>4682</v>
      </c>
      <c r="H2148" s="23">
        <v>1</v>
      </c>
      <c r="I2148" s="23" t="s">
        <v>4682</v>
      </c>
      <c r="J2148" s="23" t="s">
        <v>4729</v>
      </c>
      <c r="K2148" s="23" t="s">
        <v>4735</v>
      </c>
      <c r="L2148">
        <v>2003</v>
      </c>
      <c r="M2148" s="15" t="s">
        <v>4703</v>
      </c>
      <c r="N2148">
        <v>5</v>
      </c>
      <c r="O2148">
        <v>0</v>
      </c>
      <c r="P2148" s="21">
        <f>DATEVALUE(N2148&amp;"-"&amp;M2148&amp;"-"&amp;L2148)</f>
        <v>37869</v>
      </c>
      <c r="Q2148" s="22">
        <v>36219.410000000003</v>
      </c>
      <c r="R2148" s="23" t="s">
        <v>4701</v>
      </c>
      <c r="S2148" s="23" t="s">
        <v>4701</v>
      </c>
      <c r="T2148" s="23" t="s">
        <v>4704</v>
      </c>
      <c r="U2148" s="23">
        <f>DATEDIF(P2148, DATE(2023, 6, 8), "Y")</f>
        <v>19</v>
      </c>
      <c r="V2148">
        <f>SUM(C2148:K2148)</f>
        <v>39.46</v>
      </c>
    </row>
    <row r="2149" spans="1:22" ht="15.75">
      <c r="A2149" s="28" t="s">
        <v>4296</v>
      </c>
      <c r="B2149" s="28" t="s">
        <v>4297</v>
      </c>
      <c r="C2149" s="23">
        <v>33</v>
      </c>
      <c r="D2149" s="23">
        <v>9.27</v>
      </c>
      <c r="E2149" s="23" t="s">
        <v>4682</v>
      </c>
      <c r="F2149" s="23" t="s">
        <v>4682</v>
      </c>
      <c r="G2149" s="23" t="s">
        <v>4682</v>
      </c>
      <c r="H2149" s="23">
        <v>0</v>
      </c>
      <c r="I2149" s="23" t="s">
        <v>4682</v>
      </c>
      <c r="J2149" s="23" t="s">
        <v>4729</v>
      </c>
      <c r="K2149" s="23" t="s">
        <v>4735</v>
      </c>
      <c r="L2149">
        <v>2004</v>
      </c>
      <c r="M2149" s="15" t="s">
        <v>4705</v>
      </c>
      <c r="N2149">
        <v>25</v>
      </c>
      <c r="O2149">
        <v>0</v>
      </c>
      <c r="P2149" s="21">
        <f>DATEVALUE(N2149&amp;"-"&amp;M2149&amp;"-"&amp;L2149)</f>
        <v>38346</v>
      </c>
      <c r="Q2149" s="22">
        <v>36307.800000000003</v>
      </c>
      <c r="R2149" s="23" t="s">
        <v>4701</v>
      </c>
      <c r="S2149" s="23" t="s">
        <v>4697</v>
      </c>
      <c r="T2149" s="23" t="s">
        <v>4699</v>
      </c>
      <c r="U2149" s="23">
        <f>DATEDIF(P2149, DATE(2023, 6, 8), "Y")</f>
        <v>18</v>
      </c>
      <c r="V2149">
        <f>SUM(C2149:K2149)</f>
        <v>42.269999999999996</v>
      </c>
    </row>
    <row r="2150" spans="1:22" ht="15.75">
      <c r="A2150" s="28" t="s">
        <v>4298</v>
      </c>
      <c r="B2150" s="28" t="s">
        <v>4299</v>
      </c>
      <c r="C2150" s="23">
        <v>29.3</v>
      </c>
      <c r="D2150" s="23">
        <v>6.15</v>
      </c>
      <c r="E2150" s="23" t="s">
        <v>4682</v>
      </c>
      <c r="F2150" s="23" t="s">
        <v>4682</v>
      </c>
      <c r="G2150" s="23" t="s">
        <v>4682</v>
      </c>
      <c r="H2150" s="23">
        <v>1</v>
      </c>
      <c r="I2150" s="23" t="s">
        <v>4682</v>
      </c>
      <c r="J2150" s="23" t="s">
        <v>4730</v>
      </c>
      <c r="K2150" s="23" t="s">
        <v>4736</v>
      </c>
      <c r="L2150">
        <v>1992</v>
      </c>
      <c r="M2150" s="15" t="s">
        <v>4702</v>
      </c>
      <c r="N2150">
        <v>16</v>
      </c>
      <c r="O2150">
        <v>0</v>
      </c>
      <c r="P2150" s="21">
        <f>DATEVALUE(N2150&amp;"-"&amp;M2150&amp;"-"&amp;L2150)</f>
        <v>33771</v>
      </c>
      <c r="Q2150" s="22">
        <v>36314.050000000003</v>
      </c>
      <c r="R2150" s="23" t="s">
        <v>4697</v>
      </c>
      <c r="S2150" s="23" t="s">
        <v>4697</v>
      </c>
      <c r="T2150" s="23" t="s">
        <v>4708</v>
      </c>
      <c r="U2150" s="23">
        <f>DATEDIF(P2150, DATE(2023, 6, 8), "Y")</f>
        <v>30</v>
      </c>
      <c r="V2150">
        <f>SUM(C2150:K2150)</f>
        <v>36.450000000000003</v>
      </c>
    </row>
    <row r="2151" spans="1:22" ht="15.75">
      <c r="A2151" s="28" t="s">
        <v>4300</v>
      </c>
      <c r="B2151" s="28" t="s">
        <v>4301</v>
      </c>
      <c r="C2151" s="23">
        <v>25.8</v>
      </c>
      <c r="D2151" s="23">
        <v>4.13</v>
      </c>
      <c r="E2151" s="23" t="s">
        <v>4682</v>
      </c>
      <c r="F2151" s="23" t="s">
        <v>4682</v>
      </c>
      <c r="G2151" s="23" t="s">
        <v>4682</v>
      </c>
      <c r="H2151" s="23">
        <v>1</v>
      </c>
      <c r="I2151" s="23" t="s">
        <v>4682</v>
      </c>
      <c r="J2151" s="23" t="s">
        <v>4730</v>
      </c>
      <c r="K2151" s="23" t="s">
        <v>4737</v>
      </c>
      <c r="L2151">
        <v>1967</v>
      </c>
      <c r="M2151" s="15" t="s">
        <v>4707</v>
      </c>
      <c r="N2151">
        <v>18</v>
      </c>
      <c r="O2151">
        <v>0</v>
      </c>
      <c r="P2151" s="21">
        <f>DATEVALUE(N2151&amp;"-"&amp;M2151&amp;"-"&amp;L2151)</f>
        <v>24763</v>
      </c>
      <c r="Q2151" s="22">
        <v>36332.449999999997</v>
      </c>
      <c r="R2151" s="23" t="s">
        <v>4701</v>
      </c>
      <c r="S2151" s="23" t="s">
        <v>4698</v>
      </c>
      <c r="T2151" s="23" t="s">
        <v>4708</v>
      </c>
      <c r="U2151" s="23">
        <f>DATEDIF(P2151, DATE(2023, 6, 8), "Y")</f>
        <v>55</v>
      </c>
      <c r="V2151">
        <f>SUM(C2151:K2151)</f>
        <v>30.93</v>
      </c>
    </row>
    <row r="2152" spans="1:22" ht="15.75">
      <c r="A2152" s="28" t="s">
        <v>4302</v>
      </c>
      <c r="B2152" s="28" t="s">
        <v>4303</v>
      </c>
      <c r="C2152" s="23">
        <v>23.4</v>
      </c>
      <c r="D2152" s="23">
        <v>4.24</v>
      </c>
      <c r="E2152" s="23" t="s">
        <v>4682</v>
      </c>
      <c r="F2152" s="23" t="s">
        <v>4682</v>
      </c>
      <c r="G2152" s="23" t="s">
        <v>4682</v>
      </c>
      <c r="H2152" s="23">
        <v>1</v>
      </c>
      <c r="I2152" s="23" t="s">
        <v>4682</v>
      </c>
      <c r="J2152" s="23" t="s">
        <v>4728</v>
      </c>
      <c r="K2152" s="23" t="s">
        <v>4737</v>
      </c>
      <c r="L2152">
        <v>1975</v>
      </c>
      <c r="M2152" s="15" t="s">
        <v>4702</v>
      </c>
      <c r="N2152">
        <v>5</v>
      </c>
      <c r="O2152">
        <v>1</v>
      </c>
      <c r="P2152" s="21">
        <f>DATEVALUE(N2152&amp;"-"&amp;M2152&amp;"-"&amp;L2152)</f>
        <v>27550</v>
      </c>
      <c r="Q2152" s="22">
        <v>36350.71</v>
      </c>
      <c r="R2152" s="23" t="s">
        <v>4701</v>
      </c>
      <c r="S2152" s="23" t="s">
        <v>4697</v>
      </c>
      <c r="T2152" s="23" t="s">
        <v>4708</v>
      </c>
      <c r="U2152" s="23">
        <f>DATEDIF(P2152, DATE(2023, 6, 8), "Y")</f>
        <v>48</v>
      </c>
      <c r="V2152">
        <f>SUM(C2152:K2152)</f>
        <v>28.64</v>
      </c>
    </row>
    <row r="2153" spans="1:22" ht="15.75">
      <c r="A2153" s="28" t="s">
        <v>4304</v>
      </c>
      <c r="B2153" s="28" t="s">
        <v>4305</v>
      </c>
      <c r="C2153" s="23">
        <v>27.93</v>
      </c>
      <c r="D2153" s="23">
        <v>9.8800000000000008</v>
      </c>
      <c r="E2153" s="23" t="s">
        <v>4682</v>
      </c>
      <c r="F2153" s="23" t="s">
        <v>4682</v>
      </c>
      <c r="G2153" s="23" t="s">
        <v>4682</v>
      </c>
      <c r="H2153" s="23">
        <v>0</v>
      </c>
      <c r="I2153" s="23" t="s">
        <v>4682</v>
      </c>
      <c r="J2153" s="23" t="s">
        <v>4730</v>
      </c>
      <c r="K2153" s="23" t="s">
        <v>4735</v>
      </c>
      <c r="L2153">
        <v>2003</v>
      </c>
      <c r="M2153" s="15" t="s">
        <v>4705</v>
      </c>
      <c r="N2153">
        <v>9</v>
      </c>
      <c r="O2153">
        <v>2</v>
      </c>
      <c r="P2153" s="21">
        <f>DATEVALUE(N2153&amp;"-"&amp;M2153&amp;"-"&amp;L2153)</f>
        <v>37964</v>
      </c>
      <c r="Q2153" s="22">
        <v>36397.58</v>
      </c>
      <c r="R2153" s="23" t="s">
        <v>4697</v>
      </c>
      <c r="S2153" s="23" t="s">
        <v>4698</v>
      </c>
      <c r="T2153" s="23" t="s">
        <v>4708</v>
      </c>
      <c r="U2153" s="23">
        <f>DATEDIF(P2153, DATE(2023, 6, 8), "Y")</f>
        <v>19</v>
      </c>
      <c r="V2153">
        <f>SUM(C2153:K2153)</f>
        <v>37.81</v>
      </c>
    </row>
    <row r="2154" spans="1:22" ht="15.75">
      <c r="A2154" s="28" t="s">
        <v>4306</v>
      </c>
      <c r="B2154" s="28" t="s">
        <v>4307</v>
      </c>
      <c r="C2154" s="23">
        <v>22</v>
      </c>
      <c r="D2154" s="23">
        <v>9.5</v>
      </c>
      <c r="E2154" s="23" t="s">
        <v>4682</v>
      </c>
      <c r="F2154" s="23" t="s">
        <v>4682</v>
      </c>
      <c r="G2154" s="23" t="s">
        <v>4682</v>
      </c>
      <c r="H2154" s="23">
        <v>0</v>
      </c>
      <c r="I2154" s="23" t="s">
        <v>4682</v>
      </c>
      <c r="J2154" s="23" t="s">
        <v>4728</v>
      </c>
      <c r="K2154" s="23" t="s">
        <v>4735</v>
      </c>
      <c r="L2154">
        <v>1962</v>
      </c>
      <c r="M2154" s="15" t="s">
        <v>4700</v>
      </c>
      <c r="N2154">
        <v>19</v>
      </c>
      <c r="O2154">
        <v>0</v>
      </c>
      <c r="P2154" s="21">
        <f>DATEVALUE(N2154&amp;"-"&amp;M2154&amp;"-"&amp;L2154)</f>
        <v>22969</v>
      </c>
      <c r="Q2154" s="22">
        <v>36445.550000000003</v>
      </c>
      <c r="R2154" s="23" t="s">
        <v>4697</v>
      </c>
      <c r="S2154" s="23" t="s">
        <v>4697</v>
      </c>
      <c r="T2154" s="23" t="s">
        <v>4708</v>
      </c>
      <c r="U2154" s="23">
        <f>DATEDIF(P2154, DATE(2023, 6, 8), "Y")</f>
        <v>60</v>
      </c>
      <c r="V2154">
        <f>SUM(C2154:K2154)</f>
        <v>31.5</v>
      </c>
    </row>
    <row r="2155" spans="1:22" ht="15.75">
      <c r="A2155" s="28" t="s">
        <v>4308</v>
      </c>
      <c r="B2155" s="28" t="s">
        <v>4309</v>
      </c>
      <c r="C2155" s="23">
        <v>36.86</v>
      </c>
      <c r="D2155" s="23">
        <v>4.97</v>
      </c>
      <c r="E2155" s="23" t="s">
        <v>4683</v>
      </c>
      <c r="F2155" s="23" t="s">
        <v>4682</v>
      </c>
      <c r="G2155" s="23" t="s">
        <v>4682</v>
      </c>
      <c r="H2155" s="23">
        <v>0</v>
      </c>
      <c r="I2155" s="23" t="s">
        <v>4682</v>
      </c>
      <c r="J2155" s="23" t="s">
        <v>4729</v>
      </c>
      <c r="K2155" s="23" t="s">
        <v>4737</v>
      </c>
      <c r="L2155">
        <v>1973</v>
      </c>
      <c r="M2155" s="15" t="s">
        <v>4706</v>
      </c>
      <c r="N2155">
        <v>9</v>
      </c>
      <c r="O2155">
        <v>0</v>
      </c>
      <c r="P2155" s="21">
        <f>DATEVALUE(N2155&amp;"-"&amp;M2155&amp;"-"&amp;L2155)</f>
        <v>26885</v>
      </c>
      <c r="Q2155" s="22">
        <v>36541.550000000003</v>
      </c>
      <c r="R2155" s="23" t="s">
        <v>4697</v>
      </c>
      <c r="S2155" s="23" t="s">
        <v>4698</v>
      </c>
      <c r="T2155" s="23" t="s">
        <v>4708</v>
      </c>
      <c r="U2155" s="23">
        <f>DATEDIF(P2155, DATE(2023, 6, 8), "Y")</f>
        <v>49</v>
      </c>
      <c r="V2155">
        <f>SUM(C2155:K2155)</f>
        <v>41.83</v>
      </c>
    </row>
    <row r="2156" spans="1:22" ht="15.75">
      <c r="A2156" s="28" t="s">
        <v>4310</v>
      </c>
      <c r="B2156" s="28" t="s">
        <v>4311</v>
      </c>
      <c r="C2156" s="23">
        <v>31.254999999999999</v>
      </c>
      <c r="D2156" s="23">
        <v>5.49</v>
      </c>
      <c r="E2156" s="23" t="s">
        <v>4683</v>
      </c>
      <c r="F2156" s="23" t="s">
        <v>4682</v>
      </c>
      <c r="G2156" s="23" t="s">
        <v>4682</v>
      </c>
      <c r="H2156" s="23">
        <v>0</v>
      </c>
      <c r="I2156" s="23" t="s">
        <v>4682</v>
      </c>
      <c r="J2156" s="23" t="s">
        <v>4729</v>
      </c>
      <c r="K2156" s="23" t="s">
        <v>4737</v>
      </c>
      <c r="L2156">
        <v>1992</v>
      </c>
      <c r="M2156" s="15" t="s">
        <v>4707</v>
      </c>
      <c r="N2156">
        <v>9</v>
      </c>
      <c r="O2156">
        <v>0</v>
      </c>
      <c r="P2156" s="21">
        <f>DATEVALUE(N2156&amp;"-"&amp;M2156&amp;"-"&amp;L2156)</f>
        <v>33886</v>
      </c>
      <c r="Q2156" s="22">
        <v>36572.800000000003</v>
      </c>
      <c r="R2156" s="23" t="s">
        <v>4701</v>
      </c>
      <c r="S2156" s="23" t="s">
        <v>4697</v>
      </c>
      <c r="T2156" s="23" t="s">
        <v>4708</v>
      </c>
      <c r="U2156" s="23">
        <f>DATEDIF(P2156, DATE(2023, 6, 8), "Y")</f>
        <v>30</v>
      </c>
      <c r="V2156">
        <f>SUM(C2156:K2156)</f>
        <v>36.744999999999997</v>
      </c>
    </row>
    <row r="2157" spans="1:22" ht="15.75">
      <c r="A2157" s="28" t="s">
        <v>4312</v>
      </c>
      <c r="B2157" s="28" t="s">
        <v>4313</v>
      </c>
      <c r="C2157" s="23">
        <v>23.06</v>
      </c>
      <c r="D2157" s="23">
        <v>4.47</v>
      </c>
      <c r="E2157" s="23" t="s">
        <v>4682</v>
      </c>
      <c r="F2157" s="23" t="s">
        <v>4682</v>
      </c>
      <c r="G2157" s="23" t="s">
        <v>4682</v>
      </c>
      <c r="H2157" s="23">
        <v>0</v>
      </c>
      <c r="I2157" s="23" t="s">
        <v>4682</v>
      </c>
      <c r="J2157" s="23" t="s">
        <v>4728</v>
      </c>
      <c r="K2157" s="23" t="s">
        <v>4737</v>
      </c>
      <c r="L2157">
        <v>1961</v>
      </c>
      <c r="M2157" s="15" t="s">
        <v>4696</v>
      </c>
      <c r="N2157">
        <v>29</v>
      </c>
      <c r="O2157">
        <v>4</v>
      </c>
      <c r="P2157" s="21">
        <f>DATEVALUE(N2157&amp;"-"&amp;M2157&amp;"-"&amp;L2157)</f>
        <v>22491</v>
      </c>
      <c r="Q2157" s="22">
        <v>36580.28</v>
      </c>
      <c r="R2157" s="23" t="s">
        <v>4697</v>
      </c>
      <c r="S2157" s="23" t="s">
        <v>4697</v>
      </c>
      <c r="T2157" s="23" t="s">
        <v>4699</v>
      </c>
      <c r="U2157" s="23">
        <f>DATEDIF(P2157, DATE(2023, 6, 8), "Y")</f>
        <v>61</v>
      </c>
      <c r="V2157">
        <f>SUM(C2157:K2157)</f>
        <v>27.529999999999998</v>
      </c>
    </row>
    <row r="2158" spans="1:22" ht="15.75">
      <c r="A2158" s="28" t="s">
        <v>4314</v>
      </c>
      <c r="B2158" s="28" t="s">
        <v>4315</v>
      </c>
      <c r="C2158" s="23">
        <v>28.975000000000001</v>
      </c>
      <c r="D2158" s="23">
        <v>4.34</v>
      </c>
      <c r="E2158" s="23" t="s">
        <v>4683</v>
      </c>
      <c r="F2158" s="23" t="s">
        <v>4682</v>
      </c>
      <c r="G2158" s="23" t="s">
        <v>4682</v>
      </c>
      <c r="H2158" s="23">
        <v>0</v>
      </c>
      <c r="I2158" s="23" t="s">
        <v>4682</v>
      </c>
      <c r="J2158" s="23" t="s">
        <v>4730</v>
      </c>
      <c r="K2158" s="23" t="s">
        <v>4737</v>
      </c>
      <c r="L2158">
        <v>1970</v>
      </c>
      <c r="M2158" s="15" t="s">
        <v>4696</v>
      </c>
      <c r="N2158">
        <v>14</v>
      </c>
      <c r="O2158">
        <v>0</v>
      </c>
      <c r="P2158" s="21">
        <f>DATEVALUE(N2158&amp;"-"&amp;M2158&amp;"-"&amp;L2158)</f>
        <v>25763</v>
      </c>
      <c r="Q2158" s="22">
        <v>36786.370000000003</v>
      </c>
      <c r="R2158" s="23" t="s">
        <v>4701</v>
      </c>
      <c r="S2158" s="23" t="s">
        <v>4701</v>
      </c>
      <c r="T2158" s="23" t="s">
        <v>4708</v>
      </c>
      <c r="U2158" s="23">
        <f>DATEDIF(P2158, DATE(2023, 6, 8), "Y")</f>
        <v>52</v>
      </c>
      <c r="V2158">
        <f>SUM(C2158:K2158)</f>
        <v>33.314999999999998</v>
      </c>
    </row>
    <row r="2159" spans="1:22" ht="15.75">
      <c r="A2159" s="28" t="s">
        <v>4316</v>
      </c>
      <c r="B2159" s="28" t="s">
        <v>4317</v>
      </c>
      <c r="C2159" s="23">
        <v>33.299999999999997</v>
      </c>
      <c r="D2159" s="23">
        <v>9.49</v>
      </c>
      <c r="E2159" s="23" t="s">
        <v>4682</v>
      </c>
      <c r="F2159" s="23" t="s">
        <v>4682</v>
      </c>
      <c r="G2159" s="23" t="s">
        <v>4682</v>
      </c>
      <c r="H2159" s="23">
        <v>0</v>
      </c>
      <c r="I2159" s="23" t="s">
        <v>4682</v>
      </c>
      <c r="J2159" s="23" t="s">
        <v>4729</v>
      </c>
      <c r="K2159" s="23" t="s">
        <v>4735</v>
      </c>
      <c r="L2159">
        <v>1965</v>
      </c>
      <c r="M2159" s="15" t="s">
        <v>4705</v>
      </c>
      <c r="N2159">
        <v>28</v>
      </c>
      <c r="O2159">
        <v>0</v>
      </c>
      <c r="P2159" s="21">
        <f>DATEVALUE(N2159&amp;"-"&amp;M2159&amp;"-"&amp;L2159)</f>
        <v>24104</v>
      </c>
      <c r="Q2159" s="22">
        <v>36795.29</v>
      </c>
      <c r="R2159" s="23" t="s">
        <v>4697</v>
      </c>
      <c r="S2159" s="23" t="s">
        <v>4701</v>
      </c>
      <c r="T2159" s="23" t="s">
        <v>4708</v>
      </c>
      <c r="U2159" s="23">
        <f>DATEDIF(P2159, DATE(2023, 6, 8), "Y")</f>
        <v>57</v>
      </c>
      <c r="V2159">
        <f>SUM(C2159:K2159)</f>
        <v>42.79</v>
      </c>
    </row>
    <row r="2160" spans="1:22" ht="15.75">
      <c r="A2160" s="28" t="s">
        <v>4318</v>
      </c>
      <c r="B2160" s="28" t="s">
        <v>4319</v>
      </c>
      <c r="C2160" s="23">
        <v>33</v>
      </c>
      <c r="D2160" s="23">
        <v>10.16</v>
      </c>
      <c r="E2160" s="23" t="s">
        <v>4682</v>
      </c>
      <c r="F2160" s="23" t="s">
        <v>4682</v>
      </c>
      <c r="G2160" s="23" t="s">
        <v>4682</v>
      </c>
      <c r="H2160" s="23">
        <v>0</v>
      </c>
      <c r="I2160" s="23" t="s">
        <v>4682</v>
      </c>
      <c r="J2160" s="23" t="s">
        <v>4729</v>
      </c>
      <c r="K2160" s="23" t="s">
        <v>4735</v>
      </c>
      <c r="L2160">
        <v>1992</v>
      </c>
      <c r="M2160" s="15" t="s">
        <v>4707</v>
      </c>
      <c r="N2160">
        <v>6</v>
      </c>
      <c r="O2160">
        <v>0</v>
      </c>
      <c r="P2160" s="21">
        <f>DATEVALUE(N2160&amp;"-"&amp;M2160&amp;"-"&amp;L2160)</f>
        <v>33883</v>
      </c>
      <c r="Q2160" s="22">
        <v>36837.47</v>
      </c>
      <c r="R2160" s="23" t="s">
        <v>4701</v>
      </c>
      <c r="S2160" s="23" t="s">
        <v>4697</v>
      </c>
      <c r="T2160" s="23" t="s">
        <v>4708</v>
      </c>
      <c r="U2160" s="23">
        <f>DATEDIF(P2160, DATE(2023, 6, 8), "Y")</f>
        <v>30</v>
      </c>
      <c r="V2160">
        <f>SUM(C2160:K2160)</f>
        <v>43.16</v>
      </c>
    </row>
    <row r="2161" spans="1:22" ht="15.75">
      <c r="A2161" s="28" t="s">
        <v>4320</v>
      </c>
      <c r="B2161" s="28" t="s">
        <v>4321</v>
      </c>
      <c r="C2161" s="23">
        <v>31.46</v>
      </c>
      <c r="D2161" s="23">
        <v>11.19</v>
      </c>
      <c r="E2161" s="23" t="s">
        <v>4682</v>
      </c>
      <c r="F2161" s="23" t="s">
        <v>4682</v>
      </c>
      <c r="G2161" s="23" t="s">
        <v>4682</v>
      </c>
      <c r="H2161" s="23">
        <v>0</v>
      </c>
      <c r="I2161" s="23" t="s">
        <v>4682</v>
      </c>
      <c r="J2161" s="23" t="s">
        <v>4729</v>
      </c>
      <c r="K2161" s="23" t="s">
        <v>4735</v>
      </c>
      <c r="L2161">
        <v>1992</v>
      </c>
      <c r="M2161" s="15" t="s">
        <v>4696</v>
      </c>
      <c r="N2161">
        <v>4</v>
      </c>
      <c r="O2161">
        <v>0</v>
      </c>
      <c r="P2161" s="21">
        <f>DATEVALUE(N2161&amp;"-"&amp;M2161&amp;"-"&amp;L2161)</f>
        <v>33789</v>
      </c>
      <c r="Q2161" s="22">
        <v>36837.47</v>
      </c>
      <c r="R2161" s="23" t="s">
        <v>4697</v>
      </c>
      <c r="S2161" s="23" t="s">
        <v>4698</v>
      </c>
      <c r="T2161" s="23" t="s">
        <v>4708</v>
      </c>
      <c r="U2161" s="23">
        <f>DATEDIF(P2161, DATE(2023, 6, 8), "Y")</f>
        <v>30</v>
      </c>
      <c r="V2161">
        <f>SUM(C2161:K2161)</f>
        <v>42.65</v>
      </c>
    </row>
    <row r="2162" spans="1:22" ht="15.75">
      <c r="A2162" s="28" t="s">
        <v>4322</v>
      </c>
      <c r="B2162" s="28" t="s">
        <v>4323</v>
      </c>
      <c r="C2162" s="23">
        <v>29.6</v>
      </c>
      <c r="D2162" s="23">
        <v>11.03</v>
      </c>
      <c r="E2162" s="23" t="s">
        <v>4682</v>
      </c>
      <c r="F2162" s="23" t="s">
        <v>4682</v>
      </c>
      <c r="G2162" s="23" t="s">
        <v>4682</v>
      </c>
      <c r="H2162" s="23">
        <v>0</v>
      </c>
      <c r="I2162" s="23" t="s">
        <v>4682</v>
      </c>
      <c r="J2162" s="23" t="s">
        <v>4730</v>
      </c>
      <c r="K2162" s="23" t="s">
        <v>4735</v>
      </c>
      <c r="L2162">
        <v>1972</v>
      </c>
      <c r="M2162" s="15" t="s">
        <v>4705</v>
      </c>
      <c r="N2162">
        <v>5</v>
      </c>
      <c r="O2162">
        <v>0</v>
      </c>
      <c r="P2162" s="21">
        <f>DATEVALUE(N2162&amp;"-"&amp;M2162&amp;"-"&amp;L2162)</f>
        <v>26638</v>
      </c>
      <c r="Q2162" s="22">
        <v>36889.99</v>
      </c>
      <c r="R2162" s="23" t="s">
        <v>4701</v>
      </c>
      <c r="S2162" s="23" t="s">
        <v>4698</v>
      </c>
      <c r="T2162" s="23" t="s">
        <v>4708</v>
      </c>
      <c r="U2162" s="23">
        <f>DATEDIF(P2162, DATE(2023, 6, 8), "Y")</f>
        <v>50</v>
      </c>
      <c r="V2162">
        <f>SUM(C2162:K2162)</f>
        <v>40.630000000000003</v>
      </c>
    </row>
    <row r="2163" spans="1:22" ht="15.75">
      <c r="A2163" s="28" t="s">
        <v>4324</v>
      </c>
      <c r="B2163" s="28" t="s">
        <v>4325</v>
      </c>
      <c r="C2163" s="23">
        <v>22.05</v>
      </c>
      <c r="D2163" s="23">
        <v>4.43</v>
      </c>
      <c r="E2163" s="23" t="s">
        <v>4683</v>
      </c>
      <c r="F2163" s="23" t="s">
        <v>4682</v>
      </c>
      <c r="G2163" s="23" t="s">
        <v>4682</v>
      </c>
      <c r="H2163" s="23">
        <v>0</v>
      </c>
      <c r="I2163" s="23" t="s">
        <v>4682</v>
      </c>
      <c r="J2163" s="23" t="s">
        <v>4728</v>
      </c>
      <c r="K2163" s="23" t="s">
        <v>4737</v>
      </c>
      <c r="L2163">
        <v>2003</v>
      </c>
      <c r="M2163" s="15" t="s">
        <v>4702</v>
      </c>
      <c r="N2163">
        <v>21</v>
      </c>
      <c r="O2163">
        <v>0</v>
      </c>
      <c r="P2163" s="21">
        <f>DATEVALUE(N2163&amp;"-"&amp;M2163&amp;"-"&amp;L2163)</f>
        <v>37793</v>
      </c>
      <c r="Q2163" s="22">
        <v>36898.730000000003</v>
      </c>
      <c r="R2163" s="23" t="s">
        <v>4697</v>
      </c>
      <c r="S2163" s="23" t="s">
        <v>4701</v>
      </c>
      <c r="T2163" s="23" t="s">
        <v>4704</v>
      </c>
      <c r="U2163" s="23">
        <f>DATEDIF(P2163, DATE(2023, 6, 8), "Y")</f>
        <v>19</v>
      </c>
      <c r="V2163">
        <f>SUM(C2163:K2163)</f>
        <v>26.48</v>
      </c>
    </row>
    <row r="2164" spans="1:22" ht="15.75">
      <c r="A2164" s="28" t="s">
        <v>4326</v>
      </c>
      <c r="B2164" s="28" t="s">
        <v>4327</v>
      </c>
      <c r="C2164" s="23">
        <v>27.06</v>
      </c>
      <c r="D2164" s="23">
        <v>6.14</v>
      </c>
      <c r="E2164" s="23" t="s">
        <v>4682</v>
      </c>
      <c r="F2164" s="23" t="s">
        <v>4683</v>
      </c>
      <c r="G2164" s="23" t="s">
        <v>4682</v>
      </c>
      <c r="H2164" s="23">
        <v>1</v>
      </c>
      <c r="I2164" s="23" t="s">
        <v>4682</v>
      </c>
      <c r="J2164" s="23" t="s">
        <v>4730</v>
      </c>
      <c r="K2164" s="23" t="s">
        <v>4736</v>
      </c>
      <c r="L2164">
        <v>1963</v>
      </c>
      <c r="M2164" s="15" t="s">
        <v>4696</v>
      </c>
      <c r="N2164">
        <v>24</v>
      </c>
      <c r="O2164">
        <v>2</v>
      </c>
      <c r="P2164" s="21">
        <f>DATEVALUE(N2164&amp;"-"&amp;M2164&amp;"-"&amp;L2164)</f>
        <v>23216</v>
      </c>
      <c r="Q2164" s="22">
        <v>36910.61</v>
      </c>
      <c r="R2164" s="23" t="s">
        <v>4697</v>
      </c>
      <c r="S2164" s="23" t="s">
        <v>4697</v>
      </c>
      <c r="T2164" s="23" t="s">
        <v>4708</v>
      </c>
      <c r="U2164" s="23">
        <f>DATEDIF(P2164, DATE(2023, 6, 8), "Y")</f>
        <v>59</v>
      </c>
      <c r="V2164">
        <f>SUM(C2164:K2164)</f>
        <v>34.199999999999996</v>
      </c>
    </row>
    <row r="2165" spans="1:22" ht="15.75">
      <c r="A2165" s="28" t="s">
        <v>4328</v>
      </c>
      <c r="B2165" s="28" t="s">
        <v>4329</v>
      </c>
      <c r="C2165" s="23">
        <v>20.49</v>
      </c>
      <c r="D2165" s="23">
        <v>4.87</v>
      </c>
      <c r="E2165" s="23" t="s">
        <v>4682</v>
      </c>
      <c r="F2165" s="23" t="s">
        <v>4682</v>
      </c>
      <c r="G2165" s="23" t="s">
        <v>4682</v>
      </c>
      <c r="H2165" s="23">
        <v>0</v>
      </c>
      <c r="I2165" s="23" t="s">
        <v>4682</v>
      </c>
      <c r="J2165" s="23" t="s">
        <v>4728</v>
      </c>
      <c r="K2165" s="23" t="s">
        <v>4737</v>
      </c>
      <c r="L2165">
        <v>1991</v>
      </c>
      <c r="M2165" s="15" t="s">
        <v>4702</v>
      </c>
      <c r="N2165">
        <v>10</v>
      </c>
      <c r="O2165">
        <v>3</v>
      </c>
      <c r="P2165" s="21">
        <f>DATEVALUE(N2165&amp;"-"&amp;M2165&amp;"-"&amp;L2165)</f>
        <v>33399</v>
      </c>
      <c r="Q2165" s="22">
        <v>36911.99</v>
      </c>
      <c r="R2165" s="23" t="s">
        <v>4697</v>
      </c>
      <c r="S2165" s="23" t="s">
        <v>4697</v>
      </c>
      <c r="T2165" s="23" t="s">
        <v>4708</v>
      </c>
      <c r="U2165" s="23">
        <f>DATEDIF(P2165, DATE(2023, 6, 8), "Y")</f>
        <v>31</v>
      </c>
      <c r="V2165">
        <f>SUM(C2165:K2165)</f>
        <v>25.36</v>
      </c>
    </row>
    <row r="2166" spans="1:22" ht="15.75">
      <c r="A2166" s="28" t="s">
        <v>4330</v>
      </c>
      <c r="B2166" s="28" t="s">
        <v>4331</v>
      </c>
      <c r="C2166" s="23">
        <v>28.4</v>
      </c>
      <c r="D2166" s="23">
        <v>4.3</v>
      </c>
      <c r="E2166" s="23" t="s">
        <v>4682</v>
      </c>
      <c r="F2166" s="23" t="s">
        <v>4682</v>
      </c>
      <c r="G2166" s="23" t="s">
        <v>4684</v>
      </c>
      <c r="H2166" s="23">
        <v>1</v>
      </c>
      <c r="I2166" s="23" t="s">
        <v>4682</v>
      </c>
      <c r="J2166" s="23" t="s">
        <v>4730</v>
      </c>
      <c r="K2166" s="23" t="s">
        <v>4737</v>
      </c>
      <c r="L2166">
        <v>1968</v>
      </c>
      <c r="M2166" s="15" t="s">
        <v>4707</v>
      </c>
      <c r="N2166">
        <v>22</v>
      </c>
      <c r="O2166">
        <v>0</v>
      </c>
      <c r="P2166" s="21">
        <f>DATEVALUE(N2166&amp;"-"&amp;M2166&amp;"-"&amp;L2166)</f>
        <v>25133</v>
      </c>
      <c r="Q2166" s="22">
        <v>36922.61</v>
      </c>
      <c r="R2166" s="23" t="s">
        <v>4697</v>
      </c>
      <c r="S2166" s="23" t="s">
        <v>4701</v>
      </c>
      <c r="T2166" s="23" t="s">
        <v>4708</v>
      </c>
      <c r="U2166" s="23">
        <f>DATEDIF(P2166, DATE(2023, 6, 8), "Y")</f>
        <v>54</v>
      </c>
      <c r="V2166">
        <f>SUM(C2166:K2166)</f>
        <v>33.699999999999996</v>
      </c>
    </row>
    <row r="2167" spans="1:22" ht="15.75">
      <c r="A2167" s="28" t="s">
        <v>4332</v>
      </c>
      <c r="B2167" s="28" t="s">
        <v>4333</v>
      </c>
      <c r="C2167" s="23">
        <v>41.91</v>
      </c>
      <c r="D2167" s="23">
        <v>6.19</v>
      </c>
      <c r="E2167" s="23" t="s">
        <v>4682</v>
      </c>
      <c r="F2167" s="23" t="s">
        <v>4682</v>
      </c>
      <c r="G2167" s="23" t="s">
        <v>4682</v>
      </c>
      <c r="H2167" s="23">
        <v>0</v>
      </c>
      <c r="I2167" s="23" t="s">
        <v>4682</v>
      </c>
      <c r="J2167" s="23" t="s">
        <v>4729</v>
      </c>
      <c r="K2167" s="23" t="s">
        <v>4736</v>
      </c>
      <c r="L2167">
        <v>1977</v>
      </c>
      <c r="M2167" s="15" t="s">
        <v>4706</v>
      </c>
      <c r="N2167">
        <v>13</v>
      </c>
      <c r="O2167">
        <v>2</v>
      </c>
      <c r="P2167" s="21">
        <f>DATEVALUE(N2167&amp;"-"&amp;M2167&amp;"-"&amp;L2167)</f>
        <v>28350</v>
      </c>
      <c r="Q2167" s="22">
        <v>36935.64</v>
      </c>
      <c r="R2167" s="23" t="s">
        <v>4697</v>
      </c>
      <c r="S2167" s="23" t="s">
        <v>4701</v>
      </c>
      <c r="T2167" s="23" t="s">
        <v>4708</v>
      </c>
      <c r="U2167" s="23">
        <f>DATEDIF(P2167, DATE(2023, 6, 8), "Y")</f>
        <v>45</v>
      </c>
      <c r="V2167">
        <f>SUM(C2167:K2167)</f>
        <v>48.099999999999994</v>
      </c>
    </row>
    <row r="2168" spans="1:22" ht="15.75">
      <c r="A2168" s="28" t="s">
        <v>4334</v>
      </c>
      <c r="B2168" s="28" t="s">
        <v>4335</v>
      </c>
      <c r="C2168" s="23">
        <v>24.6</v>
      </c>
      <c r="D2168" s="23">
        <v>6.19</v>
      </c>
      <c r="E2168" s="23" t="s">
        <v>4682</v>
      </c>
      <c r="F2168" s="23" t="s">
        <v>4682</v>
      </c>
      <c r="G2168" s="23" t="s">
        <v>4684</v>
      </c>
      <c r="H2168" s="23">
        <v>1</v>
      </c>
      <c r="I2168" s="23" t="s">
        <v>4682</v>
      </c>
      <c r="J2168" s="23" t="s">
        <v>4728</v>
      </c>
      <c r="K2168" s="23" t="s">
        <v>4736</v>
      </c>
      <c r="L2168">
        <v>1992</v>
      </c>
      <c r="M2168" s="15" t="s">
        <v>4706</v>
      </c>
      <c r="N2168">
        <v>25</v>
      </c>
      <c r="O2168">
        <v>0</v>
      </c>
      <c r="P2168" s="21">
        <f>DATEVALUE(N2168&amp;"-"&amp;M2168&amp;"-"&amp;L2168)</f>
        <v>33841</v>
      </c>
      <c r="Q2168" s="22">
        <v>36950.26</v>
      </c>
      <c r="R2168" s="23" t="s">
        <v>4701</v>
      </c>
      <c r="S2168" s="23" t="s">
        <v>4701</v>
      </c>
      <c r="T2168" s="23" t="s">
        <v>4699</v>
      </c>
      <c r="U2168" s="23">
        <f>DATEDIF(P2168, DATE(2023, 6, 8), "Y")</f>
        <v>30</v>
      </c>
      <c r="V2168">
        <f>SUM(C2168:K2168)</f>
        <v>31.790000000000003</v>
      </c>
    </row>
    <row r="2169" spans="1:22" ht="15.75">
      <c r="A2169" s="28" t="s">
        <v>4336</v>
      </c>
      <c r="B2169" s="28" t="s">
        <v>4337</v>
      </c>
      <c r="C2169" s="23">
        <v>20.9</v>
      </c>
      <c r="D2169" s="23">
        <v>5.12</v>
      </c>
      <c r="E2169" s="23" t="s">
        <v>4682</v>
      </c>
      <c r="F2169" s="23" t="s">
        <v>4682</v>
      </c>
      <c r="G2169" s="23" t="s">
        <v>4684</v>
      </c>
      <c r="H2169" s="23">
        <v>1</v>
      </c>
      <c r="I2169" s="23" t="s">
        <v>4682</v>
      </c>
      <c r="J2169" s="23" t="s">
        <v>4728</v>
      </c>
      <c r="K2169" s="23" t="s">
        <v>4737</v>
      </c>
      <c r="L2169">
        <v>1992</v>
      </c>
      <c r="M2169" s="15" t="s">
        <v>4703</v>
      </c>
      <c r="N2169">
        <v>13</v>
      </c>
      <c r="O2169">
        <v>0</v>
      </c>
      <c r="P2169" s="21">
        <f>DATEVALUE(N2169&amp;"-"&amp;M2169&amp;"-"&amp;L2169)</f>
        <v>33860</v>
      </c>
      <c r="Q2169" s="22">
        <v>36976.449999999997</v>
      </c>
      <c r="R2169" s="23" t="s">
        <v>4697</v>
      </c>
      <c r="S2169" s="23" t="s">
        <v>4698</v>
      </c>
      <c r="T2169" s="23" t="s">
        <v>4708</v>
      </c>
      <c r="U2169" s="23">
        <f>DATEDIF(P2169, DATE(2023, 6, 8), "Y")</f>
        <v>30</v>
      </c>
      <c r="V2169">
        <f>SUM(C2169:K2169)</f>
        <v>27.02</v>
      </c>
    </row>
    <row r="2170" spans="1:22" ht="15.75">
      <c r="A2170" s="28" t="s">
        <v>4338</v>
      </c>
      <c r="B2170" s="28" t="s">
        <v>4339</v>
      </c>
      <c r="C2170" s="23">
        <v>34.4</v>
      </c>
      <c r="D2170" s="23">
        <v>4.04</v>
      </c>
      <c r="E2170" s="23" t="s">
        <v>4682</v>
      </c>
      <c r="F2170" s="23" t="s">
        <v>4682</v>
      </c>
      <c r="G2170" s="23" t="s">
        <v>4682</v>
      </c>
      <c r="H2170" s="23">
        <v>0</v>
      </c>
      <c r="I2170" s="23" t="s">
        <v>4682</v>
      </c>
      <c r="J2170" s="23" t="s">
        <v>4729</v>
      </c>
      <c r="K2170" s="23" t="s">
        <v>4737</v>
      </c>
      <c r="L2170">
        <v>1991</v>
      </c>
      <c r="M2170" s="15" t="s">
        <v>4700</v>
      </c>
      <c r="N2170">
        <v>1</v>
      </c>
      <c r="O2170">
        <v>3</v>
      </c>
      <c r="P2170" s="21">
        <f>DATEVALUE(N2170&amp;"-"&amp;M2170&amp;"-"&amp;L2170)</f>
        <v>33543</v>
      </c>
      <c r="Q2170" s="22">
        <v>37040.879999999997</v>
      </c>
      <c r="R2170" s="23" t="s">
        <v>4697</v>
      </c>
      <c r="S2170" s="23" t="s">
        <v>4697</v>
      </c>
      <c r="T2170" s="23" t="s">
        <v>4708</v>
      </c>
      <c r="U2170" s="23">
        <f>DATEDIF(P2170, DATE(2023, 6, 8), "Y")</f>
        <v>31</v>
      </c>
      <c r="V2170">
        <f>SUM(C2170:K2170)</f>
        <v>38.44</v>
      </c>
    </row>
    <row r="2171" spans="1:22" ht="15.75">
      <c r="A2171" s="28" t="s">
        <v>4340</v>
      </c>
      <c r="B2171" s="28" t="s">
        <v>4341</v>
      </c>
      <c r="C2171" s="23">
        <v>32.56</v>
      </c>
      <c r="D2171" s="23">
        <v>5.36</v>
      </c>
      <c r="E2171" s="23" t="s">
        <v>4682</v>
      </c>
      <c r="F2171" s="23" t="s">
        <v>4682</v>
      </c>
      <c r="G2171" s="23" t="s">
        <v>4682</v>
      </c>
      <c r="H2171" s="23">
        <v>0</v>
      </c>
      <c r="I2171" s="23" t="s">
        <v>4682</v>
      </c>
      <c r="J2171" s="23" t="s">
        <v>4729</v>
      </c>
      <c r="K2171" s="23" t="s">
        <v>4737</v>
      </c>
      <c r="L2171">
        <v>1988</v>
      </c>
      <c r="M2171" s="15" t="s">
        <v>4705</v>
      </c>
      <c r="N2171">
        <v>17</v>
      </c>
      <c r="O2171">
        <v>3</v>
      </c>
      <c r="P2171" s="21">
        <f>DATEVALUE(N2171&amp;"-"&amp;M2171&amp;"-"&amp;L2171)</f>
        <v>32494</v>
      </c>
      <c r="Q2171" s="22">
        <v>37076.370000000003</v>
      </c>
      <c r="R2171" s="23" t="s">
        <v>4697</v>
      </c>
      <c r="S2171" s="23" t="s">
        <v>4701</v>
      </c>
      <c r="T2171" s="23" t="s">
        <v>4708</v>
      </c>
      <c r="U2171" s="23">
        <f>DATEDIF(P2171, DATE(2023, 6, 8), "Y")</f>
        <v>34</v>
      </c>
      <c r="V2171">
        <f>SUM(C2171:K2171)</f>
        <v>37.92</v>
      </c>
    </row>
    <row r="2172" spans="1:22" ht="15.75">
      <c r="A2172" s="28" t="s">
        <v>4342</v>
      </c>
      <c r="B2172" s="28" t="s">
        <v>4343</v>
      </c>
      <c r="C2172" s="23">
        <v>27.98</v>
      </c>
      <c r="D2172" s="23">
        <v>4.38</v>
      </c>
      <c r="E2172" s="23" t="s">
        <v>4682</v>
      </c>
      <c r="F2172" s="23" t="s">
        <v>4683</v>
      </c>
      <c r="G2172" s="23" t="s">
        <v>4682</v>
      </c>
      <c r="H2172" s="23">
        <v>1</v>
      </c>
      <c r="I2172" s="23" t="s">
        <v>4682</v>
      </c>
      <c r="J2172" s="23" t="s">
        <v>4730</v>
      </c>
      <c r="K2172" s="23" t="s">
        <v>4737</v>
      </c>
      <c r="L2172">
        <v>1989</v>
      </c>
      <c r="M2172" s="15" t="s">
        <v>4702</v>
      </c>
      <c r="N2172">
        <v>10</v>
      </c>
      <c r="O2172">
        <v>0</v>
      </c>
      <c r="P2172" s="21">
        <f>DATEVALUE(N2172&amp;"-"&amp;M2172&amp;"-"&amp;L2172)</f>
        <v>32669</v>
      </c>
      <c r="Q2172" s="22">
        <v>37079.370000000003</v>
      </c>
      <c r="R2172" s="23" t="s">
        <v>4697</v>
      </c>
      <c r="S2172" s="23" t="s">
        <v>4698</v>
      </c>
      <c r="T2172" s="23" t="s">
        <v>4708</v>
      </c>
      <c r="U2172" s="23">
        <f>DATEDIF(P2172, DATE(2023, 6, 8), "Y")</f>
        <v>33</v>
      </c>
      <c r="V2172">
        <f>SUM(C2172:K2172)</f>
        <v>33.36</v>
      </c>
    </row>
    <row r="2173" spans="1:22" ht="15.75">
      <c r="A2173" s="28" t="s">
        <v>4344</v>
      </c>
      <c r="B2173" s="28" t="s">
        <v>4345</v>
      </c>
      <c r="C2173" s="23">
        <v>26.51</v>
      </c>
      <c r="D2173" s="23">
        <v>4.58</v>
      </c>
      <c r="E2173" s="23" t="s">
        <v>4682</v>
      </c>
      <c r="F2173" s="23" t="s">
        <v>4682</v>
      </c>
      <c r="G2173" s="23" t="s">
        <v>4682</v>
      </c>
      <c r="H2173" s="23">
        <v>0</v>
      </c>
      <c r="I2173" s="23" t="s">
        <v>4682</v>
      </c>
      <c r="J2173" s="23" t="s">
        <v>4730</v>
      </c>
      <c r="K2173" s="23" t="s">
        <v>4737</v>
      </c>
      <c r="L2173">
        <v>1995</v>
      </c>
      <c r="M2173" s="15" t="s">
        <v>4707</v>
      </c>
      <c r="N2173">
        <v>30</v>
      </c>
      <c r="O2173">
        <v>0</v>
      </c>
      <c r="P2173" s="21">
        <f>DATEVALUE(N2173&amp;"-"&amp;M2173&amp;"-"&amp;L2173)</f>
        <v>35002</v>
      </c>
      <c r="Q2173" s="22">
        <v>37133.9</v>
      </c>
      <c r="R2173" s="23" t="s">
        <v>4697</v>
      </c>
      <c r="S2173" s="23" t="s">
        <v>4697</v>
      </c>
      <c r="T2173" s="23" t="s">
        <v>4699</v>
      </c>
      <c r="U2173" s="23">
        <f>DATEDIF(P2173, DATE(2023, 6, 8), "Y")</f>
        <v>27</v>
      </c>
      <c r="V2173">
        <f>SUM(C2173:K2173)</f>
        <v>31.090000000000003</v>
      </c>
    </row>
    <row r="2174" spans="1:22" ht="15.75">
      <c r="A2174" s="28" t="s">
        <v>4346</v>
      </c>
      <c r="B2174" s="28" t="s">
        <v>4347</v>
      </c>
      <c r="C2174" s="23">
        <v>29.734999999999999</v>
      </c>
      <c r="D2174" s="23">
        <v>11.92</v>
      </c>
      <c r="E2174" s="23" t="s">
        <v>4682</v>
      </c>
      <c r="F2174" s="23" t="s">
        <v>4682</v>
      </c>
      <c r="G2174" s="23" t="s">
        <v>4682</v>
      </c>
      <c r="H2174" s="23">
        <v>0</v>
      </c>
      <c r="I2174" s="23" t="s">
        <v>4682</v>
      </c>
      <c r="J2174" s="23" t="s">
        <v>4730</v>
      </c>
      <c r="K2174" s="23" t="s">
        <v>4735</v>
      </c>
      <c r="L2174">
        <v>2000</v>
      </c>
      <c r="M2174" s="15" t="s">
        <v>4703</v>
      </c>
      <c r="N2174">
        <v>5</v>
      </c>
      <c r="O2174">
        <v>1</v>
      </c>
      <c r="P2174" s="21">
        <f>DATEVALUE(N2174&amp;"-"&amp;M2174&amp;"-"&amp;L2174)</f>
        <v>36774</v>
      </c>
      <c r="Q2174" s="22">
        <v>37165.160000000003</v>
      </c>
      <c r="R2174" s="23" t="s">
        <v>4701</v>
      </c>
      <c r="S2174" s="23" t="s">
        <v>4698</v>
      </c>
      <c r="T2174" s="23" t="s">
        <v>4685</v>
      </c>
      <c r="U2174" s="23">
        <f>DATEDIF(P2174, DATE(2023, 6, 8), "Y")</f>
        <v>22</v>
      </c>
      <c r="V2174">
        <f>SUM(C2174:K2174)</f>
        <v>41.655000000000001</v>
      </c>
    </row>
    <row r="2175" spans="1:22" ht="15.75">
      <c r="A2175" s="28" t="s">
        <v>4348</v>
      </c>
      <c r="B2175" s="28" t="s">
        <v>4349</v>
      </c>
      <c r="C2175" s="23">
        <v>40.5</v>
      </c>
      <c r="D2175" s="23">
        <v>5.4</v>
      </c>
      <c r="E2175" s="23" t="s">
        <v>4682</v>
      </c>
      <c r="F2175" s="23" t="s">
        <v>4682</v>
      </c>
      <c r="G2175" s="23" t="s">
        <v>4684</v>
      </c>
      <c r="H2175" s="23">
        <v>1</v>
      </c>
      <c r="I2175" s="23" t="s">
        <v>4682</v>
      </c>
      <c r="J2175" s="23" t="s">
        <v>4729</v>
      </c>
      <c r="K2175" s="23" t="s">
        <v>4737</v>
      </c>
      <c r="L2175">
        <v>1990</v>
      </c>
      <c r="M2175" s="15" t="s">
        <v>4707</v>
      </c>
      <c r="N2175">
        <v>17</v>
      </c>
      <c r="O2175">
        <v>3</v>
      </c>
      <c r="P2175" s="21">
        <f>DATEVALUE(N2175&amp;"-"&amp;M2175&amp;"-"&amp;L2175)</f>
        <v>33163</v>
      </c>
      <c r="Q2175" s="22">
        <v>37251.22</v>
      </c>
      <c r="R2175" s="23" t="s">
        <v>4697</v>
      </c>
      <c r="S2175" s="23" t="s">
        <v>4697</v>
      </c>
      <c r="T2175" s="23" t="s">
        <v>4708</v>
      </c>
      <c r="U2175" s="23">
        <f>DATEDIF(P2175, DATE(2023, 6, 8), "Y")</f>
        <v>32</v>
      </c>
      <c r="V2175">
        <f>SUM(C2175:K2175)</f>
        <v>46.9</v>
      </c>
    </row>
    <row r="2176" spans="1:22" ht="15.75">
      <c r="A2176" s="28" t="s">
        <v>4350</v>
      </c>
      <c r="B2176" s="28" t="s">
        <v>4351</v>
      </c>
      <c r="C2176" s="23">
        <v>25.64</v>
      </c>
      <c r="D2176" s="23">
        <v>4.76</v>
      </c>
      <c r="E2176" s="23" t="s">
        <v>4682</v>
      </c>
      <c r="F2176" s="23" t="s">
        <v>4682</v>
      </c>
      <c r="G2176" s="23" t="s">
        <v>4682</v>
      </c>
      <c r="H2176" s="23">
        <v>1</v>
      </c>
      <c r="I2176" s="23" t="s">
        <v>4682</v>
      </c>
      <c r="J2176" s="23" t="s">
        <v>4730</v>
      </c>
      <c r="K2176" s="23" t="s">
        <v>4737</v>
      </c>
      <c r="L2176">
        <v>1985</v>
      </c>
      <c r="M2176" s="15" t="s">
        <v>4700</v>
      </c>
      <c r="N2176">
        <v>17</v>
      </c>
      <c r="O2176">
        <v>0</v>
      </c>
      <c r="P2176" s="21">
        <f>DATEVALUE(N2176&amp;"-"&amp;M2176&amp;"-"&amp;L2176)</f>
        <v>31368</v>
      </c>
      <c r="Q2176" s="22">
        <v>37270.15</v>
      </c>
      <c r="R2176" s="23" t="s">
        <v>4697</v>
      </c>
      <c r="S2176" s="23" t="s">
        <v>4701</v>
      </c>
      <c r="T2176" s="23" t="s">
        <v>4714</v>
      </c>
      <c r="U2176" s="23">
        <f>DATEDIF(P2176, DATE(2023, 6, 8), "Y")</f>
        <v>37</v>
      </c>
      <c r="V2176">
        <f>SUM(C2176:K2176)</f>
        <v>31.4</v>
      </c>
    </row>
    <row r="2177" spans="1:22" ht="15.75">
      <c r="A2177" s="28" t="s">
        <v>4352</v>
      </c>
      <c r="B2177" s="28" t="s">
        <v>4353</v>
      </c>
      <c r="C2177" s="23">
        <v>32.9</v>
      </c>
      <c r="D2177" s="23">
        <v>4.78</v>
      </c>
      <c r="E2177" s="23" t="s">
        <v>4682</v>
      </c>
      <c r="F2177" s="23" t="s">
        <v>4682</v>
      </c>
      <c r="G2177" s="23" t="s">
        <v>4684</v>
      </c>
      <c r="H2177" s="23">
        <v>1</v>
      </c>
      <c r="I2177" s="23" t="s">
        <v>4682</v>
      </c>
      <c r="J2177" s="23" t="s">
        <v>4729</v>
      </c>
      <c r="K2177" s="23" t="s">
        <v>4737</v>
      </c>
      <c r="L2177">
        <v>1975</v>
      </c>
      <c r="M2177" s="15" t="s">
        <v>4700</v>
      </c>
      <c r="N2177">
        <v>9</v>
      </c>
      <c r="O2177">
        <v>1</v>
      </c>
      <c r="P2177" s="21">
        <f>DATEVALUE(N2177&amp;"-"&amp;M2177&amp;"-"&amp;L2177)</f>
        <v>27707</v>
      </c>
      <c r="Q2177" s="22">
        <v>37272.339999999997</v>
      </c>
      <c r="R2177" s="23" t="s">
        <v>4697</v>
      </c>
      <c r="S2177" s="23" t="s">
        <v>4698</v>
      </c>
      <c r="T2177" s="23" t="s">
        <v>4708</v>
      </c>
      <c r="U2177" s="23">
        <f>DATEDIF(P2177, DATE(2023, 6, 8), "Y")</f>
        <v>47</v>
      </c>
      <c r="V2177">
        <f>SUM(C2177:K2177)</f>
        <v>38.68</v>
      </c>
    </row>
    <row r="2178" spans="1:22" ht="15.75">
      <c r="A2178" s="28" t="s">
        <v>4354</v>
      </c>
      <c r="B2178" s="28" t="s">
        <v>4355</v>
      </c>
      <c r="C2178" s="23">
        <v>29.8</v>
      </c>
      <c r="D2178" s="23">
        <v>4.26</v>
      </c>
      <c r="E2178" s="23" t="s">
        <v>4682</v>
      </c>
      <c r="F2178" s="23" t="s">
        <v>4682</v>
      </c>
      <c r="G2178" s="23" t="s">
        <v>4684</v>
      </c>
      <c r="H2178" s="23">
        <v>1</v>
      </c>
      <c r="I2178" s="23" t="s">
        <v>4682</v>
      </c>
      <c r="J2178" s="23" t="s">
        <v>4730</v>
      </c>
      <c r="K2178" s="23" t="s">
        <v>4737</v>
      </c>
      <c r="L2178">
        <v>1969</v>
      </c>
      <c r="M2178" s="15" t="s">
        <v>4707</v>
      </c>
      <c r="N2178">
        <v>30</v>
      </c>
      <c r="O2178">
        <v>0</v>
      </c>
      <c r="P2178" s="21">
        <f>DATEVALUE(N2178&amp;"-"&amp;M2178&amp;"-"&amp;L2178)</f>
        <v>25506</v>
      </c>
      <c r="Q2178" s="22">
        <v>37277.269999999997</v>
      </c>
      <c r="R2178" s="23" t="s">
        <v>4701</v>
      </c>
      <c r="S2178" s="23" t="s">
        <v>4698</v>
      </c>
      <c r="T2178" s="23" t="s">
        <v>4708</v>
      </c>
      <c r="U2178" s="23">
        <f>DATEDIF(P2178, DATE(2023, 6, 8), "Y")</f>
        <v>53</v>
      </c>
      <c r="V2178">
        <f>SUM(C2178:K2178)</f>
        <v>35.06</v>
      </c>
    </row>
    <row r="2179" spans="1:22" ht="15.75">
      <c r="A2179" s="28" t="s">
        <v>4356</v>
      </c>
      <c r="B2179" s="28" t="s">
        <v>4357</v>
      </c>
      <c r="C2179" s="23">
        <v>28.9</v>
      </c>
      <c r="D2179" s="23">
        <v>5.85</v>
      </c>
      <c r="E2179" s="23" t="s">
        <v>4682</v>
      </c>
      <c r="F2179" s="23" t="s">
        <v>4682</v>
      </c>
      <c r="G2179" s="23" t="s">
        <v>4684</v>
      </c>
      <c r="H2179" s="23">
        <v>1</v>
      </c>
      <c r="I2179" s="23" t="s">
        <v>4682</v>
      </c>
      <c r="J2179" s="23" t="s">
        <v>4730</v>
      </c>
      <c r="K2179" s="23" t="s">
        <v>4736</v>
      </c>
      <c r="L2179">
        <v>1979</v>
      </c>
      <c r="M2179" s="15" t="s">
        <v>4706</v>
      </c>
      <c r="N2179">
        <v>3</v>
      </c>
      <c r="O2179">
        <v>2</v>
      </c>
      <c r="P2179" s="21">
        <f>DATEVALUE(N2179&amp;"-"&amp;M2179&amp;"-"&amp;L2179)</f>
        <v>29070</v>
      </c>
      <c r="Q2179" s="22">
        <v>37425.94</v>
      </c>
      <c r="R2179" s="23" t="s">
        <v>4697</v>
      </c>
      <c r="S2179" s="23" t="s">
        <v>4701</v>
      </c>
      <c r="T2179" s="23" t="s">
        <v>4708</v>
      </c>
      <c r="U2179" s="23">
        <f>DATEDIF(P2179, DATE(2023, 6, 8), "Y")</f>
        <v>43</v>
      </c>
      <c r="V2179">
        <f>SUM(C2179:K2179)</f>
        <v>35.75</v>
      </c>
    </row>
    <row r="2180" spans="1:22" ht="15.75">
      <c r="A2180" s="28" t="s">
        <v>4358</v>
      </c>
      <c r="B2180" s="28" t="s">
        <v>4359</v>
      </c>
      <c r="C2180" s="23">
        <v>24.7</v>
      </c>
      <c r="D2180" s="23">
        <v>5.32</v>
      </c>
      <c r="E2180" s="23" t="s">
        <v>4682</v>
      </c>
      <c r="F2180" s="23" t="s">
        <v>4682</v>
      </c>
      <c r="G2180" s="23" t="s">
        <v>4684</v>
      </c>
      <c r="H2180" s="23">
        <v>1</v>
      </c>
      <c r="I2180" s="23" t="s">
        <v>4682</v>
      </c>
      <c r="J2180" s="23" t="s">
        <v>4728</v>
      </c>
      <c r="K2180" s="23" t="s">
        <v>4737</v>
      </c>
      <c r="L2180">
        <v>2002</v>
      </c>
      <c r="M2180" s="15" t="s">
        <v>4703</v>
      </c>
      <c r="N2180">
        <v>27</v>
      </c>
      <c r="O2180">
        <v>3</v>
      </c>
      <c r="P2180" s="21">
        <f>DATEVALUE(N2180&amp;"-"&amp;M2180&amp;"-"&amp;L2180)</f>
        <v>37526</v>
      </c>
      <c r="Q2180" s="22">
        <v>37465.339999999997</v>
      </c>
      <c r="R2180" s="23" t="s">
        <v>4701</v>
      </c>
      <c r="S2180" s="23" t="s">
        <v>4697</v>
      </c>
      <c r="T2180" s="23" t="s">
        <v>4704</v>
      </c>
      <c r="U2180" s="23">
        <f>DATEDIF(P2180, DATE(2023, 6, 8), "Y")</f>
        <v>20</v>
      </c>
      <c r="V2180">
        <f>SUM(C2180:K2180)</f>
        <v>31.02</v>
      </c>
    </row>
    <row r="2181" spans="1:22" ht="15.75">
      <c r="A2181" s="28" t="s">
        <v>4360</v>
      </c>
      <c r="B2181" s="28" t="s">
        <v>4361</v>
      </c>
      <c r="C2181" s="23">
        <v>20.6</v>
      </c>
      <c r="D2181" s="23">
        <v>5.14</v>
      </c>
      <c r="E2181" s="23" t="s">
        <v>4682</v>
      </c>
      <c r="F2181" s="23" t="s">
        <v>4682</v>
      </c>
      <c r="G2181" s="23" t="s">
        <v>4684</v>
      </c>
      <c r="H2181" s="23">
        <v>1</v>
      </c>
      <c r="I2181" s="23" t="s">
        <v>4682</v>
      </c>
      <c r="J2181" s="23" t="s">
        <v>4728</v>
      </c>
      <c r="K2181" s="23" t="s">
        <v>4737</v>
      </c>
      <c r="L2181">
        <v>2000</v>
      </c>
      <c r="M2181" s="15" t="s">
        <v>4707</v>
      </c>
      <c r="N2181">
        <v>12</v>
      </c>
      <c r="O2181">
        <v>2</v>
      </c>
      <c r="P2181" s="21">
        <f>DATEVALUE(N2181&amp;"-"&amp;M2181&amp;"-"&amp;L2181)</f>
        <v>36811</v>
      </c>
      <c r="Q2181" s="22">
        <v>37484.449999999997</v>
      </c>
      <c r="R2181" s="23" t="s">
        <v>4701</v>
      </c>
      <c r="S2181" s="23" t="s">
        <v>4701</v>
      </c>
      <c r="T2181" s="23" t="s">
        <v>4699</v>
      </c>
      <c r="U2181" s="23">
        <f>DATEDIF(P2181, DATE(2023, 6, 8), "Y")</f>
        <v>22</v>
      </c>
      <c r="V2181">
        <f>SUM(C2181:K2181)</f>
        <v>26.740000000000002</v>
      </c>
    </row>
    <row r="2182" spans="1:22" ht="15.75">
      <c r="A2182" s="28" t="s">
        <v>4362</v>
      </c>
      <c r="B2182" s="28" t="s">
        <v>4363</v>
      </c>
      <c r="C2182" s="23">
        <v>18.600000000000001</v>
      </c>
      <c r="D2182" s="23">
        <v>5</v>
      </c>
      <c r="E2182" s="23" t="s">
        <v>4682</v>
      </c>
      <c r="F2182" s="23" t="s">
        <v>4682</v>
      </c>
      <c r="G2182" s="23" t="s">
        <v>4684</v>
      </c>
      <c r="H2182" s="23">
        <v>1</v>
      </c>
      <c r="I2182" s="23" t="s">
        <v>4682</v>
      </c>
      <c r="J2182" s="23" t="s">
        <v>4728</v>
      </c>
      <c r="K2182" s="23" t="s">
        <v>4737</v>
      </c>
      <c r="L2182">
        <v>1990</v>
      </c>
      <c r="M2182" s="15" t="s">
        <v>4700</v>
      </c>
      <c r="N2182">
        <v>16</v>
      </c>
      <c r="O2182">
        <v>1</v>
      </c>
      <c r="P2182" s="21">
        <f>DATEVALUE(N2182&amp;"-"&amp;M2182&amp;"-"&amp;L2182)</f>
        <v>33193</v>
      </c>
      <c r="Q2182" s="22">
        <v>37607.53</v>
      </c>
      <c r="R2182" s="23" t="s">
        <v>4701</v>
      </c>
      <c r="S2182" s="23" t="s">
        <v>4697</v>
      </c>
      <c r="T2182" s="23" t="s">
        <v>4710</v>
      </c>
      <c r="U2182" s="23">
        <f>DATEDIF(P2182, DATE(2023, 6, 8), "Y")</f>
        <v>32</v>
      </c>
      <c r="V2182">
        <f>SUM(C2182:K2182)</f>
        <v>24.6</v>
      </c>
    </row>
    <row r="2183" spans="1:22" ht="15.75">
      <c r="A2183" s="28" t="s">
        <v>4364</v>
      </c>
      <c r="B2183" s="28" t="s">
        <v>4365</v>
      </c>
      <c r="C2183" s="23">
        <v>17.8</v>
      </c>
      <c r="D2183" s="23">
        <v>4.55</v>
      </c>
      <c r="E2183" s="23" t="s">
        <v>4682</v>
      </c>
      <c r="F2183" s="23" t="s">
        <v>4682</v>
      </c>
      <c r="G2183" s="23" t="s">
        <v>4684</v>
      </c>
      <c r="H2183" s="23">
        <v>1</v>
      </c>
      <c r="I2183" s="23" t="s">
        <v>4682</v>
      </c>
      <c r="J2183" s="23" t="s">
        <v>4731</v>
      </c>
      <c r="K2183" s="23" t="s">
        <v>4737</v>
      </c>
      <c r="L2183">
        <v>1982</v>
      </c>
      <c r="M2183" s="15" t="s">
        <v>4702</v>
      </c>
      <c r="N2183">
        <v>20</v>
      </c>
      <c r="O2183">
        <v>3</v>
      </c>
      <c r="P2183" s="21">
        <f>DATEVALUE(N2183&amp;"-"&amp;M2183&amp;"-"&amp;L2183)</f>
        <v>30122</v>
      </c>
      <c r="Q2183" s="22">
        <v>37650.74</v>
      </c>
      <c r="R2183" s="23" t="s">
        <v>4697</v>
      </c>
      <c r="S2183" s="23" t="s">
        <v>4697</v>
      </c>
      <c r="T2183" s="23" t="s">
        <v>4704</v>
      </c>
      <c r="U2183" s="23">
        <f>DATEDIF(P2183, DATE(2023, 6, 8), "Y")</f>
        <v>40</v>
      </c>
      <c r="V2183">
        <f>SUM(C2183:K2183)</f>
        <v>23.35</v>
      </c>
    </row>
    <row r="2184" spans="1:22" ht="15.75">
      <c r="A2184" s="28" t="s">
        <v>4366</v>
      </c>
      <c r="B2184" s="28" t="s">
        <v>4367</v>
      </c>
      <c r="C2184" s="23">
        <v>35.200000000000003</v>
      </c>
      <c r="D2184" s="23">
        <v>5.97</v>
      </c>
      <c r="E2184" s="23" t="s">
        <v>4682</v>
      </c>
      <c r="F2184" s="23" t="s">
        <v>4683</v>
      </c>
      <c r="G2184" s="23" t="s">
        <v>4682</v>
      </c>
      <c r="H2184" s="23">
        <v>1</v>
      </c>
      <c r="I2184" s="23" t="s">
        <v>4682</v>
      </c>
      <c r="J2184" s="23" t="s">
        <v>4729</v>
      </c>
      <c r="K2184" s="23" t="s">
        <v>4736</v>
      </c>
      <c r="L2184">
        <v>1970</v>
      </c>
      <c r="M2184" s="15" t="s">
        <v>4707</v>
      </c>
      <c r="N2184">
        <v>28</v>
      </c>
      <c r="O2184">
        <v>0</v>
      </c>
      <c r="P2184" s="21">
        <f>DATEVALUE(N2184&amp;"-"&amp;M2184&amp;"-"&amp;L2184)</f>
        <v>25869</v>
      </c>
      <c r="Q2184" s="22">
        <v>37675.06</v>
      </c>
      <c r="R2184" s="23" t="s">
        <v>4697</v>
      </c>
      <c r="S2184" s="23" t="s">
        <v>4698</v>
      </c>
      <c r="T2184" s="23" t="s">
        <v>4708</v>
      </c>
      <c r="U2184" s="23">
        <f>DATEDIF(P2184, DATE(2023, 6, 8), "Y")</f>
        <v>52</v>
      </c>
      <c r="V2184">
        <f>SUM(C2184:K2184)</f>
        <v>42.17</v>
      </c>
    </row>
    <row r="2185" spans="1:22" ht="15.75">
      <c r="A2185" s="28" t="s">
        <v>4368</v>
      </c>
      <c r="B2185" s="28" t="s">
        <v>4369</v>
      </c>
      <c r="C2185" s="23">
        <v>33.770000000000003</v>
      </c>
      <c r="D2185" s="23">
        <v>4.0199999999999996</v>
      </c>
      <c r="E2185" s="23" t="s">
        <v>4682</v>
      </c>
      <c r="F2185" s="23" t="s">
        <v>4683</v>
      </c>
      <c r="G2185" s="23" t="s">
        <v>4682</v>
      </c>
      <c r="H2185" s="23">
        <v>1</v>
      </c>
      <c r="I2185" s="23" t="s">
        <v>4682</v>
      </c>
      <c r="J2185" s="23" t="s">
        <v>4729</v>
      </c>
      <c r="K2185" s="23" t="s">
        <v>4737</v>
      </c>
      <c r="L2185">
        <v>1988</v>
      </c>
      <c r="M2185" s="15" t="s">
        <v>4707</v>
      </c>
      <c r="N2185">
        <v>10</v>
      </c>
      <c r="O2185">
        <v>1</v>
      </c>
      <c r="P2185" s="21">
        <f>DATEVALUE(N2185&amp;"-"&amp;M2185&amp;"-"&amp;L2185)</f>
        <v>32426</v>
      </c>
      <c r="Q2185" s="22">
        <v>37701.879999999997</v>
      </c>
      <c r="R2185" s="23" t="s">
        <v>4697</v>
      </c>
      <c r="S2185" s="23" t="s">
        <v>4698</v>
      </c>
      <c r="T2185" s="23" t="s">
        <v>4715</v>
      </c>
      <c r="U2185" s="23">
        <f>DATEDIF(P2185, DATE(2023, 6, 8), "Y")</f>
        <v>34</v>
      </c>
      <c r="V2185">
        <f>SUM(C2185:K2185)</f>
        <v>38.790000000000006</v>
      </c>
    </row>
    <row r="2186" spans="1:22" ht="15.75">
      <c r="A2186" s="28" t="s">
        <v>4370</v>
      </c>
      <c r="B2186" s="28" t="s">
        <v>4371</v>
      </c>
      <c r="C2186" s="23">
        <v>30.03</v>
      </c>
      <c r="D2186" s="23">
        <v>4.04</v>
      </c>
      <c r="E2186" s="23" t="s">
        <v>4682</v>
      </c>
      <c r="F2186" s="23" t="s">
        <v>4683</v>
      </c>
      <c r="G2186" s="23" t="s">
        <v>4682</v>
      </c>
      <c r="H2186" s="23">
        <v>1</v>
      </c>
      <c r="I2186" s="23" t="s">
        <v>4682</v>
      </c>
      <c r="J2186" s="23" t="s">
        <v>4729</v>
      </c>
      <c r="K2186" s="23" t="s">
        <v>4737</v>
      </c>
      <c r="L2186">
        <v>1976</v>
      </c>
      <c r="M2186" s="15" t="s">
        <v>4703</v>
      </c>
      <c r="N2186">
        <v>18</v>
      </c>
      <c r="O2186">
        <v>2</v>
      </c>
      <c r="P2186" s="21">
        <f>DATEVALUE(N2186&amp;"-"&amp;M2186&amp;"-"&amp;L2186)</f>
        <v>28021</v>
      </c>
      <c r="Q2186" s="22">
        <v>37735.199999999997</v>
      </c>
      <c r="R2186" s="23" t="s">
        <v>4697</v>
      </c>
      <c r="S2186" s="23" t="s">
        <v>4697</v>
      </c>
      <c r="T2186" s="23" t="s">
        <v>4708</v>
      </c>
      <c r="U2186" s="23">
        <f>DATEDIF(P2186, DATE(2023, 6, 8), "Y")</f>
        <v>46</v>
      </c>
      <c r="V2186">
        <f>SUM(C2186:K2186)</f>
        <v>35.07</v>
      </c>
    </row>
    <row r="2187" spans="1:22" ht="15.75">
      <c r="A2187" s="28" t="s">
        <v>4372</v>
      </c>
      <c r="B2187" s="28" t="s">
        <v>4373</v>
      </c>
      <c r="C2187" s="23">
        <v>29.37</v>
      </c>
      <c r="D2187" s="23">
        <v>5.54</v>
      </c>
      <c r="E2187" s="23" t="s">
        <v>4682</v>
      </c>
      <c r="F2187" s="23" t="s">
        <v>4683</v>
      </c>
      <c r="G2187" s="23" t="s">
        <v>4682</v>
      </c>
      <c r="H2187" s="23">
        <v>1</v>
      </c>
      <c r="I2187" s="23" t="s">
        <v>4682</v>
      </c>
      <c r="J2187" s="23" t="s">
        <v>4730</v>
      </c>
      <c r="K2187" s="23" t="s">
        <v>4737</v>
      </c>
      <c r="L2187">
        <v>1986</v>
      </c>
      <c r="M2187" s="15" t="s">
        <v>4706</v>
      </c>
      <c r="N2187">
        <v>15</v>
      </c>
      <c r="O2187">
        <v>0</v>
      </c>
      <c r="P2187" s="21">
        <f>DATEVALUE(N2187&amp;"-"&amp;M2187&amp;"-"&amp;L2187)</f>
        <v>31639</v>
      </c>
      <c r="Q2187" s="22">
        <v>37742.58</v>
      </c>
      <c r="R2187" s="23" t="s">
        <v>4701</v>
      </c>
      <c r="S2187" s="23" t="s">
        <v>4701</v>
      </c>
      <c r="T2187" s="23" t="s">
        <v>4699</v>
      </c>
      <c r="U2187" s="23">
        <f>DATEDIF(P2187, DATE(2023, 6, 8), "Y")</f>
        <v>36</v>
      </c>
      <c r="V2187">
        <f>SUM(C2187:K2187)</f>
        <v>35.910000000000004</v>
      </c>
    </row>
    <row r="2188" spans="1:22" ht="15.75">
      <c r="A2188" s="28" t="s">
        <v>4374</v>
      </c>
      <c r="B2188" s="28" t="s">
        <v>4375</v>
      </c>
      <c r="C2188" s="23">
        <v>28.5</v>
      </c>
      <c r="D2188" s="23">
        <v>4.03</v>
      </c>
      <c r="E2188" s="23" t="s">
        <v>4682</v>
      </c>
      <c r="F2188" s="23" t="s">
        <v>4683</v>
      </c>
      <c r="G2188" s="23" t="s">
        <v>4682</v>
      </c>
      <c r="H2188" s="23">
        <v>1</v>
      </c>
      <c r="I2188" s="23" t="s">
        <v>4682</v>
      </c>
      <c r="J2188" s="23" t="s">
        <v>4730</v>
      </c>
      <c r="K2188" s="23" t="s">
        <v>4737</v>
      </c>
      <c r="L2188">
        <v>1983</v>
      </c>
      <c r="M2188" s="15" t="s">
        <v>4696</v>
      </c>
      <c r="N2188">
        <v>26</v>
      </c>
      <c r="O2188">
        <v>3</v>
      </c>
      <c r="P2188" s="21">
        <f>DATEVALUE(N2188&amp;"-"&amp;M2188&amp;"-"&amp;L2188)</f>
        <v>30523</v>
      </c>
      <c r="Q2188" s="22">
        <v>37800.980000000003</v>
      </c>
      <c r="R2188" s="23" t="s">
        <v>4697</v>
      </c>
      <c r="S2188" s="23" t="s">
        <v>4697</v>
      </c>
      <c r="T2188" s="23" t="s">
        <v>4708</v>
      </c>
      <c r="U2188" s="23">
        <f>DATEDIF(P2188, DATE(2023, 6, 8), "Y")</f>
        <v>39</v>
      </c>
      <c r="V2188">
        <f>SUM(C2188:K2188)</f>
        <v>33.53</v>
      </c>
    </row>
    <row r="2189" spans="1:22" ht="15.75">
      <c r="A2189" s="28" t="s">
        <v>4376</v>
      </c>
      <c r="B2189" s="28" t="s">
        <v>4377</v>
      </c>
      <c r="C2189" s="23">
        <v>23.32</v>
      </c>
      <c r="D2189" s="23">
        <v>5.62</v>
      </c>
      <c r="E2189" s="23" t="s">
        <v>4682</v>
      </c>
      <c r="F2189" s="23" t="s">
        <v>4683</v>
      </c>
      <c r="G2189" s="23" t="s">
        <v>4682</v>
      </c>
      <c r="H2189" s="23">
        <v>1</v>
      </c>
      <c r="I2189" s="23" t="s">
        <v>4682</v>
      </c>
      <c r="J2189" s="23" t="s">
        <v>4728</v>
      </c>
      <c r="K2189" s="23" t="s">
        <v>4737</v>
      </c>
      <c r="L2189">
        <v>1979</v>
      </c>
      <c r="M2189" s="15" t="s">
        <v>4703</v>
      </c>
      <c r="N2189">
        <v>9</v>
      </c>
      <c r="O2189">
        <v>0</v>
      </c>
      <c r="P2189" s="21">
        <f>DATEVALUE(N2189&amp;"-"&amp;M2189&amp;"-"&amp;L2189)</f>
        <v>29107</v>
      </c>
      <c r="Q2189" s="22">
        <v>37829.72</v>
      </c>
      <c r="R2189" s="23" t="s">
        <v>4701</v>
      </c>
      <c r="S2189" s="23" t="s">
        <v>4697</v>
      </c>
      <c r="T2189" s="23" t="s">
        <v>4708</v>
      </c>
      <c r="U2189" s="23">
        <f>DATEDIF(P2189, DATE(2023, 6, 8), "Y")</f>
        <v>43</v>
      </c>
      <c r="V2189">
        <f>SUM(C2189:K2189)</f>
        <v>29.94</v>
      </c>
    </row>
    <row r="2190" spans="1:22" ht="15.75">
      <c r="A2190" s="28" t="s">
        <v>4378</v>
      </c>
      <c r="B2190" s="28" t="s">
        <v>4379</v>
      </c>
      <c r="C2190" s="23">
        <v>26.125</v>
      </c>
      <c r="D2190" s="23">
        <v>5.27</v>
      </c>
      <c r="E2190" s="23" t="s">
        <v>4682</v>
      </c>
      <c r="F2190" s="23" t="s">
        <v>4683</v>
      </c>
      <c r="G2190" s="23" t="s">
        <v>4682</v>
      </c>
      <c r="H2190" s="23">
        <v>1</v>
      </c>
      <c r="I2190" s="23" t="s">
        <v>4682</v>
      </c>
      <c r="J2190" s="23" t="s">
        <v>4730</v>
      </c>
      <c r="K2190" s="23" t="s">
        <v>4737</v>
      </c>
      <c r="L2190">
        <v>1998</v>
      </c>
      <c r="M2190" s="15" t="s">
        <v>4696</v>
      </c>
      <c r="N2190">
        <v>29</v>
      </c>
      <c r="O2190">
        <v>0</v>
      </c>
      <c r="P2190" s="21">
        <f>DATEVALUE(N2190&amp;"-"&amp;M2190&amp;"-"&amp;L2190)</f>
        <v>36005</v>
      </c>
      <c r="Q2190" s="22">
        <v>38126.25</v>
      </c>
      <c r="R2190" s="23" t="s">
        <v>4701</v>
      </c>
      <c r="S2190" s="23" t="s">
        <v>4698</v>
      </c>
      <c r="T2190" s="23" t="s">
        <v>4699</v>
      </c>
      <c r="U2190" s="23">
        <f>DATEDIF(P2190, DATE(2023, 6, 8), "Y")</f>
        <v>24</v>
      </c>
      <c r="V2190">
        <f>SUM(C2190:K2190)</f>
        <v>32.394999999999996</v>
      </c>
    </row>
    <row r="2191" spans="1:22" ht="15.75">
      <c r="A2191" s="28" t="s">
        <v>4380</v>
      </c>
      <c r="B2191" s="28" t="s">
        <v>4381</v>
      </c>
      <c r="C2191" s="23">
        <v>25.46</v>
      </c>
      <c r="D2191" s="23">
        <v>5.18</v>
      </c>
      <c r="E2191" s="23" t="s">
        <v>4682</v>
      </c>
      <c r="F2191" s="23" t="s">
        <v>4683</v>
      </c>
      <c r="G2191" s="23" t="s">
        <v>4682</v>
      </c>
      <c r="H2191" s="23">
        <v>1</v>
      </c>
      <c r="I2191" s="23" t="s">
        <v>4682</v>
      </c>
      <c r="J2191" s="23" t="s">
        <v>4730</v>
      </c>
      <c r="K2191" s="23" t="s">
        <v>4737</v>
      </c>
      <c r="L2191">
        <v>1972</v>
      </c>
      <c r="M2191" s="15" t="s">
        <v>4700</v>
      </c>
      <c r="N2191">
        <v>19</v>
      </c>
      <c r="O2191">
        <v>0</v>
      </c>
      <c r="P2191" s="21">
        <f>DATEVALUE(N2191&amp;"-"&amp;M2191&amp;"-"&amp;L2191)</f>
        <v>26622</v>
      </c>
      <c r="Q2191" s="22">
        <v>38189.1</v>
      </c>
      <c r="R2191" s="23" t="s">
        <v>4697</v>
      </c>
      <c r="S2191" s="23" t="s">
        <v>4697</v>
      </c>
      <c r="T2191" s="23" t="s">
        <v>4708</v>
      </c>
      <c r="U2191" s="23">
        <f>DATEDIF(P2191, DATE(2023, 6, 8), "Y")</f>
        <v>50</v>
      </c>
      <c r="V2191">
        <f>SUM(C2191:K2191)</f>
        <v>31.64</v>
      </c>
    </row>
    <row r="2192" spans="1:22" ht="15.75">
      <c r="A2192" s="28" t="s">
        <v>4382</v>
      </c>
      <c r="B2192" s="28" t="s">
        <v>4383</v>
      </c>
      <c r="C2192" s="23">
        <v>23.75</v>
      </c>
      <c r="D2192" s="23">
        <v>5.27</v>
      </c>
      <c r="E2192" s="23" t="s">
        <v>4682</v>
      </c>
      <c r="F2192" s="23" t="s">
        <v>4683</v>
      </c>
      <c r="G2192" s="23" t="s">
        <v>4682</v>
      </c>
      <c r="H2192" s="23">
        <v>1</v>
      </c>
      <c r="I2192" s="23" t="s">
        <v>4682</v>
      </c>
      <c r="J2192" s="23" t="s">
        <v>4728</v>
      </c>
      <c r="K2192" s="23" t="s">
        <v>4737</v>
      </c>
      <c r="L2192">
        <v>1989</v>
      </c>
      <c r="M2192" s="15" t="s">
        <v>4703</v>
      </c>
      <c r="N2192">
        <v>8</v>
      </c>
      <c r="O2192">
        <v>3</v>
      </c>
      <c r="P2192" s="21">
        <f>DATEVALUE(N2192&amp;"-"&amp;M2192&amp;"-"&amp;L2192)</f>
        <v>32759</v>
      </c>
      <c r="Q2192" s="22">
        <v>38237.339999999997</v>
      </c>
      <c r="R2192" s="23" t="s">
        <v>4697</v>
      </c>
      <c r="S2192" s="23" t="s">
        <v>4698</v>
      </c>
      <c r="T2192" s="23" t="s">
        <v>4708</v>
      </c>
      <c r="U2192" s="23">
        <f>DATEDIF(P2192, DATE(2023, 6, 8), "Y")</f>
        <v>33</v>
      </c>
      <c r="V2192">
        <f>SUM(C2192:K2192)</f>
        <v>30.02</v>
      </c>
    </row>
    <row r="2193" spans="1:22" ht="15.75">
      <c r="A2193" s="28" t="s">
        <v>4384</v>
      </c>
      <c r="B2193" s="28" t="s">
        <v>4385</v>
      </c>
      <c r="C2193" s="23">
        <v>23.085000000000001</v>
      </c>
      <c r="D2193" s="23">
        <v>5.62</v>
      </c>
      <c r="E2193" s="23" t="s">
        <v>4682</v>
      </c>
      <c r="F2193" s="23" t="s">
        <v>4683</v>
      </c>
      <c r="G2193" s="23" t="s">
        <v>4682</v>
      </c>
      <c r="H2193" s="23">
        <v>1</v>
      </c>
      <c r="I2193" s="23" t="s">
        <v>4682</v>
      </c>
      <c r="J2193" s="23" t="s">
        <v>4728</v>
      </c>
      <c r="K2193" s="23" t="s">
        <v>4737</v>
      </c>
      <c r="L2193">
        <v>1964</v>
      </c>
      <c r="M2193" s="15" t="s">
        <v>4702</v>
      </c>
      <c r="N2193">
        <v>16</v>
      </c>
      <c r="O2193">
        <v>0</v>
      </c>
      <c r="P2193" s="21">
        <f>DATEVALUE(N2193&amp;"-"&amp;M2193&amp;"-"&amp;L2193)</f>
        <v>23544</v>
      </c>
      <c r="Q2193" s="22">
        <v>38241.74</v>
      </c>
      <c r="R2193" s="23" t="s">
        <v>4697</v>
      </c>
      <c r="S2193" s="23" t="s">
        <v>4698</v>
      </c>
      <c r="T2193" s="23" t="s">
        <v>4708</v>
      </c>
      <c r="U2193" s="23">
        <f>DATEDIF(P2193, DATE(2023, 6, 8), "Y")</f>
        <v>58</v>
      </c>
      <c r="V2193">
        <f>SUM(C2193:K2193)</f>
        <v>29.705000000000002</v>
      </c>
    </row>
    <row r="2194" spans="1:22" ht="15.75">
      <c r="A2194" s="28" t="s">
        <v>4386</v>
      </c>
      <c r="B2194" s="28" t="s">
        <v>4387</v>
      </c>
      <c r="C2194" s="23">
        <v>22.99</v>
      </c>
      <c r="D2194" s="23">
        <v>5.0599999999999996</v>
      </c>
      <c r="E2194" s="23" t="s">
        <v>4682</v>
      </c>
      <c r="F2194" s="23" t="s">
        <v>4683</v>
      </c>
      <c r="G2194" s="23" t="s">
        <v>4682</v>
      </c>
      <c r="H2194" s="23">
        <v>1</v>
      </c>
      <c r="I2194" s="23" t="s">
        <v>4682</v>
      </c>
      <c r="J2194" s="23" t="s">
        <v>4728</v>
      </c>
      <c r="K2194" s="23" t="s">
        <v>4737</v>
      </c>
      <c r="L2194">
        <v>1980</v>
      </c>
      <c r="M2194" s="15" t="s">
        <v>4706</v>
      </c>
      <c r="N2194">
        <v>16</v>
      </c>
      <c r="O2194">
        <v>1</v>
      </c>
      <c r="P2194" s="21">
        <f>DATEVALUE(N2194&amp;"-"&amp;M2194&amp;"-"&amp;L2194)</f>
        <v>29449</v>
      </c>
      <c r="Q2194" s="22">
        <v>38245.589999999997</v>
      </c>
      <c r="R2194" s="23" t="s">
        <v>4701</v>
      </c>
      <c r="S2194" s="23" t="s">
        <v>4697</v>
      </c>
      <c r="T2194" s="23" t="s">
        <v>4699</v>
      </c>
      <c r="U2194" s="23">
        <f>DATEDIF(P2194, DATE(2023, 6, 8), "Y")</f>
        <v>42</v>
      </c>
      <c r="V2194">
        <f>SUM(C2194:K2194)</f>
        <v>29.049999999999997</v>
      </c>
    </row>
    <row r="2195" spans="1:22" ht="15.75">
      <c r="A2195" s="28" t="s">
        <v>4388</v>
      </c>
      <c r="B2195" s="28" t="s">
        <v>4389</v>
      </c>
      <c r="C2195" s="23">
        <v>21.47</v>
      </c>
      <c r="D2195" s="23">
        <v>4.6900000000000004</v>
      </c>
      <c r="E2195" s="23" t="s">
        <v>4682</v>
      </c>
      <c r="F2195" s="23" t="s">
        <v>4683</v>
      </c>
      <c r="G2195" s="23" t="s">
        <v>4682</v>
      </c>
      <c r="H2195" s="23">
        <v>1</v>
      </c>
      <c r="I2195" s="23" t="s">
        <v>4682</v>
      </c>
      <c r="J2195" s="23" t="s">
        <v>4728</v>
      </c>
      <c r="K2195" s="23" t="s">
        <v>4737</v>
      </c>
      <c r="L2195">
        <v>1989</v>
      </c>
      <c r="M2195" s="15" t="s">
        <v>4707</v>
      </c>
      <c r="N2195">
        <v>30</v>
      </c>
      <c r="O2195">
        <v>1</v>
      </c>
      <c r="P2195" s="21">
        <f>DATEVALUE(N2195&amp;"-"&amp;M2195&amp;"-"&amp;L2195)</f>
        <v>32811</v>
      </c>
      <c r="Q2195" s="22">
        <v>38282.75</v>
      </c>
      <c r="R2195" s="23" t="s">
        <v>4701</v>
      </c>
      <c r="S2195" s="23" t="s">
        <v>4697</v>
      </c>
      <c r="T2195" s="23" t="s">
        <v>4699</v>
      </c>
      <c r="U2195" s="23">
        <f>DATEDIF(P2195, DATE(2023, 6, 8), "Y")</f>
        <v>33</v>
      </c>
      <c r="V2195">
        <f>SUM(C2195:K2195)</f>
        <v>27.16</v>
      </c>
    </row>
    <row r="2196" spans="1:22" ht="15.75">
      <c r="A2196" s="28" t="s">
        <v>4390</v>
      </c>
      <c r="B2196" s="28" t="s">
        <v>4391</v>
      </c>
      <c r="C2196" s="23">
        <v>15.96</v>
      </c>
      <c r="D2196" s="23">
        <v>5.44</v>
      </c>
      <c r="E2196" s="23" t="s">
        <v>4682</v>
      </c>
      <c r="F2196" s="23" t="s">
        <v>4683</v>
      </c>
      <c r="G2196" s="23" t="s">
        <v>4682</v>
      </c>
      <c r="H2196" s="23">
        <v>1</v>
      </c>
      <c r="I2196" s="23" t="s">
        <v>4682</v>
      </c>
      <c r="J2196" s="23" t="s">
        <v>4731</v>
      </c>
      <c r="K2196" s="23" t="s">
        <v>4737</v>
      </c>
      <c r="L2196">
        <v>1980</v>
      </c>
      <c r="M2196" s="15" t="s">
        <v>4702</v>
      </c>
      <c r="N2196">
        <v>12</v>
      </c>
      <c r="O2196">
        <v>2</v>
      </c>
      <c r="P2196" s="21">
        <f>DATEVALUE(N2196&amp;"-"&amp;M2196&amp;"-"&amp;L2196)</f>
        <v>29384</v>
      </c>
      <c r="Q2196" s="22">
        <v>38313.129999999997</v>
      </c>
      <c r="R2196" s="23" t="s">
        <v>4701</v>
      </c>
      <c r="S2196" s="23" t="s">
        <v>4698</v>
      </c>
      <c r="T2196" s="23" t="s">
        <v>4708</v>
      </c>
      <c r="U2196" s="23">
        <f>DATEDIF(P2196, DATE(2023, 6, 8), "Y")</f>
        <v>42</v>
      </c>
      <c r="V2196">
        <f>SUM(C2196:K2196)</f>
        <v>22.400000000000002</v>
      </c>
    </row>
    <row r="2197" spans="1:22" ht="15.75">
      <c r="A2197" s="28" t="s">
        <v>4392</v>
      </c>
      <c r="B2197" s="28" t="s">
        <v>4393</v>
      </c>
      <c r="C2197" s="23">
        <v>39.5</v>
      </c>
      <c r="D2197" s="23">
        <v>5.05</v>
      </c>
      <c r="E2197" s="23" t="s">
        <v>4682</v>
      </c>
      <c r="F2197" s="23" t="s">
        <v>4683</v>
      </c>
      <c r="G2197" s="23" t="s">
        <v>4682</v>
      </c>
      <c r="H2197" s="23">
        <v>1</v>
      </c>
      <c r="I2197" s="23" t="s">
        <v>4682</v>
      </c>
      <c r="J2197" s="23" t="s">
        <v>4729</v>
      </c>
      <c r="K2197" s="23" t="s">
        <v>4737</v>
      </c>
      <c r="L2197">
        <v>2002</v>
      </c>
      <c r="M2197" s="15" t="s">
        <v>4703</v>
      </c>
      <c r="N2197">
        <v>17</v>
      </c>
      <c r="O2197">
        <v>2</v>
      </c>
      <c r="P2197" s="21">
        <f>DATEVALUE(N2197&amp;"-"&amp;M2197&amp;"-"&amp;L2197)</f>
        <v>37516</v>
      </c>
      <c r="Q2197" s="22">
        <v>38344.57</v>
      </c>
      <c r="R2197" s="23" t="s">
        <v>4701</v>
      </c>
      <c r="S2197" s="23" t="s">
        <v>4698</v>
      </c>
      <c r="T2197" s="23" t="s">
        <v>4708</v>
      </c>
      <c r="U2197" s="23">
        <f>DATEDIF(P2197, DATE(2023, 6, 8), "Y")</f>
        <v>20</v>
      </c>
      <c r="V2197">
        <f>SUM(C2197:K2197)</f>
        <v>45.55</v>
      </c>
    </row>
    <row r="2198" spans="1:22" ht="15.75">
      <c r="A2198" s="28" t="s">
        <v>4394</v>
      </c>
      <c r="B2198" s="28" t="s">
        <v>4395</v>
      </c>
      <c r="C2198" s="23">
        <v>33.770000000000003</v>
      </c>
      <c r="D2198" s="23">
        <v>6</v>
      </c>
      <c r="E2198" s="23" t="s">
        <v>4682</v>
      </c>
      <c r="F2198" s="23" t="s">
        <v>4683</v>
      </c>
      <c r="G2198" s="23" t="s">
        <v>4682</v>
      </c>
      <c r="H2198" s="23">
        <v>1</v>
      </c>
      <c r="I2198" s="23" t="s">
        <v>4682</v>
      </c>
      <c r="J2198" s="23" t="s">
        <v>4729</v>
      </c>
      <c r="K2198" s="23" t="s">
        <v>4736</v>
      </c>
      <c r="L2198">
        <v>1970</v>
      </c>
      <c r="M2198" s="15" t="s">
        <v>4706</v>
      </c>
      <c r="N2198">
        <v>22</v>
      </c>
      <c r="O2198">
        <v>0</v>
      </c>
      <c r="P2198" s="21">
        <f>DATEVALUE(N2198&amp;"-"&amp;M2198&amp;"-"&amp;L2198)</f>
        <v>25802</v>
      </c>
      <c r="Q2198" s="22">
        <v>38389.79</v>
      </c>
      <c r="R2198" s="23" t="s">
        <v>4697</v>
      </c>
      <c r="S2198" s="23" t="s">
        <v>4698</v>
      </c>
      <c r="T2198" s="23" t="s">
        <v>4708</v>
      </c>
      <c r="U2198" s="23">
        <f>DATEDIF(P2198, DATE(2023, 6, 8), "Y")</f>
        <v>52</v>
      </c>
      <c r="V2198">
        <f>SUM(C2198:K2198)</f>
        <v>40.770000000000003</v>
      </c>
    </row>
    <row r="2199" spans="1:22" ht="15.75">
      <c r="A2199" s="28" t="s">
        <v>4396</v>
      </c>
      <c r="B2199" s="28" t="s">
        <v>4397</v>
      </c>
      <c r="C2199" s="23">
        <v>26.84</v>
      </c>
      <c r="D2199" s="23">
        <v>5.99</v>
      </c>
      <c r="E2199" s="23" t="s">
        <v>4683</v>
      </c>
      <c r="F2199" s="23" t="s">
        <v>4683</v>
      </c>
      <c r="G2199" s="23" t="s">
        <v>4682</v>
      </c>
      <c r="H2199" s="23">
        <v>1</v>
      </c>
      <c r="I2199" s="23" t="s">
        <v>4682</v>
      </c>
      <c r="J2199" s="23" t="s">
        <v>4730</v>
      </c>
      <c r="K2199" s="23" t="s">
        <v>4736</v>
      </c>
      <c r="L2199">
        <v>1971</v>
      </c>
      <c r="M2199" s="15" t="s">
        <v>4705</v>
      </c>
      <c r="N2199">
        <v>23</v>
      </c>
      <c r="O2199">
        <v>0</v>
      </c>
      <c r="P2199" s="21">
        <f>DATEVALUE(N2199&amp;"-"&amp;M2199&amp;"-"&amp;L2199)</f>
        <v>26290</v>
      </c>
      <c r="Q2199" s="22">
        <v>38405.26</v>
      </c>
      <c r="R2199" s="23" t="s">
        <v>4697</v>
      </c>
      <c r="S2199" s="23" t="s">
        <v>4701</v>
      </c>
      <c r="T2199" s="23" t="s">
        <v>4708</v>
      </c>
      <c r="U2199" s="23">
        <f>DATEDIF(P2199, DATE(2023, 6, 8), "Y")</f>
        <v>51</v>
      </c>
      <c r="V2199">
        <f>SUM(C2199:K2199)</f>
        <v>33.83</v>
      </c>
    </row>
    <row r="2200" spans="1:22" ht="15.75">
      <c r="A2200" s="28" t="s">
        <v>4398</v>
      </c>
      <c r="B2200" s="28" t="s">
        <v>4399</v>
      </c>
      <c r="C2200" s="23">
        <v>35.53</v>
      </c>
      <c r="D2200" s="23">
        <v>4.3600000000000003</v>
      </c>
      <c r="E2200" s="23" t="s">
        <v>4682</v>
      </c>
      <c r="F2200" s="23" t="s">
        <v>4682</v>
      </c>
      <c r="G2200" s="23" t="s">
        <v>4684</v>
      </c>
      <c r="H2200" s="23">
        <v>1</v>
      </c>
      <c r="I2200" s="23" t="s">
        <v>4682</v>
      </c>
      <c r="J2200" s="23" t="s">
        <v>4729</v>
      </c>
      <c r="K2200" s="23" t="s">
        <v>4737</v>
      </c>
      <c r="L2200">
        <v>1986</v>
      </c>
      <c r="M2200" s="15" t="s">
        <v>4702</v>
      </c>
      <c r="N2200">
        <v>21</v>
      </c>
      <c r="O2200">
        <v>2</v>
      </c>
      <c r="P2200" s="21">
        <f>DATEVALUE(N2200&amp;"-"&amp;M2200&amp;"-"&amp;L2200)</f>
        <v>31584</v>
      </c>
      <c r="Q2200" s="22">
        <v>38415.47</v>
      </c>
      <c r="R2200" s="23" t="s">
        <v>4701</v>
      </c>
      <c r="S2200" s="23" t="s">
        <v>4697</v>
      </c>
      <c r="T2200" s="23" t="s">
        <v>4708</v>
      </c>
      <c r="U2200" s="23">
        <f>DATEDIF(P2200, DATE(2023, 6, 8), "Y")</f>
        <v>36</v>
      </c>
      <c r="V2200">
        <f>SUM(C2200:K2200)</f>
        <v>40.89</v>
      </c>
    </row>
    <row r="2201" spans="1:22" ht="15.75">
      <c r="A2201" s="28" t="s">
        <v>4400</v>
      </c>
      <c r="B2201" s="28" t="s">
        <v>4401</v>
      </c>
      <c r="C2201" s="23">
        <v>30.59</v>
      </c>
      <c r="D2201" s="23">
        <v>4.41</v>
      </c>
      <c r="E2201" s="23" t="s">
        <v>4682</v>
      </c>
      <c r="F2201" s="23" t="s">
        <v>4682</v>
      </c>
      <c r="G2201" s="23" t="s">
        <v>4684</v>
      </c>
      <c r="H2201" s="23">
        <v>1</v>
      </c>
      <c r="I2201" s="23" t="s">
        <v>4682</v>
      </c>
      <c r="J2201" s="23" t="s">
        <v>4729</v>
      </c>
      <c r="K2201" s="23" t="s">
        <v>4737</v>
      </c>
      <c r="L2201">
        <v>1999</v>
      </c>
      <c r="M2201" s="15" t="s">
        <v>4700</v>
      </c>
      <c r="N2201">
        <v>12</v>
      </c>
      <c r="O2201">
        <v>2</v>
      </c>
      <c r="P2201" s="21">
        <f>DATEVALUE(N2201&amp;"-"&amp;M2201&amp;"-"&amp;L2201)</f>
        <v>36476</v>
      </c>
      <c r="Q2201" s="22">
        <v>38511.629999999997</v>
      </c>
      <c r="R2201" s="23" t="s">
        <v>4697</v>
      </c>
      <c r="S2201" s="23" t="s">
        <v>4697</v>
      </c>
      <c r="T2201" s="23" t="s">
        <v>4714</v>
      </c>
      <c r="U2201" s="23">
        <f>DATEDIF(P2201, DATE(2023, 6, 8), "Y")</f>
        <v>23</v>
      </c>
      <c r="V2201">
        <f>SUM(C2201:K2201)</f>
        <v>36</v>
      </c>
    </row>
    <row r="2202" spans="1:22" ht="15.75">
      <c r="A2202" s="28" t="s">
        <v>4402</v>
      </c>
      <c r="B2202" s="28" t="s">
        <v>4403</v>
      </c>
      <c r="C2202" s="23">
        <v>30.59</v>
      </c>
      <c r="D2202" s="23">
        <v>4.17</v>
      </c>
      <c r="E2202" s="23" t="s">
        <v>4682</v>
      </c>
      <c r="F2202" s="23" t="s">
        <v>4682</v>
      </c>
      <c r="G2202" s="23" t="s">
        <v>4684</v>
      </c>
      <c r="H2202" s="23">
        <v>1</v>
      </c>
      <c r="I2202" s="23" t="s">
        <v>4682</v>
      </c>
      <c r="J2202" s="23" t="s">
        <v>4729</v>
      </c>
      <c r="K2202" s="23" t="s">
        <v>4737</v>
      </c>
      <c r="L2202">
        <v>1990</v>
      </c>
      <c r="M2202" s="15" t="s">
        <v>4696</v>
      </c>
      <c r="N2202">
        <v>13</v>
      </c>
      <c r="O2202">
        <v>3</v>
      </c>
      <c r="P2202" s="21">
        <f>DATEVALUE(N2202&amp;"-"&amp;M2202&amp;"-"&amp;L2202)</f>
        <v>33067</v>
      </c>
      <c r="Q2202" s="22">
        <v>38652.089999999997</v>
      </c>
      <c r="R2202" s="23" t="s">
        <v>4697</v>
      </c>
      <c r="S2202" s="23" t="s">
        <v>4697</v>
      </c>
      <c r="T2202" s="23" t="s">
        <v>4708</v>
      </c>
      <c r="U2202" s="23">
        <f>DATEDIF(P2202, DATE(2023, 6, 8), "Y")</f>
        <v>32</v>
      </c>
      <c r="V2202">
        <f>SUM(C2202:K2202)</f>
        <v>35.76</v>
      </c>
    </row>
    <row r="2203" spans="1:22" ht="15.75">
      <c r="A2203" s="28" t="s">
        <v>4404</v>
      </c>
      <c r="B2203" s="28" t="s">
        <v>4405</v>
      </c>
      <c r="C2203" s="23">
        <v>27.835000000000001</v>
      </c>
      <c r="D2203" s="23">
        <v>4.4400000000000004</v>
      </c>
      <c r="E2203" s="23" t="s">
        <v>4682</v>
      </c>
      <c r="F2203" s="23" t="s">
        <v>4682</v>
      </c>
      <c r="G2203" s="23" t="s">
        <v>4684</v>
      </c>
      <c r="H2203" s="23">
        <v>1</v>
      </c>
      <c r="I2203" s="23" t="s">
        <v>4682</v>
      </c>
      <c r="J2203" s="23" t="s">
        <v>4730</v>
      </c>
      <c r="K2203" s="23" t="s">
        <v>4737</v>
      </c>
      <c r="L2203">
        <v>1986</v>
      </c>
      <c r="M2203" s="15" t="s">
        <v>4696</v>
      </c>
      <c r="N2203">
        <v>20</v>
      </c>
      <c r="O2203">
        <v>1</v>
      </c>
      <c r="P2203" s="21">
        <f>DATEVALUE(N2203&amp;"-"&amp;M2203&amp;"-"&amp;L2203)</f>
        <v>31613</v>
      </c>
      <c r="Q2203" s="22">
        <v>38709.18</v>
      </c>
      <c r="R2203" s="23" t="s">
        <v>4701</v>
      </c>
      <c r="S2203" s="23" t="s">
        <v>4698</v>
      </c>
      <c r="T2203" s="23" t="s">
        <v>4699</v>
      </c>
      <c r="U2203" s="23">
        <f>DATEDIF(P2203, DATE(2023, 6, 8), "Y")</f>
        <v>36</v>
      </c>
      <c r="V2203">
        <f>SUM(C2203:K2203)</f>
        <v>33.274999999999999</v>
      </c>
    </row>
    <row r="2204" spans="1:22" ht="15.75">
      <c r="A2204" s="28" t="s">
        <v>4406</v>
      </c>
      <c r="B2204" s="28" t="s">
        <v>4407</v>
      </c>
      <c r="C2204" s="23">
        <v>40.26</v>
      </c>
      <c r="D2204" s="23">
        <v>5.52</v>
      </c>
      <c r="E2204" s="23" t="s">
        <v>4682</v>
      </c>
      <c r="F2204" s="23" t="s">
        <v>4683</v>
      </c>
      <c r="G2204" s="23" t="s">
        <v>4682</v>
      </c>
      <c r="H2204" s="23">
        <v>1</v>
      </c>
      <c r="I2204" s="23" t="s">
        <v>4682</v>
      </c>
      <c r="J2204" s="23" t="s">
        <v>4729</v>
      </c>
      <c r="K2204" s="23" t="s">
        <v>4737</v>
      </c>
      <c r="L2204">
        <v>1991</v>
      </c>
      <c r="M2204" s="15" t="s">
        <v>4700</v>
      </c>
      <c r="N2204">
        <v>22</v>
      </c>
      <c r="O2204">
        <v>2</v>
      </c>
      <c r="P2204" s="21">
        <f>DATEVALUE(N2204&amp;"-"&amp;M2204&amp;"-"&amp;L2204)</f>
        <v>33564</v>
      </c>
      <c r="Q2204" s="22">
        <v>38711</v>
      </c>
      <c r="R2204" s="23" t="s">
        <v>4701</v>
      </c>
      <c r="S2204" s="23" t="s">
        <v>4698</v>
      </c>
      <c r="T2204" s="23" t="s">
        <v>4708</v>
      </c>
      <c r="U2204" s="23">
        <f>DATEDIF(P2204, DATE(2023, 6, 8), "Y")</f>
        <v>31</v>
      </c>
      <c r="V2204">
        <f>SUM(C2204:K2204)</f>
        <v>46.78</v>
      </c>
    </row>
    <row r="2205" spans="1:22" ht="15.75">
      <c r="A2205" s="28" t="s">
        <v>4408</v>
      </c>
      <c r="B2205" s="28" t="s">
        <v>4409</v>
      </c>
      <c r="C2205" s="23">
        <v>39.82</v>
      </c>
      <c r="D2205" s="23">
        <v>6.01</v>
      </c>
      <c r="E2205" s="23" t="s">
        <v>4682</v>
      </c>
      <c r="F2205" s="23" t="s">
        <v>4683</v>
      </c>
      <c r="G2205" s="23" t="s">
        <v>4682</v>
      </c>
      <c r="H2205" s="23">
        <v>1</v>
      </c>
      <c r="I2205" s="23" t="s">
        <v>4682</v>
      </c>
      <c r="J2205" s="23" t="s">
        <v>4729</v>
      </c>
      <c r="K2205" s="23" t="s">
        <v>4736</v>
      </c>
      <c r="L2205">
        <v>1991</v>
      </c>
      <c r="M2205" s="15" t="s">
        <v>4700</v>
      </c>
      <c r="N2205">
        <v>2</v>
      </c>
      <c r="O2205">
        <v>2</v>
      </c>
      <c r="P2205" s="21">
        <f>DATEVALUE(N2205&amp;"-"&amp;M2205&amp;"-"&amp;L2205)</f>
        <v>33544</v>
      </c>
      <c r="Q2205" s="22">
        <v>38711</v>
      </c>
      <c r="R2205" s="23" t="s">
        <v>4697</v>
      </c>
      <c r="S2205" s="23" t="s">
        <v>4697</v>
      </c>
      <c r="T2205" s="23" t="s">
        <v>4708</v>
      </c>
      <c r="U2205" s="23">
        <f>DATEDIF(P2205, DATE(2023, 6, 8), "Y")</f>
        <v>31</v>
      </c>
      <c r="V2205">
        <f>SUM(C2205:K2205)</f>
        <v>46.83</v>
      </c>
    </row>
    <row r="2206" spans="1:22" ht="15.75">
      <c r="A2206" s="28" t="s">
        <v>4410</v>
      </c>
      <c r="B2206" s="28" t="s">
        <v>4411</v>
      </c>
      <c r="C2206" s="23">
        <v>39.159999999999997</v>
      </c>
      <c r="D2206" s="23">
        <v>5.81</v>
      </c>
      <c r="E2206" s="23" t="s">
        <v>4682</v>
      </c>
      <c r="F2206" s="23" t="s">
        <v>4683</v>
      </c>
      <c r="G2206" s="23" t="s">
        <v>4682</v>
      </c>
      <c r="H2206" s="23">
        <v>1</v>
      </c>
      <c r="I2206" s="23" t="s">
        <v>4682</v>
      </c>
      <c r="J2206" s="23" t="s">
        <v>4729</v>
      </c>
      <c r="K2206" s="23" t="s">
        <v>4736</v>
      </c>
      <c r="L2206">
        <v>1976</v>
      </c>
      <c r="M2206" s="15" t="s">
        <v>4702</v>
      </c>
      <c r="N2206">
        <v>15</v>
      </c>
      <c r="O2206">
        <v>2</v>
      </c>
      <c r="P2206" s="21">
        <f>DATEVALUE(N2206&amp;"-"&amp;M2206&amp;"-"&amp;L2206)</f>
        <v>27926</v>
      </c>
      <c r="Q2206" s="22">
        <v>38740.120000000003</v>
      </c>
      <c r="R2206" s="23" t="s">
        <v>4697</v>
      </c>
      <c r="S2206" s="23" t="s">
        <v>4697</v>
      </c>
      <c r="T2206" s="23" t="s">
        <v>4704</v>
      </c>
      <c r="U2206" s="23">
        <f>DATEDIF(P2206, DATE(2023, 6, 8), "Y")</f>
        <v>46</v>
      </c>
      <c r="V2206">
        <f>SUM(C2206:K2206)</f>
        <v>45.97</v>
      </c>
    </row>
    <row r="2207" spans="1:22" ht="15.75">
      <c r="A2207" s="28" t="s">
        <v>4412</v>
      </c>
      <c r="B2207" s="28" t="s">
        <v>4413</v>
      </c>
      <c r="C2207" s="23">
        <v>25.555</v>
      </c>
      <c r="D2207" s="23">
        <v>4.37</v>
      </c>
      <c r="E2207" s="23" t="s">
        <v>4682</v>
      </c>
      <c r="F2207" s="23" t="s">
        <v>4682</v>
      </c>
      <c r="G2207" s="23" t="s">
        <v>4684</v>
      </c>
      <c r="H2207" s="23">
        <v>1</v>
      </c>
      <c r="I2207" s="23" t="s">
        <v>4682</v>
      </c>
      <c r="J2207" s="23" t="s">
        <v>4730</v>
      </c>
      <c r="K2207" s="23" t="s">
        <v>4737</v>
      </c>
      <c r="L2207">
        <v>1991</v>
      </c>
      <c r="M2207" s="15" t="s">
        <v>4700</v>
      </c>
      <c r="N2207">
        <v>8</v>
      </c>
      <c r="O2207">
        <v>3</v>
      </c>
      <c r="P2207" s="21">
        <f>DATEVALUE(N2207&amp;"-"&amp;M2207&amp;"-"&amp;L2207)</f>
        <v>33550</v>
      </c>
      <c r="Q2207" s="22">
        <v>38746.36</v>
      </c>
      <c r="R2207" s="23" t="s">
        <v>4701</v>
      </c>
      <c r="S2207" s="23" t="s">
        <v>4697</v>
      </c>
      <c r="T2207" s="23" t="s">
        <v>4704</v>
      </c>
      <c r="U2207" s="23">
        <f>DATEDIF(P2207, DATE(2023, 6, 8), "Y")</f>
        <v>31</v>
      </c>
      <c r="V2207">
        <f>SUM(C2207:K2207)</f>
        <v>30.925000000000001</v>
      </c>
    </row>
    <row r="2208" spans="1:22" ht="15.75">
      <c r="A2208" s="28" t="s">
        <v>4414</v>
      </c>
      <c r="B2208" s="28" t="s">
        <v>4415</v>
      </c>
      <c r="C2208" s="23">
        <v>25.175000000000001</v>
      </c>
      <c r="D2208" s="23">
        <v>5.74</v>
      </c>
      <c r="E2208" s="23" t="s">
        <v>4682</v>
      </c>
      <c r="F2208" s="23" t="s">
        <v>4682</v>
      </c>
      <c r="G2208" s="23" t="s">
        <v>4684</v>
      </c>
      <c r="H2208" s="23">
        <v>1</v>
      </c>
      <c r="I2208" s="23" t="s">
        <v>4682</v>
      </c>
      <c r="J2208" s="23" t="s">
        <v>4730</v>
      </c>
      <c r="K2208" s="23" t="s">
        <v>4736</v>
      </c>
      <c r="L2208">
        <v>2004</v>
      </c>
      <c r="M2208" s="15" t="s">
        <v>4705</v>
      </c>
      <c r="N2208">
        <v>5</v>
      </c>
      <c r="O2208">
        <v>0</v>
      </c>
      <c r="P2208" s="21">
        <f>DATEVALUE(N2208&amp;"-"&amp;M2208&amp;"-"&amp;L2208)</f>
        <v>38326</v>
      </c>
      <c r="Q2208" s="22">
        <v>38792.69</v>
      </c>
      <c r="R2208" s="23" t="s">
        <v>4697</v>
      </c>
      <c r="S2208" s="23" t="s">
        <v>4697</v>
      </c>
      <c r="T2208" s="23" t="s">
        <v>4699</v>
      </c>
      <c r="U2208" s="23">
        <f>DATEDIF(P2208, DATE(2023, 6, 8), "Y")</f>
        <v>18</v>
      </c>
      <c r="V2208">
        <f>SUM(C2208:K2208)</f>
        <v>31.914999999999999</v>
      </c>
    </row>
    <row r="2209" spans="1:22" ht="15.75">
      <c r="A2209" s="28" t="s">
        <v>4416</v>
      </c>
      <c r="B2209" s="28" t="s">
        <v>4417</v>
      </c>
      <c r="C2209" s="23">
        <v>38.28</v>
      </c>
      <c r="D2209" s="23">
        <v>5.39</v>
      </c>
      <c r="E2209" s="23" t="s">
        <v>4682</v>
      </c>
      <c r="F2209" s="23" t="s">
        <v>4683</v>
      </c>
      <c r="G2209" s="23" t="s">
        <v>4682</v>
      </c>
      <c r="H2209" s="23">
        <v>1</v>
      </c>
      <c r="I2209" s="23" t="s">
        <v>4682</v>
      </c>
      <c r="J2209" s="23" t="s">
        <v>4729</v>
      </c>
      <c r="K2209" s="23" t="s">
        <v>4737</v>
      </c>
      <c r="L2209">
        <v>1979</v>
      </c>
      <c r="M2209" s="15" t="s">
        <v>4705</v>
      </c>
      <c r="N2209">
        <v>3</v>
      </c>
      <c r="O2209">
        <v>2</v>
      </c>
      <c r="P2209" s="21">
        <f>DATEVALUE(N2209&amp;"-"&amp;M2209&amp;"-"&amp;L2209)</f>
        <v>29192</v>
      </c>
      <c r="Q2209" s="22">
        <v>38836.980000000003</v>
      </c>
      <c r="R2209" s="23" t="s">
        <v>4697</v>
      </c>
      <c r="S2209" s="23" t="s">
        <v>4701</v>
      </c>
      <c r="T2209" s="23" t="s">
        <v>4708</v>
      </c>
      <c r="U2209" s="23">
        <f>DATEDIF(P2209, DATE(2023, 6, 8), "Y")</f>
        <v>43</v>
      </c>
      <c r="V2209">
        <f>SUM(C2209:K2209)</f>
        <v>44.67</v>
      </c>
    </row>
    <row r="2210" spans="1:22" ht="15.75">
      <c r="A2210" s="28" t="s">
        <v>4418</v>
      </c>
      <c r="B2210" s="28" t="s">
        <v>4419</v>
      </c>
      <c r="C2210" s="23">
        <v>38.17</v>
      </c>
      <c r="D2210" s="23">
        <v>4.07</v>
      </c>
      <c r="E2210" s="23" t="s">
        <v>4682</v>
      </c>
      <c r="F2210" s="23" t="s">
        <v>4683</v>
      </c>
      <c r="G2210" s="23" t="s">
        <v>4682</v>
      </c>
      <c r="H2210" s="23">
        <v>1</v>
      </c>
      <c r="I2210" s="23" t="s">
        <v>4682</v>
      </c>
      <c r="J2210" s="23" t="s">
        <v>4729</v>
      </c>
      <c r="K2210" s="23" t="s">
        <v>4737</v>
      </c>
      <c r="L2210">
        <v>1964</v>
      </c>
      <c r="M2210" s="15" t="s">
        <v>4702</v>
      </c>
      <c r="N2210">
        <v>6</v>
      </c>
      <c r="O2210">
        <v>0</v>
      </c>
      <c r="P2210" s="21">
        <f>DATEVALUE(N2210&amp;"-"&amp;M2210&amp;"-"&amp;L2210)</f>
        <v>23534</v>
      </c>
      <c r="Q2210" s="22">
        <v>38869.25</v>
      </c>
      <c r="R2210" s="23" t="s">
        <v>4697</v>
      </c>
      <c r="S2210" s="23" t="s">
        <v>4697</v>
      </c>
      <c r="T2210" s="23" t="s">
        <v>4708</v>
      </c>
      <c r="U2210" s="23">
        <f>DATEDIF(P2210, DATE(2023, 6, 8), "Y")</f>
        <v>59</v>
      </c>
      <c r="V2210">
        <f>SUM(C2210:K2210)</f>
        <v>43.24</v>
      </c>
    </row>
    <row r="2211" spans="1:22" ht="15.75">
      <c r="A2211" s="28" t="s">
        <v>4420</v>
      </c>
      <c r="B2211" s="28" t="s">
        <v>4421</v>
      </c>
      <c r="C2211" s="23">
        <v>36.85</v>
      </c>
      <c r="D2211" s="23">
        <v>5.49</v>
      </c>
      <c r="E2211" s="23" t="s">
        <v>4682</v>
      </c>
      <c r="F2211" s="23" t="s">
        <v>4683</v>
      </c>
      <c r="G2211" s="23" t="s">
        <v>4682</v>
      </c>
      <c r="H2211" s="23">
        <v>1</v>
      </c>
      <c r="I2211" s="23" t="s">
        <v>4682</v>
      </c>
      <c r="J2211" s="23" t="s">
        <v>4729</v>
      </c>
      <c r="K2211" s="23" t="s">
        <v>4737</v>
      </c>
      <c r="L2211">
        <v>1967</v>
      </c>
      <c r="M2211" s="15" t="s">
        <v>4696</v>
      </c>
      <c r="N2211">
        <v>30</v>
      </c>
      <c r="O2211">
        <v>0</v>
      </c>
      <c r="P2211" s="21">
        <f>DATEVALUE(N2211&amp;"-"&amp;M2211&amp;"-"&amp;L2211)</f>
        <v>24683</v>
      </c>
      <c r="Q2211" s="22">
        <v>38893.360000000001</v>
      </c>
      <c r="R2211" s="23" t="s">
        <v>4701</v>
      </c>
      <c r="S2211" s="23" t="s">
        <v>4697</v>
      </c>
      <c r="T2211" s="23" t="s">
        <v>4708</v>
      </c>
      <c r="U2211" s="23">
        <f>DATEDIF(P2211, DATE(2023, 6, 8), "Y")</f>
        <v>55</v>
      </c>
      <c r="V2211">
        <f>SUM(C2211:K2211)</f>
        <v>43.34</v>
      </c>
    </row>
    <row r="2212" spans="1:22" ht="15.75">
      <c r="A2212" s="28" t="s">
        <v>4422</v>
      </c>
      <c r="B2212" s="28" t="s">
        <v>4423</v>
      </c>
      <c r="C2212" s="23">
        <v>22.61</v>
      </c>
      <c r="D2212" s="23">
        <v>5.68</v>
      </c>
      <c r="E2212" s="23" t="s">
        <v>4682</v>
      </c>
      <c r="F2212" s="23" t="s">
        <v>4682</v>
      </c>
      <c r="G2212" s="23" t="s">
        <v>4684</v>
      </c>
      <c r="H2212" s="23">
        <v>1</v>
      </c>
      <c r="I2212" s="23" t="s">
        <v>4682</v>
      </c>
      <c r="J2212" s="23" t="s">
        <v>4728</v>
      </c>
      <c r="K2212" s="23" t="s">
        <v>4737</v>
      </c>
      <c r="L2212">
        <v>1987</v>
      </c>
      <c r="M2212" s="15" t="s">
        <v>4702</v>
      </c>
      <c r="N2212">
        <v>16</v>
      </c>
      <c r="O2212">
        <v>3</v>
      </c>
      <c r="P2212" s="21">
        <f>DATEVALUE(N2212&amp;"-"&amp;M2212&amp;"-"&amp;L2212)</f>
        <v>31944</v>
      </c>
      <c r="Q2212" s="22">
        <v>38924.04</v>
      </c>
      <c r="R2212" s="23" t="s">
        <v>4697</v>
      </c>
      <c r="S2212" s="23" t="s">
        <v>4697</v>
      </c>
      <c r="T2212" s="23" t="s">
        <v>4708</v>
      </c>
      <c r="U2212" s="23">
        <f>DATEDIF(P2212, DATE(2023, 6, 8), "Y")</f>
        <v>35</v>
      </c>
      <c r="V2212">
        <f>SUM(C2212:K2212)</f>
        <v>29.29</v>
      </c>
    </row>
    <row r="2213" spans="1:22" ht="15.75">
      <c r="A2213" s="28" t="s">
        <v>4424</v>
      </c>
      <c r="B2213" s="28" t="s">
        <v>4425</v>
      </c>
      <c r="C2213" s="23">
        <v>21.754999999999999</v>
      </c>
      <c r="D2213" s="23">
        <v>6.09</v>
      </c>
      <c r="E2213" s="23" t="s">
        <v>4682</v>
      </c>
      <c r="F2213" s="23" t="s">
        <v>4682</v>
      </c>
      <c r="G2213" s="23" t="s">
        <v>4684</v>
      </c>
      <c r="H2213" s="23">
        <v>1</v>
      </c>
      <c r="I2213" s="23" t="s">
        <v>4682</v>
      </c>
      <c r="J2213" s="23" t="s">
        <v>4728</v>
      </c>
      <c r="K2213" s="23" t="s">
        <v>4736</v>
      </c>
      <c r="L2213">
        <v>1976</v>
      </c>
      <c r="M2213" s="15" t="s">
        <v>4705</v>
      </c>
      <c r="N2213">
        <v>15</v>
      </c>
      <c r="O2213">
        <v>2</v>
      </c>
      <c r="P2213" s="21">
        <f>DATEVALUE(N2213&amp;"-"&amp;M2213&amp;"-"&amp;L2213)</f>
        <v>28109</v>
      </c>
      <c r="Q2213" s="22">
        <v>38932.559999999998</v>
      </c>
      <c r="R2213" s="23" t="s">
        <v>4697</v>
      </c>
      <c r="S2213" s="23" t="s">
        <v>4698</v>
      </c>
      <c r="T2213" s="23" t="s">
        <v>4708</v>
      </c>
      <c r="U2213" s="23">
        <f>DATEDIF(P2213, DATE(2023, 6, 8), "Y")</f>
        <v>46</v>
      </c>
      <c r="V2213">
        <f>SUM(C2213:K2213)</f>
        <v>28.844999999999999</v>
      </c>
    </row>
    <row r="2214" spans="1:22" ht="15.75">
      <c r="A2214" s="28" t="s">
        <v>4426</v>
      </c>
      <c r="B2214" s="28" t="s">
        <v>4427</v>
      </c>
      <c r="C2214" s="23">
        <v>20.425000000000001</v>
      </c>
      <c r="D2214" s="23">
        <v>5.53</v>
      </c>
      <c r="E2214" s="23" t="s">
        <v>4682</v>
      </c>
      <c r="F2214" s="23" t="s">
        <v>4682</v>
      </c>
      <c r="G2214" s="23" t="s">
        <v>4684</v>
      </c>
      <c r="H2214" s="23">
        <v>1</v>
      </c>
      <c r="I2214" s="23" t="s">
        <v>4682</v>
      </c>
      <c r="J2214" s="23" t="s">
        <v>4728</v>
      </c>
      <c r="K2214" s="23" t="s">
        <v>4737</v>
      </c>
      <c r="L2214">
        <v>1980</v>
      </c>
      <c r="M2214" s="15" t="s">
        <v>4703</v>
      </c>
      <c r="N2214">
        <v>24</v>
      </c>
      <c r="O2214">
        <v>2</v>
      </c>
      <c r="P2214" s="21">
        <f>DATEVALUE(N2214&amp;"-"&amp;M2214&amp;"-"&amp;L2214)</f>
        <v>29488</v>
      </c>
      <c r="Q2214" s="22">
        <v>38947.43</v>
      </c>
      <c r="R2214" s="23" t="s">
        <v>4697</v>
      </c>
      <c r="S2214" s="23" t="s">
        <v>4698</v>
      </c>
      <c r="T2214" s="23" t="s">
        <v>4708</v>
      </c>
      <c r="U2214" s="23">
        <f>DATEDIF(P2214, DATE(2023, 6, 8), "Y")</f>
        <v>42</v>
      </c>
      <c r="V2214">
        <f>SUM(C2214:K2214)</f>
        <v>26.955000000000002</v>
      </c>
    </row>
    <row r="2215" spans="1:22" ht="15.75">
      <c r="A2215" s="28" t="s">
        <v>4428</v>
      </c>
      <c r="B2215" s="28" t="s">
        <v>4429</v>
      </c>
      <c r="C2215" s="23">
        <v>31.35</v>
      </c>
      <c r="D2215" s="23">
        <v>4.28</v>
      </c>
      <c r="E2215" s="23" t="s">
        <v>4682</v>
      </c>
      <c r="F2215" s="23" t="s">
        <v>4683</v>
      </c>
      <c r="G2215" s="23" t="s">
        <v>4682</v>
      </c>
      <c r="H2215" s="23">
        <v>1</v>
      </c>
      <c r="I2215" s="23" t="s">
        <v>4682</v>
      </c>
      <c r="J2215" s="23" t="s">
        <v>4729</v>
      </c>
      <c r="K2215" s="23" t="s">
        <v>4737</v>
      </c>
      <c r="L2215">
        <v>1978</v>
      </c>
      <c r="M2215" s="15" t="s">
        <v>4707</v>
      </c>
      <c r="N2215">
        <v>12</v>
      </c>
      <c r="O2215">
        <v>2</v>
      </c>
      <c r="P2215" s="21">
        <f>DATEVALUE(N2215&amp;"-"&amp;M2215&amp;"-"&amp;L2215)</f>
        <v>28775</v>
      </c>
      <c r="Q2215" s="22">
        <v>38998.550000000003</v>
      </c>
      <c r="R2215" s="23" t="s">
        <v>4701</v>
      </c>
      <c r="S2215" s="23" t="s">
        <v>4701</v>
      </c>
      <c r="T2215" s="23" t="s">
        <v>4708</v>
      </c>
      <c r="U2215" s="23">
        <f>DATEDIF(P2215, DATE(2023, 6, 8), "Y")</f>
        <v>44</v>
      </c>
      <c r="V2215">
        <f>SUM(C2215:K2215)</f>
        <v>36.630000000000003</v>
      </c>
    </row>
    <row r="2216" spans="1:22" ht="15.75">
      <c r="A2216" s="28" t="s">
        <v>4430</v>
      </c>
      <c r="B2216" s="28" t="s">
        <v>4431</v>
      </c>
      <c r="C2216" s="23">
        <v>31.13</v>
      </c>
      <c r="D2216" s="23">
        <v>6.01</v>
      </c>
      <c r="E2216" s="23" t="s">
        <v>4682</v>
      </c>
      <c r="F2216" s="23" t="s">
        <v>4683</v>
      </c>
      <c r="G2216" s="23" t="s">
        <v>4682</v>
      </c>
      <c r="H2216" s="23">
        <v>1</v>
      </c>
      <c r="I2216" s="23" t="s">
        <v>4682</v>
      </c>
      <c r="J2216" s="23" t="s">
        <v>4729</v>
      </c>
      <c r="K2216" s="23" t="s">
        <v>4736</v>
      </c>
      <c r="L2216">
        <v>1985</v>
      </c>
      <c r="M2216" s="15" t="s">
        <v>4703</v>
      </c>
      <c r="N2216">
        <v>20</v>
      </c>
      <c r="O2216">
        <v>1</v>
      </c>
      <c r="P2216" s="21">
        <f>DATEVALUE(N2216&amp;"-"&amp;M2216&amp;"-"&amp;L2216)</f>
        <v>31310</v>
      </c>
      <c r="Q2216" s="22">
        <v>39047.29</v>
      </c>
      <c r="R2216" s="23" t="s">
        <v>4701</v>
      </c>
      <c r="S2216" s="23" t="s">
        <v>4698</v>
      </c>
      <c r="T2216" s="23" t="s">
        <v>4718</v>
      </c>
      <c r="U2216" s="23">
        <f>DATEDIF(P2216, DATE(2023, 6, 8), "Y")</f>
        <v>37</v>
      </c>
      <c r="V2216">
        <f>SUM(C2216:K2216)</f>
        <v>38.14</v>
      </c>
    </row>
    <row r="2217" spans="1:22" ht="15.75">
      <c r="A2217" s="28" t="s">
        <v>4432</v>
      </c>
      <c r="B2217" s="28" t="s">
        <v>4433</v>
      </c>
      <c r="C2217" s="23">
        <v>17.48</v>
      </c>
      <c r="D2217" s="23">
        <v>4.59</v>
      </c>
      <c r="E2217" s="23" t="s">
        <v>4682</v>
      </c>
      <c r="F2217" s="23" t="s">
        <v>4682</v>
      </c>
      <c r="G2217" s="23" t="s">
        <v>4684</v>
      </c>
      <c r="H2217" s="23">
        <v>1</v>
      </c>
      <c r="I2217" s="23" t="s">
        <v>4682</v>
      </c>
      <c r="J2217" s="23" t="s">
        <v>4731</v>
      </c>
      <c r="K2217" s="23" t="s">
        <v>4737</v>
      </c>
      <c r="L2217">
        <v>1982</v>
      </c>
      <c r="M2217" s="15" t="s">
        <v>4706</v>
      </c>
      <c r="N2217">
        <v>4</v>
      </c>
      <c r="O2217">
        <v>1</v>
      </c>
      <c r="P2217" s="21">
        <f>DATEVALUE(N2217&amp;"-"&amp;M2217&amp;"-"&amp;L2217)</f>
        <v>30167</v>
      </c>
      <c r="Q2217" s="22">
        <v>39125.33</v>
      </c>
      <c r="R2217" s="23" t="s">
        <v>4701</v>
      </c>
      <c r="S2217" s="23" t="s">
        <v>4701</v>
      </c>
      <c r="T2217" s="23" t="s">
        <v>4711</v>
      </c>
      <c r="U2217" s="23">
        <f>DATEDIF(P2217, DATE(2023, 6, 8), "Y")</f>
        <v>40</v>
      </c>
      <c r="V2217">
        <f>SUM(C2217:K2217)</f>
        <v>23.07</v>
      </c>
    </row>
    <row r="2218" spans="1:22" ht="15.75">
      <c r="A2218" s="28" t="s">
        <v>4434</v>
      </c>
      <c r="B2218" s="28" t="s">
        <v>4435</v>
      </c>
      <c r="C2218" s="23">
        <v>22.57</v>
      </c>
      <c r="D2218" s="23">
        <v>5.8</v>
      </c>
      <c r="E2218" s="23" t="s">
        <v>4683</v>
      </c>
      <c r="F2218" s="23" t="s">
        <v>4682</v>
      </c>
      <c r="G2218" s="23" t="s">
        <v>4682</v>
      </c>
      <c r="H2218" s="23">
        <v>1</v>
      </c>
      <c r="I2218" s="23" t="s">
        <v>4682</v>
      </c>
      <c r="J2218" s="23" t="s">
        <v>4728</v>
      </c>
      <c r="K2218" s="23" t="s">
        <v>4736</v>
      </c>
      <c r="L2218">
        <v>1962</v>
      </c>
      <c r="M2218" s="15" t="s">
        <v>4696</v>
      </c>
      <c r="N2218">
        <v>7</v>
      </c>
      <c r="O2218">
        <v>0</v>
      </c>
      <c r="P2218" s="21">
        <f>DATEVALUE(N2218&amp;"-"&amp;M2218&amp;"-"&amp;L2218)</f>
        <v>22834</v>
      </c>
      <c r="Q2218" s="22">
        <v>39221.120000000003</v>
      </c>
      <c r="R2218" s="23" t="s">
        <v>4697</v>
      </c>
      <c r="S2218" s="23" t="s">
        <v>4701</v>
      </c>
      <c r="T2218" s="23" t="s">
        <v>4708</v>
      </c>
      <c r="U2218" s="23">
        <f>DATEDIF(P2218, DATE(2023, 6, 8), "Y")</f>
        <v>60</v>
      </c>
      <c r="V2218">
        <f>SUM(C2218:K2218)</f>
        <v>29.37</v>
      </c>
    </row>
    <row r="2219" spans="1:22" ht="15.75">
      <c r="A2219" s="28" t="s">
        <v>4436</v>
      </c>
      <c r="B2219" s="28" t="s">
        <v>4437</v>
      </c>
      <c r="C2219" s="23">
        <v>26.73</v>
      </c>
      <c r="D2219" s="23">
        <v>5.08</v>
      </c>
      <c r="E2219" s="23" t="s">
        <v>4682</v>
      </c>
      <c r="F2219" s="23" t="s">
        <v>4683</v>
      </c>
      <c r="G2219" s="23" t="s">
        <v>4682</v>
      </c>
      <c r="H2219" s="23">
        <v>1</v>
      </c>
      <c r="I2219" s="23" t="s">
        <v>4682</v>
      </c>
      <c r="J2219" s="23" t="s">
        <v>4730</v>
      </c>
      <c r="K2219" s="23" t="s">
        <v>4737</v>
      </c>
      <c r="L2219">
        <v>1992</v>
      </c>
      <c r="M2219" s="15" t="s">
        <v>4700</v>
      </c>
      <c r="N2219">
        <v>30</v>
      </c>
      <c r="O2219">
        <v>2</v>
      </c>
      <c r="P2219" s="21">
        <f>DATEVALUE(N2219&amp;"-"&amp;M2219&amp;"-"&amp;L2219)</f>
        <v>33938</v>
      </c>
      <c r="Q2219" s="22">
        <v>39241.440000000002</v>
      </c>
      <c r="R2219" s="23" t="s">
        <v>4701</v>
      </c>
      <c r="S2219" s="23" t="s">
        <v>4698</v>
      </c>
      <c r="T2219" s="23" t="s">
        <v>4708</v>
      </c>
      <c r="U2219" s="23">
        <f>DATEDIF(P2219, DATE(2023, 6, 8), "Y")</f>
        <v>30</v>
      </c>
      <c r="V2219">
        <f>SUM(C2219:K2219)</f>
        <v>32.81</v>
      </c>
    </row>
    <row r="2220" spans="1:22" ht="15.75">
      <c r="A2220" s="28" t="s">
        <v>4438</v>
      </c>
      <c r="B2220" s="28" t="s">
        <v>4439</v>
      </c>
      <c r="C2220" s="23">
        <v>20.79</v>
      </c>
      <c r="D2220" s="23">
        <v>5.84</v>
      </c>
      <c r="E2220" s="23" t="s">
        <v>4682</v>
      </c>
      <c r="F2220" s="23" t="s">
        <v>4683</v>
      </c>
      <c r="G2220" s="23" t="s">
        <v>4682</v>
      </c>
      <c r="H2220" s="23">
        <v>1</v>
      </c>
      <c r="I2220" s="23" t="s">
        <v>4682</v>
      </c>
      <c r="J2220" s="23" t="s">
        <v>4728</v>
      </c>
      <c r="K2220" s="23" t="s">
        <v>4736</v>
      </c>
      <c r="L2220">
        <v>1982</v>
      </c>
      <c r="M2220" s="15" t="s">
        <v>4706</v>
      </c>
      <c r="N2220">
        <v>16</v>
      </c>
      <c r="O2220">
        <v>3</v>
      </c>
      <c r="P2220" s="21">
        <f>DATEVALUE(N2220&amp;"-"&amp;M2220&amp;"-"&amp;L2220)</f>
        <v>30179</v>
      </c>
      <c r="Q2220" s="22">
        <v>39315.279999999999</v>
      </c>
      <c r="R2220" s="23" t="s">
        <v>4697</v>
      </c>
      <c r="S2220" s="23" t="s">
        <v>4698</v>
      </c>
      <c r="T2220" s="23" t="s">
        <v>4708</v>
      </c>
      <c r="U2220" s="23">
        <f>DATEDIF(P2220, DATE(2023, 6, 8), "Y")</f>
        <v>40</v>
      </c>
      <c r="V2220">
        <f>SUM(C2220:K2220)</f>
        <v>27.63</v>
      </c>
    </row>
    <row r="2221" spans="1:22" ht="15.75">
      <c r="A2221" s="28" t="s">
        <v>4440</v>
      </c>
      <c r="B2221" s="28" t="s">
        <v>4441</v>
      </c>
      <c r="C2221" s="23">
        <v>20.149999999999999</v>
      </c>
      <c r="D2221" s="23">
        <v>4.1500000000000004</v>
      </c>
      <c r="E2221" s="23" t="s">
        <v>4682</v>
      </c>
      <c r="F2221" s="23" t="s">
        <v>4682</v>
      </c>
      <c r="G2221" s="23" t="s">
        <v>4682</v>
      </c>
      <c r="H2221" s="23">
        <v>1</v>
      </c>
      <c r="I2221" s="23" t="s">
        <v>4682</v>
      </c>
      <c r="J2221" s="23" t="s">
        <v>4728</v>
      </c>
      <c r="K2221" s="23" t="s">
        <v>4737</v>
      </c>
      <c r="L2221">
        <v>1978</v>
      </c>
      <c r="M2221" s="15" t="s">
        <v>4706</v>
      </c>
      <c r="N2221">
        <v>5</v>
      </c>
      <c r="O2221">
        <v>2</v>
      </c>
      <c r="P2221" s="21">
        <f>DATEVALUE(N2221&amp;"-"&amp;M2221&amp;"-"&amp;L2221)</f>
        <v>28707</v>
      </c>
      <c r="Q2221" s="22">
        <v>39352.6</v>
      </c>
      <c r="R2221" s="23" t="s">
        <v>4697</v>
      </c>
      <c r="S2221" s="23" t="s">
        <v>4698</v>
      </c>
      <c r="T2221" s="23" t="s">
        <v>4708</v>
      </c>
      <c r="U2221" s="23">
        <f>DATEDIF(P2221, DATE(2023, 6, 8), "Y")</f>
        <v>44</v>
      </c>
      <c r="V2221">
        <f>SUM(C2221:K2221)</f>
        <v>25.299999999999997</v>
      </c>
    </row>
    <row r="2222" spans="1:22" ht="15.75">
      <c r="A2222" s="28" t="s">
        <v>4442</v>
      </c>
      <c r="B2222" s="28" t="s">
        <v>4443</v>
      </c>
      <c r="C2222" s="23">
        <v>36.85</v>
      </c>
      <c r="D2222" s="23">
        <v>4.3600000000000003</v>
      </c>
      <c r="E2222" s="23" t="s">
        <v>4683</v>
      </c>
      <c r="F2222" s="23" t="s">
        <v>4682</v>
      </c>
      <c r="G2222" s="23" t="s">
        <v>4682</v>
      </c>
      <c r="H2222" s="23">
        <v>0</v>
      </c>
      <c r="I2222" s="23" t="s">
        <v>4682</v>
      </c>
      <c r="J2222" s="23" t="s">
        <v>4729</v>
      </c>
      <c r="K2222" s="23" t="s">
        <v>4737</v>
      </c>
      <c r="L2222">
        <v>1966</v>
      </c>
      <c r="M2222" s="15" t="s">
        <v>4702</v>
      </c>
      <c r="N2222">
        <v>24</v>
      </c>
      <c r="O2222">
        <v>0</v>
      </c>
      <c r="P2222" s="21">
        <f>DATEVALUE(N2222&amp;"-"&amp;M2222&amp;"-"&amp;L2222)</f>
        <v>24282</v>
      </c>
      <c r="Q2222" s="22">
        <v>39396.86</v>
      </c>
      <c r="R2222" s="23" t="s">
        <v>4697</v>
      </c>
      <c r="S2222" s="23" t="s">
        <v>4697</v>
      </c>
      <c r="T2222" s="23" t="s">
        <v>4708</v>
      </c>
      <c r="U2222" s="23">
        <f>DATEDIF(P2222, DATE(2023, 6, 8), "Y")</f>
        <v>56</v>
      </c>
      <c r="V2222">
        <f>SUM(C2222:K2222)</f>
        <v>41.21</v>
      </c>
    </row>
    <row r="2223" spans="1:22" ht="15.75">
      <c r="A2223" s="28" t="s">
        <v>4444</v>
      </c>
      <c r="B2223" s="28" t="s">
        <v>4445</v>
      </c>
      <c r="C2223" s="23">
        <v>35.53</v>
      </c>
      <c r="D2223" s="23">
        <v>4.55</v>
      </c>
      <c r="E2223" s="23" t="s">
        <v>4683</v>
      </c>
      <c r="F2223" s="23" t="s">
        <v>4682</v>
      </c>
      <c r="G2223" s="23" t="s">
        <v>4682</v>
      </c>
      <c r="H2223" s="23">
        <v>0</v>
      </c>
      <c r="I2223" s="23" t="s">
        <v>4682</v>
      </c>
      <c r="J2223" s="23" t="s">
        <v>4729</v>
      </c>
      <c r="K2223" s="23" t="s">
        <v>4737</v>
      </c>
      <c r="L2223">
        <v>1978</v>
      </c>
      <c r="M2223" s="15" t="s">
        <v>4696</v>
      </c>
      <c r="N2223">
        <v>12</v>
      </c>
      <c r="O2223">
        <v>1</v>
      </c>
      <c r="P2223" s="21">
        <f>DATEVALUE(N2223&amp;"-"&amp;M2223&amp;"-"&amp;L2223)</f>
        <v>28683</v>
      </c>
      <c r="Q2223" s="22">
        <v>39556.49</v>
      </c>
      <c r="R2223" s="23" t="s">
        <v>4701</v>
      </c>
      <c r="S2223" s="23" t="s">
        <v>4697</v>
      </c>
      <c r="T2223" s="23" t="s">
        <v>4709</v>
      </c>
      <c r="U2223" s="23">
        <f>DATEDIF(P2223, DATE(2023, 6, 8), "Y")</f>
        <v>44</v>
      </c>
      <c r="V2223">
        <f>SUM(C2223:K2223)</f>
        <v>40.08</v>
      </c>
    </row>
    <row r="2224" spans="1:22" ht="15.75">
      <c r="A2224" s="28" t="s">
        <v>4446</v>
      </c>
      <c r="B2224" s="28" t="s">
        <v>4447</v>
      </c>
      <c r="C2224" s="23">
        <v>31.1</v>
      </c>
      <c r="D2224" s="23">
        <v>4.37</v>
      </c>
      <c r="E2224" s="23" t="s">
        <v>4683</v>
      </c>
      <c r="F2224" s="23" t="s">
        <v>4682</v>
      </c>
      <c r="G2224" s="23" t="s">
        <v>4682</v>
      </c>
      <c r="H2224" s="23">
        <v>0</v>
      </c>
      <c r="I2224" s="23" t="s">
        <v>4682</v>
      </c>
      <c r="J2224" s="23" t="s">
        <v>4729</v>
      </c>
      <c r="K2224" s="23" t="s">
        <v>4737</v>
      </c>
      <c r="L2224">
        <v>1981</v>
      </c>
      <c r="M2224" s="15" t="s">
        <v>4696</v>
      </c>
      <c r="N2224">
        <v>5</v>
      </c>
      <c r="O2224">
        <v>3</v>
      </c>
      <c r="P2224" s="21">
        <f>DATEVALUE(N2224&amp;"-"&amp;M2224&amp;"-"&amp;L2224)</f>
        <v>29772</v>
      </c>
      <c r="Q2224" s="22">
        <v>39597.410000000003</v>
      </c>
      <c r="R2224" s="23" t="s">
        <v>4701</v>
      </c>
      <c r="S2224" s="23" t="s">
        <v>4697</v>
      </c>
      <c r="T2224" s="23" t="s">
        <v>4718</v>
      </c>
      <c r="U2224" s="23">
        <f>DATEDIF(P2224, DATE(2023, 6, 8), "Y")</f>
        <v>41</v>
      </c>
      <c r="V2224">
        <f>SUM(C2224:K2224)</f>
        <v>35.47</v>
      </c>
    </row>
    <row r="2225" spans="1:22" ht="15.75">
      <c r="A2225" s="28" t="s">
        <v>4448</v>
      </c>
      <c r="B2225" s="28" t="s">
        <v>4449</v>
      </c>
      <c r="C2225" s="23">
        <v>23.21</v>
      </c>
      <c r="D2225" s="23">
        <v>5.24</v>
      </c>
      <c r="E2225" s="23" t="s">
        <v>4683</v>
      </c>
      <c r="F2225" s="23" t="s">
        <v>4682</v>
      </c>
      <c r="G2225" s="23" t="s">
        <v>4682</v>
      </c>
      <c r="H2225" s="23">
        <v>0</v>
      </c>
      <c r="I2225" s="23" t="s">
        <v>4682</v>
      </c>
      <c r="J2225" s="23" t="s">
        <v>4728</v>
      </c>
      <c r="K2225" s="23" t="s">
        <v>4737</v>
      </c>
      <c r="L2225">
        <v>1995</v>
      </c>
      <c r="M2225" s="15" t="s">
        <v>4706</v>
      </c>
      <c r="N2225">
        <v>7</v>
      </c>
      <c r="O2225">
        <v>0</v>
      </c>
      <c r="P2225" s="21">
        <f>DATEVALUE(N2225&amp;"-"&amp;M2225&amp;"-"&amp;L2225)</f>
        <v>34918</v>
      </c>
      <c r="Q2225" s="22">
        <v>39611.760000000002</v>
      </c>
      <c r="R2225" s="23" t="s">
        <v>4701</v>
      </c>
      <c r="S2225" s="23" t="s">
        <v>4698</v>
      </c>
      <c r="T2225" s="23" t="s">
        <v>4699</v>
      </c>
      <c r="U2225" s="23">
        <f>DATEDIF(P2225, DATE(2023, 6, 8), "Y")</f>
        <v>27</v>
      </c>
      <c r="V2225">
        <f>SUM(C2225:K2225)</f>
        <v>28.450000000000003</v>
      </c>
    </row>
    <row r="2226" spans="1:22" ht="15.75">
      <c r="A2226" s="28" t="s">
        <v>4450</v>
      </c>
      <c r="B2226" s="28" t="s">
        <v>4451</v>
      </c>
      <c r="C2226" s="23">
        <v>18.36</v>
      </c>
      <c r="D2226" s="23">
        <v>5.96</v>
      </c>
      <c r="E2226" s="23" t="s">
        <v>4682</v>
      </c>
      <c r="F2226" s="23" t="s">
        <v>4682</v>
      </c>
      <c r="G2226" s="23" t="s">
        <v>4682</v>
      </c>
      <c r="H2226" s="23">
        <v>1</v>
      </c>
      <c r="I2226" s="23" t="s">
        <v>4682</v>
      </c>
      <c r="J2226" s="23" t="s">
        <v>4731</v>
      </c>
      <c r="K2226" s="23" t="s">
        <v>4736</v>
      </c>
      <c r="L2226">
        <v>1977</v>
      </c>
      <c r="M2226" s="15" t="s">
        <v>4705</v>
      </c>
      <c r="N2226">
        <v>17</v>
      </c>
      <c r="O2226">
        <v>2</v>
      </c>
      <c r="P2226" s="21">
        <f>DATEVALUE(N2226&amp;"-"&amp;M2226&amp;"-"&amp;L2226)</f>
        <v>28476</v>
      </c>
      <c r="Q2226" s="22">
        <v>39670.44</v>
      </c>
      <c r="R2226" s="23" t="s">
        <v>4697</v>
      </c>
      <c r="S2226" s="23" t="s">
        <v>4701</v>
      </c>
      <c r="T2226" s="23" t="s">
        <v>4704</v>
      </c>
      <c r="U2226" s="23">
        <f>DATEDIF(P2226, DATE(2023, 6, 8), "Y")</f>
        <v>45</v>
      </c>
      <c r="V2226">
        <f>SUM(C2226:K2226)</f>
        <v>25.32</v>
      </c>
    </row>
    <row r="2227" spans="1:22" ht="15.75">
      <c r="A2227" s="28" t="s">
        <v>4452</v>
      </c>
      <c r="B2227" s="28" t="s">
        <v>4453</v>
      </c>
      <c r="C2227" s="23">
        <v>15.92</v>
      </c>
      <c r="D2227" s="23">
        <v>4.76</v>
      </c>
      <c r="E2227" s="23" t="s">
        <v>4683</v>
      </c>
      <c r="F2227" s="23" t="s">
        <v>4682</v>
      </c>
      <c r="G2227" s="23" t="s">
        <v>4682</v>
      </c>
      <c r="H2227" s="23">
        <v>1</v>
      </c>
      <c r="I2227" s="23" t="s">
        <v>4682</v>
      </c>
      <c r="J2227" s="23" t="s">
        <v>4731</v>
      </c>
      <c r="K2227" s="23" t="s">
        <v>4737</v>
      </c>
      <c r="L2227">
        <v>1968</v>
      </c>
      <c r="M2227" s="15" t="s">
        <v>4703</v>
      </c>
      <c r="N2227">
        <v>29</v>
      </c>
      <c r="O2227">
        <v>0</v>
      </c>
      <c r="P2227" s="21">
        <f>DATEVALUE(N2227&amp;"-"&amp;M2227&amp;"-"&amp;L2227)</f>
        <v>25110</v>
      </c>
      <c r="Q2227" s="22">
        <v>39721.93</v>
      </c>
      <c r="R2227" s="23" t="s">
        <v>4697</v>
      </c>
      <c r="S2227" s="23" t="s">
        <v>4697</v>
      </c>
      <c r="T2227" s="23" t="s">
        <v>4708</v>
      </c>
      <c r="U2227" s="23">
        <f>DATEDIF(P2227, DATE(2023, 6, 8), "Y")</f>
        <v>54</v>
      </c>
      <c r="V2227">
        <f>SUM(C2227:K2227)</f>
        <v>21.68</v>
      </c>
    </row>
    <row r="2228" spans="1:22" ht="15.75">
      <c r="A2228" s="28" t="s">
        <v>4454</v>
      </c>
      <c r="B2228" s="28" t="s">
        <v>4455</v>
      </c>
      <c r="C2228" s="23">
        <v>15.17</v>
      </c>
      <c r="D2228" s="23">
        <v>4.3</v>
      </c>
      <c r="E2228" s="23" t="s">
        <v>4683</v>
      </c>
      <c r="F2228" s="23" t="s">
        <v>4682</v>
      </c>
      <c r="G2228" s="23" t="s">
        <v>4684</v>
      </c>
      <c r="H2228" s="23">
        <v>1</v>
      </c>
      <c r="I2228" s="23" t="s">
        <v>4682</v>
      </c>
      <c r="J2228" s="23" t="s">
        <v>4731</v>
      </c>
      <c r="K2228" s="23" t="s">
        <v>4737</v>
      </c>
      <c r="L2228">
        <v>2003</v>
      </c>
      <c r="M2228" s="15" t="s">
        <v>4696</v>
      </c>
      <c r="N2228">
        <v>16</v>
      </c>
      <c r="O2228">
        <v>0</v>
      </c>
      <c r="P2228" s="21">
        <f>DATEVALUE(N2228&amp;"-"&amp;M2228&amp;"-"&amp;L2228)</f>
        <v>37818</v>
      </c>
      <c r="Q2228" s="22">
        <v>39722.75</v>
      </c>
      <c r="R2228" s="23" t="s">
        <v>4701</v>
      </c>
      <c r="S2228" s="23" t="s">
        <v>4701</v>
      </c>
      <c r="T2228" s="23" t="s">
        <v>4699</v>
      </c>
      <c r="U2228" s="23">
        <f>DATEDIF(P2228, DATE(2023, 6, 8), "Y")</f>
        <v>19</v>
      </c>
      <c r="V2228">
        <f>SUM(C2228:K2228)</f>
        <v>20.47</v>
      </c>
    </row>
    <row r="2229" spans="1:22" ht="15.75">
      <c r="A2229" s="28" t="s">
        <v>4456</v>
      </c>
      <c r="B2229" s="28" t="s">
        <v>4457</v>
      </c>
      <c r="C2229" s="23">
        <v>16.63</v>
      </c>
      <c r="D2229" s="23">
        <v>4.5</v>
      </c>
      <c r="E2229" s="23" t="s">
        <v>4682</v>
      </c>
      <c r="F2229" s="23" t="s">
        <v>4682</v>
      </c>
      <c r="G2229" s="23" t="s">
        <v>4682</v>
      </c>
      <c r="H2229" s="23">
        <v>1</v>
      </c>
      <c r="I2229" s="23" t="s">
        <v>4682</v>
      </c>
      <c r="J2229" s="23" t="s">
        <v>4731</v>
      </c>
      <c r="K2229" s="23" t="s">
        <v>4737</v>
      </c>
      <c r="L2229">
        <v>1977</v>
      </c>
      <c r="M2229" s="15" t="s">
        <v>4706</v>
      </c>
      <c r="N2229">
        <v>12</v>
      </c>
      <c r="O2229">
        <v>1</v>
      </c>
      <c r="P2229" s="21">
        <f>DATEVALUE(N2229&amp;"-"&amp;M2229&amp;"-"&amp;L2229)</f>
        <v>28349</v>
      </c>
      <c r="Q2229" s="22">
        <v>39725.519999999997</v>
      </c>
      <c r="R2229" s="23" t="s">
        <v>4697</v>
      </c>
      <c r="S2229" s="23" t="s">
        <v>4701</v>
      </c>
      <c r="T2229" s="23" t="s">
        <v>4704</v>
      </c>
      <c r="U2229" s="23">
        <f>DATEDIF(P2229, DATE(2023, 6, 8), "Y")</f>
        <v>45</v>
      </c>
      <c r="V2229">
        <f>SUM(C2229:K2229)</f>
        <v>22.13</v>
      </c>
    </row>
    <row r="2230" spans="1:22" ht="15.75">
      <c r="A2230" s="28" t="s">
        <v>4458</v>
      </c>
      <c r="B2230" s="28" t="s">
        <v>4459</v>
      </c>
      <c r="C2230" s="23">
        <v>19.39</v>
      </c>
      <c r="D2230" s="23">
        <v>5.59</v>
      </c>
      <c r="E2230" s="23" t="s">
        <v>4682</v>
      </c>
      <c r="F2230" s="23" t="s">
        <v>4682</v>
      </c>
      <c r="G2230" s="23" t="s">
        <v>4684</v>
      </c>
      <c r="H2230" s="23">
        <v>1</v>
      </c>
      <c r="I2230" s="23" t="s">
        <v>4682</v>
      </c>
      <c r="J2230" s="23" t="s">
        <v>4728</v>
      </c>
      <c r="K2230" s="23" t="s">
        <v>4737</v>
      </c>
      <c r="L2230">
        <v>1973</v>
      </c>
      <c r="M2230" s="15" t="s">
        <v>4705</v>
      </c>
      <c r="N2230">
        <v>17</v>
      </c>
      <c r="O2230">
        <v>0</v>
      </c>
      <c r="P2230" s="21">
        <f>DATEVALUE(N2230&amp;"-"&amp;M2230&amp;"-"&amp;L2230)</f>
        <v>27015</v>
      </c>
      <c r="Q2230" s="22">
        <v>39727.61</v>
      </c>
      <c r="R2230" s="23" t="s">
        <v>4701</v>
      </c>
      <c r="S2230" s="23" t="s">
        <v>4697</v>
      </c>
      <c r="T2230" s="23" t="s">
        <v>4708</v>
      </c>
      <c r="U2230" s="23">
        <f>DATEDIF(P2230, DATE(2023, 6, 8), "Y")</f>
        <v>49</v>
      </c>
      <c r="V2230">
        <f>SUM(C2230:K2230)</f>
        <v>25.98</v>
      </c>
    </row>
    <row r="2231" spans="1:22" ht="15.75">
      <c r="A2231" s="28" t="s">
        <v>4460</v>
      </c>
      <c r="B2231" s="28" t="s">
        <v>4461</v>
      </c>
      <c r="C2231" s="23">
        <v>17.34</v>
      </c>
      <c r="D2231" s="23">
        <v>6.29</v>
      </c>
      <c r="E2231" s="23" t="s">
        <v>4683</v>
      </c>
      <c r="F2231" s="23" t="s">
        <v>4682</v>
      </c>
      <c r="G2231" s="23" t="s">
        <v>4684</v>
      </c>
      <c r="H2231" s="23">
        <v>1</v>
      </c>
      <c r="I2231" s="23" t="s">
        <v>4682</v>
      </c>
      <c r="J2231" s="23" t="s">
        <v>4731</v>
      </c>
      <c r="K2231" s="23" t="s">
        <v>4736</v>
      </c>
      <c r="L2231">
        <v>1987</v>
      </c>
      <c r="M2231" s="15" t="s">
        <v>4696</v>
      </c>
      <c r="N2231">
        <v>24</v>
      </c>
      <c r="O2231">
        <v>1</v>
      </c>
      <c r="P2231" s="21">
        <f>DATEVALUE(N2231&amp;"-"&amp;M2231&amp;"-"&amp;L2231)</f>
        <v>31982</v>
      </c>
      <c r="Q2231" s="22">
        <v>39774.28</v>
      </c>
      <c r="R2231" s="23" t="s">
        <v>4701</v>
      </c>
      <c r="S2231" s="23" t="s">
        <v>4701</v>
      </c>
      <c r="T2231" s="23" t="s">
        <v>4716</v>
      </c>
      <c r="U2231" s="23">
        <f>DATEDIF(P2231, DATE(2023, 6, 8), "Y")</f>
        <v>35</v>
      </c>
      <c r="V2231">
        <f>SUM(C2231:K2231)</f>
        <v>24.63</v>
      </c>
    </row>
    <row r="2232" spans="1:22" ht="15.75">
      <c r="A2232" s="28" t="s">
        <v>4462</v>
      </c>
      <c r="B2232" s="28" t="s">
        <v>4463</v>
      </c>
      <c r="C2232" s="23">
        <v>17.940000000000001</v>
      </c>
      <c r="D2232" s="23">
        <v>4.1900000000000004</v>
      </c>
      <c r="E2232" s="23" t="s">
        <v>4682</v>
      </c>
      <c r="F2232" s="23" t="s">
        <v>4683</v>
      </c>
      <c r="G2232" s="23" t="s">
        <v>4682</v>
      </c>
      <c r="H2232" s="23">
        <v>1</v>
      </c>
      <c r="I2232" s="23" t="s">
        <v>4682</v>
      </c>
      <c r="J2232" s="23" t="s">
        <v>4731</v>
      </c>
      <c r="K2232" s="23" t="s">
        <v>4737</v>
      </c>
      <c r="L2232">
        <v>1985</v>
      </c>
      <c r="M2232" s="15" t="s">
        <v>4696</v>
      </c>
      <c r="N2232">
        <v>17</v>
      </c>
      <c r="O2232">
        <v>2</v>
      </c>
      <c r="P2232" s="21">
        <f>DATEVALUE(N2232&amp;"-"&amp;M2232&amp;"-"&amp;L2232)</f>
        <v>31245</v>
      </c>
      <c r="Q2232" s="22">
        <v>39836.519999999997</v>
      </c>
      <c r="R2232" s="23" t="s">
        <v>4697</v>
      </c>
      <c r="S2232" s="23" t="s">
        <v>4701</v>
      </c>
      <c r="T2232" s="23" t="s">
        <v>4708</v>
      </c>
      <c r="U2232" s="23">
        <f>DATEDIF(P2232, DATE(2023, 6, 8), "Y")</f>
        <v>37</v>
      </c>
      <c r="V2232">
        <f>SUM(C2232:K2232)</f>
        <v>23.130000000000003</v>
      </c>
    </row>
    <row r="2233" spans="1:22" ht="15.75">
      <c r="A2233" s="28" t="s">
        <v>4464</v>
      </c>
      <c r="B2233" s="28" t="s">
        <v>4465</v>
      </c>
      <c r="C2233" s="23">
        <v>16.670000000000002</v>
      </c>
      <c r="D2233" s="23">
        <v>4.7</v>
      </c>
      <c r="E2233" s="23" t="s">
        <v>4683</v>
      </c>
      <c r="F2233" s="23" t="s">
        <v>4682</v>
      </c>
      <c r="G2233" s="23" t="s">
        <v>4684</v>
      </c>
      <c r="H2233" s="23">
        <v>1</v>
      </c>
      <c r="I2233" s="23" t="s">
        <v>4682</v>
      </c>
      <c r="J2233" s="23" t="s">
        <v>4731</v>
      </c>
      <c r="K2233" s="23" t="s">
        <v>4737</v>
      </c>
      <c r="L2233">
        <v>1983</v>
      </c>
      <c r="M2233" s="15" t="s">
        <v>4702</v>
      </c>
      <c r="N2233">
        <v>1</v>
      </c>
      <c r="O2233">
        <v>3</v>
      </c>
      <c r="P2233" s="21">
        <f>DATEVALUE(N2233&amp;"-"&amp;M2233&amp;"-"&amp;L2233)</f>
        <v>30468</v>
      </c>
      <c r="Q2233" s="22">
        <v>39865.699999999997</v>
      </c>
      <c r="R2233" s="23" t="s">
        <v>4697</v>
      </c>
      <c r="S2233" s="23" t="s">
        <v>4697</v>
      </c>
      <c r="T2233" s="23" t="s">
        <v>4708</v>
      </c>
      <c r="U2233" s="23">
        <f>DATEDIF(P2233, DATE(2023, 6, 8), "Y")</f>
        <v>40</v>
      </c>
      <c r="V2233">
        <f>SUM(C2233:K2233)</f>
        <v>22.37</v>
      </c>
    </row>
    <row r="2234" spans="1:22" ht="15.75">
      <c r="A2234" s="28" t="s">
        <v>4466</v>
      </c>
      <c r="B2234" s="28" t="s">
        <v>4467</v>
      </c>
      <c r="C2234" s="23">
        <v>20.58</v>
      </c>
      <c r="D2234" s="23">
        <v>5.64</v>
      </c>
      <c r="E2234" s="23" t="s">
        <v>4683</v>
      </c>
      <c r="F2234" s="23" t="s">
        <v>4682</v>
      </c>
      <c r="G2234" s="23" t="s">
        <v>4682</v>
      </c>
      <c r="H2234" s="23">
        <v>0</v>
      </c>
      <c r="I2234" s="23" t="s">
        <v>4682</v>
      </c>
      <c r="J2234" s="23" t="s">
        <v>4728</v>
      </c>
      <c r="K2234" s="23" t="s">
        <v>4737</v>
      </c>
      <c r="L2234">
        <v>1985</v>
      </c>
      <c r="M2234" s="15" t="s">
        <v>4706</v>
      </c>
      <c r="N2234">
        <v>22</v>
      </c>
      <c r="O2234">
        <v>1</v>
      </c>
      <c r="P2234" s="21">
        <f>DATEVALUE(N2234&amp;"-"&amp;M2234&amp;"-"&amp;L2234)</f>
        <v>31281</v>
      </c>
      <c r="Q2234" s="22">
        <v>39871.699999999997</v>
      </c>
      <c r="R2234" s="23" t="s">
        <v>4701</v>
      </c>
      <c r="S2234" s="23" t="s">
        <v>4697</v>
      </c>
      <c r="T2234" s="23" t="s">
        <v>4699</v>
      </c>
      <c r="U2234" s="23">
        <f>DATEDIF(P2234, DATE(2023, 6, 8), "Y")</f>
        <v>37</v>
      </c>
      <c r="V2234">
        <f>SUM(C2234:K2234)</f>
        <v>26.22</v>
      </c>
    </row>
    <row r="2235" spans="1:22" ht="15.75">
      <c r="A2235" s="28" t="s">
        <v>4468</v>
      </c>
      <c r="B2235" s="28" t="s">
        <v>4469</v>
      </c>
      <c r="C2235" s="23">
        <v>16.5</v>
      </c>
      <c r="D2235" s="23">
        <v>4.1100000000000003</v>
      </c>
      <c r="E2235" s="23" t="s">
        <v>4683</v>
      </c>
      <c r="F2235" s="23" t="s">
        <v>4682</v>
      </c>
      <c r="G2235" s="23" t="s">
        <v>4682</v>
      </c>
      <c r="H2235" s="23">
        <v>0</v>
      </c>
      <c r="I2235" s="23" t="s">
        <v>4682</v>
      </c>
      <c r="J2235" s="23" t="s">
        <v>4731</v>
      </c>
      <c r="K2235" s="23" t="s">
        <v>4737</v>
      </c>
      <c r="L2235">
        <v>1975</v>
      </c>
      <c r="M2235" s="15" t="s">
        <v>4705</v>
      </c>
      <c r="N2235">
        <v>2</v>
      </c>
      <c r="O2235">
        <v>1</v>
      </c>
      <c r="P2235" s="21">
        <f>DATEVALUE(N2235&amp;"-"&amp;M2235&amp;"-"&amp;L2235)</f>
        <v>27730</v>
      </c>
      <c r="Q2235" s="22">
        <v>39963.120000000003</v>
      </c>
      <c r="R2235" s="23" t="s">
        <v>4697</v>
      </c>
      <c r="S2235" s="23" t="s">
        <v>4697</v>
      </c>
      <c r="T2235" s="23" t="s">
        <v>4708</v>
      </c>
      <c r="U2235" s="23">
        <f>DATEDIF(P2235, DATE(2023, 6, 8), "Y")</f>
        <v>47</v>
      </c>
      <c r="V2235">
        <f>SUM(C2235:K2235)</f>
        <v>20.61</v>
      </c>
    </row>
    <row r="2236" spans="1:22" ht="15.75">
      <c r="A2236" s="28" t="s">
        <v>4470</v>
      </c>
      <c r="B2236" s="28" t="s">
        <v>4471</v>
      </c>
      <c r="C2236" s="23">
        <v>15.41</v>
      </c>
      <c r="D2236" s="23">
        <v>5.43</v>
      </c>
      <c r="E2236" s="23" t="s">
        <v>4683</v>
      </c>
      <c r="F2236" s="23" t="s">
        <v>4682</v>
      </c>
      <c r="G2236" s="23" t="s">
        <v>4684</v>
      </c>
      <c r="H2236" s="23">
        <v>1</v>
      </c>
      <c r="I2236" s="23" t="s">
        <v>4682</v>
      </c>
      <c r="J2236" s="23" t="s">
        <v>4731</v>
      </c>
      <c r="K2236" s="23" t="s">
        <v>4737</v>
      </c>
      <c r="L2236">
        <v>1987</v>
      </c>
      <c r="M2236" s="15" t="s">
        <v>4706</v>
      </c>
      <c r="N2236">
        <v>8</v>
      </c>
      <c r="O2236">
        <v>3</v>
      </c>
      <c r="P2236" s="21">
        <f>DATEVALUE(N2236&amp;"-"&amp;M2236&amp;"-"&amp;L2236)</f>
        <v>31997</v>
      </c>
      <c r="Q2236" s="22">
        <v>39983.43</v>
      </c>
      <c r="R2236" s="23" t="s">
        <v>4697</v>
      </c>
      <c r="S2236" s="23" t="s">
        <v>4698</v>
      </c>
      <c r="T2236" s="23" t="s">
        <v>4704</v>
      </c>
      <c r="U2236" s="23">
        <f>DATEDIF(P2236, DATE(2023, 6, 8), "Y")</f>
        <v>35</v>
      </c>
      <c r="V2236">
        <f>SUM(C2236:K2236)</f>
        <v>21.84</v>
      </c>
    </row>
    <row r="2237" spans="1:22" ht="15.75">
      <c r="A2237" s="28" t="s">
        <v>4472</v>
      </c>
      <c r="B2237" s="28" t="s">
        <v>4473</v>
      </c>
      <c r="C2237" s="23">
        <v>24.59</v>
      </c>
      <c r="D2237" s="23">
        <v>4.38</v>
      </c>
      <c r="E2237" s="23" t="s">
        <v>4682</v>
      </c>
      <c r="F2237" s="23" t="s">
        <v>4682</v>
      </c>
      <c r="G2237" s="23" t="s">
        <v>4682</v>
      </c>
      <c r="H2237" s="23">
        <v>1</v>
      </c>
      <c r="I2237" s="23" t="s">
        <v>4682</v>
      </c>
      <c r="J2237" s="23" t="s">
        <v>4728</v>
      </c>
      <c r="K2237" s="23" t="s">
        <v>4737</v>
      </c>
      <c r="L2237">
        <v>1982</v>
      </c>
      <c r="M2237" s="15" t="s">
        <v>4705</v>
      </c>
      <c r="N2237">
        <v>25</v>
      </c>
      <c r="O2237">
        <v>2</v>
      </c>
      <c r="P2237" s="21">
        <f>DATEVALUE(N2237&amp;"-"&amp;M2237&amp;"-"&amp;L2237)</f>
        <v>30310</v>
      </c>
      <c r="Q2237" s="22">
        <v>40003.33</v>
      </c>
      <c r="R2237" s="23" t="s">
        <v>4701</v>
      </c>
      <c r="S2237" s="23" t="s">
        <v>4701</v>
      </c>
      <c r="T2237" s="23" t="s">
        <v>4704</v>
      </c>
      <c r="U2237" s="23">
        <f>DATEDIF(P2237, DATE(2023, 6, 8), "Y")</f>
        <v>40</v>
      </c>
      <c r="V2237">
        <f>SUM(C2237:K2237)</f>
        <v>29.97</v>
      </c>
    </row>
    <row r="2238" spans="1:22" ht="15.75">
      <c r="A2238" s="28" t="s">
        <v>4474</v>
      </c>
      <c r="B2238" s="28" t="s">
        <v>4475</v>
      </c>
      <c r="C2238" s="23">
        <v>33.33</v>
      </c>
      <c r="D2238" s="23">
        <v>9.7899999999999991</v>
      </c>
      <c r="E2238" s="23" t="s">
        <v>4682</v>
      </c>
      <c r="F2238" s="23" t="s">
        <v>4682</v>
      </c>
      <c r="G2238" s="23" t="s">
        <v>4682</v>
      </c>
      <c r="H2238" s="23">
        <v>0</v>
      </c>
      <c r="I2238" s="23" t="s">
        <v>4682</v>
      </c>
      <c r="J2238" s="23" t="s">
        <v>4729</v>
      </c>
      <c r="K2238" s="23" t="s">
        <v>4735</v>
      </c>
      <c r="L2238">
        <v>1978</v>
      </c>
      <c r="M2238" s="15" t="s">
        <v>4705</v>
      </c>
      <c r="N2238">
        <v>20</v>
      </c>
      <c r="O2238">
        <v>2</v>
      </c>
      <c r="P2238" s="21">
        <f>DATEVALUE(N2238&amp;"-"&amp;M2238&amp;"-"&amp;L2238)</f>
        <v>28844</v>
      </c>
      <c r="Q2238" s="22">
        <v>40054.730000000003</v>
      </c>
      <c r="R2238" s="23" t="s">
        <v>4701</v>
      </c>
      <c r="S2238" s="23" t="s">
        <v>4698</v>
      </c>
      <c r="T2238" s="23" t="s">
        <v>4708</v>
      </c>
      <c r="U2238" s="23">
        <f>DATEDIF(P2238, DATE(2023, 6, 8), "Y")</f>
        <v>44</v>
      </c>
      <c r="V2238">
        <f>SUM(C2238:K2238)</f>
        <v>43.12</v>
      </c>
    </row>
    <row r="2239" spans="1:22" ht="15.75">
      <c r="A2239" s="28" t="s">
        <v>4476</v>
      </c>
      <c r="B2239" s="28" t="s">
        <v>4477</v>
      </c>
      <c r="C2239" s="23">
        <v>18.5</v>
      </c>
      <c r="D2239" s="23">
        <v>11.84</v>
      </c>
      <c r="E2239" s="23" t="s">
        <v>4682</v>
      </c>
      <c r="F2239" s="23" t="s">
        <v>4682</v>
      </c>
      <c r="G2239" s="23" t="s">
        <v>4682</v>
      </c>
      <c r="H2239" s="23">
        <v>0</v>
      </c>
      <c r="I2239" s="23" t="s">
        <v>4682</v>
      </c>
      <c r="J2239" s="23" t="s">
        <v>4728</v>
      </c>
      <c r="K2239" s="23" t="s">
        <v>4735</v>
      </c>
      <c r="L2239">
        <v>1966</v>
      </c>
      <c r="M2239" s="15" t="s">
        <v>4706</v>
      </c>
      <c r="N2239">
        <v>12</v>
      </c>
      <c r="O2239">
        <v>0</v>
      </c>
      <c r="P2239" s="21">
        <f>DATEVALUE(N2239&amp;"-"&amp;M2239&amp;"-"&amp;L2239)</f>
        <v>24331</v>
      </c>
      <c r="Q2239" s="22">
        <v>40069.440000000002</v>
      </c>
      <c r="R2239" s="23" t="s">
        <v>4701</v>
      </c>
      <c r="S2239" s="23" t="s">
        <v>4698</v>
      </c>
      <c r="T2239" s="23" t="s">
        <v>4708</v>
      </c>
      <c r="U2239" s="23">
        <f>DATEDIF(P2239, DATE(2023, 6, 8), "Y")</f>
        <v>56</v>
      </c>
      <c r="V2239">
        <f>SUM(C2239:K2239)</f>
        <v>30.34</v>
      </c>
    </row>
    <row r="2240" spans="1:22" ht="15.75">
      <c r="A2240" s="28" t="s">
        <v>4478</v>
      </c>
      <c r="B2240" s="28" t="s">
        <v>4479</v>
      </c>
      <c r="C2240" s="23">
        <v>18.579999999999998</v>
      </c>
      <c r="D2240" s="23">
        <v>6.22</v>
      </c>
      <c r="E2240" s="23" t="s">
        <v>4682</v>
      </c>
      <c r="F2240" s="23" t="s">
        <v>4682</v>
      </c>
      <c r="G2240" s="23" t="s">
        <v>4682</v>
      </c>
      <c r="H2240" s="23">
        <v>0</v>
      </c>
      <c r="I2240" s="23" t="s">
        <v>4682</v>
      </c>
      <c r="J2240" s="23" t="s">
        <v>4728</v>
      </c>
      <c r="K2240" s="23" t="s">
        <v>4736</v>
      </c>
      <c r="L2240">
        <v>1983</v>
      </c>
      <c r="M2240" s="15" t="s">
        <v>4707</v>
      </c>
      <c r="N2240">
        <v>14</v>
      </c>
      <c r="O2240">
        <v>2</v>
      </c>
      <c r="P2240" s="21">
        <f>DATEVALUE(N2240&amp;"-"&amp;M2240&amp;"-"&amp;L2240)</f>
        <v>30603</v>
      </c>
      <c r="Q2240" s="22">
        <v>40103.89</v>
      </c>
      <c r="R2240" s="23" t="s">
        <v>4701</v>
      </c>
      <c r="S2240" s="23" t="s">
        <v>4697</v>
      </c>
      <c r="T2240" s="23" t="s">
        <v>4708</v>
      </c>
      <c r="U2240" s="23">
        <f>DATEDIF(P2240, DATE(2023, 6, 8), "Y")</f>
        <v>39</v>
      </c>
      <c r="V2240">
        <f>SUM(C2240:K2240)</f>
        <v>24.799999999999997</v>
      </c>
    </row>
    <row r="2241" spans="1:22" ht="15.75">
      <c r="A2241" s="28" t="s">
        <v>4480</v>
      </c>
      <c r="B2241" s="28" t="s">
        <v>4481</v>
      </c>
      <c r="C2241" s="23">
        <v>16.64</v>
      </c>
      <c r="D2241" s="23">
        <v>10.01</v>
      </c>
      <c r="E2241" s="23" t="s">
        <v>4682</v>
      </c>
      <c r="F2241" s="23" t="s">
        <v>4682</v>
      </c>
      <c r="G2241" s="23" t="s">
        <v>4682</v>
      </c>
      <c r="H2241" s="23">
        <v>0</v>
      </c>
      <c r="I2241" s="23" t="s">
        <v>4682</v>
      </c>
      <c r="J2241" s="23" t="s">
        <v>4731</v>
      </c>
      <c r="K2241" s="23" t="s">
        <v>4735</v>
      </c>
      <c r="L2241">
        <v>1985</v>
      </c>
      <c r="M2241" s="15" t="s">
        <v>4707</v>
      </c>
      <c r="N2241">
        <v>21</v>
      </c>
      <c r="O2241">
        <v>4</v>
      </c>
      <c r="P2241" s="21">
        <f>DATEVALUE(N2241&amp;"-"&amp;M2241&amp;"-"&amp;L2241)</f>
        <v>31341</v>
      </c>
      <c r="Q2241" s="22">
        <v>40182.25</v>
      </c>
      <c r="R2241" s="23" t="s">
        <v>4701</v>
      </c>
      <c r="S2241" s="23" t="s">
        <v>4697</v>
      </c>
      <c r="T2241" s="23" t="s">
        <v>4708</v>
      </c>
      <c r="U2241" s="23">
        <f>DATEDIF(P2241, DATE(2023, 6, 8), "Y")</f>
        <v>37</v>
      </c>
      <c r="V2241">
        <f>SUM(C2241:K2241)</f>
        <v>26.65</v>
      </c>
    </row>
    <row r="2242" spans="1:22" ht="15.75">
      <c r="A2242" s="28" t="s">
        <v>4482</v>
      </c>
      <c r="B2242" s="28" t="s">
        <v>4483</v>
      </c>
      <c r="C2242" s="23">
        <v>19.329999999999998</v>
      </c>
      <c r="D2242" s="23">
        <v>4.32</v>
      </c>
      <c r="E2242" s="23" t="s">
        <v>4682</v>
      </c>
      <c r="F2242" s="23" t="s">
        <v>4682</v>
      </c>
      <c r="G2242" s="23" t="s">
        <v>4682</v>
      </c>
      <c r="H2242" s="23">
        <v>1</v>
      </c>
      <c r="I2242" s="23" t="s">
        <v>4682</v>
      </c>
      <c r="J2242" s="23" t="s">
        <v>4728</v>
      </c>
      <c r="K2242" s="23" t="s">
        <v>4737</v>
      </c>
      <c r="L2242">
        <v>1979</v>
      </c>
      <c r="M2242" s="15" t="s">
        <v>4706</v>
      </c>
      <c r="N2242">
        <v>18</v>
      </c>
      <c r="O2242">
        <v>2</v>
      </c>
      <c r="P2242" s="21">
        <f>DATEVALUE(N2242&amp;"-"&amp;M2242&amp;"-"&amp;L2242)</f>
        <v>29085</v>
      </c>
      <c r="Q2242" s="22">
        <v>40204.83</v>
      </c>
      <c r="R2242" s="23" t="s">
        <v>4701</v>
      </c>
      <c r="S2242" s="23" t="s">
        <v>4698</v>
      </c>
      <c r="T2242" s="23" t="s">
        <v>4704</v>
      </c>
      <c r="U2242" s="23">
        <f>DATEDIF(P2242, DATE(2023, 6, 8), "Y")</f>
        <v>43</v>
      </c>
      <c r="V2242">
        <f>SUM(C2242:K2242)</f>
        <v>24.65</v>
      </c>
    </row>
    <row r="2243" spans="1:22" ht="15.75">
      <c r="A2243" s="28" t="s">
        <v>4484</v>
      </c>
      <c r="B2243" s="28" t="s">
        <v>4485</v>
      </c>
      <c r="C2243" s="23">
        <v>21.26</v>
      </c>
      <c r="D2243" s="23">
        <v>5.65</v>
      </c>
      <c r="E2243" s="23" t="s">
        <v>4683</v>
      </c>
      <c r="F2243" s="23" t="s">
        <v>4682</v>
      </c>
      <c r="G2243" s="23" t="s">
        <v>4684</v>
      </c>
      <c r="H2243" s="23">
        <v>1</v>
      </c>
      <c r="I2243" s="23" t="s">
        <v>4682</v>
      </c>
      <c r="J2243" s="23" t="s">
        <v>4728</v>
      </c>
      <c r="K2243" s="23" t="s">
        <v>4737</v>
      </c>
      <c r="L2243">
        <v>1981</v>
      </c>
      <c r="M2243" s="15" t="s">
        <v>4696</v>
      </c>
      <c r="N2243">
        <v>28</v>
      </c>
      <c r="O2243">
        <v>1</v>
      </c>
      <c r="P2243" s="21">
        <f>DATEVALUE(N2243&amp;"-"&amp;M2243&amp;"-"&amp;L2243)</f>
        <v>29795</v>
      </c>
      <c r="Q2243" s="22">
        <v>40208.559999999998</v>
      </c>
      <c r="R2243" s="23" t="s">
        <v>4701</v>
      </c>
      <c r="S2243" s="23" t="s">
        <v>4697</v>
      </c>
      <c r="T2243" s="23" t="s">
        <v>4708</v>
      </c>
      <c r="U2243" s="23">
        <f>DATEDIF(P2243, DATE(2023, 6, 8), "Y")</f>
        <v>41</v>
      </c>
      <c r="V2243">
        <f>SUM(C2243:K2243)</f>
        <v>27.910000000000004</v>
      </c>
    </row>
    <row r="2244" spans="1:22" ht="15.75">
      <c r="A2244" s="28" t="s">
        <v>4486</v>
      </c>
      <c r="B2244" s="28" t="s">
        <v>4487</v>
      </c>
      <c r="C2244" s="23">
        <v>15.6</v>
      </c>
      <c r="D2244" s="23">
        <v>4.12</v>
      </c>
      <c r="E2244" s="23" t="s">
        <v>4683</v>
      </c>
      <c r="F2244" s="23" t="s">
        <v>4682</v>
      </c>
      <c r="G2244" s="23" t="s">
        <v>4682</v>
      </c>
      <c r="H2244" s="23">
        <v>1</v>
      </c>
      <c r="I2244" s="23" t="s">
        <v>4682</v>
      </c>
      <c r="J2244" s="23" t="s">
        <v>4731</v>
      </c>
      <c r="K2244" s="23" t="s">
        <v>4737</v>
      </c>
      <c r="L2244">
        <v>1981</v>
      </c>
      <c r="M2244" s="15" t="s">
        <v>4707</v>
      </c>
      <c r="N2244">
        <v>4</v>
      </c>
      <c r="O2244">
        <v>1</v>
      </c>
      <c r="P2244" s="21">
        <f>DATEVALUE(N2244&amp;"-"&amp;M2244&amp;"-"&amp;L2244)</f>
        <v>29863</v>
      </c>
      <c r="Q2244" s="22">
        <v>40273.65</v>
      </c>
      <c r="R2244" s="23" t="s">
        <v>4701</v>
      </c>
      <c r="S2244" s="23" t="s">
        <v>4698</v>
      </c>
      <c r="T2244" s="23" t="s">
        <v>4699</v>
      </c>
      <c r="U2244" s="23">
        <f>DATEDIF(P2244, DATE(2023, 6, 8), "Y")</f>
        <v>41</v>
      </c>
      <c r="V2244">
        <f>SUM(C2244:K2244)</f>
        <v>20.72</v>
      </c>
    </row>
    <row r="2245" spans="1:22" ht="15.75">
      <c r="A2245" s="28" t="s">
        <v>4488</v>
      </c>
      <c r="B2245" s="28" t="s">
        <v>4489</v>
      </c>
      <c r="C2245" s="23">
        <v>24.39</v>
      </c>
      <c r="D2245" s="23">
        <v>6.24</v>
      </c>
      <c r="E2245" s="23" t="s">
        <v>4682</v>
      </c>
      <c r="F2245" s="23" t="s">
        <v>4682</v>
      </c>
      <c r="G2245" s="23" t="s">
        <v>4682</v>
      </c>
      <c r="H2245" s="23">
        <v>1</v>
      </c>
      <c r="I2245" s="23" t="s">
        <v>4682</v>
      </c>
      <c r="J2245" s="23" t="s">
        <v>4728</v>
      </c>
      <c r="K2245" s="23" t="s">
        <v>4736</v>
      </c>
      <c r="L2245">
        <v>1977</v>
      </c>
      <c r="M2245" s="15" t="s">
        <v>4702</v>
      </c>
      <c r="N2245">
        <v>27</v>
      </c>
      <c r="O2245">
        <v>2</v>
      </c>
      <c r="P2245" s="21">
        <f>DATEVALUE(N2245&amp;"-"&amp;M2245&amp;"-"&amp;L2245)</f>
        <v>28303</v>
      </c>
      <c r="Q2245" s="22">
        <v>40284.379999999997</v>
      </c>
      <c r="R2245" s="23" t="s">
        <v>4701</v>
      </c>
      <c r="S2245" s="23" t="s">
        <v>4698</v>
      </c>
      <c r="T2245" s="23" t="s">
        <v>4704</v>
      </c>
      <c r="U2245" s="23">
        <f>DATEDIF(P2245, DATE(2023, 6, 8), "Y")</f>
        <v>45</v>
      </c>
      <c r="V2245">
        <f>SUM(C2245:K2245)</f>
        <v>31.630000000000003</v>
      </c>
    </row>
    <row r="2246" spans="1:22" ht="15.75">
      <c r="A2246" s="28" t="s">
        <v>4490</v>
      </c>
      <c r="B2246" s="28" t="s">
        <v>4491</v>
      </c>
      <c r="C2246" s="23">
        <v>24.75</v>
      </c>
      <c r="D2246" s="23">
        <v>4.83</v>
      </c>
      <c r="E2246" s="23" t="s">
        <v>4682</v>
      </c>
      <c r="F2246" s="23" t="s">
        <v>4682</v>
      </c>
      <c r="G2246" s="23" t="s">
        <v>4682</v>
      </c>
      <c r="H2246" s="23">
        <v>0</v>
      </c>
      <c r="I2246" s="23" t="s">
        <v>4682</v>
      </c>
      <c r="J2246" s="23" t="s">
        <v>4728</v>
      </c>
      <c r="K2246" s="23" t="s">
        <v>4737</v>
      </c>
      <c r="L2246">
        <v>1962</v>
      </c>
      <c r="M2246" s="15" t="s">
        <v>4703</v>
      </c>
      <c r="N2246">
        <v>4</v>
      </c>
      <c r="O2246">
        <v>0</v>
      </c>
      <c r="P2246" s="21">
        <f>DATEVALUE(N2246&amp;"-"&amp;M2246&amp;"-"&amp;L2246)</f>
        <v>22893</v>
      </c>
      <c r="Q2246" s="22">
        <v>40309.93</v>
      </c>
      <c r="R2246" s="23" t="s">
        <v>4701</v>
      </c>
      <c r="S2246" s="23" t="s">
        <v>4698</v>
      </c>
      <c r="T2246" s="23" t="s">
        <v>4708</v>
      </c>
      <c r="U2246" s="23">
        <f>DATEDIF(P2246, DATE(2023, 6, 8), "Y")</f>
        <v>60</v>
      </c>
      <c r="V2246">
        <f>SUM(C2246:K2246)</f>
        <v>29.58</v>
      </c>
    </row>
    <row r="2247" spans="1:22" ht="15.75">
      <c r="A2247" s="28" t="s">
        <v>4492</v>
      </c>
      <c r="B2247" s="28" t="s">
        <v>4493</v>
      </c>
      <c r="C2247" s="23">
        <v>20.88</v>
      </c>
      <c r="D2247" s="23">
        <v>7.4</v>
      </c>
      <c r="E2247" s="23" t="s">
        <v>4682</v>
      </c>
      <c r="F2247" s="23" t="s">
        <v>4682</v>
      </c>
      <c r="G2247" s="23" t="s">
        <v>4682</v>
      </c>
      <c r="H2247" s="23">
        <v>0</v>
      </c>
      <c r="I2247" s="23" t="s">
        <v>4682</v>
      </c>
      <c r="J2247" s="23" t="s">
        <v>4728</v>
      </c>
      <c r="K2247" s="23" t="s">
        <v>4735</v>
      </c>
      <c r="L2247">
        <v>1966</v>
      </c>
      <c r="M2247" s="15" t="s">
        <v>4706</v>
      </c>
      <c r="N2247">
        <v>12</v>
      </c>
      <c r="O2247">
        <v>0</v>
      </c>
      <c r="P2247" s="21">
        <f>DATEVALUE(N2247&amp;"-"&amp;M2247&amp;"-"&amp;L2247)</f>
        <v>24331</v>
      </c>
      <c r="Q2247" s="22">
        <v>40373.74</v>
      </c>
      <c r="R2247" s="23" t="s">
        <v>4701</v>
      </c>
      <c r="S2247" s="23" t="s">
        <v>4698</v>
      </c>
      <c r="T2247" s="23" t="s">
        <v>4708</v>
      </c>
      <c r="U2247" s="23">
        <f>DATEDIF(P2247, DATE(2023, 6, 8), "Y")</f>
        <v>56</v>
      </c>
      <c r="V2247">
        <f>SUM(C2247:K2247)</f>
        <v>28.28</v>
      </c>
    </row>
    <row r="2248" spans="1:22" ht="15.75">
      <c r="A2248" s="28" t="s">
        <v>4494</v>
      </c>
      <c r="B2248" s="28" t="s">
        <v>4495</v>
      </c>
      <c r="C2248" s="23">
        <v>20.43</v>
      </c>
      <c r="D2248" s="23">
        <v>4.54</v>
      </c>
      <c r="E2248" s="23" t="s">
        <v>4682</v>
      </c>
      <c r="F2248" s="23" t="s">
        <v>4682</v>
      </c>
      <c r="G2248" s="23" t="s">
        <v>4682</v>
      </c>
      <c r="H2248" s="23">
        <v>0</v>
      </c>
      <c r="I2248" s="23" t="s">
        <v>4682</v>
      </c>
      <c r="J2248" s="23" t="s">
        <v>4728</v>
      </c>
      <c r="K2248" s="23" t="s">
        <v>4737</v>
      </c>
      <c r="L2248">
        <v>1985</v>
      </c>
      <c r="M2248" s="15" t="s">
        <v>4700</v>
      </c>
      <c r="N2248">
        <v>3</v>
      </c>
      <c r="O2248">
        <v>0</v>
      </c>
      <c r="P2248" s="21">
        <f>DATEVALUE(N2248&amp;"-"&amp;M2248&amp;"-"&amp;L2248)</f>
        <v>31354</v>
      </c>
      <c r="Q2248" s="22">
        <v>40419.019999999997</v>
      </c>
      <c r="R2248" s="23" t="s">
        <v>4701</v>
      </c>
      <c r="S2248" s="23" t="s">
        <v>4697</v>
      </c>
      <c r="T2248" s="23" t="s">
        <v>4699</v>
      </c>
      <c r="U2248" s="23">
        <f>DATEDIF(P2248, DATE(2023, 6, 8), "Y")</f>
        <v>37</v>
      </c>
      <c r="V2248">
        <f>SUM(C2248:K2248)</f>
        <v>24.97</v>
      </c>
    </row>
    <row r="2249" spans="1:22" ht="15.75">
      <c r="A2249" s="28" t="s">
        <v>4496</v>
      </c>
      <c r="B2249" s="28" t="s">
        <v>4497</v>
      </c>
      <c r="C2249" s="23">
        <v>15.18</v>
      </c>
      <c r="D2249" s="23">
        <v>11.11</v>
      </c>
      <c r="E2249" s="23" t="s">
        <v>4682</v>
      </c>
      <c r="F2249" s="23" t="s">
        <v>4682</v>
      </c>
      <c r="G2249" s="23" t="s">
        <v>4682</v>
      </c>
      <c r="H2249" s="23">
        <v>0</v>
      </c>
      <c r="I2249" s="23" t="s">
        <v>4682</v>
      </c>
      <c r="J2249" s="23" t="s">
        <v>4731</v>
      </c>
      <c r="K2249" s="23" t="s">
        <v>4735</v>
      </c>
      <c r="L2249">
        <v>1975</v>
      </c>
      <c r="M2249" s="15" t="s">
        <v>4696</v>
      </c>
      <c r="N2249">
        <v>10</v>
      </c>
      <c r="O2249">
        <v>1</v>
      </c>
      <c r="P2249" s="21">
        <f>DATEVALUE(N2249&amp;"-"&amp;M2249&amp;"-"&amp;L2249)</f>
        <v>27585</v>
      </c>
      <c r="Q2249" s="22">
        <v>40590.550000000003</v>
      </c>
      <c r="R2249" s="23" t="s">
        <v>4701</v>
      </c>
      <c r="S2249" s="23" t="s">
        <v>4698</v>
      </c>
      <c r="T2249" s="23" t="s">
        <v>4704</v>
      </c>
      <c r="U2249" s="23">
        <f>DATEDIF(P2249, DATE(2023, 6, 8), "Y")</f>
        <v>47</v>
      </c>
      <c r="V2249">
        <f>SUM(C2249:K2249)</f>
        <v>26.29</v>
      </c>
    </row>
    <row r="2250" spans="1:22" ht="15.75">
      <c r="A2250" s="28" t="s">
        <v>4498</v>
      </c>
      <c r="B2250" s="28" t="s">
        <v>4499</v>
      </c>
      <c r="C2250" s="23">
        <v>15.12</v>
      </c>
      <c r="D2250" s="23">
        <v>4.03</v>
      </c>
      <c r="E2250" s="23" t="s">
        <v>4683</v>
      </c>
      <c r="F2250" s="23" t="s">
        <v>4682</v>
      </c>
      <c r="G2250" s="23" t="s">
        <v>4682</v>
      </c>
      <c r="H2250" s="23">
        <v>0</v>
      </c>
      <c r="I2250" s="23" t="s">
        <v>4682</v>
      </c>
      <c r="J2250" s="23" t="s">
        <v>4731</v>
      </c>
      <c r="K2250" s="23" t="s">
        <v>4737</v>
      </c>
      <c r="L2250">
        <v>1970</v>
      </c>
      <c r="M2250" s="15" t="s">
        <v>4703</v>
      </c>
      <c r="N2250">
        <v>25</v>
      </c>
      <c r="O2250">
        <v>0</v>
      </c>
      <c r="P2250" s="21">
        <f>DATEVALUE(N2250&amp;"-"&amp;M2250&amp;"-"&amp;L2250)</f>
        <v>25836</v>
      </c>
      <c r="Q2250" s="22">
        <v>40692.910000000003</v>
      </c>
      <c r="R2250" s="23" t="s">
        <v>4701</v>
      </c>
      <c r="S2250" s="23" t="s">
        <v>4701</v>
      </c>
      <c r="T2250" s="23" t="s">
        <v>4708</v>
      </c>
      <c r="U2250" s="23">
        <f>DATEDIF(P2250, DATE(2023, 6, 8), "Y")</f>
        <v>52</v>
      </c>
      <c r="V2250">
        <f>SUM(C2250:K2250)</f>
        <v>19.149999999999999</v>
      </c>
    </row>
    <row r="2251" spans="1:22" ht="15.75">
      <c r="A2251" s="28" t="s">
        <v>4500</v>
      </c>
      <c r="B2251" s="28" t="s">
        <v>4501</v>
      </c>
      <c r="C2251" s="23">
        <v>23.88</v>
      </c>
      <c r="D2251" s="23">
        <v>4.51</v>
      </c>
      <c r="E2251" s="23" t="s">
        <v>4682</v>
      </c>
      <c r="F2251" s="23" t="s">
        <v>4682</v>
      </c>
      <c r="G2251" s="23" t="s">
        <v>4682</v>
      </c>
      <c r="H2251" s="23">
        <v>1</v>
      </c>
      <c r="I2251" s="23" t="s">
        <v>4682</v>
      </c>
      <c r="J2251" s="23" t="s">
        <v>4728</v>
      </c>
      <c r="K2251" s="23" t="s">
        <v>4737</v>
      </c>
      <c r="L2251">
        <v>1976</v>
      </c>
      <c r="M2251" s="15" t="s">
        <v>4705</v>
      </c>
      <c r="N2251">
        <v>26</v>
      </c>
      <c r="O2251">
        <v>3</v>
      </c>
      <c r="P2251" s="21">
        <f>DATEVALUE(N2251&amp;"-"&amp;M2251&amp;"-"&amp;L2251)</f>
        <v>28120</v>
      </c>
      <c r="Q2251" s="22">
        <v>40720.550000000003</v>
      </c>
      <c r="R2251" s="23" t="s">
        <v>4701</v>
      </c>
      <c r="S2251" s="23" t="s">
        <v>4698</v>
      </c>
      <c r="T2251" s="23" t="s">
        <v>4704</v>
      </c>
      <c r="U2251" s="23">
        <f>DATEDIF(P2251, DATE(2023, 6, 8), "Y")</f>
        <v>46</v>
      </c>
      <c r="V2251">
        <f>SUM(C2251:K2251)</f>
        <v>29.39</v>
      </c>
    </row>
    <row r="2252" spans="1:22" ht="15.75">
      <c r="A2252" s="28" t="s">
        <v>4502</v>
      </c>
      <c r="B2252" s="28" t="s">
        <v>4503</v>
      </c>
      <c r="C2252" s="23">
        <v>16.13</v>
      </c>
      <c r="D2252" s="23">
        <v>5.56</v>
      </c>
      <c r="E2252" s="23" t="s">
        <v>4682</v>
      </c>
      <c r="F2252" s="23" t="s">
        <v>4683</v>
      </c>
      <c r="G2252" s="23" t="s">
        <v>4682</v>
      </c>
      <c r="H2252" s="23">
        <v>1</v>
      </c>
      <c r="I2252" s="23" t="s">
        <v>4682</v>
      </c>
      <c r="J2252" s="23" t="s">
        <v>4731</v>
      </c>
      <c r="K2252" s="23" t="s">
        <v>4737</v>
      </c>
      <c r="L2252">
        <v>1972</v>
      </c>
      <c r="M2252" s="15" t="s">
        <v>4702</v>
      </c>
      <c r="N2252">
        <v>10</v>
      </c>
      <c r="O2252">
        <v>0</v>
      </c>
      <c r="P2252" s="21">
        <f>DATEVALUE(N2252&amp;"-"&amp;M2252&amp;"-"&amp;L2252)</f>
        <v>26460</v>
      </c>
      <c r="Q2252" s="22">
        <v>40817.85</v>
      </c>
      <c r="R2252" s="23" t="s">
        <v>4701</v>
      </c>
      <c r="S2252" s="23" t="s">
        <v>4698</v>
      </c>
      <c r="T2252" s="23" t="s">
        <v>4708</v>
      </c>
      <c r="U2252" s="23">
        <f>DATEDIF(P2252, DATE(2023, 6, 8), "Y")</f>
        <v>50</v>
      </c>
      <c r="V2252">
        <f>SUM(C2252:K2252)</f>
        <v>22.689999999999998</v>
      </c>
    </row>
    <row r="2253" spans="1:22" ht="15.75">
      <c r="A2253" s="28" t="s">
        <v>4504</v>
      </c>
      <c r="B2253" s="28" t="s">
        <v>4505</v>
      </c>
      <c r="C2253" s="23">
        <v>24.09</v>
      </c>
      <c r="D2253" s="23">
        <v>4.0999999999999996</v>
      </c>
      <c r="E2253" s="23" t="s">
        <v>4682</v>
      </c>
      <c r="F2253" s="23" t="s">
        <v>4683</v>
      </c>
      <c r="G2253" s="23" t="s">
        <v>4682</v>
      </c>
      <c r="H2253" s="23">
        <v>1</v>
      </c>
      <c r="I2253" s="23" t="s">
        <v>4682</v>
      </c>
      <c r="J2253" s="23" t="s">
        <v>4728</v>
      </c>
      <c r="K2253" s="23" t="s">
        <v>4737</v>
      </c>
      <c r="L2253">
        <v>1999</v>
      </c>
      <c r="M2253" s="15" t="s">
        <v>4696</v>
      </c>
      <c r="N2253">
        <v>2</v>
      </c>
      <c r="O2253">
        <v>1</v>
      </c>
      <c r="P2253" s="21">
        <f>DATEVALUE(N2253&amp;"-"&amp;M2253&amp;"-"&amp;L2253)</f>
        <v>36343</v>
      </c>
      <c r="Q2253" s="22">
        <v>40904.199999999997</v>
      </c>
      <c r="R2253" s="23" t="s">
        <v>4701</v>
      </c>
      <c r="S2253" s="23" t="s">
        <v>4701</v>
      </c>
      <c r="T2253" s="23" t="s">
        <v>4714</v>
      </c>
      <c r="U2253" s="23">
        <f>DATEDIF(P2253, DATE(2023, 6, 8), "Y")</f>
        <v>23</v>
      </c>
      <c r="V2253">
        <f>SUM(C2253:K2253)</f>
        <v>29.189999999999998</v>
      </c>
    </row>
    <row r="2254" spans="1:22" ht="15.75">
      <c r="A2254" s="28" t="s">
        <v>4506</v>
      </c>
      <c r="B2254" s="28" t="s">
        <v>4507</v>
      </c>
      <c r="C2254" s="23">
        <v>19.43</v>
      </c>
      <c r="D2254" s="23">
        <v>5.85</v>
      </c>
      <c r="E2254" s="23" t="s">
        <v>4682</v>
      </c>
      <c r="F2254" s="23" t="s">
        <v>4683</v>
      </c>
      <c r="G2254" s="23" t="s">
        <v>4682</v>
      </c>
      <c r="H2254" s="23">
        <v>1</v>
      </c>
      <c r="I2254" s="23" t="s">
        <v>4682</v>
      </c>
      <c r="J2254" s="23" t="s">
        <v>4728</v>
      </c>
      <c r="K2254" s="23" t="s">
        <v>4736</v>
      </c>
      <c r="L2254">
        <v>1992</v>
      </c>
      <c r="M2254" s="15" t="s">
        <v>4706</v>
      </c>
      <c r="N2254">
        <v>4</v>
      </c>
      <c r="O2254">
        <v>3</v>
      </c>
      <c r="P2254" s="21">
        <f>DATEVALUE(N2254&amp;"-"&amp;M2254&amp;"-"&amp;L2254)</f>
        <v>33820</v>
      </c>
      <c r="Q2254" s="22">
        <v>40932.43</v>
      </c>
      <c r="R2254" s="23" t="s">
        <v>4701</v>
      </c>
      <c r="S2254" s="23" t="s">
        <v>4697</v>
      </c>
      <c r="T2254" s="23" t="s">
        <v>4699</v>
      </c>
      <c r="U2254" s="23">
        <f>DATEDIF(P2254, DATE(2023, 6, 8), "Y")</f>
        <v>30</v>
      </c>
      <c r="V2254">
        <f>SUM(C2254:K2254)</f>
        <v>26.28</v>
      </c>
    </row>
    <row r="2255" spans="1:22" ht="15.75">
      <c r="A2255" s="28" t="s">
        <v>4508</v>
      </c>
      <c r="B2255" s="28" t="s">
        <v>4509</v>
      </c>
      <c r="C2255" s="23">
        <v>15.22</v>
      </c>
      <c r="D2255" s="23">
        <v>4.92</v>
      </c>
      <c r="E2255" s="23" t="s">
        <v>4683</v>
      </c>
      <c r="F2255" s="23" t="s">
        <v>4682</v>
      </c>
      <c r="G2255" s="23" t="s">
        <v>4684</v>
      </c>
      <c r="H2255" s="23">
        <v>1</v>
      </c>
      <c r="I2255" s="23" t="s">
        <v>4682</v>
      </c>
      <c r="J2255" s="23" t="s">
        <v>4731</v>
      </c>
      <c r="K2255" s="23" t="s">
        <v>4737</v>
      </c>
      <c r="L2255">
        <v>1979</v>
      </c>
      <c r="M2255" s="15" t="s">
        <v>4703</v>
      </c>
      <c r="N2255">
        <v>16</v>
      </c>
      <c r="O2255">
        <v>3</v>
      </c>
      <c r="P2255" s="21">
        <f>DATEVALUE(N2255&amp;"-"&amp;M2255&amp;"-"&amp;L2255)</f>
        <v>29114</v>
      </c>
      <c r="Q2255" s="22">
        <v>40941.29</v>
      </c>
      <c r="R2255" s="23" t="s">
        <v>4701</v>
      </c>
      <c r="S2255" s="23" t="s">
        <v>4697</v>
      </c>
      <c r="T2255" s="23" t="s">
        <v>4699</v>
      </c>
      <c r="U2255" s="23">
        <f>DATEDIF(P2255, DATE(2023, 6, 8), "Y")</f>
        <v>43</v>
      </c>
      <c r="V2255">
        <f>SUM(C2255:K2255)</f>
        <v>21.14</v>
      </c>
    </row>
    <row r="2256" spans="1:22" ht="15.75">
      <c r="A2256" s="28" t="s">
        <v>4510</v>
      </c>
      <c r="B2256" s="28" t="s">
        <v>4511</v>
      </c>
      <c r="C2256" s="23">
        <v>20.72</v>
      </c>
      <c r="D2256" s="23">
        <v>9.4600000000000009</v>
      </c>
      <c r="E2256" s="23" t="s">
        <v>4682</v>
      </c>
      <c r="F2256" s="23" t="s">
        <v>4682</v>
      </c>
      <c r="G2256" s="23" t="s">
        <v>4682</v>
      </c>
      <c r="H2256" s="23">
        <v>0</v>
      </c>
      <c r="I2256" s="23" t="s">
        <v>4682</v>
      </c>
      <c r="J2256" s="23" t="s">
        <v>4728</v>
      </c>
      <c r="K2256" s="23" t="s">
        <v>4735</v>
      </c>
      <c r="L2256">
        <v>1983</v>
      </c>
      <c r="M2256" s="15" t="s">
        <v>4703</v>
      </c>
      <c r="N2256">
        <v>8</v>
      </c>
      <c r="O2256">
        <v>3</v>
      </c>
      <c r="P2256" s="21">
        <f>DATEVALUE(N2256&amp;"-"&amp;M2256&amp;"-"&amp;L2256)</f>
        <v>30567</v>
      </c>
      <c r="Q2256" s="22">
        <v>40961.29</v>
      </c>
      <c r="R2256" s="23" t="s">
        <v>4701</v>
      </c>
      <c r="S2256" s="23" t="s">
        <v>4697</v>
      </c>
      <c r="T2256" s="23" t="s">
        <v>4708</v>
      </c>
      <c r="U2256" s="23">
        <f>DATEDIF(P2256, DATE(2023, 6, 8), "Y")</f>
        <v>39</v>
      </c>
      <c r="V2256">
        <f>SUM(C2256:K2256)</f>
        <v>30.18</v>
      </c>
    </row>
    <row r="2257" spans="1:22" ht="15.75">
      <c r="A2257" s="28" t="s">
        <v>4512</v>
      </c>
      <c r="B2257" s="28" t="s">
        <v>4513</v>
      </c>
      <c r="C2257" s="23">
        <v>35.4</v>
      </c>
      <c r="D2257" s="23">
        <v>5.94</v>
      </c>
      <c r="E2257" s="23" t="s">
        <v>4682</v>
      </c>
      <c r="F2257" s="23" t="s">
        <v>4682</v>
      </c>
      <c r="G2257" s="23" t="s">
        <v>4684</v>
      </c>
      <c r="H2257" s="23">
        <v>1</v>
      </c>
      <c r="I2257" s="23" t="s">
        <v>4682</v>
      </c>
      <c r="J2257" s="23" t="s">
        <v>4729</v>
      </c>
      <c r="K2257" s="23" t="s">
        <v>4736</v>
      </c>
      <c r="L2257">
        <v>1974</v>
      </c>
      <c r="M2257" s="15" t="s">
        <v>4702</v>
      </c>
      <c r="N2257">
        <v>5</v>
      </c>
      <c r="O2257">
        <v>0</v>
      </c>
      <c r="P2257" s="21">
        <f>DATEVALUE(N2257&amp;"-"&amp;M2257&amp;"-"&amp;L2257)</f>
        <v>27185</v>
      </c>
      <c r="Q2257" s="22">
        <v>40974.160000000003</v>
      </c>
      <c r="R2257" s="23" t="s">
        <v>4701</v>
      </c>
      <c r="S2257" s="23" t="s">
        <v>4697</v>
      </c>
      <c r="T2257" s="23" t="s">
        <v>4699</v>
      </c>
      <c r="U2257" s="23">
        <f>DATEDIF(P2257, DATE(2023, 6, 8), "Y")</f>
        <v>49</v>
      </c>
      <c r="V2257">
        <f>SUM(C2257:K2257)</f>
        <v>42.339999999999996</v>
      </c>
    </row>
    <row r="2258" spans="1:22" ht="15.75">
      <c r="A2258" s="28" t="s">
        <v>4514</v>
      </c>
      <c r="B2258" s="28" t="s">
        <v>4515</v>
      </c>
      <c r="C2258" s="23">
        <v>34.4</v>
      </c>
      <c r="D2258" s="23">
        <v>5.7</v>
      </c>
      <c r="E2258" s="23" t="s">
        <v>4682</v>
      </c>
      <c r="F2258" s="23" t="s">
        <v>4682</v>
      </c>
      <c r="G2258" s="23" t="s">
        <v>4684</v>
      </c>
      <c r="H2258" s="23">
        <v>1</v>
      </c>
      <c r="I2258" s="23" t="s">
        <v>4682</v>
      </c>
      <c r="J2258" s="23" t="s">
        <v>4729</v>
      </c>
      <c r="K2258" s="23" t="s">
        <v>4736</v>
      </c>
      <c r="L2258">
        <v>1979</v>
      </c>
      <c r="M2258" s="15" t="s">
        <v>4707</v>
      </c>
      <c r="N2258">
        <v>11</v>
      </c>
      <c r="O2258">
        <v>1</v>
      </c>
      <c r="P2258" s="21">
        <f>DATEVALUE(N2258&amp;"-"&amp;M2258&amp;"-"&amp;L2258)</f>
        <v>29139</v>
      </c>
      <c r="Q2258" s="22">
        <v>41034.22</v>
      </c>
      <c r="R2258" s="23" t="s">
        <v>4701</v>
      </c>
      <c r="S2258" s="23" t="s">
        <v>4698</v>
      </c>
      <c r="T2258" s="23" t="s">
        <v>4718</v>
      </c>
      <c r="U2258" s="23">
        <f>DATEDIF(P2258, DATE(2023, 6, 8), "Y")</f>
        <v>43</v>
      </c>
      <c r="V2258">
        <f>SUM(C2258:K2258)</f>
        <v>41.1</v>
      </c>
    </row>
    <row r="2259" spans="1:22" ht="15.75">
      <c r="A2259" s="28" t="s">
        <v>4516</v>
      </c>
      <c r="B2259" s="28" t="s">
        <v>4517</v>
      </c>
      <c r="C2259" s="23">
        <v>34.1</v>
      </c>
      <c r="D2259" s="23">
        <v>4.13</v>
      </c>
      <c r="E2259" s="23" t="s">
        <v>4682</v>
      </c>
      <c r="F2259" s="23" t="s">
        <v>4682</v>
      </c>
      <c r="G2259" s="23" t="s">
        <v>4684</v>
      </c>
      <c r="H2259" s="23">
        <v>1</v>
      </c>
      <c r="I2259" s="23" t="s">
        <v>4682</v>
      </c>
      <c r="J2259" s="23" t="s">
        <v>4729</v>
      </c>
      <c r="K2259" s="23" t="s">
        <v>4737</v>
      </c>
      <c r="L2259">
        <v>1972</v>
      </c>
      <c r="M2259" s="15" t="s">
        <v>4706</v>
      </c>
      <c r="N2259">
        <v>12</v>
      </c>
      <c r="O2259">
        <v>0</v>
      </c>
      <c r="P2259" s="21">
        <f>DATEVALUE(N2259&amp;"-"&amp;M2259&amp;"-"&amp;L2259)</f>
        <v>26523</v>
      </c>
      <c r="Q2259" s="22">
        <v>41055.29</v>
      </c>
      <c r="R2259" s="23" t="s">
        <v>4701</v>
      </c>
      <c r="S2259" s="23" t="s">
        <v>4697</v>
      </c>
      <c r="T2259" s="23" t="s">
        <v>4708</v>
      </c>
      <c r="U2259" s="23">
        <f>DATEDIF(P2259, DATE(2023, 6, 8), "Y")</f>
        <v>50</v>
      </c>
      <c r="V2259">
        <f>SUM(C2259:K2259)</f>
        <v>39.230000000000004</v>
      </c>
    </row>
    <row r="2260" spans="1:22" ht="15.75">
      <c r="A2260" s="28" t="s">
        <v>4518</v>
      </c>
      <c r="B2260" s="28" t="s">
        <v>4519</v>
      </c>
      <c r="C2260" s="23">
        <v>30.4</v>
      </c>
      <c r="D2260" s="23">
        <v>4.7699999999999996</v>
      </c>
      <c r="E2260" s="23" t="s">
        <v>4682</v>
      </c>
      <c r="F2260" s="23" t="s">
        <v>4682</v>
      </c>
      <c r="G2260" s="23" t="s">
        <v>4684</v>
      </c>
      <c r="H2260" s="23">
        <v>1</v>
      </c>
      <c r="I2260" s="23" t="s">
        <v>4682</v>
      </c>
      <c r="J2260" s="23" t="s">
        <v>4729</v>
      </c>
      <c r="K2260" s="23" t="s">
        <v>4737</v>
      </c>
      <c r="L2260">
        <v>1972</v>
      </c>
      <c r="M2260" s="15" t="s">
        <v>4703</v>
      </c>
      <c r="N2260">
        <v>6</v>
      </c>
      <c r="O2260">
        <v>0</v>
      </c>
      <c r="P2260" s="21">
        <f>DATEVALUE(N2260&amp;"-"&amp;M2260&amp;"-"&amp;L2260)</f>
        <v>26548</v>
      </c>
      <c r="Q2260" s="22">
        <v>41097.160000000003</v>
      </c>
      <c r="R2260" s="23" t="s">
        <v>4701</v>
      </c>
      <c r="S2260" s="23" t="s">
        <v>4698</v>
      </c>
      <c r="T2260" s="23" t="s">
        <v>4711</v>
      </c>
      <c r="U2260" s="23">
        <f>DATEDIF(P2260, DATE(2023, 6, 8), "Y")</f>
        <v>50</v>
      </c>
      <c r="V2260">
        <f>SUM(C2260:K2260)</f>
        <v>36.17</v>
      </c>
    </row>
    <row r="2261" spans="1:22" ht="15.75">
      <c r="A2261" s="28" t="s">
        <v>4520</v>
      </c>
      <c r="B2261" s="28" t="s">
        <v>4521</v>
      </c>
      <c r="C2261" s="23">
        <v>28.7</v>
      </c>
      <c r="D2261" s="23">
        <v>4.99</v>
      </c>
      <c r="E2261" s="23" t="s">
        <v>4682</v>
      </c>
      <c r="F2261" s="23" t="s">
        <v>4682</v>
      </c>
      <c r="G2261" s="23" t="s">
        <v>4684</v>
      </c>
      <c r="H2261" s="23">
        <v>1</v>
      </c>
      <c r="I2261" s="23" t="s">
        <v>4682</v>
      </c>
      <c r="J2261" s="23" t="s">
        <v>4730</v>
      </c>
      <c r="K2261" s="23" t="s">
        <v>4737</v>
      </c>
      <c r="L2261">
        <v>1969</v>
      </c>
      <c r="M2261" s="15" t="s">
        <v>4706</v>
      </c>
      <c r="N2261">
        <v>8</v>
      </c>
      <c r="O2261">
        <v>0</v>
      </c>
      <c r="P2261" s="21">
        <f>DATEVALUE(N2261&amp;"-"&amp;M2261&amp;"-"&amp;L2261)</f>
        <v>25423</v>
      </c>
      <c r="Q2261" s="22">
        <v>41191.57</v>
      </c>
      <c r="R2261" s="23" t="s">
        <v>4701</v>
      </c>
      <c r="S2261" s="23" t="s">
        <v>4697</v>
      </c>
      <c r="T2261" s="23" t="s">
        <v>4708</v>
      </c>
      <c r="U2261" s="23">
        <f>DATEDIF(P2261, DATE(2023, 6, 8), "Y")</f>
        <v>53</v>
      </c>
      <c r="V2261">
        <f>SUM(C2261:K2261)</f>
        <v>34.69</v>
      </c>
    </row>
    <row r="2262" spans="1:22" ht="15.75">
      <c r="A2262" s="28" t="s">
        <v>4522</v>
      </c>
      <c r="B2262" s="28" t="s">
        <v>4523</v>
      </c>
      <c r="C2262" s="23">
        <v>17.440000000000001</v>
      </c>
      <c r="D2262" s="23">
        <v>4.42</v>
      </c>
      <c r="E2262" s="23" t="s">
        <v>4683</v>
      </c>
      <c r="F2262" s="23" t="s">
        <v>4682</v>
      </c>
      <c r="G2262" s="23" t="s">
        <v>4684</v>
      </c>
      <c r="H2262" s="23">
        <v>1</v>
      </c>
      <c r="I2262" s="23" t="s">
        <v>4682</v>
      </c>
      <c r="J2262" s="23" t="s">
        <v>4731</v>
      </c>
      <c r="K2262" s="23" t="s">
        <v>4737</v>
      </c>
      <c r="L2262">
        <v>1964</v>
      </c>
      <c r="M2262" s="15" t="s">
        <v>4702</v>
      </c>
      <c r="N2262">
        <v>6</v>
      </c>
      <c r="O2262">
        <v>0</v>
      </c>
      <c r="P2262" s="21">
        <f>DATEVALUE(N2262&amp;"-"&amp;M2262&amp;"-"&amp;L2262)</f>
        <v>23534</v>
      </c>
      <c r="Q2262" s="22">
        <v>41250.39</v>
      </c>
      <c r="R2262" s="23" t="s">
        <v>4701</v>
      </c>
      <c r="S2262" s="23" t="s">
        <v>4698</v>
      </c>
      <c r="T2262" s="23" t="s">
        <v>4708</v>
      </c>
      <c r="U2262" s="23">
        <f>DATEDIF(P2262, DATE(2023, 6, 8), "Y")</f>
        <v>59</v>
      </c>
      <c r="V2262">
        <f>SUM(C2262:K2262)</f>
        <v>22.86</v>
      </c>
    </row>
    <row r="2263" spans="1:22" ht="15.75">
      <c r="A2263" s="28" t="s">
        <v>4524</v>
      </c>
      <c r="B2263" s="28" t="s">
        <v>4525</v>
      </c>
      <c r="C2263" s="23">
        <v>27.6</v>
      </c>
      <c r="D2263" s="23">
        <v>4.01</v>
      </c>
      <c r="E2263" s="23" t="s">
        <v>4682</v>
      </c>
      <c r="F2263" s="23" t="s">
        <v>4682</v>
      </c>
      <c r="G2263" s="23" t="s">
        <v>4684</v>
      </c>
      <c r="H2263" s="23">
        <v>1</v>
      </c>
      <c r="I2263" s="23" t="s">
        <v>4682</v>
      </c>
      <c r="J2263" s="23" t="s">
        <v>4730</v>
      </c>
      <c r="K2263" s="23" t="s">
        <v>4737</v>
      </c>
      <c r="L2263">
        <v>1977</v>
      </c>
      <c r="M2263" s="15" t="s">
        <v>4706</v>
      </c>
      <c r="N2263">
        <v>27</v>
      </c>
      <c r="O2263">
        <v>2</v>
      </c>
      <c r="P2263" s="21">
        <f>DATEVALUE(N2263&amp;"-"&amp;M2263&amp;"-"&amp;L2263)</f>
        <v>28364</v>
      </c>
      <c r="Q2263" s="22">
        <v>41271.5</v>
      </c>
      <c r="R2263" s="23" t="s">
        <v>4701</v>
      </c>
      <c r="S2263" s="23" t="s">
        <v>4697</v>
      </c>
      <c r="T2263" s="23" t="s">
        <v>4708</v>
      </c>
      <c r="U2263" s="23">
        <f>DATEDIF(P2263, DATE(2023, 6, 8), "Y")</f>
        <v>45</v>
      </c>
      <c r="V2263">
        <f>SUM(C2263:K2263)</f>
        <v>32.61</v>
      </c>
    </row>
    <row r="2264" spans="1:22" ht="15.75">
      <c r="A2264" s="28" t="s">
        <v>4526</v>
      </c>
      <c r="B2264" s="28" t="s">
        <v>4527</v>
      </c>
      <c r="C2264" s="23">
        <v>20.7</v>
      </c>
      <c r="D2264" s="23">
        <v>4.49</v>
      </c>
      <c r="E2264" s="23" t="s">
        <v>4682</v>
      </c>
      <c r="F2264" s="23" t="s">
        <v>4682</v>
      </c>
      <c r="G2264" s="23" t="s">
        <v>4684</v>
      </c>
      <c r="H2264" s="23">
        <v>1</v>
      </c>
      <c r="I2264" s="23" t="s">
        <v>4682</v>
      </c>
      <c r="J2264" s="23" t="s">
        <v>4728</v>
      </c>
      <c r="K2264" s="23" t="s">
        <v>4737</v>
      </c>
      <c r="L2264">
        <v>1964</v>
      </c>
      <c r="M2264" s="15" t="s">
        <v>4707</v>
      </c>
      <c r="N2264">
        <v>7</v>
      </c>
      <c r="O2264">
        <v>0</v>
      </c>
      <c r="P2264" s="21">
        <f>DATEVALUE(N2264&amp;"-"&amp;M2264&amp;"-"&amp;L2264)</f>
        <v>23657</v>
      </c>
      <c r="Q2264" s="22">
        <v>41331.79</v>
      </c>
      <c r="R2264" s="23" t="s">
        <v>4701</v>
      </c>
      <c r="S2264" s="23" t="s">
        <v>4697</v>
      </c>
      <c r="T2264" s="23" t="s">
        <v>4708</v>
      </c>
      <c r="U2264" s="23">
        <f>DATEDIF(P2264, DATE(2023, 6, 8), "Y")</f>
        <v>58</v>
      </c>
      <c r="V2264">
        <f>SUM(C2264:K2264)</f>
        <v>26.189999999999998</v>
      </c>
    </row>
    <row r="2265" spans="1:22" ht="15.75">
      <c r="A2265" s="28" t="s">
        <v>4528</v>
      </c>
      <c r="B2265" s="28" t="s">
        <v>4529</v>
      </c>
      <c r="C2265" s="23">
        <v>20.3</v>
      </c>
      <c r="D2265" s="23">
        <v>6.37</v>
      </c>
      <c r="E2265" s="23" t="s">
        <v>4682</v>
      </c>
      <c r="F2265" s="23" t="s">
        <v>4682</v>
      </c>
      <c r="G2265" s="23" t="s">
        <v>4684</v>
      </c>
      <c r="H2265" s="23">
        <v>1</v>
      </c>
      <c r="I2265" s="23" t="s">
        <v>4682</v>
      </c>
      <c r="J2265" s="23" t="s">
        <v>4728</v>
      </c>
      <c r="K2265" s="23" t="s">
        <v>4736</v>
      </c>
      <c r="L2265">
        <v>1971</v>
      </c>
      <c r="M2265" s="15" t="s">
        <v>4707</v>
      </c>
      <c r="N2265">
        <v>16</v>
      </c>
      <c r="O2265">
        <v>0</v>
      </c>
      <c r="P2265" s="21">
        <f>DATEVALUE(N2265&amp;"-"&amp;M2265&amp;"-"&amp;L2265)</f>
        <v>26222</v>
      </c>
      <c r="Q2265" s="22">
        <v>41351.879999999997</v>
      </c>
      <c r="R2265" s="23" t="s">
        <v>4701</v>
      </c>
      <c r="S2265" s="23" t="s">
        <v>4697</v>
      </c>
      <c r="T2265" s="23" t="s">
        <v>4708</v>
      </c>
      <c r="U2265" s="23">
        <f>DATEDIF(P2265, DATE(2023, 6, 8), "Y")</f>
        <v>51</v>
      </c>
      <c r="V2265">
        <f>SUM(C2265:K2265)</f>
        <v>27.67</v>
      </c>
    </row>
    <row r="2266" spans="1:22" ht="15.75">
      <c r="A2266" s="28" t="s">
        <v>4530</v>
      </c>
      <c r="B2266" s="28" t="s">
        <v>4531</v>
      </c>
      <c r="C2266" s="23">
        <v>19.8</v>
      </c>
      <c r="D2266" s="23">
        <v>5.12</v>
      </c>
      <c r="E2266" s="23" t="s">
        <v>4682</v>
      </c>
      <c r="F2266" s="23" t="s">
        <v>4682</v>
      </c>
      <c r="G2266" s="23" t="s">
        <v>4684</v>
      </c>
      <c r="H2266" s="23">
        <v>1</v>
      </c>
      <c r="I2266" s="23" t="s">
        <v>4682</v>
      </c>
      <c r="J2266" s="23" t="s">
        <v>4728</v>
      </c>
      <c r="K2266" s="23" t="s">
        <v>4737</v>
      </c>
      <c r="L2266">
        <v>1967</v>
      </c>
      <c r="M2266" s="15" t="s">
        <v>4705</v>
      </c>
      <c r="N2266">
        <v>22</v>
      </c>
      <c r="O2266">
        <v>0</v>
      </c>
      <c r="P2266" s="21">
        <f>DATEVALUE(N2266&amp;"-"&amp;M2266&amp;"-"&amp;L2266)</f>
        <v>24828</v>
      </c>
      <c r="Q2266" s="22">
        <v>41505.15</v>
      </c>
      <c r="R2266" s="23" t="s">
        <v>4701</v>
      </c>
      <c r="S2266" s="23" t="s">
        <v>4697</v>
      </c>
      <c r="T2266" s="23" t="s">
        <v>4708</v>
      </c>
      <c r="U2266" s="23">
        <f>DATEDIF(P2266, DATE(2023, 6, 8), "Y")</f>
        <v>55</v>
      </c>
      <c r="V2266">
        <f>SUM(C2266:K2266)</f>
        <v>25.92</v>
      </c>
    </row>
    <row r="2267" spans="1:22" ht="15.75">
      <c r="A2267" s="28" t="s">
        <v>4532</v>
      </c>
      <c r="B2267" s="28" t="s">
        <v>4533</v>
      </c>
      <c r="C2267" s="23">
        <v>21.87</v>
      </c>
      <c r="D2267" s="23">
        <v>8.59</v>
      </c>
      <c r="E2267" s="23" t="s">
        <v>4682</v>
      </c>
      <c r="F2267" s="23" t="s">
        <v>4682</v>
      </c>
      <c r="G2267" s="23" t="s">
        <v>4682</v>
      </c>
      <c r="H2267" s="23">
        <v>0</v>
      </c>
      <c r="I2267" s="23" t="s">
        <v>4682</v>
      </c>
      <c r="J2267" s="23" t="s">
        <v>4728</v>
      </c>
      <c r="K2267" s="23" t="s">
        <v>4735</v>
      </c>
      <c r="L2267">
        <v>1974</v>
      </c>
      <c r="M2267" s="15" t="s">
        <v>4700</v>
      </c>
      <c r="N2267">
        <v>24</v>
      </c>
      <c r="O2267">
        <v>0</v>
      </c>
      <c r="P2267" s="21">
        <f>DATEVALUE(N2267&amp;"-"&amp;M2267&amp;"-"&amp;L2267)</f>
        <v>27357</v>
      </c>
      <c r="Q2267" s="22">
        <v>41636.199999999997</v>
      </c>
      <c r="R2267" s="23" t="s">
        <v>4701</v>
      </c>
      <c r="S2267" s="23" t="s">
        <v>4701</v>
      </c>
      <c r="T2267" s="23" t="s">
        <v>4708</v>
      </c>
      <c r="U2267" s="23">
        <f>DATEDIF(P2267, DATE(2023, 6, 8), "Y")</f>
        <v>48</v>
      </c>
      <c r="V2267">
        <f>SUM(C2267:K2267)</f>
        <v>30.46</v>
      </c>
    </row>
    <row r="2268" spans="1:22" ht="15.75">
      <c r="A2268" s="28" t="s">
        <v>4534</v>
      </c>
      <c r="B2268" s="28" t="s">
        <v>4535</v>
      </c>
      <c r="C2268" s="23">
        <v>16.600000000000001</v>
      </c>
      <c r="D2268" s="23">
        <v>5.87</v>
      </c>
      <c r="E2268" s="23" t="s">
        <v>4682</v>
      </c>
      <c r="F2268" s="23" t="s">
        <v>4682</v>
      </c>
      <c r="G2268" s="23" t="s">
        <v>4682</v>
      </c>
      <c r="H2268" s="23">
        <v>1</v>
      </c>
      <c r="I2268" s="23" t="s">
        <v>4682</v>
      </c>
      <c r="J2268" s="23" t="s">
        <v>4731</v>
      </c>
      <c r="K2268" s="23" t="s">
        <v>4736</v>
      </c>
      <c r="L2268">
        <v>1976</v>
      </c>
      <c r="M2268" s="15" t="s">
        <v>4707</v>
      </c>
      <c r="N2268">
        <v>29</v>
      </c>
      <c r="O2268">
        <v>1</v>
      </c>
      <c r="P2268" s="21">
        <f>DATEVALUE(N2268&amp;"-"&amp;M2268&amp;"-"&amp;L2268)</f>
        <v>28062</v>
      </c>
      <c r="Q2268" s="22">
        <v>41661.599999999999</v>
      </c>
      <c r="R2268" s="23" t="s">
        <v>4701</v>
      </c>
      <c r="S2268" s="23" t="s">
        <v>4698</v>
      </c>
      <c r="T2268" s="23" t="s">
        <v>4708</v>
      </c>
      <c r="U2268" s="23">
        <f>DATEDIF(P2268, DATE(2023, 6, 8), "Y")</f>
        <v>46</v>
      </c>
      <c r="V2268">
        <f>SUM(C2268:K2268)</f>
        <v>23.470000000000002</v>
      </c>
    </row>
    <row r="2269" spans="1:22" ht="15.75">
      <c r="A2269" s="28" t="s">
        <v>4536</v>
      </c>
      <c r="B2269" s="28" t="s">
        <v>4537</v>
      </c>
      <c r="C2269" s="23">
        <v>21.98</v>
      </c>
      <c r="D2269" s="23">
        <v>7.03</v>
      </c>
      <c r="E2269" s="23" t="s">
        <v>4682</v>
      </c>
      <c r="F2269" s="23" t="s">
        <v>4682</v>
      </c>
      <c r="G2269" s="23" t="s">
        <v>4682</v>
      </c>
      <c r="H2269" s="23">
        <v>0</v>
      </c>
      <c r="I2269" s="23" t="s">
        <v>4682</v>
      </c>
      <c r="J2269" s="23" t="s">
        <v>4728</v>
      </c>
      <c r="K2269" s="23" t="s">
        <v>4735</v>
      </c>
      <c r="L2269">
        <v>1975</v>
      </c>
      <c r="M2269" s="15" t="s">
        <v>4700</v>
      </c>
      <c r="N2269">
        <v>14</v>
      </c>
      <c r="O2269">
        <v>0</v>
      </c>
      <c r="P2269" s="21">
        <f>DATEVALUE(N2269&amp;"-"&amp;M2269&amp;"-"&amp;L2269)</f>
        <v>27712</v>
      </c>
      <c r="Q2269" s="22">
        <v>41676.080000000002</v>
      </c>
      <c r="R2269" s="23" t="s">
        <v>4701</v>
      </c>
      <c r="S2269" s="23" t="s">
        <v>4697</v>
      </c>
      <c r="T2269" s="23" t="s">
        <v>4699</v>
      </c>
      <c r="U2269" s="23">
        <f>DATEDIF(P2269, DATE(2023, 6, 8), "Y")</f>
        <v>47</v>
      </c>
      <c r="V2269">
        <f>SUM(C2269:K2269)</f>
        <v>29.01</v>
      </c>
    </row>
    <row r="2270" spans="1:22" ht="15.75">
      <c r="A2270" s="28" t="s">
        <v>4538</v>
      </c>
      <c r="B2270" s="28" t="s">
        <v>4539</v>
      </c>
      <c r="C2270" s="23">
        <v>19.7</v>
      </c>
      <c r="D2270" s="23">
        <v>5.51</v>
      </c>
      <c r="E2270" s="23" t="s">
        <v>4682</v>
      </c>
      <c r="F2270" s="23" t="s">
        <v>4682</v>
      </c>
      <c r="G2270" s="23" t="s">
        <v>4682</v>
      </c>
      <c r="H2270" s="23">
        <v>1</v>
      </c>
      <c r="I2270" s="23" t="s">
        <v>4682</v>
      </c>
      <c r="J2270" s="23" t="s">
        <v>4728</v>
      </c>
      <c r="K2270" s="23" t="s">
        <v>4737</v>
      </c>
      <c r="L2270">
        <v>1975</v>
      </c>
      <c r="M2270" s="15" t="s">
        <v>4703</v>
      </c>
      <c r="N2270">
        <v>29</v>
      </c>
      <c r="O2270">
        <v>1</v>
      </c>
      <c r="P2270" s="21">
        <f>DATEVALUE(N2270&amp;"-"&amp;M2270&amp;"-"&amp;L2270)</f>
        <v>27666</v>
      </c>
      <c r="Q2270" s="22">
        <v>41681.86</v>
      </c>
      <c r="R2270" s="23" t="s">
        <v>4701</v>
      </c>
      <c r="S2270" s="23" t="s">
        <v>4701</v>
      </c>
      <c r="T2270" s="23" t="s">
        <v>4708</v>
      </c>
      <c r="U2270" s="23">
        <f>DATEDIF(P2270, DATE(2023, 6, 8), "Y")</f>
        <v>47</v>
      </c>
      <c r="V2270">
        <f>SUM(C2270:K2270)</f>
        <v>26.21</v>
      </c>
    </row>
    <row r="2271" spans="1:22" ht="15.75">
      <c r="A2271" s="28" t="s">
        <v>4540</v>
      </c>
      <c r="B2271" s="28" t="s">
        <v>4541</v>
      </c>
      <c r="C2271" s="23">
        <v>19.21</v>
      </c>
      <c r="D2271" s="23">
        <v>4.76</v>
      </c>
      <c r="E2271" s="23" t="s">
        <v>4682</v>
      </c>
      <c r="F2271" s="23" t="s">
        <v>4683</v>
      </c>
      <c r="G2271" s="23" t="s">
        <v>4682</v>
      </c>
      <c r="H2271" s="23">
        <v>1</v>
      </c>
      <c r="I2271" s="23" t="s">
        <v>4682</v>
      </c>
      <c r="J2271" s="23" t="s">
        <v>4728</v>
      </c>
      <c r="K2271" s="23" t="s">
        <v>4737</v>
      </c>
      <c r="L2271">
        <v>1962</v>
      </c>
      <c r="M2271" s="15" t="s">
        <v>4703</v>
      </c>
      <c r="N2271">
        <v>22</v>
      </c>
      <c r="O2271">
        <v>0</v>
      </c>
      <c r="P2271" s="21">
        <f>DATEVALUE(N2271&amp;"-"&amp;M2271&amp;"-"&amp;L2271)</f>
        <v>22911</v>
      </c>
      <c r="Q2271" s="22">
        <v>41794.629999999997</v>
      </c>
      <c r="R2271" s="23" t="s">
        <v>4701</v>
      </c>
      <c r="S2271" s="23" t="s">
        <v>4698</v>
      </c>
      <c r="T2271" s="23" t="s">
        <v>4708</v>
      </c>
      <c r="U2271" s="23">
        <f>DATEDIF(P2271, DATE(2023, 6, 8), "Y")</f>
        <v>60</v>
      </c>
      <c r="V2271">
        <f>SUM(C2271:K2271)</f>
        <v>24.97</v>
      </c>
    </row>
    <row r="2272" spans="1:22" ht="15.75">
      <c r="A2272" s="28" t="s">
        <v>4542</v>
      </c>
      <c r="B2272" s="28" t="s">
        <v>4543</v>
      </c>
      <c r="C2272" s="23">
        <v>19.3</v>
      </c>
      <c r="D2272" s="23">
        <v>4.7</v>
      </c>
      <c r="E2272" s="23" t="s">
        <v>4682</v>
      </c>
      <c r="F2272" s="23" t="s">
        <v>4683</v>
      </c>
      <c r="G2272" s="23" t="s">
        <v>4682</v>
      </c>
      <c r="H2272" s="23">
        <v>1</v>
      </c>
      <c r="I2272" s="23" t="s">
        <v>4682</v>
      </c>
      <c r="J2272" s="23" t="s">
        <v>4728</v>
      </c>
      <c r="K2272" s="23" t="s">
        <v>4737</v>
      </c>
      <c r="L2272">
        <v>1966</v>
      </c>
      <c r="M2272" s="15" t="s">
        <v>4703</v>
      </c>
      <c r="N2272">
        <v>21</v>
      </c>
      <c r="O2272">
        <v>0</v>
      </c>
      <c r="P2272" s="21">
        <f>DATEVALUE(N2272&amp;"-"&amp;M2272&amp;"-"&amp;L2272)</f>
        <v>24371</v>
      </c>
      <c r="Q2272" s="22">
        <v>41886.54</v>
      </c>
      <c r="R2272" s="23" t="s">
        <v>4701</v>
      </c>
      <c r="S2272" s="23" t="s">
        <v>4698</v>
      </c>
      <c r="T2272" s="23" t="s">
        <v>4708</v>
      </c>
      <c r="U2272" s="23">
        <f>DATEDIF(P2272, DATE(2023, 6, 8), "Y")</f>
        <v>56</v>
      </c>
      <c r="V2272">
        <f>SUM(C2272:K2272)</f>
        <v>25</v>
      </c>
    </row>
    <row r="2273" spans="1:22" ht="15.75">
      <c r="A2273" s="28" t="s">
        <v>4544</v>
      </c>
      <c r="B2273" s="28" t="s">
        <v>4545</v>
      </c>
      <c r="C2273" s="23">
        <v>16.22</v>
      </c>
      <c r="D2273" s="23">
        <v>6.21</v>
      </c>
      <c r="E2273" s="23" t="s">
        <v>4683</v>
      </c>
      <c r="F2273" s="23" t="s">
        <v>4682</v>
      </c>
      <c r="G2273" s="23" t="s">
        <v>4682</v>
      </c>
      <c r="H2273" s="23">
        <v>0</v>
      </c>
      <c r="I2273" s="23" t="s">
        <v>4682</v>
      </c>
      <c r="J2273" s="23" t="s">
        <v>4731</v>
      </c>
      <c r="K2273" s="23" t="s">
        <v>4736</v>
      </c>
      <c r="L2273">
        <v>1972</v>
      </c>
      <c r="M2273" s="15" t="s">
        <v>4702</v>
      </c>
      <c r="N2273">
        <v>8</v>
      </c>
      <c r="O2273">
        <v>1</v>
      </c>
      <c r="P2273" s="21">
        <f>DATEVALUE(N2273&amp;"-"&amp;M2273&amp;"-"&amp;L2273)</f>
        <v>26458</v>
      </c>
      <c r="Q2273" s="22">
        <v>41919.1</v>
      </c>
      <c r="R2273" s="23" t="s">
        <v>4701</v>
      </c>
      <c r="S2273" s="23" t="s">
        <v>4701</v>
      </c>
      <c r="T2273" s="23" t="s">
        <v>4711</v>
      </c>
      <c r="U2273" s="23">
        <f>DATEDIF(P2273, DATE(2023, 6, 8), "Y")</f>
        <v>51</v>
      </c>
      <c r="V2273">
        <f>SUM(C2273:K2273)</f>
        <v>22.43</v>
      </c>
    </row>
    <row r="2274" spans="1:22" ht="15.75">
      <c r="A2274" s="28" t="s">
        <v>4546</v>
      </c>
      <c r="B2274" s="28" t="s">
        <v>4547</v>
      </c>
      <c r="C2274" s="23">
        <v>17.12</v>
      </c>
      <c r="D2274" s="23">
        <v>4.5199999999999996</v>
      </c>
      <c r="E2274" s="23" t="s">
        <v>4682</v>
      </c>
      <c r="F2274" s="23" t="s">
        <v>4683</v>
      </c>
      <c r="G2274" s="23" t="s">
        <v>4682</v>
      </c>
      <c r="H2274" s="23">
        <v>1</v>
      </c>
      <c r="I2274" s="23" t="s">
        <v>4682</v>
      </c>
      <c r="J2274" s="23" t="s">
        <v>4731</v>
      </c>
      <c r="K2274" s="23" t="s">
        <v>4737</v>
      </c>
      <c r="L2274">
        <v>1984</v>
      </c>
      <c r="M2274" s="15" t="s">
        <v>4700</v>
      </c>
      <c r="N2274">
        <v>10</v>
      </c>
      <c r="O2274">
        <v>3</v>
      </c>
      <c r="P2274" s="21">
        <f>DATEVALUE(N2274&amp;"-"&amp;M2274&amp;"-"&amp;L2274)</f>
        <v>30996</v>
      </c>
      <c r="Q2274" s="22">
        <v>41949.24</v>
      </c>
      <c r="R2274" s="23" t="s">
        <v>4701</v>
      </c>
      <c r="S2274" s="23" t="s">
        <v>4701</v>
      </c>
      <c r="T2274" s="23" t="s">
        <v>4699</v>
      </c>
      <c r="U2274" s="23">
        <f>DATEDIF(P2274, DATE(2023, 6, 8), "Y")</f>
        <v>38</v>
      </c>
      <c r="V2274">
        <f>SUM(C2274:K2274)</f>
        <v>22.64</v>
      </c>
    </row>
    <row r="2275" spans="1:22" ht="15.75">
      <c r="A2275" s="28" t="s">
        <v>4548</v>
      </c>
      <c r="B2275" s="28" t="s">
        <v>4549</v>
      </c>
      <c r="C2275" s="23">
        <v>19.07</v>
      </c>
      <c r="D2275" s="23">
        <v>5.45</v>
      </c>
      <c r="E2275" s="23" t="s">
        <v>4682</v>
      </c>
      <c r="F2275" s="23" t="s">
        <v>4682</v>
      </c>
      <c r="G2275" s="23" t="s">
        <v>4682</v>
      </c>
      <c r="H2275" s="23">
        <v>1</v>
      </c>
      <c r="I2275" s="23" t="s">
        <v>4682</v>
      </c>
      <c r="J2275" s="23" t="s">
        <v>4728</v>
      </c>
      <c r="K2275" s="23" t="s">
        <v>4737</v>
      </c>
      <c r="L2275">
        <v>1968</v>
      </c>
      <c r="M2275" s="15" t="s">
        <v>4705</v>
      </c>
      <c r="N2275">
        <v>19</v>
      </c>
      <c r="O2275">
        <v>1</v>
      </c>
      <c r="P2275" s="21">
        <f>DATEVALUE(N2275&amp;"-"&amp;M2275&amp;"-"&amp;L2275)</f>
        <v>25191</v>
      </c>
      <c r="Q2275" s="22">
        <v>41999.519999999997</v>
      </c>
      <c r="R2275" s="23" t="s">
        <v>4701</v>
      </c>
      <c r="S2275" s="23" t="s">
        <v>4698</v>
      </c>
      <c r="T2275" s="23" t="s">
        <v>4699</v>
      </c>
      <c r="U2275" s="23">
        <f>DATEDIF(P2275, DATE(2023, 6, 8), "Y")</f>
        <v>54</v>
      </c>
      <c r="V2275">
        <f>SUM(C2275:K2275)</f>
        <v>25.52</v>
      </c>
    </row>
    <row r="2276" spans="1:22" ht="15.75">
      <c r="A2276" s="28" t="s">
        <v>4550</v>
      </c>
      <c r="B2276" s="28" t="s">
        <v>4551</v>
      </c>
      <c r="C2276" s="23">
        <v>15.56</v>
      </c>
      <c r="D2276" s="23">
        <v>4.42</v>
      </c>
      <c r="E2276" s="23" t="s">
        <v>4682</v>
      </c>
      <c r="F2276" s="23" t="s">
        <v>4682</v>
      </c>
      <c r="G2276" s="23" t="s">
        <v>4682</v>
      </c>
      <c r="H2276" s="23">
        <v>0</v>
      </c>
      <c r="I2276" s="23" t="s">
        <v>4682</v>
      </c>
      <c r="J2276" s="23" t="s">
        <v>4731</v>
      </c>
      <c r="K2276" s="23" t="s">
        <v>4737</v>
      </c>
      <c r="L2276">
        <v>1976</v>
      </c>
      <c r="M2276" s="15" t="s">
        <v>4700</v>
      </c>
      <c r="N2276">
        <v>28</v>
      </c>
      <c r="O2276">
        <v>0</v>
      </c>
      <c r="P2276" s="21">
        <f>DATEVALUE(N2276&amp;"-"&amp;M2276&amp;"-"&amp;L2276)</f>
        <v>28092</v>
      </c>
      <c r="Q2276" s="22">
        <v>42111.66</v>
      </c>
      <c r="R2276" s="23" t="s">
        <v>4701</v>
      </c>
      <c r="S2276" s="23" t="s">
        <v>4701</v>
      </c>
      <c r="T2276" s="23" t="s">
        <v>4714</v>
      </c>
      <c r="U2276" s="23">
        <f>DATEDIF(P2276, DATE(2023, 6, 8), "Y")</f>
        <v>46</v>
      </c>
      <c r="V2276">
        <f>SUM(C2276:K2276)</f>
        <v>19.98</v>
      </c>
    </row>
    <row r="2277" spans="1:22" ht="15.75">
      <c r="A2277" s="28" t="s">
        <v>4552</v>
      </c>
      <c r="B2277" s="28" t="s">
        <v>4553</v>
      </c>
      <c r="C2277" s="23">
        <v>22.76</v>
      </c>
      <c r="D2277" s="23">
        <v>9.44</v>
      </c>
      <c r="E2277" s="23" t="s">
        <v>4682</v>
      </c>
      <c r="F2277" s="23" t="s">
        <v>4682</v>
      </c>
      <c r="G2277" s="23" t="s">
        <v>4682</v>
      </c>
      <c r="H2277" s="23">
        <v>0</v>
      </c>
      <c r="I2277" s="23" t="s">
        <v>4682</v>
      </c>
      <c r="J2277" s="23" t="s">
        <v>4728</v>
      </c>
      <c r="K2277" s="23" t="s">
        <v>4735</v>
      </c>
      <c r="L2277">
        <v>1997</v>
      </c>
      <c r="M2277" s="15" t="s">
        <v>4705</v>
      </c>
      <c r="N2277">
        <v>9</v>
      </c>
      <c r="O2277">
        <v>2</v>
      </c>
      <c r="P2277" s="21">
        <f>DATEVALUE(N2277&amp;"-"&amp;M2277&amp;"-"&amp;L2277)</f>
        <v>35773</v>
      </c>
      <c r="Q2277" s="22">
        <v>42112.24</v>
      </c>
      <c r="R2277" s="23" t="s">
        <v>4701</v>
      </c>
      <c r="S2277" s="23" t="s">
        <v>4698</v>
      </c>
      <c r="T2277" s="23" t="s">
        <v>4699</v>
      </c>
      <c r="U2277" s="23">
        <f>DATEDIF(P2277, DATE(2023, 6, 8), "Y")</f>
        <v>25</v>
      </c>
      <c r="V2277">
        <f>SUM(C2277:K2277)</f>
        <v>32.200000000000003</v>
      </c>
    </row>
    <row r="2278" spans="1:22" ht="15.75">
      <c r="A2278" s="28" t="s">
        <v>4554</v>
      </c>
      <c r="B2278" s="28" t="s">
        <v>4555</v>
      </c>
      <c r="C2278" s="23">
        <v>22.79</v>
      </c>
      <c r="D2278" s="23">
        <v>6.15</v>
      </c>
      <c r="E2278" s="23" t="s">
        <v>4683</v>
      </c>
      <c r="F2278" s="23" t="s">
        <v>4682</v>
      </c>
      <c r="G2278" s="23" t="s">
        <v>4684</v>
      </c>
      <c r="H2278" s="23">
        <v>1</v>
      </c>
      <c r="I2278" s="23" t="s">
        <v>4682</v>
      </c>
      <c r="J2278" s="23" t="s">
        <v>4728</v>
      </c>
      <c r="K2278" s="23" t="s">
        <v>4736</v>
      </c>
      <c r="L2278">
        <v>1979</v>
      </c>
      <c r="M2278" s="15" t="s">
        <v>4696</v>
      </c>
      <c r="N2278">
        <v>3</v>
      </c>
      <c r="O2278">
        <v>3</v>
      </c>
      <c r="P2278" s="21">
        <f>DATEVALUE(N2278&amp;"-"&amp;M2278&amp;"-"&amp;L2278)</f>
        <v>29039</v>
      </c>
      <c r="Q2278" s="22">
        <v>42124.52</v>
      </c>
      <c r="R2278" s="23" t="s">
        <v>4701</v>
      </c>
      <c r="S2278" s="23" t="s">
        <v>4701</v>
      </c>
      <c r="T2278" s="23" t="s">
        <v>4699</v>
      </c>
      <c r="U2278" s="23">
        <f>DATEDIF(P2278, DATE(2023, 6, 8), "Y")</f>
        <v>43</v>
      </c>
      <c r="V2278">
        <f>SUM(C2278:K2278)</f>
        <v>29.939999999999998</v>
      </c>
    </row>
    <row r="2279" spans="1:22" ht="15.75">
      <c r="A2279" s="28" t="s">
        <v>4556</v>
      </c>
      <c r="B2279" s="28" t="s">
        <v>4557</v>
      </c>
      <c r="C2279" s="23">
        <v>17.41</v>
      </c>
      <c r="D2279" s="23">
        <v>5.13</v>
      </c>
      <c r="E2279" s="23" t="s">
        <v>4683</v>
      </c>
      <c r="F2279" s="23" t="s">
        <v>4682</v>
      </c>
      <c r="G2279" s="23" t="s">
        <v>4682</v>
      </c>
      <c r="H2279" s="23">
        <v>0</v>
      </c>
      <c r="I2279" s="23" t="s">
        <v>4682</v>
      </c>
      <c r="J2279" s="23" t="s">
        <v>4731</v>
      </c>
      <c r="K2279" s="23" t="s">
        <v>4737</v>
      </c>
      <c r="L2279">
        <v>1973</v>
      </c>
      <c r="M2279" s="15" t="s">
        <v>4703</v>
      </c>
      <c r="N2279">
        <v>18</v>
      </c>
      <c r="O2279">
        <v>0</v>
      </c>
      <c r="P2279" s="21">
        <f>DATEVALUE(N2279&amp;"-"&amp;M2279&amp;"-"&amp;L2279)</f>
        <v>26925</v>
      </c>
      <c r="Q2279" s="22">
        <v>42188.15</v>
      </c>
      <c r="R2279" s="23" t="s">
        <v>4701</v>
      </c>
      <c r="S2279" s="23" t="s">
        <v>4701</v>
      </c>
      <c r="T2279" s="23" t="s">
        <v>4708</v>
      </c>
      <c r="U2279" s="23">
        <f>DATEDIF(P2279, DATE(2023, 6, 8), "Y")</f>
        <v>49</v>
      </c>
      <c r="V2279">
        <f>SUM(C2279:K2279)</f>
        <v>22.54</v>
      </c>
    </row>
    <row r="2280" spans="1:22" ht="15.75">
      <c r="A2280" s="28" t="s">
        <v>4558</v>
      </c>
      <c r="B2280" s="28" t="s">
        <v>4559</v>
      </c>
      <c r="C2280" s="23">
        <v>19.32</v>
      </c>
      <c r="D2280" s="23">
        <v>4.96</v>
      </c>
      <c r="E2280" s="23" t="s">
        <v>4683</v>
      </c>
      <c r="F2280" s="23" t="s">
        <v>4682</v>
      </c>
      <c r="G2280" s="23" t="s">
        <v>4682</v>
      </c>
      <c r="H2280" s="23">
        <v>0</v>
      </c>
      <c r="I2280" s="23" t="s">
        <v>4682</v>
      </c>
      <c r="J2280" s="23" t="s">
        <v>4728</v>
      </c>
      <c r="K2280" s="23" t="s">
        <v>4737</v>
      </c>
      <c r="L2280">
        <v>1975</v>
      </c>
      <c r="M2280" s="15" t="s">
        <v>4706</v>
      </c>
      <c r="N2280">
        <v>15</v>
      </c>
      <c r="O2280">
        <v>1</v>
      </c>
      <c r="P2280" s="21">
        <f>DATEVALUE(N2280&amp;"-"&amp;M2280&amp;"-"&amp;L2280)</f>
        <v>27621</v>
      </c>
      <c r="Q2280" s="22">
        <v>42211.14</v>
      </c>
      <c r="R2280" s="23" t="s">
        <v>4701</v>
      </c>
      <c r="S2280" s="23" t="s">
        <v>4698</v>
      </c>
      <c r="T2280" s="23" t="s">
        <v>4699</v>
      </c>
      <c r="U2280" s="23">
        <f>DATEDIF(P2280, DATE(2023, 6, 8), "Y")</f>
        <v>47</v>
      </c>
      <c r="V2280">
        <f>SUM(C2280:K2280)</f>
        <v>24.28</v>
      </c>
    </row>
    <row r="2281" spans="1:22" ht="15.75">
      <c r="A2281" s="28" t="s">
        <v>4560</v>
      </c>
      <c r="B2281" s="28" t="s">
        <v>4561</v>
      </c>
      <c r="C2281" s="23">
        <v>18.25</v>
      </c>
      <c r="D2281" s="23">
        <v>10.95</v>
      </c>
      <c r="E2281" s="23" t="s">
        <v>4682</v>
      </c>
      <c r="F2281" s="23" t="s">
        <v>4682</v>
      </c>
      <c r="G2281" s="23" t="s">
        <v>4682</v>
      </c>
      <c r="H2281" s="23">
        <v>0</v>
      </c>
      <c r="I2281" s="23" t="s">
        <v>4682</v>
      </c>
      <c r="J2281" s="23" t="s">
        <v>4731</v>
      </c>
      <c r="K2281" s="23" t="s">
        <v>4735</v>
      </c>
      <c r="L2281">
        <v>1967</v>
      </c>
      <c r="M2281" s="15" t="s">
        <v>4702</v>
      </c>
      <c r="N2281">
        <v>28</v>
      </c>
      <c r="O2281">
        <v>0</v>
      </c>
      <c r="P2281" s="21">
        <f>DATEVALUE(N2281&amp;"-"&amp;M2281&amp;"-"&amp;L2281)</f>
        <v>24651</v>
      </c>
      <c r="Q2281" s="22">
        <v>42303.69</v>
      </c>
      <c r="R2281" s="23" t="s">
        <v>4701</v>
      </c>
      <c r="S2281" s="23" t="s">
        <v>4697</v>
      </c>
      <c r="T2281" s="23" t="s">
        <v>4711</v>
      </c>
      <c r="U2281" s="23">
        <f>DATEDIF(P2281, DATE(2023, 6, 8), "Y")</f>
        <v>55</v>
      </c>
      <c r="V2281">
        <f>SUM(C2281:K2281)</f>
        <v>29.2</v>
      </c>
    </row>
    <row r="2282" spans="1:22" ht="15.75">
      <c r="A2282" s="28" t="s">
        <v>4562</v>
      </c>
      <c r="B2282" s="28" t="s">
        <v>4563</v>
      </c>
      <c r="C2282" s="23">
        <v>53.13</v>
      </c>
      <c r="D2282" s="23">
        <v>4.4400000000000004</v>
      </c>
      <c r="E2282" s="23" t="s">
        <v>4682</v>
      </c>
      <c r="F2282" s="23" t="s">
        <v>4683</v>
      </c>
      <c r="G2282" s="23" t="s">
        <v>4682</v>
      </c>
      <c r="H2282" s="23">
        <v>1</v>
      </c>
      <c r="I2282" s="23" t="s">
        <v>4682</v>
      </c>
      <c r="J2282" s="23" t="s">
        <v>4729</v>
      </c>
      <c r="K2282" s="23" t="s">
        <v>4737</v>
      </c>
      <c r="L2282">
        <v>1968</v>
      </c>
      <c r="M2282" s="15" t="s">
        <v>4706</v>
      </c>
      <c r="N2282">
        <v>3</v>
      </c>
      <c r="O2282">
        <v>0</v>
      </c>
      <c r="P2282" s="21">
        <f>DATEVALUE(N2282&amp;"-"&amp;M2282&amp;"-"&amp;L2282)</f>
        <v>25053</v>
      </c>
      <c r="Q2282" s="22">
        <v>42478.6</v>
      </c>
      <c r="R2282" s="23" t="s">
        <v>4701</v>
      </c>
      <c r="S2282" s="23" t="s">
        <v>4697</v>
      </c>
      <c r="T2282" s="23" t="s">
        <v>4708</v>
      </c>
      <c r="U2282" s="23">
        <f>DATEDIF(P2282, DATE(2023, 6, 8), "Y")</f>
        <v>54</v>
      </c>
      <c r="V2282">
        <f>SUM(C2282:K2282)</f>
        <v>58.57</v>
      </c>
    </row>
    <row r="2283" spans="1:22" ht="15.75">
      <c r="A2283" s="28" t="s">
        <v>4564</v>
      </c>
      <c r="B2283" s="28" t="s">
        <v>4565</v>
      </c>
      <c r="C2283" s="23">
        <v>20.46</v>
      </c>
      <c r="D2283" s="23">
        <v>4.0199999999999996</v>
      </c>
      <c r="E2283" s="23" t="s">
        <v>4682</v>
      </c>
      <c r="F2283" s="23" t="s">
        <v>4682</v>
      </c>
      <c r="G2283" s="23" t="s">
        <v>4682</v>
      </c>
      <c r="H2283" s="23">
        <v>0</v>
      </c>
      <c r="I2283" s="23" t="s">
        <v>4682</v>
      </c>
      <c r="J2283" s="23" t="s">
        <v>4728</v>
      </c>
      <c r="K2283" s="23" t="s">
        <v>4737</v>
      </c>
      <c r="L2283">
        <v>1967</v>
      </c>
      <c r="M2283" s="15" t="s">
        <v>4702</v>
      </c>
      <c r="N2283">
        <v>27</v>
      </c>
      <c r="O2283">
        <v>0</v>
      </c>
      <c r="P2283" s="21">
        <f>DATEVALUE(N2283&amp;"-"&amp;M2283&amp;"-"&amp;L2283)</f>
        <v>24650</v>
      </c>
      <c r="Q2283" s="22">
        <v>42538.720000000001</v>
      </c>
      <c r="R2283" s="23" t="s">
        <v>4701</v>
      </c>
      <c r="S2283" s="23" t="s">
        <v>4698</v>
      </c>
      <c r="T2283" s="23" t="s">
        <v>4708</v>
      </c>
      <c r="U2283" s="23">
        <f>DATEDIF(P2283, DATE(2023, 6, 8), "Y")</f>
        <v>55</v>
      </c>
      <c r="V2283">
        <f>SUM(C2283:K2283)</f>
        <v>24.48</v>
      </c>
    </row>
    <row r="2284" spans="1:22" ht="15.75">
      <c r="A2284" s="28" t="s">
        <v>4566</v>
      </c>
      <c r="B2284" s="28" t="s">
        <v>4567</v>
      </c>
      <c r="C2284" s="23">
        <v>43.01</v>
      </c>
      <c r="D2284" s="23">
        <v>5.44</v>
      </c>
      <c r="E2284" s="23" t="s">
        <v>4682</v>
      </c>
      <c r="F2284" s="23" t="s">
        <v>4683</v>
      </c>
      <c r="G2284" s="23" t="s">
        <v>4682</v>
      </c>
      <c r="H2284" s="23">
        <v>1</v>
      </c>
      <c r="I2284" s="23" t="s">
        <v>4682</v>
      </c>
      <c r="J2284" s="23" t="s">
        <v>4729</v>
      </c>
      <c r="K2284" s="23" t="s">
        <v>4737</v>
      </c>
      <c r="L2284">
        <v>1979</v>
      </c>
      <c r="M2284" s="15" t="s">
        <v>4705</v>
      </c>
      <c r="N2284">
        <v>27</v>
      </c>
      <c r="O2284">
        <v>2</v>
      </c>
      <c r="P2284" s="21">
        <f>DATEVALUE(N2284&amp;"-"&amp;M2284&amp;"-"&amp;L2284)</f>
        <v>29216</v>
      </c>
      <c r="Q2284" s="22">
        <v>42560.43</v>
      </c>
      <c r="R2284" s="23" t="s">
        <v>4701</v>
      </c>
      <c r="S2284" s="23" t="s">
        <v>4698</v>
      </c>
      <c r="T2284" s="23" t="s">
        <v>4699</v>
      </c>
      <c r="U2284" s="23">
        <f>DATEDIF(P2284, DATE(2023, 6, 8), "Y")</f>
        <v>43</v>
      </c>
      <c r="V2284">
        <f>SUM(C2284:K2284)</f>
        <v>49.449999999999996</v>
      </c>
    </row>
    <row r="2285" spans="1:22" ht="15.75">
      <c r="A2285" s="28" t="s">
        <v>4568</v>
      </c>
      <c r="B2285" s="28" t="s">
        <v>4569</v>
      </c>
      <c r="C2285" s="23">
        <v>15.01</v>
      </c>
      <c r="D2285" s="23">
        <v>4.1500000000000004</v>
      </c>
      <c r="E2285" s="23" t="s">
        <v>4682</v>
      </c>
      <c r="F2285" s="23" t="s">
        <v>4682</v>
      </c>
      <c r="G2285" s="23" t="s">
        <v>4684</v>
      </c>
      <c r="H2285" s="23">
        <v>1</v>
      </c>
      <c r="I2285" s="23" t="s">
        <v>4682</v>
      </c>
      <c r="J2285" s="23" t="s">
        <v>4731</v>
      </c>
      <c r="K2285" s="23" t="s">
        <v>4737</v>
      </c>
      <c r="L2285">
        <v>1971</v>
      </c>
      <c r="M2285" s="15" t="s">
        <v>4700</v>
      </c>
      <c r="N2285">
        <v>3</v>
      </c>
      <c r="O2285">
        <v>0</v>
      </c>
      <c r="P2285" s="21">
        <f>DATEVALUE(N2285&amp;"-"&amp;M2285&amp;"-"&amp;L2285)</f>
        <v>26240</v>
      </c>
      <c r="Q2285" s="22">
        <v>42644.2</v>
      </c>
      <c r="R2285" s="23" t="s">
        <v>4701</v>
      </c>
      <c r="S2285" s="23" t="s">
        <v>4698</v>
      </c>
      <c r="T2285" s="23" t="s">
        <v>4708</v>
      </c>
      <c r="U2285" s="23">
        <f>DATEDIF(P2285, DATE(2023, 6, 8), "Y")</f>
        <v>51</v>
      </c>
      <c r="V2285">
        <f>SUM(C2285:K2285)</f>
        <v>20.16</v>
      </c>
    </row>
    <row r="2286" spans="1:22" ht="15.75">
      <c r="A2286" s="28" t="s">
        <v>4570</v>
      </c>
      <c r="B2286" s="28" t="s">
        <v>4571</v>
      </c>
      <c r="C2286" s="23">
        <v>41.14</v>
      </c>
      <c r="D2286" s="23">
        <v>6.02</v>
      </c>
      <c r="E2286" s="23" t="s">
        <v>4682</v>
      </c>
      <c r="F2286" s="23" t="s">
        <v>4683</v>
      </c>
      <c r="G2286" s="23" t="s">
        <v>4682</v>
      </c>
      <c r="H2286" s="23">
        <v>1</v>
      </c>
      <c r="I2286" s="23" t="s">
        <v>4682</v>
      </c>
      <c r="J2286" s="23" t="s">
        <v>4729</v>
      </c>
      <c r="K2286" s="23" t="s">
        <v>4736</v>
      </c>
      <c r="L2286">
        <v>1977</v>
      </c>
      <c r="M2286" s="15" t="s">
        <v>4707</v>
      </c>
      <c r="N2286">
        <v>21</v>
      </c>
      <c r="O2286">
        <v>2</v>
      </c>
      <c r="P2286" s="21">
        <f>DATEVALUE(N2286&amp;"-"&amp;M2286&amp;"-"&amp;L2286)</f>
        <v>28419</v>
      </c>
      <c r="Q2286" s="22">
        <v>42760.5</v>
      </c>
      <c r="R2286" s="23" t="s">
        <v>4701</v>
      </c>
      <c r="S2286" s="23" t="s">
        <v>4697</v>
      </c>
      <c r="T2286" s="23" t="s">
        <v>4704</v>
      </c>
      <c r="U2286" s="23">
        <f>DATEDIF(P2286, DATE(2023, 6, 8), "Y")</f>
        <v>45</v>
      </c>
      <c r="V2286">
        <f>SUM(C2286:K2286)</f>
        <v>48.16</v>
      </c>
    </row>
    <row r="2287" spans="1:22" ht="15.75">
      <c r="A2287" s="28" t="s">
        <v>4572</v>
      </c>
      <c r="B2287" s="28" t="s">
        <v>4573</v>
      </c>
      <c r="C2287" s="23">
        <v>16.55</v>
      </c>
      <c r="D2287" s="23">
        <v>7.73</v>
      </c>
      <c r="E2287" s="23" t="s">
        <v>4682</v>
      </c>
      <c r="F2287" s="23" t="s">
        <v>4682</v>
      </c>
      <c r="G2287" s="23" t="s">
        <v>4682</v>
      </c>
      <c r="H2287" s="23">
        <v>0</v>
      </c>
      <c r="I2287" s="23" t="s">
        <v>4682</v>
      </c>
      <c r="J2287" s="23" t="s">
        <v>4731</v>
      </c>
      <c r="K2287" s="23" t="s">
        <v>4735</v>
      </c>
      <c r="L2287">
        <v>1965</v>
      </c>
      <c r="M2287" s="15" t="s">
        <v>4707</v>
      </c>
      <c r="N2287">
        <v>29</v>
      </c>
      <c r="O2287">
        <v>0</v>
      </c>
      <c r="P2287" s="21">
        <f>DATEVALUE(N2287&amp;"-"&amp;M2287&amp;"-"&amp;L2287)</f>
        <v>24044</v>
      </c>
      <c r="Q2287" s="22">
        <v>42764.12</v>
      </c>
      <c r="R2287" s="23" t="s">
        <v>4701</v>
      </c>
      <c r="S2287" s="23" t="s">
        <v>4697</v>
      </c>
      <c r="T2287" s="23" t="s">
        <v>4708</v>
      </c>
      <c r="U2287" s="23">
        <f>DATEDIF(P2287, DATE(2023, 6, 8), "Y")</f>
        <v>57</v>
      </c>
      <c r="V2287">
        <f>SUM(C2287:K2287)</f>
        <v>24.28</v>
      </c>
    </row>
    <row r="2288" spans="1:22" ht="15.75">
      <c r="A2288" s="28" t="s">
        <v>4574</v>
      </c>
      <c r="B2288" s="28" t="s">
        <v>4575</v>
      </c>
      <c r="C2288" s="23">
        <v>37.29</v>
      </c>
      <c r="D2288" s="23">
        <v>5.03</v>
      </c>
      <c r="E2288" s="23" t="s">
        <v>4682</v>
      </c>
      <c r="F2288" s="23" t="s">
        <v>4683</v>
      </c>
      <c r="G2288" s="23" t="s">
        <v>4682</v>
      </c>
      <c r="H2288" s="23">
        <v>1</v>
      </c>
      <c r="I2288" s="23" t="s">
        <v>4682</v>
      </c>
      <c r="J2288" s="23" t="s">
        <v>4729</v>
      </c>
      <c r="K2288" s="23" t="s">
        <v>4737</v>
      </c>
      <c r="L2288">
        <v>1972</v>
      </c>
      <c r="M2288" s="15" t="s">
        <v>4703</v>
      </c>
      <c r="N2288">
        <v>10</v>
      </c>
      <c r="O2288">
        <v>2</v>
      </c>
      <c r="P2288" s="21">
        <f>DATEVALUE(N2288&amp;"-"&amp;M2288&amp;"-"&amp;L2288)</f>
        <v>26552</v>
      </c>
      <c r="Q2288" s="22">
        <v>42856.84</v>
      </c>
      <c r="R2288" s="23" t="s">
        <v>4701</v>
      </c>
      <c r="S2288" s="23" t="s">
        <v>4701</v>
      </c>
      <c r="T2288" s="23" t="s">
        <v>4708</v>
      </c>
      <c r="U2288" s="23">
        <f>DATEDIF(P2288, DATE(2023, 6, 8), "Y")</f>
        <v>50</v>
      </c>
      <c r="V2288">
        <f>SUM(C2288:K2288)</f>
        <v>43.32</v>
      </c>
    </row>
    <row r="2289" spans="1:22" ht="15.75">
      <c r="A2289" s="28" t="s">
        <v>4576</v>
      </c>
      <c r="B2289" s="28" t="s">
        <v>4577</v>
      </c>
      <c r="C2289" s="23">
        <v>16.739999999999998</v>
      </c>
      <c r="D2289" s="23">
        <v>4.08</v>
      </c>
      <c r="E2289" s="23" t="s">
        <v>4683</v>
      </c>
      <c r="F2289" s="23" t="s">
        <v>4682</v>
      </c>
      <c r="G2289" s="23" t="s">
        <v>4682</v>
      </c>
      <c r="H2289" s="23">
        <v>0</v>
      </c>
      <c r="I2289" s="23" t="s">
        <v>4682</v>
      </c>
      <c r="J2289" s="23" t="s">
        <v>4731</v>
      </c>
      <c r="K2289" s="23" t="s">
        <v>4737</v>
      </c>
      <c r="L2289">
        <v>1975</v>
      </c>
      <c r="M2289" s="15" t="s">
        <v>4707</v>
      </c>
      <c r="N2289">
        <v>23</v>
      </c>
      <c r="O2289">
        <v>1</v>
      </c>
      <c r="P2289" s="21">
        <f>DATEVALUE(N2289&amp;"-"&amp;M2289&amp;"-"&amp;L2289)</f>
        <v>27690</v>
      </c>
      <c r="Q2289" s="22">
        <v>42969.85</v>
      </c>
      <c r="R2289" s="23" t="s">
        <v>4701</v>
      </c>
      <c r="S2289" s="23" t="s">
        <v>4698</v>
      </c>
      <c r="T2289" s="23" t="s">
        <v>4699</v>
      </c>
      <c r="U2289" s="23">
        <f>DATEDIF(P2289, DATE(2023, 6, 8), "Y")</f>
        <v>47</v>
      </c>
      <c r="V2289">
        <f>SUM(C2289:K2289)</f>
        <v>20.82</v>
      </c>
    </row>
    <row r="2290" spans="1:22" ht="15.75">
      <c r="A2290" s="28" t="s">
        <v>4578</v>
      </c>
      <c r="B2290" s="28" t="s">
        <v>4579</v>
      </c>
      <c r="C2290" s="23">
        <v>34.43</v>
      </c>
      <c r="D2290" s="23">
        <v>4.2699999999999996</v>
      </c>
      <c r="E2290" s="23" t="s">
        <v>4682</v>
      </c>
      <c r="F2290" s="23" t="s">
        <v>4683</v>
      </c>
      <c r="G2290" s="23" t="s">
        <v>4682</v>
      </c>
      <c r="H2290" s="23">
        <v>1</v>
      </c>
      <c r="I2290" s="23" t="s">
        <v>4682</v>
      </c>
      <c r="J2290" s="23" t="s">
        <v>4729</v>
      </c>
      <c r="K2290" s="23" t="s">
        <v>4737</v>
      </c>
      <c r="L2290">
        <v>1978</v>
      </c>
      <c r="M2290" s="15" t="s">
        <v>4700</v>
      </c>
      <c r="N2290">
        <v>4</v>
      </c>
      <c r="O2290">
        <v>0</v>
      </c>
      <c r="P2290" s="21">
        <f>DATEVALUE(N2290&amp;"-"&amp;M2290&amp;"-"&amp;L2290)</f>
        <v>28798</v>
      </c>
      <c r="Q2290" s="22">
        <v>42983.46</v>
      </c>
      <c r="R2290" s="23" t="s">
        <v>4701</v>
      </c>
      <c r="S2290" s="23" t="s">
        <v>4697</v>
      </c>
      <c r="T2290" s="23" t="s">
        <v>4704</v>
      </c>
      <c r="U2290" s="23">
        <f>DATEDIF(P2290, DATE(2023, 6, 8), "Y")</f>
        <v>44</v>
      </c>
      <c r="V2290">
        <f>SUM(C2290:K2290)</f>
        <v>39.700000000000003</v>
      </c>
    </row>
    <row r="2291" spans="1:22" ht="15.75">
      <c r="A2291" s="28" t="s">
        <v>4580</v>
      </c>
      <c r="B2291" s="28" t="s">
        <v>4581</v>
      </c>
      <c r="C2291" s="23">
        <v>34.1</v>
      </c>
      <c r="D2291" s="23">
        <v>4.07</v>
      </c>
      <c r="E2291" s="23" t="s">
        <v>4682</v>
      </c>
      <c r="F2291" s="23" t="s">
        <v>4683</v>
      </c>
      <c r="G2291" s="23" t="s">
        <v>4682</v>
      </c>
      <c r="H2291" s="23">
        <v>1</v>
      </c>
      <c r="I2291" s="23" t="s">
        <v>4682</v>
      </c>
      <c r="J2291" s="23" t="s">
        <v>4729</v>
      </c>
      <c r="K2291" s="23" t="s">
        <v>4737</v>
      </c>
      <c r="L2291">
        <v>1965</v>
      </c>
      <c r="M2291" s="15" t="s">
        <v>4700</v>
      </c>
      <c r="N2291">
        <v>29</v>
      </c>
      <c r="O2291">
        <v>0</v>
      </c>
      <c r="P2291" s="21">
        <f>DATEVALUE(N2291&amp;"-"&amp;M2291&amp;"-"&amp;L2291)</f>
        <v>24075</v>
      </c>
      <c r="Q2291" s="22">
        <v>43073.760000000002</v>
      </c>
      <c r="R2291" s="23" t="s">
        <v>4697</v>
      </c>
      <c r="S2291" s="23" t="s">
        <v>4697</v>
      </c>
      <c r="T2291" s="23" t="s">
        <v>4708</v>
      </c>
      <c r="U2291" s="23">
        <f>DATEDIF(P2291, DATE(2023, 6, 8), "Y")</f>
        <v>57</v>
      </c>
      <c r="V2291">
        <f>SUM(C2291:K2291)</f>
        <v>39.17</v>
      </c>
    </row>
    <row r="2292" spans="1:22" ht="15.75">
      <c r="A2292" s="28" t="s">
        <v>4582</v>
      </c>
      <c r="B2292" s="28" t="s">
        <v>4583</v>
      </c>
      <c r="C2292" s="23">
        <v>19.3</v>
      </c>
      <c r="D2292" s="23">
        <v>10.36</v>
      </c>
      <c r="E2292" s="23" t="s">
        <v>4682</v>
      </c>
      <c r="F2292" s="23" t="s">
        <v>4682</v>
      </c>
      <c r="G2292" s="23" t="s">
        <v>4682</v>
      </c>
      <c r="H2292" s="23">
        <v>0</v>
      </c>
      <c r="I2292" s="23" t="s">
        <v>4682</v>
      </c>
      <c r="J2292" s="23" t="s">
        <v>4728</v>
      </c>
      <c r="K2292" s="23" t="s">
        <v>4735</v>
      </c>
      <c r="L2292">
        <v>1969</v>
      </c>
      <c r="M2292" s="15" t="s">
        <v>4705</v>
      </c>
      <c r="N2292">
        <v>3</v>
      </c>
      <c r="O2292">
        <v>0</v>
      </c>
      <c r="P2292" s="21">
        <f>DATEVALUE(N2292&amp;"-"&amp;M2292&amp;"-"&amp;L2292)</f>
        <v>25540</v>
      </c>
      <c r="Q2292" s="22">
        <v>43254.42</v>
      </c>
      <c r="R2292" s="23" t="s">
        <v>4697</v>
      </c>
      <c r="S2292" s="23" t="s">
        <v>4697</v>
      </c>
      <c r="T2292" s="23" t="s">
        <v>4711</v>
      </c>
      <c r="U2292" s="23">
        <f>DATEDIF(P2292, DATE(2023, 6, 8), "Y")</f>
        <v>53</v>
      </c>
      <c r="V2292">
        <f>SUM(C2292:K2292)</f>
        <v>29.66</v>
      </c>
    </row>
    <row r="2293" spans="1:22" ht="15.75">
      <c r="A2293" s="28" t="s">
        <v>4584</v>
      </c>
      <c r="B2293" s="28" t="s">
        <v>4585</v>
      </c>
      <c r="C2293" s="23">
        <v>33.659999999999997</v>
      </c>
      <c r="D2293" s="23">
        <v>5.71</v>
      </c>
      <c r="E2293" s="23" t="s">
        <v>4682</v>
      </c>
      <c r="F2293" s="23" t="s">
        <v>4683</v>
      </c>
      <c r="G2293" s="23" t="s">
        <v>4682</v>
      </c>
      <c r="H2293" s="23">
        <v>1</v>
      </c>
      <c r="I2293" s="23" t="s">
        <v>4682</v>
      </c>
      <c r="J2293" s="23" t="s">
        <v>4729</v>
      </c>
      <c r="K2293" s="23" t="s">
        <v>4736</v>
      </c>
      <c r="L2293">
        <v>1965</v>
      </c>
      <c r="M2293" s="15" t="s">
        <v>4706</v>
      </c>
      <c r="N2293">
        <v>22</v>
      </c>
      <c r="O2293">
        <v>0</v>
      </c>
      <c r="P2293" s="21">
        <f>DATEVALUE(N2293&amp;"-"&amp;M2293&amp;"-"&amp;L2293)</f>
        <v>23976</v>
      </c>
      <c r="Q2293" s="22">
        <v>43578.94</v>
      </c>
      <c r="R2293" s="23" t="s">
        <v>4697</v>
      </c>
      <c r="S2293" s="23" t="s">
        <v>4697</v>
      </c>
      <c r="T2293" s="23" t="s">
        <v>4704</v>
      </c>
      <c r="U2293" s="23">
        <f>DATEDIF(P2293, DATE(2023, 6, 8), "Y")</f>
        <v>57</v>
      </c>
      <c r="V2293">
        <f>SUM(C2293:K2293)</f>
        <v>40.369999999999997</v>
      </c>
    </row>
    <row r="2294" spans="1:22" ht="15.75">
      <c r="A2294" s="28" t="s">
        <v>4586</v>
      </c>
      <c r="B2294" s="28" t="s">
        <v>4587</v>
      </c>
      <c r="C2294" s="23">
        <v>33.33</v>
      </c>
      <c r="D2294" s="23">
        <v>6.08</v>
      </c>
      <c r="E2294" s="23" t="s">
        <v>4682</v>
      </c>
      <c r="F2294" s="23" t="s">
        <v>4683</v>
      </c>
      <c r="G2294" s="23" t="s">
        <v>4682</v>
      </c>
      <c r="H2294" s="23">
        <v>1</v>
      </c>
      <c r="I2294" s="23" t="s">
        <v>4682</v>
      </c>
      <c r="J2294" s="23" t="s">
        <v>4729</v>
      </c>
      <c r="K2294" s="23" t="s">
        <v>4736</v>
      </c>
      <c r="L2294">
        <v>1986</v>
      </c>
      <c r="M2294" s="15" t="s">
        <v>4705</v>
      </c>
      <c r="N2294">
        <v>29</v>
      </c>
      <c r="O2294">
        <v>3</v>
      </c>
      <c r="P2294" s="21">
        <f>DATEVALUE(N2294&amp;"-"&amp;M2294&amp;"-"&amp;L2294)</f>
        <v>31775</v>
      </c>
      <c r="Q2294" s="22">
        <v>43753.34</v>
      </c>
      <c r="R2294" s="23" t="s">
        <v>4697</v>
      </c>
      <c r="S2294" s="23" t="s">
        <v>4701</v>
      </c>
      <c r="T2294" s="23" t="s">
        <v>4709</v>
      </c>
      <c r="U2294" s="23">
        <f>DATEDIF(P2294, DATE(2023, 6, 8), "Y")</f>
        <v>36</v>
      </c>
      <c r="V2294">
        <f>SUM(C2294:K2294)</f>
        <v>40.409999999999997</v>
      </c>
    </row>
    <row r="2295" spans="1:22" ht="15.75">
      <c r="A2295" s="28" t="s">
        <v>4588</v>
      </c>
      <c r="B2295" s="28" t="s">
        <v>4589</v>
      </c>
      <c r="C2295" s="23">
        <v>21.84</v>
      </c>
      <c r="D2295" s="23">
        <v>5.71</v>
      </c>
      <c r="E2295" s="23" t="s">
        <v>4682</v>
      </c>
      <c r="F2295" s="23" t="s">
        <v>4683</v>
      </c>
      <c r="G2295" s="23" t="s">
        <v>4682</v>
      </c>
      <c r="H2295" s="23">
        <v>1</v>
      </c>
      <c r="I2295" s="23" t="s">
        <v>4682</v>
      </c>
      <c r="J2295" s="23" t="s">
        <v>4728</v>
      </c>
      <c r="K2295" s="23" t="s">
        <v>4736</v>
      </c>
      <c r="L2295">
        <v>1966</v>
      </c>
      <c r="M2295" s="15" t="s">
        <v>4707</v>
      </c>
      <c r="N2295">
        <v>25</v>
      </c>
      <c r="O2295">
        <v>2</v>
      </c>
      <c r="P2295" s="21">
        <f>DATEVALUE(N2295&amp;"-"&amp;M2295&amp;"-"&amp;L2295)</f>
        <v>24405</v>
      </c>
      <c r="Q2295" s="22">
        <v>43813.87</v>
      </c>
      <c r="R2295" s="23" t="s">
        <v>4697</v>
      </c>
      <c r="S2295" s="23" t="s">
        <v>4697</v>
      </c>
      <c r="T2295" s="23" t="s">
        <v>4699</v>
      </c>
      <c r="U2295" s="23">
        <f>DATEDIF(P2295, DATE(2023, 6, 8), "Y")</f>
        <v>56</v>
      </c>
      <c r="V2295">
        <f>SUM(C2295:K2295)</f>
        <v>28.55</v>
      </c>
    </row>
    <row r="2296" spans="1:22" ht="15.75">
      <c r="A2296" s="28" t="s">
        <v>4590</v>
      </c>
      <c r="B2296" s="28" t="s">
        <v>4591</v>
      </c>
      <c r="C2296" s="23">
        <v>16.87</v>
      </c>
      <c r="D2296" s="23">
        <v>9.1300000000000008</v>
      </c>
      <c r="E2296" s="23" t="s">
        <v>4682</v>
      </c>
      <c r="F2296" s="23" t="s">
        <v>4682</v>
      </c>
      <c r="G2296" s="23" t="s">
        <v>4682</v>
      </c>
      <c r="H2296" s="23">
        <v>0</v>
      </c>
      <c r="I2296" s="23" t="s">
        <v>4682</v>
      </c>
      <c r="J2296" s="23" t="s">
        <v>4731</v>
      </c>
      <c r="K2296" s="23" t="s">
        <v>4735</v>
      </c>
      <c r="L2296">
        <v>1966</v>
      </c>
      <c r="M2296" s="15" t="s">
        <v>4696</v>
      </c>
      <c r="N2296">
        <v>2</v>
      </c>
      <c r="O2296">
        <v>0</v>
      </c>
      <c r="P2296" s="21">
        <f>DATEVALUE(N2296&amp;"-"&amp;M2296&amp;"-"&amp;L2296)</f>
        <v>24290</v>
      </c>
      <c r="Q2296" s="22">
        <v>43817.45</v>
      </c>
      <c r="R2296" s="23" t="s">
        <v>4697</v>
      </c>
      <c r="S2296" s="23" t="s">
        <v>4698</v>
      </c>
      <c r="T2296" s="23" t="s">
        <v>4704</v>
      </c>
      <c r="U2296" s="23">
        <f>DATEDIF(P2296, DATE(2023, 6, 8), "Y")</f>
        <v>56</v>
      </c>
      <c r="V2296">
        <f>SUM(C2296:K2296)</f>
        <v>26</v>
      </c>
    </row>
    <row r="2297" spans="1:22" ht="15.75">
      <c r="A2297" s="28" t="s">
        <v>4592</v>
      </c>
      <c r="B2297" s="28" t="s">
        <v>4593</v>
      </c>
      <c r="C2297" s="23">
        <v>30.14</v>
      </c>
      <c r="D2297" s="23">
        <v>5.49</v>
      </c>
      <c r="E2297" s="23" t="s">
        <v>4682</v>
      </c>
      <c r="F2297" s="23" t="s">
        <v>4683</v>
      </c>
      <c r="G2297" s="23" t="s">
        <v>4682</v>
      </c>
      <c r="H2297" s="23">
        <v>1</v>
      </c>
      <c r="I2297" s="23" t="s">
        <v>4682</v>
      </c>
      <c r="J2297" s="23" t="s">
        <v>4729</v>
      </c>
      <c r="K2297" s="23" t="s">
        <v>4737</v>
      </c>
      <c r="L2297">
        <v>1980</v>
      </c>
      <c r="M2297" s="15" t="s">
        <v>4700</v>
      </c>
      <c r="N2297">
        <v>10</v>
      </c>
      <c r="O2297">
        <v>2</v>
      </c>
      <c r="P2297" s="21">
        <f>DATEVALUE(N2297&amp;"-"&amp;M2297&amp;"-"&amp;L2297)</f>
        <v>29535</v>
      </c>
      <c r="Q2297" s="22">
        <v>43896.38</v>
      </c>
      <c r="R2297" s="23" t="s">
        <v>4697</v>
      </c>
      <c r="S2297" s="23" t="s">
        <v>4701</v>
      </c>
      <c r="T2297" s="23" t="s">
        <v>4699</v>
      </c>
      <c r="U2297" s="23">
        <f>DATEDIF(P2297, DATE(2023, 6, 8), "Y")</f>
        <v>42</v>
      </c>
      <c r="V2297">
        <f>SUM(C2297:K2297)</f>
        <v>36.630000000000003</v>
      </c>
    </row>
    <row r="2298" spans="1:22" ht="15.75">
      <c r="A2298" s="28" t="s">
        <v>4594</v>
      </c>
      <c r="B2298" s="28" t="s">
        <v>4595</v>
      </c>
      <c r="C2298" s="23">
        <v>23.21</v>
      </c>
      <c r="D2298" s="23">
        <v>4.37</v>
      </c>
      <c r="E2298" s="23" t="s">
        <v>4682</v>
      </c>
      <c r="F2298" s="23" t="s">
        <v>4683</v>
      </c>
      <c r="G2298" s="23" t="s">
        <v>4682</v>
      </c>
      <c r="H2298" s="23">
        <v>1</v>
      </c>
      <c r="I2298" s="23" t="s">
        <v>4682</v>
      </c>
      <c r="J2298" s="23" t="s">
        <v>4728</v>
      </c>
      <c r="K2298" s="23" t="s">
        <v>4737</v>
      </c>
      <c r="L2298">
        <v>1966</v>
      </c>
      <c r="M2298" s="15" t="s">
        <v>4707</v>
      </c>
      <c r="N2298">
        <v>5</v>
      </c>
      <c r="O2298">
        <v>0</v>
      </c>
      <c r="P2298" s="21">
        <f>DATEVALUE(N2298&amp;"-"&amp;M2298&amp;"-"&amp;L2298)</f>
        <v>24385</v>
      </c>
      <c r="Q2298" s="22">
        <v>43921.18</v>
      </c>
      <c r="R2298" s="23" t="s">
        <v>4697</v>
      </c>
      <c r="S2298" s="23" t="s">
        <v>4697</v>
      </c>
      <c r="T2298" s="23" t="s">
        <v>4704</v>
      </c>
      <c r="U2298" s="23">
        <f>DATEDIF(P2298, DATE(2023, 6, 8), "Y")</f>
        <v>56</v>
      </c>
      <c r="V2298">
        <f>SUM(C2298:K2298)</f>
        <v>28.580000000000002</v>
      </c>
    </row>
    <row r="2299" spans="1:22" ht="15.75">
      <c r="A2299" s="28" t="s">
        <v>4596</v>
      </c>
      <c r="B2299" s="28" t="s">
        <v>4597</v>
      </c>
      <c r="C2299" s="23">
        <v>17.170000000000002</v>
      </c>
      <c r="D2299" s="23">
        <v>8.4600000000000009</v>
      </c>
      <c r="E2299" s="23" t="s">
        <v>4682</v>
      </c>
      <c r="F2299" s="23" t="s">
        <v>4682</v>
      </c>
      <c r="G2299" s="23" t="s">
        <v>4682</v>
      </c>
      <c r="H2299" s="23">
        <v>0</v>
      </c>
      <c r="I2299" s="23" t="s">
        <v>4682</v>
      </c>
      <c r="J2299" s="23" t="s">
        <v>4731</v>
      </c>
      <c r="K2299" s="23" t="s">
        <v>4735</v>
      </c>
      <c r="L2299">
        <v>1988</v>
      </c>
      <c r="M2299" s="15" t="s">
        <v>4696</v>
      </c>
      <c r="N2299">
        <v>16</v>
      </c>
      <c r="O2299">
        <v>1</v>
      </c>
      <c r="P2299" s="21">
        <f>DATEVALUE(N2299&amp;"-"&amp;M2299&amp;"-"&amp;L2299)</f>
        <v>32340</v>
      </c>
      <c r="Q2299" s="22">
        <v>43943.88</v>
      </c>
      <c r="R2299" s="23" t="s">
        <v>4697</v>
      </c>
      <c r="S2299" s="23" t="s">
        <v>4701</v>
      </c>
      <c r="T2299" s="23" t="s">
        <v>4704</v>
      </c>
      <c r="U2299" s="23">
        <f>DATEDIF(P2299, DATE(2023, 6, 8), "Y")</f>
        <v>34</v>
      </c>
      <c r="V2299">
        <f>SUM(C2299:K2299)</f>
        <v>25.630000000000003</v>
      </c>
    </row>
    <row r="2300" spans="1:22" ht="15.75">
      <c r="A2300" s="28" t="s">
        <v>4598</v>
      </c>
      <c r="B2300" s="28" t="s">
        <v>4599</v>
      </c>
      <c r="C2300" s="23">
        <v>15.61</v>
      </c>
      <c r="D2300" s="23">
        <v>5.28</v>
      </c>
      <c r="E2300" s="23" t="s">
        <v>4682</v>
      </c>
      <c r="F2300" s="23" t="s">
        <v>4682</v>
      </c>
      <c r="G2300" s="23" t="s">
        <v>4682</v>
      </c>
      <c r="H2300" s="23">
        <v>1</v>
      </c>
      <c r="I2300" s="23" t="s">
        <v>4682</v>
      </c>
      <c r="J2300" s="23" t="s">
        <v>4731</v>
      </c>
      <c r="K2300" s="23" t="s">
        <v>4737</v>
      </c>
      <c r="L2300">
        <v>1975</v>
      </c>
      <c r="M2300" s="15" t="s">
        <v>4702</v>
      </c>
      <c r="N2300">
        <v>1</v>
      </c>
      <c r="O2300">
        <v>2</v>
      </c>
      <c r="P2300" s="21">
        <f>DATEVALUE(N2300&amp;"-"&amp;M2300&amp;"-"&amp;L2300)</f>
        <v>27546</v>
      </c>
      <c r="Q2300" s="22">
        <v>44202.65</v>
      </c>
      <c r="R2300" s="23" t="s">
        <v>4697</v>
      </c>
      <c r="S2300" s="23" t="s">
        <v>4697</v>
      </c>
      <c r="T2300" s="23" t="s">
        <v>4699</v>
      </c>
      <c r="U2300" s="23">
        <f>DATEDIF(P2300, DATE(2023, 6, 8), "Y")</f>
        <v>48</v>
      </c>
      <c r="V2300">
        <f>SUM(C2300:K2300)</f>
        <v>21.89</v>
      </c>
    </row>
    <row r="2301" spans="1:22" ht="15.75">
      <c r="A2301" s="28" t="s">
        <v>4600</v>
      </c>
      <c r="B2301" s="28" t="s">
        <v>4601</v>
      </c>
      <c r="C2301" s="23">
        <v>17.98</v>
      </c>
      <c r="D2301" s="23">
        <v>5.33</v>
      </c>
      <c r="E2301" s="23" t="s">
        <v>4683</v>
      </c>
      <c r="F2301" s="23" t="s">
        <v>4682</v>
      </c>
      <c r="G2301" s="23" t="s">
        <v>4684</v>
      </c>
      <c r="H2301" s="23">
        <v>1</v>
      </c>
      <c r="I2301" s="23" t="s">
        <v>4682</v>
      </c>
      <c r="J2301" s="23" t="s">
        <v>4731</v>
      </c>
      <c r="K2301" s="23" t="s">
        <v>4737</v>
      </c>
      <c r="L2301">
        <v>1968</v>
      </c>
      <c r="M2301" s="15" t="s">
        <v>4700</v>
      </c>
      <c r="N2301">
        <v>24</v>
      </c>
      <c r="O2301">
        <v>2</v>
      </c>
      <c r="P2301" s="21">
        <f>DATEVALUE(N2301&amp;"-"&amp;M2301&amp;"-"&amp;L2301)</f>
        <v>25166</v>
      </c>
      <c r="Q2301" s="22">
        <v>44260.75</v>
      </c>
      <c r="R2301" s="23" t="s">
        <v>4697</v>
      </c>
      <c r="S2301" s="23" t="s">
        <v>4701</v>
      </c>
      <c r="T2301" s="23" t="s">
        <v>4699</v>
      </c>
      <c r="U2301" s="23">
        <f>DATEDIF(P2301, DATE(2023, 6, 8), "Y")</f>
        <v>54</v>
      </c>
      <c r="V2301">
        <f>SUM(C2301:K2301)</f>
        <v>24.310000000000002</v>
      </c>
    </row>
    <row r="2302" spans="1:22" ht="15.75">
      <c r="A2302" s="28" t="s">
        <v>4602</v>
      </c>
      <c r="B2302" s="28" t="s">
        <v>4603</v>
      </c>
      <c r="C2302" s="23">
        <v>21.64</v>
      </c>
      <c r="D2302" s="23">
        <v>5.5</v>
      </c>
      <c r="E2302" s="23" t="s">
        <v>4682</v>
      </c>
      <c r="F2302" s="23" t="s">
        <v>4683</v>
      </c>
      <c r="G2302" s="23" t="s">
        <v>4682</v>
      </c>
      <c r="H2302" s="23">
        <v>1</v>
      </c>
      <c r="I2302" s="23" t="s">
        <v>4682</v>
      </c>
      <c r="J2302" s="23" t="s">
        <v>4728</v>
      </c>
      <c r="K2302" s="23" t="s">
        <v>4737</v>
      </c>
      <c r="L2302">
        <v>1971</v>
      </c>
      <c r="M2302" s="15" t="s">
        <v>4707</v>
      </c>
      <c r="N2302">
        <v>29</v>
      </c>
      <c r="O2302">
        <v>0</v>
      </c>
      <c r="P2302" s="21">
        <f>DATEVALUE(N2302&amp;"-"&amp;M2302&amp;"-"&amp;L2302)</f>
        <v>26235</v>
      </c>
      <c r="Q2302" s="22">
        <v>44400.41</v>
      </c>
      <c r="R2302" s="23" t="s">
        <v>4697</v>
      </c>
      <c r="S2302" s="23" t="s">
        <v>4697</v>
      </c>
      <c r="T2302" s="23" t="s">
        <v>4699</v>
      </c>
      <c r="U2302" s="23">
        <f>DATEDIF(P2302, DATE(2023, 6, 8), "Y")</f>
        <v>51</v>
      </c>
      <c r="V2302">
        <f>SUM(C2302:K2302)</f>
        <v>28.14</v>
      </c>
    </row>
    <row r="2303" spans="1:22" ht="15.75">
      <c r="A2303" s="28" t="s">
        <v>4604</v>
      </c>
      <c r="B2303" s="28" t="s">
        <v>4605</v>
      </c>
      <c r="C2303" s="23">
        <v>16.399999999999999</v>
      </c>
      <c r="D2303" s="23">
        <v>5.4</v>
      </c>
      <c r="E2303" s="23" t="s">
        <v>4682</v>
      </c>
      <c r="F2303" s="23" t="s">
        <v>4682</v>
      </c>
      <c r="G2303" s="23" t="s">
        <v>4684</v>
      </c>
      <c r="H2303" s="23">
        <v>1</v>
      </c>
      <c r="I2303" s="23" t="s">
        <v>4682</v>
      </c>
      <c r="J2303" s="23" t="s">
        <v>4731</v>
      </c>
      <c r="K2303" s="23" t="s">
        <v>4737</v>
      </c>
      <c r="L2303">
        <v>1967</v>
      </c>
      <c r="M2303" s="15" t="s">
        <v>4703</v>
      </c>
      <c r="N2303">
        <v>14</v>
      </c>
      <c r="O2303">
        <v>0</v>
      </c>
      <c r="P2303" s="21">
        <f>DATEVALUE(N2303&amp;"-"&amp;M2303&amp;"-"&amp;L2303)</f>
        <v>24729</v>
      </c>
      <c r="Q2303" s="22">
        <v>44423.8</v>
      </c>
      <c r="R2303" s="23" t="s">
        <v>4697</v>
      </c>
      <c r="S2303" s="23" t="s">
        <v>4698</v>
      </c>
      <c r="T2303" s="23" t="s">
        <v>4699</v>
      </c>
      <c r="U2303" s="23">
        <f>DATEDIF(P2303, DATE(2023, 6, 8), "Y")</f>
        <v>55</v>
      </c>
      <c r="V2303">
        <f>SUM(C2303:K2303)</f>
        <v>22.799999999999997</v>
      </c>
    </row>
    <row r="2304" spans="1:22" ht="15.75">
      <c r="A2304" s="28" t="s">
        <v>4606</v>
      </c>
      <c r="B2304" s="28" t="s">
        <v>4607</v>
      </c>
      <c r="C2304" s="23">
        <v>15.77</v>
      </c>
      <c r="D2304" s="23">
        <v>6.05</v>
      </c>
      <c r="E2304" s="23" t="s">
        <v>4683</v>
      </c>
      <c r="F2304" s="23" t="s">
        <v>4682</v>
      </c>
      <c r="G2304" s="23" t="s">
        <v>4682</v>
      </c>
      <c r="H2304" s="23">
        <v>1</v>
      </c>
      <c r="I2304" s="23" t="s">
        <v>4682</v>
      </c>
      <c r="J2304" s="23" t="s">
        <v>4731</v>
      </c>
      <c r="K2304" s="23" t="s">
        <v>4736</v>
      </c>
      <c r="L2304">
        <v>2000</v>
      </c>
      <c r="M2304" s="15" t="s">
        <v>4706</v>
      </c>
      <c r="N2304">
        <v>2</v>
      </c>
      <c r="O2304">
        <v>1</v>
      </c>
      <c r="P2304" s="21">
        <f>DATEVALUE(N2304&amp;"-"&amp;M2304&amp;"-"&amp;L2304)</f>
        <v>36740</v>
      </c>
      <c r="Q2304" s="22">
        <v>44501.4</v>
      </c>
      <c r="R2304" s="23" t="s">
        <v>4697</v>
      </c>
      <c r="S2304" s="23" t="s">
        <v>4698</v>
      </c>
      <c r="T2304" s="23" t="s">
        <v>4699</v>
      </c>
      <c r="U2304" s="23">
        <f>DATEDIF(P2304, DATE(2023, 6, 8), "Y")</f>
        <v>22</v>
      </c>
      <c r="V2304">
        <f>SUM(C2304:K2304)</f>
        <v>22.82</v>
      </c>
    </row>
    <row r="2305" spans="1:22" ht="15.75">
      <c r="A2305" s="28" t="s">
        <v>4608</v>
      </c>
      <c r="B2305" s="28" t="s">
        <v>4609</v>
      </c>
      <c r="C2305" s="23">
        <v>18.27</v>
      </c>
      <c r="D2305" s="23">
        <v>11.46</v>
      </c>
      <c r="E2305" s="23" t="s">
        <v>4682</v>
      </c>
      <c r="F2305" s="23" t="s">
        <v>4682</v>
      </c>
      <c r="G2305" s="23" t="s">
        <v>4682</v>
      </c>
      <c r="H2305" s="23">
        <v>0</v>
      </c>
      <c r="I2305" s="23" t="s">
        <v>4682</v>
      </c>
      <c r="J2305" s="23" t="s">
        <v>4731</v>
      </c>
      <c r="K2305" s="23" t="s">
        <v>4735</v>
      </c>
      <c r="L2305">
        <v>1993</v>
      </c>
      <c r="M2305" s="15" t="s">
        <v>4707</v>
      </c>
      <c r="N2305">
        <v>11</v>
      </c>
      <c r="O2305">
        <v>2</v>
      </c>
      <c r="P2305" s="21">
        <f>DATEVALUE(N2305&amp;"-"&amp;M2305&amp;"-"&amp;L2305)</f>
        <v>34253</v>
      </c>
      <c r="Q2305" s="22">
        <v>44585.46</v>
      </c>
      <c r="R2305" s="23" t="s">
        <v>4697</v>
      </c>
      <c r="S2305" s="23" t="s">
        <v>4697</v>
      </c>
      <c r="T2305" s="23" t="s">
        <v>4708</v>
      </c>
      <c r="U2305" s="23">
        <f>DATEDIF(P2305, DATE(2023, 6, 8), "Y")</f>
        <v>29</v>
      </c>
      <c r="V2305">
        <f>SUM(C2305:K2305)</f>
        <v>29.73</v>
      </c>
    </row>
    <row r="2306" spans="1:22" ht="15.75">
      <c r="A2306" s="28" t="s">
        <v>4610</v>
      </c>
      <c r="B2306" s="28" t="s">
        <v>4611</v>
      </c>
      <c r="C2306" s="23">
        <v>16.489999999999998</v>
      </c>
      <c r="D2306" s="23">
        <v>8.48</v>
      </c>
      <c r="E2306" s="23" t="s">
        <v>4682</v>
      </c>
      <c r="F2306" s="23" t="s">
        <v>4682</v>
      </c>
      <c r="G2306" s="23" t="s">
        <v>4682</v>
      </c>
      <c r="H2306" s="23">
        <v>0</v>
      </c>
      <c r="I2306" s="23" t="s">
        <v>4682</v>
      </c>
      <c r="J2306" s="23" t="s">
        <v>4731</v>
      </c>
      <c r="K2306" s="23" t="s">
        <v>4735</v>
      </c>
      <c r="L2306">
        <v>1971</v>
      </c>
      <c r="M2306" s="15" t="s">
        <v>4706</v>
      </c>
      <c r="N2306">
        <v>13</v>
      </c>
      <c r="O2306">
        <v>2</v>
      </c>
      <c r="P2306" s="21">
        <f>DATEVALUE(N2306&amp;"-"&amp;M2306&amp;"-"&amp;L2306)</f>
        <v>26158</v>
      </c>
      <c r="Q2306" s="22">
        <v>44641.2</v>
      </c>
      <c r="R2306" s="23" t="s">
        <v>4697</v>
      </c>
      <c r="S2306" s="23" t="s">
        <v>4698</v>
      </c>
      <c r="T2306" s="23" t="s">
        <v>4714</v>
      </c>
      <c r="U2306" s="23">
        <f>DATEDIF(P2306, DATE(2023, 6, 8), "Y")</f>
        <v>51</v>
      </c>
      <c r="V2306">
        <f>SUM(C2306:K2306)</f>
        <v>24.97</v>
      </c>
    </row>
    <row r="2307" spans="1:22" ht="15.75">
      <c r="A2307" s="28" t="s">
        <v>4612</v>
      </c>
      <c r="B2307" s="28" t="s">
        <v>4613</v>
      </c>
      <c r="C2307" s="23">
        <v>16.14</v>
      </c>
      <c r="D2307" s="23">
        <v>4.8600000000000003</v>
      </c>
      <c r="E2307" s="23" t="s">
        <v>4682</v>
      </c>
      <c r="F2307" s="23" t="s">
        <v>4682</v>
      </c>
      <c r="G2307" s="23" t="s">
        <v>4682</v>
      </c>
      <c r="H2307" s="23">
        <v>0</v>
      </c>
      <c r="I2307" s="23" t="s">
        <v>4682</v>
      </c>
      <c r="J2307" s="23" t="s">
        <v>4731</v>
      </c>
      <c r="K2307" s="23" t="s">
        <v>4737</v>
      </c>
      <c r="L2307">
        <v>1962</v>
      </c>
      <c r="M2307" s="15" t="s">
        <v>4705</v>
      </c>
      <c r="N2307">
        <v>17</v>
      </c>
      <c r="O2307">
        <v>0</v>
      </c>
      <c r="P2307" s="21">
        <f>DATEVALUE(N2307&amp;"-"&amp;M2307&amp;"-"&amp;L2307)</f>
        <v>22997</v>
      </c>
      <c r="Q2307" s="22">
        <v>45008.959999999999</v>
      </c>
      <c r="R2307" s="23" t="s">
        <v>4697</v>
      </c>
      <c r="S2307" s="23" t="s">
        <v>4697</v>
      </c>
      <c r="T2307" s="23" t="s">
        <v>4699</v>
      </c>
      <c r="U2307" s="23">
        <f>DATEDIF(P2307, DATE(2023, 6, 8), "Y")</f>
        <v>60</v>
      </c>
      <c r="V2307">
        <f>SUM(C2307:K2307)</f>
        <v>21</v>
      </c>
    </row>
    <row r="2308" spans="1:22" ht="15.75">
      <c r="A2308" s="28" t="s">
        <v>4614</v>
      </c>
      <c r="B2308" s="28" t="s">
        <v>4615</v>
      </c>
      <c r="C2308" s="23">
        <v>20.85</v>
      </c>
      <c r="D2308" s="23">
        <v>4.45</v>
      </c>
      <c r="E2308" s="23" t="s">
        <v>4683</v>
      </c>
      <c r="F2308" s="23" t="s">
        <v>4682</v>
      </c>
      <c r="G2308" s="23" t="s">
        <v>4682</v>
      </c>
      <c r="H2308" s="23">
        <v>1</v>
      </c>
      <c r="I2308" s="23" t="s">
        <v>4682</v>
      </c>
      <c r="J2308" s="23" t="s">
        <v>4728</v>
      </c>
      <c r="K2308" s="23" t="s">
        <v>4737</v>
      </c>
      <c r="L2308">
        <v>1974</v>
      </c>
      <c r="M2308" s="15" t="s">
        <v>4706</v>
      </c>
      <c r="N2308">
        <v>9</v>
      </c>
      <c r="O2308">
        <v>2</v>
      </c>
      <c r="P2308" s="21">
        <f>DATEVALUE(N2308&amp;"-"&amp;M2308&amp;"-"&amp;L2308)</f>
        <v>27250</v>
      </c>
      <c r="Q2308" s="22">
        <v>45702.02</v>
      </c>
      <c r="R2308" s="23" t="s">
        <v>4697</v>
      </c>
      <c r="S2308" s="23" t="s">
        <v>4697</v>
      </c>
      <c r="T2308" s="23" t="s">
        <v>4704</v>
      </c>
      <c r="U2308" s="23">
        <f>DATEDIF(P2308, DATE(2023, 6, 8), "Y")</f>
        <v>48</v>
      </c>
      <c r="V2308">
        <f>SUM(C2308:K2308)</f>
        <v>26.3</v>
      </c>
    </row>
    <row r="2309" spans="1:22" ht="15.75">
      <c r="A2309" s="28" t="s">
        <v>4616</v>
      </c>
      <c r="B2309" s="28" t="s">
        <v>4617</v>
      </c>
      <c r="C2309" s="23">
        <v>15.88</v>
      </c>
      <c r="D2309" s="23">
        <v>4.3600000000000003</v>
      </c>
      <c r="E2309" s="23" t="s">
        <v>4682</v>
      </c>
      <c r="F2309" s="23" t="s">
        <v>4682</v>
      </c>
      <c r="G2309" s="23" t="s">
        <v>4682</v>
      </c>
      <c r="H2309" s="23">
        <v>0</v>
      </c>
      <c r="I2309" s="23" t="s">
        <v>4682</v>
      </c>
      <c r="J2309" s="23" t="s">
        <v>4731</v>
      </c>
      <c r="K2309" s="23" t="s">
        <v>4737</v>
      </c>
      <c r="L2309">
        <v>1960</v>
      </c>
      <c r="M2309" s="15" t="s">
        <v>4705</v>
      </c>
      <c r="N2309">
        <v>21</v>
      </c>
      <c r="O2309">
        <v>0</v>
      </c>
      <c r="P2309" s="21">
        <f>DATEVALUE(N2309&amp;"-"&amp;M2309&amp;"-"&amp;L2309)</f>
        <v>22271</v>
      </c>
      <c r="Q2309" s="22">
        <v>45710.21</v>
      </c>
      <c r="R2309" s="23" t="s">
        <v>4697</v>
      </c>
      <c r="S2309" s="23" t="s">
        <v>4697</v>
      </c>
      <c r="T2309" s="23" t="s">
        <v>4711</v>
      </c>
      <c r="U2309" s="23">
        <f>DATEDIF(P2309, DATE(2023, 6, 8), "Y")</f>
        <v>62</v>
      </c>
      <c r="V2309">
        <f>SUM(C2309:K2309)</f>
        <v>20.240000000000002</v>
      </c>
    </row>
    <row r="2310" spans="1:22" ht="15.75">
      <c r="A2310" s="28" t="s">
        <v>4618</v>
      </c>
      <c r="B2310" s="28" t="s">
        <v>4619</v>
      </c>
      <c r="C2310" s="23">
        <v>20.66</v>
      </c>
      <c r="D2310" s="23">
        <v>5.8</v>
      </c>
      <c r="E2310" s="23" t="s">
        <v>4682</v>
      </c>
      <c r="F2310" s="23" t="s">
        <v>4683</v>
      </c>
      <c r="G2310" s="23" t="s">
        <v>4682</v>
      </c>
      <c r="H2310" s="23">
        <v>1</v>
      </c>
      <c r="I2310" s="23" t="s">
        <v>4682</v>
      </c>
      <c r="J2310" s="23" t="s">
        <v>4728</v>
      </c>
      <c r="K2310" s="23" t="s">
        <v>4736</v>
      </c>
      <c r="L2310">
        <v>1979</v>
      </c>
      <c r="M2310" s="15" t="s">
        <v>4706</v>
      </c>
      <c r="N2310">
        <v>12</v>
      </c>
      <c r="O2310">
        <v>0</v>
      </c>
      <c r="P2310" s="21">
        <f>DATEVALUE(N2310&amp;"-"&amp;M2310&amp;"-"&amp;L2310)</f>
        <v>29079</v>
      </c>
      <c r="Q2310" s="22">
        <v>45863.21</v>
      </c>
      <c r="R2310" s="23" t="s">
        <v>4697</v>
      </c>
      <c r="S2310" s="23" t="s">
        <v>4701</v>
      </c>
      <c r="T2310" s="23" t="s">
        <v>4699</v>
      </c>
      <c r="U2310" s="23">
        <f>DATEDIF(P2310, DATE(2023, 6, 8), "Y")</f>
        <v>43</v>
      </c>
      <c r="V2310">
        <f>SUM(C2310:K2310)</f>
        <v>27.46</v>
      </c>
    </row>
    <row r="2311" spans="1:22" ht="15.75">
      <c r="A2311" s="28" t="s">
        <v>4620</v>
      </c>
      <c r="B2311" s="28" t="s">
        <v>4621</v>
      </c>
      <c r="C2311" s="23">
        <v>20.399999999999999</v>
      </c>
      <c r="D2311" s="23">
        <v>5.27</v>
      </c>
      <c r="E2311" s="23" t="s">
        <v>4682</v>
      </c>
      <c r="F2311" s="23" t="s">
        <v>4682</v>
      </c>
      <c r="G2311" s="23" t="s">
        <v>4682</v>
      </c>
      <c r="H2311" s="23">
        <v>0</v>
      </c>
      <c r="I2311" s="23" t="s">
        <v>4682</v>
      </c>
      <c r="J2311" s="23" t="s">
        <v>4728</v>
      </c>
      <c r="K2311" s="23" t="s">
        <v>4737</v>
      </c>
      <c r="L2311">
        <v>1985</v>
      </c>
      <c r="M2311" s="15" t="s">
        <v>4703</v>
      </c>
      <c r="N2311">
        <v>30</v>
      </c>
      <c r="O2311">
        <v>2</v>
      </c>
      <c r="P2311" s="21">
        <f>DATEVALUE(N2311&amp;"-"&amp;M2311&amp;"-"&amp;L2311)</f>
        <v>31320</v>
      </c>
      <c r="Q2311" s="22">
        <v>46113.51</v>
      </c>
      <c r="R2311" s="23" t="s">
        <v>4697</v>
      </c>
      <c r="S2311" s="23" t="s">
        <v>4698</v>
      </c>
      <c r="T2311" s="23" t="s">
        <v>4708</v>
      </c>
      <c r="U2311" s="23">
        <f>DATEDIF(P2311, DATE(2023, 6, 8), "Y")</f>
        <v>37</v>
      </c>
      <c r="V2311">
        <f>SUM(C2311:K2311)</f>
        <v>25.669999999999998</v>
      </c>
    </row>
    <row r="2312" spans="1:22" ht="15.75">
      <c r="A2312" s="28" t="s">
        <v>4622</v>
      </c>
      <c r="B2312" s="28" t="s">
        <v>4623</v>
      </c>
      <c r="C2312" s="23">
        <v>25.19</v>
      </c>
      <c r="D2312" s="23">
        <v>5.64</v>
      </c>
      <c r="E2312" s="23" t="s">
        <v>4683</v>
      </c>
      <c r="F2312" s="23" t="s">
        <v>4682</v>
      </c>
      <c r="G2312" s="23" t="s">
        <v>4682</v>
      </c>
      <c r="H2312" s="23">
        <v>0</v>
      </c>
      <c r="I2312" s="23" t="s">
        <v>4682</v>
      </c>
      <c r="J2312" s="23" t="s">
        <v>4730</v>
      </c>
      <c r="K2312" s="23" t="s">
        <v>4737</v>
      </c>
      <c r="L2312">
        <v>1962</v>
      </c>
      <c r="M2312" s="15" t="s">
        <v>4705</v>
      </c>
      <c r="N2312">
        <v>4</v>
      </c>
      <c r="O2312">
        <v>3</v>
      </c>
      <c r="P2312" s="21">
        <f>DATEVALUE(N2312&amp;"-"&amp;M2312&amp;"-"&amp;L2312)</f>
        <v>22984</v>
      </c>
      <c r="Q2312" s="22">
        <v>46130.53</v>
      </c>
      <c r="R2312" s="23" t="s">
        <v>4701</v>
      </c>
      <c r="S2312" s="23" t="s">
        <v>4701</v>
      </c>
      <c r="T2312" s="23" t="s">
        <v>4704</v>
      </c>
      <c r="U2312" s="23">
        <f>DATEDIF(P2312, DATE(2023, 6, 8), "Y")</f>
        <v>60</v>
      </c>
      <c r="V2312">
        <f>SUM(C2312:K2312)</f>
        <v>30.830000000000002</v>
      </c>
    </row>
    <row r="2313" spans="1:22" ht="15.75">
      <c r="A2313" s="28" t="s">
        <v>4624</v>
      </c>
      <c r="B2313" s="28" t="s">
        <v>4625</v>
      </c>
      <c r="C2313" s="23">
        <v>20.54</v>
      </c>
      <c r="D2313" s="23">
        <v>4.2</v>
      </c>
      <c r="E2313" s="23" t="s">
        <v>4683</v>
      </c>
      <c r="F2313" s="23" t="s">
        <v>4682</v>
      </c>
      <c r="G2313" s="23" t="s">
        <v>4682</v>
      </c>
      <c r="H2313" s="23">
        <v>1</v>
      </c>
      <c r="I2313" s="23" t="s">
        <v>4682</v>
      </c>
      <c r="J2313" s="23" t="s">
        <v>4728</v>
      </c>
      <c r="K2313" s="23" t="s">
        <v>4737</v>
      </c>
      <c r="L2313">
        <v>1976</v>
      </c>
      <c r="M2313" s="15" t="s">
        <v>4705</v>
      </c>
      <c r="N2313">
        <v>2</v>
      </c>
      <c r="O2313">
        <v>3</v>
      </c>
      <c r="P2313" s="21">
        <f>DATEVALUE(N2313&amp;"-"&amp;M2313&amp;"-"&amp;L2313)</f>
        <v>28096</v>
      </c>
      <c r="Q2313" s="22">
        <v>46151.12</v>
      </c>
      <c r="R2313" s="23" t="s">
        <v>4701</v>
      </c>
      <c r="S2313" s="23" t="s">
        <v>4698</v>
      </c>
      <c r="T2313" s="23" t="s">
        <v>4699</v>
      </c>
      <c r="U2313" s="23">
        <f>DATEDIF(P2313, DATE(2023, 6, 8), "Y")</f>
        <v>46</v>
      </c>
      <c r="V2313">
        <f>SUM(C2313:K2313)</f>
        <v>25.74</v>
      </c>
    </row>
    <row r="2314" spans="1:22" ht="15.75">
      <c r="A2314" s="28" t="s">
        <v>4626</v>
      </c>
      <c r="B2314" s="28" t="s">
        <v>4627</v>
      </c>
      <c r="C2314" s="23">
        <v>20.13</v>
      </c>
      <c r="D2314" s="23">
        <v>5.42</v>
      </c>
      <c r="E2314" s="23" t="s">
        <v>4682</v>
      </c>
      <c r="F2314" s="23" t="s">
        <v>4682</v>
      </c>
      <c r="G2314" s="23" t="s">
        <v>4682</v>
      </c>
      <c r="H2314" s="23">
        <v>0</v>
      </c>
      <c r="I2314" s="23" t="s">
        <v>4682</v>
      </c>
      <c r="J2314" s="23" t="s">
        <v>4728</v>
      </c>
      <c r="K2314" s="23" t="s">
        <v>4737</v>
      </c>
      <c r="L2314">
        <v>1978</v>
      </c>
      <c r="M2314" s="15" t="s">
        <v>4706</v>
      </c>
      <c r="N2314">
        <v>17</v>
      </c>
      <c r="O2314">
        <v>2</v>
      </c>
      <c r="P2314" s="21">
        <f>DATEVALUE(N2314&amp;"-"&amp;M2314&amp;"-"&amp;L2314)</f>
        <v>28719</v>
      </c>
      <c r="Q2314" s="22">
        <v>46200.99</v>
      </c>
      <c r="R2314" s="23" t="s">
        <v>4701</v>
      </c>
      <c r="S2314" s="23" t="s">
        <v>4701</v>
      </c>
      <c r="T2314" s="23" t="s">
        <v>4699</v>
      </c>
      <c r="U2314" s="23">
        <f>DATEDIF(P2314, DATE(2023, 6, 8), "Y")</f>
        <v>44</v>
      </c>
      <c r="V2314">
        <f>SUM(C2314:K2314)</f>
        <v>25.549999999999997</v>
      </c>
    </row>
    <row r="2315" spans="1:22" ht="15.75">
      <c r="A2315" s="28" t="s">
        <v>4628</v>
      </c>
      <c r="B2315" s="28" t="s">
        <v>4629</v>
      </c>
      <c r="C2315" s="23">
        <v>18.93</v>
      </c>
      <c r="D2315" s="23">
        <v>6.11</v>
      </c>
      <c r="E2315" s="23" t="s">
        <v>4682</v>
      </c>
      <c r="F2315" s="23" t="s">
        <v>4682</v>
      </c>
      <c r="G2315" s="23" t="s">
        <v>4684</v>
      </c>
      <c r="H2315" s="23">
        <v>1</v>
      </c>
      <c r="I2315" s="23" t="s">
        <v>4682</v>
      </c>
      <c r="J2315" s="23" t="s">
        <v>4728</v>
      </c>
      <c r="K2315" s="23" t="s">
        <v>4736</v>
      </c>
      <c r="L2315">
        <v>1971</v>
      </c>
      <c r="M2315" s="15" t="s">
        <v>4705</v>
      </c>
      <c r="N2315">
        <v>6</v>
      </c>
      <c r="O2315">
        <v>3</v>
      </c>
      <c r="P2315" s="21">
        <f>DATEVALUE(N2315&amp;"-"&amp;M2315&amp;"-"&amp;L2315)</f>
        <v>26273</v>
      </c>
      <c r="Q2315" s="22">
        <v>46255.11</v>
      </c>
      <c r="R2315" s="23" t="s">
        <v>4701</v>
      </c>
      <c r="S2315" s="23" t="s">
        <v>4698</v>
      </c>
      <c r="T2315" s="23" t="s">
        <v>4714</v>
      </c>
      <c r="U2315" s="23">
        <f>DATEDIF(P2315, DATE(2023, 6, 8), "Y")</f>
        <v>51</v>
      </c>
      <c r="V2315">
        <f>SUM(C2315:K2315)</f>
        <v>26.04</v>
      </c>
    </row>
    <row r="2316" spans="1:22" ht="15.75">
      <c r="A2316" s="28" t="s">
        <v>4630</v>
      </c>
      <c r="B2316" s="28" t="s">
        <v>4631</v>
      </c>
      <c r="C2316" s="23">
        <v>24.14</v>
      </c>
      <c r="D2316" s="23">
        <v>5.29</v>
      </c>
      <c r="E2316" s="23" t="s">
        <v>4682</v>
      </c>
      <c r="F2316" s="23" t="s">
        <v>4683</v>
      </c>
      <c r="G2316" s="23" t="s">
        <v>4682</v>
      </c>
      <c r="H2316" s="23">
        <v>1</v>
      </c>
      <c r="I2316" s="23" t="s">
        <v>4682</v>
      </c>
      <c r="J2316" s="23" t="s">
        <v>4728</v>
      </c>
      <c r="K2316" s="23" t="s">
        <v>4737</v>
      </c>
      <c r="L2316">
        <v>1961</v>
      </c>
      <c r="M2316" s="15" t="s">
        <v>4706</v>
      </c>
      <c r="N2316">
        <v>8</v>
      </c>
      <c r="O2316">
        <v>0</v>
      </c>
      <c r="P2316" s="21">
        <f>DATEVALUE(N2316&amp;"-"&amp;M2316&amp;"-"&amp;L2316)</f>
        <v>22501</v>
      </c>
      <c r="Q2316" s="22">
        <v>46599.11</v>
      </c>
      <c r="R2316" s="23" t="s">
        <v>4701</v>
      </c>
      <c r="S2316" s="23" t="s">
        <v>4701</v>
      </c>
      <c r="T2316" s="23" t="s">
        <v>4699</v>
      </c>
      <c r="U2316" s="23">
        <f>DATEDIF(P2316, DATE(2023, 6, 8), "Y")</f>
        <v>61</v>
      </c>
      <c r="V2316">
        <f>SUM(C2316:K2316)</f>
        <v>30.43</v>
      </c>
    </row>
    <row r="2317" spans="1:22" ht="15.75">
      <c r="A2317" s="28" t="s">
        <v>4632</v>
      </c>
      <c r="B2317" s="28" t="s">
        <v>4633</v>
      </c>
      <c r="C2317" s="23">
        <v>25.03</v>
      </c>
      <c r="D2317" s="23">
        <v>5.91</v>
      </c>
      <c r="E2317" s="23" t="s">
        <v>4682</v>
      </c>
      <c r="F2317" s="23" t="s">
        <v>4683</v>
      </c>
      <c r="G2317" s="23" t="s">
        <v>4682</v>
      </c>
      <c r="H2317" s="23">
        <v>1</v>
      </c>
      <c r="I2317" s="23" t="s">
        <v>4682</v>
      </c>
      <c r="J2317" s="23" t="s">
        <v>4730</v>
      </c>
      <c r="K2317" s="23" t="s">
        <v>4736</v>
      </c>
      <c r="L2317">
        <v>1969</v>
      </c>
      <c r="M2317" s="15" t="s">
        <v>4702</v>
      </c>
      <c r="N2317">
        <v>23</v>
      </c>
      <c r="O2317">
        <v>3</v>
      </c>
      <c r="P2317" s="21">
        <f>DATEVALUE(N2317&amp;"-"&amp;M2317&amp;"-"&amp;L2317)</f>
        <v>25377</v>
      </c>
      <c r="Q2317" s="22">
        <v>46661.440000000002</v>
      </c>
      <c r="R2317" s="23" t="s">
        <v>4701</v>
      </c>
      <c r="S2317" s="23" t="s">
        <v>4698</v>
      </c>
      <c r="T2317" s="23" t="s">
        <v>4704</v>
      </c>
      <c r="U2317" s="23">
        <f>DATEDIF(P2317, DATE(2023, 6, 8), "Y")</f>
        <v>53</v>
      </c>
      <c r="V2317">
        <f>SUM(C2317:K2317)</f>
        <v>31.94</v>
      </c>
    </row>
    <row r="2318" spans="1:22" ht="15.75">
      <c r="A2318" s="28" t="s">
        <v>4634</v>
      </c>
      <c r="B2318" s="28" t="s">
        <v>4635</v>
      </c>
      <c r="C2318" s="23">
        <v>20.47</v>
      </c>
      <c r="D2318" s="23">
        <v>5.81</v>
      </c>
      <c r="E2318" s="23" t="s">
        <v>4683</v>
      </c>
      <c r="F2318" s="23" t="s">
        <v>4682</v>
      </c>
      <c r="G2318" s="23" t="s">
        <v>4682</v>
      </c>
      <c r="H2318" s="23">
        <v>1</v>
      </c>
      <c r="I2318" s="23" t="s">
        <v>4682</v>
      </c>
      <c r="J2318" s="23" t="s">
        <v>4728</v>
      </c>
      <c r="K2318" s="23" t="s">
        <v>4736</v>
      </c>
      <c r="L2318">
        <v>1960</v>
      </c>
      <c r="M2318" s="15" t="s">
        <v>4700</v>
      </c>
      <c r="N2318">
        <v>17</v>
      </c>
      <c r="O2318">
        <v>3</v>
      </c>
      <c r="P2318" s="21">
        <f>DATEVALUE(N2318&amp;"-"&amp;M2318&amp;"-"&amp;L2318)</f>
        <v>22237</v>
      </c>
      <c r="Q2318" s="22">
        <v>46718.16</v>
      </c>
      <c r="R2318" s="23" t="s">
        <v>4701</v>
      </c>
      <c r="S2318" s="23" t="s">
        <v>4701</v>
      </c>
      <c r="T2318" s="23" t="s">
        <v>4704</v>
      </c>
      <c r="U2318" s="23">
        <f>DATEDIF(P2318, DATE(2023, 6, 8), "Y")</f>
        <v>62</v>
      </c>
      <c r="V2318">
        <f>SUM(C2318:K2318)</f>
        <v>27.279999999999998</v>
      </c>
    </row>
    <row r="2319" spans="1:22" ht="15.75">
      <c r="A2319" s="28" t="s">
        <v>4636</v>
      </c>
      <c r="B2319" s="28" t="s">
        <v>4637</v>
      </c>
      <c r="C2319" s="23">
        <v>18.82</v>
      </c>
      <c r="D2319" s="23">
        <v>5.51</v>
      </c>
      <c r="E2319" s="23" t="s">
        <v>4683</v>
      </c>
      <c r="F2319" s="23" t="s">
        <v>4682</v>
      </c>
      <c r="G2319" s="23" t="s">
        <v>4682</v>
      </c>
      <c r="H2319" s="23">
        <v>0</v>
      </c>
      <c r="I2319" s="23" t="s">
        <v>4682</v>
      </c>
      <c r="J2319" s="23" t="s">
        <v>4728</v>
      </c>
      <c r="K2319" s="23" t="s">
        <v>4737</v>
      </c>
      <c r="L2319">
        <v>1958</v>
      </c>
      <c r="M2319" s="15" t="s">
        <v>4703</v>
      </c>
      <c r="N2319">
        <v>15</v>
      </c>
      <c r="O2319">
        <v>0</v>
      </c>
      <c r="P2319" s="21">
        <f>DATEVALUE(N2319&amp;"-"&amp;M2319&amp;"-"&amp;L2319)</f>
        <v>21443</v>
      </c>
      <c r="Q2319" s="22">
        <v>46889.26</v>
      </c>
      <c r="R2319" s="23" t="s">
        <v>4697</v>
      </c>
      <c r="S2319" s="23" t="s">
        <v>4698</v>
      </c>
      <c r="T2319" s="23" t="s">
        <v>4699</v>
      </c>
      <c r="U2319" s="23">
        <f>DATEDIF(P2319, DATE(2023, 6, 8), "Y")</f>
        <v>64</v>
      </c>
      <c r="V2319">
        <f>SUM(C2319:K2319)</f>
        <v>24.33</v>
      </c>
    </row>
    <row r="2320" spans="1:22" ht="15.75">
      <c r="A2320" s="28" t="s">
        <v>4638</v>
      </c>
      <c r="B2320" s="28" t="s">
        <v>4639</v>
      </c>
      <c r="C2320" s="23">
        <v>17.079999999999998</v>
      </c>
      <c r="D2320" s="23">
        <v>5.73</v>
      </c>
      <c r="E2320" s="23" t="s">
        <v>4682</v>
      </c>
      <c r="F2320" s="23" t="s">
        <v>4682</v>
      </c>
      <c r="G2320" s="23" t="s">
        <v>4684</v>
      </c>
      <c r="H2320" s="23">
        <v>1</v>
      </c>
      <c r="I2320" s="23" t="s">
        <v>4682</v>
      </c>
      <c r="J2320" s="23" t="s">
        <v>4731</v>
      </c>
      <c r="K2320" s="23" t="s">
        <v>4736</v>
      </c>
      <c r="L2320">
        <v>1959</v>
      </c>
      <c r="M2320" s="15" t="s">
        <v>4696</v>
      </c>
      <c r="N2320">
        <v>14</v>
      </c>
      <c r="O2320">
        <v>0</v>
      </c>
      <c r="P2320" s="21">
        <f>DATEVALUE(N2320&amp;"-"&amp;M2320&amp;"-"&amp;L2320)</f>
        <v>21745</v>
      </c>
      <c r="Q2320" s="22">
        <v>47055.53</v>
      </c>
      <c r="R2320" s="23" t="s">
        <v>4697</v>
      </c>
      <c r="S2320" s="23" t="s">
        <v>4701</v>
      </c>
      <c r="T2320" s="23" t="s">
        <v>4699</v>
      </c>
      <c r="U2320" s="23">
        <f>DATEDIF(P2320, DATE(2023, 6, 8), "Y")</f>
        <v>63</v>
      </c>
      <c r="V2320">
        <f>SUM(C2320:K2320)</f>
        <v>23.81</v>
      </c>
    </row>
    <row r="2321" spans="1:22" ht="15.75">
      <c r="A2321" s="28" t="s">
        <v>4640</v>
      </c>
      <c r="B2321" s="28" t="s">
        <v>4641</v>
      </c>
      <c r="C2321" s="23">
        <v>19.21</v>
      </c>
      <c r="D2321" s="23">
        <v>5.53</v>
      </c>
      <c r="E2321" s="23" t="s">
        <v>4683</v>
      </c>
      <c r="F2321" s="23" t="s">
        <v>4682</v>
      </c>
      <c r="G2321" s="23" t="s">
        <v>4682</v>
      </c>
      <c r="H2321" s="23">
        <v>0</v>
      </c>
      <c r="I2321" s="23" t="s">
        <v>4682</v>
      </c>
      <c r="J2321" s="23" t="s">
        <v>4728</v>
      </c>
      <c r="K2321" s="23" t="s">
        <v>4737</v>
      </c>
      <c r="L2321">
        <v>1970</v>
      </c>
      <c r="M2321" s="15" t="s">
        <v>4705</v>
      </c>
      <c r="N2321">
        <v>28</v>
      </c>
      <c r="O2321">
        <v>2</v>
      </c>
      <c r="P2321" s="21">
        <f>DATEVALUE(N2321&amp;"-"&amp;M2321&amp;"-"&amp;L2321)</f>
        <v>25930</v>
      </c>
      <c r="Q2321" s="22">
        <v>47269.85</v>
      </c>
      <c r="R2321" s="23" t="s">
        <v>4701</v>
      </c>
      <c r="S2321" s="23" t="s">
        <v>4697</v>
      </c>
      <c r="T2321" s="23" t="s">
        <v>4699</v>
      </c>
      <c r="U2321" s="23">
        <f>DATEDIF(P2321, DATE(2023, 6, 8), "Y")</f>
        <v>52</v>
      </c>
      <c r="V2321">
        <f>SUM(C2321:K2321)</f>
        <v>24.740000000000002</v>
      </c>
    </row>
    <row r="2322" spans="1:22" ht="15.75">
      <c r="A2322" s="28" t="s">
        <v>4642</v>
      </c>
      <c r="B2322" s="28" t="s">
        <v>4643</v>
      </c>
      <c r="C2322" s="23">
        <v>17.86</v>
      </c>
      <c r="D2322" s="23">
        <v>5.43</v>
      </c>
      <c r="E2322" s="23" t="s">
        <v>4682</v>
      </c>
      <c r="F2322" s="23" t="s">
        <v>4682</v>
      </c>
      <c r="G2322" s="23" t="s">
        <v>4684</v>
      </c>
      <c r="H2322" s="23">
        <v>1</v>
      </c>
      <c r="I2322" s="23" t="s">
        <v>4682</v>
      </c>
      <c r="J2322" s="23" t="s">
        <v>4731</v>
      </c>
      <c r="K2322" s="23" t="s">
        <v>4737</v>
      </c>
      <c r="L2322">
        <v>1958</v>
      </c>
      <c r="M2322" s="15" t="s">
        <v>4703</v>
      </c>
      <c r="N2322">
        <v>3</v>
      </c>
      <c r="O2322">
        <v>2</v>
      </c>
      <c r="P2322" s="21">
        <f>DATEVALUE(N2322&amp;"-"&amp;M2322&amp;"-"&amp;L2322)</f>
        <v>21431</v>
      </c>
      <c r="Q2322" s="22">
        <v>47291.06</v>
      </c>
      <c r="R2322" s="23" t="s">
        <v>4697</v>
      </c>
      <c r="S2322" s="23" t="s">
        <v>4701</v>
      </c>
      <c r="T2322" s="23" t="s">
        <v>4708</v>
      </c>
      <c r="U2322" s="23">
        <f>DATEDIF(P2322, DATE(2023, 6, 8), "Y")</f>
        <v>64</v>
      </c>
      <c r="V2322">
        <f>SUM(C2322:K2322)</f>
        <v>24.29</v>
      </c>
    </row>
    <row r="2323" spans="1:22" ht="15.75">
      <c r="A2323" s="28" t="s">
        <v>4644</v>
      </c>
      <c r="B2323" s="28" t="s">
        <v>4645</v>
      </c>
      <c r="C2323" s="23">
        <v>21.38</v>
      </c>
      <c r="D2323" s="23">
        <v>8.01</v>
      </c>
      <c r="E2323" s="23" t="s">
        <v>4682</v>
      </c>
      <c r="F2323" s="23" t="s">
        <v>4682</v>
      </c>
      <c r="G2323" s="23" t="s">
        <v>4682</v>
      </c>
      <c r="H2323" s="23">
        <v>0</v>
      </c>
      <c r="I2323" s="23" t="s">
        <v>4682</v>
      </c>
      <c r="J2323" s="23" t="s">
        <v>4728</v>
      </c>
      <c r="K2323" s="23" t="s">
        <v>4735</v>
      </c>
      <c r="L2323">
        <v>1959</v>
      </c>
      <c r="M2323" s="15" t="s">
        <v>4707</v>
      </c>
      <c r="N2323">
        <v>4</v>
      </c>
      <c r="O2323">
        <v>2</v>
      </c>
      <c r="P2323" s="21">
        <f>DATEVALUE(N2323&amp;"-"&amp;M2323&amp;"-"&amp;L2323)</f>
        <v>21827</v>
      </c>
      <c r="Q2323" s="22">
        <v>47305.31</v>
      </c>
      <c r="R2323" s="23" t="s">
        <v>4697</v>
      </c>
      <c r="S2323" s="23" t="s">
        <v>4701</v>
      </c>
      <c r="T2323" s="23" t="s">
        <v>4708</v>
      </c>
      <c r="U2323" s="23">
        <f>DATEDIF(P2323, DATE(2023, 6, 8), "Y")</f>
        <v>63</v>
      </c>
      <c r="V2323">
        <f>SUM(C2323:K2323)</f>
        <v>29.39</v>
      </c>
    </row>
    <row r="2324" spans="1:22" ht="15.75">
      <c r="A2324" s="28" t="s">
        <v>4646</v>
      </c>
      <c r="B2324" s="28" t="s">
        <v>4647</v>
      </c>
      <c r="C2324" s="23">
        <v>23.35</v>
      </c>
      <c r="D2324" s="23">
        <v>5.94</v>
      </c>
      <c r="E2324" s="23" t="s">
        <v>4682</v>
      </c>
      <c r="F2324" s="23" t="s">
        <v>4682</v>
      </c>
      <c r="G2324" s="23" t="s">
        <v>4682</v>
      </c>
      <c r="H2324" s="23">
        <v>0</v>
      </c>
      <c r="I2324" s="23" t="s">
        <v>4682</v>
      </c>
      <c r="J2324" s="23" t="s">
        <v>4728</v>
      </c>
      <c r="K2324" s="23" t="s">
        <v>4736</v>
      </c>
      <c r="L2324">
        <v>1961</v>
      </c>
      <c r="M2324" s="15" t="s">
        <v>4702</v>
      </c>
      <c r="N2324">
        <v>13</v>
      </c>
      <c r="O2324">
        <v>1</v>
      </c>
      <c r="P2324" s="21">
        <f>DATEVALUE(N2324&amp;"-"&amp;M2324&amp;"-"&amp;L2324)</f>
        <v>22445</v>
      </c>
      <c r="Q2324" s="22">
        <v>47403.88</v>
      </c>
      <c r="R2324" s="23" t="s">
        <v>4701</v>
      </c>
      <c r="S2324" s="23" t="s">
        <v>4698</v>
      </c>
      <c r="T2324" s="23" t="s">
        <v>4708</v>
      </c>
      <c r="U2324" s="23">
        <f>DATEDIF(P2324, DATE(2023, 6, 8), "Y")</f>
        <v>61</v>
      </c>
      <c r="V2324">
        <f>SUM(C2324:K2324)</f>
        <v>29.290000000000003</v>
      </c>
    </row>
    <row r="2325" spans="1:22" ht="15.75">
      <c r="A2325" s="28" t="s">
        <v>4648</v>
      </c>
      <c r="B2325" s="28" t="s">
        <v>4649</v>
      </c>
      <c r="C2325" s="23">
        <v>22.24</v>
      </c>
      <c r="D2325" s="23">
        <v>5.04</v>
      </c>
      <c r="E2325" s="23" t="s">
        <v>4682</v>
      </c>
      <c r="F2325" s="23" t="s">
        <v>4682</v>
      </c>
      <c r="G2325" s="23" t="s">
        <v>4682</v>
      </c>
      <c r="H2325" s="23">
        <v>0</v>
      </c>
      <c r="I2325" s="23" t="s">
        <v>4682</v>
      </c>
      <c r="J2325" s="23" t="s">
        <v>4728</v>
      </c>
      <c r="K2325" s="23" t="s">
        <v>4737</v>
      </c>
      <c r="L2325">
        <v>1971</v>
      </c>
      <c r="M2325" s="15" t="s">
        <v>4703</v>
      </c>
      <c r="N2325">
        <v>27</v>
      </c>
      <c r="O2325">
        <v>2</v>
      </c>
      <c r="P2325" s="21">
        <f>DATEVALUE(N2325&amp;"-"&amp;M2325&amp;"-"&amp;L2325)</f>
        <v>26203</v>
      </c>
      <c r="Q2325" s="22">
        <v>47462.89</v>
      </c>
      <c r="R2325" s="23" t="s">
        <v>4701</v>
      </c>
      <c r="S2325" s="23" t="s">
        <v>4697</v>
      </c>
      <c r="T2325" s="23" t="s">
        <v>4699</v>
      </c>
      <c r="U2325" s="23">
        <f>DATEDIF(P2325, DATE(2023, 6, 8), "Y")</f>
        <v>51</v>
      </c>
      <c r="V2325">
        <f>SUM(C2325:K2325)</f>
        <v>27.279999999999998</v>
      </c>
    </row>
    <row r="2326" spans="1:22" ht="15.75">
      <c r="A2326" s="28" t="s">
        <v>4650</v>
      </c>
      <c r="B2326" s="28" t="s">
        <v>4651</v>
      </c>
      <c r="C2326" s="23">
        <v>24.76</v>
      </c>
      <c r="D2326" s="23">
        <v>4.54</v>
      </c>
      <c r="E2326" s="23" t="s">
        <v>4683</v>
      </c>
      <c r="F2326" s="23" t="s">
        <v>4682</v>
      </c>
      <c r="G2326" s="23" t="s">
        <v>4682</v>
      </c>
      <c r="H2326" s="23">
        <v>0</v>
      </c>
      <c r="I2326" s="23" t="s">
        <v>4682</v>
      </c>
      <c r="J2326" s="23" t="s">
        <v>4728</v>
      </c>
      <c r="K2326" s="23" t="s">
        <v>4737</v>
      </c>
      <c r="L2326">
        <v>1964</v>
      </c>
      <c r="M2326" s="15" t="s">
        <v>4700</v>
      </c>
      <c r="N2326">
        <v>7</v>
      </c>
      <c r="O2326">
        <v>2</v>
      </c>
      <c r="P2326" s="21">
        <f>DATEVALUE(N2326&amp;"-"&amp;M2326&amp;"-"&amp;L2326)</f>
        <v>23688</v>
      </c>
      <c r="Q2326" s="22">
        <v>47496.49</v>
      </c>
      <c r="R2326" s="23" t="s">
        <v>4701</v>
      </c>
      <c r="S2326" s="23" t="s">
        <v>4698</v>
      </c>
      <c r="T2326" s="23" t="s">
        <v>4704</v>
      </c>
      <c r="U2326" s="23">
        <f>DATEDIF(P2326, DATE(2023, 6, 8), "Y")</f>
        <v>58</v>
      </c>
      <c r="V2326">
        <f>SUM(C2326:K2326)</f>
        <v>29.3</v>
      </c>
    </row>
    <row r="2327" spans="1:22" ht="15.75">
      <c r="A2327" s="28" t="s">
        <v>4652</v>
      </c>
      <c r="B2327" s="28" t="s">
        <v>4653</v>
      </c>
      <c r="C2327" s="23">
        <v>20.100000000000001</v>
      </c>
      <c r="D2327" s="23">
        <v>5.6</v>
      </c>
      <c r="E2327" s="23" t="s">
        <v>4683</v>
      </c>
      <c r="F2327" s="23" t="s">
        <v>4682</v>
      </c>
      <c r="G2327" s="23" t="s">
        <v>4684</v>
      </c>
      <c r="H2327" s="23">
        <v>1</v>
      </c>
      <c r="I2327" s="23" t="s">
        <v>4682</v>
      </c>
      <c r="J2327" s="23" t="s">
        <v>4728</v>
      </c>
      <c r="K2327" s="23" t="s">
        <v>4737</v>
      </c>
      <c r="L2327">
        <v>1963</v>
      </c>
      <c r="M2327" s="15" t="s">
        <v>4706</v>
      </c>
      <c r="N2327">
        <v>5</v>
      </c>
      <c r="O2327">
        <v>1</v>
      </c>
      <c r="P2327" s="21">
        <f>DATEVALUE(N2327&amp;"-"&amp;M2327&amp;"-"&amp;L2327)</f>
        <v>23228</v>
      </c>
      <c r="Q2327" s="22">
        <v>47896.79</v>
      </c>
      <c r="R2327" s="23" t="s">
        <v>4701</v>
      </c>
      <c r="S2327" s="23" t="s">
        <v>4698</v>
      </c>
      <c r="T2327" s="23" t="s">
        <v>4714</v>
      </c>
      <c r="U2327" s="23">
        <f>DATEDIF(P2327, DATE(2023, 6, 8), "Y")</f>
        <v>59</v>
      </c>
      <c r="V2327">
        <f>SUM(C2327:K2327)</f>
        <v>26.700000000000003</v>
      </c>
    </row>
    <row r="2328" spans="1:22" ht="15.75">
      <c r="A2328" s="28" t="s">
        <v>4654</v>
      </c>
      <c r="B2328" s="28" t="s">
        <v>4655</v>
      </c>
      <c r="C2328" s="23">
        <v>21.77</v>
      </c>
      <c r="D2328" s="23">
        <v>10.67</v>
      </c>
      <c r="E2328" s="23" t="s">
        <v>4682</v>
      </c>
      <c r="F2328" s="23" t="s">
        <v>4682</v>
      </c>
      <c r="G2328" s="23" t="s">
        <v>4682</v>
      </c>
      <c r="H2328" s="23">
        <v>0</v>
      </c>
      <c r="I2328" s="23" t="s">
        <v>4682</v>
      </c>
      <c r="J2328" s="23" t="s">
        <v>4728</v>
      </c>
      <c r="K2328" s="23" t="s">
        <v>4735</v>
      </c>
      <c r="L2328">
        <v>1958</v>
      </c>
      <c r="M2328" s="15" t="s">
        <v>4700</v>
      </c>
      <c r="N2328">
        <v>16</v>
      </c>
      <c r="O2328">
        <v>1</v>
      </c>
      <c r="P2328" s="21">
        <f>DATEVALUE(N2328&amp;"-"&amp;M2328&amp;"-"&amp;L2328)</f>
        <v>21505</v>
      </c>
      <c r="Q2328" s="22">
        <v>47928.03</v>
      </c>
      <c r="R2328" s="23" t="s">
        <v>4697</v>
      </c>
      <c r="S2328" s="23" t="s">
        <v>4698</v>
      </c>
      <c r="T2328" s="23" t="s">
        <v>4708</v>
      </c>
      <c r="U2328" s="23">
        <f>DATEDIF(P2328, DATE(2023, 6, 8), "Y")</f>
        <v>64</v>
      </c>
      <c r="V2328">
        <f>SUM(C2328:K2328)</f>
        <v>32.44</v>
      </c>
    </row>
    <row r="2329" spans="1:22" ht="15.75">
      <c r="A2329" s="28" t="s">
        <v>4656</v>
      </c>
      <c r="B2329" s="28" t="s">
        <v>4657</v>
      </c>
      <c r="C2329" s="23">
        <v>17.82</v>
      </c>
      <c r="D2329" s="23">
        <v>5.26</v>
      </c>
      <c r="E2329" s="23" t="s">
        <v>4683</v>
      </c>
      <c r="F2329" s="23" t="s">
        <v>4682</v>
      </c>
      <c r="G2329" s="23" t="s">
        <v>4682</v>
      </c>
      <c r="H2329" s="23">
        <v>1</v>
      </c>
      <c r="I2329" s="23" t="s">
        <v>4682</v>
      </c>
      <c r="J2329" s="23" t="s">
        <v>4731</v>
      </c>
      <c r="K2329" s="23" t="s">
        <v>4737</v>
      </c>
      <c r="L2329">
        <v>1962</v>
      </c>
      <c r="M2329" s="15" t="s">
        <v>4706</v>
      </c>
      <c r="N2329">
        <v>27</v>
      </c>
      <c r="O2329">
        <v>0</v>
      </c>
      <c r="P2329" s="21">
        <f>DATEVALUE(N2329&amp;"-"&amp;M2329&amp;"-"&amp;L2329)</f>
        <v>22885</v>
      </c>
      <c r="Q2329" s="22">
        <v>48173.36</v>
      </c>
      <c r="R2329" s="23" t="s">
        <v>4701</v>
      </c>
      <c r="S2329" s="23" t="s">
        <v>4698</v>
      </c>
      <c r="T2329" s="23" t="s">
        <v>4708</v>
      </c>
      <c r="U2329" s="23">
        <f>DATEDIF(P2329, DATE(2023, 6, 8), "Y")</f>
        <v>60</v>
      </c>
      <c r="V2329">
        <f>SUM(C2329:K2329)</f>
        <v>24.08</v>
      </c>
    </row>
    <row r="2330" spans="1:22" ht="15.75">
      <c r="A2330" s="28" t="s">
        <v>4658</v>
      </c>
      <c r="B2330" s="28" t="s">
        <v>4659</v>
      </c>
      <c r="C2330" s="23">
        <v>17.07</v>
      </c>
      <c r="D2330" s="23">
        <v>5.22</v>
      </c>
      <c r="E2330" s="23" t="s">
        <v>4682</v>
      </c>
      <c r="F2330" s="23" t="s">
        <v>4682</v>
      </c>
      <c r="G2330" s="23" t="s">
        <v>4684</v>
      </c>
      <c r="H2330" s="23">
        <v>1</v>
      </c>
      <c r="I2330" s="23" t="s">
        <v>4682</v>
      </c>
      <c r="J2330" s="23" t="s">
        <v>4731</v>
      </c>
      <c r="K2330" s="23" t="s">
        <v>4737</v>
      </c>
      <c r="L2330">
        <v>1961</v>
      </c>
      <c r="M2330" s="15" t="s">
        <v>4705</v>
      </c>
      <c r="N2330">
        <v>21</v>
      </c>
      <c r="O2330">
        <v>1</v>
      </c>
      <c r="P2330" s="21">
        <f>DATEVALUE(N2330&amp;"-"&amp;M2330&amp;"-"&amp;L2330)</f>
        <v>22636</v>
      </c>
      <c r="Q2330" s="22">
        <v>48517.56</v>
      </c>
      <c r="R2330" s="23" t="s">
        <v>4701</v>
      </c>
      <c r="S2330" s="23" t="s">
        <v>4698</v>
      </c>
      <c r="T2330" s="23" t="s">
        <v>4714</v>
      </c>
      <c r="U2330" s="23">
        <f>DATEDIF(P2330, DATE(2023, 6, 8), "Y")</f>
        <v>61</v>
      </c>
      <c r="V2330">
        <f>SUM(C2330:K2330)</f>
        <v>23.29</v>
      </c>
    </row>
    <row r="2331" spans="1:22" ht="15.75">
      <c r="A2331" s="28" t="s">
        <v>4660</v>
      </c>
      <c r="B2331" s="28" t="s">
        <v>4661</v>
      </c>
      <c r="C2331" s="23">
        <v>22.24</v>
      </c>
      <c r="D2331" s="23">
        <v>4.29</v>
      </c>
      <c r="E2331" s="23" t="s">
        <v>4683</v>
      </c>
      <c r="F2331" s="23" t="s">
        <v>4682</v>
      </c>
      <c r="G2331" s="23" t="s">
        <v>4682</v>
      </c>
      <c r="H2331" s="23">
        <v>0</v>
      </c>
      <c r="I2331" s="23" t="s">
        <v>4682</v>
      </c>
      <c r="J2331" s="23" t="s">
        <v>4728</v>
      </c>
      <c r="K2331" s="23" t="s">
        <v>4737</v>
      </c>
      <c r="L2331">
        <v>1968</v>
      </c>
      <c r="M2331" s="15" t="s">
        <v>4705</v>
      </c>
      <c r="N2331">
        <v>1</v>
      </c>
      <c r="O2331">
        <v>3</v>
      </c>
      <c r="P2331" s="21">
        <f>DATEVALUE(N2331&amp;"-"&amp;M2331&amp;"-"&amp;L2331)</f>
        <v>25173</v>
      </c>
      <c r="Q2331" s="22">
        <v>48549.18</v>
      </c>
      <c r="R2331" s="23" t="s">
        <v>4701</v>
      </c>
      <c r="S2331" s="23" t="s">
        <v>4698</v>
      </c>
      <c r="T2331" s="23" t="s">
        <v>4711</v>
      </c>
      <c r="U2331" s="23">
        <f>DATEDIF(P2331, DATE(2023, 6, 8), "Y")</f>
        <v>54</v>
      </c>
      <c r="V2331">
        <f>SUM(C2331:K2331)</f>
        <v>26.529999999999998</v>
      </c>
    </row>
    <row r="2332" spans="1:22" ht="15.75">
      <c r="A2332" s="28" t="s">
        <v>4662</v>
      </c>
      <c r="B2332" s="28" t="s">
        <v>4663</v>
      </c>
      <c r="C2332" s="23">
        <v>22.34</v>
      </c>
      <c r="D2332" s="23">
        <v>5.57</v>
      </c>
      <c r="E2332" s="23" t="s">
        <v>4682</v>
      </c>
      <c r="F2332" s="23" t="s">
        <v>4682</v>
      </c>
      <c r="G2332" s="23" t="s">
        <v>4682</v>
      </c>
      <c r="H2332" s="23">
        <v>1</v>
      </c>
      <c r="I2332" s="23" t="s">
        <v>4682</v>
      </c>
      <c r="J2332" s="23" t="s">
        <v>4728</v>
      </c>
      <c r="K2332" s="23" t="s">
        <v>4737</v>
      </c>
      <c r="L2332">
        <v>1962</v>
      </c>
      <c r="M2332" s="15" t="s">
        <v>4707</v>
      </c>
      <c r="N2332">
        <v>11</v>
      </c>
      <c r="O2332">
        <v>0</v>
      </c>
      <c r="P2332" s="21">
        <f>DATEVALUE(N2332&amp;"-"&amp;M2332&amp;"-"&amp;L2332)</f>
        <v>22930</v>
      </c>
      <c r="Q2332" s="22">
        <v>48673.56</v>
      </c>
      <c r="R2332" s="23" t="s">
        <v>4701</v>
      </c>
      <c r="S2332" s="23" t="s">
        <v>4697</v>
      </c>
      <c r="T2332" s="23" t="s">
        <v>4699</v>
      </c>
      <c r="U2332" s="23">
        <f>DATEDIF(P2332, DATE(2023, 6, 8), "Y")</f>
        <v>60</v>
      </c>
      <c r="V2332">
        <f>SUM(C2332:K2332)</f>
        <v>28.91</v>
      </c>
    </row>
    <row r="2333" spans="1:22" ht="15.75">
      <c r="A2333" s="28" t="s">
        <v>4664</v>
      </c>
      <c r="B2333" s="28" t="s">
        <v>4665</v>
      </c>
      <c r="C2333" s="23">
        <v>17.7</v>
      </c>
      <c r="D2333" s="23">
        <v>6.28</v>
      </c>
      <c r="E2333" s="23" t="s">
        <v>4682</v>
      </c>
      <c r="F2333" s="23" t="s">
        <v>4682</v>
      </c>
      <c r="G2333" s="23" t="s">
        <v>4682</v>
      </c>
      <c r="H2333" s="23">
        <v>1</v>
      </c>
      <c r="I2333" s="23" t="s">
        <v>4682</v>
      </c>
      <c r="J2333" s="23" t="s">
        <v>4731</v>
      </c>
      <c r="K2333" s="23" t="s">
        <v>4736</v>
      </c>
      <c r="L2333">
        <v>1965</v>
      </c>
      <c r="M2333" s="15" t="s">
        <v>4707</v>
      </c>
      <c r="N2333">
        <v>27</v>
      </c>
      <c r="O2333">
        <v>1</v>
      </c>
      <c r="P2333" s="21">
        <f>DATEVALUE(N2333&amp;"-"&amp;M2333&amp;"-"&amp;L2333)</f>
        <v>24042</v>
      </c>
      <c r="Q2333" s="22">
        <v>48675.519999999997</v>
      </c>
      <c r="R2333" s="23" t="s">
        <v>4701</v>
      </c>
      <c r="S2333" s="23" t="s">
        <v>4697</v>
      </c>
      <c r="T2333" s="23" t="s">
        <v>4699</v>
      </c>
      <c r="U2333" s="23">
        <f>DATEDIF(P2333, DATE(2023, 6, 8), "Y")</f>
        <v>57</v>
      </c>
      <c r="V2333">
        <f>SUM(C2333:K2333)</f>
        <v>24.98</v>
      </c>
    </row>
    <row r="2334" spans="1:22" ht="15.75">
      <c r="A2334" s="28" t="s">
        <v>4666</v>
      </c>
      <c r="B2334" s="28" t="s">
        <v>4667</v>
      </c>
      <c r="C2334" s="23">
        <v>16.47</v>
      </c>
      <c r="D2334" s="23">
        <v>6.35</v>
      </c>
      <c r="E2334" s="23" t="s">
        <v>4682</v>
      </c>
      <c r="F2334" s="23" t="s">
        <v>4682</v>
      </c>
      <c r="G2334" s="23" t="s">
        <v>4684</v>
      </c>
      <c r="H2334" s="23">
        <v>1</v>
      </c>
      <c r="I2334" s="23" t="s">
        <v>4682</v>
      </c>
      <c r="J2334" s="23" t="s">
        <v>4731</v>
      </c>
      <c r="K2334" s="23" t="s">
        <v>4736</v>
      </c>
      <c r="L2334">
        <v>1959</v>
      </c>
      <c r="M2334" s="15" t="s">
        <v>4696</v>
      </c>
      <c r="N2334">
        <v>22</v>
      </c>
      <c r="O2334">
        <v>0</v>
      </c>
      <c r="P2334" s="21">
        <f>DATEVALUE(N2334&amp;"-"&amp;M2334&amp;"-"&amp;L2334)</f>
        <v>21753</v>
      </c>
      <c r="Q2334" s="22">
        <v>48824.45</v>
      </c>
      <c r="R2334" s="23" t="s">
        <v>4697</v>
      </c>
      <c r="S2334" s="23" t="s">
        <v>4701</v>
      </c>
      <c r="T2334" s="23" t="s">
        <v>4708</v>
      </c>
      <c r="U2334" s="23">
        <f>DATEDIF(P2334, DATE(2023, 6, 8), "Y")</f>
        <v>63</v>
      </c>
      <c r="V2334">
        <f>SUM(C2334:K2334)</f>
        <v>23.82</v>
      </c>
    </row>
    <row r="2335" spans="1:22" ht="15.75">
      <c r="A2335" s="28" t="s">
        <v>4668</v>
      </c>
      <c r="B2335" s="28" t="s">
        <v>4669</v>
      </c>
      <c r="C2335" s="23">
        <v>17.600000000000001</v>
      </c>
      <c r="D2335" s="23">
        <v>4.3899999999999997</v>
      </c>
      <c r="E2335" s="23" t="s">
        <v>4682</v>
      </c>
      <c r="F2335" s="23" t="s">
        <v>4682</v>
      </c>
      <c r="G2335" s="23" t="s">
        <v>4682</v>
      </c>
      <c r="H2335" s="23">
        <v>1</v>
      </c>
      <c r="I2335" s="23" t="s">
        <v>4682</v>
      </c>
      <c r="J2335" s="23" t="s">
        <v>4731</v>
      </c>
      <c r="K2335" s="23" t="s">
        <v>4737</v>
      </c>
      <c r="L2335">
        <v>1978</v>
      </c>
      <c r="M2335" s="15" t="s">
        <v>4705</v>
      </c>
      <c r="N2335">
        <v>29</v>
      </c>
      <c r="O2335">
        <v>0</v>
      </c>
      <c r="P2335" s="21">
        <f>DATEVALUE(N2335&amp;"-"&amp;M2335&amp;"-"&amp;L2335)</f>
        <v>28853</v>
      </c>
      <c r="Q2335" s="22">
        <v>48885.14</v>
      </c>
      <c r="R2335" s="23" t="s">
        <v>4701</v>
      </c>
      <c r="S2335" s="23" t="s">
        <v>4697</v>
      </c>
      <c r="T2335" s="23" t="s">
        <v>4699</v>
      </c>
      <c r="U2335" s="23">
        <f>DATEDIF(P2335, DATE(2023, 6, 8), "Y")</f>
        <v>44</v>
      </c>
      <c r="V2335">
        <f>SUM(C2335:K2335)</f>
        <v>22.990000000000002</v>
      </c>
    </row>
    <row r="2336" spans="1:22" ht="15.75">
      <c r="A2336" s="28" t="s">
        <v>4670</v>
      </c>
      <c r="B2336" s="28" t="s">
        <v>4671</v>
      </c>
      <c r="C2336" s="23">
        <v>17.579999999999998</v>
      </c>
      <c r="D2336" s="23">
        <v>4.51</v>
      </c>
      <c r="E2336" s="23" t="s">
        <v>4682</v>
      </c>
      <c r="F2336" s="23" t="s">
        <v>4682</v>
      </c>
      <c r="G2336" s="23" t="s">
        <v>4682</v>
      </c>
      <c r="H2336" s="23">
        <v>1</v>
      </c>
      <c r="I2336" s="23" t="s">
        <v>4682</v>
      </c>
      <c r="J2336" s="23" t="s">
        <v>4731</v>
      </c>
      <c r="K2336" s="23" t="s">
        <v>4737</v>
      </c>
      <c r="L2336">
        <v>1963</v>
      </c>
      <c r="M2336" s="15" t="s">
        <v>4703</v>
      </c>
      <c r="N2336">
        <v>4</v>
      </c>
      <c r="O2336">
        <v>1</v>
      </c>
      <c r="P2336" s="21">
        <f>DATEVALUE(N2336&amp;"-"&amp;M2336&amp;"-"&amp;L2336)</f>
        <v>23258</v>
      </c>
      <c r="Q2336" s="22">
        <v>48970.25</v>
      </c>
      <c r="R2336" s="23" t="s">
        <v>4701</v>
      </c>
      <c r="S2336" s="23" t="s">
        <v>4697</v>
      </c>
      <c r="T2336" s="23" t="s">
        <v>4699</v>
      </c>
      <c r="U2336" s="23">
        <f>DATEDIF(P2336, DATE(2023, 6, 8), "Y")</f>
        <v>59</v>
      </c>
      <c r="V2336">
        <f>SUM(C2336:K2336)</f>
        <v>23.089999999999996</v>
      </c>
    </row>
    <row r="2337" spans="12:22">
      <c r="L2337">
        <v>1958</v>
      </c>
      <c r="M2337" s="15" t="s">
        <v>4702</v>
      </c>
      <c r="N2337">
        <v>27</v>
      </c>
      <c r="O2337">
        <v>2</v>
      </c>
      <c r="P2337" s="21">
        <f>DATEVALUE(N2337&amp;"-"&amp;M2337&amp;"-"&amp;L2337)</f>
        <v>21363</v>
      </c>
      <c r="Q2337" s="22">
        <v>49577.66</v>
      </c>
      <c r="R2337" s="23" t="s">
        <v>4697</v>
      </c>
      <c r="S2337" s="23" t="s">
        <v>4697</v>
      </c>
      <c r="T2337" s="23" t="s">
        <v>4699</v>
      </c>
      <c r="U2337" s="23">
        <f>DATEDIF(P2337, DATE(2023, 6, 8), "Y")</f>
        <v>64</v>
      </c>
      <c r="V2337">
        <f>SUM(C2337:K2337)</f>
        <v>0</v>
      </c>
    </row>
    <row r="2338" spans="12:22">
      <c r="L2338">
        <v>1994</v>
      </c>
      <c r="M2338" s="15" t="s">
        <v>4707</v>
      </c>
      <c r="N2338">
        <v>27</v>
      </c>
      <c r="O2338">
        <v>1</v>
      </c>
      <c r="P2338" s="21">
        <f>DATEVALUE(N2338&amp;"-"&amp;M2338&amp;"-"&amp;L2338)</f>
        <v>34634</v>
      </c>
      <c r="Q2338" s="22">
        <v>51194.559999999998</v>
      </c>
      <c r="R2338" s="23" t="s">
        <v>4701</v>
      </c>
      <c r="S2338" s="23" t="s">
        <v>4698</v>
      </c>
      <c r="T2338" s="23" t="s">
        <v>4708</v>
      </c>
      <c r="U2338" s="23">
        <f>DATEDIF(P2338, DATE(2023, 6, 8), "Y")</f>
        <v>28</v>
      </c>
      <c r="V2338">
        <f>SUM(C2338:K2338)</f>
        <v>0</v>
      </c>
    </row>
    <row r="2339" spans="12:22">
      <c r="L2339">
        <v>1962</v>
      </c>
      <c r="M2339" s="15" t="s">
        <v>4706</v>
      </c>
      <c r="N2339">
        <v>4</v>
      </c>
      <c r="O2339">
        <v>0</v>
      </c>
      <c r="P2339" s="21">
        <f>DATEVALUE(N2339&amp;"-"&amp;M2339&amp;"-"&amp;L2339)</f>
        <v>22862</v>
      </c>
      <c r="Q2339" s="22">
        <v>52590.83</v>
      </c>
      <c r="R2339" s="23" t="s">
        <v>4701</v>
      </c>
      <c r="S2339" s="23" t="s">
        <v>4698</v>
      </c>
      <c r="T2339" s="23" t="s">
        <v>4708</v>
      </c>
      <c r="U2339" s="23">
        <f>DATEDIF(P2339, DATE(2023, 6, 8), "Y")</f>
        <v>60</v>
      </c>
      <c r="V2339">
        <f>SUM(C2339:K2339)</f>
        <v>0</v>
      </c>
    </row>
    <row r="2340" spans="12:22">
      <c r="L2340">
        <v>1989</v>
      </c>
      <c r="M2340" s="15" t="s">
        <v>4702</v>
      </c>
      <c r="N2340">
        <v>19</v>
      </c>
      <c r="O2340">
        <v>0</v>
      </c>
      <c r="P2340" s="21">
        <f>DATEVALUE(N2340&amp;"-"&amp;M2340&amp;"-"&amp;L2340)</f>
        <v>32678</v>
      </c>
      <c r="Q2340" s="22">
        <v>55135.4</v>
      </c>
      <c r="R2340" s="23" t="s">
        <v>4701</v>
      </c>
      <c r="S2340" s="23" t="s">
        <v>4697</v>
      </c>
      <c r="T2340" s="23" t="s">
        <v>4704</v>
      </c>
      <c r="U2340" s="23">
        <f>DATEDIF(P2340, DATE(2023, 6, 8), "Y")</f>
        <v>33</v>
      </c>
      <c r="V2340">
        <f>SUM(C2340:K2340)</f>
        <v>0</v>
      </c>
    </row>
    <row r="2341" spans="12:22">
      <c r="L2341">
        <v>1991</v>
      </c>
      <c r="M2341" s="15" t="s">
        <v>4702</v>
      </c>
      <c r="N2341">
        <v>6</v>
      </c>
      <c r="O2341">
        <v>1</v>
      </c>
      <c r="P2341" s="21">
        <f>DATEVALUE(N2341&amp;"-"&amp;M2341&amp;"-"&amp;L2341)</f>
        <v>33395</v>
      </c>
      <c r="Q2341" s="22">
        <v>58571.07</v>
      </c>
      <c r="R2341" s="23" t="s">
        <v>4701</v>
      </c>
      <c r="S2341" s="23" t="s">
        <v>4698</v>
      </c>
      <c r="T2341" s="23" t="s">
        <v>4714</v>
      </c>
      <c r="U2341" s="23">
        <f>DATEDIF(P2341, DATE(2023, 6, 8), "Y")</f>
        <v>32</v>
      </c>
      <c r="V2341">
        <f>SUM(C2341:K2341)</f>
        <v>0</v>
      </c>
    </row>
    <row r="2342" spans="12:22">
      <c r="L2342">
        <v>1970</v>
      </c>
      <c r="M2342" s="15" t="s">
        <v>4685</v>
      </c>
      <c r="N2342">
        <v>11</v>
      </c>
      <c r="O2342">
        <v>3</v>
      </c>
      <c r="P2342" s="21" t="e">
        <f>DATEVALUE(N2342&amp;"-"&amp;M2342&amp;"-"&amp;L2342)</f>
        <v>#VALUE!</v>
      </c>
      <c r="Q2342" s="22">
        <v>60021.4</v>
      </c>
      <c r="R2342" s="23" t="s">
        <v>4701</v>
      </c>
      <c r="S2342" s="23" t="s">
        <v>4701</v>
      </c>
      <c r="T2342" s="23" t="s">
        <v>4704</v>
      </c>
      <c r="U2342" s="23" t="e">
        <f>DATEDIF(P2342, DATE(2023, 6, 8), "Y")</f>
        <v>#VALUE!</v>
      </c>
      <c r="V2342">
        <f>SUM(C2342:K2342)</f>
        <v>0</v>
      </c>
    </row>
    <row r="2343" spans="12:22">
      <c r="L2343">
        <v>1977</v>
      </c>
      <c r="M2343" s="15" t="s">
        <v>4702</v>
      </c>
      <c r="N2343">
        <v>8</v>
      </c>
      <c r="O2343">
        <v>0</v>
      </c>
      <c r="P2343" s="21">
        <f>DATEVALUE(N2343&amp;"-"&amp;M2343&amp;"-"&amp;L2343)</f>
        <v>28284</v>
      </c>
      <c r="Q2343" s="22">
        <v>62592.87</v>
      </c>
      <c r="R2343" s="23" t="s">
        <v>4697</v>
      </c>
      <c r="S2343" s="23" t="s">
        <v>4698</v>
      </c>
      <c r="T2343" s="23" t="s">
        <v>4699</v>
      </c>
      <c r="U2343" s="23">
        <f>DATEDIF(P2343, DATE(2023, 6, 8), "Y")</f>
        <v>46</v>
      </c>
      <c r="V2343">
        <f>SUM(C2343:K2343)</f>
        <v>0</v>
      </c>
    </row>
    <row r="2344" spans="12:22">
      <c r="L2344">
        <v>1968</v>
      </c>
      <c r="M2344" s="15" t="s">
        <v>4707</v>
      </c>
      <c r="N2344">
        <v>12</v>
      </c>
      <c r="O2344">
        <v>0</v>
      </c>
      <c r="P2344" s="21">
        <f>DATEVALUE(N2344&amp;"-"&amp;M2344&amp;"-"&amp;L2344)</f>
        <v>25123</v>
      </c>
      <c r="Q2344" s="22">
        <v>63770.43</v>
      </c>
      <c r="R2344" s="23" t="s">
        <v>4701</v>
      </c>
      <c r="S2344" s="23" t="s">
        <v>4698</v>
      </c>
      <c r="T2344" s="23" t="s">
        <v>4699</v>
      </c>
      <c r="U2344" s="23">
        <f>DATEDIF(P2344, DATE(2023, 6, 8), "Y")</f>
        <v>54</v>
      </c>
      <c r="V2344">
        <f>SUM(C2344:K2344)</f>
        <v>0</v>
      </c>
    </row>
    <row r="1048576" spans="3:22">
      <c r="C1048576" s="23">
        <f>SUM(C2:C1048575)</f>
        <v>72321.135000000228</v>
      </c>
      <c r="D1048576" s="23">
        <f>SUM(D2:D1048575)</f>
        <v>15361.960000000019</v>
      </c>
      <c r="H1048576" s="23">
        <f>SUM(H2:H1048575)</f>
        <v>1579</v>
      </c>
      <c r="P1048576" s="24" t="e">
        <f>SUM(P2:P1048575)</f>
        <v>#VALUE!</v>
      </c>
      <c r="Q1048576" s="22">
        <f ca="1">SUM(Q2:Q1048575)</f>
        <v>31768896.019999977</v>
      </c>
      <c r="U1048576" s="23" t="e">
        <f>SUM(U2:U1048575)</f>
        <v>#VALUE!</v>
      </c>
      <c r="V1048576">
        <f>SUM(C1048576:K1048576)</f>
        <v>89262.095000000249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50E6-0779-48E5-AA56-A71A446D35C1}">
  <dimension ref="A1:R34"/>
  <sheetViews>
    <sheetView tabSelected="1" topLeftCell="D26" workbookViewId="0">
      <selection activeCell="Q28" sqref="Q28:R34"/>
    </sheetView>
  </sheetViews>
  <sheetFormatPr defaultRowHeight="15"/>
  <cols>
    <col min="1" max="1" width="31.28515625" bestFit="1" customWidth="1"/>
  </cols>
  <sheetData>
    <row r="1" spans="1:17">
      <c r="A1" t="s">
        <v>4738</v>
      </c>
    </row>
    <row r="3" spans="1:17">
      <c r="M3" s="16" t="s">
        <v>4724</v>
      </c>
      <c r="N3" s="16" t="s">
        <v>4677</v>
      </c>
    </row>
    <row r="4" spans="1:17">
      <c r="M4" s="16" t="s">
        <v>4679</v>
      </c>
      <c r="N4" t="s">
        <v>4682</v>
      </c>
      <c r="O4" t="s">
        <v>4684</v>
      </c>
      <c r="P4" t="s">
        <v>4725</v>
      </c>
      <c r="Q4" t="s">
        <v>4726</v>
      </c>
    </row>
    <row r="5" spans="1:17">
      <c r="M5" t="s">
        <v>4685</v>
      </c>
      <c r="N5">
        <v>2</v>
      </c>
      <c r="Q5">
        <v>2</v>
      </c>
    </row>
    <row r="6" spans="1:17">
      <c r="M6" t="s">
        <v>4682</v>
      </c>
      <c r="N6">
        <v>1538</v>
      </c>
      <c r="O6">
        <v>307</v>
      </c>
      <c r="Q6">
        <v>1845</v>
      </c>
    </row>
    <row r="7" spans="1:17">
      <c r="M7" t="s">
        <v>4683</v>
      </c>
      <c r="N7">
        <v>404</v>
      </c>
      <c r="O7">
        <v>84</v>
      </c>
      <c r="Q7">
        <v>488</v>
      </c>
    </row>
    <row r="8" spans="1:17">
      <c r="M8" t="s">
        <v>4725</v>
      </c>
    </row>
    <row r="9" spans="1:17">
      <c r="M9" t="s">
        <v>4726</v>
      </c>
      <c r="N9">
        <v>1944</v>
      </c>
      <c r="O9">
        <v>391</v>
      </c>
      <c r="Q9">
        <v>2335</v>
      </c>
    </row>
    <row r="28" spans="17:18">
      <c r="Q28" s="16" t="s">
        <v>4680</v>
      </c>
      <c r="R28" t="s">
        <v>4727</v>
      </c>
    </row>
    <row r="29" spans="17:18">
      <c r="Q29" t="s">
        <v>4728</v>
      </c>
      <c r="R29">
        <v>7476262.1799999978</v>
      </c>
    </row>
    <row r="30" spans="17:18">
      <c r="Q30" t="s">
        <v>4729</v>
      </c>
      <c r="R30">
        <v>12991788.989999993</v>
      </c>
    </row>
    <row r="31" spans="17:18">
      <c r="Q31" t="s">
        <v>4730</v>
      </c>
      <c r="R31">
        <v>6731374.6200000038</v>
      </c>
    </row>
    <row r="32" spans="17:18">
      <c r="Q32" t="s">
        <v>4731</v>
      </c>
      <c r="R32">
        <v>4116016.0100000016</v>
      </c>
    </row>
    <row r="33" spans="17:18">
      <c r="Q33" t="s">
        <v>4725</v>
      </c>
      <c r="R33">
        <v>453454.22</v>
      </c>
    </row>
    <row r="34" spans="17:18">
      <c r="Q34" t="s">
        <v>4726</v>
      </c>
      <c r="R34">
        <v>31768896.019999996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2025-11-04T16:41:27Z</dcterms:modified>
  <cp:category/>
  <cp:contentStatus/>
</cp:coreProperties>
</file>