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</sheets>
  <definedNames/>
  <calcPr/>
  <extLst>
    <ext uri="GoogleSheetsCustomDataVersion2">
      <go:sheetsCustomData xmlns:go="http://customooxmlschemas.google.com/" r:id="rId6" roundtripDataChecksum="OTtUJfX0gWUNtCowGFPGPlexFfYReuLKOFMQIcltSvw="/>
    </ext>
  </extLst>
</workbook>
</file>

<file path=xl/sharedStrings.xml><?xml version="1.0" encoding="utf-8"?>
<sst xmlns="http://schemas.openxmlformats.org/spreadsheetml/2006/main" count="175" uniqueCount="126">
  <si>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</si>
  <si>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</si>
  <si>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</si>
  <si>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</si>
  <si>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</si>
  <si>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</si>
  <si>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</si>
  <si>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</si>
  <si>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</si>
  <si>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</si>
  <si>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</si>
  <si>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</si>
  <si>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</si>
  <si>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</si>
  <si>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</si>
  <si>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</si>
  <si>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</si>
  <si>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</si>
  <si>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</si>
  <si>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</si>
  <si>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</si>
  <si>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</si>
  <si>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</si>
  <si>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</si>
  <si>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</si>
  <si>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</si>
  <si>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</si>
  <si>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</si>
  <si>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</si>
  <si>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</si>
  <si>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</si>
  <si>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</si>
  <si>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</si>
  <si>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</si>
  <si>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</si>
  <si>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</si>
  <si>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</si>
  <si>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</si>
  <si>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</si>
  <si>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</si>
  <si>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</si>
  <si>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</si>
  <si>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</si>
  <si>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</si>
  <si>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</si>
  <si>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</si>
  <si>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</si>
  <si>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</si>
  <si>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</si>
  <si>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</si>
  <si>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</si>
  <si>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</si>
  <si>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</si>
  <si>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</si>
  <si>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</si>
  <si>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</si>
  <si>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</si>
  <si>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</si>
  <si>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</si>
  <si>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</si>
  <si>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</si>
  <si>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</si>
  <si>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</si>
  <si>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</si>
  <si>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</si>
  <si>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</si>
  <si>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</si>
  <si>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</si>
  <si>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</si>
  <si>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</si>
  <si>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</si>
  <si>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</si>
  <si>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</si>
  <si>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</si>
  <si>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</si>
  <si>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</si>
  <si>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</si>
  <si>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</si>
  <si>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</si>
  <si>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</si>
  <si>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</si>
  <si>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</si>
  <si>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</si>
  <si>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</si>
  <si>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</si>
  <si>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</si>
  <si>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</si>
  <si>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</si>
  <si>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</si>
  <si>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</si>
  <si>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</si>
  <si>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</si>
  <si>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</si>
  <si>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</si>
  <si>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</si>
  <si>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</si>
  <si>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</si>
  <si>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</si>
  <si>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</si>
  <si>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</si>
  <si>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</si>
  <si>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</si>
  <si>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</si>
  <si>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</si>
  <si>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</si>
  <si>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</si>
  <si>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</si>
  <si>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</si>
  <si>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</si>
  <si>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</si>
  <si>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</si>
  <si>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</si>
  <si>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</si>
  <si>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</si>
  <si>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ANSWERS</t>
  </si>
  <si>
    <t>Q1</t>
  </si>
  <si>
    <t>Total price of all products</t>
  </si>
  <si>
    <t xml:space="preserve">Total products </t>
  </si>
  <si>
    <t>Average price</t>
  </si>
  <si>
    <t>Q2</t>
  </si>
  <si>
    <t>Min price</t>
  </si>
  <si>
    <t>Max price</t>
  </si>
  <si>
    <t>Q4</t>
  </si>
  <si>
    <t>Total price for Electronics (SUMIF)</t>
  </si>
  <si>
    <r>
      <rPr>
        <rFont val="Arial"/>
        <b/>
        <color rgb="FF000000"/>
        <sz val="10.0"/>
      </rPr>
      <t>Products less than $100</t>
    </r>
    <r>
      <rPr>
        <rFont val="Arial"/>
        <b val="0"/>
        <color rgb="FF000000"/>
        <sz val="10.0"/>
      </rPr>
      <t xml:space="preserve"> (</t>
    </r>
    <r>
      <rPr>
        <rFont val="Arial"/>
        <b/>
        <color rgb="FF000000"/>
        <sz val="10.0"/>
      </rPr>
      <t>COUNTIF</t>
    </r>
    <r>
      <rPr>
        <rFont val="Arial"/>
        <b val="0"/>
        <color rgb="FF000000"/>
        <sz val="10.0"/>
      </rPr>
      <t>)</t>
    </r>
  </si>
  <si>
    <t>Q3 and Q5 are in the above column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</si>
</sst>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D9F1F3"/>
        <bgColor rgb="FFD9F1F3"/>
      </patternFill>
    </fill>
    <fill>
      <patternFill patternType="solid">
        <fgColor rgb="FFE0F7FA"/>
        <bgColor rgb="FFE0F7FA"/>
      </patternFill>
    </fill>
  </fills>
  <borders count="4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/>
    </xf>
    <xf borderId="2" fillId="2" fontId="6" numFmtId="0" xfId="0" applyAlignment="1" applyBorder="1" applyFont="1">
      <alignment horizontal="center" shrinkToFit="0" wrapText="1"/>
    </xf>
    <xf borderId="0" fillId="0" fontId="7" numFmtId="0" xfId="0" applyFont="1"/>
    <xf borderId="0" fillId="0" fontId="8" numFmtId="0" xfId="0" applyFont="1"/>
    <xf borderId="1" fillId="3" fontId="7" numFmtId="0" xfId="0" applyBorder="1" applyFill="1" applyFont="1"/>
    <xf borderId="1" fillId="3" fontId="8" numFmtId="0" xfId="0" applyBorder="1" applyFont="1"/>
    <xf borderId="1" fillId="4" fontId="7" numFmtId="0" xfId="0" applyBorder="1" applyFill="1" applyFont="1"/>
    <xf borderId="0" fillId="0" fontId="6" numFmtId="0" xfId="0" applyFont="1"/>
    <xf borderId="0" fillId="0" fontId="6" numFmtId="0" xfId="0" applyAlignment="1" applyFont="1">
      <alignment horizontal="left"/>
    </xf>
    <xf borderId="0" fillId="0" fontId="8" numFmtId="0" xfId="0" applyAlignment="1" applyFont="1">
      <alignment shrinkToFit="0" wrapText="1"/>
    </xf>
    <xf borderId="3" fillId="0" fontId="8" numFmtId="0" xfId="0" applyAlignment="1" applyBorder="1" applyFont="1">
      <alignment shrinkToFit="0" wrapText="1"/>
    </xf>
    <xf borderId="0" fillId="0" fontId="9" numFmtId="0" xfId="0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7.38"/>
    <col customWidth="1" min="3" max="6" width="12.63"/>
    <col customWidth="1" min="7" max="26" width="14.38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B4" s="2"/>
      <c r="C4" s="3" t="s">
        <v>2</v>
      </c>
    </row>
    <row r="5" ht="15.75" customHeight="1">
      <c r="B5" s="2"/>
      <c r="C5" s="3" t="s">
        <v>3</v>
      </c>
    </row>
    <row r="6" ht="15.75" customHeight="1">
      <c r="B6" s="2"/>
      <c r="C6" s="3" t="s">
        <v>4</v>
      </c>
    </row>
    <row r="7" ht="15.75" customHeight="1">
      <c r="B7" s="4"/>
    </row>
    <row r="8" ht="15.75" customHeight="1">
      <c r="B8" s="2" t="s">
        <v>5</v>
      </c>
    </row>
    <row r="9" ht="15.75" customHeight="1">
      <c r="C9" s="3" t="s">
        <v>6</v>
      </c>
    </row>
    <row r="10" ht="15.75" customHeight="1">
      <c r="C10" s="3" t="s">
        <v>7</v>
      </c>
    </row>
    <row r="11" ht="15.75" customHeight="1">
      <c r="B11" s="4"/>
    </row>
    <row r="12" ht="15.75" customHeight="1">
      <c r="B12" s="2" t="s">
        <v>8</v>
      </c>
    </row>
    <row r="13" ht="15.75" customHeight="1">
      <c r="C13" s="3" t="s">
        <v>9</v>
      </c>
    </row>
    <row r="14" ht="15.75" customHeight="1">
      <c r="B14" s="4"/>
    </row>
    <row r="15" ht="15.75" customHeight="1">
      <c r="B15" s="2" t="s">
        <v>10</v>
      </c>
    </row>
    <row r="16" ht="15.75" customHeight="1">
      <c r="C16" s="3" t="s">
        <v>11</v>
      </c>
    </row>
    <row r="17" ht="15.75" customHeight="1">
      <c r="C17" s="3" t="s">
        <v>12</v>
      </c>
    </row>
    <row r="18" ht="15.75" customHeight="1">
      <c r="B18" s="4"/>
    </row>
    <row r="19" ht="15.75" customHeight="1">
      <c r="B19" s="2" t="s">
        <v>13</v>
      </c>
    </row>
    <row r="20" ht="15.75" customHeight="1">
      <c r="C20" s="3" t="s">
        <v>14</v>
      </c>
    </row>
    <row r="21" ht="15.75" customHeight="1">
      <c r="C21" s="3" t="s">
        <v>15</v>
      </c>
    </row>
    <row r="22" ht="15.75" customHeight="1">
      <c r="C22" s="3" t="s">
        <v>16</v>
      </c>
    </row>
    <row r="23" ht="15.75" customHeight="1">
      <c r="B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13"/>
    <col customWidth="1" min="3" max="6" width="12.63"/>
    <col customWidth="1" min="7" max="7" width="15.38"/>
    <col customWidth="1" min="8" max="9" width="13.88"/>
    <col customWidth="1" min="10" max="10" width="14.0"/>
    <col customWidth="1" min="11" max="26" width="14.38"/>
  </cols>
  <sheetData>
    <row r="1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23</v>
      </c>
      <c r="H1" s="6" t="s">
        <v>24</v>
      </c>
      <c r="I1" s="6" t="s">
        <v>25</v>
      </c>
      <c r="J1" s="6" t="s">
        <v>26</v>
      </c>
    </row>
    <row r="2" ht="15.75" customHeight="1">
      <c r="A2" s="7" t="s">
        <v>27</v>
      </c>
      <c r="B2" s="7" t="s">
        <v>28</v>
      </c>
      <c r="C2" s="7" t="s">
        <v>29</v>
      </c>
      <c r="D2" s="7">
        <v>1000.0</v>
      </c>
      <c r="E2" s="7">
        <v>30.0</v>
      </c>
      <c r="F2" s="7" t="s">
        <v>30</v>
      </c>
      <c r="G2" s="8" t="str">
        <f t="shared" ref="G2:G35" si="1">IF(D2&gt;=500, "High Price", "Standard Price")</f>
        <v>High Price</v>
      </c>
      <c r="H2" s="8" t="str">
        <f t="shared" ref="H2:H35" si="2">LEFT(A2, 2)</f>
        <v>28</v>
      </c>
      <c r="I2" s="8" t="str">
        <f t="shared" ref="I2:I35" si="3">RIGHT(A2, 2)</f>
        <v>US</v>
      </c>
      <c r="J2" s="8" t="str">
        <f t="shared" ref="J2:J35" si="4">MID(A2, 4, 3)</f>
        <v>JAN</v>
      </c>
    </row>
    <row r="3" ht="15.75" customHeight="1">
      <c r="A3" s="9" t="s">
        <v>31</v>
      </c>
      <c r="B3" s="9" t="s">
        <v>32</v>
      </c>
      <c r="C3" s="9" t="s">
        <v>33</v>
      </c>
      <c r="D3" s="9">
        <v>80.0</v>
      </c>
      <c r="E3" s="9">
        <v>15.0</v>
      </c>
      <c r="F3" s="9" t="s">
        <v>34</v>
      </c>
      <c r="G3" s="10" t="str">
        <f t="shared" si="1"/>
        <v>Standard Price</v>
      </c>
      <c r="H3" s="10" t="str">
        <f t="shared" si="2"/>
        <v>15</v>
      </c>
      <c r="I3" s="10" t="str">
        <f t="shared" si="3"/>
        <v>US</v>
      </c>
      <c r="J3" s="10" t="str">
        <f t="shared" si="4"/>
        <v>FEB</v>
      </c>
    </row>
    <row r="4" ht="15.75" customHeight="1">
      <c r="A4" s="7" t="s">
        <v>35</v>
      </c>
      <c r="B4" s="7" t="s">
        <v>36</v>
      </c>
      <c r="C4" s="7" t="s">
        <v>37</v>
      </c>
      <c r="D4" s="7">
        <v>130.0</v>
      </c>
      <c r="E4" s="7">
        <v>40.0</v>
      </c>
      <c r="F4" s="7" t="s">
        <v>38</v>
      </c>
      <c r="G4" s="8" t="str">
        <f t="shared" si="1"/>
        <v>Standard Price</v>
      </c>
      <c r="H4" s="8" t="str">
        <f t="shared" si="2"/>
        <v>03</v>
      </c>
      <c r="I4" s="8" t="str">
        <f t="shared" si="3"/>
        <v>US</v>
      </c>
      <c r="J4" s="8" t="str">
        <f t="shared" si="4"/>
        <v>MAR</v>
      </c>
    </row>
    <row r="5" ht="15.75" customHeight="1">
      <c r="A5" s="9" t="s">
        <v>39</v>
      </c>
      <c r="B5" s="9" t="s">
        <v>40</v>
      </c>
      <c r="C5" s="9" t="s">
        <v>41</v>
      </c>
      <c r="D5" s="9">
        <v>900.0</v>
      </c>
      <c r="E5" s="9">
        <v>25.0</v>
      </c>
      <c r="F5" s="9" t="s">
        <v>30</v>
      </c>
      <c r="G5" s="10" t="str">
        <f t="shared" si="1"/>
        <v>High Price</v>
      </c>
      <c r="H5" s="10" t="str">
        <f t="shared" si="2"/>
        <v>11</v>
      </c>
      <c r="I5" s="10" t="str">
        <f t="shared" si="3"/>
        <v>US</v>
      </c>
      <c r="J5" s="10" t="str">
        <f t="shared" si="4"/>
        <v>APR</v>
      </c>
    </row>
    <row r="6" ht="15.75" customHeight="1">
      <c r="A6" s="7" t="s">
        <v>42</v>
      </c>
      <c r="B6" s="7" t="s">
        <v>43</v>
      </c>
      <c r="C6" s="7" t="s">
        <v>44</v>
      </c>
      <c r="D6" s="7">
        <v>70.0</v>
      </c>
      <c r="E6" s="7">
        <v>20.0</v>
      </c>
      <c r="F6" s="7" t="s">
        <v>45</v>
      </c>
      <c r="G6" s="8" t="str">
        <f t="shared" si="1"/>
        <v>Standard Price</v>
      </c>
      <c r="H6" s="8" t="str">
        <f t="shared" si="2"/>
        <v>22</v>
      </c>
      <c r="I6" s="8" t="str">
        <f t="shared" si="3"/>
        <v>US</v>
      </c>
      <c r="J6" s="8" t="str">
        <f t="shared" si="4"/>
        <v>MAY</v>
      </c>
    </row>
    <row r="7" ht="15.75" customHeight="1">
      <c r="A7" s="11" t="s">
        <v>46</v>
      </c>
      <c r="B7" s="11" t="s">
        <v>47</v>
      </c>
      <c r="C7" s="11" t="s">
        <v>48</v>
      </c>
      <c r="D7" s="11">
        <v>200.0</v>
      </c>
      <c r="E7" s="11">
        <v>45.0</v>
      </c>
      <c r="F7" s="11" t="s">
        <v>30</v>
      </c>
      <c r="G7" s="10" t="str">
        <f t="shared" si="1"/>
        <v>Standard Price</v>
      </c>
      <c r="H7" s="10" t="str">
        <f t="shared" si="2"/>
        <v>07</v>
      </c>
      <c r="I7" s="10" t="str">
        <f t="shared" si="3"/>
        <v>UK</v>
      </c>
      <c r="J7" s="10" t="str">
        <f t="shared" si="4"/>
        <v>JUN</v>
      </c>
    </row>
    <row r="8" ht="15.75" customHeight="1">
      <c r="A8" s="7" t="s">
        <v>49</v>
      </c>
      <c r="B8" s="7" t="s">
        <v>50</v>
      </c>
      <c r="C8" s="7" t="s">
        <v>51</v>
      </c>
      <c r="D8" s="7">
        <v>30.0</v>
      </c>
      <c r="E8" s="7">
        <v>5.0</v>
      </c>
      <c r="F8" s="7" t="s">
        <v>34</v>
      </c>
      <c r="G8" s="7" t="str">
        <f t="shared" si="1"/>
        <v>Standard Price</v>
      </c>
      <c r="H8" s="8" t="str">
        <f t="shared" si="2"/>
        <v>19</v>
      </c>
      <c r="I8" s="8" t="str">
        <f t="shared" si="3"/>
        <v>UK</v>
      </c>
      <c r="J8" s="8" t="str">
        <f t="shared" si="4"/>
        <v>JUL</v>
      </c>
    </row>
    <row r="9" ht="15.75" customHeight="1">
      <c r="A9" s="11" t="s">
        <v>52</v>
      </c>
      <c r="B9" s="11" t="s">
        <v>53</v>
      </c>
      <c r="C9" s="11" t="s">
        <v>54</v>
      </c>
      <c r="D9" s="11">
        <v>90.0</v>
      </c>
      <c r="E9" s="11">
        <v>35.0</v>
      </c>
      <c r="F9" s="11" t="s">
        <v>38</v>
      </c>
      <c r="G9" s="10" t="str">
        <f t="shared" si="1"/>
        <v>Standard Price</v>
      </c>
      <c r="H9" s="10" t="str">
        <f t="shared" si="2"/>
        <v>23</v>
      </c>
      <c r="I9" s="10" t="str">
        <f t="shared" si="3"/>
        <v>UK</v>
      </c>
      <c r="J9" s="10" t="str">
        <f t="shared" si="4"/>
        <v>AUG</v>
      </c>
    </row>
    <row r="10" ht="15.75" customHeight="1">
      <c r="A10" s="7" t="s">
        <v>55</v>
      </c>
      <c r="B10" s="7" t="s">
        <v>56</v>
      </c>
      <c r="C10" s="7" t="s">
        <v>57</v>
      </c>
      <c r="D10" s="7">
        <v>500.0</v>
      </c>
      <c r="E10" s="7">
        <v>50.0</v>
      </c>
      <c r="F10" s="7" t="s">
        <v>30</v>
      </c>
      <c r="G10" s="7" t="str">
        <f t="shared" si="1"/>
        <v>High Price</v>
      </c>
      <c r="H10" s="8" t="str">
        <f t="shared" si="2"/>
        <v>05</v>
      </c>
      <c r="I10" s="8" t="str">
        <f t="shared" si="3"/>
        <v>UK</v>
      </c>
      <c r="J10" s="8" t="str">
        <f t="shared" si="4"/>
        <v>SEP</v>
      </c>
    </row>
    <row r="11" ht="15.75" customHeight="1">
      <c r="A11" s="11" t="s">
        <v>58</v>
      </c>
      <c r="B11" s="11" t="s">
        <v>59</v>
      </c>
      <c r="C11" s="11" t="s">
        <v>60</v>
      </c>
      <c r="D11" s="11">
        <v>130.0</v>
      </c>
      <c r="E11" s="11">
        <v>10.0</v>
      </c>
      <c r="F11" s="11" t="s">
        <v>45</v>
      </c>
      <c r="G11" s="10" t="str">
        <f t="shared" si="1"/>
        <v>Standard Price</v>
      </c>
      <c r="H11" s="10" t="str">
        <f t="shared" si="2"/>
        <v>14</v>
      </c>
      <c r="I11" s="10" t="str">
        <f t="shared" si="3"/>
        <v>UK</v>
      </c>
      <c r="J11" s="10" t="str">
        <f t="shared" si="4"/>
        <v>OCT</v>
      </c>
    </row>
    <row r="12" ht="15.75" customHeight="1">
      <c r="A12" s="7" t="s">
        <v>61</v>
      </c>
      <c r="B12" s="7" t="s">
        <v>28</v>
      </c>
      <c r="C12" s="7" t="s">
        <v>62</v>
      </c>
      <c r="D12" s="7">
        <v>950.0</v>
      </c>
      <c r="E12" s="7">
        <v>25.0</v>
      </c>
      <c r="F12" s="7" t="s">
        <v>30</v>
      </c>
      <c r="G12" s="8" t="str">
        <f t="shared" si="1"/>
        <v>High Price</v>
      </c>
      <c r="H12" s="8" t="str">
        <f t="shared" si="2"/>
        <v>17</v>
      </c>
      <c r="I12" s="8" t="str">
        <f t="shared" si="3"/>
        <v>IN</v>
      </c>
      <c r="J12" s="8" t="str">
        <f t="shared" si="4"/>
        <v>JUN</v>
      </c>
    </row>
    <row r="13" ht="15.75" customHeight="1">
      <c r="A13" s="11" t="s">
        <v>63</v>
      </c>
      <c r="B13" s="11" t="s">
        <v>32</v>
      </c>
      <c r="C13" s="11" t="s">
        <v>51</v>
      </c>
      <c r="D13" s="11">
        <v>90.0</v>
      </c>
      <c r="E13" s="11">
        <v>40.0</v>
      </c>
      <c r="F13" s="11" t="s">
        <v>34</v>
      </c>
      <c r="G13" s="10" t="str">
        <f t="shared" si="1"/>
        <v>Standard Price</v>
      </c>
      <c r="H13" s="10" t="str">
        <f t="shared" si="2"/>
        <v>25</v>
      </c>
      <c r="I13" s="10" t="str">
        <f t="shared" si="3"/>
        <v>AU</v>
      </c>
      <c r="J13" s="10" t="str">
        <f t="shared" si="4"/>
        <v>NOV</v>
      </c>
    </row>
    <row r="14" ht="15.75" customHeight="1">
      <c r="A14" s="7" t="s">
        <v>64</v>
      </c>
      <c r="B14" s="7" t="s">
        <v>36</v>
      </c>
      <c r="C14" s="7" t="s">
        <v>65</v>
      </c>
      <c r="D14" s="7">
        <v>120.0</v>
      </c>
      <c r="E14" s="7">
        <v>35.0</v>
      </c>
      <c r="F14" s="7" t="s">
        <v>38</v>
      </c>
      <c r="G14" s="8" t="str">
        <f t="shared" si="1"/>
        <v>Standard Price</v>
      </c>
      <c r="H14" s="8" t="str">
        <f t="shared" si="2"/>
        <v>08</v>
      </c>
      <c r="I14" s="8" t="str">
        <f t="shared" si="3"/>
        <v>DE</v>
      </c>
      <c r="J14" s="8" t="str">
        <f t="shared" si="4"/>
        <v>DEC</v>
      </c>
    </row>
    <row r="15" ht="15.75" customHeight="1">
      <c r="A15" s="11" t="s">
        <v>66</v>
      </c>
      <c r="B15" s="11" t="s">
        <v>67</v>
      </c>
      <c r="C15" s="11" t="s">
        <v>68</v>
      </c>
      <c r="D15" s="11">
        <v>150.0</v>
      </c>
      <c r="E15" s="11">
        <v>15.0</v>
      </c>
      <c r="F15" s="11" t="s">
        <v>30</v>
      </c>
      <c r="G15" s="9" t="str">
        <f t="shared" si="1"/>
        <v>Standard Price</v>
      </c>
      <c r="H15" s="10" t="str">
        <f t="shared" si="2"/>
        <v>18</v>
      </c>
      <c r="I15" s="10" t="str">
        <f t="shared" si="3"/>
        <v>CA</v>
      </c>
      <c r="J15" s="10" t="str">
        <f t="shared" si="4"/>
        <v>FEB</v>
      </c>
    </row>
    <row r="16" ht="15.75" customHeight="1">
      <c r="A16" s="7" t="s">
        <v>69</v>
      </c>
      <c r="B16" s="7" t="s">
        <v>47</v>
      </c>
      <c r="C16" s="7" t="s">
        <v>70</v>
      </c>
      <c r="D16" s="7">
        <v>250.0</v>
      </c>
      <c r="E16" s="7">
        <v>20.0</v>
      </c>
      <c r="F16" s="7" t="s">
        <v>30</v>
      </c>
      <c r="G16" s="8" t="str">
        <f t="shared" si="1"/>
        <v>Standard Price</v>
      </c>
      <c r="H16" s="8" t="str">
        <f t="shared" si="2"/>
        <v>16</v>
      </c>
      <c r="I16" s="8" t="str">
        <f t="shared" si="3"/>
        <v>ES</v>
      </c>
      <c r="J16" s="8" t="str">
        <f t="shared" si="4"/>
        <v>APR</v>
      </c>
    </row>
    <row r="17" ht="15.75" customHeight="1">
      <c r="A17" s="11" t="s">
        <v>71</v>
      </c>
      <c r="B17" s="11" t="s">
        <v>72</v>
      </c>
      <c r="C17" s="11" t="s">
        <v>73</v>
      </c>
      <c r="D17" s="11">
        <v>50.0</v>
      </c>
      <c r="E17" s="11">
        <v>35.0</v>
      </c>
      <c r="F17" s="11" t="s">
        <v>74</v>
      </c>
      <c r="G17" s="10" t="str">
        <f t="shared" si="1"/>
        <v>Standard Price</v>
      </c>
      <c r="H17" s="10" t="str">
        <f t="shared" si="2"/>
        <v>21</v>
      </c>
      <c r="I17" s="10" t="str">
        <f t="shared" si="3"/>
        <v>CA</v>
      </c>
      <c r="J17" s="10" t="str">
        <f t="shared" si="4"/>
        <v>AUG</v>
      </c>
    </row>
    <row r="18" ht="15.75" customHeight="1">
      <c r="A18" s="7" t="s">
        <v>75</v>
      </c>
      <c r="B18" s="7" t="s">
        <v>67</v>
      </c>
      <c r="C18" s="7" t="s">
        <v>76</v>
      </c>
      <c r="D18" s="7">
        <v>160.0</v>
      </c>
      <c r="E18" s="7">
        <v>15.0</v>
      </c>
      <c r="F18" s="7" t="s">
        <v>30</v>
      </c>
      <c r="G18" s="8" t="str">
        <f t="shared" si="1"/>
        <v>Standard Price</v>
      </c>
      <c r="H18" s="8" t="str">
        <f t="shared" si="2"/>
        <v>20</v>
      </c>
      <c r="I18" s="8" t="str">
        <f t="shared" si="3"/>
        <v>CN</v>
      </c>
      <c r="J18" s="8" t="str">
        <f t="shared" si="4"/>
        <v>AUG</v>
      </c>
    </row>
    <row r="19" ht="15.75" customHeight="1">
      <c r="A19" s="11" t="s">
        <v>77</v>
      </c>
      <c r="B19" s="11" t="s">
        <v>28</v>
      </c>
      <c r="C19" s="11" t="s">
        <v>78</v>
      </c>
      <c r="D19" s="11">
        <v>980.0</v>
      </c>
      <c r="E19" s="11">
        <v>10.0</v>
      </c>
      <c r="F19" s="11" t="s">
        <v>30</v>
      </c>
      <c r="G19" s="10" t="str">
        <f t="shared" si="1"/>
        <v>High Price</v>
      </c>
      <c r="H19" s="10" t="str">
        <f t="shared" si="2"/>
        <v>27</v>
      </c>
      <c r="I19" s="10" t="str">
        <f t="shared" si="3"/>
        <v>IT</v>
      </c>
      <c r="J19" s="10" t="str">
        <f t="shared" si="4"/>
        <v>JAN</v>
      </c>
    </row>
    <row r="20" ht="15.75" customHeight="1">
      <c r="A20" s="7" t="s">
        <v>79</v>
      </c>
      <c r="B20" s="7" t="s">
        <v>80</v>
      </c>
      <c r="C20" s="7" t="s">
        <v>81</v>
      </c>
      <c r="D20" s="7">
        <v>150.0</v>
      </c>
      <c r="E20" s="7">
        <v>15.0</v>
      </c>
      <c r="F20" s="7" t="s">
        <v>34</v>
      </c>
      <c r="G20" s="8" t="str">
        <f t="shared" si="1"/>
        <v>Standard Price</v>
      </c>
      <c r="H20" s="8" t="str">
        <f t="shared" si="2"/>
        <v>01</v>
      </c>
      <c r="I20" s="8" t="str">
        <f t="shared" si="3"/>
        <v>UK</v>
      </c>
      <c r="J20" s="8" t="str">
        <f t="shared" si="4"/>
        <v>MAR</v>
      </c>
    </row>
    <row r="21" ht="15.75" customHeight="1">
      <c r="A21" s="11" t="s">
        <v>82</v>
      </c>
      <c r="B21" s="11" t="s">
        <v>83</v>
      </c>
      <c r="C21" s="11" t="s">
        <v>84</v>
      </c>
      <c r="D21" s="11">
        <v>200.0</v>
      </c>
      <c r="E21" s="11">
        <v>10.0</v>
      </c>
      <c r="F21" s="11" t="s">
        <v>45</v>
      </c>
      <c r="G21" s="10" t="str">
        <f t="shared" si="1"/>
        <v>Standard Price</v>
      </c>
      <c r="H21" s="10" t="str">
        <f t="shared" si="2"/>
        <v>14</v>
      </c>
      <c r="I21" s="10" t="str">
        <f t="shared" si="3"/>
        <v>US</v>
      </c>
      <c r="J21" s="10" t="str">
        <f t="shared" si="4"/>
        <v>AUG</v>
      </c>
    </row>
    <row r="22" ht="15.75" customHeight="1">
      <c r="A22" s="7" t="s">
        <v>85</v>
      </c>
      <c r="B22" s="7" t="s">
        <v>86</v>
      </c>
      <c r="C22" s="7" t="s">
        <v>87</v>
      </c>
      <c r="D22" s="7">
        <v>700.0</v>
      </c>
      <c r="E22" s="7">
        <v>50.0</v>
      </c>
      <c r="F22" s="7" t="s">
        <v>30</v>
      </c>
      <c r="G22" s="8" t="str">
        <f t="shared" si="1"/>
        <v>High Price</v>
      </c>
      <c r="H22" s="8" t="str">
        <f t="shared" si="2"/>
        <v>14</v>
      </c>
      <c r="I22" s="8" t="str">
        <f t="shared" si="3"/>
        <v>RU</v>
      </c>
      <c r="J22" s="8" t="str">
        <f t="shared" si="4"/>
        <v>MAY</v>
      </c>
    </row>
    <row r="23" ht="15.75" customHeight="1">
      <c r="A23" s="11" t="s">
        <v>88</v>
      </c>
      <c r="B23" s="11" t="s">
        <v>89</v>
      </c>
      <c r="C23" s="11" t="s">
        <v>90</v>
      </c>
      <c r="D23" s="11">
        <v>80.0</v>
      </c>
      <c r="E23" s="11">
        <v>20.0</v>
      </c>
      <c r="F23" s="11" t="s">
        <v>38</v>
      </c>
      <c r="G23" s="10" t="str">
        <f t="shared" si="1"/>
        <v>Standard Price</v>
      </c>
      <c r="H23" s="10" t="str">
        <f t="shared" si="2"/>
        <v>09</v>
      </c>
      <c r="I23" s="10" t="str">
        <f t="shared" si="3"/>
        <v>CA</v>
      </c>
      <c r="J23" s="10" t="str">
        <f t="shared" si="4"/>
        <v>JAN</v>
      </c>
    </row>
    <row r="24" ht="15.75" customHeight="1">
      <c r="A24" s="7" t="s">
        <v>91</v>
      </c>
      <c r="B24" s="7" t="s">
        <v>92</v>
      </c>
      <c r="C24" s="7" t="s">
        <v>93</v>
      </c>
      <c r="D24" s="7">
        <v>150.0</v>
      </c>
      <c r="E24" s="7">
        <v>30.0</v>
      </c>
      <c r="F24" s="7" t="s">
        <v>30</v>
      </c>
      <c r="G24" s="8" t="str">
        <f t="shared" si="1"/>
        <v>Standard Price</v>
      </c>
      <c r="H24" s="8" t="str">
        <f t="shared" si="2"/>
        <v>19</v>
      </c>
      <c r="I24" s="8" t="str">
        <f t="shared" si="3"/>
        <v>BR</v>
      </c>
      <c r="J24" s="8" t="str">
        <f t="shared" si="4"/>
        <v>JUL</v>
      </c>
    </row>
    <row r="25" ht="15.75" customHeight="1">
      <c r="A25" s="11" t="s">
        <v>71</v>
      </c>
      <c r="B25" s="11" t="s">
        <v>72</v>
      </c>
      <c r="C25" s="11" t="s">
        <v>73</v>
      </c>
      <c r="D25" s="11">
        <v>50.0</v>
      </c>
      <c r="E25" s="11">
        <v>35.0</v>
      </c>
      <c r="F25" s="11" t="s">
        <v>74</v>
      </c>
      <c r="G25" s="10" t="str">
        <f t="shared" si="1"/>
        <v>Standard Price</v>
      </c>
      <c r="H25" s="10" t="str">
        <f t="shared" si="2"/>
        <v>21</v>
      </c>
      <c r="I25" s="10" t="str">
        <f t="shared" si="3"/>
        <v>CA</v>
      </c>
      <c r="J25" s="10" t="str">
        <f t="shared" si="4"/>
        <v>AUG</v>
      </c>
    </row>
    <row r="26" ht="15.75" customHeight="1">
      <c r="A26" s="7" t="s">
        <v>94</v>
      </c>
      <c r="B26" s="7" t="s">
        <v>40</v>
      </c>
      <c r="C26" s="7" t="s">
        <v>95</v>
      </c>
      <c r="D26" s="7">
        <v>800.0</v>
      </c>
      <c r="E26" s="7">
        <v>45.0</v>
      </c>
      <c r="F26" s="7" t="s">
        <v>30</v>
      </c>
      <c r="G26" s="8" t="str">
        <f t="shared" si="1"/>
        <v>High Price</v>
      </c>
      <c r="H26" s="8" t="str">
        <f t="shared" si="2"/>
        <v>29</v>
      </c>
      <c r="I26" s="8" t="str">
        <f t="shared" si="3"/>
        <v>CA</v>
      </c>
      <c r="J26" s="8" t="str">
        <f t="shared" si="4"/>
        <v>SEP</v>
      </c>
    </row>
    <row r="27" ht="15.75" customHeight="1">
      <c r="A27" s="11" t="s">
        <v>96</v>
      </c>
      <c r="B27" s="11" t="s">
        <v>80</v>
      </c>
      <c r="C27" s="11" t="s">
        <v>97</v>
      </c>
      <c r="D27" s="11">
        <v>130.0</v>
      </c>
      <c r="E27" s="11">
        <v>25.0</v>
      </c>
      <c r="F27" s="11" t="s">
        <v>34</v>
      </c>
      <c r="G27" s="10" t="str">
        <f t="shared" si="1"/>
        <v>Standard Price</v>
      </c>
      <c r="H27" s="10" t="str">
        <f t="shared" si="2"/>
        <v>03</v>
      </c>
      <c r="I27" s="10" t="str">
        <f t="shared" si="3"/>
        <v>CA</v>
      </c>
      <c r="J27" s="10" t="str">
        <f t="shared" si="4"/>
        <v>JUN</v>
      </c>
    </row>
    <row r="28" ht="15.75" customHeight="1">
      <c r="A28" s="7" t="s">
        <v>98</v>
      </c>
      <c r="B28" s="7" t="s">
        <v>53</v>
      </c>
      <c r="C28" s="7" t="s">
        <v>99</v>
      </c>
      <c r="D28" s="7">
        <v>400.0</v>
      </c>
      <c r="E28" s="7">
        <v>40.0</v>
      </c>
      <c r="F28" s="7" t="s">
        <v>38</v>
      </c>
      <c r="G28" s="8" t="str">
        <f t="shared" si="1"/>
        <v>Standard Price</v>
      </c>
      <c r="H28" s="8" t="str">
        <f t="shared" si="2"/>
        <v>11</v>
      </c>
      <c r="I28" s="8" t="str">
        <f t="shared" si="3"/>
        <v>CA</v>
      </c>
      <c r="J28" s="8" t="str">
        <f t="shared" si="4"/>
        <v>JUL</v>
      </c>
    </row>
    <row r="29" ht="15.75" customHeight="1">
      <c r="A29" s="11" t="s">
        <v>69</v>
      </c>
      <c r="B29" s="11" t="s">
        <v>47</v>
      </c>
      <c r="C29" s="11" t="s">
        <v>70</v>
      </c>
      <c r="D29" s="11">
        <v>230.0</v>
      </c>
      <c r="E29" s="11">
        <v>20.0</v>
      </c>
      <c r="F29" s="11" t="s">
        <v>30</v>
      </c>
      <c r="G29" s="10" t="str">
        <f t="shared" si="1"/>
        <v>Standard Price</v>
      </c>
      <c r="H29" s="10" t="str">
        <f t="shared" si="2"/>
        <v>16</v>
      </c>
      <c r="I29" s="10" t="str">
        <f t="shared" si="3"/>
        <v>ES</v>
      </c>
      <c r="J29" s="10" t="str">
        <f t="shared" si="4"/>
        <v>APR</v>
      </c>
    </row>
    <row r="30" ht="15.75" customHeight="1">
      <c r="A30" s="7" t="s">
        <v>100</v>
      </c>
      <c r="B30" s="7" t="s">
        <v>101</v>
      </c>
      <c r="C30" s="7" t="s">
        <v>102</v>
      </c>
      <c r="D30" s="7">
        <v>60.0</v>
      </c>
      <c r="E30" s="7">
        <v>30.0</v>
      </c>
      <c r="F30" s="7" t="s">
        <v>34</v>
      </c>
      <c r="G30" s="8" t="str">
        <f t="shared" si="1"/>
        <v>Standard Price</v>
      </c>
      <c r="H30" s="8" t="str">
        <f t="shared" si="2"/>
        <v>07</v>
      </c>
      <c r="I30" s="8" t="str">
        <f t="shared" si="3"/>
        <v>CA</v>
      </c>
      <c r="J30" s="8" t="str">
        <f t="shared" si="4"/>
        <v>MAR</v>
      </c>
    </row>
    <row r="31" ht="15.75" customHeight="1">
      <c r="A31" s="11" t="s">
        <v>103</v>
      </c>
      <c r="B31" s="11" t="s">
        <v>104</v>
      </c>
      <c r="C31" s="11" t="s">
        <v>105</v>
      </c>
      <c r="D31" s="11">
        <v>40.0</v>
      </c>
      <c r="E31" s="11">
        <v>10.0</v>
      </c>
      <c r="F31" s="11" t="s">
        <v>38</v>
      </c>
      <c r="G31" s="10" t="str">
        <f t="shared" si="1"/>
        <v>Standard Price</v>
      </c>
      <c r="H31" s="10" t="str">
        <f t="shared" si="2"/>
        <v>13</v>
      </c>
      <c r="I31" s="10" t="str">
        <f t="shared" si="3"/>
        <v>CA</v>
      </c>
      <c r="J31" s="10" t="str">
        <f t="shared" si="4"/>
        <v>APR</v>
      </c>
    </row>
    <row r="32" ht="15.75" customHeight="1">
      <c r="A32" s="7" t="s">
        <v>106</v>
      </c>
      <c r="B32" s="7" t="s">
        <v>92</v>
      </c>
      <c r="C32" s="7" t="s">
        <v>107</v>
      </c>
      <c r="D32" s="7">
        <v>130.0</v>
      </c>
      <c r="E32" s="7">
        <v>5.0</v>
      </c>
      <c r="F32" s="7" t="s">
        <v>30</v>
      </c>
      <c r="G32" s="8" t="str">
        <f t="shared" si="1"/>
        <v>Standard Price</v>
      </c>
      <c r="H32" s="8" t="str">
        <f t="shared" si="2"/>
        <v>24</v>
      </c>
      <c r="I32" s="8" t="str">
        <f t="shared" si="3"/>
        <v>CA</v>
      </c>
      <c r="J32" s="8" t="str">
        <f t="shared" si="4"/>
        <v>MAY</v>
      </c>
    </row>
    <row r="33" ht="15.75" customHeight="1">
      <c r="A33" s="11" t="s">
        <v>108</v>
      </c>
      <c r="B33" s="11" t="s">
        <v>109</v>
      </c>
      <c r="C33" s="11" t="s">
        <v>110</v>
      </c>
      <c r="D33" s="11">
        <v>50.0</v>
      </c>
      <c r="E33" s="11">
        <v>50.0</v>
      </c>
      <c r="F33" s="11" t="s">
        <v>34</v>
      </c>
      <c r="G33" s="10" t="str">
        <f t="shared" si="1"/>
        <v>Standard Price</v>
      </c>
      <c r="H33" s="10" t="str">
        <f t="shared" si="2"/>
        <v>02</v>
      </c>
      <c r="I33" s="10" t="str">
        <f t="shared" si="3"/>
        <v>CA</v>
      </c>
      <c r="J33" s="10" t="str">
        <f t="shared" si="4"/>
        <v>DEC</v>
      </c>
    </row>
    <row r="34" ht="15.75" customHeight="1">
      <c r="A34" s="7" t="s">
        <v>61</v>
      </c>
      <c r="B34" s="7" t="s">
        <v>28</v>
      </c>
      <c r="C34" s="7" t="s">
        <v>62</v>
      </c>
      <c r="D34" s="7">
        <v>950.0</v>
      </c>
      <c r="E34" s="7">
        <v>25.0</v>
      </c>
      <c r="F34" s="7" t="s">
        <v>30</v>
      </c>
      <c r="G34" s="8" t="str">
        <f t="shared" si="1"/>
        <v>High Price</v>
      </c>
      <c r="H34" s="8" t="str">
        <f t="shared" si="2"/>
        <v>17</v>
      </c>
      <c r="I34" s="8" t="str">
        <f t="shared" si="3"/>
        <v>IN</v>
      </c>
      <c r="J34" s="8" t="str">
        <f t="shared" si="4"/>
        <v>JUN</v>
      </c>
    </row>
    <row r="35" ht="15.75" customHeight="1">
      <c r="A35" s="11" t="s">
        <v>111</v>
      </c>
      <c r="B35" s="11" t="s">
        <v>112</v>
      </c>
      <c r="C35" s="11" t="s">
        <v>113</v>
      </c>
      <c r="D35" s="11">
        <v>100.0</v>
      </c>
      <c r="E35" s="11">
        <v>20.0</v>
      </c>
      <c r="F35" s="11" t="s">
        <v>74</v>
      </c>
      <c r="G35" s="10" t="str">
        <f t="shared" si="1"/>
        <v>Standard Price</v>
      </c>
      <c r="H35" s="10" t="str">
        <f t="shared" si="2"/>
        <v>09</v>
      </c>
      <c r="I35" s="10" t="str">
        <f t="shared" si="3"/>
        <v>FR</v>
      </c>
      <c r="J35" s="10" t="str">
        <f t="shared" si="4"/>
        <v>JUL</v>
      </c>
    </row>
    <row r="36" ht="15.75" customHeight="1"/>
    <row r="37" ht="15.75" customHeight="1"/>
    <row r="38" ht="15.75" customHeight="1">
      <c r="A38" s="12" t="s">
        <v>114</v>
      </c>
    </row>
    <row r="39" ht="15.75" customHeight="1"/>
    <row r="40" ht="15.75" customHeight="1">
      <c r="A40" s="12" t="s">
        <v>115</v>
      </c>
    </row>
    <row r="41" ht="15.75" customHeight="1">
      <c r="A41" s="13" t="s">
        <v>116</v>
      </c>
      <c r="C41" s="8"/>
      <c r="D41" s="8">
        <f>SUM(D2:D35)</f>
        <v>10100</v>
      </c>
      <c r="I41" s="14"/>
      <c r="J41" s="15"/>
    </row>
    <row r="42" ht="15.75" customHeight="1">
      <c r="A42" s="12" t="s">
        <v>117</v>
      </c>
      <c r="D42" s="16">
        <f>COUNTA(A2:A35)</f>
        <v>34</v>
      </c>
      <c r="I42" s="14"/>
      <c r="J42" s="15"/>
    </row>
    <row r="43" ht="15.75" customHeight="1">
      <c r="A43" s="12" t="s">
        <v>118</v>
      </c>
      <c r="D43" s="8">
        <f>AVERAGE(D2:D35)</f>
        <v>297.0588235</v>
      </c>
      <c r="I43" s="14"/>
      <c r="J43" s="15"/>
    </row>
    <row r="44" ht="15.75" customHeight="1">
      <c r="A44" s="12"/>
      <c r="D44" s="8"/>
      <c r="I44" s="14"/>
      <c r="J44" s="15"/>
    </row>
    <row r="45" ht="15.75" customHeight="1">
      <c r="I45" s="14"/>
      <c r="J45" s="15"/>
    </row>
    <row r="46" ht="15.75" customHeight="1">
      <c r="A46" s="12" t="s">
        <v>119</v>
      </c>
      <c r="I46" s="14"/>
      <c r="J46" s="15"/>
    </row>
    <row r="47" ht="15.75" customHeight="1">
      <c r="A47" s="12" t="s">
        <v>120</v>
      </c>
      <c r="D47" s="8">
        <f>MIN(D2:D35)</f>
        <v>30</v>
      </c>
      <c r="I47" s="14"/>
      <c r="J47" s="15"/>
    </row>
    <row r="48" ht="15.75" customHeight="1">
      <c r="A48" s="12" t="s">
        <v>121</v>
      </c>
      <c r="D48" s="8">
        <f>MAX(D2:D35)</f>
        <v>1000</v>
      </c>
      <c r="I48" s="14"/>
      <c r="J48" s="15"/>
    </row>
    <row r="49" ht="15.75" customHeight="1"/>
    <row r="50" ht="15.75" customHeight="1"/>
    <row r="51" ht="15.75" customHeight="1">
      <c r="A51" s="12" t="s">
        <v>122</v>
      </c>
    </row>
    <row r="52" ht="15.75" customHeight="1">
      <c r="A52" s="12" t="s">
        <v>123</v>
      </c>
      <c r="D52" s="8">
        <f>SUMIF(F2:F35, "Electronics", D2:D35)</f>
        <v>8050</v>
      </c>
    </row>
    <row r="53" ht="15.75" customHeight="1">
      <c r="A53" s="12" t="s">
        <v>124</v>
      </c>
      <c r="D53" s="8">
        <f>COUNTIF(D2:D35, "&lt;100")</f>
        <v>11</v>
      </c>
    </row>
    <row r="54" ht="15.75" customHeight="1"/>
    <row r="55" ht="15.75" customHeight="1"/>
    <row r="56" ht="15.75" customHeight="1">
      <c r="A56" s="17" t="s">
        <v>125</v>
      </c>
      <c r="B56" s="18"/>
      <c r="C56" s="1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2025-10-03T15:51:56Z</dcterms:created>
</cp:coreProperties>
</file>